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PLANILHA ORCAMENTARIA" sheetId="1" state="visible" r:id="rId1"/>
    <sheet name="RESUMO" sheetId="2" state="visible" r:id="rId2"/>
    <sheet name="COMPOSICOES" sheetId="3" state="visible" r:id="rId3"/>
    <sheet name="COMPOSICOES AUXILIARES" sheetId="4" state="visible" r:id="rId4"/>
    <sheet name="ENCARGOS SOCIAIS" sheetId="5" state="visible" r:id="rId5"/>
  </sheets>
  <definedNames>
    <definedName name="JR_PAGE_ANCHOR_0_1">'PLANILHA ORCAMENTARIA'!$A$1</definedName>
    <definedName name="JR_PAGE_ANCHOR_1_1">'RESUMO'!$A$1</definedName>
    <definedName name="JR_PAGE_ANCHOR_2_1">'COMPOSICOES'!$A$1</definedName>
    <definedName name="JR_PAGE_ANCHOR_3_1">'COMPOSICOES AUXILIARES'!$A$1</definedName>
    <definedName name="JR_PAGE_ANCHOR_4_1">'ENCARGOS SOCIAIS'!$A$1</definedName>
    <definedName name="VALOR_TOTAL">'PLANILHA ORCAMENTARIA'!$H$594</definedName>
    <definedName name="FATOR">RESUMO!$H$4</definedName>
    <definedName name="BDI">RESUMO!$H$5</definedName>
  </definedNames>
</workbook>
</file>

<file path=xl/styles.xml><?xml version="1.0" encoding="utf-8"?>
<styleSheet xmlns="http://schemas.openxmlformats.org/spreadsheetml/2006/main">
  <numFmts count="7">
    <numFmt numFmtId="164" formatCode="R$ #,##0.00"/>
    <numFmt numFmtId="165" formatCode="R$ ###,###,##0.00"/>
    <numFmt numFmtId="166" formatCode="#,##0.00000000"/>
    <numFmt numFmtId="167" formatCode="R$ #,##0.0000"/>
    <numFmt numFmtId="168" formatCode="#,##0.0000000"/>
    <numFmt numFmtId="169" formatCode="#,##0.00000"/>
    <numFmt numFmtId="170" formatCode="###,###,##0.00"/>
  </numFmts>
  <fonts count="12">
    <font>
      <name val="Calibri"/>
      <family val="2"/>
      <color theme="1"/>
      <sz val="11"/>
      <scheme val="minor"/>
    </font>
    <font>
      <name val="Arial"/>
      <family val="2"/>
      <b val="1"/>
      <strike val="0"/>
      <color rgb="00000000"/>
      <sz val="7"/>
    </font>
    <font>
      <name val="Arial"/>
      <family val="2"/>
      <b val="1"/>
      <strike val="0"/>
      <color rgb="00000000"/>
      <sz val="6"/>
    </font>
    <font>
      <name val="Arial"/>
      <family val="2"/>
      <strike val="0"/>
      <color rgb="00000000"/>
      <sz val="6"/>
    </font>
    <font>
      <name val="Arial"/>
      <family val="2"/>
      <b val="1"/>
      <strike val="0"/>
      <color rgb="00000000"/>
      <sz val="5"/>
    </font>
    <font>
      <name val="SansSerif"/>
      <family val="2"/>
      <strike val="0"/>
      <color rgb="00000000"/>
      <sz val="9"/>
    </font>
    <font>
      <name val="SansSerif"/>
      <family val="2"/>
      <b val="1"/>
      <strike val="0"/>
      <color rgb="00000000"/>
      <sz val="5"/>
    </font>
    <font>
      <name val="SansSerif"/>
      <family val="2"/>
      <strike val="0"/>
      <color rgb="00000000"/>
      <sz val="6"/>
    </font>
    <font>
      <name val="SansSerif"/>
      <family val="2"/>
      <strike val="0"/>
      <color rgb="00000000"/>
      <sz val="5.5"/>
    </font>
    <font>
      <name val="Arial"/>
      <family val="2"/>
      <strike val="0"/>
      <color rgb="00000000"/>
      <sz val="7"/>
    </font>
    <font>
      <name val="Arial"/>
      <family val="2"/>
      <b val="1"/>
      <strike val="0"/>
      <color rgb="00000000"/>
      <sz val="9"/>
    </font>
    <font>
      <name val="Calibri"/>
      <family val="2"/>
      <color theme="1"/>
      <sz val="12"/>
      <scheme val="minor"/>
    </font>
  </fonts>
  <fills count="55">
    <fill>
      <patternFill/>
    </fill>
    <fill>
      <patternFill patternType="solid">
        <fgColor rgb="00FFFFFF"/>
      </patternFill>
    </fill>
    <fill>
      <patternFill/>
    </fill>
    <fill>
      <patternFill/>
    </fill>
    <fill>
      <patternFill/>
    </fill>
    <fill>
      <patternFill patternType="solid">
        <fgColor rgb="00CCCCCC"/>
      </patternFill>
    </fill>
    <fill>
      <patternFill/>
    </fill>
    <fill>
      <patternFill/>
    </fill>
    <fill>
      <patternFill/>
    </fill>
    <fill>
      <patternFill/>
    </fill>
    <fill>
      <patternFill/>
    </fill>
    <fill>
      <patternFill/>
    </fill>
    <fill>
      <patternFill/>
    </fill>
    <fill>
      <patternFill/>
    </fill>
    <fill>
      <patternFill/>
    </fill>
    <fill>
      <patternFill patternType="solid">
        <fgColor rgb="00FFFFFF"/>
      </patternFill>
    </fill>
    <fill>
      <patternFill/>
    </fill>
    <fill>
      <patternFill/>
    </fill>
    <fill>
      <patternFill/>
    </fill>
    <fill>
      <patternFill/>
    </fill>
    <fill>
      <patternFill/>
    </fill>
    <fill>
      <patternFill patternType="solid">
        <fgColor rgb="00CCCCCC"/>
      </patternFill>
    </fill>
    <fill>
      <patternFill patternType="solid">
        <fgColor rgb="00CCCCCC"/>
      </patternFill>
    </fill>
    <fill>
      <patternFill/>
    </fill>
    <fill>
      <patternFill/>
    </fill>
    <fill>
      <patternFill/>
    </fill>
    <fill>
      <patternFill/>
    </fill>
    <fill>
      <patternFill/>
    </fill>
    <fill>
      <patternFill/>
    </fill>
    <fill>
      <patternFill/>
    </fill>
    <fill>
      <patternFill/>
    </fill>
    <fill>
      <patternFill/>
    </fill>
    <fill>
      <patternFill/>
    </fill>
    <fill>
      <patternFill patternType="solid">
        <fgColor rgb="00CCCCCC"/>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s>
  <borders count="8">
    <border>
      <left/>
      <right/>
      <top/>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style="thin">
        <color rgb="00000000"/>
      </left>
      <right>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11" fillId="54" borderId="0"/>
  </cellStyleXfs>
  <cellXfs count="80">
    <xf numFmtId="0" fontId="0" fillId="0" borderId="0" pivotButton="0" quotePrefix="0" xfId="0"/>
    <xf numFmtId="0" fontId="0" fillId="2" borderId="1" applyAlignment="1" applyProtection="1" pivotButton="0" quotePrefix="0" xfId="0">
      <alignment wrapText="1"/>
      <protection locked="0" hidden="0"/>
    </xf>
    <xf numFmtId="0" fontId="0" fillId="3" borderId="0" applyAlignment="1" applyProtection="1" pivotButton="0" quotePrefix="0" xfId="0">
      <alignment wrapText="1"/>
      <protection locked="0" hidden="0"/>
    </xf>
    <xf numFmtId="0" fontId="1" fillId="4" borderId="1" applyAlignment="1" pivotButton="0" quotePrefix="0" xfId="0">
      <alignment horizontal="right" vertical="center" wrapText="1"/>
    </xf>
    <xf numFmtId="0" fontId="2" fillId="5" borderId="2" applyAlignment="1" pivotButton="0" quotePrefix="0" xfId="0">
      <alignment horizontal="center" vertical="center" wrapText="1"/>
    </xf>
    <xf numFmtId="0" fontId="2" fillId="6" borderId="2" applyAlignment="1" pivotButton="0" quotePrefix="0" xfId="0">
      <alignment horizontal="left" vertical="center" wrapText="1"/>
    </xf>
    <xf numFmtId="164" fontId="2" fillId="7" borderId="2" applyAlignment="1" pivotButton="0" quotePrefix="0" xfId="0">
      <alignment horizontal="right" vertical="center" wrapText="1"/>
    </xf>
    <xf numFmtId="0" fontId="3" fillId="8"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10" borderId="2" applyAlignment="1" pivotButton="0" quotePrefix="0" xfId="0">
      <alignment horizontal="justify" vertical="center" wrapText="1"/>
    </xf>
    <xf numFmtId="4" fontId="3" fillId="11" borderId="2" applyAlignment="1" pivotButton="0" quotePrefix="0" xfId="0">
      <alignment horizontal="right" vertical="center" wrapText="1"/>
    </xf>
    <xf numFmtId="164" fontId="3" fillId="12" borderId="2" applyAlignment="1" pivotButton="0" quotePrefix="0" xfId="0">
      <alignment horizontal="right" vertical="center" wrapText="1"/>
    </xf>
    <xf numFmtId="165" fontId="3" fillId="13" borderId="2" applyAlignment="1" pivotButton="0" quotePrefix="0" xfId="0">
      <alignment horizontal="right" vertical="center" wrapText="1"/>
    </xf>
    <xf numFmtId="0" fontId="4" fillId="14" borderId="1" applyAlignment="1" pivotButton="0" quotePrefix="0" xfId="0">
      <alignment horizontal="right" vertical="center" wrapText="1"/>
    </xf>
    <xf numFmtId="0" fontId="0" fillId="15" borderId="1" applyAlignment="1" applyProtection="1" pivotButton="0" quotePrefix="0" xfId="0">
      <alignment wrapText="1"/>
      <protection locked="0" hidden="0"/>
    </xf>
    <xf numFmtId="0" fontId="2" fillId="16" borderId="1" applyAlignment="1" pivotButton="0" quotePrefix="0" xfId="0">
      <alignment horizontal="left" vertical="center" wrapText="1"/>
    </xf>
    <xf numFmtId="164" fontId="2" fillId="17" borderId="1" applyAlignment="1" pivotButton="0" quotePrefix="0" xfId="0">
      <alignment horizontal="right" vertical="center" wrapText="1"/>
    </xf>
    <xf numFmtId="4" fontId="2" fillId="18" borderId="1" applyAlignment="1" pivotButton="0" quotePrefix="0" xfId="0">
      <alignment horizontal="right" vertical="center" wrapText="1"/>
    </xf>
    <xf numFmtId="0" fontId="5" fillId="19" borderId="1" applyAlignment="1" pivotButton="0" quotePrefix="0" xfId="0">
      <alignment horizontal="left" vertical="top" wrapText="1"/>
    </xf>
    <xf numFmtId="0" fontId="1" fillId="20" borderId="2" applyAlignment="1" pivotButton="0" quotePrefix="0" xfId="0">
      <alignment horizontal="left" vertical="center" wrapText="1"/>
    </xf>
    <xf numFmtId="0" fontId="6" fillId="21" borderId="2" applyAlignment="1" pivotButton="0" quotePrefix="0" xfId="0">
      <alignment horizontal="left" vertical="center" wrapText="1"/>
    </xf>
    <xf numFmtId="0" fontId="4" fillId="22" borderId="2" applyAlignment="1" pivotButton="0" quotePrefix="0" xfId="0">
      <alignment horizontal="center" vertical="center" wrapText="1"/>
    </xf>
    <xf numFmtId="0" fontId="7" fillId="23" borderId="2" applyAlignment="1" pivotButton="0" quotePrefix="0" xfId="0">
      <alignment horizontal="center" vertical="top" wrapText="1"/>
    </xf>
    <xf numFmtId="0" fontId="7" fillId="24" borderId="2" applyAlignment="1" pivotButton="0" quotePrefix="0" xfId="0">
      <alignment horizontal="justify" vertical="top" wrapText="1"/>
    </xf>
    <xf numFmtId="166" fontId="7" fillId="25" borderId="2" applyAlignment="1" pivotButton="0" quotePrefix="0" xfId="0">
      <alignment horizontal="right" vertical="top" wrapText="1"/>
    </xf>
    <xf numFmtId="164" fontId="7" fillId="26" borderId="2" applyAlignment="1" pivotButton="0" quotePrefix="0" xfId="0">
      <alignment horizontal="right" vertical="top" wrapText="1"/>
    </xf>
    <xf numFmtId="0" fontId="6" fillId="27" borderId="2" applyAlignment="1" pivotButton="0" quotePrefix="0" xfId="0">
      <alignment horizontal="right" vertical="top" wrapText="1"/>
    </xf>
    <xf numFmtId="164" fontId="6" fillId="28" borderId="2" applyAlignment="1" pivotButton="0" quotePrefix="0" xfId="0">
      <alignment horizontal="right" vertical="top" wrapText="1"/>
    </xf>
    <xf numFmtId="0" fontId="2" fillId="29" borderId="2" applyAlignment="1" pivotButton="0" quotePrefix="0" xfId="0">
      <alignment horizontal="right" vertical="center" wrapText="1"/>
    </xf>
    <xf numFmtId="4" fontId="2" fillId="30" borderId="2" applyAlignment="1" pivotButton="0" quotePrefix="0" xfId="0">
      <alignment horizontal="right" vertical="center" wrapText="1"/>
    </xf>
    <xf numFmtId="167" fontId="7" fillId="31" borderId="2" applyAlignment="1" pivotButton="0" quotePrefix="0" xfId="0">
      <alignment horizontal="right" vertical="top" wrapText="1"/>
    </xf>
    <xf numFmtId="167" fontId="6" fillId="32" borderId="2" applyAlignment="1" pivotButton="0" quotePrefix="0" xfId="0">
      <alignment horizontal="right" vertical="top" wrapText="1"/>
    </xf>
    <xf numFmtId="0" fontId="2" fillId="33" borderId="2" applyAlignment="1" pivotButton="0" quotePrefix="0" xfId="0">
      <alignment horizontal="left" vertical="center" wrapText="1"/>
    </xf>
    <xf numFmtId="168" fontId="3" fillId="34" borderId="2" applyAlignment="1" pivotButton="0" quotePrefix="0" xfId="0">
      <alignment horizontal="center" vertical="center" wrapText="1"/>
    </xf>
    <xf numFmtId="167" fontId="3" fillId="35" borderId="2" applyAlignment="1" pivotButton="0" quotePrefix="0" xfId="0">
      <alignment horizontal="right" vertical="center" wrapText="1"/>
    </xf>
    <xf numFmtId="0" fontId="4" fillId="36" borderId="2" applyAlignment="1" pivotButton="0" quotePrefix="0" xfId="0">
      <alignment horizontal="right" vertical="center" wrapText="1"/>
    </xf>
    <xf numFmtId="167" fontId="2" fillId="37" borderId="2" applyAlignment="1" pivotButton="0" quotePrefix="0" xfId="0">
      <alignment horizontal="right" vertical="center" wrapText="1"/>
    </xf>
    <xf numFmtId="168" fontId="3" fillId="38" borderId="2" applyAlignment="1" pivotButton="0" quotePrefix="0" xfId="0">
      <alignment horizontal="right" vertical="center" wrapText="1"/>
    </xf>
    <xf numFmtId="0" fontId="3" fillId="39" borderId="3" applyAlignment="1" pivotButton="0" quotePrefix="0" xfId="0">
      <alignment horizontal="left" vertical="center" wrapText="1"/>
    </xf>
    <xf numFmtId="169" fontId="3" fillId="40" borderId="2" applyAlignment="1" pivotButton="0" quotePrefix="0" xfId="0">
      <alignment horizontal="right" vertical="center" wrapText="1"/>
    </xf>
    <xf numFmtId="166" fontId="8" fillId="41" borderId="2" applyAlignment="1" pivotButton="0" quotePrefix="0" xfId="0">
      <alignment horizontal="right" vertical="top" wrapText="1"/>
    </xf>
    <xf numFmtId="164" fontId="8" fillId="42" borderId="2" applyAlignment="1" pivotButton="0" quotePrefix="0" xfId="0">
      <alignment horizontal="right" vertical="top" wrapText="1"/>
    </xf>
    <xf numFmtId="0" fontId="1" fillId="43" borderId="2" applyAlignment="1" pivotButton="0" quotePrefix="0" xfId="0">
      <alignment horizontal="center" vertical="center" wrapText="1"/>
    </xf>
    <xf numFmtId="0" fontId="2" fillId="44" borderId="2" applyAlignment="1" pivotButton="0" quotePrefix="0" xfId="0">
      <alignment horizontal="center" vertical="center" wrapText="1"/>
    </xf>
    <xf numFmtId="0" fontId="1" fillId="45" borderId="2" applyAlignment="1" pivotButton="0" quotePrefix="0" xfId="0">
      <alignment horizontal="center" vertical="top" wrapText="1"/>
    </xf>
    <xf numFmtId="0" fontId="1" fillId="46" borderId="2" applyAlignment="1" pivotButton="0" quotePrefix="0" xfId="0">
      <alignment horizontal="left" vertical="top" wrapText="1"/>
    </xf>
    <xf numFmtId="0" fontId="9" fillId="47" borderId="2" applyAlignment="1" pivotButton="0" quotePrefix="0" xfId="0">
      <alignment horizontal="center" vertical="top" wrapText="1"/>
    </xf>
    <xf numFmtId="0" fontId="9" fillId="48" borderId="2" applyAlignment="1" pivotButton="0" quotePrefix="0" xfId="0">
      <alignment horizontal="left" vertical="top" wrapText="1"/>
    </xf>
    <xf numFmtId="170" fontId="9" fillId="49" borderId="2" applyAlignment="1" pivotButton="0" quotePrefix="0" xfId="0">
      <alignment horizontal="right" vertical="top" wrapText="1"/>
    </xf>
    <xf numFmtId="4" fontId="9" fillId="50" borderId="2" applyAlignment="1" pivotButton="0" quotePrefix="0" xfId="0">
      <alignment horizontal="right" vertical="top" wrapText="1"/>
    </xf>
    <xf numFmtId="0" fontId="1" fillId="51" borderId="2" applyAlignment="1" pivotButton="0" quotePrefix="0" xfId="0">
      <alignment horizontal="right" vertical="center" wrapText="1"/>
    </xf>
    <xf numFmtId="4" fontId="1" fillId="52" borderId="2" applyAlignment="1" pivotButton="0" quotePrefix="0" xfId="0">
      <alignment horizontal="right" vertical="top" wrapText="1"/>
    </xf>
    <xf numFmtId="0" fontId="10" fillId="53" borderId="1" applyAlignment="1" pivotButton="0" quotePrefix="0" xfId="0">
      <alignment horizontal="right" vertical="center" wrapText="1"/>
    </xf>
    <xf numFmtId="4" fontId="10" fillId="54" borderId="1" applyAlignment="1" pivotButton="0" quotePrefix="0" xfId="0">
      <alignment horizontal="right" vertical="center" wrapText="1"/>
    </xf>
    <xf numFmtId="0" fontId="0" fillId="0" borderId="0" applyProtection="1" pivotButton="0" quotePrefix="0" xfId="0">
      <protection locked="0" hidden="0"/>
    </xf>
    <xf numFmtId="0" fontId="0" fillId="0" borderId="6" pivotButton="0" quotePrefix="0" xfId="0"/>
    <xf numFmtId="0" fontId="0" fillId="0" borderId="7" pivotButton="0" quotePrefix="0" xfId="0"/>
    <xf numFmtId="164" fontId="2" fillId="7" borderId="2" applyAlignment="1" pivotButton="0" quotePrefix="0" xfId="0">
      <alignment horizontal="right" vertical="center" wrapText="1"/>
    </xf>
    <xf numFmtId="4" fontId="3" fillId="11" borderId="2" applyAlignment="1" pivotButton="0" quotePrefix="0" xfId="0">
      <alignment horizontal="right" vertical="center" wrapText="1"/>
    </xf>
    <xf numFmtId="164" fontId="3" fillId="12" borderId="2" applyAlignment="1" pivotButton="0" quotePrefix="0" xfId="0">
      <alignment horizontal="right" vertical="center" wrapText="1"/>
    </xf>
    <xf numFmtId="4" fontId="3" fillId="54" borderId="2" applyAlignment="1" pivotButton="0" quotePrefix="0" xfId="0">
      <alignment horizontal="right" vertical="center" wrapText="1"/>
    </xf>
    <xf numFmtId="164" fontId="2" fillId="17" borderId="1" applyAlignment="1" pivotButton="0" quotePrefix="0" xfId="0">
      <alignment horizontal="right" vertical="center" wrapText="1"/>
    </xf>
    <xf numFmtId="4" fontId="2" fillId="18" borderId="1" applyAlignment="1" pivotButton="0" quotePrefix="0" xfId="0">
      <alignment horizontal="right" vertical="center" wrapText="1"/>
    </xf>
    <xf numFmtId="166" fontId="7" fillId="25" borderId="2" applyAlignment="1" pivotButton="0" quotePrefix="0" xfId="0">
      <alignment horizontal="right" vertical="top" wrapText="1"/>
    </xf>
    <xf numFmtId="164" fontId="7" fillId="26" borderId="2" applyAlignment="1" pivotButton="0" quotePrefix="0" xfId="0">
      <alignment horizontal="right" vertical="top" wrapText="1"/>
    </xf>
    <xf numFmtId="164" fontId="6" fillId="28" borderId="2" applyAlignment="1" pivotButton="0" quotePrefix="0" xfId="0">
      <alignment horizontal="right" vertical="top" wrapText="1"/>
    </xf>
    <xf numFmtId="4" fontId="2" fillId="30" borderId="2" applyAlignment="1" pivotButton="0" quotePrefix="0" xfId="0">
      <alignment horizontal="right" vertical="center" wrapText="1"/>
    </xf>
    <xf numFmtId="167" fontId="7" fillId="31" borderId="2" applyAlignment="1" pivotButton="0" quotePrefix="0" xfId="0">
      <alignment horizontal="right" vertical="top" wrapText="1"/>
    </xf>
    <xf numFmtId="167" fontId="6" fillId="32" borderId="2" applyAlignment="1" pivotButton="0" quotePrefix="0" xfId="0">
      <alignment horizontal="right" vertical="top" wrapText="1"/>
    </xf>
    <xf numFmtId="168" fontId="3" fillId="34" borderId="2" applyAlignment="1" pivotButton="0" quotePrefix="0" xfId="0">
      <alignment horizontal="center" vertical="center" wrapText="1"/>
    </xf>
    <xf numFmtId="167" fontId="3" fillId="35" borderId="2" applyAlignment="1" pivotButton="0" quotePrefix="0" xfId="0">
      <alignment horizontal="right" vertical="center" wrapText="1"/>
    </xf>
    <xf numFmtId="167" fontId="2" fillId="37" borderId="2" applyAlignment="1" pivotButton="0" quotePrefix="0" xfId="0">
      <alignment horizontal="right" vertical="center" wrapText="1"/>
    </xf>
    <xf numFmtId="168" fontId="3" fillId="38" borderId="2" applyAlignment="1" pivotButton="0" quotePrefix="0" xfId="0">
      <alignment horizontal="right" vertical="center" wrapText="1"/>
    </xf>
    <xf numFmtId="169" fontId="3" fillId="40" borderId="2" applyAlignment="1" pivotButton="0" quotePrefix="0" xfId="0">
      <alignment horizontal="right" vertical="center" wrapText="1"/>
    </xf>
    <xf numFmtId="166" fontId="8" fillId="41" borderId="2" applyAlignment="1" pivotButton="0" quotePrefix="0" xfId="0">
      <alignment horizontal="right" vertical="top" wrapText="1"/>
    </xf>
    <xf numFmtId="164" fontId="8" fillId="42" borderId="2" applyAlignment="1" pivotButton="0" quotePrefix="0" xfId="0">
      <alignment horizontal="right" vertical="top" wrapText="1"/>
    </xf>
    <xf numFmtId="170" fontId="9" fillId="49" borderId="2" applyAlignment="1" pivotButton="0" quotePrefix="0" xfId="0">
      <alignment horizontal="right" vertical="top" wrapText="1"/>
    </xf>
    <xf numFmtId="4" fontId="9" fillId="50" borderId="2" applyAlignment="1" pivotButton="0" quotePrefix="0" xfId="0">
      <alignment horizontal="right" vertical="top" wrapText="1"/>
    </xf>
    <xf numFmtId="4" fontId="1" fillId="52" borderId="2" applyAlignment="1" pivotButton="0" quotePrefix="0" xfId="0">
      <alignment horizontal="right" vertical="top" wrapText="1"/>
    </xf>
    <xf numFmtId="4" fontId="10" fillId="54"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POSICOES!G18" TargetMode="External" Id="rId1" /><Relationship Type="http://schemas.openxmlformats.org/officeDocument/2006/relationships/hyperlink" Target="#COMPOSICOES!G30" TargetMode="External" Id="rId2" /><Relationship Type="http://schemas.openxmlformats.org/officeDocument/2006/relationships/hyperlink" Target="#COMPOSICOES!G41" TargetMode="External" Id="rId3" /><Relationship Type="http://schemas.openxmlformats.org/officeDocument/2006/relationships/hyperlink" Target="#COMPOSICOES!G50" TargetMode="External" Id="rId4" /><Relationship Type="http://schemas.openxmlformats.org/officeDocument/2006/relationships/hyperlink" Target="#COMPOSICOES!G58" TargetMode="External" Id="rId5" /><Relationship Type="http://schemas.openxmlformats.org/officeDocument/2006/relationships/hyperlink" Target="#COMPOSICOES!G99" TargetMode="External" Id="rId6" /><Relationship Type="http://schemas.openxmlformats.org/officeDocument/2006/relationships/hyperlink" Target="#COMPOSICOES!G107" TargetMode="External" Id="rId7" /><Relationship Type="http://schemas.openxmlformats.org/officeDocument/2006/relationships/hyperlink" Target="#COMPOSICOES!G115" TargetMode="External" Id="rId8" /><Relationship Type="http://schemas.openxmlformats.org/officeDocument/2006/relationships/hyperlink" Target="#COMPOSICOES!G127" TargetMode="External" Id="rId9" /><Relationship Type="http://schemas.openxmlformats.org/officeDocument/2006/relationships/hyperlink" Target="#COMPOSICOES!G153" TargetMode="External" Id="rId10" /><Relationship Type="http://schemas.openxmlformats.org/officeDocument/2006/relationships/hyperlink" Target="#COMPOSICOES!G185" TargetMode="External" Id="rId11" /><Relationship Type="http://schemas.openxmlformats.org/officeDocument/2006/relationships/hyperlink" Target="#COMPOSICOES!G240" TargetMode="External" Id="rId12" /><Relationship Type="http://schemas.openxmlformats.org/officeDocument/2006/relationships/hyperlink" Target="#COMPOSICOES!G286" TargetMode="External" Id="rId13" /><Relationship Type="http://schemas.openxmlformats.org/officeDocument/2006/relationships/hyperlink" Target="#COMPOSICOES!G304" TargetMode="External" Id="rId14" /><Relationship Type="http://schemas.openxmlformats.org/officeDocument/2006/relationships/hyperlink" Target="#COMPOSICOES!G326" TargetMode="External" Id="rId15" /><Relationship Type="http://schemas.openxmlformats.org/officeDocument/2006/relationships/hyperlink" Target="#COMPOSICOES!G338" TargetMode="External" Id="rId16" /><Relationship Type="http://schemas.openxmlformats.org/officeDocument/2006/relationships/hyperlink" Target="#COMPOSICOES!G351" TargetMode="External" Id="rId17" /><Relationship Type="http://schemas.openxmlformats.org/officeDocument/2006/relationships/hyperlink" Target="#COMPOSICOES!G364" TargetMode="External" Id="rId18" /><Relationship Type="http://schemas.openxmlformats.org/officeDocument/2006/relationships/hyperlink" Target="#COMPOSICOES!G387" TargetMode="External" Id="rId19" /><Relationship Type="http://schemas.openxmlformats.org/officeDocument/2006/relationships/hyperlink" Target="#COMPOSICOES!G402" TargetMode="External" Id="rId20" /><Relationship Type="http://schemas.openxmlformats.org/officeDocument/2006/relationships/hyperlink" Target="#COMPOSICOES!G410" TargetMode="External" Id="rId21" /><Relationship Type="http://schemas.openxmlformats.org/officeDocument/2006/relationships/hyperlink" Target="#COMPOSICOES!G418" TargetMode="External" Id="rId22" /><Relationship Type="http://schemas.openxmlformats.org/officeDocument/2006/relationships/hyperlink" Target="#COMPOSICOES!G426" TargetMode="External" Id="rId23" /><Relationship Type="http://schemas.openxmlformats.org/officeDocument/2006/relationships/hyperlink" Target="#COMPOSICOES!G435" TargetMode="External" Id="rId24" /><Relationship Type="http://schemas.openxmlformats.org/officeDocument/2006/relationships/hyperlink" Target="#COMPOSICOES!G443" TargetMode="External" Id="rId25" /><Relationship Type="http://schemas.openxmlformats.org/officeDocument/2006/relationships/hyperlink" Target="#COMPOSICOES!G456" TargetMode="External" Id="rId26" /><Relationship Type="http://schemas.openxmlformats.org/officeDocument/2006/relationships/hyperlink" Target="#COMPOSICOES!G464" TargetMode="External" Id="rId27" /><Relationship Type="http://schemas.openxmlformats.org/officeDocument/2006/relationships/hyperlink" Target="#COMPOSICOES!G472" TargetMode="External" Id="rId28" /><Relationship Type="http://schemas.openxmlformats.org/officeDocument/2006/relationships/hyperlink" Target="#COMPOSICOES!G483" TargetMode="External" Id="rId29" /><Relationship Type="http://schemas.openxmlformats.org/officeDocument/2006/relationships/hyperlink" Target="#COMPOSICOES!G495" TargetMode="External" Id="rId30" /><Relationship Type="http://schemas.openxmlformats.org/officeDocument/2006/relationships/hyperlink" Target="#COMPOSICOES!G511" TargetMode="External" Id="rId31" /><Relationship Type="http://schemas.openxmlformats.org/officeDocument/2006/relationships/hyperlink" Target="#COMPOSICOES!G527" TargetMode="External" Id="rId32" /><Relationship Type="http://schemas.openxmlformats.org/officeDocument/2006/relationships/hyperlink" Target="#COMPOSICOES!G543" TargetMode="External" Id="rId33" /><Relationship Type="http://schemas.openxmlformats.org/officeDocument/2006/relationships/hyperlink" Target="#COMPOSICOES!G559" TargetMode="External" Id="rId34" /><Relationship Type="http://schemas.openxmlformats.org/officeDocument/2006/relationships/hyperlink" Target="#COMPOSICOES!G575" TargetMode="External" Id="rId35" /><Relationship Type="http://schemas.openxmlformats.org/officeDocument/2006/relationships/hyperlink" Target="#COMPOSICOES!G591" TargetMode="External" Id="rId36" /><Relationship Type="http://schemas.openxmlformats.org/officeDocument/2006/relationships/hyperlink" Target="#COMPOSICOES!G607" TargetMode="External" Id="rId37" /><Relationship Type="http://schemas.openxmlformats.org/officeDocument/2006/relationships/hyperlink" Target="#COMPOSICOES!G628" TargetMode="External" Id="rId38" /><Relationship Type="http://schemas.openxmlformats.org/officeDocument/2006/relationships/hyperlink" Target="#COMPOSICOES!G649" TargetMode="External" Id="rId39" /><Relationship Type="http://schemas.openxmlformats.org/officeDocument/2006/relationships/hyperlink" Target="#COMPOSICOES!G665" TargetMode="External" Id="rId40" /><Relationship Type="http://schemas.openxmlformats.org/officeDocument/2006/relationships/hyperlink" Target="#COMPOSICOES!G681" TargetMode="External" Id="rId41" /><Relationship Type="http://schemas.openxmlformats.org/officeDocument/2006/relationships/hyperlink" Target="#COMPOSICOES!G693" TargetMode="External" Id="rId42" /><Relationship Type="http://schemas.openxmlformats.org/officeDocument/2006/relationships/hyperlink" Target="#COMPOSICOES!G709" TargetMode="External" Id="rId43" /><Relationship Type="http://schemas.openxmlformats.org/officeDocument/2006/relationships/hyperlink" Target="#COMPOSICOES!G725" TargetMode="External" Id="rId44" /><Relationship Type="http://schemas.openxmlformats.org/officeDocument/2006/relationships/hyperlink" Target="#COMPOSICOES!G741" TargetMode="External" Id="rId45" /><Relationship Type="http://schemas.openxmlformats.org/officeDocument/2006/relationships/hyperlink" Target="#COMPOSICOES!G757" TargetMode="External" Id="rId46" /><Relationship Type="http://schemas.openxmlformats.org/officeDocument/2006/relationships/hyperlink" Target="#COMPOSICOES!G773" TargetMode="External" Id="rId47" /><Relationship Type="http://schemas.openxmlformats.org/officeDocument/2006/relationships/hyperlink" Target="#COMPOSICOES!G789" TargetMode="External" Id="rId48" /><Relationship Type="http://schemas.openxmlformats.org/officeDocument/2006/relationships/hyperlink" Target="#COMPOSICOES!G805" TargetMode="External" Id="rId49" /><Relationship Type="http://schemas.openxmlformats.org/officeDocument/2006/relationships/hyperlink" Target="#COMPOSICOES!G821" TargetMode="External" Id="rId50" /><Relationship Type="http://schemas.openxmlformats.org/officeDocument/2006/relationships/hyperlink" Target="#COMPOSICOES!G837" TargetMode="External" Id="rId51" /><Relationship Type="http://schemas.openxmlformats.org/officeDocument/2006/relationships/hyperlink" Target="#COMPOSICOES!G853" TargetMode="External" Id="rId52" /><Relationship Type="http://schemas.openxmlformats.org/officeDocument/2006/relationships/hyperlink" Target="#COMPOSICOES!G869" TargetMode="External" Id="rId53" /><Relationship Type="http://schemas.openxmlformats.org/officeDocument/2006/relationships/hyperlink" Target="#COMPOSICOES!G884" TargetMode="External" Id="rId54" /><Relationship Type="http://schemas.openxmlformats.org/officeDocument/2006/relationships/hyperlink" Target="#COMPOSICOES!G900" TargetMode="External" Id="rId55" /><Relationship Type="http://schemas.openxmlformats.org/officeDocument/2006/relationships/hyperlink" Target="#COMPOSICOES!G919" TargetMode="External" Id="rId56" /><Relationship Type="http://schemas.openxmlformats.org/officeDocument/2006/relationships/hyperlink" Target="#COMPOSICOES!G938" TargetMode="External" Id="rId57" /><Relationship Type="http://schemas.openxmlformats.org/officeDocument/2006/relationships/hyperlink" Target="#COMPOSICOES!G954" TargetMode="External" Id="rId58" /><Relationship Type="http://schemas.openxmlformats.org/officeDocument/2006/relationships/hyperlink" Target="#COMPOSICOES!G970" TargetMode="External" Id="rId59" /><Relationship Type="http://schemas.openxmlformats.org/officeDocument/2006/relationships/hyperlink" Target="#COMPOSICOES!G987" TargetMode="External" Id="rId60" /><Relationship Type="http://schemas.openxmlformats.org/officeDocument/2006/relationships/hyperlink" Target="#COMPOSICOES!G1004" TargetMode="External" Id="rId61" /><Relationship Type="http://schemas.openxmlformats.org/officeDocument/2006/relationships/hyperlink" Target="#COMPOSICOES!G1012" TargetMode="External" Id="rId62" /><Relationship Type="http://schemas.openxmlformats.org/officeDocument/2006/relationships/hyperlink" Target="#COMPOSICOES!G1027" TargetMode="External" Id="rId63" /><Relationship Type="http://schemas.openxmlformats.org/officeDocument/2006/relationships/hyperlink" Target="#COMPOSICOES!G1042" TargetMode="External" Id="rId64" /><Relationship Type="http://schemas.openxmlformats.org/officeDocument/2006/relationships/hyperlink" Target="#COMPOSICOES!G1057" TargetMode="External" Id="rId65" /><Relationship Type="http://schemas.openxmlformats.org/officeDocument/2006/relationships/hyperlink" Target="#COMPOSICOES!G1074" TargetMode="External" Id="rId66" /><Relationship Type="http://schemas.openxmlformats.org/officeDocument/2006/relationships/hyperlink" Target="#COMPOSICOES!G1086" TargetMode="External" Id="rId67" /><Relationship Type="http://schemas.openxmlformats.org/officeDocument/2006/relationships/hyperlink" Target="#COMPOSICOES!G1097" TargetMode="External" Id="rId68" /><Relationship Type="http://schemas.openxmlformats.org/officeDocument/2006/relationships/hyperlink" Target="#COMPOSICOES!G1109" TargetMode="External" Id="rId69" /><Relationship Type="http://schemas.openxmlformats.org/officeDocument/2006/relationships/hyperlink" Target="#COMPOSICOES!G1124" TargetMode="External" Id="rId70" /><Relationship Type="http://schemas.openxmlformats.org/officeDocument/2006/relationships/hyperlink" Target="#COMPOSICOES!G1136" TargetMode="External" Id="rId71" /><Relationship Type="http://schemas.openxmlformats.org/officeDocument/2006/relationships/hyperlink" Target="#COMPOSICOES!G1155" TargetMode="External" Id="rId72" /><Relationship Type="http://schemas.openxmlformats.org/officeDocument/2006/relationships/hyperlink" Target="#COMPOSICOES!G1172" TargetMode="External" Id="rId73" /><Relationship Type="http://schemas.openxmlformats.org/officeDocument/2006/relationships/hyperlink" Target="#COMPOSICOES!G1189" TargetMode="External" Id="rId74" /><Relationship Type="http://schemas.openxmlformats.org/officeDocument/2006/relationships/hyperlink" Target="#COMPOSICOES!G1198" TargetMode="External" Id="rId75" /><Relationship Type="http://schemas.openxmlformats.org/officeDocument/2006/relationships/hyperlink" Target="#COMPOSICOES!G1207" TargetMode="External" Id="rId76" /><Relationship Type="http://schemas.openxmlformats.org/officeDocument/2006/relationships/hyperlink" Target="#COMPOSICOES!G1219" TargetMode="External" Id="rId77" /><Relationship Type="http://schemas.openxmlformats.org/officeDocument/2006/relationships/hyperlink" Target="#COMPOSICOES!G1231" TargetMode="External" Id="rId78" /><Relationship Type="http://schemas.openxmlformats.org/officeDocument/2006/relationships/hyperlink" Target="#COMPOSICOES!G1246" TargetMode="External" Id="rId79" /><Relationship Type="http://schemas.openxmlformats.org/officeDocument/2006/relationships/hyperlink" Target="#COMPOSICOES!G1254" TargetMode="External" Id="rId80" /><Relationship Type="http://schemas.openxmlformats.org/officeDocument/2006/relationships/hyperlink" Target="#COMPOSICOES!G1273" TargetMode="External" Id="rId81" /><Relationship Type="http://schemas.openxmlformats.org/officeDocument/2006/relationships/hyperlink" Target="#COMPOSICOES!G1287" TargetMode="External" Id="rId82" /><Relationship Type="http://schemas.openxmlformats.org/officeDocument/2006/relationships/hyperlink" Target="#COMPOSICOES!G1305" TargetMode="External" Id="rId83" /><Relationship Type="http://schemas.openxmlformats.org/officeDocument/2006/relationships/hyperlink" Target="#COMPOSICOES!G1322" TargetMode="External" Id="rId84" /><Relationship Type="http://schemas.openxmlformats.org/officeDocument/2006/relationships/hyperlink" Target="#COMPOSICOES!G1336" TargetMode="External" Id="rId85" /><Relationship Type="http://schemas.openxmlformats.org/officeDocument/2006/relationships/hyperlink" Target="#COMPOSICOES!G1349" TargetMode="External" Id="rId86" /><Relationship Type="http://schemas.openxmlformats.org/officeDocument/2006/relationships/hyperlink" Target="#COMPOSICOES!G1365" TargetMode="External" Id="rId87" /><Relationship Type="http://schemas.openxmlformats.org/officeDocument/2006/relationships/hyperlink" Target="#COMPOSICOES!G1378" TargetMode="External" Id="rId88" /><Relationship Type="http://schemas.openxmlformats.org/officeDocument/2006/relationships/hyperlink" Target="#COMPOSICOES!G1391" TargetMode="External" Id="rId89" /><Relationship Type="http://schemas.openxmlformats.org/officeDocument/2006/relationships/hyperlink" Target="#COMPOSICOES!G1403" TargetMode="External" Id="rId90" /><Relationship Type="http://schemas.openxmlformats.org/officeDocument/2006/relationships/hyperlink" Target="#COMPOSICOES!G1415" TargetMode="External" Id="rId91" /><Relationship Type="http://schemas.openxmlformats.org/officeDocument/2006/relationships/hyperlink" Target="#COMPOSICOES!G1428" TargetMode="External" Id="rId92" /><Relationship Type="http://schemas.openxmlformats.org/officeDocument/2006/relationships/hyperlink" Target="#COMPOSICOES!G1441" TargetMode="External" Id="rId93" /><Relationship Type="http://schemas.openxmlformats.org/officeDocument/2006/relationships/hyperlink" Target="#COMPOSICOES!G1454" TargetMode="External" Id="rId94" /><Relationship Type="http://schemas.openxmlformats.org/officeDocument/2006/relationships/hyperlink" Target="#COMPOSICOES!G1469" TargetMode="External" Id="rId95" /><Relationship Type="http://schemas.openxmlformats.org/officeDocument/2006/relationships/hyperlink" Target="#COMPOSICOES!G1484" TargetMode="External" Id="rId96" /><Relationship Type="http://schemas.openxmlformats.org/officeDocument/2006/relationships/hyperlink" Target="#COMPOSICOES!G1499" TargetMode="External" Id="rId97" /><Relationship Type="http://schemas.openxmlformats.org/officeDocument/2006/relationships/hyperlink" Target="#COMPOSICOES!G1512" TargetMode="External" Id="rId98" /><Relationship Type="http://schemas.openxmlformats.org/officeDocument/2006/relationships/hyperlink" Target="#COMPOSICOES!G1525" TargetMode="External" Id="rId99" /><Relationship Type="http://schemas.openxmlformats.org/officeDocument/2006/relationships/hyperlink" Target="#COMPOSICOES!G1538" TargetMode="External" Id="rId100" /><Relationship Type="http://schemas.openxmlformats.org/officeDocument/2006/relationships/hyperlink" Target="#COMPOSICOES!G1553" TargetMode="External" Id="rId101" /><Relationship Type="http://schemas.openxmlformats.org/officeDocument/2006/relationships/hyperlink" Target="#COMPOSICOES!G1568" TargetMode="External" Id="rId102" /><Relationship Type="http://schemas.openxmlformats.org/officeDocument/2006/relationships/hyperlink" Target="#COMPOSICOES!G1583" TargetMode="External" Id="rId103" /><Relationship Type="http://schemas.openxmlformats.org/officeDocument/2006/relationships/hyperlink" Target="#COMPOSICOES!G1598" TargetMode="External" Id="rId104" /><Relationship Type="http://schemas.openxmlformats.org/officeDocument/2006/relationships/hyperlink" Target="#COMPOSICOES!G1613" TargetMode="External" Id="rId105" /><Relationship Type="http://schemas.openxmlformats.org/officeDocument/2006/relationships/hyperlink" Target="#COMPOSICOES!G1628" TargetMode="External" Id="rId106" /><Relationship Type="http://schemas.openxmlformats.org/officeDocument/2006/relationships/hyperlink" Target="#COMPOSICOES!G1643" TargetMode="External" Id="rId107" /><Relationship Type="http://schemas.openxmlformats.org/officeDocument/2006/relationships/hyperlink" Target="#COMPOSICOES!G1658" TargetMode="External" Id="rId108" /><Relationship Type="http://schemas.openxmlformats.org/officeDocument/2006/relationships/hyperlink" Target="#COMPOSICOES!G1673" TargetMode="External" Id="rId109" /><Relationship Type="http://schemas.openxmlformats.org/officeDocument/2006/relationships/hyperlink" Target="#COMPOSICOES!G1688" TargetMode="External" Id="rId110" /><Relationship Type="http://schemas.openxmlformats.org/officeDocument/2006/relationships/hyperlink" Target="#COMPOSICOES!G1703" TargetMode="External" Id="rId111" /><Relationship Type="http://schemas.openxmlformats.org/officeDocument/2006/relationships/hyperlink" Target="#COMPOSICOES!G1718" TargetMode="External" Id="rId112" /><Relationship Type="http://schemas.openxmlformats.org/officeDocument/2006/relationships/hyperlink" Target="#COMPOSICOES!G1733" TargetMode="External" Id="rId113" /><Relationship Type="http://schemas.openxmlformats.org/officeDocument/2006/relationships/hyperlink" Target="#COMPOSICOES!G1746" TargetMode="External" Id="rId114" /><Relationship Type="http://schemas.openxmlformats.org/officeDocument/2006/relationships/hyperlink" Target="#COMPOSICOES!G1759" TargetMode="External" Id="rId115" /><Relationship Type="http://schemas.openxmlformats.org/officeDocument/2006/relationships/hyperlink" Target="#COMPOSICOES!G1772" TargetMode="External" Id="rId116" /><Relationship Type="http://schemas.openxmlformats.org/officeDocument/2006/relationships/hyperlink" Target="#COMPOSICOES!G1785" TargetMode="External" Id="rId117" /><Relationship Type="http://schemas.openxmlformats.org/officeDocument/2006/relationships/hyperlink" Target="#COMPOSICOES!G1800" TargetMode="External" Id="rId118" /><Relationship Type="http://schemas.openxmlformats.org/officeDocument/2006/relationships/hyperlink" Target="#COMPOSICOES!G1814" TargetMode="External" Id="rId119" /><Relationship Type="http://schemas.openxmlformats.org/officeDocument/2006/relationships/hyperlink" Target="#COMPOSICOES!G1828" TargetMode="External" Id="rId120" /><Relationship Type="http://schemas.openxmlformats.org/officeDocument/2006/relationships/hyperlink" Target="#COMPOSICOES!G1843" TargetMode="External" Id="rId121" /><Relationship Type="http://schemas.openxmlformats.org/officeDocument/2006/relationships/hyperlink" Target="#COMPOSICOES!G1857" TargetMode="External" Id="rId122" /><Relationship Type="http://schemas.openxmlformats.org/officeDocument/2006/relationships/hyperlink" Target="#COMPOSICOES!G1871" TargetMode="External" Id="rId123" /><Relationship Type="http://schemas.openxmlformats.org/officeDocument/2006/relationships/hyperlink" Target="#COMPOSICOES!G1885" TargetMode="External" Id="rId124" /><Relationship Type="http://schemas.openxmlformats.org/officeDocument/2006/relationships/hyperlink" Target="#COMPOSICOES!G1899" TargetMode="External" Id="rId125" /><Relationship Type="http://schemas.openxmlformats.org/officeDocument/2006/relationships/hyperlink" Target="#COMPOSICOES!G1913" TargetMode="External" Id="rId126" /><Relationship Type="http://schemas.openxmlformats.org/officeDocument/2006/relationships/hyperlink" Target="#COMPOSICOES!G1928" TargetMode="External" Id="rId127" /><Relationship Type="http://schemas.openxmlformats.org/officeDocument/2006/relationships/hyperlink" Target="#COMPOSICOES!G1942" TargetMode="External" Id="rId128" /><Relationship Type="http://schemas.openxmlformats.org/officeDocument/2006/relationships/hyperlink" Target="#COMPOSICOES!G1956" TargetMode="External" Id="rId129" /><Relationship Type="http://schemas.openxmlformats.org/officeDocument/2006/relationships/hyperlink" Target="#COMPOSICOES!G1971" TargetMode="External" Id="rId130" /><Relationship Type="http://schemas.openxmlformats.org/officeDocument/2006/relationships/hyperlink" Target="#COMPOSICOES!G1986" TargetMode="External" Id="rId131" /><Relationship Type="http://schemas.openxmlformats.org/officeDocument/2006/relationships/hyperlink" Target="#COMPOSICOES!G2001" TargetMode="External" Id="rId132" /><Relationship Type="http://schemas.openxmlformats.org/officeDocument/2006/relationships/hyperlink" Target="#COMPOSICOES!G2016" TargetMode="External" Id="rId133" /><Relationship Type="http://schemas.openxmlformats.org/officeDocument/2006/relationships/hyperlink" Target="#COMPOSICOES!G2031" TargetMode="External" Id="rId134" /><Relationship Type="http://schemas.openxmlformats.org/officeDocument/2006/relationships/hyperlink" Target="#COMPOSICOES!G2046" TargetMode="External" Id="rId135" /><Relationship Type="http://schemas.openxmlformats.org/officeDocument/2006/relationships/hyperlink" Target="#COMPOSICOES!G2061" TargetMode="External" Id="rId136" /><Relationship Type="http://schemas.openxmlformats.org/officeDocument/2006/relationships/hyperlink" Target="#COMPOSICOES!G2076" TargetMode="External" Id="rId137" /><Relationship Type="http://schemas.openxmlformats.org/officeDocument/2006/relationships/hyperlink" Target="#COMPOSICOES!G2091" TargetMode="External" Id="rId138" /><Relationship Type="http://schemas.openxmlformats.org/officeDocument/2006/relationships/hyperlink" Target="#COMPOSICOES!G2106" TargetMode="External" Id="rId139" /><Relationship Type="http://schemas.openxmlformats.org/officeDocument/2006/relationships/hyperlink" Target="#COMPOSICOES!G2121" TargetMode="External" Id="rId140" /><Relationship Type="http://schemas.openxmlformats.org/officeDocument/2006/relationships/hyperlink" Target="#COMPOSICOES!G2136" TargetMode="External" Id="rId141" /><Relationship Type="http://schemas.openxmlformats.org/officeDocument/2006/relationships/hyperlink" Target="#COMPOSICOES!G2151" TargetMode="External" Id="rId142" /><Relationship Type="http://schemas.openxmlformats.org/officeDocument/2006/relationships/hyperlink" Target="#COMPOSICOES!G2165" TargetMode="External" Id="rId143" /><Relationship Type="http://schemas.openxmlformats.org/officeDocument/2006/relationships/hyperlink" Target="#COMPOSICOES!G2179" TargetMode="External" Id="rId144" /><Relationship Type="http://schemas.openxmlformats.org/officeDocument/2006/relationships/hyperlink" Target="#COMPOSICOES!G2194" TargetMode="External" Id="rId145" /><Relationship Type="http://schemas.openxmlformats.org/officeDocument/2006/relationships/hyperlink" Target="#COMPOSICOES!G2209" TargetMode="External" Id="rId146" /><Relationship Type="http://schemas.openxmlformats.org/officeDocument/2006/relationships/hyperlink" Target="#COMPOSICOES!G2228" TargetMode="External" Id="rId147" /><Relationship Type="http://schemas.openxmlformats.org/officeDocument/2006/relationships/hyperlink" Target="#COMPOSICOES!G2241" TargetMode="External" Id="rId148" /><Relationship Type="http://schemas.openxmlformats.org/officeDocument/2006/relationships/hyperlink" Target="#COMPOSICOES!G2263" TargetMode="External" Id="rId149" /><Relationship Type="http://schemas.openxmlformats.org/officeDocument/2006/relationships/hyperlink" Target="#COMPOSICOES!G2287" TargetMode="External" Id="rId150" /><Relationship Type="http://schemas.openxmlformats.org/officeDocument/2006/relationships/hyperlink" Target="#COMPOSICOES!G2310" TargetMode="External" Id="rId151" /><Relationship Type="http://schemas.openxmlformats.org/officeDocument/2006/relationships/hyperlink" Target="#COMPOSICOES!G2318" TargetMode="External" Id="rId152" /><Relationship Type="http://schemas.openxmlformats.org/officeDocument/2006/relationships/hyperlink" Target="#COMPOSICOES!G2331" TargetMode="External" Id="rId153" /><Relationship Type="http://schemas.openxmlformats.org/officeDocument/2006/relationships/hyperlink" Target="#COMPOSICOES!G2342" TargetMode="External" Id="rId154" /><Relationship Type="http://schemas.openxmlformats.org/officeDocument/2006/relationships/hyperlink" Target="#COMPOSICOES!G2351" TargetMode="External" Id="rId155" /><Relationship Type="http://schemas.openxmlformats.org/officeDocument/2006/relationships/hyperlink" Target="#COMPOSICOES!G2359" TargetMode="External" Id="rId156" /><Relationship Type="http://schemas.openxmlformats.org/officeDocument/2006/relationships/hyperlink" Target="#COMPOSICOES!G2372" TargetMode="External" Id="rId157" /><Relationship Type="http://schemas.openxmlformats.org/officeDocument/2006/relationships/hyperlink" Target="#COMPOSICOES!G2390" TargetMode="External" Id="rId158" /><Relationship Type="http://schemas.openxmlformats.org/officeDocument/2006/relationships/hyperlink" Target="#COMPOSICOES!G2408" TargetMode="External" Id="rId159" /><Relationship Type="http://schemas.openxmlformats.org/officeDocument/2006/relationships/hyperlink" Target="#COMPOSICOES!G2422" TargetMode="External" Id="rId160" /><Relationship Type="http://schemas.openxmlformats.org/officeDocument/2006/relationships/hyperlink" Target="#COMPOSICOES!G2433" TargetMode="External" Id="rId161" /><Relationship Type="http://schemas.openxmlformats.org/officeDocument/2006/relationships/hyperlink" Target="#COMPOSICOES!G2445" TargetMode="External" Id="rId162" /><Relationship Type="http://schemas.openxmlformats.org/officeDocument/2006/relationships/hyperlink" Target="#COMPOSICOES!G2456" TargetMode="External" Id="rId163" /><Relationship Type="http://schemas.openxmlformats.org/officeDocument/2006/relationships/hyperlink" Target="#COMPOSICOES!G2469" TargetMode="External" Id="rId164" /><Relationship Type="http://schemas.openxmlformats.org/officeDocument/2006/relationships/hyperlink" Target="#COMPOSICOES!G2482" TargetMode="External" Id="rId165" /><Relationship Type="http://schemas.openxmlformats.org/officeDocument/2006/relationships/hyperlink" Target="#COMPOSICOES!G2494" TargetMode="External" Id="rId166" /><Relationship Type="http://schemas.openxmlformats.org/officeDocument/2006/relationships/hyperlink" Target="#COMPOSICOES!G2511" TargetMode="External" Id="rId167" /><Relationship Type="http://schemas.openxmlformats.org/officeDocument/2006/relationships/hyperlink" Target="#COMPOSICOES!G2528" TargetMode="External" Id="rId168" /><Relationship Type="http://schemas.openxmlformats.org/officeDocument/2006/relationships/hyperlink" Target="#COMPOSICOES!G2565" TargetMode="External" Id="rId169" /><Relationship Type="http://schemas.openxmlformats.org/officeDocument/2006/relationships/hyperlink" Target="#COMPOSICOES!G2578" TargetMode="External" Id="rId170" /><Relationship Type="http://schemas.openxmlformats.org/officeDocument/2006/relationships/hyperlink" Target="#COMPOSICOES!G2589" TargetMode="External" Id="rId171" /><Relationship Type="http://schemas.openxmlformats.org/officeDocument/2006/relationships/hyperlink" Target="#COMPOSICOES!G2600" TargetMode="External" Id="rId172" /><Relationship Type="http://schemas.openxmlformats.org/officeDocument/2006/relationships/hyperlink" Target="#COMPOSICOES!G2612" TargetMode="External" Id="rId173" /><Relationship Type="http://schemas.openxmlformats.org/officeDocument/2006/relationships/hyperlink" Target="#COMPOSICOES!G2624" TargetMode="External" Id="rId174" /><Relationship Type="http://schemas.openxmlformats.org/officeDocument/2006/relationships/hyperlink" Target="#COMPOSICOES!G2637" TargetMode="External" Id="rId175" /><Relationship Type="http://schemas.openxmlformats.org/officeDocument/2006/relationships/hyperlink" Target="#COMPOSICOES!G2660" TargetMode="External" Id="rId176" /><Relationship Type="http://schemas.openxmlformats.org/officeDocument/2006/relationships/hyperlink" Target="#COMPOSICOES!G2677" TargetMode="External" Id="rId177" /><Relationship Type="http://schemas.openxmlformats.org/officeDocument/2006/relationships/hyperlink" Target="#COMPOSICOES!G2692" TargetMode="External" Id="rId178" /><Relationship Type="http://schemas.openxmlformats.org/officeDocument/2006/relationships/hyperlink" Target="#COMPOSICOES!G2723" TargetMode="External" Id="rId179" /><Relationship Type="http://schemas.openxmlformats.org/officeDocument/2006/relationships/hyperlink" Target="#COMPOSICOES!G2738" TargetMode="External" Id="rId180" /><Relationship Type="http://schemas.openxmlformats.org/officeDocument/2006/relationships/hyperlink" Target="#COMPOSICOES!G2750" TargetMode="External" Id="rId181" /><Relationship Type="http://schemas.openxmlformats.org/officeDocument/2006/relationships/hyperlink" Target="#COMPOSICOES!G2762" TargetMode="External" Id="rId182" /><Relationship Type="http://schemas.openxmlformats.org/officeDocument/2006/relationships/hyperlink" Target="#COMPOSICOES!G2777" TargetMode="External" Id="rId183" /><Relationship Type="http://schemas.openxmlformats.org/officeDocument/2006/relationships/hyperlink" Target="#COMPOSICOES!G2789" TargetMode="External" Id="rId184" /><Relationship Type="http://schemas.openxmlformats.org/officeDocument/2006/relationships/hyperlink" Target="#COMPOSICOES!G2801" TargetMode="External" Id="rId185" /><Relationship Type="http://schemas.openxmlformats.org/officeDocument/2006/relationships/hyperlink" Target="#COMPOSICOES!G2813" TargetMode="External" Id="rId186" /><Relationship Type="http://schemas.openxmlformats.org/officeDocument/2006/relationships/hyperlink" Target="#COMPOSICOES!G2824" TargetMode="External" Id="rId187" /><Relationship Type="http://schemas.openxmlformats.org/officeDocument/2006/relationships/hyperlink" Target="#COMPOSICOES!G2836" TargetMode="External" Id="rId188" /><Relationship Type="http://schemas.openxmlformats.org/officeDocument/2006/relationships/hyperlink" Target="#COMPOSICOES!G2848" TargetMode="External" Id="rId189" /><Relationship Type="http://schemas.openxmlformats.org/officeDocument/2006/relationships/hyperlink" Target="#COMPOSICOES!G2860" TargetMode="External" Id="rId190" /><Relationship Type="http://schemas.openxmlformats.org/officeDocument/2006/relationships/hyperlink" Target="#COMPOSICOES!G2872" TargetMode="External" Id="rId191" /><Relationship Type="http://schemas.openxmlformats.org/officeDocument/2006/relationships/hyperlink" Target="#COMPOSICOES!G2881" TargetMode="External" Id="rId192" /><Relationship Type="http://schemas.openxmlformats.org/officeDocument/2006/relationships/hyperlink" Target="#COMPOSICOES!G2894" TargetMode="External" Id="rId193" /><Relationship Type="http://schemas.openxmlformats.org/officeDocument/2006/relationships/hyperlink" Target="#COMPOSICOES!G2907" TargetMode="External" Id="rId194" /><Relationship Type="http://schemas.openxmlformats.org/officeDocument/2006/relationships/hyperlink" Target="#COMPOSICOES!G2920" TargetMode="External" Id="rId195" /><Relationship Type="http://schemas.openxmlformats.org/officeDocument/2006/relationships/hyperlink" Target="#COMPOSICOES!G2933" TargetMode="External" Id="rId196" /><Relationship Type="http://schemas.openxmlformats.org/officeDocument/2006/relationships/hyperlink" Target="#COMPOSICOES!G2946" TargetMode="External" Id="rId197" /><Relationship Type="http://schemas.openxmlformats.org/officeDocument/2006/relationships/hyperlink" Target="#COMPOSICOES!G2959" TargetMode="External" Id="rId198" /><Relationship Type="http://schemas.openxmlformats.org/officeDocument/2006/relationships/hyperlink" Target="#COMPOSICOES!G2971" TargetMode="External" Id="rId199" /><Relationship Type="http://schemas.openxmlformats.org/officeDocument/2006/relationships/hyperlink" Target="#COMPOSICOES!G2984" TargetMode="External" Id="rId200" /><Relationship Type="http://schemas.openxmlformats.org/officeDocument/2006/relationships/hyperlink" Target="#COMPOSICOES!G2997" TargetMode="External" Id="rId201" /><Relationship Type="http://schemas.openxmlformats.org/officeDocument/2006/relationships/hyperlink" Target="#COMPOSICOES!G3009" TargetMode="External" Id="rId202" /><Relationship Type="http://schemas.openxmlformats.org/officeDocument/2006/relationships/hyperlink" Target="#COMPOSICOES!G3021" TargetMode="External" Id="rId203" /><Relationship Type="http://schemas.openxmlformats.org/officeDocument/2006/relationships/hyperlink" Target="#COMPOSICOES!G3033" TargetMode="External" Id="rId204" /><Relationship Type="http://schemas.openxmlformats.org/officeDocument/2006/relationships/hyperlink" Target="#COMPOSICOES!G3045" TargetMode="External" Id="rId205" /><Relationship Type="http://schemas.openxmlformats.org/officeDocument/2006/relationships/hyperlink" Target="#COMPOSICOES!G3057" TargetMode="External" Id="rId206" /><Relationship Type="http://schemas.openxmlformats.org/officeDocument/2006/relationships/hyperlink" Target="#COMPOSICOES!G3069" TargetMode="External" Id="rId207" /><Relationship Type="http://schemas.openxmlformats.org/officeDocument/2006/relationships/hyperlink" Target="#COMPOSICOES!G3081" TargetMode="External" Id="rId208" /><Relationship Type="http://schemas.openxmlformats.org/officeDocument/2006/relationships/hyperlink" Target="#COMPOSICOES!G3093" TargetMode="External" Id="rId209" /><Relationship Type="http://schemas.openxmlformats.org/officeDocument/2006/relationships/hyperlink" Target="#COMPOSICOES!G3105" TargetMode="External" Id="rId210" /><Relationship Type="http://schemas.openxmlformats.org/officeDocument/2006/relationships/hyperlink" Target="#COMPOSICOES!G3117" TargetMode="External" Id="rId211" /><Relationship Type="http://schemas.openxmlformats.org/officeDocument/2006/relationships/hyperlink" Target="#COMPOSICOES!G3129" TargetMode="External" Id="rId212" /><Relationship Type="http://schemas.openxmlformats.org/officeDocument/2006/relationships/hyperlink" Target="#COMPOSICOES!G3141" TargetMode="External" Id="rId213" /><Relationship Type="http://schemas.openxmlformats.org/officeDocument/2006/relationships/hyperlink" Target="#COMPOSICOES!G3153" TargetMode="External" Id="rId214" /><Relationship Type="http://schemas.openxmlformats.org/officeDocument/2006/relationships/hyperlink" Target="#COMPOSICOES!G3165" TargetMode="External" Id="rId215" /><Relationship Type="http://schemas.openxmlformats.org/officeDocument/2006/relationships/hyperlink" Target="#COMPOSICOES!G3177" TargetMode="External" Id="rId216" /><Relationship Type="http://schemas.openxmlformats.org/officeDocument/2006/relationships/hyperlink" Target="#COMPOSICOES!G3189" TargetMode="External" Id="rId217" /><Relationship Type="http://schemas.openxmlformats.org/officeDocument/2006/relationships/hyperlink" Target="#COMPOSICOES!G3202" TargetMode="External" Id="rId218" /><Relationship Type="http://schemas.openxmlformats.org/officeDocument/2006/relationships/hyperlink" Target="#COMPOSICOES!G3215" TargetMode="External" Id="rId219" /><Relationship Type="http://schemas.openxmlformats.org/officeDocument/2006/relationships/hyperlink" Target="#COMPOSICOES!G3228" TargetMode="External" Id="rId220" /><Relationship Type="http://schemas.openxmlformats.org/officeDocument/2006/relationships/hyperlink" Target="#COMPOSICOES!G3240" TargetMode="External" Id="rId221" /><Relationship Type="http://schemas.openxmlformats.org/officeDocument/2006/relationships/hyperlink" Target="#COMPOSICOES!G3252" TargetMode="External" Id="rId222" /><Relationship Type="http://schemas.openxmlformats.org/officeDocument/2006/relationships/hyperlink" Target="#COMPOSICOES!G3264" TargetMode="External" Id="rId223" /><Relationship Type="http://schemas.openxmlformats.org/officeDocument/2006/relationships/hyperlink" Target="#COMPOSICOES!G3277" TargetMode="External" Id="rId224" /><Relationship Type="http://schemas.openxmlformats.org/officeDocument/2006/relationships/hyperlink" Target="#COMPOSICOES!G3289" TargetMode="External" Id="rId225" /><Relationship Type="http://schemas.openxmlformats.org/officeDocument/2006/relationships/hyperlink" Target="#COMPOSICOES!G3304" TargetMode="External" Id="rId226" /><Relationship Type="http://schemas.openxmlformats.org/officeDocument/2006/relationships/hyperlink" Target="#COMPOSICOES!G3316" TargetMode="External" Id="rId227" /><Relationship Type="http://schemas.openxmlformats.org/officeDocument/2006/relationships/hyperlink" Target="#COMPOSICOES!G3328" TargetMode="External" Id="rId228" /><Relationship Type="http://schemas.openxmlformats.org/officeDocument/2006/relationships/hyperlink" Target="#COMPOSICOES!G3343" TargetMode="External" Id="rId229" /><Relationship Type="http://schemas.openxmlformats.org/officeDocument/2006/relationships/hyperlink" Target="#COMPOSICOES!G3358" TargetMode="External" Id="rId230" /><Relationship Type="http://schemas.openxmlformats.org/officeDocument/2006/relationships/hyperlink" Target="#COMPOSICOES!G3373" TargetMode="External" Id="rId231" /><Relationship Type="http://schemas.openxmlformats.org/officeDocument/2006/relationships/hyperlink" Target="#COMPOSICOES!G3388" TargetMode="External" Id="rId232" /><Relationship Type="http://schemas.openxmlformats.org/officeDocument/2006/relationships/hyperlink" Target="#COMPOSICOES!G3400" TargetMode="External" Id="rId233" /><Relationship Type="http://schemas.openxmlformats.org/officeDocument/2006/relationships/hyperlink" Target="#COMPOSICOES!G3412" TargetMode="External" Id="rId234" /><Relationship Type="http://schemas.openxmlformats.org/officeDocument/2006/relationships/hyperlink" Target="#COMPOSICOES!G3425" TargetMode="External" Id="rId235" /><Relationship Type="http://schemas.openxmlformats.org/officeDocument/2006/relationships/hyperlink" Target="#COMPOSICOES!G3438" TargetMode="External" Id="rId236" /><Relationship Type="http://schemas.openxmlformats.org/officeDocument/2006/relationships/hyperlink" Target="#COMPOSICOES!G3451" TargetMode="External" Id="rId237" /><Relationship Type="http://schemas.openxmlformats.org/officeDocument/2006/relationships/hyperlink" Target="#COMPOSICOES!G3464" TargetMode="External" Id="rId238" /><Relationship Type="http://schemas.openxmlformats.org/officeDocument/2006/relationships/hyperlink" Target="#COMPOSICOES!G3477" TargetMode="External" Id="rId239" /><Relationship Type="http://schemas.openxmlformats.org/officeDocument/2006/relationships/hyperlink" Target="#COMPOSICOES!G3490" TargetMode="External" Id="rId240" /><Relationship Type="http://schemas.openxmlformats.org/officeDocument/2006/relationships/hyperlink" Target="#COMPOSICOES!G3503" TargetMode="External" Id="rId241" /><Relationship Type="http://schemas.openxmlformats.org/officeDocument/2006/relationships/hyperlink" Target="#COMPOSICOES!G3515" TargetMode="External" Id="rId242" /><Relationship Type="http://schemas.openxmlformats.org/officeDocument/2006/relationships/hyperlink" Target="#COMPOSICOES!G3534" TargetMode="External" Id="rId243" /><Relationship Type="http://schemas.openxmlformats.org/officeDocument/2006/relationships/hyperlink" Target="#COMPOSICOES!G3547" TargetMode="External" Id="rId244" /><Relationship Type="http://schemas.openxmlformats.org/officeDocument/2006/relationships/hyperlink" Target="#COMPOSICOES!G3576" TargetMode="External" Id="rId245" /><Relationship Type="http://schemas.openxmlformats.org/officeDocument/2006/relationships/hyperlink" Target="#COMPOSICOES!G3588" TargetMode="External" Id="rId246" /><Relationship Type="http://schemas.openxmlformats.org/officeDocument/2006/relationships/hyperlink" Target="#COMPOSICOES!G3600" TargetMode="External" Id="rId247" /><Relationship Type="http://schemas.openxmlformats.org/officeDocument/2006/relationships/hyperlink" Target="#COMPOSICOES!G3613" TargetMode="External" Id="rId248" /><Relationship Type="http://schemas.openxmlformats.org/officeDocument/2006/relationships/hyperlink" Target="#COMPOSICOES!G3626" TargetMode="External" Id="rId249" /><Relationship Type="http://schemas.openxmlformats.org/officeDocument/2006/relationships/hyperlink" Target="#COMPOSICOES!G3639" TargetMode="External" Id="rId250" /><Relationship Type="http://schemas.openxmlformats.org/officeDocument/2006/relationships/hyperlink" Target="#COMPOSICOES!G3652" TargetMode="External" Id="rId251" /><Relationship Type="http://schemas.openxmlformats.org/officeDocument/2006/relationships/hyperlink" Target="#COMPOSICOES!G3664" TargetMode="External" Id="rId252" /><Relationship Type="http://schemas.openxmlformats.org/officeDocument/2006/relationships/hyperlink" Target="#COMPOSICOES!G3676" TargetMode="External" Id="rId253" /><Relationship Type="http://schemas.openxmlformats.org/officeDocument/2006/relationships/hyperlink" Target="#COMPOSICOES!G3689" TargetMode="External" Id="rId254" /><Relationship Type="http://schemas.openxmlformats.org/officeDocument/2006/relationships/hyperlink" Target="#COMPOSICOES!G3702" TargetMode="External" Id="rId255" /><Relationship Type="http://schemas.openxmlformats.org/officeDocument/2006/relationships/hyperlink" Target="#COMPOSICOES!G3715" TargetMode="External" Id="rId256" /><Relationship Type="http://schemas.openxmlformats.org/officeDocument/2006/relationships/hyperlink" Target="#COMPOSICOES!G3728" TargetMode="External" Id="rId257" /><Relationship Type="http://schemas.openxmlformats.org/officeDocument/2006/relationships/hyperlink" Target="#COMPOSICOES!G3740" TargetMode="External" Id="rId258" /><Relationship Type="http://schemas.openxmlformats.org/officeDocument/2006/relationships/hyperlink" Target="#COMPOSICOES!G3753" TargetMode="External" Id="rId259" /><Relationship Type="http://schemas.openxmlformats.org/officeDocument/2006/relationships/hyperlink" Target="#COMPOSICOES!G3768" TargetMode="External" Id="rId260" /><Relationship Type="http://schemas.openxmlformats.org/officeDocument/2006/relationships/hyperlink" Target="#COMPOSICOES!G3783" TargetMode="External" Id="rId261" /><Relationship Type="http://schemas.openxmlformats.org/officeDocument/2006/relationships/hyperlink" Target="#COMPOSICOES!G3792" TargetMode="External" Id="rId262" /><Relationship Type="http://schemas.openxmlformats.org/officeDocument/2006/relationships/hyperlink" Target="#COMPOSICOES!G3811" TargetMode="External" Id="rId263" /><Relationship Type="http://schemas.openxmlformats.org/officeDocument/2006/relationships/hyperlink" Target="#COMPOSICOES!G3830" TargetMode="External" Id="rId264" /><Relationship Type="http://schemas.openxmlformats.org/officeDocument/2006/relationships/hyperlink" Target="#COMPOSICOES!G3849" TargetMode="External" Id="rId265" /><Relationship Type="http://schemas.openxmlformats.org/officeDocument/2006/relationships/hyperlink" Target="#COMPOSICOES!G3868" TargetMode="External" Id="rId266" /><Relationship Type="http://schemas.openxmlformats.org/officeDocument/2006/relationships/hyperlink" Target="#COMPOSICOES!G3880" TargetMode="External" Id="rId267" /><Relationship Type="http://schemas.openxmlformats.org/officeDocument/2006/relationships/hyperlink" Target="#COMPOSICOES!G3888" TargetMode="External" Id="rId268" /><Relationship Type="http://schemas.openxmlformats.org/officeDocument/2006/relationships/hyperlink" Target="#COMPOSICOES!G3897" TargetMode="External" Id="rId269" /><Relationship Type="http://schemas.openxmlformats.org/officeDocument/2006/relationships/hyperlink" Target="#COMPOSICOES!G3906" TargetMode="External" Id="rId270" /><Relationship Type="http://schemas.openxmlformats.org/officeDocument/2006/relationships/hyperlink" Target="#COMPOSICOES!G3919" TargetMode="External" Id="rId271" /><Relationship Type="http://schemas.openxmlformats.org/officeDocument/2006/relationships/hyperlink" Target="#COMPOSICOES!G3933" TargetMode="External" Id="rId272" /><Relationship Type="http://schemas.openxmlformats.org/officeDocument/2006/relationships/hyperlink" Target="#COMPOSICOES!G3947" TargetMode="External" Id="rId273" /><Relationship Type="http://schemas.openxmlformats.org/officeDocument/2006/relationships/hyperlink" Target="#COMPOSICOES!G3961" TargetMode="External" Id="rId274" /><Relationship Type="http://schemas.openxmlformats.org/officeDocument/2006/relationships/hyperlink" Target="#COMPOSICOES!G3975" TargetMode="External" Id="rId275" /><Relationship Type="http://schemas.openxmlformats.org/officeDocument/2006/relationships/hyperlink" Target="#COMPOSICOES!G3984" TargetMode="External" Id="rId276" /><Relationship Type="http://schemas.openxmlformats.org/officeDocument/2006/relationships/hyperlink" Target="#COMPOSICOES!G3993" TargetMode="External" Id="rId277" /><Relationship Type="http://schemas.openxmlformats.org/officeDocument/2006/relationships/hyperlink" Target="#COMPOSICOES!G4005" TargetMode="External" Id="rId278" /><Relationship Type="http://schemas.openxmlformats.org/officeDocument/2006/relationships/hyperlink" Target="#COMPOSICOES!G4017" TargetMode="External" Id="rId279" /><Relationship Type="http://schemas.openxmlformats.org/officeDocument/2006/relationships/hyperlink" Target="#COMPOSICOES!G4032" TargetMode="External" Id="rId280" /><Relationship Type="http://schemas.openxmlformats.org/officeDocument/2006/relationships/hyperlink" Target="#COMPOSICOES!G4044" TargetMode="External" Id="rId281" /><Relationship Type="http://schemas.openxmlformats.org/officeDocument/2006/relationships/hyperlink" Target="#COMPOSICOES!G4059" TargetMode="External" Id="rId282" /><Relationship Type="http://schemas.openxmlformats.org/officeDocument/2006/relationships/hyperlink" Target="#COMPOSICOES!G4073" TargetMode="External" Id="rId283" /><Relationship Type="http://schemas.openxmlformats.org/officeDocument/2006/relationships/hyperlink" Target="#COMPOSICOES!G4088" TargetMode="External" Id="rId284" /><Relationship Type="http://schemas.openxmlformats.org/officeDocument/2006/relationships/hyperlink" Target="#COMPOSICOES!G4106" TargetMode="External" Id="rId285" /><Relationship Type="http://schemas.openxmlformats.org/officeDocument/2006/relationships/hyperlink" Target="#COMPOSICOES!G4125" TargetMode="External" Id="rId286" /><Relationship Type="http://schemas.openxmlformats.org/officeDocument/2006/relationships/hyperlink" Target="#COMPOSICOES!G4139" TargetMode="External" Id="rId287" /><Relationship Type="http://schemas.openxmlformats.org/officeDocument/2006/relationships/hyperlink" Target="#COMPOSICOES!G4161" TargetMode="External" Id="rId288" /><Relationship Type="http://schemas.openxmlformats.org/officeDocument/2006/relationships/hyperlink" Target="#COMPOSICOES!G4174" TargetMode="External" Id="rId289" /><Relationship Type="http://schemas.openxmlformats.org/officeDocument/2006/relationships/hyperlink" Target="#COMPOSICOES!G4186" TargetMode="External" Id="rId290" /><Relationship Type="http://schemas.openxmlformats.org/officeDocument/2006/relationships/hyperlink" Target="#COMPOSICOES!G4201" TargetMode="External" Id="rId291" /><Relationship Type="http://schemas.openxmlformats.org/officeDocument/2006/relationships/hyperlink" Target="#COMPOSICOES!G4216" TargetMode="External" Id="rId292" /><Relationship Type="http://schemas.openxmlformats.org/officeDocument/2006/relationships/hyperlink" Target="#COMPOSICOES!G4231" TargetMode="External" Id="rId293" /><Relationship Type="http://schemas.openxmlformats.org/officeDocument/2006/relationships/hyperlink" Target="#COMPOSICOES!G4248" TargetMode="External" Id="rId294" /><Relationship Type="http://schemas.openxmlformats.org/officeDocument/2006/relationships/hyperlink" Target="#COMPOSICOES!G4261" TargetMode="External" Id="rId295" /><Relationship Type="http://schemas.openxmlformats.org/officeDocument/2006/relationships/hyperlink" Target="#COMPOSICOES!G4274" TargetMode="External" Id="rId296" /><Relationship Type="http://schemas.openxmlformats.org/officeDocument/2006/relationships/hyperlink" Target="#COMPOSICOES!G4286" TargetMode="External" Id="rId297" /><Relationship Type="http://schemas.openxmlformats.org/officeDocument/2006/relationships/hyperlink" Target="#COMPOSICOES!G4299" TargetMode="External" Id="rId298" /><Relationship Type="http://schemas.openxmlformats.org/officeDocument/2006/relationships/hyperlink" Target="#COMPOSICOES!G4312" TargetMode="External" Id="rId299" /><Relationship Type="http://schemas.openxmlformats.org/officeDocument/2006/relationships/hyperlink" Target="#COMPOSICOES!G4325" TargetMode="External" Id="rId300" /><Relationship Type="http://schemas.openxmlformats.org/officeDocument/2006/relationships/hyperlink" Target="#COMPOSICOES!G4337" TargetMode="External" Id="rId301" /><Relationship Type="http://schemas.openxmlformats.org/officeDocument/2006/relationships/hyperlink" Target="#COMPOSICOES!G4346" TargetMode="External" Id="rId302" /><Relationship Type="http://schemas.openxmlformats.org/officeDocument/2006/relationships/hyperlink" Target="#COMPOSICOES!G4365" TargetMode="External" Id="rId303" /><Relationship Type="http://schemas.openxmlformats.org/officeDocument/2006/relationships/hyperlink" Target="#COMPOSICOES!G4381" TargetMode="External" Id="rId304" /><Relationship Type="http://schemas.openxmlformats.org/officeDocument/2006/relationships/hyperlink" Target="#COMPOSICOES!G4398" TargetMode="External" Id="rId305" /><Relationship Type="http://schemas.openxmlformats.org/officeDocument/2006/relationships/hyperlink" Target="#COMPOSICOES!G4411" TargetMode="External" Id="rId306" /><Relationship Type="http://schemas.openxmlformats.org/officeDocument/2006/relationships/hyperlink" Target="#COMPOSICOES!G4424" TargetMode="External" Id="rId307" /><Relationship Type="http://schemas.openxmlformats.org/officeDocument/2006/relationships/hyperlink" Target="#COMPOSICOES!G4437" TargetMode="External" Id="rId308" /><Relationship Type="http://schemas.openxmlformats.org/officeDocument/2006/relationships/hyperlink" Target="#COMPOSICOES!G4450" TargetMode="External" Id="rId309" /><Relationship Type="http://schemas.openxmlformats.org/officeDocument/2006/relationships/hyperlink" Target="#COMPOSICOES!G4463" TargetMode="External" Id="rId310" /><Relationship Type="http://schemas.openxmlformats.org/officeDocument/2006/relationships/hyperlink" Target="#COMPOSICOES!G4476" TargetMode="External" Id="rId311" /><Relationship Type="http://schemas.openxmlformats.org/officeDocument/2006/relationships/hyperlink" Target="#COMPOSICOES!G4489" TargetMode="External" Id="rId312" /><Relationship Type="http://schemas.openxmlformats.org/officeDocument/2006/relationships/hyperlink" Target="#COMPOSICOES!G4501" TargetMode="External" Id="rId313" /><Relationship Type="http://schemas.openxmlformats.org/officeDocument/2006/relationships/hyperlink" Target="#COMPOSICOES!G4513" TargetMode="External" Id="rId314" /><Relationship Type="http://schemas.openxmlformats.org/officeDocument/2006/relationships/hyperlink" Target="#COMPOSICOES!G4522" TargetMode="External" Id="rId315" /><Relationship Type="http://schemas.openxmlformats.org/officeDocument/2006/relationships/hyperlink" Target="#COMPOSICOES!G4531" TargetMode="External" Id="rId316" /><Relationship Type="http://schemas.openxmlformats.org/officeDocument/2006/relationships/hyperlink" Target="#COMPOSICOES!G4540" TargetMode="External" Id="rId317" /><Relationship Type="http://schemas.openxmlformats.org/officeDocument/2006/relationships/hyperlink" Target="#COMPOSICOES!G4549" TargetMode="External" Id="rId318" /><Relationship Type="http://schemas.openxmlformats.org/officeDocument/2006/relationships/hyperlink" Target="#COMPOSICOES!G4558" TargetMode="External" Id="rId319" /><Relationship Type="http://schemas.openxmlformats.org/officeDocument/2006/relationships/hyperlink" Target="#COMPOSICOES!G4567" TargetMode="External" Id="rId320" /><Relationship Type="http://schemas.openxmlformats.org/officeDocument/2006/relationships/hyperlink" Target="#COMPOSICOES!G4576" TargetMode="External" Id="rId321" /><Relationship Type="http://schemas.openxmlformats.org/officeDocument/2006/relationships/hyperlink" Target="#COMPOSICOES!G4585" TargetMode="External" Id="rId322" /><Relationship Type="http://schemas.openxmlformats.org/officeDocument/2006/relationships/hyperlink" Target="#COMPOSICOES!G4594" TargetMode="External" Id="rId323" /><Relationship Type="http://schemas.openxmlformats.org/officeDocument/2006/relationships/hyperlink" Target="#COMPOSICOES!G4606" TargetMode="External" Id="rId324" /><Relationship Type="http://schemas.openxmlformats.org/officeDocument/2006/relationships/hyperlink" Target="#COMPOSICOES!G4619" TargetMode="External" Id="rId325" /><Relationship Type="http://schemas.openxmlformats.org/officeDocument/2006/relationships/hyperlink" Target="#COMPOSICOES!G4631" TargetMode="External" Id="rId326" /><Relationship Type="http://schemas.openxmlformats.org/officeDocument/2006/relationships/hyperlink" Target="#COMPOSICOES!G4643" TargetMode="External" Id="rId327" /><Relationship Type="http://schemas.openxmlformats.org/officeDocument/2006/relationships/hyperlink" Target="#COMPOSICOES!G4652" TargetMode="External" Id="rId328" /><Relationship Type="http://schemas.openxmlformats.org/officeDocument/2006/relationships/hyperlink" Target="#COMPOSICOES!G4661" TargetMode="External" Id="rId329" /><Relationship Type="http://schemas.openxmlformats.org/officeDocument/2006/relationships/hyperlink" Target="#COMPOSICOES!G4670" TargetMode="External" Id="rId330" /><Relationship Type="http://schemas.openxmlformats.org/officeDocument/2006/relationships/hyperlink" Target="#COMPOSICOES!G4684" TargetMode="External" Id="rId331" /><Relationship Type="http://schemas.openxmlformats.org/officeDocument/2006/relationships/hyperlink" Target="#COMPOSICOES!G4697" TargetMode="External" Id="rId332" /><Relationship Type="http://schemas.openxmlformats.org/officeDocument/2006/relationships/hyperlink" Target="#COMPOSICOES!G4711" TargetMode="External" Id="rId333" /><Relationship Type="http://schemas.openxmlformats.org/officeDocument/2006/relationships/hyperlink" Target="#COMPOSICOES!G4724" TargetMode="External" Id="rId334" /><Relationship Type="http://schemas.openxmlformats.org/officeDocument/2006/relationships/hyperlink" Target="#COMPOSICOES!G4736" TargetMode="External" Id="rId335" /><Relationship Type="http://schemas.openxmlformats.org/officeDocument/2006/relationships/hyperlink" Target="#COMPOSICOES!G4749" TargetMode="External" Id="rId336" /><Relationship Type="http://schemas.openxmlformats.org/officeDocument/2006/relationships/hyperlink" Target="#COMPOSICOES!G4761" TargetMode="External" Id="rId337" /><Relationship Type="http://schemas.openxmlformats.org/officeDocument/2006/relationships/hyperlink" Target="#COMPOSICOES!G4773" TargetMode="External" Id="rId338" /><Relationship Type="http://schemas.openxmlformats.org/officeDocument/2006/relationships/hyperlink" Target="#COMPOSICOES!G4786" TargetMode="External" Id="rId339" /><Relationship Type="http://schemas.openxmlformats.org/officeDocument/2006/relationships/hyperlink" Target="#COMPOSICOES!G4798" TargetMode="External" Id="rId340" /><Relationship Type="http://schemas.openxmlformats.org/officeDocument/2006/relationships/hyperlink" Target="#COMPOSICOES!G4814" TargetMode="External" Id="rId341" /><Relationship Type="http://schemas.openxmlformats.org/officeDocument/2006/relationships/hyperlink" Target="#COMPOSICOES!G4829" TargetMode="External" Id="rId342" /><Relationship Type="http://schemas.openxmlformats.org/officeDocument/2006/relationships/hyperlink" Target="#COMPOSICOES!G4838" TargetMode="External" Id="rId343" /><Relationship Type="http://schemas.openxmlformats.org/officeDocument/2006/relationships/hyperlink" Target="#COMPOSICOES!G4856" TargetMode="External" Id="rId344" /><Relationship Type="http://schemas.openxmlformats.org/officeDocument/2006/relationships/hyperlink" Target="#COMPOSICOES!G4869" TargetMode="External" Id="rId345" /><Relationship Type="http://schemas.openxmlformats.org/officeDocument/2006/relationships/hyperlink" Target="#COMPOSICOES!G4882" TargetMode="External" Id="rId346" /><Relationship Type="http://schemas.openxmlformats.org/officeDocument/2006/relationships/hyperlink" Target="#COMPOSICOES!G4890" TargetMode="External" Id="rId347" /><Relationship Type="http://schemas.openxmlformats.org/officeDocument/2006/relationships/hyperlink" Target="#COMPOSICOES!G4902" TargetMode="External" Id="rId348" /><Relationship Type="http://schemas.openxmlformats.org/officeDocument/2006/relationships/hyperlink" Target="#COMPOSICOES!G4913" TargetMode="External" Id="rId349" /><Relationship Type="http://schemas.openxmlformats.org/officeDocument/2006/relationships/hyperlink" Target="#COMPOSICOES!G4925" TargetMode="External" Id="rId350" /><Relationship Type="http://schemas.openxmlformats.org/officeDocument/2006/relationships/hyperlink" Target="#COMPOSICOES!G4937" TargetMode="External" Id="rId351" /><Relationship Type="http://schemas.openxmlformats.org/officeDocument/2006/relationships/hyperlink" Target="#COMPOSICOES!G4949" TargetMode="External" Id="rId352" /><Relationship Type="http://schemas.openxmlformats.org/officeDocument/2006/relationships/hyperlink" Target="#COMPOSICOES!G4961" TargetMode="External" Id="rId353" /><Relationship Type="http://schemas.openxmlformats.org/officeDocument/2006/relationships/hyperlink" Target="#COMPOSICOES!G4972" TargetMode="External" Id="rId354" /><Relationship Type="http://schemas.openxmlformats.org/officeDocument/2006/relationships/hyperlink" Target="#COMPOSICOES!G4983" TargetMode="External" Id="rId355" /><Relationship Type="http://schemas.openxmlformats.org/officeDocument/2006/relationships/hyperlink" Target="#COMPOSICOES!G4991" TargetMode="External" Id="rId356" /><Relationship Type="http://schemas.openxmlformats.org/officeDocument/2006/relationships/hyperlink" Target="#COMPOSICOES!G4999" TargetMode="External" Id="rId357" /><Relationship Type="http://schemas.openxmlformats.org/officeDocument/2006/relationships/hyperlink" Target="#COMPOSICOES!G5014" TargetMode="External" Id="rId358" /><Relationship Type="http://schemas.openxmlformats.org/officeDocument/2006/relationships/hyperlink" Target="#COMPOSICOES!G5026" TargetMode="External" Id="rId359" /><Relationship Type="http://schemas.openxmlformats.org/officeDocument/2006/relationships/hyperlink" Target="#COMPOSICOES!G5034" TargetMode="External" Id="rId360" /><Relationship Type="http://schemas.openxmlformats.org/officeDocument/2006/relationships/hyperlink" Target="#COMPOSICOES!G5042" TargetMode="External" Id="rId361" /><Relationship Type="http://schemas.openxmlformats.org/officeDocument/2006/relationships/hyperlink" Target="#COMPOSICOES!G5069" TargetMode="External" Id="rId362" /><Relationship Type="http://schemas.openxmlformats.org/officeDocument/2006/relationships/hyperlink" Target="#COMPOSICOES!G5092" TargetMode="External" Id="rId363" /><Relationship Type="http://schemas.openxmlformats.org/officeDocument/2006/relationships/hyperlink" Target="#COMPOSICOES!G5105" TargetMode="External" Id="rId364" /><Relationship Type="http://schemas.openxmlformats.org/officeDocument/2006/relationships/hyperlink" Target="#COMPOSICOES!G5123" TargetMode="External" Id="rId365" /></Relationships>
</file>

<file path=xl/worksheets/sheet1.xml><?xml version="1.0" encoding="utf-8"?>
<worksheet xmlns="http://schemas.openxmlformats.org/spreadsheetml/2006/main">
  <sheetPr>
    <outlinePr summaryBelow="0"/>
    <pageSetUpPr/>
  </sheetPr>
  <dimension ref="A1:L595"/>
  <sheetViews>
    <sheetView workbookViewId="0">
      <selection activeCell="A1" sqref="A1"/>
    </sheetView>
  </sheetViews>
  <sheetFormatPr baseColWidth="8" defaultRowHeight="15"/>
  <cols>
    <col width="9.333333" customWidth="1" min="1" max="1"/>
    <col width="10.333333" customWidth="1" min="2" max="2"/>
    <col width="42.666668" bestFit="1" customWidth="1" min="3" max="3"/>
    <col width="9.333333" customWidth="1" min="4" max="4"/>
    <col width="8.333333" customWidth="1" min="5" max="5"/>
    <col width="10.333333" customWidth="1" min="6" max="6"/>
    <col width="12.5" customWidth="1" min="7" max="7"/>
    <col width="12.5" customWidth="1" min="8" max="8"/>
  </cols>
  <sheetData>
    <row r="1" ht="122" customHeight="1">
      <c r="A1" s="1" t="inlineStr"/>
      <c r="B1" s="54" t="n"/>
      <c r="C1" s="54" t="n"/>
      <c r="D1" s="54" t="n"/>
      <c r="E1" s="54" t="n"/>
      <c r="F1" s="54" t="n"/>
      <c r="G1" s="54" t="n"/>
      <c r="H1" s="54" t="n"/>
    </row>
    <row r="2" ht="10" customHeight="1">
      <c r="A2" s="2" t="inlineStr"/>
      <c r="B2" s="3" t="inlineStr">
        <is>
          <t>
</t>
        </is>
      </c>
      <c r="H2" s="2" t="inlineStr"/>
    </row>
    <row r="3" ht="22" customHeight="1">
      <c r="A3" s="4" t="inlineStr">
        <is>
          <t>ITEM</t>
        </is>
      </c>
      <c r="B3" s="4" t="inlineStr">
        <is>
          <t>CÓDIGO</t>
        </is>
      </c>
      <c r="C3" s="4" t="inlineStr">
        <is>
          <t>DESCRIÇÃO</t>
        </is>
      </c>
      <c r="D3" s="4" t="inlineStr">
        <is>
          <t>FONTE</t>
        </is>
      </c>
      <c r="E3" s="4" t="inlineStr">
        <is>
          <t>UND</t>
        </is>
      </c>
      <c r="F3" s="4" t="inlineStr">
        <is>
          <t>QUANTIDADE</t>
        </is>
      </c>
      <c r="G3" s="4" t="inlineStr">
        <is>
          <t>PREÇO
UNITÁRIO R$</t>
        </is>
      </c>
      <c r="H3" s="4" t="inlineStr">
        <is>
          <t>PREÇO
TOTAL R$</t>
        </is>
      </c>
      <c r="K3" t="inlineStr">
        <is>
          <t>PREÇO
UNITÁRIO R$</t>
        </is>
      </c>
    </row>
    <row r="4" ht="20" customHeight="1">
      <c r="A4" s="5" t="inlineStr">
        <is>
          <t>1</t>
        </is>
      </c>
      <c r="B4" s="5" t="inlineStr">
        <is>
          <t>ADMINISTRAÇÃO LOCAL DA OBRA</t>
        </is>
      </c>
      <c r="C4" s="55" t="n"/>
      <c r="D4" s="55" t="n"/>
      <c r="E4" s="55" t="n"/>
      <c r="F4" s="55" t="n"/>
      <c r="G4" s="56" t="n"/>
      <c r="H4" s="57">
        <f>ROUND(SUM(H5:H5),2)</f>
        <v/>
      </c>
    </row>
    <row r="5" ht="24" customHeight="1">
      <c r="A5" s="7" t="inlineStr">
        <is>
          <t>1.1</t>
        </is>
      </c>
      <c r="B5" s="8" t="inlineStr">
        <is>
          <t>CXXXX</t>
        </is>
      </c>
      <c r="C5" s="9" t="inlineStr">
        <is>
          <t>ADMINISTRAÇÃO LOCAL DA OBRA - SEM DESONERAÇÃO, ENCARGOS SOCIAISINCORPORADOS NO PREÇO UNITÁRIO</t>
        </is>
      </c>
      <c r="D5" s="8" t="inlineStr"/>
      <c r="E5" s="8" t="inlineStr">
        <is>
          <t>%</t>
        </is>
      </c>
      <c r="F5" s="58" t="n">
        <v>100</v>
      </c>
      <c r="G5" s="59">
        <f>COMPOSICOES!G18</f>
        <v/>
      </c>
      <c r="H5" s="60">
        <f>ROUND(ROUND(F5,2)*ROUND(G5,2),2)</f>
        <v/>
      </c>
      <c r="K5" t="n">
        <v>16341.58</v>
      </c>
      <c r="L5">
        <f>G5-K5</f>
        <v/>
      </c>
    </row>
    <row r="6" ht="20" customHeight="1">
      <c r="A6" s="5" t="inlineStr">
        <is>
          <t>2</t>
        </is>
      </c>
      <c r="B6" s="5" t="inlineStr">
        <is>
          <t>SERVIÇOS INICIAIS</t>
        </is>
      </c>
      <c r="C6" s="55" t="n"/>
      <c r="D6" s="55" t="n"/>
      <c r="E6" s="55" t="n"/>
      <c r="F6" s="55" t="n"/>
      <c r="G6" s="56" t="n"/>
      <c r="H6" s="57">
        <f>ROUND(H7+H29+H32+H36+H39,2)</f>
        <v/>
      </c>
    </row>
    <row r="7" ht="20" customHeight="1">
      <c r="A7" s="5" t="inlineStr">
        <is>
          <t>2.1</t>
        </is>
      </c>
      <c r="B7" s="5" t="inlineStr">
        <is>
          <t>INSTALAÇÃO DO CANTEIRO</t>
        </is>
      </c>
      <c r="C7" s="55" t="n"/>
      <c r="D7" s="55" t="n"/>
      <c r="E7" s="55" t="n"/>
      <c r="F7" s="55" t="n"/>
      <c r="G7" s="56" t="n"/>
      <c r="H7" s="57">
        <f>ROUND(H8+H13+H20+H23+H26,2)</f>
        <v/>
      </c>
    </row>
    <row r="8" ht="20" customHeight="1">
      <c r="A8" s="5" t="inlineStr">
        <is>
          <t>2.1.1</t>
        </is>
      </c>
      <c r="B8" s="5" t="inlineStr">
        <is>
          <t>LIMPEZA DE ÁREA PARA CANTEIRO</t>
        </is>
      </c>
      <c r="C8" s="55" t="n"/>
      <c r="D8" s="55" t="n"/>
      <c r="E8" s="55" t="n"/>
      <c r="F8" s="55" t="n"/>
      <c r="G8" s="56" t="n"/>
      <c r="H8" s="57">
        <f>ROUND(SUM(H9:H12),2)</f>
        <v/>
      </c>
    </row>
    <row r="9" ht="32" customHeight="1">
      <c r="A9" s="7" t="inlineStr">
        <is>
          <t>2.1.1.1</t>
        </is>
      </c>
      <c r="B9" s="8" t="inlineStr">
        <is>
          <t>98525</t>
        </is>
      </c>
      <c r="C9" s="9" t="inlineStr">
        <is>
          <t>LIMPEZA MECANIZADA DE CAMADA VEGETAL, VEGETAÇÃO E PEQUENAS ÁRVORES (DIÂMETRO DE TRONCO MENOR QUE 0,20 M), COM TRATOR DE ESTEIRAS.AF_03/2024</t>
        </is>
      </c>
      <c r="D9" s="8" t="inlineStr">
        <is>
          <t>SINAPI</t>
        </is>
      </c>
      <c r="E9" s="8" t="inlineStr">
        <is>
          <t>M2</t>
        </is>
      </c>
      <c r="F9" s="58" t="n">
        <v>566.74</v>
      </c>
      <c r="G9" s="59">
        <f>COMPOSICOES!G30</f>
        <v/>
      </c>
      <c r="H9" s="60">
        <f>ROUND(ROUND(F9,2)*ROUND(G9,2),2)</f>
        <v/>
      </c>
      <c r="K9" t="n">
        <v>0.6899999999999999</v>
      </c>
      <c r="L9">
        <f>G9-K9</f>
        <v/>
      </c>
    </row>
    <row r="10" ht="32" customHeight="1">
      <c r="A10" s="7" t="inlineStr">
        <is>
          <t>2.1.1.2</t>
        </is>
      </c>
      <c r="B10" s="8" t="inlineStr">
        <is>
          <t>100980</t>
        </is>
      </c>
      <c r="C10" s="9" t="inlineStr">
        <is>
          <t>CARGA, MANOBRA E DESCARGA DE SOLOS E MATERIAIS GRANULARES EM CAMINHÃO BASCULANTE 18 M³ - CARGA COM ESCAVADEIRA HIDRÁULICA (CAÇAMBA DE 1,20 M³ / 155 HP) E DESCARGA LIVRE(UNIDADE: M3). AF_07/2020</t>
        </is>
      </c>
      <c r="D10" s="8" t="inlineStr">
        <is>
          <t>SINAPI</t>
        </is>
      </c>
      <c r="E10" s="8" t="inlineStr">
        <is>
          <t>M3</t>
        </is>
      </c>
      <c r="F10" s="58" t="n">
        <v>73.68000000000001</v>
      </c>
      <c r="G10" s="59">
        <f>COMPOSICOES!G41</f>
        <v/>
      </c>
      <c r="H10" s="60">
        <f>ROUND(ROUND(F10,2)*ROUND(G10,2),2)</f>
        <v/>
      </c>
      <c r="K10" t="n">
        <v>6.57</v>
      </c>
      <c r="L10">
        <f>G10-K10</f>
        <v/>
      </c>
    </row>
    <row r="11" ht="24" customHeight="1">
      <c r="A11" s="7" t="inlineStr">
        <is>
          <t>2.1.1.3</t>
        </is>
      </c>
      <c r="B11" s="8" t="inlineStr">
        <is>
          <t>95877</t>
        </is>
      </c>
      <c r="C11" s="9" t="inlineStr">
        <is>
          <t>TRANSPORTE COM CAMINHÃO BASCULANTE DE 18 M³, EM VIA URBANA PAVIMENTADA, DMT ATÉ 30 KM (UNIDADE:M3XKM). AF_07/2020</t>
        </is>
      </c>
      <c r="D11" s="8" t="inlineStr">
        <is>
          <t>SINAPI</t>
        </is>
      </c>
      <c r="E11" s="8" t="inlineStr">
        <is>
          <t>M3XKM</t>
        </is>
      </c>
      <c r="F11" s="58" t="n">
        <v>368.38</v>
      </c>
      <c r="G11" s="59">
        <f>COMPOSICOES!G50</f>
        <v/>
      </c>
      <c r="H11" s="60">
        <f>ROUND(ROUND(F11,2)*ROUND(G11,2),2)</f>
        <v/>
      </c>
      <c r="K11" t="n">
        <v>1.9</v>
      </c>
      <c r="L11">
        <f>G11-K11</f>
        <v/>
      </c>
    </row>
    <row r="12" ht="24" customHeight="1">
      <c r="A12" s="7" t="inlineStr">
        <is>
          <t>2.1.1.4</t>
        </is>
      </c>
      <c r="B12" s="8" t="inlineStr">
        <is>
          <t>C5185</t>
        </is>
      </c>
      <c r="C12" s="9" t="inlineStr">
        <is>
          <t>DESTINAÇÃO FINAL DO RESÍDUO SOLIDO NÃO SEGREGADO EM TERRENOLICENCIADO - SEM TRANSPORTE</t>
        </is>
      </c>
      <c r="D12" s="8" t="inlineStr">
        <is>
          <t>SEINFRA</t>
        </is>
      </c>
      <c r="E12" s="8" t="inlineStr">
        <is>
          <t>M3</t>
        </is>
      </c>
      <c r="F12" s="58" t="n">
        <v>73.68000000000001</v>
      </c>
      <c r="G12" s="59">
        <f>COMPOSICOES!G58</f>
        <v/>
      </c>
      <c r="H12" s="60">
        <f>ROUND(ROUND(F12,2)*ROUND(G12,2),2)</f>
        <v/>
      </c>
      <c r="K12" t="n">
        <v>11.2</v>
      </c>
      <c r="L12">
        <f>G12-K12</f>
        <v/>
      </c>
    </row>
    <row r="13" ht="20" customHeight="1">
      <c r="A13" s="5" t="inlineStr">
        <is>
          <t>2.1.2</t>
        </is>
      </c>
      <c r="B13" s="5" t="inlineStr">
        <is>
          <t>ALOJAMENTO, VESTIÁRIO, ESCRITÓRIO E DEPÓSITO</t>
        </is>
      </c>
      <c r="C13" s="55" t="n"/>
      <c r="D13" s="55" t="n"/>
      <c r="E13" s="55" t="n"/>
      <c r="F13" s="55" t="n"/>
      <c r="G13" s="56" t="n"/>
      <c r="H13" s="57">
        <f>ROUND(SUM(H14:H19),2)</f>
        <v/>
      </c>
    </row>
    <row r="14" ht="32" customHeight="1">
      <c r="A14" s="7" t="inlineStr">
        <is>
          <t>2.1.2.1</t>
        </is>
      </c>
      <c r="B14" s="8" t="inlineStr">
        <is>
          <t>407PRÓPRIO</t>
        </is>
      </c>
      <c r="C14" s="9" t="inlineStr">
        <is>
          <t>BARRACÃO DE OBRA PARA LOJAMENTO/ESCRITÓRIO, PISO EM PINHO 3A, PAREDES EM COMPENSADO 10MM, COBERTURA EM TELHA FIBROCIMENTO 6MM, INCLUSOINSTALAÇÕES ELÉTRICAS E ESQUADRIAS</t>
        </is>
      </c>
      <c r="D14" s="8" t="inlineStr">
        <is>
          <t>Composiçõ es Próprias</t>
        </is>
      </c>
      <c r="E14" s="8" t="inlineStr">
        <is>
          <t>M²</t>
        </is>
      </c>
      <c r="F14" s="58" t="n">
        <v>25</v>
      </c>
      <c r="G14" s="59">
        <f>COMPOSICOES!G99</f>
        <v/>
      </c>
      <c r="H14" s="60">
        <f>ROUND(ROUND(F14,2)*ROUND(G14,2),2)</f>
        <v/>
      </c>
      <c r="K14" t="n">
        <v>501.02</v>
      </c>
      <c r="L14">
        <f>G14-K14</f>
        <v/>
      </c>
    </row>
    <row r="15" ht="24" customHeight="1">
      <c r="A15" s="7" t="inlineStr">
        <is>
          <t>2.1.2.2</t>
        </is>
      </c>
      <c r="B15" s="8" t="inlineStr">
        <is>
          <t>00010777</t>
        </is>
      </c>
      <c r="C15" s="9" t="inlineStr">
        <is>
          <t>LOCACAO DE CONTAINER 2,30 X 4,30 M, ALT. 2,50 M, PARA SANITARIO, COM 3 BACIAS, 4 CHUVEIROS, 1 LAVATORIO E 1 MICTORIO (NÃO INCLUIMOBILIZACAO/DESMOBILIZACAO)</t>
        </is>
      </c>
      <c r="D15" s="8" t="inlineStr">
        <is>
          <t>SINAPI</t>
        </is>
      </c>
      <c r="E15" s="8" t="inlineStr">
        <is>
          <t>MES</t>
        </is>
      </c>
      <c r="F15" s="58" t="n">
        <v>8</v>
      </c>
      <c r="G15" s="59">
        <f>COMPOSICOES!G107</f>
        <v/>
      </c>
      <c r="H15" s="60">
        <f>ROUND(ROUND(F15,2)*ROUND(G15,2),2)</f>
        <v/>
      </c>
      <c r="K15" t="n">
        <v>1674.73</v>
      </c>
      <c r="L15">
        <f>G15-K15</f>
        <v/>
      </c>
    </row>
    <row r="16" ht="32" customHeight="1">
      <c r="A16" s="7" t="inlineStr">
        <is>
          <t>2.1.2.3</t>
        </is>
      </c>
      <c r="B16" s="8" t="inlineStr">
        <is>
          <t>00010775</t>
        </is>
      </c>
      <c r="C16" s="9" t="inlineStr">
        <is>
          <t>LOCACAO DE CONTAINER 2,30 X 6,00 M, ALT. 2,50 M, COM 1 SANITARIO, PARA ESCRITORIO, COMPLETO, SEM DIVISORIAS INTERNAS (NAO INCLUIMOBILIZACAO/DESMOBILIZACAO)</t>
        </is>
      </c>
      <c r="D16" s="8" t="inlineStr">
        <is>
          <t>SINAPI</t>
        </is>
      </c>
      <c r="E16" s="8" t="inlineStr">
        <is>
          <t>MES</t>
        </is>
      </c>
      <c r="F16" s="58" t="n">
        <v>8</v>
      </c>
      <c r="G16" s="59">
        <f>COMPOSICOES!G115</f>
        <v/>
      </c>
      <c r="H16" s="60">
        <f>ROUND(ROUND(F16,2)*ROUND(G16,2),2)</f>
        <v/>
      </c>
      <c r="K16" t="n">
        <v>1475</v>
      </c>
      <c r="L16">
        <f>G16-K16</f>
        <v/>
      </c>
    </row>
    <row r="17" ht="24" customHeight="1">
      <c r="A17" s="7" t="inlineStr">
        <is>
          <t>2.1.2.4</t>
        </is>
      </c>
      <c r="B17" s="8" t="inlineStr">
        <is>
          <t>476</t>
        </is>
      </c>
      <c r="C17" s="9" t="inlineStr">
        <is>
          <t>FRETE (CARGA, MANOBRA, DESCARGA E TRANSPORTE) DE CONTAINER EM CAMINHÃO CARROCERIA COM MUCK - TRAJETO MÁXIMO ATÉ 30KM</t>
        </is>
      </c>
      <c r="D17" s="8" t="inlineStr">
        <is>
          <t>Composiçõ</t>
        </is>
      </c>
      <c r="E17" s="8" t="inlineStr">
        <is>
          <t>UN</t>
        </is>
      </c>
      <c r="F17" s="58" t="n">
        <v>4</v>
      </c>
      <c r="G17" s="59">
        <f>COMPOSICOES!G127</f>
        <v/>
      </c>
      <c r="H17" s="60">
        <f>ROUND(ROUND(F17,2)*ROUND(G17,2),2)</f>
        <v/>
      </c>
      <c r="K17" t="n">
        <v>286.87</v>
      </c>
      <c r="L17">
        <f>G17-K17</f>
        <v/>
      </c>
    </row>
    <row r="18" ht="20" customHeight="1">
      <c r="A18" s="7" t="inlineStr">
        <is>
          <t>2.1.2.5</t>
        </is>
      </c>
      <c r="B18" s="8" t="inlineStr">
        <is>
          <t>C0369</t>
        </is>
      </c>
      <c r="C18" s="9" t="inlineStr">
        <is>
          <t>BARRACÃO ABERTO</t>
        </is>
      </c>
      <c r="D18" s="8" t="inlineStr">
        <is>
          <t>SEINFRA</t>
        </is>
      </c>
      <c r="E18" s="8" t="inlineStr">
        <is>
          <t>M2</t>
        </is>
      </c>
      <c r="F18" s="58" t="n">
        <v>30</v>
      </c>
      <c r="G18" s="59">
        <f>COMPOSICOES!G153</f>
        <v/>
      </c>
      <c r="H18" s="60">
        <f>ROUND(ROUND(F18,2)*ROUND(G18,2),2)</f>
        <v/>
      </c>
      <c r="K18" t="n">
        <v>151.62</v>
      </c>
      <c r="L18">
        <f>G18-K18</f>
        <v/>
      </c>
    </row>
    <row r="19" ht="20" customHeight="1">
      <c r="A19" s="7" t="inlineStr">
        <is>
          <t>2.1.2.6</t>
        </is>
      </c>
      <c r="B19" s="8" t="inlineStr">
        <is>
          <t>C2936</t>
        </is>
      </c>
      <c r="C19" s="9" t="inlineStr">
        <is>
          <t>REFEITÓRIOS</t>
        </is>
      </c>
      <c r="D19" s="8" t="inlineStr">
        <is>
          <t>SEINFRA</t>
        </is>
      </c>
      <c r="E19" s="8" t="inlineStr">
        <is>
          <t>M2</t>
        </is>
      </c>
      <c r="F19" s="58" t="n">
        <v>20</v>
      </c>
      <c r="G19" s="59">
        <f>COMPOSICOES!G185</f>
        <v/>
      </c>
      <c r="H19" s="60">
        <f>ROUND(ROUND(F19,2)*ROUND(G19,2),2)</f>
        <v/>
      </c>
      <c r="K19" t="n">
        <v>372.84</v>
      </c>
      <c r="L19">
        <f>G19-K19</f>
        <v/>
      </c>
    </row>
    <row r="20" ht="20" customHeight="1">
      <c r="A20" s="5" t="inlineStr">
        <is>
          <t>2.1.3</t>
        </is>
      </c>
      <c r="B20" s="5" t="inlineStr">
        <is>
          <t>LIGAÇÕES PROVISÓRIAS</t>
        </is>
      </c>
      <c r="C20" s="55" t="n"/>
      <c r="D20" s="55" t="n"/>
      <c r="E20" s="55" t="n"/>
      <c r="F20" s="55" t="n"/>
      <c r="G20" s="56" t="n"/>
      <c r="H20" s="57">
        <f>ROUND(SUM(H21:H22),2)</f>
        <v/>
      </c>
    </row>
    <row r="21" ht="20" customHeight="1">
      <c r="A21" s="7" t="inlineStr">
        <is>
          <t>2.1.3.1</t>
        </is>
      </c>
      <c r="B21" s="8" t="inlineStr">
        <is>
          <t>369PRÓPRIO</t>
        </is>
      </c>
      <c r="C21" s="9" t="inlineStr">
        <is>
          <t>LIGAÇÃO PROVISÓRIA DE ÁGUA E ESGOTO PARA CANTEIRO DE OBRAS</t>
        </is>
      </c>
      <c r="D21" s="8" t="inlineStr">
        <is>
          <t>Composiçõ esPróprias</t>
        </is>
      </c>
      <c r="E21" s="8" t="inlineStr">
        <is>
          <t>UN</t>
        </is>
      </c>
      <c r="F21" s="58" t="n">
        <v>1</v>
      </c>
      <c r="G21" s="59">
        <f>COMPOSICOES!G240</f>
        <v/>
      </c>
      <c r="H21" s="60">
        <f>ROUND(ROUND(F21,2)*ROUND(G21,2),2)</f>
        <v/>
      </c>
      <c r="K21" t="n">
        <v>4304.67</v>
      </c>
      <c r="L21">
        <f>G21-K21</f>
        <v/>
      </c>
    </row>
    <row r="22" ht="20" customHeight="1">
      <c r="A22" s="7" t="inlineStr">
        <is>
          <t>2.1.3.2</t>
        </is>
      </c>
      <c r="B22" s="8" t="inlineStr">
        <is>
          <t>370PRÓPRIO</t>
        </is>
      </c>
      <c r="C22" s="9" t="inlineStr">
        <is>
          <t>LIGAÇÃO PROVISÓRIA LUZ E FORÇA</t>
        </is>
      </c>
      <c r="D22" s="8" t="inlineStr">
        <is>
          <t>Composiçõ esPróprias</t>
        </is>
      </c>
      <c r="E22" s="8" t="inlineStr">
        <is>
          <t>UN</t>
        </is>
      </c>
      <c r="F22" s="58" t="n">
        <v>1</v>
      </c>
      <c r="G22" s="59">
        <f>COMPOSICOES!G286</f>
        <v/>
      </c>
      <c r="H22" s="60">
        <f>ROUND(ROUND(F22,2)*ROUND(G22,2),2)</f>
        <v/>
      </c>
      <c r="K22" t="n">
        <v>5321.9</v>
      </c>
      <c r="L22">
        <f>G22-K22</f>
        <v/>
      </c>
    </row>
    <row r="23" ht="20" customHeight="1">
      <c r="A23" s="5" t="inlineStr">
        <is>
          <t>2.1.4</t>
        </is>
      </c>
      <c r="B23" s="5" t="inlineStr">
        <is>
          <t>SINALIZAÇÃO E SEGURANÇA</t>
        </is>
      </c>
      <c r="C23" s="55" t="n"/>
      <c r="D23" s="55" t="n"/>
      <c r="E23" s="55" t="n"/>
      <c r="F23" s="55" t="n"/>
      <c r="G23" s="56" t="n"/>
      <c r="H23" s="57">
        <f>ROUND(SUM(H24:H25),2)</f>
        <v/>
      </c>
    </row>
    <row r="24" ht="24" customHeight="1">
      <c r="A24" s="7" t="inlineStr">
        <is>
          <t>2.1.4.1</t>
        </is>
      </c>
      <c r="B24" s="8" t="inlineStr">
        <is>
          <t>103689</t>
        </is>
      </c>
      <c r="C24" s="9" t="inlineStr">
        <is>
          <t>FORNECIMENTO E INSTALAÇÃO DE PLACA DE OBRA COM CHAPA GALVANIZADA EESTRUTURA DE MADEIRA. AF_03/2022_PS</t>
        </is>
      </c>
      <c r="D24" s="8" t="inlineStr">
        <is>
          <t>SINAPI</t>
        </is>
      </c>
      <c r="E24" s="8" t="inlineStr">
        <is>
          <t>M2</t>
        </is>
      </c>
      <c r="F24" s="58" t="n">
        <v>24.5</v>
      </c>
      <c r="G24" s="59">
        <f>COMPOSICOES!G304</f>
        <v/>
      </c>
      <c r="H24" s="60">
        <f>ROUND(ROUND(F24,2)*ROUND(G24,2),2)</f>
        <v/>
      </c>
      <c r="K24" t="n">
        <v>467.74</v>
      </c>
      <c r="L24">
        <f>G24-K24</f>
        <v/>
      </c>
    </row>
    <row r="25" ht="20" customHeight="1">
      <c r="A25" s="7" t="inlineStr">
        <is>
          <t>2.1.4.2</t>
        </is>
      </c>
      <c r="B25" s="8" t="inlineStr">
        <is>
          <t>98459</t>
        </is>
      </c>
      <c r="C25" s="9" t="inlineStr">
        <is>
          <t>TAPUME COM TELHA METÁLICA.AF_03/2024</t>
        </is>
      </c>
      <c r="D25" s="8" t="inlineStr">
        <is>
          <t>SINAPI</t>
        </is>
      </c>
      <c r="E25" s="8" t="inlineStr">
        <is>
          <t>M2</t>
        </is>
      </c>
      <c r="F25" s="58" t="n">
        <v>190.68</v>
      </c>
      <c r="G25" s="59">
        <f>COMPOSICOES!G326</f>
        <v/>
      </c>
      <c r="H25" s="60">
        <f>ROUND(ROUND(F25,2)*ROUND(G25,2),2)</f>
        <v/>
      </c>
      <c r="K25" t="n">
        <v>98.04000000000001</v>
      </c>
      <c r="L25">
        <f>G25-K25</f>
        <v/>
      </c>
    </row>
    <row r="26" ht="20" customHeight="1">
      <c r="A26" s="5" t="inlineStr">
        <is>
          <t>2.1.5</t>
        </is>
      </c>
      <c r="B26" s="5" t="inlineStr">
        <is>
          <t>EQUIPAMENTOS (LOCAÇÃO)</t>
        </is>
      </c>
      <c r="C26" s="55" t="n"/>
      <c r="D26" s="55" t="n"/>
      <c r="E26" s="55" t="n"/>
      <c r="F26" s="55" t="n"/>
      <c r="G26" s="56" t="n"/>
      <c r="H26" s="57">
        <f>ROUND(SUM(H27:H28),2)</f>
        <v/>
      </c>
    </row>
    <row r="27" ht="20" customHeight="1">
      <c r="A27" s="7" t="inlineStr">
        <is>
          <t>2.1.5.1</t>
        </is>
      </c>
      <c r="B27" s="8" t="inlineStr">
        <is>
          <t>371PRÓPRIO</t>
        </is>
      </c>
      <c r="C27" s="9" t="inlineStr">
        <is>
          <t>LOCAÇÃO DE ANDAIME METÁLICO TIPO FACHADEIRO (FORNECIMENTO,MONTAGEM E DESMONTAGEM)</t>
        </is>
      </c>
      <c r="D27" s="8" t="inlineStr">
        <is>
          <t>Composiçõ esPróprias</t>
        </is>
      </c>
      <c r="E27" s="8" t="inlineStr">
        <is>
          <t>M2XMÊ S</t>
        </is>
      </c>
      <c r="F27" s="58" t="n">
        <v>245.6</v>
      </c>
      <c r="G27" s="59">
        <f>COMPOSICOES!G338</f>
        <v/>
      </c>
      <c r="H27" s="60">
        <f>ROUND(ROUND(F27,2)*ROUND(G27,2),2)</f>
        <v/>
      </c>
      <c r="K27" t="n">
        <v>25.97</v>
      </c>
      <c r="L27">
        <f>G27-K27</f>
        <v/>
      </c>
    </row>
    <row r="28" ht="20" customHeight="1">
      <c r="A28" s="7" t="inlineStr">
        <is>
          <t>2.1.5.2</t>
        </is>
      </c>
      <c r="B28" s="8" t="inlineStr">
        <is>
          <t>97062</t>
        </is>
      </c>
      <c r="C28" s="9" t="inlineStr">
        <is>
          <t>COLOCAÇÃO DE TELA EM ANDAIMEFACHADEIRO. AF_03/2024</t>
        </is>
      </c>
      <c r="D28" s="8" t="inlineStr">
        <is>
          <t>SINAPI</t>
        </is>
      </c>
      <c r="E28" s="8" t="inlineStr">
        <is>
          <t>M2</t>
        </is>
      </c>
      <c r="F28" s="58" t="n">
        <v>122.8</v>
      </c>
      <c r="G28" s="59">
        <f>COMPOSICOES!G351</f>
        <v/>
      </c>
      <c r="H28" s="60">
        <f>ROUND(ROUND(F28,2)*ROUND(G28,2),2)</f>
        <v/>
      </c>
      <c r="K28" t="n">
        <v>5.83</v>
      </c>
      <c r="L28">
        <f>G28-K28</f>
        <v/>
      </c>
    </row>
    <row r="29" ht="20" customHeight="1">
      <c r="A29" s="5" t="inlineStr">
        <is>
          <t>2.2</t>
        </is>
      </c>
      <c r="B29" s="5" t="inlineStr">
        <is>
          <t>MOVIMENTO DE TERRA</t>
        </is>
      </c>
      <c r="C29" s="55" t="n"/>
      <c r="D29" s="55" t="n"/>
      <c r="E29" s="55" t="n"/>
      <c r="F29" s="55" t="n"/>
      <c r="G29" s="56" t="n"/>
      <c r="H29" s="57">
        <f>ROUND(H30,2)</f>
        <v/>
      </c>
    </row>
    <row r="30" ht="20" customHeight="1">
      <c r="A30" s="5" t="inlineStr">
        <is>
          <t>2.2.1</t>
        </is>
      </c>
      <c r="B30" s="5" t="inlineStr">
        <is>
          <t>COMPACTAÇÃO DE ATERRO</t>
        </is>
      </c>
      <c r="C30" s="55" t="n"/>
      <c r="D30" s="55" t="n"/>
      <c r="E30" s="55" t="n"/>
      <c r="F30" s="55" t="n"/>
      <c r="G30" s="56" t="n"/>
      <c r="H30" s="57">
        <f>ROUND(SUM(H31:H31),2)</f>
        <v/>
      </c>
    </row>
    <row r="31" ht="24" customHeight="1">
      <c r="A31" s="7" t="inlineStr">
        <is>
          <t>2.2.1.1</t>
        </is>
      </c>
      <c r="B31" s="8" t="inlineStr">
        <is>
          <t>97083</t>
        </is>
      </c>
      <c r="C31" s="9" t="inlineStr">
        <is>
          <t>COMPACTAÇÃO MECÂNICA DE SOLO PARA EXECUÇÃO DE RADIER, PISO DE CONCRETO OU LAJE SOBRE SOLO, COM COMPACTADOR DE SOLOS A PERCUSSÃO.AF_09/2021</t>
        </is>
      </c>
      <c r="D31" s="8" t="inlineStr">
        <is>
          <t>SINAPI</t>
        </is>
      </c>
      <c r="E31" s="8" t="inlineStr">
        <is>
          <t>M2</t>
        </is>
      </c>
      <c r="F31" s="58" t="n">
        <v>566.74</v>
      </c>
      <c r="G31" s="59">
        <f>COMPOSICOES!G364</f>
        <v/>
      </c>
      <c r="H31" s="60">
        <f>ROUND(ROUND(F31,2)*ROUND(G31,2),2)</f>
        <v/>
      </c>
      <c r="K31" t="n">
        <v>3.65</v>
      </c>
      <c r="L31">
        <f>G31-K31</f>
        <v/>
      </c>
    </row>
    <row r="32" ht="20" customHeight="1">
      <c r="A32" s="5" t="inlineStr">
        <is>
          <t>2.3</t>
        </is>
      </c>
      <c r="B32" s="5" t="inlineStr">
        <is>
          <t>LOCAÇÃO DA OBRA</t>
        </is>
      </c>
      <c r="C32" s="55" t="n"/>
      <c r="D32" s="55" t="n"/>
      <c r="E32" s="55" t="n"/>
      <c r="F32" s="55" t="n"/>
      <c r="G32" s="56" t="n"/>
      <c r="H32" s="57">
        <f>ROUND(H33,2)</f>
        <v/>
      </c>
    </row>
    <row r="33" ht="20" customHeight="1">
      <c r="A33" s="5" t="inlineStr">
        <is>
          <t>2.3.1</t>
        </is>
      </c>
      <c r="B33" s="5" t="inlineStr">
        <is>
          <t>EXECUÇÃO DE GABARITO</t>
        </is>
      </c>
      <c r="C33" s="55" t="n"/>
      <c r="D33" s="55" t="n"/>
      <c r="E33" s="55" t="n"/>
      <c r="F33" s="55" t="n"/>
      <c r="G33" s="56" t="n"/>
      <c r="H33" s="57">
        <f>ROUND(SUM(H34:H35),2)</f>
        <v/>
      </c>
    </row>
    <row r="34" ht="24" customHeight="1">
      <c r="A34" s="7" t="inlineStr">
        <is>
          <t>2.3.1.1</t>
        </is>
      </c>
      <c r="B34" s="8" t="inlineStr">
        <is>
          <t>99059</t>
        </is>
      </c>
      <c r="C34" s="9" t="inlineStr">
        <is>
          <t>LOCAÇÃO CONVENCIONAL DE OBRA, UTILIZANDO GABARITO DE TÁBUAS CORRIDAS PONTALETADAS A CADA 2,00M -2 UTILIZAÇÕES. AF_03/2024</t>
        </is>
      </c>
      <c r="D34" s="8" t="inlineStr">
        <is>
          <t>SINAPI</t>
        </is>
      </c>
      <c r="E34" s="8" t="inlineStr">
        <is>
          <t>M</t>
        </is>
      </c>
      <c r="F34" s="58" t="n">
        <v>101.88</v>
      </c>
      <c r="G34" s="59">
        <f>COMPOSICOES!G387</f>
        <v/>
      </c>
      <c r="H34" s="60">
        <f>ROUND(ROUND(F34,2)*ROUND(G34,2),2)</f>
        <v/>
      </c>
      <c r="K34" t="n">
        <v>69.64</v>
      </c>
      <c r="L34">
        <f>G34-K34</f>
        <v/>
      </c>
    </row>
    <row r="35" ht="20" customHeight="1">
      <c r="A35" s="7" t="inlineStr">
        <is>
          <t>2.3.1.2</t>
        </is>
      </c>
      <c r="B35" s="8" t="inlineStr">
        <is>
          <t>C2873</t>
        </is>
      </c>
      <c r="C35" s="9" t="inlineStr">
        <is>
          <t>LOCAÇÃO DA OBRA COM AUXÍLIOTOPOGRÁFICO (ÁREA ATÉ 5000 M2)</t>
        </is>
      </c>
      <c r="D35" s="8" t="inlineStr">
        <is>
          <t>SEINFRA</t>
        </is>
      </c>
      <c r="E35" s="8" t="inlineStr">
        <is>
          <t>M2</t>
        </is>
      </c>
      <c r="F35" s="58" t="n">
        <v>566.74</v>
      </c>
      <c r="G35" s="59">
        <f>COMPOSICOES!G402</f>
        <v/>
      </c>
      <c r="H35" s="60">
        <f>ROUND(ROUND(F35,2)*ROUND(G35,2),2)</f>
        <v/>
      </c>
      <c r="K35" t="n">
        <v>0.3</v>
      </c>
      <c r="L35">
        <f>G35-K35</f>
        <v/>
      </c>
    </row>
    <row r="36" ht="20" customHeight="1">
      <c r="A36" s="5" t="inlineStr">
        <is>
          <t>2.4</t>
        </is>
      </c>
      <c r="B36" s="5" t="inlineStr">
        <is>
          <t>LICENCIAMENTO AMBIENTAL</t>
        </is>
      </c>
      <c r="C36" s="55" t="n"/>
      <c r="D36" s="55" t="n"/>
      <c r="E36" s="55" t="n"/>
      <c r="F36" s="55" t="n"/>
      <c r="G36" s="56" t="n"/>
      <c r="H36" s="57">
        <f>ROUND(SUM(H37:H38),2)</f>
        <v/>
      </c>
    </row>
    <row r="37" ht="24" customHeight="1">
      <c r="A37" s="7" t="inlineStr">
        <is>
          <t>2.4.1</t>
        </is>
      </c>
      <c r="B37" s="8" t="inlineStr">
        <is>
          <t>SOP1982</t>
        </is>
      </c>
      <c r="C37" s="9" t="inlineStr">
        <is>
          <t>AUTORIZAÇÃO DE SUPRESSÃO DE VEGETAÇÃO (ASV) (IMPLANTAÇÃO DE ATIVIDADES E OBRAS DE UTILIDADE PÚBLICA E INTERESSE SOCIAL) - BDI =14,00 - BDI = 14,00</t>
        </is>
      </c>
      <c r="D37" s="8" t="inlineStr">
        <is>
          <t>Composiçõ es Próprias</t>
        </is>
      </c>
      <c r="E37" s="8" t="inlineStr">
        <is>
          <t>UN</t>
        </is>
      </c>
      <c r="F37" s="58" t="n">
        <v>1</v>
      </c>
      <c r="G37" s="59">
        <f>COMPOSICOES!G410</f>
        <v/>
      </c>
      <c r="H37" s="60">
        <f>ROUND(ROUND(F37,2)*ROUND(G37,2),2)</f>
        <v/>
      </c>
      <c r="K37" t="n">
        <v>1815.2</v>
      </c>
      <c r="L37">
        <f>G37-K37</f>
        <v/>
      </c>
    </row>
    <row r="38" ht="24" customHeight="1">
      <c r="A38" s="7" t="inlineStr">
        <is>
          <t>2.4.2</t>
        </is>
      </c>
      <c r="B38" s="8" t="inlineStr">
        <is>
          <t>SOP1988</t>
        </is>
      </c>
      <c r="C38" s="9" t="inlineStr">
        <is>
          <t>TAXA PARA LICENCIAMENTO AMBIENTAL, CONFORME RESOLUÇÃO COEMA Nº02/2019 – ATIVIDADE 25.02 - BDI = 14,00 - BDI = 14,00</t>
        </is>
      </c>
      <c r="D38" s="8" t="inlineStr">
        <is>
          <t>Composiçõ esPróprias</t>
        </is>
      </c>
      <c r="E38" s="8" t="inlineStr">
        <is>
          <t>UN</t>
        </is>
      </c>
      <c r="F38" s="58" t="n">
        <v>1</v>
      </c>
      <c r="G38" s="59">
        <f>COMPOSICOES!G418</f>
        <v/>
      </c>
      <c r="H38" s="60">
        <f>ROUND(ROUND(F38,2)*ROUND(G38,2),2)</f>
        <v/>
      </c>
      <c r="K38" t="n">
        <v>5105.07</v>
      </c>
      <c r="L38">
        <f>G38-K38</f>
        <v/>
      </c>
    </row>
    <row r="39" ht="20" customHeight="1">
      <c r="A39" s="5" t="inlineStr">
        <is>
          <t>2.5</t>
        </is>
      </c>
      <c r="B39" s="5" t="inlineStr">
        <is>
          <t>MOBILIZAÇÃO DA OBRA</t>
        </is>
      </c>
      <c r="C39" s="55" t="n"/>
      <c r="D39" s="55" t="n"/>
      <c r="E39" s="55" t="n"/>
      <c r="F39" s="55" t="n"/>
      <c r="G39" s="56" t="n"/>
      <c r="H39" s="57">
        <f>ROUND(SUM(H40:H40),2)</f>
        <v/>
      </c>
    </row>
    <row r="40" ht="20" customHeight="1">
      <c r="A40" s="7" t="inlineStr">
        <is>
          <t>2.5.1</t>
        </is>
      </c>
      <c r="B40" s="8" t="inlineStr">
        <is>
          <t>C4990</t>
        </is>
      </c>
      <c r="C40" s="9" t="inlineStr">
        <is>
          <t>MOBILIZAÇÃO DE EQUIPAMENTOS EMCAMINHÃO EQUIPADO COM GUINDASTE</t>
        </is>
      </c>
      <c r="D40" s="8" t="inlineStr">
        <is>
          <t>SEINFRA</t>
        </is>
      </c>
      <c r="E40" s="8" t="inlineStr">
        <is>
          <t>KM</t>
        </is>
      </c>
      <c r="F40" s="58" t="n">
        <v>90.90000000000001</v>
      </c>
      <c r="G40" s="59">
        <f>COMPOSICOES!G426</f>
        <v/>
      </c>
      <c r="H40" s="60">
        <f>ROUND(ROUND(F40,2)*ROUND(G40,2),2)</f>
        <v/>
      </c>
      <c r="K40" t="n">
        <v>3.2</v>
      </c>
      <c r="L40">
        <f>G40-K40</f>
        <v/>
      </c>
    </row>
    <row r="41" ht="20" customHeight="1">
      <c r="A41" s="5" t="inlineStr">
        <is>
          <t>3</t>
        </is>
      </c>
      <c r="B41" s="5" t="inlineStr">
        <is>
          <t>FUNDAÇÕES</t>
        </is>
      </c>
      <c r="C41" s="55" t="n"/>
      <c r="D41" s="55" t="n"/>
      <c r="E41" s="55" t="n"/>
      <c r="F41" s="55" t="n"/>
      <c r="G41" s="56" t="n"/>
      <c r="H41" s="57">
        <f>ROUND(H42+H54+H63+H67+H71,2)</f>
        <v/>
      </c>
    </row>
    <row r="42" ht="20" customHeight="1">
      <c r="A42" s="5" t="inlineStr">
        <is>
          <t>3.1</t>
        </is>
      </c>
      <c r="B42" s="5" t="inlineStr">
        <is>
          <t>SERVIÇOS GERAIS EM FUNDAÇÕES</t>
        </is>
      </c>
      <c r="C42" s="55" t="n"/>
      <c r="D42" s="55" t="n"/>
      <c r="E42" s="55" t="n"/>
      <c r="F42" s="55" t="n"/>
      <c r="G42" s="56" t="n"/>
      <c r="H42" s="57">
        <f>ROUND(H43+H46+H48+H51,2)</f>
        <v/>
      </c>
    </row>
    <row r="43" ht="20" customHeight="1">
      <c r="A43" s="5" t="inlineStr">
        <is>
          <t>3.1.1</t>
        </is>
      </c>
      <c r="B43" s="5" t="inlineStr">
        <is>
          <t>FUNDAÇÕES (ESCAVAÇÃO)</t>
        </is>
      </c>
      <c r="C43" s="55" t="n"/>
      <c r="D43" s="55" t="n"/>
      <c r="E43" s="55" t="n"/>
      <c r="F43" s="55" t="n"/>
      <c r="G43" s="56" t="n"/>
      <c r="H43" s="57">
        <f>ROUND(SUM(H44:H45),2)</f>
        <v/>
      </c>
    </row>
    <row r="44" ht="24" customHeight="1">
      <c r="A44" s="7" t="inlineStr">
        <is>
          <t>3.1.1.1</t>
        </is>
      </c>
      <c r="B44" s="8" t="inlineStr">
        <is>
          <t>96523</t>
        </is>
      </c>
      <c r="C44" s="9" t="inlineStr">
        <is>
          <t>ESCAVAÇÃO MANUAL PARA BLOCO DE COROAMENTO OU SAPATA (INCLUINDO ESCAVAÇÃO PARA COLOCAÇÃO DE FÔRMAS). AF_01/2024</t>
        </is>
      </c>
      <c r="D44" s="8" t="inlineStr">
        <is>
          <t>SINAPI</t>
        </is>
      </c>
      <c r="E44" s="8" t="inlineStr">
        <is>
          <t>M3</t>
        </is>
      </c>
      <c r="F44" s="58" t="n">
        <v>348.1</v>
      </c>
      <c r="G44" s="59">
        <f>COMPOSICOES!G435</f>
        <v/>
      </c>
      <c r="H44" s="60">
        <f>ROUND(ROUND(F44,2)*ROUND(G44,2),2)</f>
        <v/>
      </c>
      <c r="K44" t="n">
        <v>103.18</v>
      </c>
      <c r="L44">
        <f>G44-K44</f>
        <v/>
      </c>
    </row>
    <row r="45" ht="20" customHeight="1">
      <c r="A45" s="7" t="inlineStr">
        <is>
          <t>3.1.1.2</t>
        </is>
      </c>
      <c r="B45" s="8" t="inlineStr">
        <is>
          <t>93358</t>
        </is>
      </c>
      <c r="C45" s="9" t="inlineStr">
        <is>
          <t>ESCAVAÇÃO MANUAL DE VALA. AF_09/2024</t>
        </is>
      </c>
      <c r="D45" s="8" t="inlineStr">
        <is>
          <t>SINAPI</t>
        </is>
      </c>
      <c r="E45" s="8" t="inlineStr">
        <is>
          <t>M3</t>
        </is>
      </c>
      <c r="F45" s="58" t="n">
        <v>61.09</v>
      </c>
      <c r="G45" s="59">
        <f>COMPOSICOES!G443</f>
        <v/>
      </c>
      <c r="H45" s="60">
        <f>ROUND(ROUND(F45,2)*ROUND(G45,2),2)</f>
        <v/>
      </c>
      <c r="K45" t="n">
        <v>93.19</v>
      </c>
      <c r="L45">
        <f>G45-K45</f>
        <v/>
      </c>
    </row>
    <row r="46" ht="20" customHeight="1">
      <c r="A46" s="5" t="inlineStr">
        <is>
          <t>3.1.2</t>
        </is>
      </c>
      <c r="B46" s="5" t="inlineStr">
        <is>
          <t>FUNDAÇÕES (REATERRO)</t>
        </is>
      </c>
      <c r="C46" s="55" t="n"/>
      <c r="D46" s="55" t="n"/>
      <c r="E46" s="55" t="n"/>
      <c r="F46" s="55" t="n"/>
      <c r="G46" s="56" t="n"/>
      <c r="H46" s="57">
        <f>ROUND(SUM(H47:H47),2)</f>
        <v/>
      </c>
    </row>
    <row r="47" ht="20" customHeight="1">
      <c r="A47" s="7" t="inlineStr">
        <is>
          <t>3.1.2.1</t>
        </is>
      </c>
      <c r="B47" s="8" t="inlineStr">
        <is>
          <t>93382</t>
        </is>
      </c>
      <c r="C47" s="9" t="inlineStr">
        <is>
          <t>REATERRO MANUAL DE VALAS, COM COMPACTADOR DE SOLOS DEPERCUSSÃO. AF_08/2023</t>
        </is>
      </c>
      <c r="D47" s="8" t="inlineStr">
        <is>
          <t>SINAPI</t>
        </is>
      </c>
      <c r="E47" s="8" t="inlineStr">
        <is>
          <t>M3</t>
        </is>
      </c>
      <c r="F47" s="58" t="n">
        <v>290.04</v>
      </c>
      <c r="G47" s="59">
        <f>COMPOSICOES!G456</f>
        <v/>
      </c>
      <c r="H47" s="60">
        <f>ROUND(ROUND(F47,2)*ROUND(G47,2),2)</f>
        <v/>
      </c>
      <c r="K47" t="n">
        <v>29.02</v>
      </c>
      <c r="L47">
        <f>G47-K47</f>
        <v/>
      </c>
    </row>
    <row r="48" ht="20" customHeight="1">
      <c r="A48" s="5" t="inlineStr">
        <is>
          <t>3.1.3</t>
        </is>
      </c>
      <c r="B48" s="5" t="inlineStr">
        <is>
          <t>FUNDAÇÕES (COMPACTAÇÃO)</t>
        </is>
      </c>
      <c r="C48" s="55" t="n"/>
      <c r="D48" s="55" t="n"/>
      <c r="E48" s="55" t="n"/>
      <c r="F48" s="55" t="n"/>
      <c r="G48" s="56" t="n"/>
      <c r="H48" s="57">
        <f>ROUND(SUM(H49:H50),2)</f>
        <v/>
      </c>
    </row>
    <row r="49" ht="20" customHeight="1">
      <c r="A49" s="7" t="inlineStr">
        <is>
          <t>3.1.3.1</t>
        </is>
      </c>
      <c r="B49" s="8" t="inlineStr">
        <is>
          <t>408
PRÓPRIO</t>
        </is>
      </c>
      <c r="C49" s="9" t="inlineStr">
        <is>
          <t>APILOAMENTO MANUAL DE FUNDO DE VALA COM MACO DE 30KG</t>
        </is>
      </c>
      <c r="D49" s="8" t="inlineStr">
        <is>
          <t xml:space="preserve">Composiçõ es
</t>
        </is>
      </c>
      <c r="E49" s="8" t="inlineStr">
        <is>
          <t>M²</t>
        </is>
      </c>
      <c r="F49" s="58" t="n">
        <v>61.36</v>
      </c>
      <c r="G49" s="59">
        <f>COMPOSICOES!G464</f>
        <v/>
      </c>
      <c r="H49" s="60">
        <f>ROUND(ROUND(F49,2)*ROUND(G49,2),2)</f>
        <v/>
      </c>
      <c r="K49" t="n">
        <v>35.34</v>
      </c>
      <c r="L49">
        <f>G49-K49</f>
        <v/>
      </c>
    </row>
    <row r="50" ht="20" customHeight="1">
      <c r="A50" s="7" t="inlineStr">
        <is>
          <t>3.1.3.2</t>
        </is>
      </c>
      <c r="B50" s="8" t="inlineStr">
        <is>
          <t>409
PRÓPRIO</t>
        </is>
      </c>
      <c r="C50" s="9" t="inlineStr">
        <is>
          <t>APILOAMENTO MANUAL DE BLOCOS/SAPATAS COM MACO DE 30KG</t>
        </is>
      </c>
      <c r="D50" s="8" t="inlineStr">
        <is>
          <t xml:space="preserve">Composiçõ es
</t>
        </is>
      </c>
      <c r="E50" s="8" t="inlineStr">
        <is>
          <t>M³</t>
        </is>
      </c>
      <c r="F50" s="58" t="n">
        <v>18.41</v>
      </c>
      <c r="G50" s="59">
        <f>COMPOSICOES!G472</f>
        <v/>
      </c>
      <c r="H50" s="60">
        <f>ROUND(ROUND(F50,2)*ROUND(G50,2),2)</f>
        <v/>
      </c>
      <c r="K50" t="n">
        <v>9.42</v>
      </c>
      <c r="L50">
        <f>G50-K50</f>
        <v/>
      </c>
    </row>
    <row r="51" ht="20" customHeight="1">
      <c r="A51" s="5" t="inlineStr">
        <is>
          <t>3.1.4</t>
        </is>
      </c>
      <c r="B51" s="5" t="inlineStr">
        <is>
          <t>FUNDAÇÕES (LASTRO)</t>
        </is>
      </c>
      <c r="C51" s="55" t="n"/>
      <c r="D51" s="55" t="n"/>
      <c r="E51" s="55" t="n"/>
      <c r="F51" s="55" t="n"/>
      <c r="G51" s="56" t="n"/>
      <c r="H51" s="57">
        <f>ROUND(SUM(H52:H53),2)</f>
        <v/>
      </c>
    </row>
    <row r="52" ht="20" customHeight="1">
      <c r="A52" s="7" t="inlineStr">
        <is>
          <t>3.1.4.1</t>
        </is>
      </c>
      <c r="B52" s="8" t="inlineStr">
        <is>
          <t>C2860</t>
        </is>
      </c>
      <c r="C52" s="9" t="inlineStr">
        <is>
          <t>LASTRO DE AREIA ADQUIRIDA</t>
        </is>
      </c>
      <c r="D52" s="8" t="inlineStr">
        <is>
          <t>SEINFRA</t>
        </is>
      </c>
      <c r="E52" s="8" t="inlineStr">
        <is>
          <t>M3</t>
        </is>
      </c>
      <c r="F52" s="58" t="n">
        <v>18.41</v>
      </c>
      <c r="G52" s="59">
        <f>COMPOSICOES!G483</f>
        <v/>
      </c>
      <c r="H52" s="60">
        <f>ROUND(ROUND(F52,2)*ROUND(G52,2),2)</f>
        <v/>
      </c>
      <c r="K52" t="n">
        <v>163.85</v>
      </c>
      <c r="L52">
        <f>G52-K52</f>
        <v/>
      </c>
    </row>
    <row r="53" ht="24" customHeight="1">
      <c r="A53" s="7" t="inlineStr">
        <is>
          <t>3.1.4.2</t>
        </is>
      </c>
      <c r="B53" s="8" t="inlineStr">
        <is>
          <t>96619</t>
        </is>
      </c>
      <c r="C53" s="9" t="inlineStr">
        <is>
          <t>LASTRO DE CONCRETO MAGRO, APLICADO EM BLOCOS DE COROAMENTO OU SAPATAS, ESPESSURA DE 5 CM. AF_01/2024</t>
        </is>
      </c>
      <c r="D53" s="8" t="inlineStr">
        <is>
          <t>SINAPI</t>
        </is>
      </c>
      <c r="E53" s="8" t="inlineStr">
        <is>
          <t>M2</t>
        </is>
      </c>
      <c r="F53" s="58" t="n">
        <v>61.36</v>
      </c>
      <c r="G53" s="59">
        <f>COMPOSICOES!G495</f>
        <v/>
      </c>
      <c r="H53" s="60">
        <f>ROUND(ROUND(F53,2)*ROUND(G53,2),2)</f>
        <v/>
      </c>
      <c r="K53" t="n">
        <v>42.53</v>
      </c>
      <c r="L53">
        <f>G53-K53</f>
        <v/>
      </c>
    </row>
    <row r="54" ht="20" customHeight="1">
      <c r="A54" s="5" t="inlineStr">
        <is>
          <t>3.2</t>
        </is>
      </c>
      <c r="B54" s="5" t="inlineStr">
        <is>
          <t>ARMADURA PARA FUNDAÇÕES</t>
        </is>
      </c>
      <c r="C54" s="55" t="n"/>
      <c r="D54" s="55" t="n"/>
      <c r="E54" s="55" t="n"/>
      <c r="F54" s="55" t="n"/>
      <c r="G54" s="56" t="n"/>
      <c r="H54" s="57">
        <f>ROUND(H55,2)</f>
        <v/>
      </c>
    </row>
    <row r="55" ht="20" customHeight="1">
      <c r="A55" s="5" t="inlineStr">
        <is>
          <t>3.2.1</t>
        </is>
      </c>
      <c r="B55" s="5" t="inlineStr">
        <is>
          <t>FUNDAÇÕES (ARMAÇÃO COM VERGALHÕES DE AÇO)</t>
        </is>
      </c>
      <c r="C55" s="55" t="n"/>
      <c r="D55" s="55" t="n"/>
      <c r="E55" s="55" t="n"/>
      <c r="F55" s="55" t="n"/>
      <c r="G55" s="56" t="n"/>
      <c r="H55" s="57">
        <f>ROUND(SUM(H56:H62),2)</f>
        <v/>
      </c>
    </row>
    <row r="56" ht="24" customHeight="1">
      <c r="A56" s="7" t="inlineStr">
        <is>
          <t>3.2.1.1</t>
        </is>
      </c>
      <c r="B56" s="8" t="inlineStr">
        <is>
          <t>104916</t>
        </is>
      </c>
      <c r="C56" s="9" t="inlineStr">
        <is>
          <t>ARMAÇÃO DE SAPATA ISOLADA, VIGA BALDRAME E SAPATA CORRIDA UTILIZANDO AÇO CA-60 DE 5 MM - MONTAGEM. AF_01/2024</t>
        </is>
      </c>
      <c r="D56" s="8" t="inlineStr">
        <is>
          <t>SINAPI</t>
        </is>
      </c>
      <c r="E56" s="8" t="inlineStr">
        <is>
          <t>KG</t>
        </is>
      </c>
      <c r="F56" s="58" t="n">
        <v>210.73</v>
      </c>
      <c r="G56" s="59">
        <f>COMPOSICOES!G511</f>
        <v/>
      </c>
      <c r="H56" s="60">
        <f>ROUND(ROUND(F56,2)*ROUND(G56,2),2)</f>
        <v/>
      </c>
      <c r="K56" t="n">
        <v>16.68</v>
      </c>
      <c r="L56">
        <f>G56-K56</f>
        <v/>
      </c>
    </row>
    <row r="57" ht="24" customHeight="1">
      <c r="A57" s="7" t="inlineStr">
        <is>
          <t>3.2.1.2</t>
        </is>
      </c>
      <c r="B57" s="8" t="inlineStr">
        <is>
          <t>104917</t>
        </is>
      </c>
      <c r="C57" s="9" t="inlineStr">
        <is>
          <t>ARMAÇÃO DE SAPATA ISOLADA, VIGA BALDRAME E SAPATA CORRIDA UTILIZANDO AÇO CA-50 DE 6,3 MM - MONTAGEM. AF_01/2024</t>
        </is>
      </c>
      <c r="D57" s="8" t="inlineStr">
        <is>
          <t>SINAPI</t>
        </is>
      </c>
      <c r="E57" s="8" t="inlineStr">
        <is>
          <t>KG</t>
        </is>
      </c>
      <c r="F57" s="58" t="n">
        <v>33.91</v>
      </c>
      <c r="G57" s="59">
        <f>COMPOSICOES!G527</f>
        <v/>
      </c>
      <c r="H57" s="60">
        <f>ROUND(ROUND(F57,2)*ROUND(G57,2),2)</f>
        <v/>
      </c>
      <c r="K57" t="n">
        <v>15.14</v>
      </c>
      <c r="L57">
        <f>G57-K57</f>
        <v/>
      </c>
    </row>
    <row r="58" ht="24" customHeight="1">
      <c r="A58" s="7" t="inlineStr">
        <is>
          <t>3.2.1.3</t>
        </is>
      </c>
      <c r="B58" s="8" t="inlineStr">
        <is>
          <t>104918</t>
        </is>
      </c>
      <c r="C58" s="9" t="inlineStr">
        <is>
          <t>ARMAÇÃO DE SAPATA ISOLADA, VIGA BALDRAME E SAPATA CORRIDA UTILIZANDO AÇO CA-50 DE 8 MM - MONTAGEM. AF_01/2024</t>
        </is>
      </c>
      <c r="D58" s="8" t="inlineStr">
        <is>
          <t>SINAPI</t>
        </is>
      </c>
      <c r="E58" s="8" t="inlineStr">
        <is>
          <t>KG</t>
        </is>
      </c>
      <c r="F58" s="58" t="n">
        <v>923.36</v>
      </c>
      <c r="G58" s="59">
        <f>COMPOSICOES!G543</f>
        <v/>
      </c>
      <c r="H58" s="60">
        <f>ROUND(ROUND(F58,2)*ROUND(G58,2),2)</f>
        <v/>
      </c>
      <c r="K58" t="n">
        <v>13.82</v>
      </c>
      <c r="L58">
        <f>G58-K58</f>
        <v/>
      </c>
    </row>
    <row r="59" ht="24" customHeight="1">
      <c r="A59" s="7" t="inlineStr">
        <is>
          <t>3.2.1.4</t>
        </is>
      </c>
      <c r="B59" s="8" t="inlineStr">
        <is>
          <t>104919</t>
        </is>
      </c>
      <c r="C59" s="9" t="inlineStr">
        <is>
          <t>ARMAÇÃO DE SAPATA ISOLADA, VIGA BALDRAME E SAPATA CORRIDA UTILIZANDO AÇO CA-50 DE 10 MM - MONTAGEM. AF_01/2024</t>
        </is>
      </c>
      <c r="D59" s="8" t="inlineStr">
        <is>
          <t>SINAPI</t>
        </is>
      </c>
      <c r="E59" s="8" t="inlineStr">
        <is>
          <t>KG</t>
        </is>
      </c>
      <c r="F59" s="58" t="n">
        <v>374.45</v>
      </c>
      <c r="G59" s="59">
        <f>COMPOSICOES!G559</f>
        <v/>
      </c>
      <c r="H59" s="60">
        <f>ROUND(ROUND(F59,2)*ROUND(G59,2),2)</f>
        <v/>
      </c>
      <c r="K59" t="n">
        <v>12.19</v>
      </c>
      <c r="L59">
        <f>G59-K59</f>
        <v/>
      </c>
    </row>
    <row r="60" ht="24" customHeight="1">
      <c r="A60" s="7" t="inlineStr">
        <is>
          <t>3.2.1.5</t>
        </is>
      </c>
      <c r="B60" s="8" t="inlineStr">
        <is>
          <t>104920</t>
        </is>
      </c>
      <c r="C60" s="9" t="inlineStr">
        <is>
          <t>ARMAÇÃO DE BLOCO, SAPATA ISOLADA, VIGA BALDRAME E SAPATA CORRIDA UTILIZANDO AÇO CA-50 DE 12,5 MM - MONTAGEM. AF_01/2024</t>
        </is>
      </c>
      <c r="D60" s="8" t="inlineStr">
        <is>
          <t>SINAPI</t>
        </is>
      </c>
      <c r="E60" s="8" t="inlineStr">
        <is>
          <t>KG</t>
        </is>
      </c>
      <c r="F60" s="58" t="n">
        <v>465.27</v>
      </c>
      <c r="G60" s="59">
        <f>COMPOSICOES!G575</f>
        <v/>
      </c>
      <c r="H60" s="60">
        <f>ROUND(ROUND(F60,2)*ROUND(G60,2),2)</f>
        <v/>
      </c>
      <c r="K60" t="n">
        <v>10.26</v>
      </c>
      <c r="L60">
        <f>G60-K60</f>
        <v/>
      </c>
    </row>
    <row r="61" ht="24" customHeight="1">
      <c r="A61" s="7" t="inlineStr">
        <is>
          <t>3.2.1.6</t>
        </is>
      </c>
      <c r="B61" s="8" t="inlineStr">
        <is>
          <t>104921</t>
        </is>
      </c>
      <c r="C61" s="9" t="inlineStr">
        <is>
          <t>ARMAÇÃO DE BLOCO, SAPATA ISOLADA, VIGA BALDRAME E SAPATA CORRIDA UTILIZANDO AÇO CA-50 DE 16 MM - MONTAGEM. AF_01/2024</t>
        </is>
      </c>
      <c r="D61" s="8" t="inlineStr">
        <is>
          <t>SINAPI</t>
        </is>
      </c>
      <c r="E61" s="8" t="inlineStr">
        <is>
          <t>KG</t>
        </is>
      </c>
      <c r="F61" s="58" t="n">
        <v>137.55</v>
      </c>
      <c r="G61" s="59">
        <f>COMPOSICOES!G591</f>
        <v/>
      </c>
      <c r="H61" s="60">
        <f>ROUND(ROUND(F61,2)*ROUND(G61,2),2)</f>
        <v/>
      </c>
      <c r="K61" t="n">
        <v>9.58</v>
      </c>
      <c r="L61">
        <f>G61-K61</f>
        <v/>
      </c>
    </row>
    <row r="62" ht="24" customHeight="1">
      <c r="A62" s="7" t="inlineStr">
        <is>
          <t>3.2.1.7</t>
        </is>
      </c>
      <c r="B62" s="8" t="inlineStr">
        <is>
          <t>104922</t>
        </is>
      </c>
      <c r="C62" s="9" t="inlineStr">
        <is>
          <t>ARMAÇÃO DE BLOCO, SAPATA ISOLADA E SAPATA CORRIDA UTILIZANDO AÇO CA-50DE 20 MM - MONTAGEM. AF_01/2024</t>
        </is>
      </c>
      <c r="D62" s="8" t="inlineStr">
        <is>
          <t>SINAPI</t>
        </is>
      </c>
      <c r="E62" s="8" t="inlineStr">
        <is>
          <t>KG</t>
        </is>
      </c>
      <c r="F62" s="58" t="n">
        <v>50.73</v>
      </c>
      <c r="G62" s="59">
        <f>COMPOSICOES!G607</f>
        <v/>
      </c>
      <c r="H62" s="60">
        <f>ROUND(ROUND(F62,2)*ROUND(G62,2),2)</f>
        <v/>
      </c>
      <c r="K62" t="n">
        <v>10.43</v>
      </c>
      <c r="L62">
        <f>G62-K62</f>
        <v/>
      </c>
    </row>
    <row r="63" ht="20" customHeight="1">
      <c r="A63" s="5" t="inlineStr">
        <is>
          <t>3.3</t>
        </is>
      </c>
      <c r="B63" s="5" t="inlineStr">
        <is>
          <t>FÔRMA PARA FUNDAÇÕES</t>
        </is>
      </c>
      <c r="C63" s="55" t="n"/>
      <c r="D63" s="55" t="n"/>
      <c r="E63" s="55" t="n"/>
      <c r="F63" s="55" t="n"/>
      <c r="G63" s="56" t="n"/>
      <c r="H63" s="57">
        <f>ROUND(H64,2)</f>
        <v/>
      </c>
    </row>
    <row r="64" ht="20" customHeight="1">
      <c r="A64" s="5" t="inlineStr">
        <is>
          <t>3.3.1</t>
        </is>
      </c>
      <c r="B64" s="5" t="inlineStr">
        <is>
          <t>FUNDAÇÕES (FÔRMA DE MADEIRA)</t>
        </is>
      </c>
      <c r="C64" s="55" t="n"/>
      <c r="D64" s="55" t="n"/>
      <c r="E64" s="55" t="n"/>
      <c r="F64" s="55" t="n"/>
      <c r="G64" s="56" t="n"/>
      <c r="H64" s="57">
        <f>ROUND(SUM(H65:H66),2)</f>
        <v/>
      </c>
    </row>
    <row r="65" ht="24" customHeight="1">
      <c r="A65" s="7" t="inlineStr">
        <is>
          <t>3.3.1.1</t>
        </is>
      </c>
      <c r="B65" s="8" t="inlineStr">
        <is>
          <t>96530</t>
        </is>
      </c>
      <c r="C65" s="9" t="inlineStr">
        <is>
          <t>FABRICAÇÃO, MONTAGEM E DESMONTAGEM DE FÔRMA PARA VIGA BALDRAME, EM MADEIRA SERRADA, E=25 MM, 1 UTILIZAÇÃO. AF_01/2024</t>
        </is>
      </c>
      <c r="D65" s="8" t="inlineStr">
        <is>
          <t>SINAPI</t>
        </is>
      </c>
      <c r="E65" s="8" t="inlineStr">
        <is>
          <t>M2</t>
        </is>
      </c>
      <c r="F65" s="58" t="n">
        <v>218.32</v>
      </c>
      <c r="G65" s="59">
        <f>COMPOSICOES!G628</f>
        <v/>
      </c>
      <c r="H65" s="60">
        <f>ROUND(ROUND(F65,2)*ROUND(G65,2),2)</f>
        <v/>
      </c>
      <c r="K65" t="n">
        <v>175.5</v>
      </c>
      <c r="L65">
        <f>G65-K65</f>
        <v/>
      </c>
    </row>
    <row r="66" ht="24" customHeight="1">
      <c r="A66" s="7" t="inlineStr">
        <is>
          <t>3.3.1.2</t>
        </is>
      </c>
      <c r="B66" s="8" t="inlineStr">
        <is>
          <t>96529</t>
        </is>
      </c>
      <c r="C66" s="9" t="inlineStr">
        <is>
          <t>FABRICAÇÃO, MONTAGEM E DESMONTAGEM DE FÔRMA PARA SAPATA, EM MADEIRA SERRADA, E=25 MM, 1 UTILIZAÇÃO. AF_01/2024</t>
        </is>
      </c>
      <c r="D66" s="8" t="inlineStr">
        <is>
          <t>SINAPI</t>
        </is>
      </c>
      <c r="E66" s="8" t="inlineStr">
        <is>
          <t>M2</t>
        </is>
      </c>
      <c r="F66" s="58" t="n">
        <v>36.72</v>
      </c>
      <c r="G66" s="59">
        <f>COMPOSICOES!G649</f>
        <v/>
      </c>
      <c r="H66" s="60">
        <f>ROUND(ROUND(F66,2)*ROUND(G66,2),2)</f>
        <v/>
      </c>
      <c r="K66" t="n">
        <v>308.83</v>
      </c>
      <c r="L66">
        <f>G66-K66</f>
        <v/>
      </c>
    </row>
    <row r="67" ht="20" customHeight="1">
      <c r="A67" s="5" t="inlineStr">
        <is>
          <t>3.4</t>
        </is>
      </c>
      <c r="B67" s="5" t="inlineStr">
        <is>
          <t>CONCRETO PARA FUNDAÇÕES</t>
        </is>
      </c>
      <c r="C67" s="55" t="n"/>
      <c r="D67" s="55" t="n"/>
      <c r="E67" s="55" t="n"/>
      <c r="F67" s="55" t="n"/>
      <c r="G67" s="56" t="n"/>
      <c r="H67" s="57">
        <f>ROUND(H68,2)</f>
        <v/>
      </c>
    </row>
    <row r="68" ht="20" customHeight="1">
      <c r="A68" s="5" t="inlineStr">
        <is>
          <t>3.4.1</t>
        </is>
      </c>
      <c r="B68" s="5" t="inlineStr">
        <is>
          <t>FUNDAÇÕES (CONCRETO ESTRUTURAL USINADO)</t>
        </is>
      </c>
      <c r="C68" s="55" t="n"/>
      <c r="D68" s="55" t="n"/>
      <c r="E68" s="55" t="n"/>
      <c r="F68" s="55" t="n"/>
      <c r="G68" s="56" t="n"/>
      <c r="H68" s="57">
        <f>ROUND(SUM(H69:H70),2)</f>
        <v/>
      </c>
    </row>
    <row r="69" ht="32" customHeight="1">
      <c r="A69" s="7" t="inlineStr">
        <is>
          <t>3.4.1.1</t>
        </is>
      </c>
      <c r="B69" s="8" t="inlineStr">
        <is>
          <t>96557</t>
        </is>
      </c>
      <c r="C69" s="9" t="inlineStr">
        <is>
          <t>CONCRETAGEM DE BLOCO DE COROAMENTO OU VIGA BALDRAME, FCK 30 MPA, COM USO DE BOMBA - LANÇAMENTO, ADENSAMENTO E ACABAMENTO.AF_01/2024</t>
        </is>
      </c>
      <c r="D69" s="8" t="inlineStr">
        <is>
          <t>SINAPI</t>
        </is>
      </c>
      <c r="E69" s="8" t="inlineStr">
        <is>
          <t>M3</t>
        </is>
      </c>
      <c r="F69" s="58" t="n">
        <v>14.71</v>
      </c>
      <c r="G69" s="59">
        <f>COMPOSICOES!G665</f>
        <v/>
      </c>
      <c r="H69" s="60">
        <f>ROUND(ROUND(F69,2)*ROUND(G69,2),2)</f>
        <v/>
      </c>
      <c r="K69" t="n">
        <v>700.03</v>
      </c>
      <c r="L69">
        <f>G69-K69</f>
        <v/>
      </c>
    </row>
    <row r="70" ht="24" customHeight="1">
      <c r="A70" s="7" t="inlineStr">
        <is>
          <t>3.4.1.2</t>
        </is>
      </c>
      <c r="B70" s="8" t="inlineStr">
        <is>
          <t>96558</t>
        </is>
      </c>
      <c r="C70" s="9" t="inlineStr">
        <is>
          <t>CONCRETAGEM DE SAPATA, FCK 30 MPA, COM USO DE BOMBA - LANÇAMENTO, ADENSAMENTO E ACABAMENTO. AF_01/2024</t>
        </is>
      </c>
      <c r="D70" s="8" t="inlineStr">
        <is>
          <t>SINAPI</t>
        </is>
      </c>
      <c r="E70" s="8" t="inlineStr">
        <is>
          <t>M3</t>
        </is>
      </c>
      <c r="F70" s="58" t="n">
        <v>19.18</v>
      </c>
      <c r="G70" s="59">
        <f>COMPOSICOES!G681</f>
        <v/>
      </c>
      <c r="H70" s="60">
        <f>ROUND(ROUND(F70,2)*ROUND(G70,2),2)</f>
        <v/>
      </c>
      <c r="K70" t="n">
        <v>733.38</v>
      </c>
      <c r="L70">
        <f>G70-K70</f>
        <v/>
      </c>
    </row>
    <row r="71" ht="20" customHeight="1">
      <c r="A71" s="5" t="inlineStr">
        <is>
          <t>3.5</t>
        </is>
      </c>
      <c r="B71" s="5" t="inlineStr">
        <is>
          <t>IMPERMEABILIZAÇÃO EM FUNDAÇÕES</t>
        </is>
      </c>
      <c r="C71" s="55" t="n"/>
      <c r="D71" s="55" t="n"/>
      <c r="E71" s="55" t="n"/>
      <c r="F71" s="55" t="n"/>
      <c r="G71" s="56" t="n"/>
      <c r="H71" s="57">
        <f>ROUND(H72,2)</f>
        <v/>
      </c>
    </row>
    <row r="72" ht="20" customHeight="1">
      <c r="A72" s="5" t="inlineStr">
        <is>
          <t>3.5.1</t>
        </is>
      </c>
      <c r="B72" s="5" t="inlineStr">
        <is>
          <t>FUNDAÇÕES (IMPERMEABILIZAÇÃO COM TINTA ASFÁLTICA)</t>
        </is>
      </c>
      <c r="C72" s="55" t="n"/>
      <c r="D72" s="55" t="n"/>
      <c r="E72" s="55" t="n"/>
      <c r="F72" s="55" t="n"/>
      <c r="G72" s="56" t="n"/>
      <c r="H72" s="57">
        <f>ROUND(SUM(H73:H73),2)</f>
        <v/>
      </c>
    </row>
    <row r="73" ht="20" customHeight="1">
      <c r="A73" s="7" t="inlineStr">
        <is>
          <t>3.5.1.1</t>
        </is>
      </c>
      <c r="B73" s="8" t="inlineStr">
        <is>
          <t>98557</t>
        </is>
      </c>
      <c r="C73" s="9" t="inlineStr">
        <is>
          <t>IMPERMEABILIZAÇÃO DE SUPERFÍCIE COM EMULSÃO ASFÁLTICA, 2 DEMÃOS.AF_09/2023</t>
        </is>
      </c>
      <c r="D73" s="8" t="inlineStr">
        <is>
          <t>SINAPI</t>
        </is>
      </c>
      <c r="E73" s="8" t="inlineStr">
        <is>
          <t>M2</t>
        </is>
      </c>
      <c r="F73" s="58" t="n">
        <v>218.32</v>
      </c>
      <c r="G73" s="59">
        <f>COMPOSICOES!G693</f>
        <v/>
      </c>
      <c r="H73" s="60">
        <f>ROUND(ROUND(F73,2)*ROUND(G73,2),2)</f>
        <v/>
      </c>
      <c r="K73" t="n">
        <v>42.09</v>
      </c>
      <c r="L73">
        <f>G73-K73</f>
        <v/>
      </c>
    </row>
    <row r="74" ht="20" customHeight="1">
      <c r="A74" s="5" t="inlineStr">
        <is>
          <t>4</t>
        </is>
      </c>
      <c r="B74" s="5" t="inlineStr">
        <is>
          <t>SUPERESTRUTURA</t>
        </is>
      </c>
      <c r="C74" s="55" t="n"/>
      <c r="D74" s="55" t="n"/>
      <c r="E74" s="55" t="n"/>
      <c r="F74" s="55" t="n"/>
      <c r="G74" s="56" t="n"/>
      <c r="H74" s="57">
        <f>ROUND(H75+H99,2)</f>
        <v/>
      </c>
    </row>
    <row r="75" ht="20" customHeight="1">
      <c r="A75" s="5" t="inlineStr">
        <is>
          <t>4.1</t>
        </is>
      </c>
      <c r="B75" s="5" t="inlineStr">
        <is>
          <t>PILARES, VIGAS E LAJES DE CONCRETO ARMADO</t>
        </is>
      </c>
      <c r="C75" s="55" t="n"/>
      <c r="D75" s="55" t="n"/>
      <c r="E75" s="55" t="n"/>
      <c r="F75" s="55" t="n"/>
      <c r="G75" s="56" t="n"/>
      <c r="H75" s="57">
        <f>ROUND(H76+H83+H90+H96,2)</f>
        <v/>
      </c>
    </row>
    <row r="76" ht="20" customHeight="1">
      <c r="A76" s="5" t="inlineStr">
        <is>
          <t>4.1.1</t>
        </is>
      </c>
      <c r="B76" s="5" t="inlineStr">
        <is>
          <t>SUPERESTRUTURA (ARMADURA PILARES E VIGAS - VERGALHÕES DE AÇO)</t>
        </is>
      </c>
      <c r="C76" s="55" t="n"/>
      <c r="D76" s="55" t="n"/>
      <c r="E76" s="55" t="n"/>
      <c r="F76" s="55" t="n"/>
      <c r="G76" s="56" t="n"/>
      <c r="H76" s="57">
        <f>ROUND(SUM(H77:H82),2)</f>
        <v/>
      </c>
    </row>
    <row r="77" ht="24" customHeight="1">
      <c r="A77" s="7" t="inlineStr">
        <is>
          <t>4.1.1.1</t>
        </is>
      </c>
      <c r="B77" s="8" t="inlineStr">
        <is>
          <t>92759</t>
        </is>
      </c>
      <c r="C77" s="9" t="inlineStr">
        <is>
          <t>ARMAÇÃO DE PILAR OU VIGA DE ESTRUTURA CONVENCIONAL DE CONCRETO ARMADO UTILIZANDO AÇO CA-60 DE 5,0 MM - MONTAGEM. AF_06/2022</t>
        </is>
      </c>
      <c r="D77" s="8" t="inlineStr">
        <is>
          <t>SINAPI</t>
        </is>
      </c>
      <c r="E77" s="8" t="inlineStr">
        <is>
          <t>KG</t>
        </is>
      </c>
      <c r="F77" s="58" t="n">
        <v>911</v>
      </c>
      <c r="G77" s="59">
        <f>COMPOSICOES!G709</f>
        <v/>
      </c>
      <c r="H77" s="60">
        <f>ROUND(ROUND(F77,2)*ROUND(G77,2),2)</f>
        <v/>
      </c>
      <c r="K77" t="n">
        <v>13.81</v>
      </c>
      <c r="L77">
        <f>G77-K77</f>
        <v/>
      </c>
    </row>
    <row r="78" ht="24" customHeight="1">
      <c r="A78" s="7" t="inlineStr">
        <is>
          <t>4.1.1.2</t>
        </is>
      </c>
      <c r="B78" s="8" t="inlineStr">
        <is>
          <t>92760</t>
        </is>
      </c>
      <c r="C78" s="9" t="inlineStr">
        <is>
          <t>ARMAÇÃO DE PILAR OU VIGA DE ESTRUTURA CONVENCIONAL DE CONCRETO ARMADO UTILIZANDO AÇO CA-50 DE 6,3 MM - MONTAGEM. AF_06/2022</t>
        </is>
      </c>
      <c r="D78" s="8" t="inlineStr">
        <is>
          <t>SINAPI</t>
        </is>
      </c>
      <c r="E78" s="8" t="inlineStr">
        <is>
          <t>KG</t>
        </is>
      </c>
      <c r="F78" s="58" t="n">
        <v>566.6</v>
      </c>
      <c r="G78" s="59">
        <f>COMPOSICOES!G725</f>
        <v/>
      </c>
      <c r="H78" s="60">
        <f>ROUND(ROUND(F78,2)*ROUND(G78,2),2)</f>
        <v/>
      </c>
      <c r="K78" t="n">
        <v>12.71</v>
      </c>
      <c r="L78">
        <f>G78-K78</f>
        <v/>
      </c>
    </row>
    <row r="79" ht="24" customHeight="1">
      <c r="A79" s="7" t="inlineStr">
        <is>
          <t>4.1.1.3</t>
        </is>
      </c>
      <c r="B79" s="8" t="inlineStr">
        <is>
          <t>92761</t>
        </is>
      </c>
      <c r="C79" s="9" t="inlineStr">
        <is>
          <t>ARMAÇÃO DE PILAR OU VIGA DE ESTRUTURA CONVENCIONAL DE CONCRETO ARMADO UTILIZANDO AÇO CA-50 DE 8,0 MM - MONTAGEM. AF_06/2022</t>
        </is>
      </c>
      <c r="D79" s="8" t="inlineStr">
        <is>
          <t>SINAPI</t>
        </is>
      </c>
      <c r="E79" s="8" t="inlineStr">
        <is>
          <t>KG</t>
        </is>
      </c>
      <c r="F79" s="58" t="n">
        <v>257.4</v>
      </c>
      <c r="G79" s="59">
        <f>COMPOSICOES!G741</f>
        <v/>
      </c>
      <c r="H79" s="60">
        <f>ROUND(ROUND(F79,2)*ROUND(G79,2),2)</f>
        <v/>
      </c>
      <c r="K79" t="n">
        <v>11.73</v>
      </c>
      <c r="L79">
        <f>G79-K79</f>
        <v/>
      </c>
    </row>
    <row r="80" ht="24" customHeight="1">
      <c r="A80" s="7" t="inlineStr">
        <is>
          <t>4.1.1.4</t>
        </is>
      </c>
      <c r="B80" s="8" t="inlineStr">
        <is>
          <t>92762</t>
        </is>
      </c>
      <c r="C80" s="9" t="inlineStr">
        <is>
          <t>ARMAÇÃO DE PILAR OU VIGA DE ESTRUTURA CONVENCIONAL DE CONCRETO ARMADO UTILIZANDO AÇO CA-50 DE 10,0 MM - MONTAGEM.AF_06/2022</t>
        </is>
      </c>
      <c r="D80" s="8" t="inlineStr">
        <is>
          <t>SINAPI</t>
        </is>
      </c>
      <c r="E80" s="8" t="inlineStr">
        <is>
          <t>KG</t>
        </is>
      </c>
      <c r="F80" s="58" t="n">
        <v>2550</v>
      </c>
      <c r="G80" s="59">
        <f>COMPOSICOES!G757</f>
        <v/>
      </c>
      <c r="H80" s="60">
        <f>ROUND(ROUND(F80,2)*ROUND(G80,2),2)</f>
        <v/>
      </c>
      <c r="K80" t="n">
        <v>10.34</v>
      </c>
      <c r="L80">
        <f>G80-K80</f>
        <v/>
      </c>
    </row>
    <row r="81" ht="24" customHeight="1">
      <c r="A81" s="7" t="inlineStr">
        <is>
          <t>4.1.1.5</t>
        </is>
      </c>
      <c r="B81" s="8" t="inlineStr">
        <is>
          <t>92763</t>
        </is>
      </c>
      <c r="C81" s="9" t="inlineStr">
        <is>
          <t>ARMAÇÃO DE PILAR OU VIGA DE ESTRUTURA CONVENCIONAL DE CONCRETO ARMADO UTILIZANDO AÇO CA-50 DE 12,5 MM - MONTAGEM.AF_06/2022</t>
        </is>
      </c>
      <c r="D81" s="8" t="inlineStr">
        <is>
          <t>SINAPI</t>
        </is>
      </c>
      <c r="E81" s="8" t="inlineStr">
        <is>
          <t>KG</t>
        </is>
      </c>
      <c r="F81" s="58" t="n">
        <v>1550.3</v>
      </c>
      <c r="G81" s="59">
        <f>COMPOSICOES!G773</f>
        <v/>
      </c>
      <c r="H81" s="60">
        <f>ROUND(ROUND(F81,2)*ROUND(G81,2),2)</f>
        <v/>
      </c>
      <c r="K81" t="n">
        <v>8.609999999999999</v>
      </c>
      <c r="L81">
        <f>G81-K81</f>
        <v/>
      </c>
    </row>
    <row r="82" ht="24" customHeight="1">
      <c r="A82" s="7" t="inlineStr">
        <is>
          <t>4.1.1.6</t>
        </is>
      </c>
      <c r="B82" s="8" t="inlineStr">
        <is>
          <t>92764</t>
        </is>
      </c>
      <c r="C82" s="9" t="inlineStr">
        <is>
          <t>ARMAÇÃO DE PILAR OU VIGA DE ESTRUTURA CONVENCIONAL DE CONCRETO ARMADO UTILIZANDO AÇO CA-50 DE 16,0 MM - MONTAGEM.AF_06/2022</t>
        </is>
      </c>
      <c r="D82" s="8" t="inlineStr">
        <is>
          <t>SINAPI</t>
        </is>
      </c>
      <c r="E82" s="8" t="inlineStr">
        <is>
          <t>KG</t>
        </is>
      </c>
      <c r="F82" s="58" t="n">
        <v>1282.6</v>
      </c>
      <c r="G82" s="59">
        <f>COMPOSICOES!G789</f>
        <v/>
      </c>
      <c r="H82" s="60">
        <f>ROUND(ROUND(F82,2)*ROUND(G82,2),2)</f>
        <v/>
      </c>
      <c r="K82" t="n">
        <v>8.27</v>
      </c>
      <c r="L82">
        <f>G82-K82</f>
        <v/>
      </c>
    </row>
    <row r="83" ht="20" customHeight="1">
      <c r="A83" s="5" t="inlineStr">
        <is>
          <t>4.1.2</t>
        </is>
      </c>
      <c r="B83" s="5" t="inlineStr">
        <is>
          <t>SUPERESTRUTURA (ARMADURA LAJES)</t>
        </is>
      </c>
      <c r="C83" s="55" t="n"/>
      <c r="D83" s="55" t="n"/>
      <c r="E83" s="55" t="n"/>
      <c r="F83" s="55" t="n"/>
      <c r="G83" s="56" t="n"/>
      <c r="H83" s="57">
        <f>ROUND(SUM(H84:H89),2)</f>
        <v/>
      </c>
    </row>
    <row r="84" ht="24" customHeight="1">
      <c r="A84" s="7" t="inlineStr">
        <is>
          <t>4.1.2.1</t>
        </is>
      </c>
      <c r="B84" s="8" t="inlineStr">
        <is>
          <t>92768</t>
        </is>
      </c>
      <c r="C84" s="9" t="inlineStr">
        <is>
          <t>ARMAÇÃO DE LAJE DE ESTRUTURA CONVENCIONAL DE CONCRETO ARMADO UTILIZANDO AÇO CA-60 DE 5,0 MM - MONTAGEM. AF_06/2022</t>
        </is>
      </c>
      <c r="D84" s="8" t="inlineStr">
        <is>
          <t>SINAPI</t>
        </is>
      </c>
      <c r="E84" s="8" t="inlineStr">
        <is>
          <t>KG</t>
        </is>
      </c>
      <c r="F84" s="58" t="n">
        <v>924.8</v>
      </c>
      <c r="G84" s="59">
        <f>COMPOSICOES!G805</f>
        <v/>
      </c>
      <c r="H84" s="60">
        <f>ROUND(ROUND(F84,2)*ROUND(G84,2),2)</f>
        <v/>
      </c>
      <c r="K84" t="n">
        <v>13.2</v>
      </c>
      <c r="L84">
        <f>G84-K84</f>
        <v/>
      </c>
    </row>
    <row r="85" ht="24" customHeight="1">
      <c r="A85" s="7" t="inlineStr">
        <is>
          <t>4.1.2.2</t>
        </is>
      </c>
      <c r="B85" s="8" t="inlineStr">
        <is>
          <t>92769</t>
        </is>
      </c>
      <c r="C85" s="9" t="inlineStr">
        <is>
          <t>ARMAÇÃO DE LAJE DE ESTRUTURA CONVENCIONAL DE CONCRETO ARMADO UTILIZANDO AÇO CA-50 DE 6,3 MM - MONTAGEM. AF_06/2022</t>
        </is>
      </c>
      <c r="D85" s="8" t="inlineStr">
        <is>
          <t>SINAPI</t>
        </is>
      </c>
      <c r="E85" s="8" t="inlineStr">
        <is>
          <t>KG</t>
        </is>
      </c>
      <c r="F85" s="58" t="n">
        <v>387.5</v>
      </c>
      <c r="G85" s="59">
        <f>COMPOSICOES!G821</f>
        <v/>
      </c>
      <c r="H85" s="60">
        <f>ROUND(ROUND(F85,2)*ROUND(G85,2),2)</f>
        <v/>
      </c>
      <c r="K85" t="n">
        <v>12.13</v>
      </c>
      <c r="L85">
        <f>G85-K85</f>
        <v/>
      </c>
    </row>
    <row r="86" ht="24" customHeight="1">
      <c r="A86" s="7" t="inlineStr">
        <is>
          <t>4.1.2.3</t>
        </is>
      </c>
      <c r="B86" s="8" t="inlineStr">
        <is>
          <t>92770</t>
        </is>
      </c>
      <c r="C86" s="9" t="inlineStr">
        <is>
          <t>ARMAÇÃO DE LAJE DE ESTRUTURA CONVENCIONAL DE CONCRETO ARMADO UTILIZANDO AÇO CA-50 DE 8,0 MM - MONTAGEM. AF_06/2022</t>
        </is>
      </c>
      <c r="D86" s="8" t="inlineStr">
        <is>
          <t>SINAPI</t>
        </is>
      </c>
      <c r="E86" s="8" t="inlineStr">
        <is>
          <t>KG</t>
        </is>
      </c>
      <c r="F86" s="58" t="n">
        <v>1638.2</v>
      </c>
      <c r="G86" s="59">
        <f>COMPOSICOES!G837</f>
        <v/>
      </c>
      <c r="H86" s="60">
        <f>ROUND(ROUND(F86,2)*ROUND(G86,2),2)</f>
        <v/>
      </c>
      <c r="K86" t="n">
        <v>11.19</v>
      </c>
      <c r="L86">
        <f>G86-K86</f>
        <v/>
      </c>
    </row>
    <row r="87" ht="24" customHeight="1">
      <c r="A87" s="7" t="inlineStr">
        <is>
          <t>4.1.2.4</t>
        </is>
      </c>
      <c r="B87" s="8" t="inlineStr">
        <is>
          <t>92771</t>
        </is>
      </c>
      <c r="C87" s="9" t="inlineStr">
        <is>
          <t>ARMAÇÃO DE LAJE DE ESTRUTURA CONVENCIONAL DE CONCRETO ARMADOUTILIZANDO AÇO CA-50 DE 10,0 MM - MONTAGEM. AF_06/2022</t>
        </is>
      </c>
      <c r="D87" s="8" t="inlineStr">
        <is>
          <t>SINAPI</t>
        </is>
      </c>
      <c r="E87" s="8" t="inlineStr">
        <is>
          <t>KG</t>
        </is>
      </c>
      <c r="F87" s="58" t="n">
        <v>1946.2</v>
      </c>
      <c r="G87" s="59">
        <f>COMPOSICOES!G853</f>
        <v/>
      </c>
      <c r="H87" s="60">
        <f>ROUND(ROUND(F87,2)*ROUND(G87,2),2)</f>
        <v/>
      </c>
      <c r="K87" t="n">
        <v>9.84</v>
      </c>
      <c r="L87">
        <f>G87-K87</f>
        <v/>
      </c>
    </row>
    <row r="88" ht="24" customHeight="1">
      <c r="A88" s="7" t="inlineStr">
        <is>
          <t>4.1.2.5</t>
        </is>
      </c>
      <c r="B88" s="8" t="inlineStr">
        <is>
          <t>92772</t>
        </is>
      </c>
      <c r="C88" s="9" t="inlineStr">
        <is>
          <t>ARMAÇÃO DE LAJE DE ESTRUTURA CONVENCIONAL DE CONCRETO ARMADO UTILIZANDO AÇO CA-50 DE 12,5 MM - MONTAGEM. AF_06/2022</t>
        </is>
      </c>
      <c r="D88" s="8" t="inlineStr">
        <is>
          <t>SINAPI</t>
        </is>
      </c>
      <c r="E88" s="8" t="inlineStr">
        <is>
          <t>KG</t>
        </is>
      </c>
      <c r="F88" s="58" t="n">
        <v>825.4</v>
      </c>
      <c r="G88" s="59">
        <f>COMPOSICOES!G869</f>
        <v/>
      </c>
      <c r="H88" s="60">
        <f>ROUND(ROUND(F88,2)*ROUND(G88,2),2)</f>
        <v/>
      </c>
      <c r="K88" t="n">
        <v>8.16</v>
      </c>
      <c r="L88">
        <f>G88-K88</f>
        <v/>
      </c>
    </row>
    <row r="89" ht="24" customHeight="1">
      <c r="A89" s="7" t="inlineStr">
        <is>
          <t>4.1.2.6</t>
        </is>
      </c>
      <c r="B89" s="8" t="inlineStr">
        <is>
          <t>92773</t>
        </is>
      </c>
      <c r="C89" s="9" t="inlineStr">
        <is>
          <t>ARMAÇÃO DE LAJE DE ESTRUTURA CONVENCIONAL DE CONCRETO ARMADO UTILIZANDO AÇO CA-50 DE 16,0 MM - MONTAGEM. AF_06/2022</t>
        </is>
      </c>
      <c r="D89" s="8" t="inlineStr">
        <is>
          <t>SINAPI</t>
        </is>
      </c>
      <c r="E89" s="8" t="inlineStr">
        <is>
          <t>KG</t>
        </is>
      </c>
      <c r="F89" s="58" t="n">
        <v>803.5</v>
      </c>
      <c r="G89" s="59">
        <f>COMPOSICOES!G884</f>
        <v/>
      </c>
      <c r="H89" s="60">
        <f>ROUND(ROUND(F89,2)*ROUND(G89,2),2)</f>
        <v/>
      </c>
      <c r="K89" t="n">
        <v>7.97</v>
      </c>
      <c r="L89">
        <f>G89-K89</f>
        <v/>
      </c>
    </row>
    <row r="90" ht="20" customHeight="1">
      <c r="A90" s="5" t="inlineStr">
        <is>
          <t>4.1.3</t>
        </is>
      </c>
      <c r="B90" s="5" t="inlineStr">
        <is>
          <t>SUPERESTRUTURA (FÔRMAS)</t>
        </is>
      </c>
      <c r="C90" s="55" t="n"/>
      <c r="D90" s="55" t="n"/>
      <c r="E90" s="55" t="n"/>
      <c r="F90" s="55" t="n"/>
      <c r="G90" s="56" t="n"/>
      <c r="H90" s="57">
        <f>ROUND(SUM(H91:H95),2)</f>
        <v/>
      </c>
    </row>
    <row r="91" ht="24" customHeight="1">
      <c r="A91" s="7" t="inlineStr">
        <is>
          <t>4.1.3.1</t>
        </is>
      </c>
      <c r="B91" s="8" t="inlineStr">
        <is>
          <t>92268</t>
        </is>
      </c>
      <c r="C91" s="9" t="inlineStr">
        <is>
          <t>FABRICAÇÃO DE FÔRMA PARA LAJES, EM CHAPA DE MADEIRA COMPENSADAPLASTIFICADA, E = 18 MM. AF_09/2020</t>
        </is>
      </c>
      <c r="D91" s="8" t="inlineStr">
        <is>
          <t>SINAPI</t>
        </is>
      </c>
      <c r="E91" s="8" t="inlineStr">
        <is>
          <t>M2</t>
        </is>
      </c>
      <c r="F91" s="58" t="n">
        <v>345.69</v>
      </c>
      <c r="G91" s="59">
        <f>COMPOSICOES!G900</f>
        <v/>
      </c>
      <c r="H91" s="60">
        <f>ROUND(ROUND(F91,2)*ROUND(G91,2),2)</f>
        <v/>
      </c>
      <c r="K91" t="n">
        <v>103.84</v>
      </c>
      <c r="L91">
        <f>G91-K91</f>
        <v/>
      </c>
    </row>
    <row r="92" ht="24" customHeight="1">
      <c r="A92" s="7" t="inlineStr">
        <is>
          <t>4.1.3.2</t>
        </is>
      </c>
      <c r="B92" s="8" t="inlineStr">
        <is>
          <t>92263</t>
        </is>
      </c>
      <c r="C92" s="9" t="inlineStr">
        <is>
          <t>FABRICAÇÃO DE FÔRMA PARA PILARES E ESTRUTURAS SIMILARES, EM CHAPA DE MADEIRA COMPENSADA RESINADA, E = 17 MM. AF_09/2020</t>
        </is>
      </c>
      <c r="D92" s="8" t="inlineStr">
        <is>
          <t>SINAPI</t>
        </is>
      </c>
      <c r="E92" s="8" t="inlineStr">
        <is>
          <t>M2</t>
        </is>
      </c>
      <c r="F92" s="58" t="n">
        <v>181.84</v>
      </c>
      <c r="G92" s="59">
        <f>COMPOSICOES!G919</f>
        <v/>
      </c>
      <c r="H92" s="60">
        <f>ROUND(ROUND(F92,2)*ROUND(G92,2),2)</f>
        <v/>
      </c>
      <c r="K92" t="n">
        <v>194.45</v>
      </c>
      <c r="L92">
        <f>G92-K92</f>
        <v/>
      </c>
    </row>
    <row r="93" ht="24" customHeight="1">
      <c r="A93" s="7" t="inlineStr">
        <is>
          <t>4.1.3.3</t>
        </is>
      </c>
      <c r="B93" s="8" t="inlineStr">
        <is>
          <t>92266</t>
        </is>
      </c>
      <c r="C93" s="9" t="inlineStr">
        <is>
          <t>FABRICAÇÃO DE FÔRMA PARA VIGAS, EM CHAPA DE MADEIRA COMPENSADAPLASTIFICADA, E = 18 MM. AF_09/2020</t>
        </is>
      </c>
      <c r="D93" s="8" t="inlineStr">
        <is>
          <t>SINAPI</t>
        </is>
      </c>
      <c r="E93" s="8" t="inlineStr">
        <is>
          <t>M2</t>
        </is>
      </c>
      <c r="F93" s="58" t="n">
        <v>311.98</v>
      </c>
      <c r="G93" s="59">
        <f>COMPOSICOES!G938</f>
        <v/>
      </c>
      <c r="H93" s="60">
        <f>ROUND(ROUND(F93,2)*ROUND(G93,2),2)</f>
        <v/>
      </c>
      <c r="K93" t="n">
        <v>185.71</v>
      </c>
      <c r="L93">
        <f>G93-K93</f>
        <v/>
      </c>
    </row>
    <row r="94" ht="24" customHeight="1">
      <c r="A94" s="7" t="inlineStr">
        <is>
          <t>4.1.3.4</t>
        </is>
      </c>
      <c r="B94" s="8" t="inlineStr">
        <is>
          <t>101792</t>
        </is>
      </c>
      <c r="C94" s="9" t="inlineStr">
        <is>
          <t>ESCORAMENTO DE FÔRMAS DE LAJE EM MADEIRA NÃO APARELHADA, PÉ-DIREITO SIMPLES, INCLUSO TRAVAMENTO, 4 UTILIZAÇÕES. AF_09/2020</t>
        </is>
      </c>
      <c r="D94" s="8" t="inlineStr">
        <is>
          <t>SINAPI</t>
        </is>
      </c>
      <c r="E94" s="8" t="inlineStr">
        <is>
          <t>M3</t>
        </is>
      </c>
      <c r="F94" s="58" t="n">
        <v>42.3</v>
      </c>
      <c r="G94" s="59">
        <f>COMPOSICOES!G954</f>
        <v/>
      </c>
      <c r="H94" s="60">
        <f>ROUND(ROUND(F94,2)*ROUND(G94,2),2)</f>
        <v/>
      </c>
      <c r="K94" t="n">
        <v>19.7</v>
      </c>
      <c r="L94">
        <f>G94-K94</f>
        <v/>
      </c>
    </row>
    <row r="95" ht="24" customHeight="1">
      <c r="A95" s="7" t="inlineStr">
        <is>
          <t>4.1.3.5</t>
        </is>
      </c>
      <c r="B95" s="8" t="inlineStr">
        <is>
          <t>101793</t>
        </is>
      </c>
      <c r="C95" s="9" t="inlineStr">
        <is>
          <t>ESCORAMENTO DE FÔRMAS DE LAJE EM MADEIRA NÃO APARELHADA, PÉ-DIREITO DUPLO, INCLUSO TRAVAMENTO, 4 UTILIZAÇÕES. AF_09/2020</t>
        </is>
      </c>
      <c r="D95" s="8" t="inlineStr">
        <is>
          <t>SINAPI</t>
        </is>
      </c>
      <c r="E95" s="8" t="inlineStr">
        <is>
          <t>M3</t>
        </is>
      </c>
      <c r="F95" s="58" t="n">
        <v>11.2</v>
      </c>
      <c r="G95" s="59">
        <f>COMPOSICOES!G970</f>
        <v/>
      </c>
      <c r="H95" s="60">
        <f>ROUND(ROUND(F95,2)*ROUND(G95,2),2)</f>
        <v/>
      </c>
      <c r="K95" t="n">
        <v>31.17</v>
      </c>
      <c r="L95">
        <f>G95-K95</f>
        <v/>
      </c>
    </row>
    <row r="96" ht="20" customHeight="1">
      <c r="A96" s="5" t="inlineStr">
        <is>
          <t>4.1.4</t>
        </is>
      </c>
      <c r="B96" s="5" t="inlineStr">
        <is>
          <t>SUPERESTRUTURA (CONCRETO USINADO)</t>
        </is>
      </c>
      <c r="C96" s="55" t="n"/>
      <c r="D96" s="55" t="n"/>
      <c r="E96" s="55" t="n"/>
      <c r="F96" s="55" t="n"/>
      <c r="G96" s="56" t="n"/>
      <c r="H96" s="57">
        <f>ROUND(SUM(H97:H98),2)</f>
        <v/>
      </c>
    </row>
    <row r="97" ht="24" customHeight="1">
      <c r="A97" s="7" t="inlineStr">
        <is>
          <t>4.1.4.1</t>
        </is>
      </c>
      <c r="B97" s="8" t="inlineStr">
        <is>
          <t>394
PRÓPRIO</t>
        </is>
      </c>
      <c r="C97" s="9" t="inlineStr">
        <is>
          <t>CONCRETAGEM DE PILARES, FCK= 30MPA, COM USO DE BOMBA - LANÇAMENTO, ADENSAMENTO E ACABAMENTO. AF_02/2022_PS</t>
        </is>
      </c>
      <c r="D97" s="8" t="inlineStr">
        <is>
          <t>Composiçõ es Próprias</t>
        </is>
      </c>
      <c r="E97" s="8" t="inlineStr">
        <is>
          <t>M³</t>
        </is>
      </c>
      <c r="F97" s="58" t="n">
        <v>11.31</v>
      </c>
      <c r="G97" s="59">
        <f>COMPOSICOES!G987</f>
        <v/>
      </c>
      <c r="H97" s="60">
        <f>ROUND(ROUND(F97,2)*ROUND(G97,2),2)</f>
        <v/>
      </c>
      <c r="K97" t="n">
        <v>653.36</v>
      </c>
      <c r="L97">
        <f>G97-K97</f>
        <v/>
      </c>
    </row>
    <row r="98" ht="32" customHeight="1">
      <c r="A98" s="7" t="inlineStr">
        <is>
          <t>4.1.4.2</t>
        </is>
      </c>
      <c r="B98" s="8" t="inlineStr">
        <is>
          <t>395
PRÓPRIO</t>
        </is>
      </c>
      <c r="C98" s="9" t="inlineStr">
        <is>
          <t>CONCRETAGEM DE VIGAS E LAJES, FCK= 30MPA, PARA LAJES MACIÇAS OU NERVURADAS COM USO DE BOMBA - LANÇAMENTO, ADENSAMENTO EACABAMENTO. AF_02/2022_PS</t>
        </is>
      </c>
      <c r="D98" s="8" t="inlineStr">
        <is>
          <t>Composiçõ es Próprias</t>
        </is>
      </c>
      <c r="E98" s="8" t="inlineStr">
        <is>
          <t>M³</t>
        </is>
      </c>
      <c r="F98" s="58" t="n">
        <v>82.62</v>
      </c>
      <c r="G98" s="59">
        <f>COMPOSICOES!G1004</f>
        <v/>
      </c>
      <c r="H98" s="60">
        <f>ROUND(ROUND(F98,2)*ROUND(G98,2),2)</f>
        <v/>
      </c>
      <c r="K98" t="n">
        <v>654.36</v>
      </c>
      <c r="L98">
        <f>G98-K98</f>
        <v/>
      </c>
    </row>
    <row r="99" ht="20" customHeight="1">
      <c r="A99" s="5" t="inlineStr">
        <is>
          <t>4.2</t>
        </is>
      </c>
      <c r="B99" s="5" t="inlineStr">
        <is>
          <t>CONTROLE TECNOLÓGICO DE CONCRETO</t>
        </is>
      </c>
      <c r="C99" s="55" t="n"/>
      <c r="D99" s="55" t="n"/>
      <c r="E99" s="55" t="n"/>
      <c r="F99" s="55" t="n"/>
      <c r="G99" s="56" t="n"/>
      <c r="H99" s="57">
        <f>ROUND(SUM(H100:H100),2)</f>
        <v/>
      </c>
    </row>
    <row r="100" ht="40" customHeight="1">
      <c r="A100" s="7" t="inlineStr">
        <is>
          <t>4.2.1</t>
        </is>
      </c>
      <c r="B100" s="8" t="inlineStr">
        <is>
          <t>SOP2059</t>
        </is>
      </c>
      <c r="C100" s="9" t="inlineStr">
        <is>
          <t>CONTROLE TECNOLÓGICO DE CONCRETO "COM" MOLDAGEM DE CORPOS DE PROVA, MENSALIDADE DE LABORATORISTA DE ATÉ 44 HS, COLETA CORPOS DE PROVA E EMISSÃO CERTIFICADOS, DE 61 A 100 KM, DE SEGUNDA A SEXTA</t>
        </is>
      </c>
      <c r="D100" s="8" t="inlineStr">
        <is>
          <t>Composiçõ es Próprias</t>
        </is>
      </c>
      <c r="E100" s="8" t="inlineStr">
        <is>
          <t>MÊS</t>
        </is>
      </c>
      <c r="F100" s="58" t="n">
        <v>2</v>
      </c>
      <c r="G100" s="59">
        <f>COMPOSICOES!G1012</f>
        <v/>
      </c>
      <c r="H100" s="60">
        <f>ROUND(ROUND(F100,2)*ROUND(G100,2),2)</f>
        <v/>
      </c>
      <c r="K100" t="n">
        <v>12540</v>
      </c>
      <c r="L100">
        <f>G100-K100</f>
        <v/>
      </c>
    </row>
    <row r="101" ht="20" customHeight="1">
      <c r="A101" s="5" t="inlineStr">
        <is>
          <t>5</t>
        </is>
      </c>
      <c r="B101" s="5" t="inlineStr">
        <is>
          <t>COBERTURA</t>
        </is>
      </c>
      <c r="C101" s="55" t="n"/>
      <c r="D101" s="55" t="n"/>
      <c r="E101" s="55" t="n"/>
      <c r="F101" s="55" t="n"/>
      <c r="G101" s="56" t="n"/>
      <c r="H101" s="57">
        <f>ROUND(H102+H106+H111+H119+H122,2)</f>
        <v/>
      </c>
    </row>
    <row r="102" ht="20" customHeight="1">
      <c r="A102" s="5" t="inlineStr">
        <is>
          <t>5.1</t>
        </is>
      </c>
      <c r="B102" s="5" t="inlineStr">
        <is>
          <t>SERVIÇOS GERAIS EM COBERTURA</t>
        </is>
      </c>
      <c r="C102" s="55" t="n"/>
      <c r="D102" s="55" t="n"/>
      <c r="E102" s="55" t="n"/>
      <c r="F102" s="55" t="n"/>
      <c r="G102" s="56" t="n"/>
      <c r="H102" s="57">
        <f>ROUND(H103,2)</f>
        <v/>
      </c>
    </row>
    <row r="103" ht="20" customHeight="1">
      <c r="A103" s="5" t="inlineStr">
        <is>
          <t>5.1.1</t>
        </is>
      </c>
      <c r="B103" s="5" t="inlineStr">
        <is>
          <t>REGULARIZAÇÃO E PROTEÇÃO MECÂNICA DE SUPERFÍCIES</t>
        </is>
      </c>
      <c r="C103" s="55" t="n"/>
      <c r="D103" s="55" t="n"/>
      <c r="E103" s="55" t="n"/>
      <c r="F103" s="55" t="n"/>
      <c r="G103" s="56" t="n"/>
      <c r="H103" s="57">
        <f>ROUND(SUM(H104:H105),2)</f>
        <v/>
      </c>
    </row>
    <row r="104" ht="24" customHeight="1">
      <c r="A104" s="7" t="inlineStr">
        <is>
          <t>5.1.1.1</t>
        </is>
      </c>
      <c r="B104" s="8" t="inlineStr">
        <is>
          <t>98569</t>
        </is>
      </c>
      <c r="C104" s="9" t="inlineStr">
        <is>
          <t>PROTEÇÃO MECÂNICA DE SUPERFICIE HORIZONTAL COM ARGAMASSA DE CIMENTO E AREIA, TRAÇO 1:3, E=5CM. AF_09/2023</t>
        </is>
      </c>
      <c r="D104" s="8" t="inlineStr">
        <is>
          <t>SINAPI</t>
        </is>
      </c>
      <c r="E104" s="8" t="inlineStr">
        <is>
          <t>M2</t>
        </is>
      </c>
      <c r="F104" s="58" t="n">
        <v>222.8</v>
      </c>
      <c r="G104" s="59">
        <f>COMPOSICOES!G1027</f>
        <v/>
      </c>
      <c r="H104" s="60">
        <f>ROUND(ROUND(F104,2)*ROUND(G104,2),2)</f>
        <v/>
      </c>
      <c r="K104" t="n">
        <v>90.19</v>
      </c>
      <c r="L104">
        <f>G104-K104</f>
        <v/>
      </c>
    </row>
    <row r="105" ht="24" customHeight="1">
      <c r="A105" s="7" t="inlineStr">
        <is>
          <t>5.1.1.2</t>
        </is>
      </c>
      <c r="B105" s="8" t="inlineStr">
        <is>
          <t>98565</t>
        </is>
      </c>
      <c r="C105" s="9" t="inlineStr">
        <is>
          <t>PROTEÇÃO MECÂNICA DE SUPERFICIE HORIZONTAL COM ARGAMASSA DE CIMENTO E AREIA, TRAÇO 1:3, E=3CM. AF_09/2023</t>
        </is>
      </c>
      <c r="D105" s="8" t="inlineStr">
        <is>
          <t>SINAPI</t>
        </is>
      </c>
      <c r="E105" s="8" t="inlineStr">
        <is>
          <t>M2</t>
        </is>
      </c>
      <c r="F105" s="58" t="n">
        <v>222.8</v>
      </c>
      <c r="G105" s="59">
        <f>COMPOSICOES!G1042</f>
        <v/>
      </c>
      <c r="H105" s="60">
        <f>ROUND(ROUND(F105,2)*ROUND(G105,2),2)</f>
        <v/>
      </c>
      <c r="K105" t="n">
        <v>56.95</v>
      </c>
      <c r="L105">
        <f>G105-K105</f>
        <v/>
      </c>
    </row>
    <row r="106" ht="20" customHeight="1">
      <c r="A106" s="5" t="inlineStr">
        <is>
          <t>5.2</t>
        </is>
      </c>
      <c r="B106" s="5" t="inlineStr">
        <is>
          <t>IMPERMEABILIZAÇÕES</t>
        </is>
      </c>
      <c r="C106" s="55" t="n"/>
      <c r="D106" s="55" t="n"/>
      <c r="E106" s="55" t="n"/>
      <c r="F106" s="55" t="n"/>
      <c r="G106" s="56" t="n"/>
      <c r="H106" s="57">
        <f>ROUND(H107+H109,2)</f>
        <v/>
      </c>
    </row>
    <row r="107" ht="20" customHeight="1">
      <c r="A107" s="5" t="inlineStr">
        <is>
          <t>5.2.1</t>
        </is>
      </c>
      <c r="B107" s="5" t="inlineStr">
        <is>
          <t>SUPERESTRUTURA (IMPERMEABILIZAÇÃO COM MANTA ASFÁLTICA)</t>
        </is>
      </c>
      <c r="C107" s="55" t="n"/>
      <c r="D107" s="55" t="n"/>
      <c r="E107" s="55" t="n"/>
      <c r="F107" s="55" t="n"/>
      <c r="G107" s="56" t="n"/>
      <c r="H107" s="57">
        <f>ROUND(SUM(H108:H108),2)</f>
        <v/>
      </c>
    </row>
    <row r="108" ht="24" customHeight="1">
      <c r="A108" s="7" t="inlineStr">
        <is>
          <t>5.2.1.1</t>
        </is>
      </c>
      <c r="B108" s="8" t="inlineStr">
        <is>
          <t>98547</t>
        </is>
      </c>
      <c r="C108" s="9" t="inlineStr">
        <is>
          <t>IMPERMEABILIZAÇÃO DE SUPERFÍCIE COM MANTA ASFÁLTICA, DUAS CAMADAS, INCLUSIVE APLICAÇÃO DE PRIMER ASFÁLTICO, E=3MM E E=4MM. AF_09/2023</t>
        </is>
      </c>
      <c r="D108" s="8" t="inlineStr">
        <is>
          <t>SINAPI</t>
        </is>
      </c>
      <c r="E108" s="8" t="inlineStr">
        <is>
          <t>M2</t>
        </is>
      </c>
      <c r="F108" s="58" t="n">
        <v>349.31</v>
      </c>
      <c r="G108" s="59">
        <f>COMPOSICOES!G1057</f>
        <v/>
      </c>
      <c r="H108" s="60">
        <f>ROUND(ROUND(F108,2)*ROUND(G108,2),2)</f>
        <v/>
      </c>
      <c r="K108" t="n">
        <v>210.86</v>
      </c>
      <c r="L108">
        <f>G108-K108</f>
        <v/>
      </c>
    </row>
    <row r="109" ht="20" customHeight="1">
      <c r="A109" s="5" t="inlineStr">
        <is>
          <t>5.2.2</t>
        </is>
      </c>
      <c r="B109" s="5" t="inlineStr">
        <is>
          <t>SUPERESTRUTURA (IMPERMEABILIZAÇÃO COM POLIURÉIA)</t>
        </is>
      </c>
      <c r="C109" s="55" t="n"/>
      <c r="D109" s="55" t="n"/>
      <c r="E109" s="55" t="n"/>
      <c r="F109" s="55" t="n"/>
      <c r="G109" s="56" t="n"/>
      <c r="H109" s="57">
        <f>ROUND(SUM(H110:H110),2)</f>
        <v/>
      </c>
    </row>
    <row r="110" ht="20" customHeight="1">
      <c r="A110" s="7" t="inlineStr">
        <is>
          <t>5.2.2.1</t>
        </is>
      </c>
      <c r="B110" s="8" t="inlineStr">
        <is>
          <t>403
PRÓPRIO</t>
        </is>
      </c>
      <c r="C110" s="9" t="inlineStr">
        <is>
          <t>IMPERMEABILIZAÇÃO DE SUPERFÍCIE COM MEMBRANA A BASE DE POLIURÉIA - 2DEMÃOS</t>
        </is>
      </c>
      <c r="D110" s="8" t="inlineStr">
        <is>
          <t xml:space="preserve">Composiçõ es
</t>
        </is>
      </c>
      <c r="E110" s="8" t="inlineStr">
        <is>
          <t>M²</t>
        </is>
      </c>
      <c r="F110" s="58" t="n">
        <v>77</v>
      </c>
      <c r="G110" s="59">
        <f>COMPOSICOES!G1074</f>
        <v/>
      </c>
      <c r="H110" s="60">
        <f>ROUND(ROUND(F110,2)*ROUND(G110,2),2)</f>
        <v/>
      </c>
      <c r="K110" t="n">
        <v>280.23</v>
      </c>
      <c r="L110">
        <f>G110-K110</f>
        <v/>
      </c>
    </row>
    <row r="111" ht="20" customHeight="1">
      <c r="A111" s="5" t="inlineStr">
        <is>
          <t>5.3</t>
        </is>
      </c>
      <c r="B111" s="5" t="inlineStr">
        <is>
          <t>VEGETAÇÃO SOBRE LAJE</t>
        </is>
      </c>
      <c r="C111" s="55" t="n"/>
      <c r="D111" s="55" t="n"/>
      <c r="E111" s="55" t="n"/>
      <c r="F111" s="55" t="n"/>
      <c r="G111" s="56" t="n"/>
      <c r="H111" s="57">
        <f>ROUND(H112+H115,2)</f>
        <v/>
      </c>
    </row>
    <row r="112" ht="20" customHeight="1">
      <c r="A112" s="5" t="inlineStr">
        <is>
          <t>5.3.1</t>
        </is>
      </c>
      <c r="B112" s="5" t="inlineStr">
        <is>
          <t>CAMADA DRENANTE</t>
        </is>
      </c>
      <c r="C112" s="55" t="n"/>
      <c r="D112" s="55" t="n"/>
      <c r="E112" s="55" t="n"/>
      <c r="F112" s="55" t="n"/>
      <c r="G112" s="56" t="n"/>
      <c r="H112" s="57">
        <f>ROUND(SUM(H113:H114),2)</f>
        <v/>
      </c>
    </row>
    <row r="113" ht="24" customHeight="1">
      <c r="A113" s="7" t="inlineStr">
        <is>
          <t>5.3.1.1</t>
        </is>
      </c>
      <c r="B113" s="8" t="inlineStr">
        <is>
          <t>102712</t>
        </is>
      </c>
      <c r="C113" s="9" t="inlineStr">
        <is>
          <t>GEOTÊXTIL NÃO TECIDO 100% POLIÉSTER, RESISTÊNCIA A TRAÇÃO DE 9 KN/M (RT - 9), INSTALADO EM DRENO - FORNECIMENTO E INSTALAÇÃO. AF_07/2021</t>
        </is>
      </c>
      <c r="D113" s="8" t="inlineStr">
        <is>
          <t>SINAPI</t>
        </is>
      </c>
      <c r="E113" s="8" t="inlineStr">
        <is>
          <t>M2</t>
        </is>
      </c>
      <c r="F113" s="58" t="n">
        <v>344.87</v>
      </c>
      <c r="G113" s="59">
        <f>COMPOSICOES!G1086</f>
        <v/>
      </c>
      <c r="H113" s="60">
        <f>ROUND(ROUND(F113,2)*ROUND(G113,2),2)</f>
        <v/>
      </c>
      <c r="K113" t="n">
        <v>9.09</v>
      </c>
      <c r="L113">
        <f>G113-K113</f>
        <v/>
      </c>
    </row>
    <row r="114" ht="20" customHeight="1">
      <c r="A114" s="7" t="inlineStr">
        <is>
          <t>5.3.1.2</t>
        </is>
      </c>
      <c r="B114" s="8" t="inlineStr">
        <is>
          <t>372
PRÓPRIO</t>
        </is>
      </c>
      <c r="C114" s="9" t="inlineStr">
        <is>
          <t>ARGILA EXPANDIDA PARA PROTEÇÃO TÉRMICA DE IMPERMEABILIZAÇÃO DELAJES</t>
        </is>
      </c>
      <c r="D114" s="8" t="inlineStr">
        <is>
          <t xml:space="preserve">Composiçõ es
</t>
        </is>
      </c>
      <c r="E114" s="8" t="inlineStr">
        <is>
          <t>M³</t>
        </is>
      </c>
      <c r="F114" s="58" t="n">
        <v>16.17</v>
      </c>
      <c r="G114" s="59">
        <f>COMPOSICOES!G1097</f>
        <v/>
      </c>
      <c r="H114" s="60">
        <f>ROUND(ROUND(F114,2)*ROUND(G114,2),2)</f>
        <v/>
      </c>
      <c r="K114" t="n">
        <v>872.9400000000001</v>
      </c>
      <c r="L114">
        <f>G114-K114</f>
        <v/>
      </c>
    </row>
    <row r="115" ht="20" customHeight="1">
      <c r="A115" s="5" t="inlineStr">
        <is>
          <t>5.3.2</t>
        </is>
      </c>
      <c r="B115" s="5" t="inlineStr">
        <is>
          <t>CAMADA VEGETAL</t>
        </is>
      </c>
      <c r="C115" s="55" t="n"/>
      <c r="D115" s="55" t="n"/>
      <c r="E115" s="55" t="n"/>
      <c r="F115" s="55" t="n"/>
      <c r="G115" s="56" t="n"/>
      <c r="H115" s="57">
        <f>ROUND(SUM(H116:H118),2)</f>
        <v/>
      </c>
    </row>
    <row r="116" ht="24" customHeight="1">
      <c r="A116" s="7" t="inlineStr">
        <is>
          <t>5.3.2.1</t>
        </is>
      </c>
      <c r="B116" s="8" t="inlineStr">
        <is>
          <t>102712</t>
        </is>
      </c>
      <c r="C116" s="9" t="inlineStr">
        <is>
          <t>GEOTÊXTIL NÃO TECIDO 100% POLIÉSTER, RESISTÊNCIA A TRAÇÃO DE 9 KN/M (RT - 9), INSTALADO EM DRENO - FORNECIMENTO E INSTALAÇÃO. AF_07/2021</t>
        </is>
      </c>
      <c r="D116" s="8" t="inlineStr">
        <is>
          <t>SINAPI</t>
        </is>
      </c>
      <c r="E116" s="8" t="inlineStr">
        <is>
          <t>M2</t>
        </is>
      </c>
      <c r="F116" s="58" t="n">
        <v>279.26</v>
      </c>
      <c r="G116" s="59">
        <f>COMPOSICOES!G1109</f>
        <v/>
      </c>
      <c r="H116" s="60">
        <f>ROUND(ROUND(F116,2)*ROUND(G116,2),2)</f>
        <v/>
      </c>
      <c r="K116" t="n">
        <v>9.09</v>
      </c>
      <c r="L116">
        <f>G116-K116</f>
        <v/>
      </c>
    </row>
    <row r="117" ht="24" customHeight="1">
      <c r="A117" s="7" t="inlineStr">
        <is>
          <t>5.3.2.2</t>
        </is>
      </c>
      <c r="B117" s="8" t="inlineStr">
        <is>
          <t>373
PRÓPRIO</t>
        </is>
      </c>
      <c r="C117" s="9" t="inlineStr">
        <is>
          <t>TERRA PARA PLANTIO SOBRE LAJE IMPERMEABILIZADA - FORNECIMENTO E COLOCAÇÃO (INCLUI TRANSPORTE VERTICAL 1º PAVIMENTO)</t>
        </is>
      </c>
      <c r="D117" s="8" t="inlineStr">
        <is>
          <t>Composiçõ es Próprias</t>
        </is>
      </c>
      <c r="E117" s="8" t="inlineStr">
        <is>
          <t>M³</t>
        </is>
      </c>
      <c r="F117" s="58" t="n">
        <v>22.6</v>
      </c>
      <c r="G117" s="59">
        <f>COMPOSICOES!G1124</f>
        <v/>
      </c>
      <c r="H117" s="60">
        <f>ROUND(ROUND(F117,2)*ROUND(G117,2),2)</f>
        <v/>
      </c>
      <c r="K117" t="n">
        <v>86.81</v>
      </c>
      <c r="L117">
        <f>G117-K117</f>
        <v/>
      </c>
    </row>
    <row r="118" ht="20" customHeight="1">
      <c r="A118" s="7" t="inlineStr">
        <is>
          <t>5.3.2.3</t>
        </is>
      </c>
      <c r="B118" s="8" t="inlineStr">
        <is>
          <t>98504</t>
        </is>
      </c>
      <c r="C118" s="9" t="inlineStr">
        <is>
          <t>PLANTIO DE GRAMA BATATAIS EM PLACAS.AF_07/2024</t>
        </is>
      </c>
      <c r="D118" s="8" t="inlineStr">
        <is>
          <t>SINAPI</t>
        </is>
      </c>
      <c r="E118" s="8" t="inlineStr">
        <is>
          <t>M2</t>
        </is>
      </c>
      <c r="F118" s="58" t="n">
        <v>211.56</v>
      </c>
      <c r="G118" s="59">
        <f>COMPOSICOES!G1136</f>
        <v/>
      </c>
      <c r="H118" s="60">
        <f>ROUND(ROUND(F118,2)*ROUND(G118,2),2)</f>
        <v/>
      </c>
      <c r="K118" t="n">
        <v>14.63</v>
      </c>
      <c r="L118">
        <f>G118-K118</f>
        <v/>
      </c>
    </row>
    <row r="119" ht="20" customHeight="1">
      <c r="A119" s="5" t="inlineStr">
        <is>
          <t>5.4</t>
        </is>
      </c>
      <c r="B119" s="5" t="inlineStr">
        <is>
          <t>MOLDURAS E PROTEÇÕES</t>
        </is>
      </c>
      <c r="C119" s="55" t="n"/>
      <c r="D119" s="55" t="n"/>
      <c r="E119" s="55" t="n"/>
      <c r="F119" s="55" t="n"/>
      <c r="G119" s="56" t="n"/>
      <c r="H119" s="57">
        <f>ROUND(H120,2)</f>
        <v/>
      </c>
    </row>
    <row r="120" ht="20" customHeight="1">
      <c r="A120" s="5" t="inlineStr">
        <is>
          <t>5.4.1</t>
        </is>
      </c>
      <c r="B120" s="5" t="inlineStr">
        <is>
          <t>CHAPIM EM CONCRETO</t>
        </is>
      </c>
      <c r="C120" s="55" t="n"/>
      <c r="D120" s="55" t="n"/>
      <c r="E120" s="55" t="n"/>
      <c r="F120" s="55" t="n"/>
      <c r="G120" s="56" t="n"/>
      <c r="H120" s="57">
        <f>ROUND(SUM(H121:H121),2)</f>
        <v/>
      </c>
    </row>
    <row r="121" ht="24" customHeight="1">
      <c r="A121" s="7" t="inlineStr">
        <is>
          <t>5.4.1.1</t>
        </is>
      </c>
      <c r="B121" s="8" t="inlineStr">
        <is>
          <t>477
PRÓPRIO</t>
        </is>
      </c>
      <c r="C121" s="9" t="inlineStr">
        <is>
          <t>CHAPIM SOBRE MUROS E/OU PLATIBANDAS LINEARES, EM PRÉ-MOLDADO DE CONCRETO, L= 25CM, ASSENTADO COM ARGAMASSA 1:6 COMADITIVO</t>
        </is>
      </c>
      <c r="D121" s="8" t="inlineStr">
        <is>
          <t>Composiçõ es Próprias</t>
        </is>
      </c>
      <c r="E121" s="8" t="inlineStr">
        <is>
          <t>M</t>
        </is>
      </c>
      <c r="F121" s="58" t="n">
        <v>115.72</v>
      </c>
      <c r="G121" s="59">
        <f>COMPOSICOES!G1155</f>
        <v/>
      </c>
      <c r="H121" s="60">
        <f>ROUND(ROUND(F121,2)*ROUND(G121,2),2)</f>
        <v/>
      </c>
      <c r="K121" t="n">
        <v>60.02</v>
      </c>
      <c r="L121">
        <f>G121-K121</f>
        <v/>
      </c>
    </row>
    <row r="122" ht="20" customHeight="1">
      <c r="A122" s="5" t="inlineStr">
        <is>
          <t>5.5</t>
        </is>
      </c>
      <c r="B122" s="5" t="inlineStr">
        <is>
          <t>FECHAMENTOS</t>
        </is>
      </c>
      <c r="C122" s="55" t="n"/>
      <c r="D122" s="55" t="n"/>
      <c r="E122" s="55" t="n"/>
      <c r="F122" s="55" t="n"/>
      <c r="G122" s="56" t="n"/>
      <c r="H122" s="57">
        <f>ROUND(H123,2)</f>
        <v/>
      </c>
    </row>
    <row r="123" ht="20" customHeight="1">
      <c r="A123" s="5" t="inlineStr">
        <is>
          <t>5.5.1</t>
        </is>
      </c>
      <c r="B123" s="5" t="inlineStr">
        <is>
          <t>CLARABÓIAS, SHEDS ETC</t>
        </is>
      </c>
      <c r="C123" s="55" t="n"/>
      <c r="D123" s="55" t="n"/>
      <c r="E123" s="55" t="n"/>
      <c r="F123" s="55" t="n"/>
      <c r="G123" s="56" t="n"/>
      <c r="H123" s="57">
        <f>ROUND(SUM(H124:H124),2)</f>
        <v/>
      </c>
    </row>
    <row r="124" ht="20" customHeight="1">
      <c r="A124" s="7" t="inlineStr">
        <is>
          <t>5.5.1.1</t>
        </is>
      </c>
      <c r="B124" s="8" t="inlineStr">
        <is>
          <t>478
PRÓPRIO</t>
        </is>
      </c>
      <c r="C124" s="9" t="inlineStr">
        <is>
          <t>CLARABOIA EM CAIXILHO DE ALUMÍNIO E VIDRO LAMINADO COLORIDO -FORNECIMENTO E INSTALAÇÃO</t>
        </is>
      </c>
      <c r="D124" s="8" t="inlineStr">
        <is>
          <t xml:space="preserve">Composiçõ es
</t>
        </is>
      </c>
      <c r="E124" s="8" t="inlineStr">
        <is>
          <t>M²</t>
        </is>
      </c>
      <c r="F124" s="58" t="n">
        <v>9.24</v>
      </c>
      <c r="G124" s="59">
        <f>COMPOSICOES!G1172</f>
        <v/>
      </c>
      <c r="H124" s="60">
        <f>ROUND(ROUND(F124,2)*ROUND(G124,2),2)</f>
        <v/>
      </c>
      <c r="K124" t="n">
        <v>1873.1</v>
      </c>
      <c r="L124">
        <f>G124-K124</f>
        <v/>
      </c>
    </row>
    <row r="125" ht="20" customHeight="1">
      <c r="A125" s="5" t="inlineStr">
        <is>
          <t>6</t>
        </is>
      </c>
      <c r="B125" s="5" t="inlineStr">
        <is>
          <t>PAREDES E PAINÉIS</t>
        </is>
      </c>
      <c r="C125" s="55" t="n"/>
      <c r="D125" s="55" t="n"/>
      <c r="E125" s="55" t="n"/>
      <c r="F125" s="55" t="n"/>
      <c r="G125" s="56" t="n"/>
      <c r="H125" s="57">
        <f>ROUND(H126+H129+H142,2)</f>
        <v/>
      </c>
    </row>
    <row r="126" ht="20" customHeight="1">
      <c r="A126" s="5" t="inlineStr">
        <is>
          <t>6.1</t>
        </is>
      </c>
      <c r="B126" s="5" t="inlineStr">
        <is>
          <t>ALVENARIA</t>
        </is>
      </c>
      <c r="C126" s="55" t="n"/>
      <c r="D126" s="55" t="n"/>
      <c r="E126" s="55" t="n"/>
      <c r="F126" s="55" t="n"/>
      <c r="G126" s="56" t="n"/>
      <c r="H126" s="57">
        <f>ROUND(H127,2)</f>
        <v/>
      </c>
    </row>
    <row r="127" ht="20" customHeight="1">
      <c r="A127" s="5" t="inlineStr">
        <is>
          <t>6.1.1</t>
        </is>
      </c>
      <c r="B127" s="5" t="inlineStr">
        <is>
          <t>TIJOLO CERÂMICO FURADO</t>
        </is>
      </c>
      <c r="C127" s="55" t="n"/>
      <c r="D127" s="55" t="n"/>
      <c r="E127" s="55" t="n"/>
      <c r="F127" s="55" t="n"/>
      <c r="G127" s="56" t="n"/>
      <c r="H127" s="57">
        <f>ROUND(SUM(H128:H128),2)</f>
        <v/>
      </c>
    </row>
    <row r="128" ht="32" customHeight="1">
      <c r="A128" s="7" t="inlineStr">
        <is>
          <t>6.1.1.1</t>
        </is>
      </c>
      <c r="B128" s="8" t="inlineStr">
        <is>
          <t>103328</t>
        </is>
      </c>
      <c r="C128" s="9" t="inlineStr">
        <is>
          <t>ALVENARIA DE VEDAÇÃO DE BLOCOS CERÂMICOS FURADOS NA HORIZONTAL DE 9X19X19 CM (ESPESSURA 9 CM) E ARGAMASSA DE ASSENTAMENTO COMPREPARO EM BETONEIRA. AF_12/2021</t>
        </is>
      </c>
      <c r="D128" s="8" t="inlineStr">
        <is>
          <t>SINAPI</t>
        </is>
      </c>
      <c r="E128" s="8" t="inlineStr">
        <is>
          <t>M2</t>
        </is>
      </c>
      <c r="F128" s="58" t="n">
        <v>370.51</v>
      </c>
      <c r="G128" s="59">
        <f>COMPOSICOES!G1189</f>
        <v/>
      </c>
      <c r="H128" s="60">
        <f>ROUND(ROUND(F128,2)*ROUND(G128,2),2)</f>
        <v/>
      </c>
      <c r="K128" t="n">
        <v>100.11</v>
      </c>
      <c r="L128">
        <f>G128-K128</f>
        <v/>
      </c>
    </row>
    <row r="129" ht="20" customHeight="1">
      <c r="A129" s="5" t="inlineStr">
        <is>
          <t>6.2</t>
        </is>
      </c>
      <c r="B129" s="5" t="inlineStr">
        <is>
          <t>SERVIÇOS GERAIS EM PAREDES</t>
        </is>
      </c>
      <c r="C129" s="55" t="n"/>
      <c r="D129" s="55" t="n"/>
      <c r="E129" s="55" t="n"/>
      <c r="F129" s="55" t="n"/>
      <c r="G129" s="56" t="n"/>
      <c r="H129" s="57">
        <f>ROUND(H130+H133+H136+H138+H140,2)</f>
        <v/>
      </c>
    </row>
    <row r="130" ht="20" customHeight="1">
      <c r="A130" s="5" t="inlineStr">
        <is>
          <t>6.2.1</t>
        </is>
      </c>
      <c r="B130" s="5" t="inlineStr">
        <is>
          <t>RASGOS PARA PASSAGEM DE TUBULAÇÃO</t>
        </is>
      </c>
      <c r="C130" s="55" t="n"/>
      <c r="D130" s="55" t="n"/>
      <c r="E130" s="55" t="n"/>
      <c r="F130" s="55" t="n"/>
      <c r="G130" s="56" t="n"/>
      <c r="H130" s="57">
        <f>ROUND(SUM(H131:H132),2)</f>
        <v/>
      </c>
    </row>
    <row r="131" ht="24" customHeight="1">
      <c r="A131" s="7" t="inlineStr">
        <is>
          <t>6.2.1.1</t>
        </is>
      </c>
      <c r="B131" s="8" t="inlineStr">
        <is>
          <t>90443</t>
        </is>
      </c>
      <c r="C131" s="9" t="inlineStr">
        <is>
          <t>RASGO LINEAR MANUAL EM ALVENARIA, PARA RAMAIS/ DISTRIBUIÇÃO DE INSTALAÇÕES HIDRÁULICAS, DIÂMETROS MENORES OU IGUAIS A 40 MM. AF_09/2023</t>
        </is>
      </c>
      <c r="D131" s="8" t="inlineStr">
        <is>
          <t>SINAPI</t>
        </is>
      </c>
      <c r="E131" s="8" t="inlineStr">
        <is>
          <t>M</t>
        </is>
      </c>
      <c r="F131" s="58" t="n">
        <v>30</v>
      </c>
      <c r="G131" s="59">
        <f>COMPOSICOES!G1198</f>
        <v/>
      </c>
      <c r="H131" s="60">
        <f>ROUND(ROUND(F131,2)*ROUND(G131,2),2)</f>
        <v/>
      </c>
      <c r="K131" t="n">
        <v>8.6</v>
      </c>
      <c r="L131">
        <f>G131-K131</f>
        <v/>
      </c>
    </row>
    <row r="132" ht="24" customHeight="1">
      <c r="A132" s="7" t="inlineStr">
        <is>
          <t>6.2.1.2</t>
        </is>
      </c>
      <c r="B132" s="8" t="inlineStr">
        <is>
          <t>90447</t>
        </is>
      </c>
      <c r="C132" s="9" t="inlineStr">
        <is>
          <t>RASGO LINEAR MANUAL EM ALVENARIA, PARA ELETRODUTOS, DIÂMETROSMENORES OU IGUAIS A 40 MM. AF_09/2023</t>
        </is>
      </c>
      <c r="D132" s="8" t="inlineStr">
        <is>
          <t>SINAPI</t>
        </is>
      </c>
      <c r="E132" s="8" t="inlineStr">
        <is>
          <t>M</t>
        </is>
      </c>
      <c r="F132" s="58" t="n">
        <v>70</v>
      </c>
      <c r="G132" s="59">
        <f>COMPOSICOES!G1207</f>
        <v/>
      </c>
      <c r="H132" s="60">
        <f>ROUND(ROUND(F132,2)*ROUND(G132,2),2)</f>
        <v/>
      </c>
      <c r="K132" t="n">
        <v>8.92</v>
      </c>
      <c r="L132">
        <f>G132-K132</f>
        <v/>
      </c>
    </row>
    <row r="133" ht="20" customHeight="1">
      <c r="A133" s="5" t="inlineStr">
        <is>
          <t>6.2.2</t>
        </is>
      </c>
      <c r="B133" s="5" t="inlineStr">
        <is>
          <t>CHUMBAMENTO DE TUBULAÇÃO, ELETRODUTOS ETC...</t>
        </is>
      </c>
      <c r="C133" s="55" t="n"/>
      <c r="D133" s="55" t="n"/>
      <c r="E133" s="55" t="n"/>
      <c r="F133" s="55" t="n"/>
      <c r="G133" s="56" t="n"/>
      <c r="H133" s="57">
        <f>ROUND(SUM(H134:H135),2)</f>
        <v/>
      </c>
    </row>
    <row r="134" ht="32" customHeight="1">
      <c r="A134" s="7" t="inlineStr">
        <is>
          <t>6.2.2.1</t>
        </is>
      </c>
      <c r="B134" s="8" t="inlineStr">
        <is>
          <t>90466</t>
        </is>
      </c>
      <c r="C134" s="9" t="inlineStr">
        <is>
          <t>CHUMBAMENTO LINEAR EM ALVENARIA PARA RAMAIS/DISTRIBUIÇÃO DE INSTALAÇÕES HIDRÁULICAS COM DIÂMETROS MENORES OU IGUAIS A 40 MM.AF_09/2023</t>
        </is>
      </c>
      <c r="D134" s="8" t="inlineStr">
        <is>
          <t>SINAPI</t>
        </is>
      </c>
      <c r="E134" s="8" t="inlineStr">
        <is>
          <t>M</t>
        </is>
      </c>
      <c r="F134" s="58" t="n">
        <v>30</v>
      </c>
      <c r="G134" s="59">
        <f>COMPOSICOES!G1219</f>
        <v/>
      </c>
      <c r="H134" s="60">
        <f>ROUND(ROUND(F134,2)*ROUND(G134,2),2)</f>
        <v/>
      </c>
      <c r="K134" t="n">
        <v>16.46</v>
      </c>
      <c r="L134">
        <f>G134-K134</f>
        <v/>
      </c>
    </row>
    <row r="135" ht="24" customHeight="1">
      <c r="A135" s="7" t="inlineStr">
        <is>
          <t>6.2.2.2</t>
        </is>
      </c>
      <c r="B135" s="8" t="inlineStr">
        <is>
          <t>104766</t>
        </is>
      </c>
      <c r="C135" s="9" t="inlineStr">
        <is>
          <t>CHUMBAMENTO LINEAR EM ALVENARIA PARA ELETRODUTOS COM DIÂMETROSMENORES OU IGUAIS A 40 MM. AF_09/2023</t>
        </is>
      </c>
      <c r="D135" s="8" t="inlineStr">
        <is>
          <t>SINAPI</t>
        </is>
      </c>
      <c r="E135" s="8" t="inlineStr">
        <is>
          <t>M</t>
        </is>
      </c>
      <c r="F135" s="58" t="n">
        <v>30</v>
      </c>
      <c r="G135" s="59">
        <f>COMPOSICOES!G1231</f>
        <v/>
      </c>
      <c r="H135" s="60">
        <f>ROUND(ROUND(F135,2)*ROUND(G135,2),2)</f>
        <v/>
      </c>
      <c r="K135" t="n">
        <v>16.95</v>
      </c>
      <c r="L135">
        <f>G135-K135</f>
        <v/>
      </c>
    </row>
    <row r="136" ht="20" customHeight="1">
      <c r="A136" s="5" t="inlineStr">
        <is>
          <t>6.2.3</t>
        </is>
      </c>
      <c r="B136" s="5" t="inlineStr">
        <is>
          <t>ENCUNHAMENTO DE ALVENARIA</t>
        </is>
      </c>
      <c r="C136" s="55" t="n"/>
      <c r="D136" s="55" t="n"/>
      <c r="E136" s="55" t="n"/>
      <c r="F136" s="55" t="n"/>
      <c r="G136" s="56" t="n"/>
      <c r="H136" s="57">
        <f>ROUND(SUM(H137:H137),2)</f>
        <v/>
      </c>
    </row>
    <row r="137" ht="20" customHeight="1">
      <c r="A137" s="7" t="inlineStr">
        <is>
          <t>6.2.3.1</t>
        </is>
      </c>
      <c r="B137" s="8" t="inlineStr">
        <is>
          <t>93202</t>
        </is>
      </c>
      <c r="C137" s="9" t="inlineStr">
        <is>
          <t>FIXAÇÃO (ENCUNHAMENTO) DE ALVENARIA DE VEDAÇÃO COM TIJOLOMACIÇO. AF_03/2024</t>
        </is>
      </c>
      <c r="D137" s="8" t="inlineStr">
        <is>
          <t>SINAPI</t>
        </is>
      </c>
      <c r="E137" s="8" t="inlineStr">
        <is>
          <t>M</t>
        </is>
      </c>
      <c r="F137" s="58" t="n">
        <v>206.5</v>
      </c>
      <c r="G137" s="59">
        <f>COMPOSICOES!G1246</f>
        <v/>
      </c>
      <c r="H137" s="60">
        <f>ROUND(ROUND(F137,2)*ROUND(G137,2),2)</f>
        <v/>
      </c>
      <c r="K137" t="n">
        <v>29.81</v>
      </c>
      <c r="L137">
        <f>G137-K137</f>
        <v/>
      </c>
    </row>
    <row r="138" ht="20" customHeight="1">
      <c r="A138" s="5" t="inlineStr">
        <is>
          <t>6.2.4</t>
        </is>
      </c>
      <c r="B138" s="5" t="inlineStr">
        <is>
          <t>PREVENÇÃO DE TRINCAS</t>
        </is>
      </c>
      <c r="C138" s="55" t="n"/>
      <c r="D138" s="55" t="n"/>
      <c r="E138" s="55" t="n"/>
      <c r="F138" s="55" t="n"/>
      <c r="G138" s="56" t="n"/>
      <c r="H138" s="57">
        <f>ROUND(SUM(H139:H139),2)</f>
        <v/>
      </c>
    </row>
    <row r="139" ht="20" customHeight="1">
      <c r="A139" s="7" t="inlineStr">
        <is>
          <t>6.2.4.1</t>
        </is>
      </c>
      <c r="B139" s="8" t="inlineStr">
        <is>
          <t>34
PRÓPRIO</t>
        </is>
      </c>
      <c r="C139" s="9" t="inlineStr">
        <is>
          <t>ENTELAMENTO PREVENTIVO DE SUPERFÍCIE SUJEITA A TRINCAS - LARGURA DA TELA: 25CM</t>
        </is>
      </c>
      <c r="D139" s="8" t="inlineStr">
        <is>
          <t xml:space="preserve">Composiçõ es
</t>
        </is>
      </c>
      <c r="E139" s="8" t="inlineStr">
        <is>
          <t>M</t>
        </is>
      </c>
      <c r="F139" s="58" t="n">
        <v>100</v>
      </c>
      <c r="G139" s="59">
        <f>COMPOSICOES!G1254</f>
        <v/>
      </c>
      <c r="H139" s="60">
        <f>ROUND(ROUND(F139,2)*ROUND(G139,2),2)</f>
        <v/>
      </c>
      <c r="K139" t="n">
        <v>1.53</v>
      </c>
      <c r="L139">
        <f>G139-K139</f>
        <v/>
      </c>
    </row>
    <row r="140" ht="20" customHeight="1">
      <c r="A140" s="5" t="inlineStr">
        <is>
          <t>6.2.5</t>
        </is>
      </c>
      <c r="B140" s="5" t="inlineStr">
        <is>
          <t>VERGAS E CONTRAVERGAS</t>
        </is>
      </c>
      <c r="C140" s="55" t="n"/>
      <c r="D140" s="55" t="n"/>
      <c r="E140" s="55" t="n"/>
      <c r="F140" s="55" t="n"/>
      <c r="G140" s="56" t="n"/>
      <c r="H140" s="57">
        <f>ROUND(SUM(H141:H141),2)</f>
        <v/>
      </c>
    </row>
    <row r="141" ht="20" customHeight="1">
      <c r="A141" s="7" t="inlineStr">
        <is>
          <t>6.2.5.1</t>
        </is>
      </c>
      <c r="B141" s="8" t="inlineStr">
        <is>
          <t>105024</t>
        </is>
      </c>
      <c r="C141" s="9" t="inlineStr">
        <is>
          <t>VERGA MOLDADA IN LOCO EM CONCRETO, ESPESSURA DE *10* CM. AF_03/2024</t>
        </is>
      </c>
      <c r="D141" s="8" t="inlineStr">
        <is>
          <t>SINAPI</t>
        </is>
      </c>
      <c r="E141" s="8" t="inlineStr">
        <is>
          <t>M</t>
        </is>
      </c>
      <c r="F141" s="58" t="n">
        <v>9.6</v>
      </c>
      <c r="G141" s="59">
        <f>COMPOSICOES!G1273</f>
        <v/>
      </c>
      <c r="H141" s="60">
        <f>ROUND(ROUND(F141,2)*ROUND(G141,2),2)</f>
        <v/>
      </c>
      <c r="K141" t="n">
        <v>55.98</v>
      </c>
      <c r="L141">
        <f>G141-K141</f>
        <v/>
      </c>
    </row>
    <row r="142" ht="20" customHeight="1">
      <c r="A142" s="5" t="inlineStr">
        <is>
          <t>6.3</t>
        </is>
      </c>
      <c r="B142" s="5" t="inlineStr">
        <is>
          <t>FACHADA ADAPTÁVEL</t>
        </is>
      </c>
      <c r="C142" s="55" t="n"/>
      <c r="D142" s="55" t="n"/>
      <c r="E142" s="55" t="n"/>
      <c r="F142" s="55" t="n"/>
      <c r="G142" s="56" t="n"/>
      <c r="H142" s="57">
        <f>ROUND(H143,2)</f>
        <v/>
      </c>
    </row>
    <row r="143" ht="20" customHeight="1">
      <c r="A143" s="5" t="inlineStr">
        <is>
          <t>6.3.1</t>
        </is>
      </c>
      <c r="B143" s="5" t="inlineStr">
        <is>
          <t>FACHADA ADAPTÁVEL (ESTRUTURA METÁLICA)</t>
        </is>
      </c>
      <c r="C143" s="55" t="n"/>
      <c r="D143" s="55" t="n"/>
      <c r="E143" s="55" t="n"/>
      <c r="F143" s="55" t="n"/>
      <c r="G143" s="56" t="n"/>
      <c r="H143" s="57">
        <f>ROUND(SUM(H144:H145),2)</f>
        <v/>
      </c>
    </row>
    <row r="144" ht="40" customHeight="1">
      <c r="A144" s="7" t="inlineStr">
        <is>
          <t>6.3.1.1</t>
        </is>
      </c>
      <c r="B144" s="8" t="inlineStr">
        <is>
          <t>480
PRÓPRIO</t>
        </is>
      </c>
      <c r="C144" s="9" t="inlineStr">
        <is>
          <t>ESTRUTURA METÁLICA - TUBO DE AÇO GALVANIZADO A FOGO COM COSTURA , DN 1", E= 2,65MM, Ø EXT= 33,7MM, PESO2.03KG/M (NBR 5590), LIGAÇÕES SOLDADAS, INCLUSOS MATERIAIS E MÃODE OBRA - FORNECIMENTO E INSTALAÇÃO</t>
        </is>
      </c>
      <c r="D144" s="8" t="inlineStr">
        <is>
          <t>Composiçõ es Próprias</t>
        </is>
      </c>
      <c r="E144" s="8" t="inlineStr">
        <is>
          <t>M</t>
        </is>
      </c>
      <c r="F144" s="58" t="n">
        <v>1223.56</v>
      </c>
      <c r="G144" s="59">
        <f>COMPOSICOES!G1287</f>
        <v/>
      </c>
      <c r="H144" s="60">
        <f>ROUND(ROUND(F144,2)*ROUND(G144,2),2)</f>
        <v/>
      </c>
      <c r="K144" t="n">
        <v>39.33</v>
      </c>
      <c r="L144">
        <f>G144-K144</f>
        <v/>
      </c>
    </row>
    <row r="145" ht="32" customHeight="1">
      <c r="A145" s="7" t="inlineStr">
        <is>
          <t>6.3.1.2</t>
        </is>
      </c>
      <c r="B145" s="8" t="inlineStr">
        <is>
          <t>486
PRÓPRIO</t>
        </is>
      </c>
      <c r="C145" s="9" t="inlineStr">
        <is>
          <t>PLACA DE BASE EM CHAPA GROSSA DE AÇO SAC 350 (ASTM A588, COR-TEM) - E= 8MM (5/16") - ANCORADA COM BARRA ROSCADA DE AÇO GALVANIZADO 3/8" -FORNECIMENTO E INSTALAÇÃO</t>
        </is>
      </c>
      <c r="D145" s="8" t="inlineStr">
        <is>
          <t>Composiçõ es Próprias</t>
        </is>
      </c>
      <c r="E145" s="8" t="inlineStr">
        <is>
          <t>KG</t>
        </is>
      </c>
      <c r="F145" s="58" t="n">
        <v>188.7</v>
      </c>
      <c r="G145" s="59">
        <f>COMPOSICOES!G1305</f>
        <v/>
      </c>
      <c r="H145" s="60">
        <f>ROUND(ROUND(F145,2)*ROUND(G145,2),2)</f>
        <v/>
      </c>
      <c r="K145" t="n">
        <v>15.93</v>
      </c>
      <c r="L145">
        <f>G145-K145</f>
        <v/>
      </c>
    </row>
    <row r="146" ht="20" customHeight="1">
      <c r="A146" s="5" t="inlineStr">
        <is>
          <t>7</t>
        </is>
      </c>
      <c r="B146" s="5" t="inlineStr">
        <is>
          <t>ESQUADRIAS</t>
        </is>
      </c>
      <c r="C146" s="55" t="n"/>
      <c r="D146" s="55" t="n"/>
      <c r="E146" s="55" t="n"/>
      <c r="F146" s="55" t="n"/>
      <c r="G146" s="56" t="n"/>
      <c r="H146" s="57">
        <f>ROUND(H147+H152+H155,2)</f>
        <v/>
      </c>
    </row>
    <row r="147" ht="20" customHeight="1">
      <c r="A147" s="5" t="inlineStr">
        <is>
          <t>7.1</t>
        </is>
      </c>
      <c r="B147" s="5" t="inlineStr">
        <is>
          <t>ALUMÍNIO</t>
        </is>
      </c>
      <c r="C147" s="55" t="n"/>
      <c r="D147" s="55" t="n"/>
      <c r="E147" s="55" t="n"/>
      <c r="F147" s="55" t="n"/>
      <c r="G147" s="56" t="n"/>
      <c r="H147" s="57">
        <f>ROUND(H148+H150,2)</f>
        <v/>
      </c>
    </row>
    <row r="148" ht="20" customHeight="1">
      <c r="A148" s="5" t="inlineStr">
        <is>
          <t>7.1.1</t>
        </is>
      </c>
      <c r="B148" s="5" t="inlineStr">
        <is>
          <t>ALUMÍNIO (PORTAS)</t>
        </is>
      </c>
      <c r="C148" s="55" t="n"/>
      <c r="D148" s="55" t="n"/>
      <c r="E148" s="55" t="n"/>
      <c r="F148" s="55" t="n"/>
      <c r="G148" s="56" t="n"/>
      <c r="H148" s="57">
        <f>ROUND(SUM(H149:H149),2)</f>
        <v/>
      </c>
    </row>
    <row r="149" ht="24" customHeight="1">
      <c r="A149" s="7" t="inlineStr">
        <is>
          <t>7.1.1.1</t>
        </is>
      </c>
      <c r="B149" s="8" t="inlineStr">
        <is>
          <t>374
PRÓPRIO</t>
        </is>
      </c>
      <c r="C149" s="9" t="inlineStr">
        <is>
          <t>PORTA DE ALUMÍNIO ANODIZADO (PRETO OU BRONZE) DE CORRER, EM PERFIS SERIE 30, INCLUSOS FERRAGENS E VIDRODE SEGURANÇA 8MM</t>
        </is>
      </c>
      <c r="D149" s="8" t="inlineStr">
        <is>
          <t>Composiçõ es Próprias</t>
        </is>
      </c>
      <c r="E149" s="8" t="inlineStr">
        <is>
          <t>M²</t>
        </is>
      </c>
      <c r="F149" s="58" t="n">
        <v>50.95</v>
      </c>
      <c r="G149" s="59">
        <f>COMPOSICOES!G1322</f>
        <v/>
      </c>
      <c r="H149" s="60">
        <f>ROUND(ROUND(F149,2)*ROUND(G149,2),2)</f>
        <v/>
      </c>
      <c r="K149" t="n">
        <v>1488.1</v>
      </c>
      <c r="L149">
        <f>G149-K149</f>
        <v/>
      </c>
    </row>
    <row r="150" ht="20" customHeight="1">
      <c r="A150" s="5" t="inlineStr">
        <is>
          <t>7.1.2</t>
        </is>
      </c>
      <c r="B150" s="5" t="inlineStr">
        <is>
          <t>ALUMÍNIO (JANELAS)</t>
        </is>
      </c>
      <c r="C150" s="55" t="n"/>
      <c r="D150" s="55" t="n"/>
      <c r="E150" s="55" t="n"/>
      <c r="F150" s="55" t="n"/>
      <c r="G150" s="56" t="n"/>
      <c r="H150" s="57">
        <f>ROUND(SUM(H151:H151),2)</f>
        <v/>
      </c>
    </row>
    <row r="151" ht="48" customHeight="1">
      <c r="A151" s="7" t="inlineStr">
        <is>
          <t>7.1.2.1</t>
        </is>
      </c>
      <c r="B151" s="8" t="inlineStr">
        <is>
          <t>94569</t>
        </is>
      </c>
      <c r="C151" s="9" t="inlineStr">
        <is>
          <t>JANELA DE ALUMÍNIO TIPO MAXIM-AR, BATENTE/ REQUADRO 3 A 14 CM, VIDRO INCLUSO, FIXAÇÃO COM PARAFUSO, SEM GUARNIÇÃO/ ALIZAR, DIMENSÕES 60X80 (A X L) CM, SEM ACABAMENTO, VEDAÇÃO COM SILICONE, EXCLUSIVE CONTRAMARCO - FORNECIMENTO EINSTALAÇÃO. AF_11/2024</t>
        </is>
      </c>
      <c r="D151" s="8" t="inlineStr">
        <is>
          <t>SINAPI</t>
        </is>
      </c>
      <c r="E151" s="8" t="inlineStr">
        <is>
          <t>M2</t>
        </is>
      </c>
      <c r="F151" s="58" t="n">
        <v>37.12</v>
      </c>
      <c r="G151" s="59">
        <f>COMPOSICOES!G1336</f>
        <v/>
      </c>
      <c r="H151" s="60">
        <f>ROUND(ROUND(F151,2)*ROUND(G151,2),2)</f>
        <v/>
      </c>
      <c r="K151" t="n">
        <v>778.16</v>
      </c>
      <c r="L151">
        <f>G151-K151</f>
        <v/>
      </c>
    </row>
    <row r="152" ht="20" customHeight="1">
      <c r="A152" s="5" t="inlineStr">
        <is>
          <t>7.2</t>
        </is>
      </c>
      <c r="B152" s="5" t="inlineStr">
        <is>
          <t>MADEIRA</t>
        </is>
      </c>
      <c r="C152" s="55" t="n"/>
      <c r="D152" s="55" t="n"/>
      <c r="E152" s="55" t="n"/>
      <c r="F152" s="55" t="n"/>
      <c r="G152" s="56" t="n"/>
      <c r="H152" s="57">
        <f>ROUND(H153,2)</f>
        <v/>
      </c>
    </row>
    <row r="153" ht="20" customHeight="1">
      <c r="A153" s="5" t="inlineStr">
        <is>
          <t>7.2.1</t>
        </is>
      </c>
      <c r="B153" s="5" t="inlineStr">
        <is>
          <t>MADEIRA (PORTAS)</t>
        </is>
      </c>
      <c r="C153" s="55" t="n"/>
      <c r="D153" s="55" t="n"/>
      <c r="E153" s="55" t="n"/>
      <c r="F153" s="55" t="n"/>
      <c r="G153" s="56" t="n"/>
      <c r="H153" s="57">
        <f>ROUND(SUM(H154:H154),2)</f>
        <v/>
      </c>
    </row>
    <row r="154" ht="40" customHeight="1">
      <c r="A154" s="7" t="inlineStr">
        <is>
          <t>7.2.1.1</t>
        </is>
      </c>
      <c r="B154" s="8" t="inlineStr">
        <is>
          <t>90793</t>
        </is>
      </c>
      <c r="C154" s="9" t="inlineStr">
        <is>
          <t>KIT DE PORTA-PRONTA DE MADEIRA EM ACABAMENTO MELAMÍNICO BRANCO, FOLHA PESADA OU SUPERPESADA, 90X210CM, FIXAÇÃO COMPREENCHIMENTO TOTAL DE ESPUMA EXPANSIVA - FORNECIMENTO EINSTALAÇÃO. AF_12/2019</t>
        </is>
      </c>
      <c r="D154" s="8" t="inlineStr">
        <is>
          <t>SINAPI</t>
        </is>
      </c>
      <c r="E154" s="8" t="inlineStr">
        <is>
          <t>UN</t>
        </is>
      </c>
      <c r="F154" s="58" t="n">
        <v>8</v>
      </c>
      <c r="G154" s="59">
        <f>COMPOSICOES!G1349</f>
        <v/>
      </c>
      <c r="H154" s="60">
        <f>ROUND(ROUND(F154,2)*ROUND(G154,2),2)</f>
        <v/>
      </c>
      <c r="K154" t="n">
        <v>1240.54</v>
      </c>
      <c r="L154">
        <f>G154-K154</f>
        <v/>
      </c>
    </row>
    <row r="155" ht="20" customHeight="1">
      <c r="A155" s="5" t="inlineStr">
        <is>
          <t>7.3</t>
        </is>
      </c>
      <c r="B155" s="5" t="inlineStr">
        <is>
          <t>AÇO</t>
        </is>
      </c>
      <c r="C155" s="55" t="n"/>
      <c r="D155" s="55" t="n"/>
      <c r="E155" s="55" t="n"/>
      <c r="F155" s="55" t="n"/>
      <c r="G155" s="56" t="n"/>
      <c r="H155" s="57">
        <f>ROUND(H156,2)</f>
        <v/>
      </c>
    </row>
    <row r="156" ht="20" customHeight="1">
      <c r="A156" s="5" t="inlineStr">
        <is>
          <t>7.3.1</t>
        </is>
      </c>
      <c r="B156" s="5" t="inlineStr">
        <is>
          <t>AÇO (PORTÕES)</t>
        </is>
      </c>
      <c r="C156" s="55" t="n"/>
      <c r="D156" s="55" t="n"/>
      <c r="E156" s="55" t="n"/>
      <c r="F156" s="55" t="n"/>
      <c r="G156" s="56" t="n"/>
      <c r="H156" s="57">
        <f>ROUND(SUM(H157:H157),2)</f>
        <v/>
      </c>
    </row>
    <row r="157" ht="32" customHeight="1">
      <c r="A157" s="7" t="inlineStr">
        <is>
          <t>7.3.1.1</t>
        </is>
      </c>
      <c r="B157" s="8" t="inlineStr">
        <is>
          <t>479
PRÓPRIO</t>
        </is>
      </c>
      <c r="C157" s="9" t="inlineStr">
        <is>
          <t>PORTA DE ENROLAR MANUAL COMPLETA, PERFIL MEIA CANA CEGA, EM AÇO GALVANIZADO COM PINTURA ELETROSTÁTICA, CHAPA NÚMERO 24"(FORNECIMENTO E INSTALAÇÃO)</t>
        </is>
      </c>
      <c r="D157" s="8" t="inlineStr">
        <is>
          <t>Composiçõ es Próprias</t>
        </is>
      </c>
      <c r="E157" s="8" t="inlineStr">
        <is>
          <t>M²</t>
        </is>
      </c>
      <c r="F157" s="58" t="n">
        <v>15.88</v>
      </c>
      <c r="G157" s="59">
        <f>COMPOSICOES!G1365</f>
        <v/>
      </c>
      <c r="H157" s="60">
        <f>ROUND(ROUND(F157,2)*ROUND(G157,2),2)</f>
        <v/>
      </c>
      <c r="K157" t="n">
        <v>642.28</v>
      </c>
      <c r="L157">
        <f>G157-K157</f>
        <v/>
      </c>
    </row>
    <row r="158" ht="20" customHeight="1">
      <c r="A158" s="5" t="inlineStr">
        <is>
          <t>8</t>
        </is>
      </c>
      <c r="B158" s="5" t="inlineStr">
        <is>
          <t>SISTEMAS HIDRÁULICOS, SANITÁRIOS E DE COMBATE A INCÊNDIO (HSI)</t>
        </is>
      </c>
      <c r="C158" s="55" t="n"/>
      <c r="D158" s="55" t="n"/>
      <c r="E158" s="55" t="n"/>
      <c r="F158" s="55" t="n"/>
      <c r="G158" s="56" t="n"/>
      <c r="H158" s="57">
        <f>ROUND(H159+H195+H256+H268,2)</f>
        <v/>
      </c>
    </row>
    <row r="159" ht="20" customHeight="1">
      <c r="A159" s="5" t="inlineStr">
        <is>
          <t>8.1</t>
        </is>
      </c>
      <c r="B159" s="5" t="inlineStr">
        <is>
          <t>ÁGUA FRIA</t>
        </is>
      </c>
      <c r="C159" s="55" t="n"/>
      <c r="D159" s="55" t="n"/>
      <c r="E159" s="55" t="n"/>
      <c r="F159" s="55" t="n"/>
      <c r="G159" s="56" t="n"/>
      <c r="H159" s="57">
        <f>ROUND(H160+H164+H167+H173+H177+H184+H189+H191+H193,2)</f>
        <v/>
      </c>
    </row>
    <row r="160" ht="20" customHeight="1">
      <c r="A160" s="5" t="inlineStr">
        <is>
          <t>8.1.1</t>
        </is>
      </c>
      <c r="B160" s="5" t="inlineStr">
        <is>
          <t>ÁGUA FRIA (LIGAÇÃO COM REDE DE FORNECIMENTO)</t>
        </is>
      </c>
      <c r="C160" s="55" t="n"/>
      <c r="D160" s="55" t="n"/>
      <c r="E160" s="55" t="n"/>
      <c r="F160" s="55" t="n"/>
      <c r="G160" s="56" t="n"/>
      <c r="H160" s="57">
        <f>ROUND(SUM(H161:H163),2)</f>
        <v/>
      </c>
    </row>
    <row r="161" ht="20" customHeight="1">
      <c r="A161" s="7" t="inlineStr">
        <is>
          <t>8.1.1.1</t>
        </is>
      </c>
      <c r="B161" s="8" t="inlineStr">
        <is>
          <t>95674</t>
        </is>
      </c>
      <c r="C161" s="9" t="inlineStr">
        <is>
          <t>HIDRÔMETRO DN 1/2", 3,0 M3/H - FORNECIMENTO E INSTALAÇÃO.AF_03/2024</t>
        </is>
      </c>
      <c r="D161" s="8" t="inlineStr">
        <is>
          <t>SINAPI</t>
        </is>
      </c>
      <c r="E161" s="8" t="inlineStr">
        <is>
          <t>UN</t>
        </is>
      </c>
      <c r="F161" s="58" t="n">
        <v>1</v>
      </c>
      <c r="G161" s="59">
        <f>COMPOSICOES!G1378</f>
        <v/>
      </c>
      <c r="H161" s="60">
        <f>ROUND(ROUND(F161,2)*ROUND(G161,2),2)</f>
        <v/>
      </c>
      <c r="K161" t="n">
        <v>141.56</v>
      </c>
      <c r="L161">
        <f>G161-K161</f>
        <v/>
      </c>
    </row>
    <row r="162" ht="24" customHeight="1">
      <c r="A162" s="7" t="inlineStr">
        <is>
          <t>8.1.1.2</t>
        </is>
      </c>
      <c r="B162" s="8" t="inlineStr">
        <is>
          <t>95635</t>
        </is>
      </c>
      <c r="C162" s="9" t="inlineStr">
        <is>
          <t>KIT CAVALETE PARA MEDIÇÃO DE ÁGUA - ENTRADA PRINCIPAL, EM PVC 25 MM (3/4") - FORNECIMENTO E INSTALAÇÃO(EXCLUSIVE HIDRÔMETRO). AF_03/2024</t>
        </is>
      </c>
      <c r="D162" s="8" t="inlineStr">
        <is>
          <t>SINAPI</t>
        </is>
      </c>
      <c r="E162" s="8" t="inlineStr">
        <is>
          <t>UN</t>
        </is>
      </c>
      <c r="F162" s="58" t="n">
        <v>1</v>
      </c>
      <c r="G162" s="59">
        <f>COMPOSICOES!G1391</f>
        <v/>
      </c>
      <c r="H162" s="60">
        <f>ROUND(ROUND(F162,2)*ROUND(G162,2),2)</f>
        <v/>
      </c>
      <c r="K162" t="n">
        <v>226.61</v>
      </c>
      <c r="L162">
        <f>G162-K162</f>
        <v/>
      </c>
    </row>
    <row r="163" ht="24" customHeight="1">
      <c r="A163" s="7" t="inlineStr">
        <is>
          <t>8.1.1.3</t>
        </is>
      </c>
      <c r="B163" s="8" t="inlineStr">
        <is>
          <t>95676</t>
        </is>
      </c>
      <c r="C163" s="9" t="inlineStr">
        <is>
          <t>CAIXA EM CONCRETO PRÉ-MOLDADO PARA ABRIGO DE HIDRÔMETRO COM DN 20 MM - FORNECIMENTO E INSTALAÇÃO.AF_03/2024</t>
        </is>
      </c>
      <c r="D163" s="8" t="inlineStr">
        <is>
          <t>SINAPI</t>
        </is>
      </c>
      <c r="E163" s="8" t="inlineStr">
        <is>
          <t>UN</t>
        </is>
      </c>
      <c r="F163" s="58" t="n">
        <v>1</v>
      </c>
      <c r="G163" s="59">
        <f>COMPOSICOES!G1403</f>
        <v/>
      </c>
      <c r="H163" s="60">
        <f>ROUND(ROUND(F163,2)*ROUND(G163,2),2)</f>
        <v/>
      </c>
      <c r="K163" t="n">
        <v>170.05</v>
      </c>
      <c r="L163">
        <f>G163-K163</f>
        <v/>
      </c>
    </row>
    <row r="164" ht="20" customHeight="1">
      <c r="A164" s="5" t="inlineStr">
        <is>
          <t>8.1.2</t>
        </is>
      </c>
      <c r="B164" s="5" t="inlineStr">
        <is>
          <t>ÁGUA FRIA (ARMAZENAMENTO)</t>
        </is>
      </c>
      <c r="C164" s="55" t="n"/>
      <c r="D164" s="55" t="n"/>
      <c r="E164" s="55" t="n"/>
      <c r="F164" s="55" t="n"/>
      <c r="G164" s="56" t="n"/>
      <c r="H164" s="57">
        <f>ROUND(SUM(H165:H166),2)</f>
        <v/>
      </c>
    </row>
    <row r="165" ht="24" customHeight="1">
      <c r="A165" s="7" t="inlineStr">
        <is>
          <t>8.1.2.1</t>
        </is>
      </c>
      <c r="B165" s="8" t="inlineStr">
        <is>
          <t>102615</t>
        </is>
      </c>
      <c r="C165" s="9" t="inlineStr">
        <is>
          <t>CAIXA D´ÁGUA EM POLIÉSTER REFORÇADO COM FIBRA DE VIDRO, 2000 LITROS - FORNECIMENTO E INSTALAÇÃO.AF_06/2021</t>
        </is>
      </c>
      <c r="D165" s="8" t="inlineStr">
        <is>
          <t>SINAPI</t>
        </is>
      </c>
      <c r="E165" s="8" t="inlineStr">
        <is>
          <t>UN</t>
        </is>
      </c>
      <c r="F165" s="58" t="n">
        <v>2</v>
      </c>
      <c r="G165" s="59">
        <f>COMPOSICOES!G1415</f>
        <v/>
      </c>
      <c r="H165" s="60">
        <f>ROUND(ROUND(F165,2)*ROUND(G165,2),2)</f>
        <v/>
      </c>
      <c r="K165" t="n">
        <v>1369.34</v>
      </c>
      <c r="L165">
        <f>G165-K165</f>
        <v/>
      </c>
    </row>
    <row r="166" ht="20" customHeight="1">
      <c r="A166" s="7" t="inlineStr">
        <is>
          <t>8.1.2.2</t>
        </is>
      </c>
      <c r="B166" s="8" t="inlineStr">
        <is>
          <t>94795</t>
        </is>
      </c>
      <c r="C166" s="9" t="inlineStr">
        <is>
          <t>TORNEIRA DE BOIA PARA CAIXA D'ÁGUA, ROSCÁVEL, 1/2" - FORNECIMENTO EINSTALAÇÃO. AF_08/2021</t>
        </is>
      </c>
      <c r="D166" s="8" t="inlineStr">
        <is>
          <t>SINAPI</t>
        </is>
      </c>
      <c r="E166" s="8" t="inlineStr">
        <is>
          <t>UN</t>
        </is>
      </c>
      <c r="F166" s="58" t="n">
        <v>2</v>
      </c>
      <c r="G166" s="59">
        <f>COMPOSICOES!G1428</f>
        <v/>
      </c>
      <c r="H166" s="60">
        <f>ROUND(ROUND(F166,2)*ROUND(G166,2),2)</f>
        <v/>
      </c>
      <c r="K166" t="n">
        <v>34.29</v>
      </c>
      <c r="L166">
        <f>G166-K166</f>
        <v/>
      </c>
    </row>
    <row r="167" ht="20" customHeight="1">
      <c r="A167" s="5" t="inlineStr">
        <is>
          <t>8.1.3</t>
        </is>
      </c>
      <c r="B167" s="5" t="inlineStr">
        <is>
          <t>ÁGUA FRIA (REGISTROS E VÁLVULAS)</t>
        </is>
      </c>
      <c r="C167" s="55" t="n"/>
      <c r="D167" s="55" t="n"/>
      <c r="E167" s="55" t="n"/>
      <c r="F167" s="55" t="n"/>
      <c r="G167" s="56" t="n"/>
      <c r="H167" s="57">
        <f>ROUND(SUM(H168:H172),2)</f>
        <v/>
      </c>
    </row>
    <row r="168" ht="20" customHeight="1">
      <c r="A168" s="7" t="inlineStr">
        <is>
          <t>8.1.3.1</t>
        </is>
      </c>
      <c r="B168" s="8" t="inlineStr">
        <is>
          <t>89353</t>
        </is>
      </c>
      <c r="C168" s="9" t="inlineStr">
        <is>
          <t>REGISTRO DE GAVETA BRUTO, LATÃO, ROSCÁVEL, 3/4" - FORNECIMENTO EINSTALAÇÃO. AF_08/2021</t>
        </is>
      </c>
      <c r="D168" s="8" t="inlineStr">
        <is>
          <t>SINAPI</t>
        </is>
      </c>
      <c r="E168" s="8" t="inlineStr">
        <is>
          <t>UN</t>
        </is>
      </c>
      <c r="F168" s="58" t="n">
        <v>15</v>
      </c>
      <c r="G168" s="59">
        <f>COMPOSICOES!G1441</f>
        <v/>
      </c>
      <c r="H168" s="60">
        <f>ROUND(ROUND(F168,2)*ROUND(G168,2),2)</f>
        <v/>
      </c>
      <c r="K168" t="n">
        <v>39.31</v>
      </c>
      <c r="L168">
        <f>G168-K168</f>
        <v/>
      </c>
    </row>
    <row r="169" ht="24" customHeight="1">
      <c r="A169" s="7" t="inlineStr">
        <is>
          <t>8.1.3.2</t>
        </is>
      </c>
      <c r="B169" s="8" t="inlineStr">
        <is>
          <t>89985</t>
        </is>
      </c>
      <c r="C169" s="9" t="inlineStr">
        <is>
          <t>REGISTRO DE PRESSÃO BRUTO, LATÃO, ROSCÁVEL, 3/4", COM ACABAMENTO E CANOPLA CROMADOS - FORNECIMENTO EINSTALAÇÃO. AF_08/2021</t>
        </is>
      </c>
      <c r="D169" s="8" t="inlineStr">
        <is>
          <t>SINAPI</t>
        </is>
      </c>
      <c r="E169" s="8" t="inlineStr">
        <is>
          <t>UN</t>
        </is>
      </c>
      <c r="F169" s="58" t="n">
        <v>1</v>
      </c>
      <c r="G169" s="59">
        <f>COMPOSICOES!G1454</f>
        <v/>
      </c>
      <c r="H169" s="60">
        <f>ROUND(ROUND(F169,2)*ROUND(G169,2),2)</f>
        <v/>
      </c>
      <c r="K169" t="n">
        <v>88.48999999999999</v>
      </c>
      <c r="L169">
        <f>G169-K169</f>
        <v/>
      </c>
    </row>
    <row r="170" ht="20" customHeight="1">
      <c r="A170" s="7" t="inlineStr">
        <is>
          <t>8.1.3.3</t>
        </is>
      </c>
      <c r="B170" s="8" t="inlineStr">
        <is>
          <t>94489</t>
        </is>
      </c>
      <c r="C170" s="9" t="inlineStr">
        <is>
          <t>REGISTRO DE ESFERA, PVC, SOLDÁVEL, COM VOLANTE, DN 25 MM - FORNECIMENTOE INSTALAÇÃO. AF_08/2021</t>
        </is>
      </c>
      <c r="D170" s="8" t="inlineStr">
        <is>
          <t>SINAPI</t>
        </is>
      </c>
      <c r="E170" s="8" t="inlineStr">
        <is>
          <t>UN</t>
        </is>
      </c>
      <c r="F170" s="58" t="n">
        <v>1</v>
      </c>
      <c r="G170" s="59">
        <f>COMPOSICOES!G1469</f>
        <v/>
      </c>
      <c r="H170" s="60">
        <f>ROUND(ROUND(F170,2)*ROUND(G170,2),2)</f>
        <v/>
      </c>
      <c r="K170" t="n">
        <v>21.04</v>
      </c>
      <c r="L170">
        <f>G170-K170</f>
        <v/>
      </c>
    </row>
    <row r="171" ht="20" customHeight="1">
      <c r="A171" s="7" t="inlineStr">
        <is>
          <t>8.1.3.4</t>
        </is>
      </c>
      <c r="B171" s="8" t="inlineStr">
        <is>
          <t>94491</t>
        </is>
      </c>
      <c r="C171" s="9" t="inlineStr">
        <is>
          <t>REGISTRO DE ESFERA, PVC, SOLDÁVEL, COM VOLANTE, DN 40 MM - FORNECIMENTOE INSTALAÇÃO. AF_08/2021</t>
        </is>
      </c>
      <c r="D171" s="8" t="inlineStr">
        <is>
          <t>SINAPI</t>
        </is>
      </c>
      <c r="E171" s="8" t="inlineStr">
        <is>
          <t>UN</t>
        </is>
      </c>
      <c r="F171" s="58" t="n">
        <v>3</v>
      </c>
      <c r="G171" s="59">
        <f>COMPOSICOES!G1484</f>
        <v/>
      </c>
      <c r="H171" s="60">
        <f>ROUND(ROUND(F171,2)*ROUND(G171,2),2)</f>
        <v/>
      </c>
      <c r="K171" t="n">
        <v>41.28</v>
      </c>
      <c r="L171">
        <f>G171-K171</f>
        <v/>
      </c>
    </row>
    <row r="172" ht="20" customHeight="1">
      <c r="A172" s="7" t="inlineStr">
        <is>
          <t>8.1.3.5</t>
        </is>
      </c>
      <c r="B172" s="8" t="inlineStr">
        <is>
          <t>94492</t>
        </is>
      </c>
      <c r="C172" s="9" t="inlineStr">
        <is>
          <t>REGISTRO DE ESFERA, PVC, SOLDÁVEL, COM VOLANTE, DN 50 MM - FORNECIMENTOE INSTALAÇÃO. AF_08/2021</t>
        </is>
      </c>
      <c r="D172" s="8" t="inlineStr">
        <is>
          <t>SINAPI</t>
        </is>
      </c>
      <c r="E172" s="8" t="inlineStr">
        <is>
          <t>UN</t>
        </is>
      </c>
      <c r="F172" s="58" t="n">
        <v>1</v>
      </c>
      <c r="G172" s="59">
        <f>COMPOSICOES!G1499</f>
        <v/>
      </c>
      <c r="H172" s="60">
        <f>ROUND(ROUND(F172,2)*ROUND(G172,2),2)</f>
        <v/>
      </c>
      <c r="K172" t="n">
        <v>42.34</v>
      </c>
      <c r="L172">
        <f>G172-K172</f>
        <v/>
      </c>
    </row>
    <row r="173" ht="20" customHeight="1">
      <c r="A173" s="5" t="inlineStr">
        <is>
          <t>8.1.4</t>
        </is>
      </c>
      <c r="B173" s="5" t="inlineStr">
        <is>
          <t>ÁGUA FRIA (TUBULAÇÃO)</t>
        </is>
      </c>
      <c r="C173" s="55" t="n"/>
      <c r="D173" s="55" t="n"/>
      <c r="E173" s="55" t="n"/>
      <c r="F173" s="55" t="n"/>
      <c r="G173" s="56" t="n"/>
      <c r="H173" s="57">
        <f>ROUND(SUM(H174:H176),2)</f>
        <v/>
      </c>
    </row>
    <row r="174" ht="24" customHeight="1">
      <c r="A174" s="7" t="inlineStr">
        <is>
          <t>8.1.4.1</t>
        </is>
      </c>
      <c r="B174" s="8" t="inlineStr">
        <is>
          <t>89402</t>
        </is>
      </c>
      <c r="C174" s="9" t="inlineStr">
        <is>
          <t>TUBO, PVC, SOLDÁVEL, DE 25MM, INSTALADO EM RAMAL DE DISTRIBUIÇÃO DE ÁGUA - FORNECIMENTO E INSTALAÇÃO.AF_06/2022</t>
        </is>
      </c>
      <c r="D174" s="8" t="inlineStr">
        <is>
          <t>SINAPI</t>
        </is>
      </c>
      <c r="E174" s="8" t="inlineStr">
        <is>
          <t>M</t>
        </is>
      </c>
      <c r="F174" s="58" t="n">
        <v>88.14</v>
      </c>
      <c r="G174" s="59">
        <f>COMPOSICOES!G1512</f>
        <v/>
      </c>
      <c r="H174" s="60">
        <f>ROUND(ROUND(F174,2)*ROUND(G174,2),2)</f>
        <v/>
      </c>
      <c r="K174" t="n">
        <v>13.16</v>
      </c>
      <c r="L174">
        <f>G174-K174</f>
        <v/>
      </c>
    </row>
    <row r="175" ht="24" customHeight="1">
      <c r="A175" s="7" t="inlineStr">
        <is>
          <t>8.1.4.2</t>
        </is>
      </c>
      <c r="B175" s="8" t="inlineStr">
        <is>
          <t>103978</t>
        </is>
      </c>
      <c r="C175" s="9" t="inlineStr">
        <is>
          <t>TUBO, PVC, SOLDÁVEL, DE 40MM, INSTALADO EM RAMAL DE DISTRIBUIÇÃO DE ÁGUA - FORNECIMENTO E INSTALAÇÃO.AF_06/2022</t>
        </is>
      </c>
      <c r="D175" s="8" t="inlineStr">
        <is>
          <t>SINAPI</t>
        </is>
      </c>
      <c r="E175" s="8" t="inlineStr">
        <is>
          <t>M</t>
        </is>
      </c>
      <c r="F175" s="58" t="n">
        <v>9.26</v>
      </c>
      <c r="G175" s="59">
        <f>COMPOSICOES!G1525</f>
        <v/>
      </c>
      <c r="H175" s="60">
        <f>ROUND(ROUND(F175,2)*ROUND(G175,2),2)</f>
        <v/>
      </c>
      <c r="K175" t="n">
        <v>27.5</v>
      </c>
      <c r="L175">
        <f>G175-K175</f>
        <v/>
      </c>
    </row>
    <row r="176" ht="24" customHeight="1">
      <c r="A176" s="7" t="inlineStr">
        <is>
          <t>8.1.4.3</t>
        </is>
      </c>
      <c r="B176" s="8" t="inlineStr">
        <is>
          <t>103979</t>
        </is>
      </c>
      <c r="C176" s="9" t="inlineStr">
        <is>
          <t>TUBO, PVC, SOLDÁVEL, DE 50MM, INSTALADO EM RAMAL DE DISTRIBUIÇÃO DE ÁGUA - FORNECIMENTO E INSTALAÇÃO.AF_06/2022</t>
        </is>
      </c>
      <c r="D176" s="8" t="inlineStr">
        <is>
          <t>SINAPI</t>
        </is>
      </c>
      <c r="E176" s="8" t="inlineStr">
        <is>
          <t>M</t>
        </is>
      </c>
      <c r="F176" s="58" t="n">
        <v>15.37</v>
      </c>
      <c r="G176" s="59">
        <f>COMPOSICOES!G1538</f>
        <v/>
      </c>
      <c r="H176" s="60">
        <f>ROUND(ROUND(F176,2)*ROUND(G176,2),2)</f>
        <v/>
      </c>
      <c r="K176" t="n">
        <v>31.37</v>
      </c>
      <c r="L176">
        <f>G176-K176</f>
        <v/>
      </c>
    </row>
    <row r="177" ht="20" customHeight="1">
      <c r="A177" s="5" t="inlineStr">
        <is>
          <t>8.1.5</t>
        </is>
      </c>
      <c r="B177" s="5" t="inlineStr">
        <is>
          <t>ÁGUA FRIA (CONEXÕES - JOELHO)</t>
        </is>
      </c>
      <c r="C177" s="55" t="n"/>
      <c r="D177" s="55" t="n"/>
      <c r="E177" s="55" t="n"/>
      <c r="F177" s="55" t="n"/>
      <c r="G177" s="56" t="n"/>
      <c r="H177" s="57">
        <f>ROUND(SUM(H178:H183),2)</f>
        <v/>
      </c>
    </row>
    <row r="178" ht="24" customHeight="1">
      <c r="A178" s="7" t="inlineStr">
        <is>
          <t>8.1.5.1</t>
        </is>
      </c>
      <c r="B178" s="8" t="inlineStr">
        <is>
          <t>89409</t>
        </is>
      </c>
      <c r="C178" s="9" t="inlineStr">
        <is>
          <t>JOELHO 45 GRAUS, PVC, SOLDÁVEL, DN 25MM, INSTALADO EM RAMAL DE DISTRIBUIÇÃO DE ÁGUA - FORNECIMENTOE INSTALAÇÃO. AF_06/2022</t>
        </is>
      </c>
      <c r="D178" s="8" t="inlineStr">
        <is>
          <t>SINAPI</t>
        </is>
      </c>
      <c r="E178" s="8" t="inlineStr">
        <is>
          <t>UN</t>
        </is>
      </c>
      <c r="F178" s="58" t="n">
        <v>30</v>
      </c>
      <c r="G178" s="59">
        <f>COMPOSICOES!G1553</f>
        <v/>
      </c>
      <c r="H178" s="60">
        <f>ROUND(ROUND(F178,2)*ROUND(G178,2),2)</f>
        <v/>
      </c>
      <c r="K178" t="n">
        <v>9.93</v>
      </c>
      <c r="L178">
        <f>G178-K178</f>
        <v/>
      </c>
    </row>
    <row r="179" ht="24" customHeight="1">
      <c r="A179" s="7" t="inlineStr">
        <is>
          <t>8.1.5.2</t>
        </is>
      </c>
      <c r="B179" s="8" t="inlineStr">
        <is>
          <t>89408</t>
        </is>
      </c>
      <c r="C179" s="9" t="inlineStr">
        <is>
          <t>JOELHO 90 GRAUS, PVC, SOLDÁVEL, DN 25MM, INSTALADO EM RAMAL DE DISTRIBUIÇÃO DE ÁGUA - FORNECIMENTOE INSTALAÇÃO. AF_06/2022</t>
        </is>
      </c>
      <c r="D179" s="8" t="inlineStr">
        <is>
          <t>SINAPI</t>
        </is>
      </c>
      <c r="E179" s="8" t="inlineStr">
        <is>
          <t>UN</t>
        </is>
      </c>
      <c r="F179" s="58" t="n">
        <v>33</v>
      </c>
      <c r="G179" s="59">
        <f>COMPOSICOES!G1568</f>
        <v/>
      </c>
      <c r="H179" s="60">
        <f>ROUND(ROUND(F179,2)*ROUND(G179,2),2)</f>
        <v/>
      </c>
      <c r="K179" t="n">
        <v>9.130000000000001</v>
      </c>
      <c r="L179">
        <f>G179-K179</f>
        <v/>
      </c>
    </row>
    <row r="180" ht="32" customHeight="1">
      <c r="A180" s="7" t="inlineStr">
        <is>
          <t>8.1.5.3</t>
        </is>
      </c>
      <c r="B180" s="8" t="inlineStr">
        <is>
          <t>90373</t>
        </is>
      </c>
      <c r="C180" s="9" t="inlineStr">
        <is>
          <t>JOELHO 90 GRAUS COM BUCHA DE LATÃO, PVC, SOLDÁVEL, DN 25MM, X 1/2 INSTALADO EM RAMAL OU SUB-RAMAL DE ÁGUA - FORNECIMENTO E INSTALAÇÃO.AF_06/2022</t>
        </is>
      </c>
      <c r="D180" s="8" t="inlineStr">
        <is>
          <t>SINAPI</t>
        </is>
      </c>
      <c r="E180" s="8" t="inlineStr">
        <is>
          <t>UN</t>
        </is>
      </c>
      <c r="F180" s="58" t="n">
        <v>18</v>
      </c>
      <c r="G180" s="59">
        <f>COMPOSICOES!G1583</f>
        <v/>
      </c>
      <c r="H180" s="60">
        <f>ROUND(ROUND(F180,2)*ROUND(G180,2),2)</f>
        <v/>
      </c>
      <c r="K180" t="n">
        <v>13.55</v>
      </c>
      <c r="L180">
        <f>G180-K180</f>
        <v/>
      </c>
    </row>
    <row r="181" ht="24" customHeight="1">
      <c r="A181" s="7" t="inlineStr">
        <is>
          <t>8.1.5.4</t>
        </is>
      </c>
      <c r="B181" s="8" t="inlineStr">
        <is>
          <t>103980</t>
        </is>
      </c>
      <c r="C181" s="9" t="inlineStr">
        <is>
          <t>JOELHO 90 GRAUS, PVC, SOLDÁVEL, DN 40MM, INSTALADO EM RAMAL DE DISTRIBUIÇÃO DE ÁGUA - FORNECIMENTOE INSTALAÇÃO. AF_06/2022</t>
        </is>
      </c>
      <c r="D181" s="8" t="inlineStr">
        <is>
          <t>SINAPI</t>
        </is>
      </c>
      <c r="E181" s="8" t="inlineStr">
        <is>
          <t>UN</t>
        </is>
      </c>
      <c r="F181" s="58" t="n">
        <v>7</v>
      </c>
      <c r="G181" s="59">
        <f>COMPOSICOES!G1598</f>
        <v/>
      </c>
      <c r="H181" s="60">
        <f>ROUND(ROUND(F181,2)*ROUND(G181,2),2)</f>
        <v/>
      </c>
      <c r="K181" t="n">
        <v>18.29</v>
      </c>
      <c r="L181">
        <f>G181-K181</f>
        <v/>
      </c>
    </row>
    <row r="182" ht="24" customHeight="1">
      <c r="A182" s="7" t="inlineStr">
        <is>
          <t>8.1.5.5</t>
        </is>
      </c>
      <c r="B182" s="8" t="inlineStr">
        <is>
          <t>103985</t>
        </is>
      </c>
      <c r="C182" s="9" t="inlineStr">
        <is>
          <t>JOELHO 45 GRAUS, PVC, SOLDÁVEL, DN 50MM, INSTALADO EM RAMAL DE DISTRIBUIÇÃO DE ÁGUA - FORNECIMENTOE INSTALAÇÃO. AF_06/2022</t>
        </is>
      </c>
      <c r="D182" s="8" t="inlineStr">
        <is>
          <t>SINAPI</t>
        </is>
      </c>
      <c r="E182" s="8" t="inlineStr">
        <is>
          <t>UN</t>
        </is>
      </c>
      <c r="F182" s="58" t="n">
        <v>2</v>
      </c>
      <c r="G182" s="59">
        <f>COMPOSICOES!G1613</f>
        <v/>
      </c>
      <c r="H182" s="60">
        <f>ROUND(ROUND(F182,2)*ROUND(G182,2),2)</f>
        <v/>
      </c>
      <c r="K182" t="n">
        <v>22.82</v>
      </c>
      <c r="L182">
        <f>G182-K182</f>
        <v/>
      </c>
    </row>
    <row r="183" ht="24" customHeight="1">
      <c r="A183" s="7" t="inlineStr">
        <is>
          <t>8.1.5.6</t>
        </is>
      </c>
      <c r="B183" s="8" t="inlineStr">
        <is>
          <t>103984</t>
        </is>
      </c>
      <c r="C183" s="9" t="inlineStr">
        <is>
          <t>JOELHO 90 GRAUS, PVC, SOLDÁVEL, DN 50MM, INSTALADO EM RAMAL DE DISTRIBUIÇÃO DE ÁGUA - FORNECIMENTOE INSTALAÇÃO. AF_06/2022</t>
        </is>
      </c>
      <c r="D183" s="8" t="inlineStr">
        <is>
          <t>SINAPI</t>
        </is>
      </c>
      <c r="E183" s="8" t="inlineStr">
        <is>
          <t>UN</t>
        </is>
      </c>
      <c r="F183" s="58" t="n">
        <v>5</v>
      </c>
      <c r="G183" s="59">
        <f>COMPOSICOES!G1628</f>
        <v/>
      </c>
      <c r="H183" s="60">
        <f>ROUND(ROUND(F183,2)*ROUND(G183,2),2)</f>
        <v/>
      </c>
      <c r="K183" t="n">
        <v>20.22</v>
      </c>
      <c r="L183">
        <f>G183-K183</f>
        <v/>
      </c>
    </row>
    <row r="184" ht="20" customHeight="1">
      <c r="A184" s="5" t="inlineStr">
        <is>
          <t>8.1.6</t>
        </is>
      </c>
      <c r="B184" s="5" t="inlineStr">
        <is>
          <t>ÁGUA FRIA (CONEXÕES - TE)</t>
        </is>
      </c>
      <c r="C184" s="55" t="n"/>
      <c r="D184" s="55" t="n"/>
      <c r="E184" s="55" t="n"/>
      <c r="F184" s="55" t="n"/>
      <c r="G184" s="56" t="n"/>
      <c r="H184" s="57">
        <f>ROUND(SUM(H185:H188),2)</f>
        <v/>
      </c>
    </row>
    <row r="185" ht="24" customHeight="1">
      <c r="A185" s="7" t="inlineStr">
        <is>
          <t>8.1.6.1</t>
        </is>
      </c>
      <c r="B185" s="8" t="inlineStr">
        <is>
          <t>89395</t>
        </is>
      </c>
      <c r="C185" s="9" t="inlineStr">
        <is>
          <t>TE, PVC, SOLDÁVEL, DN 25MM, INSTALADO EM RAMAL OU SUB-RAMAL DE ÁGUA - FORNECIMENTO E INSTALAÇÃO.AF_06/2022</t>
        </is>
      </c>
      <c r="D185" s="8" t="inlineStr">
        <is>
          <t>SINAPI</t>
        </is>
      </c>
      <c r="E185" s="8" t="inlineStr">
        <is>
          <t>UN</t>
        </is>
      </c>
      <c r="F185" s="58" t="n">
        <v>5</v>
      </c>
      <c r="G185" s="59">
        <f>COMPOSICOES!G1643</f>
        <v/>
      </c>
      <c r="H185" s="60">
        <f>ROUND(ROUND(F185,2)*ROUND(G185,2),2)</f>
        <v/>
      </c>
      <c r="K185" t="n">
        <v>13.76</v>
      </c>
      <c r="L185">
        <f>G185-K185</f>
        <v/>
      </c>
    </row>
    <row r="186" ht="24" customHeight="1">
      <c r="A186" s="7" t="inlineStr">
        <is>
          <t>8.1.6.2</t>
        </is>
      </c>
      <c r="B186" s="8" t="inlineStr">
        <is>
          <t>104011</t>
        </is>
      </c>
      <c r="C186" s="9" t="inlineStr">
        <is>
          <t>TE, PVC, SOLDÁVEL, DN 40MM, INSTALADO EM RAMAL DE DISTRIBUIÇÃO DE ÁGUA - FORNECIMENTO E INSTALAÇÃO.AF_06/2022</t>
        </is>
      </c>
      <c r="D186" s="8" t="inlineStr">
        <is>
          <t>SINAPI</t>
        </is>
      </c>
      <c r="E186" s="8" t="inlineStr">
        <is>
          <t>UN</t>
        </is>
      </c>
      <c r="F186" s="58" t="n">
        <v>2</v>
      </c>
      <c r="G186" s="59">
        <f>COMPOSICOES!G1658</f>
        <v/>
      </c>
      <c r="H186" s="60">
        <f>ROUND(ROUND(F186,2)*ROUND(G186,2),2)</f>
        <v/>
      </c>
      <c r="K186" t="n">
        <v>26.08</v>
      </c>
      <c r="L186">
        <f>G186-K186</f>
        <v/>
      </c>
    </row>
    <row r="187" ht="24" customHeight="1">
      <c r="A187" s="7" t="inlineStr">
        <is>
          <t>8.1.6.3</t>
        </is>
      </c>
      <c r="B187" s="8" t="inlineStr">
        <is>
          <t>104006</t>
        </is>
      </c>
      <c r="C187" s="9" t="inlineStr">
        <is>
          <t>TÊ DE REDUÇÃO, PVC, SOLDÁVEL, DN 50MM X 25MM, INSTALADO EM RAMAL DE DISTRIBUIÇÃO DE ÁGUA - FORNECIMENTOE INSTALAÇÃO. AF_06/2022</t>
        </is>
      </c>
      <c r="D187" s="8" t="inlineStr">
        <is>
          <t>SINAPI</t>
        </is>
      </c>
      <c r="E187" s="8" t="inlineStr">
        <is>
          <t>UN</t>
        </is>
      </c>
      <c r="F187" s="58" t="n">
        <v>12</v>
      </c>
      <c r="G187" s="59">
        <f>COMPOSICOES!G1673</f>
        <v/>
      </c>
      <c r="H187" s="60">
        <f>ROUND(ROUND(F187,2)*ROUND(G187,2),2)</f>
        <v/>
      </c>
      <c r="K187" t="n">
        <v>25.83</v>
      </c>
      <c r="L187">
        <f>G187-K187</f>
        <v/>
      </c>
    </row>
    <row r="188" ht="32" customHeight="1">
      <c r="A188" s="7" t="inlineStr">
        <is>
          <t>8.1.6.4</t>
        </is>
      </c>
      <c r="B188" s="8" t="inlineStr">
        <is>
          <t>89396</t>
        </is>
      </c>
      <c r="C188" s="9" t="inlineStr">
        <is>
          <t>TÊ COM BUCHA DE LATÃO NA BOLSA CENTRAL, PVC, SOLDÁVEL, DN 25MM X 1/2, INSTALADO EM RAMAL OU SUB-RAMAL DE ÁGUA - FORNECIMENTO E INSTALAÇÃO.AF_06/2022</t>
        </is>
      </c>
      <c r="D188" s="8" t="inlineStr">
        <is>
          <t>SINAPI</t>
        </is>
      </c>
      <c r="E188" s="8" t="inlineStr">
        <is>
          <t>UN</t>
        </is>
      </c>
      <c r="F188" s="58" t="n">
        <v>11</v>
      </c>
      <c r="G188" s="59">
        <f>COMPOSICOES!G1688</f>
        <v/>
      </c>
      <c r="H188" s="60">
        <f>ROUND(ROUND(F188,2)*ROUND(G188,2),2)</f>
        <v/>
      </c>
      <c r="K188" t="n">
        <v>21.19</v>
      </c>
      <c r="L188">
        <f>G188-K188</f>
        <v/>
      </c>
    </row>
    <row r="189" ht="20" customHeight="1">
      <c r="A189" s="5" t="inlineStr">
        <is>
          <t>8.1.7</t>
        </is>
      </c>
      <c r="B189" s="5" t="inlineStr">
        <is>
          <t>ÁGUA FRIA (CONEXÕES - ADAPTADOR)</t>
        </is>
      </c>
      <c r="C189" s="55" t="n"/>
      <c r="D189" s="55" t="n"/>
      <c r="E189" s="55" t="n"/>
      <c r="F189" s="55" t="n"/>
      <c r="G189" s="56" t="n"/>
      <c r="H189" s="57">
        <f>ROUND(SUM(H190:H190),2)</f>
        <v/>
      </c>
    </row>
    <row r="190" ht="32" customHeight="1">
      <c r="A190" s="7" t="inlineStr">
        <is>
          <t>8.1.7.1</t>
        </is>
      </c>
      <c r="B190" s="8" t="inlineStr">
        <is>
          <t>89383</t>
        </is>
      </c>
      <c r="C190" s="9" t="inlineStr">
        <is>
          <t>ADAPTADOR CURTO COM BOLSA E ROSCA PARA REGISTRO, PVC, SOLDÁVEL, DN 25MM X 3/4, INSTALADO EM RAMAL OU SUB-RAMAL DE ÁGUA - FORNECIMENTO EINSTALAÇÃO. AF_06/2022</t>
        </is>
      </c>
      <c r="D190" s="8" t="inlineStr">
        <is>
          <t>SINAPI</t>
        </is>
      </c>
      <c r="E190" s="8" t="inlineStr">
        <is>
          <t>UN</t>
        </is>
      </c>
      <c r="F190" s="58" t="n">
        <v>31</v>
      </c>
      <c r="G190" s="59">
        <f>COMPOSICOES!G1703</f>
        <v/>
      </c>
      <c r="H190" s="60">
        <f>ROUND(ROUND(F190,2)*ROUND(G190,2),2)</f>
        <v/>
      </c>
      <c r="K190" t="n">
        <v>6.92</v>
      </c>
      <c r="L190">
        <f>G190-K190</f>
        <v/>
      </c>
    </row>
    <row r="191" ht="20" customHeight="1">
      <c r="A191" s="5" t="inlineStr">
        <is>
          <t>8.1.8</t>
        </is>
      </c>
      <c r="B191" s="5" t="inlineStr">
        <is>
          <t>ÁGUA FRIA (CONEXÕES - LUVA)</t>
        </is>
      </c>
      <c r="C191" s="55" t="n"/>
      <c r="D191" s="55" t="n"/>
      <c r="E191" s="55" t="n"/>
      <c r="F191" s="55" t="n"/>
      <c r="G191" s="56" t="n"/>
      <c r="H191" s="57">
        <f>ROUND(SUM(H192:H192),2)</f>
        <v/>
      </c>
    </row>
    <row r="192" ht="24" customHeight="1">
      <c r="A192" s="7" t="inlineStr">
        <is>
          <t>8.1.8.1</t>
        </is>
      </c>
      <c r="B192" s="8" t="inlineStr">
        <is>
          <t>89381</t>
        </is>
      </c>
      <c r="C192" s="9" t="inlineStr">
        <is>
          <t>LUVA COM BUCHA DE LATÃO, PVC, SOLDÁVEL, DN 25MM X 3/4, INSTALADO EM RAMAL OU SUB-RAMAL DE ÁGUA - FORNECIMENTO E INSTALAÇÃO.AF_06/2022</t>
        </is>
      </c>
      <c r="D192" s="8" t="inlineStr">
        <is>
          <t>SINAPI</t>
        </is>
      </c>
      <c r="E192" s="8" t="inlineStr">
        <is>
          <t>UN</t>
        </is>
      </c>
      <c r="F192" s="58" t="n">
        <v>1</v>
      </c>
      <c r="G192" s="59">
        <f>COMPOSICOES!G1718</f>
        <v/>
      </c>
      <c r="H192" s="60">
        <f>ROUND(ROUND(F192,2)*ROUND(G192,2),2)</f>
        <v/>
      </c>
      <c r="K192" t="n">
        <v>12.82</v>
      </c>
      <c r="L192">
        <f>G192-K192</f>
        <v/>
      </c>
    </row>
    <row r="193" ht="20" customHeight="1">
      <c r="A193" s="5" t="inlineStr">
        <is>
          <t>8.1.9</t>
        </is>
      </c>
      <c r="B193" s="5" t="inlineStr">
        <is>
          <t>ÁGUA FRIA (CONEXÕES - BUCHA DE REDUÇÃO)</t>
        </is>
      </c>
      <c r="C193" s="55" t="n"/>
      <c r="D193" s="55" t="n"/>
      <c r="E193" s="55" t="n"/>
      <c r="F193" s="55" t="n"/>
      <c r="G193" s="56" t="n"/>
      <c r="H193" s="57">
        <f>ROUND(SUM(H194:H194),2)</f>
        <v/>
      </c>
    </row>
    <row r="194" ht="24" customHeight="1">
      <c r="A194" s="7" t="inlineStr">
        <is>
          <t>8.1.9.1</t>
        </is>
      </c>
      <c r="B194" s="8" t="inlineStr">
        <is>
          <t>103999</t>
        </is>
      </c>
      <c r="C194" s="9" t="inlineStr">
        <is>
          <t>BUCHA DE REDUÇÃO, LONGA, PVC, SOLDÁVEL, DN 50 X 25 MM, INSTALADO EM RAMAL DE DISTRIBUIÇÃO DE ÁGUA - FORNECIMENTO E INSTALAÇÃO.AF_06/2022</t>
        </is>
      </c>
      <c r="D194" s="8" t="inlineStr">
        <is>
          <t>SINAPI</t>
        </is>
      </c>
      <c r="E194" s="8" t="inlineStr">
        <is>
          <t>UN</t>
        </is>
      </c>
      <c r="F194" s="58" t="n">
        <v>1</v>
      </c>
      <c r="G194" s="59">
        <f>COMPOSICOES!G1733</f>
        <v/>
      </c>
      <c r="H194" s="60">
        <f>ROUND(ROUND(F194,2)*ROUND(G194,2),2)</f>
        <v/>
      </c>
      <c r="K194" t="n">
        <v>12.82</v>
      </c>
      <c r="L194">
        <f>G194-K194</f>
        <v/>
      </c>
    </row>
    <row r="195" ht="20" customHeight="1">
      <c r="A195" s="5" t="inlineStr">
        <is>
          <t>8.2</t>
        </is>
      </c>
      <c r="B195" s="5" t="inlineStr">
        <is>
          <t>ESGOTO</t>
        </is>
      </c>
      <c r="C195" s="55" t="n"/>
      <c r="D195" s="55" t="n"/>
      <c r="E195" s="55" t="n"/>
      <c r="F195" s="55" t="n"/>
      <c r="G195" s="56" t="n"/>
      <c r="H195" s="57">
        <f>ROUND(H196+H201+H209+H213+H218+H222+H225+H228+H235+H240,2)</f>
        <v/>
      </c>
    </row>
    <row r="196" ht="20" customHeight="1">
      <c r="A196" s="5" t="inlineStr">
        <is>
          <t>8.2.1</t>
        </is>
      </c>
      <c r="B196" s="5" t="inlineStr">
        <is>
          <t>ESGOTO (TUBULAÇÃO)</t>
        </is>
      </c>
      <c r="C196" s="55" t="n"/>
      <c r="D196" s="55" t="n"/>
      <c r="E196" s="55" t="n"/>
      <c r="F196" s="55" t="n"/>
      <c r="G196" s="56" t="n"/>
      <c r="H196" s="57">
        <f>ROUND(SUM(H197:H200),2)</f>
        <v/>
      </c>
    </row>
    <row r="197" ht="24" customHeight="1">
      <c r="A197" s="7" t="inlineStr">
        <is>
          <t>8.2.1.1</t>
        </is>
      </c>
      <c r="B197" s="8" t="inlineStr">
        <is>
          <t>89711</t>
        </is>
      </c>
      <c r="C197" s="9" t="inlineStr">
        <is>
          <t>TUBO PVC, SERIE NORMAL, ESGOTO PREDIAL, DN 40 MM, FORNECIDO E INSTALADO EM RAMAL DE DESCARGA OU RAMAL DE ESGOTO SANITÁRIO.AF_08/2022</t>
        </is>
      </c>
      <c r="D197" s="8" t="inlineStr">
        <is>
          <t>SINAPI</t>
        </is>
      </c>
      <c r="E197" s="8" t="inlineStr">
        <is>
          <t>M</t>
        </is>
      </c>
      <c r="F197" s="58" t="n">
        <v>32.6</v>
      </c>
      <c r="G197" s="59">
        <f>COMPOSICOES!G1746</f>
        <v/>
      </c>
      <c r="H197" s="60">
        <f>ROUND(ROUND(F197,2)*ROUND(G197,2),2)</f>
        <v/>
      </c>
      <c r="K197" t="n">
        <v>22.75</v>
      </c>
      <c r="L197">
        <f>G197-K197</f>
        <v/>
      </c>
    </row>
    <row r="198" ht="24" customHeight="1">
      <c r="A198" s="7" t="inlineStr">
        <is>
          <t>8.2.1.2</t>
        </is>
      </c>
      <c r="B198" s="8" t="inlineStr">
        <is>
          <t>89712</t>
        </is>
      </c>
      <c r="C198" s="9" t="inlineStr">
        <is>
          <t>TUBO PVC, SERIE NORMAL, ESGOTO PREDIAL, DN 50 MM, FORNECIDO E INSTALADO EM RAMAL DE DESCARGA OU RAMAL DE ESGOTO SANITÁRIO.AF_08/2022</t>
        </is>
      </c>
      <c r="D198" s="8" t="inlineStr">
        <is>
          <t>SINAPI</t>
        </is>
      </c>
      <c r="E198" s="8" t="inlineStr">
        <is>
          <t>M</t>
        </is>
      </c>
      <c r="F198" s="58" t="n">
        <v>35.94</v>
      </c>
      <c r="G198" s="59">
        <f>COMPOSICOES!G1759</f>
        <v/>
      </c>
      <c r="H198" s="60">
        <f>ROUND(ROUND(F198,2)*ROUND(G198,2),2)</f>
        <v/>
      </c>
      <c r="K198" t="n">
        <v>28.62</v>
      </c>
      <c r="L198">
        <f>G198-K198</f>
        <v/>
      </c>
    </row>
    <row r="199" ht="24" customHeight="1">
      <c r="A199" s="7" t="inlineStr">
        <is>
          <t>8.2.1.3</t>
        </is>
      </c>
      <c r="B199" s="8" t="inlineStr">
        <is>
          <t>89713</t>
        </is>
      </c>
      <c r="C199" s="9" t="inlineStr">
        <is>
          <t>TUBO PVC, SERIE NORMAL, ESGOTO PREDIAL, DN 75 MM, FORNECIDO E INSTALADO EM RAMAL DE DESCARGA OU RAMAL DE ESGOTO SANITÁRIO.AF_08/2022</t>
        </is>
      </c>
      <c r="D199" s="8" t="inlineStr">
        <is>
          <t>SINAPI</t>
        </is>
      </c>
      <c r="E199" s="8" t="inlineStr">
        <is>
          <t>M</t>
        </is>
      </c>
      <c r="F199" s="58" t="n">
        <v>8.68</v>
      </c>
      <c r="G199" s="59">
        <f>COMPOSICOES!G1772</f>
        <v/>
      </c>
      <c r="H199" s="60">
        <f>ROUND(ROUND(F199,2)*ROUND(G199,2),2)</f>
        <v/>
      </c>
      <c r="K199" t="n">
        <v>35.6</v>
      </c>
      <c r="L199">
        <f>G199-K199</f>
        <v/>
      </c>
    </row>
    <row r="200" ht="24" customHeight="1">
      <c r="A200" s="7" t="inlineStr">
        <is>
          <t>8.2.1.4</t>
        </is>
      </c>
      <c r="B200" s="8" t="inlineStr">
        <is>
          <t>89714</t>
        </is>
      </c>
      <c r="C200" s="9" t="inlineStr">
        <is>
          <t>TUBO PVC, SERIE NORMAL, ESGOTO PREDIAL, DN 100 MM, FORNECIDO E INSTALADO EM RAMAL DE DESCARGA OU RAMAL DE ESGOTO SANITÁRIO.AF_08/2022</t>
        </is>
      </c>
      <c r="D200" s="8" t="inlineStr">
        <is>
          <t>SINAPI</t>
        </is>
      </c>
      <c r="E200" s="8" t="inlineStr">
        <is>
          <t>M</t>
        </is>
      </c>
      <c r="F200" s="58" t="n">
        <v>48.61</v>
      </c>
      <c r="G200" s="59">
        <f>COMPOSICOES!G1785</f>
        <v/>
      </c>
      <c r="H200" s="60">
        <f>ROUND(ROUND(F200,2)*ROUND(G200,2),2)</f>
        <v/>
      </c>
      <c r="K200" t="n">
        <v>39.87</v>
      </c>
      <c r="L200">
        <f>G200-K200</f>
        <v/>
      </c>
    </row>
    <row r="201" ht="20" customHeight="1">
      <c r="A201" s="5" t="inlineStr">
        <is>
          <t>8.2.2</t>
        </is>
      </c>
      <c r="B201" s="5" t="inlineStr">
        <is>
          <t>ESGOTO (CONEXÕES - JOELHO)</t>
        </is>
      </c>
      <c r="C201" s="55" t="n"/>
      <c r="D201" s="55" t="n"/>
      <c r="E201" s="55" t="n"/>
      <c r="F201" s="55" t="n"/>
      <c r="G201" s="56" t="n"/>
      <c r="H201" s="57">
        <f>ROUND(SUM(H202:H208),2)</f>
        <v/>
      </c>
    </row>
    <row r="202" ht="32" customHeight="1">
      <c r="A202" s="7" t="inlineStr">
        <is>
          <t>8.2.2.1</t>
        </is>
      </c>
      <c r="B202" s="8" t="inlineStr">
        <is>
          <t>89726</t>
        </is>
      </c>
      <c r="C202" s="9" t="inlineStr">
        <is>
          <t>JOELHO 45 GRAUS, PVC, SERIE NORMAL, ESGOTO PREDIAL, DN 40 MM, JUNTA SOLDÁVEL, FORNECIDO E INSTALADO EM RAMAL DE DESCARGA OU RAMAL DEESGOTO SANITÁRIO. AF_08/2022</t>
        </is>
      </c>
      <c r="D202" s="8" t="inlineStr">
        <is>
          <t>SINAPI</t>
        </is>
      </c>
      <c r="E202" s="8" t="inlineStr">
        <is>
          <t>UN</t>
        </is>
      </c>
      <c r="F202" s="58" t="n">
        <v>52</v>
      </c>
      <c r="G202" s="59">
        <f>COMPOSICOES!G1800</f>
        <v/>
      </c>
      <c r="H202" s="60">
        <f>ROUND(ROUND(F202,2)*ROUND(G202,2),2)</f>
        <v/>
      </c>
      <c r="K202" t="n">
        <v>10.88</v>
      </c>
      <c r="L202">
        <f>G202-K202</f>
        <v/>
      </c>
    </row>
    <row r="203" ht="32" customHeight="1">
      <c r="A203" s="7" t="inlineStr">
        <is>
          <t>8.2.2.2</t>
        </is>
      </c>
      <c r="B203" s="8" t="inlineStr">
        <is>
          <t>89802</t>
        </is>
      </c>
      <c r="C203" s="9" t="inlineStr">
        <is>
          <t>JOELHO 45 GRAUS, PVC, SERIE NORMAL, ESGOTO PREDIAL, DN 50 MM, JUNTA ELÁSTICA, FORNECIDO E INSTALADO EM PRUMADA DE ESGOTO SANITÁRIO OUVENTILAÇÃO. AF_08/2022</t>
        </is>
      </c>
      <c r="D203" s="8" t="inlineStr">
        <is>
          <t>SINAPI</t>
        </is>
      </c>
      <c r="E203" s="8" t="inlineStr">
        <is>
          <t>UN</t>
        </is>
      </c>
      <c r="F203" s="58" t="n">
        <v>19</v>
      </c>
      <c r="G203" s="59">
        <f>COMPOSICOES!G1814</f>
        <v/>
      </c>
      <c r="H203" s="60">
        <f>ROUND(ROUND(F203,2)*ROUND(G203,2),2)</f>
        <v/>
      </c>
      <c r="K203" t="n">
        <v>11.77</v>
      </c>
      <c r="L203">
        <f>G203-K203</f>
        <v/>
      </c>
    </row>
    <row r="204" ht="32" customHeight="1">
      <c r="A204" s="7" t="inlineStr">
        <is>
          <t>8.2.2.3</t>
        </is>
      </c>
      <c r="B204" s="8" t="inlineStr">
        <is>
          <t>89746</t>
        </is>
      </c>
      <c r="C204" s="9" t="inlineStr">
        <is>
          <t>JOELHO 45 GRAUS, PVC, SERIE NORMAL, ESGOTO PREDIAL, DN 100 MM, JUNTA ELÁSTICA, FORNECIDO E INSTALADO EM RAMAL DE DESCARGA OU RAMAL DEESGOTO SANITÁRIO. AF_08/2022</t>
        </is>
      </c>
      <c r="D204" s="8" t="inlineStr">
        <is>
          <t>SINAPI</t>
        </is>
      </c>
      <c r="E204" s="8" t="inlineStr">
        <is>
          <t>UN</t>
        </is>
      </c>
      <c r="F204" s="58" t="n">
        <v>10</v>
      </c>
      <c r="G204" s="59">
        <f>COMPOSICOES!G1828</f>
        <v/>
      </c>
      <c r="H204" s="60">
        <f>ROUND(ROUND(F204,2)*ROUND(G204,2),2)</f>
        <v/>
      </c>
      <c r="K204" t="n">
        <v>31.12</v>
      </c>
      <c r="L204">
        <f>G204-K204</f>
        <v/>
      </c>
    </row>
    <row r="205" ht="32" customHeight="1">
      <c r="A205" s="7" t="inlineStr">
        <is>
          <t>8.2.2.4</t>
        </is>
      </c>
      <c r="B205" s="8" t="inlineStr">
        <is>
          <t>89724</t>
        </is>
      </c>
      <c r="C205" s="9" t="inlineStr">
        <is>
          <t>JOELHO 90 GRAUS, PVC, SERIE NORMAL, ESGOTO PREDIAL, DN 40 MM, JUNTA SOLDÁVEL, FORNECIDO E INSTALADO EM RAMAL DE DESCARGA OU RAMAL DEESGOTO SANITÁRIO. AF_08/2022</t>
        </is>
      </c>
      <c r="D205" s="8" t="inlineStr">
        <is>
          <t>SINAPI</t>
        </is>
      </c>
      <c r="E205" s="8" t="inlineStr">
        <is>
          <t>UN</t>
        </is>
      </c>
      <c r="F205" s="58" t="n">
        <v>28</v>
      </c>
      <c r="G205" s="59">
        <f>COMPOSICOES!G1843</f>
        <v/>
      </c>
      <c r="H205" s="60">
        <f>ROUND(ROUND(F205,2)*ROUND(G205,2),2)</f>
        <v/>
      </c>
      <c r="K205" t="n">
        <v>10.65</v>
      </c>
      <c r="L205">
        <f>G205-K205</f>
        <v/>
      </c>
    </row>
    <row r="206" ht="32" customHeight="1">
      <c r="A206" s="7" t="inlineStr">
        <is>
          <t>8.2.2.5</t>
        </is>
      </c>
      <c r="B206" s="8" t="inlineStr">
        <is>
          <t>89801</t>
        </is>
      </c>
      <c r="C206" s="9" t="inlineStr">
        <is>
          <t>JOELHO 90 GRAUS, PVC, SERIE NORMAL, ESGOTO PREDIAL, DN 50 MM, JUNTA ELÁSTICA, FORNECIDO E INSTALADO EM PRUMADA DE ESGOTO SANITÁRIO OUVENTILAÇÃO. AF_08/2022</t>
        </is>
      </c>
      <c r="D206" s="8" t="inlineStr">
        <is>
          <t>SINAPI</t>
        </is>
      </c>
      <c r="E206" s="8" t="inlineStr">
        <is>
          <t>UN</t>
        </is>
      </c>
      <c r="F206" s="58" t="n">
        <v>24</v>
      </c>
      <c r="G206" s="59">
        <f>COMPOSICOES!G1857</f>
        <v/>
      </c>
      <c r="H206" s="60">
        <f>ROUND(ROUND(F206,2)*ROUND(G206,2),2)</f>
        <v/>
      </c>
      <c r="K206" t="n">
        <v>11.04</v>
      </c>
      <c r="L206">
        <f>G206-K206</f>
        <v/>
      </c>
    </row>
    <row r="207" ht="32" customHeight="1">
      <c r="A207" s="7" t="inlineStr">
        <is>
          <t>8.2.2.6</t>
        </is>
      </c>
      <c r="B207" s="8" t="inlineStr">
        <is>
          <t>89737</t>
        </is>
      </c>
      <c r="C207" s="9" t="inlineStr">
        <is>
          <t>JOELHO 90 GRAUS, PVC, SERIE NORMAL, ESGOTO PREDIAL, DN 75 MM, JUNTA ELÁSTICA, FORNECIDO E INSTALADO EM RAMAL DE DESCARGA OU RAMAL DEESGOTO SANITÁRIO. AF_08/2022</t>
        </is>
      </c>
      <c r="D207" s="8" t="inlineStr">
        <is>
          <t>SINAPI</t>
        </is>
      </c>
      <c r="E207" s="8" t="inlineStr">
        <is>
          <t>UN</t>
        </is>
      </c>
      <c r="F207" s="58" t="n">
        <v>7</v>
      </c>
      <c r="G207" s="59">
        <f>COMPOSICOES!G1871</f>
        <v/>
      </c>
      <c r="H207" s="60">
        <f>ROUND(ROUND(F207,2)*ROUND(G207,2),2)</f>
        <v/>
      </c>
      <c r="K207" t="n">
        <v>24.95</v>
      </c>
      <c r="L207">
        <f>G207-K207</f>
        <v/>
      </c>
    </row>
    <row r="208" ht="32" customHeight="1">
      <c r="A208" s="7" t="inlineStr">
        <is>
          <t>8.2.2.7</t>
        </is>
      </c>
      <c r="B208" s="8" t="inlineStr">
        <is>
          <t>89744</t>
        </is>
      </c>
      <c r="C208" s="9" t="inlineStr">
        <is>
          <t>JOELHO 90 GRAUS, PVC, SERIE NORMAL, ESGOTO PREDIAL, DN 100 MM, JUNTA ELÁSTICA, FORNECIDO E INSTALADO EM RAMAL DE DESCARGA OU RAMAL DEESGOTO SANITÁRIO. AF_08/2022</t>
        </is>
      </c>
      <c r="D208" s="8" t="inlineStr">
        <is>
          <t>SINAPI</t>
        </is>
      </c>
      <c r="E208" s="8" t="inlineStr">
        <is>
          <t>UN</t>
        </is>
      </c>
      <c r="F208" s="58" t="n">
        <v>9</v>
      </c>
      <c r="G208" s="59">
        <f>COMPOSICOES!G1885</f>
        <v/>
      </c>
      <c r="H208" s="60">
        <f>ROUND(ROUND(F208,2)*ROUND(G208,2),2)</f>
        <v/>
      </c>
      <c r="K208" t="n">
        <v>30.28</v>
      </c>
      <c r="L208">
        <f>G208-K208</f>
        <v/>
      </c>
    </row>
    <row r="209" ht="20" customHeight="1">
      <c r="A209" s="5" t="inlineStr">
        <is>
          <t>8.2.3</t>
        </is>
      </c>
      <c r="B209" s="5" t="inlineStr">
        <is>
          <t>ESGOTO (CONEXÕES - JUNÇÃO)</t>
        </is>
      </c>
      <c r="C209" s="55" t="n"/>
      <c r="D209" s="55" t="n"/>
      <c r="E209" s="55" t="n"/>
      <c r="F209" s="55" t="n"/>
      <c r="G209" s="56" t="n"/>
      <c r="H209" s="57">
        <f>ROUND(SUM(H210:H212),2)</f>
        <v/>
      </c>
    </row>
    <row r="210" ht="32" customHeight="1">
      <c r="A210" s="7" t="inlineStr">
        <is>
          <t>8.2.3.1</t>
        </is>
      </c>
      <c r="B210" s="8" t="inlineStr">
        <is>
          <t>89785</t>
        </is>
      </c>
      <c r="C210" s="9" t="inlineStr">
        <is>
          <t>JUNÇÃO SIMPLES, PVC, SERIE NORMAL, ESGOTO PREDIAL, DN 50 X 50 MM, JUNTA ELÁSTICA, FORNECIDO E INSTALADO EM RAMAL DE DESCARGA OU RAMAL DEESGOTO SANITÁRIO. AF_08/2022</t>
        </is>
      </c>
      <c r="D210" s="8" t="inlineStr">
        <is>
          <t>SINAPI</t>
        </is>
      </c>
      <c r="E210" s="8" t="inlineStr">
        <is>
          <t>UN</t>
        </is>
      </c>
      <c r="F210" s="58" t="n">
        <v>3</v>
      </c>
      <c r="G210" s="59">
        <f>COMPOSICOES!G1899</f>
        <v/>
      </c>
      <c r="H210" s="60">
        <f>ROUND(ROUND(F210,2)*ROUND(G210,2),2)</f>
        <v/>
      </c>
      <c r="K210" t="n">
        <v>29.02</v>
      </c>
      <c r="L210">
        <f>G210-K210</f>
        <v/>
      </c>
    </row>
    <row r="211" ht="32" customHeight="1">
      <c r="A211" s="7" t="inlineStr">
        <is>
          <t>8.2.3.2</t>
        </is>
      </c>
      <c r="B211" s="8" t="inlineStr">
        <is>
          <t>89797</t>
        </is>
      </c>
      <c r="C211" s="9" t="inlineStr">
        <is>
          <t>JUNÇÃO SIMPLES, PVC, SERIE NORMAL, ESGOTO PREDIAL, DN 100 X 100 MM, JUNTA ELÁSTICA, FORNECIDO E INSTALADO EM RAMAL DE DESCARGA OU RAMAL DEESGOTO SANITÁRIO. AF_08/2022</t>
        </is>
      </c>
      <c r="D211" s="8" t="inlineStr">
        <is>
          <t>SINAPI</t>
        </is>
      </c>
      <c r="E211" s="8" t="inlineStr">
        <is>
          <t>UN</t>
        </is>
      </c>
      <c r="F211" s="58" t="n">
        <v>3</v>
      </c>
      <c r="G211" s="59">
        <f>COMPOSICOES!G1913</f>
        <v/>
      </c>
      <c r="H211" s="60">
        <f>ROUND(ROUND(F211,2)*ROUND(G211,2),2)</f>
        <v/>
      </c>
      <c r="K211" t="n">
        <v>55.31</v>
      </c>
      <c r="L211">
        <f>G211-K211</f>
        <v/>
      </c>
    </row>
    <row r="212" ht="20" customHeight="1">
      <c r="A212" s="7" t="inlineStr">
        <is>
          <t>8.2.3.3</t>
        </is>
      </c>
      <c r="B212" s="8" t="inlineStr">
        <is>
          <t>424</t>
        </is>
      </c>
      <c r="C212" s="9" t="inlineStr">
        <is>
          <t>JUNÇÃO COM REDUÇÃO, PVC, SERIENORMAL, ESGOTO PREDIAL, DN 100 X</t>
        </is>
      </c>
      <c r="D212" s="8" t="inlineStr">
        <is>
          <t>Composiçõ
es</t>
        </is>
      </c>
      <c r="E212" s="8" t="inlineStr">
        <is>
          <t>UN</t>
        </is>
      </c>
      <c r="F212" s="58" t="n">
        <v>3</v>
      </c>
      <c r="G212" s="59">
        <f>COMPOSICOES!G1928</f>
        <v/>
      </c>
      <c r="H212" s="60">
        <f>ROUND(ROUND(F212,2)*ROUND(G212,2),2)</f>
        <v/>
      </c>
      <c r="K212" t="n">
        <v>85.37</v>
      </c>
      <c r="L212">
        <f>G212-K212</f>
        <v/>
      </c>
    </row>
    <row r="213" ht="20" customHeight="1">
      <c r="A213" s="5" t="inlineStr">
        <is>
          <t>8.2.4</t>
        </is>
      </c>
      <c r="B213" s="5" t="inlineStr">
        <is>
          <t>ESGOTO (CONEXÕES - TE)</t>
        </is>
      </c>
      <c r="C213" s="55" t="n"/>
      <c r="D213" s="55" t="n"/>
      <c r="E213" s="55" t="n"/>
      <c r="F213" s="55" t="n"/>
      <c r="G213" s="56" t="n"/>
      <c r="H213" s="57">
        <f>ROUND(SUM(H214:H217),2)</f>
        <v/>
      </c>
    </row>
    <row r="214" ht="32" customHeight="1">
      <c r="A214" s="7" t="inlineStr">
        <is>
          <t>8.2.4.1</t>
        </is>
      </c>
      <c r="B214" s="8" t="inlineStr">
        <is>
          <t>89784</t>
        </is>
      </c>
      <c r="C214" s="9" t="inlineStr">
        <is>
          <t>TE, PVC, SERIE NORMAL, ESGOTO PREDIAL, DN 50 X 50 MM, JUNTA ELÁSTICA, FORNECIDO E INSTALADO EM RAMAL DE DESCARGA OU RAMAL DE ESGOTOSANITÁRIO. AF_08/2022</t>
        </is>
      </c>
      <c r="D214" s="8" t="inlineStr">
        <is>
          <t>SINAPI</t>
        </is>
      </c>
      <c r="E214" s="8" t="inlineStr">
        <is>
          <t>UN</t>
        </is>
      </c>
      <c r="F214" s="58" t="n">
        <v>14</v>
      </c>
      <c r="G214" s="59">
        <f>COMPOSICOES!G1942</f>
        <v/>
      </c>
      <c r="H214" s="60">
        <f>ROUND(ROUND(F214,2)*ROUND(G214,2),2)</f>
        <v/>
      </c>
      <c r="K214" t="n">
        <v>26.67</v>
      </c>
      <c r="L214">
        <f>G214-K214</f>
        <v/>
      </c>
    </row>
    <row r="215" ht="32" customHeight="1">
      <c r="A215" s="7" t="inlineStr">
        <is>
          <t>8.2.4.2</t>
        </is>
      </c>
      <c r="B215" s="8" t="inlineStr">
        <is>
          <t>89786</t>
        </is>
      </c>
      <c r="C215" s="9" t="inlineStr">
        <is>
          <t>TE, PVC, SERIE NORMAL, ESGOTO PREDIAL, DN 75 X 75 MM, JUNTA ELÁSTICA, FORNECIDO E INSTALADO EM RAMAL DE DESCARGA OU RAMAL DE ESGOTOSANITÁRIO. AF_08/2022</t>
        </is>
      </c>
      <c r="D215" s="8" t="inlineStr">
        <is>
          <t>SINAPI</t>
        </is>
      </c>
      <c r="E215" s="8" t="inlineStr">
        <is>
          <t>UN</t>
        </is>
      </c>
      <c r="F215" s="58" t="n">
        <v>1</v>
      </c>
      <c r="G215" s="59">
        <f>COMPOSICOES!G1956</f>
        <v/>
      </c>
      <c r="H215" s="60">
        <f>ROUND(ROUND(F215,2)*ROUND(G215,2),2)</f>
        <v/>
      </c>
      <c r="K215" t="n">
        <v>42.15</v>
      </c>
      <c r="L215">
        <f>G215-K215</f>
        <v/>
      </c>
    </row>
    <row r="216" ht="32" customHeight="1">
      <c r="A216" s="7" t="inlineStr">
        <is>
          <t>8.2.4.3</t>
        </is>
      </c>
      <c r="B216" s="8" t="inlineStr">
        <is>
          <t>425
PRÓPRIO</t>
        </is>
      </c>
      <c r="C216" s="9" t="inlineStr">
        <is>
          <t>TE COM REDUÇÃO, PVC, SERIE NORMAL, ESGOTO PREDIAL, DN 75 X 50MM, JUNTA ELÁSTICA, FORNECIDO E INSTALADO EM RAMAL DE DESCARGA OU RAMAL DEESGOTO SANITÁRIO</t>
        </is>
      </c>
      <c r="D216" s="8" t="inlineStr">
        <is>
          <t>Composiçõ es Próprias</t>
        </is>
      </c>
      <c r="E216" s="8" t="inlineStr">
        <is>
          <t>UN</t>
        </is>
      </c>
      <c r="F216" s="58" t="n">
        <v>2</v>
      </c>
      <c r="G216" s="59">
        <f>COMPOSICOES!G1971</f>
        <v/>
      </c>
      <c r="H216" s="60">
        <f>ROUND(ROUND(F216,2)*ROUND(G216,2),2)</f>
        <v/>
      </c>
      <c r="K216" t="n">
        <v>61.72</v>
      </c>
      <c r="L216">
        <f>G216-K216</f>
        <v/>
      </c>
    </row>
    <row r="217" ht="32" customHeight="1">
      <c r="A217" s="7" t="inlineStr">
        <is>
          <t>8.2.4.4</t>
        </is>
      </c>
      <c r="B217" s="8" t="inlineStr">
        <is>
          <t>104344</t>
        </is>
      </c>
      <c r="C217" s="9" t="inlineStr">
        <is>
          <t>TE, PVC, SÉRIE NORMAL, ESGOTO PREDIAL, DN 100 X 50 MM, JUNTA ELÁSTICA, FORNECIDO E INSTALADO EM RAMAL DE DESCARGA OU RAMAL DE ESGOTOSANITÁRIO. AF_08/2022</t>
        </is>
      </c>
      <c r="D217" s="8" t="inlineStr">
        <is>
          <t>SINAPI</t>
        </is>
      </c>
      <c r="E217" s="8" t="inlineStr">
        <is>
          <t>UN</t>
        </is>
      </c>
      <c r="F217" s="58" t="n">
        <v>6</v>
      </c>
      <c r="G217" s="59">
        <f>COMPOSICOES!G1986</f>
        <v/>
      </c>
      <c r="H217" s="60">
        <f>ROUND(ROUND(F217,2)*ROUND(G217,2),2)</f>
        <v/>
      </c>
      <c r="K217" t="n">
        <v>44.25</v>
      </c>
      <c r="L217">
        <f>G217-K217</f>
        <v/>
      </c>
    </row>
    <row r="218" ht="20" customHeight="1">
      <c r="A218" s="5" t="inlineStr">
        <is>
          <t>8.2.5</t>
        </is>
      </c>
      <c r="B218" s="5" t="inlineStr">
        <is>
          <t>ESGOTO (CONEXÕES - LUVA)</t>
        </is>
      </c>
      <c r="C218" s="55" t="n"/>
      <c r="D218" s="55" t="n"/>
      <c r="E218" s="55" t="n"/>
      <c r="F218" s="55" t="n"/>
      <c r="G218" s="56" t="n"/>
      <c r="H218" s="57">
        <f>ROUND(SUM(H219:H221),2)</f>
        <v/>
      </c>
    </row>
    <row r="219" ht="32" customHeight="1">
      <c r="A219" s="7" t="inlineStr">
        <is>
          <t>8.2.5.1</t>
        </is>
      </c>
      <c r="B219" s="8" t="inlineStr">
        <is>
          <t>89753</t>
        </is>
      </c>
      <c r="C219" s="9" t="inlineStr">
        <is>
          <t>LUVA SIMPLES, PVC, SERIE NORMAL, ESGOTO PREDIAL, DN 50 MM, JUNTA ELÁSTICA, FORNECIDO E INSTALADO EM RAMAL DE DESCARGA OU RAMAL DEESGOTO SANITÁRIO. AF_08/2022</t>
        </is>
      </c>
      <c r="D219" s="8" t="inlineStr">
        <is>
          <t>SINAPI</t>
        </is>
      </c>
      <c r="E219" s="8" t="inlineStr">
        <is>
          <t>UN</t>
        </is>
      </c>
      <c r="F219" s="58" t="n">
        <v>60</v>
      </c>
      <c r="G219" s="59">
        <f>COMPOSICOES!G2001</f>
        <v/>
      </c>
      <c r="H219" s="60">
        <f>ROUND(ROUND(F219,2)*ROUND(G219,2),2)</f>
        <v/>
      </c>
      <c r="K219" t="n">
        <v>9.56</v>
      </c>
      <c r="L219">
        <f>G219-K219</f>
        <v/>
      </c>
    </row>
    <row r="220" ht="32" customHeight="1">
      <c r="A220" s="7" t="inlineStr">
        <is>
          <t>8.2.5.2</t>
        </is>
      </c>
      <c r="B220" s="8" t="inlineStr">
        <is>
          <t>89774</t>
        </is>
      </c>
      <c r="C220" s="9" t="inlineStr">
        <is>
          <t>LUVA SIMPLES, PVC, SERIE NORMAL, ESGOTO PREDIAL, DN 75 MM, JUNTA ELÁSTICA, FORNECIDO E INSTALADO EM RAMAL DE DESCARGA OU RAMAL DEESGOTO SANITÁRIO. AF_08/2022</t>
        </is>
      </c>
      <c r="D220" s="8" t="inlineStr">
        <is>
          <t>SINAPI</t>
        </is>
      </c>
      <c r="E220" s="8" t="inlineStr">
        <is>
          <t>UN</t>
        </is>
      </c>
      <c r="F220" s="58" t="n">
        <v>10</v>
      </c>
      <c r="G220" s="59">
        <f>COMPOSICOES!G2016</f>
        <v/>
      </c>
      <c r="H220" s="60">
        <f>ROUND(ROUND(F220,2)*ROUND(G220,2),2)</f>
        <v/>
      </c>
      <c r="K220" t="n">
        <v>15.63</v>
      </c>
      <c r="L220">
        <f>G220-K220</f>
        <v/>
      </c>
    </row>
    <row r="221" ht="32" customHeight="1">
      <c r="A221" s="7" t="inlineStr">
        <is>
          <t>8.2.5.3</t>
        </is>
      </c>
      <c r="B221" s="8" t="inlineStr">
        <is>
          <t>89778</t>
        </is>
      </c>
      <c r="C221" s="9" t="inlineStr">
        <is>
          <t>LUVA SIMPLES, PVC, SERIE NORMAL, ESGOTO PREDIAL, DN 100 MM, JUNTA ELÁSTICA, FORNECIDO E INSTALADO EM RAMAL DE DESCARGA OU RAMAL DEESGOTO SANITÁRIO. AF_08/2022</t>
        </is>
      </c>
      <c r="D221" s="8" t="inlineStr">
        <is>
          <t>SINAPI</t>
        </is>
      </c>
      <c r="E221" s="8" t="inlineStr">
        <is>
          <t>UN</t>
        </is>
      </c>
      <c r="F221" s="58" t="n">
        <v>34</v>
      </c>
      <c r="G221" s="59">
        <f>COMPOSICOES!G2031</f>
        <v/>
      </c>
      <c r="H221" s="60">
        <f>ROUND(ROUND(F221,2)*ROUND(G221,2),2)</f>
        <v/>
      </c>
      <c r="K221" t="n">
        <v>17.84</v>
      </c>
      <c r="L221">
        <f>G221-K221</f>
        <v/>
      </c>
    </row>
    <row r="222" ht="20" customHeight="1">
      <c r="A222" s="5" t="inlineStr">
        <is>
          <t>8.2.6</t>
        </is>
      </c>
      <c r="B222" s="5" t="inlineStr">
        <is>
          <t>ESGOTO (CONEXÕES - TERMINAL DE VENTILAÇÃO)</t>
        </is>
      </c>
      <c r="C222" s="55" t="n"/>
      <c r="D222" s="55" t="n"/>
      <c r="E222" s="55" t="n"/>
      <c r="F222" s="55" t="n"/>
      <c r="G222" s="56" t="n"/>
      <c r="H222" s="57">
        <f>ROUND(SUM(H223:H224),2)</f>
        <v/>
      </c>
    </row>
    <row r="223" ht="32" customHeight="1">
      <c r="A223" s="7" t="inlineStr">
        <is>
          <t>8.2.6.1</t>
        </is>
      </c>
      <c r="B223" s="8" t="inlineStr">
        <is>
          <t>104348</t>
        </is>
      </c>
      <c r="C223" s="9" t="inlineStr">
        <is>
          <t>TERMINAL DE VENTILAÇÃO, PVC, SÉRIE NORMAL, ESGOTO PREDIAL, DN 50 MM, JUNTA SOLDÁVEL, FORNECIDO E INSTALADO EM PRUMADA DE ESGOTOSANITÁRIO OU VENTILAÇÃO. AF_08/2022</t>
        </is>
      </c>
      <c r="D223" s="8" t="inlineStr">
        <is>
          <t>SINAPI</t>
        </is>
      </c>
      <c r="E223" s="8" t="inlineStr">
        <is>
          <t>UN</t>
        </is>
      </c>
      <c r="F223" s="58" t="n">
        <v>1</v>
      </c>
      <c r="G223" s="59">
        <f>COMPOSICOES!G2046</f>
        <v/>
      </c>
      <c r="H223" s="60">
        <f>ROUND(ROUND(F223,2)*ROUND(G223,2),2)</f>
        <v/>
      </c>
      <c r="K223" t="n">
        <v>11.02</v>
      </c>
      <c r="L223">
        <f>G223-K223</f>
        <v/>
      </c>
    </row>
    <row r="224" ht="32" customHeight="1">
      <c r="A224" s="7" t="inlineStr">
        <is>
          <t>8.2.6.2</t>
        </is>
      </c>
      <c r="B224" s="8" t="inlineStr">
        <is>
          <t>104351</t>
        </is>
      </c>
      <c r="C224" s="9" t="inlineStr">
        <is>
          <t>TERMINAL DE VENTILAÇÃO, PVC, SÉRIE NORMAL, ESGOTO PREDIAL, DN 75 MM, JUNTA SOLDÁVEL, FORNECIDO E INSTALADO EM PRUMADA DE ESGOTOSANITÁRIO OU VENTILAÇÃO. AF_08/2022</t>
        </is>
      </c>
      <c r="D224" s="8" t="inlineStr">
        <is>
          <t>SINAPI</t>
        </is>
      </c>
      <c r="E224" s="8" t="inlineStr">
        <is>
          <t>UN</t>
        </is>
      </c>
      <c r="F224" s="58" t="n">
        <v>2</v>
      </c>
      <c r="G224" s="59">
        <f>COMPOSICOES!G2061</f>
        <v/>
      </c>
      <c r="H224" s="60">
        <f>ROUND(ROUND(F224,2)*ROUND(G224,2),2)</f>
        <v/>
      </c>
      <c r="K224" t="n">
        <v>22.81</v>
      </c>
      <c r="L224">
        <f>G224-K224</f>
        <v/>
      </c>
    </row>
    <row r="225" ht="20" customHeight="1">
      <c r="A225" s="5" t="inlineStr">
        <is>
          <t>8.2.7</t>
        </is>
      </c>
      <c r="B225" s="5" t="inlineStr">
        <is>
          <t>ESGOTO (CONEXÕES - REDUÇÃO EXCÊNTRICA)</t>
        </is>
      </c>
      <c r="C225" s="55" t="n"/>
      <c r="D225" s="55" t="n"/>
      <c r="E225" s="55" t="n"/>
      <c r="F225" s="55" t="n"/>
      <c r="G225" s="56" t="n"/>
      <c r="H225" s="57">
        <f>ROUND(SUM(H226:H227),2)</f>
        <v/>
      </c>
    </row>
    <row r="226" ht="24" customHeight="1">
      <c r="A226" s="7" t="inlineStr">
        <is>
          <t>8.2.7.1</t>
        </is>
      </c>
      <c r="B226" s="8" t="inlineStr">
        <is>
          <t>89549</t>
        </is>
      </c>
      <c r="C226" s="9" t="inlineStr">
        <is>
          <t>REDUÇÃO EXCÊNTRICA, PVC, SERIE R, ÁGUA PLUVIAL, DN 75 X 50 MM, JUNTA ELÁSTICA, FORNECIDO E INSTALADO EMRAMAL DE ENCAMINHAMENTO. AF_06/2022</t>
        </is>
      </c>
      <c r="D226" s="8" t="inlineStr">
        <is>
          <t>SINAPI</t>
        </is>
      </c>
      <c r="E226" s="8" t="inlineStr">
        <is>
          <t>UN</t>
        </is>
      </c>
      <c r="F226" s="58" t="n">
        <v>3</v>
      </c>
      <c r="G226" s="59">
        <f>COMPOSICOES!G2076</f>
        <v/>
      </c>
      <c r="H226" s="60">
        <f>ROUND(ROUND(F226,2)*ROUND(G226,2),2)</f>
        <v/>
      </c>
      <c r="K226" t="n">
        <v>20.8</v>
      </c>
      <c r="L226">
        <f>G226-K226</f>
        <v/>
      </c>
    </row>
    <row r="227" ht="24" customHeight="1">
      <c r="A227" s="7" t="inlineStr">
        <is>
          <t>8.2.7.2</t>
        </is>
      </c>
      <c r="B227" s="8" t="inlineStr">
        <is>
          <t>89557</t>
        </is>
      </c>
      <c r="C227" s="9" t="inlineStr">
        <is>
          <t>REDUÇÃO EXCÊNTRICA, PVC, SERIE R, ÁGUA PLUVIAL, DN 100 X 75 MM, JUNTA ELÁSTICA, FORNECIDO E INSTALADO EMRAMAL DE ENCAMINHAMENTO. AF_06/2022</t>
        </is>
      </c>
      <c r="D227" s="8" t="inlineStr">
        <is>
          <t>SINAPI</t>
        </is>
      </c>
      <c r="E227" s="8" t="inlineStr">
        <is>
          <t>UN</t>
        </is>
      </c>
      <c r="F227" s="58" t="n">
        <v>1</v>
      </c>
      <c r="G227" s="59">
        <f>COMPOSICOES!G2091</f>
        <v/>
      </c>
      <c r="H227" s="60">
        <f>ROUND(ROUND(F227,2)*ROUND(G227,2),2)</f>
        <v/>
      </c>
      <c r="K227" t="n">
        <v>33.86</v>
      </c>
      <c r="L227">
        <f>G227-K227</f>
        <v/>
      </c>
    </row>
    <row r="228" ht="20" customHeight="1">
      <c r="A228" s="5" t="inlineStr">
        <is>
          <t>8.2.8</t>
        </is>
      </c>
      <c r="B228" s="5" t="inlineStr">
        <is>
          <t>ESGOTO (CAIXA SIFONADA E RALO)</t>
        </is>
      </c>
      <c r="C228" s="55" t="n"/>
      <c r="D228" s="55" t="n"/>
      <c r="E228" s="55" t="n"/>
      <c r="F228" s="55" t="n"/>
      <c r="G228" s="56" t="n"/>
      <c r="H228" s="57">
        <f>ROUND(SUM(H229:H234),2)</f>
        <v/>
      </c>
    </row>
    <row r="229" ht="32" customHeight="1">
      <c r="A229" s="7" t="inlineStr">
        <is>
          <t>8.2.8.1</t>
        </is>
      </c>
      <c r="B229" s="8" t="inlineStr">
        <is>
          <t>89707</t>
        </is>
      </c>
      <c r="C229" s="9" t="inlineStr">
        <is>
          <t>CAIXA SIFONADA, PVC, DN 100 X 100 X 50 MM, JUNTA ELÁSTICA, FORNECIDA E INSTALADA EM RAMAL DE DESCARGA OU EM RAMAL DE ESGOTO SANITÁRIO.AF_08/2022</t>
        </is>
      </c>
      <c r="D229" s="8" t="inlineStr">
        <is>
          <t>SINAPI</t>
        </is>
      </c>
      <c r="E229" s="8" t="inlineStr">
        <is>
          <t>UN</t>
        </is>
      </c>
      <c r="F229" s="58" t="n">
        <v>5</v>
      </c>
      <c r="G229" s="59">
        <f>COMPOSICOES!G2106</f>
        <v/>
      </c>
      <c r="H229" s="60">
        <f>ROUND(ROUND(F229,2)*ROUND(G229,2),2)</f>
        <v/>
      </c>
      <c r="K229" t="n">
        <v>56.04</v>
      </c>
      <c r="L229">
        <f>G229-K229</f>
        <v/>
      </c>
    </row>
    <row r="230" ht="32" customHeight="1">
      <c r="A230" s="7" t="inlineStr">
        <is>
          <t>8.2.8.2</t>
        </is>
      </c>
      <c r="B230" s="8" t="inlineStr">
        <is>
          <t>104329</t>
        </is>
      </c>
      <c r="C230" s="9" t="inlineStr">
        <is>
          <t>CAIXA SIFONADA, COM GRELHA REDONDA, PVC, DN 150 X 150 X 50 MM, JUNTA SOLDÁVEL, FORNECIDA E INSTALADA EM RAMAL DE DESCARGA OU EM RAMAL DEESGOTO SANITÁRIO. AF_08/2022</t>
        </is>
      </c>
      <c r="D230" s="8" t="inlineStr">
        <is>
          <t>SINAPI</t>
        </is>
      </c>
      <c r="E230" s="8" t="inlineStr">
        <is>
          <t>UN</t>
        </is>
      </c>
      <c r="F230" s="58" t="n">
        <v>2</v>
      </c>
      <c r="G230" s="59">
        <f>COMPOSICOES!G2121</f>
        <v/>
      </c>
      <c r="H230" s="60">
        <f>ROUND(ROUND(F230,2)*ROUND(G230,2),2)</f>
        <v/>
      </c>
      <c r="K230" t="n">
        <v>94.5</v>
      </c>
      <c r="L230">
        <f>G230-K230</f>
        <v/>
      </c>
    </row>
    <row r="231" ht="32" customHeight="1">
      <c r="A231" s="7" t="inlineStr">
        <is>
          <t>8.2.8.3</t>
        </is>
      </c>
      <c r="B231" s="8" t="inlineStr">
        <is>
          <t>89708</t>
        </is>
      </c>
      <c r="C231" s="9" t="inlineStr">
        <is>
          <t>CAIXA SIFONADA, PVC, DN 150 X 185 X 75 MM, JUNTA ELÁSTICA, FORNECIDA E INSTALADA EM RAMAL DE DESCARGA OU EM RAMAL DE ESGOTO SANITÁRIO.AF_08/2022</t>
        </is>
      </c>
      <c r="D231" s="8" t="inlineStr">
        <is>
          <t>SINAPI</t>
        </is>
      </c>
      <c r="E231" s="8" t="inlineStr">
        <is>
          <t>UN</t>
        </is>
      </c>
      <c r="F231" s="58" t="n">
        <v>1</v>
      </c>
      <c r="G231" s="59">
        <f>COMPOSICOES!G2136</f>
        <v/>
      </c>
      <c r="H231" s="60">
        <f>ROUND(ROUND(F231,2)*ROUND(G231,2),2)</f>
        <v/>
      </c>
      <c r="K231" t="n">
        <v>122.03</v>
      </c>
      <c r="L231">
        <f>G231-K231</f>
        <v/>
      </c>
    </row>
    <row r="232" ht="24" customHeight="1">
      <c r="A232" s="7" t="inlineStr">
        <is>
          <t>8.2.8.4</t>
        </is>
      </c>
      <c r="B232" s="8" t="inlineStr">
        <is>
          <t>89709</t>
        </is>
      </c>
      <c r="C232" s="9" t="inlineStr">
        <is>
          <t>RALO SIFONADO, PVC, DN 100 X 40 MM, JUNTA SOLDÁVEL, FORNECIDO E INSTALADO EM RAMAL DE DESCARGA OU EM RAMAL DE ESGOTO SANITÁRIO.AF_08/2022</t>
        </is>
      </c>
      <c r="D232" s="8" t="inlineStr">
        <is>
          <t>SINAPI</t>
        </is>
      </c>
      <c r="E232" s="8" t="inlineStr">
        <is>
          <t>UN</t>
        </is>
      </c>
      <c r="F232" s="58" t="n">
        <v>1</v>
      </c>
      <c r="G232" s="59">
        <f>COMPOSICOES!G2151</f>
        <v/>
      </c>
      <c r="H232" s="60">
        <f>ROUND(ROUND(F232,2)*ROUND(G232,2),2)</f>
        <v/>
      </c>
      <c r="K232" t="n">
        <v>24.64</v>
      </c>
      <c r="L232">
        <f>G232-K232</f>
        <v/>
      </c>
    </row>
    <row r="233" ht="20" customHeight="1">
      <c r="A233" s="7" t="inlineStr">
        <is>
          <t>8.2.8.5</t>
        </is>
      </c>
      <c r="B233" s="8" t="inlineStr">
        <is>
          <t>426
PRÓPRIO</t>
        </is>
      </c>
      <c r="C233" s="9" t="inlineStr">
        <is>
          <t>PROLONGAMENTO PARA CAIXA SIFONADA PVC 100 X 100MM, ESGOTO</t>
        </is>
      </c>
      <c r="D233" s="8" t="inlineStr">
        <is>
          <t xml:space="preserve">Composiçõ es
</t>
        </is>
      </c>
      <c r="E233" s="8" t="inlineStr">
        <is>
          <t>UN</t>
        </is>
      </c>
      <c r="F233" s="58" t="n">
        <v>5</v>
      </c>
      <c r="G233" s="59">
        <f>COMPOSICOES!G2165</f>
        <v/>
      </c>
      <c r="H233" s="60">
        <f>ROUND(ROUND(F233,2)*ROUND(G233,2),2)</f>
        <v/>
      </c>
      <c r="K233" t="n">
        <v>101.75</v>
      </c>
      <c r="L233">
        <f>G233-K233</f>
        <v/>
      </c>
    </row>
    <row r="234" ht="20" customHeight="1">
      <c r="A234" s="7" t="inlineStr">
        <is>
          <t>8.2.8.6</t>
        </is>
      </c>
      <c r="B234" s="8" t="inlineStr">
        <is>
          <t>427
PRÓPRIO</t>
        </is>
      </c>
      <c r="C234" s="9" t="inlineStr">
        <is>
          <t>PROLONGAMENTO PARA CAIXA SIFONADA PVC 150 X 150MM, ESGOTO</t>
        </is>
      </c>
      <c r="D234" s="8" t="inlineStr">
        <is>
          <t xml:space="preserve">Composiçõ es
</t>
        </is>
      </c>
      <c r="E234" s="8" t="inlineStr">
        <is>
          <t>UN</t>
        </is>
      </c>
      <c r="F234" s="58" t="n">
        <v>2</v>
      </c>
      <c r="G234" s="59">
        <f>COMPOSICOES!G2179</f>
        <v/>
      </c>
      <c r="H234" s="60">
        <f>ROUND(ROUND(F234,2)*ROUND(G234,2),2)</f>
        <v/>
      </c>
      <c r="K234" t="n">
        <v>111.72</v>
      </c>
      <c r="L234">
        <f>G234-K234</f>
        <v/>
      </c>
    </row>
    <row r="235" ht="20" customHeight="1">
      <c r="A235" s="5" t="inlineStr">
        <is>
          <t>8.2.9</t>
        </is>
      </c>
      <c r="B235" s="5" t="inlineStr">
        <is>
          <t>ESGOTO (INSPEÇÃO E LIMPEZA)</t>
        </is>
      </c>
      <c r="C235" s="55" t="n"/>
      <c r="D235" s="55" t="n"/>
      <c r="E235" s="55" t="n"/>
      <c r="F235" s="55" t="n"/>
      <c r="G235" s="56" t="n"/>
      <c r="H235" s="57">
        <f>ROUND(SUM(H236:H239),2)</f>
        <v/>
      </c>
    </row>
    <row r="236" ht="24" customHeight="1">
      <c r="A236" s="7" t="inlineStr">
        <is>
          <t>8.2.9.1</t>
        </is>
      </c>
      <c r="B236" s="8" t="inlineStr">
        <is>
          <t>98110</t>
        </is>
      </c>
      <c r="C236" s="9" t="inlineStr">
        <is>
          <t>CAIXA DE GORDURA PEQUENA (CAPACIDADE: 19 L), CIRCULAR, EM PVC,DIÂMETRO INTERNO= 0,3 M. AF_12/2020</t>
        </is>
      </c>
      <c r="D236" s="8" t="inlineStr">
        <is>
          <t>SINAPI</t>
        </is>
      </c>
      <c r="E236" s="8" t="inlineStr">
        <is>
          <t>UN</t>
        </is>
      </c>
      <c r="F236" s="58" t="n">
        <v>9</v>
      </c>
      <c r="G236" s="59">
        <f>COMPOSICOES!G2194</f>
        <v/>
      </c>
      <c r="H236" s="60">
        <f>ROUND(ROUND(F236,2)*ROUND(G236,2),2)</f>
        <v/>
      </c>
      <c r="K236" t="n">
        <v>485.18</v>
      </c>
      <c r="L236">
        <f>G236-K236</f>
        <v/>
      </c>
    </row>
    <row r="237" ht="24" customHeight="1">
      <c r="A237" s="7" t="inlineStr">
        <is>
          <t>8.2.9.2</t>
        </is>
      </c>
      <c r="B237" s="8" t="inlineStr">
        <is>
          <t>97895</t>
        </is>
      </c>
      <c r="C237" s="9" t="inlineStr">
        <is>
          <t>CAIXA ENTERRADA HIDRÁULICA RETANGULAR, EM CONCRETO PRÉ-MOLDADO, DIMENSÕES INTERNAS:0,3X0,3X0,3 M. AF_12/2020</t>
        </is>
      </c>
      <c r="D237" s="8" t="inlineStr">
        <is>
          <t>SINAPI</t>
        </is>
      </c>
      <c r="E237" s="8" t="inlineStr">
        <is>
          <t>UN</t>
        </is>
      </c>
      <c r="F237" s="58" t="n">
        <v>1</v>
      </c>
      <c r="G237" s="59">
        <f>COMPOSICOES!G2209</f>
        <v/>
      </c>
      <c r="H237" s="60">
        <f>ROUND(ROUND(F237,2)*ROUND(G237,2),2)</f>
        <v/>
      </c>
      <c r="K237" t="n">
        <v>242.64</v>
      </c>
      <c r="L237">
        <f>G237-K237</f>
        <v/>
      </c>
    </row>
    <row r="238" ht="24" customHeight="1">
      <c r="A238" s="7" t="inlineStr">
        <is>
          <t>8.2.9.3</t>
        </is>
      </c>
      <c r="B238" s="8" t="inlineStr">
        <is>
          <t>97897</t>
        </is>
      </c>
      <c r="C238" s="9" t="inlineStr">
        <is>
          <t>CAIXA ENTERRADA HIDRÁULICA RETANGULAR, EM CONCRETO PRÉ-MOLDADO, DIMENSÕES INTERNAS:0,6X0,6X0,5 M. AF_12/2020</t>
        </is>
      </c>
      <c r="D238" s="8" t="inlineStr">
        <is>
          <t>SINAPI</t>
        </is>
      </c>
      <c r="E238" s="8" t="inlineStr">
        <is>
          <t>UN</t>
        </is>
      </c>
      <c r="F238" s="58" t="n">
        <v>1</v>
      </c>
      <c r="G238" s="59">
        <f>COMPOSICOES!G2228</f>
        <v/>
      </c>
      <c r="H238" s="60">
        <f>ROUND(ROUND(F238,2)*ROUND(G238,2),2)</f>
        <v/>
      </c>
      <c r="K238" t="n">
        <v>580.1900000000001</v>
      </c>
      <c r="L238">
        <f>G238-K238</f>
        <v/>
      </c>
    </row>
    <row r="239" ht="20" customHeight="1">
      <c r="A239" s="7" t="inlineStr">
        <is>
          <t>8.2.9.4</t>
        </is>
      </c>
      <c r="B239" s="8" t="inlineStr">
        <is>
          <t>429
PRÓPRIO</t>
        </is>
      </c>
      <c r="C239" s="9" t="inlineStr">
        <is>
          <t>CAIXA INSPEÇÃO EM CONCRETO PRÉ MOLDADO CIRCULAR COM TAMPA DEFERRO FUNDIDO - Ø60CM</t>
        </is>
      </c>
      <c r="D239" s="8" t="inlineStr">
        <is>
          <t xml:space="preserve">Composiçõ es
</t>
        </is>
      </c>
      <c r="E239" s="8" t="inlineStr">
        <is>
          <t>UN</t>
        </is>
      </c>
      <c r="F239" s="58" t="n">
        <v>1</v>
      </c>
      <c r="G239" s="59">
        <f>COMPOSICOES!G2241</f>
        <v/>
      </c>
      <c r="H239" s="60">
        <f>ROUND(ROUND(F239,2)*ROUND(G239,2),2)</f>
        <v/>
      </c>
      <c r="K239" t="n">
        <v>883.14</v>
      </c>
      <c r="L239">
        <f>G239-K239</f>
        <v/>
      </c>
    </row>
    <row r="240" ht="20" customHeight="1">
      <c r="A240" s="5" t="inlineStr">
        <is>
          <t>8.2.10</t>
        </is>
      </c>
      <c r="B240" s="5" t="inlineStr">
        <is>
          <t>ESGOTO (TANQUE SÉPTICO, FILTRO ANAERÓBIO E SUMIDOURO)</t>
        </is>
      </c>
      <c r="C240" s="55" t="n"/>
      <c r="D240" s="55" t="n"/>
      <c r="E240" s="55" t="n"/>
      <c r="F240" s="55" t="n"/>
      <c r="G240" s="56" t="n"/>
      <c r="H240" s="57">
        <f>ROUND(SUM(H241:H255),2)</f>
        <v/>
      </c>
    </row>
    <row r="241" ht="32" customHeight="1">
      <c r="A241" s="7" t="inlineStr">
        <is>
          <t>8.2.10.1</t>
        </is>
      </c>
      <c r="B241" s="8" t="inlineStr">
        <is>
          <t>98053</t>
        </is>
      </c>
      <c r="C241" s="9" t="inlineStr">
        <is>
          <t>TANQUE SÉPTICO CIRCULAR, EM CONCRETO PRÉ-MOLDADO, DIÂMETRO INTERNO = 1,40 M, ALTURA INTERNA = 2,50 M, VOLUME ÚTIL: 3463,6 L (PARA 13CONTRIBUINTES). AF_12/2020</t>
        </is>
      </c>
      <c r="D241" s="8" t="inlineStr">
        <is>
          <t>SINAPI</t>
        </is>
      </c>
      <c r="E241" s="8" t="inlineStr">
        <is>
          <t>UN</t>
        </is>
      </c>
      <c r="F241" s="58" t="n">
        <v>1</v>
      </c>
      <c r="G241" s="59">
        <f>COMPOSICOES!G2263</f>
        <v/>
      </c>
      <c r="H241" s="60">
        <f>ROUND(ROUND(F241,2)*ROUND(G241,2),2)</f>
        <v/>
      </c>
      <c r="K241" t="n">
        <v>3503.02</v>
      </c>
      <c r="L241">
        <f>G241-K241</f>
        <v/>
      </c>
    </row>
    <row r="242" ht="32" customHeight="1">
      <c r="A242" s="7" t="inlineStr">
        <is>
          <t>8.2.10.2</t>
        </is>
      </c>
      <c r="B242" s="8" t="inlineStr">
        <is>
          <t>98059</t>
        </is>
      </c>
      <c r="C242" s="9" t="inlineStr">
        <is>
          <t>FILTRO ANAERÓBIO CIRCULAR, EM CONCRETO PRÉ-MOLDADO, DIÂMETRO INTERNO = 1,88 M, ALTURA INTERNA = 1,50 M, VOLUME ÚTIL: 3331,1 L (PARA 19CONTRIBUINTES). AF_12/2020</t>
        </is>
      </c>
      <c r="D242" s="8" t="inlineStr">
        <is>
          <t>SINAPI</t>
        </is>
      </c>
      <c r="E242" s="8" t="inlineStr">
        <is>
          <t>UN</t>
        </is>
      </c>
      <c r="F242" s="58" t="n">
        <v>1</v>
      </c>
      <c r="G242" s="59">
        <f>COMPOSICOES!G2287</f>
        <v/>
      </c>
      <c r="H242" s="60">
        <f>ROUND(ROUND(F242,2)*ROUND(G242,2),2)</f>
        <v/>
      </c>
      <c r="K242" t="n">
        <v>4562.37</v>
      </c>
      <c r="L242">
        <f>G242-K242</f>
        <v/>
      </c>
    </row>
    <row r="243" ht="24" customHeight="1">
      <c r="A243" s="7" t="inlineStr">
        <is>
          <t>8.2.10.3</t>
        </is>
      </c>
      <c r="B243" s="8" t="inlineStr">
        <is>
          <t>99059</t>
        </is>
      </c>
      <c r="C243" s="9" t="inlineStr">
        <is>
          <t>LOCAÇÃO CONVENCIONAL DE OBRA, UTILIZANDO GABARITO DE TÁBUAS CORRIDAS PONTALETADAS A CADA 2,00M -2 UTILIZAÇÕES. AF_03/2024</t>
        </is>
      </c>
      <c r="D243" s="8" t="inlineStr">
        <is>
          <t>SINAPI</t>
        </is>
      </c>
      <c r="E243" s="8" t="inlineStr">
        <is>
          <t>M</t>
        </is>
      </c>
      <c r="F243" s="58" t="n">
        <v>11.5</v>
      </c>
      <c r="G243" s="59">
        <f>COMPOSICOES!G2310</f>
        <v/>
      </c>
      <c r="H243" s="60">
        <f>ROUND(ROUND(F243,2)*ROUND(G243,2),2)</f>
        <v/>
      </c>
      <c r="K243" t="n">
        <v>69.64</v>
      </c>
      <c r="L243">
        <f>G243-K243</f>
        <v/>
      </c>
    </row>
    <row r="244" ht="20" customHeight="1">
      <c r="A244" s="7" t="inlineStr">
        <is>
          <t>8.2.10.4</t>
        </is>
      </c>
      <c r="B244" s="8" t="inlineStr">
        <is>
          <t>93358</t>
        </is>
      </c>
      <c r="C244" s="9" t="inlineStr">
        <is>
          <t>ESCAVAÇÃO MANUAL DE VALA. AF_09/2024</t>
        </is>
      </c>
      <c r="D244" s="8" t="inlineStr">
        <is>
          <t>SINAPI</t>
        </is>
      </c>
      <c r="E244" s="8" t="inlineStr">
        <is>
          <t>M3</t>
        </is>
      </c>
      <c r="F244" s="58" t="n">
        <v>12.23</v>
      </c>
      <c r="G244" s="59">
        <f>COMPOSICOES!G2318</f>
        <v/>
      </c>
      <c r="H244" s="60">
        <f>ROUND(ROUND(F244,2)*ROUND(G244,2),2)</f>
        <v/>
      </c>
      <c r="K244" t="n">
        <v>93.19</v>
      </c>
      <c r="L244">
        <f>G244-K244</f>
        <v/>
      </c>
    </row>
    <row r="245" ht="20" customHeight="1">
      <c r="A245" s="7" t="inlineStr">
        <is>
          <t>8.2.10.5</t>
        </is>
      </c>
      <c r="B245" s="8" t="inlineStr">
        <is>
          <t>93382</t>
        </is>
      </c>
      <c r="C245" s="9" t="inlineStr">
        <is>
          <t>REATERRO MANUAL DE VALAS, COM COMPACTADOR DE SOLOS DEPERCUSSÃO. AF_08/2023</t>
        </is>
      </c>
      <c r="D245" s="8" t="inlineStr">
        <is>
          <t>SINAPI</t>
        </is>
      </c>
      <c r="E245" s="8" t="inlineStr">
        <is>
          <t>M3</t>
        </is>
      </c>
      <c r="F245" s="58" t="n">
        <v>4.51</v>
      </c>
      <c r="G245" s="59">
        <f>COMPOSICOES!G2331</f>
        <v/>
      </c>
      <c r="H245" s="60">
        <f>ROUND(ROUND(F245,2)*ROUND(G245,2),2)</f>
        <v/>
      </c>
      <c r="K245" t="n">
        <v>29.02</v>
      </c>
      <c r="L245">
        <f>G245-K245</f>
        <v/>
      </c>
    </row>
    <row r="246" ht="32" customHeight="1">
      <c r="A246" s="7" t="inlineStr">
        <is>
          <t>8.2.10.6</t>
        </is>
      </c>
      <c r="B246" s="8" t="inlineStr">
        <is>
          <t>100980</t>
        </is>
      </c>
      <c r="C246" s="9" t="inlineStr">
        <is>
          <t>CARGA, MANOBRA E DESCARGA DE SOLOS E MATERIAIS GRANULARES EM CAMINHÃO BASCULANTE 18 M³ - CARGA COM ESCAVADEIRA HIDRÁULICA (CAÇAMBA DE 1,20 M³ / 155 HP) E DESCARGA LIVRE(UNIDADE: M3). AF_07/2020</t>
        </is>
      </c>
      <c r="D246" s="8" t="inlineStr">
        <is>
          <t>SINAPI</t>
        </is>
      </c>
      <c r="E246" s="8" t="inlineStr">
        <is>
          <t>M3</t>
        </is>
      </c>
      <c r="F246" s="58" t="n">
        <v>10.03</v>
      </c>
      <c r="G246" s="59">
        <f>COMPOSICOES!G2342</f>
        <v/>
      </c>
      <c r="H246" s="60">
        <f>ROUND(ROUND(F246,2)*ROUND(G246,2),2)</f>
        <v/>
      </c>
      <c r="K246" t="n">
        <v>6.57</v>
      </c>
      <c r="L246">
        <f>G246-K246</f>
        <v/>
      </c>
    </row>
    <row r="247" ht="24" customHeight="1">
      <c r="A247" s="7" t="inlineStr">
        <is>
          <t>8.2.10.7</t>
        </is>
      </c>
      <c r="B247" s="8" t="inlineStr">
        <is>
          <t>95877</t>
        </is>
      </c>
      <c r="C247" s="9" t="inlineStr">
        <is>
          <t>TRANSPORTE COM CAMINHÃO BASCULANTE DE 18 M³, EM VIA URBANA PAVIMENTADA, DMT ATÉ 30 KM (UNIDADE:M3XKM). AF_07/2020</t>
        </is>
      </c>
      <c r="D247" s="8" t="inlineStr">
        <is>
          <t>SINAPI</t>
        </is>
      </c>
      <c r="E247" s="8" t="inlineStr">
        <is>
          <t>M3XKM</t>
        </is>
      </c>
      <c r="F247" s="58" t="n">
        <v>50.16</v>
      </c>
      <c r="G247" s="59">
        <f>COMPOSICOES!G2351</f>
        <v/>
      </c>
      <c r="H247" s="60">
        <f>ROUND(ROUND(F247,2)*ROUND(G247,2),2)</f>
        <v/>
      </c>
      <c r="K247" t="n">
        <v>1.9</v>
      </c>
      <c r="L247">
        <f>G247-K247</f>
        <v/>
      </c>
    </row>
    <row r="248" ht="24" customHeight="1">
      <c r="A248" s="7" t="inlineStr">
        <is>
          <t>8.2.10.8</t>
        </is>
      </c>
      <c r="B248" s="8" t="inlineStr">
        <is>
          <t>C5185</t>
        </is>
      </c>
      <c r="C248" s="9" t="inlineStr">
        <is>
          <t>DESTINAÇÃO FINAL DO RESÍDUO SOLIDO NÃO SEGREGADO EM TERRENOLICENCIADO - SEM TRANSPORTE</t>
        </is>
      </c>
      <c r="D248" s="8" t="inlineStr">
        <is>
          <t>SEINFRA</t>
        </is>
      </c>
      <c r="E248" s="8" t="inlineStr">
        <is>
          <t>M3</t>
        </is>
      </c>
      <c r="F248" s="58" t="n">
        <v>10.03</v>
      </c>
      <c r="G248" s="59">
        <f>COMPOSICOES!G2359</f>
        <v/>
      </c>
      <c r="H248" s="60">
        <f>ROUND(ROUND(F248,2)*ROUND(G248,2),2)</f>
        <v/>
      </c>
      <c r="K248" t="n">
        <v>11.2</v>
      </c>
      <c r="L248">
        <f>G248-K248</f>
        <v/>
      </c>
    </row>
    <row r="249" ht="24" customHeight="1">
      <c r="A249" s="7" t="inlineStr">
        <is>
          <t>8.2.10.9</t>
        </is>
      </c>
      <c r="B249" s="8" t="inlineStr">
        <is>
          <t>101617</t>
        </is>
      </c>
      <c r="C249" s="9" t="inlineStr">
        <is>
          <t>PREPARO DE FUNDO DE VALA COM LARGURA MAIOR OU IGUAL A 1,5 M E MENOR QUE 2,5 M (ACERTO DO SOLONATURAL). AF_08/2020</t>
        </is>
      </c>
      <c r="D249" s="8" t="inlineStr">
        <is>
          <t>SINAPI</t>
        </is>
      </c>
      <c r="E249" s="8" t="inlineStr">
        <is>
          <t>M2</t>
        </is>
      </c>
      <c r="F249" s="58" t="n">
        <v>5.56</v>
      </c>
      <c r="G249" s="59">
        <f>COMPOSICOES!G2372</f>
        <v/>
      </c>
      <c r="H249" s="60">
        <f>ROUND(ROUND(F249,2)*ROUND(G249,2),2)</f>
        <v/>
      </c>
      <c r="K249" t="n">
        <v>3.46</v>
      </c>
      <c r="L249">
        <f>G249-K249</f>
        <v/>
      </c>
    </row>
    <row r="250" ht="20" customHeight="1">
      <c r="A250" s="7" t="inlineStr">
        <is>
          <t>8.2.10.10</t>
        </is>
      </c>
      <c r="B250" s="8" t="inlineStr">
        <is>
          <t>SOP2672</t>
        </is>
      </c>
      <c r="C250" s="9" t="inlineStr">
        <is>
          <t>AQUISIÇÃO E MONTAGEM DE ANEL PRÉ-MOLDADO D= 1,50M H= 0,50M</t>
        </is>
      </c>
      <c r="D250" s="8" t="inlineStr">
        <is>
          <t xml:space="preserve">Composiçõ es
</t>
        </is>
      </c>
      <c r="E250" s="8" t="inlineStr">
        <is>
          <t>UN</t>
        </is>
      </c>
      <c r="F250" s="58" t="n">
        <v>4</v>
      </c>
      <c r="G250" s="59">
        <f>COMPOSICOES!G2390</f>
        <v/>
      </c>
      <c r="H250" s="60">
        <f>ROUND(ROUND(F250,2)*ROUND(G250,2),2)</f>
        <v/>
      </c>
      <c r="K250" t="n">
        <v>726.8099999999999</v>
      </c>
      <c r="L250">
        <f>G250-K250</f>
        <v/>
      </c>
    </row>
    <row r="251" ht="24" customHeight="1">
      <c r="A251" s="7" t="inlineStr">
        <is>
          <t>8.2.10.11</t>
        </is>
      </c>
      <c r="B251" s="8" t="inlineStr">
        <is>
          <t>94965</t>
        </is>
      </c>
      <c r="C251" s="9" t="inlineStr">
        <is>
          <t>CONCRETO FCK = 25MPA, TRAÇO 1:2,3:2,7 (EM MASSA SECA DE CIMENTO/ AREIA MÉDIA/ BRITA 1) - PREPARO MECÂNICOCOM BETONEIRA 400 L. AF_05/2021</t>
        </is>
      </c>
      <c r="D251" s="8" t="inlineStr">
        <is>
          <t>SINAPI</t>
        </is>
      </c>
      <c r="E251" s="8" t="inlineStr">
        <is>
          <t>M3</t>
        </is>
      </c>
      <c r="F251" s="58" t="n">
        <v>0.2</v>
      </c>
      <c r="G251" s="59">
        <f>COMPOSICOES!G2408</f>
        <v/>
      </c>
      <c r="H251" s="60">
        <f>ROUND(ROUND(F251,2)*ROUND(G251,2),2)</f>
        <v/>
      </c>
      <c r="K251" t="n">
        <v>527.53</v>
      </c>
      <c r="L251">
        <f>G251-K251</f>
        <v/>
      </c>
    </row>
    <row r="252" ht="24" customHeight="1">
      <c r="A252" s="7" t="inlineStr">
        <is>
          <t>8.2.10.12</t>
        </is>
      </c>
      <c r="B252" s="8" t="inlineStr">
        <is>
          <t>103670</t>
        </is>
      </c>
      <c r="C252" s="9" t="inlineStr">
        <is>
          <t>LANÇAMENTO COM USO DE BALDES, ADENSAMENTO E ACABAMENTO DECONCRETO EM ESTRUTURAS. AF_02/2022</t>
        </is>
      </c>
      <c r="D252" s="8" t="inlineStr">
        <is>
          <t>SINAPI</t>
        </is>
      </c>
      <c r="E252" s="8" t="inlineStr">
        <is>
          <t>M3</t>
        </is>
      </c>
      <c r="F252" s="58" t="n">
        <v>0.2</v>
      </c>
      <c r="G252" s="59">
        <f>COMPOSICOES!G2422</f>
        <v/>
      </c>
      <c r="H252" s="60">
        <f>ROUND(ROUND(F252,2)*ROUND(G252,2),2)</f>
        <v/>
      </c>
      <c r="K252" t="n">
        <v>325.41</v>
      </c>
      <c r="L252">
        <f>G252-K252</f>
        <v/>
      </c>
    </row>
    <row r="253" ht="24" customHeight="1">
      <c r="A253" s="7" t="inlineStr">
        <is>
          <t>8.2.10.13</t>
        </is>
      </c>
      <c r="B253" s="8" t="inlineStr">
        <is>
          <t>SOP1660</t>
        </is>
      </c>
      <c r="C253" s="9" t="inlineStr">
        <is>
          <t>FORNECIMENTO E INSTALAÇÃO DE TELA AÇO SOLDADA NERVURADA CA-60, Q-138, MALHA 10X10CM, FERRO 4.2MM (2,20 KG/M2), PAINEL 2,45X6,0M, TELCON OUSIMILAR</t>
        </is>
      </c>
      <c r="D253" s="8" t="inlineStr">
        <is>
          <t>Composiçõ es Próprias</t>
        </is>
      </c>
      <c r="E253" s="8" t="inlineStr">
        <is>
          <t>M2</t>
        </is>
      </c>
      <c r="F253" s="58" t="n">
        <v>2.16</v>
      </c>
      <c r="G253" s="59">
        <f>COMPOSICOES!G2433</f>
        <v/>
      </c>
      <c r="H253" s="60">
        <f>ROUND(ROUND(F253,2)*ROUND(G253,2),2)</f>
        <v/>
      </c>
      <c r="K253" t="n">
        <v>28.89</v>
      </c>
      <c r="L253">
        <f>G253-K253</f>
        <v/>
      </c>
    </row>
    <row r="254" ht="20" customHeight="1">
      <c r="A254" s="7" t="inlineStr">
        <is>
          <t>8.2.10.14</t>
        </is>
      </c>
      <c r="B254" s="8" t="inlineStr">
        <is>
          <t>C4772</t>
        </is>
      </c>
      <c r="C254" s="9" t="inlineStr">
        <is>
          <t>TAMPA EM CONCRETO ARMADO,ESPESSURA 0,05M</t>
        </is>
      </c>
      <c r="D254" s="8" t="inlineStr">
        <is>
          <t>SEINFRA</t>
        </is>
      </c>
      <c r="E254" s="8" t="inlineStr">
        <is>
          <t>M2</t>
        </is>
      </c>
      <c r="F254" s="58" t="n">
        <v>0.28</v>
      </c>
      <c r="G254" s="59">
        <f>COMPOSICOES!G2445</f>
        <v/>
      </c>
      <c r="H254" s="60">
        <f>ROUND(ROUND(F254,2)*ROUND(G254,2),2)</f>
        <v/>
      </c>
      <c r="K254" t="n">
        <v>83.15000000000001</v>
      </c>
      <c r="L254">
        <f>G254-K254</f>
        <v/>
      </c>
    </row>
    <row r="255" ht="20" customHeight="1">
      <c r="A255" s="7" t="inlineStr">
        <is>
          <t>8.2.10.15</t>
        </is>
      </c>
      <c r="B255" s="8" t="inlineStr">
        <is>
          <t>C2862</t>
        </is>
      </c>
      <c r="C255" s="9" t="inlineStr">
        <is>
          <t>LASTRO DE BRITA</t>
        </is>
      </c>
      <c r="D255" s="8" t="inlineStr">
        <is>
          <t>SEINFRA</t>
        </is>
      </c>
      <c r="E255" s="8" t="inlineStr">
        <is>
          <t>M3</t>
        </is>
      </c>
      <c r="F255" s="58" t="n">
        <v>3.6</v>
      </c>
      <c r="G255" s="59">
        <f>COMPOSICOES!G2456</f>
        <v/>
      </c>
      <c r="H255" s="60">
        <f>ROUND(ROUND(F255,2)*ROUND(G255,2),2)</f>
        <v/>
      </c>
      <c r="K255" t="n">
        <v>156.09</v>
      </c>
      <c r="L255">
        <f>G255-K255</f>
        <v/>
      </c>
    </row>
    <row r="256" ht="20" customHeight="1">
      <c r="A256" s="5" t="inlineStr">
        <is>
          <t>8.3</t>
        </is>
      </c>
      <c r="B256" s="5" t="inlineStr">
        <is>
          <t>ÁGUAS PLUVIAIS</t>
        </is>
      </c>
      <c r="C256" s="55" t="n"/>
      <c r="D256" s="55" t="n"/>
      <c r="E256" s="55" t="n"/>
      <c r="F256" s="55" t="n"/>
      <c r="G256" s="56" t="n"/>
      <c r="H256" s="57">
        <f>ROUND(H257+H260+H262+H264+H266,2)</f>
        <v/>
      </c>
    </row>
    <row r="257" ht="20" customHeight="1">
      <c r="A257" s="5" t="inlineStr">
        <is>
          <t>8.3.1</t>
        </is>
      </c>
      <c r="B257" s="5" t="inlineStr">
        <is>
          <t>ÁGUAS PLUVIAIS (TUBULAÇÃO)</t>
        </is>
      </c>
      <c r="C257" s="55" t="n"/>
      <c r="D257" s="55" t="n"/>
      <c r="E257" s="55" t="n"/>
      <c r="F257" s="55" t="n"/>
      <c r="G257" s="56" t="n"/>
      <c r="H257" s="57">
        <f>ROUND(SUM(H258:H259),2)</f>
        <v/>
      </c>
    </row>
    <row r="258" ht="24" customHeight="1">
      <c r="A258" s="7" t="inlineStr">
        <is>
          <t>8.3.1.1</t>
        </is>
      </c>
      <c r="B258" s="8" t="inlineStr">
        <is>
          <t>89512</t>
        </is>
      </c>
      <c r="C258" s="9" t="inlineStr">
        <is>
          <t>TUBO PVC, SÉRIE R, ÁGUA PLUVIAL, DN 100 MM, FORNECIDO E INSTALADO EM RAMALDE ENCAMINHAMENTO. AF_06/2022</t>
        </is>
      </c>
      <c r="D258" s="8" t="inlineStr">
        <is>
          <t>SINAPI</t>
        </is>
      </c>
      <c r="E258" s="8" t="inlineStr">
        <is>
          <t>M</t>
        </is>
      </c>
      <c r="F258" s="58" t="n">
        <v>57.47</v>
      </c>
      <c r="G258" s="59">
        <f>COMPOSICOES!G2469</f>
        <v/>
      </c>
      <c r="H258" s="60">
        <f>ROUND(ROUND(F258,2)*ROUND(G258,2),2)</f>
        <v/>
      </c>
      <c r="K258" t="n">
        <v>51.01</v>
      </c>
      <c r="L258">
        <f>G258-K258</f>
        <v/>
      </c>
    </row>
    <row r="259" ht="24" customHeight="1">
      <c r="A259" s="7" t="inlineStr">
        <is>
          <t>8.3.1.2</t>
        </is>
      </c>
      <c r="B259" s="8" t="inlineStr">
        <is>
          <t>104166</t>
        </is>
      </c>
      <c r="C259" s="9" t="inlineStr">
        <is>
          <t>TUBO PVC, SÉRIE R, ÁGUA PLUVIAL, DN 150 MM, FORNECIDO E INSTALADO EM RAMALDE ENCAMINHAMENTO. AF_06/2022</t>
        </is>
      </c>
      <c r="D259" s="8" t="inlineStr">
        <is>
          <t>SINAPI</t>
        </is>
      </c>
      <c r="E259" s="8" t="inlineStr">
        <is>
          <t>M</t>
        </is>
      </c>
      <c r="F259" s="58" t="n">
        <v>14.82</v>
      </c>
      <c r="G259" s="59">
        <f>COMPOSICOES!G2482</f>
        <v/>
      </c>
      <c r="H259" s="60">
        <f>ROUND(ROUND(F259,2)*ROUND(G259,2),2)</f>
        <v/>
      </c>
      <c r="K259" t="n">
        <v>75.44</v>
      </c>
      <c r="L259">
        <f>G259-K259</f>
        <v/>
      </c>
    </row>
    <row r="260" ht="20" customHeight="1">
      <c r="A260" s="5" t="inlineStr">
        <is>
          <t>8.3.2</t>
        </is>
      </c>
      <c r="B260" s="5" t="inlineStr">
        <is>
          <t>ÁGUAS PLUVIAIS (PONTOS DE CAPTAÇÃO)</t>
        </is>
      </c>
      <c r="C260" s="55" t="n"/>
      <c r="D260" s="55" t="n"/>
      <c r="E260" s="55" t="n"/>
      <c r="F260" s="55" t="n"/>
      <c r="G260" s="56" t="n"/>
      <c r="H260" s="57">
        <f>ROUND(SUM(H261:H261),2)</f>
        <v/>
      </c>
    </row>
    <row r="261" ht="20" customHeight="1">
      <c r="A261" s="7" t="inlineStr">
        <is>
          <t>8.3.2.1</t>
        </is>
      </c>
      <c r="B261" s="8" t="inlineStr">
        <is>
          <t>375
PRÓPRIO</t>
        </is>
      </c>
      <c r="C261" s="9" t="inlineStr">
        <is>
          <t>RALO SEMI-HEMISFÉRICO FºFº, TIPO ABACAXI Ø 75MM</t>
        </is>
      </c>
      <c r="D261" s="8" t="inlineStr">
        <is>
          <t xml:space="preserve">Composiçõ es
</t>
        </is>
      </c>
      <c r="E261" s="8" t="inlineStr">
        <is>
          <t>UN</t>
        </is>
      </c>
      <c r="F261" s="58" t="n">
        <v>8</v>
      </c>
      <c r="G261" s="59">
        <f>COMPOSICOES!G2494</f>
        <v/>
      </c>
      <c r="H261" s="60">
        <f>ROUND(ROUND(F261,2)*ROUND(G261,2),2)</f>
        <v/>
      </c>
      <c r="K261" t="n">
        <v>42.9</v>
      </c>
      <c r="L261">
        <f>G261-K261</f>
        <v/>
      </c>
    </row>
    <row r="262" ht="20" customHeight="1">
      <c r="A262" s="5" t="inlineStr">
        <is>
          <t>8.3.3</t>
        </is>
      </c>
      <c r="B262" s="5" t="inlineStr">
        <is>
          <t>ÁGUAS PLUVIAIS (ESTRUTURAS DE SUPORTE)</t>
        </is>
      </c>
      <c r="C262" s="55" t="n"/>
      <c r="D262" s="55" t="n"/>
      <c r="E262" s="55" t="n"/>
      <c r="F262" s="55" t="n"/>
      <c r="G262" s="56" t="n"/>
      <c r="H262" s="57">
        <f>ROUND(SUM(H263:H263),2)</f>
        <v/>
      </c>
    </row>
    <row r="263" ht="20" customHeight="1">
      <c r="A263" s="7" t="inlineStr">
        <is>
          <t>8.3.3.1</t>
        </is>
      </c>
      <c r="B263" s="8" t="inlineStr">
        <is>
          <t>411
PRÓPRIO</t>
        </is>
      </c>
      <c r="C263" s="9" t="inlineStr">
        <is>
          <t>GÁRGULA DE DESCIDA PLUVIAL EM CONCRETO APARENTE</t>
        </is>
      </c>
      <c r="D263" s="8" t="inlineStr">
        <is>
          <t xml:space="preserve">Composiçõ es
</t>
        </is>
      </c>
      <c r="E263" s="8" t="inlineStr">
        <is>
          <t>UN</t>
        </is>
      </c>
      <c r="F263" s="58" t="n">
        <v>3</v>
      </c>
      <c r="G263" s="59">
        <f>COMPOSICOES!G2511</f>
        <v/>
      </c>
      <c r="H263" s="60">
        <f>ROUND(ROUND(F263,2)*ROUND(G263,2),2)</f>
        <v/>
      </c>
      <c r="K263" t="n">
        <v>647.24</v>
      </c>
      <c r="L263">
        <f>G263-K263</f>
        <v/>
      </c>
    </row>
    <row r="264" ht="20" customHeight="1">
      <c r="A264" s="5" t="inlineStr">
        <is>
          <t>8.3.4</t>
        </is>
      </c>
      <c r="B264" s="5" t="inlineStr">
        <is>
          <t>ÁGUAS PLUVIAIS (CANALETAS)</t>
        </is>
      </c>
      <c r="C264" s="55" t="n"/>
      <c r="D264" s="55" t="n"/>
      <c r="E264" s="55" t="n"/>
      <c r="F264" s="55" t="n"/>
      <c r="G264" s="56" t="n"/>
      <c r="H264" s="57">
        <f>ROUND(SUM(H265:H265),2)</f>
        <v/>
      </c>
    </row>
    <row r="265" ht="24" customHeight="1">
      <c r="A265" s="7" t="inlineStr">
        <is>
          <t>8.3.4.1</t>
        </is>
      </c>
      <c r="B265" s="8" t="inlineStr">
        <is>
          <t>412
PRÓPRIO</t>
        </is>
      </c>
      <c r="C265" s="9" t="inlineStr">
        <is>
          <t>CANALETA DE CONCRETO MOLDADO IN LOCO, ESPESSURA DE 0,10M, GEOMETRIA PRISMÁTICA (DIMENSÕES INTERNAS: L=0,40M; H(médio)= 0,325M)</t>
        </is>
      </c>
      <c r="D265" s="8" t="inlineStr">
        <is>
          <t>Composiçõ es Próprias</t>
        </is>
      </c>
      <c r="E265" s="8" t="inlineStr">
        <is>
          <t>M</t>
        </is>
      </c>
      <c r="F265" s="58" t="n">
        <v>17.5</v>
      </c>
      <c r="G265" s="59">
        <f>COMPOSICOES!G2528</f>
        <v/>
      </c>
      <c r="H265" s="60">
        <f>ROUND(ROUND(F265,2)*ROUND(G265,2),2)</f>
        <v/>
      </c>
      <c r="K265" t="n">
        <v>131.56</v>
      </c>
      <c r="L265">
        <f>G265-K265</f>
        <v/>
      </c>
    </row>
    <row r="266" ht="20" customHeight="1">
      <c r="A266" s="5" t="inlineStr">
        <is>
          <t>8.3.5</t>
        </is>
      </c>
      <c r="B266" s="5" t="inlineStr">
        <is>
          <t>ÁGUAS PLUVIAIS (CAIXAS)</t>
        </is>
      </c>
      <c r="C266" s="55" t="n"/>
      <c r="D266" s="55" t="n"/>
      <c r="E266" s="55" t="n"/>
      <c r="F266" s="55" t="n"/>
      <c r="G266" s="56" t="n"/>
      <c r="H266" s="57">
        <f>ROUND(SUM(H267:H267),2)</f>
        <v/>
      </c>
    </row>
    <row r="267" ht="20" customHeight="1">
      <c r="A267" s="7" t="inlineStr">
        <is>
          <t>8.3.5.1</t>
        </is>
      </c>
      <c r="B267" s="8" t="inlineStr">
        <is>
          <t>428
PRÓPRIO</t>
        </is>
      </c>
      <c r="C267" s="9" t="inlineStr">
        <is>
          <t>CAIXA DE AREIA 60 X 60 X 80CM (MEDIDAS INTERNAS) - FUNDO DE BRITA - TAMPA T33EM FERRO FUNDIDO</t>
        </is>
      </c>
      <c r="D267" s="8" t="inlineStr">
        <is>
          <t xml:space="preserve">Composiçõ es
</t>
        </is>
      </c>
      <c r="E267" s="8" t="inlineStr">
        <is>
          <t>UN</t>
        </is>
      </c>
      <c r="F267" s="58" t="n">
        <v>1</v>
      </c>
      <c r="G267" s="59">
        <f>COMPOSICOES!G2565</f>
        <v/>
      </c>
      <c r="H267" s="60">
        <f>ROUND(ROUND(F267,2)*ROUND(G267,2),2)</f>
        <v/>
      </c>
      <c r="K267" t="n">
        <v>844.1799999999999</v>
      </c>
      <c r="L267">
        <f>G267-K267</f>
        <v/>
      </c>
    </row>
    <row r="268" ht="20" customHeight="1">
      <c r="A268" s="5" t="inlineStr">
        <is>
          <t>8.4</t>
        </is>
      </c>
      <c r="B268" s="5" t="inlineStr">
        <is>
          <t>PREVENÇÃO E COMBATE A INCÊNDIO</t>
        </is>
      </c>
      <c r="C268" s="55" t="n"/>
      <c r="D268" s="55" t="n"/>
      <c r="E268" s="55" t="n"/>
      <c r="F268" s="55" t="n"/>
      <c r="G268" s="56" t="n"/>
      <c r="H268" s="57">
        <f>ROUND(H269+H271+H275,2)</f>
        <v/>
      </c>
    </row>
    <row r="269" ht="20" customHeight="1">
      <c r="A269" s="5" t="inlineStr">
        <is>
          <t>8.4.1</t>
        </is>
      </c>
      <c r="B269" s="5" t="inlineStr">
        <is>
          <t>EXTINTORES</t>
        </is>
      </c>
      <c r="C269" s="55" t="n"/>
      <c r="D269" s="55" t="n"/>
      <c r="E269" s="55" t="n"/>
      <c r="F269" s="55" t="n"/>
      <c r="G269" s="56" t="n"/>
      <c r="H269" s="57">
        <f>ROUND(SUM(H270:H270),2)</f>
        <v/>
      </c>
    </row>
    <row r="270" ht="24" customHeight="1">
      <c r="A270" s="7" t="inlineStr">
        <is>
          <t>8.4.1.1</t>
        </is>
      </c>
      <c r="B270" s="8" t="inlineStr">
        <is>
          <t>101907</t>
        </is>
      </c>
      <c r="C270" s="9" t="inlineStr">
        <is>
          <t>EXTINTOR DE INCÊNDIO PORTÁTIL COM CARGA DE CO2 DE 6 KG, CLASSE BC - FORNECIMENTO E INSTALAÇÃO.AF_10/2020_PE</t>
        </is>
      </c>
      <c r="D270" s="8" t="inlineStr">
        <is>
          <t>SINAPI</t>
        </is>
      </c>
      <c r="E270" s="8" t="inlineStr">
        <is>
          <t>UN</t>
        </is>
      </c>
      <c r="F270" s="58" t="n">
        <v>2</v>
      </c>
      <c r="G270" s="59">
        <f>COMPOSICOES!G2578</f>
        <v/>
      </c>
      <c r="H270" s="60">
        <f>ROUND(ROUND(F270,2)*ROUND(G270,2),2)</f>
        <v/>
      </c>
      <c r="K270" t="n">
        <v>920.49</v>
      </c>
      <c r="L270">
        <f>G270-K270</f>
        <v/>
      </c>
    </row>
    <row r="271" ht="20" customHeight="1">
      <c r="A271" s="5" t="inlineStr">
        <is>
          <t>8.4.2</t>
        </is>
      </c>
      <c r="B271" s="5" t="inlineStr">
        <is>
          <t>SINALIZAÇÃO</t>
        </is>
      </c>
      <c r="C271" s="55" t="n"/>
      <c r="D271" s="55" t="n"/>
      <c r="E271" s="55" t="n"/>
      <c r="F271" s="55" t="n"/>
      <c r="G271" s="56" t="n"/>
      <c r="H271" s="57">
        <f>ROUND(SUM(H272:H274),2)</f>
        <v/>
      </c>
    </row>
    <row r="272" ht="20" customHeight="1">
      <c r="A272" s="7" t="inlineStr">
        <is>
          <t>8.4.2.1</t>
        </is>
      </c>
      <c r="B272" s="8" t="inlineStr">
        <is>
          <t>55035
SBC</t>
        </is>
      </c>
      <c r="C272" s="9" t="inlineStr">
        <is>
          <t>PLACA FOTOLUMINESCENTE SAIDA DE EMERGENCIA PVC 2MM 15 X 30CM</t>
        </is>
      </c>
      <c r="D272" s="8" t="inlineStr">
        <is>
          <t xml:space="preserve">Composiçõ es
</t>
        </is>
      </c>
      <c r="E272" s="8" t="inlineStr">
        <is>
          <t>UN</t>
        </is>
      </c>
      <c r="F272" s="58" t="n">
        <v>12</v>
      </c>
      <c r="G272" s="59">
        <f>COMPOSICOES!G2589</f>
        <v/>
      </c>
      <c r="H272" s="60">
        <f>ROUND(ROUND(F272,2)*ROUND(G272,2),2)</f>
        <v/>
      </c>
      <c r="K272" t="n">
        <v>30.48</v>
      </c>
      <c r="L272">
        <f>G272-K272</f>
        <v/>
      </c>
    </row>
    <row r="273" ht="20" customHeight="1">
      <c r="A273" s="7" t="inlineStr">
        <is>
          <t>8.4.2.2</t>
        </is>
      </c>
      <c r="B273" s="8" t="inlineStr">
        <is>
          <t>55918
SBC</t>
        </is>
      </c>
      <c r="C273" s="9" t="inlineStr">
        <is>
          <t>PLACA FOTOLUMINESCENTE ROTA DE FUGA EM PVC 2MM 26 X 13CM</t>
        </is>
      </c>
      <c r="D273" s="8" t="inlineStr">
        <is>
          <t xml:space="preserve">Composiçõ es
</t>
        </is>
      </c>
      <c r="E273" s="8" t="inlineStr">
        <is>
          <t>UN</t>
        </is>
      </c>
      <c r="F273" s="58" t="n">
        <v>5</v>
      </c>
      <c r="G273" s="59">
        <f>COMPOSICOES!G2600</f>
        <v/>
      </c>
      <c r="H273" s="60">
        <f>ROUND(ROUND(F273,2)*ROUND(G273,2),2)</f>
        <v/>
      </c>
      <c r="K273" t="n">
        <v>11.19</v>
      </c>
      <c r="L273">
        <f>G273-K273</f>
        <v/>
      </c>
    </row>
    <row r="274" ht="20" customHeight="1">
      <c r="A274" s="7" t="inlineStr">
        <is>
          <t>8.4.2.3</t>
        </is>
      </c>
      <c r="B274" s="8" t="inlineStr">
        <is>
          <t>475</t>
        </is>
      </c>
      <c r="C274" s="9" t="inlineStr">
        <is>
          <t>SINALIZAÇÃO ACRILICA LUMINOSA AUTÔNOMA - SAÍDA DE EMERGÊNCIA - 50 X 25CM</t>
        </is>
      </c>
      <c r="D274" s="8" t="inlineStr">
        <is>
          <t>Composiçõ</t>
        </is>
      </c>
      <c r="E274" s="8" t="inlineStr">
        <is>
          <t>UN</t>
        </is>
      </c>
      <c r="F274" s="58" t="n">
        <v>1</v>
      </c>
      <c r="G274" s="59">
        <f>COMPOSICOES!G2612</f>
        <v/>
      </c>
      <c r="H274" s="60">
        <f>ROUND(ROUND(F274,2)*ROUND(G274,2),2)</f>
        <v/>
      </c>
      <c r="K274" t="n">
        <v>186.13</v>
      </c>
      <c r="L274">
        <f>G274-K274</f>
        <v/>
      </c>
    </row>
    <row r="275" ht="20" customHeight="1">
      <c r="A275" s="5" t="inlineStr">
        <is>
          <t>8.4.3</t>
        </is>
      </c>
      <c r="B275" s="5" t="inlineStr">
        <is>
          <t>ILUMINAÇÃO DE EMERGÊNCIA</t>
        </is>
      </c>
      <c r="C275" s="55" t="n"/>
      <c r="D275" s="55" t="n"/>
      <c r="E275" s="55" t="n"/>
      <c r="F275" s="55" t="n"/>
      <c r="G275" s="56" t="n"/>
      <c r="H275" s="57">
        <f>ROUND(SUM(H276:H276),2)</f>
        <v/>
      </c>
    </row>
    <row r="276" ht="24" customHeight="1">
      <c r="A276" s="7" t="inlineStr">
        <is>
          <t>8.4.3.1</t>
        </is>
      </c>
      <c r="B276" s="8" t="inlineStr">
        <is>
          <t>97599</t>
        </is>
      </c>
      <c r="C276" s="9" t="inlineStr">
        <is>
          <t>LUMINÁRIA DE EMERGÊNCIA, COM 30 LÂMPADAS LED DE 2 W, SEM REATOR - FORNECIMENTO E INSTALAÇÃO.AF_09/2024</t>
        </is>
      </c>
      <c r="D276" s="8" t="inlineStr">
        <is>
          <t>SINAPI</t>
        </is>
      </c>
      <c r="E276" s="8" t="inlineStr">
        <is>
          <t>UN</t>
        </is>
      </c>
      <c r="F276" s="58" t="n">
        <v>19</v>
      </c>
      <c r="G276" s="59">
        <f>COMPOSICOES!G2624</f>
        <v/>
      </c>
      <c r="H276" s="60">
        <f>ROUND(ROUND(F276,2)*ROUND(G276,2),2)</f>
        <v/>
      </c>
      <c r="K276" t="n">
        <v>17.65</v>
      </c>
      <c r="L276">
        <f>G276-K276</f>
        <v/>
      </c>
    </row>
    <row r="277" ht="20" customHeight="1">
      <c r="A277" s="5" t="inlineStr">
        <is>
          <t>9</t>
        </is>
      </c>
      <c r="B277" s="5" t="inlineStr">
        <is>
          <t>SISTEMA ELÉTRICO (ELE) + SISTEMA DE VOZ E DADOS (NET)</t>
        </is>
      </c>
      <c r="C277" s="55" t="n"/>
      <c r="D277" s="55" t="n"/>
      <c r="E277" s="55" t="n"/>
      <c r="F277" s="55" t="n"/>
      <c r="G277" s="56" t="n"/>
      <c r="H277" s="57">
        <f>ROUND(H278+H292+H316+H324+H335+H350+H356+H381,2)</f>
        <v/>
      </c>
    </row>
    <row r="278" ht="20" customHeight="1">
      <c r="A278" s="5" t="inlineStr">
        <is>
          <t>9.1</t>
        </is>
      </c>
      <c r="B278" s="5" t="inlineStr">
        <is>
          <t>ENTRADA (LIGAÇÃO COM REDE DE FORNECIMENTO)</t>
        </is>
      </c>
      <c r="C278" s="55" t="n"/>
      <c r="D278" s="55" t="n"/>
      <c r="E278" s="55" t="n"/>
      <c r="F278" s="55" t="n"/>
      <c r="G278" s="56" t="n"/>
      <c r="H278" s="57">
        <f>ROUND(H279+H282+H287,2)</f>
        <v/>
      </c>
    </row>
    <row r="279" ht="20" customHeight="1">
      <c r="A279" s="5" t="inlineStr">
        <is>
          <t>9.1.1</t>
        </is>
      </c>
      <c r="B279" s="5" t="inlineStr">
        <is>
          <t>ENTRADA SUBTERRÂNEA</t>
        </is>
      </c>
      <c r="C279" s="55" t="n"/>
      <c r="D279" s="55" t="n"/>
      <c r="E279" s="55" t="n"/>
      <c r="F279" s="55" t="n"/>
      <c r="G279" s="56" t="n"/>
      <c r="H279" s="57">
        <f>ROUND(SUM(H280:H281),2)</f>
        <v/>
      </c>
    </row>
    <row r="280" ht="24" customHeight="1">
      <c r="A280" s="7" t="inlineStr">
        <is>
          <t>9.1.1.1</t>
        </is>
      </c>
      <c r="B280" s="8" t="inlineStr">
        <is>
          <t>101946</t>
        </is>
      </c>
      <c r="C280" s="9" t="inlineStr">
        <is>
          <t>QUADRO DE MEDIÇÃO GERAL DE ENERGIA PARA 1 MEDIDOR DE SOBREPOR - FORNECIMENTO E INSTALAÇÃO.AF_07/2025</t>
        </is>
      </c>
      <c r="D280" s="8" t="inlineStr">
        <is>
          <t>SINAPI</t>
        </is>
      </c>
      <c r="E280" s="8" t="inlineStr">
        <is>
          <t>UN</t>
        </is>
      </c>
      <c r="F280" s="58" t="n">
        <v>1</v>
      </c>
      <c r="G280" s="59">
        <f>COMPOSICOES!G2637</f>
        <v/>
      </c>
      <c r="H280" s="60">
        <f>ROUND(ROUND(F280,2)*ROUND(G280,2),2)</f>
        <v/>
      </c>
      <c r="K280" t="n">
        <v>99.48</v>
      </c>
      <c r="L280">
        <f>G280-K280</f>
        <v/>
      </c>
    </row>
    <row r="281" ht="32" customHeight="1">
      <c r="A281" s="7" t="inlineStr">
        <is>
          <t>9.1.1.2</t>
        </is>
      </c>
      <c r="B281" s="8" t="inlineStr">
        <is>
          <t>SOP2751</t>
        </is>
      </c>
      <c r="C281" s="9" t="inlineStr">
        <is>
          <t>ENTRADA DE ENERGIA ELÉTRICA, SUBTERRÂNEA, TRIFÁSICA, COM CAIXA DE EMBUTIR, CABO DE 35MM2 E DISJUNTOR DIN 100A (NÃO INCLUSA MURETA DEALVENARIA) AF_07/2020</t>
        </is>
      </c>
      <c r="D281" s="8" t="inlineStr">
        <is>
          <t>Composiçõ es Próprias</t>
        </is>
      </c>
      <c r="E281" s="8" t="inlineStr">
        <is>
          <t>UN</t>
        </is>
      </c>
      <c r="F281" s="58" t="n">
        <v>1</v>
      </c>
      <c r="G281" s="59">
        <f>COMPOSICOES!G2660</f>
        <v/>
      </c>
      <c r="H281" s="60">
        <f>ROUND(ROUND(F281,2)*ROUND(G281,2),2)</f>
        <v/>
      </c>
      <c r="K281" t="n">
        <v>1937.26</v>
      </c>
      <c r="L281">
        <f>G281-K281</f>
        <v/>
      </c>
    </row>
    <row r="282" ht="20" customHeight="1">
      <c r="A282" s="5" t="inlineStr">
        <is>
          <t>9.1.2</t>
        </is>
      </c>
      <c r="B282" s="5" t="inlineStr">
        <is>
          <t>SERVIÇOS GERAIS PARA LIGAÇÃO COM REDE PÚBLICA</t>
        </is>
      </c>
      <c r="C282" s="55" t="n"/>
      <c r="D282" s="55" t="n"/>
      <c r="E282" s="55" t="n"/>
      <c r="F282" s="55" t="n"/>
      <c r="G282" s="56" t="n"/>
      <c r="H282" s="57">
        <f>ROUND(SUM(H283:H286),2)</f>
        <v/>
      </c>
    </row>
    <row r="283" ht="32" customHeight="1">
      <c r="A283" s="7" t="inlineStr">
        <is>
          <t>9.1.2.1</t>
        </is>
      </c>
      <c r="B283" s="8" t="inlineStr">
        <is>
          <t>103328</t>
        </is>
      </c>
      <c r="C283" s="9" t="inlineStr">
        <is>
          <t>ALVENARIA DE VEDAÇÃO DE BLOCOS CERÂMICOS FURADOS NA HORIZONTAL DE 9X19X19 CM (ESPESSURA 9 CM) E ARGAMASSA DE ASSENTAMENTO COMPREPARO EM BETONEIRA. AF_12/2021</t>
        </is>
      </c>
      <c r="D283" s="8" t="inlineStr">
        <is>
          <t>SINAPI</t>
        </is>
      </c>
      <c r="E283" s="8" t="inlineStr">
        <is>
          <t>M2</t>
        </is>
      </c>
      <c r="F283" s="58" t="n">
        <v>2</v>
      </c>
      <c r="G283" s="59">
        <f>COMPOSICOES!G2677</f>
        <v/>
      </c>
      <c r="H283" s="60">
        <f>ROUND(ROUND(F283,2)*ROUND(G283,2),2)</f>
        <v/>
      </c>
      <c r="K283" t="n">
        <v>100.11</v>
      </c>
      <c r="L283">
        <f>G283-K283</f>
        <v/>
      </c>
    </row>
    <row r="284" ht="32" customHeight="1">
      <c r="A284" s="7" t="inlineStr">
        <is>
          <t>9.1.2.2</t>
        </is>
      </c>
      <c r="B284" s="8" t="inlineStr">
        <is>
          <t>87794</t>
        </is>
      </c>
      <c r="C284" s="9" t="inlineStr">
        <is>
          <t>EMBOÇO OU MASSA ÚNICA EM ARGAMASSA TRAÇO 1:2:8, PREPARO MANUAL, APLICADA MANUALMENTE EM PANOS CEGOS DE FACHADA (SEM PRESENÇA DE VÃOS), ESPESSURA DE 25MM. AF_09/2022</t>
        </is>
      </c>
      <c r="D284" s="8" t="inlineStr">
        <is>
          <t>SINAPI</t>
        </is>
      </c>
      <c r="E284" s="8" t="inlineStr">
        <is>
          <t>M2</t>
        </is>
      </c>
      <c r="F284" s="58" t="n">
        <v>4</v>
      </c>
      <c r="G284" s="59">
        <f>COMPOSICOES!G2692</f>
        <v/>
      </c>
      <c r="H284" s="60">
        <f>ROUND(ROUND(F284,2)*ROUND(G284,2),2)</f>
        <v/>
      </c>
      <c r="K284" t="n">
        <v>47.1</v>
      </c>
      <c r="L284">
        <f>G284-K284</f>
        <v/>
      </c>
    </row>
    <row r="285" ht="32" customHeight="1">
      <c r="A285" s="7" t="inlineStr">
        <is>
          <t>9.1.2.3</t>
        </is>
      </c>
      <c r="B285" s="8" t="inlineStr">
        <is>
          <t>101795</t>
        </is>
      </c>
      <c r="C285" s="9" t="inlineStr">
        <is>
          <t>CAIXA ENTERRADA PARA INSTALAÇÕES TELEFÔNICAS TIPO R1, EM ALVENARIA COM BLOCOS DE CONCRETO, DIMENSÕES INTERNAS: 0,35X0,60X0,60 M, EXCLUINDOTAMPÃO. AF_12/2020</t>
        </is>
      </c>
      <c r="D285" s="8" t="inlineStr">
        <is>
          <t>SINAPI</t>
        </is>
      </c>
      <c r="E285" s="8" t="inlineStr">
        <is>
          <t>UN</t>
        </is>
      </c>
      <c r="F285" s="58" t="n">
        <v>1</v>
      </c>
      <c r="G285" s="59">
        <f>COMPOSICOES!G2723</f>
        <v/>
      </c>
      <c r="H285" s="60">
        <f>ROUND(ROUND(F285,2)*ROUND(G285,2),2)</f>
        <v/>
      </c>
      <c r="K285" t="n">
        <v>623.09</v>
      </c>
      <c r="L285">
        <f>G285-K285</f>
        <v/>
      </c>
    </row>
    <row r="286" ht="24" customHeight="1">
      <c r="A286" s="7" t="inlineStr">
        <is>
          <t>9.1.2.4</t>
        </is>
      </c>
      <c r="B286" s="8" t="inlineStr">
        <is>
          <t>101798</t>
        </is>
      </c>
      <c r="C286" s="9" t="inlineStr">
        <is>
          <t>TAMPA PARA CAIXA TIPO R1, EM FERRO FUNDIDO, DIMENSÕES INTERNAS: 0,40 X 0,60 M - FORNECIMENTO E INSTALAÇÃO.AF_12/2020</t>
        </is>
      </c>
      <c r="D286" s="8" t="inlineStr">
        <is>
          <t>SINAPI</t>
        </is>
      </c>
      <c r="E286" s="8" t="inlineStr">
        <is>
          <t>UN</t>
        </is>
      </c>
      <c r="F286" s="58" t="n">
        <v>1</v>
      </c>
      <c r="G286" s="59">
        <f>COMPOSICOES!G2738</f>
        <v/>
      </c>
      <c r="H286" s="60">
        <f>ROUND(ROUND(F286,2)*ROUND(G286,2),2)</f>
        <v/>
      </c>
      <c r="K286" t="n">
        <v>337.49</v>
      </c>
      <c r="L286">
        <f>G286-K286</f>
        <v/>
      </c>
    </row>
    <row r="287" ht="20" customHeight="1">
      <c r="A287" s="5" t="inlineStr">
        <is>
          <t>9.1.3</t>
        </is>
      </c>
      <c r="B287" s="5" t="inlineStr">
        <is>
          <t>ATERRAMENTO DA MEDIÇÃO</t>
        </is>
      </c>
      <c r="C287" s="55" t="n"/>
      <c r="D287" s="55" t="n"/>
      <c r="E287" s="55" t="n"/>
      <c r="F287" s="55" t="n"/>
      <c r="G287" s="56" t="n"/>
      <c r="H287" s="57">
        <f>ROUND(SUM(H288:H291),2)</f>
        <v/>
      </c>
    </row>
    <row r="288" ht="20" customHeight="1">
      <c r="A288" s="7" t="inlineStr">
        <is>
          <t>9.1.3.1</t>
        </is>
      </c>
      <c r="B288" s="8" t="inlineStr">
        <is>
          <t>96986</t>
        </is>
      </c>
      <c r="C288" s="9" t="inlineStr">
        <is>
          <t>HASTE DE ATERRAMENTO, DIÂMETRO 3/4",COM 3 METROS - FORNECIMENTO E INSTALAÇÃO. AF_08/2023</t>
        </is>
      </c>
      <c r="D288" s="8" t="inlineStr">
        <is>
          <t>SINAPI</t>
        </is>
      </c>
      <c r="E288" s="8" t="inlineStr">
        <is>
          <t>UN</t>
        </is>
      </c>
      <c r="F288" s="58" t="n">
        <v>3</v>
      </c>
      <c r="G288" s="59">
        <f>COMPOSICOES!G2750</f>
        <v/>
      </c>
      <c r="H288" s="60">
        <f>ROUND(ROUND(F288,2)*ROUND(G288,2),2)</f>
        <v/>
      </c>
      <c r="K288" t="n">
        <v>101.57</v>
      </c>
      <c r="L288">
        <f>G288-K288</f>
        <v/>
      </c>
    </row>
    <row r="289" ht="24" customHeight="1">
      <c r="A289" s="7" t="inlineStr">
        <is>
          <t>9.1.3.2</t>
        </is>
      </c>
      <c r="B289" s="8" t="inlineStr">
        <is>
          <t>104750</t>
        </is>
      </c>
      <c r="C289" s="9" t="inlineStr">
        <is>
          <t>CONECTOR GRAMPO METÁLICO TIPO OLHAL, PARA SPDA, PARA HASTE DE ATERRAMENTO DE 5/8'' E CABOS DE 10 A 50 MM2 - FORNECIMENTO E INSTALAÇÃO.AF_08/2023</t>
        </is>
      </c>
      <c r="D289" s="8" t="inlineStr">
        <is>
          <t>SINAPI</t>
        </is>
      </c>
      <c r="E289" s="8" t="inlineStr">
        <is>
          <t>UN</t>
        </is>
      </c>
      <c r="F289" s="58" t="n">
        <v>3</v>
      </c>
      <c r="G289" s="59">
        <f>COMPOSICOES!G2762</f>
        <v/>
      </c>
      <c r="H289" s="60">
        <f>ROUND(ROUND(F289,2)*ROUND(G289,2),2)</f>
        <v/>
      </c>
      <c r="K289" t="n">
        <v>15.56</v>
      </c>
      <c r="L289">
        <f>G289-K289</f>
        <v/>
      </c>
    </row>
    <row r="290" ht="20" customHeight="1">
      <c r="A290" s="7" t="inlineStr">
        <is>
          <t>9.1.3.3</t>
        </is>
      </c>
      <c r="B290" s="8" t="inlineStr">
        <is>
          <t>98111</t>
        </is>
      </c>
      <c r="C290" s="9" t="inlineStr">
        <is>
          <t>CAIXA DE INSPEÇÃO PARA ATERRAMENTO, CIRCULAR, EM POLIETILENO, DIÂMETROINTERNO = 0,3 M. AF_12/2020</t>
        </is>
      </c>
      <c r="D290" s="8" t="inlineStr">
        <is>
          <t>SINAPI</t>
        </is>
      </c>
      <c r="E290" s="8" t="inlineStr">
        <is>
          <t>UN</t>
        </is>
      </c>
      <c r="F290" s="58" t="n">
        <v>3</v>
      </c>
      <c r="G290" s="59">
        <f>COMPOSICOES!G2777</f>
        <v/>
      </c>
      <c r="H290" s="60">
        <f>ROUND(ROUND(F290,2)*ROUND(G290,2),2)</f>
        <v/>
      </c>
      <c r="K290" t="n">
        <v>64.56999999999999</v>
      </c>
      <c r="L290">
        <f>G290-K290</f>
        <v/>
      </c>
    </row>
    <row r="291" ht="20" customHeight="1">
      <c r="A291" s="7" t="inlineStr">
        <is>
          <t>9.1.3.4</t>
        </is>
      </c>
      <c r="B291" s="8" t="inlineStr">
        <is>
          <t>433
PRÓPRIO</t>
        </is>
      </c>
      <c r="C291" s="9" t="inlineStr">
        <is>
          <t>CABO COBRE NU 7 FIOS 4AWG - 16MM2</t>
        </is>
      </c>
      <c r="D291" s="8" t="inlineStr">
        <is>
          <t xml:space="preserve">Composiçõ es
</t>
        </is>
      </c>
      <c r="E291" s="8" t="inlineStr">
        <is>
          <t>M</t>
        </is>
      </c>
      <c r="F291" s="58" t="n">
        <v>7.3</v>
      </c>
      <c r="G291" s="59">
        <f>COMPOSICOES!G2789</f>
        <v/>
      </c>
      <c r="H291" s="60">
        <f>ROUND(ROUND(F291,2)*ROUND(G291,2),2)</f>
        <v/>
      </c>
      <c r="K291" t="n">
        <v>47.12</v>
      </c>
      <c r="L291">
        <f>G291-K291</f>
        <v/>
      </c>
    </row>
    <row r="292" ht="20" customHeight="1">
      <c r="A292" s="5" t="inlineStr">
        <is>
          <t>9.2</t>
        </is>
      </c>
      <c r="B292" s="5" t="inlineStr">
        <is>
          <t>QUADROS, DISJUNTORES E DEMAIS ACESSÓRIOS</t>
        </is>
      </c>
      <c r="C292" s="55" t="n"/>
      <c r="D292" s="55" t="n"/>
      <c r="E292" s="55" t="n"/>
      <c r="F292" s="55" t="n"/>
      <c r="G292" s="56" t="n"/>
      <c r="H292" s="57">
        <f>ROUND(H293+H295+H303+H311+H314,2)</f>
        <v/>
      </c>
    </row>
    <row r="293" ht="20" customHeight="1">
      <c r="A293" s="5" t="inlineStr">
        <is>
          <t>9.2.1</t>
        </is>
      </c>
      <c r="B293" s="5" t="inlineStr">
        <is>
          <t>ENERGIA (QUADROS DE DISTRIBUIÇÃO)</t>
        </is>
      </c>
      <c r="C293" s="55" t="n"/>
      <c r="D293" s="55" t="n"/>
      <c r="E293" s="55" t="n"/>
      <c r="F293" s="55" t="n"/>
      <c r="G293" s="56" t="n"/>
      <c r="H293" s="57">
        <f>ROUND(SUM(H294:H294),2)</f>
        <v/>
      </c>
    </row>
    <row r="294" ht="24" customHeight="1">
      <c r="A294" s="7" t="inlineStr">
        <is>
          <t>9.2.1.1</t>
        </is>
      </c>
      <c r="B294" s="8" t="inlineStr">
        <is>
          <t>384
PRÓPRIO</t>
        </is>
      </c>
      <c r="C294" s="9" t="inlineStr">
        <is>
          <t>QUADRO GERAL DE DISTRIBUIÇÃO TRIFÁSICO, DE EMBUTIR, COM BARRAMENTO, EM CHAPA GALVANIZADA PINTADA - 60 X 100 X 20CM - SEMDISJUNTORES</t>
        </is>
      </c>
      <c r="D294" s="8" t="inlineStr">
        <is>
          <t>Composiçõ es Próprias</t>
        </is>
      </c>
      <c r="E294" s="8" t="inlineStr">
        <is>
          <t>UN</t>
        </is>
      </c>
      <c r="F294" s="58" t="n">
        <v>1</v>
      </c>
      <c r="G294" s="59">
        <f>COMPOSICOES!G2801</f>
        <v/>
      </c>
      <c r="H294" s="60">
        <f>ROUND(ROUND(F294,2)*ROUND(G294,2),2)</f>
        <v/>
      </c>
      <c r="K294" t="n">
        <v>3056.53</v>
      </c>
      <c r="L294">
        <f>G294-K294</f>
        <v/>
      </c>
    </row>
    <row r="295" ht="20" customHeight="1">
      <c r="A295" s="5" t="inlineStr">
        <is>
          <t>9.2.2</t>
        </is>
      </c>
      <c r="B295" s="5" t="inlineStr">
        <is>
          <t>CABEAMENTO ESTRUTURADO / VOZ E DADOS (RACK)</t>
        </is>
      </c>
      <c r="C295" s="55" t="n"/>
      <c r="D295" s="55" t="n"/>
      <c r="E295" s="55" t="n"/>
      <c r="F295" s="55" t="n"/>
      <c r="G295" s="56" t="n"/>
      <c r="H295" s="57">
        <f>ROUND(SUM(H296:H302),2)</f>
        <v/>
      </c>
    </row>
    <row r="296" ht="20" customHeight="1">
      <c r="A296" s="7" t="inlineStr">
        <is>
          <t>9.2.2.1</t>
        </is>
      </c>
      <c r="B296" s="8" t="inlineStr">
        <is>
          <t>98302</t>
        </is>
      </c>
      <c r="C296" s="9" t="inlineStr">
        <is>
          <t>PATCH PANEL 24 PORTAS, CATEGORIA 6 - FORNECIMENTO E INSTALAÇÃO.AF_08/2025</t>
        </is>
      </c>
      <c r="D296" s="8" t="inlineStr">
        <is>
          <t>SINAPI</t>
        </is>
      </c>
      <c r="E296" s="8" t="inlineStr">
        <is>
          <t>UN</t>
        </is>
      </c>
      <c r="F296" s="58" t="n">
        <v>1</v>
      </c>
      <c r="G296" s="59">
        <f>COMPOSICOES!G2813</f>
        <v/>
      </c>
      <c r="H296" s="60">
        <f>ROUND(ROUND(F296,2)*ROUND(G296,2),2)</f>
        <v/>
      </c>
      <c r="K296" t="n">
        <v>1201.46</v>
      </c>
      <c r="L296">
        <f>G296-K296</f>
        <v/>
      </c>
    </row>
    <row r="297" ht="20" customHeight="1">
      <c r="A297" s="7" t="inlineStr">
        <is>
          <t>9.2.2.2</t>
        </is>
      </c>
      <c r="B297" s="8" t="inlineStr">
        <is>
          <t>432
PRÓPRIO</t>
        </is>
      </c>
      <c r="C297" s="9" t="inlineStr">
        <is>
          <t>SWITCH 24 PORTAS 10/100/1000 MPBS + 2P 10-100-1000 BT - FORNECIMENTO EINSTALAÇÃO</t>
        </is>
      </c>
      <c r="D297" s="8" t="inlineStr">
        <is>
          <t xml:space="preserve">Composiçõ es
</t>
        </is>
      </c>
      <c r="E297" s="8" t="inlineStr">
        <is>
          <t>UN</t>
        </is>
      </c>
      <c r="F297" s="58" t="n">
        <v>1</v>
      </c>
      <c r="G297" s="59">
        <f>COMPOSICOES!G2824</f>
        <v/>
      </c>
      <c r="H297" s="60">
        <f>ROUND(ROUND(F297,2)*ROUND(G297,2),2)</f>
        <v/>
      </c>
      <c r="K297" t="n">
        <v>1310.14</v>
      </c>
      <c r="L297">
        <f>G297-K297</f>
        <v/>
      </c>
    </row>
    <row r="298" ht="20" customHeight="1">
      <c r="A298" s="7" t="inlineStr">
        <is>
          <t>9.2.2.3</t>
        </is>
      </c>
      <c r="B298" s="8" t="inlineStr">
        <is>
          <t>435
PRÓPRIO</t>
        </is>
      </c>
      <c r="C298" s="9" t="inlineStr">
        <is>
          <t>MINI RACK 6U X 450MM - INSTALAÇÃO EM PAREDE - COR: PRETO - COM VISOR</t>
        </is>
      </c>
      <c r="D298" s="8" t="inlineStr">
        <is>
          <t xml:space="preserve">Composiçõ es
</t>
        </is>
      </c>
      <c r="E298" s="8" t="inlineStr">
        <is>
          <t>UN</t>
        </is>
      </c>
      <c r="F298" s="58" t="n">
        <v>1</v>
      </c>
      <c r="G298" s="59">
        <f>COMPOSICOES!G2836</f>
        <v/>
      </c>
      <c r="H298" s="60">
        <f>ROUND(ROUND(F298,2)*ROUND(G298,2),2)</f>
        <v/>
      </c>
      <c r="K298" t="n">
        <v>547.15</v>
      </c>
      <c r="L298">
        <f>G298-K298</f>
        <v/>
      </c>
    </row>
    <row r="299" ht="20" customHeight="1">
      <c r="A299" s="7" t="inlineStr">
        <is>
          <t>9.2.2.4</t>
        </is>
      </c>
      <c r="B299" s="8" t="inlineStr">
        <is>
          <t>437
PRÓPRIO</t>
        </is>
      </c>
      <c r="C299" s="9" t="inlineStr">
        <is>
          <t>TERMINAL TELEFONICO - BLOCO BLI-10P</t>
        </is>
      </c>
      <c r="D299" s="8" t="inlineStr">
        <is>
          <t xml:space="preserve">Composiçõ es
</t>
        </is>
      </c>
      <c r="E299" s="8" t="inlineStr">
        <is>
          <t>UN</t>
        </is>
      </c>
      <c r="F299" s="58" t="n">
        <v>2</v>
      </c>
      <c r="G299" s="59">
        <f>COMPOSICOES!G2848</f>
        <v/>
      </c>
      <c r="H299" s="60">
        <f>ROUND(ROUND(F299,2)*ROUND(G299,2),2)</f>
        <v/>
      </c>
      <c r="K299" t="n">
        <v>75.58</v>
      </c>
      <c r="L299">
        <f>G299-K299</f>
        <v/>
      </c>
    </row>
    <row r="300" ht="20" customHeight="1">
      <c r="A300" s="7" t="inlineStr">
        <is>
          <t>9.2.2.5</t>
        </is>
      </c>
      <c r="B300" s="8" t="inlineStr">
        <is>
          <t>436
PRÓPRIO</t>
        </is>
      </c>
      <c r="C300" s="9" t="inlineStr">
        <is>
          <t>GUIA DE CABOS P/ RACK PADRÃO 19""</t>
        </is>
      </c>
      <c r="D300" s="8" t="inlineStr">
        <is>
          <t xml:space="preserve">Composiçõ es
</t>
        </is>
      </c>
      <c r="E300" s="8" t="inlineStr">
        <is>
          <t>UN</t>
        </is>
      </c>
      <c r="F300" s="58" t="n">
        <v>2</v>
      </c>
      <c r="G300" s="59">
        <f>COMPOSICOES!G2860</f>
        <v/>
      </c>
      <c r="H300" s="60">
        <f>ROUND(ROUND(F300,2)*ROUND(G300,2),2)</f>
        <v/>
      </c>
      <c r="K300" t="n">
        <v>33.63</v>
      </c>
      <c r="L300">
        <f>G300-K300</f>
        <v/>
      </c>
    </row>
    <row r="301" ht="20" customHeight="1">
      <c r="A301" s="7" t="inlineStr">
        <is>
          <t>9.2.2.6</t>
        </is>
      </c>
      <c r="B301" s="8" t="inlineStr">
        <is>
          <t>438
PRÓPRIO</t>
        </is>
      </c>
      <c r="C301" s="9" t="inlineStr">
        <is>
          <t>CANALETA PARA FIXAÇÃO DE BLOCOS BLI-10/BLI-20 - 5U</t>
        </is>
      </c>
      <c r="D301" s="8" t="inlineStr">
        <is>
          <t xml:space="preserve">Composiçõ es
</t>
        </is>
      </c>
      <c r="E301" s="8" t="inlineStr">
        <is>
          <t>UN</t>
        </is>
      </c>
      <c r="F301" s="58" t="n">
        <v>2</v>
      </c>
      <c r="G301" s="59">
        <f>COMPOSICOES!G2872</f>
        <v/>
      </c>
      <c r="H301" s="60">
        <f>ROUND(ROUND(F301,2)*ROUND(G301,2),2)</f>
        <v/>
      </c>
      <c r="K301" t="n">
        <v>77.40000000000001</v>
      </c>
      <c r="L301">
        <f>G301-K301</f>
        <v/>
      </c>
    </row>
    <row r="302" ht="20" customHeight="1">
      <c r="A302" s="7" t="inlineStr">
        <is>
          <t>9.2.2.7</t>
        </is>
      </c>
      <c r="B302" s="8" t="inlineStr">
        <is>
          <t>439
PRÓPRIO</t>
        </is>
      </c>
      <c r="C302" s="9" t="inlineStr">
        <is>
          <t>CONECTOR 110 IDC 4 PARES CAT5e PARA SISTEMAS DE VOZ</t>
        </is>
      </c>
      <c r="D302" s="8" t="inlineStr">
        <is>
          <t xml:space="preserve">Composiçõ es
</t>
        </is>
      </c>
      <c r="E302" s="8" t="inlineStr">
        <is>
          <t>UN</t>
        </is>
      </c>
      <c r="F302" s="58" t="n">
        <v>16</v>
      </c>
      <c r="G302" s="59">
        <f>COMPOSICOES!G2881</f>
        <v/>
      </c>
      <c r="H302" s="60">
        <f>ROUND(ROUND(F302,2)*ROUND(G302,2),2)</f>
        <v/>
      </c>
      <c r="K302" t="n">
        <v>99.06</v>
      </c>
      <c r="L302">
        <f>G302-K302</f>
        <v/>
      </c>
    </row>
    <row r="303" ht="20" customHeight="1">
      <c r="A303" s="5" t="inlineStr">
        <is>
          <t>9.2.3</t>
        </is>
      </c>
      <c r="B303" s="5" t="inlineStr">
        <is>
          <t>ENERGIA (DISJUNTORES)</t>
        </is>
      </c>
      <c r="C303" s="55" t="n"/>
      <c r="D303" s="55" t="n"/>
      <c r="E303" s="55" t="n"/>
      <c r="F303" s="55" t="n"/>
      <c r="G303" s="56" t="n"/>
      <c r="H303" s="57">
        <f>ROUND(SUM(H304:H310),2)</f>
        <v/>
      </c>
    </row>
    <row r="304" ht="20" customHeight="1">
      <c r="A304" s="7" t="inlineStr">
        <is>
          <t>9.2.3.1</t>
        </is>
      </c>
      <c r="B304" s="8" t="inlineStr">
        <is>
          <t>93653</t>
        </is>
      </c>
      <c r="C304" s="9" t="inlineStr">
        <is>
          <t>DISJUNTOR MONOPOLAR TIPO DIN, CORRENTE NOMINAL DE 10A - FORNECIMENTO E INSTALAÇÃO.AF_07/2025</t>
        </is>
      </c>
      <c r="D304" s="8" t="inlineStr">
        <is>
          <t>SINAPI</t>
        </is>
      </c>
      <c r="E304" s="8" t="inlineStr">
        <is>
          <t>UN</t>
        </is>
      </c>
      <c r="F304" s="58" t="n">
        <v>7</v>
      </c>
      <c r="G304" s="59">
        <f>COMPOSICOES!G2894</f>
        <v/>
      </c>
      <c r="H304" s="60">
        <f>ROUND(ROUND(F304,2)*ROUND(G304,2),2)</f>
        <v/>
      </c>
      <c r="K304" t="n">
        <v>12.29</v>
      </c>
      <c r="L304">
        <f>G304-K304</f>
        <v/>
      </c>
    </row>
    <row r="305" ht="20" customHeight="1">
      <c r="A305" s="7" t="inlineStr">
        <is>
          <t>9.2.3.2</t>
        </is>
      </c>
      <c r="B305" s="8" t="inlineStr">
        <is>
          <t>93654</t>
        </is>
      </c>
      <c r="C305" s="9" t="inlineStr">
        <is>
          <t>DISJUNTOR MONOPOLAR TIPO DIN, CORRENTE NOMINAL DE 16A - FORNECIMENTO E INSTALAÇÃO.AF_07/2025</t>
        </is>
      </c>
      <c r="D305" s="8" t="inlineStr">
        <is>
          <t>SINAPI</t>
        </is>
      </c>
      <c r="E305" s="8" t="inlineStr">
        <is>
          <t>UN</t>
        </is>
      </c>
      <c r="F305" s="58" t="n">
        <v>23</v>
      </c>
      <c r="G305" s="59">
        <f>COMPOSICOES!G2907</f>
        <v/>
      </c>
      <c r="H305" s="60">
        <f>ROUND(ROUND(F305,2)*ROUND(G305,2),2)</f>
        <v/>
      </c>
      <c r="K305" t="n">
        <v>12.29</v>
      </c>
      <c r="L305">
        <f>G305-K305</f>
        <v/>
      </c>
    </row>
    <row r="306" ht="20" customHeight="1">
      <c r="A306" s="7" t="inlineStr">
        <is>
          <t>9.2.3.3</t>
        </is>
      </c>
      <c r="B306" s="8" t="inlineStr">
        <is>
          <t>93655</t>
        </is>
      </c>
      <c r="C306" s="9" t="inlineStr">
        <is>
          <t>DISJUNTOR MONOPOLAR TIPO DIN, CORRENTE NOMINAL DE 20A - FORNECIMENTO E INSTALAÇÃO.AF_07/2025</t>
        </is>
      </c>
      <c r="D306" s="8" t="inlineStr">
        <is>
          <t>SINAPI</t>
        </is>
      </c>
      <c r="E306" s="8" t="inlineStr">
        <is>
          <t>UN</t>
        </is>
      </c>
      <c r="F306" s="58" t="n">
        <v>11</v>
      </c>
      <c r="G306" s="59">
        <f>COMPOSICOES!G2920</f>
        <v/>
      </c>
      <c r="H306" s="60">
        <f>ROUND(ROUND(F306,2)*ROUND(G306,2),2)</f>
        <v/>
      </c>
      <c r="K306" t="n">
        <v>13.26</v>
      </c>
      <c r="L306">
        <f>G306-K306</f>
        <v/>
      </c>
    </row>
    <row r="307" ht="20" customHeight="1">
      <c r="A307" s="7" t="inlineStr">
        <is>
          <t>9.2.3.4</t>
        </is>
      </c>
      <c r="B307" s="8" t="inlineStr">
        <is>
          <t>93656</t>
        </is>
      </c>
      <c r="C307" s="9" t="inlineStr">
        <is>
          <t>DISJUNTOR MONOPOLAR TIPO DIN, CORRENTE NOMINAL DE 25A - FORNECIMENTO E INSTALAÇÃO.AF_07/2025</t>
        </is>
      </c>
      <c r="D307" s="8" t="inlineStr">
        <is>
          <t>SINAPI</t>
        </is>
      </c>
      <c r="E307" s="8" t="inlineStr">
        <is>
          <t>UN</t>
        </is>
      </c>
      <c r="F307" s="58" t="n">
        <v>3</v>
      </c>
      <c r="G307" s="59">
        <f>COMPOSICOES!G2933</f>
        <v/>
      </c>
      <c r="H307" s="60">
        <f>ROUND(ROUND(F307,2)*ROUND(G307,2),2)</f>
        <v/>
      </c>
      <c r="K307" t="n">
        <v>14.22</v>
      </c>
      <c r="L307">
        <f>G307-K307</f>
        <v/>
      </c>
    </row>
    <row r="308" ht="20" customHeight="1">
      <c r="A308" s="7" t="inlineStr">
        <is>
          <t>9.2.3.5</t>
        </is>
      </c>
      <c r="B308" s="8" t="inlineStr">
        <is>
          <t>93658</t>
        </is>
      </c>
      <c r="C308" s="9" t="inlineStr">
        <is>
          <t>DISJUNTOR MONOPOLAR TIPO DIN, CORRENTE NOMINAL DE 40A - FORNECIMENTO E INSTALAÇÃO.AF_07/2025</t>
        </is>
      </c>
      <c r="D308" s="8" t="inlineStr">
        <is>
          <t>SINAPI</t>
        </is>
      </c>
      <c r="E308" s="8" t="inlineStr">
        <is>
          <t>UN</t>
        </is>
      </c>
      <c r="F308" s="58" t="n">
        <v>1</v>
      </c>
      <c r="G308" s="59">
        <f>COMPOSICOES!G2946</f>
        <v/>
      </c>
      <c r="H308" s="60">
        <f>ROUND(ROUND(F308,2)*ROUND(G308,2),2)</f>
        <v/>
      </c>
      <c r="K308" t="n">
        <v>22.64</v>
      </c>
      <c r="L308">
        <f>G308-K308</f>
        <v/>
      </c>
    </row>
    <row r="309" ht="20" customHeight="1">
      <c r="A309" s="7" t="inlineStr">
        <is>
          <t>9.2.3.6</t>
        </is>
      </c>
      <c r="B309" s="8" t="inlineStr">
        <is>
          <t>93673</t>
        </is>
      </c>
      <c r="C309" s="9" t="inlineStr">
        <is>
          <t>DISJUNTOR TRIPOLAR TIPO DIN, CORRENTE NOMINAL DE 50A - FORNECIMENTO E INSTALAÇÃO.AF_07/2025</t>
        </is>
      </c>
      <c r="D309" s="8" t="inlineStr">
        <is>
          <t>SINAPI</t>
        </is>
      </c>
      <c r="E309" s="8" t="inlineStr">
        <is>
          <t>UN</t>
        </is>
      </c>
      <c r="F309" s="58" t="n">
        <v>2</v>
      </c>
      <c r="G309" s="59">
        <f>COMPOSICOES!G2959</f>
        <v/>
      </c>
      <c r="H309" s="60">
        <f>ROUND(ROUND(F309,2)*ROUND(G309,2),2)</f>
        <v/>
      </c>
      <c r="K309" t="n">
        <v>101.13</v>
      </c>
      <c r="L309">
        <f>G309-K309</f>
        <v/>
      </c>
    </row>
    <row r="310" ht="20" customHeight="1">
      <c r="A310" s="7" t="inlineStr">
        <is>
          <t>9.2.3.7</t>
        </is>
      </c>
      <c r="B310" s="8" t="inlineStr">
        <is>
          <t>C1117</t>
        </is>
      </c>
      <c r="C310" s="9" t="inlineStr">
        <is>
          <t>DISJUNTOR TRIPOLAR EM QUADRO DEDISTRIBUIÇÃO 100A</t>
        </is>
      </c>
      <c r="D310" s="8" t="inlineStr">
        <is>
          <t>SEINFRA</t>
        </is>
      </c>
      <c r="E310" s="8" t="inlineStr">
        <is>
          <t>UN</t>
        </is>
      </c>
      <c r="F310" s="58" t="n">
        <v>1</v>
      </c>
      <c r="G310" s="59">
        <f>COMPOSICOES!G2971</f>
        <v/>
      </c>
      <c r="H310" s="60">
        <f>ROUND(ROUND(F310,2)*ROUND(G310,2),2)</f>
        <v/>
      </c>
      <c r="K310" t="n">
        <v>148.04</v>
      </c>
      <c r="L310">
        <f>G310-K310</f>
        <v/>
      </c>
    </row>
    <row r="311" ht="20" customHeight="1">
      <c r="A311" s="5" t="inlineStr">
        <is>
          <t>9.2.4</t>
        </is>
      </c>
      <c r="B311" s="5" t="inlineStr">
        <is>
          <t>ENERGIA (INTERRUPTOR DIFERENCIAL RESIDUAL - DR)</t>
        </is>
      </c>
      <c r="C311" s="55" t="n"/>
      <c r="D311" s="55" t="n"/>
      <c r="E311" s="55" t="n"/>
      <c r="F311" s="55" t="n"/>
      <c r="G311" s="56" t="n"/>
      <c r="H311" s="57">
        <f>ROUND(SUM(H312:H313),2)</f>
        <v/>
      </c>
    </row>
    <row r="312" ht="20" customHeight="1">
      <c r="A312" s="7" t="inlineStr">
        <is>
          <t>9.2.4.1</t>
        </is>
      </c>
      <c r="B312" s="8" t="inlineStr">
        <is>
          <t>386
PRÓPRIO</t>
        </is>
      </c>
      <c r="C312" s="9" t="inlineStr">
        <is>
          <t>DISJUNTOR BIPOLAR TIPO DR - 25A - 30MA- FORNECIMENTO E INSTALAÇÃO</t>
        </is>
      </c>
      <c r="D312" s="8" t="inlineStr">
        <is>
          <t xml:space="preserve">Composiçõ es
</t>
        </is>
      </c>
      <c r="E312" s="8" t="inlineStr">
        <is>
          <t>UN</t>
        </is>
      </c>
      <c r="F312" s="58" t="n">
        <v>10</v>
      </c>
      <c r="G312" s="59">
        <f>COMPOSICOES!G2984</f>
        <v/>
      </c>
      <c r="H312" s="60">
        <f>ROUND(ROUND(F312,2)*ROUND(G312,2),2)</f>
        <v/>
      </c>
      <c r="K312" t="n">
        <v>152.62</v>
      </c>
      <c r="L312">
        <f>G312-K312</f>
        <v/>
      </c>
    </row>
    <row r="313" ht="20" customHeight="1">
      <c r="A313" s="7" t="inlineStr">
        <is>
          <t>9.2.4.2</t>
        </is>
      </c>
      <c r="B313" s="8" t="inlineStr">
        <is>
          <t>434
PRÓPRIO</t>
        </is>
      </c>
      <c r="C313" s="9" t="inlineStr">
        <is>
          <t>DISJUNTOR BIPOLAR TIPO DR - 40A - 30MA- FORNECIMENTO E INSTALAÇÃO</t>
        </is>
      </c>
      <c r="D313" s="8" t="inlineStr">
        <is>
          <t xml:space="preserve">Composiçõ es
</t>
        </is>
      </c>
      <c r="E313" s="8" t="inlineStr">
        <is>
          <t>UN</t>
        </is>
      </c>
      <c r="F313" s="58" t="n">
        <v>1</v>
      </c>
      <c r="G313" s="59">
        <f>COMPOSICOES!G2997</f>
        <v/>
      </c>
      <c r="H313" s="60">
        <f>ROUND(ROUND(F313,2)*ROUND(G313,2),2)</f>
        <v/>
      </c>
      <c r="K313" t="n">
        <v>163.48</v>
      </c>
      <c r="L313">
        <f>G313-K313</f>
        <v/>
      </c>
    </row>
    <row r="314" ht="20" customHeight="1">
      <c r="A314" s="5" t="inlineStr">
        <is>
          <t>9.2.5</t>
        </is>
      </c>
      <c r="B314" s="5" t="inlineStr">
        <is>
          <t>ENERGIA (DISPOSITIVO PROTETOR DE SURTO - DPS)</t>
        </is>
      </c>
      <c r="C314" s="55" t="n"/>
      <c r="D314" s="55" t="n"/>
      <c r="E314" s="55" t="n"/>
      <c r="F314" s="55" t="n"/>
      <c r="G314" s="56" t="n"/>
      <c r="H314" s="57">
        <f>ROUND(SUM(H315:H315),2)</f>
        <v/>
      </c>
    </row>
    <row r="315" ht="20" customHeight="1">
      <c r="A315" s="7" t="inlineStr">
        <is>
          <t>9.2.5.1</t>
        </is>
      </c>
      <c r="B315" s="8" t="inlineStr">
        <is>
          <t>385
PRÓPRIO</t>
        </is>
      </c>
      <c r="C315" s="9" t="inlineStr">
        <is>
          <t>DISPOSITIVO DE PROTEÇÃO CONTRA SURTO (DPS) - TENSÃO 175V - CORRENTE20KA</t>
        </is>
      </c>
      <c r="D315" s="8" t="inlineStr">
        <is>
          <t xml:space="preserve">Composiçõ es
</t>
        </is>
      </c>
      <c r="E315" s="8" t="inlineStr">
        <is>
          <t>UN</t>
        </is>
      </c>
      <c r="F315" s="58" t="n">
        <v>7</v>
      </c>
      <c r="G315" s="59">
        <f>COMPOSICOES!G3009</f>
        <v/>
      </c>
      <c r="H315" s="60">
        <f>ROUND(ROUND(F315,2)*ROUND(G315,2),2)</f>
        <v/>
      </c>
      <c r="K315" t="n">
        <v>85.69</v>
      </c>
      <c r="L315">
        <f>G315-K315</f>
        <v/>
      </c>
    </row>
    <row r="316" ht="20" customHeight="1">
      <c r="A316" s="5" t="inlineStr">
        <is>
          <t>9.3</t>
        </is>
      </c>
      <c r="B316" s="5" t="inlineStr">
        <is>
          <t>DISTRIBUIÇÃO (ELETRODUTO PVC FLEXÍVEL)</t>
        </is>
      </c>
      <c r="C316" s="55" t="n"/>
      <c r="D316" s="55" t="n"/>
      <c r="E316" s="55" t="n"/>
      <c r="F316" s="55" t="n"/>
      <c r="G316" s="56" t="n"/>
      <c r="H316" s="57">
        <f>ROUND(H317+H322,2)</f>
        <v/>
      </c>
    </row>
    <row r="317" ht="20" customHeight="1">
      <c r="A317" s="5" t="inlineStr">
        <is>
          <t>9.3.1</t>
        </is>
      </c>
      <c r="B317" s="5" t="inlineStr">
        <is>
          <t>ELETRODUTO PVC FLEXÍVEL</t>
        </is>
      </c>
      <c r="C317" s="55" t="n"/>
      <c r="D317" s="55" t="n"/>
      <c r="E317" s="55" t="n"/>
      <c r="F317" s="55" t="n"/>
      <c r="G317" s="56" t="n"/>
      <c r="H317" s="57">
        <f>ROUND(SUM(H318:H321),2)</f>
        <v/>
      </c>
    </row>
    <row r="318" ht="24" customHeight="1">
      <c r="A318" s="7" t="inlineStr">
        <is>
          <t>9.3.1.1</t>
        </is>
      </c>
      <c r="B318" s="8" t="inlineStr">
        <is>
          <t>91854</t>
        </is>
      </c>
      <c r="C318" s="9" t="inlineStr">
        <is>
          <t>ELETRODUTO FLEXÍVEL CORRUGADO,PVC, DN 25 MM (3/4"), PARA CIRCUITOS TERMINAIS, INSTALADO EM PAREDE - FORNECIMENTO E INSTALAÇÃO.AF_03/2023</t>
        </is>
      </c>
      <c r="D318" s="8" t="inlineStr">
        <is>
          <t>SINAPI</t>
        </is>
      </c>
      <c r="E318" s="8" t="inlineStr">
        <is>
          <t>M</t>
        </is>
      </c>
      <c r="F318" s="58" t="n">
        <v>203.4</v>
      </c>
      <c r="G318" s="59">
        <f>COMPOSICOES!G3021</f>
        <v/>
      </c>
      <c r="H318" s="60">
        <f>ROUND(ROUND(F318,2)*ROUND(G318,2),2)</f>
        <v/>
      </c>
      <c r="K318" t="n">
        <v>10.02</v>
      </c>
      <c r="L318">
        <f>G318-K318</f>
        <v/>
      </c>
    </row>
    <row r="319" ht="24" customHeight="1">
      <c r="A319" s="7" t="inlineStr">
        <is>
          <t>9.3.1.2</t>
        </is>
      </c>
      <c r="B319" s="8" t="inlineStr">
        <is>
          <t>91856</t>
        </is>
      </c>
      <c r="C319" s="9" t="inlineStr">
        <is>
          <t>ELETRODUTO FLEXÍVEL CORRUGADO, PVC, DN 32 MM (1"), PARA CIRCUITOS TERMINAIS, INSTALADO EM PAREDE - FORNECIMENTO E INSTALAÇÃO.AF_03/2023</t>
        </is>
      </c>
      <c r="D319" s="8" t="inlineStr">
        <is>
          <t>SINAPI</t>
        </is>
      </c>
      <c r="E319" s="8" t="inlineStr">
        <is>
          <t>M</t>
        </is>
      </c>
      <c r="F319" s="58" t="n">
        <v>180.9</v>
      </c>
      <c r="G319" s="59">
        <f>COMPOSICOES!G3033</f>
        <v/>
      </c>
      <c r="H319" s="60">
        <f>ROUND(ROUND(F319,2)*ROUND(G319,2),2)</f>
        <v/>
      </c>
      <c r="K319" t="n">
        <v>12.65</v>
      </c>
      <c r="L319">
        <f>G319-K319</f>
        <v/>
      </c>
    </row>
    <row r="320" ht="24" customHeight="1">
      <c r="A320" s="7" t="inlineStr">
        <is>
          <t>9.3.1.3</t>
        </is>
      </c>
      <c r="B320" s="8" t="inlineStr">
        <is>
          <t>91860</t>
        </is>
      </c>
      <c r="C320" s="9" t="inlineStr">
        <is>
          <t>ELETRODUTO FLEXÍVEL CORRUGADO, PEAD, DN 40 MM (1 1/4"), PARA CIRCUITOS TERMINAIS, INSTALADO EM PAREDE - FORNECIMENTO E INSTALAÇÃO.AF_03/2023</t>
        </is>
      </c>
      <c r="D320" s="8" t="inlineStr">
        <is>
          <t>SINAPI</t>
        </is>
      </c>
      <c r="E320" s="8" t="inlineStr">
        <is>
          <t>M</t>
        </is>
      </c>
      <c r="F320" s="58" t="n">
        <v>23.9</v>
      </c>
      <c r="G320" s="59">
        <f>COMPOSICOES!G3045</f>
        <v/>
      </c>
      <c r="H320" s="60">
        <f>ROUND(ROUND(F320,2)*ROUND(G320,2),2)</f>
        <v/>
      </c>
      <c r="K320" t="n">
        <v>13.13</v>
      </c>
      <c r="L320">
        <f>G320-K320</f>
        <v/>
      </c>
    </row>
    <row r="321" ht="24" customHeight="1">
      <c r="A321" s="7" t="inlineStr">
        <is>
          <t>9.3.1.4</t>
        </is>
      </c>
      <c r="B321" s="8" t="inlineStr">
        <is>
          <t>97668</t>
        </is>
      </c>
      <c r="C321" s="9" t="inlineStr">
        <is>
          <t>ELETRODUTO FLEXÍVEL CORRUGADO, PEAD, DN 63 (2"), PARA REDE ENTERRADA DE DISTRIBUIÇÃO DE ENERGIA ELÉTRICA - FORNECIMENTO E INSTALAÇÃO.AF_12/2021</t>
        </is>
      </c>
      <c r="D321" s="8" t="inlineStr">
        <is>
          <t>SINAPI</t>
        </is>
      </c>
      <c r="E321" s="8" t="inlineStr">
        <is>
          <t>M</t>
        </is>
      </c>
      <c r="F321" s="58" t="n">
        <v>31.3</v>
      </c>
      <c r="G321" s="59">
        <f>COMPOSICOES!G3057</f>
        <v/>
      </c>
      <c r="H321" s="60">
        <f>ROUND(ROUND(F321,2)*ROUND(G321,2),2)</f>
        <v/>
      </c>
      <c r="K321" t="n">
        <v>12.1</v>
      </c>
      <c r="L321">
        <f>G321-K321</f>
        <v/>
      </c>
    </row>
    <row r="322" ht="20" customHeight="1">
      <c r="A322" s="5" t="inlineStr">
        <is>
          <t>9.3.2</t>
        </is>
      </c>
      <c r="B322" s="5" t="inlineStr">
        <is>
          <t>ELETRODUTO PVC FLEXÍVEL (CONEXÕES - LUVAS)</t>
        </is>
      </c>
      <c r="C322" s="55" t="n"/>
      <c r="D322" s="55" t="n"/>
      <c r="E322" s="55" t="n"/>
      <c r="F322" s="55" t="n"/>
      <c r="G322" s="56" t="n"/>
      <c r="H322" s="57">
        <f>ROUND(SUM(H323:H323),2)</f>
        <v/>
      </c>
    </row>
    <row r="323" ht="20" customHeight="1">
      <c r="A323" s="7" t="inlineStr">
        <is>
          <t>9.3.2.1</t>
        </is>
      </c>
      <c r="B323" s="8" t="inlineStr">
        <is>
          <t>463
PRÓPRIO</t>
        </is>
      </c>
      <c r="C323" s="9" t="inlineStr">
        <is>
          <t>LUVA DE PRESSÃO PARA ELETRODUTO FLEXÍVEL CORRUGADO - 25MM (3/4")</t>
        </is>
      </c>
      <c r="D323" s="8" t="inlineStr">
        <is>
          <t xml:space="preserve">Composiçõ es
</t>
        </is>
      </c>
      <c r="E323" s="8" t="inlineStr">
        <is>
          <t>UN</t>
        </is>
      </c>
      <c r="F323" s="58" t="n">
        <v>18</v>
      </c>
      <c r="G323" s="59">
        <f>COMPOSICOES!G3069</f>
        <v/>
      </c>
      <c r="H323" s="60">
        <f>ROUND(ROUND(F323,2)*ROUND(G323,2),2)</f>
        <v/>
      </c>
      <c r="K323" t="n">
        <v>3.54</v>
      </c>
      <c r="L323">
        <f>G323-K323</f>
        <v/>
      </c>
    </row>
    <row r="324" ht="20" customHeight="1">
      <c r="A324" s="5" t="inlineStr">
        <is>
          <t>9.4</t>
        </is>
      </c>
      <c r="B324" s="5" t="inlineStr">
        <is>
          <t>DISTRIBUIÇÃO (ELETRODUTO PVC RÍGIDO)</t>
        </is>
      </c>
      <c r="C324" s="55" t="n"/>
      <c r="D324" s="55" t="n"/>
      <c r="E324" s="55" t="n"/>
      <c r="F324" s="55" t="n"/>
      <c r="G324" s="56" t="n"/>
      <c r="H324" s="57">
        <f>ROUND(H325+H328+H332,2)</f>
        <v/>
      </c>
    </row>
    <row r="325" ht="20" customHeight="1">
      <c r="A325" s="5" t="inlineStr">
        <is>
          <t>9.4.1</t>
        </is>
      </c>
      <c r="B325" s="5" t="inlineStr">
        <is>
          <t>ELETRODUTO PVC RÍGIDO</t>
        </is>
      </c>
      <c r="C325" s="55" t="n"/>
      <c r="D325" s="55" t="n"/>
      <c r="E325" s="55" t="n"/>
      <c r="F325" s="55" t="n"/>
      <c r="G325" s="56" t="n"/>
      <c r="H325" s="57">
        <f>ROUND(SUM(H326:H327),2)</f>
        <v/>
      </c>
    </row>
    <row r="326" ht="24" customHeight="1">
      <c r="A326" s="7" t="inlineStr">
        <is>
          <t>9.4.1.1</t>
        </is>
      </c>
      <c r="B326" s="8" t="inlineStr">
        <is>
          <t>91870</t>
        </is>
      </c>
      <c r="C326" s="9" t="inlineStr">
        <is>
          <t>ELETRODUTO RÍGIDO ROSCÁVEL, PVC, DN 20 MM (1/2"), PARA CIRCUITOS TERMINAIS, INSTALADO EM PAREDE - FORNECIMENTOE INSTALAÇÃO. AF_03/2023</t>
        </is>
      </c>
      <c r="D326" s="8" t="inlineStr">
        <is>
          <t>SINAPI</t>
        </is>
      </c>
      <c r="E326" s="8" t="inlineStr">
        <is>
          <t>M</t>
        </is>
      </c>
      <c r="F326" s="58" t="n">
        <v>4</v>
      </c>
      <c r="G326" s="59">
        <f>COMPOSICOES!G3081</f>
        <v/>
      </c>
      <c r="H326" s="60">
        <f>ROUND(ROUND(F326,2)*ROUND(G326,2),2)</f>
        <v/>
      </c>
      <c r="K326" t="n">
        <v>12.98</v>
      </c>
      <c r="L326">
        <f>G326-K326</f>
        <v/>
      </c>
    </row>
    <row r="327" ht="24" customHeight="1">
      <c r="A327" s="7" t="inlineStr">
        <is>
          <t>9.4.1.2</t>
        </is>
      </c>
      <c r="B327" s="8" t="inlineStr">
        <is>
          <t>91871</t>
        </is>
      </c>
      <c r="C327" s="9" t="inlineStr">
        <is>
          <t>ELETRODUTO RÍGIDO ROSCÁVEL, PVC, DN 25 MM (3/4"), PARA CIRCUITOS TERMINAIS, INSTALADO EM PAREDE - FORNECIMENTOE INSTALAÇÃO. AF_03/2023</t>
        </is>
      </c>
      <c r="D327" s="8" t="inlineStr">
        <is>
          <t>SINAPI</t>
        </is>
      </c>
      <c r="E327" s="8" t="inlineStr">
        <is>
          <t>M</t>
        </is>
      </c>
      <c r="F327" s="58" t="n">
        <v>1</v>
      </c>
      <c r="G327" s="59">
        <f>COMPOSICOES!G3093</f>
        <v/>
      </c>
      <c r="H327" s="60">
        <f>ROUND(ROUND(F327,2)*ROUND(G327,2),2)</f>
        <v/>
      </c>
      <c r="K327" t="n">
        <v>14.69</v>
      </c>
      <c r="L327">
        <f>G327-K327</f>
        <v/>
      </c>
    </row>
    <row r="328" ht="20" customHeight="1">
      <c r="A328" s="5" t="inlineStr">
        <is>
          <t>9.4.2</t>
        </is>
      </c>
      <c r="B328" s="5" t="inlineStr">
        <is>
          <t>ELETRODUTO PVC RÍGIDO (CONEXÕES - CURVAS)</t>
        </is>
      </c>
      <c r="C328" s="55" t="n"/>
      <c r="D328" s="55" t="n"/>
      <c r="E328" s="55" t="n"/>
      <c r="F328" s="55" t="n"/>
      <c r="G328" s="56" t="n"/>
      <c r="H328" s="57">
        <f>ROUND(SUM(H329:H331),2)</f>
        <v/>
      </c>
    </row>
    <row r="329" ht="24" customHeight="1">
      <c r="A329" s="7" t="inlineStr">
        <is>
          <t>9.4.2.1</t>
        </is>
      </c>
      <c r="B329" s="8" t="inlineStr">
        <is>
          <t>91911</t>
        </is>
      </c>
      <c r="C329" s="9" t="inlineStr">
        <is>
          <t>CURVA 90 GRAUS PARA ELETRODUTO, PVC, ROSCÁVEL, DN 20 MM (1/2"), PARA CIRCUITOS TERMINAIS, INSTALADA EM PAREDE - FORNECIMENTO E INSTALAÇÃO.AF_03/2023</t>
        </is>
      </c>
      <c r="D329" s="8" t="inlineStr">
        <is>
          <t>SINAPI</t>
        </is>
      </c>
      <c r="E329" s="8" t="inlineStr">
        <is>
          <t>UN</t>
        </is>
      </c>
      <c r="F329" s="58" t="n">
        <v>2</v>
      </c>
      <c r="G329" s="59">
        <f>COMPOSICOES!G3105</f>
        <v/>
      </c>
      <c r="H329" s="60">
        <f>ROUND(ROUND(F329,2)*ROUND(G329,2),2)</f>
        <v/>
      </c>
      <c r="K329" t="n">
        <v>17.31</v>
      </c>
      <c r="L329">
        <f>G329-K329</f>
        <v/>
      </c>
    </row>
    <row r="330" ht="32" customHeight="1">
      <c r="A330" s="7" t="inlineStr">
        <is>
          <t>9.4.2.2</t>
        </is>
      </c>
      <c r="B330" s="8" t="inlineStr">
        <is>
          <t>91922</t>
        </is>
      </c>
      <c r="C330" s="9" t="inlineStr">
        <is>
          <t>CURVA 180 GRAUS PARA ELETRODUTO, PVC, ROSCÁVEL, DN 40 MM (1 1/4"), PARA CIRCUITOS TERMINAIS, INSTALADA EM PAREDE - FORNECIMENTO E INSTALAÇÃO.AF_03/2023</t>
        </is>
      </c>
      <c r="D330" s="8" t="inlineStr">
        <is>
          <t>SINAPI</t>
        </is>
      </c>
      <c r="E330" s="8" t="inlineStr">
        <is>
          <t>UN</t>
        </is>
      </c>
      <c r="F330" s="58" t="n">
        <v>2</v>
      </c>
      <c r="G330" s="59">
        <f>COMPOSICOES!G3117</f>
        <v/>
      </c>
      <c r="H330" s="60">
        <f>ROUND(ROUND(F330,2)*ROUND(G330,2),2)</f>
        <v/>
      </c>
      <c r="K330" t="n">
        <v>25.64</v>
      </c>
      <c r="L330">
        <f>G330-K330</f>
        <v/>
      </c>
    </row>
    <row r="331" ht="24" customHeight="1">
      <c r="A331" s="7" t="inlineStr">
        <is>
          <t>9.4.2.3</t>
        </is>
      </c>
      <c r="B331" s="8" t="inlineStr">
        <is>
          <t>459
PRÓPRIO</t>
        </is>
      </c>
      <c r="C331" s="9" t="inlineStr">
        <is>
          <t>CURVA 45 GRAUS PARA ELETRODUTO, PVC, ROSCÁVEL, DN 40MM (1 1/4"), PARA CIRCUITOS TERMINAIS, INSTALADA EMPAREDE - FORNECIMENTO E INSTALAÇÃO</t>
        </is>
      </c>
      <c r="D331" s="8" t="inlineStr">
        <is>
          <t>Composiçõ es Próprias</t>
        </is>
      </c>
      <c r="E331" s="8" t="inlineStr">
        <is>
          <t>UN</t>
        </is>
      </c>
      <c r="F331" s="58" t="n">
        <v>4</v>
      </c>
      <c r="G331" s="59">
        <f>COMPOSICOES!G3129</f>
        <v/>
      </c>
      <c r="H331" s="60">
        <f>ROUND(ROUND(F331,2)*ROUND(G331,2),2)</f>
        <v/>
      </c>
      <c r="K331" t="n">
        <v>24.04</v>
      </c>
      <c r="L331">
        <f>G331-K331</f>
        <v/>
      </c>
    </row>
    <row r="332" ht="20" customHeight="1">
      <c r="A332" s="5" t="inlineStr">
        <is>
          <t>9.4.3</t>
        </is>
      </c>
      <c r="B332" s="5" t="inlineStr">
        <is>
          <t>ELETRODUTO PVC RÍGIDO (CONEXÕES - LUVAS)</t>
        </is>
      </c>
      <c r="C332" s="55" t="n"/>
      <c r="D332" s="55" t="n"/>
      <c r="E332" s="55" t="n"/>
      <c r="F332" s="55" t="n"/>
      <c r="G332" s="56" t="n"/>
      <c r="H332" s="57">
        <f>ROUND(SUM(H333:H334),2)</f>
        <v/>
      </c>
    </row>
    <row r="333" ht="24" customHeight="1">
      <c r="A333" s="7" t="inlineStr">
        <is>
          <t>9.4.3.1</t>
        </is>
      </c>
      <c r="B333" s="8" t="inlineStr">
        <is>
          <t>91882</t>
        </is>
      </c>
      <c r="C333" s="9" t="inlineStr">
        <is>
          <t>LUVA PARA ELETRODUTO, PVC, ROSCÁVEL, DN 20 MM (1/2"), PARA CIRCUITOS TERMINAIS, INSTALADA EM PAREDE - FORNECIMENTO E INSTALAÇÃO.AF_03/2023</t>
        </is>
      </c>
      <c r="D333" s="8" t="inlineStr">
        <is>
          <t>SINAPI</t>
        </is>
      </c>
      <c r="E333" s="8" t="inlineStr">
        <is>
          <t>UN</t>
        </is>
      </c>
      <c r="F333" s="58" t="n">
        <v>2</v>
      </c>
      <c r="G333" s="59">
        <f>COMPOSICOES!G3141</f>
        <v/>
      </c>
      <c r="H333" s="60">
        <f>ROUND(ROUND(F333,2)*ROUND(G333,2),2)</f>
        <v/>
      </c>
      <c r="K333" t="n">
        <v>10.76</v>
      </c>
      <c r="L333">
        <f>G333-K333</f>
        <v/>
      </c>
    </row>
    <row r="334" ht="24" customHeight="1">
      <c r="A334" s="7" t="inlineStr">
        <is>
          <t>9.4.3.2</t>
        </is>
      </c>
      <c r="B334" s="8" t="inlineStr">
        <is>
          <t>91886</t>
        </is>
      </c>
      <c r="C334" s="9" t="inlineStr">
        <is>
          <t>LUVA PARA ELETRODUTO, PVC, ROSCÁVEL, DN 40 MM (1 1/4"), PARA CIRCUITOS TERMINAIS, INSTALADA EM PAREDE - FORNECIMENTO E INSTALAÇÃO.AF_03/2023</t>
        </is>
      </c>
      <c r="D334" s="8" t="inlineStr">
        <is>
          <t>SINAPI</t>
        </is>
      </c>
      <c r="E334" s="8" t="inlineStr">
        <is>
          <t>UN</t>
        </is>
      </c>
      <c r="F334" s="58" t="n">
        <v>2</v>
      </c>
      <c r="G334" s="59">
        <f>COMPOSICOES!G3153</f>
        <v/>
      </c>
      <c r="H334" s="60">
        <f>ROUND(ROUND(F334,2)*ROUND(G334,2),2)</f>
        <v/>
      </c>
      <c r="K334" t="n">
        <v>15.64</v>
      </c>
      <c r="L334">
        <f>G334-K334</f>
        <v/>
      </c>
    </row>
    <row r="335" ht="20" customHeight="1">
      <c r="A335" s="5" t="inlineStr">
        <is>
          <t>9.5</t>
        </is>
      </c>
      <c r="B335" s="5" t="inlineStr">
        <is>
          <t>DISTRIBUIÇÃO (ELETRODUTO AÇO GALVANIZADO)</t>
        </is>
      </c>
      <c r="C335" s="55" t="n"/>
      <c r="D335" s="55" t="n"/>
      <c r="E335" s="55" t="n"/>
      <c r="F335" s="55" t="n"/>
      <c r="G335" s="56" t="n"/>
      <c r="H335" s="57">
        <f>ROUND(H336+H340+H344+H348,2)</f>
        <v/>
      </c>
    </row>
    <row r="336" ht="20" customHeight="1">
      <c r="A336" s="5" t="inlineStr">
        <is>
          <t>9.5.1</t>
        </is>
      </c>
      <c r="B336" s="5" t="inlineStr">
        <is>
          <t>ELETRODUTO AÇO GALVANIZADO</t>
        </is>
      </c>
      <c r="C336" s="55" t="n"/>
      <c r="D336" s="55" t="n"/>
      <c r="E336" s="55" t="n"/>
      <c r="F336" s="55" t="n"/>
      <c r="G336" s="56" t="n"/>
      <c r="H336" s="57">
        <f>ROUND(SUM(H337:H339),2)</f>
        <v/>
      </c>
    </row>
    <row r="337" ht="20" customHeight="1">
      <c r="A337" s="7" t="inlineStr">
        <is>
          <t>9.5.1.1</t>
        </is>
      </c>
      <c r="B337" s="8" t="inlineStr">
        <is>
          <t>388
PRÓPRIO</t>
        </is>
      </c>
      <c r="C337" s="9" t="inlineStr">
        <is>
          <t>ELETRODUTO DE AÇO GALVANIZADO LEVE, INCLUSIVE CONEXÕES, SUPORTES EFIXAÇÃO DN 20 (3/4")</t>
        </is>
      </c>
      <c r="D337" s="8" t="inlineStr">
        <is>
          <t xml:space="preserve">Composiçõ es
</t>
        </is>
      </c>
      <c r="E337" s="8" t="inlineStr">
        <is>
          <t>M</t>
        </is>
      </c>
      <c r="F337" s="58" t="n">
        <v>44.2</v>
      </c>
      <c r="G337" s="59">
        <f>COMPOSICOES!G3165</f>
        <v/>
      </c>
      <c r="H337" s="60">
        <f>ROUND(ROUND(F337,2)*ROUND(G337,2),2)</f>
        <v/>
      </c>
      <c r="K337" t="n">
        <v>25.48</v>
      </c>
      <c r="L337">
        <f>G337-K337</f>
        <v/>
      </c>
    </row>
    <row r="338" ht="20" customHeight="1">
      <c r="A338" s="7" t="inlineStr">
        <is>
          <t>9.5.1.2</t>
        </is>
      </c>
      <c r="B338" s="8" t="inlineStr">
        <is>
          <t>389 PRÓPRIO</t>
        </is>
      </c>
      <c r="C338" s="9" t="inlineStr">
        <is>
          <t>ELETRODUTO DE AÇO GALVANIZADO LEVE, INCLUSIVE CONEXÕES, SUPORTES EFIXAÇÃO DN 25 (1")</t>
        </is>
      </c>
      <c r="D338" s="8" t="inlineStr">
        <is>
          <t>Composições  Próprias</t>
        </is>
      </c>
      <c r="E338" s="8" t="inlineStr">
        <is>
          <t>M</t>
        </is>
      </c>
      <c r="F338" s="58" t="n">
        <v>35.9</v>
      </c>
      <c r="G338" s="59">
        <f>COMPOSICOES!G3177</f>
        <v/>
      </c>
      <c r="H338" s="60">
        <f>ROUND(ROUND(F338,2)*ROUND(G338,2),2)</f>
        <v/>
      </c>
      <c r="K338" t="n">
        <v>36.97</v>
      </c>
      <c r="L338">
        <f>G338-K338</f>
        <v/>
      </c>
    </row>
    <row r="339" ht="20" customHeight="1">
      <c r="A339" s="7" t="inlineStr">
        <is>
          <t>9.5.1.3</t>
        </is>
      </c>
      <c r="B339" s="8" t="inlineStr">
        <is>
          <t>390
PRÓPRIO</t>
        </is>
      </c>
      <c r="C339" s="9" t="inlineStr">
        <is>
          <t>ELETRODUTO DE AÇO GALVANIZADO MÉDIO, INCLUSIVE CONEXÕES, SUPORTESE FIXAÇÃO DN 32 (1.1/4")</t>
        </is>
      </c>
      <c r="D339" s="8" t="inlineStr">
        <is>
          <t xml:space="preserve">Composiçõ es
</t>
        </is>
      </c>
      <c r="E339" s="8" t="inlineStr">
        <is>
          <t>M</t>
        </is>
      </c>
      <c r="F339" s="58" t="n">
        <v>5</v>
      </c>
      <c r="G339" s="59">
        <f>COMPOSICOES!G3189</f>
        <v/>
      </c>
      <c r="H339" s="60">
        <f>ROUND(ROUND(F339,2)*ROUND(G339,2),2)</f>
        <v/>
      </c>
      <c r="K339" t="n">
        <v>56.4</v>
      </c>
      <c r="L339">
        <f>G339-K339</f>
        <v/>
      </c>
    </row>
    <row r="340" ht="20" customHeight="1">
      <c r="A340" s="5" t="inlineStr">
        <is>
          <t>9.5.2</t>
        </is>
      </c>
      <c r="B340" s="5" t="inlineStr">
        <is>
          <t>ELETRODUTO AÇO GALVANIZADO (CONEXÕES - CURVAS)</t>
        </is>
      </c>
      <c r="C340" s="55" t="n"/>
      <c r="D340" s="55" t="n"/>
      <c r="E340" s="55" t="n"/>
      <c r="F340" s="55" t="n"/>
      <c r="G340" s="56" t="n"/>
      <c r="H340" s="57">
        <f>ROUND(SUM(H341:H343),2)</f>
        <v/>
      </c>
    </row>
    <row r="341" ht="20" customHeight="1">
      <c r="A341" s="7" t="inlineStr">
        <is>
          <t>9.5.2.1</t>
        </is>
      </c>
      <c r="B341" s="8" t="inlineStr">
        <is>
          <t>460
PRÓPRIO</t>
        </is>
      </c>
      <c r="C341" s="9" t="inlineStr">
        <is>
          <t>CURVA 90 GRAUS PARA ELETRODUTO AÇO GALVANIZADO DN 20MM (3/4")</t>
        </is>
      </c>
      <c r="D341" s="8" t="inlineStr">
        <is>
          <t xml:space="preserve">Composiçõ es
</t>
        </is>
      </c>
      <c r="E341" s="8" t="inlineStr">
        <is>
          <t>UN</t>
        </is>
      </c>
      <c r="F341" s="58" t="n">
        <v>4</v>
      </c>
      <c r="G341" s="59">
        <f>COMPOSICOES!G3202</f>
        <v/>
      </c>
      <c r="H341" s="60">
        <f>ROUND(ROUND(F341,2)*ROUND(G341,2),2)</f>
        <v/>
      </c>
      <c r="K341" t="n">
        <v>20.45</v>
      </c>
      <c r="L341">
        <f>G341-K341</f>
        <v/>
      </c>
    </row>
    <row r="342" ht="20" customHeight="1">
      <c r="A342" s="7" t="inlineStr">
        <is>
          <t>9.5.2.2</t>
        </is>
      </c>
      <c r="B342" s="8" t="inlineStr">
        <is>
          <t>461
PRÓPRIO</t>
        </is>
      </c>
      <c r="C342" s="9" t="inlineStr">
        <is>
          <t>CURVA 90 GRAUS PARA ELETRODUTO AÇO GALVANIZADO DN 25MM (1")</t>
        </is>
      </c>
      <c r="D342" s="8" t="inlineStr">
        <is>
          <t xml:space="preserve">Composiçõ es
</t>
        </is>
      </c>
      <c r="E342" s="8" t="inlineStr">
        <is>
          <t>UN</t>
        </is>
      </c>
      <c r="F342" s="58" t="n">
        <v>6</v>
      </c>
      <c r="G342" s="59">
        <f>COMPOSICOES!G3215</f>
        <v/>
      </c>
      <c r="H342" s="60">
        <f>ROUND(ROUND(F342,2)*ROUND(G342,2),2)</f>
        <v/>
      </c>
      <c r="K342" t="n">
        <v>25.99</v>
      </c>
      <c r="L342">
        <f>G342-K342</f>
        <v/>
      </c>
    </row>
    <row r="343" ht="20" customHeight="1">
      <c r="A343" s="7" t="inlineStr">
        <is>
          <t>9.5.2.3</t>
        </is>
      </c>
      <c r="B343" s="8" t="inlineStr">
        <is>
          <t>462
PRÓPRIO</t>
        </is>
      </c>
      <c r="C343" s="9" t="inlineStr">
        <is>
          <t>CURVA 90 GRAUS PARA ELETRODUTO AÇO GALVANIZADO DN 32MM (1.1/4")</t>
        </is>
      </c>
      <c r="D343" s="8" t="inlineStr">
        <is>
          <t xml:space="preserve">Composiçõ es
</t>
        </is>
      </c>
      <c r="E343" s="8" t="inlineStr">
        <is>
          <t>UN</t>
        </is>
      </c>
      <c r="F343" s="58" t="n">
        <v>1</v>
      </c>
      <c r="G343" s="59">
        <f>COMPOSICOES!G3228</f>
        <v/>
      </c>
      <c r="H343" s="60">
        <f>ROUND(ROUND(F343,2)*ROUND(G343,2),2)</f>
        <v/>
      </c>
      <c r="K343" t="n">
        <v>38.7</v>
      </c>
      <c r="L343">
        <f>G343-K343</f>
        <v/>
      </c>
    </row>
    <row r="344" ht="20" customHeight="1">
      <c r="A344" s="5" t="inlineStr">
        <is>
          <t>9.5.3</t>
        </is>
      </c>
      <c r="B344" s="5" t="inlineStr">
        <is>
          <t>ELETRODUTO AÇO GALVANIZADO (CONEXÕES - LUVAS)</t>
        </is>
      </c>
      <c r="C344" s="55" t="n"/>
      <c r="D344" s="55" t="n"/>
      <c r="E344" s="55" t="n"/>
      <c r="F344" s="55" t="n"/>
      <c r="G344" s="56" t="n"/>
      <c r="H344" s="57">
        <f>ROUND(SUM(H345:H347),2)</f>
        <v/>
      </c>
    </row>
    <row r="345" ht="20" customHeight="1">
      <c r="A345" s="7" t="inlineStr">
        <is>
          <t>9.5.3.1</t>
        </is>
      </c>
      <c r="B345" s="8" t="inlineStr">
        <is>
          <t>465
PRÓPRIO</t>
        </is>
      </c>
      <c r="C345" s="9" t="inlineStr">
        <is>
          <t>LUVA DE EMENDA PARA ELETRODUTO, AÇO GALVANIZADO 25MM (1'') -FORNECIMENTO E INSTALAÇÃO</t>
        </is>
      </c>
      <c r="D345" s="8" t="inlineStr">
        <is>
          <t xml:space="preserve">Composiçõ es
</t>
        </is>
      </c>
      <c r="E345" s="8" t="inlineStr">
        <is>
          <t>UN</t>
        </is>
      </c>
      <c r="F345" s="58" t="n">
        <v>21</v>
      </c>
      <c r="G345" s="59">
        <f>COMPOSICOES!G3240</f>
        <v/>
      </c>
      <c r="H345" s="60">
        <f>ROUND(ROUND(F345,2)*ROUND(G345,2),2)</f>
        <v/>
      </c>
      <c r="K345" t="n">
        <v>12.88</v>
      </c>
      <c r="L345">
        <f>G345-K345</f>
        <v/>
      </c>
    </row>
    <row r="346" ht="24" customHeight="1">
      <c r="A346" s="7" t="inlineStr">
        <is>
          <t>9.5.3.2</t>
        </is>
      </c>
      <c r="B346" s="8" t="inlineStr">
        <is>
          <t>466
PRÓPRIO</t>
        </is>
      </c>
      <c r="C346" s="9" t="inlineStr">
        <is>
          <t>LUVA DE EMENDA PARA ELETRODUTO, AÇO GALVANIZADO 32MM (1 1/4'') -FORNECIMENTO E INSTALAÇÃO</t>
        </is>
      </c>
      <c r="D346" s="8" t="inlineStr">
        <is>
          <t xml:space="preserve">Composiçõ es
</t>
        </is>
      </c>
      <c r="E346" s="8" t="inlineStr">
        <is>
          <t>UN</t>
        </is>
      </c>
      <c r="F346" s="58" t="n">
        <v>12</v>
      </c>
      <c r="G346" s="59">
        <f>COMPOSICOES!G3252</f>
        <v/>
      </c>
      <c r="H346" s="60">
        <f>ROUND(ROUND(F346,2)*ROUND(G346,2),2)</f>
        <v/>
      </c>
      <c r="K346" t="n">
        <v>15.84</v>
      </c>
      <c r="L346">
        <f>G346-K346</f>
        <v/>
      </c>
    </row>
    <row r="347" ht="24" customHeight="1">
      <c r="A347" s="7" t="inlineStr">
        <is>
          <t>9.5.3.3</t>
        </is>
      </c>
      <c r="B347" s="8" t="inlineStr">
        <is>
          <t>467
PRÓPRIO</t>
        </is>
      </c>
      <c r="C347" s="9" t="inlineStr">
        <is>
          <t>LUVA DE EMENDA PARA ELETRODUTO, AÇO GALVANIZADO 40MM (1 1/2'') -FORNECIMENTO E INSTALAÇÃO</t>
        </is>
      </c>
      <c r="D347" s="8" t="inlineStr">
        <is>
          <t xml:space="preserve">Composiçõ es
</t>
        </is>
      </c>
      <c r="E347" s="8" t="inlineStr">
        <is>
          <t>UN</t>
        </is>
      </c>
      <c r="F347" s="58" t="n">
        <v>2</v>
      </c>
      <c r="G347" s="59">
        <f>COMPOSICOES!G3264</f>
        <v/>
      </c>
      <c r="H347" s="60">
        <f>ROUND(ROUND(F347,2)*ROUND(G347,2),2)</f>
        <v/>
      </c>
      <c r="K347" t="n">
        <v>19.04</v>
      </c>
      <c r="L347">
        <f>G347-K347</f>
        <v/>
      </c>
    </row>
    <row r="348" ht="20" customHeight="1">
      <c r="A348" s="5" t="inlineStr">
        <is>
          <t>9.5.4</t>
        </is>
      </c>
      <c r="B348" s="5" t="inlineStr">
        <is>
          <t>ELETRODUTO AÇO GALVANIZADO (ACESSÓRIOS - BRAÇADEIRAS)</t>
        </is>
      </c>
      <c r="C348" s="55" t="n"/>
      <c r="D348" s="55" t="n"/>
      <c r="E348" s="55" t="n"/>
      <c r="F348" s="55" t="n"/>
      <c r="G348" s="56" t="n"/>
      <c r="H348" s="57">
        <f>ROUND(SUM(H349:H349),2)</f>
        <v/>
      </c>
    </row>
    <row r="349" ht="32" customHeight="1">
      <c r="A349" s="7" t="inlineStr">
        <is>
          <t>9.5.4.1</t>
        </is>
      </c>
      <c r="B349" s="8" t="inlineStr">
        <is>
          <t>104785</t>
        </is>
      </c>
      <c r="C349" s="9" t="inlineStr">
        <is>
          <t>FIXAÇÃO DE ELETRODUTOS, DIÂMETROS MENORES OU IGUAIS A 40 MM, COM ABRAÇADEIRA METÁLICA RÍGIDA TIPO D COM PARAFUSO DE FIXAÇÃO 1 1/4", FIXADA DIRETAMENTE NA LAJE OU PAREDE.AF_09/2023</t>
        </is>
      </c>
      <c r="D349" s="8" t="inlineStr">
        <is>
          <t>SINAPI</t>
        </is>
      </c>
      <c r="E349" s="8" t="inlineStr">
        <is>
          <t>M</t>
        </is>
      </c>
      <c r="F349" s="58" t="n">
        <v>98</v>
      </c>
      <c r="G349" s="59">
        <f>COMPOSICOES!G3277</f>
        <v/>
      </c>
      <c r="H349" s="60">
        <f>ROUND(ROUND(F349,2)*ROUND(G349,2),2)</f>
        <v/>
      </c>
      <c r="K349" t="n">
        <v>17.29</v>
      </c>
      <c r="L349">
        <f>G349-K349</f>
        <v/>
      </c>
    </row>
    <row r="350" ht="20" customHeight="1">
      <c r="A350" s="5" t="inlineStr">
        <is>
          <t>9.6</t>
        </is>
      </c>
      <c r="B350" s="5" t="inlineStr">
        <is>
          <t>DISTRIBUIÇÃO (ELETROCALHAS)</t>
        </is>
      </c>
      <c r="C350" s="55" t="n"/>
      <c r="D350" s="55" t="n"/>
      <c r="E350" s="55" t="n"/>
      <c r="F350" s="55" t="n"/>
      <c r="G350" s="56" t="n"/>
      <c r="H350" s="57">
        <f>ROUND(H351,2)</f>
        <v/>
      </c>
    </row>
    <row r="351" ht="20" customHeight="1">
      <c r="A351" s="5" t="inlineStr">
        <is>
          <t>9.6.1</t>
        </is>
      </c>
      <c r="B351" s="5" t="inlineStr">
        <is>
          <t>PERFILADOS</t>
        </is>
      </c>
      <c r="C351" s="55" t="n"/>
      <c r="D351" s="55" t="n"/>
      <c r="E351" s="55" t="n"/>
      <c r="F351" s="55" t="n"/>
      <c r="G351" s="56" t="n"/>
      <c r="H351" s="57">
        <f>ROUND(SUM(H352:H355),2)</f>
        <v/>
      </c>
    </row>
    <row r="352" ht="20" customHeight="1">
      <c r="A352" s="7" t="inlineStr">
        <is>
          <t>9.6.1.1</t>
        </is>
      </c>
      <c r="B352" s="8" t="inlineStr">
        <is>
          <t>C1165</t>
        </is>
      </c>
      <c r="C352" s="9" t="inlineStr">
        <is>
          <t>DUTO PERFURADO - PERFILADOS CHAPADE AÇO (38X38)mm</t>
        </is>
      </c>
      <c r="D352" s="8" t="inlineStr">
        <is>
          <t>SEINFRA</t>
        </is>
      </c>
      <c r="E352" s="8" t="inlineStr">
        <is>
          <t>M</t>
        </is>
      </c>
      <c r="F352" s="58" t="n">
        <v>227.65</v>
      </c>
      <c r="G352" s="59">
        <f>COMPOSICOES!G3289</f>
        <v/>
      </c>
      <c r="H352" s="60">
        <f>ROUND(ROUND(F352,2)*ROUND(G352,2),2)</f>
        <v/>
      </c>
      <c r="K352" t="n">
        <v>54.9</v>
      </c>
      <c r="L352">
        <f>G352-K352</f>
        <v/>
      </c>
    </row>
    <row r="353" ht="20" customHeight="1">
      <c r="A353" s="7" t="inlineStr">
        <is>
          <t>9.6.1.2</t>
        </is>
      </c>
      <c r="B353" s="8" t="inlineStr">
        <is>
          <t>SOP0204</t>
        </is>
      </c>
      <c r="C353" s="9" t="inlineStr">
        <is>
          <t>SISTEMA DE FIXAÇÃO PARA PERFILADO</t>
        </is>
      </c>
      <c r="D353" s="8" t="inlineStr">
        <is>
          <t xml:space="preserve">Composiçõ es
</t>
        </is>
      </c>
      <c r="E353" s="8" t="inlineStr">
        <is>
          <t>UN</t>
        </is>
      </c>
      <c r="F353" s="58" t="n">
        <v>152</v>
      </c>
      <c r="G353" s="59">
        <f>COMPOSICOES!G3304</f>
        <v/>
      </c>
      <c r="H353" s="60">
        <f>ROUND(ROUND(F353,2)*ROUND(G353,2),2)</f>
        <v/>
      </c>
      <c r="K353" t="n">
        <v>23.69</v>
      </c>
      <c r="L353">
        <f>G353-K353</f>
        <v/>
      </c>
    </row>
    <row r="354" ht="20" customHeight="1">
      <c r="A354" s="7" t="inlineStr">
        <is>
          <t>9.6.1.3</t>
        </is>
      </c>
      <c r="B354" s="8" t="inlineStr">
        <is>
          <t>SOP2754</t>
        </is>
      </c>
      <c r="C354" s="9" t="inlineStr">
        <is>
          <t>JUNÇÃO INTERNA TIPO "T" PARA PERFILADO (REF.: MOPA OU SIMILAR)</t>
        </is>
      </c>
      <c r="D354" s="8" t="inlineStr">
        <is>
          <t xml:space="preserve">Composiçõ es
</t>
        </is>
      </c>
      <c r="E354" s="8" t="inlineStr">
        <is>
          <t>UN</t>
        </is>
      </c>
      <c r="F354" s="58" t="n">
        <v>38</v>
      </c>
      <c r="G354" s="59">
        <f>COMPOSICOES!G3316</f>
        <v/>
      </c>
      <c r="H354" s="60">
        <f>ROUND(ROUND(F354,2)*ROUND(G354,2),2)</f>
        <v/>
      </c>
      <c r="K354" t="n">
        <v>16.32</v>
      </c>
      <c r="L354">
        <f>G354-K354</f>
        <v/>
      </c>
    </row>
    <row r="355" ht="20" customHeight="1">
      <c r="A355" s="7" t="inlineStr">
        <is>
          <t>9.6.1.4</t>
        </is>
      </c>
      <c r="B355" s="8" t="inlineStr">
        <is>
          <t>SOP2753</t>
        </is>
      </c>
      <c r="C355" s="9" t="inlineStr">
        <is>
          <t>JUNÇÃO INTERNA TIPO "L" PARA PERFILADO (REF.: MOPA OU SIMILAR)</t>
        </is>
      </c>
      <c r="D355" s="8" t="inlineStr">
        <is>
          <t xml:space="preserve">Composiçõ es
</t>
        </is>
      </c>
      <c r="E355" s="8" t="inlineStr">
        <is>
          <t>UN</t>
        </is>
      </c>
      <c r="F355" s="58" t="n">
        <v>8</v>
      </c>
      <c r="G355" s="59">
        <f>COMPOSICOES!G3328</f>
        <v/>
      </c>
      <c r="H355" s="60">
        <f>ROUND(ROUND(F355,2)*ROUND(G355,2),2)</f>
        <v/>
      </c>
      <c r="K355" t="n">
        <v>14.99</v>
      </c>
      <c r="L355">
        <f>G355-K355</f>
        <v/>
      </c>
    </row>
    <row r="356" ht="20" customHeight="1">
      <c r="A356" s="5" t="inlineStr">
        <is>
          <t>9.7</t>
        </is>
      </c>
      <c r="B356" s="5" t="inlineStr">
        <is>
          <t>DISTRIBUIÇÃO (CAIXAS DE PASSAGEM E/OU LIGAÇÃO)</t>
        </is>
      </c>
      <c r="C356" s="55" t="n"/>
      <c r="D356" s="55" t="n"/>
      <c r="E356" s="55" t="n"/>
      <c r="F356" s="55" t="n"/>
      <c r="G356" s="56" t="n"/>
      <c r="H356" s="57">
        <f>ROUND(H357+H364+H372+H374+H379,2)</f>
        <v/>
      </c>
    </row>
    <row r="357" ht="20" customHeight="1">
      <c r="A357" s="5" t="inlineStr">
        <is>
          <t>9.7.1</t>
        </is>
      </c>
      <c r="B357" s="5" t="inlineStr">
        <is>
          <t>CAIXAS EM PVC - EMBUTIR</t>
        </is>
      </c>
      <c r="C357" s="55" t="n"/>
      <c r="D357" s="55" t="n"/>
      <c r="E357" s="55" t="n"/>
      <c r="F357" s="55" t="n"/>
      <c r="G357" s="56" t="n"/>
      <c r="H357" s="57">
        <f>ROUND(SUM(H358:H363),2)</f>
        <v/>
      </c>
    </row>
    <row r="358" ht="24" customHeight="1">
      <c r="A358" s="7" t="inlineStr">
        <is>
          <t>9.7.1.1</t>
        </is>
      </c>
      <c r="B358" s="8" t="inlineStr">
        <is>
          <t>91939</t>
        </is>
      </c>
      <c r="C358" s="9" t="inlineStr">
        <is>
          <t>CAIXA RETANGULAR 4" X 2" ALTA (2,00 M DO PISO), PVC, INSTALADA EM PAREDE - FORNECIMENTO E INSTALAÇÃO.AF_03/2023</t>
        </is>
      </c>
      <c r="D358" s="8" t="inlineStr">
        <is>
          <t>SINAPI</t>
        </is>
      </c>
      <c r="E358" s="8" t="inlineStr">
        <is>
          <t>UN</t>
        </is>
      </c>
      <c r="F358" s="58" t="n">
        <v>13</v>
      </c>
      <c r="G358" s="59">
        <f>COMPOSICOES!G3343</f>
        <v/>
      </c>
      <c r="H358" s="60">
        <f>ROUND(ROUND(F358,2)*ROUND(G358,2),2)</f>
        <v/>
      </c>
      <c r="K358" t="n">
        <v>33.29</v>
      </c>
      <c r="L358">
        <f>G358-K358</f>
        <v/>
      </c>
    </row>
    <row r="359" ht="24" customHeight="1">
      <c r="A359" s="7" t="inlineStr">
        <is>
          <t>9.7.1.2</t>
        </is>
      </c>
      <c r="B359" s="8" t="inlineStr">
        <is>
          <t>91940</t>
        </is>
      </c>
      <c r="C359" s="9" t="inlineStr">
        <is>
          <t>CAIXA RETANGULAR 4" X 2" MÉDIA (1,30 M DO PISO), PVC, INSTALADA EM PAREDE - FORNECIMENTO E INSTALAÇÃO.AF_03/2023</t>
        </is>
      </c>
      <c r="D359" s="8" t="inlineStr">
        <is>
          <t>SINAPI</t>
        </is>
      </c>
      <c r="E359" s="8" t="inlineStr">
        <is>
          <t>UN</t>
        </is>
      </c>
      <c r="F359" s="58" t="n">
        <v>36</v>
      </c>
      <c r="G359" s="59">
        <f>COMPOSICOES!G3358</f>
        <v/>
      </c>
      <c r="H359" s="60">
        <f>ROUND(ROUND(F359,2)*ROUND(G359,2),2)</f>
        <v/>
      </c>
      <c r="K359" t="n">
        <v>18.73</v>
      </c>
      <c r="L359">
        <f>G359-K359</f>
        <v/>
      </c>
    </row>
    <row r="360" ht="24" customHeight="1">
      <c r="A360" s="7" t="inlineStr">
        <is>
          <t>9.7.1.3</t>
        </is>
      </c>
      <c r="B360" s="8" t="inlineStr">
        <is>
          <t>91941</t>
        </is>
      </c>
      <c r="C360" s="9" t="inlineStr">
        <is>
          <t>CAIXA RETANGULAR 4" X 2" BAIXA (0,30 M DO PISO), PVC, INSTALADA EM PAREDE - FORNECIMENTO E INSTALAÇÃO.AF_03/2023</t>
        </is>
      </c>
      <c r="D360" s="8" t="inlineStr">
        <is>
          <t>SINAPI</t>
        </is>
      </c>
      <c r="E360" s="8" t="inlineStr">
        <is>
          <t>UN</t>
        </is>
      </c>
      <c r="F360" s="58" t="n">
        <v>78</v>
      </c>
      <c r="G360" s="59">
        <f>COMPOSICOES!G3373</f>
        <v/>
      </c>
      <c r="H360" s="60">
        <f>ROUND(ROUND(F360,2)*ROUND(G360,2),2)</f>
        <v/>
      </c>
      <c r="K360" t="n">
        <v>11.6</v>
      </c>
      <c r="L360">
        <f>G360-K360</f>
        <v/>
      </c>
    </row>
    <row r="361" ht="24" customHeight="1">
      <c r="A361" s="7" t="inlineStr">
        <is>
          <t>9.7.1.4</t>
        </is>
      </c>
      <c r="B361" s="8" t="inlineStr">
        <is>
          <t>91943</t>
        </is>
      </c>
      <c r="C361" s="9" t="inlineStr">
        <is>
          <t>CAIXA RETANGULAR 4" X 4" MÉDIA (1,30 M DO PISO), PVC, INSTALADA EM PAREDE - FORNECIMENTO E INSTALAÇÃO.AF_03/2023</t>
        </is>
      </c>
      <c r="D361" s="8" t="inlineStr">
        <is>
          <t>SINAPI</t>
        </is>
      </c>
      <c r="E361" s="8" t="inlineStr">
        <is>
          <t>UN</t>
        </is>
      </c>
      <c r="F361" s="58" t="n">
        <v>1</v>
      </c>
      <c r="G361" s="59">
        <f>COMPOSICOES!G3388</f>
        <v/>
      </c>
      <c r="H361" s="60">
        <f>ROUND(ROUND(F361,2)*ROUND(G361,2),2)</f>
        <v/>
      </c>
      <c r="K361" t="n">
        <v>21.27</v>
      </c>
      <c r="L361">
        <f>G361-K361</f>
        <v/>
      </c>
    </row>
    <row r="362" ht="20" customHeight="1">
      <c r="A362" s="7" t="inlineStr">
        <is>
          <t>9.7.1.5</t>
        </is>
      </c>
      <c r="B362" s="8" t="inlineStr">
        <is>
          <t>91936</t>
        </is>
      </c>
      <c r="C362" s="9" t="inlineStr">
        <is>
          <t>CAIXA OCTOGONAL 4" X 4", PVC, INSTALADA EM LAJE - FORNECIMENTO EINSTALAÇÃO. AF_03/2023</t>
        </is>
      </c>
      <c r="D362" s="8" t="inlineStr">
        <is>
          <t>SINAPI</t>
        </is>
      </c>
      <c r="E362" s="8" t="inlineStr">
        <is>
          <t>UN</t>
        </is>
      </c>
      <c r="F362" s="58" t="n">
        <v>12</v>
      </c>
      <c r="G362" s="59">
        <f>COMPOSICOES!G3400</f>
        <v/>
      </c>
      <c r="H362" s="60">
        <f>ROUND(ROUND(F362,2)*ROUND(G362,2),2)</f>
        <v/>
      </c>
      <c r="K362" t="n">
        <v>17.07</v>
      </c>
      <c r="L362">
        <f>G362-K362</f>
        <v/>
      </c>
    </row>
    <row r="363" ht="20" customHeight="1">
      <c r="A363" s="7" t="inlineStr">
        <is>
          <t>9.7.1.6</t>
        </is>
      </c>
      <c r="B363" s="8" t="inlineStr">
        <is>
          <t>62446
SBC</t>
        </is>
      </c>
      <c r="C363" s="9" t="inlineStr">
        <is>
          <t>TOMADA COM TAMPA 10A 250V PARA PISO</t>
        </is>
      </c>
      <c r="D363" s="8" t="inlineStr">
        <is>
          <t xml:space="preserve">Composiçõ es
</t>
        </is>
      </c>
      <c r="E363" s="8" t="inlineStr">
        <is>
          <t>UN</t>
        </is>
      </c>
      <c r="F363" s="58" t="n">
        <v>4</v>
      </c>
      <c r="G363" s="59">
        <f>COMPOSICOES!G3412</f>
        <v/>
      </c>
      <c r="H363" s="60">
        <f>ROUND(ROUND(F363,2)*ROUND(G363,2),2)</f>
        <v/>
      </c>
      <c r="K363" t="n">
        <v>32.86</v>
      </c>
      <c r="L363">
        <f>G363-K363</f>
        <v/>
      </c>
    </row>
    <row r="364" ht="20" customHeight="1">
      <c r="A364" s="5" t="inlineStr">
        <is>
          <t>9.7.2</t>
        </is>
      </c>
      <c r="B364" s="5" t="inlineStr">
        <is>
          <t>CONDULETES DE ALUMÍNIO</t>
        </is>
      </c>
      <c r="C364" s="55" t="n"/>
      <c r="D364" s="55" t="n"/>
      <c r="E364" s="55" t="n"/>
      <c r="F364" s="55" t="n"/>
      <c r="G364" s="56" t="n"/>
      <c r="H364" s="57">
        <f>ROUND(SUM(H365:H371),2)</f>
        <v/>
      </c>
    </row>
    <row r="365" ht="24" customHeight="1">
      <c r="A365" s="7" t="inlineStr">
        <is>
          <t>9.7.2.1</t>
        </is>
      </c>
      <c r="B365" s="8" t="inlineStr">
        <is>
          <t>95778</t>
        </is>
      </c>
      <c r="C365" s="9" t="inlineStr">
        <is>
          <t>CONDULETE DE ALUMÍNIO, TIPO C, PARA ELETRODUTO DE AÇO GALVANIZADO DN 20 MM (3/4''), APARENTE - FORNECIMENTO EINSTALAÇÃO. AF_10/2022</t>
        </is>
      </c>
      <c r="D365" s="8" t="inlineStr">
        <is>
          <t>SINAPI</t>
        </is>
      </c>
      <c r="E365" s="8" t="inlineStr">
        <is>
          <t>UN</t>
        </is>
      </c>
      <c r="F365" s="58" t="n">
        <v>5</v>
      </c>
      <c r="G365" s="59">
        <f>COMPOSICOES!G3425</f>
        <v/>
      </c>
      <c r="H365" s="60">
        <f>ROUND(ROUND(F365,2)*ROUND(G365,2),2)</f>
        <v/>
      </c>
      <c r="K365" t="n">
        <v>31.17</v>
      </c>
      <c r="L365">
        <f>G365-K365</f>
        <v/>
      </c>
    </row>
    <row r="366" ht="24" customHeight="1">
      <c r="A366" s="7" t="inlineStr">
        <is>
          <t>9.7.2.2</t>
        </is>
      </c>
      <c r="B366" s="8" t="inlineStr">
        <is>
          <t>95779</t>
        </is>
      </c>
      <c r="C366" s="9" t="inlineStr">
        <is>
          <t>CONDULETE DE ALUMÍNIO, TIPO E, PARA ELETRODUTO DE AÇO GALVANIZADO DN 20 MM (3/4''), APARENTE - FORNECIMENTO EINSTALAÇÃO. AF_10/2022</t>
        </is>
      </c>
      <c r="D366" s="8" t="inlineStr">
        <is>
          <t>SINAPI</t>
        </is>
      </c>
      <c r="E366" s="8" t="inlineStr">
        <is>
          <t>UN</t>
        </is>
      </c>
      <c r="F366" s="58" t="n">
        <v>3</v>
      </c>
      <c r="G366" s="59">
        <f>COMPOSICOES!G3438</f>
        <v/>
      </c>
      <c r="H366" s="60">
        <f>ROUND(ROUND(F366,2)*ROUND(G366,2),2)</f>
        <v/>
      </c>
      <c r="K366" t="n">
        <v>25.87</v>
      </c>
      <c r="L366">
        <f>G366-K366</f>
        <v/>
      </c>
    </row>
    <row r="367" ht="24" customHeight="1">
      <c r="A367" s="7" t="inlineStr">
        <is>
          <t>9.7.2.3</t>
        </is>
      </c>
      <c r="B367" s="8" t="inlineStr">
        <is>
          <t>458
PRÓPRIO</t>
        </is>
      </c>
      <c r="C367" s="9" t="inlineStr">
        <is>
          <t>CONDULETE DE ALUMÍNIO, TIPO LL, PARA ELETRODUTO DE AÇO GALVANIZADO DN 20MM (3/4''), APARENTE - FORNECIMENTO EINSTALAÇÃO</t>
        </is>
      </c>
      <c r="D367" s="8" t="inlineStr">
        <is>
          <t>Composiçõ es Próprias</t>
        </is>
      </c>
      <c r="E367" s="8" t="inlineStr">
        <is>
          <t>UN</t>
        </is>
      </c>
      <c r="F367" s="58" t="n">
        <v>1</v>
      </c>
      <c r="G367" s="59">
        <f>COMPOSICOES!G3451</f>
        <v/>
      </c>
      <c r="H367" s="60">
        <f>ROUND(ROUND(F367,2)*ROUND(G367,2),2)</f>
        <v/>
      </c>
      <c r="K367" t="n">
        <v>33.71</v>
      </c>
      <c r="L367">
        <f>G367-K367</f>
        <v/>
      </c>
    </row>
    <row r="368" ht="24" customHeight="1">
      <c r="A368" s="7" t="inlineStr">
        <is>
          <t>9.7.2.4</t>
        </is>
      </c>
      <c r="B368" s="8" t="inlineStr">
        <is>
          <t>95787</t>
        </is>
      </c>
      <c r="C368" s="9" t="inlineStr">
        <is>
          <t>CONDULETE DE ALUMÍNIO, TIPO LR, PARA ELETRODUTO DE AÇO GALVANIZADO DN 20 MM (3/4''), APARENTE - FORNECIMENTO EINSTALAÇÃO. AF_10/2022</t>
        </is>
      </c>
      <c r="D368" s="8" t="inlineStr">
        <is>
          <t>SINAPI</t>
        </is>
      </c>
      <c r="E368" s="8" t="inlineStr">
        <is>
          <t>UN</t>
        </is>
      </c>
      <c r="F368" s="58" t="n">
        <v>2</v>
      </c>
      <c r="G368" s="59">
        <f>COMPOSICOES!G3464</f>
        <v/>
      </c>
      <c r="H368" s="60">
        <f>ROUND(ROUND(F368,2)*ROUND(G368,2),2)</f>
        <v/>
      </c>
      <c r="K368" t="n">
        <v>31.07</v>
      </c>
      <c r="L368">
        <f>G368-K368</f>
        <v/>
      </c>
    </row>
    <row r="369" ht="24" customHeight="1">
      <c r="A369" s="7" t="inlineStr">
        <is>
          <t>9.7.2.5</t>
        </is>
      </c>
      <c r="B369" s="8" t="inlineStr">
        <is>
          <t>95781</t>
        </is>
      </c>
      <c r="C369" s="9" t="inlineStr">
        <is>
          <t>CONDULETE DE ALUMÍNIO, TIPO C, PARA ELETRODUTO DE AÇO GALVANIZADO DN 25 MM (1''), APARENTE - FORNECIMENTO EINSTALAÇÃO. AF_10/2022</t>
        </is>
      </c>
      <c r="D369" s="8" t="inlineStr">
        <is>
          <t>SINAPI</t>
        </is>
      </c>
      <c r="E369" s="8" t="inlineStr">
        <is>
          <t>UN</t>
        </is>
      </c>
      <c r="F369" s="58" t="n">
        <v>1</v>
      </c>
      <c r="G369" s="59">
        <f>COMPOSICOES!G3477</f>
        <v/>
      </c>
      <c r="H369" s="60">
        <f>ROUND(ROUND(F369,2)*ROUND(G369,2),2)</f>
        <v/>
      </c>
      <c r="K369" t="n">
        <v>37.8</v>
      </c>
      <c r="L369">
        <f>G369-K369</f>
        <v/>
      </c>
    </row>
    <row r="370" ht="24" customHeight="1">
      <c r="A370" s="7" t="inlineStr">
        <is>
          <t>9.7.2.6</t>
        </is>
      </c>
      <c r="B370" s="8" t="inlineStr">
        <is>
          <t>95782</t>
        </is>
      </c>
      <c r="C370" s="9" t="inlineStr">
        <is>
          <t>CONDULETE DE ALUMÍNIO, TIPO E, ELETRODUTO DE AÇO GALVANIZADO DN 25 MM (1''), APARENTE - FORNECIMENTO EINSTALAÇÃO. AF_10/2022</t>
        </is>
      </c>
      <c r="D370" s="8" t="inlineStr">
        <is>
          <t>SINAPI</t>
        </is>
      </c>
      <c r="E370" s="8" t="inlineStr">
        <is>
          <t>UN</t>
        </is>
      </c>
      <c r="F370" s="58" t="n">
        <v>2</v>
      </c>
      <c r="G370" s="59">
        <f>COMPOSICOES!G3490</f>
        <v/>
      </c>
      <c r="H370" s="60">
        <f>ROUND(ROUND(F370,2)*ROUND(G370,2),2)</f>
        <v/>
      </c>
      <c r="K370" t="n">
        <v>35.7</v>
      </c>
      <c r="L370">
        <f>G370-K370</f>
        <v/>
      </c>
    </row>
    <row r="371" ht="24" customHeight="1">
      <c r="A371" s="7" t="inlineStr">
        <is>
          <t>9.7.2.7</t>
        </is>
      </c>
      <c r="B371" s="8" t="inlineStr">
        <is>
          <t>457
PRÓPRIO</t>
        </is>
      </c>
      <c r="C371" s="9" t="inlineStr">
        <is>
          <t>CONDULETE DE ALUMÍNIO, TIPO LL, PARA ELETRODUTO DE AÇO GALVANIZADO DN 25MM (1''), APARENTE - FORNECIMENTO EINSTALAÇÃO</t>
        </is>
      </c>
      <c r="D371" s="8" t="inlineStr">
        <is>
          <t>Composiçõ es Próprias</t>
        </is>
      </c>
      <c r="E371" s="8" t="inlineStr">
        <is>
          <t>UN</t>
        </is>
      </c>
      <c r="F371" s="58" t="n">
        <v>1</v>
      </c>
      <c r="G371" s="59">
        <f>COMPOSICOES!G3503</f>
        <v/>
      </c>
      <c r="H371" s="60">
        <f>ROUND(ROUND(F371,2)*ROUND(G371,2),2)</f>
        <v/>
      </c>
      <c r="K371" t="n">
        <v>43.47</v>
      </c>
      <c r="L371">
        <f>G371-K371</f>
        <v/>
      </c>
    </row>
    <row r="372" ht="20" customHeight="1">
      <c r="A372" s="5" t="inlineStr">
        <is>
          <t>9.7.3</t>
        </is>
      </c>
      <c r="B372" s="5" t="inlineStr">
        <is>
          <t>CAIXAS EM AÇO - EMBUTIR</t>
        </is>
      </c>
      <c r="C372" s="55" t="n"/>
      <c r="D372" s="55" t="n"/>
      <c r="E372" s="55" t="n"/>
      <c r="F372" s="55" t="n"/>
      <c r="G372" s="56" t="n"/>
      <c r="H372" s="57">
        <f>ROUND(SUM(H373:H373),2)</f>
        <v/>
      </c>
    </row>
    <row r="373" ht="20" customHeight="1">
      <c r="A373" s="7" t="inlineStr">
        <is>
          <t>9.7.3.1</t>
        </is>
      </c>
      <c r="B373" s="8" t="inlineStr">
        <is>
          <t>393
PRÓPRIO</t>
        </is>
      </c>
      <c r="C373" s="9" t="inlineStr">
        <is>
          <t>CAIXA DE PASSAGEM EM CHAPA DE AÇO - EMBUTIR - 20 X 20 X 12CM</t>
        </is>
      </c>
      <c r="D373" s="8" t="inlineStr">
        <is>
          <t xml:space="preserve">Composiçõ es
</t>
        </is>
      </c>
      <c r="E373" s="8" t="inlineStr">
        <is>
          <t>UN</t>
        </is>
      </c>
      <c r="F373" s="58" t="n">
        <v>2</v>
      </c>
      <c r="G373" s="59">
        <f>COMPOSICOES!G3515</f>
        <v/>
      </c>
      <c r="H373" s="60">
        <f>ROUND(ROUND(F373,2)*ROUND(G373,2),2)</f>
        <v/>
      </c>
      <c r="K373" t="n">
        <v>88.91</v>
      </c>
      <c r="L373">
        <f>G373-K373</f>
        <v/>
      </c>
    </row>
    <row r="374" ht="20" customHeight="1">
      <c r="A374" s="5" t="inlineStr">
        <is>
          <t>9.7.4</t>
        </is>
      </c>
      <c r="B374" s="5" t="inlineStr">
        <is>
          <t>CAIXAS PARA PISO</t>
        </is>
      </c>
      <c r="C374" s="55" t="n"/>
      <c r="D374" s="55" t="n"/>
      <c r="E374" s="55" t="n"/>
      <c r="F374" s="55" t="n"/>
      <c r="G374" s="56" t="n"/>
      <c r="H374" s="57">
        <f>ROUND(SUM(H375:H378),2)</f>
        <v/>
      </c>
    </row>
    <row r="375" ht="24" customHeight="1">
      <c r="A375" s="7" t="inlineStr">
        <is>
          <t>9.7.4.1</t>
        </is>
      </c>
      <c r="B375" s="8" t="inlineStr">
        <is>
          <t>453
PRÓPRIO</t>
        </is>
      </c>
      <c r="C375" s="9" t="inlineStr">
        <is>
          <t>CAIXA DE PASSAGEM/INSPEÇÃO ELÉTRICA- 30 X 30 X 30CM - ENTERRADA - ALVENARIA (TIJOLO MACIÇO) COM FUNDO DE BRITA E TAMPA DE FERRO FUNDIDO</t>
        </is>
      </c>
      <c r="D375" s="8" t="inlineStr">
        <is>
          <t>Composiçõ es Próprias</t>
        </is>
      </c>
      <c r="E375" s="8" t="inlineStr">
        <is>
          <t>UN</t>
        </is>
      </c>
      <c r="F375" s="58" t="n">
        <v>5</v>
      </c>
      <c r="G375" s="59">
        <f>COMPOSICOES!G3534</f>
        <v/>
      </c>
      <c r="H375" s="60">
        <f>ROUND(ROUND(F375,2)*ROUND(G375,2),2)</f>
        <v/>
      </c>
      <c r="K375" t="n">
        <v>556.55</v>
      </c>
      <c r="L375">
        <f>G375-K375</f>
        <v/>
      </c>
    </row>
    <row r="376" ht="20" customHeight="1">
      <c r="A376" s="7" t="inlineStr">
        <is>
          <t>9.7.4.2</t>
        </is>
      </c>
      <c r="B376" s="8" t="inlineStr">
        <is>
          <t>468
PRÓPRIO</t>
        </is>
      </c>
      <c r="C376" s="9" t="inlineStr">
        <is>
          <t>CAIXA DE ALUMÍNIO 4" X 4" PARA TOMADA DE PISO - SEM PLACA</t>
        </is>
      </c>
      <c r="D376" s="8" t="inlineStr">
        <is>
          <t xml:space="preserve">Composiçõ es
</t>
        </is>
      </c>
      <c r="E376" s="8" t="inlineStr">
        <is>
          <t>UN</t>
        </is>
      </c>
      <c r="F376" s="58" t="n">
        <v>4</v>
      </c>
      <c r="G376" s="59">
        <f>COMPOSICOES!G3547</f>
        <v/>
      </c>
      <c r="H376" s="60">
        <f>ROUND(ROUND(F376,2)*ROUND(G376,2),2)</f>
        <v/>
      </c>
      <c r="K376" t="n">
        <v>81.67</v>
      </c>
      <c r="L376">
        <f>G376-K376</f>
        <v/>
      </c>
    </row>
    <row r="377" ht="20" customHeight="1">
      <c r="A377" s="7" t="inlineStr">
        <is>
          <t>9.7.4.3</t>
        </is>
      </c>
      <c r="B377" s="8" t="inlineStr">
        <is>
          <t>SOP2752</t>
        </is>
      </c>
      <c r="C377" s="9" t="inlineStr">
        <is>
          <t>CAIXA DE PASSAGEM EM ALVENARIA DETIJOLOS MACIÇOS ESP.= 0,12M, DIM. INT.=0.50 X 0.50 X 0.50M</t>
        </is>
      </c>
      <c r="D377" s="8" t="inlineStr">
        <is>
          <t>Composiçõ
es Próprias</t>
        </is>
      </c>
      <c r="E377" s="8" t="inlineStr">
        <is>
          <t>UN</t>
        </is>
      </c>
      <c r="F377" s="58" t="n">
        <v>1</v>
      </c>
      <c r="G377" s="59">
        <f>COMPOSICOES!G3576</f>
        <v/>
      </c>
      <c r="H377" s="60">
        <f>ROUND(ROUND(F377,2)*ROUND(G377,2),2)</f>
        <v/>
      </c>
      <c r="K377" t="n">
        <v>352.55</v>
      </c>
      <c r="L377">
        <f>G377-K377</f>
        <v/>
      </c>
    </row>
    <row r="378" ht="20" customHeight="1">
      <c r="A378" s="7" t="inlineStr">
        <is>
          <t>9.7.4.4</t>
        </is>
      </c>
      <c r="B378" s="8" t="inlineStr">
        <is>
          <t>SOP0334</t>
        </is>
      </c>
      <c r="C378" s="9" t="inlineStr">
        <is>
          <t>TAMPA ARTICULADA DE FERRO FUNDIDO 60 X 60CM, INCLUSIVE INSTALAÇÃO</t>
        </is>
      </c>
      <c r="D378" s="8" t="inlineStr">
        <is>
          <t xml:space="preserve">Composiçõ es
</t>
        </is>
      </c>
      <c r="E378" s="8" t="inlineStr">
        <is>
          <t>UN</t>
        </is>
      </c>
      <c r="F378" s="58" t="n">
        <v>1</v>
      </c>
      <c r="G378" s="59">
        <f>COMPOSICOES!G3588</f>
        <v/>
      </c>
      <c r="H378" s="60">
        <f>ROUND(ROUND(F378,2)*ROUND(G378,2),2)</f>
        <v/>
      </c>
      <c r="K378" t="n">
        <v>1754.63</v>
      </c>
      <c r="L378">
        <f>G378-K378</f>
        <v/>
      </c>
    </row>
    <row r="379" ht="20" customHeight="1">
      <c r="A379" s="5" t="inlineStr">
        <is>
          <t>9.7.5</t>
        </is>
      </c>
      <c r="B379" s="5" t="inlineStr">
        <is>
          <t>CAIXA PARA INSTALAÇÃO EM PERFILADOS / ELETROCALHAS</t>
        </is>
      </c>
      <c r="C379" s="55" t="n"/>
      <c r="D379" s="55" t="n"/>
      <c r="E379" s="55" t="n"/>
      <c r="F379" s="55" t="n"/>
      <c r="G379" s="56" t="n"/>
      <c r="H379" s="57">
        <f>ROUND(SUM(H380:H380),2)</f>
        <v/>
      </c>
    </row>
    <row r="380" ht="20" customHeight="1">
      <c r="A380" s="7" t="inlineStr">
        <is>
          <t>9.7.5.1</t>
        </is>
      </c>
      <c r="B380" s="8" t="inlineStr">
        <is>
          <t>419
PRÓPRIO</t>
        </is>
      </c>
      <c r="C380" s="9" t="inlineStr">
        <is>
          <t>CAIXA DE TOMADA (10A) EM PVC PARA INSTALAÇÃO EM PERFILADO 38 X 38MM</t>
        </is>
      </c>
      <c r="D380" s="8" t="inlineStr">
        <is>
          <t xml:space="preserve">Composiçõ es
</t>
        </is>
      </c>
      <c r="E380" s="8" t="inlineStr">
        <is>
          <t>UN</t>
        </is>
      </c>
      <c r="F380" s="58" t="n">
        <v>108</v>
      </c>
      <c r="G380" s="59">
        <f>COMPOSICOES!G3600</f>
        <v/>
      </c>
      <c r="H380" s="60">
        <f>ROUND(ROUND(F380,2)*ROUND(G380,2),2)</f>
        <v/>
      </c>
      <c r="K380" t="n">
        <v>29.58</v>
      </c>
      <c r="L380">
        <f>G380-K380</f>
        <v/>
      </c>
    </row>
    <row r="381" ht="20" customHeight="1">
      <c r="A381" s="5" t="inlineStr">
        <is>
          <t>9.8</t>
        </is>
      </c>
      <c r="B381" s="5" t="inlineStr">
        <is>
          <t>CABEAMENTO</t>
        </is>
      </c>
      <c r="C381" s="55" t="n"/>
      <c r="D381" s="55" t="n"/>
      <c r="E381" s="55" t="n"/>
      <c r="F381" s="55" t="n"/>
      <c r="G381" s="56" t="n"/>
      <c r="H381" s="57">
        <f>ROUND(H382+H387+H389,2)</f>
        <v/>
      </c>
    </row>
    <row r="382" ht="20" customHeight="1">
      <c r="A382" s="5" t="inlineStr">
        <is>
          <t>9.8.1</t>
        </is>
      </c>
      <c r="B382" s="5" t="inlineStr">
        <is>
          <t>ENERGIA (FIOS E CABOS)</t>
        </is>
      </c>
      <c r="C382" s="55" t="n"/>
      <c r="D382" s="55" t="n"/>
      <c r="E382" s="55" t="n"/>
      <c r="F382" s="55" t="n"/>
      <c r="G382" s="56" t="n"/>
      <c r="H382" s="57">
        <f>ROUND(SUM(H383:H386),2)</f>
        <v/>
      </c>
    </row>
    <row r="383" ht="24" customHeight="1">
      <c r="A383" s="7" t="inlineStr">
        <is>
          <t>9.8.1.1</t>
        </is>
      </c>
      <c r="B383" s="8" t="inlineStr">
        <is>
          <t>91926</t>
        </is>
      </c>
      <c r="C383" s="9" t="inlineStr">
        <is>
          <t>CABO DE COBRE FLEXÍVEL ISOLADO, 2,5 MM², ANTI-CHAMA 450/750 V, PARA CIRCUITOS TERMINAIS - FORNECIMENTO EINSTALAÇÃO. AF_03/2023</t>
        </is>
      </c>
      <c r="D383" s="8" t="inlineStr">
        <is>
          <t>SINAPI</t>
        </is>
      </c>
      <c r="E383" s="8" t="inlineStr">
        <is>
          <t>M</t>
        </is>
      </c>
      <c r="F383" s="58" t="n">
        <v>4900.74</v>
      </c>
      <c r="G383" s="59">
        <f>COMPOSICOES!G3613</f>
        <v/>
      </c>
      <c r="H383" s="60">
        <f>ROUND(ROUND(F383,2)*ROUND(G383,2),2)</f>
        <v/>
      </c>
      <c r="K383" t="n">
        <v>4.74</v>
      </c>
      <c r="L383">
        <f>G383-K383</f>
        <v/>
      </c>
    </row>
    <row r="384" ht="24" customHeight="1">
      <c r="A384" s="7" t="inlineStr">
        <is>
          <t>9.8.1.2</t>
        </is>
      </c>
      <c r="B384" s="8" t="inlineStr">
        <is>
          <t>91928</t>
        </is>
      </c>
      <c r="C384" s="9" t="inlineStr">
        <is>
          <t>CABO DE COBRE FLEXÍVEL ISOLADO, 4 MM², ANTI-CHAMA 450/750 V, PARA CIRCUITOS TERMINAIS - FORNECIMENTO EINSTALAÇÃO. AF_03/2023</t>
        </is>
      </c>
      <c r="D384" s="8" t="inlineStr">
        <is>
          <t>SINAPI</t>
        </is>
      </c>
      <c r="E384" s="8" t="inlineStr">
        <is>
          <t>M</t>
        </is>
      </c>
      <c r="F384" s="58" t="n">
        <v>464.63</v>
      </c>
      <c r="G384" s="59">
        <f>COMPOSICOES!G3626</f>
        <v/>
      </c>
      <c r="H384" s="60">
        <f>ROUND(ROUND(F384,2)*ROUND(G384,2),2)</f>
        <v/>
      </c>
      <c r="K384" t="n">
        <v>7.34</v>
      </c>
      <c r="L384">
        <f>G384-K384</f>
        <v/>
      </c>
    </row>
    <row r="385" ht="24" customHeight="1">
      <c r="A385" s="7" t="inlineStr">
        <is>
          <t>9.8.1.3</t>
        </is>
      </c>
      <c r="B385" s="8" t="inlineStr">
        <is>
          <t>91930</t>
        </is>
      </c>
      <c r="C385" s="9" t="inlineStr">
        <is>
          <t>CABO DE COBRE FLEXÍVEL ISOLADO, 6 MM², ANTI-CHAMA 450/750 V, PARA CIRCUITOS TERMINAIS - FORNECIMENTO EINSTALAÇÃO. AF_03/2023</t>
        </is>
      </c>
      <c r="D385" s="8" t="inlineStr">
        <is>
          <t>SINAPI</t>
        </is>
      </c>
      <c r="E385" s="8" t="inlineStr">
        <is>
          <t>M</t>
        </is>
      </c>
      <c r="F385" s="58" t="n">
        <v>313.3</v>
      </c>
      <c r="G385" s="59">
        <f>COMPOSICOES!G3639</f>
        <v/>
      </c>
      <c r="H385" s="60">
        <f>ROUND(ROUND(F385,2)*ROUND(G385,2),2)</f>
        <v/>
      </c>
      <c r="K385" t="n">
        <v>10.26</v>
      </c>
      <c r="L385">
        <f>G385-K385</f>
        <v/>
      </c>
    </row>
    <row r="386" ht="32" customHeight="1">
      <c r="A386" s="7" t="inlineStr">
        <is>
          <t>9.8.1.4</t>
        </is>
      </c>
      <c r="B386" s="8" t="inlineStr">
        <is>
          <t>92986</t>
        </is>
      </c>
      <c r="C386" s="9" t="inlineStr">
        <is>
          <t>CABO DE COBRE FLEXÍVEL ISOLADO, 35 MM², ANTI-CHAMA 0,6/1,0 KV, PARA REDE ENTERRADA DE DISTRIBUIÇÃO DE ENERGIA ELÉTRICA - FORNECIMENTO EINSTALAÇÃO. AF_12/2021</t>
        </is>
      </c>
      <c r="D386" s="8" t="inlineStr">
        <is>
          <t>SINAPI</t>
        </is>
      </c>
      <c r="E386" s="8" t="inlineStr">
        <is>
          <t>M</t>
        </is>
      </c>
      <c r="F386" s="58" t="n">
        <v>28.54</v>
      </c>
      <c r="G386" s="59">
        <f>COMPOSICOES!G3652</f>
        <v/>
      </c>
      <c r="H386" s="60">
        <f>ROUND(ROUND(F386,2)*ROUND(G386,2),2)</f>
        <v/>
      </c>
      <c r="K386" t="n">
        <v>42.24</v>
      </c>
      <c r="L386">
        <f>G386-K386</f>
        <v/>
      </c>
    </row>
    <row r="387" ht="20" customHeight="1">
      <c r="A387" s="5" t="inlineStr">
        <is>
          <t>9.8.2</t>
        </is>
      </c>
      <c r="B387" s="5" t="inlineStr">
        <is>
          <t>VOZ E DADOS (CABOS)</t>
        </is>
      </c>
      <c r="C387" s="55" t="n"/>
      <c r="D387" s="55" t="n"/>
      <c r="E387" s="55" t="n"/>
      <c r="F387" s="55" t="n"/>
      <c r="G387" s="56" t="n"/>
      <c r="H387" s="57">
        <f>ROUND(SUM(H388:H388),2)</f>
        <v/>
      </c>
    </row>
    <row r="388" ht="32" customHeight="1">
      <c r="A388" s="7" t="inlineStr">
        <is>
          <t>9.8.2.1</t>
        </is>
      </c>
      <c r="B388" s="8" t="inlineStr">
        <is>
          <t>98281</t>
        </is>
      </c>
      <c r="C388" s="9" t="inlineStr">
        <is>
          <t>CABO TELEFÔNICO CCI-50 2 PARES, SEM BLINDAGEM, INSTALADO EM DISTRIBUIÇÃO DE EDIFICAÇÃO RESIDENCIAL - FORNECIMENTO E INSTALAÇÃO.AF_08/2025</t>
        </is>
      </c>
      <c r="D388" s="8" t="inlineStr">
        <is>
          <t>SINAPI</t>
        </is>
      </c>
      <c r="E388" s="8" t="inlineStr">
        <is>
          <t>M</t>
        </is>
      </c>
      <c r="F388" s="58" t="n">
        <v>8.1</v>
      </c>
      <c r="G388" s="59">
        <f>COMPOSICOES!G3664</f>
        <v/>
      </c>
      <c r="H388" s="60">
        <f>ROUND(ROUND(F388,2)*ROUND(G388,2),2)</f>
        <v/>
      </c>
      <c r="K388" t="n">
        <v>7.56</v>
      </c>
      <c r="L388">
        <f>G388-K388</f>
        <v/>
      </c>
    </row>
    <row r="389" ht="20" customHeight="1">
      <c r="A389" s="5" t="inlineStr">
        <is>
          <t>9.8.3</t>
        </is>
      </c>
      <c r="B389" s="5" t="inlineStr">
        <is>
          <t>CABEAMENTO ESTRUTURADO (CABOS)</t>
        </is>
      </c>
      <c r="C389" s="55" t="n"/>
      <c r="D389" s="55" t="n"/>
      <c r="E389" s="55" t="n"/>
      <c r="F389" s="55" t="n"/>
      <c r="G389" s="56" t="n"/>
      <c r="H389" s="57">
        <f>ROUND(SUM(H390:H390),2)</f>
        <v/>
      </c>
    </row>
    <row r="390" ht="24" customHeight="1">
      <c r="A390" s="7" t="inlineStr">
        <is>
          <t>9.8.3.1</t>
        </is>
      </c>
      <c r="B390" s="8" t="inlineStr">
        <is>
          <t>98295</t>
        </is>
      </c>
      <c r="C390" s="9" t="inlineStr">
        <is>
          <t>CABO ELETRÔNICO CATEGORIA 5E, INSTALADO EM EDIFICAÇÃO INSTITUCIONAL - FORNECIMENTO EINSTALAÇÃO. AF_08/2025</t>
        </is>
      </c>
      <c r="D390" s="8" t="inlineStr">
        <is>
          <t>SINAPI</t>
        </is>
      </c>
      <c r="E390" s="8" t="inlineStr">
        <is>
          <t>M</t>
        </is>
      </c>
      <c r="F390" s="58" t="n">
        <v>190.3</v>
      </c>
      <c r="G390" s="59">
        <f>COMPOSICOES!G3676</f>
        <v/>
      </c>
      <c r="H390" s="60">
        <f>ROUND(ROUND(F390,2)*ROUND(G390,2),2)</f>
        <v/>
      </c>
      <c r="K390" t="n">
        <v>5.67</v>
      </c>
      <c r="L390">
        <f>G390-K390</f>
        <v/>
      </c>
    </row>
    <row r="391" ht="20" customHeight="1">
      <c r="A391" s="5" t="inlineStr">
        <is>
          <t>10</t>
        </is>
      </c>
      <c r="B391" s="5" t="inlineStr">
        <is>
          <t>SISTEMAS DE AR CONDICIONADO, VENTILAÇÃO E EXAUSTÃO (ACD)</t>
        </is>
      </c>
      <c r="C391" s="55" t="n"/>
      <c r="D391" s="55" t="n"/>
      <c r="E391" s="55" t="n"/>
      <c r="F391" s="55" t="n"/>
      <c r="G391" s="56" t="n"/>
      <c r="H391" s="57">
        <f>ROUND(H392+H416,2)</f>
        <v/>
      </c>
    </row>
    <row r="392" ht="20" customHeight="1">
      <c r="A392" s="5" t="inlineStr">
        <is>
          <t>10.1</t>
        </is>
      </c>
      <c r="B392" s="5" t="inlineStr">
        <is>
          <t>AR CONDICIONADO TIPO SPLIT INDIVIDUAL</t>
        </is>
      </c>
      <c r="C392" s="55" t="n"/>
      <c r="D392" s="55" t="n"/>
      <c r="E392" s="55" t="n"/>
      <c r="F392" s="55" t="n"/>
      <c r="G392" s="56" t="n"/>
      <c r="H392" s="57">
        <f>ROUND(H393+H398+H400+H405+H410+H412,2)</f>
        <v/>
      </c>
    </row>
    <row r="393" ht="20" customHeight="1">
      <c r="A393" s="5" t="inlineStr">
        <is>
          <t>10.1.1</t>
        </is>
      </c>
      <c r="B393" s="5" t="inlineStr">
        <is>
          <t>AR CONDICIONADO (REDE FRIGORÍGENA - TUBULAÇÃO)</t>
        </is>
      </c>
      <c r="C393" s="55" t="n"/>
      <c r="D393" s="55" t="n"/>
      <c r="E393" s="55" t="n"/>
      <c r="F393" s="55" t="n"/>
      <c r="G393" s="56" t="n"/>
      <c r="H393" s="57">
        <f>ROUND(SUM(H394:H397),2)</f>
        <v/>
      </c>
    </row>
    <row r="394" ht="32" customHeight="1">
      <c r="A394" s="7" t="inlineStr">
        <is>
          <t>10.1.1.1</t>
        </is>
      </c>
      <c r="B394" s="8" t="inlineStr">
        <is>
          <t>97327</t>
        </is>
      </c>
      <c r="C394" s="9" t="inlineStr">
        <is>
          <t>TUBO EM COBRE FLEXÍVEL, DN 1/4", COM ISOLAMENTO, INSTALADO EM RAMAL DE ALIMENTAÇÃO DE AR-CONDICIONADO - FORNECIMENTO E INSTALAÇÃO.AF_07/2025</t>
        </is>
      </c>
      <c r="D394" s="8" t="inlineStr">
        <is>
          <t>SINAPI</t>
        </is>
      </c>
      <c r="E394" s="8" t="inlineStr">
        <is>
          <t>M</t>
        </is>
      </c>
      <c r="F394" s="58" t="n">
        <v>64.97</v>
      </c>
      <c r="G394" s="59">
        <f>COMPOSICOES!G3689</f>
        <v/>
      </c>
      <c r="H394" s="60">
        <f>ROUND(ROUND(F394,2)*ROUND(G394,2),2)</f>
        <v/>
      </c>
      <c r="K394" t="n">
        <v>27.56</v>
      </c>
      <c r="L394">
        <f>G394-K394</f>
        <v/>
      </c>
    </row>
    <row r="395" ht="32" customHeight="1">
      <c r="A395" s="7" t="inlineStr">
        <is>
          <t>10.1.1.2</t>
        </is>
      </c>
      <c r="B395" s="8" t="inlineStr">
        <is>
          <t>97328</t>
        </is>
      </c>
      <c r="C395" s="9" t="inlineStr">
        <is>
          <t>TUBO EM COBRE FLEXÍVEL, DN 3/8", COM ISOLAMENTO, INSTALADO EM RAMAL DE ALIMENTAÇÃO DE AR-CONDICIONADO - FORNECIMENTO E INSTALAÇÃO.AF_07/2025</t>
        </is>
      </c>
      <c r="D395" s="8" t="inlineStr">
        <is>
          <t>SINAPI</t>
        </is>
      </c>
      <c r="E395" s="8" t="inlineStr">
        <is>
          <t>M</t>
        </is>
      </c>
      <c r="F395" s="58" t="n">
        <v>31.83</v>
      </c>
      <c r="G395" s="59">
        <f>COMPOSICOES!G3702</f>
        <v/>
      </c>
      <c r="H395" s="60">
        <f>ROUND(ROUND(F395,2)*ROUND(G395,2),2)</f>
        <v/>
      </c>
      <c r="K395" t="n">
        <v>45.61</v>
      </c>
      <c r="L395">
        <f>G395-K395</f>
        <v/>
      </c>
    </row>
    <row r="396" ht="32" customHeight="1">
      <c r="A396" s="7" t="inlineStr">
        <is>
          <t>10.1.1.3</t>
        </is>
      </c>
      <c r="B396" s="8" t="inlineStr">
        <is>
          <t>97329</t>
        </is>
      </c>
      <c r="C396" s="9" t="inlineStr">
        <is>
          <t>TUBO EM COBRE FLEXÍVEL, DN 1/2", COM ISOLAMENTO, INSTALADO EM RAMAL DE ALIMENTAÇÃO DE AR-CONDICIONADO - FORNECIMENTO E INSTALAÇÃO.AF_07/2025</t>
        </is>
      </c>
      <c r="D396" s="8" t="inlineStr">
        <is>
          <t>SINAPI</t>
        </is>
      </c>
      <c r="E396" s="8" t="inlineStr">
        <is>
          <t>M</t>
        </is>
      </c>
      <c r="F396" s="58" t="n">
        <v>59.45</v>
      </c>
      <c r="G396" s="59">
        <f>COMPOSICOES!G3715</f>
        <v/>
      </c>
      <c r="H396" s="60">
        <f>ROUND(ROUND(F396,2)*ROUND(G396,2),2)</f>
        <v/>
      </c>
      <c r="K396" t="n">
        <v>58.69</v>
      </c>
      <c r="L396">
        <f>G396-K396</f>
        <v/>
      </c>
    </row>
    <row r="397" ht="32" customHeight="1">
      <c r="A397" s="7" t="inlineStr">
        <is>
          <t>10.1.1.4</t>
        </is>
      </c>
      <c r="B397" s="8" t="inlineStr">
        <is>
          <t>97330</t>
        </is>
      </c>
      <c r="C397" s="9" t="inlineStr">
        <is>
          <t>TUBO EM COBRE FLEXÍVEL, DN 5/8", COM ISOLAMENTO, INSTALADO EM RAMAL DE ALIMENTAÇÃO DE AR-CONDICIONADO - FORNECIMENTO E INSTALAÇÃO.AF_07/2025</t>
        </is>
      </c>
      <c r="D397" s="8" t="inlineStr">
        <is>
          <t>SINAPI</t>
        </is>
      </c>
      <c r="E397" s="8" t="inlineStr">
        <is>
          <t>M</t>
        </is>
      </c>
      <c r="F397" s="58" t="n">
        <v>27.82</v>
      </c>
      <c r="G397" s="59">
        <f>COMPOSICOES!G3728</f>
        <v/>
      </c>
      <c r="H397" s="60">
        <f>ROUND(ROUND(F397,2)*ROUND(G397,2),2)</f>
        <v/>
      </c>
      <c r="K397" t="n">
        <v>72.11</v>
      </c>
      <c r="L397">
        <f>G397-K397</f>
        <v/>
      </c>
    </row>
    <row r="398" ht="20" customHeight="1">
      <c r="A398" s="5" t="inlineStr">
        <is>
          <t>10.1.2</t>
        </is>
      </c>
      <c r="B398" s="5" t="inlineStr">
        <is>
          <t>AR CONDICIONADO (REDE ELÉTRICA)</t>
        </is>
      </c>
      <c r="C398" s="55" t="n"/>
      <c r="D398" s="55" t="n"/>
      <c r="E398" s="55" t="n"/>
      <c r="F398" s="55" t="n"/>
      <c r="G398" s="56" t="n"/>
      <c r="H398" s="57">
        <f>ROUND(SUM(H399:H399),2)</f>
        <v/>
      </c>
    </row>
    <row r="399" ht="20" customHeight="1">
      <c r="A399" s="7" t="inlineStr">
        <is>
          <t>10.1.2.1</t>
        </is>
      </c>
      <c r="B399" s="8" t="inlineStr">
        <is>
          <t>376
PRÓPRIO</t>
        </is>
      </c>
      <c r="C399" s="9" t="inlineStr">
        <is>
          <t>CABO PP 2 X 2.5MM² - 450/750V</t>
        </is>
      </c>
      <c r="D399" s="8" t="inlineStr">
        <is>
          <t xml:space="preserve">Composiçõ es
</t>
        </is>
      </c>
      <c r="E399" s="8" t="inlineStr">
        <is>
          <t>M</t>
        </is>
      </c>
      <c r="F399" s="58" t="n">
        <v>160</v>
      </c>
      <c r="G399" s="59">
        <f>COMPOSICOES!G3740</f>
        <v/>
      </c>
      <c r="H399" s="60">
        <f>ROUND(ROUND(F399,2)*ROUND(G399,2),2)</f>
        <v/>
      </c>
      <c r="K399" t="n">
        <v>16</v>
      </c>
      <c r="L399">
        <f>G399-K399</f>
        <v/>
      </c>
    </row>
    <row r="400" ht="20" customHeight="1">
      <c r="A400" s="5" t="inlineStr">
        <is>
          <t>10.1.3</t>
        </is>
      </c>
      <c r="B400" s="5" t="inlineStr">
        <is>
          <t>AR CONDICIONADO (REDE HIDRÁULICA - DRENO)</t>
        </is>
      </c>
      <c r="C400" s="55" t="n"/>
      <c r="D400" s="55" t="n"/>
      <c r="E400" s="55" t="n"/>
      <c r="F400" s="55" t="n"/>
      <c r="G400" s="56" t="n"/>
      <c r="H400" s="57">
        <f>ROUND(SUM(H401:H404),2)</f>
        <v/>
      </c>
    </row>
    <row r="401" ht="24" customHeight="1">
      <c r="A401" s="7" t="inlineStr">
        <is>
          <t>10.1.3.1</t>
        </is>
      </c>
      <c r="B401" s="8" t="inlineStr">
        <is>
          <t>89865</t>
        </is>
      </c>
      <c r="C401" s="9" t="inlineStr">
        <is>
          <t>TUBO, PVC, SOLDÁVEL, DE 25MM, INSTALADO EM DRENO DE AR-CONDICIONADO - FORNECIMENTO EINSTALAÇÃO. AF_08/2022</t>
        </is>
      </c>
      <c r="D401" s="8" t="inlineStr">
        <is>
          <t>SINAPI</t>
        </is>
      </c>
      <c r="E401" s="8" t="inlineStr">
        <is>
          <t>M</t>
        </is>
      </c>
      <c r="F401" s="58" t="n">
        <v>52.29</v>
      </c>
      <c r="G401" s="59">
        <f>COMPOSICOES!G3753</f>
        <v/>
      </c>
      <c r="H401" s="60">
        <f>ROUND(ROUND(F401,2)*ROUND(G401,2),2)</f>
        <v/>
      </c>
      <c r="K401" t="n">
        <v>18.37</v>
      </c>
      <c r="L401">
        <f>G401-K401</f>
        <v/>
      </c>
    </row>
    <row r="402" ht="24" customHeight="1">
      <c r="A402" s="7" t="inlineStr">
        <is>
          <t>10.1.3.2</t>
        </is>
      </c>
      <c r="B402" s="8" t="inlineStr">
        <is>
          <t>89866</t>
        </is>
      </c>
      <c r="C402" s="9" t="inlineStr">
        <is>
          <t>JOELHO 90 GRAUS, PVC, SOLDÁVEL, DN 25MM, INSTALADO EM DRENO DE AR-CONDICIONADO - FORNECIMENTO EINSTALAÇÃO. AF_08/2022</t>
        </is>
      </c>
      <c r="D402" s="8" t="inlineStr">
        <is>
          <t>SINAPI</t>
        </is>
      </c>
      <c r="E402" s="8" t="inlineStr">
        <is>
          <t>UN</t>
        </is>
      </c>
      <c r="F402" s="58" t="n">
        <v>18</v>
      </c>
      <c r="G402" s="59">
        <f>COMPOSICOES!G3768</f>
        <v/>
      </c>
      <c r="H402" s="60">
        <f>ROUND(ROUND(F402,2)*ROUND(G402,2),2)</f>
        <v/>
      </c>
      <c r="K402" t="n">
        <v>7.73</v>
      </c>
      <c r="L402">
        <f>G402-K402</f>
        <v/>
      </c>
    </row>
    <row r="403" ht="24" customHeight="1">
      <c r="A403" s="7" t="inlineStr">
        <is>
          <t>10.1.3.3</t>
        </is>
      </c>
      <c r="B403" s="8" t="inlineStr">
        <is>
          <t>89869</t>
        </is>
      </c>
      <c r="C403" s="9" t="inlineStr">
        <is>
          <t>TE, PVC, SOLDÁVEL, DN 25MM, INSTALADO EM DRENO DE AR-CONDICIONADO - FORNECIMENTO E INSTALAÇÃO.AF_08/2022</t>
        </is>
      </c>
      <c r="D403" s="8" t="inlineStr">
        <is>
          <t>SINAPI</t>
        </is>
      </c>
      <c r="E403" s="8" t="inlineStr">
        <is>
          <t>UN</t>
        </is>
      </c>
      <c r="F403" s="58" t="n">
        <v>3</v>
      </c>
      <c r="G403" s="59">
        <f>COMPOSICOES!G3783</f>
        <v/>
      </c>
      <c r="H403" s="60">
        <f>ROUND(ROUND(F403,2)*ROUND(G403,2),2)</f>
        <v/>
      </c>
      <c r="K403" t="n">
        <v>10.72</v>
      </c>
      <c r="L403">
        <f>G403-K403</f>
        <v/>
      </c>
    </row>
    <row r="404" ht="32" customHeight="1">
      <c r="A404" s="7" t="inlineStr">
        <is>
          <t>10.1.3.4</t>
        </is>
      </c>
      <c r="B404" s="8" t="inlineStr">
        <is>
          <t>382 próprio</t>
        </is>
      </c>
      <c r="C404" s="9" t="inlineStr">
        <is>
          <t>ISOLAMENTO EM BORRACHA ESPONJOSA, PARA TUBO DE 25MM COR BRANCA, ISENTA DE HALOGÊNIOS, ESPESSURA DO ISOLAMENTO 19MM - FORNECIMENTO EINSTALAÇÃO</t>
        </is>
      </c>
      <c r="D404" s="8" t="inlineStr">
        <is>
          <t>Composições próprias</t>
        </is>
      </c>
      <c r="E404" s="8" t="inlineStr">
        <is>
          <t>M</t>
        </is>
      </c>
      <c r="F404" s="58" t="n">
        <v>52.29</v>
      </c>
      <c r="G404" s="59">
        <f>COMPOSICOES!G3792</f>
        <v/>
      </c>
      <c r="H404" s="60">
        <f>ROUND(ROUND(F404,2)*ROUND(G404,2),2)</f>
        <v/>
      </c>
      <c r="K404" t="n">
        <v>16.27</v>
      </c>
      <c r="L404">
        <f>G404-K404</f>
        <v/>
      </c>
    </row>
    <row r="405" ht="20" customHeight="1">
      <c r="A405" s="5" t="inlineStr">
        <is>
          <t>10.1.4</t>
        </is>
      </c>
      <c r="B405" s="5" t="inlineStr">
        <is>
          <t>AR CONDICIONADO (EQUIPAMENTO)</t>
        </is>
      </c>
      <c r="C405" s="55" t="n"/>
      <c r="D405" s="55" t="n"/>
      <c r="E405" s="55" t="n"/>
      <c r="F405" s="55" t="n"/>
      <c r="G405" s="56" t="n"/>
      <c r="H405" s="57">
        <f>ROUND(SUM(H406:H409),2)</f>
        <v/>
      </c>
    </row>
    <row r="406" ht="24" customHeight="1">
      <c r="A406" s="7" t="inlineStr">
        <is>
          <t>10.1.4.1</t>
        </is>
      </c>
      <c r="B406" s="8" t="inlineStr">
        <is>
          <t>103244</t>
        </is>
      </c>
      <c r="C406" s="9" t="inlineStr">
        <is>
          <t>AR CONDICIONADO SPLIT INVERTER, HI-WALL (PAREDE), 9000 BTU/H, CICLO FRIO - FORNECIMENTO E INSTALAÇÃO.AF_11/2021_PE</t>
        </is>
      </c>
      <c r="D406" s="8" t="inlineStr">
        <is>
          <t>SINAPI</t>
        </is>
      </c>
      <c r="E406" s="8" t="inlineStr">
        <is>
          <t>UN</t>
        </is>
      </c>
      <c r="F406" s="58" t="n">
        <v>1</v>
      </c>
      <c r="G406" s="59">
        <f>COMPOSICOES!G3811</f>
        <v/>
      </c>
      <c r="H406" s="60">
        <f>ROUND(ROUND(F406,2)*ROUND(G406,2),2)</f>
        <v/>
      </c>
      <c r="K406" t="n">
        <v>2308.72</v>
      </c>
      <c r="L406">
        <f>G406-K406</f>
        <v/>
      </c>
    </row>
    <row r="407" ht="24" customHeight="1">
      <c r="A407" s="7" t="inlineStr">
        <is>
          <t>10.1.4.2</t>
        </is>
      </c>
      <c r="B407" s="8" t="inlineStr">
        <is>
          <t>103247</t>
        </is>
      </c>
      <c r="C407" s="9" t="inlineStr">
        <is>
          <t>AR CONDICIONADO SPLIT INVERTER, HI-WALL (PAREDE), 12000 BTU/H, CICLO FRIO - FORNECIMENTO E INSTALAÇÃO.AF_11/2021_PE</t>
        </is>
      </c>
      <c r="D407" s="8" t="inlineStr">
        <is>
          <t>SINAPI</t>
        </is>
      </c>
      <c r="E407" s="8" t="inlineStr">
        <is>
          <t>UN</t>
        </is>
      </c>
      <c r="F407" s="58" t="n">
        <v>1</v>
      </c>
      <c r="G407" s="59">
        <f>COMPOSICOES!G3830</f>
        <v/>
      </c>
      <c r="H407" s="60">
        <f>ROUND(ROUND(F407,2)*ROUND(G407,2),2)</f>
        <v/>
      </c>
      <c r="K407" t="n">
        <v>2561.43</v>
      </c>
      <c r="L407">
        <f>G407-K407</f>
        <v/>
      </c>
    </row>
    <row r="408" ht="24" customHeight="1">
      <c r="A408" s="7" t="inlineStr">
        <is>
          <t>10.1.4.3</t>
        </is>
      </c>
      <c r="B408" s="8" t="inlineStr">
        <is>
          <t>103250</t>
        </is>
      </c>
      <c r="C408" s="9" t="inlineStr">
        <is>
          <t>AR CONDICIONADO SPLIT INVERTER, HI-WALL (PAREDE), 18000 BTU/H, CICLO FRIO - FORNECIMENTO E INSTALAÇÃO.AF_11/2021_PE</t>
        </is>
      </c>
      <c r="D408" s="8" t="inlineStr">
        <is>
          <t>SINAPI</t>
        </is>
      </c>
      <c r="E408" s="8" t="inlineStr">
        <is>
          <t>UN</t>
        </is>
      </c>
      <c r="F408" s="58" t="n">
        <v>4</v>
      </c>
      <c r="G408" s="59">
        <f>COMPOSICOES!G3849</f>
        <v/>
      </c>
      <c r="H408" s="60">
        <f>ROUND(ROUND(F408,2)*ROUND(G408,2),2)</f>
        <v/>
      </c>
      <c r="K408" t="n">
        <v>3717.01</v>
      </c>
      <c r="L408">
        <f>G408-K408</f>
        <v/>
      </c>
    </row>
    <row r="409" ht="24" customHeight="1">
      <c r="A409" s="7" t="inlineStr">
        <is>
          <t>10.1.4.4</t>
        </is>
      </c>
      <c r="B409" s="8" t="inlineStr">
        <is>
          <t>103253</t>
        </is>
      </c>
      <c r="C409" s="9" t="inlineStr">
        <is>
          <t>AR CONDICIONADO SPLIT INVERTER, HI-WALL (PAREDE), 24000 BTU/H, CICLO FRIO - FORNECIMENTO E INSTALAÇÃO.AF_11/2021_PE</t>
        </is>
      </c>
      <c r="D409" s="8" t="inlineStr">
        <is>
          <t>SINAPI</t>
        </is>
      </c>
      <c r="E409" s="8" t="inlineStr">
        <is>
          <t>UN</t>
        </is>
      </c>
      <c r="F409" s="58" t="n">
        <v>3</v>
      </c>
      <c r="G409" s="59">
        <f>COMPOSICOES!G3868</f>
        <v/>
      </c>
      <c r="H409" s="60">
        <f>ROUND(ROUND(F409,2)*ROUND(G409,2),2)</f>
        <v/>
      </c>
      <c r="K409" t="n">
        <v>5063.77</v>
      </c>
      <c r="L409">
        <f>G409-K409</f>
        <v/>
      </c>
    </row>
    <row r="410" ht="20" customHeight="1">
      <c r="A410" s="5" t="inlineStr">
        <is>
          <t>10.1.5</t>
        </is>
      </c>
      <c r="B410" s="5" t="inlineStr">
        <is>
          <t>AR CONDICIONADO (FILTROS)</t>
        </is>
      </c>
      <c r="C410" s="55" t="n"/>
      <c r="D410" s="55" t="n"/>
      <c r="E410" s="55" t="n"/>
      <c r="F410" s="55" t="n"/>
      <c r="G410" s="56" t="n"/>
      <c r="H410" s="57">
        <f>ROUND(SUM(H411:H411),2)</f>
        <v/>
      </c>
    </row>
    <row r="411" ht="20" customHeight="1">
      <c r="A411" s="7" t="inlineStr">
        <is>
          <t>10.1.5.1</t>
        </is>
      </c>
      <c r="B411" s="8" t="inlineStr">
        <is>
          <t>378
PRÓPRIO</t>
        </is>
      </c>
      <c r="C411" s="9" t="inlineStr">
        <is>
          <t>CAIXA DE FILTRAGEM COM FILTRO G4+M5 FILBOX RED 150 - FORNECIMENTO EINSTALAÇÃO</t>
        </is>
      </c>
      <c r="D411" s="8" t="inlineStr">
        <is>
          <t xml:space="preserve">Composiçõ es
</t>
        </is>
      </c>
      <c r="E411" s="8" t="inlineStr">
        <is>
          <t>UN</t>
        </is>
      </c>
      <c r="F411" s="58" t="n">
        <v>1</v>
      </c>
      <c r="G411" s="59">
        <f>COMPOSICOES!G3880</f>
        <v/>
      </c>
      <c r="H411" s="60">
        <f>ROUND(ROUND(F411,2)*ROUND(G411,2),2)</f>
        <v/>
      </c>
      <c r="K411" t="n">
        <v>1058.44</v>
      </c>
      <c r="L411">
        <f>G411-K411</f>
        <v/>
      </c>
    </row>
    <row r="412" ht="20" customHeight="1">
      <c r="A412" s="5" t="inlineStr">
        <is>
          <t>10.1.6</t>
        </is>
      </c>
      <c r="B412" s="5" t="inlineStr">
        <is>
          <t>AR CONDICIONADO/VENTILAÇÃO (TERMINAIS DE AR)</t>
        </is>
      </c>
      <c r="C412" s="55" t="n"/>
      <c r="D412" s="55" t="n"/>
      <c r="E412" s="55" t="n"/>
      <c r="F412" s="55" t="n"/>
      <c r="G412" s="56" t="n"/>
      <c r="H412" s="57">
        <f>ROUND(SUM(H413:H415),2)</f>
        <v/>
      </c>
    </row>
    <row r="413" ht="20" customHeight="1">
      <c r="A413" s="7" t="inlineStr">
        <is>
          <t>10.1.6.1</t>
        </is>
      </c>
      <c r="B413" s="8" t="inlineStr">
        <is>
          <t>380
PRÓPRIO</t>
        </is>
      </c>
      <c r="C413" s="9" t="inlineStr">
        <is>
          <t>GRELHA DE EXAUSTÃO E/OU INSUFLAMENTO E/OU VENTILAÇÃO 225 X125 - FORNECIMENTO E INSTALAÇÃO</t>
        </is>
      </c>
      <c r="D413" s="8" t="inlineStr">
        <is>
          <t xml:space="preserve">Composiçõ es
</t>
        </is>
      </c>
      <c r="E413" s="8" t="inlineStr">
        <is>
          <t>UN</t>
        </is>
      </c>
      <c r="F413" s="58" t="n">
        <v>6</v>
      </c>
      <c r="G413" s="59">
        <f>COMPOSICOES!G3888</f>
        <v/>
      </c>
      <c r="H413" s="60">
        <f>ROUND(ROUND(F413,2)*ROUND(G413,2),2)</f>
        <v/>
      </c>
      <c r="K413" t="n">
        <v>8.15</v>
      </c>
      <c r="L413">
        <f>G413-K413</f>
        <v/>
      </c>
    </row>
    <row r="414" ht="20" customHeight="1">
      <c r="A414" s="7" t="inlineStr">
        <is>
          <t>10.1.6.2</t>
        </is>
      </c>
      <c r="B414" s="8" t="inlineStr">
        <is>
          <t>381
PRÓPRIO</t>
        </is>
      </c>
      <c r="C414" s="9" t="inlineStr">
        <is>
          <t>GRELHA DE EXAUSTÃO E/OU INSUFLAMENTO E/OU VENTILAÇÃO 325 X125 - FORNECIMENTO E INSTALAÇÃO</t>
        </is>
      </c>
      <c r="D414" s="8" t="inlineStr">
        <is>
          <t xml:space="preserve">Composiçõ es
</t>
        </is>
      </c>
      <c r="E414" s="8" t="inlineStr">
        <is>
          <t>UN</t>
        </is>
      </c>
      <c r="F414" s="58" t="n">
        <v>1</v>
      </c>
      <c r="G414" s="59">
        <f>COMPOSICOES!G3897</f>
        <v/>
      </c>
      <c r="H414" s="60">
        <f>ROUND(ROUND(F414,2)*ROUND(G414,2),2)</f>
        <v/>
      </c>
      <c r="K414" t="n">
        <v>96.73999999999999</v>
      </c>
      <c r="L414">
        <f>G414-K414</f>
        <v/>
      </c>
    </row>
    <row r="415" ht="20" customHeight="1">
      <c r="A415" s="7" t="inlineStr">
        <is>
          <t>10.1.6.3</t>
        </is>
      </c>
      <c r="B415" s="8" t="inlineStr">
        <is>
          <t>421
PRÓPRIO</t>
        </is>
      </c>
      <c r="C415" s="9" t="inlineStr">
        <is>
          <t>GRELHA DE EXAUSTÃO E/OU INSUFLAMENTO E/OU VENTILAÇÃO 525 X125 - FORNECIMENTO E INSTALAÇÃO</t>
        </is>
      </c>
      <c r="D415" s="8" t="inlineStr">
        <is>
          <t xml:space="preserve">Composiçõ es
</t>
        </is>
      </c>
      <c r="E415" s="8" t="inlineStr">
        <is>
          <t>UN</t>
        </is>
      </c>
      <c r="F415" s="58" t="n">
        <v>1</v>
      </c>
      <c r="G415" s="59">
        <f>COMPOSICOES!G3906</f>
        <v/>
      </c>
      <c r="H415" s="60">
        <f>ROUND(ROUND(F415,2)*ROUND(G415,2),2)</f>
        <v/>
      </c>
      <c r="K415" t="n">
        <v>96.73999999999999</v>
      </c>
      <c r="L415">
        <f>G415-K415</f>
        <v/>
      </c>
    </row>
    <row r="416" ht="20" customHeight="1">
      <c r="A416" s="5" t="inlineStr">
        <is>
          <t>10.2</t>
        </is>
      </c>
      <c r="B416" s="5" t="inlineStr">
        <is>
          <t>VENTILAÇÃO / EXAUSTÃO</t>
        </is>
      </c>
      <c r="C416" s="55" t="n"/>
      <c r="D416" s="55" t="n"/>
      <c r="E416" s="55" t="n"/>
      <c r="F416" s="55" t="n"/>
      <c r="G416" s="56" t="n"/>
      <c r="H416" s="57">
        <f>ROUND(H417+H423,2)</f>
        <v/>
      </c>
    </row>
    <row r="417" ht="20" customHeight="1">
      <c r="A417" s="5" t="inlineStr">
        <is>
          <t>10.2.1</t>
        </is>
      </c>
      <c r="B417" s="5" t="inlineStr">
        <is>
          <t>VENTILAÇÃO / EXAUSTÃO (DUTOS E TUBOS)</t>
        </is>
      </c>
      <c r="C417" s="55" t="n"/>
      <c r="D417" s="55" t="n"/>
      <c r="E417" s="55" t="n"/>
      <c r="F417" s="55" t="n"/>
      <c r="G417" s="56" t="n"/>
      <c r="H417" s="57">
        <f>ROUND(SUM(H418:H422),2)</f>
        <v/>
      </c>
    </row>
    <row r="418" ht="24" customHeight="1">
      <c r="A418" s="7" t="inlineStr">
        <is>
          <t>10.2.1.1</t>
        </is>
      </c>
      <c r="B418" s="8" t="inlineStr">
        <is>
          <t>104166</t>
        </is>
      </c>
      <c r="C418" s="9" t="inlineStr">
        <is>
          <t>TUBO PVC, SÉRIE R, ÁGUA PLUVIAL, DN 150 MM, FORNECIDO E INSTALADO EM RAMALDE ENCAMINHAMENTO. AF_06/2022</t>
        </is>
      </c>
      <c r="D418" s="8" t="inlineStr">
        <is>
          <t>SINAPI</t>
        </is>
      </c>
      <c r="E418" s="8" t="inlineStr">
        <is>
          <t>M</t>
        </is>
      </c>
      <c r="F418" s="58" t="n">
        <v>9.94</v>
      </c>
      <c r="G418" s="59">
        <f>COMPOSICOES!G3919</f>
        <v/>
      </c>
      <c r="H418" s="60">
        <f>ROUND(ROUND(F418,2)*ROUND(G418,2),2)</f>
        <v/>
      </c>
      <c r="K418" t="n">
        <v>75.44</v>
      </c>
      <c r="L418">
        <f>G418-K418</f>
        <v/>
      </c>
    </row>
    <row r="419" ht="24" customHeight="1">
      <c r="A419" s="7" t="inlineStr">
        <is>
          <t>10.2.1.2</t>
        </is>
      </c>
      <c r="B419" s="8" t="inlineStr">
        <is>
          <t>89590</t>
        </is>
      </c>
      <c r="C419" s="9" t="inlineStr">
        <is>
          <t>JOELHO 90 GRAUS, PVC, SERIE R, ÁGUA PLUVIAL, DN 150 MM, JUNTA ELÁSTICA, FORNECIDO E INSTALADO EM CONDUTORES VERTICAIS DE ÁGUASPLUVIAIS. AF_06/2022</t>
        </is>
      </c>
      <c r="D419" s="8" t="inlineStr">
        <is>
          <t>SINAPI</t>
        </is>
      </c>
      <c r="E419" s="8" t="inlineStr">
        <is>
          <t>UN</t>
        </is>
      </c>
      <c r="F419" s="58" t="n">
        <v>5</v>
      </c>
      <c r="G419" s="59">
        <f>COMPOSICOES!G3933</f>
        <v/>
      </c>
      <c r="H419" s="60">
        <f>ROUND(ROUND(F419,2)*ROUND(G419,2),2)</f>
        <v/>
      </c>
      <c r="K419" t="n">
        <v>142.28</v>
      </c>
      <c r="L419">
        <f>G419-K419</f>
        <v/>
      </c>
    </row>
    <row r="420" ht="24" customHeight="1">
      <c r="A420" s="7" t="inlineStr">
        <is>
          <t>10.2.1.3</t>
        </is>
      </c>
      <c r="B420" s="8" t="inlineStr">
        <is>
          <t>89591</t>
        </is>
      </c>
      <c r="C420" s="9" t="inlineStr">
        <is>
          <t>JOELHO 45 GRAUS, PVC, SERIE R, ÁGUA PLUVIAL, DN 150 MM, JUNTA ELÁSTICA, FORNECIDO E INSTALADO EM CONDUTORES VERTICAIS DE ÁGUASPLUVIAIS. AF_06/2022</t>
        </is>
      </c>
      <c r="D420" s="8" t="inlineStr">
        <is>
          <t>SINAPI</t>
        </is>
      </c>
      <c r="E420" s="8" t="inlineStr">
        <is>
          <t>UN</t>
        </is>
      </c>
      <c r="F420" s="58" t="n">
        <v>5</v>
      </c>
      <c r="G420" s="59">
        <f>COMPOSICOES!G3947</f>
        <v/>
      </c>
      <c r="H420" s="60">
        <f>ROUND(ROUND(F420,2)*ROUND(G420,2),2)</f>
        <v/>
      </c>
      <c r="K420" t="n">
        <v>139.12</v>
      </c>
      <c r="L420">
        <f>G420-K420</f>
        <v/>
      </c>
    </row>
    <row r="421" ht="24" customHeight="1">
      <c r="A421" s="7" t="inlineStr">
        <is>
          <t>10.2.1.4</t>
        </is>
      </c>
      <c r="B421" s="8" t="inlineStr">
        <is>
          <t>89679</t>
        </is>
      </c>
      <c r="C421" s="9" t="inlineStr">
        <is>
          <t>LUVA DE CORRER, PVC, SERIE R, ÁGUA PLUVIAL, DN 150 MM, JUNTA ELÁSTICA, FORNECIDO E INSTALADO EM CONDUTORES VERTICAIS DE ÁGUASPLUVIAIS. AF_06/2022</t>
        </is>
      </c>
      <c r="D421" s="8" t="inlineStr">
        <is>
          <t>SINAPI</t>
        </is>
      </c>
      <c r="E421" s="8" t="inlineStr">
        <is>
          <t>UN</t>
        </is>
      </c>
      <c r="F421" s="58" t="n">
        <v>2</v>
      </c>
      <c r="G421" s="59">
        <f>COMPOSICOES!G3961</f>
        <v/>
      </c>
      <c r="H421" s="60">
        <f>ROUND(ROUND(F421,2)*ROUND(G421,2),2)</f>
        <v/>
      </c>
      <c r="K421" t="n">
        <v>131.54</v>
      </c>
      <c r="L421">
        <f>G421-K421</f>
        <v/>
      </c>
    </row>
    <row r="422" ht="24" customHeight="1">
      <c r="A422" s="7" t="inlineStr">
        <is>
          <t>10.2.1.5</t>
        </is>
      </c>
      <c r="B422" s="8" t="inlineStr">
        <is>
          <t>89701</t>
        </is>
      </c>
      <c r="C422" s="9" t="inlineStr">
        <is>
          <t>TÊ, PVC, SERIE R, ÁGUA PLUVIAL, DN 150 X150 MM, JUNTA ELÁSTICA, FORNECIDO E INSTALADO EM CONDUTORES VERTICAIS DE ÁGUAS PLUVIAIS. AF_06/2022</t>
        </is>
      </c>
      <c r="D422" s="8" t="inlineStr">
        <is>
          <t>SINAPI</t>
        </is>
      </c>
      <c r="E422" s="8" t="inlineStr">
        <is>
          <t>UN</t>
        </is>
      </c>
      <c r="F422" s="58" t="n">
        <v>2</v>
      </c>
      <c r="G422" s="59">
        <f>COMPOSICOES!G3975</f>
        <v/>
      </c>
      <c r="H422" s="60">
        <f>ROUND(ROUND(F422,2)*ROUND(G422,2),2)</f>
        <v/>
      </c>
      <c r="K422" t="n">
        <v>209.52</v>
      </c>
      <c r="L422">
        <f>G422-K422</f>
        <v/>
      </c>
    </row>
    <row r="423" ht="20" customHeight="1">
      <c r="A423" s="5" t="inlineStr">
        <is>
          <t>10.2.2</t>
        </is>
      </c>
      <c r="B423" s="5" t="inlineStr">
        <is>
          <t>VENTILAÇÃO / EXAUSTÃO (EQUIPAMENTOS)</t>
        </is>
      </c>
      <c r="C423" s="55" t="n"/>
      <c r="D423" s="55" t="n"/>
      <c r="E423" s="55" t="n"/>
      <c r="F423" s="55" t="n"/>
      <c r="G423" s="56" t="n"/>
      <c r="H423" s="57">
        <f>ROUND(SUM(H424:H425),2)</f>
        <v/>
      </c>
    </row>
    <row r="424" ht="24" customHeight="1">
      <c r="A424" s="7" t="inlineStr">
        <is>
          <t>10.2.2.1</t>
        </is>
      </c>
      <c r="B424" s="8" t="inlineStr">
        <is>
          <t>377
PRÓPRIO</t>
        </is>
      </c>
      <c r="C424" s="9" t="inlineStr">
        <is>
          <t>EXAUSTOR PARA BANHEIRO COM ANTI-RETORNO PARA INSTALAÇÃO EM TETO E/OU PAREDE - Ø200MM - FORNECIMENTOE INSTALAÇÃO</t>
        </is>
      </c>
      <c r="D424" s="8" t="inlineStr">
        <is>
          <t>Composiçõ es Próprias</t>
        </is>
      </c>
      <c r="E424" s="8" t="inlineStr">
        <is>
          <t>UN</t>
        </is>
      </c>
      <c r="F424" s="58" t="n">
        <v>2</v>
      </c>
      <c r="G424" s="59">
        <f>COMPOSICOES!G3984</f>
        <v/>
      </c>
      <c r="H424" s="60">
        <f>ROUND(ROUND(F424,2)*ROUND(G424,2),2)</f>
        <v/>
      </c>
      <c r="K424" t="n">
        <v>54.52</v>
      </c>
      <c r="L424">
        <f>G424-K424</f>
        <v/>
      </c>
    </row>
    <row r="425" ht="20" customHeight="1">
      <c r="A425" s="7" t="inlineStr">
        <is>
          <t>10.2.2.2</t>
        </is>
      </c>
      <c r="B425" s="8" t="inlineStr">
        <is>
          <t>423 próprio</t>
        </is>
      </c>
      <c r="C425" s="9" t="inlineStr">
        <is>
          <t>EXAUSTOR CIRCULAR PARA AMBIENTE - Ø200MM - FORNECIMENTO E INSTALAÇÃO</t>
        </is>
      </c>
      <c r="D425" s="8" t="inlineStr">
        <is>
          <t>Composições próprias</t>
        </is>
      </c>
      <c r="E425" s="8" t="inlineStr">
        <is>
          <t>UN</t>
        </is>
      </c>
      <c r="F425" s="58" t="n">
        <v>4</v>
      </c>
      <c r="G425" s="59">
        <f>COMPOSICOES!G3993</f>
        <v/>
      </c>
      <c r="H425" s="60">
        <f>ROUND(ROUND(F425,2)*ROUND(G425,2),2)</f>
        <v/>
      </c>
      <c r="K425" t="n">
        <v>54.52</v>
      </c>
      <c r="L425">
        <f>G425-K425</f>
        <v/>
      </c>
    </row>
    <row r="426" ht="20" customHeight="1">
      <c r="A426" s="5" t="inlineStr">
        <is>
          <t>11</t>
        </is>
      </c>
      <c r="B426" s="5" t="inlineStr">
        <is>
          <t>REVESTIMENTOS PRIMÁRIOS</t>
        </is>
      </c>
      <c r="C426" s="55" t="n"/>
      <c r="D426" s="55" t="n"/>
      <c r="E426" s="55" t="n"/>
      <c r="F426" s="55" t="n"/>
      <c r="G426" s="56" t="n"/>
      <c r="H426" s="57">
        <f>ROUND(H427+H433,2)</f>
        <v/>
      </c>
    </row>
    <row r="427" ht="20" customHeight="1">
      <c r="A427" s="5" t="inlineStr">
        <is>
          <t>11.1</t>
        </is>
      </c>
      <c r="B427" s="5" t="inlineStr">
        <is>
          <t>PAREDE</t>
        </is>
      </c>
      <c r="C427" s="55" t="n"/>
      <c r="D427" s="55" t="n"/>
      <c r="E427" s="55" t="n"/>
      <c r="F427" s="55" t="n"/>
      <c r="G427" s="56" t="n"/>
      <c r="H427" s="57">
        <f>ROUND(H428+H430,2)</f>
        <v/>
      </c>
    </row>
    <row r="428" ht="20" customHeight="1">
      <c r="A428" s="5" t="inlineStr">
        <is>
          <t>11.1.1</t>
        </is>
      </c>
      <c r="B428" s="5" t="inlineStr">
        <is>
          <t>CHAPISCO EM PAREDE</t>
        </is>
      </c>
      <c r="C428" s="55" t="n"/>
      <c r="D428" s="55" t="n"/>
      <c r="E428" s="55" t="n"/>
      <c r="F428" s="55" t="n"/>
      <c r="G428" s="56" t="n"/>
      <c r="H428" s="57">
        <f>ROUND(SUM(H429:H429),2)</f>
        <v/>
      </c>
    </row>
    <row r="429" ht="32" customHeight="1">
      <c r="A429" s="7" t="inlineStr">
        <is>
          <t>11.1.1.1</t>
        </is>
      </c>
      <c r="B429" s="8" t="inlineStr">
        <is>
          <t>87879</t>
        </is>
      </c>
      <c r="C429" s="9" t="inlineStr">
        <is>
          <t>CHAPISCO APLICADO EM ALVENARIAS E ESTRUTURAS DE CONCRETO INTERNAS, COM COLHER DE PEDREIRO. ARGAMASSA TRAÇO 1:3 COM PREPARO EM BETONEIRA400L. AF_10/2022</t>
        </is>
      </c>
      <c r="D429" s="8" t="inlineStr">
        <is>
          <t>SINAPI</t>
        </is>
      </c>
      <c r="E429" s="8" t="inlineStr">
        <is>
          <t>M2</t>
        </is>
      </c>
      <c r="F429" s="58" t="n">
        <v>202.71</v>
      </c>
      <c r="G429" s="59">
        <f>COMPOSICOES!G4005</f>
        <v/>
      </c>
      <c r="H429" s="60">
        <f>ROUND(ROUND(F429,2)*ROUND(G429,2),2)</f>
        <v/>
      </c>
      <c r="K429" t="n">
        <v>4.79</v>
      </c>
      <c r="L429">
        <f>G429-K429</f>
        <v/>
      </c>
    </row>
    <row r="430" ht="20" customHeight="1">
      <c r="A430" s="5" t="inlineStr">
        <is>
          <t>11.1.2</t>
        </is>
      </c>
      <c r="B430" s="5" t="inlineStr">
        <is>
          <t>EMBOÇO/REBOCO EM PAREDE</t>
        </is>
      </c>
      <c r="C430" s="55" t="n"/>
      <c r="D430" s="55" t="n"/>
      <c r="E430" s="55" t="n"/>
      <c r="F430" s="55" t="n"/>
      <c r="G430" s="56" t="n"/>
      <c r="H430" s="57">
        <f>ROUND(SUM(H431:H432),2)</f>
        <v/>
      </c>
    </row>
    <row r="431" ht="32" customHeight="1">
      <c r="A431" s="7" t="inlineStr">
        <is>
          <t>11.1.2.1</t>
        </is>
      </c>
      <c r="B431" s="8" t="inlineStr">
        <is>
          <t>87529</t>
        </is>
      </c>
      <c r="C431" s="9" t="inlineStr">
        <is>
          <t>MASSA ÚNICA, EM ARGAMASSA TRAÇO 1:2:8, PREPARO MECÂNICO, APLICADA MANUALMENTE EM PAREDES INTERNAS DE AMBIENTES COM ÁREA ENTRE 5M² E 10M², E = 17,5MM, COM TALISCAS.AF_03/2024</t>
        </is>
      </c>
      <c r="D431" s="8" t="inlineStr">
        <is>
          <t>SINAPI</t>
        </is>
      </c>
      <c r="E431" s="8" t="inlineStr">
        <is>
          <t>M2</t>
        </is>
      </c>
      <c r="F431" s="58" t="n">
        <v>396.47</v>
      </c>
      <c r="G431" s="59">
        <f>COMPOSICOES!G4017</f>
        <v/>
      </c>
      <c r="H431" s="60">
        <f>ROUND(ROUND(F431,2)*ROUND(G431,2),2)</f>
        <v/>
      </c>
      <c r="K431" t="n">
        <v>39.89</v>
      </c>
      <c r="L431">
        <f>G431-K431</f>
        <v/>
      </c>
    </row>
    <row r="432" ht="32" customHeight="1">
      <c r="A432" s="7" t="inlineStr">
        <is>
          <t>11.1.2.2</t>
        </is>
      </c>
      <c r="B432" s="8" t="inlineStr">
        <is>
          <t>87794</t>
        </is>
      </c>
      <c r="C432" s="9" t="inlineStr">
        <is>
          <t>EMBOÇO OU MASSA ÚNICA EM ARGAMASSA TRAÇO 1:2:8, PREPARO MANUAL, APLICADA MANUALMENTE EM PANOS CEGOS DE FACHADA (SEM PRESENÇA DE VÃOS), ESPESSURA DE 25MM. AF_09/2022</t>
        </is>
      </c>
      <c r="D432" s="8" t="inlineStr">
        <is>
          <t>SINAPI</t>
        </is>
      </c>
      <c r="E432" s="8" t="inlineStr">
        <is>
          <t>M2</t>
        </is>
      </c>
      <c r="F432" s="58" t="n">
        <v>369.98</v>
      </c>
      <c r="G432" s="59">
        <f>COMPOSICOES!G4032</f>
        <v/>
      </c>
      <c r="H432" s="60">
        <f>ROUND(ROUND(F432,2)*ROUND(G432,2),2)</f>
        <v/>
      </c>
      <c r="K432" t="n">
        <v>47.1</v>
      </c>
      <c r="L432">
        <f>G432-K432</f>
        <v/>
      </c>
    </row>
    <row r="433" ht="20" customHeight="1">
      <c r="A433" s="5" t="inlineStr">
        <is>
          <t>11.2</t>
        </is>
      </c>
      <c r="B433" s="5" t="inlineStr">
        <is>
          <t>PISO</t>
        </is>
      </c>
      <c r="C433" s="55" t="n"/>
      <c r="D433" s="55" t="n"/>
      <c r="E433" s="55" t="n"/>
      <c r="F433" s="55" t="n"/>
      <c r="G433" s="56" t="n"/>
      <c r="H433" s="57">
        <f>ROUND(H434,2)</f>
        <v/>
      </c>
    </row>
    <row r="434" ht="20" customHeight="1">
      <c r="A434" s="5" t="inlineStr">
        <is>
          <t>11.2.1</t>
        </is>
      </c>
      <c r="B434" s="5" t="inlineStr">
        <is>
          <t>CONTRAPISO</t>
        </is>
      </c>
      <c r="C434" s="55" t="n"/>
      <c r="D434" s="55" t="n"/>
      <c r="E434" s="55" t="n"/>
      <c r="F434" s="55" t="n"/>
      <c r="G434" s="56" t="n"/>
      <c r="H434" s="57">
        <f>ROUND(SUM(H435:H436),2)</f>
        <v/>
      </c>
    </row>
    <row r="435" ht="32" customHeight="1">
      <c r="A435" s="7" t="inlineStr">
        <is>
          <t>11.2.1.1</t>
        </is>
      </c>
      <c r="B435" s="8" t="inlineStr">
        <is>
          <t>87692</t>
        </is>
      </c>
      <c r="C435" s="9" t="inlineStr">
        <is>
          <t>CONTRAPISO EM ARGAMASSA TRAÇO 1:4 (CIMENTO E AREIA), PREPARO MANUAL, APLICADO EM ÁREAS SECAS SOBRE LAJE, NÃO ADERIDO, ACABAMENTO NÃO REFORÇADO, ESPESSURA 5CM.AF_07/2021</t>
        </is>
      </c>
      <c r="D435" s="8" t="inlineStr">
        <is>
          <t>SINAPI</t>
        </is>
      </c>
      <c r="E435" s="8" t="inlineStr">
        <is>
          <t>M2</t>
        </is>
      </c>
      <c r="F435" s="58" t="n">
        <v>280.59</v>
      </c>
      <c r="G435" s="59">
        <f>COMPOSICOES!G4044</f>
        <v/>
      </c>
      <c r="H435" s="60">
        <f>ROUND(ROUND(F435,2)*ROUND(G435,2),2)</f>
        <v/>
      </c>
      <c r="K435" t="n">
        <v>58.88</v>
      </c>
      <c r="L435">
        <f>G435-K435</f>
        <v/>
      </c>
    </row>
    <row r="436" ht="40" customHeight="1">
      <c r="A436" s="7" t="inlineStr">
        <is>
          <t>11.2.1.2</t>
        </is>
      </c>
      <c r="B436" s="8" t="inlineStr">
        <is>
          <t>87768</t>
        </is>
      </c>
      <c r="C436" s="9" t="inlineStr">
        <is>
          <t>CONTRAPISO EM ARGAMASSA PRONTA, PREPARO MECÂNICO COM MISTURADOR 300 KG, APLICADO EM ÁREAS MOLHADAS SOBRE IMPERMEABILIZAÇÃO, ACABAMENTO NÃO REFORÇADO,ESPESSURA 4CM. AF_07/2021</t>
        </is>
      </c>
      <c r="D436" s="8" t="inlineStr">
        <is>
          <t>SINAPI</t>
        </is>
      </c>
      <c r="E436" s="8" t="inlineStr">
        <is>
          <t>M2</t>
        </is>
      </c>
      <c r="F436" s="58" t="n">
        <v>56.9</v>
      </c>
      <c r="G436" s="59">
        <f>COMPOSICOES!G4059</f>
        <v/>
      </c>
      <c r="H436" s="60">
        <f>ROUND(ROUND(F436,2)*ROUND(G436,2),2)</f>
        <v/>
      </c>
      <c r="K436" t="n">
        <v>179.11</v>
      </c>
      <c r="L436">
        <f>G436-K436</f>
        <v/>
      </c>
    </row>
    <row r="437" ht="20" customHeight="1">
      <c r="A437" s="5" t="inlineStr">
        <is>
          <t>12</t>
        </is>
      </c>
      <c r="B437" s="5" t="inlineStr">
        <is>
          <t>ACABAMENTOS (REVESTIMENTO PARA TETO, PAREDE E PISO)</t>
        </is>
      </c>
      <c r="C437" s="55" t="n"/>
      <c r="D437" s="55" t="n"/>
      <c r="E437" s="55" t="n"/>
      <c r="F437" s="55" t="n"/>
      <c r="G437" s="56" t="n"/>
      <c r="H437" s="57">
        <f>ROUND(H438+H447,2)</f>
        <v/>
      </c>
    </row>
    <row r="438" ht="20" customHeight="1">
      <c r="A438" s="5" t="inlineStr">
        <is>
          <t>12.1</t>
        </is>
      </c>
      <c r="B438" s="5" t="inlineStr">
        <is>
          <t>PAREDE</t>
        </is>
      </c>
      <c r="C438" s="55" t="n"/>
      <c r="D438" s="55" t="n"/>
      <c r="E438" s="55" t="n"/>
      <c r="F438" s="55" t="n"/>
      <c r="G438" s="56" t="n"/>
      <c r="H438" s="57">
        <f>ROUND(H439+H441+H443+H445,2)</f>
        <v/>
      </c>
    </row>
    <row r="439" ht="20" customHeight="1">
      <c r="A439" s="5" t="inlineStr">
        <is>
          <t>12.1.1</t>
        </is>
      </c>
      <c r="B439" s="5" t="inlineStr">
        <is>
          <t>PAREDE (CERÂMICA/AZULEJO/PORCELANATO)</t>
        </is>
      </c>
      <c r="C439" s="55" t="n"/>
      <c r="D439" s="55" t="n"/>
      <c r="E439" s="55" t="n"/>
      <c r="F439" s="55" t="n"/>
      <c r="G439" s="56" t="n"/>
      <c r="H439" s="57">
        <f>ROUND(SUM(H440:H440),2)</f>
        <v/>
      </c>
    </row>
    <row r="440" ht="32" customHeight="1">
      <c r="A440" s="7" t="inlineStr">
        <is>
          <t>12.1.1.1</t>
        </is>
      </c>
      <c r="B440" s="8" t="inlineStr">
        <is>
          <t>87265</t>
        </is>
      </c>
      <c r="C440" s="9" t="inlineStr">
        <is>
          <t>REVESTIMENTO CERÂMICO PARA PAREDES INTERNAS COM PLACAS TIPO ESMALTADA DE DIMENSÕES 20X20 CM APLICADAS NA ALTURA INTEIRA DASPAREDES. AF_02/2023_PE</t>
        </is>
      </c>
      <c r="D440" s="8" t="inlineStr">
        <is>
          <t>SINAPI</t>
        </is>
      </c>
      <c r="E440" s="8" t="inlineStr">
        <is>
          <t>M2</t>
        </is>
      </c>
      <c r="F440" s="58" t="n">
        <v>167.8</v>
      </c>
      <c r="G440" s="59">
        <f>COMPOSICOES!G4073</f>
        <v/>
      </c>
      <c r="H440" s="60">
        <f>ROUND(ROUND(F440,2)*ROUND(G440,2),2)</f>
        <v/>
      </c>
      <c r="K440" t="n">
        <v>67.11</v>
      </c>
      <c r="L440">
        <f>G440-K440</f>
        <v/>
      </c>
    </row>
    <row r="441" ht="20" customHeight="1">
      <c r="A441" s="5" t="inlineStr">
        <is>
          <t>12.1.2</t>
        </is>
      </c>
      <c r="B441" s="5" t="inlineStr">
        <is>
          <t>PAREDE (REVESTIMENTO EM TIJOLO MACIÇO)</t>
        </is>
      </c>
      <c r="C441" s="55" t="n"/>
      <c r="D441" s="55" t="n"/>
      <c r="E441" s="55" t="n"/>
      <c r="F441" s="55" t="n"/>
      <c r="G441" s="56" t="n"/>
      <c r="H441" s="57">
        <f>ROUND(SUM(H442:H442),2)</f>
        <v/>
      </c>
    </row>
    <row r="442" ht="32" customHeight="1">
      <c r="A442" s="7" t="inlineStr">
        <is>
          <t>12.1.2.1</t>
        </is>
      </c>
      <c r="B442" s="8" t="inlineStr">
        <is>
          <t>400
PRÓPRIO</t>
        </is>
      </c>
      <c r="C442" s="9" t="inlineStr">
        <is>
          <t>ALVENARIA DE VEDAÇÃO DE TIJOLO CERÂMICO MACIÇO DE 5 X 10 X 20CM CORTADO AO MEIO (ESPESSURA DA PAREDE 5CM) - ASSENTAMENTOARGAMASSA CIMENTO:CAL:AREIA (1:2:8)</t>
        </is>
      </c>
      <c r="D442" s="8" t="inlineStr">
        <is>
          <t>Composiçõ es Próprias</t>
        </is>
      </c>
      <c r="E442" s="8" t="inlineStr">
        <is>
          <t>M²</t>
        </is>
      </c>
      <c r="F442" s="58" t="n">
        <v>369.98</v>
      </c>
      <c r="G442" s="59">
        <f>COMPOSICOES!G4088</f>
        <v/>
      </c>
      <c r="H442" s="60">
        <f>ROUND(ROUND(F442,2)*ROUND(G442,2),2)</f>
        <v/>
      </c>
      <c r="K442" t="n">
        <v>131.67</v>
      </c>
      <c r="L442">
        <f>G442-K442</f>
        <v/>
      </c>
    </row>
    <row r="443" ht="20" customHeight="1">
      <c r="A443" s="5" t="inlineStr">
        <is>
          <t>12.1.3</t>
        </is>
      </c>
      <c r="B443" s="5" t="inlineStr">
        <is>
          <t>DIVISÓRIA SANITÁRIA</t>
        </is>
      </c>
      <c r="C443" s="55" t="n"/>
      <c r="D443" s="55" t="n"/>
      <c r="E443" s="55" t="n"/>
      <c r="F443" s="55" t="n"/>
      <c r="G443" s="56" t="n"/>
      <c r="H443" s="57">
        <f>ROUND(SUM(H444:H444),2)</f>
        <v/>
      </c>
    </row>
    <row r="444" ht="24" customHeight="1">
      <c r="A444" s="7" t="inlineStr">
        <is>
          <t>12.1.3.1</t>
        </is>
      </c>
      <c r="B444" s="8" t="inlineStr">
        <is>
          <t>102257</t>
        </is>
      </c>
      <c r="C444" s="9" t="inlineStr">
        <is>
          <t>DIVISORIA SANITÁRIA, TIPO CABINE, EM PAINEL DE GRANILITE, ESP = 3CM, ASSENTADO COM ARGAMASSA COLANTE AC III-E, EXCLUSIVE FERRAGENS.AF_01/2021</t>
        </is>
      </c>
      <c r="D444" s="8" t="inlineStr">
        <is>
          <t>SINAPI</t>
        </is>
      </c>
      <c r="E444" s="8" t="inlineStr">
        <is>
          <t>M2</t>
        </is>
      </c>
      <c r="F444" s="58" t="n">
        <v>16.43</v>
      </c>
      <c r="G444" s="59">
        <f>COMPOSICOES!G4106</f>
        <v/>
      </c>
      <c r="H444" s="60">
        <f>ROUND(ROUND(F444,2)*ROUND(G444,2),2)</f>
        <v/>
      </c>
      <c r="K444" t="n">
        <v>368.2</v>
      </c>
      <c r="L444">
        <f>G444-K444</f>
        <v/>
      </c>
    </row>
    <row r="445" ht="20" customHeight="1">
      <c r="A445" s="5" t="inlineStr">
        <is>
          <t>12.1.4</t>
        </is>
      </c>
      <c r="B445" s="5" t="inlineStr">
        <is>
          <t>CHAPIM / PINGADEIRA</t>
        </is>
      </c>
      <c r="C445" s="55" t="n"/>
      <c r="D445" s="55" t="n"/>
      <c r="E445" s="55" t="n"/>
      <c r="F445" s="55" t="n"/>
      <c r="G445" s="56" t="n"/>
      <c r="H445" s="57">
        <f>ROUND(SUM(H446:H446),2)</f>
        <v/>
      </c>
    </row>
    <row r="446" ht="24" customHeight="1">
      <c r="A446" s="7" t="inlineStr">
        <is>
          <t>12.1.4.1</t>
        </is>
      </c>
      <c r="B446" s="8" t="inlineStr">
        <is>
          <t>430
PRÓPRIO</t>
        </is>
      </c>
      <c r="C446" s="9" t="inlineStr">
        <is>
          <t>CHAPIM SOBRE MUROS/PAREDES LINEARES, EM PRÉ MOLDADO DE CONCRETO, COMPRIMENTO MAIOR QUE 6M, ASSENTADO COM ARGAMASSA 1:6COM ADITIVO</t>
        </is>
      </c>
      <c r="D446" s="8" t="inlineStr">
        <is>
          <t>Composiçõ es Próprias</t>
        </is>
      </c>
      <c r="E446" s="8" t="inlineStr">
        <is>
          <t>M</t>
        </is>
      </c>
      <c r="F446" s="58" t="n">
        <v>99.48</v>
      </c>
      <c r="G446" s="59">
        <f>COMPOSICOES!G4125</f>
        <v/>
      </c>
      <c r="H446" s="60">
        <f>ROUND(ROUND(F446,2)*ROUND(G446,2),2)</f>
        <v/>
      </c>
      <c r="K446" t="n">
        <v>84.56999999999999</v>
      </c>
      <c r="L446">
        <f>G446-K446</f>
        <v/>
      </c>
    </row>
    <row r="447" ht="20" customHeight="1">
      <c r="A447" s="5" t="inlineStr">
        <is>
          <t>12.2</t>
        </is>
      </c>
      <c r="B447" s="5" t="inlineStr">
        <is>
          <t>PISO</t>
        </is>
      </c>
      <c r="C447" s="55" t="n"/>
      <c r="D447" s="55" t="n"/>
      <c r="E447" s="55" t="n"/>
      <c r="F447" s="55" t="n"/>
      <c r="G447" s="56" t="n"/>
      <c r="H447" s="57">
        <f>ROUND(H448+H450+H453,2)</f>
        <v/>
      </c>
    </row>
    <row r="448" ht="20" customHeight="1">
      <c r="A448" s="5" t="inlineStr">
        <is>
          <t>12.2.1</t>
        </is>
      </c>
      <c r="B448" s="5" t="inlineStr">
        <is>
          <t>PISO (CERÂMICA/PORCELANATO)</t>
        </is>
      </c>
      <c r="C448" s="55" t="n"/>
      <c r="D448" s="55" t="n"/>
      <c r="E448" s="55" t="n"/>
      <c r="F448" s="55" t="n"/>
      <c r="G448" s="56" t="n"/>
      <c r="H448" s="57">
        <f>ROUND(SUM(H449:H449),2)</f>
        <v/>
      </c>
    </row>
    <row r="449" ht="24" customHeight="1">
      <c r="A449" s="7" t="inlineStr">
        <is>
          <t>12.2.1.1</t>
        </is>
      </c>
      <c r="B449" s="8" t="inlineStr">
        <is>
          <t>104598</t>
        </is>
      </c>
      <c r="C449" s="9" t="inlineStr">
        <is>
          <t>REVESTIMENTO CERÂMICO PARA PISO COM PLACAS TIPO PORCELANATO DE DIMENSÕES 80X80 CM APLICADA EM AMBIENTES DE ÁREA MAIOR QUE 10 M².AF_02/2023_PE</t>
        </is>
      </c>
      <c r="D449" s="8" t="inlineStr">
        <is>
          <t>SINAPI</t>
        </is>
      </c>
      <c r="E449" s="8" t="inlineStr">
        <is>
          <t>M2</t>
        </is>
      </c>
      <c r="F449" s="58" t="n">
        <v>53.57</v>
      </c>
      <c r="G449" s="59">
        <f>COMPOSICOES!G4139</f>
        <v/>
      </c>
      <c r="H449" s="60">
        <f>ROUND(ROUND(F449,2)*ROUND(G449,2),2)</f>
        <v/>
      </c>
      <c r="K449" t="n">
        <v>134.69</v>
      </c>
      <c r="L449">
        <f>G449-K449</f>
        <v/>
      </c>
    </row>
    <row r="450" ht="20" customHeight="1">
      <c r="A450" s="5" t="inlineStr">
        <is>
          <t>12.2.2</t>
        </is>
      </c>
      <c r="B450" s="5" t="inlineStr">
        <is>
          <t>PISO (GRANITINA/GRANILITE)</t>
        </is>
      </c>
      <c r="C450" s="55" t="n"/>
      <c r="D450" s="55" t="n"/>
      <c r="E450" s="55" t="n"/>
      <c r="F450" s="55" t="n"/>
      <c r="G450" s="56" t="n"/>
      <c r="H450" s="57">
        <f>ROUND(SUM(H451:H452),2)</f>
        <v/>
      </c>
    </row>
    <row r="451" ht="40" customHeight="1">
      <c r="A451" s="7" t="inlineStr">
        <is>
          <t>12.2.2.1</t>
        </is>
      </c>
      <c r="B451" s="8" t="inlineStr">
        <is>
          <t>104162</t>
        </is>
      </c>
      <c r="C451" s="9" t="inlineStr">
        <is>
          <t>PISO EM GRANILITE, MARMORITE OU GRANITINA EM AMBIENTES INTERNOS, COM ESPESSURA DE 8 MM, INCLUSO MISTURA EM BETONEIRA, COLOCAÇÃO DAS JUNTAS, APLICAÇÃO DO PISO, 4 POLIMENTOS COM POLITRIZ, ESTUCAMENTO, SELADOR E CERA.AF_06/2022</t>
        </is>
      </c>
      <c r="D451" s="8" t="inlineStr">
        <is>
          <t>SINAPI</t>
        </is>
      </c>
      <c r="E451" s="8" t="inlineStr">
        <is>
          <t>M2</t>
        </is>
      </c>
      <c r="F451" s="58" t="n">
        <v>276.66</v>
      </c>
      <c r="G451" s="59">
        <f>COMPOSICOES!G4161</f>
        <v/>
      </c>
      <c r="H451" s="60">
        <f>ROUND(ROUND(F451,2)*ROUND(G451,2),2)</f>
        <v/>
      </c>
      <c r="K451" t="n">
        <v>102.71</v>
      </c>
      <c r="L451">
        <f>G451-K451</f>
        <v/>
      </c>
    </row>
    <row r="452" ht="24" customHeight="1">
      <c r="A452" s="7" t="inlineStr">
        <is>
          <t>12.2.2.2</t>
        </is>
      </c>
      <c r="B452" s="8" t="inlineStr">
        <is>
          <t>413
PRÓPRIO</t>
        </is>
      </c>
      <c r="C452" s="9" t="inlineStr">
        <is>
          <t>GRELHA DE FECHAMENTO DA CANALETA EM PLACA DE CONCRETO ARAMADO REVESTIDO COM GRANITINA CINZA (L=67.50CM - P= 58.90CM - H= 7CM)</t>
        </is>
      </c>
      <c r="D452" s="8" t="inlineStr">
        <is>
          <t>Composiçõ es Próprias</t>
        </is>
      </c>
      <c r="E452" s="8" t="inlineStr">
        <is>
          <t>UN</t>
        </is>
      </c>
      <c r="F452" s="58" t="n">
        <v>16</v>
      </c>
      <c r="G452" s="59">
        <f>COMPOSICOES!G4174</f>
        <v/>
      </c>
      <c r="H452" s="60">
        <f>ROUND(ROUND(F452,2)*ROUND(G452,2),2)</f>
        <v/>
      </c>
      <c r="K452" t="n">
        <v>427.02</v>
      </c>
      <c r="L452">
        <f>G452-K452</f>
        <v/>
      </c>
    </row>
    <row r="453" ht="20" customHeight="1">
      <c r="A453" s="5" t="inlineStr">
        <is>
          <t>12.2.3</t>
        </is>
      </c>
      <c r="B453" s="5" t="inlineStr">
        <is>
          <t>PISO (PODOTÁTIL)</t>
        </is>
      </c>
      <c r="C453" s="55" t="n"/>
      <c r="D453" s="55" t="n"/>
      <c r="E453" s="55" t="n"/>
      <c r="F453" s="55" t="n"/>
      <c r="G453" s="56" t="n"/>
      <c r="H453" s="57">
        <f>ROUND(SUM(H454:H454),2)</f>
        <v/>
      </c>
    </row>
    <row r="454" ht="20" customHeight="1">
      <c r="A454" s="7" t="inlineStr">
        <is>
          <t>12.2.3.1</t>
        </is>
      </c>
      <c r="B454" s="8" t="inlineStr">
        <is>
          <t>474
PRÓPRIO</t>
        </is>
      </c>
      <c r="C454" s="9" t="inlineStr">
        <is>
          <t>PISO TÁTIL DIRECIONAL / ALERTA - PLACA 25 X 25CM - VÁRIAS CORES</t>
        </is>
      </c>
      <c r="D454" s="8" t="inlineStr">
        <is>
          <t xml:space="preserve">Composiçõ es
</t>
        </is>
      </c>
      <c r="E454" s="8" t="inlineStr">
        <is>
          <t>UN</t>
        </is>
      </c>
      <c r="F454" s="58" t="n">
        <v>91</v>
      </c>
      <c r="G454" s="59">
        <f>COMPOSICOES!G4186</f>
        <v/>
      </c>
      <c r="H454" s="60">
        <f>ROUND(ROUND(F454,2)*ROUND(G454,2),2)</f>
        <v/>
      </c>
      <c r="K454" t="n">
        <v>28.5</v>
      </c>
      <c r="L454">
        <f>G454-K454</f>
        <v/>
      </c>
    </row>
    <row r="455" ht="20" customHeight="1">
      <c r="A455" s="5" t="inlineStr">
        <is>
          <t>13</t>
        </is>
      </c>
      <c r="B455" s="5" t="inlineStr">
        <is>
          <t>ACABAMENTOS (HIDROSSANITÁRIOS)</t>
        </is>
      </c>
      <c r="C455" s="55" t="n"/>
      <c r="D455" s="55" t="n"/>
      <c r="E455" s="55" t="n"/>
      <c r="F455" s="55" t="n"/>
      <c r="G455" s="56" t="n"/>
      <c r="H455" s="57">
        <f>ROUND(H456+H461+H470+H477+H482+H486+H489+H495+H500,2)</f>
        <v/>
      </c>
    </row>
    <row r="456" ht="20" customHeight="1">
      <c r="A456" s="5" t="inlineStr">
        <is>
          <t>13.1</t>
        </is>
      </c>
      <c r="B456" s="5" t="inlineStr">
        <is>
          <t>BANCADAS</t>
        </is>
      </c>
      <c r="C456" s="55" t="n"/>
      <c r="D456" s="55" t="n"/>
      <c r="E456" s="55" t="n"/>
      <c r="F456" s="55" t="n"/>
      <c r="G456" s="56" t="n"/>
      <c r="H456" s="57">
        <f>ROUND(H457,2)</f>
        <v/>
      </c>
    </row>
    <row r="457" ht="20" customHeight="1">
      <c r="A457" s="5" t="inlineStr">
        <is>
          <t>13.1.1</t>
        </is>
      </c>
      <c r="B457" s="5" t="inlineStr">
        <is>
          <t>BANCADAS (MÁRMORE E/OU GRANITO)</t>
        </is>
      </c>
      <c r="C457" s="55" t="n"/>
      <c r="D457" s="55" t="n"/>
      <c r="E457" s="55" t="n"/>
      <c r="F457" s="55" t="n"/>
      <c r="G457" s="56" t="n"/>
      <c r="H457" s="57">
        <f>ROUND(SUM(H458:H460),2)</f>
        <v/>
      </c>
    </row>
    <row r="458" ht="24" customHeight="1">
      <c r="A458" s="7" t="inlineStr">
        <is>
          <t>13.1.1.1</t>
        </is>
      </c>
      <c r="B458" s="8" t="inlineStr">
        <is>
          <t>211
PRÓPRIO</t>
        </is>
      </c>
      <c r="C458" s="9" t="inlineStr">
        <is>
          <t>BANCADA PARA LAVATÓRIO EM GRANITO - FUROS (CUBA + TORNEIRA) - COM ESPELHO - ACABAMENTO TIPO SAIA (10CM)- COR: BRANCO SIENA</t>
        </is>
      </c>
      <c r="D458" s="8" t="inlineStr">
        <is>
          <t>Composiçõ es Próprias</t>
        </is>
      </c>
      <c r="E458" s="8" t="inlineStr">
        <is>
          <t>M²</t>
        </is>
      </c>
      <c r="F458" s="58" t="n">
        <v>2.07</v>
      </c>
      <c r="G458" s="59">
        <f>COMPOSICOES!G4201</f>
        <v/>
      </c>
      <c r="H458" s="60">
        <f>ROUND(ROUND(F458,2)*ROUND(G458,2),2)</f>
        <v/>
      </c>
      <c r="K458" t="n">
        <v>132.82</v>
      </c>
      <c r="L458">
        <f>G458-K458</f>
        <v/>
      </c>
    </row>
    <row r="459" ht="24" customHeight="1">
      <c r="A459" s="7" t="inlineStr">
        <is>
          <t>13.1.1.2</t>
        </is>
      </c>
      <c r="B459" s="8" t="inlineStr">
        <is>
          <t>401
PRÓPRIO</t>
        </is>
      </c>
      <c r="C459" s="9" t="inlineStr">
        <is>
          <t>BANCADA PARA COZINHA/ÁREA DE SERVIÇO EM GRANITO - SECA - SEM FURO- SEM ESPELHO - ACABAMENTO DUPLORETO (COR: BRANCO SIENA)</t>
        </is>
      </c>
      <c r="D459" s="8" t="inlineStr">
        <is>
          <t>Composiçõ es Próprias</t>
        </is>
      </c>
      <c r="E459" s="8" t="inlineStr">
        <is>
          <t>M²</t>
        </is>
      </c>
      <c r="F459" s="58" t="n">
        <v>3.48</v>
      </c>
      <c r="G459" s="59">
        <f>COMPOSICOES!G4216</f>
        <v/>
      </c>
      <c r="H459" s="60">
        <f>ROUND(ROUND(F459,2)*ROUND(G459,2),2)</f>
        <v/>
      </c>
      <c r="K459" t="n">
        <v>132.82</v>
      </c>
      <c r="L459">
        <f>G459-K459</f>
        <v/>
      </c>
    </row>
    <row r="460" ht="32" customHeight="1">
      <c r="A460" s="7" t="inlineStr">
        <is>
          <t>13.1.1.3</t>
        </is>
      </c>
      <c r="B460" s="8" t="inlineStr">
        <is>
          <t>402
PRÓPRIO</t>
        </is>
      </c>
      <c r="C460" s="9" t="inlineStr">
        <is>
          <t>BANCADA PARA COZINHA/ÁREA SERVIÇO EM GRANITO - ÁREA MOLHADA - FUROS (CUBA + COOKTOP + TORNEIRA) - COM ESPELHO - ACABAMENTO DUPLO RETO(COR: BRANCO SIENA)</t>
        </is>
      </c>
      <c r="D460" s="8" t="inlineStr">
        <is>
          <t>Composiçõ es Próprias</t>
        </is>
      </c>
      <c r="E460" s="8" t="inlineStr">
        <is>
          <t>M²</t>
        </is>
      </c>
      <c r="F460" s="58" t="n">
        <v>4.36</v>
      </c>
      <c r="G460" s="59">
        <f>COMPOSICOES!G4231</f>
        <v/>
      </c>
      <c r="H460" s="60">
        <f>ROUND(ROUND(F460,2)*ROUND(G460,2),2)</f>
        <v/>
      </c>
      <c r="K460" t="n">
        <v>149.02</v>
      </c>
      <c r="L460">
        <f>G460-K460</f>
        <v/>
      </c>
    </row>
    <row r="461" ht="20" customHeight="1">
      <c r="A461" s="5" t="inlineStr">
        <is>
          <t>13.2</t>
        </is>
      </c>
      <c r="B461" s="5" t="inlineStr">
        <is>
          <t>CUBAS, TANQUES E LAVATÓRIOS</t>
        </is>
      </c>
      <c r="C461" s="55" t="n"/>
      <c r="D461" s="55" t="n"/>
      <c r="E461" s="55" t="n"/>
      <c r="F461" s="55" t="n"/>
      <c r="G461" s="56" t="n"/>
      <c r="H461" s="57">
        <f>ROUND(H462+H464+H466+H468,2)</f>
        <v/>
      </c>
    </row>
    <row r="462" ht="20" customHeight="1">
      <c r="A462" s="5" t="inlineStr">
        <is>
          <t>13.2.1</t>
        </is>
      </c>
      <c r="B462" s="5" t="inlineStr">
        <is>
          <t>CUBAS DE LOUÇA</t>
        </is>
      </c>
      <c r="C462" s="55" t="n"/>
      <c r="D462" s="55" t="n"/>
      <c r="E462" s="55" t="n"/>
      <c r="F462" s="55" t="n"/>
      <c r="G462" s="56" t="n"/>
      <c r="H462" s="57">
        <f>ROUND(SUM(H463:H463),2)</f>
        <v/>
      </c>
    </row>
    <row r="463" ht="20" customHeight="1">
      <c r="A463" s="7" t="inlineStr">
        <is>
          <t>13.2.1.1</t>
        </is>
      </c>
      <c r="B463" s="8" t="inlineStr">
        <is>
          <t>414
PRÓPRIO</t>
        </is>
      </c>
      <c r="C463" s="9" t="inlineStr">
        <is>
          <t>CUBA DE LOUÇA, SEMI-ENCAIXE BRANCA (INCLUI SIFÃO, ENGATE, VÁLVULA - NÃOINCLUI TORNEIRA)</t>
        </is>
      </c>
      <c r="D463" s="8" t="inlineStr">
        <is>
          <t xml:space="preserve">Composiçõ es
</t>
        </is>
      </c>
      <c r="E463" s="8" t="inlineStr">
        <is>
          <t>UN</t>
        </is>
      </c>
      <c r="F463" s="58" t="n">
        <v>8</v>
      </c>
      <c r="G463" s="59">
        <f>COMPOSICOES!G4248</f>
        <v/>
      </c>
      <c r="H463" s="60">
        <f>ROUND(ROUND(F463,2)*ROUND(G463,2),2)</f>
        <v/>
      </c>
      <c r="K463" t="n">
        <v>1103.82</v>
      </c>
      <c r="L463">
        <f>G463-K463</f>
        <v/>
      </c>
    </row>
    <row r="464" ht="20" customHeight="1">
      <c r="A464" s="5" t="inlineStr">
        <is>
          <t>13.2.2</t>
        </is>
      </c>
      <c r="B464" s="5" t="inlineStr">
        <is>
          <t>CUBAS METÁLICAS</t>
        </is>
      </c>
      <c r="C464" s="55" t="n"/>
      <c r="D464" s="55" t="n"/>
      <c r="E464" s="55" t="n"/>
      <c r="F464" s="55" t="n"/>
      <c r="G464" s="56" t="n"/>
      <c r="H464" s="57">
        <f>ROUND(SUM(H465:H465),2)</f>
        <v/>
      </c>
    </row>
    <row r="465" ht="20" customHeight="1">
      <c r="A465" s="7" t="inlineStr">
        <is>
          <t>13.2.2.1</t>
        </is>
      </c>
      <c r="B465" s="8" t="inlineStr">
        <is>
          <t>100852</t>
        </is>
      </c>
      <c r="C465" s="9" t="inlineStr">
        <is>
          <t>CUBA DE EMBUTIR RETANGULAR DE AÇO INOXIDÁVEL, 56 X 33 X 12 CM - FORNECIMENTO E INSTALAÇÃO.AF_01/2020</t>
        </is>
      </c>
      <c r="D465" s="8" t="inlineStr">
        <is>
          <t>SINAPI</t>
        </is>
      </c>
      <c r="E465" s="8" t="inlineStr">
        <is>
          <t>UN</t>
        </is>
      </c>
      <c r="F465" s="58" t="n">
        <v>1</v>
      </c>
      <c r="G465" s="59">
        <f>COMPOSICOES!G4261</f>
        <v/>
      </c>
      <c r="H465" s="60">
        <f>ROUND(ROUND(F465,2)*ROUND(G465,2),2)</f>
        <v/>
      </c>
      <c r="K465" t="n">
        <v>201.69</v>
      </c>
      <c r="L465">
        <f>G465-K465</f>
        <v/>
      </c>
    </row>
    <row r="466" ht="20" customHeight="1">
      <c r="A466" s="5" t="inlineStr">
        <is>
          <t>13.2.3</t>
        </is>
      </c>
      <c r="B466" s="5" t="inlineStr">
        <is>
          <t>TANQUE METÁLICO</t>
        </is>
      </c>
      <c r="C466" s="55" t="n"/>
      <c r="D466" s="55" t="n"/>
      <c r="E466" s="55" t="n"/>
      <c r="F466" s="55" t="n"/>
      <c r="G466" s="56" t="n"/>
      <c r="H466" s="57">
        <f>ROUND(SUM(H467:H467),2)</f>
        <v/>
      </c>
    </row>
    <row r="467" ht="24" customHeight="1">
      <c r="A467" s="7" t="inlineStr">
        <is>
          <t>13.2.3.1</t>
        </is>
      </c>
      <c r="B467" s="8" t="inlineStr">
        <is>
          <t>153
PRÓPRIO</t>
        </is>
      </c>
      <c r="C467" s="9" t="inlineStr">
        <is>
          <t>TANQUE METÁLICO DE SOBREPOR COM VÁLVULA E SIFÃO - FORNECIMENTO E INSTALAÇÃO (FABR: MEKAL - CÓDIGO:CT-50 - 50 X 40 X 23CM - COR: CROMADO)</t>
        </is>
      </c>
      <c r="D467" s="8" t="inlineStr">
        <is>
          <t>Composiçõ es Próprias</t>
        </is>
      </c>
      <c r="E467" s="8" t="inlineStr">
        <is>
          <t>UN</t>
        </is>
      </c>
      <c r="F467" s="58" t="n">
        <v>1</v>
      </c>
      <c r="G467" s="59">
        <f>COMPOSICOES!G4274</f>
        <v/>
      </c>
      <c r="H467" s="60">
        <f>ROUND(ROUND(F467,2)*ROUND(G467,2),2)</f>
        <v/>
      </c>
      <c r="K467" t="n">
        <v>99.93000000000001</v>
      </c>
      <c r="L467">
        <f>G467-K467</f>
        <v/>
      </c>
    </row>
    <row r="468" ht="20" customHeight="1">
      <c r="A468" s="5" t="inlineStr">
        <is>
          <t>13.2.4</t>
        </is>
      </c>
      <c r="B468" s="5" t="inlineStr">
        <is>
          <t>LAVATÓRIO DE LOUÇA (PCD)</t>
        </is>
      </c>
      <c r="C468" s="55" t="n"/>
      <c r="D468" s="55" t="n"/>
      <c r="E468" s="55" t="n"/>
      <c r="F468" s="55" t="n"/>
      <c r="G468" s="56" t="n"/>
      <c r="H468" s="57">
        <f>ROUND(SUM(H469:H469),2)</f>
        <v/>
      </c>
    </row>
    <row r="469" ht="48" customHeight="1">
      <c r="A469" s="7" t="inlineStr">
        <is>
          <t>13.2.4.1</t>
        </is>
      </c>
      <c r="B469" s="8" t="inlineStr">
        <is>
          <t>86941</t>
        </is>
      </c>
      <c r="C469" s="9" t="inlineStr">
        <is>
          <t>LAVATÓRIO LOUÇA BRANCA COM COLUNA,45 X 55CM OU EQUIVALENTE, PADRÃO MÉDIO, INCLUSO SIFÃO TIPO GARRAFA, VÁLVULA E ENGATE FLEXÍVEL DE 40CM EM METAL CROMADO, COM TORNEIRA CROMADA DE MESA, PADRÃO MÉDIO - FORNECIMENTO E INSTALAÇÃO. AF_01/2020</t>
        </is>
      </c>
      <c r="D469" s="8" t="inlineStr">
        <is>
          <t>SINAPI</t>
        </is>
      </c>
      <c r="E469" s="8" t="inlineStr">
        <is>
          <t>UN</t>
        </is>
      </c>
      <c r="F469" s="58" t="n">
        <v>3</v>
      </c>
      <c r="G469" s="59">
        <f>COMPOSICOES!G4286</f>
        <v/>
      </c>
      <c r="H469" s="60">
        <f>ROUND(ROUND(F469,2)*ROUND(G469,2),2)</f>
        <v/>
      </c>
      <c r="K469" t="n">
        <v>945.4400000000001</v>
      </c>
      <c r="L469">
        <f>G469-K469</f>
        <v/>
      </c>
    </row>
    <row r="470" ht="20" customHeight="1">
      <c r="A470" s="5" t="inlineStr">
        <is>
          <t>13.3</t>
        </is>
      </c>
      <c r="B470" s="5" t="inlineStr">
        <is>
          <t>TORNEIRAS</t>
        </is>
      </c>
      <c r="C470" s="55" t="n"/>
      <c r="D470" s="55" t="n"/>
      <c r="E470" s="55" t="n"/>
      <c r="F470" s="55" t="n"/>
      <c r="G470" s="56" t="n"/>
      <c r="H470" s="57">
        <f>ROUND(H471+H473+H475,2)</f>
        <v/>
      </c>
    </row>
    <row r="471" ht="20" customHeight="1">
      <c r="A471" s="5" t="inlineStr">
        <is>
          <t>13.3.1</t>
        </is>
      </c>
      <c r="B471" s="5" t="inlineStr">
        <is>
          <t>TORNEIRA PARA LAVATÓRIO</t>
        </is>
      </c>
      <c r="C471" s="55" t="n"/>
      <c r="D471" s="55" t="n"/>
      <c r="E471" s="55" t="n"/>
      <c r="F471" s="55" t="n"/>
      <c r="G471" s="56" t="n"/>
      <c r="H471" s="57">
        <f>ROUND(SUM(H472:H472),2)</f>
        <v/>
      </c>
    </row>
    <row r="472" ht="24" customHeight="1">
      <c r="A472" s="7" t="inlineStr">
        <is>
          <t>13.3.1.1</t>
        </is>
      </c>
      <c r="B472" s="8" t="inlineStr">
        <is>
          <t>365
PRÓPRIO</t>
        </is>
      </c>
      <c r="C472" s="9" t="inlineStr">
        <is>
          <t>TORNEIRA CROMADA DE MESA PARA LAVATÓRIO TEMPORIZADA POR PRESSÃO COM FECHAMENTO AUTOMÁTICO, BICABAIXA</t>
        </is>
      </c>
      <c r="D472" s="8" t="inlineStr">
        <is>
          <t>Composiçõ es Próprias</t>
        </is>
      </c>
      <c r="E472" s="8" t="inlineStr">
        <is>
          <t>UN</t>
        </is>
      </c>
      <c r="F472" s="58" t="n">
        <v>11</v>
      </c>
      <c r="G472" s="59">
        <f>COMPOSICOES!G4299</f>
        <v/>
      </c>
      <c r="H472" s="60">
        <f>ROUND(ROUND(F472,2)*ROUND(G472,2),2)</f>
        <v/>
      </c>
      <c r="K472" t="n">
        <v>176.1</v>
      </c>
      <c r="L472">
        <f>G472-K472</f>
        <v/>
      </c>
    </row>
    <row r="473" ht="20" customHeight="1">
      <c r="A473" s="5" t="inlineStr">
        <is>
          <t>13.3.2</t>
        </is>
      </c>
      <c r="B473" s="5" t="inlineStr">
        <is>
          <t>TORNEIRA PARA PIA DE COZINHA</t>
        </is>
      </c>
      <c r="C473" s="55" t="n"/>
      <c r="D473" s="55" t="n"/>
      <c r="E473" s="55" t="n"/>
      <c r="F473" s="55" t="n"/>
      <c r="G473" s="56" t="n"/>
      <c r="H473" s="57">
        <f>ROUND(SUM(H474:H474),2)</f>
        <v/>
      </c>
    </row>
    <row r="474" ht="24" customHeight="1">
      <c r="A474" s="7" t="inlineStr">
        <is>
          <t>13.3.2.1</t>
        </is>
      </c>
      <c r="B474" s="8" t="inlineStr">
        <is>
          <t>86910</t>
        </is>
      </c>
      <c r="C474" s="9" t="inlineStr">
        <is>
          <t>TORNEIRA CROMADA TUBO MÓVEL, DE PAREDE, 1/2" OU 3/4", PARA PIA DE COZINHA, PADRÃO MÉDIO - FORNECIMENTO E INSTALAÇÃO.AF_01/2020</t>
        </is>
      </c>
      <c r="D474" s="8" t="inlineStr">
        <is>
          <t>SINAPI</t>
        </is>
      </c>
      <c r="E474" s="8" t="inlineStr">
        <is>
          <t>UN</t>
        </is>
      </c>
      <c r="F474" s="58" t="n">
        <v>1</v>
      </c>
      <c r="G474" s="59">
        <f>COMPOSICOES!G4312</f>
        <v/>
      </c>
      <c r="H474" s="60">
        <f>ROUND(ROUND(F474,2)*ROUND(G474,2),2)</f>
        <v/>
      </c>
      <c r="K474" t="n">
        <v>132.55</v>
      </c>
      <c r="L474">
        <f>G474-K474</f>
        <v/>
      </c>
    </row>
    <row r="475" ht="20" customHeight="1">
      <c r="A475" s="5" t="inlineStr">
        <is>
          <t>13.3.3</t>
        </is>
      </c>
      <c r="B475" s="5" t="inlineStr">
        <is>
          <t>TORNEIRA PARA TANQUE</t>
        </is>
      </c>
      <c r="C475" s="55" t="n"/>
      <c r="D475" s="55" t="n"/>
      <c r="E475" s="55" t="n"/>
      <c r="F475" s="55" t="n"/>
      <c r="G475" s="56" t="n"/>
      <c r="H475" s="57">
        <f>ROUND(SUM(H476:H476),2)</f>
        <v/>
      </c>
    </row>
    <row r="476" ht="20" customHeight="1">
      <c r="A476" s="7" t="inlineStr">
        <is>
          <t>13.3.3.1</t>
        </is>
      </c>
      <c r="B476" s="8" t="inlineStr">
        <is>
          <t>86914</t>
        </is>
      </c>
      <c r="C476" s="9" t="inlineStr">
        <is>
          <t>TORNEIRA CROMADA 1/2" OU 3/4" PARA TANQUE, PADRÃO MÉDIO - FORNECIMENTO E INSTALAÇÃO.AF_01/2020</t>
        </is>
      </c>
      <c r="D476" s="8" t="inlineStr">
        <is>
          <t>SINAPI</t>
        </is>
      </c>
      <c r="E476" s="8" t="inlineStr">
        <is>
          <t>UN</t>
        </is>
      </c>
      <c r="F476" s="58" t="n">
        <v>1</v>
      </c>
      <c r="G476" s="59">
        <f>COMPOSICOES!G4325</f>
        <v/>
      </c>
      <c r="H476" s="60">
        <f>ROUND(ROUND(F476,2)*ROUND(G476,2),2)</f>
        <v/>
      </c>
      <c r="K476" t="n">
        <v>102.12</v>
      </c>
      <c r="L476">
        <f>G476-K476</f>
        <v/>
      </c>
    </row>
    <row r="477" ht="20" customHeight="1">
      <c r="A477" s="5" t="inlineStr">
        <is>
          <t>13.4</t>
        </is>
      </c>
      <c r="B477" s="5" t="inlineStr">
        <is>
          <t>BACIA SANITÁRIA</t>
        </is>
      </c>
      <c r="C477" s="55" t="n"/>
      <c r="D477" s="55" t="n"/>
      <c r="E477" s="55" t="n"/>
      <c r="F477" s="55" t="n"/>
      <c r="G477" s="56" t="n"/>
      <c r="H477" s="57">
        <f>ROUND(H478,2)</f>
        <v/>
      </c>
    </row>
    <row r="478" ht="20" customHeight="1">
      <c r="A478" s="5" t="inlineStr">
        <is>
          <t>13.4.1</t>
        </is>
      </c>
      <c r="B478" s="5" t="inlineStr">
        <is>
          <t>BACIA DE LOUÇA COM CAIXA ACOPLADA</t>
        </is>
      </c>
      <c r="C478" s="55" t="n"/>
      <c r="D478" s="55" t="n"/>
      <c r="E478" s="55" t="n"/>
      <c r="F478" s="55" t="n"/>
      <c r="G478" s="56" t="n"/>
      <c r="H478" s="57">
        <f>ROUND(SUM(H479:H481),2)</f>
        <v/>
      </c>
    </row>
    <row r="479" ht="20" customHeight="1">
      <c r="A479" s="7" t="inlineStr">
        <is>
          <t>13.4.1.1</t>
        </is>
      </c>
      <c r="B479" s="8" t="inlineStr">
        <is>
          <t>100849</t>
        </is>
      </c>
      <c r="C479" s="9" t="inlineStr">
        <is>
          <t>ASSENTO SANITÁRIO CONVENCIONAL - FORNECIMENTO E INSTALACAO.AF_01/2020</t>
        </is>
      </c>
      <c r="D479" s="8" t="inlineStr">
        <is>
          <t>SINAPI</t>
        </is>
      </c>
      <c r="E479" s="8" t="inlineStr">
        <is>
          <t>UN</t>
        </is>
      </c>
      <c r="F479" s="58" t="n">
        <v>6</v>
      </c>
      <c r="G479" s="59">
        <f>COMPOSICOES!G4337</f>
        <v/>
      </c>
      <c r="H479" s="60">
        <f>ROUND(ROUND(F479,2)*ROUND(G479,2),2)</f>
        <v/>
      </c>
      <c r="K479" t="n">
        <v>45.67</v>
      </c>
      <c r="L479">
        <f>G479-K479</f>
        <v/>
      </c>
    </row>
    <row r="480" ht="32" customHeight="1">
      <c r="A480" s="7" t="inlineStr">
        <is>
          <t>13.4.1.2</t>
        </is>
      </c>
      <c r="B480" s="8" t="inlineStr">
        <is>
          <t>86932</t>
        </is>
      </c>
      <c r="C480" s="9" t="inlineStr">
        <is>
          <t>VASO SANITÁRIO SIFONADO COM CAIXA ACOPLADA LOUÇA BRANCA - PADRÃO MÉDIO, INCLUSO ENGATE FLEXÍVEL EM METAL CROMADO, 1/2 X 40CM - FORNECIMENTO E INSTALAÇÃO.AF_01/2020</t>
        </is>
      </c>
      <c r="D480" s="8" t="inlineStr">
        <is>
          <t>SINAPI</t>
        </is>
      </c>
      <c r="E480" s="8" t="inlineStr">
        <is>
          <t>UN</t>
        </is>
      </c>
      <c r="F480" s="58" t="n">
        <v>6</v>
      </c>
      <c r="G480" s="59">
        <f>COMPOSICOES!G4346</f>
        <v/>
      </c>
      <c r="H480" s="60">
        <f>ROUND(ROUND(F480,2)*ROUND(G480,2),2)</f>
        <v/>
      </c>
      <c r="K480" t="n">
        <v>598.84</v>
      </c>
      <c r="L480">
        <f>G480-K480</f>
        <v/>
      </c>
    </row>
    <row r="481" ht="24" customHeight="1">
      <c r="A481" s="7" t="inlineStr">
        <is>
          <t>13.4.1.3</t>
        </is>
      </c>
      <c r="B481" s="8" t="inlineStr">
        <is>
          <t>404
PRÓPRIO</t>
        </is>
      </c>
      <c r="C481" s="9" t="inlineStr">
        <is>
          <t>VASO SANITÁRIO SIFONADO COM CAIXA ACOPLADA PARA PCD - INCLUSO KIT FIXAÇÃO, ENGATE FLEXÍVEL METÁLICO E ASSENTO - FORNECIMENTO EINSTALAÇÃO</t>
        </is>
      </c>
      <c r="D481" s="8" t="inlineStr">
        <is>
          <t>Composiçõ es Próprias</t>
        </is>
      </c>
      <c r="E481" s="8" t="inlineStr">
        <is>
          <t>UN</t>
        </is>
      </c>
      <c r="F481" s="58" t="n">
        <v>3</v>
      </c>
      <c r="G481" s="59">
        <f>COMPOSICOES!G4365</f>
        <v/>
      </c>
      <c r="H481" s="60">
        <f>ROUND(ROUND(F481,2)*ROUND(G481,2),2)</f>
        <v/>
      </c>
      <c r="K481" t="n">
        <v>1402.99</v>
      </c>
      <c r="L481">
        <f>G481-K481</f>
        <v/>
      </c>
    </row>
    <row r="482" ht="20" customHeight="1">
      <c r="A482" s="5" t="inlineStr">
        <is>
          <t>13.5</t>
        </is>
      </c>
      <c r="B482" s="5" t="inlineStr">
        <is>
          <t>MICTÓRIO</t>
        </is>
      </c>
      <c r="C482" s="55" t="n"/>
      <c r="D482" s="55" t="n"/>
      <c r="E482" s="55" t="n"/>
      <c r="F482" s="55" t="n"/>
      <c r="G482" s="56" t="n"/>
      <c r="H482" s="57">
        <f>ROUND(H483,2)</f>
        <v/>
      </c>
    </row>
    <row r="483" ht="20" customHeight="1">
      <c r="A483" s="5" t="inlineStr">
        <is>
          <t>13.5.1</t>
        </is>
      </c>
      <c r="B483" s="5" t="inlineStr">
        <is>
          <t>MICTÓRIO DE LOUÇA</t>
        </is>
      </c>
      <c r="C483" s="55" t="n"/>
      <c r="D483" s="55" t="n"/>
      <c r="E483" s="55" t="n"/>
      <c r="F483" s="55" t="n"/>
      <c r="G483" s="56" t="n"/>
      <c r="H483" s="57">
        <f>ROUND(SUM(H484:H485),2)</f>
        <v/>
      </c>
    </row>
    <row r="484" ht="20" customHeight="1">
      <c r="A484" s="7" t="inlineStr">
        <is>
          <t>13.5.1.1</t>
        </is>
      </c>
      <c r="B484" s="8" t="inlineStr">
        <is>
          <t>100858</t>
        </is>
      </c>
      <c r="C484" s="9" t="inlineStr">
        <is>
          <t>MICTÓRIO SIFONADO LOUÇA BRANCA - PADRÃO MÉDIO - FORNECIMENTO EINSTALAÇÃO. AF_01/2020</t>
        </is>
      </c>
      <c r="D484" s="8" t="inlineStr">
        <is>
          <t>SINAPI</t>
        </is>
      </c>
      <c r="E484" s="8" t="inlineStr">
        <is>
          <t>UN</t>
        </is>
      </c>
      <c r="F484" s="58" t="n">
        <v>2</v>
      </c>
      <c r="G484" s="59">
        <f>COMPOSICOES!G4381</f>
        <v/>
      </c>
      <c r="H484" s="60">
        <f>ROUND(ROUND(F484,2)*ROUND(G484,2),2)</f>
        <v/>
      </c>
      <c r="K484" t="n">
        <v>883.52</v>
      </c>
      <c r="L484">
        <f>G484-K484</f>
        <v/>
      </c>
    </row>
    <row r="485" ht="24" customHeight="1">
      <c r="A485" s="7" t="inlineStr">
        <is>
          <t>13.5.1.2</t>
        </is>
      </c>
      <c r="B485" s="8" t="inlineStr">
        <is>
          <t>102256</t>
        </is>
      </c>
      <c r="C485" s="9" t="inlineStr">
        <is>
          <t>TAPA VISTA DE MICTÓRIO EM MÁRMORE BRANCO POLIDO, ESP = 3CM, ASSENTADO COM ARGAMASSA COLANTE AC III-E .AF_01/2021</t>
        </is>
      </c>
      <c r="D485" s="8" t="inlineStr">
        <is>
          <t>SINAPI</t>
        </is>
      </c>
      <c r="E485" s="8" t="inlineStr">
        <is>
          <t>M2</t>
        </is>
      </c>
      <c r="F485" s="58" t="n">
        <v>0.84</v>
      </c>
      <c r="G485" s="59">
        <f>COMPOSICOES!G4398</f>
        <v/>
      </c>
      <c r="H485" s="60">
        <f>ROUND(ROUND(F485,2)*ROUND(G485,2),2)</f>
        <v/>
      </c>
      <c r="K485" t="n">
        <v>1028.8</v>
      </c>
      <c r="L485">
        <f>G485-K485</f>
        <v/>
      </c>
    </row>
    <row r="486" ht="20" customHeight="1">
      <c r="A486" s="5" t="inlineStr">
        <is>
          <t>13.6</t>
        </is>
      </c>
      <c r="B486" s="5" t="inlineStr">
        <is>
          <t>CHUVEIROS</t>
        </is>
      </c>
      <c r="C486" s="55" t="n"/>
      <c r="D486" s="55" t="n"/>
      <c r="E486" s="55" t="n"/>
      <c r="F486" s="55" t="n"/>
      <c r="G486" s="56" t="n"/>
      <c r="H486" s="57">
        <f>ROUND(H487,2)</f>
        <v/>
      </c>
    </row>
    <row r="487" ht="20" customHeight="1">
      <c r="A487" s="5" t="inlineStr">
        <is>
          <t>13.6.1</t>
        </is>
      </c>
      <c r="B487" s="5" t="inlineStr">
        <is>
          <t>CHUVEIRO ELÉTRICO</t>
        </is>
      </c>
      <c r="C487" s="55" t="n"/>
      <c r="D487" s="55" t="n"/>
      <c r="E487" s="55" t="n"/>
      <c r="F487" s="55" t="n"/>
      <c r="G487" s="56" t="n"/>
      <c r="H487" s="57">
        <f>ROUND(SUM(H488:H488),2)</f>
        <v/>
      </c>
    </row>
    <row r="488" ht="20" customHeight="1">
      <c r="A488" s="7" t="inlineStr">
        <is>
          <t>13.6.1.1</t>
        </is>
      </c>
      <c r="B488" s="8" t="inlineStr">
        <is>
          <t>100860</t>
        </is>
      </c>
      <c r="C488" s="9" t="inlineStr">
        <is>
          <t>CHUVEIRO ELÉTRICO COMUM CORPO PLÁSTICO, TIPO DUCHA - FORNECIMENTOE INSTALAÇÃO. AF_01/2020</t>
        </is>
      </c>
      <c r="D488" s="8" t="inlineStr">
        <is>
          <t>SINAPI</t>
        </is>
      </c>
      <c r="E488" s="8" t="inlineStr">
        <is>
          <t>UN</t>
        </is>
      </c>
      <c r="F488" s="58" t="n">
        <v>1</v>
      </c>
      <c r="G488" s="59">
        <f>COMPOSICOES!G4411</f>
        <v/>
      </c>
      <c r="H488" s="60">
        <f>ROUND(ROUND(F488,2)*ROUND(G488,2),2)</f>
        <v/>
      </c>
      <c r="K488" t="n">
        <v>115.62</v>
      </c>
      <c r="L488">
        <f>G488-K488</f>
        <v/>
      </c>
    </row>
    <row r="489" ht="20" customHeight="1">
      <c r="A489" s="5" t="inlineStr">
        <is>
          <t>13.7</t>
        </is>
      </c>
      <c r="B489" s="5" t="inlineStr">
        <is>
          <t>DISPOSITIVOS HIDROSSANITÁRIOS</t>
        </is>
      </c>
      <c r="C489" s="55" t="n"/>
      <c r="D489" s="55" t="n"/>
      <c r="E489" s="55" t="n"/>
      <c r="F489" s="55" t="n"/>
      <c r="G489" s="56" t="n"/>
      <c r="H489" s="57">
        <f>ROUND(H490+H493,2)</f>
        <v/>
      </c>
    </row>
    <row r="490" ht="20" customHeight="1">
      <c r="A490" s="5" t="inlineStr">
        <is>
          <t>13.7.1</t>
        </is>
      </c>
      <c r="B490" s="5" t="inlineStr">
        <is>
          <t>VÁLVULA DE ESCOAMENTO</t>
        </is>
      </c>
      <c r="C490" s="55" t="n"/>
      <c r="D490" s="55" t="n"/>
      <c r="E490" s="55" t="n"/>
      <c r="F490" s="55" t="n"/>
      <c r="G490" s="56" t="n"/>
      <c r="H490" s="57">
        <f>ROUND(SUM(H491:H492),2)</f>
        <v/>
      </c>
    </row>
    <row r="491" ht="24" customHeight="1">
      <c r="A491" s="7" t="inlineStr">
        <is>
          <t>13.7.1.1</t>
        </is>
      </c>
      <c r="B491" s="8" t="inlineStr">
        <is>
          <t>86877</t>
        </is>
      </c>
      <c r="C491" s="9" t="inlineStr">
        <is>
          <t>VÁLVULA EM METAL CROMADO 1.1/2" X1.1/2" PARA TANQUE OU LAVATÓRIO, COM OU SEM LADRÃO - FORNECIMENTO E INSTALAÇÃO. AF_01/2020</t>
        </is>
      </c>
      <c r="D491" s="8" t="inlineStr">
        <is>
          <t>SINAPI</t>
        </is>
      </c>
      <c r="E491" s="8" t="inlineStr">
        <is>
          <t>UN</t>
        </is>
      </c>
      <c r="F491" s="58" t="n">
        <v>9</v>
      </c>
      <c r="G491" s="59">
        <f>COMPOSICOES!G4424</f>
        <v/>
      </c>
      <c r="H491" s="60">
        <f>ROUND(ROUND(F491,2)*ROUND(G491,2),2)</f>
        <v/>
      </c>
      <c r="K491" t="n">
        <v>80.56</v>
      </c>
      <c r="L491">
        <f>G491-K491</f>
        <v/>
      </c>
    </row>
    <row r="492" ht="24" customHeight="1">
      <c r="A492" s="7" t="inlineStr">
        <is>
          <t>13.7.1.2</t>
        </is>
      </c>
      <c r="B492" s="8" t="inlineStr">
        <is>
          <t>86878</t>
        </is>
      </c>
      <c r="C492" s="9" t="inlineStr">
        <is>
          <t>VÁLVULA EM METAL CROMADO TIPO AMERICANA 3.1/2" X 1.1/2" PARA PIA - FORNECIMENTO E INSTALAÇÃO.AF_01/2020</t>
        </is>
      </c>
      <c r="D492" s="8" t="inlineStr">
        <is>
          <t>SINAPI</t>
        </is>
      </c>
      <c r="E492" s="8" t="inlineStr">
        <is>
          <t>UN</t>
        </is>
      </c>
      <c r="F492" s="58" t="n">
        <v>1</v>
      </c>
      <c r="G492" s="59">
        <f>COMPOSICOES!G4437</f>
        <v/>
      </c>
      <c r="H492" s="60">
        <f>ROUND(ROUND(F492,2)*ROUND(G492,2),2)</f>
        <v/>
      </c>
      <c r="K492" t="n">
        <v>86.89</v>
      </c>
      <c r="L492">
        <f>G492-K492</f>
        <v/>
      </c>
    </row>
    <row r="493" ht="20" customHeight="1">
      <c r="A493" s="5" t="inlineStr">
        <is>
          <t>13.7.2</t>
        </is>
      </c>
      <c r="B493" s="5" t="inlineStr">
        <is>
          <t>SIFÃO</t>
        </is>
      </c>
      <c r="C493" s="55" t="n"/>
      <c r="D493" s="55" t="n"/>
      <c r="E493" s="55" t="n"/>
      <c r="F493" s="55" t="n"/>
      <c r="G493" s="56" t="n"/>
      <c r="H493" s="57">
        <f>ROUND(SUM(H494:H494),2)</f>
        <v/>
      </c>
    </row>
    <row r="494" ht="20" customHeight="1">
      <c r="A494" s="7" t="inlineStr">
        <is>
          <t>13.7.2.1</t>
        </is>
      </c>
      <c r="B494" s="8" t="inlineStr">
        <is>
          <t>86881</t>
        </is>
      </c>
      <c r="C494" s="9" t="inlineStr">
        <is>
          <t>SIFÃO DO TIPO GARRAFA EM METAL CROMADO 1 X 1.1/2" - FORNECIMENTO E INSTALAÇÃO. AF_01/2020</t>
        </is>
      </c>
      <c r="D494" s="8" t="inlineStr">
        <is>
          <t>SINAPI</t>
        </is>
      </c>
      <c r="E494" s="8" t="inlineStr">
        <is>
          <t>UN</t>
        </is>
      </c>
      <c r="F494" s="58" t="n">
        <v>1</v>
      </c>
      <c r="G494" s="59">
        <f>COMPOSICOES!G4450</f>
        <v/>
      </c>
      <c r="H494" s="60">
        <f>ROUND(ROUND(F494,2)*ROUND(G494,2),2)</f>
        <v/>
      </c>
      <c r="K494" t="n">
        <v>245.22</v>
      </c>
      <c r="L494">
        <f>G494-K494</f>
        <v/>
      </c>
    </row>
    <row r="495" ht="20" customHeight="1">
      <c r="A495" s="5" t="inlineStr">
        <is>
          <t>13.8</t>
        </is>
      </c>
      <c r="B495" s="5" t="inlineStr">
        <is>
          <t>ACESSÓRIOS PCD</t>
        </is>
      </c>
      <c r="C495" s="55" t="n"/>
      <c r="D495" s="55" t="n"/>
      <c r="E495" s="55" t="n"/>
      <c r="F495" s="55" t="n"/>
      <c r="G495" s="56" t="n"/>
      <c r="H495" s="57">
        <f>ROUND(H496+H498,2)</f>
        <v/>
      </c>
    </row>
    <row r="496" ht="20" customHeight="1">
      <c r="A496" s="5" t="inlineStr">
        <is>
          <t>13.8.1</t>
        </is>
      </c>
      <c r="B496" s="5" t="inlineStr">
        <is>
          <t>BARRA DE APOIO</t>
        </is>
      </c>
      <c r="C496" s="55" t="n"/>
      <c r="D496" s="55" t="n"/>
      <c r="E496" s="55" t="n"/>
      <c r="F496" s="55" t="n"/>
      <c r="G496" s="56" t="n"/>
      <c r="H496" s="57">
        <f>ROUND(SUM(H497:H497),2)</f>
        <v/>
      </c>
    </row>
    <row r="497" ht="24" customHeight="1">
      <c r="A497" s="7" t="inlineStr">
        <is>
          <t>13.8.1.1</t>
        </is>
      </c>
      <c r="B497" s="8" t="inlineStr">
        <is>
          <t>100868</t>
        </is>
      </c>
      <c r="C497" s="9" t="inlineStr">
        <is>
          <t>BARRA DE APOIO RETA, EM ACO INOX POLIDO, COMPRIMENTO 80 CM, FIXADA NA PAREDE - FORNECIMENTO E INSTALAÇÃO. AF_01/2020</t>
        </is>
      </c>
      <c r="D497" s="8" t="inlineStr">
        <is>
          <t>SINAPI</t>
        </is>
      </c>
      <c r="E497" s="8" t="inlineStr">
        <is>
          <t>UN</t>
        </is>
      </c>
      <c r="F497" s="58" t="n">
        <v>9</v>
      </c>
      <c r="G497" s="59">
        <f>COMPOSICOES!G4463</f>
        <v/>
      </c>
      <c r="H497" s="60">
        <f>ROUND(ROUND(F497,2)*ROUND(G497,2),2)</f>
        <v/>
      </c>
      <c r="K497" t="n">
        <v>512.01</v>
      </c>
      <c r="L497">
        <f>G497-K497</f>
        <v/>
      </c>
    </row>
    <row r="498" ht="20" customHeight="1">
      <c r="A498" s="5" t="inlineStr">
        <is>
          <t>13.8.2</t>
        </is>
      </c>
      <c r="B498" s="5" t="inlineStr">
        <is>
          <t>BANQUETA PARA BANHO</t>
        </is>
      </c>
      <c r="C498" s="55" t="n"/>
      <c r="D498" s="55" t="n"/>
      <c r="E498" s="55" t="n"/>
      <c r="F498" s="55" t="n"/>
      <c r="G498" s="56" t="n"/>
      <c r="H498" s="57">
        <f>ROUND(SUM(H499:H499),2)</f>
        <v/>
      </c>
    </row>
    <row r="499" ht="20" customHeight="1">
      <c r="A499" s="7" t="inlineStr">
        <is>
          <t>13.8.2.1</t>
        </is>
      </c>
      <c r="B499" s="8" t="inlineStr">
        <is>
          <t>100875</t>
        </is>
      </c>
      <c r="C499" s="9" t="inlineStr">
        <is>
          <t>BANCO ARTICULADO, EM ACO INOX, PARA PCD, FIXADO NA PAREDE - FORNECIMENTO E INSTALAÇÃO. AF_01/2020</t>
        </is>
      </c>
      <c r="D499" s="8" t="inlineStr">
        <is>
          <t>SINAPI</t>
        </is>
      </c>
      <c r="E499" s="8" t="inlineStr">
        <is>
          <t>UN</t>
        </is>
      </c>
      <c r="F499" s="58" t="n">
        <v>1</v>
      </c>
      <c r="G499" s="59">
        <f>COMPOSICOES!G4476</f>
        <v/>
      </c>
      <c r="H499" s="60">
        <f>ROUND(ROUND(F499,2)*ROUND(G499,2),2)</f>
        <v/>
      </c>
      <c r="K499" t="n">
        <v>1695.71</v>
      </c>
      <c r="L499">
        <f>G499-K499</f>
        <v/>
      </c>
    </row>
    <row r="500" ht="20" customHeight="1">
      <c r="A500" s="5" t="inlineStr">
        <is>
          <t>13.9</t>
        </is>
      </c>
      <c r="B500" s="5" t="inlineStr">
        <is>
          <t>COMPLEMENTOS</t>
        </is>
      </c>
      <c r="C500" s="55" t="n"/>
      <c r="D500" s="55" t="n"/>
      <c r="E500" s="55" t="n"/>
      <c r="F500" s="55" t="n"/>
      <c r="G500" s="56" t="n"/>
      <c r="H500" s="57">
        <f>ROUND(H501+H504,2)</f>
        <v/>
      </c>
    </row>
    <row r="501" ht="20" customHeight="1">
      <c r="A501" s="5" t="inlineStr">
        <is>
          <t>13.9.1</t>
        </is>
      </c>
      <c r="B501" s="5" t="inlineStr">
        <is>
          <t>PAPELEIRA</t>
        </is>
      </c>
      <c r="C501" s="55" t="n"/>
      <c r="D501" s="55" t="n"/>
      <c r="E501" s="55" t="n"/>
      <c r="F501" s="55" t="n"/>
      <c r="G501" s="56" t="n"/>
      <c r="H501" s="57">
        <f>ROUND(SUM(H502:H503),2)</f>
        <v/>
      </c>
    </row>
    <row r="502" ht="24" customHeight="1">
      <c r="A502" s="7" t="inlineStr">
        <is>
          <t>13.9.1.1</t>
        </is>
      </c>
      <c r="B502" s="8" t="inlineStr">
        <is>
          <t>ED-48180</t>
        </is>
      </c>
      <c r="C502" s="9" t="inlineStr">
        <is>
          <t>DISTRIBUIDOR/DISPENSER PARA PORTA PAPEL TOALHA PARA INTERFOLHAS DE DUAS (2) OU TRÊS (3) DOBRAS, EM AÇO INOX, INCLUSIVE ACESSÓRIOS PARA FIXAÇÃO</t>
        </is>
      </c>
      <c r="D502" s="8" t="inlineStr">
        <is>
          <t>SETOP</t>
        </is>
      </c>
      <c r="E502" s="8" t="inlineStr">
        <is>
          <t>un</t>
        </is>
      </c>
      <c r="F502" s="58" t="n">
        <v>7</v>
      </c>
      <c r="G502" s="59">
        <f>COMPOSICOES!G4489</f>
        <v/>
      </c>
      <c r="H502" s="60">
        <f>ROUND(ROUND(F502,2)*ROUND(G502,2),2)</f>
        <v/>
      </c>
      <c r="K502" t="n">
        <v>151.15</v>
      </c>
      <c r="L502">
        <f>G502-K502</f>
        <v/>
      </c>
    </row>
    <row r="503" ht="20" customHeight="1">
      <c r="A503" s="7" t="inlineStr">
        <is>
          <t>13.9.1.2</t>
        </is>
      </c>
      <c r="B503" s="8" t="inlineStr">
        <is>
          <t>95544</t>
        </is>
      </c>
      <c r="C503" s="9" t="inlineStr">
        <is>
          <t>PAPELEIRA DE PAREDE EM METAL CROMADO SEM TAMPA, INCLUSO FIXAÇÃO. AF_01/2020</t>
        </is>
      </c>
      <c r="D503" s="8" t="inlineStr">
        <is>
          <t>SINAPI</t>
        </is>
      </c>
      <c r="E503" s="8" t="inlineStr">
        <is>
          <t>UN</t>
        </is>
      </c>
      <c r="F503" s="58" t="n">
        <v>9</v>
      </c>
      <c r="G503" s="59">
        <f>COMPOSICOES!G4501</f>
        <v/>
      </c>
      <c r="H503" s="60">
        <f>ROUND(ROUND(F503,2)*ROUND(G503,2),2)</f>
        <v/>
      </c>
      <c r="K503" t="n">
        <v>27.32</v>
      </c>
      <c r="L503">
        <f>G503-K503</f>
        <v/>
      </c>
    </row>
    <row r="504" ht="20" customHeight="1">
      <c r="A504" s="5" t="inlineStr">
        <is>
          <t>13.9.2</t>
        </is>
      </c>
      <c r="B504" s="5" t="inlineStr">
        <is>
          <t>PORTA-SABÃO</t>
        </is>
      </c>
      <c r="C504" s="55" t="n"/>
      <c r="D504" s="55" t="n"/>
      <c r="E504" s="55" t="n"/>
      <c r="F504" s="55" t="n"/>
      <c r="G504" s="56" t="n"/>
      <c r="H504" s="57">
        <f>ROUND(SUM(H505:H505),2)</f>
        <v/>
      </c>
    </row>
    <row r="505" ht="24" customHeight="1">
      <c r="A505" s="7" t="inlineStr">
        <is>
          <t>13.9.2.1</t>
        </is>
      </c>
      <c r="B505" s="8" t="inlineStr">
        <is>
          <t>95547</t>
        </is>
      </c>
      <c r="C505" s="9" t="inlineStr">
        <is>
          <t>SABONETEIRA PLASTICA TIPO DISPENSER PARA SABONETE LIQUIDO COM RESERVATORIO 800 A 1500 ML, INCLUSO FIXAÇÃO. AF_01/2020</t>
        </is>
      </c>
      <c r="D505" s="8" t="inlineStr">
        <is>
          <t>SINAPI</t>
        </is>
      </c>
      <c r="E505" s="8" t="inlineStr">
        <is>
          <t>UN</t>
        </is>
      </c>
      <c r="F505" s="58" t="n">
        <v>7</v>
      </c>
      <c r="G505" s="59">
        <f>COMPOSICOES!G4513</f>
        <v/>
      </c>
      <c r="H505" s="60">
        <f>ROUND(ROUND(F505,2)*ROUND(G505,2),2)</f>
        <v/>
      </c>
      <c r="K505" t="n">
        <v>56.77</v>
      </c>
      <c r="L505">
        <f>G505-K505</f>
        <v/>
      </c>
    </row>
    <row r="506" ht="20" customHeight="1">
      <c r="A506" s="5" t="inlineStr">
        <is>
          <t>14</t>
        </is>
      </c>
      <c r="B506" s="5" t="inlineStr">
        <is>
          <t>ACABAMENTOS (ELÉTRICOS, VOZ, DADOS E TV)</t>
        </is>
      </c>
      <c r="C506" s="55" t="n"/>
      <c r="D506" s="55" t="n"/>
      <c r="E506" s="55" t="n"/>
      <c r="F506" s="55" t="n"/>
      <c r="G506" s="56" t="n"/>
      <c r="H506" s="57">
        <f>ROUND(H507+H524+H531,2)</f>
        <v/>
      </c>
    </row>
    <row r="507" ht="20" customHeight="1">
      <c r="A507" s="5" t="inlineStr">
        <is>
          <t>14.1</t>
        </is>
      </c>
      <c r="B507" s="5" t="inlineStr">
        <is>
          <t>TOMADAS</t>
        </is>
      </c>
      <c r="C507" s="55" t="n"/>
      <c r="D507" s="55" t="n"/>
      <c r="E507" s="55" t="n"/>
      <c r="F507" s="55" t="n"/>
      <c r="G507" s="56" t="n"/>
      <c r="H507" s="57">
        <f>ROUND(H508+H520+H522,2)</f>
        <v/>
      </c>
    </row>
    <row r="508" ht="20" customHeight="1">
      <c r="A508" s="5" t="inlineStr">
        <is>
          <t>14.1.1</t>
        </is>
      </c>
      <c r="B508" s="5" t="inlineStr">
        <is>
          <t>ENERGIA (TOMADA DE USO GERAL - TUG)</t>
        </is>
      </c>
      <c r="C508" s="55" t="n"/>
      <c r="D508" s="55" t="n"/>
      <c r="E508" s="55" t="n"/>
      <c r="F508" s="55" t="n"/>
      <c r="G508" s="56" t="n"/>
      <c r="H508" s="57">
        <f>ROUND(SUM(H509:H519),2)</f>
        <v/>
      </c>
    </row>
    <row r="509" ht="24" customHeight="1">
      <c r="A509" s="7" t="inlineStr">
        <is>
          <t>14.1.1.1</t>
        </is>
      </c>
      <c r="B509" s="8" t="inlineStr">
        <is>
          <t>92001</t>
        </is>
      </c>
      <c r="C509" s="9" t="inlineStr">
        <is>
          <t>TOMADA BAIXA DE EMBUTIR (1 MÓDULO), 2P+T 20 A, INCLUINDO SUPORTE E PLACA - FORNECIMENTO E INSTALAÇÃO. AF_03/2023</t>
        </is>
      </c>
      <c r="D509" s="8" t="inlineStr">
        <is>
          <t>SINAPI</t>
        </is>
      </c>
      <c r="E509" s="8" t="inlineStr">
        <is>
          <t>UN</t>
        </is>
      </c>
      <c r="F509" s="58" t="n">
        <v>1</v>
      </c>
      <c r="G509" s="59">
        <f>COMPOSICOES!G4522</f>
        <v/>
      </c>
      <c r="H509" s="60">
        <f>ROUND(ROUND(F509,2)*ROUND(G509,2),2)</f>
        <v/>
      </c>
      <c r="K509" t="n">
        <v>35.05</v>
      </c>
      <c r="L509">
        <f>G509-K509</f>
        <v/>
      </c>
    </row>
    <row r="510" ht="24" customHeight="1">
      <c r="A510" s="7" t="inlineStr">
        <is>
          <t>14.1.1.2</t>
        </is>
      </c>
      <c r="B510" s="8" t="inlineStr">
        <is>
          <t>92008</t>
        </is>
      </c>
      <c r="C510" s="9" t="inlineStr">
        <is>
          <t>TOMADA BAIXA DE EMBUTIR (2 MÓDULOS), 2P+T 10 A, INCLUINDO SUPORTE E PLACA - FORNECIMENTO E INSTALAÇÃO. AF_03/2023</t>
        </is>
      </c>
      <c r="D510" s="8" t="inlineStr">
        <is>
          <t>SINAPI</t>
        </is>
      </c>
      <c r="E510" s="8" t="inlineStr">
        <is>
          <t>UN</t>
        </is>
      </c>
      <c r="F510" s="58" t="n">
        <v>48</v>
      </c>
      <c r="G510" s="59">
        <f>COMPOSICOES!G4531</f>
        <v/>
      </c>
      <c r="H510" s="60">
        <f>ROUND(ROUND(F510,2)*ROUND(G510,2),2)</f>
        <v/>
      </c>
      <c r="K510" t="n">
        <v>50.67</v>
      </c>
      <c r="L510">
        <f>G510-K510</f>
        <v/>
      </c>
    </row>
    <row r="511" ht="24" customHeight="1">
      <c r="A511" s="7" t="inlineStr">
        <is>
          <t>14.1.1.3</t>
        </is>
      </c>
      <c r="B511" s="8" t="inlineStr">
        <is>
          <t>92004</t>
        </is>
      </c>
      <c r="C511" s="9" t="inlineStr">
        <is>
          <t>TOMADA MÉDIA DE EMBUTIR (2 MÓDULOS), 2P+T 10 A, INCLUINDO SUPORTE E PLACA - FORNECIMENTO E INSTALAÇÃO. AF_03/2023</t>
        </is>
      </c>
      <c r="D511" s="8" t="inlineStr">
        <is>
          <t>SINAPI</t>
        </is>
      </c>
      <c r="E511" s="8" t="inlineStr">
        <is>
          <t>UN</t>
        </is>
      </c>
      <c r="F511" s="58" t="n">
        <v>9</v>
      </c>
      <c r="G511" s="59">
        <f>COMPOSICOES!G4540</f>
        <v/>
      </c>
      <c r="H511" s="60">
        <f>ROUND(ROUND(F511,2)*ROUND(G511,2),2)</f>
        <v/>
      </c>
      <c r="K511" t="n">
        <v>59.15</v>
      </c>
      <c r="L511">
        <f>G511-K511</f>
        <v/>
      </c>
    </row>
    <row r="512" ht="24" customHeight="1">
      <c r="A512" s="7" t="inlineStr">
        <is>
          <t>14.1.1.4</t>
        </is>
      </c>
      <c r="B512" s="8" t="inlineStr">
        <is>
          <t>91993</t>
        </is>
      </c>
      <c r="C512" s="9" t="inlineStr">
        <is>
          <t>TOMADA ALTA DE EMBUTIR (1 MÓDULO), 2P+T 20 A, INCLUINDO SUPORTE E PLACA - FORNECIMENTO E INSTALAÇÃO. AF_03/2023</t>
        </is>
      </c>
      <c r="D512" s="8" t="inlineStr">
        <is>
          <t>SINAPI</t>
        </is>
      </c>
      <c r="E512" s="8" t="inlineStr">
        <is>
          <t>UN</t>
        </is>
      </c>
      <c r="F512" s="58" t="n">
        <v>1</v>
      </c>
      <c r="G512" s="59">
        <f>COMPOSICOES!G4549</f>
        <v/>
      </c>
      <c r="H512" s="60">
        <f>ROUND(ROUND(F512,2)*ROUND(G512,2),2)</f>
        <v/>
      </c>
      <c r="K512" t="n">
        <v>50.16</v>
      </c>
      <c r="L512">
        <f>G512-K512</f>
        <v/>
      </c>
    </row>
    <row r="513" ht="24" customHeight="1">
      <c r="A513" s="7" t="inlineStr">
        <is>
          <t>14.1.1.5</t>
        </is>
      </c>
      <c r="B513" s="8" t="inlineStr">
        <is>
          <t>92005</t>
        </is>
      </c>
      <c r="C513" s="9" t="inlineStr">
        <is>
          <t>TOMADA MÉDIA DE EMBUTIR (2 MÓDULOS), 2P+T 20 A, INCLUINDO SUPORTE E PLACA - FORNECIMENTO E INSTALAÇÃO. AF_03/2023</t>
        </is>
      </c>
      <c r="D513" s="8" t="inlineStr">
        <is>
          <t>SINAPI</t>
        </is>
      </c>
      <c r="E513" s="8" t="inlineStr">
        <is>
          <t>UN</t>
        </is>
      </c>
      <c r="F513" s="58" t="n">
        <v>6</v>
      </c>
      <c r="G513" s="59">
        <f>COMPOSICOES!G4558</f>
        <v/>
      </c>
      <c r="H513" s="60">
        <f>ROUND(ROUND(F513,2)*ROUND(G513,2),2)</f>
        <v/>
      </c>
      <c r="K513" t="n">
        <v>63.49</v>
      </c>
      <c r="L513">
        <f>G513-K513</f>
        <v/>
      </c>
    </row>
    <row r="514" ht="24" customHeight="1">
      <c r="A514" s="7" t="inlineStr">
        <is>
          <t>14.1.1.6</t>
        </is>
      </c>
      <c r="B514" s="8" t="inlineStr">
        <is>
          <t>91992</t>
        </is>
      </c>
      <c r="C514" s="9" t="inlineStr">
        <is>
          <t>TOMADA ALTA DE EMBUTIR (1 MÓDULO), 2P+T 10 A, INCLUINDO SUPORTE E PLACA - FORNECIMENTO E INSTALAÇÃO. AF_03/2023</t>
        </is>
      </c>
      <c r="D514" s="8" t="inlineStr">
        <is>
          <t>SINAPI</t>
        </is>
      </c>
      <c r="E514" s="8" t="inlineStr">
        <is>
          <t>UN</t>
        </is>
      </c>
      <c r="F514" s="58" t="n">
        <v>23</v>
      </c>
      <c r="G514" s="59">
        <f>COMPOSICOES!G4567</f>
        <v/>
      </c>
      <c r="H514" s="60">
        <f>ROUND(ROUND(F514,2)*ROUND(G514,2),2)</f>
        <v/>
      </c>
      <c r="K514" t="n">
        <v>47.99</v>
      </c>
      <c r="L514">
        <f>G514-K514</f>
        <v/>
      </c>
    </row>
    <row r="515" ht="24" customHeight="1">
      <c r="A515" s="7" t="inlineStr">
        <is>
          <t>14.1.1.7</t>
        </is>
      </c>
      <c r="B515" s="8" t="inlineStr">
        <is>
          <t>92009</t>
        </is>
      </c>
      <c r="C515" s="9" t="inlineStr">
        <is>
          <t>TOMADA BAIXA DE EMBUTIR (2 MÓDULOS), 2P+T 20 A, INCLUINDO SUPORTE E PLACA - FORNECIMENTO E INSTALAÇÃO. AF_03/2023</t>
        </is>
      </c>
      <c r="D515" s="8" t="inlineStr">
        <is>
          <t>SINAPI</t>
        </is>
      </c>
      <c r="E515" s="8" t="inlineStr">
        <is>
          <t>UN</t>
        </is>
      </c>
      <c r="F515" s="58" t="n">
        <v>2</v>
      </c>
      <c r="G515" s="59">
        <f>COMPOSICOES!G4576</f>
        <v/>
      </c>
      <c r="H515" s="60">
        <f>ROUND(ROUND(F515,2)*ROUND(G515,2),2)</f>
        <v/>
      </c>
      <c r="K515" t="n">
        <v>55.01</v>
      </c>
      <c r="L515">
        <f>G515-K515</f>
        <v/>
      </c>
    </row>
    <row r="516" ht="24" customHeight="1">
      <c r="A516" s="7" t="inlineStr">
        <is>
          <t>14.1.1.8</t>
        </is>
      </c>
      <c r="B516" s="8" t="inlineStr">
        <is>
          <t>91997</t>
        </is>
      </c>
      <c r="C516" s="9" t="inlineStr">
        <is>
          <t>TOMADA MÉDIA DE EMBUTIR (1 MÓDULO), 2P+T 20 A, INCLUINDO SUPORTE E PLACA - FORNECIMENTO E INSTALAÇÃO. AF_03/2023</t>
        </is>
      </c>
      <c r="D516" s="8" t="inlineStr">
        <is>
          <t>SINAPI</t>
        </is>
      </c>
      <c r="E516" s="8" t="inlineStr">
        <is>
          <t>UN</t>
        </is>
      </c>
      <c r="F516" s="58" t="n">
        <v>3</v>
      </c>
      <c r="G516" s="59">
        <f>COMPOSICOES!G4585</f>
        <v/>
      </c>
      <c r="H516" s="60">
        <f>ROUND(ROUND(F516,2)*ROUND(G516,2),2)</f>
        <v/>
      </c>
      <c r="K516" t="n">
        <v>39.26</v>
      </c>
      <c r="L516">
        <f>G516-K516</f>
        <v/>
      </c>
    </row>
    <row r="517" ht="24" customHeight="1">
      <c r="A517" s="7" t="inlineStr">
        <is>
          <t>14.1.1.9</t>
        </is>
      </c>
      <c r="B517" s="8" t="inlineStr">
        <is>
          <t>91996</t>
        </is>
      </c>
      <c r="C517" s="9" t="inlineStr">
        <is>
          <t>TOMADA MÉDIA DE EMBUTIR (1 MÓDULO), 2P+T 10 A, INCLUINDO SUPORTE E PLACA - FORNECIMENTO E INSTALAÇÃO. AF_03/2023</t>
        </is>
      </c>
      <c r="D517" s="8" t="inlineStr">
        <is>
          <t>SINAPI</t>
        </is>
      </c>
      <c r="E517" s="8" t="inlineStr">
        <is>
          <t>UN</t>
        </is>
      </c>
      <c r="F517" s="58" t="n">
        <v>1</v>
      </c>
      <c r="G517" s="59">
        <f>COMPOSICOES!G4594</f>
        <v/>
      </c>
      <c r="H517" s="60">
        <f>ROUND(ROUND(F517,2)*ROUND(G517,2),2)</f>
        <v/>
      </c>
      <c r="K517" t="n">
        <v>37.09</v>
      </c>
      <c r="L517">
        <f>G517-K517</f>
        <v/>
      </c>
    </row>
    <row r="518" ht="20" customHeight="1">
      <c r="A518" s="7" t="inlineStr">
        <is>
          <t>14.1.1.10</t>
        </is>
      </c>
      <c r="B518" s="8" t="inlineStr">
        <is>
          <t>C5176</t>
        </is>
      </c>
      <c r="C518" s="9" t="inlineStr">
        <is>
          <t>CAIXA DE PISO 4"X4", EM ALUMÍNIO</t>
        </is>
      </c>
      <c r="D518" s="8" t="inlineStr">
        <is>
          <t>SEINFRA</t>
        </is>
      </c>
      <c r="E518" s="8" t="inlineStr">
        <is>
          <t>UN</t>
        </is>
      </c>
      <c r="F518" s="58" t="n">
        <v>4</v>
      </c>
      <c r="G518" s="59">
        <f>COMPOSICOES!G4606</f>
        <v/>
      </c>
      <c r="H518" s="60">
        <f>ROUND(ROUND(F518,2)*ROUND(G518,2),2)</f>
        <v/>
      </c>
      <c r="K518" t="n">
        <v>45.54</v>
      </c>
      <c r="L518">
        <f>G518-K518</f>
        <v/>
      </c>
    </row>
    <row r="519" ht="20" customHeight="1">
      <c r="A519" s="7" t="inlineStr">
        <is>
          <t>14.1.1.11</t>
        </is>
      </c>
      <c r="B519" s="8" t="inlineStr">
        <is>
          <t>C4793</t>
        </is>
      </c>
      <c r="C519" s="9" t="inlineStr">
        <is>
          <t>TOMADA SIMPLES DE PISO 2P+T 20A-250V C/ PLACA EM LATÃO CAIXA 4"X2" (NÃO INCLUI A CAIXA)</t>
        </is>
      </c>
      <c r="D519" s="8" t="inlineStr">
        <is>
          <t>SEINFRA</t>
        </is>
      </c>
      <c r="E519" s="8" t="inlineStr">
        <is>
          <t>UN</t>
        </is>
      </c>
      <c r="F519" s="58" t="n">
        <v>4</v>
      </c>
      <c r="G519" s="59">
        <f>COMPOSICOES!G4619</f>
        <v/>
      </c>
      <c r="H519" s="60">
        <f>ROUND(ROUND(F519,2)*ROUND(G519,2),2)</f>
        <v/>
      </c>
      <c r="K519" t="n">
        <v>63.53</v>
      </c>
      <c r="L519">
        <f>G519-K519</f>
        <v/>
      </c>
    </row>
    <row r="520" ht="20" customHeight="1">
      <c r="A520" s="5" t="inlineStr">
        <is>
          <t>14.1.2</t>
        </is>
      </c>
      <c r="B520" s="5" t="inlineStr">
        <is>
          <t>DADOS</t>
        </is>
      </c>
      <c r="C520" s="55" t="n"/>
      <c r="D520" s="55" t="n"/>
      <c r="E520" s="55" t="n"/>
      <c r="F520" s="55" t="n"/>
      <c r="G520" s="56" t="n"/>
      <c r="H520" s="57">
        <f>ROUND(SUM(H521:H521),2)</f>
        <v/>
      </c>
    </row>
    <row r="521" ht="20" customHeight="1">
      <c r="A521" s="7" t="inlineStr">
        <is>
          <t>14.1.2.1</t>
        </is>
      </c>
      <c r="B521" s="8" t="inlineStr">
        <is>
          <t>98307</t>
        </is>
      </c>
      <c r="C521" s="9" t="inlineStr">
        <is>
          <t>TOMADA DE REDE RJ45 - FORNECIMENTO E INSTALAÇÃO. AF_08/2025</t>
        </is>
      </c>
      <c r="D521" s="8" t="inlineStr">
        <is>
          <t>SINAPI</t>
        </is>
      </c>
      <c r="E521" s="8" t="inlineStr">
        <is>
          <t>UN</t>
        </is>
      </c>
      <c r="F521" s="58" t="n">
        <v>10</v>
      </c>
      <c r="G521" s="59">
        <f>COMPOSICOES!G4631</f>
        <v/>
      </c>
      <c r="H521" s="60">
        <f>ROUND(ROUND(F521,2)*ROUND(G521,2),2)</f>
        <v/>
      </c>
      <c r="K521" t="n">
        <v>56.92</v>
      </c>
      <c r="L521">
        <f>G521-K521</f>
        <v/>
      </c>
    </row>
    <row r="522" ht="20" customHeight="1">
      <c r="A522" s="5" t="inlineStr">
        <is>
          <t>14.1.3</t>
        </is>
      </c>
      <c r="B522" s="5" t="inlineStr">
        <is>
          <t>VOZ</t>
        </is>
      </c>
      <c r="C522" s="55" t="n"/>
      <c r="D522" s="55" t="n"/>
      <c r="E522" s="55" t="n"/>
      <c r="F522" s="55" t="n"/>
      <c r="G522" s="56" t="n"/>
      <c r="H522" s="57">
        <f>ROUND(SUM(H523:H523),2)</f>
        <v/>
      </c>
    </row>
    <row r="523" ht="20" customHeight="1">
      <c r="A523" s="7" t="inlineStr">
        <is>
          <t>14.1.3.1</t>
        </is>
      </c>
      <c r="B523" s="8" t="inlineStr">
        <is>
          <t>98308</t>
        </is>
      </c>
      <c r="C523" s="9" t="inlineStr">
        <is>
          <t>TOMADA PARA TELEFONE RJ11 - FORNECIMENTO E INSTALAÇÃO. AF_08/2025</t>
        </is>
      </c>
      <c r="D523" s="8" t="inlineStr">
        <is>
          <t>SINAPI</t>
        </is>
      </c>
      <c r="E523" s="8" t="inlineStr">
        <is>
          <t>UN</t>
        </is>
      </c>
      <c r="F523" s="58" t="n">
        <v>4</v>
      </c>
      <c r="G523" s="59">
        <f>COMPOSICOES!G4643</f>
        <v/>
      </c>
      <c r="H523" s="60">
        <f>ROUND(ROUND(F523,2)*ROUND(G523,2),2)</f>
        <v/>
      </c>
      <c r="K523" t="n">
        <v>41.58</v>
      </c>
      <c r="L523">
        <f>G523-K523</f>
        <v/>
      </c>
    </row>
    <row r="524" ht="20" customHeight="1">
      <c r="A524" s="5" t="inlineStr">
        <is>
          <t>14.2</t>
        </is>
      </c>
      <c r="B524" s="5" t="inlineStr">
        <is>
          <t>INTERRUPTORES E DEMAIS COMANDOS</t>
        </is>
      </c>
      <c r="C524" s="55" t="n"/>
      <c r="D524" s="55" t="n"/>
      <c r="E524" s="55" t="n"/>
      <c r="F524" s="55" t="n"/>
      <c r="G524" s="56" t="n"/>
      <c r="H524" s="57">
        <f>ROUND(H525+H527+H529,2)</f>
        <v/>
      </c>
    </row>
    <row r="525" ht="20" customHeight="1">
      <c r="A525" s="5" t="inlineStr">
        <is>
          <t>14.2.1</t>
        </is>
      </c>
      <c r="B525" s="5" t="inlineStr">
        <is>
          <t>INTERRUPTOR 01 SEÇÃO</t>
        </is>
      </c>
      <c r="C525" s="55" t="n"/>
      <c r="D525" s="55" t="n"/>
      <c r="E525" s="55" t="n"/>
      <c r="F525" s="55" t="n"/>
      <c r="G525" s="56" t="n"/>
      <c r="H525" s="57">
        <f>ROUND(SUM(H526:H526),2)</f>
        <v/>
      </c>
    </row>
    <row r="526" ht="24" customHeight="1">
      <c r="A526" s="7" t="inlineStr">
        <is>
          <t>14.2.1.1</t>
        </is>
      </c>
      <c r="B526" s="8" t="inlineStr">
        <is>
          <t>91953</t>
        </is>
      </c>
      <c r="C526" s="9" t="inlineStr">
        <is>
          <t>INTERRUPTOR SIMPLES (1 MÓDULO), 10A/250V, INCLUINDO SUPORTE E PLACA - FORNECIMENTO E INSTALAÇÃO. AF_03/2023</t>
        </is>
      </c>
      <c r="D526" s="8" t="inlineStr">
        <is>
          <t>SINAPI</t>
        </is>
      </c>
      <c r="E526" s="8" t="inlineStr">
        <is>
          <t>UN</t>
        </is>
      </c>
      <c r="F526" s="58" t="n">
        <v>8</v>
      </c>
      <c r="G526" s="59">
        <f>COMPOSICOES!G4652</f>
        <v/>
      </c>
      <c r="H526" s="60">
        <f>ROUND(ROUND(F526,2)*ROUND(G526,2),2)</f>
        <v/>
      </c>
      <c r="K526" t="n">
        <v>31.38</v>
      </c>
      <c r="L526">
        <f>G526-K526</f>
        <v/>
      </c>
    </row>
    <row r="527" ht="20" customHeight="1">
      <c r="A527" s="5" t="inlineStr">
        <is>
          <t>14.2.2</t>
        </is>
      </c>
      <c r="B527" s="5" t="inlineStr">
        <is>
          <t>INTERRUPTOR 02 SEÇÕES</t>
        </is>
      </c>
      <c r="C527" s="55" t="n"/>
      <c r="D527" s="55" t="n"/>
      <c r="E527" s="55" t="n"/>
      <c r="F527" s="55" t="n"/>
      <c r="G527" s="56" t="n"/>
      <c r="H527" s="57">
        <f>ROUND(SUM(H528:H528),2)</f>
        <v/>
      </c>
    </row>
    <row r="528" ht="24" customHeight="1">
      <c r="A528" s="7" t="inlineStr">
        <is>
          <t>14.2.2.1</t>
        </is>
      </c>
      <c r="B528" s="8" t="inlineStr">
        <is>
          <t>91959</t>
        </is>
      </c>
      <c r="C528" s="9" t="inlineStr">
        <is>
          <t>INTERRUPTOR SIMPLES (2 MÓDULOS), 10A/250V, INCLUINDO SUPORTE E PLACA - FORNECIMENTO E INSTALAÇÃO. AF_03/2023</t>
        </is>
      </c>
      <c r="D528" s="8" t="inlineStr">
        <is>
          <t>SINAPI</t>
        </is>
      </c>
      <c r="E528" s="8" t="inlineStr">
        <is>
          <t>UN</t>
        </is>
      </c>
      <c r="F528" s="58" t="n">
        <v>6</v>
      </c>
      <c r="G528" s="59">
        <f>COMPOSICOES!G4661</f>
        <v/>
      </c>
      <c r="H528" s="60">
        <f>ROUND(ROUND(F528,2)*ROUND(G528,2),2)</f>
        <v/>
      </c>
      <c r="K528" t="n">
        <v>47.72</v>
      </c>
      <c r="L528">
        <f>G528-K528</f>
        <v/>
      </c>
    </row>
    <row r="529" ht="20" customHeight="1">
      <c r="A529" s="5" t="inlineStr">
        <is>
          <t>14.2.3</t>
        </is>
      </c>
      <c r="B529" s="5" t="inlineStr">
        <is>
          <t>INTERRUPTOR 03 SEÇÕES</t>
        </is>
      </c>
      <c r="C529" s="55" t="n"/>
      <c r="D529" s="55" t="n"/>
      <c r="E529" s="55" t="n"/>
      <c r="F529" s="55" t="n"/>
      <c r="G529" s="56" t="n"/>
      <c r="H529" s="57">
        <f>ROUND(SUM(H530:H530),2)</f>
        <v/>
      </c>
    </row>
    <row r="530" ht="24" customHeight="1">
      <c r="A530" s="7" t="inlineStr">
        <is>
          <t>14.2.3.1</t>
        </is>
      </c>
      <c r="B530" s="8" t="inlineStr">
        <is>
          <t>91967</t>
        </is>
      </c>
      <c r="C530" s="9" t="inlineStr">
        <is>
          <t>INTERRUPTOR SIMPLES (3 MÓDULOS), 10A/250V, INCLUINDO SUPORTE E PLACA - FORNECIMENTO E INSTALAÇÃO. AF_03/2023</t>
        </is>
      </c>
      <c r="D530" s="8" t="inlineStr">
        <is>
          <t>SINAPI</t>
        </is>
      </c>
      <c r="E530" s="8" t="inlineStr">
        <is>
          <t>UN</t>
        </is>
      </c>
      <c r="F530" s="58" t="n">
        <v>2</v>
      </c>
      <c r="G530" s="59">
        <f>COMPOSICOES!G4670</f>
        <v/>
      </c>
      <c r="H530" s="60">
        <f>ROUND(ROUND(F530,2)*ROUND(G530,2),2)</f>
        <v/>
      </c>
      <c r="K530" t="n">
        <v>64.06999999999999</v>
      </c>
      <c r="L530">
        <f>G530-K530</f>
        <v/>
      </c>
    </row>
    <row r="531" ht="20" customHeight="1">
      <c r="A531" s="5" t="inlineStr">
        <is>
          <t>14.3</t>
        </is>
      </c>
      <c r="B531" s="5" t="inlineStr">
        <is>
          <t>LUMINÁRIAS</t>
        </is>
      </c>
      <c r="C531" s="55" t="n"/>
      <c r="D531" s="55" t="n"/>
      <c r="E531" s="55" t="n"/>
      <c r="F531" s="55" t="n"/>
      <c r="G531" s="56" t="n"/>
      <c r="H531" s="57">
        <f>ROUND(H532,2)</f>
        <v/>
      </c>
    </row>
    <row r="532" ht="20" customHeight="1">
      <c r="A532" s="5" t="inlineStr">
        <is>
          <t>14.3.1</t>
        </is>
      </c>
      <c r="B532" s="5" t="inlineStr">
        <is>
          <t>INTERNA DE TETO</t>
        </is>
      </c>
      <c r="C532" s="55" t="n"/>
      <c r="D532" s="55" t="n"/>
      <c r="E532" s="55" t="n"/>
      <c r="F532" s="55" t="n"/>
      <c r="G532" s="56" t="n"/>
      <c r="H532" s="57">
        <f>ROUND(SUM(H533:H537),2)</f>
        <v/>
      </c>
    </row>
    <row r="533" ht="20" customHeight="1">
      <c r="A533" s="7" t="inlineStr">
        <is>
          <t>14.3.1.1</t>
        </is>
      </c>
      <c r="B533" s="8" t="inlineStr">
        <is>
          <t>405
PRÓPRIO</t>
        </is>
      </c>
      <c r="C533" s="9" t="inlineStr">
        <is>
          <t>LUMINÁRIA TIPO CALHA COM 02 LÂMPADAS TUBULARES LED 2 X 18/20W - BIVOLT</t>
        </is>
      </c>
      <c r="D533" s="8" t="inlineStr">
        <is>
          <t xml:space="preserve">Composiçõ es
</t>
        </is>
      </c>
      <c r="E533" s="8" t="inlineStr">
        <is>
          <t>UN</t>
        </is>
      </c>
      <c r="F533" s="58" t="n">
        <v>86</v>
      </c>
      <c r="G533" s="59">
        <f>COMPOSICOES!G4684</f>
        <v/>
      </c>
      <c r="H533" s="60">
        <f>ROUND(ROUND(F533,2)*ROUND(G533,2),2)</f>
        <v/>
      </c>
      <c r="K533" t="n">
        <v>130.99</v>
      </c>
      <c r="L533">
        <f>G533-K533</f>
        <v/>
      </c>
    </row>
    <row r="534" ht="40" customHeight="1">
      <c r="A534" s="7" t="inlineStr">
        <is>
          <t>14.3.1.2</t>
        </is>
      </c>
      <c r="B534" s="8" t="inlineStr">
        <is>
          <t>SOP0185</t>
        </is>
      </c>
      <c r="C534" s="9" t="inlineStr">
        <is>
          <t>LUMINÁRIA DE EMBUTIR/SOBREPOR,(TECNOLUX REF.FLP-6478/4X20) TUBLED CORPO/ REFLETOR E ALETAS FABRICADAS EM CHAPA DE AÇO TRATADA E PINTADA EM EPOXI BRANCO, PARA USO DE 2 LAMPADAS TUBLED DE 10W</t>
        </is>
      </c>
      <c r="D534" s="8" t="inlineStr">
        <is>
          <t>Composições próprias</t>
        </is>
      </c>
      <c r="E534" s="8" t="inlineStr">
        <is>
          <t>UN</t>
        </is>
      </c>
      <c r="F534" s="58" t="n">
        <v>8</v>
      </c>
      <c r="G534" s="59">
        <f>COMPOSICOES!G4697</f>
        <v/>
      </c>
      <c r="H534" s="60">
        <f>ROUND(ROUND(F534,2)*ROUND(G534,2),2)</f>
        <v/>
      </c>
      <c r="K534" t="n">
        <v>256.37</v>
      </c>
      <c r="L534">
        <f>G534-K534</f>
        <v/>
      </c>
    </row>
    <row r="535" ht="24" customHeight="1">
      <c r="A535" s="7" t="inlineStr">
        <is>
          <t>14.3.1.3</t>
        </is>
      </c>
      <c r="B535" s="8" t="inlineStr">
        <is>
          <t>SOP1154</t>
        </is>
      </c>
      <c r="C535" s="9" t="inlineStr">
        <is>
          <t>LUMINÁRIA DE EMBUTIR ORIENTÁVEL, COM CORPO EM ALUMÍNIO REPUXADO, REF.: ER11-E1AR70, DA LUMIDEC OU SIMILAR, INCLUSIVE LÂMPADA E REATOR</t>
        </is>
      </c>
      <c r="D535" s="8" t="inlineStr">
        <is>
          <t>Composiçõ es Próprias</t>
        </is>
      </c>
      <c r="E535" s="8" t="inlineStr">
        <is>
          <t>UN</t>
        </is>
      </c>
      <c r="F535" s="58" t="n">
        <v>7</v>
      </c>
      <c r="G535" s="59">
        <f>COMPOSICOES!G4711</f>
        <v/>
      </c>
      <c r="H535" s="60">
        <f>ROUND(ROUND(F535,2)*ROUND(G535,2),2)</f>
        <v/>
      </c>
      <c r="K535" t="n">
        <v>210</v>
      </c>
      <c r="L535">
        <f>G535-K535</f>
        <v/>
      </c>
    </row>
    <row r="536" ht="20" customHeight="1">
      <c r="A536" s="7" t="inlineStr">
        <is>
          <t>14.3.1.4</t>
        </is>
      </c>
      <c r="B536" s="8" t="inlineStr">
        <is>
          <t>SOP0104</t>
        </is>
      </c>
      <c r="C536" s="9" t="inlineStr">
        <is>
          <t>REFLETOR SLIM LED 50W DE POTÊNCIA, BRANCO FRIO, 6500K, AUTOVOLT, MARCA G-LIGHT OU SIMILAR</t>
        </is>
      </c>
      <c r="D536" s="8" t="inlineStr">
        <is>
          <t xml:space="preserve">Composiçõ es
</t>
        </is>
      </c>
      <c r="E536" s="8" t="inlineStr">
        <is>
          <t>UN</t>
        </is>
      </c>
      <c r="F536" s="58" t="n">
        <v>8</v>
      </c>
      <c r="G536" s="59">
        <f>COMPOSICOES!G4724</f>
        <v/>
      </c>
      <c r="H536" s="60">
        <f>ROUND(ROUND(F536,2)*ROUND(G536,2),2)</f>
        <v/>
      </c>
      <c r="K536" t="n">
        <v>52.33</v>
      </c>
      <c r="L536">
        <f>G536-K536</f>
        <v/>
      </c>
    </row>
    <row r="537" ht="24" customHeight="1">
      <c r="A537" s="7" t="inlineStr">
        <is>
          <t>14.3.1.5</t>
        </is>
      </c>
      <c r="B537" s="8" t="inlineStr">
        <is>
          <t>SOP0074</t>
        </is>
      </c>
      <c r="C537" s="9" t="inlineStr">
        <is>
          <t>REFLETOR TR LED, CORPO EM ALUMINIO, VIDRO TEMPERADO, POTENCIA 20W, BIVOLT, TEMP.COR 3000K, IP-65, DA TASCHIBRA OU SIMILAR</t>
        </is>
      </c>
      <c r="D537" s="8" t="inlineStr">
        <is>
          <t>Composiçõ es Próprias</t>
        </is>
      </c>
      <c r="E537" s="8" t="inlineStr">
        <is>
          <t>UN</t>
        </is>
      </c>
      <c r="F537" s="58" t="n">
        <v>20</v>
      </c>
      <c r="G537" s="59">
        <f>COMPOSICOES!G4736</f>
        <v/>
      </c>
      <c r="H537" s="60">
        <f>ROUND(ROUND(F537,2)*ROUND(G537,2),2)</f>
        <v/>
      </c>
      <c r="K537" t="n">
        <v>36.66</v>
      </c>
      <c r="L537">
        <f>G537-K537</f>
        <v/>
      </c>
    </row>
    <row r="538" ht="20" customHeight="1">
      <c r="A538" s="5" t="inlineStr">
        <is>
          <t>15</t>
        </is>
      </c>
      <c r="B538" s="5" t="inlineStr">
        <is>
          <t>PINTURA</t>
        </is>
      </c>
      <c r="C538" s="55" t="n"/>
      <c r="D538" s="55" t="n"/>
      <c r="E538" s="55" t="n"/>
      <c r="F538" s="55" t="n"/>
      <c r="G538" s="56" t="n"/>
      <c r="H538" s="57">
        <f>ROUND(H539+H542,2)</f>
        <v/>
      </c>
    </row>
    <row r="539" ht="20" customHeight="1">
      <c r="A539" s="5" t="inlineStr">
        <is>
          <t>15.1</t>
        </is>
      </c>
      <c r="B539" s="5" t="inlineStr">
        <is>
          <t>PREPARAÇÃO</t>
        </is>
      </c>
      <c r="C539" s="55" t="n"/>
      <c r="D539" s="55" t="n"/>
      <c r="E539" s="55" t="n"/>
      <c r="F539" s="55" t="n"/>
      <c r="G539" s="56" t="n"/>
      <c r="H539" s="57">
        <f>ROUND(H540,2)</f>
        <v/>
      </c>
    </row>
    <row r="540" ht="20" customHeight="1">
      <c r="A540" s="5" t="inlineStr">
        <is>
          <t>15.1.1</t>
        </is>
      </c>
      <c r="B540" s="5" t="inlineStr">
        <is>
          <t>EMASSAMENTO</t>
        </is>
      </c>
      <c r="C540" s="55" t="n"/>
      <c r="D540" s="55" t="n"/>
      <c r="E540" s="55" t="n"/>
      <c r="F540" s="55" t="n"/>
      <c r="G540" s="56" t="n"/>
      <c r="H540" s="57">
        <f>ROUND(SUM(H541:H541),2)</f>
        <v/>
      </c>
    </row>
    <row r="541" ht="24" customHeight="1">
      <c r="A541" s="7" t="inlineStr">
        <is>
          <t>15.1.1.1</t>
        </is>
      </c>
      <c r="B541" s="8" t="inlineStr">
        <is>
          <t>88497</t>
        </is>
      </c>
      <c r="C541" s="9" t="inlineStr">
        <is>
          <t>EMASSAMENTO COM MASSA LÁTEX, APLICAÇÃO EM PAREDE, DUAS DEMÃOS, LIXAMENTO MANUAL. AF_04/2023</t>
        </is>
      </c>
      <c r="D541" s="8" t="inlineStr">
        <is>
          <t>SINAPI</t>
        </is>
      </c>
      <c r="E541" s="8" t="inlineStr">
        <is>
          <t>M2</t>
        </is>
      </c>
      <c r="F541" s="58" t="n">
        <v>202.71</v>
      </c>
      <c r="G541" s="59">
        <f>COMPOSICOES!G4749</f>
        <v/>
      </c>
      <c r="H541" s="60">
        <f>ROUND(ROUND(F541,2)*ROUND(G541,2),2)</f>
        <v/>
      </c>
      <c r="K541" t="n">
        <v>17.66</v>
      </c>
      <c r="L541">
        <f>G541-K541</f>
        <v/>
      </c>
    </row>
    <row r="542" ht="20" customHeight="1">
      <c r="A542" s="5" t="inlineStr">
        <is>
          <t>15.2</t>
        </is>
      </c>
      <c r="B542" s="5" t="inlineStr">
        <is>
          <t>PINTURA (ACABAMENTO)</t>
        </is>
      </c>
      <c r="C542" s="55" t="n"/>
      <c r="D542" s="55" t="n"/>
      <c r="E542" s="55" t="n"/>
      <c r="F542" s="55" t="n"/>
      <c r="G542" s="56" t="n"/>
      <c r="H542" s="57">
        <f>ROUND(H543+H545+H547,2)</f>
        <v/>
      </c>
    </row>
    <row r="543" ht="20" customHeight="1">
      <c r="A543" s="5" t="inlineStr">
        <is>
          <t>15.2.1</t>
        </is>
      </c>
      <c r="B543" s="5" t="inlineStr">
        <is>
          <t>PINTURA (SOBRE REBOCO)</t>
        </is>
      </c>
      <c r="C543" s="55" t="n"/>
      <c r="D543" s="55" t="n"/>
      <c r="E543" s="55" t="n"/>
      <c r="F543" s="55" t="n"/>
      <c r="G543" s="56" t="n"/>
      <c r="H543" s="57">
        <f>ROUND(SUM(H544:H544),2)</f>
        <v/>
      </c>
    </row>
    <row r="544" ht="20" customHeight="1">
      <c r="A544" s="7" t="inlineStr">
        <is>
          <t>15.2.1.1</t>
        </is>
      </c>
      <c r="B544" s="8" t="inlineStr">
        <is>
          <t>104642</t>
        </is>
      </c>
      <c r="C544" s="9" t="inlineStr">
        <is>
          <t>PINTURA LÁTEX ACRÍLICA STANDARD, APLICAÇÃO MANUAL EM PAREDES, DUAS DEMÃOS. AF_04/2023</t>
        </is>
      </c>
      <c r="D544" s="8" t="inlineStr">
        <is>
          <t>SINAPI</t>
        </is>
      </c>
      <c r="E544" s="8" t="inlineStr">
        <is>
          <t>M2</t>
        </is>
      </c>
      <c r="F544" s="58" t="n">
        <v>202.71</v>
      </c>
      <c r="G544" s="59">
        <f>COMPOSICOES!G4761</f>
        <v/>
      </c>
      <c r="H544" s="60">
        <f>ROUND(ROUND(F544,2)*ROUND(G544,2),2)</f>
        <v/>
      </c>
      <c r="K544" t="n">
        <v>11.29</v>
      </c>
      <c r="L544">
        <f>G544-K544</f>
        <v/>
      </c>
    </row>
    <row r="545" ht="20" customHeight="1">
      <c r="A545" s="5" t="inlineStr">
        <is>
          <t>15.2.2</t>
        </is>
      </c>
      <c r="B545" s="5" t="inlineStr">
        <is>
          <t>PINTURA (SUPERFÍCIES METÁLICAS)</t>
        </is>
      </c>
      <c r="C545" s="55" t="n"/>
      <c r="D545" s="55" t="n"/>
      <c r="E545" s="55" t="n"/>
      <c r="F545" s="55" t="n"/>
      <c r="G545" s="56" t="n"/>
      <c r="H545" s="57">
        <f>ROUND(SUM(H546:H546),2)</f>
        <v/>
      </c>
    </row>
    <row r="546" ht="32" customHeight="1">
      <c r="A546" s="7" t="inlineStr">
        <is>
          <t>15.2.2.1</t>
        </is>
      </c>
      <c r="B546" s="8" t="inlineStr">
        <is>
          <t>100749</t>
        </is>
      </c>
      <c r="C546" s="9" t="inlineStr">
        <is>
          <t>PINTURA COM TINTA ALQUÍDICA DE ACABAMENTO (ESMALTE SINTÉTICO FOSCO) PULVERIZADA SOBRE SUPERFÍCIES METÁLICAS (EXCETO PERFIL) EXECUTADO EM OBRA (POR DEMÃO). AF_01/2020_PE</t>
        </is>
      </c>
      <c r="D546" s="8" t="inlineStr">
        <is>
          <t>SINAPI</t>
        </is>
      </c>
      <c r="E546" s="8" t="inlineStr">
        <is>
          <t>M2</t>
        </is>
      </c>
      <c r="F546" s="58" t="n">
        <v>200</v>
      </c>
      <c r="G546" s="59">
        <f>COMPOSICOES!G4773</f>
        <v/>
      </c>
      <c r="H546" s="60">
        <f>ROUND(ROUND(F546,2)*ROUND(G546,2),2)</f>
        <v/>
      </c>
      <c r="K546" t="n">
        <v>27.91</v>
      </c>
      <c r="L546">
        <f>G546-K546</f>
        <v/>
      </c>
    </row>
    <row r="547" ht="20" customHeight="1">
      <c r="A547" s="5" t="inlineStr">
        <is>
          <t>15.2.3</t>
        </is>
      </c>
      <c r="B547" s="5" t="inlineStr">
        <is>
          <t>PINTURA (TRATAMENTOS DIVERSOS)</t>
        </is>
      </c>
      <c r="C547" s="55" t="n"/>
      <c r="D547" s="55" t="n"/>
      <c r="E547" s="55" t="n"/>
      <c r="F547" s="55" t="n"/>
      <c r="G547" s="56" t="n"/>
      <c r="H547" s="57">
        <f>ROUND(SUM(H548:H548),2)</f>
        <v/>
      </c>
    </row>
    <row r="548" ht="20" customHeight="1">
      <c r="A548" s="7" t="inlineStr">
        <is>
          <t>15.2.3.1</t>
        </is>
      </c>
      <c r="B548" s="8" t="inlineStr">
        <is>
          <t>102489</t>
        </is>
      </c>
      <c r="C548" s="9" t="inlineStr">
        <is>
          <t>PINTURA HIDROFUGANTE COM SILICONE, APLICAÇÃO MANUAL, 2 DEMÃOS. AF_05/2021</t>
        </is>
      </c>
      <c r="D548" s="8" t="inlineStr">
        <is>
          <t>SINAPI</t>
        </is>
      </c>
      <c r="E548" s="8" t="inlineStr">
        <is>
          <t>M2</t>
        </is>
      </c>
      <c r="F548" s="58" t="n">
        <v>218.73</v>
      </c>
      <c r="G548" s="59">
        <f>COMPOSICOES!G4786</f>
        <v/>
      </c>
      <c r="H548" s="60">
        <f>ROUND(ROUND(F548,2)*ROUND(G548,2),2)</f>
        <v/>
      </c>
      <c r="K548" t="n">
        <v>31.54</v>
      </c>
      <c r="L548">
        <f>G548-K548</f>
        <v/>
      </c>
    </row>
    <row r="549" ht="20" customHeight="1">
      <c r="A549" s="5" t="inlineStr">
        <is>
          <t>16</t>
        </is>
      </c>
      <c r="B549" s="5" t="inlineStr">
        <is>
          <t>URBANIZAÇÃO</t>
        </is>
      </c>
      <c r="C549" s="55" t="n"/>
      <c r="D549" s="55" t="n"/>
      <c r="E549" s="55" t="n"/>
      <c r="F549" s="55" t="n"/>
      <c r="G549" s="56" t="n"/>
      <c r="H549" s="57">
        <f>ROUND(H550+H553,2)</f>
        <v/>
      </c>
    </row>
    <row r="550" ht="20" customHeight="1">
      <c r="A550" s="5" t="inlineStr">
        <is>
          <t>16.1</t>
        </is>
      </c>
      <c r="B550" s="5" t="inlineStr">
        <is>
          <t>PAISAGISMO</t>
        </is>
      </c>
      <c r="C550" s="55" t="n"/>
      <c r="D550" s="55" t="n"/>
      <c r="E550" s="55" t="n"/>
      <c r="F550" s="55" t="n"/>
      <c r="G550" s="56" t="n"/>
      <c r="H550" s="57">
        <f>ROUND(H551,2)</f>
        <v/>
      </c>
    </row>
    <row r="551" ht="20" customHeight="1">
      <c r="A551" s="5" t="inlineStr">
        <is>
          <t>16.1.1</t>
        </is>
      </c>
      <c r="B551" s="5" t="inlineStr">
        <is>
          <t>COBERTURA VEGETAL</t>
        </is>
      </c>
      <c r="C551" s="55" t="n"/>
      <c r="D551" s="55" t="n"/>
      <c r="E551" s="55" t="n"/>
      <c r="F551" s="55" t="n"/>
      <c r="G551" s="56" t="n"/>
      <c r="H551" s="57">
        <f>ROUND(SUM(H552:H552),2)</f>
        <v/>
      </c>
    </row>
    <row r="552" ht="20" customHeight="1">
      <c r="A552" s="7" t="inlineStr">
        <is>
          <t>16.1.1.1</t>
        </is>
      </c>
      <c r="B552" s="8" t="inlineStr">
        <is>
          <t>98504</t>
        </is>
      </c>
      <c r="C552" s="9" t="inlineStr">
        <is>
          <t>PLANTIO DE GRAMA BATATAIS EM PLACAS. AF_07/2024</t>
        </is>
      </c>
      <c r="D552" s="8" t="inlineStr">
        <is>
          <t>SINAPI</t>
        </is>
      </c>
      <c r="E552" s="8" t="inlineStr">
        <is>
          <t>M2</t>
        </is>
      </c>
      <c r="F552" s="58" t="n">
        <v>187.5</v>
      </c>
      <c r="G552" s="59">
        <f>COMPOSICOES!G4798</f>
        <v/>
      </c>
      <c r="H552" s="60">
        <f>ROUND(ROUND(F552,2)*ROUND(G552,2),2)</f>
        <v/>
      </c>
      <c r="K552" t="n">
        <v>14.63</v>
      </c>
      <c r="L552">
        <f>G552-K552</f>
        <v/>
      </c>
    </row>
    <row r="553" ht="20" customHeight="1">
      <c r="A553" s="5" t="inlineStr">
        <is>
          <t>16.2</t>
        </is>
      </c>
      <c r="B553" s="5" t="inlineStr">
        <is>
          <t>MOBILIÁRIO URBANO</t>
        </is>
      </c>
      <c r="C553" s="55" t="n"/>
      <c r="D553" s="55" t="n"/>
      <c r="E553" s="55" t="n"/>
      <c r="F553" s="55" t="n"/>
      <c r="G553" s="56" t="n"/>
      <c r="H553" s="57">
        <f>ROUND(H554+H556,2)</f>
        <v/>
      </c>
    </row>
    <row r="554" ht="20" customHeight="1">
      <c r="A554" s="5" t="inlineStr">
        <is>
          <t>16.2.1</t>
        </is>
      </c>
      <c r="B554" s="5" t="inlineStr">
        <is>
          <t>LIXEIRA</t>
        </is>
      </c>
      <c r="C554" s="55" t="n"/>
      <c r="D554" s="55" t="n"/>
      <c r="E554" s="55" t="n"/>
      <c r="F554" s="55" t="n"/>
      <c r="G554" s="56" t="n"/>
      <c r="H554" s="57">
        <f>ROUND(SUM(H555:H555),2)</f>
        <v/>
      </c>
    </row>
    <row r="555" ht="32" customHeight="1">
      <c r="A555" s="7" t="inlineStr">
        <is>
          <t>16.2.1.1</t>
        </is>
      </c>
      <c r="B555" s="8" t="inlineStr">
        <is>
          <t>103310</t>
        </is>
      </c>
      <c r="C555" s="9" t="inlineStr">
        <is>
          <t>INSTALAÇÃO DE LIXEIRA METÁLICA DUPLA, CAPACIDADE DE 60 L, EM TUBO DE AÇO CARBONO E CESTOS EM CHAPA DE AÇO COM PINTURA ELETROSTÁTICA, SOBRE SOLO. AF_11/2021</t>
        </is>
      </c>
      <c r="D555" s="8" t="inlineStr">
        <is>
          <t>SINAPI</t>
        </is>
      </c>
      <c r="E555" s="8" t="inlineStr">
        <is>
          <t>UN</t>
        </is>
      </c>
      <c r="F555" s="58" t="n">
        <v>1</v>
      </c>
      <c r="G555" s="59">
        <f>COMPOSICOES!G4814</f>
        <v/>
      </c>
      <c r="H555" s="60">
        <f>ROUND(ROUND(F555,2)*ROUND(G555,2),2)</f>
        <v/>
      </c>
      <c r="K555" t="n">
        <v>1291.35</v>
      </c>
      <c r="L555">
        <f>G555-K555</f>
        <v/>
      </c>
    </row>
    <row r="556" ht="20" customHeight="1">
      <c r="A556" s="5" t="inlineStr">
        <is>
          <t>16.2.2</t>
        </is>
      </c>
      <c r="B556" s="5" t="inlineStr">
        <is>
          <t>BICICLETÁRIO</t>
        </is>
      </c>
      <c r="C556" s="55" t="n"/>
      <c r="D556" s="55" t="n"/>
      <c r="E556" s="55" t="n"/>
      <c r="F556" s="55" t="n"/>
      <c r="G556" s="56" t="n"/>
      <c r="H556" s="57">
        <f>ROUND(SUM(H557:H557),2)</f>
        <v/>
      </c>
    </row>
    <row r="557" ht="20" customHeight="1">
      <c r="A557" s="7" t="inlineStr">
        <is>
          <t>16.2.2.1</t>
        </is>
      </c>
      <c r="B557" s="8" t="inlineStr">
        <is>
          <t>470
PRÓPRIO</t>
        </is>
      </c>
      <c r="C557" s="9" t="inlineStr">
        <is>
          <t>SUPORTE PARA APOIO DE BICICLETA - TUBO DE AÇO GALVANIZADO Ø 2 1/2</t>
        </is>
      </c>
      <c r="D557" s="8" t="inlineStr">
        <is>
          <t xml:space="preserve">Composiçõ es
</t>
        </is>
      </c>
      <c r="E557" s="8" t="inlineStr">
        <is>
          <t>UN</t>
        </is>
      </c>
      <c r="F557" s="58" t="n">
        <v>3</v>
      </c>
      <c r="G557" s="59">
        <f>COMPOSICOES!G4829</f>
        <v/>
      </c>
      <c r="H557" s="60">
        <f>ROUND(ROUND(F557,2)*ROUND(G557,2),2)</f>
        <v/>
      </c>
      <c r="K557" t="n">
        <v>558.5599999999999</v>
      </c>
      <c r="L557">
        <f>G557-K557</f>
        <v/>
      </c>
    </row>
    <row r="558" ht="20" customHeight="1">
      <c r="A558" s="5" t="inlineStr">
        <is>
          <t>17</t>
        </is>
      </c>
      <c r="B558" s="5" t="inlineStr">
        <is>
          <t>DESMOBILIZAÇÃO DE CANTEIRO</t>
        </is>
      </c>
      <c r="C558" s="55" t="n"/>
      <c r="D558" s="55" t="n"/>
      <c r="E558" s="55" t="n"/>
      <c r="F558" s="55" t="n"/>
      <c r="G558" s="56" t="n"/>
      <c r="H558" s="57">
        <f>ROUND(H559+H564+H578,2)</f>
        <v/>
      </c>
    </row>
    <row r="559" ht="20" customHeight="1">
      <c r="A559" s="5" t="inlineStr">
        <is>
          <t>17.1</t>
        </is>
      </c>
      <c r="B559" s="5" t="inlineStr">
        <is>
          <t>DESMONTE DE INSTALAÇÕES PROVISÓRIAS</t>
        </is>
      </c>
      <c r="C559" s="55" t="n"/>
      <c r="D559" s="55" t="n"/>
      <c r="E559" s="55" t="n"/>
      <c r="F559" s="55" t="n"/>
      <c r="G559" s="56" t="n"/>
      <c r="H559" s="57">
        <f>ROUND(H560+H562,2)</f>
        <v/>
      </c>
    </row>
    <row r="560" ht="20" customHeight="1">
      <c r="A560" s="5" t="inlineStr">
        <is>
          <t>17.1.1</t>
        </is>
      </c>
      <c r="B560" s="5" t="inlineStr">
        <is>
          <t>TAPUME</t>
        </is>
      </c>
      <c r="C560" s="55" t="n"/>
      <c r="D560" s="55" t="n"/>
      <c r="E560" s="55" t="n"/>
      <c r="F560" s="55" t="n"/>
      <c r="G560" s="56" t="n"/>
      <c r="H560" s="57">
        <f>ROUND(SUM(H561:H561),2)</f>
        <v/>
      </c>
    </row>
    <row r="561" ht="24" customHeight="1">
      <c r="A561" s="7" t="inlineStr">
        <is>
          <t>17.1.1.1</t>
        </is>
      </c>
      <c r="B561" s="8" t="inlineStr">
        <is>
          <t>97637</t>
        </is>
      </c>
      <c r="C561" s="9" t="inlineStr">
        <is>
          <t>REMOÇÃO DE TAPUME/CHAPAS METÁLICAS E DE MADEIRA, DE FORMA MANUAL, SEM REAPROVEITAMENTO. AF_09/2023</t>
        </is>
      </c>
      <c r="D561" s="8" t="inlineStr">
        <is>
          <t>SINAPI</t>
        </is>
      </c>
      <c r="E561" s="8" t="inlineStr">
        <is>
          <t>M2</t>
        </is>
      </c>
      <c r="F561" s="58" t="n">
        <v>190.68</v>
      </c>
      <c r="G561" s="59">
        <f>COMPOSICOES!G4838</f>
        <v/>
      </c>
      <c r="H561" s="60">
        <f>ROUND(ROUND(F561,2)*ROUND(G561,2),2)</f>
        <v/>
      </c>
      <c r="K561" t="n">
        <v>3.16</v>
      </c>
      <c r="L561">
        <f>G561-K561</f>
        <v/>
      </c>
    </row>
    <row r="562" ht="20" customHeight="1">
      <c r="A562" s="5" t="inlineStr">
        <is>
          <t>17.1.2</t>
        </is>
      </c>
      <c r="B562" s="5" t="inlineStr">
        <is>
          <t>ALOJAMENTO / DEPÓSITO / BANHEIRO</t>
        </is>
      </c>
      <c r="C562" s="55" t="n"/>
      <c r="D562" s="55" t="n"/>
      <c r="E562" s="55" t="n"/>
      <c r="F562" s="55" t="n"/>
      <c r="G562" s="56" t="n"/>
      <c r="H562" s="57">
        <f>ROUND(SUM(H563:H563),2)</f>
        <v/>
      </c>
    </row>
    <row r="563" ht="20" customHeight="1">
      <c r="A563" s="7" t="inlineStr">
        <is>
          <t>17.1.2.1</t>
        </is>
      </c>
      <c r="B563" s="8" t="inlineStr">
        <is>
          <t>471
PRÓPRIO</t>
        </is>
      </c>
      <c r="C563" s="9" t="inlineStr">
        <is>
          <t>DEMOLIÇÃO/DESMONTAGEM DE BARRACÃO E DEMAIS ELEMENTOS - COM REAPROVEITAMENTO PARCIAL</t>
        </is>
      </c>
      <c r="D563" s="8" t="inlineStr">
        <is>
          <t xml:space="preserve">Composiçõ es
</t>
        </is>
      </c>
      <c r="E563" s="8" t="inlineStr">
        <is>
          <t>M²</t>
        </is>
      </c>
      <c r="F563" s="58" t="n">
        <v>30</v>
      </c>
      <c r="G563" s="59">
        <f>COMPOSICOES!G4856</f>
        <v/>
      </c>
      <c r="H563" s="60">
        <f>ROUND(ROUND(F563,2)*ROUND(G563,2),2)</f>
        <v/>
      </c>
      <c r="K563" t="n">
        <v>41.47</v>
      </c>
      <c r="L563">
        <f>G563-K563</f>
        <v/>
      </c>
    </row>
    <row r="564" ht="20" customHeight="1">
      <c r="A564" s="5" t="inlineStr">
        <is>
          <t>17.2</t>
        </is>
      </c>
      <c r="B564" s="5" t="inlineStr">
        <is>
          <t>LIMPEZA FINAL</t>
        </is>
      </c>
      <c r="C564" s="55" t="n"/>
      <c r="D564" s="55" t="n"/>
      <c r="E564" s="55" t="n"/>
      <c r="F564" s="55" t="n"/>
      <c r="G564" s="56" t="n"/>
      <c r="H564" s="57">
        <f>ROUND(H565+H576,2)</f>
        <v/>
      </c>
    </row>
    <row r="565" ht="20" customHeight="1">
      <c r="A565" s="5" t="inlineStr">
        <is>
          <t>17.2.1</t>
        </is>
      </c>
      <c r="B565" s="5" t="inlineStr">
        <is>
          <t>LIMPEZA PARA ENTREGA FINAL</t>
        </is>
      </c>
      <c r="C565" s="55" t="n"/>
      <c r="D565" s="55" t="n"/>
      <c r="E565" s="55" t="n"/>
      <c r="F565" s="55" t="n"/>
      <c r="G565" s="56" t="n"/>
      <c r="H565" s="57">
        <f>ROUND(SUM(H566:H575),2)</f>
        <v/>
      </c>
    </row>
    <row r="566" ht="20" customHeight="1">
      <c r="A566" s="7" t="inlineStr">
        <is>
          <t>17.2.1.1</t>
        </is>
      </c>
      <c r="B566" s="8" t="inlineStr">
        <is>
          <t>99821</t>
        </is>
      </c>
      <c r="C566" s="9" t="inlineStr">
        <is>
          <t>LIMPEZA DE JANELA DE VIDRO COM CAIXILHO EM AÇO/ALUMÍNIO/PVC. AF_04/2019</t>
        </is>
      </c>
      <c r="D566" s="8" t="inlineStr">
        <is>
          <t>SINAPI</t>
        </is>
      </c>
      <c r="E566" s="8" t="inlineStr">
        <is>
          <t>M2</t>
        </is>
      </c>
      <c r="F566" s="58" t="n">
        <v>37.12</v>
      </c>
      <c r="G566" s="59">
        <f>COMPOSICOES!G4869</f>
        <v/>
      </c>
      <c r="H566" s="60">
        <f>ROUND(ROUND(F566,2)*ROUND(G566,2),2)</f>
        <v/>
      </c>
      <c r="K566" t="n">
        <v>3.43</v>
      </c>
      <c r="L566">
        <f>G566-K566</f>
        <v/>
      </c>
    </row>
    <row r="567" ht="20" customHeight="1">
      <c r="A567" s="7" t="inlineStr">
        <is>
          <t>17.2.1.2</t>
        </is>
      </c>
      <c r="B567" s="8" t="inlineStr">
        <is>
          <t>99825</t>
        </is>
      </c>
      <c r="C567" s="9" t="inlineStr">
        <is>
          <t>LIMPEZA DE PORTA DE VIDRO COM CAIXILHO EM AÇO/ALUMÍNIO/PVC.AF_04/2019</t>
        </is>
      </c>
      <c r="D567" s="8" t="inlineStr">
        <is>
          <t>SINAPI</t>
        </is>
      </c>
      <c r="E567" s="8" t="inlineStr">
        <is>
          <t>M2</t>
        </is>
      </c>
      <c r="F567" s="58" t="n">
        <v>50.95</v>
      </c>
      <c r="G567" s="59">
        <f>COMPOSICOES!G4882</f>
        <v/>
      </c>
      <c r="H567" s="60">
        <f>ROUND(ROUND(F567,2)*ROUND(G567,2),2)</f>
        <v/>
      </c>
      <c r="K567" t="n">
        <v>4</v>
      </c>
      <c r="L567">
        <f>G567-K567</f>
        <v/>
      </c>
    </row>
    <row r="568" ht="20" customHeight="1">
      <c r="A568" s="7" t="inlineStr">
        <is>
          <t>17.2.1.3</t>
        </is>
      </c>
      <c r="B568" s="8" t="inlineStr">
        <is>
          <t>99822</t>
        </is>
      </c>
      <c r="C568" s="9" t="inlineStr">
        <is>
          <t>LIMPEZA DE PORTA DE MADEIRA. AF_04/2019</t>
        </is>
      </c>
      <c r="D568" s="8" t="inlineStr">
        <is>
          <t>SINAPI</t>
        </is>
      </c>
      <c r="E568" s="8" t="inlineStr">
        <is>
          <t>M2</t>
        </is>
      </c>
      <c r="F568" s="58" t="n">
        <v>30.24</v>
      </c>
      <c r="G568" s="59">
        <f>COMPOSICOES!G4890</f>
        <v/>
      </c>
      <c r="H568" s="60">
        <f>ROUND(ROUND(F568,2)*ROUND(G568,2),2)</f>
        <v/>
      </c>
      <c r="K568" t="n">
        <v>1.1</v>
      </c>
      <c r="L568">
        <f>G568-K568</f>
        <v/>
      </c>
    </row>
    <row r="569" ht="20" customHeight="1">
      <c r="A569" s="7" t="inlineStr">
        <is>
          <t>17.2.1.4</t>
        </is>
      </c>
      <c r="B569" s="8" t="inlineStr">
        <is>
          <t>99824</t>
        </is>
      </c>
      <c r="C569" s="9" t="inlineStr">
        <is>
          <t>LIMPEZA DE PORTA EM AÇO/ALUMÍNIO. AF_04/2019</t>
        </is>
      </c>
      <c r="D569" s="8" t="inlineStr">
        <is>
          <t>SINAPI</t>
        </is>
      </c>
      <c r="E569" s="8" t="inlineStr">
        <is>
          <t>M2</t>
        </is>
      </c>
      <c r="F569" s="58" t="n">
        <v>31.76</v>
      </c>
      <c r="G569" s="59">
        <f>COMPOSICOES!G4902</f>
        <v/>
      </c>
      <c r="H569" s="60">
        <f>ROUND(ROUND(F569,2)*ROUND(G569,2),2)</f>
        <v/>
      </c>
      <c r="K569" t="n">
        <v>2.82</v>
      </c>
      <c r="L569">
        <f>G569-K569</f>
        <v/>
      </c>
    </row>
    <row r="570" ht="24" customHeight="1">
      <c r="A570" s="7" t="inlineStr">
        <is>
          <t>17.2.1.5</t>
        </is>
      </c>
      <c r="B570" s="8" t="inlineStr">
        <is>
          <t>99807</t>
        </is>
      </c>
      <c r="C570" s="9" t="inlineStr">
        <is>
          <t>LIMPEZA DE REVESTIMENTO CERÂMICO EM PAREDE UTILIZANDO DETERGENTE NEUTRO E ESCOVAÇÃO MANUAL. AF_04/2019</t>
        </is>
      </c>
      <c r="D570" s="8" t="inlineStr">
        <is>
          <t>SINAPI</t>
        </is>
      </c>
      <c r="E570" s="8" t="inlineStr">
        <is>
          <t>M2</t>
        </is>
      </c>
      <c r="F570" s="58" t="n">
        <v>168.08</v>
      </c>
      <c r="G570" s="59">
        <f>COMPOSICOES!G4913</f>
        <v/>
      </c>
      <c r="H570" s="60">
        <f>ROUND(ROUND(F570,2)*ROUND(G570,2),2)</f>
        <v/>
      </c>
      <c r="K570" t="n">
        <v>1.79</v>
      </c>
      <c r="L570">
        <f>G570-K570</f>
        <v/>
      </c>
    </row>
    <row r="571" ht="24" customHeight="1">
      <c r="A571" s="7" t="inlineStr">
        <is>
          <t>17.2.1.6</t>
        </is>
      </c>
      <c r="B571" s="8" t="inlineStr">
        <is>
          <t>99818</t>
        </is>
      </c>
      <c r="C571" s="9" t="inlineStr">
        <is>
          <t>LIMPEZA DE BACIA SANITÁRIA, BIDÊ OU MICTÓRIO EM LOUÇA, INCLUSIVE METAIS CORRESPONDENTES. AF_04/2019</t>
        </is>
      </c>
      <c r="D571" s="8" t="inlineStr">
        <is>
          <t>SINAPI</t>
        </is>
      </c>
      <c r="E571" s="8" t="inlineStr">
        <is>
          <t>UN</t>
        </is>
      </c>
      <c r="F571" s="58" t="n">
        <v>9</v>
      </c>
      <c r="G571" s="59">
        <f>COMPOSICOES!G4925</f>
        <v/>
      </c>
      <c r="H571" s="60">
        <f>ROUND(ROUND(F571,2)*ROUND(G571,2),2)</f>
        <v/>
      </c>
      <c r="K571" t="n">
        <v>6.29</v>
      </c>
      <c r="L571">
        <f>G571-K571</f>
        <v/>
      </c>
    </row>
    <row r="572" ht="20" customHeight="1">
      <c r="A572" s="7" t="inlineStr">
        <is>
          <t>17.2.1.7</t>
        </is>
      </c>
      <c r="B572" s="8" t="inlineStr">
        <is>
          <t>99819</t>
        </is>
      </c>
      <c r="C572" s="9" t="inlineStr">
        <is>
          <t>LIMPEZA DE BANCADA DE PEDRA (MÁRMORE OU GRANITO). AF_04/2019</t>
        </is>
      </c>
      <c r="D572" s="8" t="inlineStr">
        <is>
          <t>SINAPI</t>
        </is>
      </c>
      <c r="E572" s="8" t="inlineStr">
        <is>
          <t>M2</t>
        </is>
      </c>
      <c r="F572" s="58" t="n">
        <v>8.48</v>
      </c>
      <c r="G572" s="59">
        <f>COMPOSICOES!G4937</f>
        <v/>
      </c>
      <c r="H572" s="60">
        <f>ROUND(ROUND(F572,2)*ROUND(G572,2),2)</f>
        <v/>
      </c>
      <c r="K572" t="n">
        <v>18.52</v>
      </c>
      <c r="L572">
        <f>G572-K572</f>
        <v/>
      </c>
    </row>
    <row r="573" ht="20" customHeight="1">
      <c r="A573" s="7" t="inlineStr">
        <is>
          <t>17.2.1.8</t>
        </is>
      </c>
      <c r="B573" s="8" t="inlineStr">
        <is>
          <t>99815</t>
        </is>
      </c>
      <c r="C573" s="9" t="inlineStr">
        <is>
          <t>LIMPEZA DE PIA INOX COM BANCADA DE PEDRA, INCLUSIVE METAIS CORRESPONDENTES. AF_04/2019</t>
        </is>
      </c>
      <c r="D573" s="8" t="inlineStr">
        <is>
          <t>SINAPI</t>
        </is>
      </c>
      <c r="E573" s="8" t="inlineStr">
        <is>
          <t>UN</t>
        </is>
      </c>
      <c r="F573" s="58" t="n">
        <v>1</v>
      </c>
      <c r="G573" s="59">
        <f>COMPOSICOES!G4949</f>
        <v/>
      </c>
      <c r="H573" s="60">
        <f>ROUND(ROUND(F573,2)*ROUND(G573,2),2)</f>
        <v/>
      </c>
      <c r="K573" t="n">
        <v>9.800000000000001</v>
      </c>
      <c r="L573">
        <f>G573-K573</f>
        <v/>
      </c>
    </row>
    <row r="574" ht="24" customHeight="1">
      <c r="A574" s="7" t="inlineStr">
        <is>
          <t>17.2.1.9</t>
        </is>
      </c>
      <c r="B574" s="8" t="inlineStr">
        <is>
          <t>99817</t>
        </is>
      </c>
      <c r="C574" s="9" t="inlineStr">
        <is>
          <t>LIMPEZA DE LAVATÓRIO DE LOUÇA COM BANCADA DE PEDRA, INCLUSIVE METAIS CORRESPONDENTES. AF_04/2019</t>
        </is>
      </c>
      <c r="D574" s="8" t="inlineStr">
        <is>
          <t>SINAPI</t>
        </is>
      </c>
      <c r="E574" s="8" t="inlineStr">
        <is>
          <t>UN</t>
        </is>
      </c>
      <c r="F574" s="58" t="n">
        <v>11</v>
      </c>
      <c r="G574" s="59">
        <f>COMPOSICOES!G4961</f>
        <v/>
      </c>
      <c r="H574" s="60">
        <f>ROUND(ROUND(F574,2)*ROUND(G574,2),2)</f>
        <v/>
      </c>
      <c r="K574" t="n">
        <v>6.29</v>
      </c>
      <c r="L574">
        <f>G574-K574</f>
        <v/>
      </c>
    </row>
    <row r="575" ht="24" customHeight="1">
      <c r="A575" s="7" t="inlineStr">
        <is>
          <t>17.2.1.10</t>
        </is>
      </c>
      <c r="B575" s="8" t="inlineStr">
        <is>
          <t>99804</t>
        </is>
      </c>
      <c r="C575" s="9" t="inlineStr">
        <is>
          <t>LIMPEZA DE PISO CERÂMICO OU PORCELANATO UTILIZANDO DETERGENTE NEUTRO E ESCOVAÇÃO MANUAL. AF_04/2019</t>
        </is>
      </c>
      <c r="D575" s="8" t="inlineStr">
        <is>
          <t>SINAPI</t>
        </is>
      </c>
      <c r="E575" s="8" t="inlineStr">
        <is>
          <t>M2</t>
        </is>
      </c>
      <c r="F575" s="58" t="n">
        <v>53.57</v>
      </c>
      <c r="G575" s="59">
        <f>COMPOSICOES!G4972</f>
        <v/>
      </c>
      <c r="H575" s="60">
        <f>ROUND(ROUND(F575,2)*ROUND(G575,2),2)</f>
        <v/>
      </c>
      <c r="K575" t="n">
        <v>5.92</v>
      </c>
      <c r="L575">
        <f>G575-K575</f>
        <v/>
      </c>
    </row>
    <row r="576" ht="20" customHeight="1">
      <c r="A576" s="5" t="inlineStr">
        <is>
          <t>17.2.2</t>
        </is>
      </c>
      <c r="B576" s="5" t="inlineStr">
        <is>
          <t>BOTA-FORA (ENTULHO)</t>
        </is>
      </c>
      <c r="C576" s="55" t="n"/>
      <c r="D576" s="55" t="n"/>
      <c r="E576" s="55" t="n"/>
      <c r="F576" s="55" t="n"/>
      <c r="G576" s="56" t="n"/>
      <c r="H576" s="57">
        <f>ROUND(SUM(H577:H577),2)</f>
        <v/>
      </c>
    </row>
    <row r="577" ht="20" customHeight="1">
      <c r="A577" s="7" t="inlineStr">
        <is>
          <t>17.2.2.1</t>
        </is>
      </c>
      <c r="B577" s="8" t="inlineStr">
        <is>
          <t>472
PRÓPRIO</t>
        </is>
      </c>
      <c r="C577" s="9" t="inlineStr">
        <is>
          <t>CARGA E TRANSPORTE DE ENTULHO EM CAÇAMBA ESTACIONÁRIA (5M³)</t>
        </is>
      </c>
      <c r="D577" s="8" t="inlineStr">
        <is>
          <t xml:space="preserve">Composiçõ es
</t>
        </is>
      </c>
      <c r="E577" s="8" t="inlineStr">
        <is>
          <t>M³</t>
        </is>
      </c>
      <c r="F577" s="58" t="n">
        <v>18</v>
      </c>
      <c r="G577" s="59">
        <f>COMPOSICOES!G4983</f>
        <v/>
      </c>
      <c r="H577" s="60">
        <f>ROUND(ROUND(F577,2)*ROUND(G577,2),2)</f>
        <v/>
      </c>
      <c r="K577" t="n">
        <v>112.85</v>
      </c>
      <c r="L577">
        <f>G577-K577</f>
        <v/>
      </c>
    </row>
    <row r="578" ht="20" customHeight="1">
      <c r="A578" s="5" t="inlineStr">
        <is>
          <t>17.3</t>
        </is>
      </c>
      <c r="B578" s="5" t="inlineStr">
        <is>
          <t>DESMOBILIZAÇÃO DA OBRA</t>
        </is>
      </c>
      <c r="C578" s="55" t="n"/>
      <c r="D578" s="55" t="n"/>
      <c r="E578" s="55" t="n"/>
      <c r="F578" s="55" t="n"/>
      <c r="G578" s="56" t="n"/>
      <c r="H578" s="57">
        <f>ROUND(SUM(H579:H579),2)</f>
        <v/>
      </c>
    </row>
    <row r="579" ht="20" customHeight="1">
      <c r="A579" s="7" t="inlineStr">
        <is>
          <t>17.3.1</t>
        </is>
      </c>
      <c r="B579" s="8" t="inlineStr">
        <is>
          <t>C4991</t>
        </is>
      </c>
      <c r="C579" s="9" t="inlineStr">
        <is>
          <t>DESMOBILIZAÇÃO DE EQUIPAMENTOS EM CAMINHÃO EQUIPADO COM GUINDASTE</t>
        </is>
      </c>
      <c r="D579" s="8" t="inlineStr">
        <is>
          <t>SEINFRA</t>
        </is>
      </c>
      <c r="E579" s="8" t="inlineStr">
        <is>
          <t>KM</t>
        </is>
      </c>
      <c r="F579" s="58" t="n">
        <v>90.90000000000001</v>
      </c>
      <c r="G579" s="59">
        <f>COMPOSICOES!G4991</f>
        <v/>
      </c>
      <c r="H579" s="60">
        <f>ROUND(ROUND(F579,2)*ROUND(G579,2),2)</f>
        <v/>
      </c>
      <c r="K579" t="n">
        <v>3.2</v>
      </c>
      <c r="L579">
        <f>G579-K579</f>
        <v/>
      </c>
    </row>
    <row r="580" ht="20" customHeight="1">
      <c r="A580" s="5" t="inlineStr">
        <is>
          <t>18</t>
        </is>
      </c>
      <c r="B580" s="5" t="inlineStr">
        <is>
          <t>SERVIÇOS NÃO FINANCIADOS PELO CONTRATO DE REPASSE</t>
        </is>
      </c>
      <c r="C580" s="55" t="n"/>
      <c r="D580" s="55" t="n"/>
      <c r="E580" s="55" t="n"/>
      <c r="F580" s="55" t="n"/>
      <c r="G580" s="56" t="n"/>
      <c r="H580" s="57">
        <f>ROUND(H581+H587+H591,2)</f>
        <v/>
      </c>
    </row>
    <row r="581" ht="20" customHeight="1">
      <c r="A581" s="5" t="inlineStr">
        <is>
          <t>18.1</t>
        </is>
      </c>
      <c r="B581" s="5" t="inlineStr">
        <is>
          <t>CORTE E ATERRO MECANIZADO</t>
        </is>
      </c>
      <c r="C581" s="55" t="n"/>
      <c r="D581" s="55" t="n"/>
      <c r="E581" s="55" t="n"/>
      <c r="F581" s="55" t="n"/>
      <c r="G581" s="56" t="n"/>
      <c r="H581" s="57">
        <f>ROUND(SUM(H582:H586),2)</f>
        <v/>
      </c>
    </row>
    <row r="582" ht="20" customHeight="1">
      <c r="A582" s="7" t="inlineStr">
        <is>
          <t>18.1.1</t>
        </is>
      </c>
      <c r="B582" s="8" t="inlineStr">
        <is>
          <t>C1267</t>
        </is>
      </c>
      <c r="C582" s="9" t="inlineStr">
        <is>
          <t>ESCAVAÇÃO MECAN. CAMPO ABERTO EM TERRA EXCETO ROCHA ATÉ 2M</t>
        </is>
      </c>
      <c r="D582" s="8" t="inlineStr">
        <is>
          <t>SEINFRA</t>
        </is>
      </c>
      <c r="E582" s="8" t="inlineStr">
        <is>
          <t>M3</t>
        </is>
      </c>
      <c r="F582" s="58" t="n">
        <v>0.25</v>
      </c>
      <c r="G582" s="59">
        <f>COMPOSICOES!G4999</f>
        <v/>
      </c>
      <c r="H582" s="60">
        <f>ROUND(ROUND(F582,2)*ROUND(G582,2),2)</f>
        <v/>
      </c>
      <c r="K582" t="n">
        <v>2.81</v>
      </c>
      <c r="L582">
        <f>G582-K582</f>
        <v/>
      </c>
    </row>
    <row r="583" ht="20" customHeight="1">
      <c r="A583" s="7" t="inlineStr">
        <is>
          <t>18.1.2</t>
        </is>
      </c>
      <c r="B583" s="8" t="inlineStr">
        <is>
          <t>C0328</t>
        </is>
      </c>
      <c r="C583" s="9" t="inlineStr">
        <is>
          <t>ATERRO C/COMPACTAÇÃO MECÂNICA E CONTROLE, MAT. DE AQUISIÇÃO</t>
        </is>
      </c>
      <c r="D583" s="8" t="inlineStr">
        <is>
          <t>SEINFRA</t>
        </is>
      </c>
      <c r="E583" s="8" t="inlineStr">
        <is>
          <t>M3</t>
        </is>
      </c>
      <c r="F583" s="58" t="n">
        <v>588.1</v>
      </c>
      <c r="G583" s="59">
        <f>COMPOSICOES!G5014</f>
        <v/>
      </c>
      <c r="H583" s="60">
        <f>ROUND(ROUND(F583,2)*ROUND(G583,2),2)</f>
        <v/>
      </c>
      <c r="K583" t="n">
        <v>106.55</v>
      </c>
      <c r="L583">
        <f>G583-K583</f>
        <v/>
      </c>
    </row>
    <row r="584" ht="20" customHeight="1">
      <c r="A584" s="7" t="inlineStr">
        <is>
          <t>18.1.3</t>
        </is>
      </c>
      <c r="B584" s="8" t="inlineStr">
        <is>
          <t>C0710</t>
        </is>
      </c>
      <c r="C584" s="9" t="inlineStr">
        <is>
          <t>CARGA MECANIZADA DE TERRA EM CAMINHÃO BASCULANTE</t>
        </is>
      </c>
      <c r="D584" s="8" t="inlineStr">
        <is>
          <t>SEINFRA</t>
        </is>
      </c>
      <c r="E584" s="8" t="inlineStr">
        <is>
          <t>M3</t>
        </is>
      </c>
      <c r="F584" s="58" t="n">
        <v>0.33</v>
      </c>
      <c r="G584" s="59">
        <f>COMPOSICOES!G5026</f>
        <v/>
      </c>
      <c r="H584" s="60">
        <f>ROUND(ROUND(F584,2)*ROUND(G584,2),2)</f>
        <v/>
      </c>
      <c r="K584" t="n">
        <v>4.42</v>
      </c>
      <c r="L584">
        <f>G584-K584</f>
        <v/>
      </c>
    </row>
    <row r="585" ht="20" customHeight="1">
      <c r="A585" s="7" t="inlineStr">
        <is>
          <t>18.1.4</t>
        </is>
      </c>
      <c r="B585" s="8" t="inlineStr">
        <is>
          <t>C2533</t>
        </is>
      </c>
      <c r="C585" s="9" t="inlineStr">
        <is>
          <t>TRANSPORTE DE MATERIAL, EXCETO ROCHA EM CAMINHÃO ATÉ 5 KM</t>
        </is>
      </c>
      <c r="D585" s="8" t="inlineStr">
        <is>
          <t>SEINFRA</t>
        </is>
      </c>
      <c r="E585" s="8" t="inlineStr">
        <is>
          <t>M3</t>
        </is>
      </c>
      <c r="F585" s="58" t="n">
        <v>0.33</v>
      </c>
      <c r="G585" s="59">
        <f>COMPOSICOES!G5034</f>
        <v/>
      </c>
      <c r="H585" s="60">
        <f>ROUND(ROUND(F585,2)*ROUND(G585,2),2)</f>
        <v/>
      </c>
      <c r="K585" t="n">
        <v>32.72</v>
      </c>
      <c r="L585">
        <f>G585-K585</f>
        <v/>
      </c>
    </row>
    <row r="586" ht="24" customHeight="1">
      <c r="A586" s="7" t="inlineStr">
        <is>
          <t>18.1.5</t>
        </is>
      </c>
      <c r="B586" s="8" t="inlineStr">
        <is>
          <t>C5185</t>
        </is>
      </c>
      <c r="C586" s="9" t="inlineStr">
        <is>
          <t>DESTINAÇÃO FINAL DO RESÍDUO SOLIDO NÃO SEGREGADO EM TERRENO LICENCIADO - SEM TRANSPORTE</t>
        </is>
      </c>
      <c r="D586" s="8" t="inlineStr">
        <is>
          <t>SEINFRA</t>
        </is>
      </c>
      <c r="E586" s="8" t="inlineStr">
        <is>
          <t>M3</t>
        </is>
      </c>
      <c r="F586" s="58" t="n">
        <v>0.33</v>
      </c>
      <c r="G586" s="59">
        <f>COMPOSICOES!G5042</f>
        <v/>
      </c>
      <c r="H586" s="60">
        <f>ROUND(ROUND(F586,2)*ROUND(G586,2),2)</f>
        <v/>
      </c>
      <c r="K586" t="n">
        <v>11.2</v>
      </c>
      <c r="L586">
        <f>G586-K586</f>
        <v/>
      </c>
    </row>
    <row r="587" ht="20" customHeight="1">
      <c r="A587" s="5" t="inlineStr">
        <is>
          <t>18.2</t>
        </is>
      </c>
      <c r="B587" s="5" t="inlineStr">
        <is>
          <t>MURO EXTERNO E GRADIL</t>
        </is>
      </c>
      <c r="C587" s="55" t="n"/>
      <c r="D587" s="55" t="n"/>
      <c r="E587" s="55" t="n"/>
      <c r="F587" s="55" t="n"/>
      <c r="G587" s="56" t="n"/>
      <c r="H587" s="57">
        <f>ROUND(SUM(H588:H590),2)</f>
        <v/>
      </c>
    </row>
    <row r="588" ht="20" customHeight="1">
      <c r="A588" s="7" t="inlineStr">
        <is>
          <t>18.2.1</t>
        </is>
      </c>
      <c r="B588" s="8" t="inlineStr">
        <is>
          <t>C4912</t>
        </is>
      </c>
      <c r="C588" s="9" t="inlineStr">
        <is>
          <t>MURO CONTORNO DE ALVENARIA E CONCRETO (PILAR+CINTA), REBOCADO, SEM PINTURA</t>
        </is>
      </c>
      <c r="D588" s="8" t="inlineStr">
        <is>
          <t>SEINFRA</t>
        </is>
      </c>
      <c r="E588" s="8" t="inlineStr">
        <is>
          <t>M2</t>
        </is>
      </c>
      <c r="F588" s="58" t="n">
        <v>59.6</v>
      </c>
      <c r="G588" s="59">
        <f>COMPOSICOES!G5069</f>
        <v/>
      </c>
      <c r="H588" s="60">
        <f>ROUND(ROUND(F588,2)*ROUND(G588,2),2)</f>
        <v/>
      </c>
      <c r="K588" t="n">
        <v>310.11</v>
      </c>
      <c r="L588">
        <f>G588-K588</f>
        <v/>
      </c>
    </row>
    <row r="589" ht="20" customHeight="1">
      <c r="A589" s="7" t="inlineStr">
        <is>
          <t>18.2.2</t>
        </is>
      </c>
      <c r="B589" s="8" t="inlineStr">
        <is>
          <t>C0773</t>
        </is>
      </c>
      <c r="C589" s="9" t="inlineStr">
        <is>
          <t>CHAPIM PRÉ-MOLDADO DE CONCRETO</t>
        </is>
      </c>
      <c r="D589" s="8" t="inlineStr">
        <is>
          <t>SEINFRA</t>
        </is>
      </c>
      <c r="E589" s="8" t="inlineStr">
        <is>
          <t>M2</t>
        </is>
      </c>
      <c r="F589" s="58" t="n">
        <v>5.11</v>
      </c>
      <c r="G589" s="59">
        <f>COMPOSICOES!G5092</f>
        <v/>
      </c>
      <c r="H589" s="60">
        <f>ROUND(ROUND(F589,2)*ROUND(G589,2),2)</f>
        <v/>
      </c>
      <c r="K589" t="n">
        <v>143.55</v>
      </c>
      <c r="L589">
        <f>G589-K589</f>
        <v/>
      </c>
    </row>
    <row r="590" ht="20" customHeight="1">
      <c r="A590" s="7" t="inlineStr">
        <is>
          <t>18.2.3</t>
        </is>
      </c>
      <c r="B590" s="8" t="inlineStr">
        <is>
          <t>C2461</t>
        </is>
      </c>
      <c r="C590" s="9" t="inlineStr">
        <is>
          <t>TEXTURA ACRÍLICA 1 DEMÃO EM PAREDES EXTERNAS</t>
        </is>
      </c>
      <c r="D590" s="8" t="inlineStr">
        <is>
          <t>SEINFRA</t>
        </is>
      </c>
      <c r="E590" s="8" t="inlineStr">
        <is>
          <t>M2</t>
        </is>
      </c>
      <c r="F590" s="58" t="n">
        <v>119.2</v>
      </c>
      <c r="G590" s="59">
        <f>COMPOSICOES!G5105</f>
        <v/>
      </c>
      <c r="H590" s="60">
        <f>ROUND(ROUND(F590,2)*ROUND(G590,2),2)</f>
        <v/>
      </c>
      <c r="K590" t="n">
        <v>15.02</v>
      </c>
      <c r="L590">
        <f>G590-K590</f>
        <v/>
      </c>
    </row>
    <row r="591" ht="20" customHeight="1">
      <c r="A591" s="5" t="inlineStr">
        <is>
          <t>18.3</t>
        </is>
      </c>
      <c r="B591" s="5" t="inlineStr">
        <is>
          <t>PAVIMENTAÇÃO EXTERNA</t>
        </is>
      </c>
      <c r="C591" s="55" t="n"/>
      <c r="D591" s="55" t="n"/>
      <c r="E591" s="55" t="n"/>
      <c r="F591" s="55" t="n"/>
      <c r="G591" s="56" t="n"/>
      <c r="H591" s="57">
        <f>ROUND(SUM(H592:H592),2)</f>
        <v/>
      </c>
    </row>
    <row r="592" ht="20" customHeight="1">
      <c r="A592" s="7" t="inlineStr">
        <is>
          <t>18.3.1</t>
        </is>
      </c>
      <c r="B592" s="8" t="inlineStr">
        <is>
          <t>C4819</t>
        </is>
      </c>
      <c r="C592" s="9" t="inlineStr">
        <is>
          <t>PISO INTERTRAVADO TIPO TIJOLINHO (20X10X6)CM 35MPA, COR CINZA - COMPACTAÇÃO MECANIZADA</t>
        </is>
      </c>
      <c r="D592" s="8" t="inlineStr">
        <is>
          <t>SEINFRA</t>
        </is>
      </c>
      <c r="E592" s="8" t="inlineStr">
        <is>
          <t>M2</t>
        </is>
      </c>
      <c r="F592" s="58" t="n">
        <v>127.66</v>
      </c>
      <c r="G592" s="59">
        <f>COMPOSICOES!G5123</f>
        <v/>
      </c>
      <c r="H592" s="60">
        <f>ROUND(ROUND(F592,2)*ROUND(G592,2),2)</f>
        <v/>
      </c>
      <c r="K592" t="n">
        <v>56.47</v>
      </c>
      <c r="L592">
        <f>G592-K592</f>
        <v/>
      </c>
    </row>
    <row r="593" ht="15" customHeight="1">
      <c r="A593" s="2" t="inlineStr"/>
      <c r="B593" s="2" t="inlineStr"/>
      <c r="C593" s="2" t="inlineStr"/>
      <c r="D593" s="2" t="inlineStr"/>
      <c r="E593" s="2" t="inlineStr"/>
      <c r="F593" s="13" t="inlineStr">
        <is>
          <t>VALOR BDI TOTAL:</t>
        </is>
      </c>
      <c r="H593" s="57" t="n">
        <v>743839.03</v>
      </c>
    </row>
    <row r="594" ht="15" customHeight="1">
      <c r="A594" s="2" t="inlineStr"/>
      <c r="B594" s="2" t="inlineStr"/>
      <c r="C594" s="2" t="inlineStr"/>
      <c r="D594" s="2" t="inlineStr"/>
      <c r="E594" s="2" t="inlineStr"/>
      <c r="F594" s="13" t="inlineStr">
        <is>
          <t>VALOR ORÇAMENTO:</t>
        </is>
      </c>
      <c r="H594" s="57">
        <f>H4+H6+H41+H74+H101+H125+H146+H158+H277+H391+H426+H437+H455+H506+H538+H549+H558+H580</f>
        <v/>
      </c>
    </row>
    <row r="595" ht="15" customHeight="1">
      <c r="A595" s="2" t="inlineStr"/>
      <c r="B595" s="2" t="inlineStr"/>
      <c r="C595" s="2" t="inlineStr"/>
      <c r="D595" s="2" t="inlineStr"/>
      <c r="E595" s="2" t="inlineStr"/>
      <c r="F595" s="13" t="inlineStr">
        <is>
          <t>VALOR TOTAL:</t>
        </is>
      </c>
      <c r="H595" s="57">
        <f>H594+H593</f>
        <v/>
      </c>
    </row>
  </sheetData>
  <mergeCells count="229">
    <mergeCell ref="B412:G412"/>
    <mergeCell ref="B468:G468"/>
    <mergeCell ref="B111:G111"/>
    <mergeCell ref="B539:G539"/>
    <mergeCell ref="B293:G293"/>
    <mergeCell ref="B322:G322"/>
    <mergeCell ref="B387:G387"/>
    <mergeCell ref="B225:G225"/>
    <mergeCell ref="B8:G8"/>
    <mergeCell ref="B461:G461"/>
    <mergeCell ref="B559:G559"/>
    <mergeCell ref="B437:G437"/>
    <mergeCell ref="B147:G147"/>
    <mergeCell ref="B398:G398"/>
    <mergeCell ref="B543:G543"/>
    <mergeCell ref="B525:G525"/>
    <mergeCell ref="B379:G379"/>
    <mergeCell ref="B146:G146"/>
    <mergeCell ref="B260:G260"/>
    <mergeCell ref="B269:G269"/>
    <mergeCell ref="B545:G545"/>
    <mergeCell ref="B74:G74"/>
    <mergeCell ref="B68:G68"/>
    <mergeCell ref="B201:G201"/>
    <mergeCell ref="B372:G372"/>
    <mergeCell ref="B556:G556"/>
    <mergeCell ref="B344:G344"/>
    <mergeCell ref="B123:G123"/>
    <mergeCell ref="B36:G36"/>
    <mergeCell ref="B76:G76"/>
    <mergeCell ref="B189:G189"/>
    <mergeCell ref="B493:G493"/>
    <mergeCell ref="B374:G374"/>
    <mergeCell ref="B487:G487"/>
    <mergeCell ref="B576:G576"/>
    <mergeCell ref="B173:G173"/>
    <mergeCell ref="B271:G271"/>
    <mergeCell ref="B109:G109"/>
    <mergeCell ref="B336:G336"/>
    <mergeCell ref="B351:G351"/>
    <mergeCell ref="B507:G507"/>
    <mergeCell ref="B416:G416"/>
    <mergeCell ref="B587:G587"/>
    <mergeCell ref="B115:G115"/>
    <mergeCell ref="B150:G150"/>
    <mergeCell ref="B193:G193"/>
    <mergeCell ref="B264:G264"/>
    <mergeCell ref="B295:G295"/>
    <mergeCell ref="B439:G439"/>
    <mergeCell ref="B102:G102"/>
    <mergeCell ref="B473:G473"/>
    <mergeCell ref="B504:G504"/>
    <mergeCell ref="B400:G400"/>
    <mergeCell ref="B562:G562"/>
    <mergeCell ref="B441:G441"/>
    <mergeCell ref="B39:G39"/>
    <mergeCell ref="B152:G152"/>
    <mergeCell ref="B235:G235"/>
    <mergeCell ref="B450:G450"/>
    <mergeCell ref="B542:G542"/>
    <mergeCell ref="B101:G101"/>
    <mergeCell ref="B136:G136"/>
    <mergeCell ref="B23:G23"/>
    <mergeCell ref="B470:G470"/>
    <mergeCell ref="B13:G13"/>
    <mergeCell ref="B550:G550"/>
    <mergeCell ref="B191:G191"/>
    <mergeCell ref="B427:G427"/>
    <mergeCell ref="B314:G314"/>
    <mergeCell ref="F595:G595"/>
    <mergeCell ref="B426:G426"/>
    <mergeCell ref="B364:G364"/>
    <mergeCell ref="B456:G456"/>
    <mergeCell ref="B496:G496"/>
    <mergeCell ref="B478:G478"/>
    <mergeCell ref="B64:G64"/>
    <mergeCell ref="B177:G177"/>
    <mergeCell ref="B33:G33"/>
    <mergeCell ref="B275:G275"/>
    <mergeCell ref="B453:G453"/>
    <mergeCell ref="B51:G51"/>
    <mergeCell ref="B164:G164"/>
    <mergeCell ref="B335:G335"/>
    <mergeCell ref="B340:G340"/>
    <mergeCell ref="B222:G222"/>
    <mergeCell ref="B428:G428"/>
    <mergeCell ref="B462:G462"/>
    <mergeCell ref="B560:G560"/>
    <mergeCell ref="B498:G498"/>
    <mergeCell ref="B63:G63"/>
    <mergeCell ref="B443:G443"/>
    <mergeCell ref="B41:G41"/>
    <mergeCell ref="B325:G325"/>
    <mergeCell ref="B106:G106"/>
    <mergeCell ref="B277:G277"/>
    <mergeCell ref="B482:G482"/>
    <mergeCell ref="B553:G553"/>
    <mergeCell ref="F593:G593"/>
    <mergeCell ref="B138:G138"/>
    <mergeCell ref="B209:G209"/>
    <mergeCell ref="B389:G389"/>
    <mergeCell ref="B445:G445"/>
    <mergeCell ref="B156:G156"/>
    <mergeCell ref="B140:G140"/>
    <mergeCell ref="B155:G155"/>
    <mergeCell ref="B311:G311"/>
    <mergeCell ref="B382:G382"/>
    <mergeCell ref="B391:G391"/>
    <mergeCell ref="B303:G303"/>
    <mergeCell ref="B130:G130"/>
    <mergeCell ref="B195:G195"/>
    <mergeCell ref="B48:G48"/>
    <mergeCell ref="B551:G551"/>
    <mergeCell ref="B262:G262"/>
    <mergeCell ref="B240:G240"/>
    <mergeCell ref="B524:G524"/>
    <mergeCell ref="B538:G538"/>
    <mergeCell ref="B67:G67"/>
    <mergeCell ref="B532:G532"/>
    <mergeCell ref="B547:G547"/>
    <mergeCell ref="B328:G328"/>
    <mergeCell ref="B430:G430"/>
    <mergeCell ref="B495:G495"/>
    <mergeCell ref="B119:G119"/>
    <mergeCell ref="B464:G464"/>
    <mergeCell ref="B417:G417"/>
    <mergeCell ref="B29:G29"/>
    <mergeCell ref="B392:G392"/>
    <mergeCell ref="B103:G103"/>
    <mergeCell ref="B196:G196"/>
    <mergeCell ref="B423:G423"/>
    <mergeCell ref="B112:G112"/>
    <mergeCell ref="B410:G410"/>
    <mergeCell ref="B466:G466"/>
    <mergeCell ref="B348:G348"/>
    <mergeCell ref="B127:G127"/>
    <mergeCell ref="B158:G158"/>
    <mergeCell ref="B565:G565"/>
    <mergeCell ref="B316:G316"/>
    <mergeCell ref="B501:G501"/>
    <mergeCell ref="B55:G55"/>
    <mergeCell ref="B142:G142"/>
    <mergeCell ref="B266:G266"/>
    <mergeCell ref="B549:G549"/>
    <mergeCell ref="B393:G393"/>
    <mergeCell ref="B527:G527"/>
    <mergeCell ref="B160:G160"/>
    <mergeCell ref="B558:G558"/>
    <mergeCell ref="B564:G564"/>
    <mergeCell ref="B32:G32"/>
    <mergeCell ref="B26:G26"/>
    <mergeCell ref="B268:G268"/>
    <mergeCell ref="B153:G153"/>
    <mergeCell ref="B324:G324"/>
    <mergeCell ref="B591:G591"/>
    <mergeCell ref="B7:G7"/>
    <mergeCell ref="B72:G72"/>
    <mergeCell ref="B129:G129"/>
    <mergeCell ref="B483:G483"/>
    <mergeCell ref="B581:G581"/>
    <mergeCell ref="B90:G90"/>
    <mergeCell ref="B292:G292"/>
    <mergeCell ref="B357:G357"/>
    <mergeCell ref="B122:G122"/>
    <mergeCell ref="B71:G71"/>
    <mergeCell ref="B184:G184"/>
    <mergeCell ref="B43:G43"/>
    <mergeCell ref="B500:G500"/>
    <mergeCell ref="B381:G381"/>
    <mergeCell ref="B350:G350"/>
    <mergeCell ref="B120:G120"/>
    <mergeCell ref="B2:G2"/>
    <mergeCell ref="B42:G42"/>
    <mergeCell ref="B107:G107"/>
    <mergeCell ref="B278:G278"/>
    <mergeCell ref="B405:G405"/>
    <mergeCell ref="B287:G287"/>
    <mergeCell ref="B471:G471"/>
    <mergeCell ref="B529:G529"/>
    <mergeCell ref="B148:G148"/>
    <mergeCell ref="A1:H1"/>
    <mergeCell ref="B455:G455"/>
    <mergeCell ref="B520:G520"/>
    <mergeCell ref="B578:G578"/>
    <mergeCell ref="B317:G317"/>
    <mergeCell ref="B99:G99"/>
    <mergeCell ref="B448:G448"/>
    <mergeCell ref="B279:G279"/>
    <mergeCell ref="B457:G457"/>
    <mergeCell ref="B257:G257"/>
    <mergeCell ref="B506:G506"/>
    <mergeCell ref="B540:G540"/>
    <mergeCell ref="B83:G83"/>
    <mergeCell ref="B143:G143"/>
    <mergeCell ref="B438:G438"/>
    <mergeCell ref="B490:G490"/>
    <mergeCell ref="B30:G30"/>
    <mergeCell ref="B447:G447"/>
    <mergeCell ref="B477:G477"/>
    <mergeCell ref="B6:G6"/>
    <mergeCell ref="B434:G434"/>
    <mergeCell ref="B20:G20"/>
    <mergeCell ref="B133:G133"/>
    <mergeCell ref="B486:G486"/>
    <mergeCell ref="B256:G256"/>
    <mergeCell ref="B213:G213"/>
    <mergeCell ref="B554:G554"/>
    <mergeCell ref="B356:G356"/>
    <mergeCell ref="B489:G489"/>
    <mergeCell ref="B4:G4"/>
    <mergeCell ref="B126:G126"/>
    <mergeCell ref="B75:G75"/>
    <mergeCell ref="B218:G218"/>
    <mergeCell ref="B433:G433"/>
    <mergeCell ref="B522:G522"/>
    <mergeCell ref="B531:G531"/>
    <mergeCell ref="B54:G54"/>
    <mergeCell ref="B125:G125"/>
    <mergeCell ref="B46:G46"/>
    <mergeCell ref="B159:G159"/>
    <mergeCell ref="B282:G282"/>
    <mergeCell ref="B580:G580"/>
    <mergeCell ref="B475:G475"/>
    <mergeCell ref="B96:G96"/>
    <mergeCell ref="F594:G594"/>
    <mergeCell ref="B167:G167"/>
    <mergeCell ref="B508:G508"/>
    <mergeCell ref="B332:G332"/>
    <mergeCell ref="B228:G228"/>
  </mergeCells>
  <hyperlinks>
    <hyperlink xmlns:r="http://schemas.openxmlformats.org/officeDocument/2006/relationships" ref="C5" r:id="rId1"/>
    <hyperlink xmlns:r="http://schemas.openxmlformats.org/officeDocument/2006/relationships" ref="C9"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4" r:id="rId6"/>
    <hyperlink xmlns:r="http://schemas.openxmlformats.org/officeDocument/2006/relationships" ref="C15" r:id="rId7"/>
    <hyperlink xmlns:r="http://schemas.openxmlformats.org/officeDocument/2006/relationships" ref="C16" r:id="rId8"/>
    <hyperlink xmlns:r="http://schemas.openxmlformats.org/officeDocument/2006/relationships" ref="C17" r:id="rId9"/>
    <hyperlink xmlns:r="http://schemas.openxmlformats.org/officeDocument/2006/relationships" ref="C18" r:id="rId10"/>
    <hyperlink xmlns:r="http://schemas.openxmlformats.org/officeDocument/2006/relationships" ref="C19" r:id="rId11"/>
    <hyperlink xmlns:r="http://schemas.openxmlformats.org/officeDocument/2006/relationships" ref="C21" r:id="rId12"/>
    <hyperlink xmlns:r="http://schemas.openxmlformats.org/officeDocument/2006/relationships" ref="C22" r:id="rId13"/>
    <hyperlink xmlns:r="http://schemas.openxmlformats.org/officeDocument/2006/relationships" ref="C24" r:id="rId14"/>
    <hyperlink xmlns:r="http://schemas.openxmlformats.org/officeDocument/2006/relationships" ref="C25" r:id="rId15"/>
    <hyperlink xmlns:r="http://schemas.openxmlformats.org/officeDocument/2006/relationships" ref="C27" r:id="rId16"/>
    <hyperlink xmlns:r="http://schemas.openxmlformats.org/officeDocument/2006/relationships" ref="C28" r:id="rId17"/>
    <hyperlink xmlns:r="http://schemas.openxmlformats.org/officeDocument/2006/relationships" ref="C31" r:id="rId18"/>
    <hyperlink xmlns:r="http://schemas.openxmlformats.org/officeDocument/2006/relationships" ref="C34" r:id="rId19"/>
    <hyperlink xmlns:r="http://schemas.openxmlformats.org/officeDocument/2006/relationships" ref="C35" r:id="rId20"/>
    <hyperlink xmlns:r="http://schemas.openxmlformats.org/officeDocument/2006/relationships" ref="C37" r:id="rId21"/>
    <hyperlink xmlns:r="http://schemas.openxmlformats.org/officeDocument/2006/relationships" ref="C38" r:id="rId22"/>
    <hyperlink xmlns:r="http://schemas.openxmlformats.org/officeDocument/2006/relationships" ref="C40" r:id="rId23"/>
    <hyperlink xmlns:r="http://schemas.openxmlformats.org/officeDocument/2006/relationships" ref="C44" r:id="rId24"/>
    <hyperlink xmlns:r="http://schemas.openxmlformats.org/officeDocument/2006/relationships" ref="C45" r:id="rId25"/>
    <hyperlink xmlns:r="http://schemas.openxmlformats.org/officeDocument/2006/relationships" ref="C47" r:id="rId26"/>
    <hyperlink xmlns:r="http://schemas.openxmlformats.org/officeDocument/2006/relationships" ref="C49" r:id="rId27"/>
    <hyperlink xmlns:r="http://schemas.openxmlformats.org/officeDocument/2006/relationships" ref="C50" r:id="rId28"/>
    <hyperlink xmlns:r="http://schemas.openxmlformats.org/officeDocument/2006/relationships" ref="C52" r:id="rId29"/>
    <hyperlink xmlns:r="http://schemas.openxmlformats.org/officeDocument/2006/relationships" ref="C53" r:id="rId30"/>
    <hyperlink xmlns:r="http://schemas.openxmlformats.org/officeDocument/2006/relationships" ref="C56" r:id="rId31"/>
    <hyperlink xmlns:r="http://schemas.openxmlformats.org/officeDocument/2006/relationships" ref="C57" r:id="rId32"/>
    <hyperlink xmlns:r="http://schemas.openxmlformats.org/officeDocument/2006/relationships" ref="C58" r:id="rId33"/>
    <hyperlink xmlns:r="http://schemas.openxmlformats.org/officeDocument/2006/relationships" ref="C59" r:id="rId34"/>
    <hyperlink xmlns:r="http://schemas.openxmlformats.org/officeDocument/2006/relationships" ref="C60" r:id="rId35"/>
    <hyperlink xmlns:r="http://schemas.openxmlformats.org/officeDocument/2006/relationships" ref="C61" r:id="rId36"/>
    <hyperlink xmlns:r="http://schemas.openxmlformats.org/officeDocument/2006/relationships" ref="C62" r:id="rId37"/>
    <hyperlink xmlns:r="http://schemas.openxmlformats.org/officeDocument/2006/relationships" ref="C65" r:id="rId38"/>
    <hyperlink xmlns:r="http://schemas.openxmlformats.org/officeDocument/2006/relationships" ref="C66" r:id="rId39"/>
    <hyperlink xmlns:r="http://schemas.openxmlformats.org/officeDocument/2006/relationships" ref="C69" r:id="rId40"/>
    <hyperlink xmlns:r="http://schemas.openxmlformats.org/officeDocument/2006/relationships" ref="C70" r:id="rId41"/>
    <hyperlink xmlns:r="http://schemas.openxmlformats.org/officeDocument/2006/relationships" ref="C73" r:id="rId42"/>
    <hyperlink xmlns:r="http://schemas.openxmlformats.org/officeDocument/2006/relationships" ref="C77" r:id="rId43"/>
    <hyperlink xmlns:r="http://schemas.openxmlformats.org/officeDocument/2006/relationships" ref="C78" r:id="rId44"/>
    <hyperlink xmlns:r="http://schemas.openxmlformats.org/officeDocument/2006/relationships" ref="C79" r:id="rId45"/>
    <hyperlink xmlns:r="http://schemas.openxmlformats.org/officeDocument/2006/relationships" ref="C80" r:id="rId46"/>
    <hyperlink xmlns:r="http://schemas.openxmlformats.org/officeDocument/2006/relationships" ref="C81" r:id="rId47"/>
    <hyperlink xmlns:r="http://schemas.openxmlformats.org/officeDocument/2006/relationships" ref="C82" r:id="rId48"/>
    <hyperlink xmlns:r="http://schemas.openxmlformats.org/officeDocument/2006/relationships" ref="C84" r:id="rId49"/>
    <hyperlink xmlns:r="http://schemas.openxmlformats.org/officeDocument/2006/relationships" ref="C85" r:id="rId50"/>
    <hyperlink xmlns:r="http://schemas.openxmlformats.org/officeDocument/2006/relationships" ref="C86" r:id="rId51"/>
    <hyperlink xmlns:r="http://schemas.openxmlformats.org/officeDocument/2006/relationships" ref="C87" r:id="rId52"/>
    <hyperlink xmlns:r="http://schemas.openxmlformats.org/officeDocument/2006/relationships" ref="C88" r:id="rId53"/>
    <hyperlink xmlns:r="http://schemas.openxmlformats.org/officeDocument/2006/relationships" ref="C89" r:id="rId54"/>
    <hyperlink xmlns:r="http://schemas.openxmlformats.org/officeDocument/2006/relationships" ref="C91" r:id="rId55"/>
    <hyperlink xmlns:r="http://schemas.openxmlformats.org/officeDocument/2006/relationships" ref="C92" r:id="rId56"/>
    <hyperlink xmlns:r="http://schemas.openxmlformats.org/officeDocument/2006/relationships" ref="C93" r:id="rId57"/>
    <hyperlink xmlns:r="http://schemas.openxmlformats.org/officeDocument/2006/relationships" ref="C94" r:id="rId58"/>
    <hyperlink xmlns:r="http://schemas.openxmlformats.org/officeDocument/2006/relationships" ref="C95" r:id="rId59"/>
    <hyperlink xmlns:r="http://schemas.openxmlformats.org/officeDocument/2006/relationships" ref="C97" r:id="rId60"/>
    <hyperlink xmlns:r="http://schemas.openxmlformats.org/officeDocument/2006/relationships" ref="C98" r:id="rId61"/>
    <hyperlink xmlns:r="http://schemas.openxmlformats.org/officeDocument/2006/relationships" ref="C100" r:id="rId62"/>
    <hyperlink xmlns:r="http://schemas.openxmlformats.org/officeDocument/2006/relationships" ref="C104" r:id="rId63"/>
    <hyperlink xmlns:r="http://schemas.openxmlformats.org/officeDocument/2006/relationships" ref="C105" r:id="rId64"/>
    <hyperlink xmlns:r="http://schemas.openxmlformats.org/officeDocument/2006/relationships" ref="C108" r:id="rId65"/>
    <hyperlink xmlns:r="http://schemas.openxmlformats.org/officeDocument/2006/relationships" ref="C110" r:id="rId66"/>
    <hyperlink xmlns:r="http://schemas.openxmlformats.org/officeDocument/2006/relationships" ref="C113" r:id="rId67"/>
    <hyperlink xmlns:r="http://schemas.openxmlformats.org/officeDocument/2006/relationships" ref="C114" r:id="rId68"/>
    <hyperlink xmlns:r="http://schemas.openxmlformats.org/officeDocument/2006/relationships" ref="C116" r:id="rId69"/>
    <hyperlink xmlns:r="http://schemas.openxmlformats.org/officeDocument/2006/relationships" ref="C117" r:id="rId70"/>
    <hyperlink xmlns:r="http://schemas.openxmlformats.org/officeDocument/2006/relationships" ref="C118" r:id="rId71"/>
    <hyperlink xmlns:r="http://schemas.openxmlformats.org/officeDocument/2006/relationships" ref="C121" r:id="rId72"/>
    <hyperlink xmlns:r="http://schemas.openxmlformats.org/officeDocument/2006/relationships" ref="C124" r:id="rId73"/>
    <hyperlink xmlns:r="http://schemas.openxmlformats.org/officeDocument/2006/relationships" ref="C128" r:id="rId74"/>
    <hyperlink xmlns:r="http://schemas.openxmlformats.org/officeDocument/2006/relationships" ref="C131" r:id="rId75"/>
    <hyperlink xmlns:r="http://schemas.openxmlformats.org/officeDocument/2006/relationships" ref="C132" r:id="rId76"/>
    <hyperlink xmlns:r="http://schemas.openxmlformats.org/officeDocument/2006/relationships" ref="C134" r:id="rId77"/>
    <hyperlink xmlns:r="http://schemas.openxmlformats.org/officeDocument/2006/relationships" ref="C135" r:id="rId78"/>
    <hyperlink xmlns:r="http://schemas.openxmlformats.org/officeDocument/2006/relationships" ref="C137" r:id="rId79"/>
    <hyperlink xmlns:r="http://schemas.openxmlformats.org/officeDocument/2006/relationships" ref="C139" r:id="rId80"/>
    <hyperlink xmlns:r="http://schemas.openxmlformats.org/officeDocument/2006/relationships" ref="C141" r:id="rId81"/>
    <hyperlink xmlns:r="http://schemas.openxmlformats.org/officeDocument/2006/relationships" ref="C144" r:id="rId82"/>
    <hyperlink xmlns:r="http://schemas.openxmlformats.org/officeDocument/2006/relationships" ref="C145" r:id="rId83"/>
    <hyperlink xmlns:r="http://schemas.openxmlformats.org/officeDocument/2006/relationships" ref="C149" r:id="rId84"/>
    <hyperlink xmlns:r="http://schemas.openxmlformats.org/officeDocument/2006/relationships" ref="C151" r:id="rId85"/>
    <hyperlink xmlns:r="http://schemas.openxmlformats.org/officeDocument/2006/relationships" ref="C154" r:id="rId86"/>
    <hyperlink xmlns:r="http://schemas.openxmlformats.org/officeDocument/2006/relationships" ref="C157" r:id="rId87"/>
    <hyperlink xmlns:r="http://schemas.openxmlformats.org/officeDocument/2006/relationships" ref="C161" r:id="rId88"/>
    <hyperlink xmlns:r="http://schemas.openxmlformats.org/officeDocument/2006/relationships" ref="C162" r:id="rId89"/>
    <hyperlink xmlns:r="http://schemas.openxmlformats.org/officeDocument/2006/relationships" ref="C163" r:id="rId90"/>
    <hyperlink xmlns:r="http://schemas.openxmlformats.org/officeDocument/2006/relationships" ref="C165" r:id="rId91"/>
    <hyperlink xmlns:r="http://schemas.openxmlformats.org/officeDocument/2006/relationships" ref="C166" r:id="rId92"/>
    <hyperlink xmlns:r="http://schemas.openxmlformats.org/officeDocument/2006/relationships" ref="C168" r:id="rId93"/>
    <hyperlink xmlns:r="http://schemas.openxmlformats.org/officeDocument/2006/relationships" ref="C169" r:id="rId94"/>
    <hyperlink xmlns:r="http://schemas.openxmlformats.org/officeDocument/2006/relationships" ref="C170" r:id="rId95"/>
    <hyperlink xmlns:r="http://schemas.openxmlformats.org/officeDocument/2006/relationships" ref="C171" r:id="rId96"/>
    <hyperlink xmlns:r="http://schemas.openxmlformats.org/officeDocument/2006/relationships" ref="C172" r:id="rId97"/>
    <hyperlink xmlns:r="http://schemas.openxmlformats.org/officeDocument/2006/relationships" ref="C174" r:id="rId98"/>
    <hyperlink xmlns:r="http://schemas.openxmlformats.org/officeDocument/2006/relationships" ref="C175" r:id="rId99"/>
    <hyperlink xmlns:r="http://schemas.openxmlformats.org/officeDocument/2006/relationships" ref="C176" r:id="rId100"/>
    <hyperlink xmlns:r="http://schemas.openxmlformats.org/officeDocument/2006/relationships" ref="C178" r:id="rId101"/>
    <hyperlink xmlns:r="http://schemas.openxmlformats.org/officeDocument/2006/relationships" ref="C179" r:id="rId102"/>
    <hyperlink xmlns:r="http://schemas.openxmlformats.org/officeDocument/2006/relationships" ref="C180" r:id="rId103"/>
    <hyperlink xmlns:r="http://schemas.openxmlformats.org/officeDocument/2006/relationships" ref="C181" r:id="rId104"/>
    <hyperlink xmlns:r="http://schemas.openxmlformats.org/officeDocument/2006/relationships" ref="C182" r:id="rId105"/>
    <hyperlink xmlns:r="http://schemas.openxmlformats.org/officeDocument/2006/relationships" ref="C183" r:id="rId106"/>
    <hyperlink xmlns:r="http://schemas.openxmlformats.org/officeDocument/2006/relationships" ref="C185" r:id="rId107"/>
    <hyperlink xmlns:r="http://schemas.openxmlformats.org/officeDocument/2006/relationships" ref="C186" r:id="rId108"/>
    <hyperlink xmlns:r="http://schemas.openxmlformats.org/officeDocument/2006/relationships" ref="C187" r:id="rId109"/>
    <hyperlink xmlns:r="http://schemas.openxmlformats.org/officeDocument/2006/relationships" ref="C188" r:id="rId110"/>
    <hyperlink xmlns:r="http://schemas.openxmlformats.org/officeDocument/2006/relationships" ref="C190" r:id="rId111"/>
    <hyperlink xmlns:r="http://schemas.openxmlformats.org/officeDocument/2006/relationships" ref="C192" r:id="rId112"/>
    <hyperlink xmlns:r="http://schemas.openxmlformats.org/officeDocument/2006/relationships" ref="C194" r:id="rId113"/>
    <hyperlink xmlns:r="http://schemas.openxmlformats.org/officeDocument/2006/relationships" ref="C197" r:id="rId114"/>
    <hyperlink xmlns:r="http://schemas.openxmlformats.org/officeDocument/2006/relationships" ref="C198" r:id="rId115"/>
    <hyperlink xmlns:r="http://schemas.openxmlformats.org/officeDocument/2006/relationships" ref="C199" r:id="rId116"/>
    <hyperlink xmlns:r="http://schemas.openxmlformats.org/officeDocument/2006/relationships" ref="C200" r:id="rId117"/>
    <hyperlink xmlns:r="http://schemas.openxmlformats.org/officeDocument/2006/relationships" ref="C202" r:id="rId118"/>
    <hyperlink xmlns:r="http://schemas.openxmlformats.org/officeDocument/2006/relationships" ref="C203" r:id="rId119"/>
    <hyperlink xmlns:r="http://schemas.openxmlformats.org/officeDocument/2006/relationships" ref="C204" r:id="rId120"/>
    <hyperlink xmlns:r="http://schemas.openxmlformats.org/officeDocument/2006/relationships" ref="C205" r:id="rId121"/>
    <hyperlink xmlns:r="http://schemas.openxmlformats.org/officeDocument/2006/relationships" ref="C206" r:id="rId122"/>
    <hyperlink xmlns:r="http://schemas.openxmlformats.org/officeDocument/2006/relationships" ref="C207" r:id="rId123"/>
    <hyperlink xmlns:r="http://schemas.openxmlformats.org/officeDocument/2006/relationships" ref="C208" r:id="rId124"/>
    <hyperlink xmlns:r="http://schemas.openxmlformats.org/officeDocument/2006/relationships" ref="C210" r:id="rId125"/>
    <hyperlink xmlns:r="http://schemas.openxmlformats.org/officeDocument/2006/relationships" ref="C211" r:id="rId126"/>
    <hyperlink xmlns:r="http://schemas.openxmlformats.org/officeDocument/2006/relationships" ref="C212" r:id="rId127"/>
    <hyperlink xmlns:r="http://schemas.openxmlformats.org/officeDocument/2006/relationships" ref="C214" r:id="rId128"/>
    <hyperlink xmlns:r="http://schemas.openxmlformats.org/officeDocument/2006/relationships" ref="C215" r:id="rId129"/>
    <hyperlink xmlns:r="http://schemas.openxmlformats.org/officeDocument/2006/relationships" ref="C216" r:id="rId130"/>
    <hyperlink xmlns:r="http://schemas.openxmlformats.org/officeDocument/2006/relationships" ref="C217" r:id="rId131"/>
    <hyperlink xmlns:r="http://schemas.openxmlformats.org/officeDocument/2006/relationships" ref="C219" r:id="rId132"/>
    <hyperlink xmlns:r="http://schemas.openxmlformats.org/officeDocument/2006/relationships" ref="C220" r:id="rId133"/>
    <hyperlink xmlns:r="http://schemas.openxmlformats.org/officeDocument/2006/relationships" ref="C221" r:id="rId134"/>
    <hyperlink xmlns:r="http://schemas.openxmlformats.org/officeDocument/2006/relationships" ref="C223" r:id="rId135"/>
    <hyperlink xmlns:r="http://schemas.openxmlformats.org/officeDocument/2006/relationships" ref="C224" r:id="rId136"/>
    <hyperlink xmlns:r="http://schemas.openxmlformats.org/officeDocument/2006/relationships" ref="C226" r:id="rId137"/>
    <hyperlink xmlns:r="http://schemas.openxmlformats.org/officeDocument/2006/relationships" ref="C227" r:id="rId138"/>
    <hyperlink xmlns:r="http://schemas.openxmlformats.org/officeDocument/2006/relationships" ref="C229" r:id="rId139"/>
    <hyperlink xmlns:r="http://schemas.openxmlformats.org/officeDocument/2006/relationships" ref="C230" r:id="rId140"/>
    <hyperlink xmlns:r="http://schemas.openxmlformats.org/officeDocument/2006/relationships" ref="C231" r:id="rId141"/>
    <hyperlink xmlns:r="http://schemas.openxmlformats.org/officeDocument/2006/relationships" ref="C232" r:id="rId142"/>
    <hyperlink xmlns:r="http://schemas.openxmlformats.org/officeDocument/2006/relationships" ref="C233" r:id="rId143"/>
    <hyperlink xmlns:r="http://schemas.openxmlformats.org/officeDocument/2006/relationships" ref="C234" r:id="rId144"/>
    <hyperlink xmlns:r="http://schemas.openxmlformats.org/officeDocument/2006/relationships" ref="C236" r:id="rId145"/>
    <hyperlink xmlns:r="http://schemas.openxmlformats.org/officeDocument/2006/relationships" ref="C237" r:id="rId146"/>
    <hyperlink xmlns:r="http://schemas.openxmlformats.org/officeDocument/2006/relationships" ref="C238" r:id="rId147"/>
    <hyperlink xmlns:r="http://schemas.openxmlformats.org/officeDocument/2006/relationships" ref="C239" r:id="rId148"/>
    <hyperlink xmlns:r="http://schemas.openxmlformats.org/officeDocument/2006/relationships" ref="C241" r:id="rId149"/>
    <hyperlink xmlns:r="http://schemas.openxmlformats.org/officeDocument/2006/relationships" ref="C242" r:id="rId150"/>
    <hyperlink xmlns:r="http://schemas.openxmlformats.org/officeDocument/2006/relationships" ref="C243" r:id="rId151"/>
    <hyperlink xmlns:r="http://schemas.openxmlformats.org/officeDocument/2006/relationships" ref="C244" r:id="rId152"/>
    <hyperlink xmlns:r="http://schemas.openxmlformats.org/officeDocument/2006/relationships" ref="C245" r:id="rId153"/>
    <hyperlink xmlns:r="http://schemas.openxmlformats.org/officeDocument/2006/relationships" ref="C246" r:id="rId154"/>
    <hyperlink xmlns:r="http://schemas.openxmlformats.org/officeDocument/2006/relationships" ref="C247" r:id="rId155"/>
    <hyperlink xmlns:r="http://schemas.openxmlformats.org/officeDocument/2006/relationships" ref="C248" r:id="rId156"/>
    <hyperlink xmlns:r="http://schemas.openxmlformats.org/officeDocument/2006/relationships" ref="C249" r:id="rId157"/>
    <hyperlink xmlns:r="http://schemas.openxmlformats.org/officeDocument/2006/relationships" ref="C250" r:id="rId158"/>
    <hyperlink xmlns:r="http://schemas.openxmlformats.org/officeDocument/2006/relationships" ref="C251" r:id="rId159"/>
    <hyperlink xmlns:r="http://schemas.openxmlformats.org/officeDocument/2006/relationships" ref="C252" r:id="rId160"/>
    <hyperlink xmlns:r="http://schemas.openxmlformats.org/officeDocument/2006/relationships" ref="C253" r:id="rId161"/>
    <hyperlink xmlns:r="http://schemas.openxmlformats.org/officeDocument/2006/relationships" ref="C254" r:id="rId162"/>
    <hyperlink xmlns:r="http://schemas.openxmlformats.org/officeDocument/2006/relationships" ref="C255" r:id="rId163"/>
    <hyperlink xmlns:r="http://schemas.openxmlformats.org/officeDocument/2006/relationships" ref="C258" r:id="rId164"/>
    <hyperlink xmlns:r="http://schemas.openxmlformats.org/officeDocument/2006/relationships" ref="C259" r:id="rId165"/>
    <hyperlink xmlns:r="http://schemas.openxmlformats.org/officeDocument/2006/relationships" ref="C261" r:id="rId166"/>
    <hyperlink xmlns:r="http://schemas.openxmlformats.org/officeDocument/2006/relationships" ref="C263" r:id="rId167"/>
    <hyperlink xmlns:r="http://schemas.openxmlformats.org/officeDocument/2006/relationships" ref="C265" r:id="rId168"/>
    <hyperlink xmlns:r="http://schemas.openxmlformats.org/officeDocument/2006/relationships" ref="C267" r:id="rId169"/>
    <hyperlink xmlns:r="http://schemas.openxmlformats.org/officeDocument/2006/relationships" ref="C270" r:id="rId170"/>
    <hyperlink xmlns:r="http://schemas.openxmlformats.org/officeDocument/2006/relationships" ref="C272" r:id="rId171"/>
    <hyperlink xmlns:r="http://schemas.openxmlformats.org/officeDocument/2006/relationships" ref="C273" r:id="rId172"/>
    <hyperlink xmlns:r="http://schemas.openxmlformats.org/officeDocument/2006/relationships" ref="C274" r:id="rId173"/>
    <hyperlink xmlns:r="http://schemas.openxmlformats.org/officeDocument/2006/relationships" ref="C276" r:id="rId174"/>
    <hyperlink xmlns:r="http://schemas.openxmlformats.org/officeDocument/2006/relationships" ref="C280" r:id="rId175"/>
    <hyperlink xmlns:r="http://schemas.openxmlformats.org/officeDocument/2006/relationships" ref="C281" r:id="rId176"/>
    <hyperlink xmlns:r="http://schemas.openxmlformats.org/officeDocument/2006/relationships" ref="C283" r:id="rId177"/>
    <hyperlink xmlns:r="http://schemas.openxmlformats.org/officeDocument/2006/relationships" ref="C284" r:id="rId178"/>
    <hyperlink xmlns:r="http://schemas.openxmlformats.org/officeDocument/2006/relationships" ref="C285" r:id="rId179"/>
    <hyperlink xmlns:r="http://schemas.openxmlformats.org/officeDocument/2006/relationships" ref="C286" r:id="rId180"/>
    <hyperlink xmlns:r="http://schemas.openxmlformats.org/officeDocument/2006/relationships" ref="C288" r:id="rId181"/>
    <hyperlink xmlns:r="http://schemas.openxmlformats.org/officeDocument/2006/relationships" ref="C289" r:id="rId182"/>
    <hyperlink xmlns:r="http://schemas.openxmlformats.org/officeDocument/2006/relationships" ref="C290" r:id="rId183"/>
    <hyperlink xmlns:r="http://schemas.openxmlformats.org/officeDocument/2006/relationships" ref="C291" r:id="rId184"/>
    <hyperlink xmlns:r="http://schemas.openxmlformats.org/officeDocument/2006/relationships" ref="C294" r:id="rId185"/>
    <hyperlink xmlns:r="http://schemas.openxmlformats.org/officeDocument/2006/relationships" ref="C296" r:id="rId186"/>
    <hyperlink xmlns:r="http://schemas.openxmlformats.org/officeDocument/2006/relationships" ref="C297" r:id="rId187"/>
    <hyperlink xmlns:r="http://schemas.openxmlformats.org/officeDocument/2006/relationships" ref="C298" r:id="rId188"/>
    <hyperlink xmlns:r="http://schemas.openxmlformats.org/officeDocument/2006/relationships" ref="C299" r:id="rId189"/>
    <hyperlink xmlns:r="http://schemas.openxmlformats.org/officeDocument/2006/relationships" ref="C300" r:id="rId190"/>
    <hyperlink xmlns:r="http://schemas.openxmlformats.org/officeDocument/2006/relationships" ref="C301" r:id="rId191"/>
    <hyperlink xmlns:r="http://schemas.openxmlformats.org/officeDocument/2006/relationships" ref="C302" r:id="rId192"/>
    <hyperlink xmlns:r="http://schemas.openxmlformats.org/officeDocument/2006/relationships" ref="C304" r:id="rId193"/>
    <hyperlink xmlns:r="http://schemas.openxmlformats.org/officeDocument/2006/relationships" ref="C305" r:id="rId194"/>
    <hyperlink xmlns:r="http://schemas.openxmlformats.org/officeDocument/2006/relationships" ref="C306" r:id="rId195"/>
    <hyperlink xmlns:r="http://schemas.openxmlformats.org/officeDocument/2006/relationships" ref="C307" r:id="rId196"/>
    <hyperlink xmlns:r="http://schemas.openxmlformats.org/officeDocument/2006/relationships" ref="C308" r:id="rId197"/>
    <hyperlink xmlns:r="http://schemas.openxmlformats.org/officeDocument/2006/relationships" ref="C309" r:id="rId198"/>
    <hyperlink xmlns:r="http://schemas.openxmlformats.org/officeDocument/2006/relationships" ref="C310" r:id="rId199"/>
    <hyperlink xmlns:r="http://schemas.openxmlformats.org/officeDocument/2006/relationships" ref="C312" r:id="rId200"/>
    <hyperlink xmlns:r="http://schemas.openxmlformats.org/officeDocument/2006/relationships" ref="C313" r:id="rId201"/>
    <hyperlink xmlns:r="http://schemas.openxmlformats.org/officeDocument/2006/relationships" ref="C315" r:id="rId202"/>
    <hyperlink xmlns:r="http://schemas.openxmlformats.org/officeDocument/2006/relationships" ref="C318" r:id="rId203"/>
    <hyperlink xmlns:r="http://schemas.openxmlformats.org/officeDocument/2006/relationships" ref="C319" r:id="rId204"/>
    <hyperlink xmlns:r="http://schemas.openxmlformats.org/officeDocument/2006/relationships" ref="C320" r:id="rId205"/>
    <hyperlink xmlns:r="http://schemas.openxmlformats.org/officeDocument/2006/relationships" ref="C321" r:id="rId206"/>
    <hyperlink xmlns:r="http://schemas.openxmlformats.org/officeDocument/2006/relationships" ref="C323" r:id="rId207"/>
    <hyperlink xmlns:r="http://schemas.openxmlformats.org/officeDocument/2006/relationships" ref="C326" r:id="rId208"/>
    <hyperlink xmlns:r="http://schemas.openxmlformats.org/officeDocument/2006/relationships" ref="C327" r:id="rId209"/>
    <hyperlink xmlns:r="http://schemas.openxmlformats.org/officeDocument/2006/relationships" ref="C329" r:id="rId210"/>
    <hyperlink xmlns:r="http://schemas.openxmlformats.org/officeDocument/2006/relationships" ref="C330" r:id="rId211"/>
    <hyperlink xmlns:r="http://schemas.openxmlformats.org/officeDocument/2006/relationships" ref="C331" r:id="rId212"/>
    <hyperlink xmlns:r="http://schemas.openxmlformats.org/officeDocument/2006/relationships" ref="C333" r:id="rId213"/>
    <hyperlink xmlns:r="http://schemas.openxmlformats.org/officeDocument/2006/relationships" ref="C334" r:id="rId214"/>
    <hyperlink xmlns:r="http://schemas.openxmlformats.org/officeDocument/2006/relationships" ref="C337" r:id="rId215"/>
    <hyperlink xmlns:r="http://schemas.openxmlformats.org/officeDocument/2006/relationships" ref="C338" r:id="rId216"/>
    <hyperlink xmlns:r="http://schemas.openxmlformats.org/officeDocument/2006/relationships" ref="C339" r:id="rId217"/>
    <hyperlink xmlns:r="http://schemas.openxmlformats.org/officeDocument/2006/relationships" ref="C341" r:id="rId218"/>
    <hyperlink xmlns:r="http://schemas.openxmlformats.org/officeDocument/2006/relationships" ref="C342" r:id="rId219"/>
    <hyperlink xmlns:r="http://schemas.openxmlformats.org/officeDocument/2006/relationships" ref="C343" r:id="rId220"/>
    <hyperlink xmlns:r="http://schemas.openxmlformats.org/officeDocument/2006/relationships" ref="C345" r:id="rId221"/>
    <hyperlink xmlns:r="http://schemas.openxmlformats.org/officeDocument/2006/relationships" ref="C346" r:id="rId222"/>
    <hyperlink xmlns:r="http://schemas.openxmlformats.org/officeDocument/2006/relationships" ref="C347" r:id="rId223"/>
    <hyperlink xmlns:r="http://schemas.openxmlformats.org/officeDocument/2006/relationships" ref="C349" r:id="rId224"/>
    <hyperlink xmlns:r="http://schemas.openxmlformats.org/officeDocument/2006/relationships" ref="C352" r:id="rId225"/>
    <hyperlink xmlns:r="http://schemas.openxmlformats.org/officeDocument/2006/relationships" ref="C353" r:id="rId226"/>
    <hyperlink xmlns:r="http://schemas.openxmlformats.org/officeDocument/2006/relationships" ref="C354" r:id="rId227"/>
    <hyperlink xmlns:r="http://schemas.openxmlformats.org/officeDocument/2006/relationships" ref="C355" r:id="rId228"/>
    <hyperlink xmlns:r="http://schemas.openxmlformats.org/officeDocument/2006/relationships" ref="C358" r:id="rId229"/>
    <hyperlink xmlns:r="http://schemas.openxmlformats.org/officeDocument/2006/relationships" ref="C359" r:id="rId230"/>
    <hyperlink xmlns:r="http://schemas.openxmlformats.org/officeDocument/2006/relationships" ref="C360" r:id="rId231"/>
    <hyperlink xmlns:r="http://schemas.openxmlformats.org/officeDocument/2006/relationships" ref="C361" r:id="rId232"/>
    <hyperlink xmlns:r="http://schemas.openxmlformats.org/officeDocument/2006/relationships" ref="C362" r:id="rId233"/>
    <hyperlink xmlns:r="http://schemas.openxmlformats.org/officeDocument/2006/relationships" ref="C363" r:id="rId234"/>
    <hyperlink xmlns:r="http://schemas.openxmlformats.org/officeDocument/2006/relationships" ref="C365" r:id="rId235"/>
    <hyperlink xmlns:r="http://schemas.openxmlformats.org/officeDocument/2006/relationships" ref="C366" r:id="rId236"/>
    <hyperlink xmlns:r="http://schemas.openxmlformats.org/officeDocument/2006/relationships" ref="C367" r:id="rId237"/>
    <hyperlink xmlns:r="http://schemas.openxmlformats.org/officeDocument/2006/relationships" ref="C368" r:id="rId238"/>
    <hyperlink xmlns:r="http://schemas.openxmlformats.org/officeDocument/2006/relationships" ref="C369" r:id="rId239"/>
    <hyperlink xmlns:r="http://schemas.openxmlformats.org/officeDocument/2006/relationships" ref="C370" r:id="rId240"/>
    <hyperlink xmlns:r="http://schemas.openxmlformats.org/officeDocument/2006/relationships" ref="C371" r:id="rId241"/>
    <hyperlink xmlns:r="http://schemas.openxmlformats.org/officeDocument/2006/relationships" ref="C373" r:id="rId242"/>
    <hyperlink xmlns:r="http://schemas.openxmlformats.org/officeDocument/2006/relationships" ref="C375" r:id="rId243"/>
    <hyperlink xmlns:r="http://schemas.openxmlformats.org/officeDocument/2006/relationships" ref="C376" r:id="rId244"/>
    <hyperlink xmlns:r="http://schemas.openxmlformats.org/officeDocument/2006/relationships" ref="C377" r:id="rId245"/>
    <hyperlink xmlns:r="http://schemas.openxmlformats.org/officeDocument/2006/relationships" ref="C378" r:id="rId246"/>
    <hyperlink xmlns:r="http://schemas.openxmlformats.org/officeDocument/2006/relationships" ref="C380" r:id="rId247"/>
    <hyperlink xmlns:r="http://schemas.openxmlformats.org/officeDocument/2006/relationships" ref="C383" r:id="rId248"/>
    <hyperlink xmlns:r="http://schemas.openxmlformats.org/officeDocument/2006/relationships" ref="C384" r:id="rId249"/>
    <hyperlink xmlns:r="http://schemas.openxmlformats.org/officeDocument/2006/relationships" ref="C385" r:id="rId250"/>
    <hyperlink xmlns:r="http://schemas.openxmlformats.org/officeDocument/2006/relationships" ref="C386" r:id="rId251"/>
    <hyperlink xmlns:r="http://schemas.openxmlformats.org/officeDocument/2006/relationships" ref="C388" r:id="rId252"/>
    <hyperlink xmlns:r="http://schemas.openxmlformats.org/officeDocument/2006/relationships" ref="C390" r:id="rId253"/>
    <hyperlink xmlns:r="http://schemas.openxmlformats.org/officeDocument/2006/relationships" ref="C394" r:id="rId254"/>
    <hyperlink xmlns:r="http://schemas.openxmlformats.org/officeDocument/2006/relationships" ref="C395" r:id="rId255"/>
    <hyperlink xmlns:r="http://schemas.openxmlformats.org/officeDocument/2006/relationships" ref="C396" r:id="rId256"/>
    <hyperlink xmlns:r="http://schemas.openxmlformats.org/officeDocument/2006/relationships" ref="C397" r:id="rId257"/>
    <hyperlink xmlns:r="http://schemas.openxmlformats.org/officeDocument/2006/relationships" ref="C399" r:id="rId258"/>
    <hyperlink xmlns:r="http://schemas.openxmlformats.org/officeDocument/2006/relationships" ref="C401" r:id="rId259"/>
    <hyperlink xmlns:r="http://schemas.openxmlformats.org/officeDocument/2006/relationships" ref="C402" r:id="rId260"/>
    <hyperlink xmlns:r="http://schemas.openxmlformats.org/officeDocument/2006/relationships" ref="C403" r:id="rId261"/>
    <hyperlink xmlns:r="http://schemas.openxmlformats.org/officeDocument/2006/relationships" ref="C404" r:id="rId262"/>
    <hyperlink xmlns:r="http://schemas.openxmlformats.org/officeDocument/2006/relationships" ref="C406" r:id="rId263"/>
    <hyperlink xmlns:r="http://schemas.openxmlformats.org/officeDocument/2006/relationships" ref="C407" r:id="rId264"/>
    <hyperlink xmlns:r="http://schemas.openxmlformats.org/officeDocument/2006/relationships" ref="C408" r:id="rId265"/>
    <hyperlink xmlns:r="http://schemas.openxmlformats.org/officeDocument/2006/relationships" ref="C409" r:id="rId266"/>
    <hyperlink xmlns:r="http://schemas.openxmlformats.org/officeDocument/2006/relationships" ref="C411" r:id="rId267"/>
    <hyperlink xmlns:r="http://schemas.openxmlformats.org/officeDocument/2006/relationships" ref="C413" r:id="rId268"/>
    <hyperlink xmlns:r="http://schemas.openxmlformats.org/officeDocument/2006/relationships" ref="C414" r:id="rId269"/>
    <hyperlink xmlns:r="http://schemas.openxmlformats.org/officeDocument/2006/relationships" ref="C415" r:id="rId270"/>
    <hyperlink xmlns:r="http://schemas.openxmlformats.org/officeDocument/2006/relationships" ref="C418" r:id="rId271"/>
    <hyperlink xmlns:r="http://schemas.openxmlformats.org/officeDocument/2006/relationships" ref="C419" r:id="rId272"/>
    <hyperlink xmlns:r="http://schemas.openxmlformats.org/officeDocument/2006/relationships" ref="C420" r:id="rId273"/>
    <hyperlink xmlns:r="http://schemas.openxmlformats.org/officeDocument/2006/relationships" ref="C421" r:id="rId274"/>
    <hyperlink xmlns:r="http://schemas.openxmlformats.org/officeDocument/2006/relationships" ref="C422" r:id="rId275"/>
    <hyperlink xmlns:r="http://schemas.openxmlformats.org/officeDocument/2006/relationships" ref="C424" r:id="rId276"/>
    <hyperlink xmlns:r="http://schemas.openxmlformats.org/officeDocument/2006/relationships" ref="C425" r:id="rId277"/>
    <hyperlink xmlns:r="http://schemas.openxmlformats.org/officeDocument/2006/relationships" ref="C429" r:id="rId278"/>
    <hyperlink xmlns:r="http://schemas.openxmlformats.org/officeDocument/2006/relationships" ref="C431" r:id="rId279"/>
    <hyperlink xmlns:r="http://schemas.openxmlformats.org/officeDocument/2006/relationships" ref="C432" r:id="rId280"/>
    <hyperlink xmlns:r="http://schemas.openxmlformats.org/officeDocument/2006/relationships" ref="C435" r:id="rId281"/>
    <hyperlink xmlns:r="http://schemas.openxmlformats.org/officeDocument/2006/relationships" ref="C436" r:id="rId282"/>
    <hyperlink xmlns:r="http://schemas.openxmlformats.org/officeDocument/2006/relationships" ref="C440" r:id="rId283"/>
    <hyperlink xmlns:r="http://schemas.openxmlformats.org/officeDocument/2006/relationships" ref="C442" r:id="rId284"/>
    <hyperlink xmlns:r="http://schemas.openxmlformats.org/officeDocument/2006/relationships" ref="C444" r:id="rId285"/>
    <hyperlink xmlns:r="http://schemas.openxmlformats.org/officeDocument/2006/relationships" ref="C446" r:id="rId286"/>
    <hyperlink xmlns:r="http://schemas.openxmlformats.org/officeDocument/2006/relationships" ref="C449" r:id="rId287"/>
    <hyperlink xmlns:r="http://schemas.openxmlformats.org/officeDocument/2006/relationships" ref="C451" r:id="rId288"/>
    <hyperlink xmlns:r="http://schemas.openxmlformats.org/officeDocument/2006/relationships" ref="C452" r:id="rId289"/>
    <hyperlink xmlns:r="http://schemas.openxmlformats.org/officeDocument/2006/relationships" ref="C454" r:id="rId290"/>
    <hyperlink xmlns:r="http://schemas.openxmlformats.org/officeDocument/2006/relationships" ref="C458" r:id="rId291"/>
    <hyperlink xmlns:r="http://schemas.openxmlformats.org/officeDocument/2006/relationships" ref="C459" r:id="rId292"/>
    <hyperlink xmlns:r="http://schemas.openxmlformats.org/officeDocument/2006/relationships" ref="C460" r:id="rId293"/>
    <hyperlink xmlns:r="http://schemas.openxmlformats.org/officeDocument/2006/relationships" ref="C463" r:id="rId294"/>
    <hyperlink xmlns:r="http://schemas.openxmlformats.org/officeDocument/2006/relationships" ref="C465" r:id="rId295"/>
    <hyperlink xmlns:r="http://schemas.openxmlformats.org/officeDocument/2006/relationships" ref="C467" r:id="rId296"/>
    <hyperlink xmlns:r="http://schemas.openxmlformats.org/officeDocument/2006/relationships" ref="C469" r:id="rId297"/>
    <hyperlink xmlns:r="http://schemas.openxmlformats.org/officeDocument/2006/relationships" ref="C472" r:id="rId298"/>
    <hyperlink xmlns:r="http://schemas.openxmlformats.org/officeDocument/2006/relationships" ref="C474" r:id="rId299"/>
    <hyperlink xmlns:r="http://schemas.openxmlformats.org/officeDocument/2006/relationships" ref="C476" r:id="rId300"/>
    <hyperlink xmlns:r="http://schemas.openxmlformats.org/officeDocument/2006/relationships" ref="C479" r:id="rId301"/>
    <hyperlink xmlns:r="http://schemas.openxmlformats.org/officeDocument/2006/relationships" ref="C480" r:id="rId302"/>
    <hyperlink xmlns:r="http://schemas.openxmlformats.org/officeDocument/2006/relationships" ref="C481" r:id="rId303"/>
    <hyperlink xmlns:r="http://schemas.openxmlformats.org/officeDocument/2006/relationships" ref="C484" r:id="rId304"/>
    <hyperlink xmlns:r="http://schemas.openxmlformats.org/officeDocument/2006/relationships" ref="C485" r:id="rId305"/>
    <hyperlink xmlns:r="http://schemas.openxmlformats.org/officeDocument/2006/relationships" ref="C488" r:id="rId306"/>
    <hyperlink xmlns:r="http://schemas.openxmlformats.org/officeDocument/2006/relationships" ref="C491" r:id="rId307"/>
    <hyperlink xmlns:r="http://schemas.openxmlformats.org/officeDocument/2006/relationships" ref="C492" r:id="rId308"/>
    <hyperlink xmlns:r="http://schemas.openxmlformats.org/officeDocument/2006/relationships" ref="C494" r:id="rId309"/>
    <hyperlink xmlns:r="http://schemas.openxmlformats.org/officeDocument/2006/relationships" ref="C497" r:id="rId310"/>
    <hyperlink xmlns:r="http://schemas.openxmlformats.org/officeDocument/2006/relationships" ref="C499" r:id="rId311"/>
    <hyperlink xmlns:r="http://schemas.openxmlformats.org/officeDocument/2006/relationships" ref="C502" r:id="rId312"/>
    <hyperlink xmlns:r="http://schemas.openxmlformats.org/officeDocument/2006/relationships" ref="C503" r:id="rId313"/>
    <hyperlink xmlns:r="http://schemas.openxmlformats.org/officeDocument/2006/relationships" ref="C505" r:id="rId314"/>
    <hyperlink xmlns:r="http://schemas.openxmlformats.org/officeDocument/2006/relationships" ref="C509" r:id="rId315"/>
    <hyperlink xmlns:r="http://schemas.openxmlformats.org/officeDocument/2006/relationships" ref="C510" r:id="rId316"/>
    <hyperlink xmlns:r="http://schemas.openxmlformats.org/officeDocument/2006/relationships" ref="C511" r:id="rId317"/>
    <hyperlink xmlns:r="http://schemas.openxmlformats.org/officeDocument/2006/relationships" ref="C512" r:id="rId318"/>
    <hyperlink xmlns:r="http://schemas.openxmlformats.org/officeDocument/2006/relationships" ref="C513" r:id="rId319"/>
    <hyperlink xmlns:r="http://schemas.openxmlformats.org/officeDocument/2006/relationships" ref="C514" r:id="rId320"/>
    <hyperlink xmlns:r="http://schemas.openxmlformats.org/officeDocument/2006/relationships" ref="C515" r:id="rId321"/>
    <hyperlink xmlns:r="http://schemas.openxmlformats.org/officeDocument/2006/relationships" ref="C516" r:id="rId322"/>
    <hyperlink xmlns:r="http://schemas.openxmlformats.org/officeDocument/2006/relationships" ref="C517" r:id="rId323"/>
    <hyperlink xmlns:r="http://schemas.openxmlformats.org/officeDocument/2006/relationships" ref="C518" r:id="rId324"/>
    <hyperlink xmlns:r="http://schemas.openxmlformats.org/officeDocument/2006/relationships" ref="C519" r:id="rId325"/>
    <hyperlink xmlns:r="http://schemas.openxmlformats.org/officeDocument/2006/relationships" ref="C521" r:id="rId326"/>
    <hyperlink xmlns:r="http://schemas.openxmlformats.org/officeDocument/2006/relationships" ref="C523" r:id="rId327"/>
    <hyperlink xmlns:r="http://schemas.openxmlformats.org/officeDocument/2006/relationships" ref="C526" r:id="rId328"/>
    <hyperlink xmlns:r="http://schemas.openxmlformats.org/officeDocument/2006/relationships" ref="C528" r:id="rId329"/>
    <hyperlink xmlns:r="http://schemas.openxmlformats.org/officeDocument/2006/relationships" ref="C530" r:id="rId330"/>
    <hyperlink xmlns:r="http://schemas.openxmlformats.org/officeDocument/2006/relationships" ref="C533" r:id="rId331"/>
    <hyperlink xmlns:r="http://schemas.openxmlformats.org/officeDocument/2006/relationships" ref="C534" r:id="rId332"/>
    <hyperlink xmlns:r="http://schemas.openxmlformats.org/officeDocument/2006/relationships" ref="C535" r:id="rId333"/>
    <hyperlink xmlns:r="http://schemas.openxmlformats.org/officeDocument/2006/relationships" ref="C536" r:id="rId334"/>
    <hyperlink xmlns:r="http://schemas.openxmlformats.org/officeDocument/2006/relationships" ref="C537" r:id="rId335"/>
    <hyperlink xmlns:r="http://schemas.openxmlformats.org/officeDocument/2006/relationships" ref="C541" r:id="rId336"/>
    <hyperlink xmlns:r="http://schemas.openxmlformats.org/officeDocument/2006/relationships" ref="C544" r:id="rId337"/>
    <hyperlink xmlns:r="http://schemas.openxmlformats.org/officeDocument/2006/relationships" ref="C546" r:id="rId338"/>
    <hyperlink xmlns:r="http://schemas.openxmlformats.org/officeDocument/2006/relationships" ref="C548" r:id="rId339"/>
    <hyperlink xmlns:r="http://schemas.openxmlformats.org/officeDocument/2006/relationships" ref="C552" r:id="rId340"/>
    <hyperlink xmlns:r="http://schemas.openxmlformats.org/officeDocument/2006/relationships" ref="C555" r:id="rId341"/>
    <hyperlink xmlns:r="http://schemas.openxmlformats.org/officeDocument/2006/relationships" ref="C557" r:id="rId342"/>
    <hyperlink xmlns:r="http://schemas.openxmlformats.org/officeDocument/2006/relationships" ref="C561" r:id="rId343"/>
    <hyperlink xmlns:r="http://schemas.openxmlformats.org/officeDocument/2006/relationships" ref="C563" r:id="rId344"/>
    <hyperlink xmlns:r="http://schemas.openxmlformats.org/officeDocument/2006/relationships" ref="C566" r:id="rId345"/>
    <hyperlink xmlns:r="http://schemas.openxmlformats.org/officeDocument/2006/relationships" ref="C567" r:id="rId346"/>
    <hyperlink xmlns:r="http://schemas.openxmlformats.org/officeDocument/2006/relationships" ref="C568" r:id="rId347"/>
    <hyperlink xmlns:r="http://schemas.openxmlformats.org/officeDocument/2006/relationships" ref="C569" r:id="rId348"/>
    <hyperlink xmlns:r="http://schemas.openxmlformats.org/officeDocument/2006/relationships" ref="C570" r:id="rId349"/>
    <hyperlink xmlns:r="http://schemas.openxmlformats.org/officeDocument/2006/relationships" ref="C571" r:id="rId350"/>
    <hyperlink xmlns:r="http://schemas.openxmlformats.org/officeDocument/2006/relationships" ref="C572" r:id="rId351"/>
    <hyperlink xmlns:r="http://schemas.openxmlformats.org/officeDocument/2006/relationships" ref="C573" r:id="rId352"/>
    <hyperlink xmlns:r="http://schemas.openxmlformats.org/officeDocument/2006/relationships" ref="C574" r:id="rId353"/>
    <hyperlink xmlns:r="http://schemas.openxmlformats.org/officeDocument/2006/relationships" ref="C575" r:id="rId354"/>
    <hyperlink xmlns:r="http://schemas.openxmlformats.org/officeDocument/2006/relationships" ref="C577" r:id="rId355"/>
    <hyperlink xmlns:r="http://schemas.openxmlformats.org/officeDocument/2006/relationships" ref="C579" r:id="rId356"/>
    <hyperlink xmlns:r="http://schemas.openxmlformats.org/officeDocument/2006/relationships" ref="C582" r:id="rId357"/>
    <hyperlink xmlns:r="http://schemas.openxmlformats.org/officeDocument/2006/relationships" ref="C583" r:id="rId358"/>
    <hyperlink xmlns:r="http://schemas.openxmlformats.org/officeDocument/2006/relationships" ref="C584" r:id="rId359"/>
    <hyperlink xmlns:r="http://schemas.openxmlformats.org/officeDocument/2006/relationships" ref="C585" r:id="rId360"/>
    <hyperlink xmlns:r="http://schemas.openxmlformats.org/officeDocument/2006/relationships" ref="C586" r:id="rId361"/>
    <hyperlink xmlns:r="http://schemas.openxmlformats.org/officeDocument/2006/relationships" ref="C588" r:id="rId362"/>
    <hyperlink xmlns:r="http://schemas.openxmlformats.org/officeDocument/2006/relationships" ref="C589" r:id="rId363"/>
    <hyperlink xmlns:r="http://schemas.openxmlformats.org/officeDocument/2006/relationships" ref="C590" r:id="rId364"/>
    <hyperlink xmlns:r="http://schemas.openxmlformats.org/officeDocument/2006/relationships" ref="C592" r:id="rId365"/>
  </hyperlinks>
  <pageMargins left="0.5" right="0.5" top="0.5" bottom="0.5" header="0" footer="0"/>
  <pageSetup orientation="portrait" paperSize="9" scale="85"/>
</worksheet>
</file>

<file path=xl/worksheets/sheet2.xml><?xml version="1.0" encoding="utf-8"?>
<worksheet xmlns="http://schemas.openxmlformats.org/spreadsheetml/2006/main">
  <sheetPr>
    <outlinePr summaryBelow="0"/>
    <pageSetUpPr/>
  </sheetPr>
  <dimension ref="A1:H25"/>
  <sheetViews>
    <sheetView workbookViewId="0">
      <selection activeCell="A1" sqref="A1"/>
    </sheetView>
  </sheetViews>
  <sheetFormatPr baseColWidth="8" defaultRowHeight="15"/>
  <cols>
    <col width="9.333333" customWidth="1" min="1" max="1"/>
    <col width="62.5" customWidth="1" min="2" max="2"/>
    <col width="22.833334" customWidth="1" min="3" max="3"/>
    <col width="12.5" customWidth="1" min="4" max="4"/>
    <col width="8.333333" customWidth="1" min="5" max="5"/>
  </cols>
  <sheetData>
    <row r="1" ht="44" customHeight="1">
      <c r="A1" s="14" t="inlineStr"/>
      <c r="B1" s="54" t="n"/>
      <c r="C1" s="54" t="n"/>
      <c r="D1" s="54" t="n"/>
      <c r="E1" s="54" t="n"/>
    </row>
    <row r="2" ht="22" customHeight="1">
      <c r="A2" s="54" t="n"/>
      <c r="B2" s="54" t="n"/>
      <c r="C2" s="54" t="n"/>
      <c r="D2" s="54" t="n"/>
      <c r="E2" s="54" t="n"/>
    </row>
    <row r="3" ht="56" customHeight="1">
      <c r="A3" s="54" t="n"/>
      <c r="B3" s="54" t="n"/>
      <c r="C3" s="54" t="n"/>
      <c r="D3" s="54" t="n"/>
      <c r="E3" s="54" t="n"/>
    </row>
    <row r="4" ht="20" customHeight="1">
      <c r="A4" s="15" t="inlineStr">
        <is>
          <t>1</t>
        </is>
      </c>
      <c r="B4" s="15" t="inlineStr">
        <is>
          <t>ADMINISTRAÇÃO LOCAL DA OBRA</t>
        </is>
      </c>
      <c r="D4" s="61">
        <f>'PLANILHA ORCAMENTARIA'!H4</f>
        <v/>
      </c>
      <c r="E4" s="62">
        <f>(D4/$D$23)*100</f>
        <v/>
      </c>
      <c r="G4" t="inlineStr">
        <is>
          <t>FATOR</t>
        </is>
      </c>
      <c r="H4" t="n">
        <v>1</v>
      </c>
    </row>
    <row r="5" ht="20" customHeight="1">
      <c r="A5" s="15" t="inlineStr">
        <is>
          <t>2</t>
        </is>
      </c>
      <c r="B5" s="15" t="inlineStr">
        <is>
          <t>SERVIÇOS INICIAIS</t>
        </is>
      </c>
      <c r="D5" s="61">
        <f>'PLANILHA ORCAMENTARIA'!H6</f>
        <v/>
      </c>
      <c r="E5" s="62">
        <f>(D5/$D$23)*100</f>
        <v/>
      </c>
      <c r="G5" t="inlineStr">
        <is>
          <t>BDI</t>
        </is>
      </c>
      <c r="H5" t="inlineStr">
        <is>
          <t>22,98%</t>
        </is>
      </c>
    </row>
    <row r="6" ht="20" customHeight="1">
      <c r="A6" s="15" t="inlineStr">
        <is>
          <t>3</t>
        </is>
      </c>
      <c r="B6" s="15" t="inlineStr">
        <is>
          <t>FUNDAÇÕES</t>
        </is>
      </c>
      <c r="D6" s="61">
        <f>'PLANILHA ORCAMENTARIA'!H41</f>
        <v/>
      </c>
      <c r="E6" s="62">
        <f>(D6/$D$23)*100</f>
        <v/>
      </c>
    </row>
    <row r="7" ht="20" customHeight="1">
      <c r="A7" s="15" t="inlineStr">
        <is>
          <t>4</t>
        </is>
      </c>
      <c r="B7" s="15" t="inlineStr">
        <is>
          <t>SUPERESTRUTURA</t>
        </is>
      </c>
      <c r="D7" s="61">
        <f>'PLANILHA ORCAMENTARIA'!H74</f>
        <v/>
      </c>
      <c r="E7" s="62">
        <f>(D7/$D$23)*100</f>
        <v/>
      </c>
    </row>
    <row r="8" ht="20" customHeight="1">
      <c r="A8" s="15" t="inlineStr">
        <is>
          <t>5</t>
        </is>
      </c>
      <c r="B8" s="15" t="inlineStr">
        <is>
          <t>COBERTURA</t>
        </is>
      </c>
      <c r="D8" s="61">
        <f>'PLANILHA ORCAMENTARIA'!H101</f>
        <v/>
      </c>
      <c r="E8" s="62">
        <f>(D8/$D$23)*100</f>
        <v/>
      </c>
    </row>
    <row r="9" ht="20" customHeight="1">
      <c r="A9" s="15" t="inlineStr">
        <is>
          <t>6</t>
        </is>
      </c>
      <c r="B9" s="15" t="inlineStr">
        <is>
          <t>PAREDES E PAINÉIS</t>
        </is>
      </c>
      <c r="D9" s="61">
        <f>'PLANILHA ORCAMENTARIA'!H125</f>
        <v/>
      </c>
      <c r="E9" s="62">
        <f>(D9/$D$23)*100</f>
        <v/>
      </c>
    </row>
    <row r="10" ht="20" customHeight="1">
      <c r="A10" s="15" t="inlineStr">
        <is>
          <t>7</t>
        </is>
      </c>
      <c r="B10" s="15" t="inlineStr">
        <is>
          <t>ESQUADRIAS</t>
        </is>
      </c>
      <c r="D10" s="61">
        <f>'PLANILHA ORCAMENTARIA'!H146</f>
        <v/>
      </c>
      <c r="E10" s="62">
        <f>(D10/$D$23)*100</f>
        <v/>
      </c>
    </row>
    <row r="11" ht="20" customHeight="1">
      <c r="A11" s="15" t="inlineStr">
        <is>
          <t>8</t>
        </is>
      </c>
      <c r="B11" s="15" t="inlineStr">
        <is>
          <t>SISTEMAS HIDRÁULICOS, SANITÁRIOS E DE COMBATE A INCÊNDIO (HSI)</t>
        </is>
      </c>
      <c r="D11" s="61">
        <f>'PLANILHA ORCAMENTARIA'!H158</f>
        <v/>
      </c>
      <c r="E11" s="62">
        <f>(D11/$D$23)*100</f>
        <v/>
      </c>
    </row>
    <row r="12" ht="20" customHeight="1">
      <c r="A12" s="15" t="inlineStr">
        <is>
          <t>9</t>
        </is>
      </c>
      <c r="B12" s="15" t="inlineStr">
        <is>
          <t>SISTEMA ELÉTRICO (ELE) + SISTEMA DE VOZ E DADOS (NET)</t>
        </is>
      </c>
      <c r="D12" s="61">
        <f>'PLANILHA ORCAMENTARIA'!H277</f>
        <v/>
      </c>
      <c r="E12" s="62">
        <f>(D12/$D$23)*100</f>
        <v/>
      </c>
    </row>
    <row r="13" ht="20" customHeight="1">
      <c r="A13" s="15" t="inlineStr">
        <is>
          <t>10</t>
        </is>
      </c>
      <c r="B13" s="15" t="inlineStr">
        <is>
          <t>SISTEMAS DE AR CONDICIONADO, VENTILAÇÃO E EXAUSTÃO (ACD)</t>
        </is>
      </c>
      <c r="D13" s="61">
        <f>'PLANILHA ORCAMENTARIA'!H391</f>
        <v/>
      </c>
      <c r="E13" s="62">
        <f>(D13/$D$23)*100</f>
        <v/>
      </c>
    </row>
    <row r="14" ht="20" customHeight="1">
      <c r="A14" s="15" t="inlineStr">
        <is>
          <t>11</t>
        </is>
      </c>
      <c r="B14" s="15" t="inlineStr">
        <is>
          <t>REVESTIMENTOS PRIMÁRIOS</t>
        </is>
      </c>
      <c r="D14" s="61">
        <f>'PLANILHA ORCAMENTARIA'!H426</f>
        <v/>
      </c>
      <c r="E14" s="62">
        <f>(D14/$D$23)*100</f>
        <v/>
      </c>
    </row>
    <row r="15" ht="20" customHeight="1">
      <c r="A15" s="15" t="inlineStr">
        <is>
          <t>12</t>
        </is>
      </c>
      <c r="B15" s="15" t="inlineStr">
        <is>
          <t>ACABAMENTOS (REVESTIMENTO PARA TETO, PAREDE E PISO)</t>
        </is>
      </c>
      <c r="D15" s="61">
        <f>'PLANILHA ORCAMENTARIA'!H437</f>
        <v/>
      </c>
      <c r="E15" s="62">
        <f>(D15/$D$23)*100</f>
        <v/>
      </c>
    </row>
    <row r="16" ht="20" customHeight="1">
      <c r="A16" s="15" t="inlineStr">
        <is>
          <t>13</t>
        </is>
      </c>
      <c r="B16" s="15" t="inlineStr">
        <is>
          <t>ACABAMENTOS (HIDROSSANITÁRIOS)</t>
        </is>
      </c>
      <c r="D16" s="61">
        <f>'PLANILHA ORCAMENTARIA'!H455</f>
        <v/>
      </c>
      <c r="E16" s="62">
        <f>(D16/$D$23)*100</f>
        <v/>
      </c>
    </row>
    <row r="17" ht="20" customHeight="1">
      <c r="A17" s="15" t="inlineStr">
        <is>
          <t>14</t>
        </is>
      </c>
      <c r="B17" s="15" t="inlineStr">
        <is>
          <t>ACABAMENTOS (ELÉTRICOS, VOZ, DADOS E TV)</t>
        </is>
      </c>
      <c r="D17" s="61">
        <f>'PLANILHA ORCAMENTARIA'!H506</f>
        <v/>
      </c>
      <c r="E17" s="62">
        <f>(D17/$D$23)*100</f>
        <v/>
      </c>
    </row>
    <row r="18" ht="20" customHeight="1">
      <c r="A18" s="15" t="inlineStr">
        <is>
          <t>15</t>
        </is>
      </c>
      <c r="B18" s="15" t="inlineStr">
        <is>
          <t>PINTURA</t>
        </is>
      </c>
      <c r="D18" s="61">
        <f>'PLANILHA ORCAMENTARIA'!H538</f>
        <v/>
      </c>
      <c r="E18" s="62">
        <f>(D18/$D$23)*100</f>
        <v/>
      </c>
    </row>
    <row r="19" ht="20" customHeight="1">
      <c r="A19" s="15" t="inlineStr">
        <is>
          <t>16</t>
        </is>
      </c>
      <c r="B19" s="15" t="inlineStr">
        <is>
          <t>URBANIZAÇÃO</t>
        </is>
      </c>
      <c r="D19" s="61">
        <f>'PLANILHA ORCAMENTARIA'!H549</f>
        <v/>
      </c>
      <c r="E19" s="62">
        <f>(D19/$D$23)*100</f>
        <v/>
      </c>
    </row>
    <row r="20" ht="20" customHeight="1">
      <c r="A20" s="15" t="inlineStr">
        <is>
          <t>17</t>
        </is>
      </c>
      <c r="B20" s="15" t="inlineStr">
        <is>
          <t>DESMOBILIZAÇÃO DE CANTEIRO</t>
        </is>
      </c>
      <c r="D20" s="61">
        <f>'PLANILHA ORCAMENTARIA'!H558</f>
        <v/>
      </c>
      <c r="E20" s="62">
        <f>(D20/$D$23)*100</f>
        <v/>
      </c>
    </row>
    <row r="21" ht="20" customHeight="1">
      <c r="A21" s="15" t="inlineStr">
        <is>
          <t>18</t>
        </is>
      </c>
      <c r="B21" s="15" t="inlineStr">
        <is>
          <t>SERVIÇOS NÃO FINANCIADOS PELO CONTRATO DE REPASSE</t>
        </is>
      </c>
      <c r="D21" s="61">
        <f>'PLANILHA ORCAMENTARIA'!H591</f>
        <v/>
      </c>
      <c r="E21" s="62">
        <f>(D21/$D$23)*100</f>
        <v/>
      </c>
    </row>
    <row r="22" ht="20" customHeight="1">
      <c r="A22" s="15" t="inlineStr">
        <is>
          <t>19</t>
        </is>
      </c>
      <c r="B22" s="15" t="inlineStr">
        <is>
          <t>Benefícios e Despesas Indiretas (BDI)</t>
        </is>
      </c>
      <c r="D22" s="61">
        <f>'PLANILHA ORCAMENTARIA'!H592</f>
        <v/>
      </c>
      <c r="E22" s="62" t="n">
        <v>0</v>
      </c>
    </row>
    <row r="23" ht="15" customHeight="1">
      <c r="A23" s="2" t="inlineStr"/>
      <c r="B23" s="2" t="inlineStr"/>
      <c r="C23" s="13" t="inlineStr">
        <is>
          <t>VALOR BDI TOTAL:</t>
        </is>
      </c>
      <c r="D23" s="61">
        <f>'PLANILHA ORCAMENTARIA'!H593</f>
        <v/>
      </c>
      <c r="E23" s="62" t="n">
        <v>100</v>
      </c>
    </row>
    <row r="24" ht="15" customHeight="1">
      <c r="A24" s="2" t="inlineStr"/>
      <c r="B24" s="2" t="inlineStr"/>
      <c r="C24" s="13" t="inlineStr">
        <is>
          <t>VALOR ORÇAMENTO:</t>
        </is>
      </c>
      <c r="D24" s="61" t="n">
        <v>3225595.26</v>
      </c>
      <c r="E24" s="2" t="inlineStr"/>
    </row>
    <row r="25" ht="15" customHeight="1">
      <c r="A25" s="2" t="inlineStr"/>
      <c r="B25" s="2" t="inlineStr"/>
      <c r="C25" s="13" t="inlineStr">
        <is>
          <t>VALOR TOTAL:</t>
        </is>
      </c>
      <c r="D25" s="61" t="n">
        <v>3969434.29</v>
      </c>
      <c r="E25" s="2" t="inlineStr"/>
    </row>
  </sheetData>
  <mergeCells count="20">
    <mergeCell ref="B16:C16"/>
    <mergeCell ref="B7:C7"/>
    <mergeCell ref="B22:C22"/>
    <mergeCell ref="A1:E3"/>
    <mergeCell ref="B18:C18"/>
    <mergeCell ref="B12:C12"/>
    <mergeCell ref="B21:C21"/>
    <mergeCell ref="B11:C11"/>
    <mergeCell ref="B14:C14"/>
    <mergeCell ref="B17:C17"/>
    <mergeCell ref="B8:C8"/>
    <mergeCell ref="B13:C13"/>
    <mergeCell ref="B19:C19"/>
    <mergeCell ref="B10:C10"/>
    <mergeCell ref="B9:C9"/>
    <mergeCell ref="B6:C6"/>
    <mergeCell ref="B15:C15"/>
    <mergeCell ref="B5:C5"/>
    <mergeCell ref="B20:C20"/>
    <mergeCell ref="B4:C4"/>
  </mergeCells>
  <pageMargins left="0.5" right="0.5" top="0.5" bottom="0.5" header="0" footer="0"/>
  <pageSetup orientation="portrait" paperSize="9" scale="85"/>
</worksheet>
</file>

<file path=xl/worksheets/sheet3.xml><?xml version="1.0" encoding="utf-8"?>
<worksheet xmlns="http://schemas.openxmlformats.org/spreadsheetml/2006/main">
  <sheetPr>
    <outlinePr summaryBelow="0"/>
    <pageSetUpPr/>
  </sheetPr>
  <dimension ref="A1:N5124"/>
  <sheetViews>
    <sheetView workbookViewId="0">
      <selection activeCell="A1" sqref="A1"/>
    </sheetView>
  </sheetViews>
  <sheetFormatPr baseColWidth="8" defaultRowHeight="15"/>
  <cols>
    <col width="10.333333" customWidth="1" min="1" max="1"/>
    <col width="45.833332" customWidth="1" min="2" max="2"/>
    <col width="15.5" customWidth="1" min="3" max="3"/>
    <col width="6.1666665" customWidth="1" min="4" max="4"/>
    <col width="12.5" customWidth="1" min="5" max="5"/>
    <col width="12.5" customWidth="1" min="6" max="6"/>
    <col width="12.5" customWidth="1" min="7" max="7"/>
  </cols>
  <sheetData>
    <row r="1" ht="122" customHeight="1">
      <c r="A1" s="1" t="inlineStr"/>
      <c r="B1" s="54" t="n"/>
      <c r="C1" s="54" t="n"/>
      <c r="D1" s="54" t="n"/>
      <c r="E1" s="54" t="n"/>
      <c r="F1" s="54" t="n"/>
      <c r="G1" s="54" t="n"/>
    </row>
    <row r="2" ht="10" customHeight="1">
      <c r="A2" s="2" t="inlineStr"/>
      <c r="B2" s="2" t="inlineStr"/>
      <c r="C2" s="2" t="inlineStr"/>
      <c r="D2" s="2" t="inlineStr"/>
      <c r="E2" s="18" t="inlineStr"/>
    </row>
    <row r="3" ht="20" customHeight="1">
      <c r="A3" s="19" t="inlineStr">
        <is>
          <t>1.1. ​CXXXX​ ADMINISTRAÇÃO LOCAL DA OBRA - SEM DESONERAÇÃO, ENCARGOS SOCIAISINCORPORADOS NO PREÇO UNITÁRIO​ (%)</t>
        </is>
      </c>
      <c r="B3" s="55" t="n"/>
      <c r="C3" s="55" t="n"/>
      <c r="D3" s="55" t="n"/>
      <c r="E3" s="55" t="n"/>
      <c r="F3" s="55" t="n"/>
      <c r="G3" s="56" t="n"/>
    </row>
    <row r="4" ht="15" customHeight="1">
      <c r="A4" s="20" t="inlineStr">
        <is>
          <t>COTAÇÃO / ADMINISTRAÇÃO LOCAL DE OBRA (C/ ENCARGOS)</t>
        </is>
      </c>
      <c r="B4" s="56" t="n"/>
      <c r="C4" s="21" t="inlineStr">
        <is>
          <t>FONTE</t>
        </is>
      </c>
      <c r="D4" s="21" t="inlineStr">
        <is>
          <t>UNID</t>
        </is>
      </c>
      <c r="E4" s="21" t="inlineStr">
        <is>
          <t>COEFICIENTE</t>
        </is>
      </c>
      <c r="F4" s="21" t="inlineStr">
        <is>
          <t>PREÇO UNITÁRIO</t>
        </is>
      </c>
      <c r="G4" s="21" t="inlineStr">
        <is>
          <t>TOTAL</t>
        </is>
      </c>
    </row>
    <row r="5" ht="21" customHeight="1">
      <c r="A5" s="22" t="inlineStr">
        <is>
          <t>I8610</t>
        </is>
      </c>
      <c r="B5" s="23" t="inlineStr">
        <is>
          <t>COMPUTADOR</t>
        </is>
      </c>
      <c r="C5" s="22" t="inlineStr">
        <is>
          <t>SEINFRA</t>
        </is>
      </c>
      <c r="D5" s="22" t="inlineStr">
        <is>
          <t>UNxMÊS</t>
        </is>
      </c>
      <c r="E5" s="63" t="n">
        <v>1</v>
      </c>
      <c r="F5" s="64" t="n">
        <v>170</v>
      </c>
      <c r="G5" s="64">
        <f>ROUND(ROUND(E5,8)*F5,2)</f>
        <v/>
      </c>
      <c r="L5" t="n">
        <v>1</v>
      </c>
      <c r="M5" t="n">
        <v>170</v>
      </c>
      <c r="N5">
        <f>(M5-F5)</f>
        <v/>
      </c>
    </row>
    <row r="6" ht="25" customHeight="1">
      <c r="A6" s="2" t="inlineStr"/>
      <c r="B6" s="2" t="inlineStr"/>
      <c r="C6" s="2" t="inlineStr"/>
      <c r="D6" s="2" t="inlineStr"/>
      <c r="E6" s="26" t="inlineStr">
        <is>
          <t>TOTAL COTAÇÃO / ADMINISTRAÇÃO LOCAL DE OBRA (C/ ENCARGOS):</t>
        </is>
      </c>
      <c r="F6" s="56" t="n"/>
      <c r="G6" s="65">
        <f>SUM(G5:G5)</f>
        <v/>
      </c>
    </row>
    <row r="7" ht="15" customHeight="1">
      <c r="A7" s="20" t="inlineStr">
        <is>
          <t>Mão de Obra</t>
        </is>
      </c>
      <c r="B7" s="56" t="n"/>
      <c r="C7" s="21" t="inlineStr">
        <is>
          <t>FONTE</t>
        </is>
      </c>
      <c r="D7" s="21" t="inlineStr">
        <is>
          <t>UNID</t>
        </is>
      </c>
      <c r="E7" s="21" t="inlineStr">
        <is>
          <t>COEFICIENTE</t>
        </is>
      </c>
      <c r="F7" s="21" t="inlineStr">
        <is>
          <t>PREÇO UNITÁRIO</t>
        </is>
      </c>
      <c r="G7" s="21" t="inlineStr">
        <is>
          <t>TOTAL</t>
        </is>
      </c>
    </row>
    <row r="8" ht="15" customHeight="1">
      <c r="A8" s="22" t="inlineStr">
        <is>
          <t>I8601</t>
        </is>
      </c>
      <c r="B8" s="23" t="inlineStr">
        <is>
          <t>CADISTA</t>
        </is>
      </c>
      <c r="C8" s="22" t="inlineStr">
        <is>
          <t>SEINFRA</t>
        </is>
      </c>
      <c r="D8" s="22" t="inlineStr">
        <is>
          <t>MÊS</t>
        </is>
      </c>
      <c r="E8" s="63">
        <f>L8*FATOR</f>
        <v/>
      </c>
      <c r="F8" s="64" t="n">
        <v>5851.46</v>
      </c>
      <c r="G8" s="64">
        <f>ROUND(ROUND(E8,8)*F8,2)</f>
        <v/>
      </c>
      <c r="L8" t="n">
        <v>0.1</v>
      </c>
      <c r="M8" t="n">
        <v>5851.46</v>
      </c>
      <c r="N8">
        <f>(M8-F8)</f>
        <v/>
      </c>
    </row>
    <row r="9" ht="15" customHeight="1">
      <c r="A9" s="22" t="inlineStr">
        <is>
          <t>I8617</t>
        </is>
      </c>
      <c r="B9" s="23" t="inlineStr">
        <is>
          <t>VIGIA</t>
        </is>
      </c>
      <c r="C9" s="22" t="inlineStr">
        <is>
          <t>SEINFRA</t>
        </is>
      </c>
      <c r="D9" s="22" t="inlineStr">
        <is>
          <t>MÊS</t>
        </is>
      </c>
      <c r="E9" s="63">
        <f>L9*FATOR</f>
        <v/>
      </c>
      <c r="F9" s="64" t="n">
        <v>3687.34</v>
      </c>
      <c r="G9" s="64">
        <f>ROUND(ROUND(E9,8)*F9,2)</f>
        <v/>
      </c>
      <c r="L9" t="n">
        <v>1</v>
      </c>
      <c r="M9" t="n">
        <v>3687.34</v>
      </c>
      <c r="N9">
        <f>(M9-F9)</f>
        <v/>
      </c>
    </row>
    <row r="10" ht="15" customHeight="1">
      <c r="A10" s="2" t="inlineStr"/>
      <c r="B10" s="2" t="inlineStr"/>
      <c r="C10" s="2" t="inlineStr"/>
      <c r="D10" s="2" t="inlineStr"/>
      <c r="E10" s="26" t="inlineStr">
        <is>
          <t>TOTAL Mão de Obra:</t>
        </is>
      </c>
      <c r="F10" s="56" t="n"/>
      <c r="G10" s="65">
        <f>SUM(G8:G9)</f>
        <v/>
      </c>
    </row>
    <row r="11" ht="15" customHeight="1">
      <c r="A11" s="20" t="inlineStr">
        <is>
          <t>Mão de Obra com Encargos Complementares</t>
        </is>
      </c>
      <c r="B11" s="56" t="n"/>
      <c r="C11" s="21" t="inlineStr">
        <is>
          <t>FONTE</t>
        </is>
      </c>
      <c r="D11" s="21" t="inlineStr">
        <is>
          <t>UNID</t>
        </is>
      </c>
      <c r="E11" s="21" t="inlineStr">
        <is>
          <t>COEFICIENTE</t>
        </is>
      </c>
      <c r="F11" s="21" t="inlineStr">
        <is>
          <t>PREÇO UNITÁRIO</t>
        </is>
      </c>
      <c r="G11" s="21" t="inlineStr">
        <is>
          <t>TOTAL</t>
        </is>
      </c>
    </row>
    <row r="12" ht="15" customHeight="1">
      <c r="A12" s="22" t="inlineStr">
        <is>
          <t>93563</t>
        </is>
      </c>
      <c r="B12" s="23" t="inlineStr">
        <is>
          <t>ALMOXARIFE COM ENCARGOS COMPLEMENTARES</t>
        </is>
      </c>
      <c r="C12" s="22" t="inlineStr">
        <is>
          <t>SINAPI</t>
        </is>
      </c>
      <c r="D12" s="22" t="inlineStr">
        <is>
          <t>MES</t>
        </is>
      </c>
      <c r="E12" s="63">
        <f>L12*FATOR</f>
        <v/>
      </c>
      <c r="F12" s="64">
        <f>'COMPOSICOES AUXILIARES'!G123</f>
        <v/>
      </c>
      <c r="G12" s="64">
        <f>ROUND(ROUND(E12,8)*F12,2)</f>
        <v/>
      </c>
      <c r="L12" t="n">
        <v>1</v>
      </c>
      <c r="M12" t="n">
        <v>4298.73</v>
      </c>
      <c r="N12">
        <f>(M12-F12)</f>
        <v/>
      </c>
    </row>
    <row r="13" ht="21" customHeight="1">
      <c r="A13" s="22" t="inlineStr">
        <is>
          <t>93572</t>
        </is>
      </c>
      <c r="B13" s="23" t="inlineStr">
        <is>
          <t>ENCARREGADO GERAL DE OBRAS COM ENCARGOS COMPLEMENTARES</t>
        </is>
      </c>
      <c r="C13" s="22" t="inlineStr">
        <is>
          <t>SINAPI</t>
        </is>
      </c>
      <c r="D13" s="22" t="inlineStr">
        <is>
          <t>MES</t>
        </is>
      </c>
      <c r="E13" s="63">
        <f>L13*FATOR</f>
        <v/>
      </c>
      <c r="F13" s="64">
        <f>'COMPOSICOES AUXILIARES'!G1905</f>
        <v/>
      </c>
      <c r="G13" s="64">
        <f>ROUND(ROUND(E13,8)*F13,2)</f>
        <v/>
      </c>
      <c r="L13" t="n">
        <v>1</v>
      </c>
      <c r="M13" t="n">
        <v>5117.87</v>
      </c>
      <c r="N13">
        <f>(M13-F13)</f>
        <v/>
      </c>
    </row>
    <row r="14" ht="21" customHeight="1">
      <c r="A14" s="22" t="inlineStr">
        <is>
          <t>93567</t>
        </is>
      </c>
      <c r="B14" s="23" t="inlineStr">
        <is>
          <t>ENGENHEIRO CIVIL DE OBRA PLENO COM ENCARGOS COMPLEMENTARES</t>
        </is>
      </c>
      <c r="C14" s="22" t="inlineStr">
        <is>
          <t>SINAPI</t>
        </is>
      </c>
      <c r="D14" s="22" t="inlineStr">
        <is>
          <t>MES</t>
        </is>
      </c>
      <c r="E14" s="63">
        <f>L14*FATOR</f>
        <v/>
      </c>
      <c r="F14" s="64">
        <f>'COMPOSICOES AUXILIARES'!G1948</f>
        <v/>
      </c>
      <c r="G14" s="64">
        <f>ROUND(ROUND(E14,8)*F14,2)</f>
        <v/>
      </c>
      <c r="L14" t="n">
        <v>0.1</v>
      </c>
      <c r="M14" t="n">
        <v>24824.87</v>
      </c>
      <c r="N14">
        <f>(M14-F14)</f>
        <v/>
      </c>
    </row>
    <row r="15" ht="18" customHeight="1">
      <c r="A15" s="2" t="inlineStr"/>
      <c r="B15" s="2" t="inlineStr"/>
      <c r="C15" s="2" t="inlineStr"/>
      <c r="D15" s="2" t="inlineStr"/>
      <c r="E15" s="26" t="inlineStr">
        <is>
          <t>TOTAL Mão de Obra com Encargos Complementares:</t>
        </is>
      </c>
      <c r="F15" s="56" t="n"/>
      <c r="G15" s="65">
        <f>SUM(G12:G14)</f>
        <v/>
      </c>
    </row>
    <row r="16" ht="15" customHeight="1">
      <c r="A16" s="2" t="inlineStr"/>
      <c r="B16" s="2" t="inlineStr"/>
      <c r="C16" s="2" t="inlineStr"/>
      <c r="D16" s="2" t="inlineStr"/>
      <c r="E16" s="28" t="inlineStr">
        <is>
          <t>VALOR:</t>
        </is>
      </c>
      <c r="F16" s="56" t="n"/>
      <c r="G16" s="66">
        <f>SUM(G10,G15)</f>
        <v/>
      </c>
    </row>
    <row r="17" ht="15" customHeight="1">
      <c r="A17" s="2" t="inlineStr"/>
      <c r="B17" s="2" t="inlineStr"/>
      <c r="C17" s="2" t="inlineStr"/>
      <c r="D17" s="2" t="inlineStr"/>
      <c r="E17" s="28" t="inlineStr">
        <is>
          <t>VALOR BDI (23.08%):</t>
        </is>
      </c>
      <c r="F17" s="56" t="n"/>
      <c r="G17" s="66">
        <f>ROUNDDOWN(G16*BDI,2)</f>
        <v/>
      </c>
    </row>
    <row r="18" ht="15" customHeight="1">
      <c r="A18" s="2" t="inlineStr"/>
      <c r="B18" s="2" t="inlineStr"/>
      <c r="C18" s="2" t="inlineStr"/>
      <c r="D18" s="2" t="inlineStr"/>
      <c r="E18" s="28" t="inlineStr">
        <is>
          <t>VALOR COM BDI:</t>
        </is>
      </c>
      <c r="F18" s="56" t="n"/>
      <c r="G18" s="66">
        <f>G17 + G16</f>
        <v/>
      </c>
    </row>
    <row r="19" ht="10" customHeight="1">
      <c r="A19" s="2" t="inlineStr"/>
      <c r="B19" s="2" t="inlineStr"/>
      <c r="C19" s="2" t="inlineStr"/>
      <c r="D19" s="2" t="inlineStr"/>
      <c r="E19" s="18" t="inlineStr"/>
    </row>
    <row r="20" ht="20" customHeight="1">
      <c r="A20" s="19" t="inlineStr">
        <is>
          <t>2.1.1.1. ​98525​ LIMPEZA MECANIZADA DE CAMADA VEGETAL, VEGETAÇÃO E PEQUENAS ÁRVORES (DIÂMETRO DE TRONCO MENOR QUE 0,20 M), COM TRATOR DE ESTEIRAS.AF_03/2024​ (M2)</t>
        </is>
      </c>
      <c r="B20" s="55" t="n"/>
      <c r="C20" s="55" t="n"/>
      <c r="D20" s="55" t="n"/>
      <c r="E20" s="55" t="n"/>
      <c r="F20" s="55" t="n"/>
      <c r="G20" s="56" t="n"/>
    </row>
    <row r="21" ht="15" customHeight="1">
      <c r="A21" s="20" t="inlineStr">
        <is>
          <t>Equipamento Custo Horário</t>
        </is>
      </c>
      <c r="B21" s="56" t="n"/>
      <c r="C21" s="21" t="inlineStr">
        <is>
          <t>FONTE</t>
        </is>
      </c>
      <c r="D21" s="21" t="inlineStr">
        <is>
          <t>UNID</t>
        </is>
      </c>
      <c r="E21" s="21" t="inlineStr">
        <is>
          <t>COEFICIENTE</t>
        </is>
      </c>
      <c r="F21" s="21" t="inlineStr">
        <is>
          <t>PREÇO UNITÁRIO</t>
        </is>
      </c>
      <c r="G21" s="21" t="inlineStr">
        <is>
          <t>TOTAL</t>
        </is>
      </c>
    </row>
    <row r="22" ht="29" customHeight="1">
      <c r="A22" s="22" t="inlineStr">
        <is>
          <t>89031</t>
        </is>
      </c>
      <c r="B22" s="23" t="inlineStr">
        <is>
          <t>TRATOR DE ESTEIRAS, POTÊNCIA 100 HP, PESO OPERACIONAL 9,4 T, COM LÂMINA 2,19 M3 - CHI DIURNO. AF_06/2014</t>
        </is>
      </c>
      <c r="C22" s="22" t="inlineStr">
        <is>
          <t>SINAPI</t>
        </is>
      </c>
      <c r="D22" s="22" t="inlineStr">
        <is>
          <t>CHI</t>
        </is>
      </c>
      <c r="E22" s="63" t="n">
        <v>0.0029</v>
      </c>
      <c r="F22" s="64">
        <f>'COMPOSICOES AUXILIARES'!G3615</f>
        <v/>
      </c>
      <c r="G22" s="64">
        <f>TRUNC(TRUNC(E22,8)*F22,2)</f>
        <v/>
      </c>
      <c r="L22" t="n">
        <v>0.0029</v>
      </c>
      <c r="M22" t="n">
        <v>83.95999999999999</v>
      </c>
      <c r="N22">
        <f>(M22-F22)</f>
        <v/>
      </c>
    </row>
    <row r="23" ht="29" customHeight="1">
      <c r="A23" s="22" t="inlineStr">
        <is>
          <t>89032</t>
        </is>
      </c>
      <c r="B23" s="23" t="inlineStr">
        <is>
          <t>TRATOR DE ESTEIRAS, POTÊNCIA 100 HP, PESO OPERACIONAL 9,4 T, COM LÂMINA 2,19 M3 - CHP DIURNO. AF_06/2014</t>
        </is>
      </c>
      <c r="C23" s="22" t="inlineStr">
        <is>
          <t>SINAPI</t>
        </is>
      </c>
      <c r="D23" s="22" t="inlineStr">
        <is>
          <t>CHP</t>
        </is>
      </c>
      <c r="E23" s="63" t="n">
        <v>0.0017</v>
      </c>
      <c r="F23" s="64">
        <f>'COMPOSICOES AUXILIARES'!G3629</f>
        <v/>
      </c>
      <c r="G23" s="64">
        <f>TRUNC(TRUNC(E23,8)*F23,2)</f>
        <v/>
      </c>
      <c r="L23" t="n">
        <v>0.0017</v>
      </c>
      <c r="M23" t="n">
        <v>206.64</v>
      </c>
      <c r="N23">
        <f>(M23-F23)</f>
        <v/>
      </c>
    </row>
    <row r="24" ht="18" customHeight="1">
      <c r="A24" s="2" t="inlineStr"/>
      <c r="B24" s="2" t="inlineStr"/>
      <c r="C24" s="2" t="inlineStr"/>
      <c r="D24" s="2" t="inlineStr"/>
      <c r="E24" s="26" t="inlineStr">
        <is>
          <t>TOTAL Equipamento Custo Horário:</t>
        </is>
      </c>
      <c r="F24" s="56" t="n"/>
      <c r="G24" s="65">
        <f>SUM(G22:G23)</f>
        <v/>
      </c>
    </row>
    <row r="25" ht="15" customHeight="1">
      <c r="A25" s="20" t="inlineStr">
        <is>
          <t>Mão de Obra com Encargos Complementares</t>
        </is>
      </c>
      <c r="B25" s="56" t="n"/>
      <c r="C25" s="21" t="inlineStr">
        <is>
          <t>FONTE</t>
        </is>
      </c>
      <c r="D25" s="21" t="inlineStr">
        <is>
          <t>UNID</t>
        </is>
      </c>
      <c r="E25" s="21" t="inlineStr">
        <is>
          <t>COEFICIENTE</t>
        </is>
      </c>
      <c r="F25" s="21" t="inlineStr">
        <is>
          <t>PREÇO UNITÁRIO</t>
        </is>
      </c>
      <c r="G25" s="21" t="inlineStr">
        <is>
          <t>TOTAL</t>
        </is>
      </c>
    </row>
    <row r="26" ht="15" customHeight="1">
      <c r="A26" s="22" t="inlineStr">
        <is>
          <t>88441</t>
        </is>
      </c>
      <c r="B26" s="23" t="inlineStr">
        <is>
          <t>JARDINEIRO COM ENCARGOS COMPLEMENTARES</t>
        </is>
      </c>
      <c r="C26" s="22" t="inlineStr">
        <is>
          <t>SINAPI</t>
        </is>
      </c>
      <c r="D26" s="22" t="inlineStr">
        <is>
          <t>H</t>
        </is>
      </c>
      <c r="E26" s="63">
        <f>L26*FATOR</f>
        <v/>
      </c>
      <c r="F26" s="64">
        <f>'COMPOSICOES AUXILIARES'!G2344</f>
        <v/>
      </c>
      <c r="G26" s="64">
        <f>TRUNC(TRUNC(E26,8)*F26,2)</f>
        <v/>
      </c>
      <c r="L26" t="n">
        <v>0.0046</v>
      </c>
      <c r="M26" t="n">
        <v>23.91</v>
      </c>
      <c r="N26">
        <f>(M26-F26)</f>
        <v/>
      </c>
    </row>
    <row r="27" ht="18" customHeight="1">
      <c r="A27" s="2" t="inlineStr"/>
      <c r="B27" s="2" t="inlineStr"/>
      <c r="C27" s="2" t="inlineStr"/>
      <c r="D27" s="2" t="inlineStr"/>
      <c r="E27" s="26" t="inlineStr">
        <is>
          <t>TOTAL Mão de Obra com Encargos Complementares:</t>
        </is>
      </c>
      <c r="F27" s="56" t="n"/>
      <c r="G27" s="65">
        <f>SUM(G26:G26)</f>
        <v/>
      </c>
    </row>
    <row r="28" ht="15" customHeight="1">
      <c r="A28" s="2" t="inlineStr"/>
      <c r="B28" s="2" t="inlineStr"/>
      <c r="C28" s="2" t="inlineStr"/>
      <c r="D28" s="2" t="inlineStr"/>
      <c r="E28" s="28" t="inlineStr">
        <is>
          <t>VALOR:</t>
        </is>
      </c>
      <c r="F28" s="56" t="n"/>
      <c r="G28" s="66">
        <f>SUM(G24,G27)</f>
        <v/>
      </c>
    </row>
    <row r="29" ht="15" customHeight="1">
      <c r="A29" s="2" t="inlineStr"/>
      <c r="B29" s="2" t="inlineStr"/>
      <c r="C29" s="2" t="inlineStr"/>
      <c r="D29" s="2" t="inlineStr"/>
      <c r="E29" s="28" t="inlineStr">
        <is>
          <t>VALOR BDI (23.08%):</t>
        </is>
      </c>
      <c r="F29" s="56" t="n"/>
      <c r="G29" s="66">
        <f>ROUNDDOWN(G28*BDI,2)</f>
        <v/>
      </c>
    </row>
    <row r="30" ht="15" customHeight="1">
      <c r="A30" s="2" t="inlineStr"/>
      <c r="B30" s="2" t="inlineStr"/>
      <c r="C30" s="2" t="inlineStr"/>
      <c r="D30" s="2" t="inlineStr"/>
      <c r="E30" s="28" t="inlineStr">
        <is>
          <t>VALOR COM BDI:</t>
        </is>
      </c>
      <c r="F30" s="56" t="n"/>
      <c r="G30" s="66">
        <f>G29 + G28</f>
        <v/>
      </c>
    </row>
    <row r="31" ht="10" customHeight="1">
      <c r="A31" s="2" t="inlineStr"/>
      <c r="B31" s="2" t="inlineStr"/>
      <c r="C31" s="2" t="inlineStr"/>
      <c r="D31" s="2" t="inlineStr"/>
      <c r="E31" s="18" t="inlineStr"/>
    </row>
    <row r="32" ht="20" customHeight="1">
      <c r="A32" s="19" t="inlineStr">
        <is>
          <t>2.1.1.2. ​100980​ CARGA, MANOBRA E DESCARGA DE SOLOS E MATERIAIS GRANULARES EM CAMINHÃO BASCULANTE 18 M³ - CARGA COM ESCAVADEIRA HIDRÁULICA (CAÇAMBA DE 1,20 M³ / 155 HP) E DESCARGA LIVRE(UNIDADE: M3). AF_07/2020​ (M3)</t>
        </is>
      </c>
      <c r="B32" s="55" t="n"/>
      <c r="C32" s="55" t="n"/>
      <c r="D32" s="55" t="n"/>
      <c r="E32" s="55" t="n"/>
      <c r="F32" s="55" t="n"/>
      <c r="G32" s="56" t="n"/>
    </row>
    <row r="33" ht="15" customHeight="1">
      <c r="A33" s="20" t="inlineStr">
        <is>
          <t>Equipamento Custo Horário</t>
        </is>
      </c>
      <c r="B33" s="56" t="n"/>
      <c r="C33" s="21" t="inlineStr">
        <is>
          <t>FONTE</t>
        </is>
      </c>
      <c r="D33" s="21" t="inlineStr">
        <is>
          <t>UNID</t>
        </is>
      </c>
      <c r="E33" s="21" t="inlineStr">
        <is>
          <t>COEFICIENTE</t>
        </is>
      </c>
      <c r="F33" s="21" t="inlineStr">
        <is>
          <t>PREÇO UNITÁRIO</t>
        </is>
      </c>
      <c r="G33" s="21" t="inlineStr">
        <is>
          <t>TOTAL</t>
        </is>
      </c>
    </row>
    <row r="34" ht="38" customHeight="1">
      <c r="A34" s="22" t="inlineStr">
        <is>
          <t>89884</t>
        </is>
      </c>
      <c r="B34" s="23" t="inlineStr">
        <is>
          <t>CAMINHÃO BASCULANTE 18 M3, COM CAVALO MECÂNICO DE CAPACIDADE MÁXIMA DE TRAÇÃO COMBINADO DE 45000 KG, POTÊNCIA 330 CV, INCLUSIVE SEMIREBOQUE COM CAÇAMBA METÁLICA - CHI DIURNO. AF_12/2014</t>
        </is>
      </c>
      <c r="C34" s="22" t="inlineStr">
        <is>
          <t>SINAPI</t>
        </is>
      </c>
      <c r="D34" s="22" t="inlineStr">
        <is>
          <t>CHI</t>
        </is>
      </c>
      <c r="E34" s="63" t="n">
        <v>0.0077</v>
      </c>
      <c r="F34" s="64">
        <f>'COMPOSICOES AUXILIARES'!G738</f>
        <v/>
      </c>
      <c r="G34" s="64">
        <f>TRUNC(TRUNC(E34,8)*F34,2)</f>
        <v/>
      </c>
      <c r="L34" t="n">
        <v>0.0077</v>
      </c>
      <c r="M34" t="n">
        <v>98.09999999999999</v>
      </c>
      <c r="N34">
        <f>(M34-F34)</f>
        <v/>
      </c>
    </row>
    <row r="35" ht="38" customHeight="1">
      <c r="A35" s="22" t="inlineStr">
        <is>
          <t>89883</t>
        </is>
      </c>
      <c r="B35" s="23" t="inlineStr">
        <is>
          <t>CAMINHÃO BASCULANTE 18 M3, COM CAVALO MECÂNICO DE CAPACIDADE MÁXIMA DE TRAÇÃO COMBINADO DE 45000 KG, POTÊNCIA 330 CV, INCLUSIVE SEMIREBOQUE COM CAÇAMBA METÁLICA - CHP DIURNO. AF_12/2014</t>
        </is>
      </c>
      <c r="C35" s="22" t="inlineStr">
        <is>
          <t>SINAPI</t>
        </is>
      </c>
      <c r="D35" s="22" t="inlineStr">
        <is>
          <t>CHP</t>
        </is>
      </c>
      <c r="E35" s="63" t="n">
        <v>0.0111</v>
      </c>
      <c r="F35" s="64">
        <f>'COMPOSICOES AUXILIARES'!G753</f>
        <v/>
      </c>
      <c r="G35" s="64">
        <f>TRUNC(TRUNC(E35,8)*F35,2)</f>
        <v/>
      </c>
      <c r="L35" t="n">
        <v>0.0111</v>
      </c>
      <c r="M35" t="n">
        <v>373.41</v>
      </c>
      <c r="N35">
        <f>(M35-F35)</f>
        <v/>
      </c>
    </row>
    <row r="36" ht="29" customHeight="1">
      <c r="A36" s="22" t="inlineStr">
        <is>
          <t>88908</t>
        </is>
      </c>
      <c r="B36" s="23" t="inlineStr">
        <is>
          <t>ESCAVADEIRA HIDRÁULICA SOBRE ESTEIRAS, CAÇAMBA 1,20 M3, PESO OPERACIONAL 21 T, POTÊNCIA BRUTA 155 HP - CHI DIURNO. AF_06/2014</t>
        </is>
      </c>
      <c r="C36" s="22" t="inlineStr">
        <is>
          <t>SINAPI</t>
        </is>
      </c>
      <c r="D36" s="22" t="inlineStr">
        <is>
          <t>CHI</t>
        </is>
      </c>
      <c r="E36" s="63" t="n">
        <v>0.0056</v>
      </c>
      <c r="F36" s="64">
        <f>'COMPOSICOES AUXILIARES'!G1978</f>
        <v/>
      </c>
      <c r="G36" s="64">
        <f>TRUNC(TRUNC(E36,8)*F36,2)</f>
        <v/>
      </c>
      <c r="L36" t="n">
        <v>0.0056</v>
      </c>
      <c r="M36" t="n">
        <v>104.69</v>
      </c>
      <c r="N36">
        <f>(M36-F36)</f>
        <v/>
      </c>
    </row>
    <row r="37" ht="29" customHeight="1">
      <c r="A37" s="22" t="inlineStr">
        <is>
          <t>88907</t>
        </is>
      </c>
      <c r="B37" s="23" t="inlineStr">
        <is>
          <t>ESCAVADEIRA HIDRÁULICA SOBRE ESTEIRAS, CAÇAMBA 1,20 M3, PESO OPERACIONAL 21 T, POTÊNCIA BRUTA 155 HP - CHP DIURNO. AF_06/2014</t>
        </is>
      </c>
      <c r="C37" s="22" t="inlineStr">
        <is>
          <t>SINAPI</t>
        </is>
      </c>
      <c r="D37" s="22" t="inlineStr">
        <is>
          <t>CHP</t>
        </is>
      </c>
      <c r="E37" s="63" t="n">
        <v>0.0042</v>
      </c>
      <c r="F37" s="64">
        <f>'COMPOSICOES AUXILIARES'!G1992</f>
        <v/>
      </c>
      <c r="G37" s="64">
        <f>TRUNC(TRUNC(E37,8)*F37,2)</f>
        <v/>
      </c>
      <c r="L37" t="n">
        <v>0.0042</v>
      </c>
      <c r="M37" t="n">
        <v>262.65</v>
      </c>
      <c r="N37">
        <f>(M37-F37)</f>
        <v/>
      </c>
    </row>
    <row r="38" ht="18" customHeight="1">
      <c r="A38" s="2" t="inlineStr"/>
      <c r="B38" s="2" t="inlineStr"/>
      <c r="C38" s="2" t="inlineStr"/>
      <c r="D38" s="2" t="inlineStr"/>
      <c r="E38" s="26" t="inlineStr">
        <is>
          <t>TOTAL Equipamento Custo Horário:</t>
        </is>
      </c>
      <c r="F38" s="56" t="n"/>
      <c r="G38" s="65">
        <f>SUM(G34:G37)</f>
        <v/>
      </c>
    </row>
    <row r="39" ht="15" customHeight="1">
      <c r="A39" s="2" t="inlineStr"/>
      <c r="B39" s="2" t="inlineStr"/>
      <c r="C39" s="2" t="inlineStr"/>
      <c r="D39" s="2" t="inlineStr"/>
      <c r="E39" s="28" t="inlineStr">
        <is>
          <t>VALOR:</t>
        </is>
      </c>
      <c r="F39" s="56" t="n"/>
      <c r="G39" s="66">
        <f>SUM(G38)</f>
        <v/>
      </c>
    </row>
    <row r="40" ht="15" customHeight="1">
      <c r="A40" s="2" t="inlineStr"/>
      <c r="B40" s="2" t="inlineStr"/>
      <c r="C40" s="2" t="inlineStr"/>
      <c r="D40" s="2" t="inlineStr"/>
      <c r="E40" s="28" t="inlineStr">
        <is>
          <t>VALOR BDI (23.08%):</t>
        </is>
      </c>
      <c r="F40" s="56" t="n"/>
      <c r="G40" s="66">
        <f>ROUNDDOWN(G39*BDI,2)</f>
        <v/>
      </c>
    </row>
    <row r="41" ht="15" customHeight="1">
      <c r="A41" s="2" t="inlineStr"/>
      <c r="B41" s="2" t="inlineStr"/>
      <c r="C41" s="2" t="inlineStr"/>
      <c r="D41" s="2" t="inlineStr"/>
      <c r="E41" s="28" t="inlineStr">
        <is>
          <t>VALOR COM BDI:</t>
        </is>
      </c>
      <c r="F41" s="56" t="n"/>
      <c r="G41" s="66">
        <f>G40 + G39</f>
        <v/>
      </c>
    </row>
    <row r="42" ht="10" customHeight="1">
      <c r="A42" s="2" t="inlineStr"/>
      <c r="B42" s="2" t="inlineStr"/>
      <c r="C42" s="2" t="inlineStr"/>
      <c r="D42" s="2" t="inlineStr"/>
      <c r="E42" s="18" t="inlineStr"/>
    </row>
    <row r="43" ht="20" customHeight="1">
      <c r="A43" s="19" t="inlineStr">
        <is>
          <t>2.1.1.3. ​95877​ TRANSPORTE COM CAMINHÃO BASCULANTE DE 18 M³, EM VIA URBANA PAVIMENTADA, DMT ATÉ 30 KM (UNIDADE:M3XKM). AF_07/2020​ (M3XKM)</t>
        </is>
      </c>
      <c r="B43" s="55" t="n"/>
      <c r="C43" s="55" t="n"/>
      <c r="D43" s="55" t="n"/>
      <c r="E43" s="55" t="n"/>
      <c r="F43" s="55" t="n"/>
      <c r="G43" s="56" t="n"/>
    </row>
    <row r="44" ht="15" customHeight="1">
      <c r="A44" s="20" t="inlineStr">
        <is>
          <t>Equipamento Custo Horário</t>
        </is>
      </c>
      <c r="B44" s="56" t="n"/>
      <c r="C44" s="21" t="inlineStr">
        <is>
          <t>FONTE</t>
        </is>
      </c>
      <c r="D44" s="21" t="inlineStr">
        <is>
          <t>UNID</t>
        </is>
      </c>
      <c r="E44" s="21" t="inlineStr">
        <is>
          <t>COEFICIENTE</t>
        </is>
      </c>
      <c r="F44" s="21" t="inlineStr">
        <is>
          <t>PREÇO UNITÁRIO</t>
        </is>
      </c>
      <c r="G44" s="21" t="inlineStr">
        <is>
          <t>TOTAL</t>
        </is>
      </c>
    </row>
    <row r="45" ht="38" customHeight="1">
      <c r="A45" s="22" t="inlineStr">
        <is>
          <t>89884</t>
        </is>
      </c>
      <c r="B45" s="23" t="inlineStr">
        <is>
          <t>CAMINHÃO BASCULANTE 18 M3, COM CAVALO MECÂNICO DE CAPACIDADE MÁXIMA DE TRAÇÃO COMBINADO DE 45000 KG, POTÊNCIA 330 CV, INCLUSIVE SEMIREBOQUE COM CAÇAMBA METÁLICA - CHI DIURNO. AF_12/2014</t>
        </is>
      </c>
      <c r="C45" s="22" t="inlineStr">
        <is>
          <t>SINAPI</t>
        </is>
      </c>
      <c r="D45" s="22" t="inlineStr">
        <is>
          <t>CHI</t>
        </is>
      </c>
      <c r="E45" s="63" t="n">
        <v>0.002</v>
      </c>
      <c r="F45" s="64">
        <f>'COMPOSICOES AUXILIARES'!G738</f>
        <v/>
      </c>
      <c r="G45" s="64">
        <f>TRUNC(TRUNC(E45,8)*F45,2)</f>
        <v/>
      </c>
      <c r="L45" t="n">
        <v>0.002</v>
      </c>
      <c r="M45" t="n">
        <v>98.09999999999999</v>
      </c>
      <c r="N45">
        <f>(M45-F45)</f>
        <v/>
      </c>
    </row>
    <row r="46" ht="38" customHeight="1">
      <c r="A46" s="22" t="inlineStr">
        <is>
          <t>89883</t>
        </is>
      </c>
      <c r="B46" s="23" t="inlineStr">
        <is>
          <t>CAMINHÃO BASCULANTE 18 M3, COM CAVALO MECÂNICO DE CAPACIDADE MÁXIMA DE TRAÇÃO COMBINADO DE 45000 KG, POTÊNCIA 330 CV, INCLUSIVE SEMIREBOQUE COM CAÇAMBA METÁLICA - CHP DIURNO. AF_12/2014</t>
        </is>
      </c>
      <c r="C46" s="22" t="inlineStr">
        <is>
          <t>SINAPI</t>
        </is>
      </c>
      <c r="D46" s="22" t="inlineStr">
        <is>
          <t>CHP</t>
        </is>
      </c>
      <c r="E46" s="63" t="n">
        <v>0.0046</v>
      </c>
      <c r="F46" s="64">
        <f>'COMPOSICOES AUXILIARES'!G753</f>
        <v/>
      </c>
      <c r="G46" s="64">
        <f>TRUNC(TRUNC(E46,8)*F46,2)</f>
        <v/>
      </c>
      <c r="L46" t="n">
        <v>0.0046</v>
      </c>
      <c r="M46" t="n">
        <v>373.41</v>
      </c>
      <c r="N46">
        <f>(M46-F46)</f>
        <v/>
      </c>
    </row>
    <row r="47" ht="18" customHeight="1">
      <c r="A47" s="2" t="inlineStr"/>
      <c r="B47" s="2" t="inlineStr"/>
      <c r="C47" s="2" t="inlineStr"/>
      <c r="D47" s="2" t="inlineStr"/>
      <c r="E47" s="26" t="inlineStr">
        <is>
          <t>TOTAL Equipamento Custo Horário:</t>
        </is>
      </c>
      <c r="F47" s="56" t="n"/>
      <c r="G47" s="65">
        <f>SUM(G45:G46)</f>
        <v/>
      </c>
    </row>
    <row r="48" ht="15" customHeight="1">
      <c r="A48" s="2" t="inlineStr"/>
      <c r="B48" s="2" t="inlineStr"/>
      <c r="C48" s="2" t="inlineStr"/>
      <c r="D48" s="2" t="inlineStr"/>
      <c r="E48" s="28" t="inlineStr">
        <is>
          <t>VALOR:</t>
        </is>
      </c>
      <c r="F48" s="56" t="n"/>
      <c r="G48" s="66">
        <f>SUM(G47)</f>
        <v/>
      </c>
    </row>
    <row r="49" ht="15" customHeight="1">
      <c r="A49" s="2" t="inlineStr"/>
      <c r="B49" s="2" t="inlineStr"/>
      <c r="C49" s="2" t="inlineStr"/>
      <c r="D49" s="2" t="inlineStr"/>
      <c r="E49" s="28" t="inlineStr">
        <is>
          <t>VALOR BDI (23.08%):</t>
        </is>
      </c>
      <c r="F49" s="56" t="n"/>
      <c r="G49" s="66">
        <f>ROUNDDOWN(G48*BDI,2)</f>
        <v/>
      </c>
    </row>
    <row r="50" ht="15" customHeight="1">
      <c r="A50" s="2" t="inlineStr"/>
      <c r="B50" s="2" t="inlineStr"/>
      <c r="C50" s="2" t="inlineStr"/>
      <c r="D50" s="2" t="inlineStr"/>
      <c r="E50" s="28" t="inlineStr">
        <is>
          <t>VALOR COM BDI:</t>
        </is>
      </c>
      <c r="F50" s="56" t="n"/>
      <c r="G50" s="66">
        <f>G49 + G48</f>
        <v/>
      </c>
    </row>
    <row r="51" ht="10" customHeight="1">
      <c r="A51" s="2" t="inlineStr"/>
      <c r="B51" s="2" t="inlineStr"/>
      <c r="C51" s="2" t="inlineStr"/>
      <c r="D51" s="2" t="inlineStr"/>
      <c r="E51" s="18" t="inlineStr"/>
    </row>
    <row r="52" ht="20" customHeight="1">
      <c r="A52" s="19" t="inlineStr">
        <is>
          <t>2.1.1.4. ​C5185​ DESTINAÇÃO FINAL DO RESÍDUO SOLIDO NÃO SEGREGADO EM TERRENOLICENCIADO - SEM TRANSPORTE​ (M3)</t>
        </is>
      </c>
      <c r="B52" s="55" t="n"/>
      <c r="C52" s="55" t="n"/>
      <c r="D52" s="55" t="n"/>
      <c r="E52" s="55" t="n"/>
      <c r="F52" s="55" t="n"/>
      <c r="G52" s="56" t="n"/>
    </row>
    <row r="53" ht="15" customHeight="1">
      <c r="A53" s="20" t="inlineStr">
        <is>
          <t>Material</t>
        </is>
      </c>
      <c r="B53" s="56" t="n"/>
      <c r="C53" s="21" t="inlineStr">
        <is>
          <t>FONTE</t>
        </is>
      </c>
      <c r="D53" s="21" t="inlineStr">
        <is>
          <t>UNID</t>
        </is>
      </c>
      <c r="E53" s="21" t="inlineStr">
        <is>
          <t>COEFICIENTE</t>
        </is>
      </c>
      <c r="F53" s="21" t="inlineStr">
        <is>
          <t>PREÇO UNITÁRIO</t>
        </is>
      </c>
      <c r="G53" s="21" t="inlineStr">
        <is>
          <t>TOTAL</t>
        </is>
      </c>
    </row>
    <row r="54" ht="15" customHeight="1">
      <c r="A54" s="22" t="inlineStr">
        <is>
          <t>I10260</t>
        </is>
      </c>
      <c r="B54" s="23" t="inlineStr">
        <is>
          <t>RECEBIMENTO DE MATERIAL SEGREGADO</t>
        </is>
      </c>
      <c r="C54" s="22" t="inlineStr">
        <is>
          <t>SEINFRA</t>
        </is>
      </c>
      <c r="D54" s="22" t="inlineStr">
        <is>
          <t>M3</t>
        </is>
      </c>
      <c r="E54" s="63" t="n">
        <v>1</v>
      </c>
      <c r="F54" s="67">
        <f>ROUND(M54*FATOR, 2)</f>
        <v/>
      </c>
      <c r="G54" s="67">
        <f>ROUND(ROUND(E54,8)*F54,4)</f>
        <v/>
      </c>
      <c r="L54" t="n">
        <v>1</v>
      </c>
      <c r="M54" t="n">
        <v>11.2</v>
      </c>
      <c r="N54">
        <f>(M54-F54)</f>
        <v/>
      </c>
    </row>
    <row r="55" ht="15" customHeight="1">
      <c r="A55" s="2" t="inlineStr"/>
      <c r="B55" s="2" t="inlineStr"/>
      <c r="C55" s="2" t="inlineStr"/>
      <c r="D55" s="2" t="inlineStr"/>
      <c r="E55" s="26" t="inlineStr">
        <is>
          <t>TOTAL Material:</t>
        </is>
      </c>
      <c r="F55" s="56" t="n"/>
      <c r="G55" s="68">
        <f>SUM(G54:G54)</f>
        <v/>
      </c>
    </row>
    <row r="56" ht="15" customHeight="1">
      <c r="A56" s="2" t="inlineStr"/>
      <c r="B56" s="2" t="inlineStr"/>
      <c r="C56" s="2" t="inlineStr"/>
      <c r="D56" s="2" t="inlineStr"/>
      <c r="E56" s="28" t="inlineStr">
        <is>
          <t>VALOR:</t>
        </is>
      </c>
      <c r="F56" s="56" t="n"/>
      <c r="G56" s="66">
        <f>SUM(G55)</f>
        <v/>
      </c>
    </row>
    <row r="57" ht="15" customHeight="1">
      <c r="A57" s="2" t="inlineStr"/>
      <c r="B57" s="2" t="inlineStr"/>
      <c r="C57" s="2" t="inlineStr"/>
      <c r="D57" s="2" t="inlineStr"/>
      <c r="E57" s="28" t="inlineStr">
        <is>
          <t>VALOR BDI (23.08%):</t>
        </is>
      </c>
      <c r="F57" s="56" t="n"/>
      <c r="G57" s="66">
        <f>ROUNDDOWN(G56*BDI,2)</f>
        <v/>
      </c>
    </row>
    <row r="58" ht="15" customHeight="1">
      <c r="A58" s="2" t="inlineStr"/>
      <c r="B58" s="2" t="inlineStr"/>
      <c r="C58" s="2" t="inlineStr"/>
      <c r="D58" s="2" t="inlineStr"/>
      <c r="E58" s="28" t="inlineStr">
        <is>
          <t>VALOR COM BDI:</t>
        </is>
      </c>
      <c r="F58" s="56" t="n"/>
      <c r="G58" s="66">
        <f>G57 + G56</f>
        <v/>
      </c>
    </row>
    <row r="59" ht="10" customHeight="1">
      <c r="A59" s="2" t="inlineStr"/>
      <c r="B59" s="2" t="inlineStr"/>
      <c r="C59" s="2" t="inlineStr"/>
      <c r="D59" s="2" t="inlineStr"/>
      <c r="E59" s="18" t="inlineStr"/>
    </row>
    <row r="60" ht="20" customHeight="1">
      <c r="A60" s="19" t="inlineStr">
        <is>
          <t>2.1.2.1. ​407PRÓPRIO​ BARRACÃO DE OBRA PARA LOJAMENTO/ESCRITÓRIO, PISO EM PINHO 3A, PAREDES EM COMPENSADO 10MM, COBERTURA EM TELHA FIBROCIMENTO 6MM, INCLUSOINSTALAÇÕES ELÉTRICAS E ESQUADRIAS​ (M²)</t>
        </is>
      </c>
      <c r="B60" s="55" t="n"/>
      <c r="C60" s="55" t="n"/>
      <c r="D60" s="55" t="n"/>
      <c r="E60" s="55" t="n"/>
      <c r="F60" s="55" t="n"/>
      <c r="G60" s="56" t="n"/>
    </row>
    <row r="61" ht="15" customHeight="1">
      <c r="A61" s="20" t="inlineStr">
        <is>
          <t>Material</t>
        </is>
      </c>
      <c r="B61" s="56" t="n"/>
      <c r="C61" s="21" t="inlineStr">
        <is>
          <t>FONTE</t>
        </is>
      </c>
      <c r="D61" s="21" t="inlineStr">
        <is>
          <t>UNID</t>
        </is>
      </c>
      <c r="E61" s="21" t="inlineStr">
        <is>
          <t>COEFICIENTE</t>
        </is>
      </c>
      <c r="F61" s="21" t="inlineStr">
        <is>
          <t>PREÇO UNITÁRIO</t>
        </is>
      </c>
      <c r="G61" s="21" t="inlineStr">
        <is>
          <t>TOTAL</t>
        </is>
      </c>
    </row>
    <row r="62" ht="38" customHeight="1">
      <c r="A62" s="22" t="inlineStr">
        <is>
          <t>00005085</t>
        </is>
      </c>
      <c r="B62" s="23" t="inlineStr">
        <is>
          <t>CADEADO SIMPLES, CORPO EM LATAO MACICO, COM LARGURA DE 35 MM E ALTURA DE APROX 30 MM, HASTE CEMENTADA (NAO LONGA), EM ACO TEMPERADO COM DIAMETRO DE APROX 6,0 MM, INCLUINDO 2 CHAVES</t>
        </is>
      </c>
      <c r="C62" s="22" t="inlineStr">
        <is>
          <t>SINAPI</t>
        </is>
      </c>
      <c r="D62" s="22" t="inlineStr">
        <is>
          <t>UN</t>
        </is>
      </c>
      <c r="E62" s="63" t="n">
        <v>0.0058</v>
      </c>
      <c r="F62" s="64">
        <f>ROUND(M62*FATOR, 2)</f>
        <v/>
      </c>
      <c r="G62" s="64">
        <f>ROUND(ROUND(E62,8)*F62,2)</f>
        <v/>
      </c>
      <c r="L62" t="n">
        <v>0.0058</v>
      </c>
      <c r="M62" t="n">
        <v>31.26</v>
      </c>
      <c r="N62">
        <f>(M62-F62)</f>
        <v/>
      </c>
    </row>
    <row r="63" ht="21" customHeight="1">
      <c r="A63" s="22" t="inlineStr">
        <is>
          <t>00004777</t>
        </is>
      </c>
      <c r="B63" s="23" t="inlineStr">
        <is>
          <t>CANTONEIRA ACO ABAS IGUAIS (QUALQUER BITOLA), ESPESSURA ENTRE 1/8" E 1/4"</t>
        </is>
      </c>
      <c r="C63" s="22" t="inlineStr">
        <is>
          <t>SINAPI</t>
        </is>
      </c>
      <c r="D63" s="22" t="inlineStr">
        <is>
          <t>KG</t>
        </is>
      </c>
      <c r="E63" s="63" t="n">
        <v>0.303</v>
      </c>
      <c r="F63" s="64">
        <f>ROUND(M63*FATOR, 2)</f>
        <v/>
      </c>
      <c r="G63" s="64">
        <f>ROUND(ROUND(E63,8)*F63,2)</f>
        <v/>
      </c>
      <c r="L63" t="n">
        <v>0.303</v>
      </c>
      <c r="M63" t="n">
        <v>8.02</v>
      </c>
      <c r="N63">
        <f>(M63-F63)</f>
        <v/>
      </c>
    </row>
    <row r="64" ht="29" customHeight="1">
      <c r="A64" s="22" t="inlineStr">
        <is>
          <t>00001346</t>
        </is>
      </c>
      <c r="B64" s="23" t="inlineStr">
        <is>
          <t>CHAPA/PAINEL DE MADEIRA COMPENSADA PLASTIFICADA (MADEIRITE PLASTIFICADO) PARA FORMA DE CONCRETO, DE 2200 X 1100 MM, E = 10 MM</t>
        </is>
      </c>
      <c r="C64" s="22" t="inlineStr">
        <is>
          <t>SINAPI</t>
        </is>
      </c>
      <c r="D64" s="22" t="inlineStr">
        <is>
          <t>M2</t>
        </is>
      </c>
      <c r="E64" s="63" t="n">
        <v>0.386</v>
      </c>
      <c r="F64" s="64">
        <f>ROUND(M64*FATOR, 2)</f>
        <v/>
      </c>
      <c r="G64" s="64">
        <f>ROUND(ROUND(E64,8)*F64,2)</f>
        <v/>
      </c>
      <c r="L64" t="n">
        <v>0.386</v>
      </c>
      <c r="M64" t="n">
        <v>56.85</v>
      </c>
      <c r="N64">
        <f>(M64-F64)</f>
        <v/>
      </c>
    </row>
    <row r="65" ht="29" customHeight="1">
      <c r="A65" s="22" t="inlineStr">
        <is>
          <t>00001607</t>
        </is>
      </c>
      <c r="B65" s="23" t="inlineStr">
        <is>
          <t>CONJUNTO ARRUELAS DE VEDACAO 5/16" PARA TELHA FIBROCIMENTO (UMA ARRUELA METALICA E UMA ARRUELA PVC - CONICAS)</t>
        </is>
      </c>
      <c r="C65" s="22" t="inlineStr">
        <is>
          <t>SINAPI</t>
        </is>
      </c>
      <c r="D65" s="22" t="inlineStr">
        <is>
          <t>CJ</t>
        </is>
      </c>
      <c r="E65" s="63" t="n">
        <v>0.214</v>
      </c>
      <c r="F65" s="64">
        <f>ROUND(M65*FATOR, 2)</f>
        <v/>
      </c>
      <c r="G65" s="64">
        <f>ROUND(ROUND(E65,8)*F65,2)</f>
        <v/>
      </c>
      <c r="L65" t="n">
        <v>0.214</v>
      </c>
      <c r="M65" t="n">
        <v>0.21</v>
      </c>
      <c r="N65">
        <f>(M65-F65)</f>
        <v/>
      </c>
    </row>
    <row r="66" ht="21" customHeight="1">
      <c r="A66" s="22" t="inlineStr">
        <is>
          <t>00011891</t>
        </is>
      </c>
      <c r="B66" s="23" t="inlineStr">
        <is>
          <t>CORDAO DE COBRE, FLEXIVEL, TORCIDO, CLASSE 4 OU 5, ISOLACAO EM PVC/D, 300 V, 2 CONDUTORES DE 2,5 MM2</t>
        </is>
      </c>
      <c r="C66" s="22" t="inlineStr">
        <is>
          <t>SINAPI</t>
        </is>
      </c>
      <c r="D66" s="22" t="inlineStr">
        <is>
          <t>M</t>
        </is>
      </c>
      <c r="E66" s="63" t="n">
        <v>0.536</v>
      </c>
      <c r="F66" s="64">
        <f>ROUND(M66*FATOR, 2)</f>
        <v/>
      </c>
      <c r="G66" s="64">
        <f>ROUND(ROUND(E66,8)*F66,2)</f>
        <v/>
      </c>
      <c r="L66" t="n">
        <v>0.536</v>
      </c>
      <c r="M66" t="n">
        <v>5.89</v>
      </c>
      <c r="N66">
        <f>(M66-F66)</f>
        <v/>
      </c>
    </row>
    <row r="67" ht="21" customHeight="1">
      <c r="A67" s="22" t="inlineStr">
        <is>
          <t>00002370</t>
        </is>
      </c>
      <c r="B67" s="23" t="inlineStr">
        <is>
          <t>DISJUNTOR TIPO NEMA, MONOPOLAR 10 ATE 30A, TENSAO MAXIMA DE 240 V</t>
        </is>
      </c>
      <c r="C67" s="22" t="inlineStr">
        <is>
          <t>SINAPI</t>
        </is>
      </c>
      <c r="D67" s="22" t="inlineStr">
        <is>
          <t>UN</t>
        </is>
      </c>
      <c r="E67" s="63" t="n">
        <v>0.0057</v>
      </c>
      <c r="F67" s="64">
        <f>ROUND(M67*FATOR, 2)</f>
        <v/>
      </c>
      <c r="G67" s="64">
        <f>ROUND(ROUND(E67,8)*F67,2)</f>
        <v/>
      </c>
      <c r="L67" t="n">
        <v>0.0057</v>
      </c>
      <c r="M67" t="n">
        <v>12</v>
      </c>
      <c r="N67">
        <f>(M67-F67)</f>
        <v/>
      </c>
    </row>
    <row r="68" ht="29" customHeight="1">
      <c r="A68" s="22" t="inlineStr">
        <is>
          <t>00002432</t>
        </is>
      </c>
      <c r="B68" s="23" t="inlineStr">
        <is>
          <t>DOBRADICA EM ACO/FERRO, 3 1/2" X 3", E= 1,9 A 2 MM, COM ANEL, CROMADO OU ZINCADO, TAMPA BOLA, COM PARAFUSOS</t>
        </is>
      </c>
      <c r="C68" s="22" t="inlineStr">
        <is>
          <t>SINAPI</t>
        </is>
      </c>
      <c r="D68" s="22" t="inlineStr">
        <is>
          <t>UN</t>
        </is>
      </c>
      <c r="E68" s="63" t="n">
        <v>0.0346</v>
      </c>
      <c r="F68" s="64">
        <f>ROUND(M68*FATOR, 2)</f>
        <v/>
      </c>
      <c r="G68" s="64">
        <f>ROUND(ROUND(E68,8)*F68,2)</f>
        <v/>
      </c>
      <c r="L68" t="n">
        <v>0.0346</v>
      </c>
      <c r="M68" t="n">
        <v>29.64</v>
      </c>
      <c r="N68">
        <f>(M68-F68)</f>
        <v/>
      </c>
    </row>
    <row r="69" ht="29" customHeight="1">
      <c r="A69" s="22" t="inlineStr">
        <is>
          <t>00011467</t>
        </is>
      </c>
      <c r="B69" s="23" t="inlineStr">
        <is>
          <t>FECHADURA DE SOBREPOR TIPO CAIXAO, EM FERRO COM ACABAMENTO RESINADO, SEM MACANETA, SEM CILINDRO, INCLUINDO CHAVE TIPO SIMPLES</t>
        </is>
      </c>
      <c r="C69" s="22" t="inlineStr">
        <is>
          <t>SINAPI</t>
        </is>
      </c>
      <c r="D69" s="22" t="inlineStr">
        <is>
          <t>UN</t>
        </is>
      </c>
      <c r="E69" s="63" t="n">
        <v>0.0058</v>
      </c>
      <c r="F69" s="64">
        <f>ROUND(M69*FATOR, 2)</f>
        <v/>
      </c>
      <c r="G69" s="64">
        <f>ROUND(ROUND(E69,8)*F69,2)</f>
        <v/>
      </c>
      <c r="L69" t="n">
        <v>0.0058</v>
      </c>
      <c r="M69" t="n">
        <v>19.7</v>
      </c>
      <c r="N69">
        <f>(M69-F69)</f>
        <v/>
      </c>
    </row>
    <row r="70" ht="21" customHeight="1">
      <c r="A70" s="22" t="inlineStr">
        <is>
          <t>00021127</t>
        </is>
      </c>
      <c r="B70" s="23" t="inlineStr">
        <is>
          <t>FITA ISOLANTE ADESIVA ANTICHAMA, USO ATE 750 V, EM ROLO DE 19 MM X 5 M</t>
        </is>
      </c>
      <c r="C70" s="22" t="inlineStr">
        <is>
          <t>SINAPI</t>
        </is>
      </c>
      <c r="D70" s="22" t="inlineStr">
        <is>
          <t>UN</t>
        </is>
      </c>
      <c r="E70" s="63" t="n">
        <v>0.024</v>
      </c>
      <c r="F70" s="64">
        <f>ROUND(M70*FATOR, 2)</f>
        <v/>
      </c>
      <c r="G70" s="64">
        <f>ROUND(ROUND(E70,8)*F70,2)</f>
        <v/>
      </c>
      <c r="L70" t="n">
        <v>0.024</v>
      </c>
      <c r="M70" t="n">
        <v>3.78</v>
      </c>
      <c r="N70">
        <f>(M70-F70)</f>
        <v/>
      </c>
    </row>
    <row r="71" ht="21" customHeight="1">
      <c r="A71" s="22" t="inlineStr">
        <is>
          <t>00012128</t>
        </is>
      </c>
      <c r="B71" s="23" t="inlineStr">
        <is>
          <t>INTERRUPTOR SIMPLES 10A, 250V, CONJUNTO MONTADO PARA SOBREPOR 4" X 2" (CAIXA + MODULO)</t>
        </is>
      </c>
      <c r="C71" s="22" t="inlineStr">
        <is>
          <t>SINAPI</t>
        </is>
      </c>
      <c r="D71" s="22" t="inlineStr">
        <is>
          <t>UN</t>
        </is>
      </c>
      <c r="E71" s="63" t="n">
        <v>0.023</v>
      </c>
      <c r="F71" s="64">
        <f>ROUND(M71*FATOR, 2)</f>
        <v/>
      </c>
      <c r="G71" s="64">
        <f>ROUND(ROUND(E71,8)*F71,2)</f>
        <v/>
      </c>
      <c r="L71" t="n">
        <v>0.023</v>
      </c>
      <c r="M71" t="n">
        <v>9.34</v>
      </c>
      <c r="N71">
        <f>(M71-F71)</f>
        <v/>
      </c>
    </row>
    <row r="72" ht="21" customHeight="1">
      <c r="A72" s="22" t="inlineStr">
        <is>
          <t>00039389</t>
        </is>
      </c>
      <c r="B72" s="23" t="inlineStr">
        <is>
          <t>LUMINARIA LED REFLETOR RETANGULAR BIVOLT, LUZ BRANCA, 10 W</t>
        </is>
      </c>
      <c r="C72" s="22" t="inlineStr">
        <is>
          <t>SINAPI</t>
        </is>
      </c>
      <c r="D72" s="22" t="inlineStr">
        <is>
          <t>UN</t>
        </is>
      </c>
      <c r="E72" s="63" t="n">
        <v>0.0461</v>
      </c>
      <c r="F72" s="64">
        <f>ROUND(M72*FATOR, 2)</f>
        <v/>
      </c>
      <c r="G72" s="64">
        <f>ROUND(ROUND(E72,8)*F72,2)</f>
        <v/>
      </c>
      <c r="L72" t="n">
        <v>0.0461</v>
      </c>
      <c r="M72" t="n">
        <v>10.72</v>
      </c>
      <c r="N72">
        <f>(M72-F72)</f>
        <v/>
      </c>
    </row>
    <row r="73" ht="21" customHeight="1">
      <c r="A73" s="22" t="inlineStr">
        <is>
          <t>00011056</t>
        </is>
      </c>
      <c r="B73" s="23" t="inlineStr">
        <is>
          <t>PARAFUSO ROSCA SOBERBA ZINCADO CABECA CHATA FENDA SIMPLES 3,8 X 30 MM (1.1/4")</t>
        </is>
      </c>
      <c r="C73" s="22" t="inlineStr">
        <is>
          <t>SINAPI</t>
        </is>
      </c>
      <c r="D73" s="22" t="inlineStr">
        <is>
          <t>UN</t>
        </is>
      </c>
      <c r="E73" s="63" t="n">
        <v>1.28</v>
      </c>
      <c r="F73" s="64">
        <f>ROUND(M73*FATOR, 2)</f>
        <v/>
      </c>
      <c r="G73" s="64">
        <f>ROUND(ROUND(E73,8)*F73,2)</f>
        <v/>
      </c>
      <c r="L73" t="n">
        <v>1.28</v>
      </c>
      <c r="M73" t="n">
        <v>0.07000000000000001</v>
      </c>
      <c r="N73">
        <f>(M73-F73)</f>
        <v/>
      </c>
    </row>
    <row r="74" ht="21" customHeight="1">
      <c r="A74" s="22" t="inlineStr">
        <is>
          <t>00004491</t>
        </is>
      </c>
      <c r="B74" s="23" t="inlineStr">
        <is>
          <t>PONTALETE *7,5 X 7,5* CM EM PINUS, MISTA OU EQUIVALENTE DA REGIAO - BRUTA</t>
        </is>
      </c>
      <c r="C74" s="22" t="inlineStr">
        <is>
          <t>SINAPI</t>
        </is>
      </c>
      <c r="D74" s="22" t="inlineStr">
        <is>
          <t>M</t>
        </is>
      </c>
      <c r="E74" s="63" t="n">
        <v>0.9</v>
      </c>
      <c r="F74" s="64">
        <f>ROUND(M74*FATOR, 2)</f>
        <v/>
      </c>
      <c r="G74" s="64">
        <f>ROUND(ROUND(E74,8)*F74,2)</f>
        <v/>
      </c>
      <c r="L74" t="n">
        <v>0.9</v>
      </c>
      <c r="M74" t="n">
        <v>11.05</v>
      </c>
      <c r="N74">
        <f>(M74-F74)</f>
        <v/>
      </c>
    </row>
    <row r="75" ht="21" customHeight="1">
      <c r="A75" s="22" t="inlineStr">
        <is>
          <t>00005088</t>
        </is>
      </c>
      <c r="B75" s="23" t="inlineStr">
        <is>
          <t>PORTA CADEADO EM ACO GALVANIZADO, COMPRIMENTO DE 3 1/2"</t>
        </is>
      </c>
      <c r="C75" s="22" t="inlineStr">
        <is>
          <t>SINAPI</t>
        </is>
      </c>
      <c r="D75" s="22" t="inlineStr">
        <is>
          <t>UN</t>
        </is>
      </c>
      <c r="E75" s="63" t="n">
        <v>0.0058</v>
      </c>
      <c r="F75" s="64">
        <f>ROUND(M75*FATOR, 2)</f>
        <v/>
      </c>
      <c r="G75" s="64">
        <f>ROUND(ROUND(E75,8)*F75,2)</f>
        <v/>
      </c>
      <c r="L75" t="n">
        <v>0.0058</v>
      </c>
      <c r="M75" t="n">
        <v>7.03</v>
      </c>
      <c r="N75">
        <f>(M75-F75)</f>
        <v/>
      </c>
    </row>
    <row r="76" ht="38" customHeight="1">
      <c r="A76" s="22" t="inlineStr">
        <is>
          <t>00010555</t>
        </is>
      </c>
      <c r="B76" s="23" t="inlineStr">
        <is>
          <t>PORTA DE MADEIRA, FOLHA MEDIA (NBR 15930) DE 800 X 2100 MM, DE 35 MM A 40 MM DE ESPESSURA, NUCLEO SEMI-SOLIDO (SARRAFEADO), CAPA LISA EM HDF, ACABAMENTO EM PRIMER PARA PINTURA</t>
        </is>
      </c>
      <c r="C76" s="22" t="inlineStr">
        <is>
          <t>SINAPI</t>
        </is>
      </c>
      <c r="D76" s="22" t="inlineStr">
        <is>
          <t>UN</t>
        </is>
      </c>
      <c r="E76" s="63" t="n">
        <v>0.0115</v>
      </c>
      <c r="F76" s="64">
        <f>ROUND(M76*FATOR, 2)</f>
        <v/>
      </c>
      <c r="G76" s="64">
        <f>ROUND(ROUND(E76,8)*F76,2)</f>
        <v/>
      </c>
      <c r="L76" t="n">
        <v>0.0115</v>
      </c>
      <c r="M76" t="n">
        <v>269.44</v>
      </c>
      <c r="N76">
        <f>(M76-F76)</f>
        <v/>
      </c>
    </row>
    <row r="77" ht="15" customHeight="1">
      <c r="A77" s="22" t="inlineStr">
        <is>
          <t>00005075</t>
        </is>
      </c>
      <c r="B77" s="23" t="inlineStr">
        <is>
          <t>PREGO DE ACO POLIDO COM CABECA 18 X 30 (2 3/4 X 10)</t>
        </is>
      </c>
      <c r="C77" s="22" t="inlineStr">
        <is>
          <t>SINAPI</t>
        </is>
      </c>
      <c r="D77" s="22" t="inlineStr">
        <is>
          <t>KG</t>
        </is>
      </c>
      <c r="E77" s="63" t="n">
        <v>0.1</v>
      </c>
      <c r="F77" s="64">
        <f>ROUND(M77*FATOR, 2)</f>
        <v/>
      </c>
      <c r="G77" s="64">
        <f>ROUND(ROUND(E77,8)*F77,2)</f>
        <v/>
      </c>
      <c r="L77" t="n">
        <v>0.1</v>
      </c>
      <c r="M77" t="n">
        <v>14.19</v>
      </c>
      <c r="N77">
        <f>(M77-F77)</f>
        <v/>
      </c>
    </row>
    <row r="78" ht="21" customHeight="1">
      <c r="A78" s="22" t="inlineStr">
        <is>
          <t>00012296</t>
        </is>
      </c>
      <c r="B78" s="23" t="inlineStr">
        <is>
          <t>SOQUETE DE PORCELANA BASE E27, FIXO DE TETO, PARA LAMPADAS</t>
        </is>
      </c>
      <c r="C78" s="22" t="inlineStr">
        <is>
          <t>SINAPI</t>
        </is>
      </c>
      <c r="D78" s="22" t="inlineStr">
        <is>
          <t>UN</t>
        </is>
      </c>
      <c r="E78" s="63" t="n">
        <v>0.0461</v>
      </c>
      <c r="F78" s="64">
        <f>ROUND(M78*FATOR, 2)</f>
        <v/>
      </c>
      <c r="G78" s="64">
        <f>ROUND(ROUND(E78,8)*F78,2)</f>
        <v/>
      </c>
      <c r="L78" t="n">
        <v>0.0461</v>
      </c>
      <c r="M78" t="n">
        <v>2.98</v>
      </c>
      <c r="N78">
        <f>(M78-F78)</f>
        <v/>
      </c>
    </row>
    <row r="79" ht="21" customHeight="1">
      <c r="A79" s="22" t="inlineStr">
        <is>
          <t>00010567</t>
        </is>
      </c>
      <c r="B79" s="23" t="inlineStr">
        <is>
          <t>TABUA *2,5 X 23* CM EM PINUS, MISTA OU EQUIVALENTE DA REGIAO - BRUTA</t>
        </is>
      </c>
      <c r="C79" s="22" t="inlineStr">
        <is>
          <t>SINAPI</t>
        </is>
      </c>
      <c r="D79" s="22" t="inlineStr">
        <is>
          <t>M</t>
        </is>
      </c>
      <c r="E79" s="63" t="n">
        <v>0.25</v>
      </c>
      <c r="F79" s="64">
        <f>ROUND(M79*FATOR, 2)</f>
        <v/>
      </c>
      <c r="G79" s="64">
        <f>ROUND(ROUND(E79,8)*F79,2)</f>
        <v/>
      </c>
      <c r="L79" t="n">
        <v>0.25</v>
      </c>
      <c r="M79" t="n">
        <v>12.49</v>
      </c>
      <c r="N79">
        <f>(M79-F79)</f>
        <v/>
      </c>
    </row>
    <row r="80" ht="21" customHeight="1">
      <c r="A80" s="22" t="inlineStr">
        <is>
          <t>00007194</t>
        </is>
      </c>
      <c r="B80" s="23" t="inlineStr">
        <is>
          <t>TELHA DE FIBROCIMENTO ONDULADA E = 6 MM, DE 2,44 X 1,10 M (SEM AMIANTO)</t>
        </is>
      </c>
      <c r="C80" s="22" t="inlineStr">
        <is>
          <t>SINAPI</t>
        </is>
      </c>
      <c r="D80" s="22" t="inlineStr">
        <is>
          <t>M2</t>
        </is>
      </c>
      <c r="E80" s="63" t="n">
        <v>0.318</v>
      </c>
      <c r="F80" s="64">
        <f>ROUND(M80*FATOR, 2)</f>
        <v/>
      </c>
      <c r="G80" s="64">
        <f>ROUND(ROUND(E80,8)*F80,2)</f>
        <v/>
      </c>
      <c r="L80" t="n">
        <v>0.318</v>
      </c>
      <c r="M80" t="n">
        <v>42.37</v>
      </c>
      <c r="N80">
        <f>(M80-F80)</f>
        <v/>
      </c>
    </row>
    <row r="81" ht="21" customHeight="1">
      <c r="A81" s="22" t="inlineStr">
        <is>
          <t>00012147</t>
        </is>
      </c>
      <c r="B81" s="23" t="inlineStr">
        <is>
          <t>TOMADA 2P+T 10A, 250V, CONJUNTO MONTADO PARA SOBREPOR 4" X 2" (CAIXA + MODULO)</t>
        </is>
      </c>
      <c r="C81" s="22" t="inlineStr">
        <is>
          <t>SINAPI</t>
        </is>
      </c>
      <c r="D81" s="22" t="inlineStr">
        <is>
          <t>UN</t>
        </is>
      </c>
      <c r="E81" s="63" t="n">
        <v>0.022</v>
      </c>
      <c r="F81" s="64">
        <f>ROUND(M81*FATOR, 2)</f>
        <v/>
      </c>
      <c r="G81" s="64">
        <f>ROUND(ROUND(E81,8)*F81,2)</f>
        <v/>
      </c>
      <c r="L81" t="n">
        <v>0.022</v>
      </c>
      <c r="M81" t="n">
        <v>13.87</v>
      </c>
      <c r="N81">
        <f>(M81-F81)</f>
        <v/>
      </c>
    </row>
    <row r="82" ht="15" customHeight="1">
      <c r="A82" s="22" t="inlineStr">
        <is>
          <t>00010490</t>
        </is>
      </c>
      <c r="B82" s="23" t="inlineStr">
        <is>
          <t>VIDRO LISO INCOLOR 2 A 3 MM - SEM COLOCACAO</t>
        </is>
      </c>
      <c r="C82" s="22" t="inlineStr">
        <is>
          <t>SINAPI</t>
        </is>
      </c>
      <c r="D82" s="22" t="inlineStr">
        <is>
          <t>M2</t>
        </is>
      </c>
      <c r="E82" s="63" t="n">
        <v>0.023</v>
      </c>
      <c r="F82" s="64">
        <f>ROUND(M82*FATOR, 2)</f>
        <v/>
      </c>
      <c r="G82" s="64">
        <f>ROUND(ROUND(E82,8)*F82,2)</f>
        <v/>
      </c>
      <c r="L82" t="n">
        <v>0.023</v>
      </c>
      <c r="M82" t="n">
        <v>157.5</v>
      </c>
      <c r="N82">
        <f>(M82-F82)</f>
        <v/>
      </c>
    </row>
    <row r="83" ht="21" customHeight="1">
      <c r="A83" s="22" t="inlineStr">
        <is>
          <t>00004448</t>
        </is>
      </c>
      <c r="B83" s="23" t="inlineStr">
        <is>
          <t>VIGA *7,5 X 15 CM EM PINUS, MISTA OU EQUIVALENTE DA REGIAO - BRUTA</t>
        </is>
      </c>
      <c r="C83" s="22" t="inlineStr">
        <is>
          <t>SINAPI</t>
        </is>
      </c>
      <c r="D83" s="22" t="inlineStr">
        <is>
          <t>M</t>
        </is>
      </c>
      <c r="E83" s="63" t="n">
        <v>0.7</v>
      </c>
      <c r="F83" s="64">
        <f>ROUND(M83*FATOR, 2)</f>
        <v/>
      </c>
      <c r="G83" s="64">
        <f>ROUND(ROUND(E83,8)*F83,2)</f>
        <v/>
      </c>
      <c r="L83" t="n">
        <v>0.7</v>
      </c>
      <c r="M83" t="n">
        <v>29.27</v>
      </c>
      <c r="N83">
        <f>(M83-F83)</f>
        <v/>
      </c>
    </row>
    <row r="84" ht="15" customHeight="1">
      <c r="A84" s="2" t="inlineStr"/>
      <c r="B84" s="2" t="inlineStr"/>
      <c r="C84" s="2" t="inlineStr"/>
      <c r="D84" s="2" t="inlineStr"/>
      <c r="E84" s="26" t="inlineStr">
        <is>
          <t>TOTAL Material:</t>
        </is>
      </c>
      <c r="F84" s="56" t="n"/>
      <c r="G84" s="65">
        <f>SUM(G62:G83)</f>
        <v/>
      </c>
    </row>
    <row r="85" ht="15" customHeight="1">
      <c r="A85" s="20" t="inlineStr">
        <is>
          <t>Mão de Obra com Encargos Complementares</t>
        </is>
      </c>
      <c r="B85" s="56" t="n"/>
      <c r="C85" s="21" t="inlineStr">
        <is>
          <t>FONTE</t>
        </is>
      </c>
      <c r="D85" s="21" t="inlineStr">
        <is>
          <t>UNID</t>
        </is>
      </c>
      <c r="E85" s="21" t="inlineStr">
        <is>
          <t>COEFICIENTE</t>
        </is>
      </c>
      <c r="F85" s="21" t="inlineStr">
        <is>
          <t>PREÇO UNITÁRIO</t>
        </is>
      </c>
      <c r="G85" s="21" t="inlineStr">
        <is>
          <t>TOTAL</t>
        </is>
      </c>
    </row>
    <row r="86" ht="21" customHeight="1">
      <c r="A86" s="22" t="inlineStr">
        <is>
          <t>88251</t>
        </is>
      </c>
      <c r="B86" s="23" t="inlineStr">
        <is>
          <t>AUXILIAR DE SERRALHEIRO COM ENCARGOS COMPLEMENTARES</t>
        </is>
      </c>
      <c r="C86" s="22" t="inlineStr">
        <is>
          <t>SINAPI</t>
        </is>
      </c>
      <c r="D86" s="22" t="inlineStr">
        <is>
          <t>H</t>
        </is>
      </c>
      <c r="E86" s="63">
        <f>L86*FATOR</f>
        <v/>
      </c>
      <c r="F86" s="64">
        <f>'COMPOSICOES AUXILIARES'!G543</f>
        <v/>
      </c>
      <c r="G86" s="64">
        <f>ROUND(ROUND(E86,8)*F86,2)</f>
        <v/>
      </c>
      <c r="L86" t="n">
        <v>0.07000000000000001</v>
      </c>
      <c r="M86" t="n">
        <v>24.77</v>
      </c>
      <c r="N86">
        <f>(M86-F86)</f>
        <v/>
      </c>
    </row>
    <row r="87" ht="21" customHeight="1">
      <c r="A87" s="22" t="inlineStr">
        <is>
          <t>88261</t>
        </is>
      </c>
      <c r="B87" s="23" t="inlineStr">
        <is>
          <t>CARPINTEIRO DE ESQUADRIAS COM ENCARGOS COMPLEMENTARES</t>
        </is>
      </c>
      <c r="C87" s="22" t="inlineStr">
        <is>
          <t>SINAPI</t>
        </is>
      </c>
      <c r="D87" s="22" t="inlineStr">
        <is>
          <t>H</t>
        </is>
      </c>
      <c r="E87" s="63">
        <f>L87*FATOR</f>
        <v/>
      </c>
      <c r="F87" s="64">
        <f>'COMPOSICOES AUXILIARES'!G924</f>
        <v/>
      </c>
      <c r="G87" s="64">
        <f>ROUND(ROUND(E87,8)*F87,2)</f>
        <v/>
      </c>
      <c r="L87" t="n">
        <v>6.34</v>
      </c>
      <c r="M87" t="n">
        <v>29.16</v>
      </c>
      <c r="N87">
        <f>(M87-F87)</f>
        <v/>
      </c>
    </row>
    <row r="88" ht="15" customHeight="1">
      <c r="A88" s="22" t="inlineStr">
        <is>
          <t>88264</t>
        </is>
      </c>
      <c r="B88" s="23" t="inlineStr">
        <is>
          <t>ELETRICISTA COM ENCARGOS COMPLEMENTARES</t>
        </is>
      </c>
      <c r="C88" s="22" t="inlineStr">
        <is>
          <t>SINAPI</t>
        </is>
      </c>
      <c r="D88" s="22" t="inlineStr">
        <is>
          <t>H</t>
        </is>
      </c>
      <c r="E88" s="63">
        <f>L88*FATOR</f>
        <v/>
      </c>
      <c r="F88" s="64">
        <f>'COMPOSICOES AUXILIARES'!G505</f>
        <v/>
      </c>
      <c r="G88" s="64">
        <f>ROUND(ROUND(E88,8)*F88,2)</f>
        <v/>
      </c>
      <c r="L88" t="n">
        <v>0.3</v>
      </c>
      <c r="M88" t="n">
        <v>30.96</v>
      </c>
      <c r="N88">
        <f>(M88-F88)</f>
        <v/>
      </c>
    </row>
    <row r="89" ht="15" customHeight="1">
      <c r="A89" s="22" t="inlineStr">
        <is>
          <t>88315</t>
        </is>
      </c>
      <c r="B89" s="23" t="inlineStr">
        <is>
          <t>SERRALHEIRO COM ENCARGOS COMPLEMENTARES</t>
        </is>
      </c>
      <c r="C89" s="22" t="inlineStr">
        <is>
          <t>SINAPI</t>
        </is>
      </c>
      <c r="D89" s="22" t="inlineStr">
        <is>
          <t>H</t>
        </is>
      </c>
      <c r="E89" s="63">
        <f>L89*FATOR</f>
        <v/>
      </c>
      <c r="F89" s="64">
        <f>'COMPOSICOES AUXILIARES'!G543</f>
        <v/>
      </c>
      <c r="G89" s="64">
        <f>ROUND(ROUND(E89,8)*F89,2)</f>
        <v/>
      </c>
      <c r="L89" t="n">
        <v>0.07000000000000001</v>
      </c>
      <c r="M89" t="n">
        <v>30.37</v>
      </c>
      <c r="N89">
        <f>(M89-F89)</f>
        <v/>
      </c>
    </row>
    <row r="90" ht="15" customHeight="1">
      <c r="A90" s="22" t="inlineStr">
        <is>
          <t>88316</t>
        </is>
      </c>
      <c r="B90" s="23" t="inlineStr">
        <is>
          <t>SERVENTE COM ENCARGOS COMPLEMENTARES</t>
        </is>
      </c>
      <c r="C90" s="22" t="inlineStr">
        <is>
          <t>SINAPI</t>
        </is>
      </c>
      <c r="D90" s="22" t="inlineStr">
        <is>
          <t>H</t>
        </is>
      </c>
      <c r="E90" s="63">
        <f>L90*FATOR</f>
        <v/>
      </c>
      <c r="F90" s="64">
        <f>'COMPOSICOES AUXILIARES'!G3390</f>
        <v/>
      </c>
      <c r="G90" s="64">
        <f>ROUND(ROUND(E90,8)*F90,2)</f>
        <v/>
      </c>
      <c r="L90" t="n">
        <v>7.03</v>
      </c>
      <c r="M90" t="n">
        <v>23.56</v>
      </c>
      <c r="N90">
        <f>(M90-F90)</f>
        <v/>
      </c>
    </row>
    <row r="91" ht="18" customHeight="1">
      <c r="A91" s="2" t="inlineStr"/>
      <c r="B91" s="2" t="inlineStr"/>
      <c r="C91" s="2" t="inlineStr"/>
      <c r="D91" s="2" t="inlineStr"/>
      <c r="E91" s="26" t="inlineStr">
        <is>
          <t>TOTAL Mão de Obra com Encargos Complementares:</t>
        </is>
      </c>
      <c r="F91" s="56" t="n"/>
      <c r="G91" s="65">
        <f>SUM(G86:G90)</f>
        <v/>
      </c>
    </row>
    <row r="92" ht="15" customHeight="1">
      <c r="A92" s="20" t="inlineStr">
        <is>
          <t>Serviço</t>
        </is>
      </c>
      <c r="B92" s="56" t="n"/>
      <c r="C92" s="21" t="inlineStr">
        <is>
          <t>FONTE</t>
        </is>
      </c>
      <c r="D92" s="21" t="inlineStr">
        <is>
          <t>UNID</t>
        </is>
      </c>
      <c r="E92" s="21" t="inlineStr">
        <is>
          <t>COEFICIENTE</t>
        </is>
      </c>
      <c r="F92" s="21" t="inlineStr">
        <is>
          <t>PREÇO UNITÁRIO</t>
        </is>
      </c>
      <c r="G92" s="21" t="inlineStr">
        <is>
          <t>TOTAL</t>
        </is>
      </c>
    </row>
    <row r="93" ht="29" customHeight="1">
      <c r="A93" s="22" t="inlineStr">
        <is>
          <t>94969</t>
        </is>
      </c>
      <c r="B93" s="23" t="inlineStr">
        <is>
          <t>CONCRETO FCK = 15MPA, TRAÇO 1:3,4:3,5 (EM MASSA SECA DE CIMENTO/ AREIA MÉDIA/ BRITA 1) - PREPARO MECÂNICO COM BETONEIRA 600 L. AF_05/2021</t>
        </is>
      </c>
      <c r="C93" s="22" t="inlineStr">
        <is>
          <t>SINAPI</t>
        </is>
      </c>
      <c r="D93" s="22" t="inlineStr">
        <is>
          <t>M3</t>
        </is>
      </c>
      <c r="E93" s="63" t="n">
        <v>0.015</v>
      </c>
      <c r="F93" s="64">
        <f>'COMPOSICOES AUXILIARES'!G1160</f>
        <v/>
      </c>
      <c r="G93" s="64">
        <f>ROUND(ROUND(E93,8)*F93,2)</f>
        <v/>
      </c>
      <c r="L93" t="n">
        <v>0.015</v>
      </c>
      <c r="M93" t="n">
        <v>462.58</v>
      </c>
      <c r="N93">
        <f>(M93-F93)</f>
        <v/>
      </c>
    </row>
    <row r="94" ht="21" customHeight="1">
      <c r="A94" s="22" t="inlineStr">
        <is>
          <t>103670</t>
        </is>
      </c>
      <c r="B94" s="23" t="inlineStr">
        <is>
          <t>LANÇAMENTO COM USO DE BALDES, ADENSAMENTO E ACABAMENTO DE CONCRETO EM ESTRUTURAS. AF_02/2022</t>
        </is>
      </c>
      <c r="C94" s="22" t="inlineStr">
        <is>
          <t>SINAPI</t>
        </is>
      </c>
      <c r="D94" s="22" t="inlineStr">
        <is>
          <t>M3</t>
        </is>
      </c>
      <c r="E94" s="63" t="n">
        <v>0.015</v>
      </c>
      <c r="F94" s="64">
        <f>'COMPOSICOES AUXILIARES'!G2374</f>
        <v/>
      </c>
      <c r="G94" s="64">
        <f>ROUND(ROUND(E94,8)*F94,2)</f>
        <v/>
      </c>
      <c r="L94" t="n">
        <v>0.015</v>
      </c>
      <c r="M94" t="n">
        <v>325.41</v>
      </c>
      <c r="N94">
        <f>(M94-F94)</f>
        <v/>
      </c>
    </row>
    <row r="95" ht="29" customHeight="1">
      <c r="A95" s="22" t="inlineStr">
        <is>
          <t>98679</t>
        </is>
      </c>
      <c r="B95" s="23" t="inlineStr">
        <is>
          <t>PISO CIMENTADO, TRAÇO 1:3 (CIMENTO E AREIA), ACABAMENTO LISO, ESPESSURA 2,0 CM, PREPARO MECÂNICO DA ARGAMASSA. AF_09/2020</t>
        </is>
      </c>
      <c r="C95" s="22" t="inlineStr">
        <is>
          <t>SINAPI</t>
        </is>
      </c>
      <c r="D95" s="22" t="inlineStr">
        <is>
          <t>M2</t>
        </is>
      </c>
      <c r="E95" s="63" t="n">
        <v>1</v>
      </c>
      <c r="F95" s="64">
        <f>'COMPOSICOES AUXILIARES'!G3099</f>
        <v/>
      </c>
      <c r="G95" s="64">
        <f>ROUND(ROUND(E95,8)*F95,2)</f>
        <v/>
      </c>
      <c r="L95" t="n">
        <v>1</v>
      </c>
      <c r="M95" t="n">
        <v>40.05</v>
      </c>
      <c r="N95">
        <f>(M95-F95)</f>
        <v/>
      </c>
    </row>
    <row r="96" ht="15" customHeight="1">
      <c r="A96" s="2" t="inlineStr"/>
      <c r="B96" s="2" t="inlineStr"/>
      <c r="C96" s="2" t="inlineStr"/>
      <c r="D96" s="2" t="inlineStr"/>
      <c r="E96" s="26" t="inlineStr">
        <is>
          <t>TOTAL Serviço:</t>
        </is>
      </c>
      <c r="F96" s="56" t="n"/>
      <c r="G96" s="65">
        <f>SUM(G93:G95)</f>
        <v/>
      </c>
    </row>
    <row r="97" ht="15" customHeight="1">
      <c r="A97" s="2" t="inlineStr"/>
      <c r="B97" s="2" t="inlineStr"/>
      <c r="C97" s="2" t="inlineStr"/>
      <c r="D97" s="2" t="inlineStr"/>
      <c r="E97" s="28" t="inlineStr">
        <is>
          <t>VALOR:</t>
        </is>
      </c>
      <c r="F97" s="56" t="n"/>
      <c r="G97" s="66">
        <f>SUM(G96,G91,G84)</f>
        <v/>
      </c>
    </row>
    <row r="98" ht="15" customHeight="1">
      <c r="A98" s="2" t="inlineStr"/>
      <c r="B98" s="2" t="inlineStr"/>
      <c r="C98" s="2" t="inlineStr"/>
      <c r="D98" s="2" t="inlineStr"/>
      <c r="E98" s="28" t="inlineStr">
        <is>
          <t>VALOR BDI (23.08%):</t>
        </is>
      </c>
      <c r="F98" s="56" t="n"/>
      <c r="G98" s="66">
        <f>ROUNDDOWN(G97*BDI,2)</f>
        <v/>
      </c>
    </row>
    <row r="99" ht="15" customHeight="1">
      <c r="A99" s="2" t="inlineStr"/>
      <c r="B99" s="2" t="inlineStr"/>
      <c r="C99" s="2" t="inlineStr"/>
      <c r="D99" s="2" t="inlineStr"/>
      <c r="E99" s="28" t="inlineStr">
        <is>
          <t>VALOR COM BDI:</t>
        </is>
      </c>
      <c r="F99" s="56" t="n"/>
      <c r="G99" s="66">
        <f>G98 + G97</f>
        <v/>
      </c>
    </row>
    <row r="100" ht="10" customHeight="1">
      <c r="A100" s="2" t="inlineStr"/>
      <c r="B100" s="2" t="inlineStr"/>
      <c r="C100" s="2" t="inlineStr"/>
      <c r="D100" s="2" t="inlineStr"/>
      <c r="E100" s="18" t="inlineStr"/>
    </row>
    <row r="101" ht="20" customHeight="1">
      <c r="A101" s="19" t="inlineStr">
        <is>
          <t>2.1.2.2. ​00010777​ LOCACAO DE CONTAINER 2,30 X 4,30 M, ALT. 2,50 M, PARA SANITARIO, COM 3 BACIAS, 4 CHUVEIROS, 1 LAVATORIO E 1 MICTORIO (NÃO INCLUIMOBILIZACAO/DESMOBILIZACAO)​ (MES)</t>
        </is>
      </c>
      <c r="B101" s="55" t="n"/>
      <c r="C101" s="55" t="n"/>
      <c r="D101" s="55" t="n"/>
      <c r="E101" s="55" t="n"/>
      <c r="F101" s="55" t="n"/>
      <c r="G101" s="56" t="n"/>
    </row>
    <row r="102" ht="15" customHeight="1">
      <c r="A102" s="20" t="inlineStr">
        <is>
          <t>Equipamento</t>
        </is>
      </c>
      <c r="B102" s="56" t="n"/>
      <c r="C102" s="21" t="inlineStr">
        <is>
          <t>FONTE</t>
        </is>
      </c>
      <c r="D102" s="21" t="inlineStr">
        <is>
          <t>UNID</t>
        </is>
      </c>
      <c r="E102" s="21" t="inlineStr">
        <is>
          <t>COEFICIENTE</t>
        </is>
      </c>
      <c r="F102" s="21" t="inlineStr">
        <is>
          <t>PREÇO UNITÁRIO</t>
        </is>
      </c>
      <c r="G102" s="21" t="inlineStr">
        <is>
          <t>TOTAL</t>
        </is>
      </c>
    </row>
    <row r="103" ht="38" customHeight="1">
      <c r="A103" s="22" t="inlineStr">
        <is>
          <t>00010777</t>
        </is>
      </c>
      <c r="B103" s="23" t="inlineStr">
        <is>
          <t>LOCACAO DE CONTAINER 2,30 X 4,30 M, ALT. 2,50 M, PARA SANITARIO, COM 3 BACIAS, 4 CHUVEIROS, 1 LAVATORIO E 1 MICTORIO (NAO INCLUI MOBILIZACAO/DESMOBILIZACAO)</t>
        </is>
      </c>
      <c r="C103" s="22" t="inlineStr">
        <is>
          <t>SINAPI</t>
        </is>
      </c>
      <c r="D103" s="22" t="inlineStr">
        <is>
          <t>MES</t>
        </is>
      </c>
      <c r="E103" s="63" t="n">
        <v>1</v>
      </c>
      <c r="F103" s="64">
        <f>ROUND(M103*FATOR, 2)</f>
        <v/>
      </c>
      <c r="G103" s="64">
        <f>TRUNC(TRUNC(E103,8)*F103,2)</f>
        <v/>
      </c>
      <c r="L103" t="n">
        <v>1</v>
      </c>
      <c r="M103" t="n">
        <v>1674.73</v>
      </c>
      <c r="N103">
        <f>(M103-F103)</f>
        <v/>
      </c>
    </row>
    <row r="104" ht="15" customHeight="1">
      <c r="A104" s="2" t="inlineStr"/>
      <c r="B104" s="2" t="inlineStr"/>
      <c r="C104" s="2" t="inlineStr"/>
      <c r="D104" s="2" t="inlineStr"/>
      <c r="E104" s="26" t="inlineStr">
        <is>
          <t>TOTAL Equipamento:</t>
        </is>
      </c>
      <c r="F104" s="56" t="n"/>
      <c r="G104" s="65">
        <f>SUM(G103:G103)</f>
        <v/>
      </c>
    </row>
    <row r="105" ht="15" customHeight="1">
      <c r="A105" s="2" t="inlineStr"/>
      <c r="B105" s="2" t="inlineStr"/>
      <c r="C105" s="2" t="inlineStr"/>
      <c r="D105" s="2" t="inlineStr"/>
      <c r="E105" s="28" t="inlineStr">
        <is>
          <t>VALOR:</t>
        </is>
      </c>
      <c r="F105" s="56" t="n"/>
      <c r="G105" s="66">
        <f>SUM(G104)</f>
        <v/>
      </c>
    </row>
    <row r="106" ht="15" customHeight="1">
      <c r="A106" s="2" t="inlineStr"/>
      <c r="B106" s="2" t="inlineStr"/>
      <c r="C106" s="2" t="inlineStr"/>
      <c r="D106" s="2" t="inlineStr"/>
      <c r="E106" s="28" t="inlineStr">
        <is>
          <t>VALOR BDI (23.08%):</t>
        </is>
      </c>
      <c r="F106" s="56" t="n"/>
      <c r="G106" s="66">
        <f>ROUNDDOWN(G105*BDI,2)</f>
        <v/>
      </c>
    </row>
    <row r="107" ht="15" customHeight="1">
      <c r="A107" s="2" t="inlineStr"/>
      <c r="B107" s="2" t="inlineStr"/>
      <c r="C107" s="2" t="inlineStr"/>
      <c r="D107" s="2" t="inlineStr"/>
      <c r="E107" s="28" t="inlineStr">
        <is>
          <t>VALOR COM BDI:</t>
        </is>
      </c>
      <c r="F107" s="56" t="n"/>
      <c r="G107" s="66">
        <f>G106 + G105</f>
        <v/>
      </c>
    </row>
    <row r="108" ht="10" customHeight="1">
      <c r="A108" s="2" t="inlineStr"/>
      <c r="B108" s="2" t="inlineStr"/>
      <c r="C108" s="2" t="inlineStr"/>
      <c r="D108" s="2" t="inlineStr"/>
      <c r="E108" s="18" t="inlineStr"/>
    </row>
    <row r="109" ht="20" customHeight="1">
      <c r="A109" s="19" t="inlineStr">
        <is>
          <t>2.1.2.3. ​00010775​ LOCACAO DE CONTAINER 2,30 X 6,00 M, ALT. 2,50 M, COM 1 SANITARIO, PARA ESCRITORIO, COMPLETO, SEM DIVISORIAS INTERNAS (NAO INCLUIMOBILIZACAO/DESMOBILIZACAO)​ (MES)</t>
        </is>
      </c>
      <c r="B109" s="55" t="n"/>
      <c r="C109" s="55" t="n"/>
      <c r="D109" s="55" t="n"/>
      <c r="E109" s="55" t="n"/>
      <c r="F109" s="55" t="n"/>
      <c r="G109" s="56" t="n"/>
    </row>
    <row r="110" ht="15" customHeight="1">
      <c r="A110" s="20" t="inlineStr">
        <is>
          <t>Equipamento</t>
        </is>
      </c>
      <c r="B110" s="56" t="n"/>
      <c r="C110" s="21" t="inlineStr">
        <is>
          <t>FONTE</t>
        </is>
      </c>
      <c r="D110" s="21" t="inlineStr">
        <is>
          <t>UNID</t>
        </is>
      </c>
      <c r="E110" s="21" t="inlineStr">
        <is>
          <t>COEFICIENTE</t>
        </is>
      </c>
      <c r="F110" s="21" t="inlineStr">
        <is>
          <t>PREÇO UNITÁRIO</t>
        </is>
      </c>
      <c r="G110" s="21" t="inlineStr">
        <is>
          <t>TOTAL</t>
        </is>
      </c>
    </row>
    <row r="111" ht="38" customHeight="1">
      <c r="A111" s="22" t="inlineStr">
        <is>
          <t>00010775</t>
        </is>
      </c>
      <c r="B111" s="23" t="inlineStr">
        <is>
          <t>LOCACAO DE CONTAINER 2,30 X 6,00 M, ALT. 2,50 M, COM 1 SANITARIO, PARA ESCRITORIO, COMPLETO, SEM DIVISORIAS INTERNAS (NAO INCLUI MOBILIZACAO/DESMOBILIZACAO)</t>
        </is>
      </c>
      <c r="C111" s="22" t="inlineStr">
        <is>
          <t>SINAPI</t>
        </is>
      </c>
      <c r="D111" s="22" t="inlineStr">
        <is>
          <t>MES</t>
        </is>
      </c>
      <c r="E111" s="63" t="n">
        <v>1</v>
      </c>
      <c r="F111" s="64">
        <f>ROUND(M111*FATOR, 2)</f>
        <v/>
      </c>
      <c r="G111" s="64">
        <f>TRUNC(TRUNC(E111,8)*F111,2)</f>
        <v/>
      </c>
      <c r="L111" t="n">
        <v>1</v>
      </c>
      <c r="M111" t="n">
        <v>1475</v>
      </c>
      <c r="N111">
        <f>(M111-F111)</f>
        <v/>
      </c>
    </row>
    <row r="112" ht="15" customHeight="1">
      <c r="A112" s="2" t="inlineStr"/>
      <c r="B112" s="2" t="inlineStr"/>
      <c r="C112" s="2" t="inlineStr"/>
      <c r="D112" s="2" t="inlineStr"/>
      <c r="E112" s="26" t="inlineStr">
        <is>
          <t>TOTAL Equipamento:</t>
        </is>
      </c>
      <c r="F112" s="56" t="n"/>
      <c r="G112" s="65">
        <f>SUM(G111:G111)</f>
        <v/>
      </c>
    </row>
    <row r="113" ht="15" customHeight="1">
      <c r="A113" s="2" t="inlineStr"/>
      <c r="B113" s="2" t="inlineStr"/>
      <c r="C113" s="2" t="inlineStr"/>
      <c r="D113" s="2" t="inlineStr"/>
      <c r="E113" s="28" t="inlineStr">
        <is>
          <t>VALOR:</t>
        </is>
      </c>
      <c r="F113" s="56" t="n"/>
      <c r="G113" s="66">
        <f>SUM(G112)</f>
        <v/>
      </c>
    </row>
    <row r="114" ht="15" customHeight="1">
      <c r="A114" s="2" t="inlineStr"/>
      <c r="B114" s="2" t="inlineStr"/>
      <c r="C114" s="2" t="inlineStr"/>
      <c r="D114" s="2" t="inlineStr"/>
      <c r="E114" s="28" t="inlineStr">
        <is>
          <t>VALOR BDI (23.08%):</t>
        </is>
      </c>
      <c r="F114" s="56" t="n"/>
      <c r="G114" s="66">
        <f>ROUNDDOWN(G113*BDI,2)</f>
        <v/>
      </c>
    </row>
    <row r="115" ht="15" customHeight="1">
      <c r="A115" s="2" t="inlineStr"/>
      <c r="B115" s="2" t="inlineStr"/>
      <c r="C115" s="2" t="inlineStr"/>
      <c r="D115" s="2" t="inlineStr"/>
      <c r="E115" s="28" t="inlineStr">
        <is>
          <t>VALOR COM BDI:</t>
        </is>
      </c>
      <c r="F115" s="56" t="n"/>
      <c r="G115" s="66">
        <f>G114 + G113</f>
        <v/>
      </c>
    </row>
    <row r="116" ht="10" customHeight="1">
      <c r="A116" s="2" t="inlineStr"/>
      <c r="B116" s="2" t="inlineStr"/>
      <c r="C116" s="2" t="inlineStr"/>
      <c r="D116" s="2" t="inlineStr"/>
      <c r="E116" s="18" t="inlineStr"/>
    </row>
    <row r="117" ht="20" customHeight="1">
      <c r="A117" s="19" t="inlineStr">
        <is>
          <t>2.1.2.4. ​476​ FRETE (CARGA, MANOBRA, DESCARGA E TRANSPORTE) DE CONTAINER EM CAMINHÃO CARROCERIA COM MUCK - TRAJETO MÁXIMO ATÉ 30KM​ (UN)</t>
        </is>
      </c>
      <c r="B117" s="55" t="n"/>
      <c r="C117" s="55" t="n"/>
      <c r="D117" s="55" t="n"/>
      <c r="E117" s="55" t="n"/>
      <c r="F117" s="55" t="n"/>
      <c r="G117" s="56" t="n"/>
    </row>
    <row r="118" ht="15" customHeight="1">
      <c r="A118" s="20" t="inlineStr">
        <is>
          <t>Equipamento Custo Horário</t>
        </is>
      </c>
      <c r="B118" s="56" t="n"/>
      <c r="C118" s="21" t="inlineStr">
        <is>
          <t>FONTE</t>
        </is>
      </c>
      <c r="D118" s="21" t="inlineStr">
        <is>
          <t>UNID</t>
        </is>
      </c>
      <c r="E118" s="21" t="inlineStr">
        <is>
          <t>COEFICIENTE</t>
        </is>
      </c>
      <c r="F118" s="21" t="inlineStr">
        <is>
          <t>PREÇO UNITÁRIO</t>
        </is>
      </c>
      <c r="G118" s="21" t="inlineStr">
        <is>
          <t>TOTAL</t>
        </is>
      </c>
    </row>
    <row r="119" ht="46" customHeight="1">
      <c r="A119" s="22" t="inlineStr">
        <is>
          <t>5930</t>
        </is>
      </c>
      <c r="B119" s="23" t="inlineStr">
        <is>
          <t>GUINDAUTO HIDRÁULICO, CAPACIDADE MÁXIMA DE CARGA 6200 KG, MOMENTO MÁXIMO DE CARGA 11,7 TM, ALCANCE MÁXIMO HORIZONTAL 9,70 M, INCLUSIVE CAMINHÃO TOCO PBT 16.000 KG, POTÊNCIA DE 189 CV - CHI DIURNO. AF_06/2014</t>
        </is>
      </c>
      <c r="C119" s="22" t="inlineStr">
        <is>
          <t>SINAPI</t>
        </is>
      </c>
      <c r="D119" s="22" t="inlineStr">
        <is>
          <t>CHI</t>
        </is>
      </c>
      <c r="E119" s="63" t="n">
        <v>0.0931</v>
      </c>
      <c r="F119" s="64">
        <f>'COMPOSICOES AUXILIARES'!G2199</f>
        <v/>
      </c>
      <c r="G119" s="64">
        <f>ROUND(ROUND(E119,8)*F119,2)</f>
        <v/>
      </c>
      <c r="L119" t="n">
        <v>0.0931</v>
      </c>
      <c r="M119" t="n">
        <v>79.83</v>
      </c>
      <c r="N119">
        <f>(M119-F119)</f>
        <v/>
      </c>
    </row>
    <row r="120" ht="46" customHeight="1">
      <c r="A120" s="22" t="inlineStr">
        <is>
          <t>5928</t>
        </is>
      </c>
      <c r="B120" s="23" t="inlineStr">
        <is>
          <t>GUINDAUTO HIDRÁULICO, CAPACIDADE MÁXIMA DE CARGA 6200 KG, MOMENTO MÁXIMO DE CARGA 11,7 TM, ALCANCE MÁXIMO HORIZONTAL 9,70 M, INCLUSIVE CAMINHÃO TOCO PBT 16.000 KG, POTÊNCIA DE 189 CV - CHP DIURNO. AF_06/2014</t>
        </is>
      </c>
      <c r="C120" s="22" t="inlineStr">
        <is>
          <t>SINAPI</t>
        </is>
      </c>
      <c r="D120" s="22" t="inlineStr">
        <is>
          <t>CHP</t>
        </is>
      </c>
      <c r="E120" s="63" t="n">
        <v>0.21707</v>
      </c>
      <c r="F120" s="64">
        <f>'COMPOSICOES AUXILIARES'!G2214</f>
        <v/>
      </c>
      <c r="G120" s="64">
        <f>ROUND(ROUND(E120,8)*F120,2)</f>
        <v/>
      </c>
      <c r="L120" t="n">
        <v>0.21707</v>
      </c>
      <c r="M120" t="n">
        <v>285.05</v>
      </c>
      <c r="N120">
        <f>(M120-F120)</f>
        <v/>
      </c>
    </row>
    <row r="121" ht="18" customHeight="1">
      <c r="A121" s="2" t="inlineStr"/>
      <c r="B121" s="2" t="inlineStr"/>
      <c r="C121" s="2" t="inlineStr"/>
      <c r="D121" s="2" t="inlineStr"/>
      <c r="E121" s="26" t="inlineStr">
        <is>
          <t>TOTAL Equipamento Custo Horário:</t>
        </is>
      </c>
      <c r="F121" s="56" t="n"/>
      <c r="G121" s="65">
        <f>SUM(G119:G120)</f>
        <v/>
      </c>
    </row>
    <row r="122" ht="15" customHeight="1">
      <c r="A122" s="20" t="inlineStr">
        <is>
          <t>Serviço</t>
        </is>
      </c>
      <c r="B122" s="56" t="n"/>
      <c r="C122" s="21" t="inlineStr">
        <is>
          <t>FONTE</t>
        </is>
      </c>
      <c r="D122" s="21" t="inlineStr">
        <is>
          <t>UNID</t>
        </is>
      </c>
      <c r="E122" s="21" t="inlineStr">
        <is>
          <t>COEFICIENTE</t>
        </is>
      </c>
      <c r="F122" s="21" t="inlineStr">
        <is>
          <t>PREÇO UNITÁRIO</t>
        </is>
      </c>
      <c r="G122" s="21" t="inlineStr">
        <is>
          <t>TOTAL</t>
        </is>
      </c>
    </row>
    <row r="123" ht="38" customHeight="1">
      <c r="A123" s="22" t="inlineStr">
        <is>
          <t>100952</t>
        </is>
      </c>
      <c r="B123" s="23" t="inlineStr">
        <is>
          <t>TRANSPORTE COM CAMINHÃO CARROCERIA COM GUINDAUTO (MUNCK), MOMENTO MÁXIMO DE CARGA 11,7 TM, EM VIA URBANA PAVIMENTADA, DMT ATÉ 30KM (UNIDADE: TXKM). AF_07/2020</t>
        </is>
      </c>
      <c r="C123" s="22" t="inlineStr">
        <is>
          <t>SINAPI</t>
        </is>
      </c>
      <c r="D123" s="22" t="inlineStr">
        <is>
          <t>TXKM</t>
        </is>
      </c>
      <c r="E123" s="63" t="n">
        <v>73.5</v>
      </c>
      <c r="F123" s="64">
        <f>'COMPOSICOES AUXILIARES'!G3575</f>
        <v/>
      </c>
      <c r="G123" s="64">
        <f>ROUND(ROUND(E123,8)*F123,2)</f>
        <v/>
      </c>
      <c r="L123" t="n">
        <v>73.5</v>
      </c>
      <c r="M123" t="n">
        <v>2.96</v>
      </c>
      <c r="N123">
        <f>(M123-F123)</f>
        <v/>
      </c>
    </row>
    <row r="124" ht="15" customHeight="1">
      <c r="A124" s="2" t="inlineStr"/>
      <c r="B124" s="2" t="inlineStr"/>
      <c r="C124" s="2" t="inlineStr"/>
      <c r="D124" s="2" t="inlineStr"/>
      <c r="E124" s="26" t="inlineStr">
        <is>
          <t>TOTAL Serviço:</t>
        </is>
      </c>
      <c r="F124" s="56" t="n"/>
      <c r="G124" s="65">
        <f>SUM(G123:G123)</f>
        <v/>
      </c>
    </row>
    <row r="125" ht="15" customHeight="1">
      <c r="A125" s="2" t="inlineStr"/>
      <c r="B125" s="2" t="inlineStr"/>
      <c r="C125" s="2" t="inlineStr"/>
      <c r="D125" s="2" t="inlineStr"/>
      <c r="E125" s="28" t="inlineStr">
        <is>
          <t>VALOR:</t>
        </is>
      </c>
      <c r="F125" s="56" t="n"/>
      <c r="G125" s="66">
        <f>SUM(G121,G124)</f>
        <v/>
      </c>
    </row>
    <row r="126" ht="15" customHeight="1">
      <c r="A126" s="2" t="inlineStr"/>
      <c r="B126" s="2" t="inlineStr"/>
      <c r="C126" s="2" t="inlineStr"/>
      <c r="D126" s="2" t="inlineStr"/>
      <c r="E126" s="28" t="inlineStr">
        <is>
          <t>VALOR BDI (23.08%):</t>
        </is>
      </c>
      <c r="F126" s="56" t="n"/>
      <c r="G126" s="66">
        <f>ROUNDDOWN(G125*BDI,2)</f>
        <v/>
      </c>
    </row>
    <row r="127" ht="15" customHeight="1">
      <c r="A127" s="2" t="inlineStr"/>
      <c r="B127" s="2" t="inlineStr"/>
      <c r="C127" s="2" t="inlineStr"/>
      <c r="D127" s="2" t="inlineStr"/>
      <c r="E127" s="28" t="inlineStr">
        <is>
          <t>VALOR COM BDI:</t>
        </is>
      </c>
      <c r="F127" s="56" t="n"/>
      <c r="G127" s="66">
        <f>G126 + G125</f>
        <v/>
      </c>
    </row>
    <row r="128" ht="10" customHeight="1">
      <c r="A128" s="2" t="inlineStr"/>
      <c r="B128" s="2" t="inlineStr"/>
      <c r="C128" s="2" t="inlineStr"/>
      <c r="D128" s="2" t="inlineStr"/>
      <c r="E128" s="18" t="inlineStr"/>
    </row>
    <row r="129" ht="20" customHeight="1">
      <c r="A129" s="19" t="inlineStr">
        <is>
          <t>2.1.2.5. ​C0369​ BARRACÃO ABERTO​ (M2)</t>
        </is>
      </c>
      <c r="B129" s="55" t="n"/>
      <c r="C129" s="55" t="n"/>
      <c r="D129" s="55" t="n"/>
      <c r="E129" s="55" t="n"/>
      <c r="F129" s="55" t="n"/>
      <c r="G129" s="56" t="n"/>
    </row>
    <row r="130" ht="15" customHeight="1">
      <c r="A130" s="20" t="inlineStr">
        <is>
          <t>Material</t>
        </is>
      </c>
      <c r="B130" s="56" t="n"/>
      <c r="C130" s="21" t="inlineStr">
        <is>
          <t>FONTE</t>
        </is>
      </c>
      <c r="D130" s="21" t="inlineStr">
        <is>
          <t>UNID</t>
        </is>
      </c>
      <c r="E130" s="21" t="inlineStr">
        <is>
          <t>COEFICIENTE</t>
        </is>
      </c>
      <c r="F130" s="21" t="inlineStr">
        <is>
          <t>PREÇO UNITÁRIO</t>
        </is>
      </c>
      <c r="G130" s="21" t="inlineStr">
        <is>
          <t>TOTAL</t>
        </is>
      </c>
    </row>
    <row r="131" ht="15" customHeight="1">
      <c r="A131" s="22" t="inlineStr">
        <is>
          <t>I0197</t>
        </is>
      </c>
      <c r="B131" s="23" t="inlineStr">
        <is>
          <t>BARROTE DE 2"x2"</t>
        </is>
      </c>
      <c r="C131" s="22" t="inlineStr">
        <is>
          <t>SEINFRA</t>
        </is>
      </c>
      <c r="D131" s="22" t="inlineStr">
        <is>
          <t>M</t>
        </is>
      </c>
      <c r="E131" s="63" t="n">
        <v>0.6325</v>
      </c>
      <c r="F131" s="67">
        <f>ROUND(M131*FATOR, 2)</f>
        <v/>
      </c>
      <c r="G131" s="67">
        <f>ROUND(ROUND(E131,8)*F131,4)</f>
        <v/>
      </c>
      <c r="L131" t="n">
        <v>0.6325</v>
      </c>
      <c r="M131" t="n">
        <v>6.89</v>
      </c>
      <c r="N131">
        <f>(M131-F131)</f>
        <v/>
      </c>
    </row>
    <row r="132" ht="15" customHeight="1">
      <c r="A132" s="22" t="inlineStr">
        <is>
          <t>I0983</t>
        </is>
      </c>
      <c r="B132" s="23" t="inlineStr">
        <is>
          <t>DISJUNTOR MONOPOLAR 20A</t>
        </is>
      </c>
      <c r="C132" s="22" t="inlineStr">
        <is>
          <t>SEINFRA</t>
        </is>
      </c>
      <c r="D132" s="22" t="inlineStr">
        <is>
          <t>UN</t>
        </is>
      </c>
      <c r="E132" s="63" t="n">
        <v>0.1026</v>
      </c>
      <c r="F132" s="67">
        <f>ROUND(M132*FATOR, 2)</f>
        <v/>
      </c>
      <c r="G132" s="67">
        <f>ROUND(ROUND(E132,8)*F132,4)</f>
        <v/>
      </c>
      <c r="L132" t="n">
        <v>0.1026</v>
      </c>
      <c r="M132" t="n">
        <v>11.09</v>
      </c>
      <c r="N132">
        <f>(M132-F132)</f>
        <v/>
      </c>
    </row>
    <row r="133" ht="15" customHeight="1">
      <c r="A133" s="22" t="inlineStr">
        <is>
          <t>I1075</t>
        </is>
      </c>
      <c r="B133" s="23" t="inlineStr">
        <is>
          <t>ELETRODUTO DE PVC RIGIDO 3/4''</t>
        </is>
      </c>
      <c r="C133" s="22" t="inlineStr">
        <is>
          <t>SEINFRA</t>
        </is>
      </c>
      <c r="D133" s="22" t="inlineStr">
        <is>
          <t>M</t>
        </is>
      </c>
      <c r="E133" s="63" t="n">
        <v>0.1026</v>
      </c>
      <c r="F133" s="67">
        <f>ROUND(M133*FATOR, 2)</f>
        <v/>
      </c>
      <c r="G133" s="67">
        <f>ROUND(ROUND(E133,8)*F133,4)</f>
        <v/>
      </c>
      <c r="L133" t="n">
        <v>0.1026</v>
      </c>
      <c r="M133" t="n">
        <v>4.57</v>
      </c>
      <c r="N133">
        <f>(M133-F133)</f>
        <v/>
      </c>
    </row>
    <row r="134" ht="15" customHeight="1">
      <c r="A134" s="22" t="inlineStr">
        <is>
          <t>I2340</t>
        </is>
      </c>
      <c r="B134" s="23" t="inlineStr">
        <is>
          <t>FIO DE COBRE ANTICHAMA 2.5MM2</t>
        </is>
      </c>
      <c r="C134" s="22" t="inlineStr">
        <is>
          <t>SEINFRA</t>
        </is>
      </c>
      <c r="D134" s="22" t="inlineStr">
        <is>
          <t>M</t>
        </is>
      </c>
      <c r="E134" s="63" t="n">
        <v>3.21</v>
      </c>
      <c r="F134" s="67">
        <f>ROUND(M134*FATOR, 2)</f>
        <v/>
      </c>
      <c r="G134" s="67">
        <f>ROUND(ROUND(E134,8)*F134,4)</f>
        <v/>
      </c>
      <c r="L134" t="n">
        <v>3.21</v>
      </c>
      <c r="M134" t="n">
        <v>1.74</v>
      </c>
      <c r="N134">
        <f>(M134-F134)</f>
        <v/>
      </c>
    </row>
    <row r="135" ht="15" customHeight="1">
      <c r="A135" s="22" t="inlineStr">
        <is>
          <t>I2357</t>
        </is>
      </c>
      <c r="B135" s="23" t="inlineStr">
        <is>
          <t>INTERRUPTOR DE SOBREPOR 1 SEÇÃO</t>
        </is>
      </c>
      <c r="C135" s="22" t="inlineStr">
        <is>
          <t>SEINFRA</t>
        </is>
      </c>
      <c r="D135" s="22" t="inlineStr">
        <is>
          <t>UN</t>
        </is>
      </c>
      <c r="E135" s="63" t="n">
        <v>0.0684</v>
      </c>
      <c r="F135" s="67">
        <f>ROUND(M135*FATOR, 2)</f>
        <v/>
      </c>
      <c r="G135" s="67">
        <f>ROUND(ROUND(E135,8)*F135,4)</f>
        <v/>
      </c>
      <c r="L135" t="n">
        <v>0.0684</v>
      </c>
      <c r="M135" t="n">
        <v>11.28</v>
      </c>
      <c r="N135">
        <f>(M135-F135)</f>
        <v/>
      </c>
    </row>
    <row r="136" ht="15" customHeight="1">
      <c r="A136" s="22" t="inlineStr">
        <is>
          <t>I2373</t>
        </is>
      </c>
      <c r="B136" s="23" t="inlineStr">
        <is>
          <t>LÂMPADA INCANDECENTE DE 100W</t>
        </is>
      </c>
      <c r="C136" s="22" t="inlineStr">
        <is>
          <t>SEINFRA</t>
        </is>
      </c>
      <c r="D136" s="22" t="inlineStr">
        <is>
          <t>UN</t>
        </is>
      </c>
      <c r="E136" s="63" t="n">
        <v>0.1026</v>
      </c>
      <c r="F136" s="67">
        <f>ROUND(M136*FATOR, 2)</f>
        <v/>
      </c>
      <c r="G136" s="67">
        <f>ROUND(ROUND(E136,8)*F136,4)</f>
        <v/>
      </c>
      <c r="L136" t="n">
        <v>0.1026</v>
      </c>
      <c r="M136" t="n">
        <v>3.89</v>
      </c>
      <c r="N136">
        <f>(M136-F136)</f>
        <v/>
      </c>
    </row>
    <row r="137" ht="15" customHeight="1">
      <c r="A137" s="22" t="inlineStr">
        <is>
          <t>I0198</t>
        </is>
      </c>
      <c r="B137" s="23" t="inlineStr">
        <is>
          <t>PONTALETE / BARROTE DE 3"x3" - APARELHADO</t>
        </is>
      </c>
      <c r="C137" s="22" t="inlineStr">
        <is>
          <t>SEINFRA</t>
        </is>
      </c>
      <c r="D137" s="22" t="inlineStr">
        <is>
          <t>M</t>
        </is>
      </c>
      <c r="E137" s="63" t="n">
        <v>1.7094</v>
      </c>
      <c r="F137" s="67">
        <f>ROUND(M137*FATOR, 2)</f>
        <v/>
      </c>
      <c r="G137" s="67">
        <f>ROUND(ROUND(E137,8)*F137,4)</f>
        <v/>
      </c>
      <c r="L137" t="n">
        <v>1.7094</v>
      </c>
      <c r="M137" t="n">
        <v>22.11</v>
      </c>
      <c r="N137">
        <f>(M137-F137)</f>
        <v/>
      </c>
    </row>
    <row r="138" ht="21" customHeight="1">
      <c r="A138" s="22" t="inlineStr">
        <is>
          <t>I2408</t>
        </is>
      </c>
      <c r="B138" s="23" t="inlineStr">
        <is>
          <t>PREGO 14X18 (1.1/2" x 14) (APROXIMADAMENTE 708UN/KG)</t>
        </is>
      </c>
      <c r="C138" s="22" t="inlineStr">
        <is>
          <t>SEINFRA</t>
        </is>
      </c>
      <c r="D138" s="22" t="inlineStr">
        <is>
          <t>KG</t>
        </is>
      </c>
      <c r="E138" s="63" t="n">
        <v>0.1026</v>
      </c>
      <c r="F138" s="67">
        <f>ROUND(M138*FATOR, 2)</f>
        <v/>
      </c>
      <c r="G138" s="67">
        <f>ROUND(ROUND(E138,8)*F138,4)</f>
        <v/>
      </c>
      <c r="L138" t="n">
        <v>0.1026</v>
      </c>
      <c r="M138" t="n">
        <v>17.23</v>
      </c>
      <c r="N138">
        <f>(M138-F138)</f>
        <v/>
      </c>
    </row>
    <row r="139" ht="15" customHeight="1">
      <c r="A139" s="22" t="inlineStr">
        <is>
          <t>I2429</t>
        </is>
      </c>
      <c r="B139" s="23" t="inlineStr">
        <is>
          <t>TABUA DE VIROLA DE 12"x 1"</t>
        </is>
      </c>
      <c r="C139" s="22" t="inlineStr">
        <is>
          <t>SEINFRA</t>
        </is>
      </c>
      <c r="D139" s="22" t="inlineStr">
        <is>
          <t>M2</t>
        </is>
      </c>
      <c r="E139" s="63" t="n">
        <v>0.1026</v>
      </c>
      <c r="F139" s="67">
        <f>ROUND(M139*FATOR, 2)</f>
        <v/>
      </c>
      <c r="G139" s="67">
        <f>ROUND(ROUND(E139,8)*F139,4)</f>
        <v/>
      </c>
      <c r="L139" t="n">
        <v>0.1026</v>
      </c>
      <c r="M139" t="n">
        <v>36.64</v>
      </c>
      <c r="N139">
        <f>(M139-F139)</f>
        <v/>
      </c>
    </row>
    <row r="140" ht="15" customHeight="1">
      <c r="A140" s="22" t="inlineStr">
        <is>
          <t>I2440</t>
        </is>
      </c>
      <c r="B140" s="23" t="inlineStr">
        <is>
          <t>TELHA DE FIBROCIMENTO DE 4MM (0.50 x 2.44M)</t>
        </is>
      </c>
      <c r="C140" s="22" t="inlineStr">
        <is>
          <t>SEINFRA</t>
        </is>
      </c>
      <c r="D140" s="22" t="inlineStr">
        <is>
          <t>UN</t>
        </is>
      </c>
      <c r="E140" s="63" t="n">
        <v>0.6838</v>
      </c>
      <c r="F140" s="67">
        <f>ROUND(M140*FATOR, 2)</f>
        <v/>
      </c>
      <c r="G140" s="67">
        <f>ROUND(ROUND(E140,8)*F140,4)</f>
        <v/>
      </c>
      <c r="L140" t="n">
        <v>0.6838</v>
      </c>
      <c r="M140" t="n">
        <v>25.06</v>
      </c>
      <c r="N140">
        <f>(M140-F140)</f>
        <v/>
      </c>
    </row>
    <row r="141" ht="21" customHeight="1">
      <c r="A141" s="22" t="inlineStr">
        <is>
          <t>I2444</t>
        </is>
      </c>
      <c r="B141" s="23" t="inlineStr">
        <is>
          <t>TOMADA UNIVERSAL DE SOBREPOR (COMPLETA INCLUSIVE CAIXA)</t>
        </is>
      </c>
      <c r="C141" s="22" t="inlineStr">
        <is>
          <t>SEINFRA</t>
        </is>
      </c>
      <c r="D141" s="22" t="inlineStr">
        <is>
          <t>UN</t>
        </is>
      </c>
      <c r="E141" s="63" t="n">
        <v>0.2046</v>
      </c>
      <c r="F141" s="67">
        <f>ROUND(M141*FATOR, 2)</f>
        <v/>
      </c>
      <c r="G141" s="67">
        <f>ROUND(ROUND(E141,8)*F141,4)</f>
        <v/>
      </c>
      <c r="L141" t="n">
        <v>0.2046</v>
      </c>
      <c r="M141" t="n">
        <v>16.76</v>
      </c>
      <c r="N141">
        <f>(M141-F141)</f>
        <v/>
      </c>
    </row>
    <row r="142" ht="15" customHeight="1">
      <c r="A142" s="2" t="inlineStr"/>
      <c r="B142" s="2" t="inlineStr"/>
      <c r="C142" s="2" t="inlineStr"/>
      <c r="D142" s="2" t="inlineStr"/>
      <c r="E142" s="26" t="inlineStr">
        <is>
          <t>TOTAL Material:</t>
        </is>
      </c>
      <c r="F142" s="56" t="n"/>
      <c r="G142" s="68">
        <f>SUM(G131:G141)</f>
        <v/>
      </c>
    </row>
    <row r="143" ht="15" customHeight="1">
      <c r="A143" s="20" t="inlineStr">
        <is>
          <t>Mão de Obra</t>
        </is>
      </c>
      <c r="B143" s="56" t="n"/>
      <c r="C143" s="21" t="inlineStr">
        <is>
          <t>FONTE</t>
        </is>
      </c>
      <c r="D143" s="21" t="inlineStr">
        <is>
          <t>UNID</t>
        </is>
      </c>
      <c r="E143" s="21" t="inlineStr">
        <is>
          <t>COEFICIENTE</t>
        </is>
      </c>
      <c r="F143" s="21" t="inlineStr">
        <is>
          <t>PREÇO UNITÁRIO</t>
        </is>
      </c>
      <c r="G143" s="21" t="inlineStr">
        <is>
          <t>TOTAL</t>
        </is>
      </c>
    </row>
    <row r="144" ht="15" customHeight="1">
      <c r="A144" s="22" t="inlineStr">
        <is>
          <t>I0498</t>
        </is>
      </c>
      <c r="B144" s="23" t="inlineStr">
        <is>
          <t>CARPINTEIRO</t>
        </is>
      </c>
      <c r="C144" s="22" t="inlineStr">
        <is>
          <t>SEINFRA</t>
        </is>
      </c>
      <c r="D144" s="22" t="inlineStr">
        <is>
          <t>H</t>
        </is>
      </c>
      <c r="E144" s="63">
        <f>L144*FATOR</f>
        <v/>
      </c>
      <c r="F144" s="67" t="n">
        <v>26.86</v>
      </c>
      <c r="G144" s="67">
        <f>ROUND(ROUND(E144,8)*F144,4)</f>
        <v/>
      </c>
      <c r="L144" t="n">
        <v>1.0257</v>
      </c>
      <c r="M144" t="n">
        <v>26.86</v>
      </c>
      <c r="N144">
        <f>(M144-F144)</f>
        <v/>
      </c>
    </row>
    <row r="145" ht="15" customHeight="1">
      <c r="A145" s="22" t="inlineStr">
        <is>
          <t>I2391</t>
        </is>
      </c>
      <c r="B145" s="23" t="inlineStr">
        <is>
          <t>PEDREIRO</t>
        </is>
      </c>
      <c r="C145" s="22" t="inlineStr">
        <is>
          <t>SEINFRA</t>
        </is>
      </c>
      <c r="D145" s="22" t="inlineStr">
        <is>
          <t>H</t>
        </is>
      </c>
      <c r="E145" s="63">
        <f>L145*FATOR</f>
        <v/>
      </c>
      <c r="F145" s="67" t="n">
        <v>26.86</v>
      </c>
      <c r="G145" s="67">
        <f>ROUND(ROUND(E145,8)*F145,4)</f>
        <v/>
      </c>
      <c r="L145" t="n">
        <v>0.5128</v>
      </c>
      <c r="M145" t="n">
        <v>26.86</v>
      </c>
      <c r="N145">
        <f>(M145-F145)</f>
        <v/>
      </c>
    </row>
    <row r="146" ht="15" customHeight="1">
      <c r="A146" s="22" t="inlineStr">
        <is>
          <t>I2543</t>
        </is>
      </c>
      <c r="B146" s="23" t="inlineStr">
        <is>
          <t>SERVENTE</t>
        </is>
      </c>
      <c r="C146" s="22" t="inlineStr">
        <is>
          <t>SEINFRA</t>
        </is>
      </c>
      <c r="D146" s="22" t="inlineStr">
        <is>
          <t>H</t>
        </is>
      </c>
      <c r="E146" s="63">
        <f>L146*FATOR</f>
        <v/>
      </c>
      <c r="F146" s="67" t="n">
        <v>20.26</v>
      </c>
      <c r="G146" s="67">
        <f>ROUND(ROUND(E146,8)*F146,4)</f>
        <v/>
      </c>
      <c r="L146" t="n">
        <v>1.2821</v>
      </c>
      <c r="M146" t="n">
        <v>20.26</v>
      </c>
      <c r="N146">
        <f>(M146-F146)</f>
        <v/>
      </c>
    </row>
    <row r="147" ht="15" customHeight="1">
      <c r="A147" s="2" t="inlineStr"/>
      <c r="B147" s="2" t="inlineStr"/>
      <c r="C147" s="2" t="inlineStr"/>
      <c r="D147" s="2" t="inlineStr"/>
      <c r="E147" s="26" t="inlineStr">
        <is>
          <t>TOTAL Mão de Obra:</t>
        </is>
      </c>
      <c r="F147" s="56" t="n"/>
      <c r="G147" s="68">
        <f>SUM(G144:G146)</f>
        <v/>
      </c>
    </row>
    <row r="148" ht="15" customHeight="1">
      <c r="A148" s="20" t="inlineStr">
        <is>
          <t>Serviço</t>
        </is>
      </c>
      <c r="B148" s="56" t="n"/>
      <c r="C148" s="21" t="inlineStr">
        <is>
          <t>FONTE</t>
        </is>
      </c>
      <c r="D148" s="21" t="inlineStr">
        <is>
          <t>UNID</t>
        </is>
      </c>
      <c r="E148" s="21" t="inlineStr">
        <is>
          <t>COEFICIENTE</t>
        </is>
      </c>
      <c r="F148" s="21" t="inlineStr">
        <is>
          <t>PREÇO UNITÁRIO</t>
        </is>
      </c>
      <c r="G148" s="21" t="inlineStr">
        <is>
          <t>TOTAL</t>
        </is>
      </c>
    </row>
    <row r="149" ht="15" customHeight="1">
      <c r="A149" s="22" t="inlineStr">
        <is>
          <t>C0836</t>
        </is>
      </c>
      <c r="B149" s="23" t="inlineStr">
        <is>
          <t>CONCRETO NÃO ESTRUTURAL PREPARO MANUAL</t>
        </is>
      </c>
      <c r="C149" s="22" t="inlineStr">
        <is>
          <t>SEINFRA</t>
        </is>
      </c>
      <c r="D149" s="22" t="inlineStr">
        <is>
          <t>M3</t>
        </is>
      </c>
      <c r="E149" s="63" t="n">
        <v>0.0148</v>
      </c>
      <c r="F149" s="67">
        <f>'COMPOSICOES AUXILIARES'!G1276</f>
        <v/>
      </c>
      <c r="G149" s="67">
        <f>ROUND(ROUND(E149,8)*F149,4)</f>
        <v/>
      </c>
      <c r="L149" t="n">
        <v>0.0148</v>
      </c>
      <c r="M149" t="n">
        <v>520.89</v>
      </c>
      <c r="N149">
        <f>(M149-F149)</f>
        <v/>
      </c>
    </row>
    <row r="150" ht="15" customHeight="1">
      <c r="A150" s="2" t="inlineStr"/>
      <c r="B150" s="2" t="inlineStr"/>
      <c r="C150" s="2" t="inlineStr"/>
      <c r="D150" s="2" t="inlineStr"/>
      <c r="E150" s="26" t="inlineStr">
        <is>
          <t>TOTAL Serviço:</t>
        </is>
      </c>
      <c r="F150" s="56" t="n"/>
      <c r="G150" s="68">
        <f>SUM(G149:G149)</f>
        <v/>
      </c>
    </row>
    <row r="151" ht="15" customHeight="1">
      <c r="A151" s="2" t="inlineStr"/>
      <c r="B151" s="2" t="inlineStr"/>
      <c r="C151" s="2" t="inlineStr"/>
      <c r="D151" s="2" t="inlineStr"/>
      <c r="E151" s="28" t="inlineStr">
        <is>
          <t>VALOR:</t>
        </is>
      </c>
      <c r="F151" s="56" t="n"/>
      <c r="G151" s="66">
        <f>SUM(G150,G147,G142)</f>
        <v/>
      </c>
    </row>
    <row r="152" ht="15" customHeight="1">
      <c r="A152" s="2" t="inlineStr"/>
      <c r="B152" s="2" t="inlineStr"/>
      <c r="C152" s="2" t="inlineStr"/>
      <c r="D152" s="2" t="inlineStr"/>
      <c r="E152" s="28" t="inlineStr">
        <is>
          <t>VALOR BDI (23.08%):</t>
        </is>
      </c>
      <c r="F152" s="56" t="n"/>
      <c r="G152" s="66">
        <f>ROUNDDOWN(G151*BDI,2)</f>
        <v/>
      </c>
    </row>
    <row r="153" ht="15" customHeight="1">
      <c r="A153" s="2" t="inlineStr"/>
      <c r="B153" s="2" t="inlineStr"/>
      <c r="C153" s="2" t="inlineStr"/>
      <c r="D153" s="2" t="inlineStr"/>
      <c r="E153" s="28" t="inlineStr">
        <is>
          <t>VALOR COM BDI:</t>
        </is>
      </c>
      <c r="F153" s="56" t="n"/>
      <c r="G153" s="66">
        <f>G152 + G151</f>
        <v/>
      </c>
    </row>
    <row r="154" ht="10" customHeight="1">
      <c r="A154" s="2" t="inlineStr"/>
      <c r="B154" s="2" t="inlineStr"/>
      <c r="C154" s="2" t="inlineStr"/>
      <c r="D154" s="2" t="inlineStr"/>
      <c r="E154" s="18" t="inlineStr"/>
    </row>
    <row r="155" ht="20" customHeight="1">
      <c r="A155" s="19" t="inlineStr">
        <is>
          <t>2.1.2.6. ​C2936​ REFEITÓRIOS​ (M2)</t>
        </is>
      </c>
      <c r="B155" s="55" t="n"/>
      <c r="C155" s="55" t="n"/>
      <c r="D155" s="55" t="n"/>
      <c r="E155" s="55" t="n"/>
      <c r="F155" s="55" t="n"/>
      <c r="G155" s="56" t="n"/>
    </row>
    <row r="156" ht="15" customHeight="1">
      <c r="A156" s="20" t="inlineStr">
        <is>
          <t>Material</t>
        </is>
      </c>
      <c r="B156" s="56" t="n"/>
      <c r="C156" s="21" t="inlineStr">
        <is>
          <t>FONTE</t>
        </is>
      </c>
      <c r="D156" s="21" t="inlineStr">
        <is>
          <t>UNID</t>
        </is>
      </c>
      <c r="E156" s="21" t="inlineStr">
        <is>
          <t>COEFICIENTE</t>
        </is>
      </c>
      <c r="F156" s="21" t="inlineStr">
        <is>
          <t>PREÇO UNITÁRIO</t>
        </is>
      </c>
      <c r="G156" s="21" t="inlineStr">
        <is>
          <t>TOTAL</t>
        </is>
      </c>
    </row>
    <row r="157" ht="15" customHeight="1">
      <c r="A157" s="22" t="inlineStr">
        <is>
          <t>I0197</t>
        </is>
      </c>
      <c r="B157" s="23" t="inlineStr">
        <is>
          <t>BARROTE DE 2"x2"</t>
        </is>
      </c>
      <c r="C157" s="22" t="inlineStr">
        <is>
          <t>SEINFRA</t>
        </is>
      </c>
      <c r="D157" s="22" t="inlineStr">
        <is>
          <t>M</t>
        </is>
      </c>
      <c r="E157" s="63" t="n">
        <v>1.0256</v>
      </c>
      <c r="F157" s="67">
        <f>ROUND(M157*FATOR, 2)</f>
        <v/>
      </c>
      <c r="G157" s="67">
        <f>ROUND(ROUND(E157,8)*F157,4)</f>
        <v/>
      </c>
      <c r="L157" t="n">
        <v>1.0256</v>
      </c>
      <c r="M157" t="n">
        <v>6.89</v>
      </c>
      <c r="N157">
        <f>(M157-F157)</f>
        <v/>
      </c>
    </row>
    <row r="158" ht="15" customHeight="1">
      <c r="A158" s="22" t="inlineStr">
        <is>
          <t>I0528</t>
        </is>
      </c>
      <c r="B158" s="23" t="inlineStr">
        <is>
          <t>CHAPA COMPENSADO RESINADO 10MM (1.10 X 2.20M)</t>
        </is>
      </c>
      <c r="C158" s="22" t="inlineStr">
        <is>
          <t>SEINFRA</t>
        </is>
      </c>
      <c r="D158" s="22" t="inlineStr">
        <is>
          <t>M2</t>
        </is>
      </c>
      <c r="E158" s="63" t="n">
        <v>1.8629</v>
      </c>
      <c r="F158" s="67">
        <f>ROUND(M158*FATOR, 2)</f>
        <v/>
      </c>
      <c r="G158" s="67">
        <f>ROUND(ROUND(E158,8)*F158,4)</f>
        <v/>
      </c>
      <c r="L158" t="n">
        <v>1.8629</v>
      </c>
      <c r="M158" t="n">
        <v>35.95</v>
      </c>
      <c r="N158">
        <f>(M158-F158)</f>
        <v/>
      </c>
    </row>
    <row r="159" ht="15" customHeight="1">
      <c r="A159" s="22" t="inlineStr">
        <is>
          <t>I0983</t>
        </is>
      </c>
      <c r="B159" s="23" t="inlineStr">
        <is>
          <t>DISJUNTOR MONOPOLAR 20A</t>
        </is>
      </c>
      <c r="C159" s="22" t="inlineStr">
        <is>
          <t>SEINFRA</t>
        </is>
      </c>
      <c r="D159" s="22" t="inlineStr">
        <is>
          <t>UN</t>
        </is>
      </c>
      <c r="E159" s="63" t="n">
        <v>0.0342</v>
      </c>
      <c r="F159" s="67">
        <f>ROUND(M159*FATOR, 2)</f>
        <v/>
      </c>
      <c r="G159" s="67">
        <f>ROUND(ROUND(E159,8)*F159,4)</f>
        <v/>
      </c>
      <c r="L159" t="n">
        <v>0.0342</v>
      </c>
      <c r="M159" t="n">
        <v>11.09</v>
      </c>
      <c r="N159">
        <f>(M159-F159)</f>
        <v/>
      </c>
    </row>
    <row r="160" ht="15" customHeight="1">
      <c r="A160" s="22" t="inlineStr">
        <is>
          <t>I2311</t>
        </is>
      </c>
      <c r="B160" s="23" t="inlineStr">
        <is>
          <t>DOBRADIÇA DE FERRO 3 x 2 1/2" ( PADRÃO POPULAR )</t>
        </is>
      </c>
      <c r="C160" s="22" t="inlineStr">
        <is>
          <t>SEINFRA</t>
        </is>
      </c>
      <c r="D160" s="22" t="inlineStr">
        <is>
          <t>UN</t>
        </is>
      </c>
      <c r="E160" s="63" t="n">
        <v>0.2735</v>
      </c>
      <c r="F160" s="67">
        <f>ROUND(M160*FATOR, 2)</f>
        <v/>
      </c>
      <c r="G160" s="67">
        <f>ROUND(ROUND(E160,8)*F160,4)</f>
        <v/>
      </c>
      <c r="L160" t="n">
        <v>0.2735</v>
      </c>
      <c r="M160" t="n">
        <v>12.14</v>
      </c>
      <c r="N160">
        <f>(M160-F160)</f>
        <v/>
      </c>
    </row>
    <row r="161" ht="15" customHeight="1">
      <c r="A161" s="22" t="inlineStr">
        <is>
          <t>I1075</t>
        </is>
      </c>
      <c r="B161" s="23" t="inlineStr">
        <is>
          <t>ELETRODUTO DE PVC RIGIDO 3/4''</t>
        </is>
      </c>
      <c r="C161" s="22" t="inlineStr">
        <is>
          <t>SEINFRA</t>
        </is>
      </c>
      <c r="D161" s="22" t="inlineStr">
        <is>
          <t>M</t>
        </is>
      </c>
      <c r="E161" s="63" t="n">
        <v>0.1026</v>
      </c>
      <c r="F161" s="67">
        <f>ROUND(M161*FATOR, 2)</f>
        <v/>
      </c>
      <c r="G161" s="67">
        <f>ROUND(ROUND(E161,8)*F161,4)</f>
        <v/>
      </c>
      <c r="L161" t="n">
        <v>0.1026</v>
      </c>
      <c r="M161" t="n">
        <v>4.57</v>
      </c>
      <c r="N161">
        <f>(M161-F161)</f>
        <v/>
      </c>
    </row>
    <row r="162" ht="15" customHeight="1">
      <c r="A162" s="22" t="inlineStr">
        <is>
          <t>I2331</t>
        </is>
      </c>
      <c r="B162" s="23" t="inlineStr">
        <is>
          <t>FECHADURA DE SOBREPOR</t>
        </is>
      </c>
      <c r="C162" s="22" t="inlineStr">
        <is>
          <t>SEINFRA</t>
        </is>
      </c>
      <c r="D162" s="22" t="inlineStr">
        <is>
          <t>UN</t>
        </is>
      </c>
      <c r="E162" s="63" t="n">
        <v>0.0342</v>
      </c>
      <c r="F162" s="67">
        <f>ROUND(M162*FATOR, 2)</f>
        <v/>
      </c>
      <c r="G162" s="67">
        <f>ROUND(ROUND(E162,8)*F162,4)</f>
        <v/>
      </c>
      <c r="L162" t="n">
        <v>0.0342</v>
      </c>
      <c r="M162" t="n">
        <v>53.12</v>
      </c>
      <c r="N162">
        <f>(M162-F162)</f>
        <v/>
      </c>
    </row>
    <row r="163" ht="15" customHeight="1">
      <c r="A163" s="22" t="inlineStr">
        <is>
          <t>I2340</t>
        </is>
      </c>
      <c r="B163" s="23" t="inlineStr">
        <is>
          <t>FIO DE COBRE ANTICHAMA 2.5MM2</t>
        </is>
      </c>
      <c r="C163" s="22" t="inlineStr">
        <is>
          <t>SEINFRA</t>
        </is>
      </c>
      <c r="D163" s="22" t="inlineStr">
        <is>
          <t>M</t>
        </is>
      </c>
      <c r="E163" s="63" t="n">
        <v>3.21</v>
      </c>
      <c r="F163" s="67">
        <f>ROUND(M163*FATOR, 2)</f>
        <v/>
      </c>
      <c r="G163" s="67">
        <f>ROUND(ROUND(E163,8)*F163,4)</f>
        <v/>
      </c>
      <c r="L163" t="n">
        <v>3.21</v>
      </c>
      <c r="M163" t="n">
        <v>1.74</v>
      </c>
      <c r="N163">
        <f>(M163-F163)</f>
        <v/>
      </c>
    </row>
    <row r="164" ht="15" customHeight="1">
      <c r="A164" s="22" t="inlineStr">
        <is>
          <t>I2357</t>
        </is>
      </c>
      <c r="B164" s="23" t="inlineStr">
        <is>
          <t>INTERRUPTOR DE SOBREPOR 1 SEÇÃO</t>
        </is>
      </c>
      <c r="C164" s="22" t="inlineStr">
        <is>
          <t>SEINFRA</t>
        </is>
      </c>
      <c r="D164" s="22" t="inlineStr">
        <is>
          <t>UN</t>
        </is>
      </c>
      <c r="E164" s="63" t="n">
        <v>0.0684</v>
      </c>
      <c r="F164" s="67">
        <f>ROUND(M164*FATOR, 2)</f>
        <v/>
      </c>
      <c r="G164" s="67">
        <f>ROUND(ROUND(E164,8)*F164,4)</f>
        <v/>
      </c>
      <c r="L164" t="n">
        <v>0.0684</v>
      </c>
      <c r="M164" t="n">
        <v>11.28</v>
      </c>
      <c r="N164">
        <f>(M164-F164)</f>
        <v/>
      </c>
    </row>
    <row r="165" ht="15" customHeight="1">
      <c r="A165" s="22" t="inlineStr">
        <is>
          <t>I2373</t>
        </is>
      </c>
      <c r="B165" s="23" t="inlineStr">
        <is>
          <t>LÂMPADA INCANDECENTE DE 100W</t>
        </is>
      </c>
      <c r="C165" s="22" t="inlineStr">
        <is>
          <t>SEINFRA</t>
        </is>
      </c>
      <c r="D165" s="22" t="inlineStr">
        <is>
          <t>UN</t>
        </is>
      </c>
      <c r="E165" s="63" t="n">
        <v>0.1026</v>
      </c>
      <c r="F165" s="67">
        <f>ROUND(M165*FATOR, 2)</f>
        <v/>
      </c>
      <c r="G165" s="67">
        <f>ROUND(ROUND(E165,8)*F165,4)</f>
        <v/>
      </c>
      <c r="L165" t="n">
        <v>0.1026</v>
      </c>
      <c r="M165" t="n">
        <v>3.89</v>
      </c>
      <c r="N165">
        <f>(M165-F165)</f>
        <v/>
      </c>
    </row>
    <row r="166" ht="15" customHeight="1">
      <c r="A166" s="22" t="inlineStr">
        <is>
          <t>I0198</t>
        </is>
      </c>
      <c r="B166" s="23" t="inlineStr">
        <is>
          <t>PONTALETE / BARROTE DE 3"x3" - APARELHADO</t>
        </is>
      </c>
      <c r="C166" s="22" t="inlineStr">
        <is>
          <t>SEINFRA</t>
        </is>
      </c>
      <c r="D166" s="22" t="inlineStr">
        <is>
          <t>M</t>
        </is>
      </c>
      <c r="E166" s="63" t="n">
        <v>1.7094</v>
      </c>
      <c r="F166" s="67">
        <f>ROUND(M166*FATOR, 2)</f>
        <v/>
      </c>
      <c r="G166" s="67">
        <f>ROUND(ROUND(E166,8)*F166,4)</f>
        <v/>
      </c>
      <c r="L166" t="n">
        <v>1.7094</v>
      </c>
      <c r="M166" t="n">
        <v>22.11</v>
      </c>
      <c r="N166">
        <f>(M166-F166)</f>
        <v/>
      </c>
    </row>
    <row r="167" ht="21" customHeight="1">
      <c r="A167" s="22" t="inlineStr">
        <is>
          <t>I2408</t>
        </is>
      </c>
      <c r="B167" s="23" t="inlineStr">
        <is>
          <t>PREGO 14X18 (1.1/2" x 14) (APROXIMADAMENTE 708UN/KG)</t>
        </is>
      </c>
      <c r="C167" s="22" t="inlineStr">
        <is>
          <t>SEINFRA</t>
        </is>
      </c>
      <c r="D167" s="22" t="inlineStr">
        <is>
          <t>KG</t>
        </is>
      </c>
      <c r="E167" s="63" t="n">
        <v>0.1026</v>
      </c>
      <c r="F167" s="67">
        <f>ROUND(M167*FATOR, 2)</f>
        <v/>
      </c>
      <c r="G167" s="67">
        <f>ROUND(ROUND(E167,8)*F167,4)</f>
        <v/>
      </c>
      <c r="L167" t="n">
        <v>0.1026</v>
      </c>
      <c r="M167" t="n">
        <v>17.23</v>
      </c>
      <c r="N167">
        <f>(M167-F167)</f>
        <v/>
      </c>
    </row>
    <row r="168" ht="15" customHeight="1">
      <c r="A168" s="22" t="inlineStr">
        <is>
          <t>I1824</t>
        </is>
      </c>
      <c r="B168" s="23" t="inlineStr">
        <is>
          <t>RIPA DE PEROBA (MADEIRA DE 1A QUALIDADE) DE 1X5CM</t>
        </is>
      </c>
      <c r="C168" s="22" t="inlineStr">
        <is>
          <t>SEINFRA</t>
        </is>
      </c>
      <c r="D168" s="22" t="inlineStr">
        <is>
          <t>M</t>
        </is>
      </c>
      <c r="E168" s="63" t="n">
        <v>0.865</v>
      </c>
      <c r="F168" s="67">
        <f>ROUND(M168*FATOR, 2)</f>
        <v/>
      </c>
      <c r="G168" s="67">
        <f>ROUND(ROUND(E168,8)*F168,4)</f>
        <v/>
      </c>
      <c r="L168" t="n">
        <v>0.865</v>
      </c>
      <c r="M168" t="n">
        <v>1.72</v>
      </c>
      <c r="N168">
        <f>(M168-F168)</f>
        <v/>
      </c>
    </row>
    <row r="169" ht="15" customHeight="1">
      <c r="A169" s="22" t="inlineStr">
        <is>
          <t>I2429</t>
        </is>
      </c>
      <c r="B169" s="23" t="inlineStr">
        <is>
          <t>TABUA DE VIROLA DE 12"x 1"</t>
        </is>
      </c>
      <c r="C169" s="22" t="inlineStr">
        <is>
          <t>SEINFRA</t>
        </is>
      </c>
      <c r="D169" s="22" t="inlineStr">
        <is>
          <t>M2</t>
        </is>
      </c>
      <c r="E169" s="63" t="n">
        <v>0.2051</v>
      </c>
      <c r="F169" s="67">
        <f>ROUND(M169*FATOR, 2)</f>
        <v/>
      </c>
      <c r="G169" s="67">
        <f>ROUND(ROUND(E169,8)*F169,4)</f>
        <v/>
      </c>
      <c r="L169" t="n">
        <v>0.2051</v>
      </c>
      <c r="M169" t="n">
        <v>36.64</v>
      </c>
      <c r="N169">
        <f>(M169-F169)</f>
        <v/>
      </c>
    </row>
    <row r="170" ht="15" customHeight="1">
      <c r="A170" s="22" t="inlineStr">
        <is>
          <t>I2433</t>
        </is>
      </c>
      <c r="B170" s="23" t="inlineStr">
        <is>
          <t>TARGETA DE FERRO 2"</t>
        </is>
      </c>
      <c r="C170" s="22" t="inlineStr">
        <is>
          <t>SEINFRA</t>
        </is>
      </c>
      <c r="D170" s="22" t="inlineStr">
        <is>
          <t>UN</t>
        </is>
      </c>
      <c r="E170" s="63" t="n">
        <v>0.1368</v>
      </c>
      <c r="F170" s="67">
        <f>ROUND(M170*FATOR, 2)</f>
        <v/>
      </c>
      <c r="G170" s="67">
        <f>ROUND(ROUND(E170,8)*F170,4)</f>
        <v/>
      </c>
      <c r="L170" t="n">
        <v>0.1368</v>
      </c>
      <c r="M170" t="n">
        <v>5.87</v>
      </c>
      <c r="N170">
        <f>(M170-F170)</f>
        <v/>
      </c>
    </row>
    <row r="171" ht="15" customHeight="1">
      <c r="A171" s="22" t="inlineStr">
        <is>
          <t>I2440</t>
        </is>
      </c>
      <c r="B171" s="23" t="inlineStr">
        <is>
          <t>TELHA DE FIBROCIMENTO DE 4MM (0.50 x 2.44M)</t>
        </is>
      </c>
      <c r="C171" s="22" t="inlineStr">
        <is>
          <t>SEINFRA</t>
        </is>
      </c>
      <c r="D171" s="22" t="inlineStr">
        <is>
          <t>UN</t>
        </is>
      </c>
      <c r="E171" s="63" t="n">
        <v>0.6838</v>
      </c>
      <c r="F171" s="67">
        <f>ROUND(M171*FATOR, 2)</f>
        <v/>
      </c>
      <c r="G171" s="67">
        <f>ROUND(ROUND(E171,8)*F171,4)</f>
        <v/>
      </c>
      <c r="L171" t="n">
        <v>0.6838</v>
      </c>
      <c r="M171" t="n">
        <v>25.06</v>
      </c>
      <c r="N171">
        <f>(M171-F171)</f>
        <v/>
      </c>
    </row>
    <row r="172" ht="21" customHeight="1">
      <c r="A172" s="22" t="inlineStr">
        <is>
          <t>I2444</t>
        </is>
      </c>
      <c r="B172" s="23" t="inlineStr">
        <is>
          <t>TOMADA UNIVERSAL DE SOBREPOR (COMPLETA INCLUSIVE CAIXA)</t>
        </is>
      </c>
      <c r="C172" s="22" t="inlineStr">
        <is>
          <t>SEINFRA</t>
        </is>
      </c>
      <c r="D172" s="22" t="inlineStr">
        <is>
          <t>UN</t>
        </is>
      </c>
      <c r="E172" s="63" t="n">
        <v>0.1026</v>
      </c>
      <c r="F172" s="67">
        <f>ROUND(M172*FATOR, 2)</f>
        <v/>
      </c>
      <c r="G172" s="67">
        <f>ROUND(ROUND(E172,8)*F172,4)</f>
        <v/>
      </c>
      <c r="L172" t="n">
        <v>0.1026</v>
      </c>
      <c r="M172" t="n">
        <v>16.76</v>
      </c>
      <c r="N172">
        <f>(M172-F172)</f>
        <v/>
      </c>
    </row>
    <row r="173" ht="15" customHeight="1">
      <c r="A173" s="2" t="inlineStr"/>
      <c r="B173" s="2" t="inlineStr"/>
      <c r="C173" s="2" t="inlineStr"/>
      <c r="D173" s="2" t="inlineStr"/>
      <c r="E173" s="26" t="inlineStr">
        <is>
          <t>TOTAL Material:</t>
        </is>
      </c>
      <c r="F173" s="56" t="n"/>
      <c r="G173" s="68">
        <f>SUM(G157:G172)</f>
        <v/>
      </c>
    </row>
    <row r="174" ht="15" customHeight="1">
      <c r="A174" s="20" t="inlineStr">
        <is>
          <t>Mão de Obra</t>
        </is>
      </c>
      <c r="B174" s="56" t="n"/>
      <c r="C174" s="21" t="inlineStr">
        <is>
          <t>FONTE</t>
        </is>
      </c>
      <c r="D174" s="21" t="inlineStr">
        <is>
          <t>UNID</t>
        </is>
      </c>
      <c r="E174" s="21" t="inlineStr">
        <is>
          <t>COEFICIENTE</t>
        </is>
      </c>
      <c r="F174" s="21" t="inlineStr">
        <is>
          <t>PREÇO UNITÁRIO</t>
        </is>
      </c>
      <c r="G174" s="21" t="inlineStr">
        <is>
          <t>TOTAL</t>
        </is>
      </c>
    </row>
    <row r="175" ht="15" customHeight="1">
      <c r="A175" s="22" t="inlineStr">
        <is>
          <t>I0498</t>
        </is>
      </c>
      <c r="B175" s="23" t="inlineStr">
        <is>
          <t>CARPINTEIRO</t>
        </is>
      </c>
      <c r="C175" s="22" t="inlineStr">
        <is>
          <t>SEINFRA</t>
        </is>
      </c>
      <c r="D175" s="22" t="inlineStr">
        <is>
          <t>H</t>
        </is>
      </c>
      <c r="E175" s="63">
        <f>L175*FATOR</f>
        <v/>
      </c>
      <c r="F175" s="67" t="n">
        <v>26.86</v>
      </c>
      <c r="G175" s="67">
        <f>ROUND(ROUND(E175,8)*F175,4)</f>
        <v/>
      </c>
      <c r="L175" t="n">
        <v>2.513</v>
      </c>
      <c r="M175" t="n">
        <v>26.86</v>
      </c>
      <c r="N175">
        <f>(M175-F175)</f>
        <v/>
      </c>
    </row>
    <row r="176" ht="15" customHeight="1">
      <c r="A176" s="22" t="inlineStr">
        <is>
          <t>I2391</t>
        </is>
      </c>
      <c r="B176" s="23" t="inlineStr">
        <is>
          <t>PEDREIRO</t>
        </is>
      </c>
      <c r="C176" s="22" t="inlineStr">
        <is>
          <t>SEINFRA</t>
        </is>
      </c>
      <c r="D176" s="22" t="inlineStr">
        <is>
          <t>H</t>
        </is>
      </c>
      <c r="E176" s="63">
        <f>L176*FATOR</f>
        <v/>
      </c>
      <c r="F176" s="67" t="n">
        <v>26.86</v>
      </c>
      <c r="G176" s="67">
        <f>ROUND(ROUND(E176,8)*F176,4)</f>
        <v/>
      </c>
      <c r="L176" t="n">
        <v>0.5128</v>
      </c>
      <c r="M176" t="n">
        <v>26.86</v>
      </c>
      <c r="N176">
        <f>(M176-F176)</f>
        <v/>
      </c>
    </row>
    <row r="177" ht="15" customHeight="1">
      <c r="A177" s="22" t="inlineStr">
        <is>
          <t>I2543</t>
        </is>
      </c>
      <c r="B177" s="23" t="inlineStr">
        <is>
          <t>SERVENTE</t>
        </is>
      </c>
      <c r="C177" s="22" t="inlineStr">
        <is>
          <t>SEINFRA</t>
        </is>
      </c>
      <c r="D177" s="22" t="inlineStr">
        <is>
          <t>H</t>
        </is>
      </c>
      <c r="E177" s="63">
        <f>L177*FATOR</f>
        <v/>
      </c>
      <c r="F177" s="67" t="n">
        <v>20.26</v>
      </c>
      <c r="G177" s="67">
        <f>ROUND(ROUND(E177,8)*F177,4)</f>
        <v/>
      </c>
      <c r="L177" t="n">
        <v>2.5641</v>
      </c>
      <c r="M177" t="n">
        <v>20.26</v>
      </c>
      <c r="N177">
        <f>(M177-F177)</f>
        <v/>
      </c>
    </row>
    <row r="178" ht="15" customHeight="1">
      <c r="A178" s="2" t="inlineStr"/>
      <c r="B178" s="2" t="inlineStr"/>
      <c r="C178" s="2" t="inlineStr"/>
      <c r="D178" s="2" t="inlineStr"/>
      <c r="E178" s="26" t="inlineStr">
        <is>
          <t>TOTAL Mão de Obra:</t>
        </is>
      </c>
      <c r="F178" s="56" t="n"/>
      <c r="G178" s="68">
        <f>SUM(G175:G177)</f>
        <v/>
      </c>
    </row>
    <row r="179" ht="15" customHeight="1">
      <c r="A179" s="20" t="inlineStr">
        <is>
          <t>Serviço</t>
        </is>
      </c>
      <c r="B179" s="56" t="n"/>
      <c r="C179" s="21" t="inlineStr">
        <is>
          <t>FONTE</t>
        </is>
      </c>
      <c r="D179" s="21" t="inlineStr">
        <is>
          <t>UNID</t>
        </is>
      </c>
      <c r="E179" s="21" t="inlineStr">
        <is>
          <t>COEFICIENTE</t>
        </is>
      </c>
      <c r="F179" s="21" t="inlineStr">
        <is>
          <t>PREÇO UNITÁRIO</t>
        </is>
      </c>
      <c r="G179" s="21" t="inlineStr">
        <is>
          <t>TOTAL</t>
        </is>
      </c>
    </row>
    <row r="180" ht="15" customHeight="1">
      <c r="A180" s="22" t="inlineStr">
        <is>
          <t>C0836</t>
        </is>
      </c>
      <c r="B180" s="23" t="inlineStr">
        <is>
          <t>CONCRETO NÃO ESTRUTURAL PREPARO MANUAL</t>
        </is>
      </c>
      <c r="C180" s="22" t="inlineStr">
        <is>
          <t>SEINFRA</t>
        </is>
      </c>
      <c r="D180" s="22" t="inlineStr">
        <is>
          <t>M3</t>
        </is>
      </c>
      <c r="E180" s="63" t="n">
        <v>0.0148</v>
      </c>
      <c r="F180" s="67">
        <f>'COMPOSICOES AUXILIARES'!G1276</f>
        <v/>
      </c>
      <c r="G180" s="67">
        <f>ROUND(ROUND(E180,8)*F180,4)</f>
        <v/>
      </c>
      <c r="L180" t="n">
        <v>0.0148</v>
      </c>
      <c r="M180" t="n">
        <v>520.89</v>
      </c>
      <c r="N180">
        <f>(M180-F180)</f>
        <v/>
      </c>
    </row>
    <row r="181" ht="21" customHeight="1">
      <c r="A181" s="22" t="inlineStr">
        <is>
          <t>C1915</t>
        </is>
      </c>
      <c r="B181" s="23" t="inlineStr">
        <is>
          <t>PISO CIMENTADO C/ ARGAMASSA DE CIMENTO E AREIA S/ PENEIRAR, TRAÇO 1:4, ESP.= 1.5cm</t>
        </is>
      </c>
      <c r="C181" s="22" t="inlineStr">
        <is>
          <t>SEINFRA</t>
        </is>
      </c>
      <c r="D181" s="22" t="inlineStr">
        <is>
          <t>M2</t>
        </is>
      </c>
      <c r="E181" s="63" t="n">
        <v>1.3839</v>
      </c>
      <c r="F181" s="67">
        <f>'COMPOSICOES AUXILIARES'!G3083</f>
        <v/>
      </c>
      <c r="G181" s="67">
        <f>ROUND(ROUND(E181,8)*F181,4)</f>
        <v/>
      </c>
      <c r="L181" t="n">
        <v>1.3839</v>
      </c>
      <c r="M181" t="n">
        <v>55.57</v>
      </c>
      <c r="N181">
        <f>(M181-F181)</f>
        <v/>
      </c>
    </row>
    <row r="182" ht="15" customHeight="1">
      <c r="A182" s="2" t="inlineStr"/>
      <c r="B182" s="2" t="inlineStr"/>
      <c r="C182" s="2" t="inlineStr"/>
      <c r="D182" s="2" t="inlineStr"/>
      <c r="E182" s="26" t="inlineStr">
        <is>
          <t>TOTAL Serviço:</t>
        </is>
      </c>
      <c r="F182" s="56" t="n"/>
      <c r="G182" s="68">
        <f>SUM(G180:G181)</f>
        <v/>
      </c>
    </row>
    <row r="183" ht="15" customHeight="1">
      <c r="A183" s="2" t="inlineStr"/>
      <c r="B183" s="2" t="inlineStr"/>
      <c r="C183" s="2" t="inlineStr"/>
      <c r="D183" s="2" t="inlineStr"/>
      <c r="E183" s="28" t="inlineStr">
        <is>
          <t>VALOR:</t>
        </is>
      </c>
      <c r="F183" s="56" t="n"/>
      <c r="G183" s="66">
        <f>SUM(G178,G173,G182)</f>
        <v/>
      </c>
    </row>
    <row r="184" ht="15" customHeight="1">
      <c r="A184" s="2" t="inlineStr"/>
      <c r="B184" s="2" t="inlineStr"/>
      <c r="C184" s="2" t="inlineStr"/>
      <c r="D184" s="2" t="inlineStr"/>
      <c r="E184" s="28" t="inlineStr">
        <is>
          <t>VALOR BDI (23.08%):</t>
        </is>
      </c>
      <c r="F184" s="56" t="n"/>
      <c r="G184" s="66">
        <f>ROUNDDOWN(G183*BDI,2)</f>
        <v/>
      </c>
    </row>
    <row r="185" ht="15" customHeight="1">
      <c r="A185" s="2" t="inlineStr"/>
      <c r="B185" s="2" t="inlineStr"/>
      <c r="C185" s="2" t="inlineStr"/>
      <c r="D185" s="2" t="inlineStr"/>
      <c r="E185" s="28" t="inlineStr">
        <is>
          <t>VALOR COM BDI:</t>
        </is>
      </c>
      <c r="F185" s="56" t="n"/>
      <c r="G185" s="66">
        <f>G184 + G183</f>
        <v/>
      </c>
    </row>
    <row r="186" ht="10" customHeight="1">
      <c r="A186" s="2" t="inlineStr"/>
      <c r="B186" s="2" t="inlineStr"/>
      <c r="C186" s="2" t="inlineStr"/>
      <c r="D186" s="2" t="inlineStr"/>
      <c r="E186" s="18" t="inlineStr"/>
    </row>
    <row r="187" ht="20" customHeight="1">
      <c r="A187" s="19" t="inlineStr">
        <is>
          <t>2.1.3.1. ​369PRÓPRIO​ LIGAÇÃO PROVISÓRIA DE ÁGUA E ESGOTO PARA CANTEIRO DE OBRAS​ (UN)</t>
        </is>
      </c>
      <c r="B187" s="55" t="n"/>
      <c r="C187" s="55" t="n"/>
      <c r="D187" s="55" t="n"/>
      <c r="E187" s="55" t="n"/>
      <c r="F187" s="55" t="n"/>
      <c r="G187" s="56" t="n"/>
    </row>
    <row r="188" ht="15" customHeight="1">
      <c r="A188" s="20" t="inlineStr">
        <is>
          <t>Material</t>
        </is>
      </c>
      <c r="B188" s="56" t="n"/>
      <c r="C188" s="21" t="inlineStr">
        <is>
          <t>FONTE</t>
        </is>
      </c>
      <c r="D188" s="21" t="inlineStr">
        <is>
          <t>UNID</t>
        </is>
      </c>
      <c r="E188" s="21" t="inlineStr">
        <is>
          <t>COEFICIENTE</t>
        </is>
      </c>
      <c r="F188" s="21" t="inlineStr">
        <is>
          <t>PREÇO UNITÁRIO</t>
        </is>
      </c>
      <c r="G188" s="21" t="inlineStr">
        <is>
          <t>TOTAL</t>
        </is>
      </c>
    </row>
    <row r="189" ht="15" customHeight="1">
      <c r="A189" s="22" t="inlineStr">
        <is>
          <t>00000032</t>
        </is>
      </c>
      <c r="B189" s="23" t="inlineStr">
        <is>
          <t>ACO CA-50, 6,3 MM, VERGALHAO</t>
        </is>
      </c>
      <c r="C189" s="22" t="inlineStr">
        <is>
          <t>SINAPI</t>
        </is>
      </c>
      <c r="D189" s="22" t="inlineStr">
        <is>
          <t>KG</t>
        </is>
      </c>
      <c r="E189" s="63" t="n">
        <v>6.72</v>
      </c>
      <c r="F189" s="64">
        <f>ROUND(M189*FATOR, 2)</f>
        <v/>
      </c>
      <c r="G189" s="64">
        <f>ROUND(ROUND(E189,8)*F189,2)</f>
        <v/>
      </c>
      <c r="L189" t="n">
        <v>6.72</v>
      </c>
      <c r="M189" t="n">
        <v>7.8</v>
      </c>
      <c r="N189">
        <f>(M189-F189)</f>
        <v/>
      </c>
    </row>
    <row r="190" ht="21" customHeight="1">
      <c r="A190" s="22" t="inlineStr">
        <is>
          <t>00000108</t>
        </is>
      </c>
      <c r="B190" s="23" t="inlineStr">
        <is>
          <t>ADAPTADOR PVC SOLDAVEL CURTO COM BOLSA E ROSCA, 32 MM X 1", PARA AGUA FRIA</t>
        </is>
      </c>
      <c r="C190" s="22" t="inlineStr">
        <is>
          <t>SINAPI</t>
        </is>
      </c>
      <c r="D190" s="22" t="inlineStr">
        <is>
          <t>UN</t>
        </is>
      </c>
      <c r="E190" s="63" t="n">
        <v>0.6667</v>
      </c>
      <c r="F190" s="64">
        <f>ROUND(M190*FATOR, 2)</f>
        <v/>
      </c>
      <c r="G190" s="64">
        <f>ROUND(ROUND(E190,8)*F190,2)</f>
        <v/>
      </c>
      <c r="L190" t="n">
        <v>0.6667</v>
      </c>
      <c r="M190" t="n">
        <v>1.86</v>
      </c>
      <c r="N190">
        <f>(M190-F190)</f>
        <v/>
      </c>
    </row>
    <row r="191" ht="15" customHeight="1">
      <c r="A191" s="22" t="inlineStr">
        <is>
          <t>00000122</t>
        </is>
      </c>
      <c r="B191" s="23" t="inlineStr">
        <is>
          <t>ADESIVO PLASTICO PARA PVC, FRASCO COM *850* GR</t>
        </is>
      </c>
      <c r="C191" s="22" t="inlineStr">
        <is>
          <t>SINAPI</t>
        </is>
      </c>
      <c r="D191" s="22" t="inlineStr">
        <is>
          <t>UN</t>
        </is>
      </c>
      <c r="E191" s="63" t="n">
        <v>0.3333</v>
      </c>
      <c r="F191" s="64">
        <f>ROUND(M191*FATOR, 2)</f>
        <v/>
      </c>
      <c r="G191" s="64">
        <f>ROUND(ROUND(E191,8)*F191,2)</f>
        <v/>
      </c>
      <c r="L191" t="n">
        <v>0.3333</v>
      </c>
      <c r="M191" t="n">
        <v>61.86</v>
      </c>
      <c r="N191">
        <f>(M191-F191)</f>
        <v/>
      </c>
    </row>
    <row r="192" ht="29" customHeight="1">
      <c r="A192" s="22" t="inlineStr">
        <is>
          <t>00000123</t>
        </is>
      </c>
      <c r="B192" s="23" t="inlineStr">
        <is>
          <t>ADITIVO IMPERMEABILIZANTE DE PEGA NORMAL PARA ARGAMASSAS E CONCRETOS SEM ARMACAO, LIQUIDO E ISENTO DE CLORETOS</t>
        </is>
      </c>
      <c r="C192" s="22" t="inlineStr">
        <is>
          <t>SINAPI</t>
        </is>
      </c>
      <c r="D192" s="22" t="inlineStr">
        <is>
          <t>L</t>
        </is>
      </c>
      <c r="E192" s="63" t="n">
        <v>1.62</v>
      </c>
      <c r="F192" s="64">
        <f>ROUND(M192*FATOR, 2)</f>
        <v/>
      </c>
      <c r="G192" s="64">
        <f>ROUND(ROUND(E192,8)*F192,2)</f>
        <v/>
      </c>
      <c r="L192" t="n">
        <v>1.62</v>
      </c>
      <c r="M192" t="n">
        <v>8.390000000000001</v>
      </c>
      <c r="N192">
        <f>(M192-F192)</f>
        <v/>
      </c>
    </row>
    <row r="193" ht="21" customHeight="1">
      <c r="A193" s="22" t="inlineStr">
        <is>
          <t>00043130</t>
        </is>
      </c>
      <c r="B193" s="23" t="inlineStr">
        <is>
          <t>ARAME GALVANIZADO 12 BWG, D = 2,76 MM (0,048 KG/M) OU 14 BWG, D = 2,11 MM (0,026 KG/M)</t>
        </is>
      </c>
      <c r="C193" s="22" t="inlineStr">
        <is>
          <t>SINAPI</t>
        </is>
      </c>
      <c r="D193" s="22" t="inlineStr">
        <is>
          <t>KG</t>
        </is>
      </c>
      <c r="E193" s="63" t="n">
        <v>0.079</v>
      </c>
      <c r="F193" s="64">
        <f>ROUND(M193*FATOR, 2)</f>
        <v/>
      </c>
      <c r="G193" s="64">
        <f>ROUND(ROUND(E193,8)*F193,2)</f>
        <v/>
      </c>
      <c r="L193" t="n">
        <v>0.079</v>
      </c>
      <c r="M193" t="n">
        <v>15.67</v>
      </c>
      <c r="N193">
        <f>(M193-F193)</f>
        <v/>
      </c>
    </row>
    <row r="194" ht="21" customHeight="1">
      <c r="A194" s="22" t="inlineStr">
        <is>
          <t>00043132</t>
        </is>
      </c>
      <c r="B194" s="23" t="inlineStr">
        <is>
          <t>ARAME RECOZIDO 16 BWG, D = 1,65 MM (0,016 KG/M) OU 18 BWG, D = 1,25 MM (0,01 KG/M)</t>
        </is>
      </c>
      <c r="C194" s="22" t="inlineStr">
        <is>
          <t>SINAPI</t>
        </is>
      </c>
      <c r="D194" s="22" t="inlineStr">
        <is>
          <t>KG</t>
        </is>
      </c>
      <c r="E194" s="63" t="n">
        <v>0.18</v>
      </c>
      <c r="F194" s="64">
        <f>ROUND(M194*FATOR, 2)</f>
        <v/>
      </c>
      <c r="G194" s="64">
        <f>ROUND(ROUND(E194,8)*F194,2)</f>
        <v/>
      </c>
      <c r="L194" t="n">
        <v>0.18</v>
      </c>
      <c r="M194" t="n">
        <v>15.67</v>
      </c>
      <c r="N194">
        <f>(M194-F194)</f>
        <v/>
      </c>
    </row>
    <row r="195" ht="21" customHeight="1">
      <c r="A195" s="22" t="inlineStr">
        <is>
          <t>00000366</t>
        </is>
      </c>
      <c r="B195" s="23" t="inlineStr">
        <is>
          <t>AREIA FINA - POSTO JAZIDA/FORNECEDOR (RETIRADO NA JAZIDA, SEM TRANSPORTE)</t>
        </is>
      </c>
      <c r="C195" s="22" t="inlineStr">
        <is>
          <t>SINAPI</t>
        </is>
      </c>
      <c r="D195" s="22" t="inlineStr">
        <is>
          <t>M3</t>
        </is>
      </c>
      <c r="E195" s="63" t="n">
        <v>0.01</v>
      </c>
      <c r="F195" s="64">
        <f>ROUND(M195*FATOR, 2)</f>
        <v/>
      </c>
      <c r="G195" s="64">
        <f>ROUND(ROUND(E195,8)*F195,2)</f>
        <v/>
      </c>
      <c r="L195" t="n">
        <v>0.01</v>
      </c>
      <c r="M195" t="n">
        <v>130</v>
      </c>
      <c r="N195">
        <f>(M195-F195)</f>
        <v/>
      </c>
    </row>
    <row r="196" ht="21" customHeight="1">
      <c r="A196" s="22" t="inlineStr">
        <is>
          <t>00000370</t>
        </is>
      </c>
      <c r="B196" s="23" t="inlineStr">
        <is>
          <t>AREIA MEDIA - POSTO JAZIDA/FORNECEDOR (RETIRADO NA JAZIDA, SEM TRANSPORTE)</t>
        </is>
      </c>
      <c r="C196" s="22" t="inlineStr">
        <is>
          <t>SINAPI</t>
        </is>
      </c>
      <c r="D196" s="22" t="inlineStr">
        <is>
          <t>M3</t>
        </is>
      </c>
      <c r="E196" s="63" t="n">
        <v>0.372</v>
      </c>
      <c r="F196" s="64">
        <f>ROUND(M196*FATOR, 2)</f>
        <v/>
      </c>
      <c r="G196" s="64">
        <f>ROUND(ROUND(E196,8)*F196,2)</f>
        <v/>
      </c>
      <c r="L196" t="n">
        <v>0.372</v>
      </c>
      <c r="M196" t="n">
        <v>130</v>
      </c>
      <c r="N196">
        <f>(M196-F196)</f>
        <v/>
      </c>
    </row>
    <row r="197" ht="29" customHeight="1">
      <c r="A197" s="22" t="inlineStr">
        <is>
          <t>00007271</t>
        </is>
      </c>
      <c r="B197" s="23" t="inlineStr">
        <is>
          <t>BLOCO CERAMICO / TIJOLO VAZADO PARA ALVENARIA DE VEDACAO, 8 FUROS NA HORIZONTAL DE 9 X 19 X 19 CM (L X A X C)</t>
        </is>
      </c>
      <c r="C197" s="22" t="inlineStr">
        <is>
          <t>SINAPI</t>
        </is>
      </c>
      <c r="D197" s="22" t="inlineStr">
        <is>
          <t>UN</t>
        </is>
      </c>
      <c r="E197" s="63" t="n">
        <v>15.9</v>
      </c>
      <c r="F197" s="64">
        <f>ROUND(M197*FATOR, 2)</f>
        <v/>
      </c>
      <c r="G197" s="64">
        <f>ROUND(ROUND(E197,8)*F197,2)</f>
        <v/>
      </c>
      <c r="L197" t="n">
        <v>15.9</v>
      </c>
      <c r="M197" t="n">
        <v>0.88</v>
      </c>
      <c r="N197">
        <f>(M197-F197)</f>
        <v/>
      </c>
    </row>
    <row r="198" ht="29" customHeight="1">
      <c r="A198" s="22" t="inlineStr">
        <is>
          <t>00004430</t>
        </is>
      </c>
      <c r="B198" s="23" t="inlineStr">
        <is>
          <t>CAIBRO NAO APARELHADO *5 X 6* CM, EM MACARANDUBA/MASSARANDUBA, ANGELIM OU EQUIVALENTE DA REGIAO - BRUTA</t>
        </is>
      </c>
      <c r="C198" s="22" t="inlineStr">
        <is>
          <t>SINAPI</t>
        </is>
      </c>
      <c r="D198" s="22" t="inlineStr">
        <is>
          <t>M</t>
        </is>
      </c>
      <c r="E198" s="63" t="n">
        <v>4</v>
      </c>
      <c r="F198" s="64">
        <f>ROUND(M198*FATOR, 2)</f>
        <v/>
      </c>
      <c r="G198" s="64">
        <f>ROUND(ROUND(E198,8)*F198,2)</f>
        <v/>
      </c>
      <c r="L198" t="n">
        <v>4</v>
      </c>
      <c r="M198" t="n">
        <v>14.5</v>
      </c>
      <c r="N198">
        <f>(M198-F198)</f>
        <v/>
      </c>
    </row>
    <row r="199" ht="15" customHeight="1">
      <c r="A199" s="22" t="inlineStr">
        <is>
          <t>00001106</t>
        </is>
      </c>
      <c r="B199" s="23" t="inlineStr">
        <is>
          <t>CAL HIDRATADA CH-I PARA ARGAMASSAS</t>
        </is>
      </c>
      <c r="C199" s="22" t="inlineStr">
        <is>
          <t>SINAPI</t>
        </is>
      </c>
      <c r="D199" s="22" t="inlineStr">
        <is>
          <t>KG</t>
        </is>
      </c>
      <c r="E199" s="63" t="n">
        <v>18.778</v>
      </c>
      <c r="F199" s="64">
        <f>ROUND(M199*FATOR, 2)</f>
        <v/>
      </c>
      <c r="G199" s="64">
        <f>ROUND(ROUND(E199,8)*F199,2)</f>
        <v/>
      </c>
      <c r="L199" t="n">
        <v>18.778</v>
      </c>
      <c r="M199" t="n">
        <v>1.28</v>
      </c>
      <c r="N199">
        <f>(M199-F199)</f>
        <v/>
      </c>
    </row>
    <row r="200" ht="15" customHeight="1">
      <c r="A200" s="22" t="inlineStr">
        <is>
          <t>00001379</t>
        </is>
      </c>
      <c r="B200" s="23" t="inlineStr">
        <is>
          <t>CIMENTO PORTLAND COMPOSTO CP II-32</t>
        </is>
      </c>
      <c r="C200" s="22" t="inlineStr">
        <is>
          <t>SINAPI</t>
        </is>
      </c>
      <c r="D200" s="22" t="inlineStr">
        <is>
          <t>KG</t>
        </is>
      </c>
      <c r="E200" s="63" t="n">
        <v>98.848</v>
      </c>
      <c r="F200" s="64">
        <f>ROUND(M200*FATOR, 2)</f>
        <v/>
      </c>
      <c r="G200" s="64">
        <f>ROUND(ROUND(E200,8)*F200,2)</f>
        <v/>
      </c>
      <c r="L200" t="n">
        <v>98.848</v>
      </c>
      <c r="M200" t="n">
        <v>0.74</v>
      </c>
      <c r="N200">
        <f>(M200-F200)</f>
        <v/>
      </c>
    </row>
    <row r="201" ht="15" customHeight="1">
      <c r="A201" s="22" t="inlineStr">
        <is>
          <t>00005318</t>
        </is>
      </c>
      <c r="B201" s="23" t="inlineStr">
        <is>
          <t>DILUENTE AGUARRAS</t>
        </is>
      </c>
      <c r="C201" s="22" t="inlineStr">
        <is>
          <t>SINAPI</t>
        </is>
      </c>
      <c r="D201" s="22" t="inlineStr">
        <is>
          <t>L</t>
        </is>
      </c>
      <c r="E201" s="63" t="n">
        <v>0.02</v>
      </c>
      <c r="F201" s="64">
        <f>ROUND(M201*FATOR, 2)</f>
        <v/>
      </c>
      <c r="G201" s="64">
        <f>ROUND(ROUND(E201,8)*F201,2)</f>
        <v/>
      </c>
      <c r="L201" t="n">
        <v>0.02</v>
      </c>
      <c r="M201" t="n">
        <v>23.98</v>
      </c>
      <c r="N201">
        <f>(M201-F201)</f>
        <v/>
      </c>
    </row>
    <row r="202" ht="21" customHeight="1">
      <c r="A202" s="22" t="inlineStr">
        <is>
          <t>00003148</t>
        </is>
      </c>
      <c r="B202" s="23" t="inlineStr">
        <is>
          <t>FITA VEDA ROSCA, EM PTFE, ROLO DE 18 MM X 50 M (L X C)</t>
        </is>
      </c>
      <c r="C202" s="22" t="inlineStr">
        <is>
          <t>SINAPI</t>
        </is>
      </c>
      <c r="D202" s="22" t="inlineStr">
        <is>
          <t>UN</t>
        </is>
      </c>
      <c r="E202" s="63" t="n">
        <v>0.45</v>
      </c>
      <c r="F202" s="64">
        <f>ROUND(M202*FATOR, 2)</f>
        <v/>
      </c>
      <c r="G202" s="64">
        <f>ROUND(ROUND(E202,8)*F202,2)</f>
        <v/>
      </c>
      <c r="L202" t="n">
        <v>0.45</v>
      </c>
      <c r="M202" t="n">
        <v>14.75</v>
      </c>
      <c r="N202">
        <f>(M202-F202)</f>
        <v/>
      </c>
    </row>
    <row r="203" ht="21" customHeight="1">
      <c r="A203" s="22" t="inlineStr">
        <is>
          <t>00003538</t>
        </is>
      </c>
      <c r="B203" s="23" t="inlineStr">
        <is>
          <t>JOELHO DE REDUCAO, PVC SOLDAVEL, 90 GRAUS, 32 MM X 25 MM, COR MARROM, PARA AGUA FRIA PREDIAL</t>
        </is>
      </c>
      <c r="C203" s="22" t="inlineStr">
        <is>
          <t>SINAPI</t>
        </is>
      </c>
      <c r="D203" s="22" t="inlineStr">
        <is>
          <t>UN</t>
        </is>
      </c>
      <c r="E203" s="63" t="n">
        <v>0.3333</v>
      </c>
      <c r="F203" s="64">
        <f>ROUND(M203*FATOR, 2)</f>
        <v/>
      </c>
      <c r="G203" s="64">
        <f>ROUND(ROUND(E203,8)*F203,2)</f>
        <v/>
      </c>
      <c r="L203" t="n">
        <v>0.3333</v>
      </c>
      <c r="M203" t="n">
        <v>5.39</v>
      </c>
      <c r="N203">
        <f>(M203-F203)</f>
        <v/>
      </c>
    </row>
    <row r="204" ht="21" customHeight="1">
      <c r="A204" s="22" t="inlineStr">
        <is>
          <t>00003529</t>
        </is>
      </c>
      <c r="B204" s="23" t="inlineStr">
        <is>
          <t>JOELHO PVC, SOLDAVEL, 90 GRAUS, 25 MM, COR MARROM, PARA AGUA FRIA PREDIAL</t>
        </is>
      </c>
      <c r="C204" s="22" t="inlineStr">
        <is>
          <t>SINAPI</t>
        </is>
      </c>
      <c r="D204" s="22" t="inlineStr">
        <is>
          <t>UN</t>
        </is>
      </c>
      <c r="E204" s="63" t="n">
        <v>0.6667</v>
      </c>
      <c r="F204" s="64">
        <f>ROUND(M204*FATOR, 2)</f>
        <v/>
      </c>
      <c r="G204" s="64">
        <f>ROUND(ROUND(E204,8)*F204,2)</f>
        <v/>
      </c>
      <c r="L204" t="n">
        <v>0.6667</v>
      </c>
      <c r="M204" t="n">
        <v>0.76</v>
      </c>
      <c r="N204">
        <f>(M204-F204)</f>
        <v/>
      </c>
    </row>
    <row r="205" ht="21" customHeight="1">
      <c r="A205" s="22" t="inlineStr">
        <is>
          <t>00003524</t>
        </is>
      </c>
      <c r="B205" s="23" t="inlineStr">
        <is>
          <t>JOELHO PVC, SOLDAVEL, COM BUCHA DE LATAO, 90 GRAUS, 25 MM X 3/4", PARA AGUA FRIA PREDIAL</t>
        </is>
      </c>
      <c r="C205" s="22" t="inlineStr">
        <is>
          <t>SINAPI</t>
        </is>
      </c>
      <c r="D205" s="22" t="inlineStr">
        <is>
          <t>UN</t>
        </is>
      </c>
      <c r="E205" s="63" t="n">
        <v>0.6667</v>
      </c>
      <c r="F205" s="64">
        <f>ROUND(M205*FATOR, 2)</f>
        <v/>
      </c>
      <c r="G205" s="64">
        <f>ROUND(ROUND(E205,8)*F205,2)</f>
        <v/>
      </c>
      <c r="L205" t="n">
        <v>0.6667</v>
      </c>
      <c r="M205" t="n">
        <v>8.380000000000001</v>
      </c>
      <c r="N205">
        <f>(M205-F205)</f>
        <v/>
      </c>
    </row>
    <row r="206" ht="21" customHeight="1">
      <c r="A206" s="22" t="inlineStr">
        <is>
          <t>00003729</t>
        </is>
      </c>
      <c r="B206" s="23" t="inlineStr">
        <is>
          <t>KIT CAVALETE, PVC, COM REGISTRO, PARA HIDROMETRO, BITOLAS 1/2" OU 3/4" - COMPLETO</t>
        </is>
      </c>
      <c r="C206" s="22" t="inlineStr">
        <is>
          <t>SINAPI</t>
        </is>
      </c>
      <c r="D206" s="22" t="inlineStr">
        <is>
          <t>UN</t>
        </is>
      </c>
      <c r="E206" s="63" t="n">
        <v>1</v>
      </c>
      <c r="F206" s="64">
        <f>ROUND(M206*FATOR, 2)</f>
        <v/>
      </c>
      <c r="G206" s="64">
        <f>ROUND(ROUND(E206,8)*F206,2)</f>
        <v/>
      </c>
      <c r="L206" t="n">
        <v>1</v>
      </c>
      <c r="M206" t="n">
        <v>144.25</v>
      </c>
      <c r="N206">
        <f>(M206-F206)</f>
        <v/>
      </c>
    </row>
    <row r="207" ht="15" customHeight="1">
      <c r="A207" s="22" t="inlineStr">
        <is>
          <t>00003768</t>
        </is>
      </c>
      <c r="B207" s="23" t="inlineStr">
        <is>
          <t>LIXA EM FOLHA PARA FERRO, NUMERO 150</t>
        </is>
      </c>
      <c r="C207" s="22" t="inlineStr">
        <is>
          <t>SINAPI</t>
        </is>
      </c>
      <c r="D207" s="22" t="inlineStr">
        <is>
          <t>UN</t>
        </is>
      </c>
      <c r="E207" s="63" t="n">
        <v>0.11</v>
      </c>
      <c r="F207" s="64">
        <f>ROUND(M207*FATOR, 2)</f>
        <v/>
      </c>
      <c r="G207" s="64">
        <f>ROUND(ROUND(E207,8)*F207,2)</f>
        <v/>
      </c>
      <c r="L207" t="n">
        <v>0.11</v>
      </c>
      <c r="M207" t="n">
        <v>2.36</v>
      </c>
      <c r="N207">
        <f>(M207-F207)</f>
        <v/>
      </c>
    </row>
    <row r="208" ht="21" customHeight="1">
      <c r="A208" s="22" t="inlineStr">
        <is>
          <t>00003767</t>
        </is>
      </c>
      <c r="B208" s="23" t="inlineStr">
        <is>
          <t>LIXA EM FOLHA PARA PAREDE OU MADEIRA, NUMERO 120, COR VERMELHA</t>
        </is>
      </c>
      <c r="C208" s="22" t="inlineStr">
        <is>
          <t>SINAPI</t>
        </is>
      </c>
      <c r="D208" s="22" t="inlineStr">
        <is>
          <t>UN</t>
        </is>
      </c>
      <c r="E208" s="63" t="n">
        <v>0.12</v>
      </c>
      <c r="F208" s="64">
        <f>ROUND(M208*FATOR, 2)</f>
        <v/>
      </c>
      <c r="G208" s="64">
        <f>ROUND(ROUND(E208,8)*F208,2)</f>
        <v/>
      </c>
      <c r="L208" t="n">
        <v>0.12</v>
      </c>
      <c r="M208" t="n">
        <v>0.79</v>
      </c>
      <c r="N208">
        <f>(M208-F208)</f>
        <v/>
      </c>
    </row>
    <row r="209" ht="15" customHeight="1">
      <c r="A209" s="22" t="inlineStr">
        <is>
          <t>00003904</t>
        </is>
      </c>
      <c r="B209" s="23" t="inlineStr">
        <is>
          <t>LUVA PVC SOLDAVEL, 25 MM, PARA AGUA FRIA PREDIAL</t>
        </is>
      </c>
      <c r="C209" s="22" t="inlineStr">
        <is>
          <t>SINAPI</t>
        </is>
      </c>
      <c r="D209" s="22" t="inlineStr">
        <is>
          <t>UN</t>
        </is>
      </c>
      <c r="E209" s="63" t="n">
        <v>10</v>
      </c>
      <c r="F209" s="64">
        <f>ROUND(M209*FATOR, 2)</f>
        <v/>
      </c>
      <c r="G209" s="64">
        <f>ROUND(ROUND(E209,8)*F209,2)</f>
        <v/>
      </c>
      <c r="L209" t="n">
        <v>10</v>
      </c>
      <c r="M209" t="n">
        <v>0.85</v>
      </c>
      <c r="N209">
        <f>(M209-F209)</f>
        <v/>
      </c>
    </row>
    <row r="210" ht="15" customHeight="1">
      <c r="A210" s="22" t="inlineStr">
        <is>
          <t>00003903</t>
        </is>
      </c>
      <c r="B210" s="23" t="inlineStr">
        <is>
          <t>LUVA PVC SOLDAVEL, 32 MM, PARA AGUA FRIA PREDIAL</t>
        </is>
      </c>
      <c r="C210" s="22" t="inlineStr">
        <is>
          <t>SINAPI</t>
        </is>
      </c>
      <c r="D210" s="22" t="inlineStr">
        <is>
          <t>UN</t>
        </is>
      </c>
      <c r="E210" s="63" t="n">
        <v>18</v>
      </c>
      <c r="F210" s="64">
        <f>ROUND(M210*FATOR, 2)</f>
        <v/>
      </c>
      <c r="G210" s="64">
        <f>ROUND(ROUND(E210,8)*F210,2)</f>
        <v/>
      </c>
      <c r="L210" t="n">
        <v>18</v>
      </c>
      <c r="M210" t="n">
        <v>2.08</v>
      </c>
      <c r="N210">
        <f>(M210-F210)</f>
        <v/>
      </c>
    </row>
    <row r="211" ht="21" customHeight="1">
      <c r="A211" s="22" t="inlineStr">
        <is>
          <t>00004721</t>
        </is>
      </c>
      <c r="B211" s="23" t="inlineStr">
        <is>
          <t>PEDRA BRITADA N. 1 (9,5 A 19 MM) POSTO PEDREIRA/FORNECEDOR, SEM FRETE</t>
        </is>
      </c>
      <c r="C211" s="22" t="inlineStr">
        <is>
          <t>SINAPI</t>
        </is>
      </c>
      <c r="D211" s="22" t="inlineStr">
        <is>
          <t>M3</t>
        </is>
      </c>
      <c r="E211" s="63" t="n">
        <v>0.184</v>
      </c>
      <c r="F211" s="64">
        <f>ROUND(M211*FATOR, 2)</f>
        <v/>
      </c>
      <c r="G211" s="64">
        <f>ROUND(ROUND(E211,8)*F211,2)</f>
        <v/>
      </c>
      <c r="L211" t="n">
        <v>0.184</v>
      </c>
      <c r="M211" t="n">
        <v>111.01</v>
      </c>
      <c r="N211">
        <f>(M211-F211)</f>
        <v/>
      </c>
    </row>
    <row r="212" ht="15" customHeight="1">
      <c r="A212" s="22" t="inlineStr">
        <is>
          <t>00005071</t>
        </is>
      </c>
      <c r="B212" s="23" t="inlineStr">
        <is>
          <t>PREGO DE ACO POLIDO COM CABECA 18 X 24 (2 1/4 X 10)</t>
        </is>
      </c>
      <c r="C212" s="22" t="inlineStr">
        <is>
          <t>SINAPI</t>
        </is>
      </c>
      <c r="D212" s="22" t="inlineStr">
        <is>
          <t>KG</t>
        </is>
      </c>
      <c r="E212" s="63" t="n">
        <v>0.2</v>
      </c>
      <c r="F212" s="64">
        <f>ROUND(M212*FATOR, 2)</f>
        <v/>
      </c>
      <c r="G212" s="64">
        <f>ROUND(ROUND(E212,8)*F212,2)</f>
        <v/>
      </c>
      <c r="L212" t="n">
        <v>0.2</v>
      </c>
      <c r="M212" t="n">
        <v>14.19</v>
      </c>
      <c r="N212">
        <f>(M212-F212)</f>
        <v/>
      </c>
    </row>
    <row r="213" ht="21" customHeight="1">
      <c r="A213" s="22" t="inlineStr">
        <is>
          <t>00020055</t>
        </is>
      </c>
      <c r="B213" s="23" t="inlineStr">
        <is>
          <t>REGISTRO DE ESFERA, PVC, COM VOLANTE, VS, ROSCAVEL, DN 1", COM CORPO DIVIDIDO</t>
        </is>
      </c>
      <c r="C213" s="22" t="inlineStr">
        <is>
          <t>SINAPI</t>
        </is>
      </c>
      <c r="D213" s="22" t="inlineStr">
        <is>
          <t>UN</t>
        </is>
      </c>
      <c r="E213" s="63" t="n">
        <v>0.3333</v>
      </c>
      <c r="F213" s="64">
        <f>ROUND(M213*FATOR, 2)</f>
        <v/>
      </c>
      <c r="G213" s="64">
        <f>ROUND(ROUND(E213,8)*F213,2)</f>
        <v/>
      </c>
      <c r="L213" t="n">
        <v>0.3333</v>
      </c>
      <c r="M213" t="n">
        <v>24.59</v>
      </c>
      <c r="N213">
        <f>(M213-F213)</f>
        <v/>
      </c>
    </row>
    <row r="214" ht="21" customHeight="1">
      <c r="A214" s="22" t="inlineStr">
        <is>
          <t>00004509</t>
        </is>
      </c>
      <c r="B214" s="23" t="inlineStr">
        <is>
          <t>SARRAFO *2,5 X 10* CM EM PINUS, MISTA OU EQUIVALENTE DA REGIAO - BRUTA</t>
        </is>
      </c>
      <c r="C214" s="22" t="inlineStr">
        <is>
          <t>SINAPI</t>
        </is>
      </c>
      <c r="D214" s="22" t="inlineStr">
        <is>
          <t>M</t>
        </is>
      </c>
      <c r="E214" s="63" t="n">
        <v>7.4</v>
      </c>
      <c r="F214" s="64">
        <f>ROUND(M214*FATOR, 2)</f>
        <v/>
      </c>
      <c r="G214" s="64">
        <f>ROUND(ROUND(E214,8)*F214,2)</f>
        <v/>
      </c>
      <c r="L214" t="n">
        <v>7.4</v>
      </c>
      <c r="M214" t="n">
        <v>5.61</v>
      </c>
      <c r="N214">
        <f>(M214-F214)</f>
        <v/>
      </c>
    </row>
    <row r="215" ht="15" customHeight="1">
      <c r="A215" s="22" t="inlineStr">
        <is>
          <t>00006085</t>
        </is>
      </c>
      <c r="B215" s="23" t="inlineStr">
        <is>
          <t>SELADOR ACRILICO OPACO PREMIUM INTERIOR/EXTERIOR</t>
        </is>
      </c>
      <c r="C215" s="22" t="inlineStr">
        <is>
          <t>SINAPI</t>
        </is>
      </c>
      <c r="D215" s="22" t="inlineStr">
        <is>
          <t>L</t>
        </is>
      </c>
      <c r="E215" s="63" t="n">
        <v>0.14</v>
      </c>
      <c r="F215" s="64">
        <f>ROUND(M215*FATOR, 2)</f>
        <v/>
      </c>
      <c r="G215" s="64">
        <f>ROUND(ROUND(E215,8)*F215,2)</f>
        <v/>
      </c>
      <c r="L215" t="n">
        <v>0.14</v>
      </c>
      <c r="M215" t="n">
        <v>12.23</v>
      </c>
      <c r="N215">
        <f>(M215-F215)</f>
        <v/>
      </c>
    </row>
    <row r="216" ht="21" customHeight="1">
      <c r="A216" s="22" t="inlineStr">
        <is>
          <t>00020083</t>
        </is>
      </c>
      <c r="B216" s="23" t="inlineStr">
        <is>
          <t>SOLUCAO PREPARADORA / LIMPADORA PARA PVC, FRASCO COM 1000 CM3</t>
        </is>
      </c>
      <c r="C216" s="22" t="inlineStr">
        <is>
          <t>SINAPI</t>
        </is>
      </c>
      <c r="D216" s="22" t="inlineStr">
        <is>
          <t>UN</t>
        </is>
      </c>
      <c r="E216" s="63" t="n">
        <v>0.3333</v>
      </c>
      <c r="F216" s="64">
        <f>ROUND(M216*FATOR, 2)</f>
        <v/>
      </c>
      <c r="G216" s="64">
        <f>ROUND(ROUND(E216,8)*F216,2)</f>
        <v/>
      </c>
      <c r="L216" t="n">
        <v>0.3333</v>
      </c>
      <c r="M216" t="n">
        <v>70.08</v>
      </c>
      <c r="N216">
        <f>(M216-F216)</f>
        <v/>
      </c>
    </row>
    <row r="217" ht="21" customHeight="1">
      <c r="A217" s="22" t="inlineStr">
        <is>
          <t>00007136</t>
        </is>
      </c>
      <c r="B217" s="23" t="inlineStr">
        <is>
          <t>TE DE REDUCAO, PVC, SOLDAVEL, 90 GRAUS, 32 MM X 25 MM, PARA AGUA FRIA PREDIAL</t>
        </is>
      </c>
      <c r="C217" s="22" t="inlineStr">
        <is>
          <t>SINAPI</t>
        </is>
      </c>
      <c r="D217" s="22" t="inlineStr">
        <is>
          <t>UN</t>
        </is>
      </c>
      <c r="E217" s="63" t="n">
        <v>0.3333</v>
      </c>
      <c r="F217" s="64">
        <f>ROUND(M217*FATOR, 2)</f>
        <v/>
      </c>
      <c r="G217" s="64">
        <f>ROUND(ROUND(E217,8)*F217,2)</f>
        <v/>
      </c>
      <c r="L217" t="n">
        <v>0.3333</v>
      </c>
      <c r="M217" t="n">
        <v>6.95</v>
      </c>
      <c r="N217">
        <f>(M217-F217)</f>
        <v/>
      </c>
    </row>
    <row r="218" ht="21" customHeight="1">
      <c r="A218" s="22" t="inlineStr">
        <is>
          <t>00007136</t>
        </is>
      </c>
      <c r="B218" s="23" t="inlineStr">
        <is>
          <t>TE DE REDUCAO, PVC, SOLDAVEL, 90 GRAUS, 32 MM X 25 MM, PARA AGUA FRIA PREDIAL</t>
        </is>
      </c>
      <c r="C218" s="22" t="inlineStr">
        <is>
          <t>SINAPI</t>
        </is>
      </c>
      <c r="D218" s="22" t="inlineStr">
        <is>
          <t>UN</t>
        </is>
      </c>
      <c r="E218" s="63" t="n">
        <v>0.3333</v>
      </c>
      <c r="F218" s="64">
        <f>ROUND(M218*FATOR, 2)</f>
        <v/>
      </c>
      <c r="G218" s="64">
        <f>ROUND(ROUND(E218,8)*F218,2)</f>
        <v/>
      </c>
      <c r="L218" t="n">
        <v>0.3333</v>
      </c>
      <c r="M218" t="n">
        <v>6.95</v>
      </c>
      <c r="N218">
        <f>(M218-F218)</f>
        <v/>
      </c>
    </row>
    <row r="219" ht="21" customHeight="1">
      <c r="A219" s="22" t="inlineStr">
        <is>
          <t>00007258</t>
        </is>
      </c>
      <c r="B219" s="23" t="inlineStr">
        <is>
          <t>TIJOLO CERAMICO MACICO COMUM DE *5 X 10 X 20* CM (L X A X C)</t>
        </is>
      </c>
      <c r="C219" s="22" t="inlineStr">
        <is>
          <t>SINAPI</t>
        </is>
      </c>
      <c r="D219" s="22" t="inlineStr">
        <is>
          <t>UN</t>
        </is>
      </c>
      <c r="E219" s="63" t="n">
        <v>282.24</v>
      </c>
      <c r="F219" s="64">
        <f>ROUND(M219*FATOR, 2)</f>
        <v/>
      </c>
      <c r="G219" s="64">
        <f>ROUND(ROUND(E219,8)*F219,2)</f>
        <v/>
      </c>
      <c r="L219" t="n">
        <v>282.24</v>
      </c>
      <c r="M219" t="n">
        <v>0.6</v>
      </c>
      <c r="N219">
        <f>(M219-F219)</f>
        <v/>
      </c>
    </row>
    <row r="220" ht="21" customHeight="1">
      <c r="A220" s="22" t="inlineStr">
        <is>
          <t>00007293</t>
        </is>
      </c>
      <c r="B220" s="23" t="inlineStr">
        <is>
          <t>TINTA ESMALTE SINTETICO PREMIUM DE DUPLA ACAO GRAFITE FOSCO PARA SUPERFICIES METALICAS FERROSAS</t>
        </is>
      </c>
      <c r="C220" s="22" t="inlineStr">
        <is>
          <t>SINAPI</t>
        </is>
      </c>
      <c r="D220" s="22" t="inlineStr">
        <is>
          <t>L</t>
        </is>
      </c>
      <c r="E220" s="63" t="n">
        <v>0.06</v>
      </c>
      <c r="F220" s="64">
        <f>ROUND(M220*FATOR, 2)</f>
        <v/>
      </c>
      <c r="G220" s="64">
        <f>ROUND(ROUND(E220,8)*F220,2)</f>
        <v/>
      </c>
      <c r="L220" t="n">
        <v>0.06</v>
      </c>
      <c r="M220" t="n">
        <v>49.93</v>
      </c>
      <c r="N220">
        <f>(M220-F220)</f>
        <v/>
      </c>
    </row>
    <row r="221" ht="15" customHeight="1">
      <c r="A221" s="22" t="inlineStr">
        <is>
          <t>00035692</t>
        </is>
      </c>
      <c r="B221" s="23" t="inlineStr">
        <is>
          <t>TINTA LATEX ACRILICA STANDARD, COR BRANCA</t>
        </is>
      </c>
      <c r="C221" s="22" t="inlineStr">
        <is>
          <t>SINAPI</t>
        </is>
      </c>
      <c r="D221" s="22" t="inlineStr">
        <is>
          <t>L</t>
        </is>
      </c>
      <c r="E221" s="63" t="n">
        <v>0.26</v>
      </c>
      <c r="F221" s="64">
        <f>ROUND(M221*FATOR, 2)</f>
        <v/>
      </c>
      <c r="G221" s="64">
        <f>ROUND(ROUND(E221,8)*F221,2)</f>
        <v/>
      </c>
      <c r="L221" t="n">
        <v>0.26</v>
      </c>
      <c r="M221" t="n">
        <v>20.15</v>
      </c>
      <c r="N221">
        <f>(M221-F221)</f>
        <v/>
      </c>
    </row>
    <row r="222" ht="29" customHeight="1">
      <c r="A222" s="22" t="inlineStr">
        <is>
          <t>00007602</t>
        </is>
      </c>
      <c r="B222" s="23" t="inlineStr">
        <is>
          <t>TORNEIRA DE METAL AMARELO, PARA TANQUE / JARDIM, DE PAREDE, COM BICO PLASTICO, CANO CURTO, AREA EXTERNA, PADRAO POPULAR / USO GERAL, 1/2" OU 3/4"</t>
        </is>
      </c>
      <c r="C222" s="22" t="inlineStr">
        <is>
          <t>SINAPI</t>
        </is>
      </c>
      <c r="D222" s="22" t="inlineStr">
        <is>
          <t>UN</t>
        </is>
      </c>
      <c r="E222" s="63" t="n">
        <v>0.6667</v>
      </c>
      <c r="F222" s="64">
        <f>ROUND(M222*FATOR, 2)</f>
        <v/>
      </c>
      <c r="G222" s="64">
        <f>ROUND(ROUND(E222,8)*F222,2)</f>
        <v/>
      </c>
      <c r="L222" t="n">
        <v>0.6667</v>
      </c>
      <c r="M222" t="n">
        <v>47.21</v>
      </c>
      <c r="N222">
        <f>(M222-F222)</f>
        <v/>
      </c>
    </row>
    <row r="223" ht="21" customHeight="1">
      <c r="A223" s="22" t="inlineStr">
        <is>
          <t>00009836</t>
        </is>
      </c>
      <c r="B223" s="23" t="inlineStr">
        <is>
          <t>TUBO PVC SERIE NORMAL, DN 100 MM, PARA ESGOTO PREDIAL (NBR 5688)</t>
        </is>
      </c>
      <c r="C223" s="22" t="inlineStr">
        <is>
          <t>SINAPI</t>
        </is>
      </c>
      <c r="D223" s="22" t="inlineStr">
        <is>
          <t>M</t>
        </is>
      </c>
      <c r="E223" s="63" t="n">
        <v>12.12</v>
      </c>
      <c r="F223" s="64">
        <f>ROUND(M223*FATOR, 2)</f>
        <v/>
      </c>
      <c r="G223" s="64">
        <f>ROUND(ROUND(E223,8)*F223,2)</f>
        <v/>
      </c>
      <c r="L223" t="n">
        <v>12.12</v>
      </c>
      <c r="M223" t="n">
        <v>14.99</v>
      </c>
      <c r="N223">
        <f>(M223-F223)</f>
        <v/>
      </c>
    </row>
    <row r="224" ht="15" customHeight="1">
      <c r="A224" s="22" t="inlineStr">
        <is>
          <t>00009868</t>
        </is>
      </c>
      <c r="B224" s="23" t="inlineStr">
        <is>
          <t>TUBO PVC, SOLDAVEL, DE 25 MM, AGUA FRIA (NBR-5648)</t>
        </is>
      </c>
      <c r="C224" s="22" t="inlineStr">
        <is>
          <t>SINAPI</t>
        </is>
      </c>
      <c r="D224" s="22" t="inlineStr">
        <is>
          <t>M</t>
        </is>
      </c>
      <c r="E224" s="63" t="n">
        <v>21.21</v>
      </c>
      <c r="F224" s="64">
        <f>ROUND(M224*FATOR, 2)</f>
        <v/>
      </c>
      <c r="G224" s="64">
        <f>ROUND(ROUND(E224,8)*F224,2)</f>
        <v/>
      </c>
      <c r="L224" t="n">
        <v>21.21</v>
      </c>
      <c r="M224" t="n">
        <v>4.32</v>
      </c>
      <c r="N224">
        <f>(M224-F224)</f>
        <v/>
      </c>
    </row>
    <row r="225" ht="15" customHeight="1">
      <c r="A225" s="22" t="inlineStr">
        <is>
          <t>00009869</t>
        </is>
      </c>
      <c r="B225" s="23" t="inlineStr">
        <is>
          <t>TUBO PVC, SOLDAVEL, DE 32 MM, AGUA FRIA (NBR-5648)</t>
        </is>
      </c>
      <c r="C225" s="22" t="inlineStr">
        <is>
          <t>SINAPI</t>
        </is>
      </c>
      <c r="D225" s="22" t="inlineStr">
        <is>
          <t>M</t>
        </is>
      </c>
      <c r="E225" s="63" t="n">
        <v>31.1417</v>
      </c>
      <c r="F225" s="64">
        <f>ROUND(M225*FATOR, 2)</f>
        <v/>
      </c>
      <c r="G225" s="64">
        <f>ROUND(ROUND(E225,8)*F225,2)</f>
        <v/>
      </c>
      <c r="L225" t="n">
        <v>31.1417</v>
      </c>
      <c r="M225" t="n">
        <v>9.32</v>
      </c>
      <c r="N225">
        <f>(M225-F225)</f>
        <v/>
      </c>
    </row>
    <row r="226" ht="15" customHeight="1">
      <c r="A226" s="2" t="inlineStr"/>
      <c r="B226" s="2" t="inlineStr"/>
      <c r="C226" s="2" t="inlineStr"/>
      <c r="D226" s="2" t="inlineStr"/>
      <c r="E226" s="26" t="inlineStr">
        <is>
          <t>TOTAL Material:</t>
        </is>
      </c>
      <c r="F226" s="56" t="n"/>
      <c r="G226" s="65">
        <f>SUM(G189:G225)</f>
        <v/>
      </c>
    </row>
    <row r="227" ht="15" customHeight="1">
      <c r="A227" s="20" t="inlineStr">
        <is>
          <t>Mão de Obra com Encargos Complementares</t>
        </is>
      </c>
      <c r="B227" s="56" t="n"/>
      <c r="C227" s="21" t="inlineStr">
        <is>
          <t>FONTE</t>
        </is>
      </c>
      <c r="D227" s="21" t="inlineStr">
        <is>
          <t>UNID</t>
        </is>
      </c>
      <c r="E227" s="21" t="inlineStr">
        <is>
          <t>COEFICIENTE</t>
        </is>
      </c>
      <c r="F227" s="21" t="inlineStr">
        <is>
          <t>PREÇO UNITÁRIO</t>
        </is>
      </c>
      <c r="G227" s="21" t="inlineStr">
        <is>
          <t>TOTAL</t>
        </is>
      </c>
    </row>
    <row r="228" ht="21" customHeight="1">
      <c r="A228" s="22" t="inlineStr">
        <is>
          <t>88238</t>
        </is>
      </c>
      <c r="B228" s="23" t="inlineStr">
        <is>
          <t>AJUDANTE DE ARMADOR COM ENCARGOS COMPLEMENTARES</t>
        </is>
      </c>
      <c r="C228" s="22" t="inlineStr">
        <is>
          <t>SINAPI</t>
        </is>
      </c>
      <c r="D228" s="22" t="inlineStr">
        <is>
          <t>H</t>
        </is>
      </c>
      <c r="E228" s="63">
        <f>L228*FATOR</f>
        <v/>
      </c>
      <c r="F228" s="64">
        <f>'COMPOSICOES AUXILIARES'!G26</f>
        <v/>
      </c>
      <c r="G228" s="64">
        <f>ROUND(ROUND(E228,8)*F228,2)</f>
        <v/>
      </c>
      <c r="L228" t="n">
        <v>17.7066</v>
      </c>
      <c r="M228" t="n">
        <v>24.77</v>
      </c>
      <c r="N228">
        <f>(M228-F228)</f>
        <v/>
      </c>
    </row>
    <row r="229" ht="15" customHeight="1">
      <c r="A229" s="22" t="inlineStr">
        <is>
          <t>88245</t>
        </is>
      </c>
      <c r="B229" s="23" t="inlineStr">
        <is>
          <t>ARMADOR COM ENCARGOS COMPLEMENTARES</t>
        </is>
      </c>
      <c r="C229" s="22" t="inlineStr">
        <is>
          <t>SINAPI</t>
        </is>
      </c>
      <c r="D229" s="22" t="inlineStr">
        <is>
          <t>H</t>
        </is>
      </c>
      <c r="E229" s="63">
        <f>L229*FATOR</f>
        <v/>
      </c>
      <c r="F229" s="64">
        <f>'COMPOSICOES AUXILIARES'!G26</f>
        <v/>
      </c>
      <c r="G229" s="64">
        <f>ROUND(ROUND(E229,8)*F229,2)</f>
        <v/>
      </c>
      <c r="L229" t="n">
        <v>0.46</v>
      </c>
      <c r="M229" t="n">
        <v>30.43</v>
      </c>
      <c r="N229">
        <f>(M229-F229)</f>
        <v/>
      </c>
    </row>
    <row r="230" ht="21" customHeight="1">
      <c r="A230" s="22" t="inlineStr">
        <is>
          <t>88267</t>
        </is>
      </c>
      <c r="B230" s="23" t="inlineStr">
        <is>
          <t>ENCANADOR OU BOMBEIRO HIDRÁULICO COM ENCARGOS COMPLEMENTARES</t>
        </is>
      </c>
      <c r="C230" s="22" t="inlineStr">
        <is>
          <t>SINAPI</t>
        </is>
      </c>
      <c r="D230" s="22" t="inlineStr">
        <is>
          <t>H</t>
        </is>
      </c>
      <c r="E230" s="63">
        <f>L230*FATOR</f>
        <v/>
      </c>
      <c r="F230" s="64">
        <f>'COMPOSICOES AUXILIARES'!G524</f>
        <v/>
      </c>
      <c r="G230" s="64">
        <f>ROUND(ROUND(E230,8)*F230,2)</f>
        <v/>
      </c>
      <c r="L230" t="n">
        <v>17.6366</v>
      </c>
      <c r="M230" t="n">
        <v>29.86</v>
      </c>
      <c r="N230">
        <f>(M230-F230)</f>
        <v/>
      </c>
    </row>
    <row r="231" ht="15" customHeight="1">
      <c r="A231" s="22" t="inlineStr">
        <is>
          <t>88309</t>
        </is>
      </c>
      <c r="B231" s="23" t="inlineStr">
        <is>
          <t>PEDREIRO COM ENCARGOS COMPLEMENTARES</t>
        </is>
      </c>
      <c r="C231" s="22" t="inlineStr">
        <is>
          <t>SINAPI</t>
        </is>
      </c>
      <c r="D231" s="22" t="inlineStr">
        <is>
          <t>H</t>
        </is>
      </c>
      <c r="E231" s="63">
        <f>L231*FATOR</f>
        <v/>
      </c>
      <c r="F231" s="64">
        <f>'COMPOSICOES AUXILIARES'!G2887</f>
        <v/>
      </c>
      <c r="G231" s="64">
        <f>ROUND(ROUND(E231,8)*F231,2)</f>
        <v/>
      </c>
      <c r="L231" t="n">
        <v>12.008</v>
      </c>
      <c r="M231" t="n">
        <v>30.58</v>
      </c>
      <c r="N231">
        <f>(M231-F231)</f>
        <v/>
      </c>
    </row>
    <row r="232" ht="15" customHeight="1">
      <c r="A232" s="22" t="inlineStr">
        <is>
          <t>88310</t>
        </is>
      </c>
      <c r="B232" s="23" t="inlineStr">
        <is>
          <t>PINTOR COM ENCARGOS COMPLEMENTARES</t>
        </is>
      </c>
      <c r="C232" s="22" t="inlineStr">
        <is>
          <t>SINAPI</t>
        </is>
      </c>
      <c r="D232" s="22" t="inlineStr">
        <is>
          <t>H</t>
        </is>
      </c>
      <c r="E232" s="63">
        <f>L232*FATOR</f>
        <v/>
      </c>
      <c r="F232" s="64">
        <f>'COMPOSICOES AUXILIARES'!G3047</f>
        <v/>
      </c>
      <c r="G232" s="64">
        <f>ROUND(ROUND(E232,8)*F232,2)</f>
        <v/>
      </c>
      <c r="L232" t="n">
        <v>0.7</v>
      </c>
      <c r="M232" t="n">
        <v>32.25</v>
      </c>
      <c r="N232">
        <f>(M232-F232)</f>
        <v/>
      </c>
    </row>
    <row r="233" ht="15" customHeight="1">
      <c r="A233" s="22" t="inlineStr">
        <is>
          <t>88316</t>
        </is>
      </c>
      <c r="B233" s="23" t="inlineStr">
        <is>
          <t>SERVENTE COM ENCARGOS COMPLEMENTARES</t>
        </is>
      </c>
      <c r="C233" s="22" t="inlineStr">
        <is>
          <t>SINAPI</t>
        </is>
      </c>
      <c r="D233" s="22" t="inlineStr">
        <is>
          <t>H</t>
        </is>
      </c>
      <c r="E233" s="63">
        <f>L233*FATOR</f>
        <v/>
      </c>
      <c r="F233" s="64">
        <f>'COMPOSICOES AUXILIARES'!G3390</f>
        <v/>
      </c>
      <c r="G233" s="64">
        <f>ROUND(ROUND(E233,8)*F233,2)</f>
        <v/>
      </c>
      <c r="L233" t="n">
        <v>65.53060000000001</v>
      </c>
      <c r="M233" t="n">
        <v>23.56</v>
      </c>
      <c r="N233">
        <f>(M233-F233)</f>
        <v/>
      </c>
    </row>
    <row r="234" ht="18" customHeight="1">
      <c r="A234" s="2" t="inlineStr"/>
      <c r="B234" s="2" t="inlineStr"/>
      <c r="C234" s="2" t="inlineStr"/>
      <c r="D234" s="2" t="inlineStr"/>
      <c r="E234" s="26" t="inlineStr">
        <is>
          <t>TOTAL Mão de Obra com Encargos Complementares:</t>
        </is>
      </c>
      <c r="F234" s="56" t="n"/>
      <c r="G234" s="65">
        <f>SUM(G228:G233)</f>
        <v/>
      </c>
    </row>
    <row r="235" ht="15" customHeight="1">
      <c r="A235" s="20" t="inlineStr">
        <is>
          <t>Serviço</t>
        </is>
      </c>
      <c r="B235" s="56" t="n"/>
      <c r="C235" s="21" t="inlineStr">
        <is>
          <t>FONTE</t>
        </is>
      </c>
      <c r="D235" s="21" t="inlineStr">
        <is>
          <t>UNID</t>
        </is>
      </c>
      <c r="E235" s="21" t="inlineStr">
        <is>
          <t>COEFICIENTE</t>
        </is>
      </c>
      <c r="F235" s="21" t="inlineStr">
        <is>
          <t>PREÇO UNITÁRIO</t>
        </is>
      </c>
      <c r="G235" s="21" t="inlineStr">
        <is>
          <t>TOTAL</t>
        </is>
      </c>
    </row>
    <row r="236" ht="38" customHeight="1">
      <c r="A236" s="22" t="inlineStr">
        <is>
          <t>102969</t>
        </is>
      </c>
      <c r="B236" s="23" t="inlineStr">
        <is>
          <t>COMPRESSOR DE AR, VAZAO DE 10 PCM, RESERVATORIO 100 L, PRESSAO DE TRABALHO ENTRE 6,9 E 9,7 BAR, POTENCIA 2 HP, TENSAO 110/220 V - MATERIAIS NA OPERAÇÃO. AF_05/2023</t>
        </is>
      </c>
      <c r="C236" s="22" t="inlineStr">
        <is>
          <t>SINAPI</t>
        </is>
      </c>
      <c r="D236" s="22" t="inlineStr">
        <is>
          <t>H</t>
        </is>
      </c>
      <c r="E236" s="63" t="n">
        <v>0.99</v>
      </c>
      <c r="F236" s="64">
        <f>'COMPOSICOES AUXILIARES'!G1095</f>
        <v/>
      </c>
      <c r="G236" s="64">
        <f>ROUND(ROUND(E236,8)*F236,2)</f>
        <v/>
      </c>
      <c r="L236" t="n">
        <v>0.99</v>
      </c>
      <c r="M236" t="n">
        <v>0.15</v>
      </c>
      <c r="N236">
        <f>(M236-F236)</f>
        <v/>
      </c>
    </row>
    <row r="237" ht="15" customHeight="1">
      <c r="A237" s="2" t="inlineStr"/>
      <c r="B237" s="2" t="inlineStr"/>
      <c r="C237" s="2" t="inlineStr"/>
      <c r="D237" s="2" t="inlineStr"/>
      <c r="E237" s="26" t="inlineStr">
        <is>
          <t>TOTAL Serviço:</t>
        </is>
      </c>
      <c r="F237" s="56" t="n"/>
      <c r="G237" s="65">
        <f>SUM(G236:G236)</f>
        <v/>
      </c>
    </row>
    <row r="238" ht="15" customHeight="1">
      <c r="A238" s="2" t="inlineStr"/>
      <c r="B238" s="2" t="inlineStr"/>
      <c r="C238" s="2" t="inlineStr"/>
      <c r="D238" s="2" t="inlineStr"/>
      <c r="E238" s="28" t="inlineStr">
        <is>
          <t>VALOR:</t>
        </is>
      </c>
      <c r="F238" s="56" t="n"/>
      <c r="G238" s="66">
        <f>SUM(G226,G234,G237)</f>
        <v/>
      </c>
    </row>
    <row r="239" ht="15" customHeight="1">
      <c r="A239" s="2" t="inlineStr"/>
      <c r="B239" s="2" t="inlineStr"/>
      <c r="C239" s="2" t="inlineStr"/>
      <c r="D239" s="2" t="inlineStr"/>
      <c r="E239" s="28" t="inlineStr">
        <is>
          <t>VALOR BDI (23.08%):</t>
        </is>
      </c>
      <c r="F239" s="56" t="n"/>
      <c r="G239" s="66">
        <f>ROUNDDOWN(G238*BDI,2)</f>
        <v/>
      </c>
    </row>
    <row r="240" ht="15" customHeight="1">
      <c r="A240" s="2" t="inlineStr"/>
      <c r="B240" s="2" t="inlineStr"/>
      <c r="C240" s="2" t="inlineStr"/>
      <c r="D240" s="2" t="inlineStr"/>
      <c r="E240" s="28" t="inlineStr">
        <is>
          <t>VALOR COM BDI:</t>
        </is>
      </c>
      <c r="F240" s="56" t="n"/>
      <c r="G240" s="66">
        <f>G239 + G238</f>
        <v/>
      </c>
    </row>
    <row r="241" ht="10" customHeight="1">
      <c r="A241" s="2" t="inlineStr"/>
      <c r="B241" s="2" t="inlineStr"/>
      <c r="C241" s="2" t="inlineStr"/>
      <c r="D241" s="2" t="inlineStr"/>
      <c r="E241" s="18" t="inlineStr"/>
    </row>
    <row r="242" ht="20" customHeight="1">
      <c r="A242" s="19" t="inlineStr">
        <is>
          <t>2.1.3.2. ​370PRÓPRIO​ LIGAÇÃO PROVISÓRIA LUZ E FORÇA​ (UN)</t>
        </is>
      </c>
      <c r="B242" s="55" t="n"/>
      <c r="C242" s="55" t="n"/>
      <c r="D242" s="55" t="n"/>
      <c r="E242" s="55" t="n"/>
      <c r="F242" s="55" t="n"/>
      <c r="G242" s="56" t="n"/>
    </row>
    <row r="243" ht="15" customHeight="1">
      <c r="A243" s="20" t="inlineStr">
        <is>
          <t>Material</t>
        </is>
      </c>
      <c r="B243" s="56" t="n"/>
      <c r="C243" s="21" t="inlineStr">
        <is>
          <t>FONTE</t>
        </is>
      </c>
      <c r="D243" s="21" t="inlineStr">
        <is>
          <t>UNID</t>
        </is>
      </c>
      <c r="E243" s="21" t="inlineStr">
        <is>
          <t>COEFICIENTE</t>
        </is>
      </c>
      <c r="F243" s="21" t="inlineStr">
        <is>
          <t>PREÇO UNITÁRIO</t>
        </is>
      </c>
      <c r="G243" s="21" t="inlineStr">
        <is>
          <t>TOTAL</t>
        </is>
      </c>
    </row>
    <row r="244" ht="15" customHeight="1">
      <c r="A244" s="22" t="inlineStr">
        <is>
          <t>3022</t>
        </is>
      </c>
      <c r="B244" s="23" t="inlineStr">
        <is>
          <t>BASE DZ DE 25A A 63A</t>
        </is>
      </c>
      <c r="C244" s="22" t="inlineStr">
        <is>
          <t>GOINFRA CIVIL</t>
        </is>
      </c>
      <c r="D244" s="22" t="inlineStr">
        <is>
          <t>un</t>
        </is>
      </c>
      <c r="E244" s="63" t="n">
        <v>1</v>
      </c>
      <c r="F244" s="64">
        <f>ROUND(M244*FATOR, 2)</f>
        <v/>
      </c>
      <c r="G244" s="64">
        <f>ROUND(ROUND(E244,8)*F244,2)</f>
        <v/>
      </c>
      <c r="L244" t="n">
        <v>1</v>
      </c>
      <c r="M244" t="n">
        <v>37.35</v>
      </c>
      <c r="N244">
        <f>(M244-F244)</f>
        <v/>
      </c>
    </row>
    <row r="245" ht="21" customHeight="1">
      <c r="A245" s="22" t="inlineStr">
        <is>
          <t>3042</t>
        </is>
      </c>
      <c r="B245" s="23" t="inlineStr">
        <is>
          <t>BOTOEIRA "LIGA-DESLIGA" PARA INSTALAÇÃO EM PORTA DE QUADRO</t>
        </is>
      </c>
      <c r="C245" s="22" t="inlineStr">
        <is>
          <t>GOINFRA CIVIL</t>
        </is>
      </c>
      <c r="D245" s="22" t="inlineStr">
        <is>
          <t>un</t>
        </is>
      </c>
      <c r="E245" s="63" t="n">
        <v>1</v>
      </c>
      <c r="F245" s="64">
        <f>ROUND(M245*FATOR, 2)</f>
        <v/>
      </c>
      <c r="G245" s="64">
        <f>ROUND(ROUND(E245,8)*F245,2)</f>
        <v/>
      </c>
      <c r="L245" t="n">
        <v>1</v>
      </c>
      <c r="M245" t="n">
        <v>41.73</v>
      </c>
      <c r="N245">
        <f>(M245-F245)</f>
        <v/>
      </c>
    </row>
    <row r="246" ht="29" customHeight="1">
      <c r="A246" s="22" t="inlineStr">
        <is>
          <t>00000979</t>
        </is>
      </c>
      <c r="B246" s="23" t="inlineStr">
        <is>
          <t>CABO DE COBRE, FLEXIVEL, CLASSE 4 OU 5, ISOLACAO EM PVC/A, ANTICHAMA BWF-B, 1 CONDUTOR, 450/750 V, SECAO NOMINAL 16 MM2</t>
        </is>
      </c>
      <c r="C246" s="22" t="inlineStr">
        <is>
          <t>SINAPI</t>
        </is>
      </c>
      <c r="D246" s="22" t="inlineStr">
        <is>
          <t>M</t>
        </is>
      </c>
      <c r="E246" s="63" t="n">
        <v>5.1</v>
      </c>
      <c r="F246" s="64">
        <f>ROUND(M246*FATOR, 2)</f>
        <v/>
      </c>
      <c r="G246" s="64">
        <f>ROUND(ROUND(E246,8)*F246,2)</f>
        <v/>
      </c>
      <c r="L246" t="n">
        <v>5.1</v>
      </c>
      <c r="M246" t="n">
        <v>16.21</v>
      </c>
      <c r="N246">
        <f>(M246-F246)</f>
        <v/>
      </c>
    </row>
    <row r="247" ht="38" customHeight="1">
      <c r="A247" s="22" t="inlineStr">
        <is>
          <t>00005090</t>
        </is>
      </c>
      <c r="B247" s="23" t="inlineStr">
        <is>
          <t>CADEADO SIMPLES, CORPO EM LATAO MACICO, COM LARGURA DE 25 MM E ALTURA DE APROX 25 MM, HASTE CEMENTADA (NAO LONGA), EM ACO TEMPERADO COM DIAMETRO DE APROX 5,0 MM, INCLUINDO 2 CHAVES</t>
        </is>
      </c>
      <c r="C247" s="22" t="inlineStr">
        <is>
          <t>SINAPI</t>
        </is>
      </c>
      <c r="D247" s="22" t="inlineStr">
        <is>
          <t>UN</t>
        </is>
      </c>
      <c r="E247" s="63" t="n">
        <v>1.25</v>
      </c>
      <c r="F247" s="64">
        <f>ROUND(M247*FATOR, 2)</f>
        <v/>
      </c>
      <c r="G247" s="64">
        <f>ROUND(ROUND(E247,8)*F247,2)</f>
        <v/>
      </c>
      <c r="L247" t="n">
        <v>1.25</v>
      </c>
      <c r="M247" t="n">
        <v>21</v>
      </c>
      <c r="N247">
        <f>(M247-F247)</f>
        <v/>
      </c>
    </row>
    <row r="248" ht="21" customHeight="1">
      <c r="A248" s="22" t="inlineStr">
        <is>
          <t>00001872</t>
        </is>
      </c>
      <c r="B248" s="23" t="inlineStr">
        <is>
          <t>CAIXA DE PASSAGEM, EM PVC, DE 4" X 2", PARA ELETRODUTO FLEXIVEL CORRUGADO</t>
        </is>
      </c>
      <c r="C248" s="22" t="inlineStr">
        <is>
          <t>SINAPI</t>
        </is>
      </c>
      <c r="D248" s="22" t="inlineStr">
        <is>
          <t>UN</t>
        </is>
      </c>
      <c r="E248" s="63" t="n">
        <v>0.5</v>
      </c>
      <c r="F248" s="64">
        <f>ROUND(M248*FATOR, 2)</f>
        <v/>
      </c>
      <c r="G248" s="64">
        <f>ROUND(ROUND(E248,8)*F248,2)</f>
        <v/>
      </c>
      <c r="L248" t="n">
        <v>0.5</v>
      </c>
      <c r="M248" t="n">
        <v>1.78</v>
      </c>
      <c r="N248">
        <f>(M248-F248)</f>
        <v/>
      </c>
    </row>
    <row r="249" ht="29" customHeight="1">
      <c r="A249" s="22" t="inlineStr">
        <is>
          <t>00011251</t>
        </is>
      </c>
      <c r="B249" s="23" t="inlineStr">
        <is>
          <t>CAIXA DE PASSAGEM/ LUZ / TELEFONIA, DE EMBUTIR, EM CHAPA DE ACO GALVANIZADO, DIMENSOES 40 X 40 X *12* CM (PADRAO CONCESSIONARIA LOCAL)</t>
        </is>
      </c>
      <c r="C249" s="22" t="inlineStr">
        <is>
          <t>SINAPI</t>
        </is>
      </c>
      <c r="D249" s="22" t="inlineStr">
        <is>
          <t>UN</t>
        </is>
      </c>
      <c r="E249" s="63" t="n">
        <v>1</v>
      </c>
      <c r="F249" s="64">
        <f>ROUND(M249*FATOR, 2)</f>
        <v/>
      </c>
      <c r="G249" s="64">
        <f>ROUND(ROUND(E249,8)*F249,2)</f>
        <v/>
      </c>
      <c r="L249" t="n">
        <v>1</v>
      </c>
      <c r="M249" t="n">
        <v>112.42</v>
      </c>
      <c r="N249">
        <f>(M249-F249)</f>
        <v/>
      </c>
    </row>
    <row r="250" ht="15" customHeight="1">
      <c r="A250" s="22" t="inlineStr">
        <is>
          <t>3174</t>
        </is>
      </c>
      <c r="B250" s="23" t="inlineStr">
        <is>
          <t>CHAVE TRIPOLAR TIPO PACCO 63A</t>
        </is>
      </c>
      <c r="C250" s="22" t="inlineStr">
        <is>
          <t>GOINFRA CIVIL</t>
        </is>
      </c>
      <c r="D250" s="22" t="inlineStr">
        <is>
          <t>un</t>
        </is>
      </c>
      <c r="E250" s="63" t="n">
        <v>1</v>
      </c>
      <c r="F250" s="64">
        <f>ROUND(M250*FATOR, 2)</f>
        <v/>
      </c>
      <c r="G250" s="64">
        <f>ROUND(ROUND(E250,8)*F250,2)</f>
        <v/>
      </c>
      <c r="L250" t="n">
        <v>1</v>
      </c>
      <c r="M250" t="n">
        <v>231.07</v>
      </c>
      <c r="N250">
        <f>(M250-F250)</f>
        <v/>
      </c>
    </row>
    <row r="251" ht="15" customHeight="1">
      <c r="A251" s="22" t="inlineStr">
        <is>
          <t>00001379</t>
        </is>
      </c>
      <c r="B251" s="23" t="inlineStr">
        <is>
          <t>CIMENTO PORTLAND COMPOSTO CP II-32</t>
        </is>
      </c>
      <c r="C251" s="22" t="inlineStr">
        <is>
          <t>SINAPI</t>
        </is>
      </c>
      <c r="D251" s="22" t="inlineStr">
        <is>
          <t>KG</t>
        </is>
      </c>
      <c r="E251" s="63" t="n">
        <v>58.2297</v>
      </c>
      <c r="F251" s="64">
        <f>ROUND(M251*FATOR, 2)</f>
        <v/>
      </c>
      <c r="G251" s="64">
        <f>ROUND(ROUND(E251,8)*F251,2)</f>
        <v/>
      </c>
      <c r="L251" t="n">
        <v>58.2297</v>
      </c>
      <c r="M251" t="n">
        <v>0.74</v>
      </c>
      <c r="N251">
        <f>(M251-F251)</f>
        <v/>
      </c>
    </row>
    <row r="252" ht="21" customHeight="1">
      <c r="A252" s="22" t="inlineStr">
        <is>
          <t>00001619</t>
        </is>
      </c>
      <c r="B252" s="23" t="inlineStr">
        <is>
          <t>CONTATOR TRIPOLAR, CORRENTE DE 25 A, TENSAO NOMINAL DE *500* V, CATEGORIA AC-2 E AC-3</t>
        </is>
      </c>
      <c r="C252" s="22" t="inlineStr">
        <is>
          <t>SINAPI</t>
        </is>
      </c>
      <c r="D252" s="22" t="inlineStr">
        <is>
          <t>UN</t>
        </is>
      </c>
      <c r="E252" s="63" t="n">
        <v>1</v>
      </c>
      <c r="F252" s="64">
        <f>ROUND(M252*FATOR, 2)</f>
        <v/>
      </c>
      <c r="G252" s="64">
        <f>ROUND(ROUND(E252,8)*F252,2)</f>
        <v/>
      </c>
      <c r="L252" t="n">
        <v>1</v>
      </c>
      <c r="M252" t="n">
        <v>202.67</v>
      </c>
      <c r="N252">
        <f>(M252-F252)</f>
        <v/>
      </c>
    </row>
    <row r="253" ht="21" customHeight="1">
      <c r="A253" s="22" t="inlineStr">
        <is>
          <t>00034653</t>
        </is>
      </c>
      <c r="B253" s="23" t="inlineStr">
        <is>
          <t>DISJUNTOR TERMOMAGNETICO PARA TRILHO DIN (IEC), MONOPOLAR, 6 - 32 A</t>
        </is>
      </c>
      <c r="C253" s="22" t="inlineStr">
        <is>
          <t>SINAPI</t>
        </is>
      </c>
      <c r="D253" s="22" t="inlineStr">
        <is>
          <t>UN</t>
        </is>
      </c>
      <c r="E253" s="63" t="n">
        <v>0.25</v>
      </c>
      <c r="F253" s="64">
        <f>ROUND(M253*FATOR, 2)</f>
        <v/>
      </c>
      <c r="G253" s="64">
        <f>ROUND(ROUND(E253,8)*F253,2)</f>
        <v/>
      </c>
      <c r="L253" t="n">
        <v>0.25</v>
      </c>
      <c r="M253" t="n">
        <v>9.26</v>
      </c>
      <c r="N253">
        <f>(M253-F253)</f>
        <v/>
      </c>
    </row>
    <row r="254" ht="21" customHeight="1">
      <c r="A254" s="22" t="inlineStr">
        <is>
          <t>00034709</t>
        </is>
      </c>
      <c r="B254" s="23" t="inlineStr">
        <is>
          <t>DISJUNTOR TERMOMAGNETICO PARA TRILHO DIN (IEC), TRIPOLAR, 10 - 50 A</t>
        </is>
      </c>
      <c r="C254" s="22" t="inlineStr">
        <is>
          <t>SINAPI</t>
        </is>
      </c>
      <c r="D254" s="22" t="inlineStr">
        <is>
          <t>UN</t>
        </is>
      </c>
      <c r="E254" s="63" t="n">
        <v>1.25</v>
      </c>
      <c r="F254" s="64">
        <f>ROUND(M254*FATOR, 2)</f>
        <v/>
      </c>
      <c r="G254" s="64">
        <f>ROUND(ROUND(E254,8)*F254,2)</f>
        <v/>
      </c>
      <c r="L254" t="n">
        <v>1.25</v>
      </c>
      <c r="M254" t="n">
        <v>65.06999999999999</v>
      </c>
      <c r="N254">
        <f>(M254-F254)</f>
        <v/>
      </c>
    </row>
    <row r="255" ht="21" customHeight="1">
      <c r="A255" s="22" t="inlineStr">
        <is>
          <t>00034709</t>
        </is>
      </c>
      <c r="B255" s="23" t="inlineStr">
        <is>
          <t>DISJUNTOR TERMOMAGNETICO PARA TRILHO DIN (IEC), TRIPOLAR, 10 - 50 A</t>
        </is>
      </c>
      <c r="C255" s="22" t="inlineStr">
        <is>
          <t>SINAPI</t>
        </is>
      </c>
      <c r="D255" s="22" t="inlineStr">
        <is>
          <t>UN</t>
        </is>
      </c>
      <c r="E255" s="63" t="n">
        <v>0.75</v>
      </c>
      <c r="F255" s="64">
        <f>ROUND(M255*FATOR, 2)</f>
        <v/>
      </c>
      <c r="G255" s="64">
        <f>ROUND(ROUND(E255,8)*F255,2)</f>
        <v/>
      </c>
      <c r="L255" t="n">
        <v>0.75</v>
      </c>
      <c r="M255" t="n">
        <v>65.06999999999999</v>
      </c>
      <c r="N255">
        <f>(M255-F255)</f>
        <v/>
      </c>
    </row>
    <row r="256" ht="21" customHeight="1">
      <c r="A256" s="22" t="inlineStr">
        <is>
          <t>00002391</t>
        </is>
      </c>
      <c r="B256" s="23" t="inlineStr">
        <is>
          <t>DISJUNTOR TERMOMAGNETICO TRIPOLAR 125 A / 425 V / ICC - 25 KA</t>
        </is>
      </c>
      <c r="C256" s="22" t="inlineStr">
        <is>
          <t>SINAPI</t>
        </is>
      </c>
      <c r="D256" s="22" t="inlineStr">
        <is>
          <t>UN</t>
        </is>
      </c>
      <c r="E256" s="63" t="n">
        <v>0.25</v>
      </c>
      <c r="F256" s="64">
        <f>ROUND(M256*FATOR, 2)</f>
        <v/>
      </c>
      <c r="G256" s="64">
        <f>ROUND(ROUND(E256,8)*F256,2)</f>
        <v/>
      </c>
      <c r="L256" t="n">
        <v>0.25</v>
      </c>
      <c r="M256" t="n">
        <v>354.93</v>
      </c>
      <c r="N256">
        <f>(M256-F256)</f>
        <v/>
      </c>
    </row>
    <row r="257" ht="21" customHeight="1">
      <c r="A257" s="22" t="inlineStr">
        <is>
          <t>00039467</t>
        </is>
      </c>
      <c r="B257" s="23" t="inlineStr">
        <is>
          <t>DISPOSITIVO DPS CLASSE II, 1 POLO, TENSAO MAXIMA DE 175 V, CORRENTE MAXIMA DE *45* KA (TIPO AC)</t>
        </is>
      </c>
      <c r="C257" s="22" t="inlineStr">
        <is>
          <t>SINAPI</t>
        </is>
      </c>
      <c r="D257" s="22" t="inlineStr">
        <is>
          <t>UN</t>
        </is>
      </c>
      <c r="E257" s="63" t="n">
        <v>0.75</v>
      </c>
      <c r="F257" s="64">
        <f>ROUND(M257*FATOR, 2)</f>
        <v/>
      </c>
      <c r="G257" s="64">
        <f>ROUND(ROUND(E257,8)*F257,2)</f>
        <v/>
      </c>
      <c r="L257" t="n">
        <v>0.75</v>
      </c>
      <c r="M257" t="n">
        <v>99.77</v>
      </c>
      <c r="N257">
        <f>(M257-F257)</f>
        <v/>
      </c>
    </row>
    <row r="258" ht="21" customHeight="1">
      <c r="A258" s="22" t="inlineStr">
        <is>
          <t>00000937</t>
        </is>
      </c>
      <c r="B258" s="23" t="inlineStr">
        <is>
          <t>FIO DE COBRE, SOLIDO, CLASSE 1, ISOLACAO EM PVC/A, ANTICHAMA BWF-B, 450/750V, SECAO NOMINAL 10 MM2</t>
        </is>
      </c>
      <c r="C258" s="22" t="inlineStr">
        <is>
          <t>SINAPI</t>
        </is>
      </c>
      <c r="D258" s="22" t="inlineStr">
        <is>
          <t>M</t>
        </is>
      </c>
      <c r="E258" s="63" t="n">
        <v>125.5875</v>
      </c>
      <c r="F258" s="64">
        <f>ROUND(M258*FATOR, 2)</f>
        <v/>
      </c>
      <c r="G258" s="64">
        <f>ROUND(ROUND(E258,8)*F258,2)</f>
        <v/>
      </c>
      <c r="L258" t="n">
        <v>125.5875</v>
      </c>
      <c r="M258" t="n">
        <v>10.02</v>
      </c>
      <c r="N258">
        <f>(M258-F258)</f>
        <v/>
      </c>
    </row>
    <row r="259" ht="21" customHeight="1">
      <c r="A259" s="22" t="inlineStr">
        <is>
          <t>00000939</t>
        </is>
      </c>
      <c r="B259" s="23" t="inlineStr">
        <is>
          <t>FIO DE COBRE, SOLIDO, CLASSE 1, ISOLACAO EM PVC/A, ANTICHAMA BWF-B, 450/750V, SECAO NOMINAL 2,5 MM2</t>
        </is>
      </c>
      <c r="C259" s="22" t="inlineStr">
        <is>
          <t>SINAPI</t>
        </is>
      </c>
      <c r="D259" s="22" t="inlineStr">
        <is>
          <t>M</t>
        </is>
      </c>
      <c r="E259" s="63" t="n">
        <v>159.375</v>
      </c>
      <c r="F259" s="64">
        <f>ROUND(M259*FATOR, 2)</f>
        <v/>
      </c>
      <c r="G259" s="64">
        <f>ROUND(ROUND(E259,8)*F259,2)</f>
        <v/>
      </c>
      <c r="L259" t="n">
        <v>159.375</v>
      </c>
      <c r="M259" t="n">
        <v>2.78</v>
      </c>
      <c r="N259">
        <f>(M259-F259)</f>
        <v/>
      </c>
    </row>
    <row r="260" ht="21" customHeight="1">
      <c r="A260" s="22" t="inlineStr">
        <is>
          <t>00020111</t>
        </is>
      </c>
      <c r="B260" s="23" t="inlineStr">
        <is>
          <t>FITA ISOLANTE ADESIVA ANTICHAMA, USO ATE 750 V, EM ROLO DE 19 MM X 20 M</t>
        </is>
      </c>
      <c r="C260" s="22" t="inlineStr">
        <is>
          <t>SINAPI</t>
        </is>
      </c>
      <c r="D260" s="22" t="inlineStr">
        <is>
          <t>UN</t>
        </is>
      </c>
      <c r="E260" s="63" t="n">
        <v>0.5</v>
      </c>
      <c r="F260" s="64">
        <f>ROUND(M260*FATOR, 2)</f>
        <v/>
      </c>
      <c r="G260" s="64">
        <f>ROUND(ROUND(E260,8)*F260,2)</f>
        <v/>
      </c>
      <c r="L260" t="n">
        <v>0.5</v>
      </c>
      <c r="M260" t="n">
        <v>10</v>
      </c>
      <c r="N260">
        <f>(M260-F260)</f>
        <v/>
      </c>
    </row>
    <row r="261" ht="21" customHeight="1">
      <c r="A261" s="22" t="inlineStr">
        <is>
          <t>00000404</t>
        </is>
      </c>
      <c r="B261" s="23" t="inlineStr">
        <is>
          <t>FITA ISOLANTE DE BORRACHA AUTOFUSAO, USO ATE 69 KV (ALTA TENSAO), LARGURA DE 19 MM</t>
        </is>
      </c>
      <c r="C261" s="22" t="inlineStr">
        <is>
          <t>SINAPI</t>
        </is>
      </c>
      <c r="D261" s="22" t="inlineStr">
        <is>
          <t>M</t>
        </is>
      </c>
      <c r="E261" s="63" t="n">
        <v>5</v>
      </c>
      <c r="F261" s="64">
        <f>ROUND(M261*FATOR, 2)</f>
        <v/>
      </c>
      <c r="G261" s="64">
        <f>ROUND(ROUND(E261,8)*F261,2)</f>
        <v/>
      </c>
      <c r="L261" t="n">
        <v>5</v>
      </c>
      <c r="M261" t="n">
        <v>1.36</v>
      </c>
      <c r="N261">
        <f>(M261-F261)</f>
        <v/>
      </c>
    </row>
    <row r="262" ht="29" customHeight="1">
      <c r="A262" s="22" t="inlineStr">
        <is>
          <t>00012343</t>
        </is>
      </c>
      <c r="B262" s="23" t="inlineStr">
        <is>
          <t>FUSIVEL DIAZED 35 A TAMANHO DIII, CAPACIDADE DE INTERRUPCAO DE 50 KA EM VCA E 8 KA EM VCC, TENSAO NOMINAL DE 500 V</t>
        </is>
      </c>
      <c r="C262" s="22" t="inlineStr">
        <is>
          <t>SINAPI</t>
        </is>
      </c>
      <c r="D262" s="22" t="inlineStr">
        <is>
          <t>UN</t>
        </is>
      </c>
      <c r="E262" s="63" t="n">
        <v>1</v>
      </c>
      <c r="F262" s="64">
        <f>ROUND(M262*FATOR, 2)</f>
        <v/>
      </c>
      <c r="G262" s="64">
        <f>ROUND(ROUND(E262,8)*F262,2)</f>
        <v/>
      </c>
      <c r="L262" t="n">
        <v>1</v>
      </c>
      <c r="M262" t="n">
        <v>7.38</v>
      </c>
      <c r="N262">
        <f>(M262-F262)</f>
        <v/>
      </c>
    </row>
    <row r="263" ht="29" customHeight="1">
      <c r="A263" s="22" t="inlineStr">
        <is>
          <t>00003380</t>
        </is>
      </c>
      <c r="B263" s="23" t="inlineStr">
        <is>
          <t>HASTE DE ATERRAMENTO EM ACO COM 3,00 M DE COMPRIMENTO E DN = 5/8", REVESTIDA COM BAIXA CAMADA DE COBRE, COM CONECTOR TIPO GRAMPO</t>
        </is>
      </c>
      <c r="C263" s="22" t="inlineStr">
        <is>
          <t>SINAPI</t>
        </is>
      </c>
      <c r="D263" s="22" t="inlineStr">
        <is>
          <t>UN</t>
        </is>
      </c>
      <c r="E263" s="63" t="n">
        <v>1.25</v>
      </c>
      <c r="F263" s="64">
        <f>ROUND(M263*FATOR, 2)</f>
        <v/>
      </c>
      <c r="G263" s="64">
        <f>ROUND(ROUND(E263,8)*F263,2)</f>
        <v/>
      </c>
      <c r="L263" t="n">
        <v>1.25</v>
      </c>
      <c r="M263" t="n">
        <v>55.84</v>
      </c>
      <c r="N263">
        <f>(M263-F263)</f>
        <v/>
      </c>
    </row>
    <row r="264" ht="15" customHeight="1">
      <c r="A264" s="22" t="inlineStr">
        <is>
          <t>3752</t>
        </is>
      </c>
      <c r="B264" s="23" t="inlineStr">
        <is>
          <t>INTERRUPTOR PARA QUADRO DE COMANDO</t>
        </is>
      </c>
      <c r="C264" s="22" t="inlineStr">
        <is>
          <t>GOINFRA CIVIL</t>
        </is>
      </c>
      <c r="D264" s="22" t="inlineStr">
        <is>
          <t>un</t>
        </is>
      </c>
      <c r="E264" s="63" t="n">
        <v>1</v>
      </c>
      <c r="F264" s="64">
        <f>ROUND(M264*FATOR, 2)</f>
        <v/>
      </c>
      <c r="G264" s="64">
        <f>ROUND(ROUND(E264,8)*F264,2)</f>
        <v/>
      </c>
      <c r="L264" t="n">
        <v>1</v>
      </c>
      <c r="M264" t="n">
        <v>18.34</v>
      </c>
      <c r="N264">
        <f>(M264-F264)</f>
        <v/>
      </c>
    </row>
    <row r="265" ht="21" customHeight="1">
      <c r="A265" s="22" t="inlineStr">
        <is>
          <t>00038062</t>
        </is>
      </c>
      <c r="B265" s="23" t="inlineStr">
        <is>
          <t>INTERRUPTOR SIMPLES 10A, 250V, CONJUNTO MONTADO PARA EMBUTIR 4" X 2" (PLACA + SUPORTE + MODULO)</t>
        </is>
      </c>
      <c r="C265" s="22" t="inlineStr">
        <is>
          <t>SINAPI</t>
        </is>
      </c>
      <c r="D265" s="22" t="inlineStr">
        <is>
          <t>UN</t>
        </is>
      </c>
      <c r="E265" s="63" t="n">
        <v>1.5</v>
      </c>
      <c r="F265" s="64">
        <f>ROUND(M265*FATOR, 2)</f>
        <v/>
      </c>
      <c r="G265" s="64">
        <f>ROUND(ROUND(E265,8)*F265,2)</f>
        <v/>
      </c>
      <c r="L265" t="n">
        <v>1.5</v>
      </c>
      <c r="M265" t="n">
        <v>6.98</v>
      </c>
      <c r="N265">
        <f>(M265-F265)</f>
        <v/>
      </c>
    </row>
    <row r="266" ht="21" customHeight="1">
      <c r="A266" s="22" t="inlineStr">
        <is>
          <t>00038194</t>
        </is>
      </c>
      <c r="B266" s="23" t="inlineStr">
        <is>
          <t>LAMPADA LED 10 W BIVOLT BRANCA, FORMATO TRADICIONAL (BASE E27)</t>
        </is>
      </c>
      <c r="C266" s="22" t="inlineStr">
        <is>
          <t>SINAPI</t>
        </is>
      </c>
      <c r="D266" s="22" t="inlineStr">
        <is>
          <t>UN</t>
        </is>
      </c>
      <c r="E266" s="63" t="n">
        <v>6.25</v>
      </c>
      <c r="F266" s="64">
        <f>ROUND(M266*FATOR, 2)</f>
        <v/>
      </c>
      <c r="G266" s="64">
        <f>ROUND(ROUND(E266,8)*F266,2)</f>
        <v/>
      </c>
      <c r="L266" t="n">
        <v>6.25</v>
      </c>
      <c r="M266" t="n">
        <v>4.3</v>
      </c>
      <c r="N266">
        <f>(M266-F266)</f>
        <v/>
      </c>
    </row>
    <row r="267" ht="15" customHeight="1">
      <c r="A267" s="22" t="inlineStr">
        <is>
          <t>3389</t>
        </is>
      </c>
      <c r="B267" s="23" t="inlineStr">
        <is>
          <t>PARAFUSO DE AJUSTE TIPO DZ ATE 63A</t>
        </is>
      </c>
      <c r="C267" s="22" t="inlineStr">
        <is>
          <t>GOINFRA CIVIL</t>
        </is>
      </c>
      <c r="D267" s="22" t="inlineStr">
        <is>
          <t>un</t>
        </is>
      </c>
      <c r="E267" s="63" t="n">
        <v>1</v>
      </c>
      <c r="F267" s="64">
        <f>ROUND(M267*FATOR, 2)</f>
        <v/>
      </c>
      <c r="G267" s="64">
        <f>ROUND(ROUND(E267,8)*F267,2)</f>
        <v/>
      </c>
      <c r="L267" t="n">
        <v>1</v>
      </c>
      <c r="M267" t="n">
        <v>18.43</v>
      </c>
      <c r="N267">
        <f>(M267-F267)</f>
        <v/>
      </c>
    </row>
    <row r="268" ht="21" customHeight="1">
      <c r="A268" s="22" t="inlineStr">
        <is>
          <t>00004343</t>
        </is>
      </c>
      <c r="B268" s="23" t="inlineStr">
        <is>
          <t>PARAFUSO FRANCES ZINCADO, DIAMETRO 1/2", COMPRIMENTO 4", COM PORCA E ARRUELA</t>
        </is>
      </c>
      <c r="C268" s="22" t="inlineStr">
        <is>
          <t>SINAPI</t>
        </is>
      </c>
      <c r="D268" s="22" t="inlineStr">
        <is>
          <t>UN</t>
        </is>
      </c>
      <c r="E268" s="63" t="n">
        <v>16</v>
      </c>
      <c r="F268" s="64">
        <f>ROUND(M268*FATOR, 2)</f>
        <v/>
      </c>
      <c r="G268" s="64">
        <f>ROUND(ROUND(E268,8)*F268,2)</f>
        <v/>
      </c>
      <c r="L268" t="n">
        <v>16</v>
      </c>
      <c r="M268" t="n">
        <v>6.44</v>
      </c>
      <c r="N268">
        <f>(M268-F268)</f>
        <v/>
      </c>
    </row>
    <row r="269" ht="29" customHeight="1">
      <c r="A269" s="22" t="inlineStr">
        <is>
          <t>00039805</t>
        </is>
      </c>
      <c r="B269" s="23" t="inlineStr">
        <is>
          <t>QUADRO DE DISTRIBUICAO, EM PVC, DE EMBUTIR, COM BARRAMENTO TERRA / NEUTRO, PARA 12 DISJUNTORES NEMA OU 16 DISJUNTORES DIN</t>
        </is>
      </c>
      <c r="C269" s="22" t="inlineStr">
        <is>
          <t>SINAPI</t>
        </is>
      </c>
      <c r="D269" s="22" t="inlineStr">
        <is>
          <t>UN</t>
        </is>
      </c>
      <c r="E269" s="63" t="n">
        <v>0.25</v>
      </c>
      <c r="F269" s="64">
        <f>ROUND(M269*FATOR, 2)</f>
        <v/>
      </c>
      <c r="G269" s="64">
        <f>ROUND(ROUND(E269,8)*F269,2)</f>
        <v/>
      </c>
      <c r="L269" t="n">
        <v>0.25</v>
      </c>
      <c r="M269" t="n">
        <v>125.69</v>
      </c>
      <c r="N269">
        <f>(M269-F269)</f>
        <v/>
      </c>
    </row>
    <row r="270" ht="15" customHeight="1">
      <c r="A270" s="22" t="inlineStr">
        <is>
          <t>3751</t>
        </is>
      </c>
      <c r="B270" s="23" t="inlineStr">
        <is>
          <t>RELE DE FALTA DE FASE 380 V - 60 HZ</t>
        </is>
      </c>
      <c r="C270" s="22" t="inlineStr">
        <is>
          <t>GOINFRA CIVIL</t>
        </is>
      </c>
      <c r="D270" s="22" t="inlineStr">
        <is>
          <t>un</t>
        </is>
      </c>
      <c r="E270" s="63" t="n">
        <v>1</v>
      </c>
      <c r="F270" s="64">
        <f>ROUND(M270*FATOR, 2)</f>
        <v/>
      </c>
      <c r="G270" s="64">
        <f>ROUND(ROUND(E270,8)*F270,2)</f>
        <v/>
      </c>
      <c r="L270" t="n">
        <v>1</v>
      </c>
      <c r="M270" t="n">
        <v>141.78</v>
      </c>
      <c r="N270">
        <f>(M270-F270)</f>
        <v/>
      </c>
    </row>
    <row r="271" ht="29" customHeight="1">
      <c r="A271" s="22" t="inlineStr">
        <is>
          <t>00012359</t>
        </is>
      </c>
      <c r="B271" s="23" t="inlineStr">
        <is>
          <t>RELE TERMICO BIMETAL PARA USO EM MOTORES TRIFASICOS, TENSAO 380 V, POTENCIA ATE 15 CV, CORRENTE NOMINAL MAXIMA 22 A</t>
        </is>
      </c>
      <c r="C271" s="22" t="inlineStr">
        <is>
          <t>SINAPI</t>
        </is>
      </c>
      <c r="D271" s="22" t="inlineStr">
        <is>
          <t>UN</t>
        </is>
      </c>
      <c r="E271" s="63" t="n">
        <v>1</v>
      </c>
      <c r="F271" s="64">
        <f>ROUND(M271*FATOR, 2)</f>
        <v/>
      </c>
      <c r="G271" s="64">
        <f>ROUND(ROUND(E271,8)*F271,2)</f>
        <v/>
      </c>
      <c r="L271" t="n">
        <v>1</v>
      </c>
      <c r="M271" t="n">
        <v>149.98</v>
      </c>
      <c r="N271">
        <f>(M271-F271)</f>
        <v/>
      </c>
    </row>
    <row r="272" ht="21" customHeight="1">
      <c r="A272" s="22" t="inlineStr">
        <is>
          <t>00020256</t>
        </is>
      </c>
      <c r="B272" s="23" t="inlineStr">
        <is>
          <t>ROLDANA PLASTICA COM PREGO, TAMANHO 30 X 30 MM, PARA INSTALACAO ELETRICA APARENTE</t>
        </is>
      </c>
      <c r="C272" s="22" t="inlineStr">
        <is>
          <t>SINAPI</t>
        </is>
      </c>
      <c r="D272" s="22" t="inlineStr">
        <is>
          <t>UN</t>
        </is>
      </c>
      <c r="E272" s="63" t="n">
        <v>21</v>
      </c>
      <c r="F272" s="64">
        <f>ROUND(M272*FATOR, 2)</f>
        <v/>
      </c>
      <c r="G272" s="64">
        <f>ROUND(ROUND(E272,8)*F272,2)</f>
        <v/>
      </c>
      <c r="L272" t="n">
        <v>21</v>
      </c>
      <c r="M272" t="n">
        <v>0.27</v>
      </c>
      <c r="N272">
        <f>(M272-F272)</f>
        <v/>
      </c>
    </row>
    <row r="273" ht="21" customHeight="1">
      <c r="A273" s="22" t="inlineStr">
        <is>
          <t>00012294</t>
        </is>
      </c>
      <c r="B273" s="23" t="inlineStr">
        <is>
          <t>SOQUETE DE PORCELANA BASE E27, PARA USO AO TEMPO, PARA LAMPADAS</t>
        </is>
      </c>
      <c r="C273" s="22" t="inlineStr">
        <is>
          <t>SINAPI</t>
        </is>
      </c>
      <c r="D273" s="22" t="inlineStr">
        <is>
          <t>UN</t>
        </is>
      </c>
      <c r="E273" s="63" t="n">
        <v>6.25</v>
      </c>
      <c r="F273" s="64">
        <f>ROUND(M273*FATOR, 2)</f>
        <v/>
      </c>
      <c r="G273" s="64">
        <f>ROUND(ROUND(E273,8)*F273,2)</f>
        <v/>
      </c>
      <c r="L273" t="n">
        <v>6.25</v>
      </c>
      <c r="M273" t="n">
        <v>7.16</v>
      </c>
      <c r="N273">
        <f>(M273-F273)</f>
        <v/>
      </c>
    </row>
    <row r="274" ht="15" customHeight="1">
      <c r="A274" s="22" t="inlineStr">
        <is>
          <t>3459</t>
        </is>
      </c>
      <c r="B274" s="23" t="inlineStr">
        <is>
          <t>TAMPA TIPO DZ ATE 63A</t>
        </is>
      </c>
      <c r="C274" s="22" t="inlineStr">
        <is>
          <t>GOINFRA CIVIL</t>
        </is>
      </c>
      <c r="D274" s="22" t="inlineStr">
        <is>
          <t>un</t>
        </is>
      </c>
      <c r="E274" s="63" t="n">
        <v>1</v>
      </c>
      <c r="F274" s="64">
        <f>ROUND(M274*FATOR, 2)</f>
        <v/>
      </c>
      <c r="G274" s="64">
        <f>ROUND(ROUND(E274,8)*F274,2)</f>
        <v/>
      </c>
      <c r="L274" t="n">
        <v>1</v>
      </c>
      <c r="M274" t="n">
        <v>17.23</v>
      </c>
      <c r="N274">
        <f>(M274-F274)</f>
        <v/>
      </c>
    </row>
    <row r="275" ht="21" customHeight="1">
      <c r="A275" s="22" t="inlineStr">
        <is>
          <t>00012147</t>
        </is>
      </c>
      <c r="B275" s="23" t="inlineStr">
        <is>
          <t>TOMADA 2P+T 10A, 250V, CONJUNTO MONTADO PARA SOBREPOR 4" X 2" (CAIXA + MODULO)</t>
        </is>
      </c>
      <c r="C275" s="22" t="inlineStr">
        <is>
          <t>SINAPI</t>
        </is>
      </c>
      <c r="D275" s="22" t="inlineStr">
        <is>
          <t>UN</t>
        </is>
      </c>
      <c r="E275" s="63" t="n">
        <v>0.5</v>
      </c>
      <c r="F275" s="64">
        <f>ROUND(M275*FATOR, 2)</f>
        <v/>
      </c>
      <c r="G275" s="64">
        <f>ROUND(ROUND(E275,8)*F275,2)</f>
        <v/>
      </c>
      <c r="L275" t="n">
        <v>0.5</v>
      </c>
      <c r="M275" t="n">
        <v>13.87</v>
      </c>
      <c r="N275">
        <f>(M275-F275)</f>
        <v/>
      </c>
    </row>
    <row r="276" ht="29" customHeight="1">
      <c r="A276" s="22" t="inlineStr">
        <is>
          <t>00004425</t>
        </is>
      </c>
      <c r="B276" s="23" t="inlineStr">
        <is>
          <t>VIGA NAO APARELHADA *6 X 12* CM, EM MACARANDUBA/MASSARANDUBA, ANGELIM OU EQUIVALENTE DA REGIAO - BRUTA</t>
        </is>
      </c>
      <c r="C276" s="22" t="inlineStr">
        <is>
          <t>SINAPI</t>
        </is>
      </c>
      <c r="D276" s="22" t="inlineStr">
        <is>
          <t>M</t>
        </is>
      </c>
      <c r="E276" s="63" t="n">
        <v>26</v>
      </c>
      <c r="F276" s="64">
        <f>ROUND(M276*FATOR, 2)</f>
        <v/>
      </c>
      <c r="G276" s="64">
        <f>ROUND(ROUND(E276,8)*F276,2)</f>
        <v/>
      </c>
      <c r="L276" t="n">
        <v>26</v>
      </c>
      <c r="M276" t="n">
        <v>30.67</v>
      </c>
      <c r="N276">
        <f>(M276-F276)</f>
        <v/>
      </c>
    </row>
    <row r="277" ht="15" customHeight="1">
      <c r="A277" s="2" t="inlineStr"/>
      <c r="B277" s="2" t="inlineStr"/>
      <c r="C277" s="2" t="inlineStr"/>
      <c r="D277" s="2" t="inlineStr"/>
      <c r="E277" s="26" t="inlineStr">
        <is>
          <t>TOTAL Material:</t>
        </is>
      </c>
      <c r="F277" s="56" t="n"/>
      <c r="G277" s="65">
        <f>SUM(G244:G276)</f>
        <v/>
      </c>
    </row>
    <row r="278" ht="15" customHeight="1">
      <c r="A278" s="20" t="inlineStr">
        <is>
          <t>Mão de Obra com Encargos Complementares</t>
        </is>
      </c>
      <c r="B278" s="56" t="n"/>
      <c r="C278" s="21" t="inlineStr">
        <is>
          <t>FONTE</t>
        </is>
      </c>
      <c r="D278" s="21" t="inlineStr">
        <is>
          <t>UNID</t>
        </is>
      </c>
      <c r="E278" s="21" t="inlineStr">
        <is>
          <t>COEFICIENTE</t>
        </is>
      </c>
      <c r="F278" s="21" t="inlineStr">
        <is>
          <t>PREÇO UNITÁRIO</t>
        </is>
      </c>
      <c r="G278" s="21" t="inlineStr">
        <is>
          <t>TOTAL</t>
        </is>
      </c>
    </row>
    <row r="279" ht="21" customHeight="1">
      <c r="A279" s="22" t="inlineStr">
        <is>
          <t>88247</t>
        </is>
      </c>
      <c r="B279" s="23" t="inlineStr">
        <is>
          <t>AUXILIAR DE ELETRICISTA COM ENCARGOS COMPLEMENTARES</t>
        </is>
      </c>
      <c r="C279" s="22" t="inlineStr">
        <is>
          <t>SINAPI</t>
        </is>
      </c>
      <c r="D279" s="22" t="inlineStr">
        <is>
          <t>H</t>
        </is>
      </c>
      <c r="E279" s="63">
        <f>L279*FATOR</f>
        <v/>
      </c>
      <c r="F279" s="64">
        <f>'COMPOSICOES AUXILIARES'!G505</f>
        <v/>
      </c>
      <c r="G279" s="64">
        <f>ROUND(ROUND(E279,8)*F279,2)</f>
        <v/>
      </c>
      <c r="L279" t="n">
        <v>16.66</v>
      </c>
      <c r="M279" t="n">
        <v>25.22</v>
      </c>
      <c r="N279">
        <f>(M279-F279)</f>
        <v/>
      </c>
    </row>
    <row r="280" ht="15" customHeight="1">
      <c r="A280" s="22" t="inlineStr">
        <is>
          <t>88264</t>
        </is>
      </c>
      <c r="B280" s="23" t="inlineStr">
        <is>
          <t>ELETRICISTA COM ENCARGOS COMPLEMENTARES</t>
        </is>
      </c>
      <c r="C280" s="22" t="inlineStr">
        <is>
          <t>SINAPI</t>
        </is>
      </c>
      <c r="D280" s="22" t="inlineStr">
        <is>
          <t>H</t>
        </is>
      </c>
      <c r="E280" s="63">
        <f>L280*FATOR</f>
        <v/>
      </c>
      <c r="F280" s="64">
        <f>'COMPOSICOES AUXILIARES'!G505</f>
        <v/>
      </c>
      <c r="G280" s="64">
        <f>ROUND(ROUND(E280,8)*F280,2)</f>
        <v/>
      </c>
      <c r="L280" t="n">
        <v>16.66</v>
      </c>
      <c r="M280" t="n">
        <v>30.96</v>
      </c>
      <c r="N280">
        <f>(M280-F280)</f>
        <v/>
      </c>
    </row>
    <row r="281" ht="21" customHeight="1">
      <c r="A281" s="22" t="inlineStr">
        <is>
          <t>88377</t>
        </is>
      </c>
      <c r="B281" s="23" t="inlineStr">
        <is>
          <t>OPERADOR DE BETONEIRA ESTACIONÁRIA/MISTURADOR COM ENCARGOS COMPLEMENTARES</t>
        </is>
      </c>
      <c r="C281" s="22" t="inlineStr">
        <is>
          <t>SINAPI</t>
        </is>
      </c>
      <c r="D281" s="22" t="inlineStr">
        <is>
          <t>H</t>
        </is>
      </c>
      <c r="E281" s="63">
        <f>L281*FATOR</f>
        <v/>
      </c>
      <c r="F281" s="64">
        <f>'COMPOSICOES AUXILIARES'!G2811</f>
        <v/>
      </c>
      <c r="G281" s="64">
        <f>ROUND(ROUND(E281,8)*F281,2)</f>
        <v/>
      </c>
      <c r="L281" t="n">
        <v>0.5872000000000001</v>
      </c>
      <c r="M281" t="n">
        <v>29.43</v>
      </c>
      <c r="N281">
        <f>(M281-F281)</f>
        <v/>
      </c>
    </row>
    <row r="282" ht="15" customHeight="1">
      <c r="A282" s="22" t="inlineStr">
        <is>
          <t>88316</t>
        </is>
      </c>
      <c r="B282" s="23" t="inlineStr">
        <is>
          <t>SERVENTE COM ENCARGOS COMPLEMENTARES</t>
        </is>
      </c>
      <c r="C282" s="22" t="inlineStr">
        <is>
          <t>SINAPI</t>
        </is>
      </c>
      <c r="D282" s="22" t="inlineStr">
        <is>
          <t>H</t>
        </is>
      </c>
      <c r="E282" s="63">
        <f>L282*FATOR</f>
        <v/>
      </c>
      <c r="F282" s="64">
        <f>'COMPOSICOES AUXILIARES'!G3390</f>
        <v/>
      </c>
      <c r="G282" s="64">
        <f>ROUND(ROUND(E282,8)*F282,2)</f>
        <v/>
      </c>
      <c r="L282" t="n">
        <v>5.5907</v>
      </c>
      <c r="M282" t="n">
        <v>23.56</v>
      </c>
      <c r="N282">
        <f>(M282-F282)</f>
        <v/>
      </c>
    </row>
    <row r="283" ht="18" customHeight="1">
      <c r="A283" s="2" t="inlineStr"/>
      <c r="B283" s="2" t="inlineStr"/>
      <c r="C283" s="2" t="inlineStr"/>
      <c r="D283" s="2" t="inlineStr"/>
      <c r="E283" s="26" t="inlineStr">
        <is>
          <t>TOTAL Mão de Obra com Encargos Complementares:</t>
        </is>
      </c>
      <c r="F283" s="56" t="n"/>
      <c r="G283" s="65">
        <f>SUM(G279:G282)</f>
        <v/>
      </c>
    </row>
    <row r="284" ht="15" customHeight="1">
      <c r="A284" s="2" t="inlineStr"/>
      <c r="B284" s="2" t="inlineStr"/>
      <c r="C284" s="2" t="inlineStr"/>
      <c r="D284" s="2" t="inlineStr"/>
      <c r="E284" s="28" t="inlineStr">
        <is>
          <t>VALOR:</t>
        </is>
      </c>
      <c r="F284" s="56" t="n"/>
      <c r="G284" s="66">
        <f>SUM(G283,G277)</f>
        <v/>
      </c>
    </row>
    <row r="285" ht="15" customHeight="1">
      <c r="A285" s="2" t="inlineStr"/>
      <c r="B285" s="2" t="inlineStr"/>
      <c r="C285" s="2" t="inlineStr"/>
      <c r="D285" s="2" t="inlineStr"/>
      <c r="E285" s="28" t="inlineStr">
        <is>
          <t>VALOR BDI (23.08%):</t>
        </is>
      </c>
      <c r="F285" s="56" t="n"/>
      <c r="G285" s="66">
        <f>ROUNDDOWN(G284*BDI,2)</f>
        <v/>
      </c>
    </row>
    <row r="286" ht="15" customHeight="1">
      <c r="A286" s="2" t="inlineStr"/>
      <c r="B286" s="2" t="inlineStr"/>
      <c r="C286" s="2" t="inlineStr"/>
      <c r="D286" s="2" t="inlineStr"/>
      <c r="E286" s="28" t="inlineStr">
        <is>
          <t>VALOR COM BDI:</t>
        </is>
      </c>
      <c r="F286" s="56" t="n"/>
      <c r="G286" s="66">
        <f>G285 + G284</f>
        <v/>
      </c>
    </row>
    <row r="287" ht="10" customHeight="1">
      <c r="A287" s="2" t="inlineStr"/>
      <c r="B287" s="2" t="inlineStr"/>
      <c r="C287" s="2" t="inlineStr"/>
      <c r="D287" s="2" t="inlineStr"/>
      <c r="E287" s="18" t="inlineStr"/>
    </row>
    <row r="288" ht="20" customHeight="1">
      <c r="A288" s="19" t="inlineStr">
        <is>
          <t>2.1.4.1. ​103689​ FORNECIMENTO E INSTALAÇÃO DE PLACA DE OBRA COM CHAPA GALVANIZADA EESTRUTURA DE MADEIRA. AF_03/2022_PS​ (M2)</t>
        </is>
      </c>
      <c r="B288" s="55" t="n"/>
      <c r="C288" s="55" t="n"/>
      <c r="D288" s="55" t="n"/>
      <c r="E288" s="55" t="n"/>
      <c r="F288" s="55" t="n"/>
      <c r="G288" s="56" t="n"/>
    </row>
    <row r="289" ht="15" customHeight="1">
      <c r="A289" s="20" t="inlineStr">
        <is>
          <t>Material</t>
        </is>
      </c>
      <c r="B289" s="56" t="n"/>
      <c r="C289" s="21" t="inlineStr">
        <is>
          <t>FONTE</t>
        </is>
      </c>
      <c r="D289" s="21" t="inlineStr">
        <is>
          <t>UNID</t>
        </is>
      </c>
      <c r="E289" s="21" t="inlineStr">
        <is>
          <t>COEFICIENTE</t>
        </is>
      </c>
      <c r="F289" s="21" t="inlineStr">
        <is>
          <t>PREÇO UNITÁRIO</t>
        </is>
      </c>
      <c r="G289" s="21" t="inlineStr">
        <is>
          <t>TOTAL</t>
        </is>
      </c>
    </row>
    <row r="290" ht="29" customHeight="1">
      <c r="A290" s="22" t="inlineStr">
        <is>
          <t>00004813</t>
        </is>
      </c>
      <c r="B290" s="23" t="inlineStr">
        <is>
          <t>PLACA DE OBRA (PARA CONSTRUCAO CIVIL) EM CHAPA GALVANIZADA *N. 22*, ADESIVADA, DE *2,4 X 1,2* M (SEM POSTES PARA FIXACAO)</t>
        </is>
      </c>
      <c r="C290" s="22" t="inlineStr">
        <is>
          <t>SINAPI</t>
        </is>
      </c>
      <c r="D290" s="22" t="inlineStr">
        <is>
          <t>M2</t>
        </is>
      </c>
      <c r="E290" s="63" t="n">
        <v>1</v>
      </c>
      <c r="F290" s="64">
        <f>ROUND(M290*FATOR, 2)</f>
        <v/>
      </c>
      <c r="G290" s="64">
        <f>TRUNC(TRUNC(E290,8)*F290,2)</f>
        <v/>
      </c>
      <c r="L290" t="n">
        <v>1</v>
      </c>
      <c r="M290" t="n">
        <v>400</v>
      </c>
      <c r="N290">
        <f>(M290-F290)</f>
        <v/>
      </c>
    </row>
    <row r="291" ht="15" customHeight="1">
      <c r="A291" s="22" t="inlineStr">
        <is>
          <t>00005065</t>
        </is>
      </c>
      <c r="B291" s="23" t="inlineStr">
        <is>
          <t>PREGO DE ACO POLIDO COM CABECA 10 X 10 (7/8 X 17)</t>
        </is>
      </c>
      <c r="C291" s="22" t="inlineStr">
        <is>
          <t>SINAPI</t>
        </is>
      </c>
      <c r="D291" s="22" t="inlineStr">
        <is>
          <t>KG</t>
        </is>
      </c>
      <c r="E291" s="63" t="n">
        <v>0.0113</v>
      </c>
      <c r="F291" s="64">
        <f>ROUND(M291*FATOR, 2)</f>
        <v/>
      </c>
      <c r="G291" s="64">
        <f>TRUNC(TRUNC(E291,8)*F291,2)</f>
        <v/>
      </c>
      <c r="L291" t="n">
        <v>0.0113</v>
      </c>
      <c r="M291" t="n">
        <v>26.99</v>
      </c>
      <c r="N291">
        <f>(M291-F291)</f>
        <v/>
      </c>
    </row>
    <row r="292" ht="15" customHeight="1">
      <c r="A292" s="22" t="inlineStr">
        <is>
          <t>00005069</t>
        </is>
      </c>
      <c r="B292" s="23" t="inlineStr">
        <is>
          <t>PREGO DE ACO POLIDO COM CABECA 17 X 27 (2 1/2 X 11)</t>
        </is>
      </c>
      <c r="C292" s="22" t="inlineStr">
        <is>
          <t>SINAPI</t>
        </is>
      </c>
      <c r="D292" s="22" t="inlineStr">
        <is>
          <t>KG</t>
        </is>
      </c>
      <c r="E292" s="63" t="n">
        <v>0.0132</v>
      </c>
      <c r="F292" s="64">
        <f>ROUND(M292*FATOR, 2)</f>
        <v/>
      </c>
      <c r="G292" s="64">
        <f>TRUNC(TRUNC(E292,8)*F292,2)</f>
        <v/>
      </c>
      <c r="L292" t="n">
        <v>0.0132</v>
      </c>
      <c r="M292" t="n">
        <v>14.46</v>
      </c>
      <c r="N292">
        <f>(M292-F292)</f>
        <v/>
      </c>
    </row>
    <row r="293" ht="21" customHeight="1">
      <c r="A293" s="22" t="inlineStr">
        <is>
          <t>00004509</t>
        </is>
      </c>
      <c r="B293" s="23" t="inlineStr">
        <is>
          <t>SARRAFO *2,5 X 10* CM EM PINUS, MISTA OU EQUIVALENTE DA REGIAO - BRUTA</t>
        </is>
      </c>
      <c r="C293" s="22" t="inlineStr">
        <is>
          <t>SINAPI</t>
        </is>
      </c>
      <c r="D293" s="22" t="inlineStr">
        <is>
          <t>M</t>
        </is>
      </c>
      <c r="E293" s="63" t="n">
        <v>3.2083</v>
      </c>
      <c r="F293" s="64">
        <f>ROUND(M293*FATOR, 2)</f>
        <v/>
      </c>
      <c r="G293" s="64">
        <f>TRUNC(TRUNC(E293,8)*F293,2)</f>
        <v/>
      </c>
      <c r="L293" t="n">
        <v>3.2083</v>
      </c>
      <c r="M293" t="n">
        <v>5.61</v>
      </c>
      <c r="N293">
        <f>(M293-F293)</f>
        <v/>
      </c>
    </row>
    <row r="294" ht="15" customHeight="1">
      <c r="A294" s="2" t="inlineStr"/>
      <c r="B294" s="2" t="inlineStr"/>
      <c r="C294" s="2" t="inlineStr"/>
      <c r="D294" s="2" t="inlineStr"/>
      <c r="E294" s="26" t="inlineStr">
        <is>
          <t>TOTAL Material:</t>
        </is>
      </c>
      <c r="F294" s="56" t="n"/>
      <c r="G294" s="65">
        <f>SUM(G290:G293)</f>
        <v/>
      </c>
    </row>
    <row r="295" ht="15" customHeight="1">
      <c r="A295" s="20" t="inlineStr">
        <is>
          <t>Mão de Obra com Encargos Complementares</t>
        </is>
      </c>
      <c r="B295" s="56" t="n"/>
      <c r="C295" s="21" t="inlineStr">
        <is>
          <t>FONTE</t>
        </is>
      </c>
      <c r="D295" s="21" t="inlineStr">
        <is>
          <t>UNID</t>
        </is>
      </c>
      <c r="E295" s="21" t="inlineStr">
        <is>
          <t>COEFICIENTE</t>
        </is>
      </c>
      <c r="F295" s="21" t="inlineStr">
        <is>
          <t>PREÇO UNITÁRIO</t>
        </is>
      </c>
      <c r="G295" s="21" t="inlineStr">
        <is>
          <t>TOTAL</t>
        </is>
      </c>
    </row>
    <row r="296" ht="21" customHeight="1">
      <c r="A296" s="22" t="inlineStr">
        <is>
          <t>88262</t>
        </is>
      </c>
      <c r="B296" s="23" t="inlineStr">
        <is>
          <t>CARPINTEIRO DE FORMAS COM ENCARGOS COMPLEMENTARES</t>
        </is>
      </c>
      <c r="C296" s="22" t="inlineStr">
        <is>
          <t>SINAPI</t>
        </is>
      </c>
      <c r="D296" s="22" t="inlineStr">
        <is>
          <t>H</t>
        </is>
      </c>
      <c r="E296" s="63">
        <f>L296*FATOR</f>
        <v/>
      </c>
      <c r="F296" s="64">
        <f>'COMPOSICOES AUXILIARES'!G943</f>
        <v/>
      </c>
      <c r="G296" s="64">
        <f>TRUNC(TRUNC(E296,8)*F296,2)</f>
        <v/>
      </c>
      <c r="L296" t="n">
        <v>0.3729</v>
      </c>
      <c r="M296" t="n">
        <v>30.15</v>
      </c>
      <c r="N296">
        <f>(M296-F296)</f>
        <v/>
      </c>
    </row>
    <row r="297" ht="15" customHeight="1">
      <c r="A297" s="22" t="inlineStr">
        <is>
          <t>88316</t>
        </is>
      </c>
      <c r="B297" s="23" t="inlineStr">
        <is>
          <t>SERVENTE COM ENCARGOS COMPLEMENTARES</t>
        </is>
      </c>
      <c r="C297" s="22" t="inlineStr">
        <is>
          <t>SINAPI</t>
        </is>
      </c>
      <c r="D297" s="22" t="inlineStr">
        <is>
          <t>H</t>
        </is>
      </c>
      <c r="E297" s="63">
        <f>L297*FATOR</f>
        <v/>
      </c>
      <c r="F297" s="64">
        <f>'COMPOSICOES AUXILIARES'!G3390</f>
        <v/>
      </c>
      <c r="G297" s="64">
        <f>TRUNC(TRUNC(E297,8)*F297,2)</f>
        <v/>
      </c>
      <c r="L297" t="n">
        <v>1.1186</v>
      </c>
      <c r="M297" t="n">
        <v>23.56</v>
      </c>
      <c r="N297">
        <f>(M297-F297)</f>
        <v/>
      </c>
    </row>
    <row r="298" ht="18" customHeight="1">
      <c r="A298" s="2" t="inlineStr"/>
      <c r="B298" s="2" t="inlineStr"/>
      <c r="C298" s="2" t="inlineStr"/>
      <c r="D298" s="2" t="inlineStr"/>
      <c r="E298" s="26" t="inlineStr">
        <is>
          <t>TOTAL Mão de Obra com Encargos Complementares:</t>
        </is>
      </c>
      <c r="F298" s="56" t="n"/>
      <c r="G298" s="65">
        <f>SUM(G296:G297)</f>
        <v/>
      </c>
    </row>
    <row r="299" ht="15" customHeight="1">
      <c r="A299" s="20" t="inlineStr">
        <is>
          <t>Serviço</t>
        </is>
      </c>
      <c r="B299" s="56" t="n"/>
      <c r="C299" s="21" t="inlineStr">
        <is>
          <t>FONTE</t>
        </is>
      </c>
      <c r="D299" s="21" t="inlineStr">
        <is>
          <t>UNID</t>
        </is>
      </c>
      <c r="E299" s="21" t="inlineStr">
        <is>
          <t>COEFICIENTE</t>
        </is>
      </c>
      <c r="F299" s="21" t="inlineStr">
        <is>
          <t>PREÇO UNITÁRIO</t>
        </is>
      </c>
      <c r="G299" s="21" t="inlineStr">
        <is>
          <t>TOTAL</t>
        </is>
      </c>
    </row>
    <row r="300" ht="21" customHeight="1">
      <c r="A300" s="22" t="inlineStr">
        <is>
          <t>102234</t>
        </is>
      </c>
      <c r="B300" s="23" t="inlineStr">
        <is>
          <t>PINTURA IMUNIZANTE PARA MADEIRA, 2 DEMÃOS. AF_01/2021</t>
        </is>
      </c>
      <c r="C300" s="22" t="inlineStr">
        <is>
          <t>SINAPI</t>
        </is>
      </c>
      <c r="D300" s="22" t="inlineStr">
        <is>
          <t>M2</t>
        </is>
      </c>
      <c r="E300" s="63" t="n">
        <v>0.5</v>
      </c>
      <c r="F300" s="64">
        <f>'COMPOSICOES AUXILIARES'!G3070</f>
        <v/>
      </c>
      <c r="G300" s="64">
        <f>TRUNC(TRUNC(E300,8)*F300,2)</f>
        <v/>
      </c>
      <c r="L300" t="n">
        <v>0.5</v>
      </c>
      <c r="M300" t="n">
        <v>23.34</v>
      </c>
      <c r="N300">
        <f>(M300-F300)</f>
        <v/>
      </c>
    </row>
    <row r="301" ht="15" customHeight="1">
      <c r="A301" s="2" t="inlineStr"/>
      <c r="B301" s="2" t="inlineStr"/>
      <c r="C301" s="2" t="inlineStr"/>
      <c r="D301" s="2" t="inlineStr"/>
      <c r="E301" s="26" t="inlineStr">
        <is>
          <t>TOTAL Serviço:</t>
        </is>
      </c>
      <c r="F301" s="56" t="n"/>
      <c r="G301" s="65">
        <f>SUM(G300:G300)</f>
        <v/>
      </c>
    </row>
    <row r="302" ht="15" customHeight="1">
      <c r="A302" s="2" t="inlineStr"/>
      <c r="B302" s="2" t="inlineStr"/>
      <c r="C302" s="2" t="inlineStr"/>
      <c r="D302" s="2" t="inlineStr"/>
      <c r="E302" s="28" t="inlineStr">
        <is>
          <t>VALOR:</t>
        </is>
      </c>
      <c r="F302" s="56" t="n"/>
      <c r="G302" s="66">
        <f>SUM(G298,G301,G294)</f>
        <v/>
      </c>
    </row>
    <row r="303" ht="15" customHeight="1">
      <c r="A303" s="2" t="inlineStr"/>
      <c r="B303" s="2" t="inlineStr"/>
      <c r="C303" s="2" t="inlineStr"/>
      <c r="D303" s="2" t="inlineStr"/>
      <c r="E303" s="28" t="inlineStr">
        <is>
          <t>VALOR BDI (23.08%):</t>
        </is>
      </c>
      <c r="F303" s="56" t="n"/>
      <c r="G303" s="66">
        <f>ROUNDDOWN(G302*BDI,2)</f>
        <v/>
      </c>
    </row>
    <row r="304" ht="15" customHeight="1">
      <c r="A304" s="2" t="inlineStr"/>
      <c r="B304" s="2" t="inlineStr"/>
      <c r="C304" s="2" t="inlineStr"/>
      <c r="D304" s="2" t="inlineStr"/>
      <c r="E304" s="28" t="inlineStr">
        <is>
          <t>VALOR COM BDI:</t>
        </is>
      </c>
      <c r="F304" s="56" t="n"/>
      <c r="G304" s="66">
        <f>G303 + G302</f>
        <v/>
      </c>
    </row>
    <row r="305" ht="10" customHeight="1">
      <c r="A305" s="2" t="inlineStr"/>
      <c r="B305" s="2" t="inlineStr"/>
      <c r="C305" s="2" t="inlineStr"/>
      <c r="D305" s="2" t="inlineStr"/>
      <c r="E305" s="18" t="inlineStr"/>
    </row>
    <row r="306" ht="20" customHeight="1">
      <c r="A306" s="19" t="inlineStr">
        <is>
          <t>2.1.4.2. ​98459​ TAPUME COM TELHA METÁLICA.AF_03/2024​ (M2)</t>
        </is>
      </c>
      <c r="B306" s="55" t="n"/>
      <c r="C306" s="55" t="n"/>
      <c r="D306" s="55" t="n"/>
      <c r="E306" s="55" t="n"/>
      <c r="F306" s="55" t="n"/>
      <c r="G306" s="56" t="n"/>
    </row>
    <row r="307" ht="15" customHeight="1">
      <c r="A307" s="20" t="inlineStr">
        <is>
          <t>Equipamento Custo Horário</t>
        </is>
      </c>
      <c r="B307" s="56" t="n"/>
      <c r="C307" s="21" t="inlineStr">
        <is>
          <t>FONTE</t>
        </is>
      </c>
      <c r="D307" s="21" t="inlineStr">
        <is>
          <t>UNID</t>
        </is>
      </c>
      <c r="E307" s="21" t="inlineStr">
        <is>
          <t>COEFICIENTE</t>
        </is>
      </c>
      <c r="F307" s="21" t="inlineStr">
        <is>
          <t>PREÇO UNITÁRIO</t>
        </is>
      </c>
      <c r="G307" s="21" t="inlineStr">
        <is>
          <t>TOTAL</t>
        </is>
      </c>
    </row>
    <row r="308" ht="29" customHeight="1">
      <c r="A308" s="22" t="inlineStr">
        <is>
          <t>91693</t>
        </is>
      </c>
      <c r="B308" s="23" t="inlineStr">
        <is>
          <t>SERRA CIRCULAR DE BANCADA COM MOTOR ELÉTRICO POTÊNCIA DE 5HP, COM COIFA PARA DISCO 10" - CHI DIURNO. AF_08/2015</t>
        </is>
      </c>
      <c r="C308" s="22" t="inlineStr">
        <is>
          <t>SINAPI</t>
        </is>
      </c>
      <c r="D308" s="22" t="inlineStr">
        <is>
          <t>CHI</t>
        </is>
      </c>
      <c r="E308" s="63" t="n">
        <v>0.0264</v>
      </c>
      <c r="F308" s="64">
        <f>'COMPOSICOES AUXILIARES'!G3306</f>
        <v/>
      </c>
      <c r="G308" s="64">
        <f>TRUNC(TRUNC(E308,8)*F308,2)</f>
        <v/>
      </c>
      <c r="L308" t="n">
        <v>0.0264</v>
      </c>
      <c r="M308" t="n">
        <v>35.72</v>
      </c>
      <c r="N308">
        <f>(M308-F308)</f>
        <v/>
      </c>
    </row>
    <row r="309" ht="29" customHeight="1">
      <c r="A309" s="22" t="inlineStr">
        <is>
          <t>91692</t>
        </is>
      </c>
      <c r="B309" s="23" t="inlineStr">
        <is>
          <t>SERRA CIRCULAR DE BANCADA COM MOTOR ELÉTRICO POTÊNCIA DE 5HP, COM COIFA PARA DISCO 10" - CHP DIURNO. AF_08/2015</t>
        </is>
      </c>
      <c r="C309" s="22" t="inlineStr">
        <is>
          <t>SINAPI</t>
        </is>
      </c>
      <c r="D309" s="22" t="inlineStr">
        <is>
          <t>CHP</t>
        </is>
      </c>
      <c r="E309" s="63" t="n">
        <v>0.0066</v>
      </c>
      <c r="F309" s="64">
        <f>'COMPOSICOES AUXILIARES'!G3320</f>
        <v/>
      </c>
      <c r="G309" s="64">
        <f>TRUNC(TRUNC(E309,8)*F309,2)</f>
        <v/>
      </c>
      <c r="L309" t="n">
        <v>0.0066</v>
      </c>
      <c r="M309" t="n">
        <v>37.16</v>
      </c>
      <c r="N309">
        <f>(M309-F309)</f>
        <v/>
      </c>
    </row>
    <row r="310" ht="18" customHeight="1">
      <c r="A310" s="2" t="inlineStr"/>
      <c r="B310" s="2" t="inlineStr"/>
      <c r="C310" s="2" t="inlineStr"/>
      <c r="D310" s="2" t="inlineStr"/>
      <c r="E310" s="26" t="inlineStr">
        <is>
          <t>TOTAL Equipamento Custo Horário:</t>
        </is>
      </c>
      <c r="F310" s="56" t="n"/>
      <c r="G310" s="65">
        <f>SUM(G308:G309)</f>
        <v/>
      </c>
    </row>
    <row r="311" ht="15" customHeight="1">
      <c r="A311" s="20" t="inlineStr">
        <is>
          <t>Material</t>
        </is>
      </c>
      <c r="B311" s="56" t="n"/>
      <c r="C311" s="21" t="inlineStr">
        <is>
          <t>FONTE</t>
        </is>
      </c>
      <c r="D311" s="21" t="inlineStr">
        <is>
          <t>UNID</t>
        </is>
      </c>
      <c r="E311" s="21" t="inlineStr">
        <is>
          <t>COEFICIENTE</t>
        </is>
      </c>
      <c r="F311" s="21" t="inlineStr">
        <is>
          <t>PREÇO UNITÁRIO</t>
        </is>
      </c>
      <c r="G311" s="21" t="inlineStr">
        <is>
          <t>TOTAL</t>
        </is>
      </c>
    </row>
    <row r="312" ht="21" customHeight="1">
      <c r="A312" s="22" t="inlineStr">
        <is>
          <t>00004491</t>
        </is>
      </c>
      <c r="B312" s="23" t="inlineStr">
        <is>
          <t>PONTALETE *7,5 X 7,5* CM EM PINUS, MISTA OU EQUIVALENTE DA REGIAO - BRUTA</t>
        </is>
      </c>
      <c r="C312" s="22" t="inlineStr">
        <is>
          <t>SINAPI</t>
        </is>
      </c>
      <c r="D312" s="22" t="inlineStr">
        <is>
          <t>M</t>
        </is>
      </c>
      <c r="E312" s="63" t="n">
        <v>1.2273</v>
      </c>
      <c r="F312" s="64">
        <f>ROUND(M312*FATOR, 2)</f>
        <v/>
      </c>
      <c r="G312" s="64">
        <f>TRUNC(TRUNC(E312,8)*F312,2)</f>
        <v/>
      </c>
      <c r="L312" t="n">
        <v>1.2273</v>
      </c>
      <c r="M312" t="n">
        <v>11.05</v>
      </c>
      <c r="N312">
        <f>(M312-F312)</f>
        <v/>
      </c>
    </row>
    <row r="313" ht="15" customHeight="1">
      <c r="A313" s="22" t="inlineStr">
        <is>
          <t>00005061</t>
        </is>
      </c>
      <c r="B313" s="23" t="inlineStr">
        <is>
          <t>PREGO DE ACO POLIDO COM CABECA 18 X 27 (2 1/2 X 10)</t>
        </is>
      </c>
      <c r="C313" s="22" t="inlineStr">
        <is>
          <t>SINAPI</t>
        </is>
      </c>
      <c r="D313" s="22" t="inlineStr">
        <is>
          <t>KG</t>
        </is>
      </c>
      <c r="E313" s="63" t="n">
        <v>0.068</v>
      </c>
      <c r="F313" s="64">
        <f>ROUND(M313*FATOR, 2)</f>
        <v/>
      </c>
      <c r="G313" s="64">
        <f>TRUNC(TRUNC(E313,8)*F313,2)</f>
        <v/>
      </c>
      <c r="L313" t="n">
        <v>0.068</v>
      </c>
      <c r="M313" t="n">
        <v>13.95</v>
      </c>
      <c r="N313">
        <f>(M313-F313)</f>
        <v/>
      </c>
    </row>
    <row r="314" ht="21" customHeight="1">
      <c r="A314" s="22" t="inlineStr">
        <is>
          <t>00006194</t>
        </is>
      </c>
      <c r="B314" s="23" t="inlineStr">
        <is>
          <t>TABUA *2,5 X 15 CM EM PINUS, MISTA OU EQUIVALENTE DA REGIAO - BRUTA</t>
        </is>
      </c>
      <c r="C314" s="22" t="inlineStr">
        <is>
          <t>SINAPI</t>
        </is>
      </c>
      <c r="D314" s="22" t="inlineStr">
        <is>
          <t>M</t>
        </is>
      </c>
      <c r="E314" s="63" t="n">
        <v>2</v>
      </c>
      <c r="F314" s="64">
        <f>ROUND(M314*FATOR, 2)</f>
        <v/>
      </c>
      <c r="G314" s="64">
        <f>TRUNC(TRUNC(E314,8)*F314,2)</f>
        <v/>
      </c>
      <c r="L314" t="n">
        <v>2</v>
      </c>
      <c r="M314" t="n">
        <v>7.89</v>
      </c>
      <c r="N314">
        <f>(M314-F314)</f>
        <v/>
      </c>
    </row>
    <row r="315" ht="29" customHeight="1">
      <c r="A315" s="22" t="inlineStr">
        <is>
          <t>00007243</t>
        </is>
      </c>
      <c r="B315" s="23" t="inlineStr">
        <is>
          <t>TELHA TRAPEZOIDAL EM ACO ZINCADO, SEM PINTURA, ALTURA DE APROXIMADAMENTE 40 MM, ESPESSURA DE 0,50 MM E LARGURA UTIL DE 980 MM</t>
        </is>
      </c>
      <c r="C315" s="22" t="inlineStr">
        <is>
          <t>SINAPI</t>
        </is>
      </c>
      <c r="D315" s="22" t="inlineStr">
        <is>
          <t>M2</t>
        </is>
      </c>
      <c r="E315" s="63" t="n">
        <v>0.5853</v>
      </c>
      <c r="F315" s="64">
        <f>ROUND(M315*FATOR, 2)</f>
        <v/>
      </c>
      <c r="G315" s="64">
        <f>TRUNC(TRUNC(E315,8)*F315,2)</f>
        <v/>
      </c>
      <c r="L315" t="n">
        <v>0.5853</v>
      </c>
      <c r="M315" t="n">
        <v>50.16</v>
      </c>
      <c r="N315">
        <f>(M315-F315)</f>
        <v/>
      </c>
    </row>
    <row r="316" ht="15" customHeight="1">
      <c r="A316" s="2" t="inlineStr"/>
      <c r="B316" s="2" t="inlineStr"/>
      <c r="C316" s="2" t="inlineStr"/>
      <c r="D316" s="2" t="inlineStr"/>
      <c r="E316" s="26" t="inlineStr">
        <is>
          <t>TOTAL Material:</t>
        </is>
      </c>
      <c r="F316" s="56" t="n"/>
      <c r="G316" s="65">
        <f>SUM(G312:G315)</f>
        <v/>
      </c>
    </row>
    <row r="317" ht="15" customHeight="1">
      <c r="A317" s="20" t="inlineStr">
        <is>
          <t>Mão de Obra com Encargos Complementares</t>
        </is>
      </c>
      <c r="B317" s="56" t="n"/>
      <c r="C317" s="21" t="inlineStr">
        <is>
          <t>FONTE</t>
        </is>
      </c>
      <c r="D317" s="21" t="inlineStr">
        <is>
          <t>UNID</t>
        </is>
      </c>
      <c r="E317" s="21" t="inlineStr">
        <is>
          <t>COEFICIENTE</t>
        </is>
      </c>
      <c r="F317" s="21" t="inlineStr">
        <is>
          <t>PREÇO UNITÁRIO</t>
        </is>
      </c>
      <c r="G317" s="21" t="inlineStr">
        <is>
          <t>TOTAL</t>
        </is>
      </c>
    </row>
    <row r="318" ht="21" customHeight="1">
      <c r="A318" s="22" t="inlineStr">
        <is>
          <t>88239</t>
        </is>
      </c>
      <c r="B318" s="23" t="inlineStr">
        <is>
          <t>AJUDANTE DE CARPINTEIRO COM ENCARGOS COMPLEMENTARES</t>
        </is>
      </c>
      <c r="C318" s="22" t="inlineStr">
        <is>
          <t>SINAPI</t>
        </is>
      </c>
      <c r="D318" s="22" t="inlineStr">
        <is>
          <t>H</t>
        </is>
      </c>
      <c r="E318" s="63">
        <f>L318*FATOR</f>
        <v/>
      </c>
      <c r="F318" s="64">
        <f>'COMPOSICOES AUXILIARES'!G68</f>
        <v/>
      </c>
      <c r="G318" s="64">
        <f>TRUNC(TRUNC(E318,8)*F318,2)</f>
        <v/>
      </c>
      <c r="L318" t="n">
        <v>0.492</v>
      </c>
      <c r="M318" t="n">
        <v>24.61</v>
      </c>
      <c r="N318">
        <f>(M318-F318)</f>
        <v/>
      </c>
    </row>
    <row r="319" ht="21" customHeight="1">
      <c r="A319" s="22" t="inlineStr">
        <is>
          <t>88262</t>
        </is>
      </c>
      <c r="B319" s="23" t="inlineStr">
        <is>
          <t>CARPINTEIRO DE FORMAS COM ENCARGOS COMPLEMENTARES</t>
        </is>
      </c>
      <c r="C319" s="22" t="inlineStr">
        <is>
          <t>SINAPI</t>
        </is>
      </c>
      <c r="D319" s="22" t="inlineStr">
        <is>
          <t>H</t>
        </is>
      </c>
      <c r="E319" s="63">
        <f>L319*FATOR</f>
        <v/>
      </c>
      <c r="F319" s="64">
        <f>'COMPOSICOES AUXILIARES'!G943</f>
        <v/>
      </c>
      <c r="G319" s="64">
        <f>TRUNC(TRUNC(E319,8)*F319,2)</f>
        <v/>
      </c>
      <c r="L319" t="n">
        <v>0.735</v>
      </c>
      <c r="M319" t="n">
        <v>30.15</v>
      </c>
      <c r="N319">
        <f>(M319-F319)</f>
        <v/>
      </c>
    </row>
    <row r="320" ht="18" customHeight="1">
      <c r="A320" s="2" t="inlineStr"/>
      <c r="B320" s="2" t="inlineStr"/>
      <c r="C320" s="2" t="inlineStr"/>
      <c r="D320" s="2" t="inlineStr"/>
      <c r="E320" s="26" t="inlineStr">
        <is>
          <t>TOTAL Mão de Obra com Encargos Complementares:</t>
        </is>
      </c>
      <c r="F320" s="56" t="n"/>
      <c r="G320" s="65">
        <f>SUM(G318:G319)</f>
        <v/>
      </c>
    </row>
    <row r="321" ht="15" customHeight="1">
      <c r="A321" s="20" t="inlineStr">
        <is>
          <t>Serviço</t>
        </is>
      </c>
      <c r="B321" s="56" t="n"/>
      <c r="C321" s="21" t="inlineStr">
        <is>
          <t>FONTE</t>
        </is>
      </c>
      <c r="D321" s="21" t="inlineStr">
        <is>
          <t>UNID</t>
        </is>
      </c>
      <c r="E321" s="21" t="inlineStr">
        <is>
          <t>COEFICIENTE</t>
        </is>
      </c>
      <c r="F321" s="21" t="inlineStr">
        <is>
          <t>PREÇO UNITÁRIO</t>
        </is>
      </c>
      <c r="G321" s="21" t="inlineStr">
        <is>
          <t>TOTAL</t>
        </is>
      </c>
    </row>
    <row r="322" ht="29" customHeight="1">
      <c r="A322" s="22" t="inlineStr">
        <is>
          <t>94974</t>
        </is>
      </c>
      <c r="B322" s="23" t="inlineStr">
        <is>
          <t>CONCRETO MAGRO PARA LASTRO, TRAÇO 1:4,5:4,5 (EM MASSA SECA DE CIMENTO/ AREIA MÉDIA/ BRITA 1) - PREPARO MANUAL. AF_05/2021</t>
        </is>
      </c>
      <c r="C322" s="22" t="inlineStr">
        <is>
          <t>SINAPI</t>
        </is>
      </c>
      <c r="D322" s="22" t="inlineStr">
        <is>
          <t>M3</t>
        </is>
      </c>
      <c r="E322" s="63" t="n">
        <v>0.0061</v>
      </c>
      <c r="F322" s="64">
        <f>'COMPOSICOES AUXILIARES'!G1245</f>
        <v/>
      </c>
      <c r="G322" s="64">
        <f>TRUNC(TRUNC(E322,8)*F322,2)</f>
        <v/>
      </c>
      <c r="L322" t="n">
        <v>0.0061</v>
      </c>
      <c r="M322" t="n">
        <v>487.36</v>
      </c>
      <c r="N322">
        <f>(M322-F322)</f>
        <v/>
      </c>
    </row>
    <row r="323" ht="15" customHeight="1">
      <c r="A323" s="2" t="inlineStr"/>
      <c r="B323" s="2" t="inlineStr"/>
      <c r="C323" s="2" t="inlineStr"/>
      <c r="D323" s="2" t="inlineStr"/>
      <c r="E323" s="26" t="inlineStr">
        <is>
          <t>TOTAL Serviço:</t>
        </is>
      </c>
      <c r="F323" s="56" t="n"/>
      <c r="G323" s="65">
        <f>SUM(G322:G322)</f>
        <v/>
      </c>
    </row>
    <row r="324" ht="15" customHeight="1">
      <c r="A324" s="2" t="inlineStr"/>
      <c r="B324" s="2" t="inlineStr"/>
      <c r="C324" s="2" t="inlineStr"/>
      <c r="D324" s="2" t="inlineStr"/>
      <c r="E324" s="28" t="inlineStr">
        <is>
          <t>VALOR:</t>
        </is>
      </c>
      <c r="F324" s="56" t="n"/>
      <c r="G324" s="66">
        <f>SUM(G320,G323,G316,G310)</f>
        <v/>
      </c>
    </row>
    <row r="325" ht="15" customHeight="1">
      <c r="A325" s="2" t="inlineStr"/>
      <c r="B325" s="2" t="inlineStr"/>
      <c r="C325" s="2" t="inlineStr"/>
      <c r="D325" s="2" t="inlineStr"/>
      <c r="E325" s="28" t="inlineStr">
        <is>
          <t>VALOR BDI (23.08%):</t>
        </is>
      </c>
      <c r="F325" s="56" t="n"/>
      <c r="G325" s="66">
        <f>ROUNDDOWN(G324*BDI,2)</f>
        <v/>
      </c>
    </row>
    <row r="326" ht="15" customHeight="1">
      <c r="A326" s="2" t="inlineStr"/>
      <c r="B326" s="2" t="inlineStr"/>
      <c r="C326" s="2" t="inlineStr"/>
      <c r="D326" s="2" t="inlineStr"/>
      <c r="E326" s="28" t="inlineStr">
        <is>
          <t>VALOR COM BDI:</t>
        </is>
      </c>
      <c r="F326" s="56" t="n"/>
      <c r="G326" s="66">
        <f>G325 + G324</f>
        <v/>
      </c>
    </row>
    <row r="327" ht="10" customHeight="1">
      <c r="A327" s="2" t="inlineStr"/>
      <c r="B327" s="2" t="inlineStr"/>
      <c r="C327" s="2" t="inlineStr"/>
      <c r="D327" s="2" t="inlineStr"/>
      <c r="E327" s="18" t="inlineStr"/>
    </row>
    <row r="328" ht="20" customHeight="1">
      <c r="A328" s="19" t="inlineStr">
        <is>
          <t>2.1.5.1. ​371PRÓPRIO​ LOCAÇÃO DE ANDAIME METÁLICO TIPO FACHADEIRO (FORNECIMENTO,MONTAGEM E DESMONTAGEM)​ (M2XMÊ S)</t>
        </is>
      </c>
      <c r="B328" s="55" t="n"/>
      <c r="C328" s="55" t="n"/>
      <c r="D328" s="55" t="n"/>
      <c r="E328" s="55" t="n"/>
      <c r="F328" s="55" t="n"/>
      <c r="G328" s="56" t="n"/>
    </row>
    <row r="329" ht="15" customHeight="1">
      <c r="A329" s="20" t="inlineStr">
        <is>
          <t>Equipamento</t>
        </is>
      </c>
      <c r="B329" s="56" t="n"/>
      <c r="C329" s="21" t="inlineStr">
        <is>
          <t>FONTE</t>
        </is>
      </c>
      <c r="D329" s="21" t="inlineStr">
        <is>
          <t>UNID</t>
        </is>
      </c>
      <c r="E329" s="21" t="inlineStr">
        <is>
          <t>COEFICIENTE</t>
        </is>
      </c>
      <c r="F329" s="21" t="inlineStr">
        <is>
          <t>PREÇO UNITÁRIO</t>
        </is>
      </c>
      <c r="G329" s="21" t="inlineStr">
        <is>
          <t>TOTAL</t>
        </is>
      </c>
    </row>
    <row r="330" ht="46" customHeight="1">
      <c r="A330" s="22" t="inlineStr">
        <is>
          <t>00020193</t>
        </is>
      </c>
      <c r="B330" s="23" t="inlineStr">
        <is>
          <t>LOCACAO DE ANDAIME METALICO TIPO FACHADEIRO, PECAS COM APROXIMADAMENTE 1,20 M DE LARGURA E 2,0 M DE ALTURA, INCLUINDO DIAGONAIS EM X, BARRAS DE LIGACAO, SAPATAS E DEMAIS ITENS NECESSARIOS A MONTAGEM (NAO INCLUI INSTALACAO)</t>
        </is>
      </c>
      <c r="C330" s="22" t="inlineStr">
        <is>
          <t>SINAPI</t>
        </is>
      </c>
      <c r="D330" s="22" t="inlineStr">
        <is>
          <t>M2XMES</t>
        </is>
      </c>
      <c r="E330" s="63" t="n">
        <v>1.03</v>
      </c>
      <c r="F330" s="64">
        <f>ROUND(M330*FATOR, 2)</f>
        <v/>
      </c>
      <c r="G330" s="64">
        <f>ROUND(ROUND(E330,8)*F330,2)</f>
        <v/>
      </c>
      <c r="L330" t="n">
        <v>1.03</v>
      </c>
      <c r="M330" t="n">
        <v>19.42</v>
      </c>
      <c r="N330">
        <f>(M330-F330)</f>
        <v/>
      </c>
    </row>
    <row r="331" ht="15" customHeight="1">
      <c r="A331" s="2" t="inlineStr"/>
      <c r="B331" s="2" t="inlineStr"/>
      <c r="C331" s="2" t="inlineStr"/>
      <c r="D331" s="2" t="inlineStr"/>
      <c r="E331" s="26" t="inlineStr">
        <is>
          <t>TOTAL Equipamento:</t>
        </is>
      </c>
      <c r="F331" s="56" t="n"/>
      <c r="G331" s="65">
        <f>SUM(G330:G330)</f>
        <v/>
      </c>
    </row>
    <row r="332" ht="15" customHeight="1">
      <c r="A332" s="20" t="inlineStr">
        <is>
          <t>Mão de Obra com Encargos Complementares</t>
        </is>
      </c>
      <c r="B332" s="56" t="n"/>
      <c r="C332" s="21" t="inlineStr">
        <is>
          <t>FONTE</t>
        </is>
      </c>
      <c r="D332" s="21" t="inlineStr">
        <is>
          <t>UNID</t>
        </is>
      </c>
      <c r="E332" s="21" t="inlineStr">
        <is>
          <t>COEFICIENTE</t>
        </is>
      </c>
      <c r="F332" s="21" t="inlineStr">
        <is>
          <t>PREÇO UNITÁRIO</t>
        </is>
      </c>
      <c r="G332" s="21" t="inlineStr">
        <is>
          <t>TOTAL</t>
        </is>
      </c>
    </row>
    <row r="333" ht="21" customHeight="1">
      <c r="A333" s="22" t="inlineStr">
        <is>
          <t>88278</t>
        </is>
      </c>
      <c r="B333" s="23" t="inlineStr">
        <is>
          <t>MONTADOR DE ESTRUTURAS METÁLICAS COM ENCARGOS COMPLEMENTARES</t>
        </is>
      </c>
      <c r="C333" s="22" t="inlineStr">
        <is>
          <t>SINAPI</t>
        </is>
      </c>
      <c r="D333" s="22" t="inlineStr">
        <is>
          <t>H</t>
        </is>
      </c>
      <c r="E333" s="63">
        <f>L333*FATOR</f>
        <v/>
      </c>
      <c r="F333" s="64">
        <f>'COMPOSICOES AUXILIARES'!G2589</f>
        <v/>
      </c>
      <c r="G333" s="64">
        <f>ROUND(ROUND(E333,8)*F333,2)</f>
        <v/>
      </c>
      <c r="L333" t="n">
        <v>0.08</v>
      </c>
      <c r="M333" t="n">
        <v>27.54</v>
      </c>
      <c r="N333">
        <f>(M333-F333)</f>
        <v/>
      </c>
    </row>
    <row r="334" ht="15" customHeight="1">
      <c r="A334" s="22" t="inlineStr">
        <is>
          <t>88316</t>
        </is>
      </c>
      <c r="B334" s="23" t="inlineStr">
        <is>
          <t>SERVENTE COM ENCARGOS COMPLEMENTARES</t>
        </is>
      </c>
      <c r="C334" s="22" t="inlineStr">
        <is>
          <t>SINAPI</t>
        </is>
      </c>
      <c r="D334" s="22" t="inlineStr">
        <is>
          <t>H</t>
        </is>
      </c>
      <c r="E334" s="63">
        <f>L334*FATOR</f>
        <v/>
      </c>
      <c r="F334" s="64">
        <f>'COMPOSICOES AUXILIARES'!G3390</f>
        <v/>
      </c>
      <c r="G334" s="64">
        <f>ROUND(ROUND(E334,8)*F334,2)</f>
        <v/>
      </c>
      <c r="L334" t="n">
        <v>0.16</v>
      </c>
      <c r="M334" t="n">
        <v>23.56</v>
      </c>
      <c r="N334">
        <f>(M334-F334)</f>
        <v/>
      </c>
    </row>
    <row r="335" ht="18" customHeight="1">
      <c r="A335" s="2" t="inlineStr"/>
      <c r="B335" s="2" t="inlineStr"/>
      <c r="C335" s="2" t="inlineStr"/>
      <c r="D335" s="2" t="inlineStr"/>
      <c r="E335" s="26" t="inlineStr">
        <is>
          <t>TOTAL Mão de Obra com Encargos Complementares:</t>
        </is>
      </c>
      <c r="F335" s="56" t="n"/>
      <c r="G335" s="65">
        <f>SUM(G333:G334)</f>
        <v/>
      </c>
    </row>
    <row r="336" ht="15" customHeight="1">
      <c r="A336" s="2" t="inlineStr"/>
      <c r="B336" s="2" t="inlineStr"/>
      <c r="C336" s="2" t="inlineStr"/>
      <c r="D336" s="2" t="inlineStr"/>
      <c r="E336" s="28" t="inlineStr">
        <is>
          <t>VALOR:</t>
        </is>
      </c>
      <c r="F336" s="56" t="n"/>
      <c r="G336" s="66">
        <f>SUM(G331,G335)</f>
        <v/>
      </c>
    </row>
    <row r="337" ht="15" customHeight="1">
      <c r="A337" s="2" t="inlineStr"/>
      <c r="B337" s="2" t="inlineStr"/>
      <c r="C337" s="2" t="inlineStr"/>
      <c r="D337" s="2" t="inlineStr"/>
      <c r="E337" s="28" t="inlineStr">
        <is>
          <t>VALOR BDI (23.08%):</t>
        </is>
      </c>
      <c r="F337" s="56" t="n"/>
      <c r="G337" s="66">
        <f>ROUNDDOWN(G336*BDI,2)</f>
        <v/>
      </c>
    </row>
    <row r="338" ht="15" customHeight="1">
      <c r="A338" s="2" t="inlineStr"/>
      <c r="B338" s="2" t="inlineStr"/>
      <c r="C338" s="2" t="inlineStr"/>
      <c r="D338" s="2" t="inlineStr"/>
      <c r="E338" s="28" t="inlineStr">
        <is>
          <t>VALOR COM BDI:</t>
        </is>
      </c>
      <c r="F338" s="56" t="n"/>
      <c r="G338" s="66">
        <f>G337 + G336</f>
        <v/>
      </c>
    </row>
    <row r="339" ht="10" customHeight="1">
      <c r="A339" s="2" t="inlineStr"/>
      <c r="B339" s="2" t="inlineStr"/>
      <c r="C339" s="2" t="inlineStr"/>
      <c r="D339" s="2" t="inlineStr"/>
      <c r="E339" s="18" t="inlineStr"/>
    </row>
    <row r="340" ht="20" customHeight="1">
      <c r="A340" s="19" t="inlineStr">
        <is>
          <t>2.1.5.2. ​97062​ COLOCAÇÃO DE TELA EM ANDAIMEFACHADEIRO. AF_03/2024​ (M2)</t>
        </is>
      </c>
      <c r="B340" s="55" t="n"/>
      <c r="C340" s="55" t="n"/>
      <c r="D340" s="55" t="n"/>
      <c r="E340" s="55" t="n"/>
      <c r="F340" s="55" t="n"/>
      <c r="G340" s="56" t="n"/>
    </row>
    <row r="341" ht="15" customHeight="1">
      <c r="A341" s="20" t="inlineStr">
        <is>
          <t>Material</t>
        </is>
      </c>
      <c r="B341" s="56" t="n"/>
      <c r="C341" s="21" t="inlineStr">
        <is>
          <t>FONTE</t>
        </is>
      </c>
      <c r="D341" s="21" t="inlineStr">
        <is>
          <t>UNID</t>
        </is>
      </c>
      <c r="E341" s="21" t="inlineStr">
        <is>
          <t>COEFICIENTE</t>
        </is>
      </c>
      <c r="F341" s="21" t="inlineStr">
        <is>
          <t>PREÇO UNITÁRIO</t>
        </is>
      </c>
      <c r="G341" s="21" t="inlineStr">
        <is>
          <t>TOTAL</t>
        </is>
      </c>
    </row>
    <row r="342" ht="21" customHeight="1">
      <c r="A342" s="22" t="inlineStr">
        <is>
          <t>00000411</t>
        </is>
      </c>
      <c r="B342" s="23" t="inlineStr">
        <is>
          <t>ABRACADEIRA DE NYLON PARA AMARRACAO DE CABOS, COMPRIMENTO DE 200 X *4,6* MM</t>
        </is>
      </c>
      <c r="C342" s="22" t="inlineStr">
        <is>
          <t>SINAPI</t>
        </is>
      </c>
      <c r="D342" s="22" t="inlineStr">
        <is>
          <t>UN</t>
        </is>
      </c>
      <c r="E342" s="63" t="n">
        <v>0.549</v>
      </c>
      <c r="F342" s="64">
        <f>ROUND(M342*FATOR, 2)</f>
        <v/>
      </c>
      <c r="G342" s="64">
        <f>TRUNC(TRUNC(E342,8)*F342,2)</f>
        <v/>
      </c>
      <c r="L342" t="n">
        <v>0.549</v>
      </c>
      <c r="M342" t="n">
        <v>0.17</v>
      </c>
      <c r="N342">
        <f>(M342-F342)</f>
        <v/>
      </c>
    </row>
    <row r="343" ht="29" customHeight="1">
      <c r="A343" s="22" t="inlineStr">
        <is>
          <t>00007170</t>
        </is>
      </c>
      <c r="B343" s="23" t="inlineStr">
        <is>
          <t>TELA FACHADEIRA EM POLIETILENO, ROLO DE 3 X 100 M (L X C), COR BRANCA, SEM LOGOMARCA - PARA PROTECAO DE OBRAS</t>
        </is>
      </c>
      <c r="C343" s="22" t="inlineStr">
        <is>
          <t>SINAPI</t>
        </is>
      </c>
      <c r="D343" s="22" t="inlineStr">
        <is>
          <t>M2</t>
        </is>
      </c>
      <c r="E343" s="63" t="n">
        <v>1.199</v>
      </c>
      <c r="F343" s="64">
        <f>ROUND(M343*FATOR, 2)</f>
        <v/>
      </c>
      <c r="G343" s="64">
        <f>TRUNC(TRUNC(E343,8)*F343,2)</f>
        <v/>
      </c>
      <c r="L343" t="n">
        <v>1.199</v>
      </c>
      <c r="M343" t="n">
        <v>1.74</v>
      </c>
      <c r="N343">
        <f>(M343-F343)</f>
        <v/>
      </c>
    </row>
    <row r="344" ht="15" customHeight="1">
      <c r="A344" s="2" t="inlineStr"/>
      <c r="B344" s="2" t="inlineStr"/>
      <c r="C344" s="2" t="inlineStr"/>
      <c r="D344" s="2" t="inlineStr"/>
      <c r="E344" s="26" t="inlineStr">
        <is>
          <t>TOTAL Material:</t>
        </is>
      </c>
      <c r="F344" s="56" t="n"/>
      <c r="G344" s="65">
        <f>SUM(G342:G343)</f>
        <v/>
      </c>
    </row>
    <row r="345" ht="15" customHeight="1">
      <c r="A345" s="20" t="inlineStr">
        <is>
          <t>Mão de Obra com Encargos Complementares</t>
        </is>
      </c>
      <c r="B345" s="56" t="n"/>
      <c r="C345" s="21" t="inlineStr">
        <is>
          <t>FONTE</t>
        </is>
      </c>
      <c r="D345" s="21" t="inlineStr">
        <is>
          <t>UNID</t>
        </is>
      </c>
      <c r="E345" s="21" t="inlineStr">
        <is>
          <t>COEFICIENTE</t>
        </is>
      </c>
      <c r="F345" s="21" t="inlineStr">
        <is>
          <t>PREÇO UNITÁRIO</t>
        </is>
      </c>
      <c r="G345" s="21" t="inlineStr">
        <is>
          <t>TOTAL</t>
        </is>
      </c>
    </row>
    <row r="346" ht="21" customHeight="1">
      <c r="A346" s="22" t="inlineStr">
        <is>
          <t>88239</t>
        </is>
      </c>
      <c r="B346" s="23" t="inlineStr">
        <is>
          <t>AJUDANTE DE CARPINTEIRO COM ENCARGOS COMPLEMENTARES</t>
        </is>
      </c>
      <c r="C346" s="22" t="inlineStr">
        <is>
          <t>SINAPI</t>
        </is>
      </c>
      <c r="D346" s="22" t="inlineStr">
        <is>
          <t>H</t>
        </is>
      </c>
      <c r="E346" s="63">
        <f>L346*FATOR</f>
        <v/>
      </c>
      <c r="F346" s="64">
        <f>'COMPOSICOES AUXILIARES'!G68</f>
        <v/>
      </c>
      <c r="G346" s="64">
        <f>TRUNC(TRUNC(E346,8)*F346,2)</f>
        <v/>
      </c>
      <c r="L346" t="n">
        <v>0.065349</v>
      </c>
      <c r="M346" t="n">
        <v>24.61</v>
      </c>
      <c r="N346">
        <f>(M346-F346)</f>
        <v/>
      </c>
    </row>
    <row r="347" ht="21" customHeight="1">
      <c r="A347" s="22" t="inlineStr">
        <is>
          <t>88262</t>
        </is>
      </c>
      <c r="B347" s="23" t="inlineStr">
        <is>
          <t>CARPINTEIRO DE FORMAS COM ENCARGOS COMPLEMENTARES</t>
        </is>
      </c>
      <c r="C347" s="22" t="inlineStr">
        <is>
          <t>SINAPI</t>
        </is>
      </c>
      <c r="D347" s="22" t="inlineStr">
        <is>
          <t>H</t>
        </is>
      </c>
      <c r="E347" s="63">
        <f>L347*FATOR</f>
        <v/>
      </c>
      <c r="F347" s="64">
        <f>'COMPOSICOES AUXILIARES'!G943</f>
        <v/>
      </c>
      <c r="G347" s="64">
        <f>TRUNC(TRUNC(E347,8)*F347,2)</f>
        <v/>
      </c>
      <c r="L347" t="n">
        <v>0.06853670000000001</v>
      </c>
      <c r="M347" t="n">
        <v>30.15</v>
      </c>
      <c r="N347">
        <f>(M347-F347)</f>
        <v/>
      </c>
    </row>
    <row r="348" ht="18" customHeight="1">
      <c r="A348" s="2" t="inlineStr"/>
      <c r="B348" s="2" t="inlineStr"/>
      <c r="C348" s="2" t="inlineStr"/>
      <c r="D348" s="2" t="inlineStr"/>
      <c r="E348" s="26" t="inlineStr">
        <is>
          <t>TOTAL Mão de Obra com Encargos Complementares:</t>
        </is>
      </c>
      <c r="F348" s="56" t="n"/>
      <c r="G348" s="65">
        <f>SUM(G346:G347)</f>
        <v/>
      </c>
    </row>
    <row r="349" ht="15" customHeight="1">
      <c r="A349" s="2" t="inlineStr"/>
      <c r="B349" s="2" t="inlineStr"/>
      <c r="C349" s="2" t="inlineStr"/>
      <c r="D349" s="2" t="inlineStr"/>
      <c r="E349" s="28" t="inlineStr">
        <is>
          <t>VALOR:</t>
        </is>
      </c>
      <c r="F349" s="56" t="n"/>
      <c r="G349" s="66">
        <f>SUM(G344,G348)</f>
        <v/>
      </c>
    </row>
    <row r="350" ht="15" customHeight="1">
      <c r="A350" s="2" t="inlineStr"/>
      <c r="B350" s="2" t="inlineStr"/>
      <c r="C350" s="2" t="inlineStr"/>
      <c r="D350" s="2" t="inlineStr"/>
      <c r="E350" s="28" t="inlineStr">
        <is>
          <t>VALOR BDI (23.08%):</t>
        </is>
      </c>
      <c r="F350" s="56" t="n"/>
      <c r="G350" s="66">
        <f>ROUNDDOWN(G349*BDI,2)</f>
        <v/>
      </c>
    </row>
    <row r="351" ht="15" customHeight="1">
      <c r="A351" s="2" t="inlineStr"/>
      <c r="B351" s="2" t="inlineStr"/>
      <c r="C351" s="2" t="inlineStr"/>
      <c r="D351" s="2" t="inlineStr"/>
      <c r="E351" s="28" t="inlineStr">
        <is>
          <t>VALOR COM BDI:</t>
        </is>
      </c>
      <c r="F351" s="56" t="n"/>
      <c r="G351" s="66">
        <f>G350 + G349</f>
        <v/>
      </c>
    </row>
    <row r="352" ht="10" customHeight="1">
      <c r="A352" s="2" t="inlineStr"/>
      <c r="B352" s="2" t="inlineStr"/>
      <c r="C352" s="2" t="inlineStr"/>
      <c r="D352" s="2" t="inlineStr"/>
      <c r="E352" s="18" t="inlineStr"/>
    </row>
    <row r="353" ht="20" customHeight="1">
      <c r="A353" s="19" t="inlineStr">
        <is>
          <t>2.2.1.1. ​97083​ COMPACTAÇÃO MECÂNICA DE SOLO PARA EXECUÇÃO DE RADIER, PISO DE CONCRETO OU LAJE SOBRE SOLO, COM COMPACTADOR DE SOLOS A PERCUSSÃO.AF_09/2021​ (M2)</t>
        </is>
      </c>
      <c r="B353" s="55" t="n"/>
      <c r="C353" s="55" t="n"/>
      <c r="D353" s="55" t="n"/>
      <c r="E353" s="55" t="n"/>
      <c r="F353" s="55" t="n"/>
      <c r="G353" s="56" t="n"/>
    </row>
    <row r="354" ht="15" customHeight="1">
      <c r="A354" s="20" t="inlineStr">
        <is>
          <t>Equipamento Custo Horário</t>
        </is>
      </c>
      <c r="B354" s="56" t="n"/>
      <c r="C354" s="21" t="inlineStr">
        <is>
          <t>FONTE</t>
        </is>
      </c>
      <c r="D354" s="21" t="inlineStr">
        <is>
          <t>UNID</t>
        </is>
      </c>
      <c r="E354" s="21" t="inlineStr">
        <is>
          <t>COEFICIENTE</t>
        </is>
      </c>
      <c r="F354" s="21" t="inlineStr">
        <is>
          <t>PREÇO UNITÁRIO</t>
        </is>
      </c>
      <c r="G354" s="21" t="inlineStr">
        <is>
          <t>TOTAL</t>
        </is>
      </c>
    </row>
    <row r="355" ht="29" customHeight="1">
      <c r="A355" s="22" t="inlineStr">
        <is>
          <t>95265</t>
        </is>
      </c>
      <c r="B355" s="23" t="inlineStr">
        <is>
          <t>COMPACTADOR DE SOLOS DE PERCUSÃO (SOQUETE) COM MOTOR A GASOLINA, POTÊNCIA 3 CV - CHI DIURNO. AF_09/2016</t>
        </is>
      </c>
      <c r="C355" s="22" t="inlineStr">
        <is>
          <t>SINAPI</t>
        </is>
      </c>
      <c r="D355" s="22" t="inlineStr">
        <is>
          <t>CHI</t>
        </is>
      </c>
      <c r="E355" s="63" t="n">
        <v>0.042</v>
      </c>
      <c r="F355" s="64">
        <f>'COMPOSICOES AUXILIARES'!G1044</f>
        <v/>
      </c>
      <c r="G355" s="64">
        <f>TRUNC(TRUNC(E355,8)*F355,2)</f>
        <v/>
      </c>
      <c r="L355" t="n">
        <v>0.042</v>
      </c>
      <c r="M355" t="n">
        <v>0.9399999999999999</v>
      </c>
      <c r="N355">
        <f>(M355-F355)</f>
        <v/>
      </c>
    </row>
    <row r="356" ht="29" customHeight="1">
      <c r="A356" s="22" t="inlineStr">
        <is>
          <t>95264</t>
        </is>
      </c>
      <c r="B356" s="23" t="inlineStr">
        <is>
          <t>COMPACTADOR DE SOLOS DE PERCUSÃO (SOQUETE) COM MOTOR A GASOLINA, POTÊNCIA 3 CV - CHP DIURNO. AF_09/2016</t>
        </is>
      </c>
      <c r="C356" s="22" t="inlineStr">
        <is>
          <t>SINAPI</t>
        </is>
      </c>
      <c r="D356" s="22" t="inlineStr">
        <is>
          <t>CHP</t>
        </is>
      </c>
      <c r="E356" s="63" t="n">
        <v>0.025</v>
      </c>
      <c r="F356" s="64">
        <f>'COMPOSICOES AUXILIARES'!G1055</f>
        <v/>
      </c>
      <c r="G356" s="64">
        <f>TRUNC(TRUNC(E356,8)*F356,2)</f>
        <v/>
      </c>
      <c r="L356" t="n">
        <v>0.025</v>
      </c>
      <c r="M356" t="n">
        <v>6.79</v>
      </c>
      <c r="N356">
        <f>(M356-F356)</f>
        <v/>
      </c>
    </row>
    <row r="357" ht="18" customHeight="1">
      <c r="A357" s="2" t="inlineStr"/>
      <c r="B357" s="2" t="inlineStr"/>
      <c r="C357" s="2" t="inlineStr"/>
      <c r="D357" s="2" t="inlineStr"/>
      <c r="E357" s="26" t="inlineStr">
        <is>
          <t>TOTAL Equipamento Custo Horário:</t>
        </is>
      </c>
      <c r="F357" s="56" t="n"/>
      <c r="G357" s="65">
        <f>SUM(G355:G356)</f>
        <v/>
      </c>
    </row>
    <row r="358" ht="15" customHeight="1">
      <c r="A358" s="20" t="inlineStr">
        <is>
          <t>Mão de Obra com Encargos Complementares</t>
        </is>
      </c>
      <c r="B358" s="56" t="n"/>
      <c r="C358" s="21" t="inlineStr">
        <is>
          <t>FONTE</t>
        </is>
      </c>
      <c r="D358" s="21" t="inlineStr">
        <is>
          <t>UNID</t>
        </is>
      </c>
      <c r="E358" s="21" t="inlineStr">
        <is>
          <t>COEFICIENTE</t>
        </is>
      </c>
      <c r="F358" s="21" t="inlineStr">
        <is>
          <t>PREÇO UNITÁRIO</t>
        </is>
      </c>
      <c r="G358" s="21" t="inlineStr">
        <is>
          <t>TOTAL</t>
        </is>
      </c>
    </row>
    <row r="359" ht="15" customHeight="1">
      <c r="A359" s="22" t="inlineStr">
        <is>
          <t>88309</t>
        </is>
      </c>
      <c r="B359" s="23" t="inlineStr">
        <is>
          <t>PEDREIRO COM ENCARGOS COMPLEMENTARES</t>
        </is>
      </c>
      <c r="C359" s="22" t="inlineStr">
        <is>
          <t>SINAPI</t>
        </is>
      </c>
      <c r="D359" s="22" t="inlineStr">
        <is>
          <t>H</t>
        </is>
      </c>
      <c r="E359" s="63">
        <f>L359*FATOR</f>
        <v/>
      </c>
      <c r="F359" s="64">
        <f>'COMPOSICOES AUXILIARES'!G2887</f>
        <v/>
      </c>
      <c r="G359" s="64">
        <f>TRUNC(TRUNC(E359,8)*F359,2)</f>
        <v/>
      </c>
      <c r="L359" t="n">
        <v>0.045</v>
      </c>
      <c r="M359" t="n">
        <v>30.58</v>
      </c>
      <c r="N359">
        <f>(M359-F359)</f>
        <v/>
      </c>
    </row>
    <row r="360" ht="15" customHeight="1">
      <c r="A360" s="22" t="inlineStr">
        <is>
          <t>88316</t>
        </is>
      </c>
      <c r="B360" s="23" t="inlineStr">
        <is>
          <t>SERVENTE COM ENCARGOS COMPLEMENTARES</t>
        </is>
      </c>
      <c r="C360" s="22" t="inlineStr">
        <is>
          <t>SINAPI</t>
        </is>
      </c>
      <c r="D360" s="22" t="inlineStr">
        <is>
          <t>H</t>
        </is>
      </c>
      <c r="E360" s="63">
        <f>L360*FATOR</f>
        <v/>
      </c>
      <c r="F360" s="64">
        <f>'COMPOSICOES AUXILIARES'!G3390</f>
        <v/>
      </c>
      <c r="G360" s="64">
        <f>TRUNC(TRUNC(E360,8)*F360,2)</f>
        <v/>
      </c>
      <c r="L360" t="n">
        <v>0.089</v>
      </c>
      <c r="M360" t="n">
        <v>23.56</v>
      </c>
      <c r="N360">
        <f>(M360-F360)</f>
        <v/>
      </c>
    </row>
    <row r="361" ht="18" customHeight="1">
      <c r="A361" s="2" t="inlineStr"/>
      <c r="B361" s="2" t="inlineStr"/>
      <c r="C361" s="2" t="inlineStr"/>
      <c r="D361" s="2" t="inlineStr"/>
      <c r="E361" s="26" t="inlineStr">
        <is>
          <t>TOTAL Mão de Obra com Encargos Complementares:</t>
        </is>
      </c>
      <c r="F361" s="56" t="n"/>
      <c r="G361" s="65">
        <f>SUM(G359:G360)</f>
        <v/>
      </c>
    </row>
    <row r="362" ht="15" customHeight="1">
      <c r="A362" s="2" t="inlineStr"/>
      <c r="B362" s="2" t="inlineStr"/>
      <c r="C362" s="2" t="inlineStr"/>
      <c r="D362" s="2" t="inlineStr"/>
      <c r="E362" s="28" t="inlineStr">
        <is>
          <t>VALOR:</t>
        </is>
      </c>
      <c r="F362" s="56" t="n"/>
      <c r="G362" s="66">
        <f>SUM(G361,G357)</f>
        <v/>
      </c>
    </row>
    <row r="363" ht="15" customHeight="1">
      <c r="A363" s="2" t="inlineStr"/>
      <c r="B363" s="2" t="inlineStr"/>
      <c r="C363" s="2" t="inlineStr"/>
      <c r="D363" s="2" t="inlineStr"/>
      <c r="E363" s="28" t="inlineStr">
        <is>
          <t>VALOR BDI (23.08%):</t>
        </is>
      </c>
      <c r="F363" s="56" t="n"/>
      <c r="G363" s="66">
        <f>ROUNDDOWN(G362*BDI,2)</f>
        <v/>
      </c>
    </row>
    <row r="364" ht="15" customHeight="1">
      <c r="A364" s="2" t="inlineStr"/>
      <c r="B364" s="2" t="inlineStr"/>
      <c r="C364" s="2" t="inlineStr"/>
      <c r="D364" s="2" t="inlineStr"/>
      <c r="E364" s="28" t="inlineStr">
        <is>
          <t>VALOR COM BDI:</t>
        </is>
      </c>
      <c r="F364" s="56" t="n"/>
      <c r="G364" s="66">
        <f>G363 + G362</f>
        <v/>
      </c>
    </row>
    <row r="365" ht="10" customHeight="1">
      <c r="A365" s="2" t="inlineStr"/>
      <c r="B365" s="2" t="inlineStr"/>
      <c r="C365" s="2" t="inlineStr"/>
      <c r="D365" s="2" t="inlineStr"/>
      <c r="E365" s="18" t="inlineStr"/>
    </row>
    <row r="366" ht="20" customHeight="1">
      <c r="A366" s="19" t="inlineStr">
        <is>
          <t>2.3.1.1. ​99059​ LOCAÇÃO CONVENCIONAL DE OBRA, UTILIZANDO GABARITO DE TÁBUAS CORRIDAS PONTALETADAS A CADA 2,00M -2 UTILIZAÇÕES. AF_03/2024​ (M)</t>
        </is>
      </c>
      <c r="B366" s="55" t="n"/>
      <c r="C366" s="55" t="n"/>
      <c r="D366" s="55" t="n"/>
      <c r="E366" s="55" t="n"/>
      <c r="F366" s="55" t="n"/>
      <c r="G366" s="56" t="n"/>
    </row>
    <row r="367" ht="15" customHeight="1">
      <c r="A367" s="20" t="inlineStr">
        <is>
          <t>Equipamento Custo Horário</t>
        </is>
      </c>
      <c r="B367" s="56" t="n"/>
      <c r="C367" s="21" t="inlineStr">
        <is>
          <t>FONTE</t>
        </is>
      </c>
      <c r="D367" s="21" t="inlineStr">
        <is>
          <t>UNID</t>
        </is>
      </c>
      <c r="E367" s="21" t="inlineStr">
        <is>
          <t>COEFICIENTE</t>
        </is>
      </c>
      <c r="F367" s="21" t="inlineStr">
        <is>
          <t>PREÇO UNITÁRIO</t>
        </is>
      </c>
      <c r="G367" s="21" t="inlineStr">
        <is>
          <t>TOTAL</t>
        </is>
      </c>
    </row>
    <row r="368" ht="29" customHeight="1">
      <c r="A368" s="22" t="inlineStr">
        <is>
          <t>91693</t>
        </is>
      </c>
      <c r="B368" s="23" t="inlineStr">
        <is>
          <t>SERRA CIRCULAR DE BANCADA COM MOTOR ELÉTRICO POTÊNCIA DE 5HP, COM COIFA PARA DISCO 10" - CHI DIURNO. AF_08/2015</t>
        </is>
      </c>
      <c r="C368" s="22" t="inlineStr">
        <is>
          <t>SINAPI</t>
        </is>
      </c>
      <c r="D368" s="22" t="inlineStr">
        <is>
          <t>CHI</t>
        </is>
      </c>
      <c r="E368" s="63" t="n">
        <v>0.028</v>
      </c>
      <c r="F368" s="64">
        <f>'COMPOSICOES AUXILIARES'!G3306</f>
        <v/>
      </c>
      <c r="G368" s="64">
        <f>TRUNC(TRUNC(E368,8)*F368,2)</f>
        <v/>
      </c>
      <c r="L368" t="n">
        <v>0.028</v>
      </c>
      <c r="M368" t="n">
        <v>35.72</v>
      </c>
      <c r="N368">
        <f>(M368-F368)</f>
        <v/>
      </c>
    </row>
    <row r="369" ht="29" customHeight="1">
      <c r="A369" s="22" t="inlineStr">
        <is>
          <t>91692</t>
        </is>
      </c>
      <c r="B369" s="23" t="inlineStr">
        <is>
          <t>SERRA CIRCULAR DE BANCADA COM MOTOR ELÉTRICO POTÊNCIA DE 5HP, COM COIFA PARA DISCO 10" - CHP DIURNO. AF_08/2015</t>
        </is>
      </c>
      <c r="C369" s="22" t="inlineStr">
        <is>
          <t>SINAPI</t>
        </is>
      </c>
      <c r="D369" s="22" t="inlineStr">
        <is>
          <t>CHP</t>
        </is>
      </c>
      <c r="E369" s="63" t="n">
        <v>0.007</v>
      </c>
      <c r="F369" s="64">
        <f>'COMPOSICOES AUXILIARES'!G3320</f>
        <v/>
      </c>
      <c r="G369" s="64">
        <f>TRUNC(TRUNC(E369,8)*F369,2)</f>
        <v/>
      </c>
      <c r="L369" t="n">
        <v>0.007</v>
      </c>
      <c r="M369" t="n">
        <v>37.16</v>
      </c>
      <c r="N369">
        <f>(M369-F369)</f>
        <v/>
      </c>
    </row>
    <row r="370" ht="18" customHeight="1">
      <c r="A370" s="2" t="inlineStr"/>
      <c r="B370" s="2" t="inlineStr"/>
      <c r="C370" s="2" t="inlineStr"/>
      <c r="D370" s="2" t="inlineStr"/>
      <c r="E370" s="26" t="inlineStr">
        <is>
          <t>TOTAL Equipamento Custo Horário:</t>
        </is>
      </c>
      <c r="F370" s="56" t="n"/>
      <c r="G370" s="65">
        <f>SUM(G368:G369)</f>
        <v/>
      </c>
    </row>
    <row r="371" ht="15" customHeight="1">
      <c r="A371" s="20" t="inlineStr">
        <is>
          <t>Material</t>
        </is>
      </c>
      <c r="B371" s="56" t="n"/>
      <c r="C371" s="21" t="inlineStr">
        <is>
          <t>FONTE</t>
        </is>
      </c>
      <c r="D371" s="21" t="inlineStr">
        <is>
          <t>UNID</t>
        </is>
      </c>
      <c r="E371" s="21" t="inlineStr">
        <is>
          <t>COEFICIENTE</t>
        </is>
      </c>
      <c r="F371" s="21" t="inlineStr">
        <is>
          <t>PREÇO UNITÁRIO</t>
        </is>
      </c>
      <c r="G371" s="21" t="inlineStr">
        <is>
          <t>TOTAL</t>
        </is>
      </c>
    </row>
    <row r="372" ht="29" customHeight="1">
      <c r="A372" s="22" t="inlineStr">
        <is>
          <t>00004433</t>
        </is>
      </c>
      <c r="B372" s="23" t="inlineStr">
        <is>
          <t>CAIBRO NAO APARELHADO *6 X 6* CM, EM MACARANDUBA/MASSARANDUBA, ANGELIM OU EQUIVALENTE DA REGIAO - BRUTA</t>
        </is>
      </c>
      <c r="C372" s="22" t="inlineStr">
        <is>
          <t>SINAPI</t>
        </is>
      </c>
      <c r="D372" s="22" t="inlineStr">
        <is>
          <t>M</t>
        </is>
      </c>
      <c r="E372" s="63" t="n">
        <v>0.4125</v>
      </c>
      <c r="F372" s="64">
        <f>ROUND(M372*FATOR, 2)</f>
        <v/>
      </c>
      <c r="G372" s="64">
        <f>TRUNC(TRUNC(E372,8)*F372,2)</f>
        <v/>
      </c>
      <c r="L372" t="n">
        <v>0.4125</v>
      </c>
      <c r="M372" t="n">
        <v>28.35</v>
      </c>
      <c r="N372">
        <f>(M372-F372)</f>
        <v/>
      </c>
    </row>
    <row r="373" ht="15" customHeight="1">
      <c r="A373" s="22" t="inlineStr">
        <is>
          <t>00005068</t>
        </is>
      </c>
      <c r="B373" s="23" t="inlineStr">
        <is>
          <t>PREGO DE ACO POLIDO COM CABECA 17 X 21 (2 X 11)</t>
        </is>
      </c>
      <c r="C373" s="22" t="inlineStr">
        <is>
          <t>SINAPI</t>
        </is>
      </c>
      <c r="D373" s="22" t="inlineStr">
        <is>
          <t>KG</t>
        </is>
      </c>
      <c r="E373" s="63" t="n">
        <v>0.111</v>
      </c>
      <c r="F373" s="64">
        <f>ROUND(M373*FATOR, 2)</f>
        <v/>
      </c>
      <c r="G373" s="64">
        <f>TRUNC(TRUNC(E373,8)*F373,2)</f>
        <v/>
      </c>
      <c r="L373" t="n">
        <v>0.111</v>
      </c>
      <c r="M373" t="n">
        <v>14.19</v>
      </c>
      <c r="N373">
        <f>(M373-F373)</f>
        <v/>
      </c>
    </row>
    <row r="374" ht="29" customHeight="1">
      <c r="A374" s="22" t="inlineStr">
        <is>
          <t>00004417</t>
        </is>
      </c>
      <c r="B374" s="23" t="inlineStr">
        <is>
          <t>SARRAFO NAO APARELHADO *2,5 X 7* CM, EM MACARANDUBA/MASSARANDUBA, ANGELIM, PEROBA-ROSA OU EQUIVALENTE DA REGIAO - BRUTA</t>
        </is>
      </c>
      <c r="C374" s="22" t="inlineStr">
        <is>
          <t>SINAPI</t>
        </is>
      </c>
      <c r="D374" s="22" t="inlineStr">
        <is>
          <t>M</t>
        </is>
      </c>
      <c r="E374" s="63" t="n">
        <v>0.7445000000000001</v>
      </c>
      <c r="F374" s="64">
        <f>ROUND(M374*FATOR, 2)</f>
        <v/>
      </c>
      <c r="G374" s="64">
        <f>TRUNC(TRUNC(E374,8)*F374,2)</f>
        <v/>
      </c>
      <c r="L374" t="n">
        <v>0.7445000000000001</v>
      </c>
      <c r="M374" t="n">
        <v>7.89</v>
      </c>
      <c r="N374">
        <f>(M374-F374)</f>
        <v/>
      </c>
    </row>
    <row r="375" ht="21" customHeight="1">
      <c r="A375" s="22" t="inlineStr">
        <is>
          <t>00010567</t>
        </is>
      </c>
      <c r="B375" s="23" t="inlineStr">
        <is>
          <t>TABUA *2,5 X 23* CM EM PINUS, MISTA OU EQUIVALENTE DA REGIAO - BRUTA</t>
        </is>
      </c>
      <c r="C375" s="22" t="inlineStr">
        <is>
          <t>SINAPI</t>
        </is>
      </c>
      <c r="D375" s="22" t="inlineStr">
        <is>
          <t>M</t>
        </is>
      </c>
      <c r="E375" s="63" t="n">
        <v>0.55</v>
      </c>
      <c r="F375" s="64">
        <f>ROUND(M375*FATOR, 2)</f>
        <v/>
      </c>
      <c r="G375" s="64">
        <f>TRUNC(TRUNC(E375,8)*F375,2)</f>
        <v/>
      </c>
      <c r="L375" t="n">
        <v>0.55</v>
      </c>
      <c r="M375" t="n">
        <v>12.49</v>
      </c>
      <c r="N375">
        <f>(M375-F375)</f>
        <v/>
      </c>
    </row>
    <row r="376" ht="15" customHeight="1">
      <c r="A376" s="22" t="inlineStr">
        <is>
          <t>00007356</t>
        </is>
      </c>
      <c r="B376" s="23" t="inlineStr">
        <is>
          <t>TINTA LATEX ACRILICA PREMIUM, COR BRANCO FOSCO</t>
        </is>
      </c>
      <c r="C376" s="22" t="inlineStr">
        <is>
          <t>SINAPI</t>
        </is>
      </c>
      <c r="D376" s="22" t="inlineStr">
        <is>
          <t>L</t>
        </is>
      </c>
      <c r="E376" s="63" t="n">
        <v>0.0256</v>
      </c>
      <c r="F376" s="64">
        <f>ROUND(M376*FATOR, 2)</f>
        <v/>
      </c>
      <c r="G376" s="64">
        <f>TRUNC(TRUNC(E376,8)*F376,2)</f>
        <v/>
      </c>
      <c r="L376" t="n">
        <v>0.0256</v>
      </c>
      <c r="M376" t="n">
        <v>30.79</v>
      </c>
      <c r="N376">
        <f>(M376-F376)</f>
        <v/>
      </c>
    </row>
    <row r="377" ht="15" customHeight="1">
      <c r="A377" s="2" t="inlineStr"/>
      <c r="B377" s="2" t="inlineStr"/>
      <c r="C377" s="2" t="inlineStr"/>
      <c r="D377" s="2" t="inlineStr"/>
      <c r="E377" s="26" t="inlineStr">
        <is>
          <t>TOTAL Material:</t>
        </is>
      </c>
      <c r="F377" s="56" t="n"/>
      <c r="G377" s="65">
        <f>SUM(G372:G376)</f>
        <v/>
      </c>
    </row>
    <row r="378" ht="15" customHeight="1">
      <c r="A378" s="20" t="inlineStr">
        <is>
          <t>Mão de Obra com Encargos Complementares</t>
        </is>
      </c>
      <c r="B378" s="56" t="n"/>
      <c r="C378" s="21" t="inlineStr">
        <is>
          <t>FONTE</t>
        </is>
      </c>
      <c r="D378" s="21" t="inlineStr">
        <is>
          <t>UNID</t>
        </is>
      </c>
      <c r="E378" s="21" t="inlineStr">
        <is>
          <t>COEFICIENTE</t>
        </is>
      </c>
      <c r="F378" s="21" t="inlineStr">
        <is>
          <t>PREÇO UNITÁRIO</t>
        </is>
      </c>
      <c r="G378" s="21" t="inlineStr">
        <is>
          <t>TOTAL</t>
        </is>
      </c>
    </row>
    <row r="379" ht="21" customHeight="1">
      <c r="A379" s="22" t="inlineStr">
        <is>
          <t>88239</t>
        </is>
      </c>
      <c r="B379" s="23" t="inlineStr">
        <is>
          <t>AJUDANTE DE CARPINTEIRO COM ENCARGOS COMPLEMENTARES</t>
        </is>
      </c>
      <c r="C379" s="22" t="inlineStr">
        <is>
          <t>SINAPI</t>
        </is>
      </c>
      <c r="D379" s="22" t="inlineStr">
        <is>
          <t>H</t>
        </is>
      </c>
      <c r="E379" s="63">
        <f>L379*FATOR</f>
        <v/>
      </c>
      <c r="F379" s="64">
        <f>'COMPOSICOES AUXILIARES'!G68</f>
        <v/>
      </c>
      <c r="G379" s="64">
        <f>TRUNC(TRUNC(E379,8)*F379,2)</f>
        <v/>
      </c>
      <c r="L379" t="n">
        <v>0.7247</v>
      </c>
      <c r="M379" t="n">
        <v>24.61</v>
      </c>
      <c r="N379">
        <f>(M379-F379)</f>
        <v/>
      </c>
    </row>
    <row r="380" ht="21" customHeight="1">
      <c r="A380" s="22" t="inlineStr">
        <is>
          <t>88262</t>
        </is>
      </c>
      <c r="B380" s="23" t="inlineStr">
        <is>
          <t>CARPINTEIRO DE FORMAS COM ENCARGOS COMPLEMENTARES</t>
        </is>
      </c>
      <c r="C380" s="22" t="inlineStr">
        <is>
          <t>SINAPI</t>
        </is>
      </c>
      <c r="D380" s="22" t="inlineStr">
        <is>
          <t>H</t>
        </is>
      </c>
      <c r="E380" s="63">
        <f>L380*FATOR</f>
        <v/>
      </c>
      <c r="F380" s="64">
        <f>'COMPOSICOES AUXILIARES'!G943</f>
        <v/>
      </c>
      <c r="G380" s="64">
        <f>TRUNC(TRUNC(E380,8)*F380,2)</f>
        <v/>
      </c>
      <c r="L380" t="n">
        <v>0.7247</v>
      </c>
      <c r="M380" t="n">
        <v>30.15</v>
      </c>
      <c r="N380">
        <f>(M380-F380)</f>
        <v/>
      </c>
    </row>
    <row r="381" ht="18" customHeight="1">
      <c r="A381" s="2" t="inlineStr"/>
      <c r="B381" s="2" t="inlineStr"/>
      <c r="C381" s="2" t="inlineStr"/>
      <c r="D381" s="2" t="inlineStr"/>
      <c r="E381" s="26" t="inlineStr">
        <is>
          <t>TOTAL Mão de Obra com Encargos Complementares:</t>
        </is>
      </c>
      <c r="F381" s="56" t="n"/>
      <c r="G381" s="65">
        <f>SUM(G379:G380)</f>
        <v/>
      </c>
    </row>
    <row r="382" ht="15" customHeight="1">
      <c r="A382" s="20" t="inlineStr">
        <is>
          <t>Serviço</t>
        </is>
      </c>
      <c r="B382" s="56" t="n"/>
      <c r="C382" s="21" t="inlineStr">
        <is>
          <t>FONTE</t>
        </is>
      </c>
      <c r="D382" s="21" t="inlineStr">
        <is>
          <t>UNID</t>
        </is>
      </c>
      <c r="E382" s="21" t="inlineStr">
        <is>
          <t>COEFICIENTE</t>
        </is>
      </c>
      <c r="F382" s="21" t="inlineStr">
        <is>
          <t>PREÇO UNITÁRIO</t>
        </is>
      </c>
      <c r="G382" s="21" t="inlineStr">
        <is>
          <t>TOTAL</t>
        </is>
      </c>
    </row>
    <row r="383" ht="29" customHeight="1">
      <c r="A383" s="22" t="inlineStr">
        <is>
          <t>94974</t>
        </is>
      </c>
      <c r="B383" s="23" t="inlineStr">
        <is>
          <t>CONCRETO MAGRO PARA LASTRO, TRAÇO 1:4,5:4,5 (EM MASSA SECA DE CIMENTO/ AREIA MÉDIA/ BRITA 1) - PREPARO MANUAL. AF_05/2021</t>
        </is>
      </c>
      <c r="C383" s="22" t="inlineStr">
        <is>
          <t>SINAPI</t>
        </is>
      </c>
      <c r="D383" s="22" t="inlineStr">
        <is>
          <t>M3</t>
        </is>
      </c>
      <c r="E383" s="63" t="n">
        <v>0.004</v>
      </c>
      <c r="F383" s="64">
        <f>'COMPOSICOES AUXILIARES'!G1245</f>
        <v/>
      </c>
      <c r="G383" s="64">
        <f>TRUNC(TRUNC(E383,8)*F383,2)</f>
        <v/>
      </c>
      <c r="L383" t="n">
        <v>0.004</v>
      </c>
      <c r="M383" t="n">
        <v>487.36</v>
      </c>
      <c r="N383">
        <f>(M383-F383)</f>
        <v/>
      </c>
    </row>
    <row r="384" ht="15" customHeight="1">
      <c r="A384" s="2" t="inlineStr"/>
      <c r="B384" s="2" t="inlineStr"/>
      <c r="C384" s="2" t="inlineStr"/>
      <c r="D384" s="2" t="inlineStr"/>
      <c r="E384" s="26" t="inlineStr">
        <is>
          <t>TOTAL Serviço:</t>
        </is>
      </c>
      <c r="F384" s="56" t="n"/>
      <c r="G384" s="65">
        <f>SUM(G383:G383)</f>
        <v/>
      </c>
    </row>
    <row r="385" ht="15" customHeight="1">
      <c r="A385" s="2" t="inlineStr"/>
      <c r="B385" s="2" t="inlineStr"/>
      <c r="C385" s="2" t="inlineStr"/>
      <c r="D385" s="2" t="inlineStr"/>
      <c r="E385" s="28" t="inlineStr">
        <is>
          <t>VALOR:</t>
        </is>
      </c>
      <c r="F385" s="56" t="n"/>
      <c r="G385" s="66">
        <f>SUM(G384,G377,G370,G381)</f>
        <v/>
      </c>
    </row>
    <row r="386" ht="15" customHeight="1">
      <c r="A386" s="2" t="inlineStr"/>
      <c r="B386" s="2" t="inlineStr"/>
      <c r="C386" s="2" t="inlineStr"/>
      <c r="D386" s="2" t="inlineStr"/>
      <c r="E386" s="28" t="inlineStr">
        <is>
          <t>VALOR BDI (23.08%):</t>
        </is>
      </c>
      <c r="F386" s="56" t="n"/>
      <c r="G386" s="66">
        <f>ROUNDDOWN(G385*BDI,2)</f>
        <v/>
      </c>
    </row>
    <row r="387" ht="15" customHeight="1">
      <c r="A387" s="2" t="inlineStr"/>
      <c r="B387" s="2" t="inlineStr"/>
      <c r="C387" s="2" t="inlineStr"/>
      <c r="D387" s="2" t="inlineStr"/>
      <c r="E387" s="28" t="inlineStr">
        <is>
          <t>VALOR COM BDI:</t>
        </is>
      </c>
      <c r="F387" s="56" t="n"/>
      <c r="G387" s="66">
        <f>G386 + G385</f>
        <v/>
      </c>
    </row>
    <row r="388" ht="10" customHeight="1">
      <c r="A388" s="2" t="inlineStr"/>
      <c r="B388" s="2" t="inlineStr"/>
      <c r="C388" s="2" t="inlineStr"/>
      <c r="D388" s="2" t="inlineStr"/>
      <c r="E388" s="18" t="inlineStr"/>
    </row>
    <row r="389" ht="20" customHeight="1">
      <c r="A389" s="19" t="inlineStr">
        <is>
          <t>2.3.1.2. ​C2873​ LOCAÇÃO DA OBRA COM AUXÍLIOTOPOGRÁFICO (ÁREA ATÉ 5000 M2)​ (M2)</t>
        </is>
      </c>
      <c r="B389" s="55" t="n"/>
      <c r="C389" s="55" t="n"/>
      <c r="D389" s="55" t="n"/>
      <c r="E389" s="55" t="n"/>
      <c r="F389" s="55" t="n"/>
      <c r="G389" s="56" t="n"/>
    </row>
    <row r="390" ht="15" customHeight="1">
      <c r="A390" s="20" t="inlineStr">
        <is>
          <t>Equipamento Custo Horário</t>
        </is>
      </c>
      <c r="B390" s="56" t="n"/>
      <c r="C390" s="21" t="inlineStr">
        <is>
          <t>FONTE</t>
        </is>
      </c>
      <c r="D390" s="21" t="inlineStr">
        <is>
          <t>UNID</t>
        </is>
      </c>
      <c r="E390" s="21" t="inlineStr">
        <is>
          <t>COEFICIENTE</t>
        </is>
      </c>
      <c r="F390" s="21" t="inlineStr">
        <is>
          <t>PREÇO UNITÁRIO</t>
        </is>
      </c>
      <c r="G390" s="21" t="inlineStr">
        <is>
          <t>TOTAL</t>
        </is>
      </c>
    </row>
    <row r="391" ht="15" customHeight="1">
      <c r="A391" s="22" t="inlineStr">
        <is>
          <t>I0700</t>
        </is>
      </c>
      <c r="B391" s="23" t="inlineStr">
        <is>
          <t>CAMINHONETE SAVEIRO (CHP)</t>
        </is>
      </c>
      <c r="C391" s="22" t="inlineStr">
        <is>
          <t>SEINFRA</t>
        </is>
      </c>
      <c r="D391" s="22" t="inlineStr">
        <is>
          <t>H</t>
        </is>
      </c>
      <c r="E391" s="63" t="n">
        <v>0.001</v>
      </c>
      <c r="F391" s="67">
        <f>'COMPOSICOES AUXILIARES'!G725</f>
        <v/>
      </c>
      <c r="G391" s="67">
        <f>ROUND(ROUND(E391,8)*F391,4)</f>
        <v/>
      </c>
      <c r="L391" t="n">
        <v>0.001</v>
      </c>
      <c r="M391" t="n">
        <v>81.51260000000001</v>
      </c>
      <c r="N391">
        <f>(M391-F391)</f>
        <v/>
      </c>
    </row>
    <row r="392" ht="15" customHeight="1">
      <c r="A392" s="22" t="inlineStr">
        <is>
          <t>I0758</t>
        </is>
      </c>
      <c r="B392" s="23" t="inlineStr">
        <is>
          <t>NÍVEL (CHP)</t>
        </is>
      </c>
      <c r="C392" s="22" t="inlineStr">
        <is>
          <t>SEINFRA</t>
        </is>
      </c>
      <c r="D392" s="22" t="inlineStr">
        <is>
          <t>H</t>
        </is>
      </c>
      <c r="E392" s="63" t="n">
        <v>0.002</v>
      </c>
      <c r="F392" s="67">
        <f>'COMPOSICOES AUXILIARES'!G2792</f>
        <v/>
      </c>
      <c r="G392" s="67">
        <f>ROUND(ROUND(E392,8)*F392,4)</f>
        <v/>
      </c>
      <c r="L392" t="n">
        <v>0.002</v>
      </c>
      <c r="M392" t="n">
        <v>1.1752</v>
      </c>
      <c r="N392">
        <f>(M392-F392)</f>
        <v/>
      </c>
    </row>
    <row r="393" ht="15" customHeight="1">
      <c r="A393" s="22" t="inlineStr">
        <is>
          <t>I0775</t>
        </is>
      </c>
      <c r="B393" s="23" t="inlineStr">
        <is>
          <t>TEODOLITO (CHP)</t>
        </is>
      </c>
      <c r="C393" s="22" t="inlineStr">
        <is>
          <t>SEINFRA</t>
        </is>
      </c>
      <c r="D393" s="22" t="inlineStr">
        <is>
          <t>H</t>
        </is>
      </c>
      <c r="E393" s="63" t="n">
        <v>0.002</v>
      </c>
      <c r="F393" s="67">
        <f>'COMPOSICOES AUXILIARES'!G3445</f>
        <v/>
      </c>
      <c r="G393" s="67">
        <f>ROUND(ROUND(E393,8)*F393,4)</f>
        <v/>
      </c>
      <c r="L393" t="n">
        <v>0.002</v>
      </c>
      <c r="M393" t="n">
        <v>2.3202</v>
      </c>
      <c r="N393">
        <f>(M393-F393)</f>
        <v/>
      </c>
    </row>
    <row r="394" ht="18" customHeight="1">
      <c r="A394" s="2" t="inlineStr"/>
      <c r="B394" s="2" t="inlineStr"/>
      <c r="C394" s="2" t="inlineStr"/>
      <c r="D394" s="2" t="inlineStr"/>
      <c r="E394" s="26" t="inlineStr">
        <is>
          <t>TOTAL Equipamento Custo Horário:</t>
        </is>
      </c>
      <c r="F394" s="56" t="n"/>
      <c r="G394" s="68">
        <f>SUM(G391:G393)</f>
        <v/>
      </c>
    </row>
    <row r="395" ht="15" customHeight="1">
      <c r="A395" s="20" t="inlineStr">
        <is>
          <t>Mão de Obra</t>
        </is>
      </c>
      <c r="B395" s="56" t="n"/>
      <c r="C395" s="21" t="inlineStr">
        <is>
          <t>FONTE</t>
        </is>
      </c>
      <c r="D395" s="21" t="inlineStr">
        <is>
          <t>UNID</t>
        </is>
      </c>
      <c r="E395" s="21" t="inlineStr">
        <is>
          <t>COEFICIENTE</t>
        </is>
      </c>
      <c r="F395" s="21" t="inlineStr">
        <is>
          <t>PREÇO UNITÁRIO</t>
        </is>
      </c>
      <c r="G395" s="21" t="inlineStr">
        <is>
          <t>TOTAL</t>
        </is>
      </c>
    </row>
    <row r="396" ht="15" customHeight="1">
      <c r="A396" s="22" t="inlineStr">
        <is>
          <t>I0037</t>
        </is>
      </c>
      <c r="B396" s="23" t="inlineStr">
        <is>
          <t>AJUDANTE</t>
        </is>
      </c>
      <c r="C396" s="22" t="inlineStr">
        <is>
          <t>SEINFRA</t>
        </is>
      </c>
      <c r="D396" s="22" t="inlineStr">
        <is>
          <t>H</t>
        </is>
      </c>
      <c r="E396" s="63">
        <f>L396*FATOR</f>
        <v/>
      </c>
      <c r="F396" s="67" t="n">
        <v>21.1</v>
      </c>
      <c r="G396" s="67">
        <f>ROUND(ROUND(E396,8)*F396,4)</f>
        <v/>
      </c>
      <c r="L396" t="n">
        <v>0.004</v>
      </c>
      <c r="M396" t="n">
        <v>21.1</v>
      </c>
      <c r="N396">
        <f>(M396-F396)</f>
        <v/>
      </c>
    </row>
    <row r="397" ht="15" customHeight="1">
      <c r="A397" s="22" t="inlineStr">
        <is>
          <t>I2382</t>
        </is>
      </c>
      <c r="B397" s="23" t="inlineStr">
        <is>
          <t>NIVELADOR</t>
        </is>
      </c>
      <c r="C397" s="22" t="inlineStr">
        <is>
          <t>SEINFRA</t>
        </is>
      </c>
      <c r="D397" s="22" t="inlineStr">
        <is>
          <t>H</t>
        </is>
      </c>
      <c r="E397" s="63">
        <f>L397*FATOR</f>
        <v/>
      </c>
      <c r="F397" s="67" t="n">
        <v>29.64</v>
      </c>
      <c r="G397" s="67">
        <f>ROUND(ROUND(E397,8)*F397,4)</f>
        <v/>
      </c>
      <c r="L397" t="n">
        <v>0.002</v>
      </c>
      <c r="M397" t="n">
        <v>29.64</v>
      </c>
      <c r="N397">
        <f>(M397-F397)</f>
        <v/>
      </c>
    </row>
    <row r="398" ht="15" customHeight="1">
      <c r="A398" s="22" t="inlineStr">
        <is>
          <t>I2445</t>
        </is>
      </c>
      <c r="B398" s="23" t="inlineStr">
        <is>
          <t>TOPOGRAFO</t>
        </is>
      </c>
      <c r="C398" s="22" t="inlineStr">
        <is>
          <t>SEINFRA</t>
        </is>
      </c>
      <c r="D398" s="22" t="inlineStr">
        <is>
          <t>H</t>
        </is>
      </c>
      <c r="E398" s="63">
        <f>L398*FATOR</f>
        <v/>
      </c>
      <c r="F398" s="67" t="n">
        <v>35.6</v>
      </c>
      <c r="G398" s="67">
        <f>ROUND(ROUND(E398,8)*F398,4)</f>
        <v/>
      </c>
      <c r="L398" t="n">
        <v>0.002</v>
      </c>
      <c r="M398" t="n">
        <v>35.6</v>
      </c>
      <c r="N398">
        <f>(M398-F398)</f>
        <v/>
      </c>
    </row>
    <row r="399" ht="15" customHeight="1">
      <c r="A399" s="2" t="inlineStr"/>
      <c r="B399" s="2" t="inlineStr"/>
      <c r="C399" s="2" t="inlineStr"/>
      <c r="D399" s="2" t="inlineStr"/>
      <c r="E399" s="26" t="inlineStr">
        <is>
          <t>TOTAL Mão de Obra:</t>
        </is>
      </c>
      <c r="F399" s="56" t="n"/>
      <c r="G399" s="68">
        <f>SUM(G396:G398)</f>
        <v/>
      </c>
    </row>
    <row r="400" ht="15" customHeight="1">
      <c r="A400" s="2" t="inlineStr"/>
      <c r="B400" s="2" t="inlineStr"/>
      <c r="C400" s="2" t="inlineStr"/>
      <c r="D400" s="2" t="inlineStr"/>
      <c r="E400" s="28" t="inlineStr">
        <is>
          <t>VALOR:</t>
        </is>
      </c>
      <c r="F400" s="56" t="n"/>
      <c r="G400" s="66">
        <f>SUM(G394,G399)</f>
        <v/>
      </c>
    </row>
    <row r="401" ht="15" customHeight="1">
      <c r="A401" s="2" t="inlineStr"/>
      <c r="B401" s="2" t="inlineStr"/>
      <c r="C401" s="2" t="inlineStr"/>
      <c r="D401" s="2" t="inlineStr"/>
      <c r="E401" s="28" t="inlineStr">
        <is>
          <t>VALOR BDI (23.08%):</t>
        </is>
      </c>
      <c r="F401" s="56" t="n"/>
      <c r="G401" s="66">
        <f>ROUNDDOWN(G400*BDI,2)</f>
        <v/>
      </c>
    </row>
    <row r="402" ht="15" customHeight="1">
      <c r="A402" s="2" t="inlineStr"/>
      <c r="B402" s="2" t="inlineStr"/>
      <c r="C402" s="2" t="inlineStr"/>
      <c r="D402" s="2" t="inlineStr"/>
      <c r="E402" s="28" t="inlineStr">
        <is>
          <t>VALOR COM BDI:</t>
        </is>
      </c>
      <c r="F402" s="56" t="n"/>
      <c r="G402" s="66">
        <f>G401 + G400</f>
        <v/>
      </c>
    </row>
    <row r="403" ht="10" customHeight="1">
      <c r="A403" s="2" t="inlineStr"/>
      <c r="B403" s="2" t="inlineStr"/>
      <c r="C403" s="2" t="inlineStr"/>
      <c r="D403" s="2" t="inlineStr"/>
      <c r="E403" s="18" t="inlineStr"/>
    </row>
    <row r="404" ht="20" customHeight="1">
      <c r="A404" s="19" t="inlineStr">
        <is>
          <t>2.4.1. ​SOP1982​ AUTORIZAÇÃO DE SUPRESSÃO DE VEGETAÇÃO (ASV) (IMPLANTAÇÃO DE ATIVIDADES E OBRAS DE UTILIDADE PÚBLICA E INTERESSE SOCIAL) - BDI =14,00​ (UN)</t>
        </is>
      </c>
      <c r="B404" s="55" t="n"/>
      <c r="C404" s="55" t="n"/>
      <c r="D404" s="55" t="n"/>
      <c r="E404" s="55" t="n"/>
      <c r="F404" s="55" t="n"/>
      <c r="G404" s="56" t="n"/>
    </row>
    <row r="405" ht="15" customHeight="1">
      <c r="A405" s="20" t="inlineStr">
        <is>
          <t>Material</t>
        </is>
      </c>
      <c r="B405" s="56" t="n"/>
      <c r="C405" s="21" t="inlineStr">
        <is>
          <t>FONTE</t>
        </is>
      </c>
      <c r="D405" s="21" t="inlineStr">
        <is>
          <t>UNID</t>
        </is>
      </c>
      <c r="E405" s="21" t="inlineStr">
        <is>
          <t>COEFICIENTE</t>
        </is>
      </c>
      <c r="F405" s="21" t="inlineStr">
        <is>
          <t>PREÇO UNITÁRIO</t>
        </is>
      </c>
      <c r="G405" s="21" t="inlineStr">
        <is>
          <t>TOTAL</t>
        </is>
      </c>
    </row>
    <row r="406" ht="29" customHeight="1">
      <c r="A406" s="22" t="inlineStr">
        <is>
          <t>SOP0324I</t>
        </is>
      </c>
      <c r="B406" s="23" t="inlineStr">
        <is>
          <t>AUTORIZA Ç Ã O DE SUPRESS Ã O DE VEGETA Ç Ã O (ASV) (IMPLANTA Ç Ã O DE ATIVIDADES E OBRAS DE UTILIDADE PÚBLICA E INTERESSE SOCIAL)</t>
        </is>
      </c>
      <c r="C406" s="22" t="inlineStr">
        <is>
          <t xml:space="preserve">Composições </t>
        </is>
      </c>
      <c r="D406" s="22" t="inlineStr">
        <is>
          <t>UN</t>
        </is>
      </c>
      <c r="E406" s="63" t="n">
        <v>1</v>
      </c>
      <c r="F406" s="64">
        <f>ROUND(M406*FATOR, 2)</f>
        <v/>
      </c>
      <c r="G406" s="64">
        <f>ROUND(ROUND(E406,8)*F406,2)</f>
        <v/>
      </c>
      <c r="L406" t="n">
        <v>1</v>
      </c>
      <c r="M406" t="n">
        <v>1815.2</v>
      </c>
      <c r="N406">
        <f>(M406-F406)</f>
        <v/>
      </c>
    </row>
    <row r="407" ht="15" customHeight="1">
      <c r="A407" s="2" t="inlineStr"/>
      <c r="B407" s="2" t="inlineStr"/>
      <c r="C407" s="2" t="inlineStr"/>
      <c r="D407" s="2" t="inlineStr"/>
      <c r="E407" s="26" t="inlineStr">
        <is>
          <t>TOTAL Material:</t>
        </is>
      </c>
      <c r="F407" s="56" t="n"/>
      <c r="G407" s="65">
        <f>SUM(G406:G406)</f>
        <v/>
      </c>
    </row>
    <row r="408" ht="15" customHeight="1">
      <c r="A408" s="2" t="inlineStr"/>
      <c r="B408" s="2" t="inlineStr"/>
      <c r="C408" s="2" t="inlineStr"/>
      <c r="D408" s="2" t="inlineStr"/>
      <c r="E408" s="28" t="inlineStr">
        <is>
          <t>VALOR:</t>
        </is>
      </c>
      <c r="F408" s="56" t="n"/>
      <c r="G408" s="66">
        <f>SUM(G407)</f>
        <v/>
      </c>
    </row>
    <row r="409" ht="15" customHeight="1">
      <c r="A409" s="2" t="inlineStr"/>
      <c r="B409" s="2" t="inlineStr"/>
      <c r="C409" s="2" t="inlineStr"/>
      <c r="D409" s="2" t="inlineStr"/>
      <c r="E409" s="28" t="inlineStr">
        <is>
          <t>VALOR BDI (14.00%):</t>
        </is>
      </c>
      <c r="F409" s="56" t="n"/>
      <c r="G409" s="66">
        <f>ROUNDDOWN(G408*BDI,2)</f>
        <v/>
      </c>
    </row>
    <row r="410" ht="15" customHeight="1">
      <c r="A410" s="2" t="inlineStr"/>
      <c r="B410" s="2" t="inlineStr"/>
      <c r="C410" s="2" t="inlineStr"/>
      <c r="D410" s="2" t="inlineStr"/>
      <c r="E410" s="28" t="inlineStr">
        <is>
          <t>VALOR COM BDI:</t>
        </is>
      </c>
      <c r="F410" s="56" t="n"/>
      <c r="G410" s="66">
        <f>G409 + G408</f>
        <v/>
      </c>
    </row>
    <row r="411" ht="10" customHeight="1">
      <c r="A411" s="2" t="inlineStr"/>
      <c r="B411" s="2" t="inlineStr"/>
      <c r="C411" s="2" t="inlineStr"/>
      <c r="D411" s="2" t="inlineStr"/>
      <c r="E411" s="18" t="inlineStr"/>
    </row>
    <row r="412" ht="20" customHeight="1">
      <c r="A412" s="19" t="inlineStr">
        <is>
          <t>2.4.2. ​SOP1988​ TAXA PARA LICENCIAMENTO AMBIENTAL, CONFORME RESOLUÇÃO COEMA Nº02/2019 – ATIVIDADE 25.02 - BDI = 14,00​ (UN)</t>
        </is>
      </c>
      <c r="B412" s="55" t="n"/>
      <c r="C412" s="55" t="n"/>
      <c r="D412" s="55" t="n"/>
      <c r="E412" s="55" t="n"/>
      <c r="F412" s="55" t="n"/>
      <c r="G412" s="56" t="n"/>
    </row>
    <row r="413" ht="15" customHeight="1">
      <c r="A413" s="20" t="inlineStr">
        <is>
          <t>Material</t>
        </is>
      </c>
      <c r="B413" s="56" t="n"/>
      <c r="C413" s="21" t="inlineStr">
        <is>
          <t>FONTE</t>
        </is>
      </c>
      <c r="D413" s="21" t="inlineStr">
        <is>
          <t>UNID</t>
        </is>
      </c>
      <c r="E413" s="21" t="inlineStr">
        <is>
          <t>COEFICIENTE</t>
        </is>
      </c>
      <c r="F413" s="21" t="inlineStr">
        <is>
          <t>PREÇO UNITÁRIO</t>
        </is>
      </c>
      <c r="G413" s="21" t="inlineStr">
        <is>
          <t>TOTAL</t>
        </is>
      </c>
    </row>
    <row r="414" ht="21" customHeight="1">
      <c r="A414" s="22" t="inlineStr">
        <is>
          <t>INS-SOP0330I</t>
        </is>
      </c>
      <c r="B414" s="23" t="inlineStr">
        <is>
          <t>TAXA PARA LICENCIAMENTO AMBIENTAL, CONFORME RESOLUÇÃO COEMA Nº 02/2019 - ATIVIDADE 25.02</t>
        </is>
      </c>
      <c r="C414" s="22" t="inlineStr">
        <is>
          <t xml:space="preserve">Composições </t>
        </is>
      </c>
      <c r="D414" s="22" t="inlineStr">
        <is>
          <t>UN</t>
        </is>
      </c>
      <c r="E414" s="63" t="n">
        <v>1</v>
      </c>
      <c r="F414" s="64">
        <f>ROUND(M414*FATOR, 2)</f>
        <v/>
      </c>
      <c r="G414" s="64">
        <f>ROUND(ROUND(E414,8)*F414,2)</f>
        <v/>
      </c>
      <c r="L414" t="n">
        <v>1</v>
      </c>
      <c r="M414" t="n">
        <v>5105.07</v>
      </c>
      <c r="N414">
        <f>(M414-F414)</f>
        <v/>
      </c>
    </row>
    <row r="415" ht="15" customHeight="1">
      <c r="A415" s="2" t="inlineStr"/>
      <c r="B415" s="2" t="inlineStr"/>
      <c r="C415" s="2" t="inlineStr"/>
      <c r="D415" s="2" t="inlineStr"/>
      <c r="E415" s="26" t="inlineStr">
        <is>
          <t>TOTAL Material:</t>
        </is>
      </c>
      <c r="F415" s="56" t="n"/>
      <c r="G415" s="65">
        <f>SUM(G414:G414)</f>
        <v/>
      </c>
    </row>
    <row r="416" ht="15" customHeight="1">
      <c r="A416" s="2" t="inlineStr"/>
      <c r="B416" s="2" t="inlineStr"/>
      <c r="C416" s="2" t="inlineStr"/>
      <c r="D416" s="2" t="inlineStr"/>
      <c r="E416" s="28" t="inlineStr">
        <is>
          <t>VALOR:</t>
        </is>
      </c>
      <c r="F416" s="56" t="n"/>
      <c r="G416" s="66">
        <f>SUM(G415)</f>
        <v/>
      </c>
    </row>
    <row r="417" ht="15" customHeight="1">
      <c r="A417" s="2" t="inlineStr"/>
      <c r="B417" s="2" t="inlineStr"/>
      <c r="C417" s="2" t="inlineStr"/>
      <c r="D417" s="2" t="inlineStr"/>
      <c r="E417" s="28" t="inlineStr">
        <is>
          <t>VALOR BDI (14.00%):</t>
        </is>
      </c>
      <c r="F417" s="56" t="n"/>
      <c r="G417" s="66">
        <f>ROUNDDOWN(G416*BDI,2)</f>
        <v/>
      </c>
    </row>
    <row r="418" ht="15" customHeight="1">
      <c r="A418" s="2" t="inlineStr"/>
      <c r="B418" s="2" t="inlineStr"/>
      <c r="C418" s="2" t="inlineStr"/>
      <c r="D418" s="2" t="inlineStr"/>
      <c r="E418" s="28" t="inlineStr">
        <is>
          <t>VALOR COM BDI:</t>
        </is>
      </c>
      <c r="F418" s="56" t="n"/>
      <c r="G418" s="66">
        <f>G417 + G416</f>
        <v/>
      </c>
    </row>
    <row r="419" ht="10" customHeight="1">
      <c r="A419" s="2" t="inlineStr"/>
      <c r="B419" s="2" t="inlineStr"/>
      <c r="C419" s="2" t="inlineStr"/>
      <c r="D419" s="2" t="inlineStr"/>
      <c r="E419" s="18" t="inlineStr"/>
    </row>
    <row r="420" ht="20" customHeight="1">
      <c r="A420" s="19" t="inlineStr">
        <is>
          <t>2.5.1. ​C4990​ MOBILIZAÇÃO DE EQUIPAMENTOS EMCAMINHÃO EQUIPADO COM GUINDASTE​ (KM)</t>
        </is>
      </c>
      <c r="B420" s="55" t="n"/>
      <c r="C420" s="55" t="n"/>
      <c r="D420" s="55" t="n"/>
      <c r="E420" s="55" t="n"/>
      <c r="F420" s="55" t="n"/>
      <c r="G420" s="56" t="n"/>
    </row>
    <row r="421" ht="15" customHeight="1">
      <c r="A421" s="20" t="inlineStr">
        <is>
          <t>Equipamento Custo Horário</t>
        </is>
      </c>
      <c r="B421" s="56" t="n"/>
      <c r="C421" s="21" t="inlineStr">
        <is>
          <t>FONTE</t>
        </is>
      </c>
      <c r="D421" s="21" t="inlineStr">
        <is>
          <t>UNID</t>
        </is>
      </c>
      <c r="E421" s="21" t="inlineStr">
        <is>
          <t>COEFICIENTE</t>
        </is>
      </c>
      <c r="F421" s="21" t="inlineStr">
        <is>
          <t>PREÇO UNITÁRIO</t>
        </is>
      </c>
      <c r="G421" s="21" t="inlineStr">
        <is>
          <t>TOTAL</t>
        </is>
      </c>
    </row>
    <row r="422" ht="15" customHeight="1">
      <c r="A422" s="22" t="inlineStr">
        <is>
          <t>I0705</t>
        </is>
      </c>
      <c r="B422" s="23" t="inlineStr">
        <is>
          <t>CAMINHÃO COMERC. EQUIP. C/GUINDASTE (CHP)</t>
        </is>
      </c>
      <c r="C422" s="22" t="inlineStr">
        <is>
          <t>SEINFRA</t>
        </is>
      </c>
      <c r="D422" s="22" t="inlineStr">
        <is>
          <t>H</t>
        </is>
      </c>
      <c r="E422" s="63" t="n">
        <v>0.0185</v>
      </c>
      <c r="F422" s="67">
        <f>'COMPOSICOES AUXILIARES'!G821</f>
        <v/>
      </c>
      <c r="G422" s="67">
        <f>ROUND(ROUND(E422,8)*F422,4)</f>
        <v/>
      </c>
      <c r="L422" t="n">
        <v>0.0185</v>
      </c>
      <c r="M422" t="n">
        <v>172.7113</v>
      </c>
      <c r="N422">
        <f>(M422-F422)</f>
        <v/>
      </c>
    </row>
    <row r="423" ht="18" customHeight="1">
      <c r="A423" s="2" t="inlineStr"/>
      <c r="B423" s="2" t="inlineStr"/>
      <c r="C423" s="2" t="inlineStr"/>
      <c r="D423" s="2" t="inlineStr"/>
      <c r="E423" s="26" t="inlineStr">
        <is>
          <t>TOTAL Equipamento Custo Horário:</t>
        </is>
      </c>
      <c r="F423" s="56" t="n"/>
      <c r="G423" s="68">
        <f>SUM(G422:G422)</f>
        <v/>
      </c>
    </row>
    <row r="424" ht="15" customHeight="1">
      <c r="A424" s="2" t="inlineStr"/>
      <c r="B424" s="2" t="inlineStr"/>
      <c r="C424" s="2" t="inlineStr"/>
      <c r="D424" s="2" t="inlineStr"/>
      <c r="E424" s="28" t="inlineStr">
        <is>
          <t>VALOR:</t>
        </is>
      </c>
      <c r="F424" s="56" t="n"/>
      <c r="G424" s="66">
        <f>SUM(G423)</f>
        <v/>
      </c>
    </row>
    <row r="425" ht="15" customHeight="1">
      <c r="A425" s="2" t="inlineStr"/>
      <c r="B425" s="2" t="inlineStr"/>
      <c r="C425" s="2" t="inlineStr"/>
      <c r="D425" s="2" t="inlineStr"/>
      <c r="E425" s="28" t="inlineStr">
        <is>
          <t>VALOR BDI (23.08%):</t>
        </is>
      </c>
      <c r="F425" s="56" t="n"/>
      <c r="G425" s="66">
        <f>ROUNDDOWN(G424*BDI,2)</f>
        <v/>
      </c>
    </row>
    <row r="426" ht="15" customHeight="1">
      <c r="A426" s="2" t="inlineStr"/>
      <c r="B426" s="2" t="inlineStr"/>
      <c r="C426" s="2" t="inlineStr"/>
      <c r="D426" s="2" t="inlineStr"/>
      <c r="E426" s="28" t="inlineStr">
        <is>
          <t>VALOR COM BDI:</t>
        </is>
      </c>
      <c r="F426" s="56" t="n"/>
      <c r="G426" s="66">
        <f>G425 + G424</f>
        <v/>
      </c>
    </row>
    <row r="427" ht="10" customHeight="1">
      <c r="A427" s="2" t="inlineStr"/>
      <c r="B427" s="2" t="inlineStr"/>
      <c r="C427" s="2" t="inlineStr"/>
      <c r="D427" s="2" t="inlineStr"/>
      <c r="E427" s="18" t="inlineStr"/>
    </row>
    <row r="428" ht="20" customHeight="1">
      <c r="A428" s="19" t="inlineStr">
        <is>
          <t>3.1.1.1. ​96523​ ESCAVAÇÃO MANUAL PARA BLOCO DE COROAMENTO OU SAPATA (INCLUINDO ESCAVAÇÃO PARA COLOCAÇÃO DE FÔRMAS). AF_01/2024​ (M3)</t>
        </is>
      </c>
      <c r="B428" s="55" t="n"/>
      <c r="C428" s="55" t="n"/>
      <c r="D428" s="55" t="n"/>
      <c r="E428" s="55" t="n"/>
      <c r="F428" s="55" t="n"/>
      <c r="G428" s="56" t="n"/>
    </row>
    <row r="429" ht="15" customHeight="1">
      <c r="A429" s="20" t="inlineStr">
        <is>
          <t>Mão de Obra com Encargos Complementares</t>
        </is>
      </c>
      <c r="B429" s="56" t="n"/>
      <c r="C429" s="21" t="inlineStr">
        <is>
          <t>FONTE</t>
        </is>
      </c>
      <c r="D429" s="21" t="inlineStr">
        <is>
          <t>UNID</t>
        </is>
      </c>
      <c r="E429" s="21" t="inlineStr">
        <is>
          <t>COEFICIENTE</t>
        </is>
      </c>
      <c r="F429" s="21" t="inlineStr">
        <is>
          <t>PREÇO UNITÁRIO</t>
        </is>
      </c>
      <c r="G429" s="21" t="inlineStr">
        <is>
          <t>TOTAL</t>
        </is>
      </c>
    </row>
    <row r="430" ht="15" customHeight="1">
      <c r="A430" s="22" t="inlineStr">
        <is>
          <t>88309</t>
        </is>
      </c>
      <c r="B430" s="23" t="inlineStr">
        <is>
          <t>PEDREIRO COM ENCARGOS COMPLEMENTARES</t>
        </is>
      </c>
      <c r="C430" s="22" t="inlineStr">
        <is>
          <t>SINAPI</t>
        </is>
      </c>
      <c r="D430" s="22" t="inlineStr">
        <is>
          <t>H</t>
        </is>
      </c>
      <c r="E430" s="63">
        <f>L430*FATOR</f>
        <v/>
      </c>
      <c r="F430" s="64">
        <f>'COMPOSICOES AUXILIARES'!G2887</f>
        <v/>
      </c>
      <c r="G430" s="64">
        <f>TRUNC(TRUNC(E430,8)*F430,2)</f>
        <v/>
      </c>
      <c r="L430" t="n">
        <v>0.966</v>
      </c>
      <c r="M430" t="n">
        <v>30.58</v>
      </c>
      <c r="N430">
        <f>(M430-F430)</f>
        <v/>
      </c>
    </row>
    <row r="431" ht="15" customHeight="1">
      <c r="A431" s="22" t="inlineStr">
        <is>
          <t>88316</t>
        </is>
      </c>
      <c r="B431" s="23" t="inlineStr">
        <is>
          <t>SERVENTE COM ENCARGOS COMPLEMENTARES</t>
        </is>
      </c>
      <c r="C431" s="22" t="inlineStr">
        <is>
          <t>SINAPI</t>
        </is>
      </c>
      <c r="D431" s="22" t="inlineStr">
        <is>
          <t>H</t>
        </is>
      </c>
      <c r="E431" s="63">
        <f>L431*FATOR</f>
        <v/>
      </c>
      <c r="F431" s="64">
        <f>'COMPOSICOES AUXILIARES'!G3390</f>
        <v/>
      </c>
      <c r="G431" s="64">
        <f>TRUNC(TRUNC(E431,8)*F431,2)</f>
        <v/>
      </c>
      <c r="L431" t="n">
        <v>3.126</v>
      </c>
      <c r="M431" t="n">
        <v>23.56</v>
      </c>
      <c r="N431">
        <f>(M431-F431)</f>
        <v/>
      </c>
    </row>
    <row r="432" ht="18" customHeight="1">
      <c r="A432" s="2" t="inlineStr"/>
      <c r="B432" s="2" t="inlineStr"/>
      <c r="C432" s="2" t="inlineStr"/>
      <c r="D432" s="2" t="inlineStr"/>
      <c r="E432" s="26" t="inlineStr">
        <is>
          <t>TOTAL Mão de Obra com Encargos Complementares:</t>
        </is>
      </c>
      <c r="F432" s="56" t="n"/>
      <c r="G432" s="65">
        <f>SUM(G430:G431)</f>
        <v/>
      </c>
    </row>
    <row r="433" ht="15" customHeight="1">
      <c r="A433" s="2" t="inlineStr"/>
      <c r="B433" s="2" t="inlineStr"/>
      <c r="C433" s="2" t="inlineStr"/>
      <c r="D433" s="2" t="inlineStr"/>
      <c r="E433" s="28" t="inlineStr">
        <is>
          <t>VALOR:</t>
        </is>
      </c>
      <c r="F433" s="56" t="n"/>
      <c r="G433" s="66">
        <f>SUM(G432)</f>
        <v/>
      </c>
    </row>
    <row r="434" ht="15" customHeight="1">
      <c r="A434" s="2" t="inlineStr"/>
      <c r="B434" s="2" t="inlineStr"/>
      <c r="C434" s="2" t="inlineStr"/>
      <c r="D434" s="2" t="inlineStr"/>
      <c r="E434" s="28" t="inlineStr">
        <is>
          <t>VALOR BDI (23.08%):</t>
        </is>
      </c>
      <c r="F434" s="56" t="n"/>
      <c r="G434" s="66">
        <f>ROUNDDOWN(G433*BDI,2)</f>
        <v/>
      </c>
    </row>
    <row r="435" ht="15" customHeight="1">
      <c r="A435" s="2" t="inlineStr"/>
      <c r="B435" s="2" t="inlineStr"/>
      <c r="C435" s="2" t="inlineStr"/>
      <c r="D435" s="2" t="inlineStr"/>
      <c r="E435" s="28" t="inlineStr">
        <is>
          <t>VALOR COM BDI:</t>
        </is>
      </c>
      <c r="F435" s="56" t="n"/>
      <c r="G435" s="66">
        <f>G434 + G433</f>
        <v/>
      </c>
    </row>
    <row r="436" ht="10" customHeight="1">
      <c r="A436" s="2" t="inlineStr"/>
      <c r="B436" s="2" t="inlineStr"/>
      <c r="C436" s="2" t="inlineStr"/>
      <c r="D436" s="2" t="inlineStr"/>
      <c r="E436" s="18" t="inlineStr"/>
    </row>
    <row r="437" ht="20" customHeight="1">
      <c r="A437" s="19" t="inlineStr">
        <is>
          <t>3.1.1.2. ​93358​ ESCAVAÇÃO MANUAL DE VALA. AF_09/2024​ (M3)</t>
        </is>
      </c>
      <c r="B437" s="55" t="n"/>
      <c r="C437" s="55" t="n"/>
      <c r="D437" s="55" t="n"/>
      <c r="E437" s="55" t="n"/>
      <c r="F437" s="55" t="n"/>
      <c r="G437" s="56" t="n"/>
    </row>
    <row r="438" ht="15" customHeight="1">
      <c r="A438" s="20" t="inlineStr">
        <is>
          <t>Mão de Obra com Encargos Complementares</t>
        </is>
      </c>
      <c r="B438" s="56" t="n"/>
      <c r="C438" s="21" t="inlineStr">
        <is>
          <t>FONTE</t>
        </is>
      </c>
      <c r="D438" s="21" t="inlineStr">
        <is>
          <t>UNID</t>
        </is>
      </c>
      <c r="E438" s="21" t="inlineStr">
        <is>
          <t>COEFICIENTE</t>
        </is>
      </c>
      <c r="F438" s="21" t="inlineStr">
        <is>
          <t>PREÇO UNITÁRIO</t>
        </is>
      </c>
      <c r="G438" s="21" t="inlineStr">
        <is>
          <t>TOTAL</t>
        </is>
      </c>
    </row>
    <row r="439" ht="15" customHeight="1">
      <c r="A439" s="22" t="inlineStr">
        <is>
          <t>88316</t>
        </is>
      </c>
      <c r="B439" s="23" t="inlineStr">
        <is>
          <t>SERVENTE COM ENCARGOS COMPLEMENTARES</t>
        </is>
      </c>
      <c r="C439" s="22" t="inlineStr">
        <is>
          <t>SINAPI</t>
        </is>
      </c>
      <c r="D439" s="22" t="inlineStr">
        <is>
          <t>H</t>
        </is>
      </c>
      <c r="E439" s="63">
        <f>L439*FATOR</f>
        <v/>
      </c>
      <c r="F439" s="64">
        <f>'COMPOSICOES AUXILIARES'!G3390</f>
        <v/>
      </c>
      <c r="G439" s="64">
        <f>TRUNC(TRUNC(E439,8)*F439,2)</f>
        <v/>
      </c>
      <c r="L439" t="n">
        <v>3.9557667</v>
      </c>
      <c r="M439" t="n">
        <v>23.56</v>
      </c>
      <c r="N439">
        <f>(M439-F439)</f>
        <v/>
      </c>
    </row>
    <row r="440" ht="18" customHeight="1">
      <c r="A440" s="2" t="inlineStr"/>
      <c r="B440" s="2" t="inlineStr"/>
      <c r="C440" s="2" t="inlineStr"/>
      <c r="D440" s="2" t="inlineStr"/>
      <c r="E440" s="26" t="inlineStr">
        <is>
          <t>TOTAL Mão de Obra com Encargos Complementares:</t>
        </is>
      </c>
      <c r="F440" s="56" t="n"/>
      <c r="G440" s="65">
        <f>SUM(G439:G439)</f>
        <v/>
      </c>
    </row>
    <row r="441" ht="15" customHeight="1">
      <c r="A441" s="2" t="inlineStr"/>
      <c r="B441" s="2" t="inlineStr"/>
      <c r="C441" s="2" t="inlineStr"/>
      <c r="D441" s="2" t="inlineStr"/>
      <c r="E441" s="28" t="inlineStr">
        <is>
          <t>VALOR:</t>
        </is>
      </c>
      <c r="F441" s="56" t="n"/>
      <c r="G441" s="66">
        <f>SUM(G440)</f>
        <v/>
      </c>
    </row>
    <row r="442" ht="15" customHeight="1">
      <c r="A442" s="2" t="inlineStr"/>
      <c r="B442" s="2" t="inlineStr"/>
      <c r="C442" s="2" t="inlineStr"/>
      <c r="D442" s="2" t="inlineStr"/>
      <c r="E442" s="28" t="inlineStr">
        <is>
          <t>VALOR BDI (23.08%):</t>
        </is>
      </c>
      <c r="F442" s="56" t="n"/>
      <c r="G442" s="66">
        <f>ROUNDDOWN(G441*BDI,2)</f>
        <v/>
      </c>
    </row>
    <row r="443" ht="15" customHeight="1">
      <c r="A443" s="2" t="inlineStr"/>
      <c r="B443" s="2" t="inlineStr"/>
      <c r="C443" s="2" t="inlineStr"/>
      <c r="D443" s="2" t="inlineStr"/>
      <c r="E443" s="28" t="inlineStr">
        <is>
          <t>VALOR COM BDI:</t>
        </is>
      </c>
      <c r="F443" s="56" t="n"/>
      <c r="G443" s="66">
        <f>G442 + G441</f>
        <v/>
      </c>
    </row>
    <row r="444" ht="10" customHeight="1">
      <c r="A444" s="2" t="inlineStr"/>
      <c r="B444" s="2" t="inlineStr"/>
      <c r="C444" s="2" t="inlineStr"/>
      <c r="D444" s="2" t="inlineStr"/>
      <c r="E444" s="18" t="inlineStr"/>
    </row>
    <row r="445" ht="20" customHeight="1">
      <c r="A445" s="19" t="inlineStr">
        <is>
          <t>3.1.2.1. ​93382​ REATERRO MANUAL DE VALAS, COM COMPACTADOR DE SOLOS DEPERCUSSÃO. AF_08/2023​ (M3)</t>
        </is>
      </c>
      <c r="B445" s="55" t="n"/>
      <c r="C445" s="55" t="n"/>
      <c r="D445" s="55" t="n"/>
      <c r="E445" s="55" t="n"/>
      <c r="F445" s="55" t="n"/>
      <c r="G445" s="56" t="n"/>
    </row>
    <row r="446" ht="15" customHeight="1">
      <c r="A446" s="20" t="inlineStr">
        <is>
          <t>Equipamento Custo Horário</t>
        </is>
      </c>
      <c r="B446" s="56" t="n"/>
      <c r="C446" s="21" t="inlineStr">
        <is>
          <t>FONTE</t>
        </is>
      </c>
      <c r="D446" s="21" t="inlineStr">
        <is>
          <t>UNID</t>
        </is>
      </c>
      <c r="E446" s="21" t="inlineStr">
        <is>
          <t>COEFICIENTE</t>
        </is>
      </c>
      <c r="F446" s="21" t="inlineStr">
        <is>
          <t>PREÇO UNITÁRIO</t>
        </is>
      </c>
      <c r="G446" s="21" t="inlineStr">
        <is>
          <t>TOTAL</t>
        </is>
      </c>
    </row>
    <row r="447" ht="46" customHeight="1">
      <c r="A447" s="22" t="inlineStr">
        <is>
          <t>5903</t>
        </is>
      </c>
      <c r="B447" s="23" t="inlineStr">
        <is>
          <t>CAMINHÃO PIPA 10.000 L TRUCADO, PESO BRUTO TOTAL 23.000 KG, CARGA ÚTIL MÁXIMA 15.935 KG, DISTÂNCIA ENTRE EIXOS 4,8 M, POTÊNCIA 230 CV, INCLUSIVE TANQUE DE AÇO PARA TRANSPORTE DE ÁGUA - CHI DIURNO. AF_06/2014</t>
        </is>
      </c>
      <c r="C447" s="22" t="inlineStr">
        <is>
          <t>SINAPI</t>
        </is>
      </c>
      <c r="D447" s="22" t="inlineStr">
        <is>
          <t>CHI</t>
        </is>
      </c>
      <c r="E447" s="63" t="n">
        <v>0.0005999999999999999</v>
      </c>
      <c r="F447" s="64">
        <f>'COMPOSICOES AUXILIARES'!G834</f>
        <v/>
      </c>
      <c r="G447" s="64">
        <f>TRUNC(TRUNC(E447,8)*F447,2)</f>
        <v/>
      </c>
      <c r="L447" t="n">
        <v>0.0005999999999999999</v>
      </c>
      <c r="M447" t="n">
        <v>79.86</v>
      </c>
      <c r="N447">
        <f>(M447-F447)</f>
        <v/>
      </c>
    </row>
    <row r="448" ht="46" customHeight="1">
      <c r="A448" s="22" t="inlineStr">
        <is>
          <t>5901</t>
        </is>
      </c>
      <c r="B448" s="23" t="inlineStr">
        <is>
          <t>CAMINHÃO PIPA 10.000 L TRUCADO, PESO BRUTO TOTAL 23.000 KG, CARGA ÚTIL MÁXIMA 15.935 KG, DISTÂNCIA ENTRE EIXOS 4,8 M, POTÊNCIA 230 CV, INCLUSIVE TANQUE DE AÇO PARA TRANSPORTE DE ÁGUA - CHP DIURNO. AF_06/2014</t>
        </is>
      </c>
      <c r="C448" s="22" t="inlineStr">
        <is>
          <t>SINAPI</t>
        </is>
      </c>
      <c r="D448" s="22" t="inlineStr">
        <is>
          <t>CHP</t>
        </is>
      </c>
      <c r="E448" s="63" t="n">
        <v>0.0054</v>
      </c>
      <c r="F448" s="64">
        <f>'COMPOSICOES AUXILIARES'!G849</f>
        <v/>
      </c>
      <c r="G448" s="64">
        <f>TRUNC(TRUNC(E448,8)*F448,2)</f>
        <v/>
      </c>
      <c r="L448" t="n">
        <v>0.0054</v>
      </c>
      <c r="M448" t="n">
        <v>325.05</v>
      </c>
      <c r="N448">
        <f>(M448-F448)</f>
        <v/>
      </c>
    </row>
    <row r="449" ht="29" customHeight="1">
      <c r="A449" s="22" t="inlineStr">
        <is>
          <t>91533</t>
        </is>
      </c>
      <c r="B449" s="23" t="inlineStr">
        <is>
          <t>COMPACTADOR DE SOLOS DE PERCUSSÃO (SOQUETE) COM MOTOR A GASOLINA 4 TEMPOS, POTÊNCIA 4 CV - CHP DIURNO. AF_08/2015</t>
        </is>
      </c>
      <c r="C449" s="22" t="inlineStr">
        <is>
          <t>SINAPI</t>
        </is>
      </c>
      <c r="D449" s="22" t="inlineStr">
        <is>
          <t>CHP</t>
        </is>
      </c>
      <c r="E449" s="63" t="n">
        <v>0.1962</v>
      </c>
      <c r="F449" s="64">
        <f>'COMPOSICOES AUXILIARES'!G1003</f>
        <v/>
      </c>
      <c r="G449" s="64">
        <f>TRUNC(TRUNC(E449,8)*F449,2)</f>
        <v/>
      </c>
      <c r="L449" t="n">
        <v>0.1962</v>
      </c>
      <c r="M449" t="n">
        <v>44.39</v>
      </c>
      <c r="N449">
        <f>(M449-F449)</f>
        <v/>
      </c>
    </row>
    <row r="450" ht="18" customHeight="1">
      <c r="A450" s="2" t="inlineStr"/>
      <c r="B450" s="2" t="inlineStr"/>
      <c r="C450" s="2" t="inlineStr"/>
      <c r="D450" s="2" t="inlineStr"/>
      <c r="E450" s="26" t="inlineStr">
        <is>
          <t>TOTAL Equipamento Custo Horário:</t>
        </is>
      </c>
      <c r="F450" s="56" t="n"/>
      <c r="G450" s="65">
        <f>SUM(G447:G449)</f>
        <v/>
      </c>
    </row>
    <row r="451" ht="15" customHeight="1">
      <c r="A451" s="20" t="inlineStr">
        <is>
          <t>Mão de Obra com Encargos Complementares</t>
        </is>
      </c>
      <c r="B451" s="56" t="n"/>
      <c r="C451" s="21" t="inlineStr">
        <is>
          <t>FONTE</t>
        </is>
      </c>
      <c r="D451" s="21" t="inlineStr">
        <is>
          <t>UNID</t>
        </is>
      </c>
      <c r="E451" s="21" t="inlineStr">
        <is>
          <t>COEFICIENTE</t>
        </is>
      </c>
      <c r="F451" s="21" t="inlineStr">
        <is>
          <t>PREÇO UNITÁRIO</t>
        </is>
      </c>
      <c r="G451" s="21" t="inlineStr">
        <is>
          <t>TOTAL</t>
        </is>
      </c>
    </row>
    <row r="452" ht="15" customHeight="1">
      <c r="A452" s="22" t="inlineStr">
        <is>
          <t>88316</t>
        </is>
      </c>
      <c r="B452" s="23" t="inlineStr">
        <is>
          <t>SERVENTE COM ENCARGOS COMPLEMENTARES</t>
        </is>
      </c>
      <c r="C452" s="22" t="inlineStr">
        <is>
          <t>SINAPI</t>
        </is>
      </c>
      <c r="D452" s="22" t="inlineStr">
        <is>
          <t>H</t>
        </is>
      </c>
      <c r="E452" s="63">
        <f>L452*FATOR</f>
        <v/>
      </c>
      <c r="F452" s="64">
        <f>'COMPOSICOES AUXILIARES'!G3390</f>
        <v/>
      </c>
      <c r="G452" s="64">
        <f>TRUNC(TRUNC(E452,8)*F452,2)</f>
        <v/>
      </c>
      <c r="L452" t="n">
        <v>0.7866</v>
      </c>
      <c r="M452" t="n">
        <v>23.56</v>
      </c>
      <c r="N452">
        <f>(M452-F452)</f>
        <v/>
      </c>
    </row>
    <row r="453" ht="18" customHeight="1">
      <c r="A453" s="2" t="inlineStr"/>
      <c r="B453" s="2" t="inlineStr"/>
      <c r="C453" s="2" t="inlineStr"/>
      <c r="D453" s="2" t="inlineStr"/>
      <c r="E453" s="26" t="inlineStr">
        <is>
          <t>TOTAL Mão de Obra com Encargos Complementares:</t>
        </is>
      </c>
      <c r="F453" s="56" t="n"/>
      <c r="G453" s="65">
        <f>SUM(G452:G452)</f>
        <v/>
      </c>
    </row>
    <row r="454" ht="15" customHeight="1">
      <c r="A454" s="2" t="inlineStr"/>
      <c r="B454" s="2" t="inlineStr"/>
      <c r="C454" s="2" t="inlineStr"/>
      <c r="D454" s="2" t="inlineStr"/>
      <c r="E454" s="28" t="inlineStr">
        <is>
          <t>VALOR:</t>
        </is>
      </c>
      <c r="F454" s="56" t="n"/>
      <c r="G454" s="66">
        <f>SUM(G450,G453)</f>
        <v/>
      </c>
    </row>
    <row r="455" ht="15" customHeight="1">
      <c r="A455" s="2" t="inlineStr"/>
      <c r="B455" s="2" t="inlineStr"/>
      <c r="C455" s="2" t="inlineStr"/>
      <c r="D455" s="2" t="inlineStr"/>
      <c r="E455" s="28" t="inlineStr">
        <is>
          <t>VALOR BDI (23.08%):</t>
        </is>
      </c>
      <c r="F455" s="56" t="n"/>
      <c r="G455" s="66">
        <f>ROUNDDOWN(G454*BDI,2)</f>
        <v/>
      </c>
    </row>
    <row r="456" ht="15" customHeight="1">
      <c r="A456" s="2" t="inlineStr"/>
      <c r="B456" s="2" t="inlineStr"/>
      <c r="C456" s="2" t="inlineStr"/>
      <c r="D456" s="2" t="inlineStr"/>
      <c r="E456" s="28" t="inlineStr">
        <is>
          <t>VALOR COM BDI:</t>
        </is>
      </c>
      <c r="F456" s="56" t="n"/>
      <c r="G456" s="66">
        <f>G455 + G454</f>
        <v/>
      </c>
    </row>
    <row r="457" ht="10" customHeight="1">
      <c r="A457" s="2" t="inlineStr"/>
      <c r="B457" s="2" t="inlineStr"/>
      <c r="C457" s="2" t="inlineStr"/>
      <c r="D457" s="2" t="inlineStr"/>
      <c r="E457" s="18" t="inlineStr"/>
    </row>
    <row r="458" ht="20" customHeight="1">
      <c r="A458" s="19" t="inlineStr">
        <is>
          <t>3.1.3.1. ​408 PRÓPRIO​ APILOAMENTO MANUAL DE FUNDO DE VALA COM MACO DE 30KG​ (M²)</t>
        </is>
      </c>
      <c r="B458" s="55" t="n"/>
      <c r="C458" s="55" t="n"/>
      <c r="D458" s="55" t="n"/>
      <c r="E458" s="55" t="n"/>
      <c r="F458" s="55" t="n"/>
      <c r="G458" s="56" t="n"/>
    </row>
    <row r="459" ht="15" customHeight="1">
      <c r="A459" s="20" t="inlineStr">
        <is>
          <t>Mão de Obra com Encargos Complementares</t>
        </is>
      </c>
      <c r="B459" s="56" t="n"/>
      <c r="C459" s="21" t="inlineStr">
        <is>
          <t>FONTE</t>
        </is>
      </c>
      <c r="D459" s="21" t="inlineStr">
        <is>
          <t>UNID</t>
        </is>
      </c>
      <c r="E459" s="21" t="inlineStr">
        <is>
          <t>COEFICIENTE</t>
        </is>
      </c>
      <c r="F459" s="21" t="inlineStr">
        <is>
          <t>PREÇO UNITÁRIO</t>
        </is>
      </c>
      <c r="G459" s="21" t="inlineStr">
        <is>
          <t>TOTAL</t>
        </is>
      </c>
    </row>
    <row r="460" ht="15" customHeight="1">
      <c r="A460" s="22" t="inlineStr">
        <is>
          <t>88316</t>
        </is>
      </c>
      <c r="B460" s="23" t="inlineStr">
        <is>
          <t>SERVENTE COM ENCARGOS COMPLEMENTARES</t>
        </is>
      </c>
      <c r="C460" s="22" t="inlineStr">
        <is>
          <t>SINAPI</t>
        </is>
      </c>
      <c r="D460" s="22" t="inlineStr">
        <is>
          <t>H</t>
        </is>
      </c>
      <c r="E460" s="63">
        <f>L460*FATOR</f>
        <v/>
      </c>
      <c r="F460" s="64">
        <f>'COMPOSICOES AUXILIARES'!G3390</f>
        <v/>
      </c>
      <c r="G460" s="64">
        <f>ROUND(ROUND(E460,8)*F460,2)</f>
        <v/>
      </c>
      <c r="L460" t="n">
        <v>1.5</v>
      </c>
      <c r="M460" t="n">
        <v>23.56</v>
      </c>
      <c r="N460">
        <f>(M460-F460)</f>
        <v/>
      </c>
    </row>
    <row r="461" ht="18" customHeight="1">
      <c r="A461" s="2" t="inlineStr"/>
      <c r="B461" s="2" t="inlineStr"/>
      <c r="C461" s="2" t="inlineStr"/>
      <c r="D461" s="2" t="inlineStr"/>
      <c r="E461" s="26" t="inlineStr">
        <is>
          <t>TOTAL Mão de Obra com Encargos Complementares:</t>
        </is>
      </c>
      <c r="F461" s="56" t="n"/>
      <c r="G461" s="65">
        <f>SUM(G460:G460)</f>
        <v/>
      </c>
    </row>
    <row r="462" ht="15" customHeight="1">
      <c r="A462" s="2" t="inlineStr"/>
      <c r="B462" s="2" t="inlineStr"/>
      <c r="C462" s="2" t="inlineStr"/>
      <c r="D462" s="2" t="inlineStr"/>
      <c r="E462" s="28" t="inlineStr">
        <is>
          <t>VALOR:</t>
        </is>
      </c>
      <c r="F462" s="56" t="n"/>
      <c r="G462" s="66">
        <f>SUM(G461)</f>
        <v/>
      </c>
    </row>
    <row r="463" ht="15" customHeight="1">
      <c r="A463" s="2" t="inlineStr"/>
      <c r="B463" s="2" t="inlineStr"/>
      <c r="C463" s="2" t="inlineStr"/>
      <c r="D463" s="2" t="inlineStr"/>
      <c r="E463" s="28" t="inlineStr">
        <is>
          <t>VALOR BDI (23.08%):</t>
        </is>
      </c>
      <c r="F463" s="56" t="n"/>
      <c r="G463" s="66">
        <f>ROUNDDOWN(G462*BDI,2)</f>
        <v/>
      </c>
    </row>
    <row r="464" ht="15" customHeight="1">
      <c r="A464" s="2" t="inlineStr"/>
      <c r="B464" s="2" t="inlineStr"/>
      <c r="C464" s="2" t="inlineStr"/>
      <c r="D464" s="2" t="inlineStr"/>
      <c r="E464" s="28" t="inlineStr">
        <is>
          <t>VALOR COM BDI:</t>
        </is>
      </c>
      <c r="F464" s="56" t="n"/>
      <c r="G464" s="66">
        <f>G463 + G462</f>
        <v/>
      </c>
    </row>
    <row r="465" ht="10" customHeight="1">
      <c r="A465" s="2" t="inlineStr"/>
      <c r="B465" s="2" t="inlineStr"/>
      <c r="C465" s="2" t="inlineStr"/>
      <c r="D465" s="2" t="inlineStr"/>
      <c r="E465" s="18" t="inlineStr"/>
    </row>
    <row r="466" ht="20" customHeight="1">
      <c r="A466" s="19" t="inlineStr">
        <is>
          <t>3.1.3.2. ​409 PRÓPRIO​ APILOAMENTO MANUAL DE BLOCOS/SAPATAS COM MACO DE 30KG​ (M³)</t>
        </is>
      </c>
      <c r="B466" s="55" t="n"/>
      <c r="C466" s="55" t="n"/>
      <c r="D466" s="55" t="n"/>
      <c r="E466" s="55" t="n"/>
      <c r="F466" s="55" t="n"/>
      <c r="G466" s="56" t="n"/>
    </row>
    <row r="467" ht="15" customHeight="1">
      <c r="A467" s="20" t="inlineStr">
        <is>
          <t>Mão de Obra com Encargos Complementares</t>
        </is>
      </c>
      <c r="B467" s="56" t="n"/>
      <c r="C467" s="21" t="inlineStr">
        <is>
          <t>FONTE</t>
        </is>
      </c>
      <c r="D467" s="21" t="inlineStr">
        <is>
          <t>UNID</t>
        </is>
      </c>
      <c r="E467" s="21" t="inlineStr">
        <is>
          <t>COEFICIENTE</t>
        </is>
      </c>
      <c r="F467" s="21" t="inlineStr">
        <is>
          <t>PREÇO UNITÁRIO</t>
        </is>
      </c>
      <c r="G467" s="21" t="inlineStr">
        <is>
          <t>TOTAL</t>
        </is>
      </c>
    </row>
    <row r="468" ht="15" customHeight="1">
      <c r="A468" s="22" t="inlineStr">
        <is>
          <t>88316</t>
        </is>
      </c>
      <c r="B468" s="23" t="inlineStr">
        <is>
          <t>SERVENTE COM ENCARGOS COMPLEMENTARES</t>
        </is>
      </c>
      <c r="C468" s="22" t="inlineStr">
        <is>
          <t>SINAPI</t>
        </is>
      </c>
      <c r="D468" s="22" t="inlineStr">
        <is>
          <t>H</t>
        </is>
      </c>
      <c r="E468" s="63">
        <f>L468*FATOR</f>
        <v/>
      </c>
      <c r="F468" s="64">
        <f>'COMPOSICOES AUXILIARES'!G3390</f>
        <v/>
      </c>
      <c r="G468" s="64">
        <f>ROUND(ROUND(E468,8)*F468,2)</f>
        <v/>
      </c>
      <c r="L468" t="n">
        <v>0.4</v>
      </c>
      <c r="M468" t="n">
        <v>23.56</v>
      </c>
      <c r="N468">
        <f>(M468-F468)</f>
        <v/>
      </c>
    </row>
    <row r="469" ht="18" customHeight="1">
      <c r="A469" s="2" t="inlineStr"/>
      <c r="B469" s="2" t="inlineStr"/>
      <c r="C469" s="2" t="inlineStr"/>
      <c r="D469" s="2" t="inlineStr"/>
      <c r="E469" s="26" t="inlineStr">
        <is>
          <t>TOTAL Mão de Obra com Encargos Complementares:</t>
        </is>
      </c>
      <c r="F469" s="56" t="n"/>
      <c r="G469" s="65">
        <f>SUM(G468:G468)</f>
        <v/>
      </c>
    </row>
    <row r="470" ht="15" customHeight="1">
      <c r="A470" s="2" t="inlineStr"/>
      <c r="B470" s="2" t="inlineStr"/>
      <c r="C470" s="2" t="inlineStr"/>
      <c r="D470" s="2" t="inlineStr"/>
      <c r="E470" s="28" t="inlineStr">
        <is>
          <t>VALOR:</t>
        </is>
      </c>
      <c r="F470" s="56" t="n"/>
      <c r="G470" s="66">
        <f>SUM(G469)</f>
        <v/>
      </c>
    </row>
    <row r="471" ht="15" customHeight="1">
      <c r="A471" s="2" t="inlineStr"/>
      <c r="B471" s="2" t="inlineStr"/>
      <c r="C471" s="2" t="inlineStr"/>
      <c r="D471" s="2" t="inlineStr"/>
      <c r="E471" s="28" t="inlineStr">
        <is>
          <t>VALOR BDI (23.08%):</t>
        </is>
      </c>
      <c r="F471" s="56" t="n"/>
      <c r="G471" s="66">
        <f>ROUNDDOWN(G470*BDI,2)</f>
        <v/>
      </c>
    </row>
    <row r="472" ht="15" customHeight="1">
      <c r="A472" s="2" t="inlineStr"/>
      <c r="B472" s="2" t="inlineStr"/>
      <c r="C472" s="2" t="inlineStr"/>
      <c r="D472" s="2" t="inlineStr"/>
      <c r="E472" s="28" t="inlineStr">
        <is>
          <t>VALOR COM BDI:</t>
        </is>
      </c>
      <c r="F472" s="56" t="n"/>
      <c r="G472" s="66">
        <f>G471 + G470</f>
        <v/>
      </c>
    </row>
    <row r="473" ht="10" customHeight="1">
      <c r="A473" s="2" t="inlineStr"/>
      <c r="B473" s="2" t="inlineStr"/>
      <c r="C473" s="2" t="inlineStr"/>
      <c r="D473" s="2" t="inlineStr"/>
      <c r="E473" s="18" t="inlineStr"/>
    </row>
    <row r="474" ht="20" customHeight="1">
      <c r="A474" s="19" t="inlineStr">
        <is>
          <t>3.1.4.1. ​C2860​ LASTRO DE AREIA ADQUIRIDA​ (M3)</t>
        </is>
      </c>
      <c r="B474" s="55" t="n"/>
      <c r="C474" s="55" t="n"/>
      <c r="D474" s="55" t="n"/>
      <c r="E474" s="55" t="n"/>
      <c r="F474" s="55" t="n"/>
      <c r="G474" s="56" t="n"/>
    </row>
    <row r="475" ht="15" customHeight="1">
      <c r="A475" s="20" t="inlineStr">
        <is>
          <t>Material</t>
        </is>
      </c>
      <c r="B475" s="56" t="n"/>
      <c r="C475" s="21" t="inlineStr">
        <is>
          <t>FONTE</t>
        </is>
      </c>
      <c r="D475" s="21" t="inlineStr">
        <is>
          <t>UNID</t>
        </is>
      </c>
      <c r="E475" s="21" t="inlineStr">
        <is>
          <t>COEFICIENTE</t>
        </is>
      </c>
      <c r="F475" s="21" t="inlineStr">
        <is>
          <t>PREÇO UNITÁRIO</t>
        </is>
      </c>
      <c r="G475" s="21" t="inlineStr">
        <is>
          <t>TOTAL</t>
        </is>
      </c>
    </row>
    <row r="476" ht="15" customHeight="1">
      <c r="A476" s="22" t="inlineStr">
        <is>
          <t>I0108</t>
        </is>
      </c>
      <c r="B476" s="23" t="inlineStr">
        <is>
          <t>AREIA GROSSA</t>
        </is>
      </c>
      <c r="C476" s="22" t="inlineStr">
        <is>
          <t>SEINFRA</t>
        </is>
      </c>
      <c r="D476" s="22" t="inlineStr">
        <is>
          <t>M3</t>
        </is>
      </c>
      <c r="E476" s="63" t="n">
        <v>1.15</v>
      </c>
      <c r="F476" s="67">
        <f>ROUND(M476*FATOR, 2)</f>
        <v/>
      </c>
      <c r="G476" s="67">
        <f>ROUND(ROUND(E476,8)*F476,4)</f>
        <v/>
      </c>
      <c r="L476" t="n">
        <v>1.15</v>
      </c>
      <c r="M476" t="n">
        <v>119.58</v>
      </c>
      <c r="N476">
        <f>(M476-F476)</f>
        <v/>
      </c>
    </row>
    <row r="477" ht="15" customHeight="1">
      <c r="A477" s="2" t="inlineStr"/>
      <c r="B477" s="2" t="inlineStr"/>
      <c r="C477" s="2" t="inlineStr"/>
      <c r="D477" s="2" t="inlineStr"/>
      <c r="E477" s="26" t="inlineStr">
        <is>
          <t>TOTAL Material:</t>
        </is>
      </c>
      <c r="F477" s="56" t="n"/>
      <c r="G477" s="68">
        <f>SUM(G476:G476)</f>
        <v/>
      </c>
    </row>
    <row r="478" ht="15" customHeight="1">
      <c r="A478" s="20" t="inlineStr">
        <is>
          <t>Mão de Obra</t>
        </is>
      </c>
      <c r="B478" s="56" t="n"/>
      <c r="C478" s="21" t="inlineStr">
        <is>
          <t>FONTE</t>
        </is>
      </c>
      <c r="D478" s="21" t="inlineStr">
        <is>
          <t>UNID</t>
        </is>
      </c>
      <c r="E478" s="21" t="inlineStr">
        <is>
          <t>COEFICIENTE</t>
        </is>
      </c>
      <c r="F478" s="21" t="inlineStr">
        <is>
          <t>PREÇO UNITÁRIO</t>
        </is>
      </c>
      <c r="G478" s="21" t="inlineStr">
        <is>
          <t>TOTAL</t>
        </is>
      </c>
    </row>
    <row r="479" ht="15" customHeight="1">
      <c r="A479" s="22" t="inlineStr">
        <is>
          <t>I2543</t>
        </is>
      </c>
      <c r="B479" s="23" t="inlineStr">
        <is>
          <t>SERVENTE</t>
        </is>
      </c>
      <c r="C479" s="22" t="inlineStr">
        <is>
          <t>SEINFRA</t>
        </is>
      </c>
      <c r="D479" s="22" t="inlineStr">
        <is>
          <t>H</t>
        </is>
      </c>
      <c r="E479" s="63">
        <f>L479*FATOR</f>
        <v/>
      </c>
      <c r="F479" s="67" t="n">
        <v>20.26</v>
      </c>
      <c r="G479" s="67">
        <f>ROUND(ROUND(E479,8)*F479,4)</f>
        <v/>
      </c>
      <c r="L479" t="n">
        <v>1.3</v>
      </c>
      <c r="M479" t="n">
        <v>20.26</v>
      </c>
      <c r="N479">
        <f>(M479-F479)</f>
        <v/>
      </c>
    </row>
    <row r="480" ht="15" customHeight="1">
      <c r="A480" s="2" t="inlineStr"/>
      <c r="B480" s="2" t="inlineStr"/>
      <c r="C480" s="2" t="inlineStr"/>
      <c r="D480" s="2" t="inlineStr"/>
      <c r="E480" s="26" t="inlineStr">
        <is>
          <t>TOTAL Mão de Obra:</t>
        </is>
      </c>
      <c r="F480" s="56" t="n"/>
      <c r="G480" s="68">
        <f>SUM(G479:G479)</f>
        <v/>
      </c>
    </row>
    <row r="481" ht="15" customHeight="1">
      <c r="A481" s="2" t="inlineStr"/>
      <c r="B481" s="2" t="inlineStr"/>
      <c r="C481" s="2" t="inlineStr"/>
      <c r="D481" s="2" t="inlineStr"/>
      <c r="E481" s="28" t="inlineStr">
        <is>
          <t>VALOR:</t>
        </is>
      </c>
      <c r="F481" s="56" t="n"/>
      <c r="G481" s="66">
        <f>SUM(G480,G477)</f>
        <v/>
      </c>
    </row>
    <row r="482" ht="15" customHeight="1">
      <c r="A482" s="2" t="inlineStr"/>
      <c r="B482" s="2" t="inlineStr"/>
      <c r="C482" s="2" t="inlineStr"/>
      <c r="D482" s="2" t="inlineStr"/>
      <c r="E482" s="28" t="inlineStr">
        <is>
          <t>VALOR BDI (23.08%):</t>
        </is>
      </c>
      <c r="F482" s="56" t="n"/>
      <c r="G482" s="66">
        <f>ROUNDDOWN(G481*BDI,2)</f>
        <v/>
      </c>
    </row>
    <row r="483" ht="15" customHeight="1">
      <c r="A483" s="2" t="inlineStr"/>
      <c r="B483" s="2" t="inlineStr"/>
      <c r="C483" s="2" t="inlineStr"/>
      <c r="D483" s="2" t="inlineStr"/>
      <c r="E483" s="28" t="inlineStr">
        <is>
          <t>VALOR COM BDI:</t>
        </is>
      </c>
      <c r="F483" s="56" t="n"/>
      <c r="G483" s="66">
        <f>G482 + G481</f>
        <v/>
      </c>
    </row>
    <row r="484" ht="10" customHeight="1">
      <c r="A484" s="2" t="inlineStr"/>
      <c r="B484" s="2" t="inlineStr"/>
      <c r="C484" s="2" t="inlineStr"/>
      <c r="D484" s="2" t="inlineStr"/>
      <c r="E484" s="18" t="inlineStr"/>
    </row>
    <row r="485" ht="20" customHeight="1">
      <c r="A485" s="19" t="inlineStr">
        <is>
          <t>3.1.4.2. ​96619​ LASTRO DE CONCRETO MAGRO, APLICADO EM BLOCOS DE COROAMENTO OU SAPATAS, ESPESSURA DE 5 CM. AF_01/2024​ (M2)</t>
        </is>
      </c>
      <c r="B485" s="55" t="n"/>
      <c r="C485" s="55" t="n"/>
      <c r="D485" s="55" t="n"/>
      <c r="E485" s="55" t="n"/>
      <c r="F485" s="55" t="n"/>
      <c r="G485" s="56" t="n"/>
    </row>
    <row r="486" ht="15" customHeight="1">
      <c r="A486" s="20" t="inlineStr">
        <is>
          <t>Mão de Obra com Encargos Complementares</t>
        </is>
      </c>
      <c r="B486" s="56" t="n"/>
      <c r="C486" s="21" t="inlineStr">
        <is>
          <t>FONTE</t>
        </is>
      </c>
      <c r="D486" s="21" t="inlineStr">
        <is>
          <t>UNID</t>
        </is>
      </c>
      <c r="E486" s="21" t="inlineStr">
        <is>
          <t>COEFICIENTE</t>
        </is>
      </c>
      <c r="F486" s="21" t="inlineStr">
        <is>
          <t>PREÇO UNITÁRIO</t>
        </is>
      </c>
      <c r="G486" s="21" t="inlineStr">
        <is>
          <t>TOTAL</t>
        </is>
      </c>
    </row>
    <row r="487" ht="15" customHeight="1">
      <c r="A487" s="22" t="inlineStr">
        <is>
          <t>88309</t>
        </is>
      </c>
      <c r="B487" s="23" t="inlineStr">
        <is>
          <t>PEDREIRO COM ENCARGOS COMPLEMENTARES</t>
        </is>
      </c>
      <c r="C487" s="22" t="inlineStr">
        <is>
          <t>SINAPI</t>
        </is>
      </c>
      <c r="D487" s="22" t="inlineStr">
        <is>
          <t>H</t>
        </is>
      </c>
      <c r="E487" s="63">
        <f>L487*FATOR</f>
        <v/>
      </c>
      <c r="F487" s="64">
        <f>'COMPOSICOES AUXILIARES'!G2887</f>
        <v/>
      </c>
      <c r="G487" s="64">
        <f>TRUNC(TRUNC(E487,8)*F487,2)</f>
        <v/>
      </c>
      <c r="L487" t="n">
        <v>0.33905</v>
      </c>
      <c r="M487" t="n">
        <v>30.58</v>
      </c>
      <c r="N487">
        <f>(M487-F487)</f>
        <v/>
      </c>
    </row>
    <row r="488" ht="15" customHeight="1">
      <c r="A488" s="22" t="inlineStr">
        <is>
          <t>88316</t>
        </is>
      </c>
      <c r="B488" s="23" t="inlineStr">
        <is>
          <t>SERVENTE COM ENCARGOS COMPLEMENTARES</t>
        </is>
      </c>
      <c r="C488" s="22" t="inlineStr">
        <is>
          <t>SINAPI</t>
        </is>
      </c>
      <c r="D488" s="22" t="inlineStr">
        <is>
          <t>H</t>
        </is>
      </c>
      <c r="E488" s="63">
        <f>L488*FATOR</f>
        <v/>
      </c>
      <c r="F488" s="64">
        <f>'COMPOSICOES AUXILIARES'!G3390</f>
        <v/>
      </c>
      <c r="G488" s="64">
        <f>TRUNC(TRUNC(E488,8)*F488,2)</f>
        <v/>
      </c>
      <c r="L488" t="n">
        <v>0.12265</v>
      </c>
      <c r="M488" t="n">
        <v>23.56</v>
      </c>
      <c r="N488">
        <f>(M488-F488)</f>
        <v/>
      </c>
    </row>
    <row r="489" ht="18" customHeight="1">
      <c r="A489" s="2" t="inlineStr"/>
      <c r="B489" s="2" t="inlineStr"/>
      <c r="C489" s="2" t="inlineStr"/>
      <c r="D489" s="2" t="inlineStr"/>
      <c r="E489" s="26" t="inlineStr">
        <is>
          <t>TOTAL Mão de Obra com Encargos Complementares:</t>
        </is>
      </c>
      <c r="F489" s="56" t="n"/>
      <c r="G489" s="65">
        <f>SUM(G487:G488)</f>
        <v/>
      </c>
    </row>
    <row r="490" ht="15" customHeight="1">
      <c r="A490" s="20" t="inlineStr">
        <is>
          <t>Serviço</t>
        </is>
      </c>
      <c r="B490" s="56" t="n"/>
      <c r="C490" s="21" t="inlineStr">
        <is>
          <t>FONTE</t>
        </is>
      </c>
      <c r="D490" s="21" t="inlineStr">
        <is>
          <t>UNID</t>
        </is>
      </c>
      <c r="E490" s="21" t="inlineStr">
        <is>
          <t>COEFICIENTE</t>
        </is>
      </c>
      <c r="F490" s="21" t="inlineStr">
        <is>
          <t>PREÇO UNITÁRIO</t>
        </is>
      </c>
      <c r="G490" s="21" t="inlineStr">
        <is>
          <t>TOTAL</t>
        </is>
      </c>
    </row>
    <row r="491" ht="29" customHeight="1">
      <c r="A491" s="22" t="inlineStr">
        <is>
          <t>94968</t>
        </is>
      </c>
      <c r="B491" s="23" t="inlineStr">
        <is>
          <t>CONCRETO MAGRO PARA LASTRO, TRAÇO 1:4,5:4,5 (EM MASSA SECA DE CIMENTO/ AREIA MÉDIA/ BRITA 1) - PREPARO MECÂNICO COM BETONEIRA 600 L. AF_05/2021</t>
        </is>
      </c>
      <c r="C491" s="22" t="inlineStr">
        <is>
          <t>SINAPI</t>
        </is>
      </c>
      <c r="D491" s="22" t="inlineStr">
        <is>
          <t>M3</t>
        </is>
      </c>
      <c r="E491" s="63" t="n">
        <v>0.06900000000000001</v>
      </c>
      <c r="F491" s="64">
        <f>'COMPOSICOES AUXILIARES'!G1263</f>
        <v/>
      </c>
      <c r="G491" s="64">
        <f>TRUNC(TRUNC(E491,8)*F491,2)</f>
        <v/>
      </c>
      <c r="L491" t="n">
        <v>0.06900000000000001</v>
      </c>
      <c r="M491" t="n">
        <v>424.55</v>
      </c>
      <c r="N491">
        <f>(M491-F491)</f>
        <v/>
      </c>
    </row>
    <row r="492" ht="15" customHeight="1">
      <c r="A492" s="2" t="inlineStr"/>
      <c r="B492" s="2" t="inlineStr"/>
      <c r="C492" s="2" t="inlineStr"/>
      <c r="D492" s="2" t="inlineStr"/>
      <c r="E492" s="26" t="inlineStr">
        <is>
          <t>TOTAL Serviço:</t>
        </is>
      </c>
      <c r="F492" s="56" t="n"/>
      <c r="G492" s="65">
        <f>SUM(G491:G491)</f>
        <v/>
      </c>
    </row>
    <row r="493" ht="15" customHeight="1">
      <c r="A493" s="2" t="inlineStr"/>
      <c r="B493" s="2" t="inlineStr"/>
      <c r="C493" s="2" t="inlineStr"/>
      <c r="D493" s="2" t="inlineStr"/>
      <c r="E493" s="28" t="inlineStr">
        <is>
          <t>VALOR:</t>
        </is>
      </c>
      <c r="F493" s="56" t="n"/>
      <c r="G493" s="66">
        <f>SUM(G489,G492)</f>
        <v/>
      </c>
    </row>
    <row r="494" ht="15" customHeight="1">
      <c r="A494" s="2" t="inlineStr"/>
      <c r="B494" s="2" t="inlineStr"/>
      <c r="C494" s="2" t="inlineStr"/>
      <c r="D494" s="2" t="inlineStr"/>
      <c r="E494" s="28" t="inlineStr">
        <is>
          <t>VALOR BDI (23.08%):</t>
        </is>
      </c>
      <c r="F494" s="56" t="n"/>
      <c r="G494" s="66">
        <f>ROUNDDOWN(G493*BDI,2)</f>
        <v/>
      </c>
    </row>
    <row r="495" ht="15" customHeight="1">
      <c r="A495" s="2" t="inlineStr"/>
      <c r="B495" s="2" t="inlineStr"/>
      <c r="C495" s="2" t="inlineStr"/>
      <c r="D495" s="2" t="inlineStr"/>
      <c r="E495" s="28" t="inlineStr">
        <is>
          <t>VALOR COM BDI:</t>
        </is>
      </c>
      <c r="F495" s="56" t="n"/>
      <c r="G495" s="66">
        <f>G494 + G493</f>
        <v/>
      </c>
    </row>
    <row r="496" ht="10" customHeight="1">
      <c r="A496" s="2" t="inlineStr"/>
      <c r="B496" s="2" t="inlineStr"/>
      <c r="C496" s="2" t="inlineStr"/>
      <c r="D496" s="2" t="inlineStr"/>
      <c r="E496" s="18" t="inlineStr"/>
    </row>
    <row r="497" ht="20" customHeight="1">
      <c r="A497" s="19" t="inlineStr">
        <is>
          <t>3.2.1.1. ​104916​ ARMAÇÃO DE SAPATA ISOLADA, VIGA BALDRAME E SAPATA CORRIDA UTILIZANDO AÇO CA-60 DE 5 MM - MONTAGEM. AF_01/2024​ (KG)</t>
        </is>
      </c>
      <c r="B497" s="55" t="n"/>
      <c r="C497" s="55" t="n"/>
      <c r="D497" s="55" t="n"/>
      <c r="E497" s="55" t="n"/>
      <c r="F497" s="55" t="n"/>
      <c r="G497" s="56" t="n"/>
    </row>
    <row r="498" ht="15" customHeight="1">
      <c r="A498" s="20" t="inlineStr">
        <is>
          <t>Material</t>
        </is>
      </c>
      <c r="B498" s="56" t="n"/>
      <c r="C498" s="21" t="inlineStr">
        <is>
          <t>FONTE</t>
        </is>
      </c>
      <c r="D498" s="21" t="inlineStr">
        <is>
          <t>UNID</t>
        </is>
      </c>
      <c r="E498" s="21" t="inlineStr">
        <is>
          <t>COEFICIENTE</t>
        </is>
      </c>
      <c r="F498" s="21" t="inlineStr">
        <is>
          <t>PREÇO UNITÁRIO</t>
        </is>
      </c>
      <c r="G498" s="21" t="inlineStr">
        <is>
          <t>TOTAL</t>
        </is>
      </c>
    </row>
    <row r="499" ht="21" customHeight="1">
      <c r="A499" s="22" t="inlineStr">
        <is>
          <t>00043132</t>
        </is>
      </c>
      <c r="B499" s="23" t="inlineStr">
        <is>
          <t>ARAME RECOZIDO 16 BWG, D = 1,65 MM (0,016 KG/M) OU 18 BWG, D = 1,25 MM (0,01 KG/M)</t>
        </is>
      </c>
      <c r="C499" s="22" t="inlineStr">
        <is>
          <t>SINAPI</t>
        </is>
      </c>
      <c r="D499" s="22" t="inlineStr">
        <is>
          <t>KG</t>
        </is>
      </c>
      <c r="E499" s="63" t="n">
        <v>0.025</v>
      </c>
      <c r="F499" s="64">
        <f>ROUND(M499*FATOR, 2)</f>
        <v/>
      </c>
      <c r="G499" s="64">
        <f>TRUNC(TRUNC(E499,8)*F499,2)</f>
        <v/>
      </c>
      <c r="L499" t="n">
        <v>0.025</v>
      </c>
      <c r="M499" t="n">
        <v>15.67</v>
      </c>
      <c r="N499">
        <f>(M499-F499)</f>
        <v/>
      </c>
    </row>
    <row r="500" ht="29" customHeight="1">
      <c r="A500" s="22" t="inlineStr">
        <is>
          <t>00039017</t>
        </is>
      </c>
      <c r="B500" s="23" t="inlineStr">
        <is>
          <t>ESPACADOR / DISTANCIADOR CIRCULAR COM ENTRADA LATERAL, EM PLASTICO, PARA VERGALHAO *4,2 A 12,5* MM, COBRIMENTO 20 MM</t>
        </is>
      </c>
      <c r="C500" s="22" t="inlineStr">
        <is>
          <t>SINAPI</t>
        </is>
      </c>
      <c r="D500" s="22" t="inlineStr">
        <is>
          <t>UN</t>
        </is>
      </c>
      <c r="E500" s="63" t="n">
        <v>0.819</v>
      </c>
      <c r="F500" s="64">
        <f>ROUND(M500*FATOR, 2)</f>
        <v/>
      </c>
      <c r="G500" s="64">
        <f>TRUNC(TRUNC(E500,8)*F500,2)</f>
        <v/>
      </c>
      <c r="L500" t="n">
        <v>0.819</v>
      </c>
      <c r="M500" t="n">
        <v>0.22</v>
      </c>
      <c r="N500">
        <f>(M500-F500)</f>
        <v/>
      </c>
    </row>
    <row r="501" ht="15" customHeight="1">
      <c r="A501" s="2" t="inlineStr"/>
      <c r="B501" s="2" t="inlineStr"/>
      <c r="C501" s="2" t="inlineStr"/>
      <c r="D501" s="2" t="inlineStr"/>
      <c r="E501" s="26" t="inlineStr">
        <is>
          <t>TOTAL Material:</t>
        </is>
      </c>
      <c r="F501" s="56" t="n"/>
      <c r="G501" s="65">
        <f>SUM(G499:G500)</f>
        <v/>
      </c>
    </row>
    <row r="502" ht="15" customHeight="1">
      <c r="A502" s="20" t="inlineStr">
        <is>
          <t>Mão de Obra com Encargos Complementares</t>
        </is>
      </c>
      <c r="B502" s="56" t="n"/>
      <c r="C502" s="21" t="inlineStr">
        <is>
          <t>FONTE</t>
        </is>
      </c>
      <c r="D502" s="21" t="inlineStr">
        <is>
          <t>UNID</t>
        </is>
      </c>
      <c r="E502" s="21" t="inlineStr">
        <is>
          <t>COEFICIENTE</t>
        </is>
      </c>
      <c r="F502" s="21" t="inlineStr">
        <is>
          <t>PREÇO UNITÁRIO</t>
        </is>
      </c>
      <c r="G502" s="21" t="inlineStr">
        <is>
          <t>TOTAL</t>
        </is>
      </c>
    </row>
    <row r="503" ht="21" customHeight="1">
      <c r="A503" s="22" t="inlineStr">
        <is>
          <t>88238</t>
        </is>
      </c>
      <c r="B503" s="23" t="inlineStr">
        <is>
          <t>AJUDANTE DE ARMADOR COM ENCARGOS COMPLEMENTARES</t>
        </is>
      </c>
      <c r="C503" s="22" t="inlineStr">
        <is>
          <t>SINAPI</t>
        </is>
      </c>
      <c r="D503" s="22" t="inlineStr">
        <is>
          <t>H</t>
        </is>
      </c>
      <c r="E503" s="63">
        <f>L503*FATOR</f>
        <v/>
      </c>
      <c r="F503" s="64">
        <f>'COMPOSICOES AUXILIARES'!G26</f>
        <v/>
      </c>
      <c r="G503" s="64">
        <f>TRUNC(TRUNC(E503,8)*F503,2)</f>
        <v/>
      </c>
      <c r="L503" t="n">
        <v>0.064</v>
      </c>
      <c r="M503" t="n">
        <v>24.77</v>
      </c>
      <c r="N503">
        <f>(M503-F503)</f>
        <v/>
      </c>
    </row>
    <row r="504" ht="15" customHeight="1">
      <c r="A504" s="22" t="inlineStr">
        <is>
          <t>88245</t>
        </is>
      </c>
      <c r="B504" s="23" t="inlineStr">
        <is>
          <t>ARMADOR COM ENCARGOS COMPLEMENTARES</t>
        </is>
      </c>
      <c r="C504" s="22" t="inlineStr">
        <is>
          <t>SINAPI</t>
        </is>
      </c>
      <c r="D504" s="22" t="inlineStr">
        <is>
          <t>H</t>
        </is>
      </c>
      <c r="E504" s="63">
        <f>L504*FATOR</f>
        <v/>
      </c>
      <c r="F504" s="64">
        <f>'COMPOSICOES AUXILIARES'!G26</f>
        <v/>
      </c>
      <c r="G504" s="64">
        <f>TRUNC(TRUNC(E504,8)*F504,2)</f>
        <v/>
      </c>
      <c r="L504" t="n">
        <v>0.166</v>
      </c>
      <c r="M504" t="n">
        <v>30.43</v>
      </c>
      <c r="N504">
        <f>(M504-F504)</f>
        <v/>
      </c>
    </row>
    <row r="505" ht="18" customHeight="1">
      <c r="A505" s="2" t="inlineStr"/>
      <c r="B505" s="2" t="inlineStr"/>
      <c r="C505" s="2" t="inlineStr"/>
      <c r="D505" s="2" t="inlineStr"/>
      <c r="E505" s="26" t="inlineStr">
        <is>
          <t>TOTAL Mão de Obra com Encargos Complementares:</t>
        </is>
      </c>
      <c r="F505" s="56" t="n"/>
      <c r="G505" s="65">
        <f>SUM(G503:G504)</f>
        <v/>
      </c>
    </row>
    <row r="506" ht="15" customHeight="1">
      <c r="A506" s="20" t="inlineStr">
        <is>
          <t>Serviço</t>
        </is>
      </c>
      <c r="B506" s="56" t="n"/>
      <c r="C506" s="21" t="inlineStr">
        <is>
          <t>FONTE</t>
        </is>
      </c>
      <c r="D506" s="21" t="inlineStr">
        <is>
          <t>UNID</t>
        </is>
      </c>
      <c r="E506" s="21" t="inlineStr">
        <is>
          <t>COEFICIENTE</t>
        </is>
      </c>
      <c r="F506" s="21" t="inlineStr">
        <is>
          <t>PREÇO UNITÁRIO</t>
        </is>
      </c>
      <c r="G506" s="21" t="inlineStr">
        <is>
          <t>TOTAL</t>
        </is>
      </c>
    </row>
    <row r="507" ht="21" customHeight="1">
      <c r="A507" s="22" t="inlineStr">
        <is>
          <t>92800</t>
        </is>
      </c>
      <c r="B507" s="23" t="inlineStr">
        <is>
          <t>CORTE E DOBRA DE AÇO CA-60, DIÂMETRO DE 5,0 MM. AF_06/2022</t>
        </is>
      </c>
      <c r="C507" s="22" t="inlineStr">
        <is>
          <t>SINAPI</t>
        </is>
      </c>
      <c r="D507" s="22" t="inlineStr">
        <is>
          <t>KG</t>
        </is>
      </c>
      <c r="E507" s="63" t="n">
        <v>1</v>
      </c>
      <c r="F507" s="64">
        <f>'COMPOSICOES AUXILIARES'!G1475</f>
        <v/>
      </c>
      <c r="G507" s="64">
        <f>TRUNC(TRUNC(E507,8)*F507,2)</f>
        <v/>
      </c>
      <c r="L507" t="n">
        <v>1</v>
      </c>
      <c r="M507" t="n">
        <v>9.48</v>
      </c>
      <c r="N507">
        <f>(M507-F507)</f>
        <v/>
      </c>
    </row>
    <row r="508" ht="15" customHeight="1">
      <c r="A508" s="2" t="inlineStr"/>
      <c r="B508" s="2" t="inlineStr"/>
      <c r="C508" s="2" t="inlineStr"/>
      <c r="D508" s="2" t="inlineStr"/>
      <c r="E508" s="26" t="inlineStr">
        <is>
          <t>TOTAL Serviço:</t>
        </is>
      </c>
      <c r="F508" s="56" t="n"/>
      <c r="G508" s="65">
        <f>SUM(G507:G507)</f>
        <v/>
      </c>
    </row>
    <row r="509" ht="15" customHeight="1">
      <c r="A509" s="2" t="inlineStr"/>
      <c r="B509" s="2" t="inlineStr"/>
      <c r="C509" s="2" t="inlineStr"/>
      <c r="D509" s="2" t="inlineStr"/>
      <c r="E509" s="28" t="inlineStr">
        <is>
          <t>VALOR:</t>
        </is>
      </c>
      <c r="F509" s="56" t="n"/>
      <c r="G509" s="66">
        <f>SUM(G505,G508,G501)</f>
        <v/>
      </c>
    </row>
    <row r="510" ht="15" customHeight="1">
      <c r="A510" s="2" t="inlineStr"/>
      <c r="B510" s="2" t="inlineStr"/>
      <c r="C510" s="2" t="inlineStr"/>
      <c r="D510" s="2" t="inlineStr"/>
      <c r="E510" s="28" t="inlineStr">
        <is>
          <t>VALOR BDI (23.08%):</t>
        </is>
      </c>
      <c r="F510" s="56" t="n"/>
      <c r="G510" s="66">
        <f>ROUNDDOWN(G509*BDI,2)</f>
        <v/>
      </c>
    </row>
    <row r="511" ht="15" customHeight="1">
      <c r="A511" s="2" t="inlineStr"/>
      <c r="B511" s="2" t="inlineStr"/>
      <c r="C511" s="2" t="inlineStr"/>
      <c r="D511" s="2" t="inlineStr"/>
      <c r="E511" s="28" t="inlineStr">
        <is>
          <t>VALOR COM BDI:</t>
        </is>
      </c>
      <c r="F511" s="56" t="n"/>
      <c r="G511" s="66">
        <f>G510 + G509</f>
        <v/>
      </c>
    </row>
    <row r="512" ht="10" customHeight="1">
      <c r="A512" s="2" t="inlineStr"/>
      <c r="B512" s="2" t="inlineStr"/>
      <c r="C512" s="2" t="inlineStr"/>
      <c r="D512" s="2" t="inlineStr"/>
      <c r="E512" s="18" t="inlineStr"/>
    </row>
    <row r="513" ht="20" customHeight="1">
      <c r="A513" s="19" t="inlineStr">
        <is>
          <t>3.2.1.2. ​104917​ ARMAÇÃO DE SAPATA ISOLADA, VIGA BALDRAME E SAPATA CORRIDA UTILIZANDO AÇO CA-50 DE 6,3 MM - MONTAGEM. AF_01/2024​ (KG)</t>
        </is>
      </c>
      <c r="B513" s="55" t="n"/>
      <c r="C513" s="55" t="n"/>
      <c r="D513" s="55" t="n"/>
      <c r="E513" s="55" t="n"/>
      <c r="F513" s="55" t="n"/>
      <c r="G513" s="56" t="n"/>
    </row>
    <row r="514" ht="15" customHeight="1">
      <c r="A514" s="20" t="inlineStr">
        <is>
          <t>Material</t>
        </is>
      </c>
      <c r="B514" s="56" t="n"/>
      <c r="C514" s="21" t="inlineStr">
        <is>
          <t>FONTE</t>
        </is>
      </c>
      <c r="D514" s="21" t="inlineStr">
        <is>
          <t>UNID</t>
        </is>
      </c>
      <c r="E514" s="21" t="inlineStr">
        <is>
          <t>COEFICIENTE</t>
        </is>
      </c>
      <c r="F514" s="21" t="inlineStr">
        <is>
          <t>PREÇO UNITÁRIO</t>
        </is>
      </c>
      <c r="G514" s="21" t="inlineStr">
        <is>
          <t>TOTAL</t>
        </is>
      </c>
    </row>
    <row r="515" ht="21" customHeight="1">
      <c r="A515" s="22" t="inlineStr">
        <is>
          <t>00043132</t>
        </is>
      </c>
      <c r="B515" s="23" t="inlineStr">
        <is>
          <t>ARAME RECOZIDO 16 BWG, D = 1,65 MM (0,016 KG/M) OU 18 BWG, D = 1,25 MM (0,01 KG/M)</t>
        </is>
      </c>
      <c r="C515" s="22" t="inlineStr">
        <is>
          <t>SINAPI</t>
        </is>
      </c>
      <c r="D515" s="22" t="inlineStr">
        <is>
          <t>KG</t>
        </is>
      </c>
      <c r="E515" s="63" t="n">
        <v>0.025</v>
      </c>
      <c r="F515" s="64">
        <f>ROUND(M515*FATOR, 2)</f>
        <v/>
      </c>
      <c r="G515" s="64">
        <f>TRUNC(TRUNC(E515,8)*F515,2)</f>
        <v/>
      </c>
      <c r="L515" t="n">
        <v>0.025</v>
      </c>
      <c r="M515" t="n">
        <v>15.67</v>
      </c>
      <c r="N515">
        <f>(M515-F515)</f>
        <v/>
      </c>
    </row>
    <row r="516" ht="29" customHeight="1">
      <c r="A516" s="22" t="inlineStr">
        <is>
          <t>00039017</t>
        </is>
      </c>
      <c r="B516" s="23" t="inlineStr">
        <is>
          <t>ESPACADOR / DISTANCIADOR CIRCULAR COM ENTRADA LATERAL, EM PLASTICO, PARA VERGALHAO *4,2 A 12,5* MM, COBRIMENTO 20 MM</t>
        </is>
      </c>
      <c r="C516" s="22" t="inlineStr">
        <is>
          <t>SINAPI</t>
        </is>
      </c>
      <c r="D516" s="22" t="inlineStr">
        <is>
          <t>UN</t>
        </is>
      </c>
      <c r="E516" s="63" t="n">
        <v>0.644</v>
      </c>
      <c r="F516" s="64">
        <f>ROUND(M516*FATOR, 2)</f>
        <v/>
      </c>
      <c r="G516" s="64">
        <f>TRUNC(TRUNC(E516,8)*F516,2)</f>
        <v/>
      </c>
      <c r="L516" t="n">
        <v>0.644</v>
      </c>
      <c r="M516" t="n">
        <v>0.22</v>
      </c>
      <c r="N516">
        <f>(M516-F516)</f>
        <v/>
      </c>
    </row>
    <row r="517" ht="15" customHeight="1">
      <c r="A517" s="2" t="inlineStr"/>
      <c r="B517" s="2" t="inlineStr"/>
      <c r="C517" s="2" t="inlineStr"/>
      <c r="D517" s="2" t="inlineStr"/>
      <c r="E517" s="26" t="inlineStr">
        <is>
          <t>TOTAL Material:</t>
        </is>
      </c>
      <c r="F517" s="56" t="n"/>
      <c r="G517" s="65">
        <f>SUM(G515:G516)</f>
        <v/>
      </c>
    </row>
    <row r="518" ht="15" customHeight="1">
      <c r="A518" s="20" t="inlineStr">
        <is>
          <t>Mão de Obra com Encargos Complementares</t>
        </is>
      </c>
      <c r="B518" s="56" t="n"/>
      <c r="C518" s="21" t="inlineStr">
        <is>
          <t>FONTE</t>
        </is>
      </c>
      <c r="D518" s="21" t="inlineStr">
        <is>
          <t>UNID</t>
        </is>
      </c>
      <c r="E518" s="21" t="inlineStr">
        <is>
          <t>COEFICIENTE</t>
        </is>
      </c>
      <c r="F518" s="21" t="inlineStr">
        <is>
          <t>PREÇO UNITÁRIO</t>
        </is>
      </c>
      <c r="G518" s="21" t="inlineStr">
        <is>
          <t>TOTAL</t>
        </is>
      </c>
    </row>
    <row r="519" ht="21" customHeight="1">
      <c r="A519" s="22" t="inlineStr">
        <is>
          <t>88238</t>
        </is>
      </c>
      <c r="B519" s="23" t="inlineStr">
        <is>
          <t>AJUDANTE DE ARMADOR COM ENCARGOS COMPLEMENTARES</t>
        </is>
      </c>
      <c r="C519" s="22" t="inlineStr">
        <is>
          <t>SINAPI</t>
        </is>
      </c>
      <c r="D519" s="22" t="inlineStr">
        <is>
          <t>H</t>
        </is>
      </c>
      <c r="E519" s="63">
        <f>L519*FATOR</f>
        <v/>
      </c>
      <c r="F519" s="64">
        <f>'COMPOSICOES AUXILIARES'!G26</f>
        <v/>
      </c>
      <c r="G519" s="64">
        <f>TRUNC(TRUNC(E519,8)*F519,2)</f>
        <v/>
      </c>
      <c r="L519" t="n">
        <v>0.05</v>
      </c>
      <c r="M519" t="n">
        <v>24.77</v>
      </c>
      <c r="N519">
        <f>(M519-F519)</f>
        <v/>
      </c>
    </row>
    <row r="520" ht="15" customHeight="1">
      <c r="A520" s="22" t="inlineStr">
        <is>
          <t>88245</t>
        </is>
      </c>
      <c r="B520" s="23" t="inlineStr">
        <is>
          <t>ARMADOR COM ENCARGOS COMPLEMENTARES</t>
        </is>
      </c>
      <c r="C520" s="22" t="inlineStr">
        <is>
          <t>SINAPI</t>
        </is>
      </c>
      <c r="D520" s="22" t="inlineStr">
        <is>
          <t>H</t>
        </is>
      </c>
      <c r="E520" s="63">
        <f>L520*FATOR</f>
        <v/>
      </c>
      <c r="F520" s="64">
        <f>'COMPOSICOES AUXILIARES'!G26</f>
        <v/>
      </c>
      <c r="G520" s="64">
        <f>TRUNC(TRUNC(E520,8)*F520,2)</f>
        <v/>
      </c>
      <c r="L520" t="n">
        <v>0.131</v>
      </c>
      <c r="M520" t="n">
        <v>30.43</v>
      </c>
      <c r="N520">
        <f>(M520-F520)</f>
        <v/>
      </c>
    </row>
    <row r="521" ht="18" customHeight="1">
      <c r="A521" s="2" t="inlineStr"/>
      <c r="B521" s="2" t="inlineStr"/>
      <c r="C521" s="2" t="inlineStr"/>
      <c r="D521" s="2" t="inlineStr"/>
      <c r="E521" s="26" t="inlineStr">
        <is>
          <t>TOTAL Mão de Obra com Encargos Complementares:</t>
        </is>
      </c>
      <c r="F521" s="56" t="n"/>
      <c r="G521" s="65">
        <f>SUM(G519:G520)</f>
        <v/>
      </c>
    </row>
    <row r="522" ht="15" customHeight="1">
      <c r="A522" s="20" t="inlineStr">
        <is>
          <t>Serviço</t>
        </is>
      </c>
      <c r="B522" s="56" t="n"/>
      <c r="C522" s="21" t="inlineStr">
        <is>
          <t>FONTE</t>
        </is>
      </c>
      <c r="D522" s="21" t="inlineStr">
        <is>
          <t>UNID</t>
        </is>
      </c>
      <c r="E522" s="21" t="inlineStr">
        <is>
          <t>COEFICIENTE</t>
        </is>
      </c>
      <c r="F522" s="21" t="inlineStr">
        <is>
          <t>PREÇO UNITÁRIO</t>
        </is>
      </c>
      <c r="G522" s="21" t="inlineStr">
        <is>
          <t>TOTAL</t>
        </is>
      </c>
    </row>
    <row r="523" ht="21" customHeight="1">
      <c r="A523" s="22" t="inlineStr">
        <is>
          <t>92801</t>
        </is>
      </c>
      <c r="B523" s="23" t="inlineStr">
        <is>
          <t>CORTE E DOBRA DE AÇO CA-50, DIÂMETRO DE 6,3 MM. AF_06/2022</t>
        </is>
      </c>
      <c r="C523" s="22" t="inlineStr">
        <is>
          <t>SINAPI</t>
        </is>
      </c>
      <c r="D523" s="22" t="inlineStr">
        <is>
          <t>KG</t>
        </is>
      </c>
      <c r="E523" s="63" t="n">
        <v>1</v>
      </c>
      <c r="F523" s="64">
        <f>'COMPOSICOES AUXILIARES'!G1439</f>
        <v/>
      </c>
      <c r="G523" s="64">
        <f>TRUNC(TRUNC(E523,8)*F523,2)</f>
        <v/>
      </c>
      <c r="L523" t="n">
        <v>1</v>
      </c>
      <c r="M523" t="n">
        <v>9.4</v>
      </c>
      <c r="N523">
        <f>(M523-F523)</f>
        <v/>
      </c>
    </row>
    <row r="524" ht="15" customHeight="1">
      <c r="A524" s="2" t="inlineStr"/>
      <c r="B524" s="2" t="inlineStr"/>
      <c r="C524" s="2" t="inlineStr"/>
      <c r="D524" s="2" t="inlineStr"/>
      <c r="E524" s="26" t="inlineStr">
        <is>
          <t>TOTAL Serviço:</t>
        </is>
      </c>
      <c r="F524" s="56" t="n"/>
      <c r="G524" s="65">
        <f>SUM(G523:G523)</f>
        <v/>
      </c>
    </row>
    <row r="525" ht="15" customHeight="1">
      <c r="A525" s="2" t="inlineStr"/>
      <c r="B525" s="2" t="inlineStr"/>
      <c r="C525" s="2" t="inlineStr"/>
      <c r="D525" s="2" t="inlineStr"/>
      <c r="E525" s="28" t="inlineStr">
        <is>
          <t>VALOR:</t>
        </is>
      </c>
      <c r="F525" s="56" t="n"/>
      <c r="G525" s="66">
        <f>SUM(G521,G524,G517)</f>
        <v/>
      </c>
    </row>
    <row r="526" ht="15" customHeight="1">
      <c r="A526" s="2" t="inlineStr"/>
      <c r="B526" s="2" t="inlineStr"/>
      <c r="C526" s="2" t="inlineStr"/>
      <c r="D526" s="2" t="inlineStr"/>
      <c r="E526" s="28" t="inlineStr">
        <is>
          <t>VALOR BDI (23.08%):</t>
        </is>
      </c>
      <c r="F526" s="56" t="n"/>
      <c r="G526" s="66">
        <f>ROUNDDOWN(G525*BDI,2)</f>
        <v/>
      </c>
    </row>
    <row r="527" ht="15" customHeight="1">
      <c r="A527" s="2" t="inlineStr"/>
      <c r="B527" s="2" t="inlineStr"/>
      <c r="C527" s="2" t="inlineStr"/>
      <c r="D527" s="2" t="inlineStr"/>
      <c r="E527" s="28" t="inlineStr">
        <is>
          <t>VALOR COM BDI:</t>
        </is>
      </c>
      <c r="F527" s="56" t="n"/>
      <c r="G527" s="66">
        <f>G526 + G525</f>
        <v/>
      </c>
    </row>
    <row r="528" ht="10" customHeight="1">
      <c r="A528" s="2" t="inlineStr"/>
      <c r="B528" s="2" t="inlineStr"/>
      <c r="C528" s="2" t="inlineStr"/>
      <c r="D528" s="2" t="inlineStr"/>
      <c r="E528" s="18" t="inlineStr"/>
    </row>
    <row r="529" ht="20" customHeight="1">
      <c r="A529" s="19" t="inlineStr">
        <is>
          <t>3.2.1.3. ​104918​ ARMAÇÃO DE SAPATA ISOLADA, VIGA BALDRAME E SAPATA CORRIDA UTILIZANDO AÇO CA-50 DE 8 MM - MONTAGEM. AF_01/2024​ (KG)</t>
        </is>
      </c>
      <c r="B529" s="55" t="n"/>
      <c r="C529" s="55" t="n"/>
      <c r="D529" s="55" t="n"/>
      <c r="E529" s="55" t="n"/>
      <c r="F529" s="55" t="n"/>
      <c r="G529" s="56" t="n"/>
    </row>
    <row r="530" ht="15" customHeight="1">
      <c r="A530" s="20" t="inlineStr">
        <is>
          <t>Material</t>
        </is>
      </c>
      <c r="B530" s="56" t="n"/>
      <c r="C530" s="21" t="inlineStr">
        <is>
          <t>FONTE</t>
        </is>
      </c>
      <c r="D530" s="21" t="inlineStr">
        <is>
          <t>UNID</t>
        </is>
      </c>
      <c r="E530" s="21" t="inlineStr">
        <is>
          <t>COEFICIENTE</t>
        </is>
      </c>
      <c r="F530" s="21" t="inlineStr">
        <is>
          <t>PREÇO UNITÁRIO</t>
        </is>
      </c>
      <c r="G530" s="21" t="inlineStr">
        <is>
          <t>TOTAL</t>
        </is>
      </c>
    </row>
    <row r="531" ht="21" customHeight="1">
      <c r="A531" s="22" t="inlineStr">
        <is>
          <t>00043132</t>
        </is>
      </c>
      <c r="B531" s="23" t="inlineStr">
        <is>
          <t>ARAME RECOZIDO 16 BWG, D = 1,65 MM (0,016 KG/M) OU 18 BWG, D = 1,25 MM (0,01 KG/M)</t>
        </is>
      </c>
      <c r="C531" s="22" t="inlineStr">
        <is>
          <t>SINAPI</t>
        </is>
      </c>
      <c r="D531" s="22" t="inlineStr">
        <is>
          <t>KG</t>
        </is>
      </c>
      <c r="E531" s="63" t="n">
        <v>0.025</v>
      </c>
      <c r="F531" s="64">
        <f>ROUND(M531*FATOR, 2)</f>
        <v/>
      </c>
      <c r="G531" s="64">
        <f>TRUNC(TRUNC(E531,8)*F531,2)</f>
        <v/>
      </c>
      <c r="L531" t="n">
        <v>0.025</v>
      </c>
      <c r="M531" t="n">
        <v>15.67</v>
      </c>
      <c r="N531">
        <f>(M531-F531)</f>
        <v/>
      </c>
    </row>
    <row r="532" ht="29" customHeight="1">
      <c r="A532" s="22" t="inlineStr">
        <is>
          <t>00039017</t>
        </is>
      </c>
      <c r="B532" s="23" t="inlineStr">
        <is>
          <t>ESPACADOR / DISTANCIADOR CIRCULAR COM ENTRADA LATERAL, EM PLASTICO, PARA VERGALHAO *4,2 A 12,5* MM, COBRIMENTO 20 MM</t>
        </is>
      </c>
      <c r="C532" s="22" t="inlineStr">
        <is>
          <t>SINAPI</t>
        </is>
      </c>
      <c r="D532" s="22" t="inlineStr">
        <is>
          <t>UN</t>
        </is>
      </c>
      <c r="E532" s="63" t="n">
        <v>0.503</v>
      </c>
      <c r="F532" s="64">
        <f>ROUND(M532*FATOR, 2)</f>
        <v/>
      </c>
      <c r="G532" s="64">
        <f>TRUNC(TRUNC(E532,8)*F532,2)</f>
        <v/>
      </c>
      <c r="L532" t="n">
        <v>0.503</v>
      </c>
      <c r="M532" t="n">
        <v>0.22</v>
      </c>
      <c r="N532">
        <f>(M532-F532)</f>
        <v/>
      </c>
    </row>
    <row r="533" ht="15" customHeight="1">
      <c r="A533" s="2" t="inlineStr"/>
      <c r="B533" s="2" t="inlineStr"/>
      <c r="C533" s="2" t="inlineStr"/>
      <c r="D533" s="2" t="inlineStr"/>
      <c r="E533" s="26" t="inlineStr">
        <is>
          <t>TOTAL Material:</t>
        </is>
      </c>
      <c r="F533" s="56" t="n"/>
      <c r="G533" s="65">
        <f>SUM(G531:G532)</f>
        <v/>
      </c>
    </row>
    <row r="534" ht="15" customHeight="1">
      <c r="A534" s="20" t="inlineStr">
        <is>
          <t>Mão de Obra com Encargos Complementares</t>
        </is>
      </c>
      <c r="B534" s="56" t="n"/>
      <c r="C534" s="21" t="inlineStr">
        <is>
          <t>FONTE</t>
        </is>
      </c>
      <c r="D534" s="21" t="inlineStr">
        <is>
          <t>UNID</t>
        </is>
      </c>
      <c r="E534" s="21" t="inlineStr">
        <is>
          <t>COEFICIENTE</t>
        </is>
      </c>
      <c r="F534" s="21" t="inlineStr">
        <is>
          <t>PREÇO UNITÁRIO</t>
        </is>
      </c>
      <c r="G534" s="21" t="inlineStr">
        <is>
          <t>TOTAL</t>
        </is>
      </c>
    </row>
    <row r="535" ht="21" customHeight="1">
      <c r="A535" s="22" t="inlineStr">
        <is>
          <t>88238</t>
        </is>
      </c>
      <c r="B535" s="23" t="inlineStr">
        <is>
          <t>AJUDANTE DE ARMADOR COM ENCARGOS COMPLEMENTARES</t>
        </is>
      </c>
      <c r="C535" s="22" t="inlineStr">
        <is>
          <t>SINAPI</t>
        </is>
      </c>
      <c r="D535" s="22" t="inlineStr">
        <is>
          <t>H</t>
        </is>
      </c>
      <c r="E535" s="63">
        <f>L535*FATOR</f>
        <v/>
      </c>
      <c r="F535" s="64">
        <f>'COMPOSICOES AUXILIARES'!G26</f>
        <v/>
      </c>
      <c r="G535" s="64">
        <f>TRUNC(TRUNC(E535,8)*F535,2)</f>
        <v/>
      </c>
      <c r="L535" t="n">
        <v>0.039</v>
      </c>
      <c r="M535" t="n">
        <v>24.77</v>
      </c>
      <c r="N535">
        <f>(M535-F535)</f>
        <v/>
      </c>
    </row>
    <row r="536" ht="15" customHeight="1">
      <c r="A536" s="22" t="inlineStr">
        <is>
          <t>88245</t>
        </is>
      </c>
      <c r="B536" s="23" t="inlineStr">
        <is>
          <t>ARMADOR COM ENCARGOS COMPLEMENTARES</t>
        </is>
      </c>
      <c r="C536" s="22" t="inlineStr">
        <is>
          <t>SINAPI</t>
        </is>
      </c>
      <c r="D536" s="22" t="inlineStr">
        <is>
          <t>H</t>
        </is>
      </c>
      <c r="E536" s="63">
        <f>L536*FATOR</f>
        <v/>
      </c>
      <c r="F536" s="64">
        <f>'COMPOSICOES AUXILIARES'!G26</f>
        <v/>
      </c>
      <c r="G536" s="64">
        <f>TRUNC(TRUNC(E536,8)*F536,2)</f>
        <v/>
      </c>
      <c r="L536" t="n">
        <v>0.102</v>
      </c>
      <c r="M536" t="n">
        <v>30.43</v>
      </c>
      <c r="N536">
        <f>(M536-F536)</f>
        <v/>
      </c>
    </row>
    <row r="537" ht="18" customHeight="1">
      <c r="A537" s="2" t="inlineStr"/>
      <c r="B537" s="2" t="inlineStr"/>
      <c r="C537" s="2" t="inlineStr"/>
      <c r="D537" s="2" t="inlineStr"/>
      <c r="E537" s="26" t="inlineStr">
        <is>
          <t>TOTAL Mão de Obra com Encargos Complementares:</t>
        </is>
      </c>
      <c r="F537" s="56" t="n"/>
      <c r="G537" s="65">
        <f>SUM(G535:G536)</f>
        <v/>
      </c>
    </row>
    <row r="538" ht="15" customHeight="1">
      <c r="A538" s="20" t="inlineStr">
        <is>
          <t>Serviço</t>
        </is>
      </c>
      <c r="B538" s="56" t="n"/>
      <c r="C538" s="21" t="inlineStr">
        <is>
          <t>FONTE</t>
        </is>
      </c>
      <c r="D538" s="21" t="inlineStr">
        <is>
          <t>UNID</t>
        </is>
      </c>
      <c r="E538" s="21" t="inlineStr">
        <is>
          <t>COEFICIENTE</t>
        </is>
      </c>
      <c r="F538" s="21" t="inlineStr">
        <is>
          <t>PREÇO UNITÁRIO</t>
        </is>
      </c>
      <c r="G538" s="21" t="inlineStr">
        <is>
          <t>TOTAL</t>
        </is>
      </c>
    </row>
    <row r="539" ht="21" customHeight="1">
      <c r="A539" s="22" t="inlineStr">
        <is>
          <t>92802</t>
        </is>
      </c>
      <c r="B539" s="23" t="inlineStr">
        <is>
          <t>CORTE E DOBRA DE AÇO CA-50, DIÂMETRO DE 8,0 MM. AF_06/2022</t>
        </is>
      </c>
      <c r="C539" s="22" t="inlineStr">
        <is>
          <t>SINAPI</t>
        </is>
      </c>
      <c r="D539" s="22" t="inlineStr">
        <is>
          <t>KG</t>
        </is>
      </c>
      <c r="E539" s="63" t="n">
        <v>1</v>
      </c>
      <c r="F539" s="64">
        <f>'COMPOSICOES AUXILIARES'!G1451</f>
        <v/>
      </c>
      <c r="G539" s="64">
        <f>TRUNC(TRUNC(E539,8)*F539,2)</f>
        <v/>
      </c>
      <c r="L539" t="n">
        <v>1</v>
      </c>
      <c r="M539" t="n">
        <v>9.26</v>
      </c>
      <c r="N539">
        <f>(M539-F539)</f>
        <v/>
      </c>
    </row>
    <row r="540" ht="15" customHeight="1">
      <c r="A540" s="2" t="inlineStr"/>
      <c r="B540" s="2" t="inlineStr"/>
      <c r="C540" s="2" t="inlineStr"/>
      <c r="D540" s="2" t="inlineStr"/>
      <c r="E540" s="26" t="inlineStr">
        <is>
          <t>TOTAL Serviço:</t>
        </is>
      </c>
      <c r="F540" s="56" t="n"/>
      <c r="G540" s="65">
        <f>SUM(G539:G539)</f>
        <v/>
      </c>
    </row>
    <row r="541" ht="15" customHeight="1">
      <c r="A541" s="2" t="inlineStr"/>
      <c r="B541" s="2" t="inlineStr"/>
      <c r="C541" s="2" t="inlineStr"/>
      <c r="D541" s="2" t="inlineStr"/>
      <c r="E541" s="28" t="inlineStr">
        <is>
          <t>VALOR:</t>
        </is>
      </c>
      <c r="F541" s="56" t="n"/>
      <c r="G541" s="66">
        <f>SUM(G537,G540,G533)</f>
        <v/>
      </c>
    </row>
    <row r="542" ht="15" customHeight="1">
      <c r="A542" s="2" t="inlineStr"/>
      <c r="B542" s="2" t="inlineStr"/>
      <c r="C542" s="2" t="inlineStr"/>
      <c r="D542" s="2" t="inlineStr"/>
      <c r="E542" s="28" t="inlineStr">
        <is>
          <t>VALOR BDI (23.08%):</t>
        </is>
      </c>
      <c r="F542" s="56" t="n"/>
      <c r="G542" s="66">
        <f>ROUNDDOWN(G541*BDI,2)</f>
        <v/>
      </c>
    </row>
    <row r="543" ht="15" customHeight="1">
      <c r="A543" s="2" t="inlineStr"/>
      <c r="B543" s="2" t="inlineStr"/>
      <c r="C543" s="2" t="inlineStr"/>
      <c r="D543" s="2" t="inlineStr"/>
      <c r="E543" s="28" t="inlineStr">
        <is>
          <t>VALOR COM BDI:</t>
        </is>
      </c>
      <c r="F543" s="56" t="n"/>
      <c r="G543" s="66">
        <f>G542 + G541</f>
        <v/>
      </c>
    </row>
    <row r="544" ht="10" customHeight="1">
      <c r="A544" s="2" t="inlineStr"/>
      <c r="B544" s="2" t="inlineStr"/>
      <c r="C544" s="2" t="inlineStr"/>
      <c r="D544" s="2" t="inlineStr"/>
      <c r="E544" s="18" t="inlineStr"/>
    </row>
    <row r="545" ht="20" customHeight="1">
      <c r="A545" s="19" t="inlineStr">
        <is>
          <t>3.2.1.4. ​104919​ ARMAÇÃO DE SAPATA ISOLADA, VIGA BALDRAME E SAPATA CORRIDA UTILIZANDO AÇO CA-50 DE 10 MM - MONTAGEM. AF_01/2024​ (KG)</t>
        </is>
      </c>
      <c r="B545" s="55" t="n"/>
      <c r="C545" s="55" t="n"/>
      <c r="D545" s="55" t="n"/>
      <c r="E545" s="55" t="n"/>
      <c r="F545" s="55" t="n"/>
      <c r="G545" s="56" t="n"/>
    </row>
    <row r="546" ht="15" customHeight="1">
      <c r="A546" s="20" t="inlineStr">
        <is>
          <t>Material</t>
        </is>
      </c>
      <c r="B546" s="56" t="n"/>
      <c r="C546" s="21" t="inlineStr">
        <is>
          <t>FONTE</t>
        </is>
      </c>
      <c r="D546" s="21" t="inlineStr">
        <is>
          <t>UNID</t>
        </is>
      </c>
      <c r="E546" s="21" t="inlineStr">
        <is>
          <t>COEFICIENTE</t>
        </is>
      </c>
      <c r="F546" s="21" t="inlineStr">
        <is>
          <t>PREÇO UNITÁRIO</t>
        </is>
      </c>
      <c r="G546" s="21" t="inlineStr">
        <is>
          <t>TOTAL</t>
        </is>
      </c>
    </row>
    <row r="547" ht="21" customHeight="1">
      <c r="A547" s="22" t="inlineStr">
        <is>
          <t>00043132</t>
        </is>
      </c>
      <c r="B547" s="23" t="inlineStr">
        <is>
          <t>ARAME RECOZIDO 16 BWG, D = 1,65 MM (0,016 KG/M) OU 18 BWG, D = 1,25 MM (0,01 KG/M)</t>
        </is>
      </c>
      <c r="C547" s="22" t="inlineStr">
        <is>
          <t>SINAPI</t>
        </is>
      </c>
      <c r="D547" s="22" t="inlineStr">
        <is>
          <t>KG</t>
        </is>
      </c>
      <c r="E547" s="63" t="n">
        <v>0.025</v>
      </c>
      <c r="F547" s="64">
        <f>ROUND(M547*FATOR, 2)</f>
        <v/>
      </c>
      <c r="G547" s="64">
        <f>TRUNC(TRUNC(E547,8)*F547,2)</f>
        <v/>
      </c>
      <c r="L547" t="n">
        <v>0.025</v>
      </c>
      <c r="M547" t="n">
        <v>15.67</v>
      </c>
      <c r="N547">
        <f>(M547-F547)</f>
        <v/>
      </c>
    </row>
    <row r="548" ht="29" customHeight="1">
      <c r="A548" s="22" t="inlineStr">
        <is>
          <t>00039017</t>
        </is>
      </c>
      <c r="B548" s="23" t="inlineStr">
        <is>
          <t>ESPACADOR / DISTANCIADOR CIRCULAR COM ENTRADA LATERAL, EM PLASTICO, PARA VERGALHAO *4,2 A 12,5* MM, COBRIMENTO 20 MM</t>
        </is>
      </c>
      <c r="C548" s="22" t="inlineStr">
        <is>
          <t>SINAPI</t>
        </is>
      </c>
      <c r="D548" s="22" t="inlineStr">
        <is>
          <t>UN</t>
        </is>
      </c>
      <c r="E548" s="63" t="n">
        <v>0.399</v>
      </c>
      <c r="F548" s="64">
        <f>ROUND(M548*FATOR, 2)</f>
        <v/>
      </c>
      <c r="G548" s="64">
        <f>TRUNC(TRUNC(E548,8)*F548,2)</f>
        <v/>
      </c>
      <c r="L548" t="n">
        <v>0.399</v>
      </c>
      <c r="M548" t="n">
        <v>0.22</v>
      </c>
      <c r="N548">
        <f>(M548-F548)</f>
        <v/>
      </c>
    </row>
    <row r="549" ht="15" customHeight="1">
      <c r="A549" s="2" t="inlineStr"/>
      <c r="B549" s="2" t="inlineStr"/>
      <c r="C549" s="2" t="inlineStr"/>
      <c r="D549" s="2" t="inlineStr"/>
      <c r="E549" s="26" t="inlineStr">
        <is>
          <t>TOTAL Material:</t>
        </is>
      </c>
      <c r="F549" s="56" t="n"/>
      <c r="G549" s="65">
        <f>SUM(G547:G548)</f>
        <v/>
      </c>
    </row>
    <row r="550" ht="15" customHeight="1">
      <c r="A550" s="20" t="inlineStr">
        <is>
          <t>Mão de Obra com Encargos Complementares</t>
        </is>
      </c>
      <c r="B550" s="56" t="n"/>
      <c r="C550" s="21" t="inlineStr">
        <is>
          <t>FONTE</t>
        </is>
      </c>
      <c r="D550" s="21" t="inlineStr">
        <is>
          <t>UNID</t>
        </is>
      </c>
      <c r="E550" s="21" t="inlineStr">
        <is>
          <t>COEFICIENTE</t>
        </is>
      </c>
      <c r="F550" s="21" t="inlineStr">
        <is>
          <t>PREÇO UNITÁRIO</t>
        </is>
      </c>
      <c r="G550" s="21" t="inlineStr">
        <is>
          <t>TOTAL</t>
        </is>
      </c>
    </row>
    <row r="551" ht="21" customHeight="1">
      <c r="A551" s="22" t="inlineStr">
        <is>
          <t>88238</t>
        </is>
      </c>
      <c r="B551" s="23" t="inlineStr">
        <is>
          <t>AJUDANTE DE ARMADOR COM ENCARGOS COMPLEMENTARES</t>
        </is>
      </c>
      <c r="C551" s="22" t="inlineStr">
        <is>
          <t>SINAPI</t>
        </is>
      </c>
      <c r="D551" s="22" t="inlineStr">
        <is>
          <t>H</t>
        </is>
      </c>
      <c r="E551" s="63">
        <f>L551*FATOR</f>
        <v/>
      </c>
      <c r="F551" s="64">
        <f>'COMPOSICOES AUXILIARES'!G26</f>
        <v/>
      </c>
      <c r="G551" s="64">
        <f>TRUNC(TRUNC(E551,8)*F551,2)</f>
        <v/>
      </c>
      <c r="L551" t="n">
        <v>0.031</v>
      </c>
      <c r="M551" t="n">
        <v>24.77</v>
      </c>
      <c r="N551">
        <f>(M551-F551)</f>
        <v/>
      </c>
    </row>
    <row r="552" ht="15" customHeight="1">
      <c r="A552" s="22" t="inlineStr">
        <is>
          <t>88245</t>
        </is>
      </c>
      <c r="B552" s="23" t="inlineStr">
        <is>
          <t>ARMADOR COM ENCARGOS COMPLEMENTARES</t>
        </is>
      </c>
      <c r="C552" s="22" t="inlineStr">
        <is>
          <t>SINAPI</t>
        </is>
      </c>
      <c r="D552" s="22" t="inlineStr">
        <is>
          <t>H</t>
        </is>
      </c>
      <c r="E552" s="63">
        <f>L552*FATOR</f>
        <v/>
      </c>
      <c r="F552" s="64">
        <f>'COMPOSICOES AUXILIARES'!G26</f>
        <v/>
      </c>
      <c r="G552" s="64">
        <f>TRUNC(TRUNC(E552,8)*F552,2)</f>
        <v/>
      </c>
      <c r="L552" t="n">
        <v>0.081</v>
      </c>
      <c r="M552" t="n">
        <v>30.43</v>
      </c>
      <c r="N552">
        <f>(M552-F552)</f>
        <v/>
      </c>
    </row>
    <row r="553" ht="18" customHeight="1">
      <c r="A553" s="2" t="inlineStr"/>
      <c r="B553" s="2" t="inlineStr"/>
      <c r="C553" s="2" t="inlineStr"/>
      <c r="D553" s="2" t="inlineStr"/>
      <c r="E553" s="26" t="inlineStr">
        <is>
          <t>TOTAL Mão de Obra com Encargos Complementares:</t>
        </is>
      </c>
      <c r="F553" s="56" t="n"/>
      <c r="G553" s="65">
        <f>SUM(G551:G552)</f>
        <v/>
      </c>
    </row>
    <row r="554" ht="15" customHeight="1">
      <c r="A554" s="20" t="inlineStr">
        <is>
          <t>Serviço</t>
        </is>
      </c>
      <c r="B554" s="56" t="n"/>
      <c r="C554" s="21" t="inlineStr">
        <is>
          <t>FONTE</t>
        </is>
      </c>
      <c r="D554" s="21" t="inlineStr">
        <is>
          <t>UNID</t>
        </is>
      </c>
      <c r="E554" s="21" t="inlineStr">
        <is>
          <t>COEFICIENTE</t>
        </is>
      </c>
      <c r="F554" s="21" t="inlineStr">
        <is>
          <t>PREÇO UNITÁRIO</t>
        </is>
      </c>
      <c r="G554" s="21" t="inlineStr">
        <is>
          <t>TOTAL</t>
        </is>
      </c>
    </row>
    <row r="555" ht="21" customHeight="1">
      <c r="A555" s="22" t="inlineStr">
        <is>
          <t>92803</t>
        </is>
      </c>
      <c r="B555" s="23" t="inlineStr">
        <is>
          <t>CORTE E DOBRA DE AÇO CA-50, DIÂMETRO DE 10,0 MM. AF_06/2022</t>
        </is>
      </c>
      <c r="C555" s="22" t="inlineStr">
        <is>
          <t>SINAPI</t>
        </is>
      </c>
      <c r="D555" s="22" t="inlineStr">
        <is>
          <t>KG</t>
        </is>
      </c>
      <c r="E555" s="63" t="n">
        <v>1</v>
      </c>
      <c r="F555" s="64">
        <f>'COMPOSICOES AUXILIARES'!G1393</f>
        <v/>
      </c>
      <c r="G555" s="64">
        <f>TRUNC(TRUNC(E555,8)*F555,2)</f>
        <v/>
      </c>
      <c r="L555" t="n">
        <v>1</v>
      </c>
      <c r="M555" t="n">
        <v>8.5</v>
      </c>
      <c r="N555">
        <f>(M555-F555)</f>
        <v/>
      </c>
    </row>
    <row r="556" ht="15" customHeight="1">
      <c r="A556" s="2" t="inlineStr"/>
      <c r="B556" s="2" t="inlineStr"/>
      <c r="C556" s="2" t="inlineStr"/>
      <c r="D556" s="2" t="inlineStr"/>
      <c r="E556" s="26" t="inlineStr">
        <is>
          <t>TOTAL Serviço:</t>
        </is>
      </c>
      <c r="F556" s="56" t="n"/>
      <c r="G556" s="65">
        <f>SUM(G555:G555)</f>
        <v/>
      </c>
    </row>
    <row r="557" ht="15" customHeight="1">
      <c r="A557" s="2" t="inlineStr"/>
      <c r="B557" s="2" t="inlineStr"/>
      <c r="C557" s="2" t="inlineStr"/>
      <c r="D557" s="2" t="inlineStr"/>
      <c r="E557" s="28" t="inlineStr">
        <is>
          <t>VALOR:</t>
        </is>
      </c>
      <c r="F557" s="56" t="n"/>
      <c r="G557" s="66">
        <f>SUM(G553,G556,G549)</f>
        <v/>
      </c>
    </row>
    <row r="558" ht="15" customHeight="1">
      <c r="A558" s="2" t="inlineStr"/>
      <c r="B558" s="2" t="inlineStr"/>
      <c r="C558" s="2" t="inlineStr"/>
      <c r="D558" s="2" t="inlineStr"/>
      <c r="E558" s="28" t="inlineStr">
        <is>
          <t>VALOR BDI (23.08%):</t>
        </is>
      </c>
      <c r="F558" s="56" t="n"/>
      <c r="G558" s="66">
        <f>ROUNDDOWN(G557*BDI,2)</f>
        <v/>
      </c>
    </row>
    <row r="559" ht="15" customHeight="1">
      <c r="A559" s="2" t="inlineStr"/>
      <c r="B559" s="2" t="inlineStr"/>
      <c r="C559" s="2" t="inlineStr"/>
      <c r="D559" s="2" t="inlineStr"/>
      <c r="E559" s="28" t="inlineStr">
        <is>
          <t>VALOR COM BDI:</t>
        </is>
      </c>
      <c r="F559" s="56" t="n"/>
      <c r="G559" s="66">
        <f>G558 + G557</f>
        <v/>
      </c>
    </row>
    <row r="560" ht="10" customHeight="1">
      <c r="A560" s="2" t="inlineStr"/>
      <c r="B560" s="2" t="inlineStr"/>
      <c r="C560" s="2" t="inlineStr"/>
      <c r="D560" s="2" t="inlineStr"/>
      <c r="E560" s="18" t="inlineStr"/>
    </row>
    <row r="561" ht="20" customHeight="1">
      <c r="A561" s="19" t="inlineStr">
        <is>
          <t>3.2.1.5. ​104920​ ARMAÇÃO DE BLOCO, SAPATA ISOLADA, VIGA BALDRAME E SAPATA CORRIDA UTILIZANDO AÇO CA-50 DE 12,5 MM - MONTAGEM. AF_01/2024​ (KG)</t>
        </is>
      </c>
      <c r="B561" s="55" t="n"/>
      <c r="C561" s="55" t="n"/>
      <c r="D561" s="55" t="n"/>
      <c r="E561" s="55" t="n"/>
      <c r="F561" s="55" t="n"/>
      <c r="G561" s="56" t="n"/>
    </row>
    <row r="562" ht="15" customHeight="1">
      <c r="A562" s="20" t="inlineStr">
        <is>
          <t>Material</t>
        </is>
      </c>
      <c r="B562" s="56" t="n"/>
      <c r="C562" s="21" t="inlineStr">
        <is>
          <t>FONTE</t>
        </is>
      </c>
      <c r="D562" s="21" t="inlineStr">
        <is>
          <t>UNID</t>
        </is>
      </c>
      <c r="E562" s="21" t="inlineStr">
        <is>
          <t>COEFICIENTE</t>
        </is>
      </c>
      <c r="F562" s="21" t="inlineStr">
        <is>
          <t>PREÇO UNITÁRIO</t>
        </is>
      </c>
      <c r="G562" s="21" t="inlineStr">
        <is>
          <t>TOTAL</t>
        </is>
      </c>
    </row>
    <row r="563" ht="21" customHeight="1">
      <c r="A563" s="22" t="inlineStr">
        <is>
          <t>00043132</t>
        </is>
      </c>
      <c r="B563" s="23" t="inlineStr">
        <is>
          <t>ARAME RECOZIDO 16 BWG, D = 1,65 MM (0,016 KG/M) OU 18 BWG, D = 1,25 MM (0,01 KG/M)</t>
        </is>
      </c>
      <c r="C563" s="22" t="inlineStr">
        <is>
          <t>SINAPI</t>
        </is>
      </c>
      <c r="D563" s="22" t="inlineStr">
        <is>
          <t>KG</t>
        </is>
      </c>
      <c r="E563" s="63" t="n">
        <v>0.025</v>
      </c>
      <c r="F563" s="64">
        <f>ROUND(M563*FATOR, 2)</f>
        <v/>
      </c>
      <c r="G563" s="64">
        <f>TRUNC(TRUNC(E563,8)*F563,2)</f>
        <v/>
      </c>
      <c r="L563" t="n">
        <v>0.025</v>
      </c>
      <c r="M563" t="n">
        <v>15.67</v>
      </c>
      <c r="N563">
        <f>(M563-F563)</f>
        <v/>
      </c>
    </row>
    <row r="564" ht="29" customHeight="1">
      <c r="A564" s="22" t="inlineStr">
        <is>
          <t>00039017</t>
        </is>
      </c>
      <c r="B564" s="23" t="inlineStr">
        <is>
          <t>ESPACADOR / DISTANCIADOR CIRCULAR COM ENTRADA LATERAL, EM PLASTICO, PARA VERGALHAO *4,2 A 12,5* MM, COBRIMENTO 20 MM</t>
        </is>
      </c>
      <c r="C564" s="22" t="inlineStr">
        <is>
          <t>SINAPI</t>
        </is>
      </c>
      <c r="D564" s="22" t="inlineStr">
        <is>
          <t>UN</t>
        </is>
      </c>
      <c r="E564" s="63" t="n">
        <v>0.317</v>
      </c>
      <c r="F564" s="64">
        <f>ROUND(M564*FATOR, 2)</f>
        <v/>
      </c>
      <c r="G564" s="64">
        <f>TRUNC(TRUNC(E564,8)*F564,2)</f>
        <v/>
      </c>
      <c r="L564" t="n">
        <v>0.317</v>
      </c>
      <c r="M564" t="n">
        <v>0.22</v>
      </c>
      <c r="N564">
        <f>(M564-F564)</f>
        <v/>
      </c>
    </row>
    <row r="565" ht="15" customHeight="1">
      <c r="A565" s="2" t="inlineStr"/>
      <c r="B565" s="2" t="inlineStr"/>
      <c r="C565" s="2" t="inlineStr"/>
      <c r="D565" s="2" t="inlineStr"/>
      <c r="E565" s="26" t="inlineStr">
        <is>
          <t>TOTAL Material:</t>
        </is>
      </c>
      <c r="F565" s="56" t="n"/>
      <c r="G565" s="65">
        <f>SUM(G563:G564)</f>
        <v/>
      </c>
    </row>
    <row r="566" ht="15" customHeight="1">
      <c r="A566" s="20" t="inlineStr">
        <is>
          <t>Mão de Obra com Encargos Complementares</t>
        </is>
      </c>
      <c r="B566" s="56" t="n"/>
      <c r="C566" s="21" t="inlineStr">
        <is>
          <t>FONTE</t>
        </is>
      </c>
      <c r="D566" s="21" t="inlineStr">
        <is>
          <t>UNID</t>
        </is>
      </c>
      <c r="E566" s="21" t="inlineStr">
        <is>
          <t>COEFICIENTE</t>
        </is>
      </c>
      <c r="F566" s="21" t="inlineStr">
        <is>
          <t>PREÇO UNITÁRIO</t>
        </is>
      </c>
      <c r="G566" s="21" t="inlineStr">
        <is>
          <t>TOTAL</t>
        </is>
      </c>
    </row>
    <row r="567" ht="21" customHeight="1">
      <c r="A567" s="22" t="inlineStr">
        <is>
          <t>88238</t>
        </is>
      </c>
      <c r="B567" s="23" t="inlineStr">
        <is>
          <t>AJUDANTE DE ARMADOR COM ENCARGOS COMPLEMENTARES</t>
        </is>
      </c>
      <c r="C567" s="22" t="inlineStr">
        <is>
          <t>SINAPI</t>
        </is>
      </c>
      <c r="D567" s="22" t="inlineStr">
        <is>
          <t>H</t>
        </is>
      </c>
      <c r="E567" s="63">
        <f>L567*FATOR</f>
        <v/>
      </c>
      <c r="F567" s="64">
        <f>'COMPOSICOES AUXILIARES'!G26</f>
        <v/>
      </c>
      <c r="G567" s="64">
        <f>TRUNC(TRUNC(E567,8)*F567,2)</f>
        <v/>
      </c>
      <c r="L567" t="n">
        <v>0.025</v>
      </c>
      <c r="M567" t="n">
        <v>24.77</v>
      </c>
      <c r="N567">
        <f>(M567-F567)</f>
        <v/>
      </c>
    </row>
    <row r="568" ht="15" customHeight="1">
      <c r="A568" s="22" t="inlineStr">
        <is>
          <t>88245</t>
        </is>
      </c>
      <c r="B568" s="23" t="inlineStr">
        <is>
          <t>ARMADOR COM ENCARGOS COMPLEMENTARES</t>
        </is>
      </c>
      <c r="C568" s="22" t="inlineStr">
        <is>
          <t>SINAPI</t>
        </is>
      </c>
      <c r="D568" s="22" t="inlineStr">
        <is>
          <t>H</t>
        </is>
      </c>
      <c r="E568" s="63">
        <f>L568*FATOR</f>
        <v/>
      </c>
      <c r="F568" s="64">
        <f>'COMPOSICOES AUXILIARES'!G26</f>
        <v/>
      </c>
      <c r="G568" s="64">
        <f>TRUNC(TRUNC(E568,8)*F568,2)</f>
        <v/>
      </c>
      <c r="L568" t="n">
        <v>0.064</v>
      </c>
      <c r="M568" t="n">
        <v>30.43</v>
      </c>
      <c r="N568">
        <f>(M568-F568)</f>
        <v/>
      </c>
    </row>
    <row r="569" ht="18" customHeight="1">
      <c r="A569" s="2" t="inlineStr"/>
      <c r="B569" s="2" t="inlineStr"/>
      <c r="C569" s="2" t="inlineStr"/>
      <c r="D569" s="2" t="inlineStr"/>
      <c r="E569" s="26" t="inlineStr">
        <is>
          <t>TOTAL Mão de Obra com Encargos Complementares:</t>
        </is>
      </c>
      <c r="F569" s="56" t="n"/>
      <c r="G569" s="65">
        <f>SUM(G567:G568)</f>
        <v/>
      </c>
    </row>
    <row r="570" ht="15" customHeight="1">
      <c r="A570" s="20" t="inlineStr">
        <is>
          <t>Serviço</t>
        </is>
      </c>
      <c r="B570" s="56" t="n"/>
      <c r="C570" s="21" t="inlineStr">
        <is>
          <t>FONTE</t>
        </is>
      </c>
      <c r="D570" s="21" t="inlineStr">
        <is>
          <t>UNID</t>
        </is>
      </c>
      <c r="E570" s="21" t="inlineStr">
        <is>
          <t>COEFICIENTE</t>
        </is>
      </c>
      <c r="F570" s="21" t="inlineStr">
        <is>
          <t>PREÇO UNITÁRIO</t>
        </is>
      </c>
      <c r="G570" s="21" t="inlineStr">
        <is>
          <t>TOTAL</t>
        </is>
      </c>
    </row>
    <row r="571" ht="21" customHeight="1">
      <c r="A571" s="22" t="inlineStr">
        <is>
          <t>92804</t>
        </is>
      </c>
      <c r="B571" s="23" t="inlineStr">
        <is>
          <t>CORTE E DOBRA DE AÇO CA-50, DIÂMETRO DE 12,5 MM. AF_06/2022</t>
        </is>
      </c>
      <c r="C571" s="22" t="inlineStr">
        <is>
          <t>SINAPI</t>
        </is>
      </c>
      <c r="D571" s="22" t="inlineStr">
        <is>
          <t>KG</t>
        </is>
      </c>
      <c r="E571" s="63" t="n">
        <v>1</v>
      </c>
      <c r="F571" s="64">
        <f>'COMPOSICOES AUXILIARES'!G1405</f>
        <v/>
      </c>
      <c r="G571" s="64">
        <f>TRUNC(TRUNC(E571,8)*F571,2)</f>
        <v/>
      </c>
      <c r="L571" t="n">
        <v>1</v>
      </c>
      <c r="M571" t="n">
        <v>7.26</v>
      </c>
      <c r="N571">
        <f>(M571-F571)</f>
        <v/>
      </c>
    </row>
    <row r="572" ht="15" customHeight="1">
      <c r="A572" s="2" t="inlineStr"/>
      <c r="B572" s="2" t="inlineStr"/>
      <c r="C572" s="2" t="inlineStr"/>
      <c r="D572" s="2" t="inlineStr"/>
      <c r="E572" s="26" t="inlineStr">
        <is>
          <t>TOTAL Serviço:</t>
        </is>
      </c>
      <c r="F572" s="56" t="n"/>
      <c r="G572" s="65">
        <f>SUM(G571:G571)</f>
        <v/>
      </c>
    </row>
    <row r="573" ht="15" customHeight="1">
      <c r="A573" s="2" t="inlineStr"/>
      <c r="B573" s="2" t="inlineStr"/>
      <c r="C573" s="2" t="inlineStr"/>
      <c r="D573" s="2" t="inlineStr"/>
      <c r="E573" s="28" t="inlineStr">
        <is>
          <t>VALOR:</t>
        </is>
      </c>
      <c r="F573" s="56" t="n"/>
      <c r="G573" s="66">
        <f>SUM(G569,G572,G565)</f>
        <v/>
      </c>
    </row>
    <row r="574" ht="15" customHeight="1">
      <c r="A574" s="2" t="inlineStr"/>
      <c r="B574" s="2" t="inlineStr"/>
      <c r="C574" s="2" t="inlineStr"/>
      <c r="D574" s="2" t="inlineStr"/>
      <c r="E574" s="28" t="inlineStr">
        <is>
          <t>VALOR BDI (23.08%):</t>
        </is>
      </c>
      <c r="F574" s="56" t="n"/>
      <c r="G574" s="66">
        <f>ROUNDDOWN(G573*BDI,2)</f>
        <v/>
      </c>
    </row>
    <row r="575" ht="15" customHeight="1">
      <c r="A575" s="2" t="inlineStr"/>
      <c r="B575" s="2" t="inlineStr"/>
      <c r="C575" s="2" t="inlineStr"/>
      <c r="D575" s="2" t="inlineStr"/>
      <c r="E575" s="28" t="inlineStr">
        <is>
          <t>VALOR COM BDI:</t>
        </is>
      </c>
      <c r="F575" s="56" t="n"/>
      <c r="G575" s="66">
        <f>G574 + G573</f>
        <v/>
      </c>
    </row>
    <row r="576" ht="10" customHeight="1">
      <c r="A576" s="2" t="inlineStr"/>
      <c r="B576" s="2" t="inlineStr"/>
      <c r="C576" s="2" t="inlineStr"/>
      <c r="D576" s="2" t="inlineStr"/>
      <c r="E576" s="18" t="inlineStr"/>
    </row>
    <row r="577" ht="20" customHeight="1">
      <c r="A577" s="19" t="inlineStr">
        <is>
          <t>3.2.1.6. ​104921​ ARMAÇÃO DE BLOCO, SAPATA ISOLADA, VIGA BALDRAME E SAPATA CORRIDA UTILIZANDO AÇO CA-50 DE 16 MM - MONTAGEM. AF_01/2024​ (KG)</t>
        </is>
      </c>
      <c r="B577" s="55" t="n"/>
      <c r="C577" s="55" t="n"/>
      <c r="D577" s="55" t="n"/>
      <c r="E577" s="55" t="n"/>
      <c r="F577" s="55" t="n"/>
      <c r="G577" s="56" t="n"/>
    </row>
    <row r="578" ht="15" customHeight="1">
      <c r="A578" s="20" t="inlineStr">
        <is>
          <t>Material</t>
        </is>
      </c>
      <c r="B578" s="56" t="n"/>
      <c r="C578" s="21" t="inlineStr">
        <is>
          <t>FONTE</t>
        </is>
      </c>
      <c r="D578" s="21" t="inlineStr">
        <is>
          <t>UNID</t>
        </is>
      </c>
      <c r="E578" s="21" t="inlineStr">
        <is>
          <t>COEFICIENTE</t>
        </is>
      </c>
      <c r="F578" s="21" t="inlineStr">
        <is>
          <t>PREÇO UNITÁRIO</t>
        </is>
      </c>
      <c r="G578" s="21" t="inlineStr">
        <is>
          <t>TOTAL</t>
        </is>
      </c>
    </row>
    <row r="579" ht="21" customHeight="1">
      <c r="A579" s="22" t="inlineStr">
        <is>
          <t>00043132</t>
        </is>
      </c>
      <c r="B579" s="23" t="inlineStr">
        <is>
          <t>ARAME RECOZIDO 16 BWG, D = 1,65 MM (0,016 KG/M) OU 18 BWG, D = 1,25 MM (0,01 KG/M)</t>
        </is>
      </c>
      <c r="C579" s="22" t="inlineStr">
        <is>
          <t>SINAPI</t>
        </is>
      </c>
      <c r="D579" s="22" t="inlineStr">
        <is>
          <t>KG</t>
        </is>
      </c>
      <c r="E579" s="63" t="n">
        <v>0.025</v>
      </c>
      <c r="F579" s="64">
        <f>ROUND(M579*FATOR, 2)</f>
        <v/>
      </c>
      <c r="G579" s="64">
        <f>TRUNC(TRUNC(E579,8)*F579,2)</f>
        <v/>
      </c>
      <c r="L579" t="n">
        <v>0.025</v>
      </c>
      <c r="M579" t="n">
        <v>15.67</v>
      </c>
      <c r="N579">
        <f>(M579-F579)</f>
        <v/>
      </c>
    </row>
    <row r="580" ht="29" customHeight="1">
      <c r="A580" s="22" t="inlineStr">
        <is>
          <t>00039017</t>
        </is>
      </c>
      <c r="B580" s="23" t="inlineStr">
        <is>
          <t>ESPACADOR / DISTANCIADOR CIRCULAR COM ENTRADA LATERAL, EM PLASTICO, PARA VERGALHAO *4,2 A 12,5* MM, COBRIMENTO 20 MM</t>
        </is>
      </c>
      <c r="C580" s="22" t="inlineStr">
        <is>
          <t>SINAPI</t>
        </is>
      </c>
      <c r="D580" s="22" t="inlineStr">
        <is>
          <t>UN</t>
        </is>
      </c>
      <c r="E580" s="63" t="n">
        <v>0.245</v>
      </c>
      <c r="F580" s="64">
        <f>ROUND(M580*FATOR, 2)</f>
        <v/>
      </c>
      <c r="G580" s="64">
        <f>TRUNC(TRUNC(E580,8)*F580,2)</f>
        <v/>
      </c>
      <c r="L580" t="n">
        <v>0.245</v>
      </c>
      <c r="M580" t="n">
        <v>0.22</v>
      </c>
      <c r="N580">
        <f>(M580-F580)</f>
        <v/>
      </c>
    </row>
    <row r="581" ht="15" customHeight="1">
      <c r="A581" s="2" t="inlineStr"/>
      <c r="B581" s="2" t="inlineStr"/>
      <c r="C581" s="2" t="inlineStr"/>
      <c r="D581" s="2" t="inlineStr"/>
      <c r="E581" s="26" t="inlineStr">
        <is>
          <t>TOTAL Material:</t>
        </is>
      </c>
      <c r="F581" s="56" t="n"/>
      <c r="G581" s="65">
        <f>SUM(G579:G580)</f>
        <v/>
      </c>
    </row>
    <row r="582" ht="15" customHeight="1">
      <c r="A582" s="20" t="inlineStr">
        <is>
          <t>Mão de Obra com Encargos Complementares</t>
        </is>
      </c>
      <c r="B582" s="56" t="n"/>
      <c r="C582" s="21" t="inlineStr">
        <is>
          <t>FONTE</t>
        </is>
      </c>
      <c r="D582" s="21" t="inlineStr">
        <is>
          <t>UNID</t>
        </is>
      </c>
      <c r="E582" s="21" t="inlineStr">
        <is>
          <t>COEFICIENTE</t>
        </is>
      </c>
      <c r="F582" s="21" t="inlineStr">
        <is>
          <t>PREÇO UNITÁRIO</t>
        </is>
      </c>
      <c r="G582" s="21" t="inlineStr">
        <is>
          <t>TOTAL</t>
        </is>
      </c>
    </row>
    <row r="583" ht="21" customHeight="1">
      <c r="A583" s="22" t="inlineStr">
        <is>
          <t>88238</t>
        </is>
      </c>
      <c r="B583" s="23" t="inlineStr">
        <is>
          <t>AJUDANTE DE ARMADOR COM ENCARGOS COMPLEMENTARES</t>
        </is>
      </c>
      <c r="C583" s="22" t="inlineStr">
        <is>
          <t>SINAPI</t>
        </is>
      </c>
      <c r="D583" s="22" t="inlineStr">
        <is>
          <t>H</t>
        </is>
      </c>
      <c r="E583" s="63">
        <f>L583*FATOR</f>
        <v/>
      </c>
      <c r="F583" s="64">
        <f>'COMPOSICOES AUXILIARES'!G26</f>
        <v/>
      </c>
      <c r="G583" s="64">
        <f>TRUNC(TRUNC(E583,8)*F583,2)</f>
        <v/>
      </c>
      <c r="L583" t="n">
        <v>0.019</v>
      </c>
      <c r="M583" t="n">
        <v>24.77</v>
      </c>
      <c r="N583">
        <f>(M583-F583)</f>
        <v/>
      </c>
    </row>
    <row r="584" ht="15" customHeight="1">
      <c r="A584" s="22" t="inlineStr">
        <is>
          <t>88245</t>
        </is>
      </c>
      <c r="B584" s="23" t="inlineStr">
        <is>
          <t>ARMADOR COM ENCARGOS COMPLEMENTARES</t>
        </is>
      </c>
      <c r="C584" s="22" t="inlineStr">
        <is>
          <t>SINAPI</t>
        </is>
      </c>
      <c r="D584" s="22" t="inlineStr">
        <is>
          <t>H</t>
        </is>
      </c>
      <c r="E584" s="63">
        <f>L584*FATOR</f>
        <v/>
      </c>
      <c r="F584" s="64">
        <f>'COMPOSICOES AUXILIARES'!G26</f>
        <v/>
      </c>
      <c r="G584" s="64">
        <f>TRUNC(TRUNC(E584,8)*F584,2)</f>
        <v/>
      </c>
      <c r="L584" t="n">
        <v>0.049</v>
      </c>
      <c r="M584" t="n">
        <v>30.43</v>
      </c>
      <c r="N584">
        <f>(M584-F584)</f>
        <v/>
      </c>
    </row>
    <row r="585" ht="18" customHeight="1">
      <c r="A585" s="2" t="inlineStr"/>
      <c r="B585" s="2" t="inlineStr"/>
      <c r="C585" s="2" t="inlineStr"/>
      <c r="D585" s="2" t="inlineStr"/>
      <c r="E585" s="26" t="inlineStr">
        <is>
          <t>TOTAL Mão de Obra com Encargos Complementares:</t>
        </is>
      </c>
      <c r="F585" s="56" t="n"/>
      <c r="G585" s="65">
        <f>SUM(G583:G584)</f>
        <v/>
      </c>
    </row>
    <row r="586" ht="15" customHeight="1">
      <c r="A586" s="20" t="inlineStr">
        <is>
          <t>Serviço</t>
        </is>
      </c>
      <c r="B586" s="56" t="n"/>
      <c r="C586" s="21" t="inlineStr">
        <is>
          <t>FONTE</t>
        </is>
      </c>
      <c r="D586" s="21" t="inlineStr">
        <is>
          <t>UNID</t>
        </is>
      </c>
      <c r="E586" s="21" t="inlineStr">
        <is>
          <t>COEFICIENTE</t>
        </is>
      </c>
      <c r="F586" s="21" t="inlineStr">
        <is>
          <t>PREÇO UNITÁRIO</t>
        </is>
      </c>
      <c r="G586" s="21" t="inlineStr">
        <is>
          <t>TOTAL</t>
        </is>
      </c>
    </row>
    <row r="587" ht="21" customHeight="1">
      <c r="A587" s="22" t="inlineStr">
        <is>
          <t>92805</t>
        </is>
      </c>
      <c r="B587" s="23" t="inlineStr">
        <is>
          <t>CORTE E DOBRA DE AÇO CA-50, DIÂMETRO DE 16,0 MM. AF_06/2022</t>
        </is>
      </c>
      <c r="C587" s="22" t="inlineStr">
        <is>
          <t>SINAPI</t>
        </is>
      </c>
      <c r="D587" s="22" t="inlineStr">
        <is>
          <t>KG</t>
        </is>
      </c>
      <c r="E587" s="63" t="n">
        <v>1</v>
      </c>
      <c r="F587" s="64">
        <f>'COMPOSICOES AUXILIARES'!G1416</f>
        <v/>
      </c>
      <c r="G587" s="64">
        <f>TRUNC(TRUNC(E587,8)*F587,2)</f>
        <v/>
      </c>
      <c r="L587" t="n">
        <v>1</v>
      </c>
      <c r="M587" t="n">
        <v>7.18</v>
      </c>
      <c r="N587">
        <f>(M587-F587)</f>
        <v/>
      </c>
    </row>
    <row r="588" ht="15" customHeight="1">
      <c r="A588" s="2" t="inlineStr"/>
      <c r="B588" s="2" t="inlineStr"/>
      <c r="C588" s="2" t="inlineStr"/>
      <c r="D588" s="2" t="inlineStr"/>
      <c r="E588" s="26" t="inlineStr">
        <is>
          <t>TOTAL Serviço:</t>
        </is>
      </c>
      <c r="F588" s="56" t="n"/>
      <c r="G588" s="65">
        <f>SUM(G587:G587)</f>
        <v/>
      </c>
    </row>
    <row r="589" ht="15" customHeight="1">
      <c r="A589" s="2" t="inlineStr"/>
      <c r="B589" s="2" t="inlineStr"/>
      <c r="C589" s="2" t="inlineStr"/>
      <c r="D589" s="2" t="inlineStr"/>
      <c r="E589" s="28" t="inlineStr">
        <is>
          <t>VALOR:</t>
        </is>
      </c>
      <c r="F589" s="56" t="n"/>
      <c r="G589" s="66">
        <f>SUM(G585,G588,G581)</f>
        <v/>
      </c>
    </row>
    <row r="590" ht="15" customHeight="1">
      <c r="A590" s="2" t="inlineStr"/>
      <c r="B590" s="2" t="inlineStr"/>
      <c r="C590" s="2" t="inlineStr"/>
      <c r="D590" s="2" t="inlineStr"/>
      <c r="E590" s="28" t="inlineStr">
        <is>
          <t>VALOR BDI (23.08%):</t>
        </is>
      </c>
      <c r="F590" s="56" t="n"/>
      <c r="G590" s="66">
        <f>ROUNDDOWN(G589*BDI,2)</f>
        <v/>
      </c>
    </row>
    <row r="591" ht="15" customHeight="1">
      <c r="A591" s="2" t="inlineStr"/>
      <c r="B591" s="2" t="inlineStr"/>
      <c r="C591" s="2" t="inlineStr"/>
      <c r="D591" s="2" t="inlineStr"/>
      <c r="E591" s="28" t="inlineStr">
        <is>
          <t>VALOR COM BDI:</t>
        </is>
      </c>
      <c r="F591" s="56" t="n"/>
      <c r="G591" s="66">
        <f>G590 + G589</f>
        <v/>
      </c>
    </row>
    <row r="592" ht="10" customHeight="1">
      <c r="A592" s="2" t="inlineStr"/>
      <c r="B592" s="2" t="inlineStr"/>
      <c r="C592" s="2" t="inlineStr"/>
      <c r="D592" s="2" t="inlineStr"/>
      <c r="E592" s="18" t="inlineStr"/>
    </row>
    <row r="593" ht="20" customHeight="1">
      <c r="A593" s="19" t="inlineStr">
        <is>
          <t>3.2.1.7. ​104922​ ARMAÇÃO DE BLOCO, SAPATA ISOLADA E SAPATA CORRIDA UTILIZANDO AÇO CA-50DE 20 MM - MONTAGEM. AF_01/2024​ (KG)</t>
        </is>
      </c>
      <c r="B593" s="55" t="n"/>
      <c r="C593" s="55" t="n"/>
      <c r="D593" s="55" t="n"/>
      <c r="E593" s="55" t="n"/>
      <c r="F593" s="55" t="n"/>
      <c r="G593" s="56" t="n"/>
    </row>
    <row r="594" ht="15" customHeight="1">
      <c r="A594" s="20" t="inlineStr">
        <is>
          <t>Material</t>
        </is>
      </c>
      <c r="B594" s="56" t="n"/>
      <c r="C594" s="21" t="inlineStr">
        <is>
          <t>FONTE</t>
        </is>
      </c>
      <c r="D594" s="21" t="inlineStr">
        <is>
          <t>UNID</t>
        </is>
      </c>
      <c r="E594" s="21" t="inlineStr">
        <is>
          <t>COEFICIENTE</t>
        </is>
      </c>
      <c r="F594" s="21" t="inlineStr">
        <is>
          <t>PREÇO UNITÁRIO</t>
        </is>
      </c>
      <c r="G594" s="21" t="inlineStr">
        <is>
          <t>TOTAL</t>
        </is>
      </c>
    </row>
    <row r="595" ht="21" customHeight="1">
      <c r="A595" s="22" t="inlineStr">
        <is>
          <t>00043132</t>
        </is>
      </c>
      <c r="B595" s="23" t="inlineStr">
        <is>
          <t>ARAME RECOZIDO 16 BWG, D = 1,65 MM (0,016 KG/M) OU 18 BWG, D = 1,25 MM (0,01 KG/M)</t>
        </is>
      </c>
      <c r="C595" s="22" t="inlineStr">
        <is>
          <t>SINAPI</t>
        </is>
      </c>
      <c r="D595" s="22" t="inlineStr">
        <is>
          <t>KG</t>
        </is>
      </c>
      <c r="E595" s="63" t="n">
        <v>0.025</v>
      </c>
      <c r="F595" s="64">
        <f>ROUND(M595*FATOR, 2)</f>
        <v/>
      </c>
      <c r="G595" s="64">
        <f>TRUNC(TRUNC(E595,8)*F595,2)</f>
        <v/>
      </c>
      <c r="L595" t="n">
        <v>0.025</v>
      </c>
      <c r="M595" t="n">
        <v>15.67</v>
      </c>
      <c r="N595">
        <f>(M595-F595)</f>
        <v/>
      </c>
    </row>
    <row r="596" ht="29" customHeight="1">
      <c r="A596" s="22" t="inlineStr">
        <is>
          <t>00039017</t>
        </is>
      </c>
      <c r="B596" s="23" t="inlineStr">
        <is>
          <t>ESPACADOR / DISTANCIADOR CIRCULAR COM ENTRADA LATERAL, EM PLASTICO, PARA VERGALHAO *4,2 A 12,5* MM, COBRIMENTO 20 MM</t>
        </is>
      </c>
      <c r="C596" s="22" t="inlineStr">
        <is>
          <t>SINAPI</t>
        </is>
      </c>
      <c r="D596" s="22" t="inlineStr">
        <is>
          <t>UN</t>
        </is>
      </c>
      <c r="E596" s="63" t="n">
        <v>0.195</v>
      </c>
      <c r="F596" s="64">
        <f>ROUND(M596*FATOR, 2)</f>
        <v/>
      </c>
      <c r="G596" s="64">
        <f>TRUNC(TRUNC(E596,8)*F596,2)</f>
        <v/>
      </c>
      <c r="L596" t="n">
        <v>0.195</v>
      </c>
      <c r="M596" t="n">
        <v>0.22</v>
      </c>
      <c r="N596">
        <f>(M596-F596)</f>
        <v/>
      </c>
    </row>
    <row r="597" ht="15" customHeight="1">
      <c r="A597" s="2" t="inlineStr"/>
      <c r="B597" s="2" t="inlineStr"/>
      <c r="C597" s="2" t="inlineStr"/>
      <c r="D597" s="2" t="inlineStr"/>
      <c r="E597" s="26" t="inlineStr">
        <is>
          <t>TOTAL Material:</t>
        </is>
      </c>
      <c r="F597" s="56" t="n"/>
      <c r="G597" s="65">
        <f>SUM(G595:G596)</f>
        <v/>
      </c>
    </row>
    <row r="598" ht="15" customHeight="1">
      <c r="A598" s="20" t="inlineStr">
        <is>
          <t>Mão de Obra com Encargos Complementares</t>
        </is>
      </c>
      <c r="B598" s="56" t="n"/>
      <c r="C598" s="21" t="inlineStr">
        <is>
          <t>FONTE</t>
        </is>
      </c>
      <c r="D598" s="21" t="inlineStr">
        <is>
          <t>UNID</t>
        </is>
      </c>
      <c r="E598" s="21" t="inlineStr">
        <is>
          <t>COEFICIENTE</t>
        </is>
      </c>
      <c r="F598" s="21" t="inlineStr">
        <is>
          <t>PREÇO UNITÁRIO</t>
        </is>
      </c>
      <c r="G598" s="21" t="inlineStr">
        <is>
          <t>TOTAL</t>
        </is>
      </c>
    </row>
    <row r="599" ht="21" customHeight="1">
      <c r="A599" s="22" t="inlineStr">
        <is>
          <t>88238</t>
        </is>
      </c>
      <c r="B599" s="23" t="inlineStr">
        <is>
          <t>AJUDANTE DE ARMADOR COM ENCARGOS COMPLEMENTARES</t>
        </is>
      </c>
      <c r="C599" s="22" t="inlineStr">
        <is>
          <t>SINAPI</t>
        </is>
      </c>
      <c r="D599" s="22" t="inlineStr">
        <is>
          <t>H</t>
        </is>
      </c>
      <c r="E599" s="63">
        <f>L599*FATOR</f>
        <v/>
      </c>
      <c r="F599" s="64">
        <f>'COMPOSICOES AUXILIARES'!G26</f>
        <v/>
      </c>
      <c r="G599" s="64">
        <f>TRUNC(TRUNC(E599,8)*F599,2)</f>
        <v/>
      </c>
      <c r="L599" t="n">
        <v>0.015</v>
      </c>
      <c r="M599" t="n">
        <v>24.77</v>
      </c>
      <c r="N599">
        <f>(M599-F599)</f>
        <v/>
      </c>
    </row>
    <row r="600" ht="15" customHeight="1">
      <c r="A600" s="22" t="inlineStr">
        <is>
          <t>88245</t>
        </is>
      </c>
      <c r="B600" s="23" t="inlineStr">
        <is>
          <t>ARMADOR COM ENCARGOS COMPLEMENTARES</t>
        </is>
      </c>
      <c r="C600" s="22" t="inlineStr">
        <is>
          <t>SINAPI</t>
        </is>
      </c>
      <c r="D600" s="22" t="inlineStr">
        <is>
          <t>H</t>
        </is>
      </c>
      <c r="E600" s="63">
        <f>L600*FATOR</f>
        <v/>
      </c>
      <c r="F600" s="64">
        <f>'COMPOSICOES AUXILIARES'!G26</f>
        <v/>
      </c>
      <c r="G600" s="64">
        <f>TRUNC(TRUNC(E600,8)*F600,2)</f>
        <v/>
      </c>
      <c r="L600" t="n">
        <v>0.039</v>
      </c>
      <c r="M600" t="n">
        <v>30.43</v>
      </c>
      <c r="N600">
        <f>(M600-F600)</f>
        <v/>
      </c>
    </row>
    <row r="601" ht="18" customHeight="1">
      <c r="A601" s="2" t="inlineStr"/>
      <c r="B601" s="2" t="inlineStr"/>
      <c r="C601" s="2" t="inlineStr"/>
      <c r="D601" s="2" t="inlineStr"/>
      <c r="E601" s="26" t="inlineStr">
        <is>
          <t>TOTAL Mão de Obra com Encargos Complementares:</t>
        </is>
      </c>
      <c r="F601" s="56" t="n"/>
      <c r="G601" s="65">
        <f>SUM(G599:G600)</f>
        <v/>
      </c>
    </row>
    <row r="602" ht="15" customHeight="1">
      <c r="A602" s="20" t="inlineStr">
        <is>
          <t>Serviço</t>
        </is>
      </c>
      <c r="B602" s="56" t="n"/>
      <c r="C602" s="21" t="inlineStr">
        <is>
          <t>FONTE</t>
        </is>
      </c>
      <c r="D602" s="21" t="inlineStr">
        <is>
          <t>UNID</t>
        </is>
      </c>
      <c r="E602" s="21" t="inlineStr">
        <is>
          <t>COEFICIENTE</t>
        </is>
      </c>
      <c r="F602" s="21" t="inlineStr">
        <is>
          <t>PREÇO UNITÁRIO</t>
        </is>
      </c>
      <c r="G602" s="21" t="inlineStr">
        <is>
          <t>TOTAL</t>
        </is>
      </c>
    </row>
    <row r="603" ht="21" customHeight="1">
      <c r="A603" s="22" t="inlineStr">
        <is>
          <t>92806</t>
        </is>
      </c>
      <c r="B603" s="23" t="inlineStr">
        <is>
          <t>CORTE E DOBRA DE AÇO CA-50, DIÂMETRO DE 20,0 MM. AF_06/2022</t>
        </is>
      </c>
      <c r="C603" s="22" t="inlineStr">
        <is>
          <t>SINAPI</t>
        </is>
      </c>
      <c r="D603" s="22" t="inlineStr">
        <is>
          <t>KG</t>
        </is>
      </c>
      <c r="E603" s="63" t="n">
        <v>1</v>
      </c>
      <c r="F603" s="64">
        <f>'COMPOSICOES AUXILIARES'!G1427</f>
        <v/>
      </c>
      <c r="G603" s="64">
        <f>TRUNC(TRUNC(E603,8)*F603,2)</f>
        <v/>
      </c>
      <c r="L603" t="n">
        <v>1</v>
      </c>
      <c r="M603" t="n">
        <v>8.449999999999999</v>
      </c>
      <c r="N603">
        <f>(M603-F603)</f>
        <v/>
      </c>
    </row>
    <row r="604" ht="15" customHeight="1">
      <c r="A604" s="2" t="inlineStr"/>
      <c r="B604" s="2" t="inlineStr"/>
      <c r="C604" s="2" t="inlineStr"/>
      <c r="D604" s="2" t="inlineStr"/>
      <c r="E604" s="26" t="inlineStr">
        <is>
          <t>TOTAL Serviço:</t>
        </is>
      </c>
      <c r="F604" s="56" t="n"/>
      <c r="G604" s="65">
        <f>SUM(G603:G603)</f>
        <v/>
      </c>
    </row>
    <row r="605" ht="15" customHeight="1">
      <c r="A605" s="2" t="inlineStr"/>
      <c r="B605" s="2" t="inlineStr"/>
      <c r="C605" s="2" t="inlineStr"/>
      <c r="D605" s="2" t="inlineStr"/>
      <c r="E605" s="28" t="inlineStr">
        <is>
          <t>VALOR:</t>
        </is>
      </c>
      <c r="F605" s="56" t="n"/>
      <c r="G605" s="66">
        <f>SUM(G601,G604,G597)</f>
        <v/>
      </c>
    </row>
    <row r="606" ht="15" customHeight="1">
      <c r="A606" s="2" t="inlineStr"/>
      <c r="B606" s="2" t="inlineStr"/>
      <c r="C606" s="2" t="inlineStr"/>
      <c r="D606" s="2" t="inlineStr"/>
      <c r="E606" s="28" t="inlineStr">
        <is>
          <t>VALOR BDI (23.08%):</t>
        </is>
      </c>
      <c r="F606" s="56" t="n"/>
      <c r="G606" s="66">
        <f>ROUNDDOWN(G605*BDI,2)</f>
        <v/>
      </c>
    </row>
    <row r="607" ht="15" customHeight="1">
      <c r="A607" s="2" t="inlineStr"/>
      <c r="B607" s="2" t="inlineStr"/>
      <c r="C607" s="2" t="inlineStr"/>
      <c r="D607" s="2" t="inlineStr"/>
      <c r="E607" s="28" t="inlineStr">
        <is>
          <t>VALOR COM BDI:</t>
        </is>
      </c>
      <c r="F607" s="56" t="n"/>
      <c r="G607" s="66">
        <f>G606 + G605</f>
        <v/>
      </c>
    </row>
    <row r="608" ht="10" customHeight="1">
      <c r="A608" s="2" t="inlineStr"/>
      <c r="B608" s="2" t="inlineStr"/>
      <c r="C608" s="2" t="inlineStr"/>
      <c r="D608" s="2" t="inlineStr"/>
      <c r="E608" s="18" t="inlineStr"/>
    </row>
    <row r="609" ht="20" customHeight="1">
      <c r="A609" s="19" t="inlineStr">
        <is>
          <t>3.3.1.1. ​96530​ FABRICAÇÃO, MONTAGEM E DESMONTAGEM DE FÔRMA PARA VIGA BALDRAME, EM MADEIRA SERRADA, E=25 MM, 1 UTILIZAÇÃO. AF_01/2024​ (M2)</t>
        </is>
      </c>
      <c r="B609" s="55" t="n"/>
      <c r="C609" s="55" t="n"/>
      <c r="D609" s="55" t="n"/>
      <c r="E609" s="55" t="n"/>
      <c r="F609" s="55" t="n"/>
      <c r="G609" s="56" t="n"/>
    </row>
    <row r="610" ht="15" customHeight="1">
      <c r="A610" s="20" t="inlineStr">
        <is>
          <t>Equipamento Custo Horário</t>
        </is>
      </c>
      <c r="B610" s="56" t="n"/>
      <c r="C610" s="21" t="inlineStr">
        <is>
          <t>FONTE</t>
        </is>
      </c>
      <c r="D610" s="21" t="inlineStr">
        <is>
          <t>UNID</t>
        </is>
      </c>
      <c r="E610" s="21" t="inlineStr">
        <is>
          <t>COEFICIENTE</t>
        </is>
      </c>
      <c r="F610" s="21" t="inlineStr">
        <is>
          <t>PREÇO UNITÁRIO</t>
        </is>
      </c>
      <c r="G610" s="21" t="inlineStr">
        <is>
          <t>TOTAL</t>
        </is>
      </c>
    </row>
    <row r="611" ht="29" customHeight="1">
      <c r="A611" s="22" t="inlineStr">
        <is>
          <t>91693</t>
        </is>
      </c>
      <c r="B611" s="23" t="inlineStr">
        <is>
          <t>SERRA CIRCULAR DE BANCADA COM MOTOR ELÉTRICO POTÊNCIA DE 5HP, COM COIFA PARA DISCO 10" - CHI DIURNO. AF_08/2015</t>
        </is>
      </c>
      <c r="C611" s="22" t="inlineStr">
        <is>
          <t>SINAPI</t>
        </is>
      </c>
      <c r="D611" s="22" t="inlineStr">
        <is>
          <t>CHI</t>
        </is>
      </c>
      <c r="E611" s="63" t="n">
        <v>0.198</v>
      </c>
      <c r="F611" s="64">
        <f>'COMPOSICOES AUXILIARES'!G3306</f>
        <v/>
      </c>
      <c r="G611" s="64">
        <f>TRUNC(TRUNC(E611,8)*F611,2)</f>
        <v/>
      </c>
      <c r="L611" t="n">
        <v>0.198</v>
      </c>
      <c r="M611" t="n">
        <v>35.72</v>
      </c>
      <c r="N611">
        <f>(M611-F611)</f>
        <v/>
      </c>
    </row>
    <row r="612" ht="29" customHeight="1">
      <c r="A612" s="22" t="inlineStr">
        <is>
          <t>91692</t>
        </is>
      </c>
      <c r="B612" s="23" t="inlineStr">
        <is>
          <t>SERRA CIRCULAR DE BANCADA COM MOTOR ELÉTRICO POTÊNCIA DE 5HP, COM COIFA PARA DISCO 10" - CHP DIURNO. AF_08/2015</t>
        </is>
      </c>
      <c r="C612" s="22" t="inlineStr">
        <is>
          <t>SINAPI</t>
        </is>
      </c>
      <c r="D612" s="22" t="inlineStr">
        <is>
          <t>CHP</t>
        </is>
      </c>
      <c r="E612" s="63" t="n">
        <v>0.049</v>
      </c>
      <c r="F612" s="64">
        <f>'COMPOSICOES AUXILIARES'!G3320</f>
        <v/>
      </c>
      <c r="G612" s="64">
        <f>TRUNC(TRUNC(E612,8)*F612,2)</f>
        <v/>
      </c>
      <c r="L612" t="n">
        <v>0.049</v>
      </c>
      <c r="M612" t="n">
        <v>37.16</v>
      </c>
      <c r="N612">
        <f>(M612-F612)</f>
        <v/>
      </c>
    </row>
    <row r="613" ht="18" customHeight="1">
      <c r="A613" s="2" t="inlineStr"/>
      <c r="B613" s="2" t="inlineStr"/>
      <c r="C613" s="2" t="inlineStr"/>
      <c r="D613" s="2" t="inlineStr"/>
      <c r="E613" s="26" t="inlineStr">
        <is>
          <t>TOTAL Equipamento Custo Horário:</t>
        </is>
      </c>
      <c r="F613" s="56" t="n"/>
      <c r="G613" s="65">
        <f>SUM(G611:G612)</f>
        <v/>
      </c>
    </row>
    <row r="614" ht="15" customHeight="1">
      <c r="A614" s="20" t="inlineStr">
        <is>
          <t>Material</t>
        </is>
      </c>
      <c r="B614" s="56" t="n"/>
      <c r="C614" s="21" t="inlineStr">
        <is>
          <t>FONTE</t>
        </is>
      </c>
      <c r="D614" s="21" t="inlineStr">
        <is>
          <t>UNID</t>
        </is>
      </c>
      <c r="E614" s="21" t="inlineStr">
        <is>
          <t>COEFICIENTE</t>
        </is>
      </c>
      <c r="F614" s="21" t="inlineStr">
        <is>
          <t>PREÇO UNITÁRIO</t>
        </is>
      </c>
      <c r="G614" s="21" t="inlineStr">
        <is>
          <t>TOTAL</t>
        </is>
      </c>
    </row>
    <row r="615" ht="21" customHeight="1">
      <c r="A615" s="22" t="inlineStr">
        <is>
          <t>00002692</t>
        </is>
      </c>
      <c r="B615" s="23" t="inlineStr">
        <is>
          <t>DESMOLDANTE PROTETOR PARA FORMAS DE MADEIRA, DE BASE OLEOSA EMULSIONADA EM AGUA</t>
        </is>
      </c>
      <c r="C615" s="22" t="inlineStr">
        <is>
          <t>SINAPI</t>
        </is>
      </c>
      <c r="D615" s="22" t="inlineStr">
        <is>
          <t>L</t>
        </is>
      </c>
      <c r="E615" s="63" t="n">
        <v>0.0167</v>
      </c>
      <c r="F615" s="64">
        <f>ROUND(M615*FATOR, 2)</f>
        <v/>
      </c>
      <c r="G615" s="64">
        <f>TRUNC(TRUNC(E615,8)*F615,2)</f>
        <v/>
      </c>
      <c r="L615" t="n">
        <v>0.0167</v>
      </c>
      <c r="M615" t="n">
        <v>8.06</v>
      </c>
      <c r="N615">
        <f>(M615-F615)</f>
        <v/>
      </c>
    </row>
    <row r="616" ht="21" customHeight="1">
      <c r="A616" s="22" t="inlineStr">
        <is>
          <t>00004491</t>
        </is>
      </c>
      <c r="B616" s="23" t="inlineStr">
        <is>
          <t>PONTALETE *7,5 X 7,5* CM EM PINUS, MISTA OU EQUIVALENTE DA REGIAO - BRUTA</t>
        </is>
      </c>
      <c r="C616" s="22" t="inlineStr">
        <is>
          <t>SINAPI</t>
        </is>
      </c>
      <c r="D616" s="22" t="inlineStr">
        <is>
          <t>M</t>
        </is>
      </c>
      <c r="E616" s="63" t="n">
        <v>2.244</v>
      </c>
      <c r="F616" s="64">
        <f>ROUND(M616*FATOR, 2)</f>
        <v/>
      </c>
      <c r="G616" s="64">
        <f>TRUNC(TRUNC(E616,8)*F616,2)</f>
        <v/>
      </c>
      <c r="L616" t="n">
        <v>2.244</v>
      </c>
      <c r="M616" t="n">
        <v>11.05</v>
      </c>
      <c r="N616">
        <f>(M616-F616)</f>
        <v/>
      </c>
    </row>
    <row r="617" ht="15" customHeight="1">
      <c r="A617" s="22" t="inlineStr">
        <is>
          <t>00005073</t>
        </is>
      </c>
      <c r="B617" s="23" t="inlineStr">
        <is>
          <t>PREGO DE ACO POLIDO COM CABECA 17 X 24 (2 1/4 X 11)</t>
        </is>
      </c>
      <c r="C617" s="22" t="inlineStr">
        <is>
          <t>SINAPI</t>
        </is>
      </c>
      <c r="D617" s="22" t="inlineStr">
        <is>
          <t>KG</t>
        </is>
      </c>
      <c r="E617" s="63" t="n">
        <v>0.095</v>
      </c>
      <c r="F617" s="64">
        <f>ROUND(M617*FATOR, 2)</f>
        <v/>
      </c>
      <c r="G617" s="64">
        <f>TRUNC(TRUNC(E617,8)*F617,2)</f>
        <v/>
      </c>
      <c r="L617" t="n">
        <v>0.095</v>
      </c>
      <c r="M617" t="n">
        <v>14.46</v>
      </c>
      <c r="N617">
        <f>(M617-F617)</f>
        <v/>
      </c>
    </row>
    <row r="618" ht="21" customHeight="1">
      <c r="A618" s="22" t="inlineStr">
        <is>
          <t>00040304</t>
        </is>
      </c>
      <c r="B618" s="23" t="inlineStr">
        <is>
          <t>PREGO DE ACO POLIDO COM CABECA DUPLA 17 X 27 (2 1/2 X 11)</t>
        </is>
      </c>
      <c r="C618" s="22" t="inlineStr">
        <is>
          <t>SINAPI</t>
        </is>
      </c>
      <c r="D618" s="22" t="inlineStr">
        <is>
          <t>KG</t>
        </is>
      </c>
      <c r="E618" s="63" t="n">
        <v>0.053</v>
      </c>
      <c r="F618" s="64">
        <f>ROUND(M618*FATOR, 2)</f>
        <v/>
      </c>
      <c r="G618" s="64">
        <f>TRUNC(TRUNC(E618,8)*F618,2)</f>
        <v/>
      </c>
      <c r="L618" t="n">
        <v>0.053</v>
      </c>
      <c r="M618" t="n">
        <v>17.51</v>
      </c>
      <c r="N618">
        <f>(M618-F618)</f>
        <v/>
      </c>
    </row>
    <row r="619" ht="21" customHeight="1">
      <c r="A619" s="22" t="inlineStr">
        <is>
          <t>00004517</t>
        </is>
      </c>
      <c r="B619" s="23" t="inlineStr">
        <is>
          <t>SARRAFO *2,5 X 7,5* CM EM PINUS, MISTA OU EQUIVALENTE DA REGIAO - BRUTA</t>
        </is>
      </c>
      <c r="C619" s="22" t="inlineStr">
        <is>
          <t>SINAPI</t>
        </is>
      </c>
      <c r="D619" s="22" t="inlineStr">
        <is>
          <t>M</t>
        </is>
      </c>
      <c r="E619" s="63" t="n">
        <v>2.027</v>
      </c>
      <c r="F619" s="64">
        <f>ROUND(M619*FATOR, 2)</f>
        <v/>
      </c>
      <c r="G619" s="64">
        <f>TRUNC(TRUNC(E619,8)*F619,2)</f>
        <v/>
      </c>
      <c r="L619" t="n">
        <v>2.027</v>
      </c>
      <c r="M619" t="n">
        <v>3.87</v>
      </c>
      <c r="N619">
        <f>(M619-F619)</f>
        <v/>
      </c>
    </row>
    <row r="620" ht="21" customHeight="1">
      <c r="A620" s="22" t="inlineStr">
        <is>
          <t>00006212</t>
        </is>
      </c>
      <c r="B620" s="23" t="inlineStr">
        <is>
          <t>TABUA *2,5 X 30 CM EM PINUS, MISTA OU EQUIVALENTE DA REGIAO - BRUTA</t>
        </is>
      </c>
      <c r="C620" s="22" t="inlineStr">
        <is>
          <t>SINAPI</t>
        </is>
      </c>
      <c r="D620" s="22" t="inlineStr">
        <is>
          <t>M</t>
        </is>
      </c>
      <c r="E620" s="63" t="n">
        <v>4.208</v>
      </c>
      <c r="F620" s="64">
        <f>ROUND(M620*FATOR, 2)</f>
        <v/>
      </c>
      <c r="G620" s="64">
        <f>TRUNC(TRUNC(E620,8)*F620,2)</f>
        <v/>
      </c>
      <c r="L620" t="n">
        <v>4.208</v>
      </c>
      <c r="M620" t="n">
        <v>18.33</v>
      </c>
      <c r="N620">
        <f>(M620-F620)</f>
        <v/>
      </c>
    </row>
    <row r="621" ht="15" customHeight="1">
      <c r="A621" s="2" t="inlineStr"/>
      <c r="B621" s="2" t="inlineStr"/>
      <c r="C621" s="2" t="inlineStr"/>
      <c r="D621" s="2" t="inlineStr"/>
      <c r="E621" s="26" t="inlineStr">
        <is>
          <t>TOTAL Material:</t>
        </is>
      </c>
      <c r="F621" s="56" t="n"/>
      <c r="G621" s="65">
        <f>SUM(G615:G620)</f>
        <v/>
      </c>
    </row>
    <row r="622" ht="15" customHeight="1">
      <c r="A622" s="20" t="inlineStr">
        <is>
          <t>Mão de Obra com Encargos Complementares</t>
        </is>
      </c>
      <c r="B622" s="56" t="n"/>
      <c r="C622" s="21" t="inlineStr">
        <is>
          <t>FONTE</t>
        </is>
      </c>
      <c r="D622" s="21" t="inlineStr">
        <is>
          <t>UNID</t>
        </is>
      </c>
      <c r="E622" s="21" t="inlineStr">
        <is>
          <t>COEFICIENTE</t>
        </is>
      </c>
      <c r="F622" s="21" t="inlineStr">
        <is>
          <t>PREÇO UNITÁRIO</t>
        </is>
      </c>
      <c r="G622" s="21" t="inlineStr">
        <is>
          <t>TOTAL</t>
        </is>
      </c>
    </row>
    <row r="623" ht="21" customHeight="1">
      <c r="A623" s="22" t="inlineStr">
        <is>
          <t>88239</t>
        </is>
      </c>
      <c r="B623" s="23" t="inlineStr">
        <is>
          <t>AJUDANTE DE CARPINTEIRO COM ENCARGOS COMPLEMENTARES</t>
        </is>
      </c>
      <c r="C623" s="22" t="inlineStr">
        <is>
          <t>SINAPI</t>
        </is>
      </c>
      <c r="D623" s="22" t="inlineStr">
        <is>
          <t>H</t>
        </is>
      </c>
      <c r="E623" s="63">
        <f>L623*FATOR</f>
        <v/>
      </c>
      <c r="F623" s="64">
        <f>'COMPOSICOES AUXILIARES'!G68</f>
        <v/>
      </c>
      <c r="G623" s="64">
        <f>TRUNC(TRUNC(E623,8)*F623,2)</f>
        <v/>
      </c>
      <c r="L623" t="n">
        <v>0.552</v>
      </c>
      <c r="M623" t="n">
        <v>24.61</v>
      </c>
      <c r="N623">
        <f>(M623-F623)</f>
        <v/>
      </c>
    </row>
    <row r="624" ht="21" customHeight="1">
      <c r="A624" s="22" t="inlineStr">
        <is>
          <t>88262</t>
        </is>
      </c>
      <c r="B624" s="23" t="inlineStr">
        <is>
          <t>CARPINTEIRO DE FORMAS COM ENCARGOS COMPLEMENTARES</t>
        </is>
      </c>
      <c r="C624" s="22" t="inlineStr">
        <is>
          <t>SINAPI</t>
        </is>
      </c>
      <c r="D624" s="22" t="inlineStr">
        <is>
          <t>H</t>
        </is>
      </c>
      <c r="E624" s="63">
        <f>L624*FATOR</f>
        <v/>
      </c>
      <c r="F624" s="64">
        <f>'COMPOSICOES AUXILIARES'!G943</f>
        <v/>
      </c>
      <c r="G624" s="64">
        <f>TRUNC(TRUNC(E624,8)*F624,2)</f>
        <v/>
      </c>
      <c r="L624" t="n">
        <v>1.355</v>
      </c>
      <c r="M624" t="n">
        <v>30.15</v>
      </c>
      <c r="N624">
        <f>(M624-F624)</f>
        <v/>
      </c>
    </row>
    <row r="625" ht="18" customHeight="1">
      <c r="A625" s="2" t="inlineStr"/>
      <c r="B625" s="2" t="inlineStr"/>
      <c r="C625" s="2" t="inlineStr"/>
      <c r="D625" s="2" t="inlineStr"/>
      <c r="E625" s="26" t="inlineStr">
        <is>
          <t>TOTAL Mão de Obra com Encargos Complementares:</t>
        </is>
      </c>
      <c r="F625" s="56" t="n"/>
      <c r="G625" s="65">
        <f>SUM(G623:G624)</f>
        <v/>
      </c>
    </row>
    <row r="626" ht="15" customHeight="1">
      <c r="A626" s="2" t="inlineStr"/>
      <c r="B626" s="2" t="inlineStr"/>
      <c r="C626" s="2" t="inlineStr"/>
      <c r="D626" s="2" t="inlineStr"/>
      <c r="E626" s="28" t="inlineStr">
        <is>
          <t>VALOR:</t>
        </is>
      </c>
      <c r="F626" s="56" t="n"/>
      <c r="G626" s="66">
        <f>SUM(G625,G613,G621)</f>
        <v/>
      </c>
    </row>
    <row r="627" ht="15" customHeight="1">
      <c r="A627" s="2" t="inlineStr"/>
      <c r="B627" s="2" t="inlineStr"/>
      <c r="C627" s="2" t="inlineStr"/>
      <c r="D627" s="2" t="inlineStr"/>
      <c r="E627" s="28" t="inlineStr">
        <is>
          <t>VALOR BDI (23.08%):</t>
        </is>
      </c>
      <c r="F627" s="56" t="n"/>
      <c r="G627" s="66">
        <f>ROUNDDOWN(G626*BDI,2)</f>
        <v/>
      </c>
    </row>
    <row r="628" ht="15" customHeight="1">
      <c r="A628" s="2" t="inlineStr"/>
      <c r="B628" s="2" t="inlineStr"/>
      <c r="C628" s="2" t="inlineStr"/>
      <c r="D628" s="2" t="inlineStr"/>
      <c r="E628" s="28" t="inlineStr">
        <is>
          <t>VALOR COM BDI:</t>
        </is>
      </c>
      <c r="F628" s="56" t="n"/>
      <c r="G628" s="66">
        <f>G627 + G626</f>
        <v/>
      </c>
    </row>
    <row r="629" ht="10" customHeight="1">
      <c r="A629" s="2" t="inlineStr"/>
      <c r="B629" s="2" t="inlineStr"/>
      <c r="C629" s="2" t="inlineStr"/>
      <c r="D629" s="2" t="inlineStr"/>
      <c r="E629" s="18" t="inlineStr"/>
    </row>
    <row r="630" ht="20" customHeight="1">
      <c r="A630" s="19" t="inlineStr">
        <is>
          <t>3.3.1.2. ​96529​ FABRICAÇÃO, MONTAGEM E DESMONTAGEM DE FÔRMA PARA SAPATA, EM MADEIRA SERRADA, E=25 MM, 1 UTILIZAÇÃO. AF_01/2024​ (M2)</t>
        </is>
      </c>
      <c r="B630" s="55" t="n"/>
      <c r="C630" s="55" t="n"/>
      <c r="D630" s="55" t="n"/>
      <c r="E630" s="55" t="n"/>
      <c r="F630" s="55" t="n"/>
      <c r="G630" s="56" t="n"/>
    </row>
    <row r="631" ht="15" customHeight="1">
      <c r="A631" s="20" t="inlineStr">
        <is>
          <t>Equipamento Custo Horário</t>
        </is>
      </c>
      <c r="B631" s="56" t="n"/>
      <c r="C631" s="21" t="inlineStr">
        <is>
          <t>FONTE</t>
        </is>
      </c>
      <c r="D631" s="21" t="inlineStr">
        <is>
          <t>UNID</t>
        </is>
      </c>
      <c r="E631" s="21" t="inlineStr">
        <is>
          <t>COEFICIENTE</t>
        </is>
      </c>
      <c r="F631" s="21" t="inlineStr">
        <is>
          <t>PREÇO UNITÁRIO</t>
        </is>
      </c>
      <c r="G631" s="21" t="inlineStr">
        <is>
          <t>TOTAL</t>
        </is>
      </c>
    </row>
    <row r="632" ht="29" customHeight="1">
      <c r="A632" s="22" t="inlineStr">
        <is>
          <t>91693</t>
        </is>
      </c>
      <c r="B632" s="23" t="inlineStr">
        <is>
          <t>SERRA CIRCULAR DE BANCADA COM MOTOR ELÉTRICO POTÊNCIA DE 5HP, COM COIFA PARA DISCO 10" - CHI DIURNO. AF_08/2015</t>
        </is>
      </c>
      <c r="C632" s="22" t="inlineStr">
        <is>
          <t>SINAPI</t>
        </is>
      </c>
      <c r="D632" s="22" t="inlineStr">
        <is>
          <t>CHI</t>
        </is>
      </c>
      <c r="E632" s="63" t="n">
        <v>1.045</v>
      </c>
      <c r="F632" s="64">
        <f>'COMPOSICOES AUXILIARES'!G3306</f>
        <v/>
      </c>
      <c r="G632" s="64">
        <f>TRUNC(TRUNC(E632,8)*F632,2)</f>
        <v/>
      </c>
      <c r="L632" t="n">
        <v>1.045</v>
      </c>
      <c r="M632" t="n">
        <v>35.72</v>
      </c>
      <c r="N632">
        <f>(M632-F632)</f>
        <v/>
      </c>
    </row>
    <row r="633" ht="29" customHeight="1">
      <c r="A633" s="22" t="inlineStr">
        <is>
          <t>91692</t>
        </is>
      </c>
      <c r="B633" s="23" t="inlineStr">
        <is>
          <t>SERRA CIRCULAR DE BANCADA COM MOTOR ELÉTRICO POTÊNCIA DE 5HP, COM COIFA PARA DISCO 10" - CHP DIURNO. AF_08/2015</t>
        </is>
      </c>
      <c r="C633" s="22" t="inlineStr">
        <is>
          <t>SINAPI</t>
        </is>
      </c>
      <c r="D633" s="22" t="inlineStr">
        <is>
          <t>CHP</t>
        </is>
      </c>
      <c r="E633" s="63" t="n">
        <v>0.26</v>
      </c>
      <c r="F633" s="64">
        <f>'COMPOSICOES AUXILIARES'!G3320</f>
        <v/>
      </c>
      <c r="G633" s="64">
        <f>TRUNC(TRUNC(E633,8)*F633,2)</f>
        <v/>
      </c>
      <c r="L633" t="n">
        <v>0.26</v>
      </c>
      <c r="M633" t="n">
        <v>37.16</v>
      </c>
      <c r="N633">
        <f>(M633-F633)</f>
        <v/>
      </c>
    </row>
    <row r="634" ht="18" customHeight="1">
      <c r="A634" s="2" t="inlineStr"/>
      <c r="B634" s="2" t="inlineStr"/>
      <c r="C634" s="2" t="inlineStr"/>
      <c r="D634" s="2" t="inlineStr"/>
      <c r="E634" s="26" t="inlineStr">
        <is>
          <t>TOTAL Equipamento Custo Horário:</t>
        </is>
      </c>
      <c r="F634" s="56" t="n"/>
      <c r="G634" s="65">
        <f>SUM(G632:G633)</f>
        <v/>
      </c>
    </row>
    <row r="635" ht="15" customHeight="1">
      <c r="A635" s="20" t="inlineStr">
        <is>
          <t>Material</t>
        </is>
      </c>
      <c r="B635" s="56" t="n"/>
      <c r="C635" s="21" t="inlineStr">
        <is>
          <t>FONTE</t>
        </is>
      </c>
      <c r="D635" s="21" t="inlineStr">
        <is>
          <t>UNID</t>
        </is>
      </c>
      <c r="E635" s="21" t="inlineStr">
        <is>
          <t>COEFICIENTE</t>
        </is>
      </c>
      <c r="F635" s="21" t="inlineStr">
        <is>
          <t>PREÇO UNITÁRIO</t>
        </is>
      </c>
      <c r="G635" s="21" t="inlineStr">
        <is>
          <t>TOTAL</t>
        </is>
      </c>
    </row>
    <row r="636" ht="21" customHeight="1">
      <c r="A636" s="22" t="inlineStr">
        <is>
          <t>00002692</t>
        </is>
      </c>
      <c r="B636" s="23" t="inlineStr">
        <is>
          <t>DESMOLDANTE PROTETOR PARA FORMAS DE MADEIRA, DE BASE OLEOSA EMULSIONADA EM AGUA</t>
        </is>
      </c>
      <c r="C636" s="22" t="inlineStr">
        <is>
          <t>SINAPI</t>
        </is>
      </c>
      <c r="D636" s="22" t="inlineStr">
        <is>
          <t>L</t>
        </is>
      </c>
      <c r="E636" s="63" t="n">
        <v>0.0167</v>
      </c>
      <c r="F636" s="64">
        <f>ROUND(M636*FATOR, 2)</f>
        <v/>
      </c>
      <c r="G636" s="64">
        <f>TRUNC(TRUNC(E636,8)*F636,2)</f>
        <v/>
      </c>
      <c r="L636" t="n">
        <v>0.0167</v>
      </c>
      <c r="M636" t="n">
        <v>8.06</v>
      </c>
      <c r="N636">
        <f>(M636-F636)</f>
        <v/>
      </c>
    </row>
    <row r="637" ht="15" customHeight="1">
      <c r="A637" s="22" t="inlineStr">
        <is>
          <t>00005074</t>
        </is>
      </c>
      <c r="B637" s="23" t="inlineStr">
        <is>
          <t>PREGO DE ACO POLIDO COM CABECA 15 X 18 (1 1/2 X 13)</t>
        </is>
      </c>
      <c r="C637" s="22" t="inlineStr">
        <is>
          <t>SINAPI</t>
        </is>
      </c>
      <c r="D637" s="22" t="inlineStr">
        <is>
          <t>KG</t>
        </is>
      </c>
      <c r="E637" s="63" t="n">
        <v>0.017</v>
      </c>
      <c r="F637" s="64">
        <f>ROUND(M637*FATOR, 2)</f>
        <v/>
      </c>
      <c r="G637" s="64">
        <f>TRUNC(TRUNC(E637,8)*F637,2)</f>
        <v/>
      </c>
      <c r="L637" t="n">
        <v>0.017</v>
      </c>
      <c r="M637" t="n">
        <v>15.9</v>
      </c>
      <c r="N637">
        <f>(M637-F637)</f>
        <v/>
      </c>
    </row>
    <row r="638" ht="15" customHeight="1">
      <c r="A638" s="22" t="inlineStr">
        <is>
          <t>00005073</t>
        </is>
      </c>
      <c r="B638" s="23" t="inlineStr">
        <is>
          <t>PREGO DE ACO POLIDO COM CABECA 17 X 24 (2 1/4 X 11)</t>
        </is>
      </c>
      <c r="C638" s="22" t="inlineStr">
        <is>
          <t>SINAPI</t>
        </is>
      </c>
      <c r="D638" s="22" t="inlineStr">
        <is>
          <t>KG</t>
        </is>
      </c>
      <c r="E638" s="63" t="n">
        <v>0.141</v>
      </c>
      <c r="F638" s="64">
        <f>ROUND(M638*FATOR, 2)</f>
        <v/>
      </c>
      <c r="G638" s="64">
        <f>TRUNC(TRUNC(E638,8)*F638,2)</f>
        <v/>
      </c>
      <c r="L638" t="n">
        <v>0.141</v>
      </c>
      <c r="M638" t="n">
        <v>14.46</v>
      </c>
      <c r="N638">
        <f>(M638-F638)</f>
        <v/>
      </c>
    </row>
    <row r="639" ht="21" customHeight="1">
      <c r="A639" s="22" t="inlineStr">
        <is>
          <t>00040304</t>
        </is>
      </c>
      <c r="B639" s="23" t="inlineStr">
        <is>
          <t>PREGO DE ACO POLIDO COM CABECA DUPLA 17 X 27 (2 1/2 X 11)</t>
        </is>
      </c>
      <c r="C639" s="22" t="inlineStr">
        <is>
          <t>SINAPI</t>
        </is>
      </c>
      <c r="D639" s="22" t="inlineStr">
        <is>
          <t>KG</t>
        </is>
      </c>
      <c r="E639" s="63" t="n">
        <v>0.047</v>
      </c>
      <c r="F639" s="64">
        <f>ROUND(M639*FATOR, 2)</f>
        <v/>
      </c>
      <c r="G639" s="64">
        <f>TRUNC(TRUNC(E639,8)*F639,2)</f>
        <v/>
      </c>
      <c r="L639" t="n">
        <v>0.047</v>
      </c>
      <c r="M639" t="n">
        <v>17.51</v>
      </c>
      <c r="N639">
        <f>(M639-F639)</f>
        <v/>
      </c>
    </row>
    <row r="640" ht="21" customHeight="1">
      <c r="A640" s="22" t="inlineStr">
        <is>
          <t>00004517</t>
        </is>
      </c>
      <c r="B640" s="23" t="inlineStr">
        <is>
          <t>SARRAFO *2,5 X 7,5* CM EM PINUS, MISTA OU EQUIVALENTE DA REGIAO - BRUTA</t>
        </is>
      </c>
      <c r="C640" s="22" t="inlineStr">
        <is>
          <t>SINAPI</t>
        </is>
      </c>
      <c r="D640" s="22" t="inlineStr">
        <is>
          <t>M</t>
        </is>
      </c>
      <c r="E640" s="63" t="n">
        <v>13.385</v>
      </c>
      <c r="F640" s="64">
        <f>ROUND(M640*FATOR, 2)</f>
        <v/>
      </c>
      <c r="G640" s="64">
        <f>TRUNC(TRUNC(E640,8)*F640,2)</f>
        <v/>
      </c>
      <c r="L640" t="n">
        <v>13.385</v>
      </c>
      <c r="M640" t="n">
        <v>3.87</v>
      </c>
      <c r="N640">
        <f>(M640-F640)</f>
        <v/>
      </c>
    </row>
    <row r="641" ht="21" customHeight="1">
      <c r="A641" s="22" t="inlineStr">
        <is>
          <t>00006212</t>
        </is>
      </c>
      <c r="B641" s="23" t="inlineStr">
        <is>
          <t>TABUA *2,5 X 30 CM EM PINUS, MISTA OU EQUIVALENTE DA REGIAO - BRUTA</t>
        </is>
      </c>
      <c r="C641" s="22" t="inlineStr">
        <is>
          <t>SINAPI</t>
        </is>
      </c>
      <c r="D641" s="22" t="inlineStr">
        <is>
          <t>M</t>
        </is>
      </c>
      <c r="E641" s="63" t="n">
        <v>4.55</v>
      </c>
      <c r="F641" s="64">
        <f>ROUND(M641*FATOR, 2)</f>
        <v/>
      </c>
      <c r="G641" s="64">
        <f>TRUNC(TRUNC(E641,8)*F641,2)</f>
        <v/>
      </c>
      <c r="L641" t="n">
        <v>4.55</v>
      </c>
      <c r="M641" t="n">
        <v>18.33</v>
      </c>
      <c r="N641">
        <f>(M641-F641)</f>
        <v/>
      </c>
    </row>
    <row r="642" ht="15" customHeight="1">
      <c r="A642" s="2" t="inlineStr"/>
      <c r="B642" s="2" t="inlineStr"/>
      <c r="C642" s="2" t="inlineStr"/>
      <c r="D642" s="2" t="inlineStr"/>
      <c r="E642" s="26" t="inlineStr">
        <is>
          <t>TOTAL Material:</t>
        </is>
      </c>
      <c r="F642" s="56" t="n"/>
      <c r="G642" s="65">
        <f>SUM(G636:G641)</f>
        <v/>
      </c>
    </row>
    <row r="643" ht="15" customHeight="1">
      <c r="A643" s="20" t="inlineStr">
        <is>
          <t>Mão de Obra com Encargos Complementares</t>
        </is>
      </c>
      <c r="B643" s="56" t="n"/>
      <c r="C643" s="21" t="inlineStr">
        <is>
          <t>FONTE</t>
        </is>
      </c>
      <c r="D643" s="21" t="inlineStr">
        <is>
          <t>UNID</t>
        </is>
      </c>
      <c r="E643" s="21" t="inlineStr">
        <is>
          <t>COEFICIENTE</t>
        </is>
      </c>
      <c r="F643" s="21" t="inlineStr">
        <is>
          <t>PREÇO UNITÁRIO</t>
        </is>
      </c>
      <c r="G643" s="21" t="inlineStr">
        <is>
          <t>TOTAL</t>
        </is>
      </c>
    </row>
    <row r="644" ht="21" customHeight="1">
      <c r="A644" s="22" t="inlineStr">
        <is>
          <t>88239</t>
        </is>
      </c>
      <c r="B644" s="23" t="inlineStr">
        <is>
          <t>AJUDANTE DE CARPINTEIRO COM ENCARGOS COMPLEMENTARES</t>
        </is>
      </c>
      <c r="C644" s="22" t="inlineStr">
        <is>
          <t>SINAPI</t>
        </is>
      </c>
      <c r="D644" s="22" t="inlineStr">
        <is>
          <t>H</t>
        </is>
      </c>
      <c r="E644" s="63">
        <f>L644*FATOR</f>
        <v/>
      </c>
      <c r="F644" s="64">
        <f>'COMPOSICOES AUXILIARES'!G68</f>
        <v/>
      </c>
      <c r="G644" s="64">
        <f>TRUNC(TRUNC(E644,8)*F644,2)</f>
        <v/>
      </c>
      <c r="L644" t="n">
        <v>1.341</v>
      </c>
      <c r="M644" t="n">
        <v>24.61</v>
      </c>
      <c r="N644">
        <f>(M644-F644)</f>
        <v/>
      </c>
    </row>
    <row r="645" ht="21" customHeight="1">
      <c r="A645" s="22" t="inlineStr">
        <is>
          <t>88262</t>
        </is>
      </c>
      <c r="B645" s="23" t="inlineStr">
        <is>
          <t>CARPINTEIRO DE FORMAS COM ENCARGOS COMPLEMENTARES</t>
        </is>
      </c>
      <c r="C645" s="22" t="inlineStr">
        <is>
          <t>SINAPI</t>
        </is>
      </c>
      <c r="D645" s="22" t="inlineStr">
        <is>
          <t>H</t>
        </is>
      </c>
      <c r="E645" s="63">
        <f>L645*FATOR</f>
        <v/>
      </c>
      <c r="F645" s="64">
        <f>'COMPOSICOES AUXILIARES'!G943</f>
        <v/>
      </c>
      <c r="G645" s="64">
        <f>TRUNC(TRUNC(E645,8)*F645,2)</f>
        <v/>
      </c>
      <c r="L645" t="n">
        <v>2.999</v>
      </c>
      <c r="M645" t="n">
        <v>30.15</v>
      </c>
      <c r="N645">
        <f>(M645-F645)</f>
        <v/>
      </c>
    </row>
    <row r="646" ht="18" customHeight="1">
      <c r="A646" s="2" t="inlineStr"/>
      <c r="B646" s="2" t="inlineStr"/>
      <c r="C646" s="2" t="inlineStr"/>
      <c r="D646" s="2" t="inlineStr"/>
      <c r="E646" s="26" t="inlineStr">
        <is>
          <t>TOTAL Mão de Obra com Encargos Complementares:</t>
        </is>
      </c>
      <c r="F646" s="56" t="n"/>
      <c r="G646" s="65">
        <f>SUM(G644:G645)</f>
        <v/>
      </c>
    </row>
    <row r="647" ht="15" customHeight="1">
      <c r="A647" s="2" t="inlineStr"/>
      <c r="B647" s="2" t="inlineStr"/>
      <c r="C647" s="2" t="inlineStr"/>
      <c r="D647" s="2" t="inlineStr"/>
      <c r="E647" s="28" t="inlineStr">
        <is>
          <t>VALOR:</t>
        </is>
      </c>
      <c r="F647" s="56" t="n"/>
      <c r="G647" s="66">
        <f>SUM(G642,G646,G634)</f>
        <v/>
      </c>
    </row>
    <row r="648" ht="15" customHeight="1">
      <c r="A648" s="2" t="inlineStr"/>
      <c r="B648" s="2" t="inlineStr"/>
      <c r="C648" s="2" t="inlineStr"/>
      <c r="D648" s="2" t="inlineStr"/>
      <c r="E648" s="28" t="inlineStr">
        <is>
          <t>VALOR BDI (23.08%):</t>
        </is>
      </c>
      <c r="F648" s="56" t="n"/>
      <c r="G648" s="66">
        <f>ROUNDDOWN(G647*BDI,2)</f>
        <v/>
      </c>
    </row>
    <row r="649" ht="15" customHeight="1">
      <c r="A649" s="2" t="inlineStr"/>
      <c r="B649" s="2" t="inlineStr"/>
      <c r="C649" s="2" t="inlineStr"/>
      <c r="D649" s="2" t="inlineStr"/>
      <c r="E649" s="28" t="inlineStr">
        <is>
          <t>VALOR COM BDI:</t>
        </is>
      </c>
      <c r="F649" s="56" t="n"/>
      <c r="G649" s="66">
        <f>G648 + G647</f>
        <v/>
      </c>
    </row>
    <row r="650" ht="10" customHeight="1">
      <c r="A650" s="2" t="inlineStr"/>
      <c r="B650" s="2" t="inlineStr"/>
      <c r="C650" s="2" t="inlineStr"/>
      <c r="D650" s="2" t="inlineStr"/>
      <c r="E650" s="18" t="inlineStr"/>
    </row>
    <row r="651" ht="20" customHeight="1">
      <c r="A651" s="19" t="inlineStr">
        <is>
          <t>3.4.1.1. ​96557​ CONCRETAGEM DE BLOCO DE COROAMENTO OU VIGA BALDRAME, FCK 30 MPA, COM USO DE BOMBA - LANÇAMENTO, ADENSAMENTO E ACABAMENTO.AF_01/2024​ (M3)</t>
        </is>
      </c>
      <c r="B651" s="55" t="n"/>
      <c r="C651" s="55" t="n"/>
      <c r="D651" s="55" t="n"/>
      <c r="E651" s="55" t="n"/>
      <c r="F651" s="55" t="n"/>
      <c r="G651" s="56" t="n"/>
    </row>
    <row r="652" ht="15" customHeight="1">
      <c r="A652" s="20" t="inlineStr">
        <is>
          <t>Equipamento Custo Horário</t>
        </is>
      </c>
      <c r="B652" s="56" t="n"/>
      <c r="C652" s="21" t="inlineStr">
        <is>
          <t>FONTE</t>
        </is>
      </c>
      <c r="D652" s="21" t="inlineStr">
        <is>
          <t>UNID</t>
        </is>
      </c>
      <c r="E652" s="21" t="inlineStr">
        <is>
          <t>COEFICIENTE</t>
        </is>
      </c>
      <c r="F652" s="21" t="inlineStr">
        <is>
          <t>PREÇO UNITÁRIO</t>
        </is>
      </c>
      <c r="G652" s="21" t="inlineStr">
        <is>
          <t>TOTAL</t>
        </is>
      </c>
    </row>
    <row r="653" ht="29" customHeight="1">
      <c r="A653" s="22" t="inlineStr">
        <is>
          <t>90587</t>
        </is>
      </c>
      <c r="B653" s="23" t="inlineStr">
        <is>
          <t>VIBRADOR DE IMERSÃO, DIÂMETRO DE PONTEIRA 45MM, MOTOR ELÉTRICO TRIFÁSICO POTÊNCIA DE 2 CV - CHI DIURNO. AF_06/2015</t>
        </is>
      </c>
      <c r="C653" s="22" t="inlineStr">
        <is>
          <t>SINAPI</t>
        </is>
      </c>
      <c r="D653" s="22" t="inlineStr">
        <is>
          <t>CHI</t>
        </is>
      </c>
      <c r="E653" s="63" t="n">
        <v>0.075</v>
      </c>
      <c r="F653" s="64">
        <f>'COMPOSICOES AUXILIARES'!G3725</f>
        <v/>
      </c>
      <c r="G653" s="64">
        <f>TRUNC(TRUNC(E653,8)*F653,2)</f>
        <v/>
      </c>
      <c r="L653" t="n">
        <v>0.075</v>
      </c>
      <c r="M653" t="n">
        <v>0.5600000000000001</v>
      </c>
      <c r="N653">
        <f>(M653-F653)</f>
        <v/>
      </c>
    </row>
    <row r="654" ht="29" customHeight="1">
      <c r="A654" s="22" t="inlineStr">
        <is>
          <t>90586</t>
        </is>
      </c>
      <c r="B654" s="23" t="inlineStr">
        <is>
          <t>VIBRADOR DE IMERSÃO, DIÂMETRO DE PONTEIRA 45MM, MOTOR ELÉTRICO TRIFÁSICO POTÊNCIA DE 2 CV - CHP DIURNO. AF_06/2015</t>
        </is>
      </c>
      <c r="C654" s="22" t="inlineStr">
        <is>
          <t>SINAPI</t>
        </is>
      </c>
      <c r="D654" s="22" t="inlineStr">
        <is>
          <t>CHP</t>
        </is>
      </c>
      <c r="E654" s="63" t="n">
        <v>0.092</v>
      </c>
      <c r="F654" s="64">
        <f>'COMPOSICOES AUXILIARES'!G3736</f>
        <v/>
      </c>
      <c r="G654" s="64">
        <f>TRUNC(TRUNC(E654,8)*F654,2)</f>
        <v/>
      </c>
      <c r="L654" t="n">
        <v>0.092</v>
      </c>
      <c r="M654" t="n">
        <v>1.44</v>
      </c>
      <c r="N654">
        <f>(M654-F654)</f>
        <v/>
      </c>
    </row>
    <row r="655" ht="18" customHeight="1">
      <c r="A655" s="2" t="inlineStr"/>
      <c r="B655" s="2" t="inlineStr"/>
      <c r="C655" s="2" t="inlineStr"/>
      <c r="D655" s="2" t="inlineStr"/>
      <c r="E655" s="26" t="inlineStr">
        <is>
          <t>TOTAL Equipamento Custo Horário:</t>
        </is>
      </c>
      <c r="F655" s="56" t="n"/>
      <c r="G655" s="65">
        <f>SUM(G653:G654)</f>
        <v/>
      </c>
    </row>
    <row r="656" ht="15" customHeight="1">
      <c r="A656" s="20" t="inlineStr">
        <is>
          <t>Material</t>
        </is>
      </c>
      <c r="B656" s="56" t="n"/>
      <c r="C656" s="21" t="inlineStr">
        <is>
          <t>FONTE</t>
        </is>
      </c>
      <c r="D656" s="21" t="inlineStr">
        <is>
          <t>UNID</t>
        </is>
      </c>
      <c r="E656" s="21" t="inlineStr">
        <is>
          <t>COEFICIENTE</t>
        </is>
      </c>
      <c r="F656" s="21" t="inlineStr">
        <is>
          <t>PREÇO UNITÁRIO</t>
        </is>
      </c>
      <c r="G656" s="21" t="inlineStr">
        <is>
          <t>TOTAL</t>
        </is>
      </c>
    </row>
    <row r="657" ht="38" customHeight="1">
      <c r="A657" s="22" t="inlineStr">
        <is>
          <t>00001525</t>
        </is>
      </c>
      <c r="B657" s="23" t="inlineStr">
        <is>
          <t>CONCRETO USINADO BOMBEAVEL, CLASSE DE RESISTENCIA C30, BRITA 0 E 1, SLUMP = 100 +/- 20 MM, COM BOMBEAMENTO (DISPONIBILIZACAO DE BOMBA), SEM O LANCAMENTO (NBR 8953)</t>
        </is>
      </c>
      <c r="C657" s="22" t="inlineStr">
        <is>
          <t>SINAPI</t>
        </is>
      </c>
      <c r="D657" s="22" t="inlineStr">
        <is>
          <t>M3</t>
        </is>
      </c>
      <c r="E657" s="63" t="n">
        <v>1.23</v>
      </c>
      <c r="F657" s="64">
        <f>ROUND(M657*FATOR, 2)</f>
        <v/>
      </c>
      <c r="G657" s="64">
        <f>TRUNC(TRUNC(E657,8)*F657,2)</f>
        <v/>
      </c>
      <c r="L657" t="n">
        <v>1.23</v>
      </c>
      <c r="M657" t="n">
        <v>551.1</v>
      </c>
      <c r="N657">
        <f>(M657-F657)</f>
        <v/>
      </c>
    </row>
    <row r="658" ht="15" customHeight="1">
      <c r="A658" s="2" t="inlineStr"/>
      <c r="B658" s="2" t="inlineStr"/>
      <c r="C658" s="2" t="inlineStr"/>
      <c r="D658" s="2" t="inlineStr"/>
      <c r="E658" s="26" t="inlineStr">
        <is>
          <t>TOTAL Material:</t>
        </is>
      </c>
      <c r="F658" s="56" t="n"/>
      <c r="G658" s="65">
        <f>SUM(G657:G657)</f>
        <v/>
      </c>
    </row>
    <row r="659" ht="15" customHeight="1">
      <c r="A659" s="20" t="inlineStr">
        <is>
          <t>Mão de Obra com Encargos Complementares</t>
        </is>
      </c>
      <c r="B659" s="56" t="n"/>
      <c r="C659" s="21" t="inlineStr">
        <is>
          <t>FONTE</t>
        </is>
      </c>
      <c r="D659" s="21" t="inlineStr">
        <is>
          <t>UNID</t>
        </is>
      </c>
      <c r="E659" s="21" t="inlineStr">
        <is>
          <t>COEFICIENTE</t>
        </is>
      </c>
      <c r="F659" s="21" t="inlineStr">
        <is>
          <t>PREÇO UNITÁRIO</t>
        </is>
      </c>
      <c r="G659" s="21" t="inlineStr">
        <is>
          <t>TOTAL</t>
        </is>
      </c>
    </row>
    <row r="660" ht="15" customHeight="1">
      <c r="A660" s="22" t="inlineStr">
        <is>
          <t>88309</t>
        </is>
      </c>
      <c r="B660" s="23" t="inlineStr">
        <is>
          <t>PEDREIRO COM ENCARGOS COMPLEMENTARES</t>
        </is>
      </c>
      <c r="C660" s="22" t="inlineStr">
        <is>
          <t>SINAPI</t>
        </is>
      </c>
      <c r="D660" s="22" t="inlineStr">
        <is>
          <t>H</t>
        </is>
      </c>
      <c r="E660" s="63">
        <f>L660*FATOR</f>
        <v/>
      </c>
      <c r="F660" s="64">
        <f>'COMPOSICOES AUXILIARES'!G2887</f>
        <v/>
      </c>
      <c r="G660" s="64">
        <f>TRUNC(TRUNC(E660,8)*F660,2)</f>
        <v/>
      </c>
      <c r="L660" t="n">
        <v>0.334</v>
      </c>
      <c r="M660" t="n">
        <v>30.58</v>
      </c>
      <c r="N660">
        <f>(M660-F660)</f>
        <v/>
      </c>
    </row>
    <row r="661" ht="15" customHeight="1">
      <c r="A661" s="22" t="inlineStr">
        <is>
          <t>88316</t>
        </is>
      </c>
      <c r="B661" s="23" t="inlineStr">
        <is>
          <t>SERVENTE COM ENCARGOS COMPLEMENTARES</t>
        </is>
      </c>
      <c r="C661" s="22" t="inlineStr">
        <is>
          <t>SINAPI</t>
        </is>
      </c>
      <c r="D661" s="22" t="inlineStr">
        <is>
          <t>H</t>
        </is>
      </c>
      <c r="E661" s="63">
        <f>L661*FATOR</f>
        <v/>
      </c>
      <c r="F661" s="64">
        <f>'COMPOSICOES AUXILIARES'!G3390</f>
        <v/>
      </c>
      <c r="G661" s="64">
        <f>TRUNC(TRUNC(E661,8)*F661,2)</f>
        <v/>
      </c>
      <c r="L661" t="n">
        <v>0.501</v>
      </c>
      <c r="M661" t="n">
        <v>23.56</v>
      </c>
      <c r="N661">
        <f>(M661-F661)</f>
        <v/>
      </c>
    </row>
    <row r="662" ht="18" customHeight="1">
      <c r="A662" s="2" t="inlineStr"/>
      <c r="B662" s="2" t="inlineStr"/>
      <c r="C662" s="2" t="inlineStr"/>
      <c r="D662" s="2" t="inlineStr"/>
      <c r="E662" s="26" t="inlineStr">
        <is>
          <t>TOTAL Mão de Obra com Encargos Complementares:</t>
        </is>
      </c>
      <c r="F662" s="56" t="n"/>
      <c r="G662" s="65">
        <f>SUM(G660:G661)</f>
        <v/>
      </c>
    </row>
    <row r="663" ht="15" customHeight="1">
      <c r="A663" s="2" t="inlineStr"/>
      <c r="B663" s="2" t="inlineStr"/>
      <c r="C663" s="2" t="inlineStr"/>
      <c r="D663" s="2" t="inlineStr"/>
      <c r="E663" s="28" t="inlineStr">
        <is>
          <t>VALOR:</t>
        </is>
      </c>
      <c r="F663" s="56" t="n"/>
      <c r="G663" s="66">
        <f>SUM(G658,G662,G655)</f>
        <v/>
      </c>
    </row>
    <row r="664" ht="15" customHeight="1">
      <c r="A664" s="2" t="inlineStr"/>
      <c r="B664" s="2" t="inlineStr"/>
      <c r="C664" s="2" t="inlineStr"/>
      <c r="D664" s="2" t="inlineStr"/>
      <c r="E664" s="28" t="inlineStr">
        <is>
          <t>VALOR BDI (23.08%):</t>
        </is>
      </c>
      <c r="F664" s="56" t="n"/>
      <c r="G664" s="66">
        <f>ROUNDDOWN(G663*BDI,2)</f>
        <v/>
      </c>
    </row>
    <row r="665" ht="15" customHeight="1">
      <c r="A665" s="2" t="inlineStr"/>
      <c r="B665" s="2" t="inlineStr"/>
      <c r="C665" s="2" t="inlineStr"/>
      <c r="D665" s="2" t="inlineStr"/>
      <c r="E665" s="28" t="inlineStr">
        <is>
          <t>VALOR COM BDI:</t>
        </is>
      </c>
      <c r="F665" s="56" t="n"/>
      <c r="G665" s="66">
        <f>G664 + G663</f>
        <v/>
      </c>
    </row>
    <row r="666" ht="10" customHeight="1">
      <c r="A666" s="2" t="inlineStr"/>
      <c r="B666" s="2" t="inlineStr"/>
      <c r="C666" s="2" t="inlineStr"/>
      <c r="D666" s="2" t="inlineStr"/>
      <c r="E666" s="18" t="inlineStr"/>
    </row>
    <row r="667" ht="20" customHeight="1">
      <c r="A667" s="19" t="inlineStr">
        <is>
          <t>3.4.1.2. ​96558​ CONCRETAGEM DE SAPATA, FCK 30 MPA, COM USO DE BOMBA - LANÇAMENTO, ADENSAMENTO E ACABAMENTO. AF_01/2024​ (M3)</t>
        </is>
      </c>
      <c r="B667" s="55" t="n"/>
      <c r="C667" s="55" t="n"/>
      <c r="D667" s="55" t="n"/>
      <c r="E667" s="55" t="n"/>
      <c r="F667" s="55" t="n"/>
      <c r="G667" s="56" t="n"/>
    </row>
    <row r="668" ht="15" customHeight="1">
      <c r="A668" s="20" t="inlineStr">
        <is>
          <t>Equipamento Custo Horário</t>
        </is>
      </c>
      <c r="B668" s="56" t="n"/>
      <c r="C668" s="21" t="inlineStr">
        <is>
          <t>FONTE</t>
        </is>
      </c>
      <c r="D668" s="21" t="inlineStr">
        <is>
          <t>UNID</t>
        </is>
      </c>
      <c r="E668" s="21" t="inlineStr">
        <is>
          <t>COEFICIENTE</t>
        </is>
      </c>
      <c r="F668" s="21" t="inlineStr">
        <is>
          <t>PREÇO UNITÁRIO</t>
        </is>
      </c>
      <c r="G668" s="21" t="inlineStr">
        <is>
          <t>TOTAL</t>
        </is>
      </c>
    </row>
    <row r="669" ht="29" customHeight="1">
      <c r="A669" s="22" t="inlineStr">
        <is>
          <t>90587</t>
        </is>
      </c>
      <c r="B669" s="23" t="inlineStr">
        <is>
          <t>VIBRADOR DE IMERSÃO, DIÂMETRO DE PONTEIRA 45MM, MOTOR ELÉTRICO TRIFÁSICO POTÊNCIA DE 2 CV - CHI DIURNO. AF_06/2015</t>
        </is>
      </c>
      <c r="C669" s="22" t="inlineStr">
        <is>
          <t>SINAPI</t>
        </is>
      </c>
      <c r="D669" s="22" t="inlineStr">
        <is>
          <t>CHI</t>
        </is>
      </c>
      <c r="E669" s="63" t="n">
        <v>0.133</v>
      </c>
      <c r="F669" s="64">
        <f>'COMPOSICOES AUXILIARES'!G3725</f>
        <v/>
      </c>
      <c r="G669" s="64">
        <f>TRUNC(TRUNC(E669,8)*F669,2)</f>
        <v/>
      </c>
      <c r="L669" t="n">
        <v>0.133</v>
      </c>
      <c r="M669" t="n">
        <v>0.5600000000000001</v>
      </c>
      <c r="N669">
        <f>(M669-F669)</f>
        <v/>
      </c>
    </row>
    <row r="670" ht="29" customHeight="1">
      <c r="A670" s="22" t="inlineStr">
        <is>
          <t>90586</t>
        </is>
      </c>
      <c r="B670" s="23" t="inlineStr">
        <is>
          <t>VIBRADOR DE IMERSÃO, DIÂMETRO DE PONTEIRA 45MM, MOTOR ELÉTRICO TRIFÁSICO POTÊNCIA DE 2 CV - CHP DIURNO. AF_06/2015</t>
        </is>
      </c>
      <c r="C670" s="22" t="inlineStr">
        <is>
          <t>SINAPI</t>
        </is>
      </c>
      <c r="D670" s="22" t="inlineStr">
        <is>
          <t>CHP</t>
        </is>
      </c>
      <c r="E670" s="63" t="n">
        <v>0.161</v>
      </c>
      <c r="F670" s="64">
        <f>'COMPOSICOES AUXILIARES'!G3736</f>
        <v/>
      </c>
      <c r="G670" s="64">
        <f>TRUNC(TRUNC(E670,8)*F670,2)</f>
        <v/>
      </c>
      <c r="L670" t="n">
        <v>0.161</v>
      </c>
      <c r="M670" t="n">
        <v>1.44</v>
      </c>
      <c r="N670">
        <f>(M670-F670)</f>
        <v/>
      </c>
    </row>
    <row r="671" ht="18" customHeight="1">
      <c r="A671" s="2" t="inlineStr"/>
      <c r="B671" s="2" t="inlineStr"/>
      <c r="C671" s="2" t="inlineStr"/>
      <c r="D671" s="2" t="inlineStr"/>
      <c r="E671" s="26" t="inlineStr">
        <is>
          <t>TOTAL Equipamento Custo Horário:</t>
        </is>
      </c>
      <c r="F671" s="56" t="n"/>
      <c r="G671" s="65">
        <f>SUM(G669:G670)</f>
        <v/>
      </c>
    </row>
    <row r="672" ht="15" customHeight="1">
      <c r="A672" s="20" t="inlineStr">
        <is>
          <t>Material</t>
        </is>
      </c>
      <c r="B672" s="56" t="n"/>
      <c r="C672" s="21" t="inlineStr">
        <is>
          <t>FONTE</t>
        </is>
      </c>
      <c r="D672" s="21" t="inlineStr">
        <is>
          <t>UNID</t>
        </is>
      </c>
      <c r="E672" s="21" t="inlineStr">
        <is>
          <t>COEFICIENTE</t>
        </is>
      </c>
      <c r="F672" s="21" t="inlineStr">
        <is>
          <t>PREÇO UNITÁRIO</t>
        </is>
      </c>
      <c r="G672" s="21" t="inlineStr">
        <is>
          <t>TOTAL</t>
        </is>
      </c>
    </row>
    <row r="673" ht="38" customHeight="1">
      <c r="A673" s="22" t="inlineStr">
        <is>
          <t>00001525</t>
        </is>
      </c>
      <c r="B673" s="23" t="inlineStr">
        <is>
          <t>CONCRETO USINADO BOMBEAVEL, CLASSE DE RESISTENCIA C30, BRITA 0 E 1, SLUMP = 100 +/- 20 MM, COM BOMBEAMENTO (DISPONIBILIZACAO DE BOMBA), SEM O LANCAMENTO (NBR 8953)</t>
        </is>
      </c>
      <c r="C673" s="22" t="inlineStr">
        <is>
          <t>SINAPI</t>
        </is>
      </c>
      <c r="D673" s="22" t="inlineStr">
        <is>
          <t>M3</t>
        </is>
      </c>
      <c r="E673" s="63" t="n">
        <v>1.26</v>
      </c>
      <c r="F673" s="64">
        <f>ROUND(M673*FATOR, 2)</f>
        <v/>
      </c>
      <c r="G673" s="64">
        <f>TRUNC(TRUNC(E673,8)*F673,2)</f>
        <v/>
      </c>
      <c r="L673" t="n">
        <v>1.26</v>
      </c>
      <c r="M673" t="n">
        <v>551.1</v>
      </c>
      <c r="N673">
        <f>(M673-F673)</f>
        <v/>
      </c>
    </row>
    <row r="674" ht="15" customHeight="1">
      <c r="A674" s="2" t="inlineStr"/>
      <c r="B674" s="2" t="inlineStr"/>
      <c r="C674" s="2" t="inlineStr"/>
      <c r="D674" s="2" t="inlineStr"/>
      <c r="E674" s="26" t="inlineStr">
        <is>
          <t>TOTAL Material:</t>
        </is>
      </c>
      <c r="F674" s="56" t="n"/>
      <c r="G674" s="65">
        <f>SUM(G673:G673)</f>
        <v/>
      </c>
    </row>
    <row r="675" ht="15" customHeight="1">
      <c r="A675" s="20" t="inlineStr">
        <is>
          <t>Mão de Obra com Encargos Complementares</t>
        </is>
      </c>
      <c r="B675" s="56" t="n"/>
      <c r="C675" s="21" t="inlineStr">
        <is>
          <t>FONTE</t>
        </is>
      </c>
      <c r="D675" s="21" t="inlineStr">
        <is>
          <t>UNID</t>
        </is>
      </c>
      <c r="E675" s="21" t="inlineStr">
        <is>
          <t>COEFICIENTE</t>
        </is>
      </c>
      <c r="F675" s="21" t="inlineStr">
        <is>
          <t>PREÇO UNITÁRIO</t>
        </is>
      </c>
      <c r="G675" s="21" t="inlineStr">
        <is>
          <t>TOTAL</t>
        </is>
      </c>
    </row>
    <row r="676" ht="15" customHeight="1">
      <c r="A676" s="22" t="inlineStr">
        <is>
          <t>88309</t>
        </is>
      </c>
      <c r="B676" s="23" t="inlineStr">
        <is>
          <t>PEDREIRO COM ENCARGOS COMPLEMENTARES</t>
        </is>
      </c>
      <c r="C676" s="22" t="inlineStr">
        <is>
          <t>SINAPI</t>
        </is>
      </c>
      <c r="D676" s="22" t="inlineStr">
        <is>
          <t>H</t>
        </is>
      </c>
      <c r="E676" s="63">
        <f>L676*FATOR</f>
        <v/>
      </c>
      <c r="F676" s="64">
        <f>'COMPOSICOES AUXILIARES'!G2887</f>
        <v/>
      </c>
      <c r="G676" s="64">
        <f>TRUNC(TRUNC(E676,8)*F676,2)</f>
        <v/>
      </c>
      <c r="L676" t="n">
        <v>0.587</v>
      </c>
      <c r="M676" t="n">
        <v>30.58</v>
      </c>
      <c r="N676">
        <f>(M676-F676)</f>
        <v/>
      </c>
    </row>
    <row r="677" ht="15" customHeight="1">
      <c r="A677" s="22" t="inlineStr">
        <is>
          <t>88316</t>
        </is>
      </c>
      <c r="B677" s="23" t="inlineStr">
        <is>
          <t>SERVENTE COM ENCARGOS COMPLEMENTARES</t>
        </is>
      </c>
      <c r="C677" s="22" t="inlineStr">
        <is>
          <t>SINAPI</t>
        </is>
      </c>
      <c r="D677" s="22" t="inlineStr">
        <is>
          <t>H</t>
        </is>
      </c>
      <c r="E677" s="63">
        <f>L677*FATOR</f>
        <v/>
      </c>
      <c r="F677" s="64">
        <f>'COMPOSICOES AUXILIARES'!G3390</f>
        <v/>
      </c>
      <c r="G677" s="64">
        <f>TRUNC(TRUNC(E677,8)*F677,2)</f>
        <v/>
      </c>
      <c r="L677" t="n">
        <v>0.881</v>
      </c>
      <c r="M677" t="n">
        <v>23.56</v>
      </c>
      <c r="N677">
        <f>(M677-F677)</f>
        <v/>
      </c>
    </row>
    <row r="678" ht="18" customHeight="1">
      <c r="A678" s="2" t="inlineStr"/>
      <c r="B678" s="2" t="inlineStr"/>
      <c r="C678" s="2" t="inlineStr"/>
      <c r="D678" s="2" t="inlineStr"/>
      <c r="E678" s="26" t="inlineStr">
        <is>
          <t>TOTAL Mão de Obra com Encargos Complementares:</t>
        </is>
      </c>
      <c r="F678" s="56" t="n"/>
      <c r="G678" s="65">
        <f>SUM(G676:G677)</f>
        <v/>
      </c>
    </row>
    <row r="679" ht="15" customHeight="1">
      <c r="A679" s="2" t="inlineStr"/>
      <c r="B679" s="2" t="inlineStr"/>
      <c r="C679" s="2" t="inlineStr"/>
      <c r="D679" s="2" t="inlineStr"/>
      <c r="E679" s="28" t="inlineStr">
        <is>
          <t>VALOR:</t>
        </is>
      </c>
      <c r="F679" s="56" t="n"/>
      <c r="G679" s="66">
        <f>SUM(G674,G678,G671)</f>
        <v/>
      </c>
    </row>
    <row r="680" ht="15" customHeight="1">
      <c r="A680" s="2" t="inlineStr"/>
      <c r="B680" s="2" t="inlineStr"/>
      <c r="C680" s="2" t="inlineStr"/>
      <c r="D680" s="2" t="inlineStr"/>
      <c r="E680" s="28" t="inlineStr">
        <is>
          <t>VALOR BDI (23.08%):</t>
        </is>
      </c>
      <c r="F680" s="56" t="n"/>
      <c r="G680" s="66">
        <f>ROUNDDOWN(G679*BDI,2)</f>
        <v/>
      </c>
    </row>
    <row r="681" ht="15" customHeight="1">
      <c r="A681" s="2" t="inlineStr"/>
      <c r="B681" s="2" t="inlineStr"/>
      <c r="C681" s="2" t="inlineStr"/>
      <c r="D681" s="2" t="inlineStr"/>
      <c r="E681" s="28" t="inlineStr">
        <is>
          <t>VALOR COM BDI:</t>
        </is>
      </c>
      <c r="F681" s="56" t="n"/>
      <c r="G681" s="66">
        <f>G680 + G679</f>
        <v/>
      </c>
    </row>
    <row r="682" ht="10" customHeight="1">
      <c r="A682" s="2" t="inlineStr"/>
      <c r="B682" s="2" t="inlineStr"/>
      <c r="C682" s="2" t="inlineStr"/>
      <c r="D682" s="2" t="inlineStr"/>
      <c r="E682" s="18" t="inlineStr"/>
    </row>
    <row r="683" ht="20" customHeight="1">
      <c r="A683" s="19" t="inlineStr">
        <is>
          <t>3.5.1.1. ​98557​ IMPERMEABILIZAÇÃO DE SUPERFÍCIE COM EMULSÃO ASFÁLTICA, 2 DEMÃOS.AF_09/2023​ (M2)</t>
        </is>
      </c>
      <c r="B683" s="55" t="n"/>
      <c r="C683" s="55" t="n"/>
      <c r="D683" s="55" t="n"/>
      <c r="E683" s="55" t="n"/>
      <c r="F683" s="55" t="n"/>
      <c r="G683" s="56" t="n"/>
    </row>
    <row r="684" ht="15" customHeight="1">
      <c r="A684" s="20" t="inlineStr">
        <is>
          <t>Material</t>
        </is>
      </c>
      <c r="B684" s="56" t="n"/>
      <c r="C684" s="21" t="inlineStr">
        <is>
          <t>FONTE</t>
        </is>
      </c>
      <c r="D684" s="21" t="inlineStr">
        <is>
          <t>UNID</t>
        </is>
      </c>
      <c r="E684" s="21" t="inlineStr">
        <is>
          <t>COEFICIENTE</t>
        </is>
      </c>
      <c r="F684" s="21" t="inlineStr">
        <is>
          <t>PREÇO UNITÁRIO</t>
        </is>
      </c>
      <c r="G684" s="21" t="inlineStr">
        <is>
          <t>TOTAL</t>
        </is>
      </c>
    </row>
    <row r="685" ht="38" customHeight="1">
      <c r="A685" s="22" t="inlineStr">
        <is>
          <t>00000626</t>
        </is>
      </c>
      <c r="B685" s="23" t="inlineStr">
        <is>
          <t>MANTA LIQUIDA DE BASE ASFALTICA MODIFICADA COM A ADICAO DE ELASTOMEROS DILUIDOS EM SOLVENTE ORGANICO, APLICACAO A FRIO (MEMBRANA DE EMULSAO ASFALTICA PARA IMPERMEABILIZACAO FLEXIVEL)</t>
        </is>
      </c>
      <c r="C685" s="22" t="inlineStr">
        <is>
          <t>SINAPI</t>
        </is>
      </c>
      <c r="D685" s="22" t="inlineStr">
        <is>
          <t>KG</t>
        </is>
      </c>
      <c r="E685" s="63" t="n">
        <v>1.5</v>
      </c>
      <c r="F685" s="64">
        <f>ROUND(M685*FATOR, 2)</f>
        <v/>
      </c>
      <c r="G685" s="64">
        <f>TRUNC(TRUNC(E685,8)*F685,2)</f>
        <v/>
      </c>
      <c r="L685" t="n">
        <v>1.5</v>
      </c>
      <c r="M685" t="n">
        <v>17.77</v>
      </c>
      <c r="N685">
        <f>(M685-F685)</f>
        <v/>
      </c>
    </row>
    <row r="686" ht="15" customHeight="1">
      <c r="A686" s="2" t="inlineStr"/>
      <c r="B686" s="2" t="inlineStr"/>
      <c r="C686" s="2" t="inlineStr"/>
      <c r="D686" s="2" t="inlineStr"/>
      <c r="E686" s="26" t="inlineStr">
        <is>
          <t>TOTAL Material:</t>
        </is>
      </c>
      <c r="F686" s="56" t="n"/>
      <c r="G686" s="65">
        <f>SUM(G685:G685)</f>
        <v/>
      </c>
    </row>
    <row r="687" ht="15" customHeight="1">
      <c r="A687" s="20" t="inlineStr">
        <is>
          <t>Mão de Obra com Encargos Complementares</t>
        </is>
      </c>
      <c r="B687" s="56" t="n"/>
      <c r="C687" s="21" t="inlineStr">
        <is>
          <t>FONTE</t>
        </is>
      </c>
      <c r="D687" s="21" t="inlineStr">
        <is>
          <t>UNID</t>
        </is>
      </c>
      <c r="E687" s="21" t="inlineStr">
        <is>
          <t>COEFICIENTE</t>
        </is>
      </c>
      <c r="F687" s="21" t="inlineStr">
        <is>
          <t>PREÇO UNITÁRIO</t>
        </is>
      </c>
      <c r="G687" s="21" t="inlineStr">
        <is>
          <t>TOTAL</t>
        </is>
      </c>
    </row>
    <row r="688" ht="21" customHeight="1">
      <c r="A688" s="22" t="inlineStr">
        <is>
          <t>88243</t>
        </is>
      </c>
      <c r="B688" s="23" t="inlineStr">
        <is>
          <t>AJUDANTE ESPECIALIZADO COM ENCARGOS COMPLEMENTARES</t>
        </is>
      </c>
      <c r="C688" s="22" t="inlineStr">
        <is>
          <t>SINAPI</t>
        </is>
      </c>
      <c r="D688" s="22" t="inlineStr">
        <is>
          <t>H</t>
        </is>
      </c>
      <c r="E688" s="63">
        <f>L688*FATOR</f>
        <v/>
      </c>
      <c r="F688" s="64">
        <f>'COMPOSICOES AUXILIARES'!G106</f>
        <v/>
      </c>
      <c r="G688" s="64">
        <f>TRUNC(TRUNC(E688,8)*F688,2)</f>
        <v/>
      </c>
      <c r="L688" t="n">
        <v>0.0969</v>
      </c>
      <c r="M688" t="n">
        <v>23.76</v>
      </c>
      <c r="N688">
        <f>(M688-F688)</f>
        <v/>
      </c>
    </row>
    <row r="689" ht="15" customHeight="1">
      <c r="A689" s="22" t="inlineStr">
        <is>
          <t>88270</t>
        </is>
      </c>
      <c r="B689" s="23" t="inlineStr">
        <is>
          <t>IMPERMEABILIZADOR COM ENCARGOS COMPLEMENTARES</t>
        </is>
      </c>
      <c r="C689" s="22" t="inlineStr">
        <is>
          <t>SINAPI</t>
        </is>
      </c>
      <c r="D689" s="22" t="inlineStr">
        <is>
          <t>H</t>
        </is>
      </c>
      <c r="E689" s="63">
        <f>L689*FATOR</f>
        <v/>
      </c>
      <c r="F689" s="64">
        <f>'COMPOSICOES AUXILIARES'!G2289</f>
        <v/>
      </c>
      <c r="G689" s="64">
        <f>TRUNC(TRUNC(E689,8)*F689,2)</f>
        <v/>
      </c>
      <c r="L689" t="n">
        <v>0.4299</v>
      </c>
      <c r="M689" t="n">
        <v>30.58</v>
      </c>
      <c r="N689">
        <f>(M689-F689)</f>
        <v/>
      </c>
    </row>
    <row r="690" ht="18" customHeight="1">
      <c r="A690" s="2" t="inlineStr"/>
      <c r="B690" s="2" t="inlineStr"/>
      <c r="C690" s="2" t="inlineStr"/>
      <c r="D690" s="2" t="inlineStr"/>
      <c r="E690" s="26" t="inlineStr">
        <is>
          <t>TOTAL Mão de Obra com Encargos Complementares:</t>
        </is>
      </c>
      <c r="F690" s="56" t="n"/>
      <c r="G690" s="65">
        <f>SUM(G688:G689)</f>
        <v/>
      </c>
    </row>
    <row r="691" ht="15" customHeight="1">
      <c r="A691" s="2" t="inlineStr"/>
      <c r="B691" s="2" t="inlineStr"/>
      <c r="C691" s="2" t="inlineStr"/>
      <c r="D691" s="2" t="inlineStr"/>
      <c r="E691" s="28" t="inlineStr">
        <is>
          <t>VALOR:</t>
        </is>
      </c>
      <c r="F691" s="56" t="n"/>
      <c r="G691" s="66">
        <f>SUM(G690,G686)</f>
        <v/>
      </c>
    </row>
    <row r="692" ht="15" customHeight="1">
      <c r="A692" s="2" t="inlineStr"/>
      <c r="B692" s="2" t="inlineStr"/>
      <c r="C692" s="2" t="inlineStr"/>
      <c r="D692" s="2" t="inlineStr"/>
      <c r="E692" s="28" t="inlineStr">
        <is>
          <t>VALOR BDI (23.08%):</t>
        </is>
      </c>
      <c r="F692" s="56" t="n"/>
      <c r="G692" s="66">
        <f>ROUNDDOWN(G691*BDI,2)</f>
        <v/>
      </c>
    </row>
    <row r="693" ht="15" customHeight="1">
      <c r="A693" s="2" t="inlineStr"/>
      <c r="B693" s="2" t="inlineStr"/>
      <c r="C693" s="2" t="inlineStr"/>
      <c r="D693" s="2" t="inlineStr"/>
      <c r="E693" s="28" t="inlineStr">
        <is>
          <t>VALOR COM BDI:</t>
        </is>
      </c>
      <c r="F693" s="56" t="n"/>
      <c r="G693" s="66">
        <f>G692 + G691</f>
        <v/>
      </c>
    </row>
    <row r="694" ht="10" customHeight="1">
      <c r="A694" s="2" t="inlineStr"/>
      <c r="B694" s="2" t="inlineStr"/>
      <c r="C694" s="2" t="inlineStr"/>
      <c r="D694" s="2" t="inlineStr"/>
      <c r="E694" s="18" t="inlineStr"/>
    </row>
    <row r="695" ht="20" customHeight="1">
      <c r="A695" s="19" t="inlineStr">
        <is>
          <t>4.1.1.1. ​92759​ ARMAÇÃO DE PILAR OU VIGA DE ESTRUTURA CONVENCIONAL DE CONCRETO ARMADO UTILIZANDO AÇO CA-60 DE 5,0 MM - MONTAGEM. AF_06/2022​ (KG)</t>
        </is>
      </c>
      <c r="B695" s="55" t="n"/>
      <c r="C695" s="55" t="n"/>
      <c r="D695" s="55" t="n"/>
      <c r="E695" s="55" t="n"/>
      <c r="F695" s="55" t="n"/>
      <c r="G695" s="56" t="n"/>
    </row>
    <row r="696" ht="15" customHeight="1">
      <c r="A696" s="20" t="inlineStr">
        <is>
          <t>Material</t>
        </is>
      </c>
      <c r="B696" s="56" t="n"/>
      <c r="C696" s="21" t="inlineStr">
        <is>
          <t>FONTE</t>
        </is>
      </c>
      <c r="D696" s="21" t="inlineStr">
        <is>
          <t>UNID</t>
        </is>
      </c>
      <c r="E696" s="21" t="inlineStr">
        <is>
          <t>COEFICIENTE</t>
        </is>
      </c>
      <c r="F696" s="21" t="inlineStr">
        <is>
          <t>PREÇO UNITÁRIO</t>
        </is>
      </c>
      <c r="G696" s="21" t="inlineStr">
        <is>
          <t>TOTAL</t>
        </is>
      </c>
    </row>
    <row r="697" ht="21" customHeight="1">
      <c r="A697" s="22" t="inlineStr">
        <is>
          <t>00043132</t>
        </is>
      </c>
      <c r="B697" s="23" t="inlineStr">
        <is>
          <t>ARAME RECOZIDO 16 BWG, D = 1,65 MM (0,016 KG/M) OU 18 BWG, D = 1,25 MM (0,01 KG/M)</t>
        </is>
      </c>
      <c r="C697" s="22" t="inlineStr">
        <is>
          <t>SINAPI</t>
        </is>
      </c>
      <c r="D697" s="22" t="inlineStr">
        <is>
          <t>KG</t>
        </is>
      </c>
      <c r="E697" s="63" t="n">
        <v>0.025</v>
      </c>
      <c r="F697" s="64">
        <f>ROUND(M697*FATOR, 2)</f>
        <v/>
      </c>
      <c r="G697" s="64">
        <f>TRUNC(TRUNC(E697,8)*F697,2)</f>
        <v/>
      </c>
      <c r="L697" t="n">
        <v>0.025</v>
      </c>
      <c r="M697" t="n">
        <v>15.67</v>
      </c>
      <c r="N697">
        <f>(M697-F697)</f>
        <v/>
      </c>
    </row>
    <row r="698" ht="29" customHeight="1">
      <c r="A698" s="22" t="inlineStr">
        <is>
          <t>00039017</t>
        </is>
      </c>
      <c r="B698" s="23" t="inlineStr">
        <is>
          <t>ESPACADOR / DISTANCIADOR CIRCULAR COM ENTRADA LATERAL, EM PLASTICO, PARA VERGALHAO *4,2 A 12,5* MM, COBRIMENTO 20 MM</t>
        </is>
      </c>
      <c r="C698" s="22" t="inlineStr">
        <is>
          <t>SINAPI</t>
        </is>
      </c>
      <c r="D698" s="22" t="inlineStr">
        <is>
          <t>UN</t>
        </is>
      </c>
      <c r="E698" s="63" t="n">
        <v>1.19</v>
      </c>
      <c r="F698" s="64">
        <f>ROUND(M698*FATOR, 2)</f>
        <v/>
      </c>
      <c r="G698" s="64">
        <f>TRUNC(TRUNC(E698,8)*F698,2)</f>
        <v/>
      </c>
      <c r="L698" t="n">
        <v>1.19</v>
      </c>
      <c r="M698" t="n">
        <v>0.22</v>
      </c>
      <c r="N698">
        <f>(M698-F698)</f>
        <v/>
      </c>
    </row>
    <row r="699" ht="15" customHeight="1">
      <c r="A699" s="2" t="inlineStr"/>
      <c r="B699" s="2" t="inlineStr"/>
      <c r="C699" s="2" t="inlineStr"/>
      <c r="D699" s="2" t="inlineStr"/>
      <c r="E699" s="26" t="inlineStr">
        <is>
          <t>TOTAL Material:</t>
        </is>
      </c>
      <c r="F699" s="56" t="n"/>
      <c r="G699" s="65">
        <f>SUM(G697:G698)</f>
        <v/>
      </c>
    </row>
    <row r="700" ht="15" customHeight="1">
      <c r="A700" s="20" t="inlineStr">
        <is>
          <t>Mão de Obra com Encargos Complementares</t>
        </is>
      </c>
      <c r="B700" s="56" t="n"/>
      <c r="C700" s="21" t="inlineStr">
        <is>
          <t>FONTE</t>
        </is>
      </c>
      <c r="D700" s="21" t="inlineStr">
        <is>
          <t>UNID</t>
        </is>
      </c>
      <c r="E700" s="21" t="inlineStr">
        <is>
          <t>COEFICIENTE</t>
        </is>
      </c>
      <c r="F700" s="21" t="inlineStr">
        <is>
          <t>PREÇO UNITÁRIO</t>
        </is>
      </c>
      <c r="G700" s="21" t="inlineStr">
        <is>
          <t>TOTAL</t>
        </is>
      </c>
    </row>
    <row r="701" ht="21" customHeight="1">
      <c r="A701" s="22" t="inlineStr">
        <is>
          <t>88238</t>
        </is>
      </c>
      <c r="B701" s="23" t="inlineStr">
        <is>
          <t>AJUDANTE DE ARMADOR COM ENCARGOS COMPLEMENTARES</t>
        </is>
      </c>
      <c r="C701" s="22" t="inlineStr">
        <is>
          <t>SINAPI</t>
        </is>
      </c>
      <c r="D701" s="22" t="inlineStr">
        <is>
          <t>H</t>
        </is>
      </c>
      <c r="E701" s="63">
        <f>L701*FATOR</f>
        <v/>
      </c>
      <c r="F701" s="64">
        <f>'COMPOSICOES AUXILIARES'!G26</f>
        <v/>
      </c>
      <c r="G701" s="64">
        <f>TRUNC(TRUNC(E701,8)*F701,2)</f>
        <v/>
      </c>
      <c r="L701" t="n">
        <v>0.0175</v>
      </c>
      <c r="M701" t="n">
        <v>24.77</v>
      </c>
      <c r="N701">
        <f>(M701-F701)</f>
        <v/>
      </c>
    </row>
    <row r="702" ht="15" customHeight="1">
      <c r="A702" s="22" t="inlineStr">
        <is>
          <t>88245</t>
        </is>
      </c>
      <c r="B702" s="23" t="inlineStr">
        <is>
          <t>ARMADOR COM ENCARGOS COMPLEMENTARES</t>
        </is>
      </c>
      <c r="C702" s="22" t="inlineStr">
        <is>
          <t>SINAPI</t>
        </is>
      </c>
      <c r="D702" s="22" t="inlineStr">
        <is>
          <t>H</t>
        </is>
      </c>
      <c r="E702" s="63">
        <f>L702*FATOR</f>
        <v/>
      </c>
      <c r="F702" s="64">
        <f>'COMPOSICOES AUXILIARES'!G26</f>
        <v/>
      </c>
      <c r="G702" s="64">
        <f>TRUNC(TRUNC(E702,8)*F702,2)</f>
        <v/>
      </c>
      <c r="L702" t="n">
        <v>0.1069</v>
      </c>
      <c r="M702" t="n">
        <v>30.43</v>
      </c>
      <c r="N702">
        <f>(M702-F702)</f>
        <v/>
      </c>
    </row>
    <row r="703" ht="18" customHeight="1">
      <c r="A703" s="2" t="inlineStr"/>
      <c r="B703" s="2" t="inlineStr"/>
      <c r="C703" s="2" t="inlineStr"/>
      <c r="D703" s="2" t="inlineStr"/>
      <c r="E703" s="26" t="inlineStr">
        <is>
          <t>TOTAL Mão de Obra com Encargos Complementares:</t>
        </is>
      </c>
      <c r="F703" s="56" t="n"/>
      <c r="G703" s="65">
        <f>SUM(G701:G702)</f>
        <v/>
      </c>
    </row>
    <row r="704" ht="15" customHeight="1">
      <c r="A704" s="20" t="inlineStr">
        <is>
          <t>Serviço</t>
        </is>
      </c>
      <c r="B704" s="56" t="n"/>
      <c r="C704" s="21" t="inlineStr">
        <is>
          <t>FONTE</t>
        </is>
      </c>
      <c r="D704" s="21" t="inlineStr">
        <is>
          <t>UNID</t>
        </is>
      </c>
      <c r="E704" s="21" t="inlineStr">
        <is>
          <t>COEFICIENTE</t>
        </is>
      </c>
      <c r="F704" s="21" t="inlineStr">
        <is>
          <t>PREÇO UNITÁRIO</t>
        </is>
      </c>
      <c r="G704" s="21" t="inlineStr">
        <is>
          <t>TOTAL</t>
        </is>
      </c>
    </row>
    <row r="705" ht="21" customHeight="1">
      <c r="A705" s="22" t="inlineStr">
        <is>
          <t>92800</t>
        </is>
      </c>
      <c r="B705" s="23" t="inlineStr">
        <is>
          <t>CORTE E DOBRA DE AÇO CA-60, DIÂMETRO DE 5,0 MM. AF_06/2022</t>
        </is>
      </c>
      <c r="C705" s="22" t="inlineStr">
        <is>
          <t>SINAPI</t>
        </is>
      </c>
      <c r="D705" s="22" t="inlineStr">
        <is>
          <t>KG</t>
        </is>
      </c>
      <c r="E705" s="63" t="n">
        <v>1</v>
      </c>
      <c r="F705" s="64">
        <f>'COMPOSICOES AUXILIARES'!G1475</f>
        <v/>
      </c>
      <c r="G705" s="64">
        <f>TRUNC(TRUNC(E705,8)*F705,2)</f>
        <v/>
      </c>
      <c r="L705" t="n">
        <v>1</v>
      </c>
      <c r="M705" t="n">
        <v>9.48</v>
      </c>
      <c r="N705">
        <f>(M705-F705)</f>
        <v/>
      </c>
    </row>
    <row r="706" ht="15" customHeight="1">
      <c r="A706" s="2" t="inlineStr"/>
      <c r="B706" s="2" t="inlineStr"/>
      <c r="C706" s="2" t="inlineStr"/>
      <c r="D706" s="2" t="inlineStr"/>
      <c r="E706" s="26" t="inlineStr">
        <is>
          <t>TOTAL Serviço:</t>
        </is>
      </c>
      <c r="F706" s="56" t="n"/>
      <c r="G706" s="65">
        <f>SUM(G705:G705)</f>
        <v/>
      </c>
    </row>
    <row r="707" ht="15" customHeight="1">
      <c r="A707" s="2" t="inlineStr"/>
      <c r="B707" s="2" t="inlineStr"/>
      <c r="C707" s="2" t="inlineStr"/>
      <c r="D707" s="2" t="inlineStr"/>
      <c r="E707" s="28" t="inlineStr">
        <is>
          <t>VALOR:</t>
        </is>
      </c>
      <c r="F707" s="56" t="n"/>
      <c r="G707" s="66">
        <f>SUM(G706,G699,G703)</f>
        <v/>
      </c>
    </row>
    <row r="708" ht="15" customHeight="1">
      <c r="A708" s="2" t="inlineStr"/>
      <c r="B708" s="2" t="inlineStr"/>
      <c r="C708" s="2" t="inlineStr"/>
      <c r="D708" s="2" t="inlineStr"/>
      <c r="E708" s="28" t="inlineStr">
        <is>
          <t>VALOR BDI (23.08%):</t>
        </is>
      </c>
      <c r="F708" s="56" t="n"/>
      <c r="G708" s="66">
        <f>ROUNDDOWN(G707*BDI,2)</f>
        <v/>
      </c>
    </row>
    <row r="709" ht="15" customHeight="1">
      <c r="A709" s="2" t="inlineStr"/>
      <c r="B709" s="2" t="inlineStr"/>
      <c r="C709" s="2" t="inlineStr"/>
      <c r="D709" s="2" t="inlineStr"/>
      <c r="E709" s="28" t="inlineStr">
        <is>
          <t>VALOR COM BDI:</t>
        </is>
      </c>
      <c r="F709" s="56" t="n"/>
      <c r="G709" s="66">
        <f>G708 + G707</f>
        <v/>
      </c>
    </row>
    <row r="710" ht="10" customHeight="1">
      <c r="A710" s="2" t="inlineStr"/>
      <c r="B710" s="2" t="inlineStr"/>
      <c r="C710" s="2" t="inlineStr"/>
      <c r="D710" s="2" t="inlineStr"/>
      <c r="E710" s="18" t="inlineStr"/>
    </row>
    <row r="711" ht="20" customHeight="1">
      <c r="A711" s="19" t="inlineStr">
        <is>
          <t>4.1.1.2. ​92760​ ARMAÇÃO DE PILAR OU VIGA DE ESTRUTURA CONVENCIONAL DE CONCRETO ARMADO UTILIZANDO AÇO CA-50 DE 6,3 MM - MONTAGEM. AF_06/2022​ (KG)</t>
        </is>
      </c>
      <c r="B711" s="55" t="n"/>
      <c r="C711" s="55" t="n"/>
      <c r="D711" s="55" t="n"/>
      <c r="E711" s="55" t="n"/>
      <c r="F711" s="55" t="n"/>
      <c r="G711" s="56" t="n"/>
    </row>
    <row r="712" ht="15" customHeight="1">
      <c r="A712" s="20" t="inlineStr">
        <is>
          <t>Material</t>
        </is>
      </c>
      <c r="B712" s="56" t="n"/>
      <c r="C712" s="21" t="inlineStr">
        <is>
          <t>FONTE</t>
        </is>
      </c>
      <c r="D712" s="21" t="inlineStr">
        <is>
          <t>UNID</t>
        </is>
      </c>
      <c r="E712" s="21" t="inlineStr">
        <is>
          <t>COEFICIENTE</t>
        </is>
      </c>
      <c r="F712" s="21" t="inlineStr">
        <is>
          <t>PREÇO UNITÁRIO</t>
        </is>
      </c>
      <c r="G712" s="21" t="inlineStr">
        <is>
          <t>TOTAL</t>
        </is>
      </c>
    </row>
    <row r="713" ht="21" customHeight="1">
      <c r="A713" s="22" t="inlineStr">
        <is>
          <t>00043132</t>
        </is>
      </c>
      <c r="B713" s="23" t="inlineStr">
        <is>
          <t>ARAME RECOZIDO 16 BWG, D = 1,65 MM (0,016 KG/M) OU 18 BWG, D = 1,25 MM (0,01 KG/M)</t>
        </is>
      </c>
      <c r="C713" s="22" t="inlineStr">
        <is>
          <t>SINAPI</t>
        </is>
      </c>
      <c r="D713" s="22" t="inlineStr">
        <is>
          <t>KG</t>
        </is>
      </c>
      <c r="E713" s="63" t="n">
        <v>0.025</v>
      </c>
      <c r="F713" s="64">
        <f>ROUND(M713*FATOR, 2)</f>
        <v/>
      </c>
      <c r="G713" s="64">
        <f>TRUNC(TRUNC(E713,8)*F713,2)</f>
        <v/>
      </c>
      <c r="L713" t="n">
        <v>0.025</v>
      </c>
      <c r="M713" t="n">
        <v>15.67</v>
      </c>
      <c r="N713">
        <f>(M713-F713)</f>
        <v/>
      </c>
    </row>
    <row r="714" ht="29" customHeight="1">
      <c r="A714" s="22" t="inlineStr">
        <is>
          <t>00039017</t>
        </is>
      </c>
      <c r="B714" s="23" t="inlineStr">
        <is>
          <t>ESPACADOR / DISTANCIADOR CIRCULAR COM ENTRADA LATERAL, EM PLASTICO, PARA VERGALHAO *4,2 A 12,5* MM, COBRIMENTO 20 MM</t>
        </is>
      </c>
      <c r="C714" s="22" t="inlineStr">
        <is>
          <t>SINAPI</t>
        </is>
      </c>
      <c r="D714" s="22" t="inlineStr">
        <is>
          <t>UN</t>
        </is>
      </c>
      <c r="E714" s="63" t="n">
        <v>0.97</v>
      </c>
      <c r="F714" s="64">
        <f>ROUND(M714*FATOR, 2)</f>
        <v/>
      </c>
      <c r="G714" s="64">
        <f>TRUNC(TRUNC(E714,8)*F714,2)</f>
        <v/>
      </c>
      <c r="L714" t="n">
        <v>0.97</v>
      </c>
      <c r="M714" t="n">
        <v>0.22</v>
      </c>
      <c r="N714">
        <f>(M714-F714)</f>
        <v/>
      </c>
    </row>
    <row r="715" ht="15" customHeight="1">
      <c r="A715" s="2" t="inlineStr"/>
      <c r="B715" s="2" t="inlineStr"/>
      <c r="C715" s="2" t="inlineStr"/>
      <c r="D715" s="2" t="inlineStr"/>
      <c r="E715" s="26" t="inlineStr">
        <is>
          <t>TOTAL Material:</t>
        </is>
      </c>
      <c r="F715" s="56" t="n"/>
      <c r="G715" s="65">
        <f>SUM(G713:G714)</f>
        <v/>
      </c>
    </row>
    <row r="716" ht="15" customHeight="1">
      <c r="A716" s="20" t="inlineStr">
        <is>
          <t>Mão de Obra com Encargos Complementares</t>
        </is>
      </c>
      <c r="B716" s="56" t="n"/>
      <c r="C716" s="21" t="inlineStr">
        <is>
          <t>FONTE</t>
        </is>
      </c>
      <c r="D716" s="21" t="inlineStr">
        <is>
          <t>UNID</t>
        </is>
      </c>
      <c r="E716" s="21" t="inlineStr">
        <is>
          <t>COEFICIENTE</t>
        </is>
      </c>
      <c r="F716" s="21" t="inlineStr">
        <is>
          <t>PREÇO UNITÁRIO</t>
        </is>
      </c>
      <c r="G716" s="21" t="inlineStr">
        <is>
          <t>TOTAL</t>
        </is>
      </c>
    </row>
    <row r="717" ht="21" customHeight="1">
      <c r="A717" s="22" t="inlineStr">
        <is>
          <t>88238</t>
        </is>
      </c>
      <c r="B717" s="23" t="inlineStr">
        <is>
          <t>AJUDANTE DE ARMADOR COM ENCARGOS COMPLEMENTARES</t>
        </is>
      </c>
      <c r="C717" s="22" t="inlineStr">
        <is>
          <t>SINAPI</t>
        </is>
      </c>
      <c r="D717" s="22" t="inlineStr">
        <is>
          <t>H</t>
        </is>
      </c>
      <c r="E717" s="63">
        <f>L717*FATOR</f>
        <v/>
      </c>
      <c r="F717" s="64">
        <f>'COMPOSICOES AUXILIARES'!G26</f>
        <v/>
      </c>
      <c r="G717" s="64">
        <f>TRUNC(TRUNC(E717,8)*F717,2)</f>
        <v/>
      </c>
      <c r="L717" t="n">
        <v>0.0129</v>
      </c>
      <c r="M717" t="n">
        <v>24.77</v>
      </c>
      <c r="N717">
        <f>(M717-F717)</f>
        <v/>
      </c>
    </row>
    <row r="718" ht="15" customHeight="1">
      <c r="A718" s="22" t="inlineStr">
        <is>
          <t>88245</t>
        </is>
      </c>
      <c r="B718" s="23" t="inlineStr">
        <is>
          <t>ARMADOR COM ENCARGOS COMPLEMENTARES</t>
        </is>
      </c>
      <c r="C718" s="22" t="inlineStr">
        <is>
          <t>SINAPI</t>
        </is>
      </c>
      <c r="D718" s="22" t="inlineStr">
        <is>
          <t>H</t>
        </is>
      </c>
      <c r="E718" s="63">
        <f>L718*FATOR</f>
        <v/>
      </c>
      <c r="F718" s="64">
        <f>'COMPOSICOES AUXILIARES'!G26</f>
        <v/>
      </c>
      <c r="G718" s="64">
        <f>TRUNC(TRUNC(E718,8)*F718,2)</f>
        <v/>
      </c>
      <c r="L718" t="n">
        <v>0.079</v>
      </c>
      <c r="M718" t="n">
        <v>30.43</v>
      </c>
      <c r="N718">
        <f>(M718-F718)</f>
        <v/>
      </c>
    </row>
    <row r="719" ht="18" customHeight="1">
      <c r="A719" s="2" t="inlineStr"/>
      <c r="B719" s="2" t="inlineStr"/>
      <c r="C719" s="2" t="inlineStr"/>
      <c r="D719" s="2" t="inlineStr"/>
      <c r="E719" s="26" t="inlineStr">
        <is>
          <t>TOTAL Mão de Obra com Encargos Complementares:</t>
        </is>
      </c>
      <c r="F719" s="56" t="n"/>
      <c r="G719" s="65">
        <f>SUM(G717:G718)</f>
        <v/>
      </c>
    </row>
    <row r="720" ht="15" customHeight="1">
      <c r="A720" s="20" t="inlineStr">
        <is>
          <t>Serviço</t>
        </is>
      </c>
      <c r="B720" s="56" t="n"/>
      <c r="C720" s="21" t="inlineStr">
        <is>
          <t>FONTE</t>
        </is>
      </c>
      <c r="D720" s="21" t="inlineStr">
        <is>
          <t>UNID</t>
        </is>
      </c>
      <c r="E720" s="21" t="inlineStr">
        <is>
          <t>COEFICIENTE</t>
        </is>
      </c>
      <c r="F720" s="21" t="inlineStr">
        <is>
          <t>PREÇO UNITÁRIO</t>
        </is>
      </c>
      <c r="G720" s="21" t="inlineStr">
        <is>
          <t>TOTAL</t>
        </is>
      </c>
    </row>
    <row r="721" ht="21" customHeight="1">
      <c r="A721" s="22" t="inlineStr">
        <is>
          <t>92801</t>
        </is>
      </c>
      <c r="B721" s="23" t="inlineStr">
        <is>
          <t>CORTE E DOBRA DE AÇO CA-50, DIÂMETRO DE 6,3 MM. AF_06/2022</t>
        </is>
      </c>
      <c r="C721" s="22" t="inlineStr">
        <is>
          <t>SINAPI</t>
        </is>
      </c>
      <c r="D721" s="22" t="inlineStr">
        <is>
          <t>KG</t>
        </is>
      </c>
      <c r="E721" s="63" t="n">
        <v>1</v>
      </c>
      <c r="F721" s="64">
        <f>'COMPOSICOES AUXILIARES'!G1439</f>
        <v/>
      </c>
      <c r="G721" s="64">
        <f>TRUNC(TRUNC(E721,8)*F721,2)</f>
        <v/>
      </c>
      <c r="L721" t="n">
        <v>1</v>
      </c>
      <c r="M721" t="n">
        <v>9.4</v>
      </c>
      <c r="N721">
        <f>(M721-F721)</f>
        <v/>
      </c>
    </row>
    <row r="722" ht="15" customHeight="1">
      <c r="A722" s="2" t="inlineStr"/>
      <c r="B722" s="2" t="inlineStr"/>
      <c r="C722" s="2" t="inlineStr"/>
      <c r="D722" s="2" t="inlineStr"/>
      <c r="E722" s="26" t="inlineStr">
        <is>
          <t>TOTAL Serviço:</t>
        </is>
      </c>
      <c r="F722" s="56" t="n"/>
      <c r="G722" s="65">
        <f>SUM(G721:G721)</f>
        <v/>
      </c>
    </row>
    <row r="723" ht="15" customHeight="1">
      <c r="A723" s="2" t="inlineStr"/>
      <c r="B723" s="2" t="inlineStr"/>
      <c r="C723" s="2" t="inlineStr"/>
      <c r="D723" s="2" t="inlineStr"/>
      <c r="E723" s="28" t="inlineStr">
        <is>
          <t>VALOR:</t>
        </is>
      </c>
      <c r="F723" s="56" t="n"/>
      <c r="G723" s="66">
        <f>SUM(G722,G715,G719)</f>
        <v/>
      </c>
    </row>
    <row r="724" ht="15" customHeight="1">
      <c r="A724" s="2" t="inlineStr"/>
      <c r="B724" s="2" t="inlineStr"/>
      <c r="C724" s="2" t="inlineStr"/>
      <c r="D724" s="2" t="inlineStr"/>
      <c r="E724" s="28" t="inlineStr">
        <is>
          <t>VALOR BDI (23.08%):</t>
        </is>
      </c>
      <c r="F724" s="56" t="n"/>
      <c r="G724" s="66">
        <f>ROUNDDOWN(G723*BDI,2)</f>
        <v/>
      </c>
    </row>
    <row r="725" ht="15" customHeight="1">
      <c r="A725" s="2" t="inlineStr"/>
      <c r="B725" s="2" t="inlineStr"/>
      <c r="C725" s="2" t="inlineStr"/>
      <c r="D725" s="2" t="inlineStr"/>
      <c r="E725" s="28" t="inlineStr">
        <is>
          <t>VALOR COM BDI:</t>
        </is>
      </c>
      <c r="F725" s="56" t="n"/>
      <c r="G725" s="66">
        <f>G724 + G723</f>
        <v/>
      </c>
    </row>
    <row r="726" ht="10" customHeight="1">
      <c r="A726" s="2" t="inlineStr"/>
      <c r="B726" s="2" t="inlineStr"/>
      <c r="C726" s="2" t="inlineStr"/>
      <c r="D726" s="2" t="inlineStr"/>
      <c r="E726" s="18" t="inlineStr"/>
    </row>
    <row r="727" ht="20" customHeight="1">
      <c r="A727" s="19" t="inlineStr">
        <is>
          <t>4.1.1.3. ​92761​ ARMAÇÃO DE PILAR OU VIGA DE ESTRUTURA CONVENCIONAL DE CONCRETO ARMADO UTILIZANDO AÇO CA-50 DE 8,0 MM - MONTAGEM. AF_06/2022​ (KG)</t>
        </is>
      </c>
      <c r="B727" s="55" t="n"/>
      <c r="C727" s="55" t="n"/>
      <c r="D727" s="55" t="n"/>
      <c r="E727" s="55" t="n"/>
      <c r="F727" s="55" t="n"/>
      <c r="G727" s="56" t="n"/>
    </row>
    <row r="728" ht="15" customHeight="1">
      <c r="A728" s="20" t="inlineStr">
        <is>
          <t>Material</t>
        </is>
      </c>
      <c r="B728" s="56" t="n"/>
      <c r="C728" s="21" t="inlineStr">
        <is>
          <t>FONTE</t>
        </is>
      </c>
      <c r="D728" s="21" t="inlineStr">
        <is>
          <t>UNID</t>
        </is>
      </c>
      <c r="E728" s="21" t="inlineStr">
        <is>
          <t>COEFICIENTE</t>
        </is>
      </c>
      <c r="F728" s="21" t="inlineStr">
        <is>
          <t>PREÇO UNITÁRIO</t>
        </is>
      </c>
      <c r="G728" s="21" t="inlineStr">
        <is>
          <t>TOTAL</t>
        </is>
      </c>
    </row>
    <row r="729" ht="21" customHeight="1">
      <c r="A729" s="22" t="inlineStr">
        <is>
          <t>00043132</t>
        </is>
      </c>
      <c r="B729" s="23" t="inlineStr">
        <is>
          <t>ARAME RECOZIDO 16 BWG, D = 1,65 MM (0,016 KG/M) OU 18 BWG, D = 1,25 MM (0,01 KG/M)</t>
        </is>
      </c>
      <c r="C729" s="22" t="inlineStr">
        <is>
          <t>SINAPI</t>
        </is>
      </c>
      <c r="D729" s="22" t="inlineStr">
        <is>
          <t>KG</t>
        </is>
      </c>
      <c r="E729" s="63" t="n">
        <v>0.025</v>
      </c>
      <c r="F729" s="64">
        <f>ROUND(M729*FATOR, 2)</f>
        <v/>
      </c>
      <c r="G729" s="64">
        <f>TRUNC(TRUNC(E729,8)*F729,2)</f>
        <v/>
      </c>
      <c r="L729" t="n">
        <v>0.025</v>
      </c>
      <c r="M729" t="n">
        <v>15.67</v>
      </c>
      <c r="N729">
        <f>(M729-F729)</f>
        <v/>
      </c>
    </row>
    <row r="730" ht="29" customHeight="1">
      <c r="A730" s="22" t="inlineStr">
        <is>
          <t>00039017</t>
        </is>
      </c>
      <c r="B730" s="23" t="inlineStr">
        <is>
          <t>ESPACADOR / DISTANCIADOR CIRCULAR COM ENTRADA LATERAL, EM PLASTICO, PARA VERGALHAO *4,2 A 12,5* MM, COBRIMENTO 20 MM</t>
        </is>
      </c>
      <c r="C730" s="22" t="inlineStr">
        <is>
          <t>SINAPI</t>
        </is>
      </c>
      <c r="D730" s="22" t="inlineStr">
        <is>
          <t>UN</t>
        </is>
      </c>
      <c r="E730" s="63" t="n">
        <v>0.743</v>
      </c>
      <c r="F730" s="64">
        <f>ROUND(M730*FATOR, 2)</f>
        <v/>
      </c>
      <c r="G730" s="64">
        <f>TRUNC(TRUNC(E730,8)*F730,2)</f>
        <v/>
      </c>
      <c r="L730" t="n">
        <v>0.743</v>
      </c>
      <c r="M730" t="n">
        <v>0.22</v>
      </c>
      <c r="N730">
        <f>(M730-F730)</f>
        <v/>
      </c>
    </row>
    <row r="731" ht="15" customHeight="1">
      <c r="A731" s="2" t="inlineStr"/>
      <c r="B731" s="2" t="inlineStr"/>
      <c r="C731" s="2" t="inlineStr"/>
      <c r="D731" s="2" t="inlineStr"/>
      <c r="E731" s="26" t="inlineStr">
        <is>
          <t>TOTAL Material:</t>
        </is>
      </c>
      <c r="F731" s="56" t="n"/>
      <c r="G731" s="65">
        <f>SUM(G729:G730)</f>
        <v/>
      </c>
    </row>
    <row r="732" ht="15" customHeight="1">
      <c r="A732" s="20" t="inlineStr">
        <is>
          <t>Mão de Obra com Encargos Complementares</t>
        </is>
      </c>
      <c r="B732" s="56" t="n"/>
      <c r="C732" s="21" t="inlineStr">
        <is>
          <t>FONTE</t>
        </is>
      </c>
      <c r="D732" s="21" t="inlineStr">
        <is>
          <t>UNID</t>
        </is>
      </c>
      <c r="E732" s="21" t="inlineStr">
        <is>
          <t>COEFICIENTE</t>
        </is>
      </c>
      <c r="F732" s="21" t="inlineStr">
        <is>
          <t>PREÇO UNITÁRIO</t>
        </is>
      </c>
      <c r="G732" s="21" t="inlineStr">
        <is>
          <t>TOTAL</t>
        </is>
      </c>
    </row>
    <row r="733" ht="21" customHeight="1">
      <c r="A733" s="22" t="inlineStr">
        <is>
          <t>88238</t>
        </is>
      </c>
      <c r="B733" s="23" t="inlineStr">
        <is>
          <t>AJUDANTE DE ARMADOR COM ENCARGOS COMPLEMENTARES</t>
        </is>
      </c>
      <c r="C733" s="22" t="inlineStr">
        <is>
          <t>SINAPI</t>
        </is>
      </c>
      <c r="D733" s="22" t="inlineStr">
        <is>
          <t>H</t>
        </is>
      </c>
      <c r="E733" s="63">
        <f>L733*FATOR</f>
        <v/>
      </c>
      <c r="F733" s="64">
        <f>'COMPOSICOES AUXILIARES'!G26</f>
        <v/>
      </c>
      <c r="G733" s="64">
        <f>TRUNC(TRUNC(E733,8)*F733,2)</f>
        <v/>
      </c>
      <c r="L733" t="n">
        <v>0.0092</v>
      </c>
      <c r="M733" t="n">
        <v>24.77</v>
      </c>
      <c r="N733">
        <f>(M733-F733)</f>
        <v/>
      </c>
    </row>
    <row r="734" ht="15" customHeight="1">
      <c r="A734" s="22" t="inlineStr">
        <is>
          <t>88245</t>
        </is>
      </c>
      <c r="B734" s="23" t="inlineStr">
        <is>
          <t>ARMADOR COM ENCARGOS COMPLEMENTARES</t>
        </is>
      </c>
      <c r="C734" s="22" t="inlineStr">
        <is>
          <t>SINAPI</t>
        </is>
      </c>
      <c r="D734" s="22" t="inlineStr">
        <is>
          <t>H</t>
        </is>
      </c>
      <c r="E734" s="63">
        <f>L734*FATOR</f>
        <v/>
      </c>
      <c r="F734" s="64">
        <f>'COMPOSICOES AUXILIARES'!G26</f>
        <v/>
      </c>
      <c r="G734" s="64">
        <f>TRUNC(TRUNC(E734,8)*F734,2)</f>
        <v/>
      </c>
      <c r="L734" t="n">
        <v>0.0561</v>
      </c>
      <c r="M734" t="n">
        <v>30.43</v>
      </c>
      <c r="N734">
        <f>(M734-F734)</f>
        <v/>
      </c>
    </row>
    <row r="735" ht="18" customHeight="1">
      <c r="A735" s="2" t="inlineStr"/>
      <c r="B735" s="2" t="inlineStr"/>
      <c r="C735" s="2" t="inlineStr"/>
      <c r="D735" s="2" t="inlineStr"/>
      <c r="E735" s="26" t="inlineStr">
        <is>
          <t>TOTAL Mão de Obra com Encargos Complementares:</t>
        </is>
      </c>
      <c r="F735" s="56" t="n"/>
      <c r="G735" s="65">
        <f>SUM(G733:G734)</f>
        <v/>
      </c>
    </row>
    <row r="736" ht="15" customHeight="1">
      <c r="A736" s="20" t="inlineStr">
        <is>
          <t>Serviço</t>
        </is>
      </c>
      <c r="B736" s="56" t="n"/>
      <c r="C736" s="21" t="inlineStr">
        <is>
          <t>FONTE</t>
        </is>
      </c>
      <c r="D736" s="21" t="inlineStr">
        <is>
          <t>UNID</t>
        </is>
      </c>
      <c r="E736" s="21" t="inlineStr">
        <is>
          <t>COEFICIENTE</t>
        </is>
      </c>
      <c r="F736" s="21" t="inlineStr">
        <is>
          <t>PREÇO UNITÁRIO</t>
        </is>
      </c>
      <c r="G736" s="21" t="inlineStr">
        <is>
          <t>TOTAL</t>
        </is>
      </c>
    </row>
    <row r="737" ht="21" customHeight="1">
      <c r="A737" s="22" t="inlineStr">
        <is>
          <t>92802</t>
        </is>
      </c>
      <c r="B737" s="23" t="inlineStr">
        <is>
          <t>CORTE E DOBRA DE AÇO CA-50, DIÂMETRO DE 8,0 MM. AF_06/2022</t>
        </is>
      </c>
      <c r="C737" s="22" t="inlineStr">
        <is>
          <t>SINAPI</t>
        </is>
      </c>
      <c r="D737" s="22" t="inlineStr">
        <is>
          <t>KG</t>
        </is>
      </c>
      <c r="E737" s="63" t="n">
        <v>1</v>
      </c>
      <c r="F737" s="64">
        <f>'COMPOSICOES AUXILIARES'!G1451</f>
        <v/>
      </c>
      <c r="G737" s="64">
        <f>TRUNC(TRUNC(E737,8)*F737,2)</f>
        <v/>
      </c>
      <c r="L737" t="n">
        <v>1</v>
      </c>
      <c r="M737" t="n">
        <v>9.26</v>
      </c>
      <c r="N737">
        <f>(M737-F737)</f>
        <v/>
      </c>
    </row>
    <row r="738" ht="15" customHeight="1">
      <c r="A738" s="2" t="inlineStr"/>
      <c r="B738" s="2" t="inlineStr"/>
      <c r="C738" s="2" t="inlineStr"/>
      <c r="D738" s="2" t="inlineStr"/>
      <c r="E738" s="26" t="inlineStr">
        <is>
          <t>TOTAL Serviço:</t>
        </is>
      </c>
      <c r="F738" s="56" t="n"/>
      <c r="G738" s="65">
        <f>SUM(G737:G737)</f>
        <v/>
      </c>
    </row>
    <row r="739" ht="15" customHeight="1">
      <c r="A739" s="2" t="inlineStr"/>
      <c r="B739" s="2" t="inlineStr"/>
      <c r="C739" s="2" t="inlineStr"/>
      <c r="D739" s="2" t="inlineStr"/>
      <c r="E739" s="28" t="inlineStr">
        <is>
          <t>VALOR:</t>
        </is>
      </c>
      <c r="F739" s="56" t="n"/>
      <c r="G739" s="66">
        <f>SUM(G738,G731,G735)</f>
        <v/>
      </c>
    </row>
    <row r="740" ht="15" customHeight="1">
      <c r="A740" s="2" t="inlineStr"/>
      <c r="B740" s="2" t="inlineStr"/>
      <c r="C740" s="2" t="inlineStr"/>
      <c r="D740" s="2" t="inlineStr"/>
      <c r="E740" s="28" t="inlineStr">
        <is>
          <t>VALOR BDI (23.08%):</t>
        </is>
      </c>
      <c r="F740" s="56" t="n"/>
      <c r="G740" s="66">
        <f>ROUNDDOWN(G739*BDI,2)</f>
        <v/>
      </c>
    </row>
    <row r="741" ht="15" customHeight="1">
      <c r="A741" s="2" t="inlineStr"/>
      <c r="B741" s="2" t="inlineStr"/>
      <c r="C741" s="2" t="inlineStr"/>
      <c r="D741" s="2" t="inlineStr"/>
      <c r="E741" s="28" t="inlineStr">
        <is>
          <t>VALOR COM BDI:</t>
        </is>
      </c>
      <c r="F741" s="56" t="n"/>
      <c r="G741" s="66">
        <f>G740 + G739</f>
        <v/>
      </c>
    </row>
    <row r="742" ht="10" customHeight="1">
      <c r="A742" s="2" t="inlineStr"/>
      <c r="B742" s="2" t="inlineStr"/>
      <c r="C742" s="2" t="inlineStr"/>
      <c r="D742" s="2" t="inlineStr"/>
      <c r="E742" s="18" t="inlineStr"/>
    </row>
    <row r="743" ht="20" customHeight="1">
      <c r="A743" s="19" t="inlineStr">
        <is>
          <t>4.1.1.4. ​92762​ ARMAÇÃO DE PILAR OU VIGA DE ESTRUTURA CONVENCIONAL DE CONCRETO ARMADO UTILIZANDO AÇO CA-50 DE 10,0 MM - MONTAGEM.AF_06/2022​ (KG)</t>
        </is>
      </c>
      <c r="B743" s="55" t="n"/>
      <c r="C743" s="55" t="n"/>
      <c r="D743" s="55" t="n"/>
      <c r="E743" s="55" t="n"/>
      <c r="F743" s="55" t="n"/>
      <c r="G743" s="56" t="n"/>
    </row>
    <row r="744" ht="15" customHeight="1">
      <c r="A744" s="20" t="inlineStr">
        <is>
          <t>Material</t>
        </is>
      </c>
      <c r="B744" s="56" t="n"/>
      <c r="C744" s="21" t="inlineStr">
        <is>
          <t>FONTE</t>
        </is>
      </c>
      <c r="D744" s="21" t="inlineStr">
        <is>
          <t>UNID</t>
        </is>
      </c>
      <c r="E744" s="21" t="inlineStr">
        <is>
          <t>COEFICIENTE</t>
        </is>
      </c>
      <c r="F744" s="21" t="inlineStr">
        <is>
          <t>PREÇO UNITÁRIO</t>
        </is>
      </c>
      <c r="G744" s="21" t="inlineStr">
        <is>
          <t>TOTAL</t>
        </is>
      </c>
    </row>
    <row r="745" ht="21" customHeight="1">
      <c r="A745" s="22" t="inlineStr">
        <is>
          <t>00043132</t>
        </is>
      </c>
      <c r="B745" s="23" t="inlineStr">
        <is>
          <t>ARAME RECOZIDO 16 BWG, D = 1,65 MM (0,016 KG/M) OU 18 BWG, D = 1,25 MM (0,01 KG/M)</t>
        </is>
      </c>
      <c r="C745" s="22" t="inlineStr">
        <is>
          <t>SINAPI</t>
        </is>
      </c>
      <c r="D745" s="22" t="inlineStr">
        <is>
          <t>KG</t>
        </is>
      </c>
      <c r="E745" s="63" t="n">
        <v>0.025</v>
      </c>
      <c r="F745" s="64">
        <f>ROUND(M745*FATOR, 2)</f>
        <v/>
      </c>
      <c r="G745" s="64">
        <f>TRUNC(TRUNC(E745,8)*F745,2)</f>
        <v/>
      </c>
      <c r="L745" t="n">
        <v>0.025</v>
      </c>
      <c r="M745" t="n">
        <v>15.67</v>
      </c>
      <c r="N745">
        <f>(M745-F745)</f>
        <v/>
      </c>
    </row>
    <row r="746" ht="29" customHeight="1">
      <c r="A746" s="22" t="inlineStr">
        <is>
          <t>00039017</t>
        </is>
      </c>
      <c r="B746" s="23" t="inlineStr">
        <is>
          <t>ESPACADOR / DISTANCIADOR CIRCULAR COM ENTRADA LATERAL, EM PLASTICO, PARA VERGALHAO *4,2 A 12,5* MM, COBRIMENTO 20 MM</t>
        </is>
      </c>
      <c r="C746" s="22" t="inlineStr">
        <is>
          <t>SINAPI</t>
        </is>
      </c>
      <c r="D746" s="22" t="inlineStr">
        <is>
          <t>UN</t>
        </is>
      </c>
      <c r="E746" s="63" t="n">
        <v>0.543</v>
      </c>
      <c r="F746" s="64">
        <f>ROUND(M746*FATOR, 2)</f>
        <v/>
      </c>
      <c r="G746" s="64">
        <f>TRUNC(TRUNC(E746,8)*F746,2)</f>
        <v/>
      </c>
      <c r="L746" t="n">
        <v>0.543</v>
      </c>
      <c r="M746" t="n">
        <v>0.22</v>
      </c>
      <c r="N746">
        <f>(M746-F746)</f>
        <v/>
      </c>
    </row>
    <row r="747" ht="15" customHeight="1">
      <c r="A747" s="2" t="inlineStr"/>
      <c r="B747" s="2" t="inlineStr"/>
      <c r="C747" s="2" t="inlineStr"/>
      <c r="D747" s="2" t="inlineStr"/>
      <c r="E747" s="26" t="inlineStr">
        <is>
          <t>TOTAL Material:</t>
        </is>
      </c>
      <c r="F747" s="56" t="n"/>
      <c r="G747" s="65">
        <f>SUM(G745:G746)</f>
        <v/>
      </c>
    </row>
    <row r="748" ht="15" customHeight="1">
      <c r="A748" s="20" t="inlineStr">
        <is>
          <t>Mão de Obra com Encargos Complementares</t>
        </is>
      </c>
      <c r="B748" s="56" t="n"/>
      <c r="C748" s="21" t="inlineStr">
        <is>
          <t>FONTE</t>
        </is>
      </c>
      <c r="D748" s="21" t="inlineStr">
        <is>
          <t>UNID</t>
        </is>
      </c>
      <c r="E748" s="21" t="inlineStr">
        <is>
          <t>COEFICIENTE</t>
        </is>
      </c>
      <c r="F748" s="21" t="inlineStr">
        <is>
          <t>PREÇO UNITÁRIO</t>
        </is>
      </c>
      <c r="G748" s="21" t="inlineStr">
        <is>
          <t>TOTAL</t>
        </is>
      </c>
    </row>
    <row r="749" ht="21" customHeight="1">
      <c r="A749" s="22" t="inlineStr">
        <is>
          <t>88238</t>
        </is>
      </c>
      <c r="B749" s="23" t="inlineStr">
        <is>
          <t>AJUDANTE DE ARMADOR COM ENCARGOS COMPLEMENTARES</t>
        </is>
      </c>
      <c r="C749" s="22" t="inlineStr">
        <is>
          <t>SINAPI</t>
        </is>
      </c>
      <c r="D749" s="22" t="inlineStr">
        <is>
          <t>H</t>
        </is>
      </c>
      <c r="E749" s="63">
        <f>L749*FATOR</f>
        <v/>
      </c>
      <c r="F749" s="64">
        <f>'COMPOSICOES AUXILIARES'!G26</f>
        <v/>
      </c>
      <c r="G749" s="64">
        <f>TRUNC(TRUNC(E749,8)*F749,2)</f>
        <v/>
      </c>
      <c r="L749" t="n">
        <v>0.0064</v>
      </c>
      <c r="M749" t="n">
        <v>24.77</v>
      </c>
      <c r="N749">
        <f>(M749-F749)</f>
        <v/>
      </c>
    </row>
    <row r="750" ht="15" customHeight="1">
      <c r="A750" s="22" t="inlineStr">
        <is>
          <t>88245</t>
        </is>
      </c>
      <c r="B750" s="23" t="inlineStr">
        <is>
          <t>ARMADOR COM ENCARGOS COMPLEMENTARES</t>
        </is>
      </c>
      <c r="C750" s="22" t="inlineStr">
        <is>
          <t>SINAPI</t>
        </is>
      </c>
      <c r="D750" s="22" t="inlineStr">
        <is>
          <t>H</t>
        </is>
      </c>
      <c r="E750" s="63">
        <f>L750*FATOR</f>
        <v/>
      </c>
      <c r="F750" s="64">
        <f>'COMPOSICOES AUXILIARES'!G26</f>
        <v/>
      </c>
      <c r="G750" s="64">
        <f>TRUNC(TRUNC(E750,8)*F750,2)</f>
        <v/>
      </c>
      <c r="L750" t="n">
        <v>0.0392</v>
      </c>
      <c r="M750" t="n">
        <v>30.43</v>
      </c>
      <c r="N750">
        <f>(M750-F750)</f>
        <v/>
      </c>
    </row>
    <row r="751" ht="18" customHeight="1">
      <c r="A751" s="2" t="inlineStr"/>
      <c r="B751" s="2" t="inlineStr"/>
      <c r="C751" s="2" t="inlineStr"/>
      <c r="D751" s="2" t="inlineStr"/>
      <c r="E751" s="26" t="inlineStr">
        <is>
          <t>TOTAL Mão de Obra com Encargos Complementares:</t>
        </is>
      </c>
      <c r="F751" s="56" t="n"/>
      <c r="G751" s="65">
        <f>SUM(G749:G750)</f>
        <v/>
      </c>
    </row>
    <row r="752" ht="15" customHeight="1">
      <c r="A752" s="20" t="inlineStr">
        <is>
          <t>Serviço</t>
        </is>
      </c>
      <c r="B752" s="56" t="n"/>
      <c r="C752" s="21" t="inlineStr">
        <is>
          <t>FONTE</t>
        </is>
      </c>
      <c r="D752" s="21" t="inlineStr">
        <is>
          <t>UNID</t>
        </is>
      </c>
      <c r="E752" s="21" t="inlineStr">
        <is>
          <t>COEFICIENTE</t>
        </is>
      </c>
      <c r="F752" s="21" t="inlineStr">
        <is>
          <t>PREÇO UNITÁRIO</t>
        </is>
      </c>
      <c r="G752" s="21" t="inlineStr">
        <is>
          <t>TOTAL</t>
        </is>
      </c>
    </row>
    <row r="753" ht="21" customHeight="1">
      <c r="A753" s="22" t="inlineStr">
        <is>
          <t>92803</t>
        </is>
      </c>
      <c r="B753" s="23" t="inlineStr">
        <is>
          <t>CORTE E DOBRA DE AÇO CA-50, DIÂMETRO DE 10,0 MM. AF_06/2022</t>
        </is>
      </c>
      <c r="C753" s="22" t="inlineStr">
        <is>
          <t>SINAPI</t>
        </is>
      </c>
      <c r="D753" s="22" t="inlineStr">
        <is>
          <t>KG</t>
        </is>
      </c>
      <c r="E753" s="63" t="n">
        <v>1</v>
      </c>
      <c r="F753" s="64">
        <f>'COMPOSICOES AUXILIARES'!G1393</f>
        <v/>
      </c>
      <c r="G753" s="64">
        <f>TRUNC(TRUNC(E753,8)*F753,2)</f>
        <v/>
      </c>
      <c r="L753" t="n">
        <v>1</v>
      </c>
      <c r="M753" t="n">
        <v>8.5</v>
      </c>
      <c r="N753">
        <f>(M753-F753)</f>
        <v/>
      </c>
    </row>
    <row r="754" ht="15" customHeight="1">
      <c r="A754" s="2" t="inlineStr"/>
      <c r="B754" s="2" t="inlineStr"/>
      <c r="C754" s="2" t="inlineStr"/>
      <c r="D754" s="2" t="inlineStr"/>
      <c r="E754" s="26" t="inlineStr">
        <is>
          <t>TOTAL Serviço:</t>
        </is>
      </c>
      <c r="F754" s="56" t="n"/>
      <c r="G754" s="65">
        <f>SUM(G753:G753)</f>
        <v/>
      </c>
    </row>
    <row r="755" ht="15" customHeight="1">
      <c r="A755" s="2" t="inlineStr"/>
      <c r="B755" s="2" t="inlineStr"/>
      <c r="C755" s="2" t="inlineStr"/>
      <c r="D755" s="2" t="inlineStr"/>
      <c r="E755" s="28" t="inlineStr">
        <is>
          <t>VALOR:</t>
        </is>
      </c>
      <c r="F755" s="56" t="n"/>
      <c r="G755" s="66">
        <f>SUM(G754,G747,G751)</f>
        <v/>
      </c>
    </row>
    <row r="756" ht="15" customHeight="1">
      <c r="A756" s="2" t="inlineStr"/>
      <c r="B756" s="2" t="inlineStr"/>
      <c r="C756" s="2" t="inlineStr"/>
      <c r="D756" s="2" t="inlineStr"/>
      <c r="E756" s="28" t="inlineStr">
        <is>
          <t>VALOR BDI (23.08%):</t>
        </is>
      </c>
      <c r="F756" s="56" t="n"/>
      <c r="G756" s="66">
        <f>ROUNDDOWN(G755*BDI,2)</f>
        <v/>
      </c>
    </row>
    <row r="757" ht="15" customHeight="1">
      <c r="A757" s="2" t="inlineStr"/>
      <c r="B757" s="2" t="inlineStr"/>
      <c r="C757" s="2" t="inlineStr"/>
      <c r="D757" s="2" t="inlineStr"/>
      <c r="E757" s="28" t="inlineStr">
        <is>
          <t>VALOR COM BDI:</t>
        </is>
      </c>
      <c r="F757" s="56" t="n"/>
      <c r="G757" s="66">
        <f>G756 + G755</f>
        <v/>
      </c>
    </row>
    <row r="758" ht="10" customHeight="1">
      <c r="A758" s="2" t="inlineStr"/>
      <c r="B758" s="2" t="inlineStr"/>
      <c r="C758" s="2" t="inlineStr"/>
      <c r="D758" s="2" t="inlineStr"/>
      <c r="E758" s="18" t="inlineStr"/>
    </row>
    <row r="759" ht="20" customHeight="1">
      <c r="A759" s="19" t="inlineStr">
        <is>
          <t>4.1.1.5. ​92763​ ARMAÇÃO DE PILAR OU VIGA DE ESTRUTURA CONVENCIONAL DE CONCRETO ARMADO UTILIZANDO AÇO CA-50 DE 12,5 MM - MONTAGEM.AF_06/2022​ (KG)</t>
        </is>
      </c>
      <c r="B759" s="55" t="n"/>
      <c r="C759" s="55" t="n"/>
      <c r="D759" s="55" t="n"/>
      <c r="E759" s="55" t="n"/>
      <c r="F759" s="55" t="n"/>
      <c r="G759" s="56" t="n"/>
    </row>
    <row r="760" ht="15" customHeight="1">
      <c r="A760" s="20" t="inlineStr">
        <is>
          <t>Material</t>
        </is>
      </c>
      <c r="B760" s="56" t="n"/>
      <c r="C760" s="21" t="inlineStr">
        <is>
          <t>FONTE</t>
        </is>
      </c>
      <c r="D760" s="21" t="inlineStr">
        <is>
          <t>UNID</t>
        </is>
      </c>
      <c r="E760" s="21" t="inlineStr">
        <is>
          <t>COEFICIENTE</t>
        </is>
      </c>
      <c r="F760" s="21" t="inlineStr">
        <is>
          <t>PREÇO UNITÁRIO</t>
        </is>
      </c>
      <c r="G760" s="21" t="inlineStr">
        <is>
          <t>TOTAL</t>
        </is>
      </c>
    </row>
    <row r="761" ht="21" customHeight="1">
      <c r="A761" s="22" t="inlineStr">
        <is>
          <t>00043132</t>
        </is>
      </c>
      <c r="B761" s="23" t="inlineStr">
        <is>
          <t>ARAME RECOZIDO 16 BWG, D = 1,65 MM (0,016 KG/M) OU 18 BWG, D = 1,25 MM (0,01 KG/M)</t>
        </is>
      </c>
      <c r="C761" s="22" t="inlineStr">
        <is>
          <t>SINAPI</t>
        </is>
      </c>
      <c r="D761" s="22" t="inlineStr">
        <is>
          <t>KG</t>
        </is>
      </c>
      <c r="E761" s="63" t="n">
        <v>0.025</v>
      </c>
      <c r="F761" s="64">
        <f>ROUND(M761*FATOR, 2)</f>
        <v/>
      </c>
      <c r="G761" s="64">
        <f>TRUNC(TRUNC(E761,8)*F761,2)</f>
        <v/>
      </c>
      <c r="L761" t="n">
        <v>0.025</v>
      </c>
      <c r="M761" t="n">
        <v>15.67</v>
      </c>
      <c r="N761">
        <f>(M761-F761)</f>
        <v/>
      </c>
    </row>
    <row r="762" ht="29" customHeight="1">
      <c r="A762" s="22" t="inlineStr">
        <is>
          <t>00039017</t>
        </is>
      </c>
      <c r="B762" s="23" t="inlineStr">
        <is>
          <t>ESPACADOR / DISTANCIADOR CIRCULAR COM ENTRADA LATERAL, EM PLASTICO, PARA VERGALHAO *4,2 A 12,5* MM, COBRIMENTO 20 MM</t>
        </is>
      </c>
      <c r="C762" s="22" t="inlineStr">
        <is>
          <t>SINAPI</t>
        </is>
      </c>
      <c r="D762" s="22" t="inlineStr">
        <is>
          <t>UN</t>
        </is>
      </c>
      <c r="E762" s="63" t="n">
        <v>0.367</v>
      </c>
      <c r="F762" s="64">
        <f>ROUND(M762*FATOR, 2)</f>
        <v/>
      </c>
      <c r="G762" s="64">
        <f>TRUNC(TRUNC(E762,8)*F762,2)</f>
        <v/>
      </c>
      <c r="L762" t="n">
        <v>0.367</v>
      </c>
      <c r="M762" t="n">
        <v>0.22</v>
      </c>
      <c r="N762">
        <f>(M762-F762)</f>
        <v/>
      </c>
    </row>
    <row r="763" ht="15" customHeight="1">
      <c r="A763" s="2" t="inlineStr"/>
      <c r="B763" s="2" t="inlineStr"/>
      <c r="C763" s="2" t="inlineStr"/>
      <c r="D763" s="2" t="inlineStr"/>
      <c r="E763" s="26" t="inlineStr">
        <is>
          <t>TOTAL Material:</t>
        </is>
      </c>
      <c r="F763" s="56" t="n"/>
      <c r="G763" s="65">
        <f>SUM(G761:G762)</f>
        <v/>
      </c>
    </row>
    <row r="764" ht="15" customHeight="1">
      <c r="A764" s="20" t="inlineStr">
        <is>
          <t>Mão de Obra com Encargos Complementares</t>
        </is>
      </c>
      <c r="B764" s="56" t="n"/>
      <c r="C764" s="21" t="inlineStr">
        <is>
          <t>FONTE</t>
        </is>
      </c>
      <c r="D764" s="21" t="inlineStr">
        <is>
          <t>UNID</t>
        </is>
      </c>
      <c r="E764" s="21" t="inlineStr">
        <is>
          <t>COEFICIENTE</t>
        </is>
      </c>
      <c r="F764" s="21" t="inlineStr">
        <is>
          <t>PREÇO UNITÁRIO</t>
        </is>
      </c>
      <c r="G764" s="21" t="inlineStr">
        <is>
          <t>TOTAL</t>
        </is>
      </c>
    </row>
    <row r="765" ht="21" customHeight="1">
      <c r="A765" s="22" t="inlineStr">
        <is>
          <t>88238</t>
        </is>
      </c>
      <c r="B765" s="23" t="inlineStr">
        <is>
          <t>AJUDANTE DE ARMADOR COM ENCARGOS COMPLEMENTARES</t>
        </is>
      </c>
      <c r="C765" s="22" t="inlineStr">
        <is>
          <t>SINAPI</t>
        </is>
      </c>
      <c r="D765" s="22" t="inlineStr">
        <is>
          <t>H</t>
        </is>
      </c>
      <c r="E765" s="63">
        <f>L765*FATOR</f>
        <v/>
      </c>
      <c r="F765" s="64">
        <f>'COMPOSICOES AUXILIARES'!G26</f>
        <v/>
      </c>
      <c r="G765" s="64">
        <f>TRUNC(TRUNC(E765,8)*F765,2)</f>
        <v/>
      </c>
      <c r="L765" t="n">
        <v>0.0042</v>
      </c>
      <c r="M765" t="n">
        <v>24.77</v>
      </c>
      <c r="N765">
        <f>(M765-F765)</f>
        <v/>
      </c>
    </row>
    <row r="766" ht="15" customHeight="1">
      <c r="A766" s="22" t="inlineStr">
        <is>
          <t>88245</t>
        </is>
      </c>
      <c r="B766" s="23" t="inlineStr">
        <is>
          <t>ARMADOR COM ENCARGOS COMPLEMENTARES</t>
        </is>
      </c>
      <c r="C766" s="22" t="inlineStr">
        <is>
          <t>SINAPI</t>
        </is>
      </c>
      <c r="D766" s="22" t="inlineStr">
        <is>
          <t>H</t>
        </is>
      </c>
      <c r="E766" s="63">
        <f>L766*FATOR</f>
        <v/>
      </c>
      <c r="F766" s="64">
        <f>'COMPOSICOES AUXILIARES'!G26</f>
        <v/>
      </c>
      <c r="G766" s="64">
        <f>TRUNC(TRUNC(E766,8)*F766,2)</f>
        <v/>
      </c>
      <c r="L766" t="n">
        <v>0.0257</v>
      </c>
      <c r="M766" t="n">
        <v>30.43</v>
      </c>
      <c r="N766">
        <f>(M766-F766)</f>
        <v/>
      </c>
    </row>
    <row r="767" ht="18" customHeight="1">
      <c r="A767" s="2" t="inlineStr"/>
      <c r="B767" s="2" t="inlineStr"/>
      <c r="C767" s="2" t="inlineStr"/>
      <c r="D767" s="2" t="inlineStr"/>
      <c r="E767" s="26" t="inlineStr">
        <is>
          <t>TOTAL Mão de Obra com Encargos Complementares:</t>
        </is>
      </c>
      <c r="F767" s="56" t="n"/>
      <c r="G767" s="65">
        <f>SUM(G765:G766)</f>
        <v/>
      </c>
    </row>
    <row r="768" ht="15" customHeight="1">
      <c r="A768" s="20" t="inlineStr">
        <is>
          <t>Serviço</t>
        </is>
      </c>
      <c r="B768" s="56" t="n"/>
      <c r="C768" s="21" t="inlineStr">
        <is>
          <t>FONTE</t>
        </is>
      </c>
      <c r="D768" s="21" t="inlineStr">
        <is>
          <t>UNID</t>
        </is>
      </c>
      <c r="E768" s="21" t="inlineStr">
        <is>
          <t>COEFICIENTE</t>
        </is>
      </c>
      <c r="F768" s="21" t="inlineStr">
        <is>
          <t>PREÇO UNITÁRIO</t>
        </is>
      </c>
      <c r="G768" s="21" t="inlineStr">
        <is>
          <t>TOTAL</t>
        </is>
      </c>
    </row>
    <row r="769" ht="21" customHeight="1">
      <c r="A769" s="22" t="inlineStr">
        <is>
          <t>92804</t>
        </is>
      </c>
      <c r="B769" s="23" t="inlineStr">
        <is>
          <t>CORTE E DOBRA DE AÇO CA-50, DIÂMETRO DE 12,5 MM. AF_06/2022</t>
        </is>
      </c>
      <c r="C769" s="22" t="inlineStr">
        <is>
          <t>SINAPI</t>
        </is>
      </c>
      <c r="D769" s="22" t="inlineStr">
        <is>
          <t>KG</t>
        </is>
      </c>
      <c r="E769" s="63" t="n">
        <v>1</v>
      </c>
      <c r="F769" s="64">
        <f>'COMPOSICOES AUXILIARES'!G1405</f>
        <v/>
      </c>
      <c r="G769" s="64">
        <f>TRUNC(TRUNC(E769,8)*F769,2)</f>
        <v/>
      </c>
      <c r="L769" t="n">
        <v>1</v>
      </c>
      <c r="M769" t="n">
        <v>7.26</v>
      </c>
      <c r="N769">
        <f>(M769-F769)</f>
        <v/>
      </c>
    </row>
    <row r="770" ht="15" customHeight="1">
      <c r="A770" s="2" t="inlineStr"/>
      <c r="B770" s="2" t="inlineStr"/>
      <c r="C770" s="2" t="inlineStr"/>
      <c r="D770" s="2" t="inlineStr"/>
      <c r="E770" s="26" t="inlineStr">
        <is>
          <t>TOTAL Serviço:</t>
        </is>
      </c>
      <c r="F770" s="56" t="n"/>
      <c r="G770" s="65">
        <f>SUM(G769:G769)</f>
        <v/>
      </c>
    </row>
    <row r="771" ht="15" customHeight="1">
      <c r="A771" s="2" t="inlineStr"/>
      <c r="B771" s="2" t="inlineStr"/>
      <c r="C771" s="2" t="inlineStr"/>
      <c r="D771" s="2" t="inlineStr"/>
      <c r="E771" s="28" t="inlineStr">
        <is>
          <t>VALOR:</t>
        </is>
      </c>
      <c r="F771" s="56" t="n"/>
      <c r="G771" s="66">
        <f>SUM(G770,G763,G767)</f>
        <v/>
      </c>
    </row>
    <row r="772" ht="15" customHeight="1">
      <c r="A772" s="2" t="inlineStr"/>
      <c r="B772" s="2" t="inlineStr"/>
      <c r="C772" s="2" t="inlineStr"/>
      <c r="D772" s="2" t="inlineStr"/>
      <c r="E772" s="28" t="inlineStr">
        <is>
          <t>VALOR BDI (23.08%):</t>
        </is>
      </c>
      <c r="F772" s="56" t="n"/>
      <c r="G772" s="66">
        <f>ROUNDDOWN(G771*BDI,2)</f>
        <v/>
      </c>
    </row>
    <row r="773" ht="15" customHeight="1">
      <c r="A773" s="2" t="inlineStr"/>
      <c r="B773" s="2" t="inlineStr"/>
      <c r="C773" s="2" t="inlineStr"/>
      <c r="D773" s="2" t="inlineStr"/>
      <c r="E773" s="28" t="inlineStr">
        <is>
          <t>VALOR COM BDI:</t>
        </is>
      </c>
      <c r="F773" s="56" t="n"/>
      <c r="G773" s="66">
        <f>G772 + G771</f>
        <v/>
      </c>
    </row>
    <row r="774" ht="10" customHeight="1">
      <c r="A774" s="2" t="inlineStr"/>
      <c r="B774" s="2" t="inlineStr"/>
      <c r="C774" s="2" t="inlineStr"/>
      <c r="D774" s="2" t="inlineStr"/>
      <c r="E774" s="18" t="inlineStr"/>
    </row>
    <row r="775" ht="20" customHeight="1">
      <c r="A775" s="19" t="inlineStr">
        <is>
          <t>4.1.1.6. ​92764​ ARMAÇÃO DE PILAR OU VIGA DE ESTRUTURA CONVENCIONAL DE CONCRETO ARMADO UTILIZANDO AÇO CA-50 DE 16,0 MM - MONTAGEM.AF_06/2022​ (KG)</t>
        </is>
      </c>
      <c r="B775" s="55" t="n"/>
      <c r="C775" s="55" t="n"/>
      <c r="D775" s="55" t="n"/>
      <c r="E775" s="55" t="n"/>
      <c r="F775" s="55" t="n"/>
      <c r="G775" s="56" t="n"/>
    </row>
    <row r="776" ht="15" customHeight="1">
      <c r="A776" s="20" t="inlineStr">
        <is>
          <t>Material</t>
        </is>
      </c>
      <c r="B776" s="56" t="n"/>
      <c r="C776" s="21" t="inlineStr">
        <is>
          <t>FONTE</t>
        </is>
      </c>
      <c r="D776" s="21" t="inlineStr">
        <is>
          <t>UNID</t>
        </is>
      </c>
      <c r="E776" s="21" t="inlineStr">
        <is>
          <t>COEFICIENTE</t>
        </is>
      </c>
      <c r="F776" s="21" t="inlineStr">
        <is>
          <t>PREÇO UNITÁRIO</t>
        </is>
      </c>
      <c r="G776" s="21" t="inlineStr">
        <is>
          <t>TOTAL</t>
        </is>
      </c>
    </row>
    <row r="777" ht="21" customHeight="1">
      <c r="A777" s="22" t="inlineStr">
        <is>
          <t>00043132</t>
        </is>
      </c>
      <c r="B777" s="23" t="inlineStr">
        <is>
          <t>ARAME RECOZIDO 16 BWG, D = 1,65 MM (0,016 KG/M) OU 18 BWG, D = 1,25 MM (0,01 KG/M)</t>
        </is>
      </c>
      <c r="C777" s="22" t="inlineStr">
        <is>
          <t>SINAPI</t>
        </is>
      </c>
      <c r="D777" s="22" t="inlineStr">
        <is>
          <t>KG</t>
        </is>
      </c>
      <c r="E777" s="63" t="n">
        <v>0.025</v>
      </c>
      <c r="F777" s="64">
        <f>ROUND(M777*FATOR, 2)</f>
        <v/>
      </c>
      <c r="G777" s="64">
        <f>TRUNC(TRUNC(E777,8)*F777,2)</f>
        <v/>
      </c>
      <c r="L777" t="n">
        <v>0.025</v>
      </c>
      <c r="M777" t="n">
        <v>15.67</v>
      </c>
      <c r="N777">
        <f>(M777-F777)</f>
        <v/>
      </c>
    </row>
    <row r="778" ht="29" customHeight="1">
      <c r="A778" s="22" t="inlineStr">
        <is>
          <t>00039017</t>
        </is>
      </c>
      <c r="B778" s="23" t="inlineStr">
        <is>
          <t>ESPACADOR / DISTANCIADOR CIRCULAR COM ENTRADA LATERAL, EM PLASTICO, PARA VERGALHAO *4,2 A 12,5* MM, COBRIMENTO 20 MM</t>
        </is>
      </c>
      <c r="C778" s="22" t="inlineStr">
        <is>
          <t>SINAPI</t>
        </is>
      </c>
      <c r="D778" s="22" t="inlineStr">
        <is>
          <t>UN</t>
        </is>
      </c>
      <c r="E778" s="63" t="n">
        <v>0.212</v>
      </c>
      <c r="F778" s="64">
        <f>ROUND(M778*FATOR, 2)</f>
        <v/>
      </c>
      <c r="G778" s="64">
        <f>TRUNC(TRUNC(E778,8)*F778,2)</f>
        <v/>
      </c>
      <c r="L778" t="n">
        <v>0.212</v>
      </c>
      <c r="M778" t="n">
        <v>0.22</v>
      </c>
      <c r="N778">
        <f>(M778-F778)</f>
        <v/>
      </c>
    </row>
    <row r="779" ht="15" customHeight="1">
      <c r="A779" s="2" t="inlineStr"/>
      <c r="B779" s="2" t="inlineStr"/>
      <c r="C779" s="2" t="inlineStr"/>
      <c r="D779" s="2" t="inlineStr"/>
      <c r="E779" s="26" t="inlineStr">
        <is>
          <t>TOTAL Material:</t>
        </is>
      </c>
      <c r="F779" s="56" t="n"/>
      <c r="G779" s="65">
        <f>SUM(G777:G778)</f>
        <v/>
      </c>
    </row>
    <row r="780" ht="15" customHeight="1">
      <c r="A780" s="20" t="inlineStr">
        <is>
          <t>Mão de Obra com Encargos Complementares</t>
        </is>
      </c>
      <c r="B780" s="56" t="n"/>
      <c r="C780" s="21" t="inlineStr">
        <is>
          <t>FONTE</t>
        </is>
      </c>
      <c r="D780" s="21" t="inlineStr">
        <is>
          <t>UNID</t>
        </is>
      </c>
      <c r="E780" s="21" t="inlineStr">
        <is>
          <t>COEFICIENTE</t>
        </is>
      </c>
      <c r="F780" s="21" t="inlineStr">
        <is>
          <t>PREÇO UNITÁRIO</t>
        </is>
      </c>
      <c r="G780" s="21" t="inlineStr">
        <is>
          <t>TOTAL</t>
        </is>
      </c>
    </row>
    <row r="781" ht="21" customHeight="1">
      <c r="A781" s="22" t="inlineStr">
        <is>
          <t>88238</t>
        </is>
      </c>
      <c r="B781" s="23" t="inlineStr">
        <is>
          <t>AJUDANTE DE ARMADOR COM ENCARGOS COMPLEMENTARES</t>
        </is>
      </c>
      <c r="C781" s="22" t="inlineStr">
        <is>
          <t>SINAPI</t>
        </is>
      </c>
      <c r="D781" s="22" t="inlineStr">
        <is>
          <t>H</t>
        </is>
      </c>
      <c r="E781" s="63">
        <f>L781*FATOR</f>
        <v/>
      </c>
      <c r="F781" s="64">
        <f>'COMPOSICOES AUXILIARES'!G26</f>
        <v/>
      </c>
      <c r="G781" s="64">
        <f>TRUNC(TRUNC(E781,8)*F781,2)</f>
        <v/>
      </c>
      <c r="L781" t="n">
        <v>0.0032</v>
      </c>
      <c r="M781" t="n">
        <v>24.77</v>
      </c>
      <c r="N781">
        <f>(M781-F781)</f>
        <v/>
      </c>
    </row>
    <row r="782" ht="15" customHeight="1">
      <c r="A782" s="22" t="inlineStr">
        <is>
          <t>88245</t>
        </is>
      </c>
      <c r="B782" s="23" t="inlineStr">
        <is>
          <t>ARMADOR COM ENCARGOS COMPLEMENTARES</t>
        </is>
      </c>
      <c r="C782" s="22" t="inlineStr">
        <is>
          <t>SINAPI</t>
        </is>
      </c>
      <c r="D782" s="22" t="inlineStr">
        <is>
          <t>H</t>
        </is>
      </c>
      <c r="E782" s="63">
        <f>L782*FATOR</f>
        <v/>
      </c>
      <c r="F782" s="64">
        <f>'COMPOSICOES AUXILIARES'!G26</f>
        <v/>
      </c>
      <c r="G782" s="64">
        <f>TRUNC(TRUNC(E782,8)*F782,2)</f>
        <v/>
      </c>
      <c r="L782" t="n">
        <v>0.0194</v>
      </c>
      <c r="M782" t="n">
        <v>30.43</v>
      </c>
      <c r="N782">
        <f>(M782-F782)</f>
        <v/>
      </c>
    </row>
    <row r="783" ht="18" customHeight="1">
      <c r="A783" s="2" t="inlineStr"/>
      <c r="B783" s="2" t="inlineStr"/>
      <c r="C783" s="2" t="inlineStr"/>
      <c r="D783" s="2" t="inlineStr"/>
      <c r="E783" s="26" t="inlineStr">
        <is>
          <t>TOTAL Mão de Obra com Encargos Complementares:</t>
        </is>
      </c>
      <c r="F783" s="56" t="n"/>
      <c r="G783" s="65">
        <f>SUM(G781:G782)</f>
        <v/>
      </c>
    </row>
    <row r="784" ht="15" customHeight="1">
      <c r="A784" s="20" t="inlineStr">
        <is>
          <t>Serviço</t>
        </is>
      </c>
      <c r="B784" s="56" t="n"/>
      <c r="C784" s="21" t="inlineStr">
        <is>
          <t>FONTE</t>
        </is>
      </c>
      <c r="D784" s="21" t="inlineStr">
        <is>
          <t>UNID</t>
        </is>
      </c>
      <c r="E784" s="21" t="inlineStr">
        <is>
          <t>COEFICIENTE</t>
        </is>
      </c>
      <c r="F784" s="21" t="inlineStr">
        <is>
          <t>PREÇO UNITÁRIO</t>
        </is>
      </c>
      <c r="G784" s="21" t="inlineStr">
        <is>
          <t>TOTAL</t>
        </is>
      </c>
    </row>
    <row r="785" ht="21" customHeight="1">
      <c r="A785" s="22" t="inlineStr">
        <is>
          <t>92805</t>
        </is>
      </c>
      <c r="B785" s="23" t="inlineStr">
        <is>
          <t>CORTE E DOBRA DE AÇO CA-50, DIÂMETRO DE 16,0 MM. AF_06/2022</t>
        </is>
      </c>
      <c r="C785" s="22" t="inlineStr">
        <is>
          <t>SINAPI</t>
        </is>
      </c>
      <c r="D785" s="22" t="inlineStr">
        <is>
          <t>KG</t>
        </is>
      </c>
      <c r="E785" s="63" t="n">
        <v>1</v>
      </c>
      <c r="F785" s="64">
        <f>'COMPOSICOES AUXILIARES'!G1416</f>
        <v/>
      </c>
      <c r="G785" s="64">
        <f>TRUNC(TRUNC(E785,8)*F785,2)</f>
        <v/>
      </c>
      <c r="L785" t="n">
        <v>1</v>
      </c>
      <c r="M785" t="n">
        <v>7.18</v>
      </c>
      <c r="N785">
        <f>(M785-F785)</f>
        <v/>
      </c>
    </row>
    <row r="786" ht="15" customHeight="1">
      <c r="A786" s="2" t="inlineStr"/>
      <c r="B786" s="2" t="inlineStr"/>
      <c r="C786" s="2" t="inlineStr"/>
      <c r="D786" s="2" t="inlineStr"/>
      <c r="E786" s="26" t="inlineStr">
        <is>
          <t>TOTAL Serviço:</t>
        </is>
      </c>
      <c r="F786" s="56" t="n"/>
      <c r="G786" s="65">
        <f>SUM(G785:G785)</f>
        <v/>
      </c>
    </row>
    <row r="787" ht="15" customHeight="1">
      <c r="A787" s="2" t="inlineStr"/>
      <c r="B787" s="2" t="inlineStr"/>
      <c r="C787" s="2" t="inlineStr"/>
      <c r="D787" s="2" t="inlineStr"/>
      <c r="E787" s="28" t="inlineStr">
        <is>
          <t>VALOR:</t>
        </is>
      </c>
      <c r="F787" s="56" t="n"/>
      <c r="G787" s="66">
        <f>SUM(G786,G779,G783)</f>
        <v/>
      </c>
    </row>
    <row r="788" ht="15" customHeight="1">
      <c r="A788" s="2" t="inlineStr"/>
      <c r="B788" s="2" t="inlineStr"/>
      <c r="C788" s="2" t="inlineStr"/>
      <c r="D788" s="2" t="inlineStr"/>
      <c r="E788" s="28" t="inlineStr">
        <is>
          <t>VALOR BDI (23.08%):</t>
        </is>
      </c>
      <c r="F788" s="56" t="n"/>
      <c r="G788" s="66">
        <f>ROUNDDOWN(G787*BDI,2)</f>
        <v/>
      </c>
    </row>
    <row r="789" ht="15" customHeight="1">
      <c r="A789" s="2" t="inlineStr"/>
      <c r="B789" s="2" t="inlineStr"/>
      <c r="C789" s="2" t="inlineStr"/>
      <c r="D789" s="2" t="inlineStr"/>
      <c r="E789" s="28" t="inlineStr">
        <is>
          <t>VALOR COM BDI:</t>
        </is>
      </c>
      <c r="F789" s="56" t="n"/>
      <c r="G789" s="66">
        <f>G788 + G787</f>
        <v/>
      </c>
    </row>
    <row r="790" ht="10" customHeight="1">
      <c r="A790" s="2" t="inlineStr"/>
      <c r="B790" s="2" t="inlineStr"/>
      <c r="C790" s="2" t="inlineStr"/>
      <c r="D790" s="2" t="inlineStr"/>
      <c r="E790" s="18" t="inlineStr"/>
    </row>
    <row r="791" ht="20" customHeight="1">
      <c r="A791" s="19" t="inlineStr">
        <is>
          <t>4.1.2.1. ​92768​ ARMAÇÃO DE LAJE DE ESTRUTURA CONVENCIONAL DE CONCRETO ARMADO UTILIZANDO AÇO CA-60 DE 5,0 MM - MONTAGEM. AF_06/2022​ (KG)</t>
        </is>
      </c>
      <c r="B791" s="55" t="n"/>
      <c r="C791" s="55" t="n"/>
      <c r="D791" s="55" t="n"/>
      <c r="E791" s="55" t="n"/>
      <c r="F791" s="55" t="n"/>
      <c r="G791" s="56" t="n"/>
    </row>
    <row r="792" ht="15" customHeight="1">
      <c r="A792" s="20" t="inlineStr">
        <is>
          <t>Material</t>
        </is>
      </c>
      <c r="B792" s="56" t="n"/>
      <c r="C792" s="21" t="inlineStr">
        <is>
          <t>FONTE</t>
        </is>
      </c>
      <c r="D792" s="21" t="inlineStr">
        <is>
          <t>UNID</t>
        </is>
      </c>
      <c r="E792" s="21" t="inlineStr">
        <is>
          <t>COEFICIENTE</t>
        </is>
      </c>
      <c r="F792" s="21" t="inlineStr">
        <is>
          <t>PREÇO UNITÁRIO</t>
        </is>
      </c>
      <c r="G792" s="21" t="inlineStr">
        <is>
          <t>TOTAL</t>
        </is>
      </c>
    </row>
    <row r="793" ht="21" customHeight="1">
      <c r="A793" s="22" t="inlineStr">
        <is>
          <t>00043132</t>
        </is>
      </c>
      <c r="B793" s="23" t="inlineStr">
        <is>
          <t>ARAME RECOZIDO 16 BWG, D = 1,65 MM (0,016 KG/M) OU 18 BWG, D = 1,25 MM (0,01 KG/M)</t>
        </is>
      </c>
      <c r="C793" s="22" t="inlineStr">
        <is>
          <t>SINAPI</t>
        </is>
      </c>
      <c r="D793" s="22" t="inlineStr">
        <is>
          <t>KG</t>
        </is>
      </c>
      <c r="E793" s="63" t="n">
        <v>0.025</v>
      </c>
      <c r="F793" s="64">
        <f>ROUND(M793*FATOR, 2)</f>
        <v/>
      </c>
      <c r="G793" s="64">
        <f>TRUNC(TRUNC(E793,8)*F793,2)</f>
        <v/>
      </c>
      <c r="L793" t="n">
        <v>0.025</v>
      </c>
      <c r="M793" t="n">
        <v>15.67</v>
      </c>
      <c r="N793">
        <f>(M793-F793)</f>
        <v/>
      </c>
    </row>
    <row r="794" ht="29" customHeight="1">
      <c r="A794" s="22" t="inlineStr">
        <is>
          <t>00039017</t>
        </is>
      </c>
      <c r="B794" s="23" t="inlineStr">
        <is>
          <t>ESPACADOR / DISTANCIADOR CIRCULAR COM ENTRADA LATERAL, EM PLASTICO, PARA VERGALHAO *4,2 A 12,5* MM, COBRIMENTO 20 MM</t>
        </is>
      </c>
      <c r="C794" s="22" t="inlineStr">
        <is>
          <t>SINAPI</t>
        </is>
      </c>
      <c r="D794" s="22" t="inlineStr">
        <is>
          <t>UN</t>
        </is>
      </c>
      <c r="E794" s="63" t="n">
        <v>2.118</v>
      </c>
      <c r="F794" s="64">
        <f>ROUND(M794*FATOR, 2)</f>
        <v/>
      </c>
      <c r="G794" s="64">
        <f>TRUNC(TRUNC(E794,8)*F794,2)</f>
        <v/>
      </c>
      <c r="L794" t="n">
        <v>2.118</v>
      </c>
      <c r="M794" t="n">
        <v>0.22</v>
      </c>
      <c r="N794">
        <f>(M794-F794)</f>
        <v/>
      </c>
    </row>
    <row r="795" ht="15" customHeight="1">
      <c r="A795" s="2" t="inlineStr"/>
      <c r="B795" s="2" t="inlineStr"/>
      <c r="C795" s="2" t="inlineStr"/>
      <c r="D795" s="2" t="inlineStr"/>
      <c r="E795" s="26" t="inlineStr">
        <is>
          <t>TOTAL Material:</t>
        </is>
      </c>
      <c r="F795" s="56" t="n"/>
      <c r="G795" s="65">
        <f>SUM(G793:G794)</f>
        <v/>
      </c>
    </row>
    <row r="796" ht="15" customHeight="1">
      <c r="A796" s="20" t="inlineStr">
        <is>
          <t>Mão de Obra com Encargos Complementares</t>
        </is>
      </c>
      <c r="B796" s="56" t="n"/>
      <c r="C796" s="21" t="inlineStr">
        <is>
          <t>FONTE</t>
        </is>
      </c>
      <c r="D796" s="21" t="inlineStr">
        <is>
          <t>UNID</t>
        </is>
      </c>
      <c r="E796" s="21" t="inlineStr">
        <is>
          <t>COEFICIENTE</t>
        </is>
      </c>
      <c r="F796" s="21" t="inlineStr">
        <is>
          <t>PREÇO UNITÁRIO</t>
        </is>
      </c>
      <c r="G796" s="21" t="inlineStr">
        <is>
          <t>TOTAL</t>
        </is>
      </c>
    </row>
    <row r="797" ht="21" customHeight="1">
      <c r="A797" s="22" t="inlineStr">
        <is>
          <t>88238</t>
        </is>
      </c>
      <c r="B797" s="23" t="inlineStr">
        <is>
          <t>AJUDANTE DE ARMADOR COM ENCARGOS COMPLEMENTARES</t>
        </is>
      </c>
      <c r="C797" s="22" t="inlineStr">
        <is>
          <t>SINAPI</t>
        </is>
      </c>
      <c r="D797" s="22" t="inlineStr">
        <is>
          <t>H</t>
        </is>
      </c>
      <c r="E797" s="63">
        <f>L797*FATOR</f>
        <v/>
      </c>
      <c r="F797" s="64">
        <f>'COMPOSICOES AUXILIARES'!G26</f>
        <v/>
      </c>
      <c r="G797" s="64">
        <f>TRUNC(TRUNC(E797,8)*F797,2)</f>
        <v/>
      </c>
      <c r="L797" t="n">
        <v>0.0136</v>
      </c>
      <c r="M797" t="n">
        <v>24.77</v>
      </c>
      <c r="N797">
        <f>(M797-F797)</f>
        <v/>
      </c>
    </row>
    <row r="798" ht="15" customHeight="1">
      <c r="A798" s="22" t="inlineStr">
        <is>
          <t>88245</t>
        </is>
      </c>
      <c r="B798" s="23" t="inlineStr">
        <is>
          <t>ARMADOR COM ENCARGOS COMPLEMENTARES</t>
        </is>
      </c>
      <c r="C798" s="22" t="inlineStr">
        <is>
          <t>SINAPI</t>
        </is>
      </c>
      <c r="D798" s="22" t="inlineStr">
        <is>
          <t>H</t>
        </is>
      </c>
      <c r="E798" s="63">
        <f>L798*FATOR</f>
        <v/>
      </c>
      <c r="F798" s="64">
        <f>'COMPOSICOES AUXILIARES'!G26</f>
        <v/>
      </c>
      <c r="G798" s="64">
        <f>TRUNC(TRUNC(E798,8)*F798,2)</f>
        <v/>
      </c>
      <c r="L798" t="n">
        <v>0.08359999999999999</v>
      </c>
      <c r="M798" t="n">
        <v>30.43</v>
      </c>
      <c r="N798">
        <f>(M798-F798)</f>
        <v/>
      </c>
    </row>
    <row r="799" ht="18" customHeight="1">
      <c r="A799" s="2" t="inlineStr"/>
      <c r="B799" s="2" t="inlineStr"/>
      <c r="C799" s="2" t="inlineStr"/>
      <c r="D799" s="2" t="inlineStr"/>
      <c r="E799" s="26" t="inlineStr">
        <is>
          <t>TOTAL Mão de Obra com Encargos Complementares:</t>
        </is>
      </c>
      <c r="F799" s="56" t="n"/>
      <c r="G799" s="65">
        <f>SUM(G797:G798)</f>
        <v/>
      </c>
    </row>
    <row r="800" ht="15" customHeight="1">
      <c r="A800" s="20" t="inlineStr">
        <is>
          <t>Serviço</t>
        </is>
      </c>
      <c r="B800" s="56" t="n"/>
      <c r="C800" s="21" t="inlineStr">
        <is>
          <t>FONTE</t>
        </is>
      </c>
      <c r="D800" s="21" t="inlineStr">
        <is>
          <t>UNID</t>
        </is>
      </c>
      <c r="E800" s="21" t="inlineStr">
        <is>
          <t>COEFICIENTE</t>
        </is>
      </c>
      <c r="F800" s="21" t="inlineStr">
        <is>
          <t>PREÇO UNITÁRIO</t>
        </is>
      </c>
      <c r="G800" s="21" t="inlineStr">
        <is>
          <t>TOTAL</t>
        </is>
      </c>
    </row>
    <row r="801" ht="21" customHeight="1">
      <c r="A801" s="22" t="inlineStr">
        <is>
          <t>92800</t>
        </is>
      </c>
      <c r="B801" s="23" t="inlineStr">
        <is>
          <t>CORTE E DOBRA DE AÇO CA-60, DIÂMETRO DE 5,0 MM. AF_06/2022</t>
        </is>
      </c>
      <c r="C801" s="22" t="inlineStr">
        <is>
          <t>SINAPI</t>
        </is>
      </c>
      <c r="D801" s="22" t="inlineStr">
        <is>
          <t>KG</t>
        </is>
      </c>
      <c r="E801" s="63" t="n">
        <v>1</v>
      </c>
      <c r="F801" s="64">
        <f>'COMPOSICOES AUXILIARES'!G1475</f>
        <v/>
      </c>
      <c r="G801" s="64">
        <f>TRUNC(TRUNC(E801,8)*F801,2)</f>
        <v/>
      </c>
      <c r="L801" t="n">
        <v>1</v>
      </c>
      <c r="M801" t="n">
        <v>9.48</v>
      </c>
      <c r="N801">
        <f>(M801-F801)</f>
        <v/>
      </c>
    </row>
    <row r="802" ht="15" customHeight="1">
      <c r="A802" s="2" t="inlineStr"/>
      <c r="B802" s="2" t="inlineStr"/>
      <c r="C802" s="2" t="inlineStr"/>
      <c r="D802" s="2" t="inlineStr"/>
      <c r="E802" s="26" t="inlineStr">
        <is>
          <t>TOTAL Serviço:</t>
        </is>
      </c>
      <c r="F802" s="56" t="n"/>
      <c r="G802" s="65">
        <f>SUM(G801:G801)</f>
        <v/>
      </c>
    </row>
    <row r="803" ht="15" customHeight="1">
      <c r="A803" s="2" t="inlineStr"/>
      <c r="B803" s="2" t="inlineStr"/>
      <c r="C803" s="2" t="inlineStr"/>
      <c r="D803" s="2" t="inlineStr"/>
      <c r="E803" s="28" t="inlineStr">
        <is>
          <t>VALOR:</t>
        </is>
      </c>
      <c r="F803" s="56" t="n"/>
      <c r="G803" s="66">
        <f>SUM(G802,G795,G799)</f>
        <v/>
      </c>
    </row>
    <row r="804" ht="15" customHeight="1">
      <c r="A804" s="2" t="inlineStr"/>
      <c r="B804" s="2" t="inlineStr"/>
      <c r="C804" s="2" t="inlineStr"/>
      <c r="D804" s="2" t="inlineStr"/>
      <c r="E804" s="28" t="inlineStr">
        <is>
          <t>VALOR BDI (23.08%):</t>
        </is>
      </c>
      <c r="F804" s="56" t="n"/>
      <c r="G804" s="66">
        <f>ROUNDDOWN(G803*BDI,2)</f>
        <v/>
      </c>
    </row>
    <row r="805" ht="15" customHeight="1">
      <c r="A805" s="2" t="inlineStr"/>
      <c r="B805" s="2" t="inlineStr"/>
      <c r="C805" s="2" t="inlineStr"/>
      <c r="D805" s="2" t="inlineStr"/>
      <c r="E805" s="28" t="inlineStr">
        <is>
          <t>VALOR COM BDI:</t>
        </is>
      </c>
      <c r="F805" s="56" t="n"/>
      <c r="G805" s="66">
        <f>G804 + G803</f>
        <v/>
      </c>
    </row>
    <row r="806" ht="10" customHeight="1">
      <c r="A806" s="2" t="inlineStr"/>
      <c r="B806" s="2" t="inlineStr"/>
      <c r="C806" s="2" t="inlineStr"/>
      <c r="D806" s="2" t="inlineStr"/>
      <c r="E806" s="18" t="inlineStr"/>
    </row>
    <row r="807" ht="20" customHeight="1">
      <c r="A807" s="19" t="inlineStr">
        <is>
          <t>4.1.2.2. ​92769​ ARMAÇÃO DE LAJE DE ESTRUTURA CONVENCIONAL DE CONCRETO ARMADO UTILIZANDO AÇO CA-50 DE 6,3 MM - MONTAGEM. AF_06/2022​ (KG)</t>
        </is>
      </c>
      <c r="B807" s="55" t="n"/>
      <c r="C807" s="55" t="n"/>
      <c r="D807" s="55" t="n"/>
      <c r="E807" s="55" t="n"/>
      <c r="F807" s="55" t="n"/>
      <c r="G807" s="56" t="n"/>
    </row>
    <row r="808" ht="15" customHeight="1">
      <c r="A808" s="20" t="inlineStr">
        <is>
          <t>Material</t>
        </is>
      </c>
      <c r="B808" s="56" t="n"/>
      <c r="C808" s="21" t="inlineStr">
        <is>
          <t>FONTE</t>
        </is>
      </c>
      <c r="D808" s="21" t="inlineStr">
        <is>
          <t>UNID</t>
        </is>
      </c>
      <c r="E808" s="21" t="inlineStr">
        <is>
          <t>COEFICIENTE</t>
        </is>
      </c>
      <c r="F808" s="21" t="inlineStr">
        <is>
          <t>PREÇO UNITÁRIO</t>
        </is>
      </c>
      <c r="G808" s="21" t="inlineStr">
        <is>
          <t>TOTAL</t>
        </is>
      </c>
    </row>
    <row r="809" ht="21" customHeight="1">
      <c r="A809" s="22" t="inlineStr">
        <is>
          <t>00043132</t>
        </is>
      </c>
      <c r="B809" s="23" t="inlineStr">
        <is>
          <t>ARAME RECOZIDO 16 BWG, D = 1,65 MM (0,016 KG/M) OU 18 BWG, D = 1,25 MM (0,01 KG/M)</t>
        </is>
      </c>
      <c r="C809" s="22" t="inlineStr">
        <is>
          <t>SINAPI</t>
        </is>
      </c>
      <c r="D809" s="22" t="inlineStr">
        <is>
          <t>KG</t>
        </is>
      </c>
      <c r="E809" s="63" t="n">
        <v>0.025</v>
      </c>
      <c r="F809" s="64">
        <f>ROUND(M809*FATOR, 2)</f>
        <v/>
      </c>
      <c r="G809" s="64">
        <f>TRUNC(TRUNC(E809,8)*F809,2)</f>
        <v/>
      </c>
      <c r="L809" t="n">
        <v>0.025</v>
      </c>
      <c r="M809" t="n">
        <v>15.67</v>
      </c>
      <c r="N809">
        <f>(M809-F809)</f>
        <v/>
      </c>
    </row>
    <row r="810" ht="29" customHeight="1">
      <c r="A810" s="22" t="inlineStr">
        <is>
          <t>00039017</t>
        </is>
      </c>
      <c r="B810" s="23" t="inlineStr">
        <is>
          <t>ESPACADOR / DISTANCIADOR CIRCULAR COM ENTRADA LATERAL, EM PLASTICO, PARA VERGALHAO *4,2 A 12,5* MM, COBRIMENTO 20 MM</t>
        </is>
      </c>
      <c r="C810" s="22" t="inlineStr">
        <is>
          <t>SINAPI</t>
        </is>
      </c>
      <c r="D810" s="22" t="inlineStr">
        <is>
          <t>UN</t>
        </is>
      </c>
      <c r="E810" s="63" t="n">
        <v>1.333</v>
      </c>
      <c r="F810" s="64">
        <f>ROUND(M810*FATOR, 2)</f>
        <v/>
      </c>
      <c r="G810" s="64">
        <f>TRUNC(TRUNC(E810,8)*F810,2)</f>
        <v/>
      </c>
      <c r="L810" t="n">
        <v>1.333</v>
      </c>
      <c r="M810" t="n">
        <v>0.22</v>
      </c>
      <c r="N810">
        <f>(M810-F810)</f>
        <v/>
      </c>
    </row>
    <row r="811" ht="15" customHeight="1">
      <c r="A811" s="2" t="inlineStr"/>
      <c r="B811" s="2" t="inlineStr"/>
      <c r="C811" s="2" t="inlineStr"/>
      <c r="D811" s="2" t="inlineStr"/>
      <c r="E811" s="26" t="inlineStr">
        <is>
          <t>TOTAL Material:</t>
        </is>
      </c>
      <c r="F811" s="56" t="n"/>
      <c r="G811" s="65">
        <f>SUM(G809:G810)</f>
        <v/>
      </c>
    </row>
    <row r="812" ht="15" customHeight="1">
      <c r="A812" s="20" t="inlineStr">
        <is>
          <t>Mão de Obra com Encargos Complementares</t>
        </is>
      </c>
      <c r="B812" s="56" t="n"/>
      <c r="C812" s="21" t="inlineStr">
        <is>
          <t>FONTE</t>
        </is>
      </c>
      <c r="D812" s="21" t="inlineStr">
        <is>
          <t>UNID</t>
        </is>
      </c>
      <c r="E812" s="21" t="inlineStr">
        <is>
          <t>COEFICIENTE</t>
        </is>
      </c>
      <c r="F812" s="21" t="inlineStr">
        <is>
          <t>PREÇO UNITÁRIO</t>
        </is>
      </c>
      <c r="G812" s="21" t="inlineStr">
        <is>
          <t>TOTAL</t>
        </is>
      </c>
    </row>
    <row r="813" ht="21" customHeight="1">
      <c r="A813" s="22" t="inlineStr">
        <is>
          <t>88238</t>
        </is>
      </c>
      <c r="B813" s="23" t="inlineStr">
        <is>
          <t>AJUDANTE DE ARMADOR COM ENCARGOS COMPLEMENTARES</t>
        </is>
      </c>
      <c r="C813" s="22" t="inlineStr">
        <is>
          <t>SINAPI</t>
        </is>
      </c>
      <c r="D813" s="22" t="inlineStr">
        <is>
          <t>H</t>
        </is>
      </c>
      <c r="E813" s="63">
        <f>L813*FATOR</f>
        <v/>
      </c>
      <c r="F813" s="64">
        <f>'COMPOSICOES AUXILIARES'!G26</f>
        <v/>
      </c>
      <c r="G813" s="64">
        <f>TRUNC(TRUNC(E813,8)*F813,2)</f>
        <v/>
      </c>
      <c r="L813" t="n">
        <v>0.0098</v>
      </c>
      <c r="M813" t="n">
        <v>24.77</v>
      </c>
      <c r="N813">
        <f>(M813-F813)</f>
        <v/>
      </c>
    </row>
    <row r="814" ht="15" customHeight="1">
      <c r="A814" s="22" t="inlineStr">
        <is>
          <t>88245</t>
        </is>
      </c>
      <c r="B814" s="23" t="inlineStr">
        <is>
          <t>ARMADOR COM ENCARGOS COMPLEMENTARES</t>
        </is>
      </c>
      <c r="C814" s="22" t="inlineStr">
        <is>
          <t>SINAPI</t>
        </is>
      </c>
      <c r="D814" s="22" t="inlineStr">
        <is>
          <t>H</t>
        </is>
      </c>
      <c r="E814" s="63">
        <f>L814*FATOR</f>
        <v/>
      </c>
      <c r="F814" s="64">
        <f>'COMPOSICOES AUXILIARES'!G26</f>
        <v/>
      </c>
      <c r="G814" s="64">
        <f>TRUNC(TRUNC(E814,8)*F814,2)</f>
        <v/>
      </c>
      <c r="L814" t="n">
        <v>0.0597</v>
      </c>
      <c r="M814" t="n">
        <v>30.43</v>
      </c>
      <c r="N814">
        <f>(M814-F814)</f>
        <v/>
      </c>
    </row>
    <row r="815" ht="18" customHeight="1">
      <c r="A815" s="2" t="inlineStr"/>
      <c r="B815" s="2" t="inlineStr"/>
      <c r="C815" s="2" t="inlineStr"/>
      <c r="D815" s="2" t="inlineStr"/>
      <c r="E815" s="26" t="inlineStr">
        <is>
          <t>TOTAL Mão de Obra com Encargos Complementares:</t>
        </is>
      </c>
      <c r="F815" s="56" t="n"/>
      <c r="G815" s="65">
        <f>SUM(G813:G814)</f>
        <v/>
      </c>
    </row>
    <row r="816" ht="15" customHeight="1">
      <c r="A816" s="20" t="inlineStr">
        <is>
          <t>Serviço</t>
        </is>
      </c>
      <c r="B816" s="56" t="n"/>
      <c r="C816" s="21" t="inlineStr">
        <is>
          <t>FONTE</t>
        </is>
      </c>
      <c r="D816" s="21" t="inlineStr">
        <is>
          <t>UNID</t>
        </is>
      </c>
      <c r="E816" s="21" t="inlineStr">
        <is>
          <t>COEFICIENTE</t>
        </is>
      </c>
      <c r="F816" s="21" t="inlineStr">
        <is>
          <t>PREÇO UNITÁRIO</t>
        </is>
      </c>
      <c r="G816" s="21" t="inlineStr">
        <is>
          <t>TOTAL</t>
        </is>
      </c>
    </row>
    <row r="817" ht="21" customHeight="1">
      <c r="A817" s="22" t="inlineStr">
        <is>
          <t>92801</t>
        </is>
      </c>
      <c r="B817" s="23" t="inlineStr">
        <is>
          <t>CORTE E DOBRA DE AÇO CA-50, DIÂMETRO DE 6,3 MM. AF_06/2022</t>
        </is>
      </c>
      <c r="C817" s="22" t="inlineStr">
        <is>
          <t>SINAPI</t>
        </is>
      </c>
      <c r="D817" s="22" t="inlineStr">
        <is>
          <t>KG</t>
        </is>
      </c>
      <c r="E817" s="63" t="n">
        <v>1</v>
      </c>
      <c r="F817" s="64">
        <f>'COMPOSICOES AUXILIARES'!G1439</f>
        <v/>
      </c>
      <c r="G817" s="64">
        <f>TRUNC(TRUNC(E817,8)*F817,2)</f>
        <v/>
      </c>
      <c r="L817" t="n">
        <v>1</v>
      </c>
      <c r="M817" t="n">
        <v>9.4</v>
      </c>
      <c r="N817">
        <f>(M817-F817)</f>
        <v/>
      </c>
    </row>
    <row r="818" ht="15" customHeight="1">
      <c r="A818" s="2" t="inlineStr"/>
      <c r="B818" s="2" t="inlineStr"/>
      <c r="C818" s="2" t="inlineStr"/>
      <c r="D818" s="2" t="inlineStr"/>
      <c r="E818" s="26" t="inlineStr">
        <is>
          <t>TOTAL Serviço:</t>
        </is>
      </c>
      <c r="F818" s="56" t="n"/>
      <c r="G818" s="65">
        <f>SUM(G817:G817)</f>
        <v/>
      </c>
    </row>
    <row r="819" ht="15" customHeight="1">
      <c r="A819" s="2" t="inlineStr"/>
      <c r="B819" s="2" t="inlineStr"/>
      <c r="C819" s="2" t="inlineStr"/>
      <c r="D819" s="2" t="inlineStr"/>
      <c r="E819" s="28" t="inlineStr">
        <is>
          <t>VALOR:</t>
        </is>
      </c>
      <c r="F819" s="56" t="n"/>
      <c r="G819" s="66">
        <f>SUM(G818,G811,G815)</f>
        <v/>
      </c>
    </row>
    <row r="820" ht="15" customHeight="1">
      <c r="A820" s="2" t="inlineStr"/>
      <c r="B820" s="2" t="inlineStr"/>
      <c r="C820" s="2" t="inlineStr"/>
      <c r="D820" s="2" t="inlineStr"/>
      <c r="E820" s="28" t="inlineStr">
        <is>
          <t>VALOR BDI (23.08%):</t>
        </is>
      </c>
      <c r="F820" s="56" t="n"/>
      <c r="G820" s="66">
        <f>ROUNDDOWN(G819*BDI,2)</f>
        <v/>
      </c>
    </row>
    <row r="821" ht="15" customHeight="1">
      <c r="A821" s="2" t="inlineStr"/>
      <c r="B821" s="2" t="inlineStr"/>
      <c r="C821" s="2" t="inlineStr"/>
      <c r="D821" s="2" t="inlineStr"/>
      <c r="E821" s="28" t="inlineStr">
        <is>
          <t>VALOR COM BDI:</t>
        </is>
      </c>
      <c r="F821" s="56" t="n"/>
      <c r="G821" s="66">
        <f>G820 + G819</f>
        <v/>
      </c>
    </row>
    <row r="822" ht="10" customHeight="1">
      <c r="A822" s="2" t="inlineStr"/>
      <c r="B822" s="2" t="inlineStr"/>
      <c r="C822" s="2" t="inlineStr"/>
      <c r="D822" s="2" t="inlineStr"/>
      <c r="E822" s="18" t="inlineStr"/>
    </row>
    <row r="823" ht="20" customHeight="1">
      <c r="A823" s="19" t="inlineStr">
        <is>
          <t>4.1.2.3. ​92770​ ARMAÇÃO DE LAJE DE ESTRUTURA CONVENCIONAL DE CONCRETO ARMADO UTILIZANDO AÇO CA-50 DE 8,0 MM - MONTAGEM. AF_06/2022​ (KG)</t>
        </is>
      </c>
      <c r="B823" s="55" t="n"/>
      <c r="C823" s="55" t="n"/>
      <c r="D823" s="55" t="n"/>
      <c r="E823" s="55" t="n"/>
      <c r="F823" s="55" t="n"/>
      <c r="G823" s="56" t="n"/>
    </row>
    <row r="824" ht="15" customHeight="1">
      <c r="A824" s="20" t="inlineStr">
        <is>
          <t>Material</t>
        </is>
      </c>
      <c r="B824" s="56" t="n"/>
      <c r="C824" s="21" t="inlineStr">
        <is>
          <t>FONTE</t>
        </is>
      </c>
      <c r="D824" s="21" t="inlineStr">
        <is>
          <t>UNID</t>
        </is>
      </c>
      <c r="E824" s="21" t="inlineStr">
        <is>
          <t>COEFICIENTE</t>
        </is>
      </c>
      <c r="F824" s="21" t="inlineStr">
        <is>
          <t>PREÇO UNITÁRIO</t>
        </is>
      </c>
      <c r="G824" s="21" t="inlineStr">
        <is>
          <t>TOTAL</t>
        </is>
      </c>
    </row>
    <row r="825" ht="21" customHeight="1">
      <c r="A825" s="22" t="inlineStr">
        <is>
          <t>00043132</t>
        </is>
      </c>
      <c r="B825" s="23" t="inlineStr">
        <is>
          <t>ARAME RECOZIDO 16 BWG, D = 1,65 MM (0,016 KG/M) OU 18 BWG, D = 1,25 MM (0,01 KG/M)</t>
        </is>
      </c>
      <c r="C825" s="22" t="inlineStr">
        <is>
          <t>SINAPI</t>
        </is>
      </c>
      <c r="D825" s="22" t="inlineStr">
        <is>
          <t>KG</t>
        </is>
      </c>
      <c r="E825" s="63" t="n">
        <v>0.025</v>
      </c>
      <c r="F825" s="64">
        <f>ROUND(M825*FATOR, 2)</f>
        <v/>
      </c>
      <c r="G825" s="64">
        <f>TRUNC(TRUNC(E825,8)*F825,2)</f>
        <v/>
      </c>
      <c r="L825" t="n">
        <v>0.025</v>
      </c>
      <c r="M825" t="n">
        <v>15.67</v>
      </c>
      <c r="N825">
        <f>(M825-F825)</f>
        <v/>
      </c>
    </row>
    <row r="826" ht="29" customHeight="1">
      <c r="A826" s="22" t="inlineStr">
        <is>
          <t>00039017</t>
        </is>
      </c>
      <c r="B826" s="23" t="inlineStr">
        <is>
          <t>ESPACADOR / DISTANCIADOR CIRCULAR COM ENTRADA LATERAL, EM PLASTICO, PARA VERGALHAO *4,2 A 12,5* MM, COBRIMENTO 20 MM</t>
        </is>
      </c>
      <c r="C826" s="22" t="inlineStr">
        <is>
          <t>SINAPI</t>
        </is>
      </c>
      <c r="D826" s="22" t="inlineStr">
        <is>
          <t>UN</t>
        </is>
      </c>
      <c r="E826" s="63" t="n">
        <v>0.728</v>
      </c>
      <c r="F826" s="64">
        <f>ROUND(M826*FATOR, 2)</f>
        <v/>
      </c>
      <c r="G826" s="64">
        <f>TRUNC(TRUNC(E826,8)*F826,2)</f>
        <v/>
      </c>
      <c r="L826" t="n">
        <v>0.728</v>
      </c>
      <c r="M826" t="n">
        <v>0.22</v>
      </c>
      <c r="N826">
        <f>(M826-F826)</f>
        <v/>
      </c>
    </row>
    <row r="827" ht="15" customHeight="1">
      <c r="A827" s="2" t="inlineStr"/>
      <c r="B827" s="2" t="inlineStr"/>
      <c r="C827" s="2" t="inlineStr"/>
      <c r="D827" s="2" t="inlineStr"/>
      <c r="E827" s="26" t="inlineStr">
        <is>
          <t>TOTAL Material:</t>
        </is>
      </c>
      <c r="F827" s="56" t="n"/>
      <c r="G827" s="65">
        <f>SUM(G825:G826)</f>
        <v/>
      </c>
    </row>
    <row r="828" ht="15" customHeight="1">
      <c r="A828" s="20" t="inlineStr">
        <is>
          <t>Mão de Obra com Encargos Complementares</t>
        </is>
      </c>
      <c r="B828" s="56" t="n"/>
      <c r="C828" s="21" t="inlineStr">
        <is>
          <t>FONTE</t>
        </is>
      </c>
      <c r="D828" s="21" t="inlineStr">
        <is>
          <t>UNID</t>
        </is>
      </c>
      <c r="E828" s="21" t="inlineStr">
        <is>
          <t>COEFICIENTE</t>
        </is>
      </c>
      <c r="F828" s="21" t="inlineStr">
        <is>
          <t>PREÇO UNITÁRIO</t>
        </is>
      </c>
      <c r="G828" s="21" t="inlineStr">
        <is>
          <t>TOTAL</t>
        </is>
      </c>
    </row>
    <row r="829" ht="21" customHeight="1">
      <c r="A829" s="22" t="inlineStr">
        <is>
          <t>88238</t>
        </is>
      </c>
      <c r="B829" s="23" t="inlineStr">
        <is>
          <t>AJUDANTE DE ARMADOR COM ENCARGOS COMPLEMENTARES</t>
        </is>
      </c>
      <c r="C829" s="22" t="inlineStr">
        <is>
          <t>SINAPI</t>
        </is>
      </c>
      <c r="D829" s="22" t="inlineStr">
        <is>
          <t>H</t>
        </is>
      </c>
      <c r="E829" s="63">
        <f>L829*FATOR</f>
        <v/>
      </c>
      <c r="F829" s="64">
        <f>'COMPOSICOES AUXILIARES'!G26</f>
        <v/>
      </c>
      <c r="G829" s="64">
        <f>TRUNC(TRUNC(E829,8)*F829,2)</f>
        <v/>
      </c>
      <c r="L829" t="n">
        <v>0.0066</v>
      </c>
      <c r="M829" t="n">
        <v>24.77</v>
      </c>
      <c r="N829">
        <f>(M829-F829)</f>
        <v/>
      </c>
    </row>
    <row r="830" ht="15" customHeight="1">
      <c r="A830" s="22" t="inlineStr">
        <is>
          <t>88245</t>
        </is>
      </c>
      <c r="B830" s="23" t="inlineStr">
        <is>
          <t>ARMADOR COM ENCARGOS COMPLEMENTARES</t>
        </is>
      </c>
      <c r="C830" s="22" t="inlineStr">
        <is>
          <t>SINAPI</t>
        </is>
      </c>
      <c r="D830" s="22" t="inlineStr">
        <is>
          <t>H</t>
        </is>
      </c>
      <c r="E830" s="63">
        <f>L830*FATOR</f>
        <v/>
      </c>
      <c r="F830" s="64">
        <f>'COMPOSICOES AUXILIARES'!G26</f>
        <v/>
      </c>
      <c r="G830" s="64">
        <f>TRUNC(TRUNC(E830,8)*F830,2)</f>
        <v/>
      </c>
      <c r="L830" t="n">
        <v>0.0403</v>
      </c>
      <c r="M830" t="n">
        <v>30.43</v>
      </c>
      <c r="N830">
        <f>(M830-F830)</f>
        <v/>
      </c>
    </row>
    <row r="831" ht="18" customHeight="1">
      <c r="A831" s="2" t="inlineStr"/>
      <c r="B831" s="2" t="inlineStr"/>
      <c r="C831" s="2" t="inlineStr"/>
      <c r="D831" s="2" t="inlineStr"/>
      <c r="E831" s="26" t="inlineStr">
        <is>
          <t>TOTAL Mão de Obra com Encargos Complementares:</t>
        </is>
      </c>
      <c r="F831" s="56" t="n"/>
      <c r="G831" s="65">
        <f>SUM(G829:G830)</f>
        <v/>
      </c>
    </row>
    <row r="832" ht="15" customHeight="1">
      <c r="A832" s="20" t="inlineStr">
        <is>
          <t>Serviço</t>
        </is>
      </c>
      <c r="B832" s="56" t="n"/>
      <c r="C832" s="21" t="inlineStr">
        <is>
          <t>FONTE</t>
        </is>
      </c>
      <c r="D832" s="21" t="inlineStr">
        <is>
          <t>UNID</t>
        </is>
      </c>
      <c r="E832" s="21" t="inlineStr">
        <is>
          <t>COEFICIENTE</t>
        </is>
      </c>
      <c r="F832" s="21" t="inlineStr">
        <is>
          <t>PREÇO UNITÁRIO</t>
        </is>
      </c>
      <c r="G832" s="21" t="inlineStr">
        <is>
          <t>TOTAL</t>
        </is>
      </c>
    </row>
    <row r="833" ht="21" customHeight="1">
      <c r="A833" s="22" t="inlineStr">
        <is>
          <t>92802</t>
        </is>
      </c>
      <c r="B833" s="23" t="inlineStr">
        <is>
          <t>CORTE E DOBRA DE AÇO CA-50, DIÂMETRO DE 8,0 MM. AF_06/2022</t>
        </is>
      </c>
      <c r="C833" s="22" t="inlineStr">
        <is>
          <t>SINAPI</t>
        </is>
      </c>
      <c r="D833" s="22" t="inlineStr">
        <is>
          <t>KG</t>
        </is>
      </c>
      <c r="E833" s="63" t="n">
        <v>1</v>
      </c>
      <c r="F833" s="64">
        <f>'COMPOSICOES AUXILIARES'!G1451</f>
        <v/>
      </c>
      <c r="G833" s="64">
        <f>TRUNC(TRUNC(E833,8)*F833,2)</f>
        <v/>
      </c>
      <c r="L833" t="n">
        <v>1</v>
      </c>
      <c r="M833" t="n">
        <v>9.26</v>
      </c>
      <c r="N833">
        <f>(M833-F833)</f>
        <v/>
      </c>
    </row>
    <row r="834" ht="15" customHeight="1">
      <c r="A834" s="2" t="inlineStr"/>
      <c r="B834" s="2" t="inlineStr"/>
      <c r="C834" s="2" t="inlineStr"/>
      <c r="D834" s="2" t="inlineStr"/>
      <c r="E834" s="26" t="inlineStr">
        <is>
          <t>TOTAL Serviço:</t>
        </is>
      </c>
      <c r="F834" s="56" t="n"/>
      <c r="G834" s="65">
        <f>SUM(G833:G833)</f>
        <v/>
      </c>
    </row>
    <row r="835" ht="15" customHeight="1">
      <c r="A835" s="2" t="inlineStr"/>
      <c r="B835" s="2" t="inlineStr"/>
      <c r="C835" s="2" t="inlineStr"/>
      <c r="D835" s="2" t="inlineStr"/>
      <c r="E835" s="28" t="inlineStr">
        <is>
          <t>VALOR:</t>
        </is>
      </c>
      <c r="F835" s="56" t="n"/>
      <c r="G835" s="66">
        <f>SUM(G834,G827,G831)</f>
        <v/>
      </c>
    </row>
    <row r="836" ht="15" customHeight="1">
      <c r="A836" s="2" t="inlineStr"/>
      <c r="B836" s="2" t="inlineStr"/>
      <c r="C836" s="2" t="inlineStr"/>
      <c r="D836" s="2" t="inlineStr"/>
      <c r="E836" s="28" t="inlineStr">
        <is>
          <t>VALOR BDI (23.08%):</t>
        </is>
      </c>
      <c r="F836" s="56" t="n"/>
      <c r="G836" s="66">
        <f>ROUNDDOWN(G835*BDI,2)</f>
        <v/>
      </c>
    </row>
    <row r="837" ht="15" customHeight="1">
      <c r="A837" s="2" t="inlineStr"/>
      <c r="B837" s="2" t="inlineStr"/>
      <c r="C837" s="2" t="inlineStr"/>
      <c r="D837" s="2" t="inlineStr"/>
      <c r="E837" s="28" t="inlineStr">
        <is>
          <t>VALOR COM BDI:</t>
        </is>
      </c>
      <c r="F837" s="56" t="n"/>
      <c r="G837" s="66">
        <f>G836 + G835</f>
        <v/>
      </c>
    </row>
    <row r="838" ht="10" customHeight="1">
      <c r="A838" s="2" t="inlineStr"/>
      <c r="B838" s="2" t="inlineStr"/>
      <c r="C838" s="2" t="inlineStr"/>
      <c r="D838" s="2" t="inlineStr"/>
      <c r="E838" s="18" t="inlineStr"/>
    </row>
    <row r="839" ht="20" customHeight="1">
      <c r="A839" s="19" t="inlineStr">
        <is>
          <t>4.1.2.4. ​92771​ ARMAÇÃO DE LAJE DE ESTRUTURA CONVENCIONAL DE CONCRETO ARMADOUTILIZANDO AÇO CA-50 DE 10,0 MM - MONTAGEM. AF_06/2022​ (KG)</t>
        </is>
      </c>
      <c r="B839" s="55" t="n"/>
      <c r="C839" s="55" t="n"/>
      <c r="D839" s="55" t="n"/>
      <c r="E839" s="55" t="n"/>
      <c r="F839" s="55" t="n"/>
      <c r="G839" s="56" t="n"/>
    </row>
    <row r="840" ht="15" customHeight="1">
      <c r="A840" s="20" t="inlineStr">
        <is>
          <t>Material</t>
        </is>
      </c>
      <c r="B840" s="56" t="n"/>
      <c r="C840" s="21" t="inlineStr">
        <is>
          <t>FONTE</t>
        </is>
      </c>
      <c r="D840" s="21" t="inlineStr">
        <is>
          <t>UNID</t>
        </is>
      </c>
      <c r="E840" s="21" t="inlineStr">
        <is>
          <t>COEFICIENTE</t>
        </is>
      </c>
      <c r="F840" s="21" t="inlineStr">
        <is>
          <t>PREÇO UNITÁRIO</t>
        </is>
      </c>
      <c r="G840" s="21" t="inlineStr">
        <is>
          <t>TOTAL</t>
        </is>
      </c>
    </row>
    <row r="841" ht="21" customHeight="1">
      <c r="A841" s="22" t="inlineStr">
        <is>
          <t>00043132</t>
        </is>
      </c>
      <c r="B841" s="23" t="inlineStr">
        <is>
          <t>ARAME RECOZIDO 16 BWG, D = 1,65 MM (0,016 KG/M) OU 18 BWG, D = 1,25 MM (0,01 KG/M)</t>
        </is>
      </c>
      <c r="C841" s="22" t="inlineStr">
        <is>
          <t>SINAPI</t>
        </is>
      </c>
      <c r="D841" s="22" t="inlineStr">
        <is>
          <t>KG</t>
        </is>
      </c>
      <c r="E841" s="63" t="n">
        <v>0.025</v>
      </c>
      <c r="F841" s="64">
        <f>ROUND(M841*FATOR, 2)</f>
        <v/>
      </c>
      <c r="G841" s="64">
        <f>TRUNC(TRUNC(E841,8)*F841,2)</f>
        <v/>
      </c>
      <c r="L841" t="n">
        <v>0.025</v>
      </c>
      <c r="M841" t="n">
        <v>15.67</v>
      </c>
      <c r="N841">
        <f>(M841-F841)</f>
        <v/>
      </c>
    </row>
    <row r="842" ht="29" customHeight="1">
      <c r="A842" s="22" t="inlineStr">
        <is>
          <t>00039017</t>
        </is>
      </c>
      <c r="B842" s="23" t="inlineStr">
        <is>
          <t>ESPACADOR / DISTANCIADOR CIRCULAR COM ENTRADA LATERAL, EM PLASTICO, PARA VERGALHAO *4,2 A 12,5* MM, COBRIMENTO 20 MM</t>
        </is>
      </c>
      <c r="C842" s="22" t="inlineStr">
        <is>
          <t>SINAPI</t>
        </is>
      </c>
      <c r="D842" s="22" t="inlineStr">
        <is>
          <t>UN</t>
        </is>
      </c>
      <c r="E842" s="63" t="n">
        <v>0.357</v>
      </c>
      <c r="F842" s="64">
        <f>ROUND(M842*FATOR, 2)</f>
        <v/>
      </c>
      <c r="G842" s="64">
        <f>TRUNC(TRUNC(E842,8)*F842,2)</f>
        <v/>
      </c>
      <c r="L842" t="n">
        <v>0.357</v>
      </c>
      <c r="M842" t="n">
        <v>0.22</v>
      </c>
      <c r="N842">
        <f>(M842-F842)</f>
        <v/>
      </c>
    </row>
    <row r="843" ht="15" customHeight="1">
      <c r="A843" s="2" t="inlineStr"/>
      <c r="B843" s="2" t="inlineStr"/>
      <c r="C843" s="2" t="inlineStr"/>
      <c r="D843" s="2" t="inlineStr"/>
      <c r="E843" s="26" t="inlineStr">
        <is>
          <t>TOTAL Material:</t>
        </is>
      </c>
      <c r="F843" s="56" t="n"/>
      <c r="G843" s="65">
        <f>SUM(G841:G842)</f>
        <v/>
      </c>
    </row>
    <row r="844" ht="15" customHeight="1">
      <c r="A844" s="20" t="inlineStr">
        <is>
          <t>Mão de Obra com Encargos Complementares</t>
        </is>
      </c>
      <c r="B844" s="56" t="n"/>
      <c r="C844" s="21" t="inlineStr">
        <is>
          <t>FONTE</t>
        </is>
      </c>
      <c r="D844" s="21" t="inlineStr">
        <is>
          <t>UNID</t>
        </is>
      </c>
      <c r="E844" s="21" t="inlineStr">
        <is>
          <t>COEFICIENTE</t>
        </is>
      </c>
      <c r="F844" s="21" t="inlineStr">
        <is>
          <t>PREÇO UNITÁRIO</t>
        </is>
      </c>
      <c r="G844" s="21" t="inlineStr">
        <is>
          <t>TOTAL</t>
        </is>
      </c>
    </row>
    <row r="845" ht="21" customHeight="1">
      <c r="A845" s="22" t="inlineStr">
        <is>
          <t>88238</t>
        </is>
      </c>
      <c r="B845" s="23" t="inlineStr">
        <is>
          <t>AJUDANTE DE ARMADOR COM ENCARGOS COMPLEMENTARES</t>
        </is>
      </c>
      <c r="C845" s="22" t="inlineStr">
        <is>
          <t>SINAPI</t>
        </is>
      </c>
      <c r="D845" s="22" t="inlineStr">
        <is>
          <t>H</t>
        </is>
      </c>
      <c r="E845" s="63">
        <f>L845*FATOR</f>
        <v/>
      </c>
      <c r="F845" s="64">
        <f>'COMPOSICOES AUXILIARES'!G26</f>
        <v/>
      </c>
      <c r="G845" s="64">
        <f>TRUNC(TRUNC(E845,8)*F845,2)</f>
        <v/>
      </c>
      <c r="L845" t="n">
        <v>0.0042</v>
      </c>
      <c r="M845" t="n">
        <v>24.77</v>
      </c>
      <c r="N845">
        <f>(M845-F845)</f>
        <v/>
      </c>
    </row>
    <row r="846" ht="15" customHeight="1">
      <c r="A846" s="22" t="inlineStr">
        <is>
          <t>88245</t>
        </is>
      </c>
      <c r="B846" s="23" t="inlineStr">
        <is>
          <t>ARMADOR COM ENCARGOS COMPLEMENTARES</t>
        </is>
      </c>
      <c r="C846" s="22" t="inlineStr">
        <is>
          <t>SINAPI</t>
        </is>
      </c>
      <c r="D846" s="22" t="inlineStr">
        <is>
          <t>H</t>
        </is>
      </c>
      <c r="E846" s="63">
        <f>L846*FATOR</f>
        <v/>
      </c>
      <c r="F846" s="64">
        <f>'COMPOSICOES AUXILIARES'!G26</f>
        <v/>
      </c>
      <c r="G846" s="64">
        <f>TRUNC(TRUNC(E846,8)*F846,2)</f>
        <v/>
      </c>
      <c r="L846" t="n">
        <v>0.0259</v>
      </c>
      <c r="M846" t="n">
        <v>30.43</v>
      </c>
      <c r="N846">
        <f>(M846-F846)</f>
        <v/>
      </c>
    </row>
    <row r="847" ht="18" customHeight="1">
      <c r="A847" s="2" t="inlineStr"/>
      <c r="B847" s="2" t="inlineStr"/>
      <c r="C847" s="2" t="inlineStr"/>
      <c r="D847" s="2" t="inlineStr"/>
      <c r="E847" s="26" t="inlineStr">
        <is>
          <t>TOTAL Mão de Obra com Encargos Complementares:</t>
        </is>
      </c>
      <c r="F847" s="56" t="n"/>
      <c r="G847" s="65">
        <f>SUM(G845:G846)</f>
        <v/>
      </c>
    </row>
    <row r="848" ht="15" customHeight="1">
      <c r="A848" s="20" t="inlineStr">
        <is>
          <t>Serviço</t>
        </is>
      </c>
      <c r="B848" s="56" t="n"/>
      <c r="C848" s="21" t="inlineStr">
        <is>
          <t>FONTE</t>
        </is>
      </c>
      <c r="D848" s="21" t="inlineStr">
        <is>
          <t>UNID</t>
        </is>
      </c>
      <c r="E848" s="21" t="inlineStr">
        <is>
          <t>COEFICIENTE</t>
        </is>
      </c>
      <c r="F848" s="21" t="inlineStr">
        <is>
          <t>PREÇO UNITÁRIO</t>
        </is>
      </c>
      <c r="G848" s="21" t="inlineStr">
        <is>
          <t>TOTAL</t>
        </is>
      </c>
    </row>
    <row r="849" ht="21" customHeight="1">
      <c r="A849" s="22" t="inlineStr">
        <is>
          <t>92803</t>
        </is>
      </c>
      <c r="B849" s="23" t="inlineStr">
        <is>
          <t>CORTE E DOBRA DE AÇO CA-50, DIÂMETRO DE 10,0 MM. AF_06/2022</t>
        </is>
      </c>
      <c r="C849" s="22" t="inlineStr">
        <is>
          <t>SINAPI</t>
        </is>
      </c>
      <c r="D849" s="22" t="inlineStr">
        <is>
          <t>KG</t>
        </is>
      </c>
      <c r="E849" s="63" t="n">
        <v>1</v>
      </c>
      <c r="F849" s="64">
        <f>'COMPOSICOES AUXILIARES'!G1393</f>
        <v/>
      </c>
      <c r="G849" s="64">
        <f>TRUNC(TRUNC(E849,8)*F849,2)</f>
        <v/>
      </c>
      <c r="L849" t="n">
        <v>1</v>
      </c>
      <c r="M849" t="n">
        <v>8.5</v>
      </c>
      <c r="N849">
        <f>(M849-F849)</f>
        <v/>
      </c>
    </row>
    <row r="850" ht="15" customHeight="1">
      <c r="A850" s="2" t="inlineStr"/>
      <c r="B850" s="2" t="inlineStr"/>
      <c r="C850" s="2" t="inlineStr"/>
      <c r="D850" s="2" t="inlineStr"/>
      <c r="E850" s="26" t="inlineStr">
        <is>
          <t>TOTAL Serviço:</t>
        </is>
      </c>
      <c r="F850" s="56" t="n"/>
      <c r="G850" s="65">
        <f>SUM(G849:G849)</f>
        <v/>
      </c>
    </row>
    <row r="851" ht="15" customHeight="1">
      <c r="A851" s="2" t="inlineStr"/>
      <c r="B851" s="2" t="inlineStr"/>
      <c r="C851" s="2" t="inlineStr"/>
      <c r="D851" s="2" t="inlineStr"/>
      <c r="E851" s="28" t="inlineStr">
        <is>
          <t>VALOR:</t>
        </is>
      </c>
      <c r="F851" s="56" t="n"/>
      <c r="G851" s="66">
        <f>SUM(G850,G843,G847)</f>
        <v/>
      </c>
    </row>
    <row r="852" ht="15" customHeight="1">
      <c r="A852" s="2" t="inlineStr"/>
      <c r="B852" s="2" t="inlineStr"/>
      <c r="C852" s="2" t="inlineStr"/>
      <c r="D852" s="2" t="inlineStr"/>
      <c r="E852" s="28" t="inlineStr">
        <is>
          <t>VALOR BDI (23.08%):</t>
        </is>
      </c>
      <c r="F852" s="56" t="n"/>
      <c r="G852" s="66">
        <f>ROUNDDOWN(G851*BDI,2)</f>
        <v/>
      </c>
    </row>
    <row r="853" ht="15" customHeight="1">
      <c r="A853" s="2" t="inlineStr"/>
      <c r="B853" s="2" t="inlineStr"/>
      <c r="C853" s="2" t="inlineStr"/>
      <c r="D853" s="2" t="inlineStr"/>
      <c r="E853" s="28" t="inlineStr">
        <is>
          <t>VALOR COM BDI:</t>
        </is>
      </c>
      <c r="F853" s="56" t="n"/>
      <c r="G853" s="66">
        <f>G852 + G851</f>
        <v/>
      </c>
    </row>
    <row r="854" ht="10" customHeight="1">
      <c r="A854" s="2" t="inlineStr"/>
      <c r="B854" s="2" t="inlineStr"/>
      <c r="C854" s="2" t="inlineStr"/>
      <c r="D854" s="2" t="inlineStr"/>
      <c r="E854" s="18" t="inlineStr"/>
    </row>
    <row r="855" ht="20" customHeight="1">
      <c r="A855" s="19" t="inlineStr">
        <is>
          <t>4.1.2.5. ​92772​ ARMAÇÃO DE LAJE DE ESTRUTURA CONVENCIONAL DE CONCRETO ARMADO UTILIZANDO AÇO CA-50 DE 12,5 MM - MONTAGEM. AF_06/2022​ (KG)</t>
        </is>
      </c>
      <c r="B855" s="55" t="n"/>
      <c r="C855" s="55" t="n"/>
      <c r="D855" s="55" t="n"/>
      <c r="E855" s="55" t="n"/>
      <c r="F855" s="55" t="n"/>
      <c r="G855" s="56" t="n"/>
    </row>
    <row r="856" ht="15" customHeight="1">
      <c r="A856" s="20" t="inlineStr">
        <is>
          <t>Material</t>
        </is>
      </c>
      <c r="B856" s="56" t="n"/>
      <c r="C856" s="21" t="inlineStr">
        <is>
          <t>FONTE</t>
        </is>
      </c>
      <c r="D856" s="21" t="inlineStr">
        <is>
          <t>UNID</t>
        </is>
      </c>
      <c r="E856" s="21" t="inlineStr">
        <is>
          <t>COEFICIENTE</t>
        </is>
      </c>
      <c r="F856" s="21" t="inlineStr">
        <is>
          <t>PREÇO UNITÁRIO</t>
        </is>
      </c>
      <c r="G856" s="21" t="inlineStr">
        <is>
          <t>TOTAL</t>
        </is>
      </c>
    </row>
    <row r="857" ht="21" customHeight="1">
      <c r="A857" s="22" t="inlineStr">
        <is>
          <t>00043132</t>
        </is>
      </c>
      <c r="B857" s="23" t="inlineStr">
        <is>
          <t>ARAME RECOZIDO 16 BWG, D = 1,65 MM (0,016 KG/M) OU 18 BWG, D = 1,25 MM (0,01 KG/M)</t>
        </is>
      </c>
      <c r="C857" s="22" t="inlineStr">
        <is>
          <t>SINAPI</t>
        </is>
      </c>
      <c r="D857" s="22" t="inlineStr">
        <is>
          <t>KG</t>
        </is>
      </c>
      <c r="E857" s="63" t="n">
        <v>0.025</v>
      </c>
      <c r="F857" s="64">
        <f>ROUND(M857*FATOR, 2)</f>
        <v/>
      </c>
      <c r="G857" s="64">
        <f>TRUNC(TRUNC(E857,8)*F857,2)</f>
        <v/>
      </c>
      <c r="L857" t="n">
        <v>0.025</v>
      </c>
      <c r="M857" t="n">
        <v>15.67</v>
      </c>
      <c r="N857">
        <f>(M857-F857)</f>
        <v/>
      </c>
    </row>
    <row r="858" ht="29" customHeight="1">
      <c r="A858" s="22" t="inlineStr">
        <is>
          <t>00039017</t>
        </is>
      </c>
      <c r="B858" s="23" t="inlineStr">
        <is>
          <t>ESPACADOR / DISTANCIADOR CIRCULAR COM ENTRADA LATERAL, EM PLASTICO, PARA VERGALHAO *4,2 A 12,5* MM, COBRIMENTO 20 MM</t>
        </is>
      </c>
      <c r="C858" s="22" t="inlineStr">
        <is>
          <t>SINAPI</t>
        </is>
      </c>
      <c r="D858" s="22" t="inlineStr">
        <is>
          <t>UN</t>
        </is>
      </c>
      <c r="E858" s="63" t="n">
        <v>0.147</v>
      </c>
      <c r="F858" s="64">
        <f>ROUND(M858*FATOR, 2)</f>
        <v/>
      </c>
      <c r="G858" s="64">
        <f>TRUNC(TRUNC(E858,8)*F858,2)</f>
        <v/>
      </c>
      <c r="L858" t="n">
        <v>0.147</v>
      </c>
      <c r="M858" t="n">
        <v>0.22</v>
      </c>
      <c r="N858">
        <f>(M858-F858)</f>
        <v/>
      </c>
    </row>
    <row r="859" ht="15" customHeight="1">
      <c r="A859" s="2" t="inlineStr"/>
      <c r="B859" s="2" t="inlineStr"/>
      <c r="C859" s="2" t="inlineStr"/>
      <c r="D859" s="2" t="inlineStr"/>
      <c r="E859" s="26" t="inlineStr">
        <is>
          <t>TOTAL Material:</t>
        </is>
      </c>
      <c r="F859" s="56" t="n"/>
      <c r="G859" s="65">
        <f>SUM(G857:G858)</f>
        <v/>
      </c>
    </row>
    <row r="860" ht="15" customHeight="1">
      <c r="A860" s="20" t="inlineStr">
        <is>
          <t>Mão de Obra com Encargos Complementares</t>
        </is>
      </c>
      <c r="B860" s="56" t="n"/>
      <c r="C860" s="21" t="inlineStr">
        <is>
          <t>FONTE</t>
        </is>
      </c>
      <c r="D860" s="21" t="inlineStr">
        <is>
          <t>UNID</t>
        </is>
      </c>
      <c r="E860" s="21" t="inlineStr">
        <is>
          <t>COEFICIENTE</t>
        </is>
      </c>
      <c r="F860" s="21" t="inlineStr">
        <is>
          <t>PREÇO UNITÁRIO</t>
        </is>
      </c>
      <c r="G860" s="21" t="inlineStr">
        <is>
          <t>TOTAL</t>
        </is>
      </c>
    </row>
    <row r="861" ht="21" customHeight="1">
      <c r="A861" s="22" t="inlineStr">
        <is>
          <t>88238</t>
        </is>
      </c>
      <c r="B861" s="23" t="inlineStr">
        <is>
          <t>AJUDANTE DE ARMADOR COM ENCARGOS COMPLEMENTARES</t>
        </is>
      </c>
      <c r="C861" s="22" t="inlineStr">
        <is>
          <t>SINAPI</t>
        </is>
      </c>
      <c r="D861" s="22" t="inlineStr">
        <is>
          <t>H</t>
        </is>
      </c>
      <c r="E861" s="63">
        <f>L861*FATOR</f>
        <v/>
      </c>
      <c r="F861" s="64">
        <f>'COMPOSICOES AUXILIARES'!G26</f>
        <v/>
      </c>
      <c r="G861" s="64">
        <f>TRUNC(TRUNC(E861,8)*F861,2)</f>
        <v/>
      </c>
      <c r="L861" t="n">
        <v>0.0023</v>
      </c>
      <c r="M861" t="n">
        <v>24.77</v>
      </c>
      <c r="N861">
        <f>(M861-F861)</f>
        <v/>
      </c>
    </row>
    <row r="862" ht="15" customHeight="1">
      <c r="A862" s="22" t="inlineStr">
        <is>
          <t>88245</t>
        </is>
      </c>
      <c r="B862" s="23" t="inlineStr">
        <is>
          <t>ARMADOR COM ENCARGOS COMPLEMENTARES</t>
        </is>
      </c>
      <c r="C862" s="22" t="inlineStr">
        <is>
          <t>SINAPI</t>
        </is>
      </c>
      <c r="D862" s="22" t="inlineStr">
        <is>
          <t>H</t>
        </is>
      </c>
      <c r="E862" s="63">
        <f>L862*FATOR</f>
        <v/>
      </c>
      <c r="F862" s="64">
        <f>'COMPOSICOES AUXILIARES'!G26</f>
        <v/>
      </c>
      <c r="G862" s="64">
        <f>TRUNC(TRUNC(E862,8)*F862,2)</f>
        <v/>
      </c>
      <c r="L862" t="n">
        <v>0.0143</v>
      </c>
      <c r="M862" t="n">
        <v>30.43</v>
      </c>
      <c r="N862">
        <f>(M862-F862)</f>
        <v/>
      </c>
    </row>
    <row r="863" ht="18" customHeight="1">
      <c r="A863" s="2" t="inlineStr"/>
      <c r="B863" s="2" t="inlineStr"/>
      <c r="C863" s="2" t="inlineStr"/>
      <c r="D863" s="2" t="inlineStr"/>
      <c r="E863" s="26" t="inlineStr">
        <is>
          <t>TOTAL Mão de Obra com Encargos Complementares:</t>
        </is>
      </c>
      <c r="F863" s="56" t="n"/>
      <c r="G863" s="65">
        <f>SUM(G861:G862)</f>
        <v/>
      </c>
    </row>
    <row r="864" ht="15" customHeight="1">
      <c r="A864" s="20" t="inlineStr">
        <is>
          <t>Serviço</t>
        </is>
      </c>
      <c r="B864" s="56" t="n"/>
      <c r="C864" s="21" t="inlineStr">
        <is>
          <t>FONTE</t>
        </is>
      </c>
      <c r="D864" s="21" t="inlineStr">
        <is>
          <t>UNID</t>
        </is>
      </c>
      <c r="E864" s="21" t="inlineStr">
        <is>
          <t>COEFICIENTE</t>
        </is>
      </c>
      <c r="F864" s="21" t="inlineStr">
        <is>
          <t>PREÇO UNITÁRIO</t>
        </is>
      </c>
      <c r="G864" s="21" t="inlineStr">
        <is>
          <t>TOTAL</t>
        </is>
      </c>
    </row>
    <row r="865" ht="21" customHeight="1">
      <c r="A865" s="22" t="inlineStr">
        <is>
          <t>92804</t>
        </is>
      </c>
      <c r="B865" s="23" t="inlineStr">
        <is>
          <t>CORTE E DOBRA DE AÇO CA-50, DIÂMETRO DE 12,5 MM. AF_06/2022</t>
        </is>
      </c>
      <c r="C865" s="22" t="inlineStr">
        <is>
          <t>SINAPI</t>
        </is>
      </c>
      <c r="D865" s="22" t="inlineStr">
        <is>
          <t>KG</t>
        </is>
      </c>
      <c r="E865" s="63" t="n">
        <v>1</v>
      </c>
      <c r="F865" s="64">
        <f>'COMPOSICOES AUXILIARES'!G1405</f>
        <v/>
      </c>
      <c r="G865" s="64">
        <f>TRUNC(TRUNC(E865,8)*F865,2)</f>
        <v/>
      </c>
      <c r="L865" t="n">
        <v>1</v>
      </c>
      <c r="M865" t="n">
        <v>7.26</v>
      </c>
      <c r="N865">
        <f>(M865-F865)</f>
        <v/>
      </c>
    </row>
    <row r="866" ht="15" customHeight="1">
      <c r="A866" s="2" t="inlineStr"/>
      <c r="B866" s="2" t="inlineStr"/>
      <c r="C866" s="2" t="inlineStr"/>
      <c r="D866" s="2" t="inlineStr"/>
      <c r="E866" s="26" t="inlineStr">
        <is>
          <t>TOTAL Serviço:</t>
        </is>
      </c>
      <c r="F866" s="56" t="n"/>
      <c r="G866" s="65">
        <f>SUM(G865:G865)</f>
        <v/>
      </c>
    </row>
    <row r="867" ht="15" customHeight="1">
      <c r="A867" s="2" t="inlineStr"/>
      <c r="B867" s="2" t="inlineStr"/>
      <c r="C867" s="2" t="inlineStr"/>
      <c r="D867" s="2" t="inlineStr"/>
      <c r="E867" s="28" t="inlineStr">
        <is>
          <t>VALOR:</t>
        </is>
      </c>
      <c r="F867" s="56" t="n"/>
      <c r="G867" s="66">
        <f>SUM(G866,G859,G863)</f>
        <v/>
      </c>
    </row>
    <row r="868" ht="15" customHeight="1">
      <c r="A868" s="2" t="inlineStr"/>
      <c r="B868" s="2" t="inlineStr"/>
      <c r="C868" s="2" t="inlineStr"/>
      <c r="D868" s="2" t="inlineStr"/>
      <c r="E868" s="28" t="inlineStr">
        <is>
          <t>VALOR BDI (23.08%):</t>
        </is>
      </c>
      <c r="F868" s="56" t="n"/>
      <c r="G868" s="66">
        <f>ROUNDDOWN(G867*BDI,2)</f>
        <v/>
      </c>
    </row>
    <row r="869" ht="15" customHeight="1">
      <c r="A869" s="2" t="inlineStr"/>
      <c r="B869" s="2" t="inlineStr"/>
      <c r="C869" s="2" t="inlineStr"/>
      <c r="D869" s="2" t="inlineStr"/>
      <c r="E869" s="28" t="inlineStr">
        <is>
          <t>VALOR COM BDI:</t>
        </is>
      </c>
      <c r="F869" s="56" t="n"/>
      <c r="G869" s="66">
        <f>G868 + G867</f>
        <v/>
      </c>
    </row>
    <row r="870" ht="10" customHeight="1">
      <c r="A870" s="2" t="inlineStr"/>
      <c r="B870" s="2" t="inlineStr"/>
      <c r="C870" s="2" t="inlineStr"/>
      <c r="D870" s="2" t="inlineStr"/>
      <c r="E870" s="18" t="inlineStr"/>
    </row>
    <row r="871" ht="20" customHeight="1">
      <c r="A871" s="19" t="inlineStr">
        <is>
          <t>4.1.2.6. ​92773​ ARMAÇÃO DE LAJE DE ESTRUTURA CONVENCIONAL DE CONCRETO ARMADO UTILIZANDO AÇO CA-50 DE 16,0 MM - MONTAGEM. AF_06/2022​ (KG)</t>
        </is>
      </c>
      <c r="B871" s="55" t="n"/>
      <c r="C871" s="55" t="n"/>
      <c r="D871" s="55" t="n"/>
      <c r="E871" s="55" t="n"/>
      <c r="F871" s="55" t="n"/>
      <c r="G871" s="56" t="n"/>
    </row>
    <row r="872" ht="15" customHeight="1">
      <c r="A872" s="20" t="inlineStr">
        <is>
          <t>Material</t>
        </is>
      </c>
      <c r="B872" s="56" t="n"/>
      <c r="C872" s="21" t="inlineStr">
        <is>
          <t>FONTE</t>
        </is>
      </c>
      <c r="D872" s="21" t="inlineStr">
        <is>
          <t>UNID</t>
        </is>
      </c>
      <c r="E872" s="21" t="inlineStr">
        <is>
          <t>COEFICIENTE</t>
        </is>
      </c>
      <c r="F872" s="21" t="inlineStr">
        <is>
          <t>PREÇO UNITÁRIO</t>
        </is>
      </c>
      <c r="G872" s="21" t="inlineStr">
        <is>
          <t>TOTAL</t>
        </is>
      </c>
    </row>
    <row r="873" ht="21" customHeight="1">
      <c r="A873" s="22" t="inlineStr">
        <is>
          <t>00043132</t>
        </is>
      </c>
      <c r="B873" s="23" t="inlineStr">
        <is>
          <t>ARAME RECOZIDO 16 BWG, D = 1,65 MM (0,016 KG/M) OU 18 BWG, D = 1,25 MM (0,01 KG/M)</t>
        </is>
      </c>
      <c r="C873" s="22" t="inlineStr">
        <is>
          <t>SINAPI</t>
        </is>
      </c>
      <c r="D873" s="22" t="inlineStr">
        <is>
          <t>KG</t>
        </is>
      </c>
      <c r="E873" s="63" t="n">
        <v>0.025</v>
      </c>
      <c r="F873" s="64">
        <f>ROUND(M873*FATOR, 2)</f>
        <v/>
      </c>
      <c r="G873" s="64">
        <f>TRUNC(TRUNC(E873,8)*F873,2)</f>
        <v/>
      </c>
      <c r="L873" t="n">
        <v>0.025</v>
      </c>
      <c r="M873" t="n">
        <v>15.67</v>
      </c>
      <c r="N873">
        <f>(M873-F873)</f>
        <v/>
      </c>
    </row>
    <row r="874" ht="15" customHeight="1">
      <c r="A874" s="2" t="inlineStr"/>
      <c r="B874" s="2" t="inlineStr"/>
      <c r="C874" s="2" t="inlineStr"/>
      <c r="D874" s="2" t="inlineStr"/>
      <c r="E874" s="26" t="inlineStr">
        <is>
          <t>TOTAL Material:</t>
        </is>
      </c>
      <c r="F874" s="56" t="n"/>
      <c r="G874" s="65">
        <f>SUM(G873:G873)</f>
        <v/>
      </c>
    </row>
    <row r="875" ht="15" customHeight="1">
      <c r="A875" s="20" t="inlineStr">
        <is>
          <t>Mão de Obra com Encargos Complementares</t>
        </is>
      </c>
      <c r="B875" s="56" t="n"/>
      <c r="C875" s="21" t="inlineStr">
        <is>
          <t>FONTE</t>
        </is>
      </c>
      <c r="D875" s="21" t="inlineStr">
        <is>
          <t>UNID</t>
        </is>
      </c>
      <c r="E875" s="21" t="inlineStr">
        <is>
          <t>COEFICIENTE</t>
        </is>
      </c>
      <c r="F875" s="21" t="inlineStr">
        <is>
          <t>PREÇO UNITÁRIO</t>
        </is>
      </c>
      <c r="G875" s="21" t="inlineStr">
        <is>
          <t>TOTAL</t>
        </is>
      </c>
    </row>
    <row r="876" ht="21" customHeight="1">
      <c r="A876" s="22" t="inlineStr">
        <is>
          <t>88238</t>
        </is>
      </c>
      <c r="B876" s="23" t="inlineStr">
        <is>
          <t>AJUDANTE DE ARMADOR COM ENCARGOS COMPLEMENTARES</t>
        </is>
      </c>
      <c r="C876" s="22" t="inlineStr">
        <is>
          <t>SINAPI</t>
        </is>
      </c>
      <c r="D876" s="22" t="inlineStr">
        <is>
          <t>H</t>
        </is>
      </c>
      <c r="E876" s="63">
        <f>L876*FATOR</f>
        <v/>
      </c>
      <c r="F876" s="64">
        <f>'COMPOSICOES AUXILIARES'!G26</f>
        <v/>
      </c>
      <c r="G876" s="64">
        <f>TRUNC(TRUNC(E876,8)*F876,2)</f>
        <v/>
      </c>
      <c r="L876" t="n">
        <v>0.002</v>
      </c>
      <c r="M876" t="n">
        <v>24.77</v>
      </c>
      <c r="N876">
        <f>(M876-F876)</f>
        <v/>
      </c>
    </row>
    <row r="877" ht="15" customHeight="1">
      <c r="A877" s="22" t="inlineStr">
        <is>
          <t>88245</t>
        </is>
      </c>
      <c r="B877" s="23" t="inlineStr">
        <is>
          <t>ARMADOR COM ENCARGOS COMPLEMENTARES</t>
        </is>
      </c>
      <c r="C877" s="22" t="inlineStr">
        <is>
          <t>SINAPI</t>
        </is>
      </c>
      <c r="D877" s="22" t="inlineStr">
        <is>
          <t>H</t>
        </is>
      </c>
      <c r="E877" s="63">
        <f>L877*FATOR</f>
        <v/>
      </c>
      <c r="F877" s="64">
        <f>'COMPOSICOES AUXILIARES'!G26</f>
        <v/>
      </c>
      <c r="G877" s="64">
        <f>TRUNC(TRUNC(E877,8)*F877,2)</f>
        <v/>
      </c>
      <c r="L877" t="n">
        <v>0.0121</v>
      </c>
      <c r="M877" t="n">
        <v>30.43</v>
      </c>
      <c r="N877">
        <f>(M877-F877)</f>
        <v/>
      </c>
    </row>
    <row r="878" ht="18" customHeight="1">
      <c r="A878" s="2" t="inlineStr"/>
      <c r="B878" s="2" t="inlineStr"/>
      <c r="C878" s="2" t="inlineStr"/>
      <c r="D878" s="2" t="inlineStr"/>
      <c r="E878" s="26" t="inlineStr">
        <is>
          <t>TOTAL Mão de Obra com Encargos Complementares:</t>
        </is>
      </c>
      <c r="F878" s="56" t="n"/>
      <c r="G878" s="65">
        <f>SUM(G876:G877)</f>
        <v/>
      </c>
    </row>
    <row r="879" ht="15" customHeight="1">
      <c r="A879" s="20" t="inlineStr">
        <is>
          <t>Serviço</t>
        </is>
      </c>
      <c r="B879" s="56" t="n"/>
      <c r="C879" s="21" t="inlineStr">
        <is>
          <t>FONTE</t>
        </is>
      </c>
      <c r="D879" s="21" t="inlineStr">
        <is>
          <t>UNID</t>
        </is>
      </c>
      <c r="E879" s="21" t="inlineStr">
        <is>
          <t>COEFICIENTE</t>
        </is>
      </c>
      <c r="F879" s="21" t="inlineStr">
        <is>
          <t>PREÇO UNITÁRIO</t>
        </is>
      </c>
      <c r="G879" s="21" t="inlineStr">
        <is>
          <t>TOTAL</t>
        </is>
      </c>
    </row>
    <row r="880" ht="21" customHeight="1">
      <c r="A880" s="22" t="inlineStr">
        <is>
          <t>92805</t>
        </is>
      </c>
      <c r="B880" s="23" t="inlineStr">
        <is>
          <t>CORTE E DOBRA DE AÇO CA-50, DIÂMETRO DE 16,0 MM. AF_06/2022</t>
        </is>
      </c>
      <c r="C880" s="22" t="inlineStr">
        <is>
          <t>SINAPI</t>
        </is>
      </c>
      <c r="D880" s="22" t="inlineStr">
        <is>
          <t>KG</t>
        </is>
      </c>
      <c r="E880" s="63" t="n">
        <v>1</v>
      </c>
      <c r="F880" s="64">
        <f>'COMPOSICOES AUXILIARES'!G1416</f>
        <v/>
      </c>
      <c r="G880" s="64">
        <f>TRUNC(TRUNC(E880,8)*F880,2)</f>
        <v/>
      </c>
      <c r="L880" t="n">
        <v>1</v>
      </c>
      <c r="M880" t="n">
        <v>7.18</v>
      </c>
      <c r="N880">
        <f>(M880-F880)</f>
        <v/>
      </c>
    </row>
    <row r="881" ht="15" customHeight="1">
      <c r="A881" s="2" t="inlineStr"/>
      <c r="B881" s="2" t="inlineStr"/>
      <c r="C881" s="2" t="inlineStr"/>
      <c r="D881" s="2" t="inlineStr"/>
      <c r="E881" s="26" t="inlineStr">
        <is>
          <t>TOTAL Serviço:</t>
        </is>
      </c>
      <c r="F881" s="56" t="n"/>
      <c r="G881" s="65">
        <f>SUM(G880:G880)</f>
        <v/>
      </c>
    </row>
    <row r="882" ht="15" customHeight="1">
      <c r="A882" s="2" t="inlineStr"/>
      <c r="B882" s="2" t="inlineStr"/>
      <c r="C882" s="2" t="inlineStr"/>
      <c r="D882" s="2" t="inlineStr"/>
      <c r="E882" s="28" t="inlineStr">
        <is>
          <t>VALOR:</t>
        </is>
      </c>
      <c r="F882" s="56" t="n"/>
      <c r="G882" s="66">
        <f>SUM(G881,G874,G878)</f>
        <v/>
      </c>
    </row>
    <row r="883" ht="15" customHeight="1">
      <c r="A883" s="2" t="inlineStr"/>
      <c r="B883" s="2" t="inlineStr"/>
      <c r="C883" s="2" t="inlineStr"/>
      <c r="D883" s="2" t="inlineStr"/>
      <c r="E883" s="28" t="inlineStr">
        <is>
          <t>VALOR BDI (23.08%):</t>
        </is>
      </c>
      <c r="F883" s="56" t="n"/>
      <c r="G883" s="66">
        <f>ROUNDDOWN(G882*BDI,2)</f>
        <v/>
      </c>
    </row>
    <row r="884" ht="15" customHeight="1">
      <c r="A884" s="2" t="inlineStr"/>
      <c r="B884" s="2" t="inlineStr"/>
      <c r="C884" s="2" t="inlineStr"/>
      <c r="D884" s="2" t="inlineStr"/>
      <c r="E884" s="28" t="inlineStr">
        <is>
          <t>VALOR COM BDI:</t>
        </is>
      </c>
      <c r="F884" s="56" t="n"/>
      <c r="G884" s="66">
        <f>G883 + G882</f>
        <v/>
      </c>
    </row>
    <row r="885" ht="10" customHeight="1">
      <c r="A885" s="2" t="inlineStr"/>
      <c r="B885" s="2" t="inlineStr"/>
      <c r="C885" s="2" t="inlineStr"/>
      <c r="D885" s="2" t="inlineStr"/>
      <c r="E885" s="18" t="inlineStr"/>
    </row>
    <row r="886" ht="20" customHeight="1">
      <c r="A886" s="19" t="inlineStr">
        <is>
          <t>4.1.3.1. ​92268​ FABRICAÇÃO DE FÔRMA PARA LAJES, EM CHAPA DE MADEIRA COMPENSADAPLASTIFICADA, E = 18 MM. AF_09/2020​ (M2)</t>
        </is>
      </c>
      <c r="B886" s="55" t="n"/>
      <c r="C886" s="55" t="n"/>
      <c r="D886" s="55" t="n"/>
      <c r="E886" s="55" t="n"/>
      <c r="F886" s="55" t="n"/>
      <c r="G886" s="56" t="n"/>
    </row>
    <row r="887" ht="15" customHeight="1">
      <c r="A887" s="20" t="inlineStr">
        <is>
          <t>Equipamento Custo Horário</t>
        </is>
      </c>
      <c r="B887" s="56" t="n"/>
      <c r="C887" s="21" t="inlineStr">
        <is>
          <t>FONTE</t>
        </is>
      </c>
      <c r="D887" s="21" t="inlineStr">
        <is>
          <t>UNID</t>
        </is>
      </c>
      <c r="E887" s="21" t="inlineStr">
        <is>
          <t>COEFICIENTE</t>
        </is>
      </c>
      <c r="F887" s="21" t="inlineStr">
        <is>
          <t>PREÇO UNITÁRIO</t>
        </is>
      </c>
      <c r="G887" s="21" t="inlineStr">
        <is>
          <t>TOTAL</t>
        </is>
      </c>
    </row>
    <row r="888" ht="29" customHeight="1">
      <c r="A888" s="22" t="inlineStr">
        <is>
          <t>91693</t>
        </is>
      </c>
      <c r="B888" s="23" t="inlineStr">
        <is>
          <t>SERRA CIRCULAR DE BANCADA COM MOTOR ELÉTRICO POTÊNCIA DE 5HP, COM COIFA PARA DISCO 10" - CHI DIURNO. AF_08/2015</t>
        </is>
      </c>
      <c r="C888" s="22" t="inlineStr">
        <is>
          <t>SINAPI</t>
        </is>
      </c>
      <c r="D888" s="22" t="inlineStr">
        <is>
          <t>CHI</t>
        </is>
      </c>
      <c r="E888" s="63" t="n">
        <v>0.022</v>
      </c>
      <c r="F888" s="64">
        <f>'COMPOSICOES AUXILIARES'!G3306</f>
        <v/>
      </c>
      <c r="G888" s="64">
        <f>TRUNC(TRUNC(E888,8)*F888,2)</f>
        <v/>
      </c>
      <c r="L888" t="n">
        <v>0.022</v>
      </c>
      <c r="M888" t="n">
        <v>35.72</v>
      </c>
      <c r="N888">
        <f>(M888-F888)</f>
        <v/>
      </c>
    </row>
    <row r="889" ht="29" customHeight="1">
      <c r="A889" s="22" t="inlineStr">
        <is>
          <t>91692</t>
        </is>
      </c>
      <c r="B889" s="23" t="inlineStr">
        <is>
          <t>SERRA CIRCULAR DE BANCADA COM MOTOR ELÉTRICO POTÊNCIA DE 5HP, COM COIFA PARA DISCO 10" - CHP DIURNO. AF_08/2015</t>
        </is>
      </c>
      <c r="C889" s="22" t="inlineStr">
        <is>
          <t>SINAPI</t>
        </is>
      </c>
      <c r="D889" s="22" t="inlineStr">
        <is>
          <t>CHP</t>
        </is>
      </c>
      <c r="E889" s="63" t="n">
        <v>0.005</v>
      </c>
      <c r="F889" s="64">
        <f>'COMPOSICOES AUXILIARES'!G3320</f>
        <v/>
      </c>
      <c r="G889" s="64">
        <f>TRUNC(TRUNC(E889,8)*F889,2)</f>
        <v/>
      </c>
      <c r="L889" t="n">
        <v>0.005</v>
      </c>
      <c r="M889" t="n">
        <v>37.16</v>
      </c>
      <c r="N889">
        <f>(M889-F889)</f>
        <v/>
      </c>
    </row>
    <row r="890" ht="18" customHeight="1">
      <c r="A890" s="2" t="inlineStr"/>
      <c r="B890" s="2" t="inlineStr"/>
      <c r="C890" s="2" t="inlineStr"/>
      <c r="D890" s="2" t="inlineStr"/>
      <c r="E890" s="26" t="inlineStr">
        <is>
          <t>TOTAL Equipamento Custo Horário:</t>
        </is>
      </c>
      <c r="F890" s="56" t="n"/>
      <c r="G890" s="65">
        <f>SUM(G888:G889)</f>
        <v/>
      </c>
    </row>
    <row r="891" ht="15" customHeight="1">
      <c r="A891" s="20" t="inlineStr">
        <is>
          <t>Material</t>
        </is>
      </c>
      <c r="B891" s="56" t="n"/>
      <c r="C891" s="21" t="inlineStr">
        <is>
          <t>FONTE</t>
        </is>
      </c>
      <c r="D891" s="21" t="inlineStr">
        <is>
          <t>UNID</t>
        </is>
      </c>
      <c r="E891" s="21" t="inlineStr">
        <is>
          <t>COEFICIENTE</t>
        </is>
      </c>
      <c r="F891" s="21" t="inlineStr">
        <is>
          <t>PREÇO UNITÁRIO</t>
        </is>
      </c>
      <c r="G891" s="21" t="inlineStr">
        <is>
          <t>TOTAL</t>
        </is>
      </c>
    </row>
    <row r="892" ht="29" customHeight="1">
      <c r="A892" s="22" t="inlineStr">
        <is>
          <t>00001345</t>
        </is>
      </c>
      <c r="B892" s="23" t="inlineStr">
        <is>
          <t>CHAPA/PAINEL DE MADEIRA COMPENSADA PLASTIFICADA (MADEIRITE PLASTIFICADO) PARA FORMA DE CONCRETO, DE 2200 X 1100 MM, E = *17* MM</t>
        </is>
      </c>
      <c r="C892" s="22" t="inlineStr">
        <is>
          <t>SINAPI</t>
        </is>
      </c>
      <c r="D892" s="22" t="inlineStr">
        <is>
          <t>M2</t>
        </is>
      </c>
      <c r="E892" s="63" t="n">
        <v>1.05</v>
      </c>
      <c r="F892" s="64">
        <f>ROUND(M892*FATOR, 2)</f>
        <v/>
      </c>
      <c r="G892" s="64">
        <f>TRUNC(TRUNC(E892,8)*F892,2)</f>
        <v/>
      </c>
      <c r="L892" t="n">
        <v>1.05</v>
      </c>
      <c r="M892" t="n">
        <v>97.73</v>
      </c>
      <c r="N892">
        <f>(M892-F892)</f>
        <v/>
      </c>
    </row>
    <row r="893" ht="15" customHeight="1">
      <c r="A893" s="2" t="inlineStr"/>
      <c r="B893" s="2" t="inlineStr"/>
      <c r="C893" s="2" t="inlineStr"/>
      <c r="D893" s="2" t="inlineStr"/>
      <c r="E893" s="26" t="inlineStr">
        <is>
          <t>TOTAL Material:</t>
        </is>
      </c>
      <c r="F893" s="56" t="n"/>
      <c r="G893" s="65">
        <f>SUM(G892:G892)</f>
        <v/>
      </c>
    </row>
    <row r="894" ht="15" customHeight="1">
      <c r="A894" s="20" t="inlineStr">
        <is>
          <t>Mão de Obra com Encargos Complementares</t>
        </is>
      </c>
      <c r="B894" s="56" t="n"/>
      <c r="C894" s="21" t="inlineStr">
        <is>
          <t>FONTE</t>
        </is>
      </c>
      <c r="D894" s="21" t="inlineStr">
        <is>
          <t>UNID</t>
        </is>
      </c>
      <c r="E894" s="21" t="inlineStr">
        <is>
          <t>COEFICIENTE</t>
        </is>
      </c>
      <c r="F894" s="21" t="inlineStr">
        <is>
          <t>PREÇO UNITÁRIO</t>
        </is>
      </c>
      <c r="G894" s="21" t="inlineStr">
        <is>
          <t>TOTAL</t>
        </is>
      </c>
    </row>
    <row r="895" ht="21" customHeight="1">
      <c r="A895" s="22" t="inlineStr">
        <is>
          <t>88239</t>
        </is>
      </c>
      <c r="B895" s="23" t="inlineStr">
        <is>
          <t>AJUDANTE DE CARPINTEIRO COM ENCARGOS COMPLEMENTARES</t>
        </is>
      </c>
      <c r="C895" s="22" t="inlineStr">
        <is>
          <t>SINAPI</t>
        </is>
      </c>
      <c r="D895" s="22" t="inlineStr">
        <is>
          <t>H</t>
        </is>
      </c>
      <c r="E895" s="63">
        <f>L895*FATOR</f>
        <v/>
      </c>
      <c r="F895" s="64">
        <f>'COMPOSICOES AUXILIARES'!G68</f>
        <v/>
      </c>
      <c r="G895" s="64">
        <f>TRUNC(TRUNC(E895,8)*F895,2)</f>
        <v/>
      </c>
      <c r="L895" t="n">
        <v>0.005</v>
      </c>
      <c r="M895" t="n">
        <v>24.61</v>
      </c>
      <c r="N895">
        <f>(M895-F895)</f>
        <v/>
      </c>
    </row>
    <row r="896" ht="21" customHeight="1">
      <c r="A896" s="22" t="inlineStr">
        <is>
          <t>88262</t>
        </is>
      </c>
      <c r="B896" s="23" t="inlineStr">
        <is>
          <t>CARPINTEIRO DE FORMAS COM ENCARGOS COMPLEMENTARES</t>
        </is>
      </c>
      <c r="C896" s="22" t="inlineStr">
        <is>
          <t>SINAPI</t>
        </is>
      </c>
      <c r="D896" s="22" t="inlineStr">
        <is>
          <t>H</t>
        </is>
      </c>
      <c r="E896" s="63">
        <f>L896*FATOR</f>
        <v/>
      </c>
      <c r="F896" s="64">
        <f>'COMPOSICOES AUXILIARES'!G943</f>
        <v/>
      </c>
      <c r="G896" s="64">
        <f>TRUNC(TRUNC(E896,8)*F896,2)</f>
        <v/>
      </c>
      <c r="L896" t="n">
        <v>0.005</v>
      </c>
      <c r="M896" t="n">
        <v>30.15</v>
      </c>
      <c r="N896">
        <f>(M896-F896)</f>
        <v/>
      </c>
    </row>
    <row r="897" ht="18" customHeight="1">
      <c r="A897" s="2" t="inlineStr"/>
      <c r="B897" s="2" t="inlineStr"/>
      <c r="C897" s="2" t="inlineStr"/>
      <c r="D897" s="2" t="inlineStr"/>
      <c r="E897" s="26" t="inlineStr">
        <is>
          <t>TOTAL Mão de Obra com Encargos Complementares:</t>
        </is>
      </c>
      <c r="F897" s="56" t="n"/>
      <c r="G897" s="65">
        <f>SUM(G895:G896)</f>
        <v/>
      </c>
    </row>
    <row r="898" ht="15" customHeight="1">
      <c r="A898" s="2" t="inlineStr"/>
      <c r="B898" s="2" t="inlineStr"/>
      <c r="C898" s="2" t="inlineStr"/>
      <c r="D898" s="2" t="inlineStr"/>
      <c r="E898" s="28" t="inlineStr">
        <is>
          <t>VALOR:</t>
        </is>
      </c>
      <c r="F898" s="56" t="n"/>
      <c r="G898" s="66">
        <f>SUM(G897,G890,G893)</f>
        <v/>
      </c>
    </row>
    <row r="899" ht="15" customHeight="1">
      <c r="A899" s="2" t="inlineStr"/>
      <c r="B899" s="2" t="inlineStr"/>
      <c r="C899" s="2" t="inlineStr"/>
      <c r="D899" s="2" t="inlineStr"/>
      <c r="E899" s="28" t="inlineStr">
        <is>
          <t>VALOR BDI (23.08%):</t>
        </is>
      </c>
      <c r="F899" s="56" t="n"/>
      <c r="G899" s="66">
        <f>ROUNDDOWN(G898*BDI,2)</f>
        <v/>
      </c>
    </row>
    <row r="900" ht="15" customHeight="1">
      <c r="A900" s="2" t="inlineStr"/>
      <c r="B900" s="2" t="inlineStr"/>
      <c r="C900" s="2" t="inlineStr"/>
      <c r="D900" s="2" t="inlineStr"/>
      <c r="E900" s="28" t="inlineStr">
        <is>
          <t>VALOR COM BDI:</t>
        </is>
      </c>
      <c r="F900" s="56" t="n"/>
      <c r="G900" s="66">
        <f>G899 + G898</f>
        <v/>
      </c>
    </row>
    <row r="901" ht="10" customHeight="1">
      <c r="A901" s="2" t="inlineStr"/>
      <c r="B901" s="2" t="inlineStr"/>
      <c r="C901" s="2" t="inlineStr"/>
      <c r="D901" s="2" t="inlineStr"/>
      <c r="E901" s="18" t="inlineStr"/>
    </row>
    <row r="902" ht="20" customHeight="1">
      <c r="A902" s="19" t="inlineStr">
        <is>
          <t>4.1.3.2. ​92263​ FABRICAÇÃO DE FÔRMA PARA PILARES E ESTRUTURAS SIMILARES, EM CHAPA DE MADEIRA COMPENSADA RESINADA, E = 17 MM. AF_09/2020​ (M2)</t>
        </is>
      </c>
      <c r="B902" s="55" t="n"/>
      <c r="C902" s="55" t="n"/>
      <c r="D902" s="55" t="n"/>
      <c r="E902" s="55" t="n"/>
      <c r="F902" s="55" t="n"/>
      <c r="G902" s="56" t="n"/>
    </row>
    <row r="903" ht="15" customHeight="1">
      <c r="A903" s="20" t="inlineStr">
        <is>
          <t>Equipamento Custo Horário</t>
        </is>
      </c>
      <c r="B903" s="56" t="n"/>
      <c r="C903" s="21" t="inlineStr">
        <is>
          <t>FONTE</t>
        </is>
      </c>
      <c r="D903" s="21" t="inlineStr">
        <is>
          <t>UNID</t>
        </is>
      </c>
      <c r="E903" s="21" t="inlineStr">
        <is>
          <t>COEFICIENTE</t>
        </is>
      </c>
      <c r="F903" s="21" t="inlineStr">
        <is>
          <t>PREÇO UNITÁRIO</t>
        </is>
      </c>
      <c r="G903" s="21" t="inlineStr">
        <is>
          <t>TOTAL</t>
        </is>
      </c>
    </row>
    <row r="904" ht="29" customHeight="1">
      <c r="A904" s="22" t="inlineStr">
        <is>
          <t>91693</t>
        </is>
      </c>
      <c r="B904" s="23" t="inlineStr">
        <is>
          <t>SERRA CIRCULAR DE BANCADA COM MOTOR ELÉTRICO POTÊNCIA DE 5HP, COM COIFA PARA DISCO 10" - CHI DIURNO. AF_08/2015</t>
        </is>
      </c>
      <c r="C904" s="22" t="inlineStr">
        <is>
          <t>SINAPI</t>
        </is>
      </c>
      <c r="D904" s="22" t="inlineStr">
        <is>
          <t>CHI</t>
        </is>
      </c>
      <c r="E904" s="63" t="n">
        <v>0.255</v>
      </c>
      <c r="F904" s="64">
        <f>'COMPOSICOES AUXILIARES'!G3306</f>
        <v/>
      </c>
      <c r="G904" s="64">
        <f>TRUNC(TRUNC(E904,8)*F904,2)</f>
        <v/>
      </c>
      <c r="L904" t="n">
        <v>0.255</v>
      </c>
      <c r="M904" t="n">
        <v>35.72</v>
      </c>
      <c r="N904">
        <f>(M904-F904)</f>
        <v/>
      </c>
    </row>
    <row r="905" ht="29" customHeight="1">
      <c r="A905" s="22" t="inlineStr">
        <is>
          <t>91692</t>
        </is>
      </c>
      <c r="B905" s="23" t="inlineStr">
        <is>
          <t>SERRA CIRCULAR DE BANCADA COM MOTOR ELÉTRICO POTÊNCIA DE 5HP, COM COIFA PARA DISCO 10" - CHP DIURNO. AF_08/2015</t>
        </is>
      </c>
      <c r="C905" s="22" t="inlineStr">
        <is>
          <t>SINAPI</t>
        </is>
      </c>
      <c r="D905" s="22" t="inlineStr">
        <is>
          <t>CHP</t>
        </is>
      </c>
      <c r="E905" s="63" t="n">
        <v>0.063</v>
      </c>
      <c r="F905" s="64">
        <f>'COMPOSICOES AUXILIARES'!G3320</f>
        <v/>
      </c>
      <c r="G905" s="64">
        <f>TRUNC(TRUNC(E905,8)*F905,2)</f>
        <v/>
      </c>
      <c r="L905" t="n">
        <v>0.063</v>
      </c>
      <c r="M905" t="n">
        <v>37.16</v>
      </c>
      <c r="N905">
        <f>(M905-F905)</f>
        <v/>
      </c>
    </row>
    <row r="906" ht="18" customHeight="1">
      <c r="A906" s="2" t="inlineStr"/>
      <c r="B906" s="2" t="inlineStr"/>
      <c r="C906" s="2" t="inlineStr"/>
      <c r="D906" s="2" t="inlineStr"/>
      <c r="E906" s="26" t="inlineStr">
        <is>
          <t>TOTAL Equipamento Custo Horário:</t>
        </is>
      </c>
      <c r="F906" s="56" t="n"/>
      <c r="G906" s="65">
        <f>SUM(G904:G905)</f>
        <v/>
      </c>
    </row>
    <row r="907" ht="15" customHeight="1">
      <c r="A907" s="20" t="inlineStr">
        <is>
          <t>Material</t>
        </is>
      </c>
      <c r="B907" s="56" t="n"/>
      <c r="C907" s="21" t="inlineStr">
        <is>
          <t>FONTE</t>
        </is>
      </c>
      <c r="D907" s="21" t="inlineStr">
        <is>
          <t>UNID</t>
        </is>
      </c>
      <c r="E907" s="21" t="inlineStr">
        <is>
          <t>COEFICIENTE</t>
        </is>
      </c>
      <c r="F907" s="21" t="inlineStr">
        <is>
          <t>PREÇO UNITÁRIO</t>
        </is>
      </c>
      <c r="G907" s="21" t="inlineStr">
        <is>
          <t>TOTAL</t>
        </is>
      </c>
    </row>
    <row r="908" ht="29" customHeight="1">
      <c r="A908" s="22" t="inlineStr">
        <is>
          <t>00001358</t>
        </is>
      </c>
      <c r="B908" s="23" t="inlineStr">
        <is>
          <t>CHAPA/PAINEL DE MADEIRA COMPENSADA RESINADA (MADEIRITE RESINADO ROSA) PARA FORMA DE CONCRETO, DE 2200 X 1100 MM, E = 17 MM</t>
        </is>
      </c>
      <c r="C908" s="22" t="inlineStr">
        <is>
          <t>SINAPI</t>
        </is>
      </c>
      <c r="D908" s="22" t="inlineStr">
        <is>
          <t>M2</t>
        </is>
      </c>
      <c r="E908" s="63" t="n">
        <v>1.336</v>
      </c>
      <c r="F908" s="64">
        <f>ROUND(M908*FATOR, 2)</f>
        <v/>
      </c>
      <c r="G908" s="64">
        <f>TRUNC(TRUNC(E908,8)*F908,2)</f>
        <v/>
      </c>
      <c r="L908" t="n">
        <v>1.336</v>
      </c>
      <c r="M908" t="n">
        <v>57.71</v>
      </c>
      <c r="N908">
        <f>(M908-F908)</f>
        <v/>
      </c>
    </row>
    <row r="909" ht="21" customHeight="1">
      <c r="A909" s="22" t="inlineStr">
        <is>
          <t>00004491</t>
        </is>
      </c>
      <c r="B909" s="23" t="inlineStr">
        <is>
          <t>PONTALETE *7,5 X 7,5* CM EM PINUS, MISTA OU EQUIVALENTE DA REGIAO - BRUTA</t>
        </is>
      </c>
      <c r="C909" s="22" t="inlineStr">
        <is>
          <t>SINAPI</t>
        </is>
      </c>
      <c r="D909" s="22" t="inlineStr">
        <is>
          <t>M</t>
        </is>
      </c>
      <c r="E909" s="63" t="n">
        <v>2.308</v>
      </c>
      <c r="F909" s="64">
        <f>ROUND(M909*FATOR, 2)</f>
        <v/>
      </c>
      <c r="G909" s="64">
        <f>TRUNC(TRUNC(E909,8)*F909,2)</f>
        <v/>
      </c>
      <c r="L909" t="n">
        <v>2.308</v>
      </c>
      <c r="M909" t="n">
        <v>11.05</v>
      </c>
      <c r="N909">
        <f>(M909-F909)</f>
        <v/>
      </c>
    </row>
    <row r="910" ht="15" customHeight="1">
      <c r="A910" s="22" t="inlineStr">
        <is>
          <t>00005068</t>
        </is>
      </c>
      <c r="B910" s="23" t="inlineStr">
        <is>
          <t>PREGO DE ACO POLIDO COM CABECA 17 X 21 (2 X 11)</t>
        </is>
      </c>
      <c r="C910" s="22" t="inlineStr">
        <is>
          <t>SINAPI</t>
        </is>
      </c>
      <c r="D910" s="22" t="inlineStr">
        <is>
          <t>KG</t>
        </is>
      </c>
      <c r="E910" s="63" t="n">
        <v>0.208</v>
      </c>
      <c r="F910" s="64">
        <f>ROUND(M910*FATOR, 2)</f>
        <v/>
      </c>
      <c r="G910" s="64">
        <f>TRUNC(TRUNC(E910,8)*F910,2)</f>
        <v/>
      </c>
      <c r="L910" t="n">
        <v>0.208</v>
      </c>
      <c r="M910" t="n">
        <v>14.19</v>
      </c>
      <c r="N910">
        <f>(M910-F910)</f>
        <v/>
      </c>
    </row>
    <row r="911" ht="21" customHeight="1">
      <c r="A911" s="22" t="inlineStr">
        <is>
          <t>00004517</t>
        </is>
      </c>
      <c r="B911" s="23" t="inlineStr">
        <is>
          <t>SARRAFO *2,5 X 7,5* CM EM PINUS, MISTA OU EQUIVALENTE DA REGIAO - BRUTA</t>
        </is>
      </c>
      <c r="C911" s="22" t="inlineStr">
        <is>
          <t>SINAPI</t>
        </is>
      </c>
      <c r="D911" s="22" t="inlineStr">
        <is>
          <t>M</t>
        </is>
      </c>
      <c r="E911" s="63" t="n">
        <v>9.237</v>
      </c>
      <c r="F911" s="64">
        <f>ROUND(M911*FATOR, 2)</f>
        <v/>
      </c>
      <c r="G911" s="64">
        <f>TRUNC(TRUNC(E911,8)*F911,2)</f>
        <v/>
      </c>
      <c r="L911" t="n">
        <v>9.237</v>
      </c>
      <c r="M911" t="n">
        <v>3.87</v>
      </c>
      <c r="N911">
        <f>(M911-F911)</f>
        <v/>
      </c>
    </row>
    <row r="912" ht="15" customHeight="1">
      <c r="A912" s="2" t="inlineStr"/>
      <c r="B912" s="2" t="inlineStr"/>
      <c r="C912" s="2" t="inlineStr"/>
      <c r="D912" s="2" t="inlineStr"/>
      <c r="E912" s="26" t="inlineStr">
        <is>
          <t>TOTAL Material:</t>
        </is>
      </c>
      <c r="F912" s="56" t="n"/>
      <c r="G912" s="65">
        <f>SUM(G908:G911)</f>
        <v/>
      </c>
    </row>
    <row r="913" ht="15" customHeight="1">
      <c r="A913" s="20" t="inlineStr">
        <is>
          <t>Mão de Obra com Encargos Complementares</t>
        </is>
      </c>
      <c r="B913" s="56" t="n"/>
      <c r="C913" s="21" t="inlineStr">
        <is>
          <t>FONTE</t>
        </is>
      </c>
      <c r="D913" s="21" t="inlineStr">
        <is>
          <t>UNID</t>
        </is>
      </c>
      <c r="E913" s="21" t="inlineStr">
        <is>
          <t>COEFICIENTE</t>
        </is>
      </c>
      <c r="F913" s="21" t="inlineStr">
        <is>
          <t>PREÇO UNITÁRIO</t>
        </is>
      </c>
      <c r="G913" s="21" t="inlineStr">
        <is>
          <t>TOTAL</t>
        </is>
      </c>
    </row>
    <row r="914" ht="21" customHeight="1">
      <c r="A914" s="22" t="inlineStr">
        <is>
          <t>88239</t>
        </is>
      </c>
      <c r="B914" s="23" t="inlineStr">
        <is>
          <t>AJUDANTE DE CARPINTEIRO COM ENCARGOS COMPLEMENTARES</t>
        </is>
      </c>
      <c r="C914" s="22" t="inlineStr">
        <is>
          <t>SINAPI</t>
        </is>
      </c>
      <c r="D914" s="22" t="inlineStr">
        <is>
          <t>H</t>
        </is>
      </c>
      <c r="E914" s="63">
        <f>L914*FATOR</f>
        <v/>
      </c>
      <c r="F914" s="64">
        <f>'COMPOSICOES AUXILIARES'!G68</f>
        <v/>
      </c>
      <c r="G914" s="64">
        <f>TRUNC(TRUNC(E914,8)*F914,2)</f>
        <v/>
      </c>
      <c r="L914" t="n">
        <v>0.25</v>
      </c>
      <c r="M914" t="n">
        <v>24.61</v>
      </c>
      <c r="N914">
        <f>(M914-F914)</f>
        <v/>
      </c>
    </row>
    <row r="915" ht="21" customHeight="1">
      <c r="A915" s="22" t="inlineStr">
        <is>
          <t>88262</t>
        </is>
      </c>
      <c r="B915" s="23" t="inlineStr">
        <is>
          <t>CARPINTEIRO DE FORMAS COM ENCARGOS COMPLEMENTARES</t>
        </is>
      </c>
      <c r="C915" s="22" t="inlineStr">
        <is>
          <t>SINAPI</t>
        </is>
      </c>
      <c r="D915" s="22" t="inlineStr">
        <is>
          <t>H</t>
        </is>
      </c>
      <c r="E915" s="63">
        <f>L915*FATOR</f>
        <v/>
      </c>
      <c r="F915" s="64">
        <f>'COMPOSICOES AUXILIARES'!G943</f>
        <v/>
      </c>
      <c r="G915" s="64">
        <f>TRUNC(TRUNC(E915,8)*F915,2)</f>
        <v/>
      </c>
      <c r="L915" t="n">
        <v>1.18</v>
      </c>
      <c r="M915" t="n">
        <v>30.15</v>
      </c>
      <c r="N915">
        <f>(M915-F915)</f>
        <v/>
      </c>
    </row>
    <row r="916" ht="18" customHeight="1">
      <c r="A916" s="2" t="inlineStr"/>
      <c r="B916" s="2" t="inlineStr"/>
      <c r="C916" s="2" t="inlineStr"/>
      <c r="D916" s="2" t="inlineStr"/>
      <c r="E916" s="26" t="inlineStr">
        <is>
          <t>TOTAL Mão de Obra com Encargos Complementares:</t>
        </is>
      </c>
      <c r="F916" s="56" t="n"/>
      <c r="G916" s="65">
        <f>SUM(G914:G915)</f>
        <v/>
      </c>
    </row>
    <row r="917" ht="15" customHeight="1">
      <c r="A917" s="2" t="inlineStr"/>
      <c r="B917" s="2" t="inlineStr"/>
      <c r="C917" s="2" t="inlineStr"/>
      <c r="D917" s="2" t="inlineStr"/>
      <c r="E917" s="28" t="inlineStr">
        <is>
          <t>VALOR:</t>
        </is>
      </c>
      <c r="F917" s="56" t="n"/>
      <c r="G917" s="66">
        <f>SUM(G912,G906,G916)</f>
        <v/>
      </c>
    </row>
    <row r="918" ht="15" customHeight="1">
      <c r="A918" s="2" t="inlineStr"/>
      <c r="B918" s="2" t="inlineStr"/>
      <c r="C918" s="2" t="inlineStr"/>
      <c r="D918" s="2" t="inlineStr"/>
      <c r="E918" s="28" t="inlineStr">
        <is>
          <t>VALOR BDI (23.08%):</t>
        </is>
      </c>
      <c r="F918" s="56" t="n"/>
      <c r="G918" s="66">
        <f>ROUNDDOWN(G917*BDI,2)</f>
        <v/>
      </c>
    </row>
    <row r="919" ht="15" customHeight="1">
      <c r="A919" s="2" t="inlineStr"/>
      <c r="B919" s="2" t="inlineStr"/>
      <c r="C919" s="2" t="inlineStr"/>
      <c r="D919" s="2" t="inlineStr"/>
      <c r="E919" s="28" t="inlineStr">
        <is>
          <t>VALOR COM BDI:</t>
        </is>
      </c>
      <c r="F919" s="56" t="n"/>
      <c r="G919" s="66">
        <f>G918 + G917</f>
        <v/>
      </c>
    </row>
    <row r="920" ht="10" customHeight="1">
      <c r="A920" s="2" t="inlineStr"/>
      <c r="B920" s="2" t="inlineStr"/>
      <c r="C920" s="2" t="inlineStr"/>
      <c r="D920" s="2" t="inlineStr"/>
      <c r="E920" s="18" t="inlineStr"/>
    </row>
    <row r="921" ht="20" customHeight="1">
      <c r="A921" s="19" t="inlineStr">
        <is>
          <t>4.1.3.3. ​92266​ FABRICAÇÃO DE FÔRMA PARA VIGAS, EM CHAPA DE MADEIRA COMPENSADAPLASTIFICADA, E = 18 MM. AF_09/2020​ (M2)</t>
        </is>
      </c>
      <c r="B921" s="55" t="n"/>
      <c r="C921" s="55" t="n"/>
      <c r="D921" s="55" t="n"/>
      <c r="E921" s="55" t="n"/>
      <c r="F921" s="55" t="n"/>
      <c r="G921" s="56" t="n"/>
    </row>
    <row r="922" ht="15" customHeight="1">
      <c r="A922" s="20" t="inlineStr">
        <is>
          <t>Equipamento Custo Horário</t>
        </is>
      </c>
      <c r="B922" s="56" t="n"/>
      <c r="C922" s="21" t="inlineStr">
        <is>
          <t>FONTE</t>
        </is>
      </c>
      <c r="D922" s="21" t="inlineStr">
        <is>
          <t>UNID</t>
        </is>
      </c>
      <c r="E922" s="21" t="inlineStr">
        <is>
          <t>COEFICIENTE</t>
        </is>
      </c>
      <c r="F922" s="21" t="inlineStr">
        <is>
          <t>PREÇO UNITÁRIO</t>
        </is>
      </c>
      <c r="G922" s="21" t="inlineStr">
        <is>
          <t>TOTAL</t>
        </is>
      </c>
    </row>
    <row r="923" ht="29" customHeight="1">
      <c r="A923" s="22" t="inlineStr">
        <is>
          <t>91693</t>
        </is>
      </c>
      <c r="B923" s="23" t="inlineStr">
        <is>
          <t>SERRA CIRCULAR DE BANCADA COM MOTOR ELÉTRICO POTÊNCIA DE 5HP, COM COIFA PARA DISCO 10" - CHI DIURNO. AF_08/2015</t>
        </is>
      </c>
      <c r="C923" s="22" t="inlineStr">
        <is>
          <t>SINAPI</t>
        </is>
      </c>
      <c r="D923" s="22" t="inlineStr">
        <is>
          <t>CHI</t>
        </is>
      </c>
      <c r="E923" s="63" t="n">
        <v>0.237</v>
      </c>
      <c r="F923" s="64">
        <f>'COMPOSICOES AUXILIARES'!G3306</f>
        <v/>
      </c>
      <c r="G923" s="64">
        <f>TRUNC(TRUNC(E923,8)*F923,2)</f>
        <v/>
      </c>
      <c r="L923" t="n">
        <v>0.237</v>
      </c>
      <c r="M923" t="n">
        <v>35.72</v>
      </c>
      <c r="N923">
        <f>(M923-F923)</f>
        <v/>
      </c>
    </row>
    <row r="924" ht="29" customHeight="1">
      <c r="A924" s="22" t="inlineStr">
        <is>
          <t>91692</t>
        </is>
      </c>
      <c r="B924" s="23" t="inlineStr">
        <is>
          <t>SERRA CIRCULAR DE BANCADA COM MOTOR ELÉTRICO POTÊNCIA DE 5HP, COM COIFA PARA DISCO 10" - CHP DIURNO. AF_08/2015</t>
        </is>
      </c>
      <c r="C924" s="22" t="inlineStr">
        <is>
          <t>SINAPI</t>
        </is>
      </c>
      <c r="D924" s="22" t="inlineStr">
        <is>
          <t>CHP</t>
        </is>
      </c>
      <c r="E924" s="63" t="n">
        <v>0.05</v>
      </c>
      <c r="F924" s="64">
        <f>'COMPOSICOES AUXILIARES'!G3320</f>
        <v/>
      </c>
      <c r="G924" s="64">
        <f>TRUNC(TRUNC(E924,8)*F924,2)</f>
        <v/>
      </c>
      <c r="L924" t="n">
        <v>0.05</v>
      </c>
      <c r="M924" t="n">
        <v>37.16</v>
      </c>
      <c r="N924">
        <f>(M924-F924)</f>
        <v/>
      </c>
    </row>
    <row r="925" ht="18" customHeight="1">
      <c r="A925" s="2" t="inlineStr"/>
      <c r="B925" s="2" t="inlineStr"/>
      <c r="C925" s="2" t="inlineStr"/>
      <c r="D925" s="2" t="inlineStr"/>
      <c r="E925" s="26" t="inlineStr">
        <is>
          <t>TOTAL Equipamento Custo Horário:</t>
        </is>
      </c>
      <c r="F925" s="56" t="n"/>
      <c r="G925" s="65">
        <f>SUM(G923:G924)</f>
        <v/>
      </c>
    </row>
    <row r="926" ht="15" customHeight="1">
      <c r="A926" s="20" t="inlineStr">
        <is>
          <t>Material</t>
        </is>
      </c>
      <c r="B926" s="56" t="n"/>
      <c r="C926" s="21" t="inlineStr">
        <is>
          <t>FONTE</t>
        </is>
      </c>
      <c r="D926" s="21" t="inlineStr">
        <is>
          <t>UNID</t>
        </is>
      </c>
      <c r="E926" s="21" t="inlineStr">
        <is>
          <t>COEFICIENTE</t>
        </is>
      </c>
      <c r="F926" s="21" t="inlineStr">
        <is>
          <t>PREÇO UNITÁRIO</t>
        </is>
      </c>
      <c r="G926" s="21" t="inlineStr">
        <is>
          <t>TOTAL</t>
        </is>
      </c>
    </row>
    <row r="927" ht="29" customHeight="1">
      <c r="A927" s="22" t="inlineStr">
        <is>
          <t>00001345</t>
        </is>
      </c>
      <c r="B927" s="23" t="inlineStr">
        <is>
          <t>CHAPA/PAINEL DE MADEIRA COMPENSADA PLASTIFICADA (MADEIRITE PLASTIFICADO) PARA FORMA DE CONCRETO, DE 2200 X 1100 MM, E = *17* MM</t>
        </is>
      </c>
      <c r="C927" s="22" t="inlineStr">
        <is>
          <t>SINAPI</t>
        </is>
      </c>
      <c r="D927" s="22" t="inlineStr">
        <is>
          <t>M2</t>
        </is>
      </c>
      <c r="E927" s="63" t="n">
        <v>1.146</v>
      </c>
      <c r="F927" s="64">
        <f>ROUND(M927*FATOR, 2)</f>
        <v/>
      </c>
      <c r="G927" s="64">
        <f>TRUNC(TRUNC(E927,8)*F927,2)</f>
        <v/>
      </c>
      <c r="L927" t="n">
        <v>1.146</v>
      </c>
      <c r="M927" t="n">
        <v>97.73</v>
      </c>
      <c r="N927">
        <f>(M927-F927)</f>
        <v/>
      </c>
    </row>
    <row r="928" ht="21" customHeight="1">
      <c r="A928" s="22" t="inlineStr">
        <is>
          <t>00004491</t>
        </is>
      </c>
      <c r="B928" s="23" t="inlineStr">
        <is>
          <t>PONTALETE *7,5 X 7,5* CM EM PINUS, MISTA OU EQUIVALENTE DA REGIAO - BRUTA</t>
        </is>
      </c>
      <c r="C928" s="22" t="inlineStr">
        <is>
          <t>SINAPI</t>
        </is>
      </c>
      <c r="D928" s="22" t="inlineStr">
        <is>
          <t>M</t>
        </is>
      </c>
      <c r="E928" s="63" t="n">
        <v>0.166</v>
      </c>
      <c r="F928" s="64">
        <f>ROUND(M928*FATOR, 2)</f>
        <v/>
      </c>
      <c r="G928" s="64">
        <f>TRUNC(TRUNC(E928,8)*F928,2)</f>
        <v/>
      </c>
      <c r="L928" t="n">
        <v>0.166</v>
      </c>
      <c r="M928" t="n">
        <v>11.05</v>
      </c>
      <c r="N928">
        <f>(M928-F928)</f>
        <v/>
      </c>
    </row>
    <row r="929" ht="15" customHeight="1">
      <c r="A929" s="22" t="inlineStr">
        <is>
          <t>00005068</t>
        </is>
      </c>
      <c r="B929" s="23" t="inlineStr">
        <is>
          <t>PREGO DE ACO POLIDO COM CABECA 17 X 21 (2 X 11)</t>
        </is>
      </c>
      <c r="C929" s="22" t="inlineStr">
        <is>
          <t>SINAPI</t>
        </is>
      </c>
      <c r="D929" s="22" t="inlineStr">
        <is>
          <t>KG</t>
        </is>
      </c>
      <c r="E929" s="63" t="n">
        <v>0.159</v>
      </c>
      <c r="F929" s="64">
        <f>ROUND(M929*FATOR, 2)</f>
        <v/>
      </c>
      <c r="G929" s="64">
        <f>TRUNC(TRUNC(E929,8)*F929,2)</f>
        <v/>
      </c>
      <c r="L929" t="n">
        <v>0.159</v>
      </c>
      <c r="M929" t="n">
        <v>14.19</v>
      </c>
      <c r="N929">
        <f>(M929-F929)</f>
        <v/>
      </c>
    </row>
    <row r="930" ht="21" customHeight="1">
      <c r="A930" s="22" t="inlineStr">
        <is>
          <t>00004517</t>
        </is>
      </c>
      <c r="B930" s="23" t="inlineStr">
        <is>
          <t>SARRAFO *2,5 X 7,5* CM EM PINUS, MISTA OU EQUIVALENTE DA REGIAO - BRUTA</t>
        </is>
      </c>
      <c r="C930" s="22" t="inlineStr">
        <is>
          <t>SINAPI</t>
        </is>
      </c>
      <c r="D930" s="22" t="inlineStr">
        <is>
          <t>M</t>
        </is>
      </c>
      <c r="E930" s="63" t="n">
        <v>6.952</v>
      </c>
      <c r="F930" s="64">
        <f>ROUND(M930*FATOR, 2)</f>
        <v/>
      </c>
      <c r="G930" s="64">
        <f>TRUNC(TRUNC(E930,8)*F930,2)</f>
        <v/>
      </c>
      <c r="L930" t="n">
        <v>6.952</v>
      </c>
      <c r="M930" t="n">
        <v>3.87</v>
      </c>
      <c r="N930">
        <f>(M930-F930)</f>
        <v/>
      </c>
    </row>
    <row r="931" ht="15" customHeight="1">
      <c r="A931" s="2" t="inlineStr"/>
      <c r="B931" s="2" t="inlineStr"/>
      <c r="C931" s="2" t="inlineStr"/>
      <c r="D931" s="2" t="inlineStr"/>
      <c r="E931" s="26" t="inlineStr">
        <is>
          <t>TOTAL Material:</t>
        </is>
      </c>
      <c r="F931" s="56" t="n"/>
      <c r="G931" s="65">
        <f>SUM(G927:G930)</f>
        <v/>
      </c>
    </row>
    <row r="932" ht="15" customHeight="1">
      <c r="A932" s="20" t="inlineStr">
        <is>
          <t>Mão de Obra com Encargos Complementares</t>
        </is>
      </c>
      <c r="B932" s="56" t="n"/>
      <c r="C932" s="21" t="inlineStr">
        <is>
          <t>FONTE</t>
        </is>
      </c>
      <c r="D932" s="21" t="inlineStr">
        <is>
          <t>UNID</t>
        </is>
      </c>
      <c r="E932" s="21" t="inlineStr">
        <is>
          <t>COEFICIENTE</t>
        </is>
      </c>
      <c r="F932" s="21" t="inlineStr">
        <is>
          <t>PREÇO UNITÁRIO</t>
        </is>
      </c>
      <c r="G932" s="21" t="inlineStr">
        <is>
          <t>TOTAL</t>
        </is>
      </c>
    </row>
    <row r="933" ht="21" customHeight="1">
      <c r="A933" s="22" t="inlineStr">
        <is>
          <t>88239</t>
        </is>
      </c>
      <c r="B933" s="23" t="inlineStr">
        <is>
          <t>AJUDANTE DE CARPINTEIRO COM ENCARGOS COMPLEMENTARES</t>
        </is>
      </c>
      <c r="C933" s="22" t="inlineStr">
        <is>
          <t>SINAPI</t>
        </is>
      </c>
      <c r="D933" s="22" t="inlineStr">
        <is>
          <t>H</t>
        </is>
      </c>
      <c r="E933" s="63">
        <f>L933*FATOR</f>
        <v/>
      </c>
      <c r="F933" s="64">
        <f>'COMPOSICOES AUXILIARES'!G68</f>
        <v/>
      </c>
      <c r="G933" s="64">
        <f>TRUNC(TRUNC(E933,8)*F933,2)</f>
        <v/>
      </c>
      <c r="L933" t="n">
        <v>0.202</v>
      </c>
      <c r="M933" t="n">
        <v>24.61</v>
      </c>
      <c r="N933">
        <f>(M933-F933)</f>
        <v/>
      </c>
    </row>
    <row r="934" ht="21" customHeight="1">
      <c r="A934" s="22" t="inlineStr">
        <is>
          <t>88262</t>
        </is>
      </c>
      <c r="B934" s="23" t="inlineStr">
        <is>
          <t>CARPINTEIRO DE FORMAS COM ENCARGOS COMPLEMENTARES</t>
        </is>
      </c>
      <c r="C934" s="22" t="inlineStr">
        <is>
          <t>SINAPI</t>
        </is>
      </c>
      <c r="D934" s="22" t="inlineStr">
        <is>
          <t>H</t>
        </is>
      </c>
      <c r="E934" s="63">
        <f>L934*FATOR</f>
        <v/>
      </c>
      <c r="F934" s="64">
        <f>'COMPOSICOES AUXILIARES'!G943</f>
        <v/>
      </c>
      <c r="G934" s="64">
        <f>TRUNC(TRUNC(E934,8)*F934,2)</f>
        <v/>
      </c>
      <c r="L934" t="n">
        <v>0.911</v>
      </c>
      <c r="M934" t="n">
        <v>30.15</v>
      </c>
      <c r="N934">
        <f>(M934-F934)</f>
        <v/>
      </c>
    </row>
    <row r="935" ht="18" customHeight="1">
      <c r="A935" s="2" t="inlineStr"/>
      <c r="B935" s="2" t="inlineStr"/>
      <c r="C935" s="2" t="inlineStr"/>
      <c r="D935" s="2" t="inlineStr"/>
      <c r="E935" s="26" t="inlineStr">
        <is>
          <t>TOTAL Mão de Obra com Encargos Complementares:</t>
        </is>
      </c>
      <c r="F935" s="56" t="n"/>
      <c r="G935" s="65">
        <f>SUM(G933:G934)</f>
        <v/>
      </c>
    </row>
    <row r="936" ht="15" customHeight="1">
      <c r="A936" s="2" t="inlineStr"/>
      <c r="B936" s="2" t="inlineStr"/>
      <c r="C936" s="2" t="inlineStr"/>
      <c r="D936" s="2" t="inlineStr"/>
      <c r="E936" s="28" t="inlineStr">
        <is>
          <t>VALOR:</t>
        </is>
      </c>
      <c r="F936" s="56" t="n"/>
      <c r="G936" s="66">
        <f>SUM(G931,G925,G935)</f>
        <v/>
      </c>
    </row>
    <row r="937" ht="15" customHeight="1">
      <c r="A937" s="2" t="inlineStr"/>
      <c r="B937" s="2" t="inlineStr"/>
      <c r="C937" s="2" t="inlineStr"/>
      <c r="D937" s="2" t="inlineStr"/>
      <c r="E937" s="28" t="inlineStr">
        <is>
          <t>VALOR BDI (23.08%):</t>
        </is>
      </c>
      <c r="F937" s="56" t="n"/>
      <c r="G937" s="66">
        <f>ROUNDDOWN(G936*BDI,2)</f>
        <v/>
      </c>
    </row>
    <row r="938" ht="15" customHeight="1">
      <c r="A938" s="2" t="inlineStr"/>
      <c r="B938" s="2" t="inlineStr"/>
      <c r="C938" s="2" t="inlineStr"/>
      <c r="D938" s="2" t="inlineStr"/>
      <c r="E938" s="28" t="inlineStr">
        <is>
          <t>VALOR COM BDI:</t>
        </is>
      </c>
      <c r="F938" s="56" t="n"/>
      <c r="G938" s="66">
        <f>G937 + G936</f>
        <v/>
      </c>
    </row>
    <row r="939" ht="10" customHeight="1">
      <c r="A939" s="2" t="inlineStr"/>
      <c r="B939" s="2" t="inlineStr"/>
      <c r="C939" s="2" t="inlineStr"/>
      <c r="D939" s="2" t="inlineStr"/>
      <c r="E939" s="18" t="inlineStr"/>
    </row>
    <row r="940" ht="20" customHeight="1">
      <c r="A940" s="19" t="inlineStr">
        <is>
          <t>4.1.3.4. ​101792​ ESCORAMENTO DE FÔRMAS DE LAJE EM MADEIRA NÃO APARELHADA, PÉ-DIREITO SIMPLES, INCLUSO TRAVAMENTO, 4 UTILIZAÇÕES. AF_09/2020​ (M3)</t>
        </is>
      </c>
      <c r="B940" s="55" t="n"/>
      <c r="C940" s="55" t="n"/>
      <c r="D940" s="55" t="n"/>
      <c r="E940" s="55" t="n"/>
      <c r="F940" s="55" t="n"/>
      <c r="G940" s="56" t="n"/>
    </row>
    <row r="941" ht="15" customHeight="1">
      <c r="A941" s="20" t="inlineStr">
        <is>
          <t>Material</t>
        </is>
      </c>
      <c r="B941" s="56" t="n"/>
      <c r="C941" s="21" t="inlineStr">
        <is>
          <t>FONTE</t>
        </is>
      </c>
      <c r="D941" s="21" t="inlineStr">
        <is>
          <t>UNID</t>
        </is>
      </c>
      <c r="E941" s="21" t="inlineStr">
        <is>
          <t>COEFICIENTE</t>
        </is>
      </c>
      <c r="F941" s="21" t="inlineStr">
        <is>
          <t>PREÇO UNITÁRIO</t>
        </is>
      </c>
      <c r="G941" s="21" t="inlineStr">
        <is>
          <t>TOTAL</t>
        </is>
      </c>
    </row>
    <row r="942" ht="21" customHeight="1">
      <c r="A942" s="22" t="inlineStr">
        <is>
          <t>00040304</t>
        </is>
      </c>
      <c r="B942" s="23" t="inlineStr">
        <is>
          <t>PREGO DE ACO POLIDO COM CABECA DUPLA 17 X 27 (2 1/2 X 11)</t>
        </is>
      </c>
      <c r="C942" s="22" t="inlineStr">
        <is>
          <t>SINAPI</t>
        </is>
      </c>
      <c r="D942" s="22" t="inlineStr">
        <is>
          <t>KG</t>
        </is>
      </c>
      <c r="E942" s="63" t="n">
        <v>0.011</v>
      </c>
      <c r="F942" s="64">
        <f>ROUND(M942*FATOR, 2)</f>
        <v/>
      </c>
      <c r="G942" s="64">
        <f>TRUNC(TRUNC(E942,8)*F942,2)</f>
        <v/>
      </c>
      <c r="L942" t="n">
        <v>0.011</v>
      </c>
      <c r="M942" t="n">
        <v>17.51</v>
      </c>
      <c r="N942">
        <f>(M942-F942)</f>
        <v/>
      </c>
    </row>
    <row r="943" ht="29" customHeight="1">
      <c r="A943" s="22" t="inlineStr">
        <is>
          <t>00006193</t>
        </is>
      </c>
      <c r="B943" s="23" t="inlineStr">
        <is>
          <t>TABUA NAO APARELHADA *2,5 X 20* CM, EM MACARANDUBA/MASSARANDUBA, ANGELIM OU EQUIVALENTE DA REGIAO - BRUTA</t>
        </is>
      </c>
      <c r="C943" s="22" t="inlineStr">
        <is>
          <t>SINAPI</t>
        </is>
      </c>
      <c r="D943" s="22" t="inlineStr">
        <is>
          <t>M</t>
        </is>
      </c>
      <c r="E943" s="63" t="n">
        <v>0.143</v>
      </c>
      <c r="F943" s="64">
        <f>ROUND(M943*FATOR, 2)</f>
        <v/>
      </c>
      <c r="G943" s="64">
        <f>TRUNC(TRUNC(E943,8)*F943,2)</f>
        <v/>
      </c>
      <c r="L943" t="n">
        <v>0.143</v>
      </c>
      <c r="M943" t="n">
        <v>20.49</v>
      </c>
      <c r="N943">
        <f>(M943-F943)</f>
        <v/>
      </c>
    </row>
    <row r="944" ht="15" customHeight="1">
      <c r="A944" s="2" t="inlineStr"/>
      <c r="B944" s="2" t="inlineStr"/>
      <c r="C944" s="2" t="inlineStr"/>
      <c r="D944" s="2" t="inlineStr"/>
      <c r="E944" s="26" t="inlineStr">
        <is>
          <t>TOTAL Material:</t>
        </is>
      </c>
      <c r="F944" s="56" t="n"/>
      <c r="G944" s="65">
        <f>SUM(G942:G943)</f>
        <v/>
      </c>
    </row>
    <row r="945" ht="15" customHeight="1">
      <c r="A945" s="20" t="inlineStr">
        <is>
          <t>Mão de Obra com Encargos Complementares</t>
        </is>
      </c>
      <c r="B945" s="56" t="n"/>
      <c r="C945" s="21" t="inlineStr">
        <is>
          <t>FONTE</t>
        </is>
      </c>
      <c r="D945" s="21" t="inlineStr">
        <is>
          <t>UNID</t>
        </is>
      </c>
      <c r="E945" s="21" t="inlineStr">
        <is>
          <t>COEFICIENTE</t>
        </is>
      </c>
      <c r="F945" s="21" t="inlineStr">
        <is>
          <t>PREÇO UNITÁRIO</t>
        </is>
      </c>
      <c r="G945" s="21" t="inlineStr">
        <is>
          <t>TOTAL</t>
        </is>
      </c>
    </row>
    <row r="946" ht="21" customHeight="1">
      <c r="A946" s="22" t="inlineStr">
        <is>
          <t>88239</t>
        </is>
      </c>
      <c r="B946" s="23" t="inlineStr">
        <is>
          <t>AJUDANTE DE CARPINTEIRO COM ENCARGOS COMPLEMENTARES</t>
        </is>
      </c>
      <c r="C946" s="22" t="inlineStr">
        <is>
          <t>SINAPI</t>
        </is>
      </c>
      <c r="D946" s="22" t="inlineStr">
        <is>
          <t>H</t>
        </is>
      </c>
      <c r="E946" s="63">
        <f>L946*FATOR</f>
        <v/>
      </c>
      <c r="F946" s="64">
        <f>'COMPOSICOES AUXILIARES'!G68</f>
        <v/>
      </c>
      <c r="G946" s="64">
        <f>TRUNC(TRUNC(E946,8)*F946,2)</f>
        <v/>
      </c>
      <c r="L946" t="n">
        <v>0.09</v>
      </c>
      <c r="M946" t="n">
        <v>24.61</v>
      </c>
      <c r="N946">
        <f>(M946-F946)</f>
        <v/>
      </c>
    </row>
    <row r="947" ht="21" customHeight="1">
      <c r="A947" s="22" t="inlineStr">
        <is>
          <t>88262</t>
        </is>
      </c>
      <c r="B947" s="23" t="inlineStr">
        <is>
          <t>CARPINTEIRO DE FORMAS COM ENCARGOS COMPLEMENTARES</t>
        </is>
      </c>
      <c r="C947" s="22" t="inlineStr">
        <is>
          <t>SINAPI</t>
        </is>
      </c>
      <c r="D947" s="22" t="inlineStr">
        <is>
          <t>H</t>
        </is>
      </c>
      <c r="E947" s="63">
        <f>L947*FATOR</f>
        <v/>
      </c>
      <c r="F947" s="64">
        <f>'COMPOSICOES AUXILIARES'!G943</f>
        <v/>
      </c>
      <c r="G947" s="64">
        <f>TRUNC(TRUNC(E947,8)*F947,2)</f>
        <v/>
      </c>
      <c r="L947" t="n">
        <v>0.127</v>
      </c>
      <c r="M947" t="n">
        <v>30.15</v>
      </c>
      <c r="N947">
        <f>(M947-F947)</f>
        <v/>
      </c>
    </row>
    <row r="948" ht="18" customHeight="1">
      <c r="A948" s="2" t="inlineStr"/>
      <c r="B948" s="2" t="inlineStr"/>
      <c r="C948" s="2" t="inlineStr"/>
      <c r="D948" s="2" t="inlineStr"/>
      <c r="E948" s="26" t="inlineStr">
        <is>
          <t>TOTAL Mão de Obra com Encargos Complementares:</t>
        </is>
      </c>
      <c r="F948" s="56" t="n"/>
      <c r="G948" s="65">
        <f>SUM(G946:G947)</f>
        <v/>
      </c>
    </row>
    <row r="949" ht="15" customHeight="1">
      <c r="A949" s="20" t="inlineStr">
        <is>
          <t>Serviço</t>
        </is>
      </c>
      <c r="B949" s="56" t="n"/>
      <c r="C949" s="21" t="inlineStr">
        <is>
          <t>FONTE</t>
        </is>
      </c>
      <c r="D949" s="21" t="inlineStr">
        <is>
          <t>UNID</t>
        </is>
      </c>
      <c r="E949" s="21" t="inlineStr">
        <is>
          <t>COEFICIENTE</t>
        </is>
      </c>
      <c r="F949" s="21" t="inlineStr">
        <is>
          <t>PREÇO UNITÁRIO</t>
        </is>
      </c>
      <c r="G949" s="21" t="inlineStr">
        <is>
          <t>TOTAL</t>
        </is>
      </c>
    </row>
    <row r="950" ht="21" customHeight="1">
      <c r="A950" s="22" t="inlineStr">
        <is>
          <t>92273</t>
        </is>
      </c>
      <c r="B950" s="23" t="inlineStr">
        <is>
          <t>FABRICAÇÃO DE ESCORAS DO TIPO PONTALETE, EM MADEIRA, PARA PÉ-DIREITO SIMPLES. AF_09/2020</t>
        </is>
      </c>
      <c r="C950" s="22" t="inlineStr">
        <is>
          <t>SINAPI</t>
        </is>
      </c>
      <c r="D950" s="22" t="inlineStr">
        <is>
          <t>M</t>
        </is>
      </c>
      <c r="E950" s="63" t="n">
        <v>0.545</v>
      </c>
      <c r="F950" s="64">
        <f>'COMPOSICOES AUXILIARES'!G2071</f>
        <v/>
      </c>
      <c r="G950" s="64">
        <f>TRUNC(TRUNC(E950,8)*F950,2)</f>
        <v/>
      </c>
      <c r="L950" t="n">
        <v>0.545</v>
      </c>
      <c r="M950" t="n">
        <v>19.37</v>
      </c>
      <c r="N950">
        <f>(M950-F950)</f>
        <v/>
      </c>
    </row>
    <row r="951" ht="15" customHeight="1">
      <c r="A951" s="2" t="inlineStr"/>
      <c r="B951" s="2" t="inlineStr"/>
      <c r="C951" s="2" t="inlineStr"/>
      <c r="D951" s="2" t="inlineStr"/>
      <c r="E951" s="26" t="inlineStr">
        <is>
          <t>TOTAL Serviço:</t>
        </is>
      </c>
      <c r="F951" s="56" t="n"/>
      <c r="G951" s="65">
        <f>SUM(G950:G950)</f>
        <v/>
      </c>
    </row>
    <row r="952" ht="15" customHeight="1">
      <c r="A952" s="2" t="inlineStr"/>
      <c r="B952" s="2" t="inlineStr"/>
      <c r="C952" s="2" t="inlineStr"/>
      <c r="D952" s="2" t="inlineStr"/>
      <c r="E952" s="28" t="inlineStr">
        <is>
          <t>VALOR:</t>
        </is>
      </c>
      <c r="F952" s="56" t="n"/>
      <c r="G952" s="66">
        <f>SUM(G944,G948,G951)</f>
        <v/>
      </c>
    </row>
    <row r="953" ht="15" customHeight="1">
      <c r="A953" s="2" t="inlineStr"/>
      <c r="B953" s="2" t="inlineStr"/>
      <c r="C953" s="2" t="inlineStr"/>
      <c r="D953" s="2" t="inlineStr"/>
      <c r="E953" s="28" t="inlineStr">
        <is>
          <t>VALOR BDI (23.08%):</t>
        </is>
      </c>
      <c r="F953" s="56" t="n"/>
      <c r="G953" s="66">
        <f>ROUNDDOWN(G952*BDI,2)</f>
        <v/>
      </c>
    </row>
    <row r="954" ht="15" customHeight="1">
      <c r="A954" s="2" t="inlineStr"/>
      <c r="B954" s="2" t="inlineStr"/>
      <c r="C954" s="2" t="inlineStr"/>
      <c r="D954" s="2" t="inlineStr"/>
      <c r="E954" s="28" t="inlineStr">
        <is>
          <t>VALOR COM BDI:</t>
        </is>
      </c>
      <c r="F954" s="56" t="n"/>
      <c r="G954" s="66">
        <f>G953 + G952</f>
        <v/>
      </c>
    </row>
    <row r="955" ht="10" customHeight="1">
      <c r="A955" s="2" t="inlineStr"/>
      <c r="B955" s="2" t="inlineStr"/>
      <c r="C955" s="2" t="inlineStr"/>
      <c r="D955" s="2" t="inlineStr"/>
      <c r="E955" s="18" t="inlineStr"/>
    </row>
    <row r="956" ht="20" customHeight="1">
      <c r="A956" s="19" t="inlineStr">
        <is>
          <t>4.1.3.5. ​101793​ ESCORAMENTO DE FÔRMAS DE LAJE EM MADEIRA NÃO APARELHADA, PÉ-DIREITO DUPLO, INCLUSO TRAVAMENTO, 4 UTILIZAÇÕES. AF_09/2020​ (M3)</t>
        </is>
      </c>
      <c r="B956" s="55" t="n"/>
      <c r="C956" s="55" t="n"/>
      <c r="D956" s="55" t="n"/>
      <c r="E956" s="55" t="n"/>
      <c r="F956" s="55" t="n"/>
      <c r="G956" s="56" t="n"/>
    </row>
    <row r="957" ht="15" customHeight="1">
      <c r="A957" s="20" t="inlineStr">
        <is>
          <t>Material</t>
        </is>
      </c>
      <c r="B957" s="56" t="n"/>
      <c r="C957" s="21" t="inlineStr">
        <is>
          <t>FONTE</t>
        </is>
      </c>
      <c r="D957" s="21" t="inlineStr">
        <is>
          <t>UNID</t>
        </is>
      </c>
      <c r="E957" s="21" t="inlineStr">
        <is>
          <t>COEFICIENTE</t>
        </is>
      </c>
      <c r="F957" s="21" t="inlineStr">
        <is>
          <t>PREÇO UNITÁRIO</t>
        </is>
      </c>
      <c r="G957" s="21" t="inlineStr">
        <is>
          <t>TOTAL</t>
        </is>
      </c>
    </row>
    <row r="958" ht="21" customHeight="1">
      <c r="A958" s="22" t="inlineStr">
        <is>
          <t>00040304</t>
        </is>
      </c>
      <c r="B958" s="23" t="inlineStr">
        <is>
          <t>PREGO DE ACO POLIDO COM CABECA DUPLA 17 X 27 (2 1/2 X 11)</t>
        </is>
      </c>
      <c r="C958" s="22" t="inlineStr">
        <is>
          <t>SINAPI</t>
        </is>
      </c>
      <c r="D958" s="22" t="inlineStr">
        <is>
          <t>KG</t>
        </is>
      </c>
      <c r="E958" s="63" t="n">
        <v>0.008</v>
      </c>
      <c r="F958" s="64">
        <f>ROUND(M958*FATOR, 2)</f>
        <v/>
      </c>
      <c r="G958" s="64">
        <f>TRUNC(TRUNC(E958,8)*F958,2)</f>
        <v/>
      </c>
      <c r="L958" t="n">
        <v>0.008</v>
      </c>
      <c r="M958" t="n">
        <v>17.51</v>
      </c>
      <c r="N958">
        <f>(M958-F958)</f>
        <v/>
      </c>
    </row>
    <row r="959" ht="29" customHeight="1">
      <c r="A959" s="22" t="inlineStr">
        <is>
          <t>00006193</t>
        </is>
      </c>
      <c r="B959" s="23" t="inlineStr">
        <is>
          <t>TABUA NAO APARELHADA *2,5 X 20* CM, EM MACARANDUBA/MASSARANDUBA, ANGELIM OU EQUIVALENTE DA REGIAO - BRUTA</t>
        </is>
      </c>
      <c r="C959" s="22" t="inlineStr">
        <is>
          <t>SINAPI</t>
        </is>
      </c>
      <c r="D959" s="22" t="inlineStr">
        <is>
          <t>M</t>
        </is>
      </c>
      <c r="E959" s="63" t="n">
        <v>0.109</v>
      </c>
      <c r="F959" s="64">
        <f>ROUND(M959*FATOR, 2)</f>
        <v/>
      </c>
      <c r="G959" s="64">
        <f>TRUNC(TRUNC(E959,8)*F959,2)</f>
        <v/>
      </c>
      <c r="L959" t="n">
        <v>0.109</v>
      </c>
      <c r="M959" t="n">
        <v>20.49</v>
      </c>
      <c r="N959">
        <f>(M959-F959)</f>
        <v/>
      </c>
    </row>
    <row r="960" ht="15" customHeight="1">
      <c r="A960" s="2" t="inlineStr"/>
      <c r="B960" s="2" t="inlineStr"/>
      <c r="C960" s="2" t="inlineStr"/>
      <c r="D960" s="2" t="inlineStr"/>
      <c r="E960" s="26" t="inlineStr">
        <is>
          <t>TOTAL Material:</t>
        </is>
      </c>
      <c r="F960" s="56" t="n"/>
      <c r="G960" s="65">
        <f>SUM(G958:G959)</f>
        <v/>
      </c>
    </row>
    <row r="961" ht="15" customHeight="1">
      <c r="A961" s="20" t="inlineStr">
        <is>
          <t>Mão de Obra com Encargos Complementares</t>
        </is>
      </c>
      <c r="B961" s="56" t="n"/>
      <c r="C961" s="21" t="inlineStr">
        <is>
          <t>FONTE</t>
        </is>
      </c>
      <c r="D961" s="21" t="inlineStr">
        <is>
          <t>UNID</t>
        </is>
      </c>
      <c r="E961" s="21" t="inlineStr">
        <is>
          <t>COEFICIENTE</t>
        </is>
      </c>
      <c r="F961" s="21" t="inlineStr">
        <is>
          <t>PREÇO UNITÁRIO</t>
        </is>
      </c>
      <c r="G961" s="21" t="inlineStr">
        <is>
          <t>TOTAL</t>
        </is>
      </c>
    </row>
    <row r="962" ht="21" customHeight="1">
      <c r="A962" s="22" t="inlineStr">
        <is>
          <t>88239</t>
        </is>
      </c>
      <c r="B962" s="23" t="inlineStr">
        <is>
          <t>AJUDANTE DE CARPINTEIRO COM ENCARGOS COMPLEMENTARES</t>
        </is>
      </c>
      <c r="C962" s="22" t="inlineStr">
        <is>
          <t>SINAPI</t>
        </is>
      </c>
      <c r="D962" s="22" t="inlineStr">
        <is>
          <t>H</t>
        </is>
      </c>
      <c r="E962" s="63">
        <f>L962*FATOR</f>
        <v/>
      </c>
      <c r="F962" s="64">
        <f>'COMPOSICOES AUXILIARES'!G68</f>
        <v/>
      </c>
      <c r="G962" s="64">
        <f>TRUNC(TRUNC(E962,8)*F962,2)</f>
        <v/>
      </c>
      <c r="L962" t="n">
        <v>0.15</v>
      </c>
      <c r="M962" t="n">
        <v>24.61</v>
      </c>
      <c r="N962">
        <f>(M962-F962)</f>
        <v/>
      </c>
    </row>
    <row r="963" ht="21" customHeight="1">
      <c r="A963" s="22" t="inlineStr">
        <is>
          <t>88262</t>
        </is>
      </c>
      <c r="B963" s="23" t="inlineStr">
        <is>
          <t>CARPINTEIRO DE FORMAS COM ENCARGOS COMPLEMENTARES</t>
        </is>
      </c>
      <c r="C963" s="22" t="inlineStr">
        <is>
          <t>SINAPI</t>
        </is>
      </c>
      <c r="D963" s="22" t="inlineStr">
        <is>
          <t>H</t>
        </is>
      </c>
      <c r="E963" s="63">
        <f>L963*FATOR</f>
        <v/>
      </c>
      <c r="F963" s="64">
        <f>'COMPOSICOES AUXILIARES'!G943</f>
        <v/>
      </c>
      <c r="G963" s="64">
        <f>TRUNC(TRUNC(E963,8)*F963,2)</f>
        <v/>
      </c>
      <c r="L963" t="n">
        <v>0.212</v>
      </c>
      <c r="M963" t="n">
        <v>30.15</v>
      </c>
      <c r="N963">
        <f>(M963-F963)</f>
        <v/>
      </c>
    </row>
    <row r="964" ht="18" customHeight="1">
      <c r="A964" s="2" t="inlineStr"/>
      <c r="B964" s="2" t="inlineStr"/>
      <c r="C964" s="2" t="inlineStr"/>
      <c r="D964" s="2" t="inlineStr"/>
      <c r="E964" s="26" t="inlineStr">
        <is>
          <t>TOTAL Mão de Obra com Encargos Complementares:</t>
        </is>
      </c>
      <c r="F964" s="56" t="n"/>
      <c r="G964" s="65">
        <f>SUM(G962:G963)</f>
        <v/>
      </c>
    </row>
    <row r="965" ht="15" customHeight="1">
      <c r="A965" s="20" t="inlineStr">
        <is>
          <t>Serviço</t>
        </is>
      </c>
      <c r="B965" s="56" t="n"/>
      <c r="C965" s="21" t="inlineStr">
        <is>
          <t>FONTE</t>
        </is>
      </c>
      <c r="D965" s="21" t="inlineStr">
        <is>
          <t>UNID</t>
        </is>
      </c>
      <c r="E965" s="21" t="inlineStr">
        <is>
          <t>COEFICIENTE</t>
        </is>
      </c>
      <c r="F965" s="21" t="inlineStr">
        <is>
          <t>PREÇO UNITÁRIO</t>
        </is>
      </c>
      <c r="G965" s="21" t="inlineStr">
        <is>
          <t>TOTAL</t>
        </is>
      </c>
    </row>
    <row r="966" ht="21" customHeight="1">
      <c r="A966" s="22" t="inlineStr">
        <is>
          <t>101791</t>
        </is>
      </c>
      <c r="B966" s="23" t="inlineStr">
        <is>
          <t>FABRICAÇÃO DE ESCORAS DO TIPO PONTALETE, EM MADEIRA, PARA PÉ-DIREITO DUPLO. AF_09/2020</t>
        </is>
      </c>
      <c r="C966" s="22" t="inlineStr">
        <is>
          <t>SINAPI</t>
        </is>
      </c>
      <c r="D966" s="22" t="inlineStr">
        <is>
          <t>M</t>
        </is>
      </c>
      <c r="E966" s="63" t="n">
        <v>0.545</v>
      </c>
      <c r="F966" s="64">
        <f>'COMPOSICOES AUXILIARES'!G2054</f>
        <v/>
      </c>
      <c r="G966" s="64">
        <f>TRUNC(TRUNC(E966,8)*F966,2)</f>
        <v/>
      </c>
      <c r="L966" t="n">
        <v>0.545</v>
      </c>
      <c r="M966" t="n">
        <v>34.35</v>
      </c>
      <c r="N966">
        <f>(M966-F966)</f>
        <v/>
      </c>
    </row>
    <row r="967" ht="15" customHeight="1">
      <c r="A967" s="2" t="inlineStr"/>
      <c r="B967" s="2" t="inlineStr"/>
      <c r="C967" s="2" t="inlineStr"/>
      <c r="D967" s="2" t="inlineStr"/>
      <c r="E967" s="26" t="inlineStr">
        <is>
          <t>TOTAL Serviço:</t>
        </is>
      </c>
      <c r="F967" s="56" t="n"/>
      <c r="G967" s="65">
        <f>SUM(G966:G966)</f>
        <v/>
      </c>
    </row>
    <row r="968" ht="15" customHeight="1">
      <c r="A968" s="2" t="inlineStr"/>
      <c r="B968" s="2" t="inlineStr"/>
      <c r="C968" s="2" t="inlineStr"/>
      <c r="D968" s="2" t="inlineStr"/>
      <c r="E968" s="28" t="inlineStr">
        <is>
          <t>VALOR:</t>
        </is>
      </c>
      <c r="F968" s="56" t="n"/>
      <c r="G968" s="66">
        <f>SUM(G960,G964,G967)</f>
        <v/>
      </c>
    </row>
    <row r="969" ht="15" customHeight="1">
      <c r="A969" s="2" t="inlineStr"/>
      <c r="B969" s="2" t="inlineStr"/>
      <c r="C969" s="2" t="inlineStr"/>
      <c r="D969" s="2" t="inlineStr"/>
      <c r="E969" s="28" t="inlineStr">
        <is>
          <t>VALOR BDI (23.08%):</t>
        </is>
      </c>
      <c r="F969" s="56" t="n"/>
      <c r="G969" s="66">
        <f>ROUNDDOWN(G968*BDI,2)</f>
        <v/>
      </c>
    </row>
    <row r="970" ht="15" customHeight="1">
      <c r="A970" s="2" t="inlineStr"/>
      <c r="B970" s="2" t="inlineStr"/>
      <c r="C970" s="2" t="inlineStr"/>
      <c r="D970" s="2" t="inlineStr"/>
      <c r="E970" s="28" t="inlineStr">
        <is>
          <t>VALOR COM BDI:</t>
        </is>
      </c>
      <c r="F970" s="56" t="n"/>
      <c r="G970" s="66">
        <f>G969 + G968</f>
        <v/>
      </c>
    </row>
    <row r="971" ht="10" customHeight="1">
      <c r="A971" s="2" t="inlineStr"/>
      <c r="B971" s="2" t="inlineStr"/>
      <c r="C971" s="2" t="inlineStr"/>
      <c r="D971" s="2" t="inlineStr"/>
      <c r="E971" s="18" t="inlineStr"/>
    </row>
    <row r="972" ht="20" customHeight="1">
      <c r="A972" s="19" t="inlineStr">
        <is>
          <t>4.1.4.1. ​394 PRÓPRIO​ CONCRETAGEM DE PILARES, FCK= 30MPA, COM USO DE BOMBA - LANÇAMENTO, ADENSAMENTO E ACABAMENTO. AF_02/2022_PS​ (M³)</t>
        </is>
      </c>
      <c r="B972" s="55" t="n"/>
      <c r="C972" s="55" t="n"/>
      <c r="D972" s="55" t="n"/>
      <c r="E972" s="55" t="n"/>
      <c r="F972" s="55" t="n"/>
      <c r="G972" s="56" t="n"/>
    </row>
    <row r="973" ht="15" customHeight="1">
      <c r="A973" s="20" t="inlineStr">
        <is>
          <t>Equipamento Custo Horário</t>
        </is>
      </c>
      <c r="B973" s="56" t="n"/>
      <c r="C973" s="21" t="inlineStr">
        <is>
          <t>FONTE</t>
        </is>
      </c>
      <c r="D973" s="21" t="inlineStr">
        <is>
          <t>UNID</t>
        </is>
      </c>
      <c r="E973" s="21" t="inlineStr">
        <is>
          <t>COEFICIENTE</t>
        </is>
      </c>
      <c r="F973" s="21" t="inlineStr">
        <is>
          <t>PREÇO UNITÁRIO</t>
        </is>
      </c>
      <c r="G973" s="21" t="inlineStr">
        <is>
          <t>TOTAL</t>
        </is>
      </c>
    </row>
    <row r="974" ht="29" customHeight="1">
      <c r="A974" s="22" t="inlineStr">
        <is>
          <t>90587</t>
        </is>
      </c>
      <c r="B974" s="23" t="inlineStr">
        <is>
          <t>VIBRADOR DE IMERSÃO, DIÂMETRO DE PONTEIRA 45MM, MOTOR ELÉTRICO TRIFÁSICO POTÊNCIA DE 2 CV - CHI DIURNO. AF_06/2015</t>
        </is>
      </c>
      <c r="C974" s="22" t="inlineStr">
        <is>
          <t>SINAPI</t>
        </is>
      </c>
      <c r="D974" s="22" t="inlineStr">
        <is>
          <t>CHI</t>
        </is>
      </c>
      <c r="E974" s="63" t="n">
        <v>0.13</v>
      </c>
      <c r="F974" s="64">
        <f>'COMPOSICOES AUXILIARES'!G3725</f>
        <v/>
      </c>
      <c r="G974" s="64">
        <f>ROUND(ROUND(E974,8)*F974,2)</f>
        <v/>
      </c>
      <c r="L974" t="n">
        <v>0.13</v>
      </c>
      <c r="M974" t="n">
        <v>0.5600000000000001</v>
      </c>
      <c r="N974">
        <f>(M974-F974)</f>
        <v/>
      </c>
    </row>
    <row r="975" ht="29" customHeight="1">
      <c r="A975" s="22" t="inlineStr">
        <is>
          <t>90586</t>
        </is>
      </c>
      <c r="B975" s="23" t="inlineStr">
        <is>
          <t>VIBRADOR DE IMERSÃO, DIÂMETRO DE PONTEIRA 45MM, MOTOR ELÉTRICO TRIFÁSICO POTÊNCIA DE 2 CV - CHP DIURNO. AF_06/2015</t>
        </is>
      </c>
      <c r="C975" s="22" t="inlineStr">
        <is>
          <t>SINAPI</t>
        </is>
      </c>
      <c r="D975" s="22" t="inlineStr">
        <is>
          <t>CHP</t>
        </is>
      </c>
      <c r="E975" s="63" t="n">
        <v>0.094</v>
      </c>
      <c r="F975" s="64">
        <f>'COMPOSICOES AUXILIARES'!G3736</f>
        <v/>
      </c>
      <c r="G975" s="64">
        <f>ROUND(ROUND(E975,8)*F975,2)</f>
        <v/>
      </c>
      <c r="L975" t="n">
        <v>0.094</v>
      </c>
      <c r="M975" t="n">
        <v>1.44</v>
      </c>
      <c r="N975">
        <f>(M975-F975)</f>
        <v/>
      </c>
    </row>
    <row r="976" ht="18" customHeight="1">
      <c r="A976" s="2" t="inlineStr"/>
      <c r="B976" s="2" t="inlineStr"/>
      <c r="C976" s="2" t="inlineStr"/>
      <c r="D976" s="2" t="inlineStr"/>
      <c r="E976" s="26" t="inlineStr">
        <is>
          <t>TOTAL Equipamento Custo Horário:</t>
        </is>
      </c>
      <c r="F976" s="56" t="n"/>
      <c r="G976" s="65">
        <f>SUM(G974:G975)</f>
        <v/>
      </c>
    </row>
    <row r="977" ht="15" customHeight="1">
      <c r="A977" s="20" t="inlineStr">
        <is>
          <t>Material</t>
        </is>
      </c>
      <c r="B977" s="56" t="n"/>
      <c r="C977" s="21" t="inlineStr">
        <is>
          <t>FONTE</t>
        </is>
      </c>
      <c r="D977" s="21" t="inlineStr">
        <is>
          <t>UNID</t>
        </is>
      </c>
      <c r="E977" s="21" t="inlineStr">
        <is>
          <t>COEFICIENTE</t>
        </is>
      </c>
      <c r="F977" s="21" t="inlineStr">
        <is>
          <t>PREÇO UNITÁRIO</t>
        </is>
      </c>
      <c r="G977" s="21" t="inlineStr">
        <is>
          <t>TOTAL</t>
        </is>
      </c>
    </row>
    <row r="978" ht="38" customHeight="1">
      <c r="A978" s="22" t="inlineStr">
        <is>
          <t>00001525</t>
        </is>
      </c>
      <c r="B978" s="23" t="inlineStr">
        <is>
          <t>CONCRETO USINADO BOMBEAVEL, CLASSE DE RESISTENCIA C30, BRITA 0 E 1, SLUMP = 100 +/- 20 MM, COM BOMBEAMENTO (DISPONIBILIZACAO DE BOMBA), SEM O LANCAMENTO (NBR 8953)</t>
        </is>
      </c>
      <c r="C978" s="22" t="inlineStr">
        <is>
          <t>SINAPI</t>
        </is>
      </c>
      <c r="D978" s="22" t="inlineStr">
        <is>
          <t>M3</t>
        </is>
      </c>
      <c r="E978" s="63" t="n">
        <v>1.103</v>
      </c>
      <c r="F978" s="64">
        <f>ROUND(M978*FATOR, 2)</f>
        <v/>
      </c>
      <c r="G978" s="64">
        <f>ROUND(ROUND(E978,8)*F978,2)</f>
        <v/>
      </c>
      <c r="L978" t="n">
        <v>1.103</v>
      </c>
      <c r="M978" t="n">
        <v>551.1</v>
      </c>
      <c r="N978">
        <f>(M978-F978)</f>
        <v/>
      </c>
    </row>
    <row r="979" ht="15" customHeight="1">
      <c r="A979" s="2" t="inlineStr"/>
      <c r="B979" s="2" t="inlineStr"/>
      <c r="C979" s="2" t="inlineStr"/>
      <c r="D979" s="2" t="inlineStr"/>
      <c r="E979" s="26" t="inlineStr">
        <is>
          <t>TOTAL Material:</t>
        </is>
      </c>
      <c r="F979" s="56" t="n"/>
      <c r="G979" s="65">
        <f>SUM(G978:G978)</f>
        <v/>
      </c>
    </row>
    <row r="980" ht="15" customHeight="1">
      <c r="A980" s="20" t="inlineStr">
        <is>
          <t>Mão de Obra com Encargos Complementares</t>
        </is>
      </c>
      <c r="B980" s="56" t="n"/>
      <c r="C980" s="21" t="inlineStr">
        <is>
          <t>FONTE</t>
        </is>
      </c>
      <c r="D980" s="21" t="inlineStr">
        <is>
          <t>UNID</t>
        </is>
      </c>
      <c r="E980" s="21" t="inlineStr">
        <is>
          <t>COEFICIENTE</t>
        </is>
      </c>
      <c r="F980" s="21" t="inlineStr">
        <is>
          <t>PREÇO UNITÁRIO</t>
        </is>
      </c>
      <c r="G980" s="21" t="inlineStr">
        <is>
          <t>TOTAL</t>
        </is>
      </c>
    </row>
    <row r="981" ht="21" customHeight="1">
      <c r="A981" s="22" t="inlineStr">
        <is>
          <t>88262</t>
        </is>
      </c>
      <c r="B981" s="23" t="inlineStr">
        <is>
          <t>CARPINTEIRO DE FORMAS COM ENCARGOS COMPLEMENTARES</t>
        </is>
      </c>
      <c r="C981" s="22" t="inlineStr">
        <is>
          <t>SINAPI</t>
        </is>
      </c>
      <c r="D981" s="22" t="inlineStr">
        <is>
          <t>H</t>
        </is>
      </c>
      <c r="E981" s="63">
        <f>L981*FATOR</f>
        <v/>
      </c>
      <c r="F981" s="64">
        <f>'COMPOSICOES AUXILIARES'!G943</f>
        <v/>
      </c>
      <c r="G981" s="64">
        <f>ROUND(ROUND(E981,8)*F981,2)</f>
        <v/>
      </c>
      <c r="L981" t="n">
        <v>0.224</v>
      </c>
      <c r="M981" t="n">
        <v>30.15</v>
      </c>
      <c r="N981">
        <f>(M981-F981)</f>
        <v/>
      </c>
    </row>
    <row r="982" ht="15" customHeight="1">
      <c r="A982" s="22" t="inlineStr">
        <is>
          <t>88309</t>
        </is>
      </c>
      <c r="B982" s="23" t="inlineStr">
        <is>
          <t>PEDREIRO COM ENCARGOS COMPLEMENTARES</t>
        </is>
      </c>
      <c r="C982" s="22" t="inlineStr">
        <is>
          <t>SINAPI</t>
        </is>
      </c>
      <c r="D982" s="22" t="inlineStr">
        <is>
          <t>H</t>
        </is>
      </c>
      <c r="E982" s="63">
        <f>L982*FATOR</f>
        <v/>
      </c>
      <c r="F982" s="64">
        <f>'COMPOSICOES AUXILIARES'!G2887</f>
        <v/>
      </c>
      <c r="G982" s="64">
        <f>ROUND(ROUND(E982,8)*F982,2)</f>
        <v/>
      </c>
      <c r="L982" t="n">
        <v>0.224</v>
      </c>
      <c r="M982" t="n">
        <v>30.58</v>
      </c>
      <c r="N982">
        <f>(M982-F982)</f>
        <v/>
      </c>
    </row>
    <row r="983" ht="15" customHeight="1">
      <c r="A983" s="22" t="inlineStr">
        <is>
          <t>88316</t>
        </is>
      </c>
      <c r="B983" s="23" t="inlineStr">
        <is>
          <t>SERVENTE COM ENCARGOS COMPLEMENTARES</t>
        </is>
      </c>
      <c r="C983" s="22" t="inlineStr">
        <is>
          <t>SINAPI</t>
        </is>
      </c>
      <c r="D983" s="22" t="inlineStr">
        <is>
          <t>H</t>
        </is>
      </c>
      <c r="E983" s="63">
        <f>L983*FATOR</f>
        <v/>
      </c>
      <c r="F983" s="64">
        <f>'COMPOSICOES AUXILIARES'!G3390</f>
        <v/>
      </c>
      <c r="G983" s="64">
        <f>ROUND(ROUND(E983,8)*F983,2)</f>
        <v/>
      </c>
      <c r="L983" t="n">
        <v>1.345</v>
      </c>
      <c r="M983" t="n">
        <v>23.56</v>
      </c>
      <c r="N983">
        <f>(M983-F983)</f>
        <v/>
      </c>
    </row>
    <row r="984" ht="18" customHeight="1">
      <c r="A984" s="2" t="inlineStr"/>
      <c r="B984" s="2" t="inlineStr"/>
      <c r="C984" s="2" t="inlineStr"/>
      <c r="D984" s="2" t="inlineStr"/>
      <c r="E984" s="26" t="inlineStr">
        <is>
          <t>TOTAL Mão de Obra com Encargos Complementares:</t>
        </is>
      </c>
      <c r="F984" s="56" t="n"/>
      <c r="G984" s="65">
        <f>SUM(G981:G983)</f>
        <v/>
      </c>
    </row>
    <row r="985" ht="15" customHeight="1">
      <c r="A985" s="2" t="inlineStr"/>
      <c r="B985" s="2" t="inlineStr"/>
      <c r="C985" s="2" t="inlineStr"/>
      <c r="D985" s="2" t="inlineStr"/>
      <c r="E985" s="28" t="inlineStr">
        <is>
          <t>VALOR:</t>
        </is>
      </c>
      <c r="F985" s="56" t="n"/>
      <c r="G985" s="66">
        <f>SUM(G984,G979,G976)</f>
        <v/>
      </c>
    </row>
    <row r="986" ht="15" customHeight="1">
      <c r="A986" s="2" t="inlineStr"/>
      <c r="B986" s="2" t="inlineStr"/>
      <c r="C986" s="2" t="inlineStr"/>
      <c r="D986" s="2" t="inlineStr"/>
      <c r="E986" s="28" t="inlineStr">
        <is>
          <t>VALOR BDI (23.08%):</t>
        </is>
      </c>
      <c r="F986" s="56" t="n"/>
      <c r="G986" s="66">
        <f>ROUNDDOWN(G985*BDI,2)</f>
        <v/>
      </c>
    </row>
    <row r="987" ht="15" customHeight="1">
      <c r="A987" s="2" t="inlineStr"/>
      <c r="B987" s="2" t="inlineStr"/>
      <c r="C987" s="2" t="inlineStr"/>
      <c r="D987" s="2" t="inlineStr"/>
      <c r="E987" s="28" t="inlineStr">
        <is>
          <t>VALOR COM BDI:</t>
        </is>
      </c>
      <c r="F987" s="56" t="n"/>
      <c r="G987" s="66">
        <f>G986 + G985</f>
        <v/>
      </c>
    </row>
    <row r="988" ht="10" customHeight="1">
      <c r="A988" s="2" t="inlineStr"/>
      <c r="B988" s="2" t="inlineStr"/>
      <c r="C988" s="2" t="inlineStr"/>
      <c r="D988" s="2" t="inlineStr"/>
      <c r="E988" s="18" t="inlineStr"/>
    </row>
    <row r="989" ht="20" customHeight="1">
      <c r="A989" s="19" t="inlineStr">
        <is>
          <t>4.1.4.2. ​395 PRÓPRIO​ CONCRETAGEM DE VIGAS E LAJES, FCK= 30MPA, PARA LAJES MACIÇAS OU NERVURADAS COM USO DE BOMBA - LANÇAMENTO, ADENSAMENTO EACABAMENTO. AF_02/2022_PS​ (M³)</t>
        </is>
      </c>
      <c r="B989" s="55" t="n"/>
      <c r="C989" s="55" t="n"/>
      <c r="D989" s="55" t="n"/>
      <c r="E989" s="55" t="n"/>
      <c r="F989" s="55" t="n"/>
      <c r="G989" s="56" t="n"/>
    </row>
    <row r="990" ht="15" customHeight="1">
      <c r="A990" s="20" t="inlineStr">
        <is>
          <t>Equipamento Custo Horário</t>
        </is>
      </c>
      <c r="B990" s="56" t="n"/>
      <c r="C990" s="21" t="inlineStr">
        <is>
          <t>FONTE</t>
        </is>
      </c>
      <c r="D990" s="21" t="inlineStr">
        <is>
          <t>UNID</t>
        </is>
      </c>
      <c r="E990" s="21" t="inlineStr">
        <is>
          <t>COEFICIENTE</t>
        </is>
      </c>
      <c r="F990" s="21" t="inlineStr">
        <is>
          <t>PREÇO UNITÁRIO</t>
        </is>
      </c>
      <c r="G990" s="21" t="inlineStr">
        <is>
          <t>TOTAL</t>
        </is>
      </c>
    </row>
    <row r="991" ht="29" customHeight="1">
      <c r="A991" s="22" t="inlineStr">
        <is>
          <t>90587</t>
        </is>
      </c>
      <c r="B991" s="23" t="inlineStr">
        <is>
          <t>VIBRADOR DE IMERSÃO, DIÂMETRO DE PONTEIRA 45MM, MOTOR ELÉTRICO TRIFÁSICO POTÊNCIA DE 2 CV - CHI DIURNO. AF_06/2015</t>
        </is>
      </c>
      <c r="C991" s="22" t="inlineStr">
        <is>
          <t>SINAPI</t>
        </is>
      </c>
      <c r="D991" s="22" t="inlineStr">
        <is>
          <t>CHI</t>
        </is>
      </c>
      <c r="E991" s="63" t="n">
        <v>0.131</v>
      </c>
      <c r="F991" s="64">
        <f>'COMPOSICOES AUXILIARES'!G3725</f>
        <v/>
      </c>
      <c r="G991" s="64">
        <f>ROUND(ROUND(E991,8)*F991,2)</f>
        <v/>
      </c>
      <c r="L991" t="n">
        <v>0.131</v>
      </c>
      <c r="M991" t="n">
        <v>0.5600000000000001</v>
      </c>
      <c r="N991">
        <f>(M991-F991)</f>
        <v/>
      </c>
    </row>
    <row r="992" ht="29" customHeight="1">
      <c r="A992" s="22" t="inlineStr">
        <is>
          <t>90586</t>
        </is>
      </c>
      <c r="B992" s="23" t="inlineStr">
        <is>
          <t>VIBRADOR DE IMERSÃO, DIÂMETRO DE PONTEIRA 45MM, MOTOR ELÉTRICO TRIFÁSICO POTÊNCIA DE 2 CV - CHP DIURNO. AF_06/2015</t>
        </is>
      </c>
      <c r="C992" s="22" t="inlineStr">
        <is>
          <t>SINAPI</t>
        </is>
      </c>
      <c r="D992" s="22" t="inlineStr">
        <is>
          <t>CHP</t>
        </is>
      </c>
      <c r="E992" s="63" t="n">
        <v>0.12</v>
      </c>
      <c r="F992" s="64">
        <f>'COMPOSICOES AUXILIARES'!G3736</f>
        <v/>
      </c>
      <c r="G992" s="64">
        <f>ROUND(ROUND(E992,8)*F992,2)</f>
        <v/>
      </c>
      <c r="L992" t="n">
        <v>0.12</v>
      </c>
      <c r="M992" t="n">
        <v>1.44</v>
      </c>
      <c r="N992">
        <f>(M992-F992)</f>
        <v/>
      </c>
    </row>
    <row r="993" ht="18" customHeight="1">
      <c r="A993" s="2" t="inlineStr"/>
      <c r="B993" s="2" t="inlineStr"/>
      <c r="C993" s="2" t="inlineStr"/>
      <c r="D993" s="2" t="inlineStr"/>
      <c r="E993" s="26" t="inlineStr">
        <is>
          <t>TOTAL Equipamento Custo Horário:</t>
        </is>
      </c>
      <c r="F993" s="56" t="n"/>
      <c r="G993" s="65">
        <f>SUM(G991:G992)</f>
        <v/>
      </c>
    </row>
    <row r="994" ht="15" customHeight="1">
      <c r="A994" s="20" t="inlineStr">
        <is>
          <t>Material</t>
        </is>
      </c>
      <c r="B994" s="56" t="n"/>
      <c r="C994" s="21" t="inlineStr">
        <is>
          <t>FONTE</t>
        </is>
      </c>
      <c r="D994" s="21" t="inlineStr">
        <is>
          <t>UNID</t>
        </is>
      </c>
      <c r="E994" s="21" t="inlineStr">
        <is>
          <t>COEFICIENTE</t>
        </is>
      </c>
      <c r="F994" s="21" t="inlineStr">
        <is>
          <t>PREÇO UNITÁRIO</t>
        </is>
      </c>
      <c r="G994" s="21" t="inlineStr">
        <is>
          <t>TOTAL</t>
        </is>
      </c>
    </row>
    <row r="995" ht="38" customHeight="1">
      <c r="A995" s="22" t="inlineStr">
        <is>
          <t>00001525</t>
        </is>
      </c>
      <c r="B995" s="23" t="inlineStr">
        <is>
          <t>CONCRETO USINADO BOMBEAVEL, CLASSE DE RESISTENCIA C30, BRITA 0 E 1, SLUMP = 100 +/- 20 MM, COM BOMBEAMENTO (DISPONIBILIZACAO DE BOMBA), SEM O LANCAMENTO (NBR 8953)</t>
        </is>
      </c>
      <c r="C995" s="22" t="inlineStr">
        <is>
          <t>SINAPI</t>
        </is>
      </c>
      <c r="D995" s="22" t="inlineStr">
        <is>
          <t>M3</t>
        </is>
      </c>
      <c r="E995" s="63" t="n">
        <v>1.103</v>
      </c>
      <c r="F995" s="64">
        <f>ROUND(M995*FATOR, 2)</f>
        <v/>
      </c>
      <c r="G995" s="64">
        <f>ROUND(ROUND(E995,8)*F995,2)</f>
        <v/>
      </c>
      <c r="L995" t="n">
        <v>1.103</v>
      </c>
      <c r="M995" t="n">
        <v>551.1</v>
      </c>
      <c r="N995">
        <f>(M995-F995)</f>
        <v/>
      </c>
    </row>
    <row r="996" ht="15" customHeight="1">
      <c r="A996" s="2" t="inlineStr"/>
      <c r="B996" s="2" t="inlineStr"/>
      <c r="C996" s="2" t="inlineStr"/>
      <c r="D996" s="2" t="inlineStr"/>
      <c r="E996" s="26" t="inlineStr">
        <is>
          <t>TOTAL Material:</t>
        </is>
      </c>
      <c r="F996" s="56" t="n"/>
      <c r="G996" s="65">
        <f>SUM(G995:G995)</f>
        <v/>
      </c>
    </row>
    <row r="997" ht="15" customHeight="1">
      <c r="A997" s="20" t="inlineStr">
        <is>
          <t>Mão de Obra com Encargos Complementares</t>
        </is>
      </c>
      <c r="B997" s="56" t="n"/>
      <c r="C997" s="21" t="inlineStr">
        <is>
          <t>FONTE</t>
        </is>
      </c>
      <c r="D997" s="21" t="inlineStr">
        <is>
          <t>UNID</t>
        </is>
      </c>
      <c r="E997" s="21" t="inlineStr">
        <is>
          <t>COEFICIENTE</t>
        </is>
      </c>
      <c r="F997" s="21" t="inlineStr">
        <is>
          <t>PREÇO UNITÁRIO</t>
        </is>
      </c>
      <c r="G997" s="21" t="inlineStr">
        <is>
          <t>TOTAL</t>
        </is>
      </c>
    </row>
    <row r="998" ht="21" customHeight="1">
      <c r="A998" s="22" t="inlineStr">
        <is>
          <t>88262</t>
        </is>
      </c>
      <c r="B998" s="23" t="inlineStr">
        <is>
          <t>CARPINTEIRO DE FORMAS COM ENCARGOS COMPLEMENTARES</t>
        </is>
      </c>
      <c r="C998" s="22" t="inlineStr">
        <is>
          <t>SINAPI</t>
        </is>
      </c>
      <c r="D998" s="22" t="inlineStr">
        <is>
          <t>H</t>
        </is>
      </c>
      <c r="E998" s="63">
        <f>L998*FATOR</f>
        <v/>
      </c>
      <c r="F998" s="64">
        <f>'COMPOSICOES AUXILIARES'!G943</f>
        <v/>
      </c>
      <c r="G998" s="64">
        <f>ROUND(ROUND(E998,8)*F998,2)</f>
        <v/>
      </c>
      <c r="L998" t="n">
        <v>0.125</v>
      </c>
      <c r="M998" t="n">
        <v>30.15</v>
      </c>
      <c r="N998">
        <f>(M998-F998)</f>
        <v/>
      </c>
    </row>
    <row r="999" ht="15" customHeight="1">
      <c r="A999" s="22" t="inlineStr">
        <is>
          <t>88309</t>
        </is>
      </c>
      <c r="B999" s="23" t="inlineStr">
        <is>
          <t>PEDREIRO COM ENCARGOS COMPLEMENTARES</t>
        </is>
      </c>
      <c r="C999" s="22" t="inlineStr">
        <is>
          <t>SINAPI</t>
        </is>
      </c>
      <c r="D999" s="22" t="inlineStr">
        <is>
          <t>H</t>
        </is>
      </c>
      <c r="E999" s="63">
        <f>L999*FATOR</f>
        <v/>
      </c>
      <c r="F999" s="64">
        <f>'COMPOSICOES AUXILIARES'!G2887</f>
        <v/>
      </c>
      <c r="G999" s="64">
        <f>ROUND(ROUND(E999,8)*F999,2)</f>
        <v/>
      </c>
      <c r="L999" t="n">
        <v>0.753</v>
      </c>
      <c r="M999" t="n">
        <v>30.58</v>
      </c>
      <c r="N999">
        <f>(M999-F999)</f>
        <v/>
      </c>
    </row>
    <row r="1000" ht="15" customHeight="1">
      <c r="A1000" s="22" t="inlineStr">
        <is>
          <t>88316</t>
        </is>
      </c>
      <c r="B1000" s="23" t="inlineStr">
        <is>
          <t>SERVENTE COM ENCARGOS COMPLEMENTARES</t>
        </is>
      </c>
      <c r="C1000" s="22" t="inlineStr">
        <is>
          <t>SINAPI</t>
        </is>
      </c>
      <c r="D1000" s="22" t="inlineStr">
        <is>
          <t>H</t>
        </is>
      </c>
      <c r="E1000" s="63">
        <f>L1000*FATOR</f>
        <v/>
      </c>
      <c r="F1000" s="64">
        <f>'COMPOSICOES AUXILIARES'!G3390</f>
        <v/>
      </c>
      <c r="G1000" s="64">
        <f>ROUND(ROUND(E1000,8)*F1000,2)</f>
        <v/>
      </c>
      <c r="L1000" t="n">
        <v>0.826</v>
      </c>
      <c r="M1000" t="n">
        <v>23.56</v>
      </c>
      <c r="N1000">
        <f>(M1000-F1000)</f>
        <v/>
      </c>
    </row>
    <row r="1001" ht="18" customHeight="1">
      <c r="A1001" s="2" t="inlineStr"/>
      <c r="B1001" s="2" t="inlineStr"/>
      <c r="C1001" s="2" t="inlineStr"/>
      <c r="D1001" s="2" t="inlineStr"/>
      <c r="E1001" s="26" t="inlineStr">
        <is>
          <t>TOTAL Mão de Obra com Encargos Complementares:</t>
        </is>
      </c>
      <c r="F1001" s="56" t="n"/>
      <c r="G1001" s="65">
        <f>SUM(G998:G1000)</f>
        <v/>
      </c>
    </row>
    <row r="1002" ht="15" customHeight="1">
      <c r="A1002" s="2" t="inlineStr"/>
      <c r="B1002" s="2" t="inlineStr"/>
      <c r="C1002" s="2" t="inlineStr"/>
      <c r="D1002" s="2" t="inlineStr"/>
      <c r="E1002" s="28" t="inlineStr">
        <is>
          <t>VALOR:</t>
        </is>
      </c>
      <c r="F1002" s="56" t="n"/>
      <c r="G1002" s="66">
        <f>SUM(G1001,G996,G993)</f>
        <v/>
      </c>
    </row>
    <row r="1003" ht="15" customHeight="1">
      <c r="A1003" s="2" t="inlineStr"/>
      <c r="B1003" s="2" t="inlineStr"/>
      <c r="C1003" s="2" t="inlineStr"/>
      <c r="D1003" s="2" t="inlineStr"/>
      <c r="E1003" s="28" t="inlineStr">
        <is>
          <t>VALOR BDI (23.08%):</t>
        </is>
      </c>
      <c r="F1003" s="56" t="n"/>
      <c r="G1003" s="66">
        <f>ROUNDDOWN(G1002*BDI,2)</f>
        <v/>
      </c>
    </row>
    <row r="1004" ht="15" customHeight="1">
      <c r="A1004" s="2" t="inlineStr"/>
      <c r="B1004" s="2" t="inlineStr"/>
      <c r="C1004" s="2" t="inlineStr"/>
      <c r="D1004" s="2" t="inlineStr"/>
      <c r="E1004" s="28" t="inlineStr">
        <is>
          <t>VALOR COM BDI:</t>
        </is>
      </c>
      <c r="F1004" s="56" t="n"/>
      <c r="G1004" s="66">
        <f>G1003 + G1002</f>
        <v/>
      </c>
    </row>
    <row r="1005" ht="10" customHeight="1">
      <c r="A1005" s="2" t="inlineStr"/>
      <c r="B1005" s="2" t="inlineStr"/>
      <c r="C1005" s="2" t="inlineStr"/>
      <c r="D1005" s="2" t="inlineStr"/>
      <c r="E1005" s="18" t="inlineStr"/>
    </row>
    <row r="1006" ht="20" customHeight="1">
      <c r="A1006" s="19" t="inlineStr">
        <is>
          <t>4.2.1. ​SOP2059​ CONTROLE TECNOLÓGICO DE CONCRETO "COM" MOLDAGEM DE CORPOS DE PROVA, MENSALIDADE DE LABORATORISTA DE ATÉ 44 HS, COLETA CORPOS DE PROVA E EMISSÃO CERTIFICADOS, DE 61 A 100 KM, DE SEGUNDA A SEXTA​ (MÊS)</t>
        </is>
      </c>
      <c r="B1006" s="55" t="n"/>
      <c r="C1006" s="55" t="n"/>
      <c r="D1006" s="55" t="n"/>
      <c r="E1006" s="55" t="n"/>
      <c r="F1006" s="55" t="n"/>
      <c r="G1006" s="56" t="n"/>
    </row>
    <row r="1007" ht="15" customHeight="1">
      <c r="A1007" s="20" t="inlineStr">
        <is>
          <t>Serviço</t>
        </is>
      </c>
      <c r="B1007" s="56" t="n"/>
      <c r="C1007" s="21" t="inlineStr">
        <is>
          <t>FONTE</t>
        </is>
      </c>
      <c r="D1007" s="21" t="inlineStr">
        <is>
          <t>UNID</t>
        </is>
      </c>
      <c r="E1007" s="21" t="inlineStr">
        <is>
          <t>COEFICIENTE</t>
        </is>
      </c>
      <c r="F1007" s="21" t="inlineStr">
        <is>
          <t>PREÇO UNITÁRIO</t>
        </is>
      </c>
      <c r="G1007" s="21" t="inlineStr">
        <is>
          <t>TOTAL</t>
        </is>
      </c>
    </row>
    <row r="1008" ht="38" customHeight="1">
      <c r="A1008" s="22" t="inlineStr">
        <is>
          <t>I06945</t>
        </is>
      </c>
      <c r="B1008" s="23" t="inlineStr">
        <is>
          <t>Controle tecnológico de concreto "com" moldagem de corpos de prova, mensalidade de laboratorista de até 44 hs, coleta corpos de prova e emissão certificados, de 61 a 100 km, de segunda a sexta</t>
        </is>
      </c>
      <c r="C1008" s="22" t="inlineStr">
        <is>
          <t>ORSE</t>
        </is>
      </c>
      <c r="D1008" s="22" t="inlineStr">
        <is>
          <t>mês</t>
        </is>
      </c>
      <c r="E1008" s="63" t="n">
        <v>1</v>
      </c>
      <c r="F1008" s="64">
        <f>'COMPOSICOES AUXILIARES'!G150</f>
        <v/>
      </c>
      <c r="G1008" s="64">
        <f>ROUND(ROUND(E1008,8)*F1008,2)</f>
        <v/>
      </c>
      <c r="L1008" t="n">
        <v>1</v>
      </c>
      <c r="M1008" t="n">
        <v>12540</v>
      </c>
      <c r="N1008">
        <f>(M1008-F1008)</f>
        <v/>
      </c>
    </row>
    <row r="1009" ht="15" customHeight="1">
      <c r="A1009" s="2" t="inlineStr"/>
      <c r="B1009" s="2" t="inlineStr"/>
      <c r="C1009" s="2" t="inlineStr"/>
      <c r="D1009" s="2" t="inlineStr"/>
      <c r="E1009" s="26" t="inlineStr">
        <is>
          <t>TOTAL Serviço:</t>
        </is>
      </c>
      <c r="F1009" s="56" t="n"/>
      <c r="G1009" s="65">
        <f>SUM(G1008:G1008)</f>
        <v/>
      </c>
    </row>
    <row r="1010" ht="15" customHeight="1">
      <c r="A1010" s="2" t="inlineStr"/>
      <c r="B1010" s="2" t="inlineStr"/>
      <c r="C1010" s="2" t="inlineStr"/>
      <c r="D1010" s="2" t="inlineStr"/>
      <c r="E1010" s="28" t="inlineStr">
        <is>
          <t>VALOR:</t>
        </is>
      </c>
      <c r="F1010" s="56" t="n"/>
      <c r="G1010" s="66">
        <f>SUM(G1009)</f>
        <v/>
      </c>
    </row>
    <row r="1011" ht="15" customHeight="1">
      <c r="A1011" s="2" t="inlineStr"/>
      <c r="B1011" s="2" t="inlineStr"/>
      <c r="C1011" s="2" t="inlineStr"/>
      <c r="D1011" s="2" t="inlineStr"/>
      <c r="E1011" s="28" t="inlineStr">
        <is>
          <t>VALOR BDI (23.08%):</t>
        </is>
      </c>
      <c r="F1011" s="56" t="n"/>
      <c r="G1011" s="66">
        <f>ROUNDDOWN(G1010*BDI,2)</f>
        <v/>
      </c>
    </row>
    <row r="1012" ht="15" customHeight="1">
      <c r="A1012" s="2" t="inlineStr"/>
      <c r="B1012" s="2" t="inlineStr"/>
      <c r="C1012" s="2" t="inlineStr"/>
      <c r="D1012" s="2" t="inlineStr"/>
      <c r="E1012" s="28" t="inlineStr">
        <is>
          <t>VALOR COM BDI:</t>
        </is>
      </c>
      <c r="F1012" s="56" t="n"/>
      <c r="G1012" s="66">
        <f>G1011 + G1010</f>
        <v/>
      </c>
    </row>
    <row r="1013" ht="10" customHeight="1">
      <c r="A1013" s="2" t="inlineStr"/>
      <c r="B1013" s="2" t="inlineStr"/>
      <c r="C1013" s="2" t="inlineStr"/>
      <c r="D1013" s="2" t="inlineStr"/>
      <c r="E1013" s="18" t="inlineStr"/>
    </row>
    <row r="1014" ht="20" customHeight="1">
      <c r="A1014" s="19" t="inlineStr">
        <is>
          <t>5.1.1.1. ​98569​ PROTEÇÃO MECÂNICA DE SUPERFICIE HORIZONTAL COM ARGAMASSA DE CIMENTO E AREIA, TRAÇO 1:3, E=5CM. AF_09/2023​ (M2)</t>
        </is>
      </c>
      <c r="B1014" s="55" t="n"/>
      <c r="C1014" s="55" t="n"/>
      <c r="D1014" s="55" t="n"/>
      <c r="E1014" s="55" t="n"/>
      <c r="F1014" s="55" t="n"/>
      <c r="G1014" s="56" t="n"/>
    </row>
    <row r="1015" ht="15" customHeight="1">
      <c r="A1015" s="20" t="inlineStr">
        <is>
          <t>Material</t>
        </is>
      </c>
      <c r="B1015" s="56" t="n"/>
      <c r="C1015" s="21" t="inlineStr">
        <is>
          <t>FONTE</t>
        </is>
      </c>
      <c r="D1015" s="21" t="inlineStr">
        <is>
          <t>UNID</t>
        </is>
      </c>
      <c r="E1015" s="21" t="inlineStr">
        <is>
          <t>COEFICIENTE</t>
        </is>
      </c>
      <c r="F1015" s="21" t="inlineStr">
        <is>
          <t>PREÇO UNITÁRIO</t>
        </is>
      </c>
      <c r="G1015" s="21" t="inlineStr">
        <is>
          <t>TOTAL</t>
        </is>
      </c>
    </row>
    <row r="1016" ht="21" customHeight="1">
      <c r="A1016" s="22" t="inlineStr">
        <is>
          <t>00038365</t>
        </is>
      </c>
      <c r="B1016" s="23" t="inlineStr">
        <is>
          <t>CAMADA SEPARADORA DE FILME DE POLIETILENO 20 A 25 MICRA</t>
        </is>
      </c>
      <c r="C1016" s="22" t="inlineStr">
        <is>
          <t>SINAPI</t>
        </is>
      </c>
      <c r="D1016" s="22" t="inlineStr">
        <is>
          <t>M2</t>
        </is>
      </c>
      <c r="E1016" s="63" t="n">
        <v>1.04</v>
      </c>
      <c r="F1016" s="64">
        <f>ROUND(M1016*FATOR, 2)</f>
        <v/>
      </c>
      <c r="G1016" s="64">
        <f>TRUNC(TRUNC(E1016,8)*F1016,2)</f>
        <v/>
      </c>
      <c r="L1016" t="n">
        <v>1.04</v>
      </c>
      <c r="M1016" t="n">
        <v>2.18</v>
      </c>
      <c r="N1016">
        <f>(M1016-F1016)</f>
        <v/>
      </c>
    </row>
    <row r="1017" ht="15" customHeight="1">
      <c r="A1017" s="2" t="inlineStr"/>
      <c r="B1017" s="2" t="inlineStr"/>
      <c r="C1017" s="2" t="inlineStr"/>
      <c r="D1017" s="2" t="inlineStr"/>
      <c r="E1017" s="26" t="inlineStr">
        <is>
          <t>TOTAL Material:</t>
        </is>
      </c>
      <c r="F1017" s="56" t="n"/>
      <c r="G1017" s="65">
        <f>SUM(G1016:G1016)</f>
        <v/>
      </c>
    </row>
    <row r="1018" ht="15" customHeight="1">
      <c r="A1018" s="20" t="inlineStr">
        <is>
          <t>Mão de Obra com Encargos Complementares</t>
        </is>
      </c>
      <c r="B1018" s="56" t="n"/>
      <c r="C1018" s="21" t="inlineStr">
        <is>
          <t>FONTE</t>
        </is>
      </c>
      <c r="D1018" s="21" t="inlineStr">
        <is>
          <t>UNID</t>
        </is>
      </c>
      <c r="E1018" s="21" t="inlineStr">
        <is>
          <t>COEFICIENTE</t>
        </is>
      </c>
      <c r="F1018" s="21" t="inlineStr">
        <is>
          <t>PREÇO UNITÁRIO</t>
        </is>
      </c>
      <c r="G1018" s="21" t="inlineStr">
        <is>
          <t>TOTAL</t>
        </is>
      </c>
    </row>
    <row r="1019" ht="15" customHeight="1">
      <c r="A1019" s="22" t="inlineStr">
        <is>
          <t>88309</t>
        </is>
      </c>
      <c r="B1019" s="23" t="inlineStr">
        <is>
          <t>PEDREIRO COM ENCARGOS COMPLEMENTARES</t>
        </is>
      </c>
      <c r="C1019" s="22" t="inlineStr">
        <is>
          <t>SINAPI</t>
        </is>
      </c>
      <c r="D1019" s="22" t="inlineStr">
        <is>
          <t>H</t>
        </is>
      </c>
      <c r="E1019" s="63">
        <f>L1019*FATOR</f>
        <v/>
      </c>
      <c r="F1019" s="64">
        <f>'COMPOSICOES AUXILIARES'!G2887</f>
        <v/>
      </c>
      <c r="G1019" s="64">
        <f>TRUNC(TRUNC(E1019,8)*F1019,2)</f>
        <v/>
      </c>
      <c r="L1019" t="n">
        <v>1.1653</v>
      </c>
      <c r="M1019" t="n">
        <v>30.58</v>
      </c>
      <c r="N1019">
        <f>(M1019-F1019)</f>
        <v/>
      </c>
    </row>
    <row r="1020" ht="15" customHeight="1">
      <c r="A1020" s="22" t="inlineStr">
        <is>
          <t>88316</t>
        </is>
      </c>
      <c r="B1020" s="23" t="inlineStr">
        <is>
          <t>SERVENTE COM ENCARGOS COMPLEMENTARES</t>
        </is>
      </c>
      <c r="C1020" s="22" t="inlineStr">
        <is>
          <t>SINAPI</t>
        </is>
      </c>
      <c r="D1020" s="22" t="inlineStr">
        <is>
          <t>H</t>
        </is>
      </c>
      <c r="E1020" s="63">
        <f>L1020*FATOR</f>
        <v/>
      </c>
      <c r="F1020" s="64">
        <f>'COMPOSICOES AUXILIARES'!G3390</f>
        <v/>
      </c>
      <c r="G1020" s="64">
        <f>TRUNC(TRUNC(E1020,8)*F1020,2)</f>
        <v/>
      </c>
      <c r="L1020" t="n">
        <v>0.2628</v>
      </c>
      <c r="M1020" t="n">
        <v>23.56</v>
      </c>
      <c r="N1020">
        <f>(M1020-F1020)</f>
        <v/>
      </c>
    </row>
    <row r="1021" ht="18" customHeight="1">
      <c r="A1021" s="2" t="inlineStr"/>
      <c r="B1021" s="2" t="inlineStr"/>
      <c r="C1021" s="2" t="inlineStr"/>
      <c r="D1021" s="2" t="inlineStr"/>
      <c r="E1021" s="26" t="inlineStr">
        <is>
          <t>TOTAL Mão de Obra com Encargos Complementares:</t>
        </is>
      </c>
      <c r="F1021" s="56" t="n"/>
      <c r="G1021" s="65">
        <f>SUM(G1019:G1020)</f>
        <v/>
      </c>
    </row>
    <row r="1022" ht="15" customHeight="1">
      <c r="A1022" s="20" t="inlineStr">
        <is>
          <t>Serviço</t>
        </is>
      </c>
      <c r="B1022" s="56" t="n"/>
      <c r="C1022" s="21" t="inlineStr">
        <is>
          <t>FONTE</t>
        </is>
      </c>
      <c r="D1022" s="21" t="inlineStr">
        <is>
          <t>UNID</t>
        </is>
      </c>
      <c r="E1022" s="21" t="inlineStr">
        <is>
          <t>COEFICIENTE</t>
        </is>
      </c>
      <c r="F1022" s="21" t="inlineStr">
        <is>
          <t>PREÇO UNITÁRIO</t>
        </is>
      </c>
      <c r="G1022" s="21" t="inlineStr">
        <is>
          <t>TOTAL</t>
        </is>
      </c>
    </row>
    <row r="1023" ht="29" customHeight="1">
      <c r="A1023" s="22" t="inlineStr">
        <is>
          <t>87372</t>
        </is>
      </c>
      <c r="B1023" s="23" t="inlineStr">
        <is>
          <t>ARGAMASSA TRAÇO 1:3 (EM VOLUME DE CIMENTO E AREIA MÉDIA ÚMIDA) PARA CONTRAPISO, PREPARO MANUAL. AF_08/2019</t>
        </is>
      </c>
      <c r="C1023" s="22" t="inlineStr">
        <is>
          <t>SINAPI</t>
        </is>
      </c>
      <c r="D1023" s="22" t="inlineStr">
        <is>
          <t>M3</t>
        </is>
      </c>
      <c r="E1023" s="63" t="n">
        <v>0.054</v>
      </c>
      <c r="F1023" s="64">
        <f>'COMPOSICOES AUXILIARES'!G280</f>
        <v/>
      </c>
      <c r="G1023" s="64">
        <f>TRUNC(TRUNC(E1023,8)*F1023,2)</f>
        <v/>
      </c>
      <c r="L1023" t="n">
        <v>0.054</v>
      </c>
      <c r="M1023" t="n">
        <v>854.02</v>
      </c>
      <c r="N1023">
        <f>(M1023-F1023)</f>
        <v/>
      </c>
    </row>
    <row r="1024" ht="15" customHeight="1">
      <c r="A1024" s="2" t="inlineStr"/>
      <c r="B1024" s="2" t="inlineStr"/>
      <c r="C1024" s="2" t="inlineStr"/>
      <c r="D1024" s="2" t="inlineStr"/>
      <c r="E1024" s="26" t="inlineStr">
        <is>
          <t>TOTAL Serviço:</t>
        </is>
      </c>
      <c r="F1024" s="56" t="n"/>
      <c r="G1024" s="65">
        <f>SUM(G1023:G1023)</f>
        <v/>
      </c>
    </row>
    <row r="1025" ht="15" customHeight="1">
      <c r="A1025" s="2" t="inlineStr"/>
      <c r="B1025" s="2" t="inlineStr"/>
      <c r="C1025" s="2" t="inlineStr"/>
      <c r="D1025" s="2" t="inlineStr"/>
      <c r="E1025" s="28" t="inlineStr">
        <is>
          <t>VALOR:</t>
        </is>
      </c>
      <c r="F1025" s="56" t="n"/>
      <c r="G1025" s="66">
        <f>SUM(G1024,G1017,G1021)</f>
        <v/>
      </c>
    </row>
    <row r="1026" ht="15" customHeight="1">
      <c r="A1026" s="2" t="inlineStr"/>
      <c r="B1026" s="2" t="inlineStr"/>
      <c r="C1026" s="2" t="inlineStr"/>
      <c r="D1026" s="2" t="inlineStr"/>
      <c r="E1026" s="28" t="inlineStr">
        <is>
          <t>VALOR BDI (23.08%):</t>
        </is>
      </c>
      <c r="F1026" s="56" t="n"/>
      <c r="G1026" s="66">
        <f>ROUNDDOWN(G1025*BDI,2)</f>
        <v/>
      </c>
    </row>
    <row r="1027" ht="15" customHeight="1">
      <c r="A1027" s="2" t="inlineStr"/>
      <c r="B1027" s="2" t="inlineStr"/>
      <c r="C1027" s="2" t="inlineStr"/>
      <c r="D1027" s="2" t="inlineStr"/>
      <c r="E1027" s="28" t="inlineStr">
        <is>
          <t>VALOR COM BDI:</t>
        </is>
      </c>
      <c r="F1027" s="56" t="n"/>
      <c r="G1027" s="66">
        <f>G1026 + G1025</f>
        <v/>
      </c>
    </row>
    <row r="1028" ht="10" customHeight="1">
      <c r="A1028" s="2" t="inlineStr"/>
      <c r="B1028" s="2" t="inlineStr"/>
      <c r="C1028" s="2" t="inlineStr"/>
      <c r="D1028" s="2" t="inlineStr"/>
      <c r="E1028" s="18" t="inlineStr"/>
    </row>
    <row r="1029" ht="20" customHeight="1">
      <c r="A1029" s="19" t="inlineStr">
        <is>
          <t>5.1.1.2. ​98565​ PROTEÇÃO MECÂNICA DE SUPERFICIE HORIZONTAL COM ARGAMASSA DE CIMENTO E AREIA, TRAÇO 1:3, E=3CM. AF_09/2023​ (M2)</t>
        </is>
      </c>
      <c r="B1029" s="55" t="n"/>
      <c r="C1029" s="55" t="n"/>
      <c r="D1029" s="55" t="n"/>
      <c r="E1029" s="55" t="n"/>
      <c r="F1029" s="55" t="n"/>
      <c r="G1029" s="56" t="n"/>
    </row>
    <row r="1030" ht="15" customHeight="1">
      <c r="A1030" s="20" t="inlineStr">
        <is>
          <t>Material</t>
        </is>
      </c>
      <c r="B1030" s="56" t="n"/>
      <c r="C1030" s="21" t="inlineStr">
        <is>
          <t>FONTE</t>
        </is>
      </c>
      <c r="D1030" s="21" t="inlineStr">
        <is>
          <t>UNID</t>
        </is>
      </c>
      <c r="E1030" s="21" t="inlineStr">
        <is>
          <t>COEFICIENTE</t>
        </is>
      </c>
      <c r="F1030" s="21" t="inlineStr">
        <is>
          <t>PREÇO UNITÁRIO</t>
        </is>
      </c>
      <c r="G1030" s="21" t="inlineStr">
        <is>
          <t>TOTAL</t>
        </is>
      </c>
    </row>
    <row r="1031" ht="21" customHeight="1">
      <c r="A1031" s="22" t="inlineStr">
        <is>
          <t>00038365</t>
        </is>
      </c>
      <c r="B1031" s="23" t="inlineStr">
        <is>
          <t>CAMADA SEPARADORA DE FILME DE POLIETILENO 20 A 25 MICRA</t>
        </is>
      </c>
      <c r="C1031" s="22" t="inlineStr">
        <is>
          <t>SINAPI</t>
        </is>
      </c>
      <c r="D1031" s="22" t="inlineStr">
        <is>
          <t>M2</t>
        </is>
      </c>
      <c r="E1031" s="63" t="n">
        <v>1.04</v>
      </c>
      <c r="F1031" s="64">
        <f>ROUND(M1031*FATOR, 2)</f>
        <v/>
      </c>
      <c r="G1031" s="64">
        <f>TRUNC(TRUNC(E1031,8)*F1031,2)</f>
        <v/>
      </c>
      <c r="L1031" t="n">
        <v>1.04</v>
      </c>
      <c r="M1031" t="n">
        <v>2.18</v>
      </c>
      <c r="N1031">
        <f>(M1031-F1031)</f>
        <v/>
      </c>
    </row>
    <row r="1032" ht="15" customHeight="1">
      <c r="A1032" s="2" t="inlineStr"/>
      <c r="B1032" s="2" t="inlineStr"/>
      <c r="C1032" s="2" t="inlineStr"/>
      <c r="D1032" s="2" t="inlineStr"/>
      <c r="E1032" s="26" t="inlineStr">
        <is>
          <t>TOTAL Material:</t>
        </is>
      </c>
      <c r="F1032" s="56" t="n"/>
      <c r="G1032" s="65">
        <f>SUM(G1031:G1031)</f>
        <v/>
      </c>
    </row>
    <row r="1033" ht="15" customHeight="1">
      <c r="A1033" s="20" t="inlineStr">
        <is>
          <t>Mão de Obra com Encargos Complementares</t>
        </is>
      </c>
      <c r="B1033" s="56" t="n"/>
      <c r="C1033" s="21" t="inlineStr">
        <is>
          <t>FONTE</t>
        </is>
      </c>
      <c r="D1033" s="21" t="inlineStr">
        <is>
          <t>UNID</t>
        </is>
      </c>
      <c r="E1033" s="21" t="inlineStr">
        <is>
          <t>COEFICIENTE</t>
        </is>
      </c>
      <c r="F1033" s="21" t="inlineStr">
        <is>
          <t>PREÇO UNITÁRIO</t>
        </is>
      </c>
      <c r="G1033" s="21" t="inlineStr">
        <is>
          <t>TOTAL</t>
        </is>
      </c>
    </row>
    <row r="1034" ht="15" customHeight="1">
      <c r="A1034" s="22" t="inlineStr">
        <is>
          <t>88309</t>
        </is>
      </c>
      <c r="B1034" s="23" t="inlineStr">
        <is>
          <t>PEDREIRO COM ENCARGOS COMPLEMENTARES</t>
        </is>
      </c>
      <c r="C1034" s="22" t="inlineStr">
        <is>
          <t>SINAPI</t>
        </is>
      </c>
      <c r="D1034" s="22" t="inlineStr">
        <is>
          <t>H</t>
        </is>
      </c>
      <c r="E1034" s="63">
        <f>L1034*FATOR</f>
        <v/>
      </c>
      <c r="F1034" s="64">
        <f>'COMPOSICOES AUXILIARES'!G2887</f>
        <v/>
      </c>
      <c r="G1034" s="64">
        <f>TRUNC(TRUNC(E1034,8)*F1034,2)</f>
        <v/>
      </c>
      <c r="L1034" t="n">
        <v>0.6912</v>
      </c>
      <c r="M1034" t="n">
        <v>30.58</v>
      </c>
      <c r="N1034">
        <f>(M1034-F1034)</f>
        <v/>
      </c>
    </row>
    <row r="1035" ht="15" customHeight="1">
      <c r="A1035" s="22" t="inlineStr">
        <is>
          <t>88316</t>
        </is>
      </c>
      <c r="B1035" s="23" t="inlineStr">
        <is>
          <t>SERVENTE COM ENCARGOS COMPLEMENTARES</t>
        </is>
      </c>
      <c r="C1035" s="22" t="inlineStr">
        <is>
          <t>SINAPI</t>
        </is>
      </c>
      <c r="D1035" s="22" t="inlineStr">
        <is>
          <t>H</t>
        </is>
      </c>
      <c r="E1035" s="63">
        <f>L1035*FATOR</f>
        <v/>
      </c>
      <c r="F1035" s="64">
        <f>'COMPOSICOES AUXILIARES'!G3390</f>
        <v/>
      </c>
      <c r="G1035" s="64">
        <f>TRUNC(TRUNC(E1035,8)*F1035,2)</f>
        <v/>
      </c>
      <c r="L1035" t="n">
        <v>0.1558</v>
      </c>
      <c r="M1035" t="n">
        <v>23.56</v>
      </c>
      <c r="N1035">
        <f>(M1035-F1035)</f>
        <v/>
      </c>
    </row>
    <row r="1036" ht="18" customHeight="1">
      <c r="A1036" s="2" t="inlineStr"/>
      <c r="B1036" s="2" t="inlineStr"/>
      <c r="C1036" s="2" t="inlineStr"/>
      <c r="D1036" s="2" t="inlineStr"/>
      <c r="E1036" s="26" t="inlineStr">
        <is>
          <t>TOTAL Mão de Obra com Encargos Complementares:</t>
        </is>
      </c>
      <c r="F1036" s="56" t="n"/>
      <c r="G1036" s="65">
        <f>SUM(G1034:G1035)</f>
        <v/>
      </c>
    </row>
    <row r="1037" ht="15" customHeight="1">
      <c r="A1037" s="20" t="inlineStr">
        <is>
          <t>Serviço</t>
        </is>
      </c>
      <c r="B1037" s="56" t="n"/>
      <c r="C1037" s="21" t="inlineStr">
        <is>
          <t>FONTE</t>
        </is>
      </c>
      <c r="D1037" s="21" t="inlineStr">
        <is>
          <t>UNID</t>
        </is>
      </c>
      <c r="E1037" s="21" t="inlineStr">
        <is>
          <t>COEFICIENTE</t>
        </is>
      </c>
      <c r="F1037" s="21" t="inlineStr">
        <is>
          <t>PREÇO UNITÁRIO</t>
        </is>
      </c>
      <c r="G1037" s="21" t="inlineStr">
        <is>
          <t>TOTAL</t>
        </is>
      </c>
    </row>
    <row r="1038" ht="29" customHeight="1">
      <c r="A1038" s="22" t="inlineStr">
        <is>
          <t>87372</t>
        </is>
      </c>
      <c r="B1038" s="23" t="inlineStr">
        <is>
          <t>ARGAMASSA TRAÇO 1:3 (EM VOLUME DE CIMENTO E AREIA MÉDIA ÚMIDA) PARA CONTRAPISO, PREPARO MANUAL. AF_08/2019</t>
        </is>
      </c>
      <c r="C1038" s="22" t="inlineStr">
        <is>
          <t>SINAPI</t>
        </is>
      </c>
      <c r="D1038" s="22" t="inlineStr">
        <is>
          <t>M3</t>
        </is>
      </c>
      <c r="E1038" s="63" t="n">
        <v>0.035</v>
      </c>
      <c r="F1038" s="64">
        <f>'COMPOSICOES AUXILIARES'!G280</f>
        <v/>
      </c>
      <c r="G1038" s="64">
        <f>TRUNC(TRUNC(E1038,8)*F1038,2)</f>
        <v/>
      </c>
      <c r="L1038" t="n">
        <v>0.035</v>
      </c>
      <c r="M1038" t="n">
        <v>854.02</v>
      </c>
      <c r="N1038">
        <f>(M1038-F1038)</f>
        <v/>
      </c>
    </row>
    <row r="1039" ht="15" customHeight="1">
      <c r="A1039" s="2" t="inlineStr"/>
      <c r="B1039" s="2" t="inlineStr"/>
      <c r="C1039" s="2" t="inlineStr"/>
      <c r="D1039" s="2" t="inlineStr"/>
      <c r="E1039" s="26" t="inlineStr">
        <is>
          <t>TOTAL Serviço:</t>
        </is>
      </c>
      <c r="F1039" s="56" t="n"/>
      <c r="G1039" s="65">
        <f>SUM(G1038:G1038)</f>
        <v/>
      </c>
    </row>
    <row r="1040" ht="15" customHeight="1">
      <c r="A1040" s="2" t="inlineStr"/>
      <c r="B1040" s="2" t="inlineStr"/>
      <c r="C1040" s="2" t="inlineStr"/>
      <c r="D1040" s="2" t="inlineStr"/>
      <c r="E1040" s="28" t="inlineStr">
        <is>
          <t>VALOR:</t>
        </is>
      </c>
      <c r="F1040" s="56" t="n"/>
      <c r="G1040" s="66">
        <f>SUM(G1032,G1036,G1039)</f>
        <v/>
      </c>
    </row>
    <row r="1041" ht="15" customHeight="1">
      <c r="A1041" s="2" t="inlineStr"/>
      <c r="B1041" s="2" t="inlineStr"/>
      <c r="C1041" s="2" t="inlineStr"/>
      <c r="D1041" s="2" t="inlineStr"/>
      <c r="E1041" s="28" t="inlineStr">
        <is>
          <t>VALOR BDI (23.08%):</t>
        </is>
      </c>
      <c r="F1041" s="56" t="n"/>
      <c r="G1041" s="66">
        <f>ROUNDDOWN(G1040*BDI,2)</f>
        <v/>
      </c>
    </row>
    <row r="1042" ht="15" customHeight="1">
      <c r="A1042" s="2" t="inlineStr"/>
      <c r="B1042" s="2" t="inlineStr"/>
      <c r="C1042" s="2" t="inlineStr"/>
      <c r="D1042" s="2" t="inlineStr"/>
      <c r="E1042" s="28" t="inlineStr">
        <is>
          <t>VALOR COM BDI:</t>
        </is>
      </c>
      <c r="F1042" s="56" t="n"/>
      <c r="G1042" s="66">
        <f>G1041 + G1040</f>
        <v/>
      </c>
    </row>
    <row r="1043" ht="10" customHeight="1">
      <c r="A1043" s="2" t="inlineStr"/>
      <c r="B1043" s="2" t="inlineStr"/>
      <c r="C1043" s="2" t="inlineStr"/>
      <c r="D1043" s="2" t="inlineStr"/>
      <c r="E1043" s="18" t="inlineStr"/>
    </row>
    <row r="1044" ht="20" customHeight="1">
      <c r="A1044" s="19" t="inlineStr">
        <is>
          <t>5.2.1.1. ​98547​ IMPERMEABILIZAÇÃO DE SUPERFÍCIE COM MANTA ASFÁLTICA, DUAS CAMADAS, INCLUSIVE APLICAÇÃO DE PRIMER ASFÁLTICO, E=3MM E E=4MM. AF_09/2023​ (M2)</t>
        </is>
      </c>
      <c r="B1044" s="55" t="n"/>
      <c r="C1044" s="55" t="n"/>
      <c r="D1044" s="55" t="n"/>
      <c r="E1044" s="55" t="n"/>
      <c r="F1044" s="55" t="n"/>
      <c r="G1044" s="56" t="n"/>
    </row>
    <row r="1045" ht="15" customHeight="1">
      <c r="A1045" s="20" t="inlineStr">
        <is>
          <t>Material</t>
        </is>
      </c>
      <c r="B1045" s="56" t="n"/>
      <c r="C1045" s="21" t="inlineStr">
        <is>
          <t>FONTE</t>
        </is>
      </c>
      <c r="D1045" s="21" t="inlineStr">
        <is>
          <t>UNID</t>
        </is>
      </c>
      <c r="E1045" s="21" t="inlineStr">
        <is>
          <t>COEFICIENTE</t>
        </is>
      </c>
      <c r="F1045" s="21" t="inlineStr">
        <is>
          <t>PREÇO UNITÁRIO</t>
        </is>
      </c>
      <c r="G1045" s="21" t="inlineStr">
        <is>
          <t>TOTAL</t>
        </is>
      </c>
    </row>
    <row r="1046" ht="15" customHeight="1">
      <c r="A1046" s="22" t="inlineStr">
        <is>
          <t>00004226</t>
        </is>
      </c>
      <c r="B1046" s="23" t="inlineStr">
        <is>
          <t>GAS DE COZINHA - GLP</t>
        </is>
      </c>
      <c r="C1046" s="22" t="inlineStr">
        <is>
          <t>SINAPI</t>
        </is>
      </c>
      <c r="D1046" s="22" t="inlineStr">
        <is>
          <t>KG</t>
        </is>
      </c>
      <c r="E1046" s="63" t="n">
        <v>0.52</v>
      </c>
      <c r="F1046" s="64">
        <f>ROUND(M1046*FATOR, 2)</f>
        <v/>
      </c>
      <c r="G1046" s="64">
        <f>TRUNC(TRUNC(E1046,8)*F1046,2)</f>
        <v/>
      </c>
      <c r="L1046" t="n">
        <v>0.52</v>
      </c>
      <c r="M1046" t="n">
        <v>8.75</v>
      </c>
      <c r="N1046">
        <f>(M1046-F1046)</f>
        <v/>
      </c>
    </row>
    <row r="1047" ht="21" customHeight="1">
      <c r="A1047" s="22" t="inlineStr">
        <is>
          <t>00004014</t>
        </is>
      </c>
      <c r="B1047" s="23" t="inlineStr">
        <is>
          <t>MANTA ASFALTICA ELASTOMERICA EM POLIESTER 3 MM, TIPO III, CLASSE B, ACABAMENTO PP (NBR 9952)</t>
        </is>
      </c>
      <c r="C1047" s="22" t="inlineStr">
        <is>
          <t>SINAPI</t>
        </is>
      </c>
      <c r="D1047" s="22" t="inlineStr">
        <is>
          <t>M2</t>
        </is>
      </c>
      <c r="E1047" s="63" t="n">
        <v>1.1319</v>
      </c>
      <c r="F1047" s="64">
        <f>ROUND(M1047*FATOR, 2)</f>
        <v/>
      </c>
      <c r="G1047" s="64">
        <f>TRUNC(TRUNC(E1047,8)*F1047,2)</f>
        <v/>
      </c>
      <c r="L1047" t="n">
        <v>1.1319</v>
      </c>
      <c r="M1047" t="n">
        <v>56.35</v>
      </c>
      <c r="N1047">
        <f>(M1047-F1047)</f>
        <v/>
      </c>
    </row>
    <row r="1048" ht="21" customHeight="1">
      <c r="A1048" s="22" t="inlineStr">
        <is>
          <t>00004015</t>
        </is>
      </c>
      <c r="B1048" s="23" t="inlineStr">
        <is>
          <t>MANTA ASFALTICA ELASTOMERICA EM POLIESTER 4 MM, TIPO III, CLASSE B, ACABAMENTO PP (NBR 9952)</t>
        </is>
      </c>
      <c r="C1048" s="22" t="inlineStr">
        <is>
          <t>SINAPI</t>
        </is>
      </c>
      <c r="D1048" s="22" t="inlineStr">
        <is>
          <t>M2</t>
        </is>
      </c>
      <c r="E1048" s="63" t="n">
        <v>1.1319</v>
      </c>
      <c r="F1048" s="64">
        <f>ROUND(M1048*FATOR, 2)</f>
        <v/>
      </c>
      <c r="G1048" s="64">
        <f>TRUNC(TRUNC(E1048,8)*F1048,2)</f>
        <v/>
      </c>
      <c r="L1048" t="n">
        <v>1.1319</v>
      </c>
      <c r="M1048" t="n">
        <v>69.2</v>
      </c>
      <c r="N1048">
        <f>(M1048-F1048)</f>
        <v/>
      </c>
    </row>
    <row r="1049" ht="21" customHeight="1">
      <c r="A1049" s="22" t="inlineStr">
        <is>
          <t>00000511</t>
        </is>
      </c>
      <c r="B1049" s="23" t="inlineStr">
        <is>
          <t>PRIMER PARA MANTA ASFALTICA A BASE DE ASFALTO MODIFICADO DILUIDO EM SOLVENTE, APLICACAO A FRIO</t>
        </is>
      </c>
      <c r="C1049" s="22" t="inlineStr">
        <is>
          <t>SINAPI</t>
        </is>
      </c>
      <c r="D1049" s="22" t="inlineStr">
        <is>
          <t>L</t>
        </is>
      </c>
      <c r="E1049" s="63" t="n">
        <v>0.5872000000000001</v>
      </c>
      <c r="F1049" s="64">
        <f>ROUND(M1049*FATOR, 2)</f>
        <v/>
      </c>
      <c r="G1049" s="64">
        <f>TRUNC(TRUNC(E1049,8)*F1049,2)</f>
        <v/>
      </c>
      <c r="L1049" t="n">
        <v>0.5872000000000001</v>
      </c>
      <c r="M1049" t="n">
        <v>18.5</v>
      </c>
      <c r="N1049">
        <f>(M1049-F1049)</f>
        <v/>
      </c>
    </row>
    <row r="1050" ht="15" customHeight="1">
      <c r="A1050" s="2" t="inlineStr"/>
      <c r="B1050" s="2" t="inlineStr"/>
      <c r="C1050" s="2" t="inlineStr"/>
      <c r="D1050" s="2" t="inlineStr"/>
      <c r="E1050" s="26" t="inlineStr">
        <is>
          <t>TOTAL Material:</t>
        </is>
      </c>
      <c r="F1050" s="56" t="n"/>
      <c r="G1050" s="65">
        <f>SUM(G1046:G1049)</f>
        <v/>
      </c>
    </row>
    <row r="1051" ht="15" customHeight="1">
      <c r="A1051" s="20" t="inlineStr">
        <is>
          <t>Mão de Obra com Encargos Complementares</t>
        </is>
      </c>
      <c r="B1051" s="56" t="n"/>
      <c r="C1051" s="21" t="inlineStr">
        <is>
          <t>FONTE</t>
        </is>
      </c>
      <c r="D1051" s="21" t="inlineStr">
        <is>
          <t>UNID</t>
        </is>
      </c>
      <c r="E1051" s="21" t="inlineStr">
        <is>
          <t>COEFICIENTE</t>
        </is>
      </c>
      <c r="F1051" s="21" t="inlineStr">
        <is>
          <t>PREÇO UNITÁRIO</t>
        </is>
      </c>
      <c r="G1051" s="21" t="inlineStr">
        <is>
          <t>TOTAL</t>
        </is>
      </c>
    </row>
    <row r="1052" ht="21" customHeight="1">
      <c r="A1052" s="22" t="inlineStr">
        <is>
          <t>88243</t>
        </is>
      </c>
      <c r="B1052" s="23" t="inlineStr">
        <is>
          <t>AJUDANTE ESPECIALIZADO COM ENCARGOS COMPLEMENTARES</t>
        </is>
      </c>
      <c r="C1052" s="22" t="inlineStr">
        <is>
          <t>SINAPI</t>
        </is>
      </c>
      <c r="D1052" s="22" t="inlineStr">
        <is>
          <t>H</t>
        </is>
      </c>
      <c r="E1052" s="63">
        <f>L1052*FATOR</f>
        <v/>
      </c>
      <c r="F1052" s="64">
        <f>'COMPOSICOES AUXILIARES'!G106</f>
        <v/>
      </c>
      <c r="G1052" s="64">
        <f>TRUNC(TRUNC(E1052,8)*F1052,2)</f>
        <v/>
      </c>
      <c r="L1052" t="n">
        <v>0.3348</v>
      </c>
      <c r="M1052" t="n">
        <v>23.76</v>
      </c>
      <c r="N1052">
        <f>(M1052-F1052)</f>
        <v/>
      </c>
    </row>
    <row r="1053" ht="15" customHeight="1">
      <c r="A1053" s="22" t="inlineStr">
        <is>
          <t>88270</t>
        </is>
      </c>
      <c r="B1053" s="23" t="inlineStr">
        <is>
          <t>IMPERMEABILIZADOR COM ENCARGOS COMPLEMENTARES</t>
        </is>
      </c>
      <c r="C1053" s="22" t="inlineStr">
        <is>
          <t>SINAPI</t>
        </is>
      </c>
      <c r="D1053" s="22" t="inlineStr">
        <is>
          <t>H</t>
        </is>
      </c>
      <c r="E1053" s="63">
        <f>L1053*FATOR</f>
        <v/>
      </c>
      <c r="F1053" s="64">
        <f>'COMPOSICOES AUXILIARES'!G2289</f>
        <v/>
      </c>
      <c r="G1053" s="64">
        <f>TRUNC(TRUNC(E1053,8)*F1053,2)</f>
        <v/>
      </c>
      <c r="L1053" t="n">
        <v>1.4849</v>
      </c>
      <c r="M1053" t="n">
        <v>30.58</v>
      </c>
      <c r="N1053">
        <f>(M1053-F1053)</f>
        <v/>
      </c>
    </row>
    <row r="1054" ht="18" customHeight="1">
      <c r="A1054" s="2" t="inlineStr"/>
      <c r="B1054" s="2" t="inlineStr"/>
      <c r="C1054" s="2" t="inlineStr"/>
      <c r="D1054" s="2" t="inlineStr"/>
      <c r="E1054" s="26" t="inlineStr">
        <is>
          <t>TOTAL Mão de Obra com Encargos Complementares:</t>
        </is>
      </c>
      <c r="F1054" s="56" t="n"/>
      <c r="G1054" s="65">
        <f>SUM(G1052:G1053)</f>
        <v/>
      </c>
    </row>
    <row r="1055" ht="15" customHeight="1">
      <c r="A1055" s="2" t="inlineStr"/>
      <c r="B1055" s="2" t="inlineStr"/>
      <c r="C1055" s="2" t="inlineStr"/>
      <c r="D1055" s="2" t="inlineStr"/>
      <c r="E1055" s="28" t="inlineStr">
        <is>
          <t>VALOR:</t>
        </is>
      </c>
      <c r="F1055" s="56" t="n"/>
      <c r="G1055" s="66">
        <f>SUM(G1050,G1054)</f>
        <v/>
      </c>
    </row>
    <row r="1056" ht="15" customHeight="1">
      <c r="A1056" s="2" t="inlineStr"/>
      <c r="B1056" s="2" t="inlineStr"/>
      <c r="C1056" s="2" t="inlineStr"/>
      <c r="D1056" s="2" t="inlineStr"/>
      <c r="E1056" s="28" t="inlineStr">
        <is>
          <t>VALOR BDI (23.08%):</t>
        </is>
      </c>
      <c r="F1056" s="56" t="n"/>
      <c r="G1056" s="66">
        <f>ROUNDDOWN(G1055*BDI,2)</f>
        <v/>
      </c>
    </row>
    <row r="1057" ht="15" customHeight="1">
      <c r="A1057" s="2" t="inlineStr"/>
      <c r="B1057" s="2" t="inlineStr"/>
      <c r="C1057" s="2" t="inlineStr"/>
      <c r="D1057" s="2" t="inlineStr"/>
      <c r="E1057" s="28" t="inlineStr">
        <is>
          <t>VALOR COM BDI:</t>
        </is>
      </c>
      <c r="F1057" s="56" t="n"/>
      <c r="G1057" s="66">
        <f>G1056 + G1055</f>
        <v/>
      </c>
    </row>
    <row r="1058" ht="10" customHeight="1">
      <c r="A1058" s="2" t="inlineStr"/>
      <c r="B1058" s="2" t="inlineStr"/>
      <c r="C1058" s="2" t="inlineStr"/>
      <c r="D1058" s="2" t="inlineStr"/>
      <c r="E1058" s="18" t="inlineStr"/>
    </row>
    <row r="1059" ht="20" customHeight="1">
      <c r="A1059" s="19" t="inlineStr">
        <is>
          <t>5.2.2.1. ​403 PRÓPRIO​ IMPERMEABILIZAÇÃO DE SUPERFÍCIE COM MEMBRANA A BASE DE POLIURÉIA - 2DEMÃOS​ (M²)</t>
        </is>
      </c>
      <c r="B1059" s="55" t="n"/>
      <c r="C1059" s="55" t="n"/>
      <c r="D1059" s="55" t="n"/>
      <c r="E1059" s="55" t="n"/>
      <c r="F1059" s="55" t="n"/>
      <c r="G1059" s="56" t="n"/>
    </row>
    <row r="1060" ht="15" customHeight="1">
      <c r="A1060" s="20" t="inlineStr">
        <is>
          <t>Material</t>
        </is>
      </c>
      <c r="B1060" s="56" t="n"/>
      <c r="C1060" s="21" t="inlineStr">
        <is>
          <t>FONTE</t>
        </is>
      </c>
      <c r="D1060" s="21" t="inlineStr">
        <is>
          <t>UNID</t>
        </is>
      </c>
      <c r="E1060" s="21" t="inlineStr">
        <is>
          <t>COEFICIENTE</t>
        </is>
      </c>
      <c r="F1060" s="21" t="inlineStr">
        <is>
          <t>PREÇO UNITÁRIO</t>
        </is>
      </c>
      <c r="G1060" s="21" t="inlineStr">
        <is>
          <t>TOTAL</t>
        </is>
      </c>
    </row>
    <row r="1061" ht="21" customHeight="1">
      <c r="A1061" s="22" t="inlineStr">
        <is>
          <t>00041315</t>
        </is>
      </c>
      <c r="B1061" s="23" t="inlineStr">
        <is>
          <t>MEMBRANA IMPERMEABILIZANTE A BASE DE POLIUREIA, BICOMPONENTE, APLICACAO A FRIO</t>
        </is>
      </c>
      <c r="C1061" s="22" t="inlineStr">
        <is>
          <t>SINAPI</t>
        </is>
      </c>
      <c r="D1061" s="22" t="inlineStr">
        <is>
          <t>KG</t>
        </is>
      </c>
      <c r="E1061" s="63" t="n">
        <v>2.2</v>
      </c>
      <c r="F1061" s="64">
        <f>ROUND(M1061*FATOR, 2)</f>
        <v/>
      </c>
      <c r="G1061" s="64">
        <f>ROUND(ROUND(E1061,8)*F1061,2)</f>
        <v/>
      </c>
      <c r="L1061" t="n">
        <v>2.2</v>
      </c>
      <c r="M1061" t="n">
        <v>102.81</v>
      </c>
      <c r="N1061">
        <f>(M1061-F1061)</f>
        <v/>
      </c>
    </row>
    <row r="1062" ht="15" customHeight="1">
      <c r="A1062" s="22" t="inlineStr">
        <is>
          <t>00044072</t>
        </is>
      </c>
      <c r="B1062" s="23" t="inlineStr">
        <is>
          <t>PRIMER EPOXI / EPOXIDICO</t>
        </is>
      </c>
      <c r="C1062" s="22" t="inlineStr">
        <is>
          <t>SINAPI</t>
        </is>
      </c>
      <c r="D1062" s="22" t="inlineStr">
        <is>
          <t>L</t>
        </is>
      </c>
      <c r="E1062" s="63" t="n">
        <v>0.3</v>
      </c>
      <c r="F1062" s="64">
        <f>ROUND(M1062*FATOR, 2)</f>
        <v/>
      </c>
      <c r="G1062" s="64">
        <f>ROUND(ROUND(E1062,8)*F1062,2)</f>
        <v/>
      </c>
      <c r="L1062" t="n">
        <v>0.3</v>
      </c>
      <c r="M1062" t="n">
        <v>140.19</v>
      </c>
      <c r="N1062">
        <f>(M1062-F1062)</f>
        <v/>
      </c>
    </row>
    <row r="1063" ht="15" customHeight="1">
      <c r="A1063" s="2" t="inlineStr"/>
      <c r="B1063" s="2" t="inlineStr"/>
      <c r="C1063" s="2" t="inlineStr"/>
      <c r="D1063" s="2" t="inlineStr"/>
      <c r="E1063" s="26" t="inlineStr">
        <is>
          <t>TOTAL Material:</t>
        </is>
      </c>
      <c r="F1063" s="56" t="n"/>
      <c r="G1063" s="65">
        <f>SUM(G1061:G1062)</f>
        <v/>
      </c>
    </row>
    <row r="1064" ht="15" customHeight="1">
      <c r="A1064" s="20" t="inlineStr">
        <is>
          <t>Mão de Obra com Encargos Complementares</t>
        </is>
      </c>
      <c r="B1064" s="56" t="n"/>
      <c r="C1064" s="21" t="inlineStr">
        <is>
          <t>FONTE</t>
        </is>
      </c>
      <c r="D1064" s="21" t="inlineStr">
        <is>
          <t>UNID</t>
        </is>
      </c>
      <c r="E1064" s="21" t="inlineStr">
        <is>
          <t>COEFICIENTE</t>
        </is>
      </c>
      <c r="F1064" s="21" t="inlineStr">
        <is>
          <t>PREÇO UNITÁRIO</t>
        </is>
      </c>
      <c r="G1064" s="21" t="inlineStr">
        <is>
          <t>TOTAL</t>
        </is>
      </c>
    </row>
    <row r="1065" ht="21" customHeight="1">
      <c r="A1065" s="22" t="inlineStr">
        <is>
          <t>88243</t>
        </is>
      </c>
      <c r="B1065" s="23" t="inlineStr">
        <is>
          <t>AJUDANTE ESPECIALIZADO COM ENCARGOS COMPLEMENTARES</t>
        </is>
      </c>
      <c r="C1065" s="22" t="inlineStr">
        <is>
          <t>SINAPI</t>
        </is>
      </c>
      <c r="D1065" s="22" t="inlineStr">
        <is>
          <t>H</t>
        </is>
      </c>
      <c r="E1065" s="63">
        <f>L1065*FATOR</f>
        <v/>
      </c>
      <c r="F1065" s="64">
        <f>'COMPOSICOES AUXILIARES'!G106</f>
        <v/>
      </c>
      <c r="G1065" s="64">
        <f>ROUND(ROUND(E1065,8)*F1065,2)</f>
        <v/>
      </c>
      <c r="L1065" t="n">
        <v>0.0675</v>
      </c>
      <c r="M1065" t="n">
        <v>23.76</v>
      </c>
      <c r="N1065">
        <f>(M1065-F1065)</f>
        <v/>
      </c>
    </row>
    <row r="1066" ht="15" customHeight="1">
      <c r="A1066" s="22" t="inlineStr">
        <is>
          <t>88270</t>
        </is>
      </c>
      <c r="B1066" s="23" t="inlineStr">
        <is>
          <t>IMPERMEABILIZADOR COM ENCARGOS COMPLEMENTARES</t>
        </is>
      </c>
      <c r="C1066" s="22" t="inlineStr">
        <is>
          <t>SINAPI</t>
        </is>
      </c>
      <c r="D1066" s="22" t="inlineStr">
        <is>
          <t>H</t>
        </is>
      </c>
      <c r="E1066" s="63">
        <f>L1066*FATOR</f>
        <v/>
      </c>
      <c r="F1066" s="64">
        <f>'COMPOSICOES AUXILIARES'!G2289</f>
        <v/>
      </c>
      <c r="G1066" s="64">
        <f>ROUND(ROUND(E1066,8)*F1066,2)</f>
        <v/>
      </c>
      <c r="L1066" t="n">
        <v>0.2993</v>
      </c>
      <c r="M1066" t="n">
        <v>30.58</v>
      </c>
      <c r="N1066">
        <f>(M1066-F1066)</f>
        <v/>
      </c>
    </row>
    <row r="1067" ht="18" customHeight="1">
      <c r="A1067" s="2" t="inlineStr"/>
      <c r="B1067" s="2" t="inlineStr"/>
      <c r="C1067" s="2" t="inlineStr"/>
      <c r="D1067" s="2" t="inlineStr"/>
      <c r="E1067" s="26" t="inlineStr">
        <is>
          <t>TOTAL Mão de Obra com Encargos Complementares:</t>
        </is>
      </c>
      <c r="F1067" s="56" t="n"/>
      <c r="G1067" s="65">
        <f>SUM(G1065:G1066)</f>
        <v/>
      </c>
    </row>
    <row r="1068" ht="15" customHeight="1">
      <c r="A1068" s="20" t="inlineStr">
        <is>
          <t>Serviço</t>
        </is>
      </c>
      <c r="B1068" s="56" t="n"/>
      <c r="C1068" s="21" t="inlineStr">
        <is>
          <t>FONTE</t>
        </is>
      </c>
      <c r="D1068" s="21" t="inlineStr">
        <is>
          <t>UNID</t>
        </is>
      </c>
      <c r="E1068" s="21" t="inlineStr">
        <is>
          <t>COEFICIENTE</t>
        </is>
      </c>
      <c r="F1068" s="21" t="inlineStr">
        <is>
          <t>PREÇO UNITÁRIO</t>
        </is>
      </c>
      <c r="G1068" s="21" t="inlineStr">
        <is>
          <t>TOTAL</t>
        </is>
      </c>
    </row>
    <row r="1069" ht="21" customHeight="1">
      <c r="A1069" s="22" t="inlineStr">
        <is>
          <t>102909</t>
        </is>
      </c>
      <c r="B1069" s="23" t="inlineStr">
        <is>
          <t>UNIDADE DOSADORA AIRLESS TIPO HOT SPRAY - MATERIAIS NA OPERAÇÃO. AF_05/2023</t>
        </is>
      </c>
      <c r="C1069" s="22" t="inlineStr">
        <is>
          <t>SINAPI</t>
        </is>
      </c>
      <c r="D1069" s="22" t="inlineStr">
        <is>
          <t>H</t>
        </is>
      </c>
      <c r="E1069" s="63" t="n">
        <v>0.1694</v>
      </c>
      <c r="F1069" s="64">
        <f>'COMPOSICOES AUXILIARES'!G3701</f>
        <v/>
      </c>
      <c r="G1069" s="64">
        <f>ROUND(ROUND(E1069,8)*F1069,2)</f>
        <v/>
      </c>
      <c r="L1069" t="n">
        <v>0.1694</v>
      </c>
      <c r="M1069" t="n">
        <v>4.12</v>
      </c>
      <c r="N1069">
        <f>(M1069-F1069)</f>
        <v/>
      </c>
    </row>
    <row r="1070" ht="21" customHeight="1">
      <c r="A1070" s="22" t="inlineStr">
        <is>
          <t>102909</t>
        </is>
      </c>
      <c r="B1070" s="23" t="inlineStr">
        <is>
          <t>UNIDADE DOSADORA AIRLESS TIPO HOT SPRAY - MATERIAIS NA OPERAÇÃO. AF_05/2023</t>
        </is>
      </c>
      <c r="C1070" s="22" t="inlineStr">
        <is>
          <t>SINAPI</t>
        </is>
      </c>
      <c r="D1070" s="22" t="inlineStr">
        <is>
          <t>H</t>
        </is>
      </c>
      <c r="E1070" s="63" t="n">
        <v>0.13</v>
      </c>
      <c r="F1070" s="64">
        <f>'COMPOSICOES AUXILIARES'!G3701</f>
        <v/>
      </c>
      <c r="G1070" s="64">
        <f>ROUND(ROUND(E1070,8)*F1070,2)</f>
        <v/>
      </c>
      <c r="L1070" t="n">
        <v>0.13</v>
      </c>
      <c r="M1070" t="n">
        <v>4.12</v>
      </c>
      <c r="N1070">
        <f>(M1070-F1070)</f>
        <v/>
      </c>
    </row>
    <row r="1071" ht="15" customHeight="1">
      <c r="A1071" s="2" t="inlineStr"/>
      <c r="B1071" s="2" t="inlineStr"/>
      <c r="C1071" s="2" t="inlineStr"/>
      <c r="D1071" s="2" t="inlineStr"/>
      <c r="E1071" s="26" t="inlineStr">
        <is>
          <t>TOTAL Serviço:</t>
        </is>
      </c>
      <c r="F1071" s="56" t="n"/>
      <c r="G1071" s="65">
        <f>SUM(G1069:G1070)</f>
        <v/>
      </c>
    </row>
    <row r="1072" ht="15" customHeight="1">
      <c r="A1072" s="2" t="inlineStr"/>
      <c r="B1072" s="2" t="inlineStr"/>
      <c r="C1072" s="2" t="inlineStr"/>
      <c r="D1072" s="2" t="inlineStr"/>
      <c r="E1072" s="28" t="inlineStr">
        <is>
          <t>VALOR:</t>
        </is>
      </c>
      <c r="F1072" s="56" t="n"/>
      <c r="G1072" s="66">
        <f>SUM(G1067,G1071,G1063)</f>
        <v/>
      </c>
    </row>
    <row r="1073" ht="15" customHeight="1">
      <c r="A1073" s="2" t="inlineStr"/>
      <c r="B1073" s="2" t="inlineStr"/>
      <c r="C1073" s="2" t="inlineStr"/>
      <c r="D1073" s="2" t="inlineStr"/>
      <c r="E1073" s="28" t="inlineStr">
        <is>
          <t>VALOR BDI (23.08%):</t>
        </is>
      </c>
      <c r="F1073" s="56" t="n"/>
      <c r="G1073" s="66">
        <f>ROUNDDOWN(G1072*BDI,2)</f>
        <v/>
      </c>
    </row>
    <row r="1074" ht="15" customHeight="1">
      <c r="A1074" s="2" t="inlineStr"/>
      <c r="B1074" s="2" t="inlineStr"/>
      <c r="C1074" s="2" t="inlineStr"/>
      <c r="D1074" s="2" t="inlineStr"/>
      <c r="E1074" s="28" t="inlineStr">
        <is>
          <t>VALOR COM BDI:</t>
        </is>
      </c>
      <c r="F1074" s="56" t="n"/>
      <c r="G1074" s="66">
        <f>G1073 + G1072</f>
        <v/>
      </c>
    </row>
    <row r="1075" ht="10" customHeight="1">
      <c r="A1075" s="2" t="inlineStr"/>
      <c r="B1075" s="2" t="inlineStr"/>
      <c r="C1075" s="2" t="inlineStr"/>
      <c r="D1075" s="2" t="inlineStr"/>
      <c r="E1075" s="18" t="inlineStr"/>
    </row>
    <row r="1076" ht="20" customHeight="1">
      <c r="A1076" s="19" t="inlineStr">
        <is>
          <t>5.3.1.1. ​102712​ GEOTÊXTIL NÃO TECIDO 100% POLIÉSTER, RESISTÊNCIA A TRAÇÃO DE 9 KN/M (RT - 9), INSTALADO EM DRENO - FORNECIMENTO E INSTALAÇÃO. AF_07/2021​ (M2)</t>
        </is>
      </c>
      <c r="B1076" s="55" t="n"/>
      <c r="C1076" s="55" t="n"/>
      <c r="D1076" s="55" t="n"/>
      <c r="E1076" s="55" t="n"/>
      <c r="F1076" s="55" t="n"/>
      <c r="G1076" s="56" t="n"/>
    </row>
    <row r="1077" ht="15" customHeight="1">
      <c r="A1077" s="20" t="inlineStr">
        <is>
          <t>Material</t>
        </is>
      </c>
      <c r="B1077" s="56" t="n"/>
      <c r="C1077" s="21" t="inlineStr">
        <is>
          <t>FONTE</t>
        </is>
      </c>
      <c r="D1077" s="21" t="inlineStr">
        <is>
          <t>UNID</t>
        </is>
      </c>
      <c r="E1077" s="21" t="inlineStr">
        <is>
          <t>COEFICIENTE</t>
        </is>
      </c>
      <c r="F1077" s="21" t="inlineStr">
        <is>
          <t>PREÇO UNITÁRIO</t>
        </is>
      </c>
      <c r="G1077" s="21" t="inlineStr">
        <is>
          <t>TOTAL</t>
        </is>
      </c>
    </row>
    <row r="1078" ht="29" customHeight="1">
      <c r="A1078" s="22" t="inlineStr">
        <is>
          <t>00004013</t>
        </is>
      </c>
      <c r="B1078" s="23" t="inlineStr">
        <is>
          <t>GEOTEXTIL NAO TECIDO AGULHADO DE FILAMENTOS CONTINUOS 100% POLIESTER, RESITENCIA A TRACAO = 09 KN/M</t>
        </is>
      </c>
      <c r="C1078" s="22" t="inlineStr">
        <is>
          <t>SINAPI</t>
        </is>
      </c>
      <c r="D1078" s="22" t="inlineStr">
        <is>
          <t>M2</t>
        </is>
      </c>
      <c r="E1078" s="63" t="n">
        <v>1.2105</v>
      </c>
      <c r="F1078" s="64">
        <f>ROUND(M1078*FATOR, 2)</f>
        <v/>
      </c>
      <c r="G1078" s="64">
        <f>TRUNC(TRUNC(E1078,8)*F1078,2)</f>
        <v/>
      </c>
      <c r="L1078" t="n">
        <v>1.2105</v>
      </c>
      <c r="M1078" t="n">
        <v>7.12</v>
      </c>
      <c r="N1078">
        <f>(M1078-F1078)</f>
        <v/>
      </c>
    </row>
    <row r="1079" ht="15" customHeight="1">
      <c r="A1079" s="2" t="inlineStr"/>
      <c r="B1079" s="2" t="inlineStr"/>
      <c r="C1079" s="2" t="inlineStr"/>
      <c r="D1079" s="2" t="inlineStr"/>
      <c r="E1079" s="26" t="inlineStr">
        <is>
          <t>TOTAL Material:</t>
        </is>
      </c>
      <c r="F1079" s="56" t="n"/>
      <c r="G1079" s="65">
        <f>SUM(G1078:G1078)</f>
        <v/>
      </c>
    </row>
    <row r="1080" ht="15" customHeight="1">
      <c r="A1080" s="20" t="inlineStr">
        <is>
          <t>Mão de Obra com Encargos Complementares</t>
        </is>
      </c>
      <c r="B1080" s="56" t="n"/>
      <c r="C1080" s="21" t="inlineStr">
        <is>
          <t>FONTE</t>
        </is>
      </c>
      <c r="D1080" s="21" t="inlineStr">
        <is>
          <t>UNID</t>
        </is>
      </c>
      <c r="E1080" s="21" t="inlineStr">
        <is>
          <t>COEFICIENTE</t>
        </is>
      </c>
      <c r="F1080" s="21" t="inlineStr">
        <is>
          <t>PREÇO UNITÁRIO</t>
        </is>
      </c>
      <c r="G1080" s="21" t="inlineStr">
        <is>
          <t>TOTAL</t>
        </is>
      </c>
    </row>
    <row r="1081" ht="15" customHeight="1">
      <c r="A1081" s="22" t="inlineStr">
        <is>
          <t>88309</t>
        </is>
      </c>
      <c r="B1081" s="23" t="inlineStr">
        <is>
          <t>PEDREIRO COM ENCARGOS COMPLEMENTARES</t>
        </is>
      </c>
      <c r="C1081" s="22" t="inlineStr">
        <is>
          <t>SINAPI</t>
        </is>
      </c>
      <c r="D1081" s="22" t="inlineStr">
        <is>
          <t>H</t>
        </is>
      </c>
      <c r="E1081" s="63">
        <f>L1081*FATOR</f>
        <v/>
      </c>
      <c r="F1081" s="64">
        <f>'COMPOSICOES AUXILIARES'!G2887</f>
        <v/>
      </c>
      <c r="G1081" s="64">
        <f>TRUNC(TRUNC(E1081,8)*F1081,2)</f>
        <v/>
      </c>
      <c r="L1081" t="n">
        <v>0.0049</v>
      </c>
      <c r="M1081" t="n">
        <v>30.58</v>
      </c>
      <c r="N1081">
        <f>(M1081-F1081)</f>
        <v/>
      </c>
    </row>
    <row r="1082" ht="15" customHeight="1">
      <c r="A1082" s="22" t="inlineStr">
        <is>
          <t>88316</t>
        </is>
      </c>
      <c r="B1082" s="23" t="inlineStr">
        <is>
          <t>SERVENTE COM ENCARGOS COMPLEMENTARES</t>
        </is>
      </c>
      <c r="C1082" s="22" t="inlineStr">
        <is>
          <t>SINAPI</t>
        </is>
      </c>
      <c r="D1082" s="22" t="inlineStr">
        <is>
          <t>H</t>
        </is>
      </c>
      <c r="E1082" s="63">
        <f>L1082*FATOR</f>
        <v/>
      </c>
      <c r="F1082" s="64">
        <f>'COMPOSICOES AUXILIARES'!G3390</f>
        <v/>
      </c>
      <c r="G1082" s="64">
        <f>TRUNC(TRUNC(E1082,8)*F1082,2)</f>
        <v/>
      </c>
      <c r="L1082" t="n">
        <v>0.0148</v>
      </c>
      <c r="M1082" t="n">
        <v>23.56</v>
      </c>
      <c r="N1082">
        <f>(M1082-F1082)</f>
        <v/>
      </c>
    </row>
    <row r="1083" ht="18" customHeight="1">
      <c r="A1083" s="2" t="inlineStr"/>
      <c r="B1083" s="2" t="inlineStr"/>
      <c r="C1083" s="2" t="inlineStr"/>
      <c r="D1083" s="2" t="inlineStr"/>
      <c r="E1083" s="26" t="inlineStr">
        <is>
          <t>TOTAL Mão de Obra com Encargos Complementares:</t>
        </is>
      </c>
      <c r="F1083" s="56" t="n"/>
      <c r="G1083" s="65">
        <f>SUM(G1081:G1082)</f>
        <v/>
      </c>
    </row>
    <row r="1084" ht="15" customHeight="1">
      <c r="A1084" s="2" t="inlineStr"/>
      <c r="B1084" s="2" t="inlineStr"/>
      <c r="C1084" s="2" t="inlineStr"/>
      <c r="D1084" s="2" t="inlineStr"/>
      <c r="E1084" s="28" t="inlineStr">
        <is>
          <t>VALOR:</t>
        </is>
      </c>
      <c r="F1084" s="56" t="n"/>
      <c r="G1084" s="66">
        <f>SUM(G1083,G1079)</f>
        <v/>
      </c>
    </row>
    <row r="1085" ht="15" customHeight="1">
      <c r="A1085" s="2" t="inlineStr"/>
      <c r="B1085" s="2" t="inlineStr"/>
      <c r="C1085" s="2" t="inlineStr"/>
      <c r="D1085" s="2" t="inlineStr"/>
      <c r="E1085" s="28" t="inlineStr">
        <is>
          <t>VALOR BDI (23.08%):</t>
        </is>
      </c>
      <c r="F1085" s="56" t="n"/>
      <c r="G1085" s="66">
        <f>ROUNDDOWN(G1084*BDI,2)</f>
        <v/>
      </c>
    </row>
    <row r="1086" ht="15" customHeight="1">
      <c r="A1086" s="2" t="inlineStr"/>
      <c r="B1086" s="2" t="inlineStr"/>
      <c r="C1086" s="2" t="inlineStr"/>
      <c r="D1086" s="2" t="inlineStr"/>
      <c r="E1086" s="28" t="inlineStr">
        <is>
          <t>VALOR COM BDI:</t>
        </is>
      </c>
      <c r="F1086" s="56" t="n"/>
      <c r="G1086" s="66">
        <f>G1085 + G1084</f>
        <v/>
      </c>
    </row>
    <row r="1087" ht="10" customHeight="1">
      <c r="A1087" s="2" t="inlineStr"/>
      <c r="B1087" s="2" t="inlineStr"/>
      <c r="C1087" s="2" t="inlineStr"/>
      <c r="D1087" s="2" t="inlineStr"/>
      <c r="E1087" s="18" t="inlineStr"/>
    </row>
    <row r="1088" ht="20" customHeight="1">
      <c r="A1088" s="19" t="inlineStr">
        <is>
          <t>5.3.1.2. ​372 PRÓPRIO​ ARGILA EXPANDIDA PARA PROTEÇÃO TÉRMICA DE IMPERMEABILIZAÇÃO DELAJES​ (M³)</t>
        </is>
      </c>
      <c r="B1088" s="55" t="n"/>
      <c r="C1088" s="55" t="n"/>
      <c r="D1088" s="55" t="n"/>
      <c r="E1088" s="55" t="n"/>
      <c r="F1088" s="55" t="n"/>
      <c r="G1088" s="56" t="n"/>
    </row>
    <row r="1089" ht="15" customHeight="1">
      <c r="A1089" s="20" t="inlineStr">
        <is>
          <t>Material</t>
        </is>
      </c>
      <c r="B1089" s="56" t="n"/>
      <c r="C1089" s="21" t="inlineStr">
        <is>
          <t>FONTE</t>
        </is>
      </c>
      <c r="D1089" s="21" t="inlineStr">
        <is>
          <t>UNID</t>
        </is>
      </c>
      <c r="E1089" s="21" t="inlineStr">
        <is>
          <t>COEFICIENTE</t>
        </is>
      </c>
      <c r="F1089" s="21" t="inlineStr">
        <is>
          <t>PREÇO UNITÁRIO</t>
        </is>
      </c>
      <c r="G1089" s="21" t="inlineStr">
        <is>
          <t>TOTAL</t>
        </is>
      </c>
    </row>
    <row r="1090" ht="15" customHeight="1">
      <c r="A1090" s="22" t="inlineStr">
        <is>
          <t>00034549</t>
        </is>
      </c>
      <c r="B1090" s="23" t="inlineStr">
        <is>
          <t>ARGILA EXPANDIDA, GRANULOMETRIA 2215</t>
        </is>
      </c>
      <c r="C1090" s="22" t="inlineStr">
        <is>
          <t>SINAPI</t>
        </is>
      </c>
      <c r="D1090" s="22" t="inlineStr">
        <is>
          <t>M3</t>
        </is>
      </c>
      <c r="E1090" s="63" t="n">
        <v>1.05</v>
      </c>
      <c r="F1090" s="64">
        <f>ROUND(M1090*FATOR, 2)</f>
        <v/>
      </c>
      <c r="G1090" s="64">
        <f>ROUND(ROUND(E1090,8)*F1090,2)</f>
        <v/>
      </c>
      <c r="L1090" t="n">
        <v>1.05</v>
      </c>
      <c r="M1090" t="n">
        <v>775.28</v>
      </c>
      <c r="N1090">
        <f>(M1090-F1090)</f>
        <v/>
      </c>
    </row>
    <row r="1091" ht="15" customHeight="1">
      <c r="A1091" s="2" t="inlineStr"/>
      <c r="B1091" s="2" t="inlineStr"/>
      <c r="C1091" s="2" t="inlineStr"/>
      <c r="D1091" s="2" t="inlineStr"/>
      <c r="E1091" s="26" t="inlineStr">
        <is>
          <t>TOTAL Material:</t>
        </is>
      </c>
      <c r="F1091" s="56" t="n"/>
      <c r="G1091" s="65">
        <f>SUM(G1090:G1090)</f>
        <v/>
      </c>
    </row>
    <row r="1092" ht="15" customHeight="1">
      <c r="A1092" s="20" t="inlineStr">
        <is>
          <t>Mão de Obra com Encargos Complementares</t>
        </is>
      </c>
      <c r="B1092" s="56" t="n"/>
      <c r="C1092" s="21" t="inlineStr">
        <is>
          <t>FONTE</t>
        </is>
      </c>
      <c r="D1092" s="21" t="inlineStr">
        <is>
          <t>UNID</t>
        </is>
      </c>
      <c r="E1092" s="21" t="inlineStr">
        <is>
          <t>COEFICIENTE</t>
        </is>
      </c>
      <c r="F1092" s="21" t="inlineStr">
        <is>
          <t>PREÇO UNITÁRIO</t>
        </is>
      </c>
      <c r="G1092" s="21" t="inlineStr">
        <is>
          <t>TOTAL</t>
        </is>
      </c>
    </row>
    <row r="1093" ht="15" customHeight="1">
      <c r="A1093" s="22" t="inlineStr">
        <is>
          <t>88316</t>
        </is>
      </c>
      <c r="B1093" s="23" t="inlineStr">
        <is>
          <t>SERVENTE COM ENCARGOS COMPLEMENTARES</t>
        </is>
      </c>
      <c r="C1093" s="22" t="inlineStr">
        <is>
          <t>SINAPI</t>
        </is>
      </c>
      <c r="D1093" s="22" t="inlineStr">
        <is>
          <t>H</t>
        </is>
      </c>
      <c r="E1093" s="63">
        <f>L1093*FATOR</f>
        <v/>
      </c>
      <c r="F1093" s="64">
        <f>'COMPOSICOES AUXILIARES'!G3390</f>
        <v/>
      </c>
      <c r="G1093" s="64">
        <f>ROUND(ROUND(E1093,8)*F1093,2)</f>
        <v/>
      </c>
      <c r="L1093" t="n">
        <v>2.5</v>
      </c>
      <c r="M1093" t="n">
        <v>23.56</v>
      </c>
      <c r="N1093">
        <f>(M1093-F1093)</f>
        <v/>
      </c>
    </row>
    <row r="1094" ht="18" customHeight="1">
      <c r="A1094" s="2" t="inlineStr"/>
      <c r="B1094" s="2" t="inlineStr"/>
      <c r="C1094" s="2" t="inlineStr"/>
      <c r="D1094" s="2" t="inlineStr"/>
      <c r="E1094" s="26" t="inlineStr">
        <is>
          <t>TOTAL Mão de Obra com Encargos Complementares:</t>
        </is>
      </c>
      <c r="F1094" s="56" t="n"/>
      <c r="G1094" s="65">
        <f>SUM(G1093:G1093)</f>
        <v/>
      </c>
    </row>
    <row r="1095" ht="15" customHeight="1">
      <c r="A1095" s="2" t="inlineStr"/>
      <c r="B1095" s="2" t="inlineStr"/>
      <c r="C1095" s="2" t="inlineStr"/>
      <c r="D1095" s="2" t="inlineStr"/>
      <c r="E1095" s="28" t="inlineStr">
        <is>
          <t>VALOR:</t>
        </is>
      </c>
      <c r="F1095" s="56" t="n"/>
      <c r="G1095" s="66">
        <f>SUM(G1091,G1094)</f>
        <v/>
      </c>
    </row>
    <row r="1096" ht="15" customHeight="1">
      <c r="A1096" s="2" t="inlineStr"/>
      <c r="B1096" s="2" t="inlineStr"/>
      <c r="C1096" s="2" t="inlineStr"/>
      <c r="D1096" s="2" t="inlineStr"/>
      <c r="E1096" s="28" t="inlineStr">
        <is>
          <t>VALOR BDI (23.08%):</t>
        </is>
      </c>
      <c r="F1096" s="56" t="n"/>
      <c r="G1096" s="66">
        <f>ROUNDDOWN(G1095*BDI,2)</f>
        <v/>
      </c>
    </row>
    <row r="1097" ht="15" customHeight="1">
      <c r="A1097" s="2" t="inlineStr"/>
      <c r="B1097" s="2" t="inlineStr"/>
      <c r="C1097" s="2" t="inlineStr"/>
      <c r="D1097" s="2" t="inlineStr"/>
      <c r="E1097" s="28" t="inlineStr">
        <is>
          <t>VALOR COM BDI:</t>
        </is>
      </c>
      <c r="F1097" s="56" t="n"/>
      <c r="G1097" s="66">
        <f>G1096 + G1095</f>
        <v/>
      </c>
    </row>
    <row r="1098" ht="10" customHeight="1">
      <c r="A1098" s="2" t="inlineStr"/>
      <c r="B1098" s="2" t="inlineStr"/>
      <c r="C1098" s="2" t="inlineStr"/>
      <c r="D1098" s="2" t="inlineStr"/>
      <c r="E1098" s="18" t="inlineStr"/>
    </row>
    <row r="1099" ht="20" customHeight="1">
      <c r="A1099" s="19" t="inlineStr">
        <is>
          <t>5.3.2.1. ​102712​ GEOTÊXTIL NÃO TECIDO 100% POLIÉSTER, RESISTÊNCIA A TRAÇÃO DE 9 KN/M (RT - 9), INSTALADO EM DRENO - FORNECIMENTO E INSTALAÇÃO. AF_07/2021​ (M2)</t>
        </is>
      </c>
      <c r="B1099" s="55" t="n"/>
      <c r="C1099" s="55" t="n"/>
      <c r="D1099" s="55" t="n"/>
      <c r="E1099" s="55" t="n"/>
      <c r="F1099" s="55" t="n"/>
      <c r="G1099" s="56" t="n"/>
    </row>
    <row r="1100" ht="15" customHeight="1">
      <c r="A1100" s="20" t="inlineStr">
        <is>
          <t>Material</t>
        </is>
      </c>
      <c r="B1100" s="56" t="n"/>
      <c r="C1100" s="21" t="inlineStr">
        <is>
          <t>FONTE</t>
        </is>
      </c>
      <c r="D1100" s="21" t="inlineStr">
        <is>
          <t>UNID</t>
        </is>
      </c>
      <c r="E1100" s="21" t="inlineStr">
        <is>
          <t>COEFICIENTE</t>
        </is>
      </c>
      <c r="F1100" s="21" t="inlineStr">
        <is>
          <t>PREÇO UNITÁRIO</t>
        </is>
      </c>
      <c r="G1100" s="21" t="inlineStr">
        <is>
          <t>TOTAL</t>
        </is>
      </c>
    </row>
    <row r="1101" ht="29" customHeight="1">
      <c r="A1101" s="22" t="inlineStr">
        <is>
          <t>00004013</t>
        </is>
      </c>
      <c r="B1101" s="23" t="inlineStr">
        <is>
          <t>GEOTEXTIL NAO TECIDO AGULHADO DE FILAMENTOS CONTINUOS 100% POLIESTER, RESITENCIA A TRACAO = 09 KN/M</t>
        </is>
      </c>
      <c r="C1101" s="22" t="inlineStr">
        <is>
          <t>SINAPI</t>
        </is>
      </c>
      <c r="D1101" s="22" t="inlineStr">
        <is>
          <t>M2</t>
        </is>
      </c>
      <c r="E1101" s="63" t="n">
        <v>1.2105</v>
      </c>
      <c r="F1101" s="64">
        <f>ROUND(M1101*FATOR, 2)</f>
        <v/>
      </c>
      <c r="G1101" s="64">
        <f>TRUNC(TRUNC(E1101,8)*F1101,2)</f>
        <v/>
      </c>
      <c r="L1101" t="n">
        <v>1.2105</v>
      </c>
      <c r="M1101" t="n">
        <v>7.12</v>
      </c>
      <c r="N1101">
        <f>(M1101-F1101)</f>
        <v/>
      </c>
    </row>
    <row r="1102" ht="15" customHeight="1">
      <c r="A1102" s="2" t="inlineStr"/>
      <c r="B1102" s="2" t="inlineStr"/>
      <c r="C1102" s="2" t="inlineStr"/>
      <c r="D1102" s="2" t="inlineStr"/>
      <c r="E1102" s="26" t="inlineStr">
        <is>
          <t>TOTAL Material:</t>
        </is>
      </c>
      <c r="F1102" s="56" t="n"/>
      <c r="G1102" s="65">
        <f>SUM(G1101:G1101)</f>
        <v/>
      </c>
    </row>
    <row r="1103" ht="15" customHeight="1">
      <c r="A1103" s="20" t="inlineStr">
        <is>
          <t>Mão de Obra com Encargos Complementares</t>
        </is>
      </c>
      <c r="B1103" s="56" t="n"/>
      <c r="C1103" s="21" t="inlineStr">
        <is>
          <t>FONTE</t>
        </is>
      </c>
      <c r="D1103" s="21" t="inlineStr">
        <is>
          <t>UNID</t>
        </is>
      </c>
      <c r="E1103" s="21" t="inlineStr">
        <is>
          <t>COEFICIENTE</t>
        </is>
      </c>
      <c r="F1103" s="21" t="inlineStr">
        <is>
          <t>PREÇO UNITÁRIO</t>
        </is>
      </c>
      <c r="G1103" s="21" t="inlineStr">
        <is>
          <t>TOTAL</t>
        </is>
      </c>
    </row>
    <row r="1104" ht="15" customHeight="1">
      <c r="A1104" s="22" t="inlineStr">
        <is>
          <t>88309</t>
        </is>
      </c>
      <c r="B1104" s="23" t="inlineStr">
        <is>
          <t>PEDREIRO COM ENCARGOS COMPLEMENTARES</t>
        </is>
      </c>
      <c r="C1104" s="22" t="inlineStr">
        <is>
          <t>SINAPI</t>
        </is>
      </c>
      <c r="D1104" s="22" t="inlineStr">
        <is>
          <t>H</t>
        </is>
      </c>
      <c r="E1104" s="63">
        <f>L1104*FATOR</f>
        <v/>
      </c>
      <c r="F1104" s="64">
        <f>'COMPOSICOES AUXILIARES'!G2887</f>
        <v/>
      </c>
      <c r="G1104" s="64">
        <f>TRUNC(TRUNC(E1104,8)*F1104,2)</f>
        <v/>
      </c>
      <c r="L1104" t="n">
        <v>0.0049</v>
      </c>
      <c r="M1104" t="n">
        <v>30.58</v>
      </c>
      <c r="N1104">
        <f>(M1104-F1104)</f>
        <v/>
      </c>
    </row>
    <row r="1105" ht="15" customHeight="1">
      <c r="A1105" s="22" t="inlineStr">
        <is>
          <t>88316</t>
        </is>
      </c>
      <c r="B1105" s="23" t="inlineStr">
        <is>
          <t>SERVENTE COM ENCARGOS COMPLEMENTARES</t>
        </is>
      </c>
      <c r="C1105" s="22" t="inlineStr">
        <is>
          <t>SINAPI</t>
        </is>
      </c>
      <c r="D1105" s="22" t="inlineStr">
        <is>
          <t>H</t>
        </is>
      </c>
      <c r="E1105" s="63">
        <f>L1105*FATOR</f>
        <v/>
      </c>
      <c r="F1105" s="64">
        <f>'COMPOSICOES AUXILIARES'!G3390</f>
        <v/>
      </c>
      <c r="G1105" s="64">
        <f>TRUNC(TRUNC(E1105,8)*F1105,2)</f>
        <v/>
      </c>
      <c r="L1105" t="n">
        <v>0.0148</v>
      </c>
      <c r="M1105" t="n">
        <v>23.56</v>
      </c>
      <c r="N1105">
        <f>(M1105-F1105)</f>
        <v/>
      </c>
    </row>
    <row r="1106" ht="18" customHeight="1">
      <c r="A1106" s="2" t="inlineStr"/>
      <c r="B1106" s="2" t="inlineStr"/>
      <c r="C1106" s="2" t="inlineStr"/>
      <c r="D1106" s="2" t="inlineStr"/>
      <c r="E1106" s="26" t="inlineStr">
        <is>
          <t>TOTAL Mão de Obra com Encargos Complementares:</t>
        </is>
      </c>
      <c r="F1106" s="56" t="n"/>
      <c r="G1106" s="65">
        <f>SUM(G1104:G1105)</f>
        <v/>
      </c>
    </row>
    <row r="1107" ht="15" customHeight="1">
      <c r="A1107" s="2" t="inlineStr"/>
      <c r="B1107" s="2" t="inlineStr"/>
      <c r="C1107" s="2" t="inlineStr"/>
      <c r="D1107" s="2" t="inlineStr"/>
      <c r="E1107" s="28" t="inlineStr">
        <is>
          <t>VALOR:</t>
        </is>
      </c>
      <c r="F1107" s="56" t="n"/>
      <c r="G1107" s="66">
        <f>SUM(G1106,G1102)</f>
        <v/>
      </c>
    </row>
    <row r="1108" ht="15" customHeight="1">
      <c r="A1108" s="2" t="inlineStr"/>
      <c r="B1108" s="2" t="inlineStr"/>
      <c r="C1108" s="2" t="inlineStr"/>
      <c r="D1108" s="2" t="inlineStr"/>
      <c r="E1108" s="28" t="inlineStr">
        <is>
          <t>VALOR BDI (23.08%):</t>
        </is>
      </c>
      <c r="F1108" s="56" t="n"/>
      <c r="G1108" s="66">
        <f>ROUNDDOWN(G1107*BDI,2)</f>
        <v/>
      </c>
    </row>
    <row r="1109" ht="15" customHeight="1">
      <c r="A1109" s="2" t="inlineStr"/>
      <c r="B1109" s="2" t="inlineStr"/>
      <c r="C1109" s="2" t="inlineStr"/>
      <c r="D1109" s="2" t="inlineStr"/>
      <c r="E1109" s="28" t="inlineStr">
        <is>
          <t>VALOR COM BDI:</t>
        </is>
      </c>
      <c r="F1109" s="56" t="n"/>
      <c r="G1109" s="66">
        <f>G1108 + G1107</f>
        <v/>
      </c>
    </row>
    <row r="1110" ht="10" customHeight="1">
      <c r="A1110" s="2" t="inlineStr"/>
      <c r="B1110" s="2" t="inlineStr"/>
      <c r="C1110" s="2" t="inlineStr"/>
      <c r="D1110" s="2" t="inlineStr"/>
      <c r="E1110" s="18" t="inlineStr"/>
    </row>
    <row r="1111" ht="20" customHeight="1">
      <c r="A1111" s="19" t="inlineStr">
        <is>
          <t>5.3.2.2. ​373 PRÓPRIO​ TERRA PARA PLANTIO SOBRE LAJE IMPERMEABILIZADA - FORNECIMENTO E COLOCAÇÃO (INCLUI TRANSPORTE VERTICAL 1º PAVIMENTO)​ (M³)</t>
        </is>
      </c>
      <c r="B1111" s="55" t="n"/>
      <c r="C1111" s="55" t="n"/>
      <c r="D1111" s="55" t="n"/>
      <c r="E1111" s="55" t="n"/>
      <c r="F1111" s="55" t="n"/>
      <c r="G1111" s="56" t="n"/>
    </row>
    <row r="1112" ht="15" customHeight="1">
      <c r="A1112" s="20" t="inlineStr">
        <is>
          <t>Material</t>
        </is>
      </c>
      <c r="B1112" s="56" t="n"/>
      <c r="C1112" s="21" t="inlineStr">
        <is>
          <t>FONTE</t>
        </is>
      </c>
      <c r="D1112" s="21" t="inlineStr">
        <is>
          <t>UNID</t>
        </is>
      </c>
      <c r="E1112" s="21" t="inlineStr">
        <is>
          <t>COEFICIENTE</t>
        </is>
      </c>
      <c r="F1112" s="21" t="inlineStr">
        <is>
          <t>PREÇO UNITÁRIO</t>
        </is>
      </c>
      <c r="G1112" s="21" t="inlineStr">
        <is>
          <t>TOTAL</t>
        </is>
      </c>
    </row>
    <row r="1113" ht="21" customHeight="1">
      <c r="A1113" s="22" t="inlineStr">
        <is>
          <t>00006081</t>
        </is>
      </c>
      <c r="B1113" s="23" t="inlineStr">
        <is>
          <t>ARGILA OU BARRO PARA ATERRO/REATERRO (COM TRANSPORTE ATE 10 KM)</t>
        </is>
      </c>
      <c r="C1113" s="22" t="inlineStr">
        <is>
          <t>SINAPI</t>
        </is>
      </c>
      <c r="D1113" s="22" t="inlineStr">
        <is>
          <t>M3</t>
        </is>
      </c>
      <c r="E1113" s="63" t="n">
        <v>1</v>
      </c>
      <c r="F1113" s="64">
        <f>ROUND(M1113*FATOR, 2)</f>
        <v/>
      </c>
      <c r="G1113" s="64">
        <f>ROUND(ROUND(E1113,8)*F1113,2)</f>
        <v/>
      </c>
      <c r="L1113" t="n">
        <v>1</v>
      </c>
      <c r="M1113" t="n">
        <v>54.26</v>
      </c>
      <c r="N1113">
        <f>(M1113-F1113)</f>
        <v/>
      </c>
    </row>
    <row r="1114" ht="15" customHeight="1">
      <c r="A1114" s="22" t="inlineStr">
        <is>
          <t>00038125</t>
        </is>
      </c>
      <c r="B1114" s="23" t="inlineStr">
        <is>
          <t>FERTILIZANTE ORGANICO COMPOSTO, CLASSE A</t>
        </is>
      </c>
      <c r="C1114" s="22" t="inlineStr">
        <is>
          <t>SINAPI</t>
        </is>
      </c>
      <c r="D1114" s="22" t="inlineStr">
        <is>
          <t>KG</t>
        </is>
      </c>
      <c r="E1114" s="63" t="n">
        <v>0.3</v>
      </c>
      <c r="F1114" s="64">
        <f>ROUND(M1114*FATOR, 2)</f>
        <v/>
      </c>
      <c r="G1114" s="64">
        <f>ROUND(ROUND(E1114,8)*F1114,2)</f>
        <v/>
      </c>
      <c r="L1114" t="n">
        <v>0.3</v>
      </c>
      <c r="M1114" t="n">
        <v>2.57</v>
      </c>
      <c r="N1114">
        <f>(M1114-F1114)</f>
        <v/>
      </c>
    </row>
    <row r="1115" ht="15" customHeight="1">
      <c r="A1115" s="2" t="inlineStr"/>
      <c r="B1115" s="2" t="inlineStr"/>
      <c r="C1115" s="2" t="inlineStr"/>
      <c r="D1115" s="2" t="inlineStr"/>
      <c r="E1115" s="26" t="inlineStr">
        <is>
          <t>TOTAL Material:</t>
        </is>
      </c>
      <c r="F1115" s="56" t="n"/>
      <c r="G1115" s="65">
        <f>SUM(G1113:G1114)</f>
        <v/>
      </c>
    </row>
    <row r="1116" ht="15" customHeight="1">
      <c r="A1116" s="20" t="inlineStr">
        <is>
          <t>Mão de Obra com Encargos Complementares</t>
        </is>
      </c>
      <c r="B1116" s="56" t="n"/>
      <c r="C1116" s="21" t="inlineStr">
        <is>
          <t>FONTE</t>
        </is>
      </c>
      <c r="D1116" s="21" t="inlineStr">
        <is>
          <t>UNID</t>
        </is>
      </c>
      <c r="E1116" s="21" t="inlineStr">
        <is>
          <t>COEFICIENTE</t>
        </is>
      </c>
      <c r="F1116" s="21" t="inlineStr">
        <is>
          <t>PREÇO UNITÁRIO</t>
        </is>
      </c>
      <c r="G1116" s="21" t="inlineStr">
        <is>
          <t>TOTAL</t>
        </is>
      </c>
    </row>
    <row r="1117" ht="15" customHeight="1">
      <c r="A1117" s="22" t="inlineStr">
        <is>
          <t>88316</t>
        </is>
      </c>
      <c r="B1117" s="23" t="inlineStr">
        <is>
          <t>SERVENTE COM ENCARGOS COMPLEMENTARES</t>
        </is>
      </c>
      <c r="C1117" s="22" t="inlineStr">
        <is>
          <t>SINAPI</t>
        </is>
      </c>
      <c r="D1117" s="22" t="inlineStr">
        <is>
          <t>H</t>
        </is>
      </c>
      <c r="E1117" s="63">
        <f>L1117*FATOR</f>
        <v/>
      </c>
      <c r="F1117" s="64">
        <f>'COMPOSICOES AUXILIARES'!G3390</f>
        <v/>
      </c>
      <c r="G1117" s="64">
        <f>ROUND(ROUND(E1117,8)*F1117,2)</f>
        <v/>
      </c>
      <c r="L1117" t="n">
        <v>0.5</v>
      </c>
      <c r="M1117" t="n">
        <v>23.56</v>
      </c>
      <c r="N1117">
        <f>(M1117-F1117)</f>
        <v/>
      </c>
    </row>
    <row r="1118" ht="18" customHeight="1">
      <c r="A1118" s="2" t="inlineStr"/>
      <c r="B1118" s="2" t="inlineStr"/>
      <c r="C1118" s="2" t="inlineStr"/>
      <c r="D1118" s="2" t="inlineStr"/>
      <c r="E1118" s="26" t="inlineStr">
        <is>
          <t>TOTAL Mão de Obra com Encargos Complementares:</t>
        </is>
      </c>
      <c r="F1118" s="56" t="n"/>
      <c r="G1118" s="65">
        <f>SUM(G1117:G1117)</f>
        <v/>
      </c>
    </row>
    <row r="1119" ht="15" customHeight="1">
      <c r="A1119" s="20" t="inlineStr">
        <is>
          <t>Serviço</t>
        </is>
      </c>
      <c r="B1119" s="56" t="n"/>
      <c r="C1119" s="21" t="inlineStr">
        <is>
          <t>FONTE</t>
        </is>
      </c>
      <c r="D1119" s="21" t="inlineStr">
        <is>
          <t>UNID</t>
        </is>
      </c>
      <c r="E1119" s="21" t="inlineStr">
        <is>
          <t>COEFICIENTE</t>
        </is>
      </c>
      <c r="F1119" s="21" t="inlineStr">
        <is>
          <t>PREÇO UNITÁRIO</t>
        </is>
      </c>
      <c r="G1119" s="21" t="inlineStr">
        <is>
          <t>TOTAL</t>
        </is>
      </c>
    </row>
    <row r="1120" ht="21" customHeight="1">
      <c r="A1120" s="22" t="inlineStr">
        <is>
          <t>100231</t>
        </is>
      </c>
      <c r="B1120" s="23" t="inlineStr">
        <is>
          <t>TRANSPORTE VERTICAL MANUAL, 1 PAVIMENTO, DE SACOS DE 20 KG (UNIDADE: KG). AF_07/2019</t>
        </is>
      </c>
      <c r="C1120" s="22" t="inlineStr">
        <is>
          <t>SINAPI</t>
        </is>
      </c>
      <c r="D1120" s="22" t="inlineStr">
        <is>
          <t>KG</t>
        </is>
      </c>
      <c r="E1120" s="63" t="n">
        <v>500</v>
      </c>
      <c r="F1120" s="64">
        <f>'COMPOSICOES AUXILIARES'!G3591</f>
        <v/>
      </c>
      <c r="G1120" s="64">
        <f>ROUND(ROUND(E1120,8)*F1120,2)</f>
        <v/>
      </c>
      <c r="L1120" t="n">
        <v>500</v>
      </c>
      <c r="M1120" t="n">
        <v>0.04</v>
      </c>
      <c r="N1120">
        <f>(M1120-F1120)</f>
        <v/>
      </c>
    </row>
    <row r="1121" ht="15" customHeight="1">
      <c r="A1121" s="2" t="inlineStr"/>
      <c r="B1121" s="2" t="inlineStr"/>
      <c r="C1121" s="2" t="inlineStr"/>
      <c r="D1121" s="2" t="inlineStr"/>
      <c r="E1121" s="26" t="inlineStr">
        <is>
          <t>TOTAL Serviço:</t>
        </is>
      </c>
      <c r="F1121" s="56" t="n"/>
      <c r="G1121" s="65">
        <f>SUM(G1120:G1120)</f>
        <v/>
      </c>
    </row>
    <row r="1122" ht="15" customHeight="1">
      <c r="A1122" s="2" t="inlineStr"/>
      <c r="B1122" s="2" t="inlineStr"/>
      <c r="C1122" s="2" t="inlineStr"/>
      <c r="D1122" s="2" t="inlineStr"/>
      <c r="E1122" s="28" t="inlineStr">
        <is>
          <t>VALOR:</t>
        </is>
      </c>
      <c r="F1122" s="56" t="n"/>
      <c r="G1122" s="66">
        <f>SUM(G1121,G1115,G1118)</f>
        <v/>
      </c>
    </row>
    <row r="1123" ht="15" customHeight="1">
      <c r="A1123" s="2" t="inlineStr"/>
      <c r="B1123" s="2" t="inlineStr"/>
      <c r="C1123" s="2" t="inlineStr"/>
      <c r="D1123" s="2" t="inlineStr"/>
      <c r="E1123" s="28" t="inlineStr">
        <is>
          <t>VALOR BDI (23.08%):</t>
        </is>
      </c>
      <c r="F1123" s="56" t="n"/>
      <c r="G1123" s="66">
        <f>ROUNDDOWN(G1122*BDI,2)</f>
        <v/>
      </c>
    </row>
    <row r="1124" ht="15" customHeight="1">
      <c r="A1124" s="2" t="inlineStr"/>
      <c r="B1124" s="2" t="inlineStr"/>
      <c r="C1124" s="2" t="inlineStr"/>
      <c r="D1124" s="2" t="inlineStr"/>
      <c r="E1124" s="28" t="inlineStr">
        <is>
          <t>VALOR COM BDI:</t>
        </is>
      </c>
      <c r="F1124" s="56" t="n"/>
      <c r="G1124" s="66">
        <f>G1123 + G1122</f>
        <v/>
      </c>
    </row>
    <row r="1125" ht="10" customHeight="1">
      <c r="A1125" s="2" t="inlineStr"/>
      <c r="B1125" s="2" t="inlineStr"/>
      <c r="C1125" s="2" t="inlineStr"/>
      <c r="D1125" s="2" t="inlineStr"/>
      <c r="E1125" s="18" t="inlineStr"/>
    </row>
    <row r="1126" ht="20" customHeight="1">
      <c r="A1126" s="19" t="inlineStr">
        <is>
          <t>5.3.2.3. ​98504​ PLANTIO DE GRAMA BATATAIS EM PLACAS.AF_07/2024​ (M2)</t>
        </is>
      </c>
      <c r="B1126" s="55" t="n"/>
      <c r="C1126" s="55" t="n"/>
      <c r="D1126" s="55" t="n"/>
      <c r="E1126" s="55" t="n"/>
      <c r="F1126" s="55" t="n"/>
      <c r="G1126" s="56" t="n"/>
    </row>
    <row r="1127" ht="15" customHeight="1">
      <c r="A1127" s="20" t="inlineStr">
        <is>
          <t>Material</t>
        </is>
      </c>
      <c r="B1127" s="56" t="n"/>
      <c r="C1127" s="21" t="inlineStr">
        <is>
          <t>FONTE</t>
        </is>
      </c>
      <c r="D1127" s="21" t="inlineStr">
        <is>
          <t>UNID</t>
        </is>
      </c>
      <c r="E1127" s="21" t="inlineStr">
        <is>
          <t>COEFICIENTE</t>
        </is>
      </c>
      <c r="F1127" s="21" t="inlineStr">
        <is>
          <t>PREÇO UNITÁRIO</t>
        </is>
      </c>
      <c r="G1127" s="21" t="inlineStr">
        <is>
          <t>TOTAL</t>
        </is>
      </c>
    </row>
    <row r="1128" ht="15" customHeight="1">
      <c r="A1128" s="22" t="inlineStr">
        <is>
          <t>00003324</t>
        </is>
      </c>
      <c r="B1128" s="23" t="inlineStr">
        <is>
          <t>GRAMA BATATAIS EM PLACAS, SEM PLANTIO</t>
        </is>
      </c>
      <c r="C1128" s="22" t="inlineStr">
        <is>
          <t>SINAPI</t>
        </is>
      </c>
      <c r="D1128" s="22" t="inlineStr">
        <is>
          <t>M2</t>
        </is>
      </c>
      <c r="E1128" s="63" t="n">
        <v>1</v>
      </c>
      <c r="F1128" s="64">
        <f>ROUND(M1128*FATOR, 2)</f>
        <v/>
      </c>
      <c r="G1128" s="64">
        <f>TRUNC(TRUNC(E1128,8)*F1128,2)</f>
        <v/>
      </c>
      <c r="L1128" t="n">
        <v>1</v>
      </c>
      <c r="M1128" t="n">
        <v>10.71</v>
      </c>
      <c r="N1128">
        <f>(M1128-F1128)</f>
        <v/>
      </c>
    </row>
    <row r="1129" ht="15" customHeight="1">
      <c r="A1129" s="2" t="inlineStr"/>
      <c r="B1129" s="2" t="inlineStr"/>
      <c r="C1129" s="2" t="inlineStr"/>
      <c r="D1129" s="2" t="inlineStr"/>
      <c r="E1129" s="26" t="inlineStr">
        <is>
          <t>TOTAL Material:</t>
        </is>
      </c>
      <c r="F1129" s="56" t="n"/>
      <c r="G1129" s="65">
        <f>SUM(G1128:G1128)</f>
        <v/>
      </c>
    </row>
    <row r="1130" ht="15" customHeight="1">
      <c r="A1130" s="20" t="inlineStr">
        <is>
          <t>Mão de Obra com Encargos Complementares</t>
        </is>
      </c>
      <c r="B1130" s="56" t="n"/>
      <c r="C1130" s="21" t="inlineStr">
        <is>
          <t>FONTE</t>
        </is>
      </c>
      <c r="D1130" s="21" t="inlineStr">
        <is>
          <t>UNID</t>
        </is>
      </c>
      <c r="E1130" s="21" t="inlineStr">
        <is>
          <t>COEFICIENTE</t>
        </is>
      </c>
      <c r="F1130" s="21" t="inlineStr">
        <is>
          <t>PREÇO UNITÁRIO</t>
        </is>
      </c>
      <c r="G1130" s="21" t="inlineStr">
        <is>
          <t>TOTAL</t>
        </is>
      </c>
    </row>
    <row r="1131" ht="15" customHeight="1">
      <c r="A1131" s="22" t="inlineStr">
        <is>
          <t>88441</t>
        </is>
      </c>
      <c r="B1131" s="23" t="inlineStr">
        <is>
          <t>JARDINEIRO COM ENCARGOS COMPLEMENTARES</t>
        </is>
      </c>
      <c r="C1131" s="22" t="inlineStr">
        <is>
          <t>SINAPI</t>
        </is>
      </c>
      <c r="D1131" s="22" t="inlineStr">
        <is>
          <t>H</t>
        </is>
      </c>
      <c r="E1131" s="63">
        <f>L1131*FATOR</f>
        <v/>
      </c>
      <c r="F1131" s="64">
        <f>'COMPOSICOES AUXILIARES'!G2344</f>
        <v/>
      </c>
      <c r="G1131" s="64">
        <f>TRUNC(TRUNC(E1131,8)*F1131,2)</f>
        <v/>
      </c>
      <c r="L1131" t="n">
        <v>0.0277</v>
      </c>
      <c r="M1131" t="n">
        <v>23.91</v>
      </c>
      <c r="N1131">
        <f>(M1131-F1131)</f>
        <v/>
      </c>
    </row>
    <row r="1132" ht="15" customHeight="1">
      <c r="A1132" s="22" t="inlineStr">
        <is>
          <t>88316</t>
        </is>
      </c>
      <c r="B1132" s="23" t="inlineStr">
        <is>
          <t>SERVENTE COM ENCARGOS COMPLEMENTARES</t>
        </is>
      </c>
      <c r="C1132" s="22" t="inlineStr">
        <is>
          <t>SINAPI</t>
        </is>
      </c>
      <c r="D1132" s="22" t="inlineStr">
        <is>
          <t>H</t>
        </is>
      </c>
      <c r="E1132" s="63">
        <f>L1132*FATOR</f>
        <v/>
      </c>
      <c r="F1132" s="64">
        <f>'COMPOSICOES AUXILIARES'!G3390</f>
        <v/>
      </c>
      <c r="G1132" s="64">
        <f>TRUNC(TRUNC(E1132,8)*F1132,2)</f>
        <v/>
      </c>
      <c r="L1132" t="n">
        <v>0.1386</v>
      </c>
      <c r="M1132" t="n">
        <v>23.56</v>
      </c>
      <c r="N1132">
        <f>(M1132-F1132)</f>
        <v/>
      </c>
    </row>
    <row r="1133" ht="18" customHeight="1">
      <c r="A1133" s="2" t="inlineStr"/>
      <c r="B1133" s="2" t="inlineStr"/>
      <c r="C1133" s="2" t="inlineStr"/>
      <c r="D1133" s="2" t="inlineStr"/>
      <c r="E1133" s="26" t="inlineStr">
        <is>
          <t>TOTAL Mão de Obra com Encargos Complementares:</t>
        </is>
      </c>
      <c r="F1133" s="56" t="n"/>
      <c r="G1133" s="65">
        <f>SUM(G1131:G1132)</f>
        <v/>
      </c>
    </row>
    <row r="1134" ht="15" customHeight="1">
      <c r="A1134" s="2" t="inlineStr"/>
      <c r="B1134" s="2" t="inlineStr"/>
      <c r="C1134" s="2" t="inlineStr"/>
      <c r="D1134" s="2" t="inlineStr"/>
      <c r="E1134" s="28" t="inlineStr">
        <is>
          <t>VALOR:</t>
        </is>
      </c>
      <c r="F1134" s="56" t="n"/>
      <c r="G1134" s="66">
        <f>SUM(G1129,G1133)</f>
        <v/>
      </c>
    </row>
    <row r="1135" ht="15" customHeight="1">
      <c r="A1135" s="2" t="inlineStr"/>
      <c r="B1135" s="2" t="inlineStr"/>
      <c r="C1135" s="2" t="inlineStr"/>
      <c r="D1135" s="2" t="inlineStr"/>
      <c r="E1135" s="28" t="inlineStr">
        <is>
          <t>VALOR BDI (23.08%):</t>
        </is>
      </c>
      <c r="F1135" s="56" t="n"/>
      <c r="G1135" s="66">
        <f>ROUNDDOWN(G1134*BDI,2)</f>
        <v/>
      </c>
    </row>
    <row r="1136" ht="15" customHeight="1">
      <c r="A1136" s="2" t="inlineStr"/>
      <c r="B1136" s="2" t="inlineStr"/>
      <c r="C1136" s="2" t="inlineStr"/>
      <c r="D1136" s="2" t="inlineStr"/>
      <c r="E1136" s="28" t="inlineStr">
        <is>
          <t>VALOR COM BDI:</t>
        </is>
      </c>
      <c r="F1136" s="56" t="n"/>
      <c r="G1136" s="66">
        <f>G1135 + G1134</f>
        <v/>
      </c>
    </row>
    <row r="1137" ht="10" customHeight="1">
      <c r="A1137" s="2" t="inlineStr"/>
      <c r="B1137" s="2" t="inlineStr"/>
      <c r="C1137" s="2" t="inlineStr"/>
      <c r="D1137" s="2" t="inlineStr"/>
      <c r="E1137" s="18" t="inlineStr"/>
    </row>
    <row r="1138" ht="20" customHeight="1">
      <c r="A1138" s="19" t="inlineStr">
        <is>
          <t>5.4.1.1. ​477 PRÓPRIO​ CHAPIM SOBRE MUROS E/OU PLATIBANDAS LINEARES, EM PRÉ-MOLDADO DE CONCRETO, L= 25CM, ASSENTADO COM ARGAMASSA 1:6 COMADITIVO​ (M)</t>
        </is>
      </c>
      <c r="B1138" s="55" t="n"/>
      <c r="C1138" s="55" t="n"/>
      <c r="D1138" s="55" t="n"/>
      <c r="E1138" s="55" t="n"/>
      <c r="F1138" s="55" t="n"/>
      <c r="G1138" s="56" t="n"/>
    </row>
    <row r="1139" ht="15" customHeight="1">
      <c r="A1139" s="20" t="inlineStr">
        <is>
          <t>Equipamento Custo Horário</t>
        </is>
      </c>
      <c r="B1139" s="56" t="n"/>
      <c r="C1139" s="21" t="inlineStr">
        <is>
          <t>FONTE</t>
        </is>
      </c>
      <c r="D1139" s="21" t="inlineStr">
        <is>
          <t>UNID</t>
        </is>
      </c>
      <c r="E1139" s="21" t="inlineStr">
        <is>
          <t>COEFICIENTE</t>
        </is>
      </c>
      <c r="F1139" s="21" t="inlineStr">
        <is>
          <t>PREÇO UNITÁRIO</t>
        </is>
      </c>
      <c r="G1139" s="21" t="inlineStr">
        <is>
          <t>TOTAL</t>
        </is>
      </c>
    </row>
    <row r="1140" ht="29" customHeight="1">
      <c r="A1140" s="22" t="inlineStr">
        <is>
          <t>91693</t>
        </is>
      </c>
      <c r="B1140" s="23" t="inlineStr">
        <is>
          <t>SERRA CIRCULAR DE BANCADA COM MOTOR ELÉTRICO POTÊNCIA DE 5HP, COM COIFA PARA DISCO 10" - CHI DIURNO. AF_08/2015</t>
        </is>
      </c>
      <c r="C1140" s="22" t="inlineStr">
        <is>
          <t>SINAPI</t>
        </is>
      </c>
      <c r="D1140" s="22" t="inlineStr">
        <is>
          <t>CHI</t>
        </is>
      </c>
      <c r="E1140" s="63" t="n">
        <v>0.179</v>
      </c>
      <c r="F1140" s="64">
        <f>'COMPOSICOES AUXILIARES'!G3306</f>
        <v/>
      </c>
      <c r="G1140" s="64">
        <f>ROUND(ROUND(E1140,8)*F1140,2)</f>
        <v/>
      </c>
      <c r="L1140" t="n">
        <v>0.179</v>
      </c>
      <c r="M1140" t="n">
        <v>35.72</v>
      </c>
      <c r="N1140">
        <f>(M1140-F1140)</f>
        <v/>
      </c>
    </row>
    <row r="1141" ht="29" customHeight="1">
      <c r="A1141" s="22" t="inlineStr">
        <is>
          <t>91692</t>
        </is>
      </c>
      <c r="B1141" s="23" t="inlineStr">
        <is>
          <t>SERRA CIRCULAR DE BANCADA COM MOTOR ELÉTRICO POTÊNCIA DE 5HP, COM COIFA PARA DISCO 10" - CHP DIURNO. AF_08/2015</t>
        </is>
      </c>
      <c r="C1141" s="22" t="inlineStr">
        <is>
          <t>SINAPI</t>
        </is>
      </c>
      <c r="D1141" s="22" t="inlineStr">
        <is>
          <t>CHP</t>
        </is>
      </c>
      <c r="E1141" s="63" t="n">
        <v>0.008999999999999999</v>
      </c>
      <c r="F1141" s="64">
        <f>'COMPOSICOES AUXILIARES'!G3320</f>
        <v/>
      </c>
      <c r="G1141" s="64">
        <f>ROUND(ROUND(E1141,8)*F1141,2)</f>
        <v/>
      </c>
      <c r="L1141" t="n">
        <v>0.008999999999999999</v>
      </c>
      <c r="M1141" t="n">
        <v>37.16</v>
      </c>
      <c r="N1141">
        <f>(M1141-F1141)</f>
        <v/>
      </c>
    </row>
    <row r="1142" ht="18" customHeight="1">
      <c r="A1142" s="2" t="inlineStr"/>
      <c r="B1142" s="2" t="inlineStr"/>
      <c r="C1142" s="2" t="inlineStr"/>
      <c r="D1142" s="2" t="inlineStr"/>
      <c r="E1142" s="26" t="inlineStr">
        <is>
          <t>TOTAL Equipamento Custo Horário:</t>
        </is>
      </c>
      <c r="F1142" s="56" t="n"/>
      <c r="G1142" s="65">
        <f>SUM(G1140:G1141)</f>
        <v/>
      </c>
    </row>
    <row r="1143" ht="15" customHeight="1">
      <c r="A1143" s="20" t="inlineStr">
        <is>
          <t>Material</t>
        </is>
      </c>
      <c r="B1143" s="56" t="n"/>
      <c r="C1143" s="21" t="inlineStr">
        <is>
          <t>FONTE</t>
        </is>
      </c>
      <c r="D1143" s="21" t="inlineStr">
        <is>
          <t>UNID</t>
        </is>
      </c>
      <c r="E1143" s="21" t="inlineStr">
        <is>
          <t>COEFICIENTE</t>
        </is>
      </c>
      <c r="F1143" s="21" t="inlineStr">
        <is>
          <t>PREÇO UNITÁRIO</t>
        </is>
      </c>
      <c r="G1143" s="21" t="inlineStr">
        <is>
          <t>TOTAL</t>
        </is>
      </c>
    </row>
    <row r="1144" ht="21" customHeight="1">
      <c r="A1144" s="22" t="inlineStr">
        <is>
          <t>009005 SBC</t>
        </is>
      </c>
      <c r="B1144" s="23" t="inlineStr">
        <is>
          <t>CAPA DE MURO/CIMALHA/PINGADEIRA PARA MURO EM PLACA PREMOLDADA 30X80X5CM</t>
        </is>
      </c>
      <c r="C1144" s="22" t="inlineStr">
        <is>
          <t xml:space="preserve">Composições </t>
        </is>
      </c>
      <c r="D1144" s="22" t="inlineStr">
        <is>
          <t>UN</t>
        </is>
      </c>
      <c r="E1144" s="63" t="n">
        <v>1.25</v>
      </c>
      <c r="F1144" s="64">
        <f>ROUND(M1144*FATOR, 2)</f>
        <v/>
      </c>
      <c r="G1144" s="64">
        <f>ROUND(ROUND(E1144,8)*F1144,2)</f>
        <v/>
      </c>
      <c r="L1144" t="n">
        <v>1.25</v>
      </c>
      <c r="M1144" t="n">
        <v>33.9</v>
      </c>
      <c r="N1144">
        <f>(M1144-F1144)</f>
        <v/>
      </c>
    </row>
    <row r="1145" ht="15" customHeight="1">
      <c r="A1145" s="2" t="inlineStr"/>
      <c r="B1145" s="2" t="inlineStr"/>
      <c r="C1145" s="2" t="inlineStr"/>
      <c r="D1145" s="2" t="inlineStr"/>
      <c r="E1145" s="26" t="inlineStr">
        <is>
          <t>TOTAL Material:</t>
        </is>
      </c>
      <c r="F1145" s="56" t="n"/>
      <c r="G1145" s="65">
        <f>SUM(G1144:G1144)</f>
        <v/>
      </c>
    </row>
    <row r="1146" ht="15" customHeight="1">
      <c r="A1146" s="20" t="inlineStr">
        <is>
          <t>Mão de Obra com Encargos Complementares</t>
        </is>
      </c>
      <c r="B1146" s="56" t="n"/>
      <c r="C1146" s="21" t="inlineStr">
        <is>
          <t>FONTE</t>
        </is>
      </c>
      <c r="D1146" s="21" t="inlineStr">
        <is>
          <t>UNID</t>
        </is>
      </c>
      <c r="E1146" s="21" t="inlineStr">
        <is>
          <t>COEFICIENTE</t>
        </is>
      </c>
      <c r="F1146" s="21" t="inlineStr">
        <is>
          <t>PREÇO UNITÁRIO</t>
        </is>
      </c>
      <c r="G1146" s="21" t="inlineStr">
        <is>
          <t>TOTAL</t>
        </is>
      </c>
    </row>
    <row r="1147" ht="21" customHeight="1">
      <c r="A1147" s="22" t="inlineStr">
        <is>
          <t>88274</t>
        </is>
      </c>
      <c r="B1147" s="23" t="inlineStr">
        <is>
          <t>MARMORISTA/GRANITEIRO COM ENCARGOS COMPLEMENTARES</t>
        </is>
      </c>
      <c r="C1147" s="22" t="inlineStr">
        <is>
          <t>SINAPI</t>
        </is>
      </c>
      <c r="D1147" s="22" t="inlineStr">
        <is>
          <t>H</t>
        </is>
      </c>
      <c r="E1147" s="63">
        <f>L1147*FATOR</f>
        <v/>
      </c>
      <c r="F1147" s="64">
        <f>'COMPOSICOES AUXILIARES'!G2424</f>
        <v/>
      </c>
      <c r="G1147" s="64">
        <f>ROUND(ROUND(E1147,8)*F1147,2)</f>
        <v/>
      </c>
      <c r="L1147" t="n">
        <v>0.189</v>
      </c>
      <c r="M1147" t="n">
        <v>29.93</v>
      </c>
      <c r="N1147">
        <f>(M1147-F1147)</f>
        <v/>
      </c>
    </row>
    <row r="1148" ht="15" customHeight="1">
      <c r="A1148" s="22" t="inlineStr">
        <is>
          <t>88316</t>
        </is>
      </c>
      <c r="B1148" s="23" t="inlineStr">
        <is>
          <t>SERVENTE COM ENCARGOS COMPLEMENTARES</t>
        </is>
      </c>
      <c r="C1148" s="22" t="inlineStr">
        <is>
          <t>SINAPI</t>
        </is>
      </c>
      <c r="D1148" s="22" t="inlineStr">
        <is>
          <t>H</t>
        </is>
      </c>
      <c r="E1148" s="63">
        <f>L1148*FATOR</f>
        <v/>
      </c>
      <c r="F1148" s="64">
        <f>'COMPOSICOES AUXILIARES'!G3390</f>
        <v/>
      </c>
      <c r="G1148" s="64">
        <f>ROUND(ROUND(E1148,8)*F1148,2)</f>
        <v/>
      </c>
      <c r="L1148" t="n">
        <v>0.094</v>
      </c>
      <c r="M1148" t="n">
        <v>23.56</v>
      </c>
      <c r="N1148">
        <f>(M1148-F1148)</f>
        <v/>
      </c>
    </row>
    <row r="1149" ht="18" customHeight="1">
      <c r="A1149" s="2" t="inlineStr"/>
      <c r="B1149" s="2" t="inlineStr"/>
      <c r="C1149" s="2" t="inlineStr"/>
      <c r="D1149" s="2" t="inlineStr"/>
      <c r="E1149" s="26" t="inlineStr">
        <is>
          <t>TOTAL Mão de Obra com Encargos Complementares:</t>
        </is>
      </c>
      <c r="F1149" s="56" t="n"/>
      <c r="G1149" s="65">
        <f>SUM(G1147:G1148)</f>
        <v/>
      </c>
    </row>
    <row r="1150" ht="15" customHeight="1">
      <c r="A1150" s="20" t="inlineStr">
        <is>
          <t>Serviço</t>
        </is>
      </c>
      <c r="B1150" s="56" t="n"/>
      <c r="C1150" s="21" t="inlineStr">
        <is>
          <t>FONTE</t>
        </is>
      </c>
      <c r="D1150" s="21" t="inlineStr">
        <is>
          <t>UNID</t>
        </is>
      </c>
      <c r="E1150" s="21" t="inlineStr">
        <is>
          <t>COEFICIENTE</t>
        </is>
      </c>
      <c r="F1150" s="21" t="inlineStr">
        <is>
          <t>PREÇO UNITÁRIO</t>
        </is>
      </c>
      <c r="G1150" s="21" t="inlineStr">
        <is>
          <t>TOTAL</t>
        </is>
      </c>
    </row>
    <row r="1151" ht="46" customHeight="1">
      <c r="A1151" s="22" t="inlineStr">
        <is>
          <t>87283</t>
        </is>
      </c>
      <c r="B1151" s="23" t="inlineStr">
        <is>
          <t>ARGAMASSA TRAÇO 1:6 (EM VOLUME DE CIMENTO E AREIA MÉDIA ÚMIDA) COM ADIÇÃO DE PLASTIFICANTE PARA EMBOÇO/MASSA ÚNICA/ASSENTAMENTO DE ALVENARIA DE VEDAÇÃO, PREPARO MECÂNICO COM BETONEIRA 400 L. AF_08/2019</t>
        </is>
      </c>
      <c r="C1151" s="22" t="inlineStr">
        <is>
          <t>SINAPI</t>
        </is>
      </c>
      <c r="D1151" s="22" t="inlineStr">
        <is>
          <t>M3</t>
        </is>
      </c>
      <c r="E1151" s="63" t="n">
        <v>0.006</v>
      </c>
      <c r="F1151" s="64">
        <f>'COMPOSICOES AUXILIARES'!G369</f>
        <v/>
      </c>
      <c r="G1151" s="64">
        <f>ROUND(ROUND(E1151,8)*F1151,2)</f>
        <v/>
      </c>
      <c r="L1151" t="n">
        <v>0.006</v>
      </c>
      <c r="M1151" t="n">
        <v>508.57</v>
      </c>
      <c r="N1151">
        <f>(M1151-F1151)</f>
        <v/>
      </c>
    </row>
    <row r="1152" ht="15" customHeight="1">
      <c r="A1152" s="2" t="inlineStr"/>
      <c r="B1152" s="2" t="inlineStr"/>
      <c r="C1152" s="2" t="inlineStr"/>
      <c r="D1152" s="2" t="inlineStr"/>
      <c r="E1152" s="26" t="inlineStr">
        <is>
          <t>TOTAL Serviço:</t>
        </is>
      </c>
      <c r="F1152" s="56" t="n"/>
      <c r="G1152" s="65">
        <f>SUM(G1151:G1151)</f>
        <v/>
      </c>
    </row>
    <row r="1153" ht="15" customHeight="1">
      <c r="A1153" s="2" t="inlineStr"/>
      <c r="B1153" s="2" t="inlineStr"/>
      <c r="C1153" s="2" t="inlineStr"/>
      <c r="D1153" s="2" t="inlineStr"/>
      <c r="E1153" s="28" t="inlineStr">
        <is>
          <t>VALOR:</t>
        </is>
      </c>
      <c r="F1153" s="56" t="n"/>
      <c r="G1153" s="66">
        <f>SUM(G1152,G1145,G1149,G1142)</f>
        <v/>
      </c>
    </row>
    <row r="1154" ht="15" customHeight="1">
      <c r="A1154" s="2" t="inlineStr"/>
      <c r="B1154" s="2" t="inlineStr"/>
      <c r="C1154" s="2" t="inlineStr"/>
      <c r="D1154" s="2" t="inlineStr"/>
      <c r="E1154" s="28" t="inlineStr">
        <is>
          <t>VALOR BDI (23.08%):</t>
        </is>
      </c>
      <c r="F1154" s="56" t="n"/>
      <c r="G1154" s="66">
        <f>ROUNDDOWN(G1153*BDI,2)</f>
        <v/>
      </c>
    </row>
    <row r="1155" ht="15" customHeight="1">
      <c r="A1155" s="2" t="inlineStr"/>
      <c r="B1155" s="2" t="inlineStr"/>
      <c r="C1155" s="2" t="inlineStr"/>
      <c r="D1155" s="2" t="inlineStr"/>
      <c r="E1155" s="28" t="inlineStr">
        <is>
          <t>VALOR COM BDI:</t>
        </is>
      </c>
      <c r="F1155" s="56" t="n"/>
      <c r="G1155" s="66">
        <f>G1154 + G1153</f>
        <v/>
      </c>
    </row>
    <row r="1156" ht="10" customHeight="1">
      <c r="A1156" s="2" t="inlineStr"/>
      <c r="B1156" s="2" t="inlineStr"/>
      <c r="C1156" s="2" t="inlineStr"/>
      <c r="D1156" s="2" t="inlineStr"/>
      <c r="E1156" s="18" t="inlineStr"/>
    </row>
    <row r="1157" ht="20" customHeight="1">
      <c r="A1157" s="19" t="inlineStr">
        <is>
          <t>5.5.1.1. ​478 PRÓPRIO​ CLARABOIA EM CAIXILHO DE ALUMÍNIO E VIDRO LAMINADO COLORIDO -FORNECIMENTO E INSTALAÇÃO​ (M²)</t>
        </is>
      </c>
      <c r="B1157" s="55" t="n"/>
      <c r="C1157" s="55" t="n"/>
      <c r="D1157" s="55" t="n"/>
      <c r="E1157" s="55" t="n"/>
      <c r="F1157" s="55" t="n"/>
      <c r="G1157" s="56" t="n"/>
    </row>
    <row r="1158" ht="15" customHeight="1">
      <c r="A1158" s="20" t="inlineStr">
        <is>
          <t>Material</t>
        </is>
      </c>
      <c r="B1158" s="56" t="n"/>
      <c r="C1158" s="21" t="inlineStr">
        <is>
          <t>FONTE</t>
        </is>
      </c>
      <c r="D1158" s="21" t="inlineStr">
        <is>
          <t>UNID</t>
        </is>
      </c>
      <c r="E1158" s="21" t="inlineStr">
        <is>
          <t>COEFICIENTE</t>
        </is>
      </c>
      <c r="F1158" s="21" t="inlineStr">
        <is>
          <t>PREÇO UNITÁRIO</t>
        </is>
      </c>
      <c r="G1158" s="21" t="inlineStr">
        <is>
          <t>TOTAL</t>
        </is>
      </c>
    </row>
    <row r="1159" ht="38" customHeight="1">
      <c r="A1159" s="22" t="inlineStr">
        <is>
          <t>00000599</t>
        </is>
      </c>
      <c r="B1159" s="23" t="inlineStr">
        <is>
          <t>JANELA FIXA, EM ALUMINIO PERFIL 20, 60 X 80 CM (A X L), BATENTE/REQUADRO DE 3 A 14 CM, COM VIDRO 4 MM, SEM GUARNICAO/ALIZAR, ACABAMENTO ALUM BRANCO OU BRILHANTE</t>
        </is>
      </c>
      <c r="C1159" s="22" t="inlineStr">
        <is>
          <t>SINAPI</t>
        </is>
      </c>
      <c r="D1159" s="22" t="inlineStr">
        <is>
          <t>M2</t>
        </is>
      </c>
      <c r="E1159" s="63" t="n">
        <v>1.05</v>
      </c>
      <c r="F1159" s="64">
        <f>ROUND(M1159*FATOR, 2)</f>
        <v/>
      </c>
      <c r="G1159" s="64">
        <f>ROUND(ROUND(E1159,8)*F1159,2)</f>
        <v/>
      </c>
      <c r="L1159" t="n">
        <v>1.05</v>
      </c>
      <c r="M1159" t="n">
        <v>829.73</v>
      </c>
      <c r="N1159">
        <f>(M1159-F1159)</f>
        <v/>
      </c>
    </row>
    <row r="1160" ht="15" customHeight="1">
      <c r="A1160" s="2" t="inlineStr"/>
      <c r="B1160" s="2" t="inlineStr"/>
      <c r="C1160" s="2" t="inlineStr"/>
      <c r="D1160" s="2" t="inlineStr"/>
      <c r="E1160" s="26" t="inlineStr">
        <is>
          <t>TOTAL Material:</t>
        </is>
      </c>
      <c r="F1160" s="56" t="n"/>
      <c r="G1160" s="65">
        <f>SUM(G1159:G1159)</f>
        <v/>
      </c>
    </row>
    <row r="1161" ht="15" customHeight="1">
      <c r="A1161" s="20" t="inlineStr">
        <is>
          <t>Mão de Obra com Encargos Complementares</t>
        </is>
      </c>
      <c r="B1161" s="56" t="n"/>
      <c r="C1161" s="21" t="inlineStr">
        <is>
          <t>FONTE</t>
        </is>
      </c>
      <c r="D1161" s="21" t="inlineStr">
        <is>
          <t>UNID</t>
        </is>
      </c>
      <c r="E1161" s="21" t="inlineStr">
        <is>
          <t>COEFICIENTE</t>
        </is>
      </c>
      <c r="F1161" s="21" t="inlineStr">
        <is>
          <t>PREÇO UNITÁRIO</t>
        </is>
      </c>
      <c r="G1161" s="21" t="inlineStr">
        <is>
          <t>TOTAL</t>
        </is>
      </c>
    </row>
    <row r="1162" ht="21" customHeight="1">
      <c r="A1162" s="22" t="inlineStr">
        <is>
          <t>88243</t>
        </is>
      </c>
      <c r="B1162" s="23" t="inlineStr">
        <is>
          <t>AJUDANTE ESPECIALIZADO COM ENCARGOS COMPLEMENTARES</t>
        </is>
      </c>
      <c r="C1162" s="22" t="inlineStr">
        <is>
          <t>SINAPI</t>
        </is>
      </c>
      <c r="D1162" s="22" t="inlineStr">
        <is>
          <t>H</t>
        </is>
      </c>
      <c r="E1162" s="63">
        <f>L1162*FATOR</f>
        <v/>
      </c>
      <c r="F1162" s="64">
        <f>'COMPOSICOES AUXILIARES'!G106</f>
        <v/>
      </c>
      <c r="G1162" s="64">
        <f>ROUND(ROUND(E1162,8)*F1162,2)</f>
        <v/>
      </c>
      <c r="L1162" t="n">
        <v>1.492</v>
      </c>
      <c r="M1162" t="n">
        <v>23.76</v>
      </c>
      <c r="N1162">
        <f>(M1162-F1162)</f>
        <v/>
      </c>
    </row>
    <row r="1163" ht="21" customHeight="1">
      <c r="A1163" s="22" t="inlineStr">
        <is>
          <t>88251</t>
        </is>
      </c>
      <c r="B1163" s="23" t="inlineStr">
        <is>
          <t>AUXILIAR DE SERRALHEIRO COM ENCARGOS COMPLEMENTARES</t>
        </is>
      </c>
      <c r="C1163" s="22" t="inlineStr">
        <is>
          <t>SINAPI</t>
        </is>
      </c>
      <c r="D1163" s="22" t="inlineStr">
        <is>
          <t>H</t>
        </is>
      </c>
      <c r="E1163" s="63">
        <f>L1163*FATOR</f>
        <v/>
      </c>
      <c r="F1163" s="64">
        <f>'COMPOSICOES AUXILIARES'!G543</f>
        <v/>
      </c>
      <c r="G1163" s="64">
        <f>ROUND(ROUND(E1163,8)*F1163,2)</f>
        <v/>
      </c>
      <c r="L1163" t="n">
        <v>1.492</v>
      </c>
      <c r="M1163" t="n">
        <v>24.77</v>
      </c>
      <c r="N1163">
        <f>(M1163-F1163)</f>
        <v/>
      </c>
    </row>
    <row r="1164" ht="15" customHeight="1">
      <c r="A1164" s="22" t="inlineStr">
        <is>
          <t>88315</t>
        </is>
      </c>
      <c r="B1164" s="23" t="inlineStr">
        <is>
          <t>SERRALHEIRO COM ENCARGOS COMPLEMENTARES</t>
        </is>
      </c>
      <c r="C1164" s="22" t="inlineStr">
        <is>
          <t>SINAPI</t>
        </is>
      </c>
      <c r="D1164" s="22" t="inlineStr">
        <is>
          <t>H</t>
        </is>
      </c>
      <c r="E1164" s="63">
        <f>L1164*FATOR</f>
        <v/>
      </c>
      <c r="F1164" s="64">
        <f>'COMPOSICOES AUXILIARES'!G543</f>
        <v/>
      </c>
      <c r="G1164" s="64">
        <f>ROUND(ROUND(E1164,8)*F1164,2)</f>
        <v/>
      </c>
      <c r="L1164" t="n">
        <v>2.558</v>
      </c>
      <c r="M1164" t="n">
        <v>30.37</v>
      </c>
      <c r="N1164">
        <f>(M1164-F1164)</f>
        <v/>
      </c>
    </row>
    <row r="1165" ht="15" customHeight="1">
      <c r="A1165" s="22" t="inlineStr">
        <is>
          <t>88325</t>
        </is>
      </c>
      <c r="B1165" s="23" t="inlineStr">
        <is>
          <t>VIDRACEIRO COM ENCARGOS COMPLEMENTARES</t>
        </is>
      </c>
      <c r="C1165" s="22" t="inlineStr">
        <is>
          <t>SINAPI</t>
        </is>
      </c>
      <c r="D1165" s="22" t="inlineStr">
        <is>
          <t>H</t>
        </is>
      </c>
      <c r="E1165" s="63">
        <f>L1165*FATOR</f>
        <v/>
      </c>
      <c r="F1165" s="64">
        <f>'COMPOSICOES AUXILIARES'!G3787</f>
        <v/>
      </c>
      <c r="G1165" s="64">
        <f>ROUND(ROUND(E1165,8)*F1165,2)</f>
        <v/>
      </c>
      <c r="L1165" t="n">
        <v>2.558</v>
      </c>
      <c r="M1165" t="n">
        <v>25.13</v>
      </c>
      <c r="N1165">
        <f>(M1165-F1165)</f>
        <v/>
      </c>
    </row>
    <row r="1166" ht="18" customHeight="1">
      <c r="A1166" s="2" t="inlineStr"/>
      <c r="B1166" s="2" t="inlineStr"/>
      <c r="C1166" s="2" t="inlineStr"/>
      <c r="D1166" s="2" t="inlineStr"/>
      <c r="E1166" s="26" t="inlineStr">
        <is>
          <t>TOTAL Mão de Obra com Encargos Complementares:</t>
        </is>
      </c>
      <c r="F1166" s="56" t="n"/>
      <c r="G1166" s="65">
        <f>SUM(G1162:G1165)</f>
        <v/>
      </c>
    </row>
    <row r="1167" ht="15" customHeight="1">
      <c r="A1167" s="20" t="inlineStr">
        <is>
          <t>Serviço</t>
        </is>
      </c>
      <c r="B1167" s="56" t="n"/>
      <c r="C1167" s="21" t="inlineStr">
        <is>
          <t>FONTE</t>
        </is>
      </c>
      <c r="D1167" s="21" t="inlineStr">
        <is>
          <t>UNID</t>
        </is>
      </c>
      <c r="E1167" s="21" t="inlineStr">
        <is>
          <t>COEFICIENTE</t>
        </is>
      </c>
      <c r="F1167" s="21" t="inlineStr">
        <is>
          <t>PREÇO UNITÁRIO</t>
        </is>
      </c>
      <c r="G1167" s="21" t="inlineStr">
        <is>
          <t>TOTAL</t>
        </is>
      </c>
    </row>
    <row r="1168" ht="29" customHeight="1">
      <c r="A1168" s="22" t="inlineStr">
        <is>
          <t>00010496</t>
        </is>
      </c>
      <c r="B1168" s="23" t="inlineStr">
        <is>
          <t>VIDRO COMUM LAMINADO, LISO, INCOLOR, DUPLO, ESPESSURA TOTAL 6 MM (CADA CAMADA E= 3 MM) - COLOCADO</t>
        </is>
      </c>
      <c r="C1168" s="22" t="inlineStr">
        <is>
          <t>SINAPI</t>
        </is>
      </c>
      <c r="D1168" s="22" t="inlineStr">
        <is>
          <t>M2</t>
        </is>
      </c>
      <c r="E1168" s="63" t="n">
        <v>1.05</v>
      </c>
      <c r="F1168" s="64">
        <f>'COMPOSICOES AUXILIARES'!G1795</f>
        <v/>
      </c>
      <c r="G1168" s="64">
        <f>ROUND(ROUND(E1168,8)*F1168,2)</f>
        <v/>
      </c>
      <c r="L1168" t="n">
        <v>1.05</v>
      </c>
      <c r="M1168" t="n">
        <v>750</v>
      </c>
      <c r="N1168">
        <f>(M1168-F1168)</f>
        <v/>
      </c>
    </row>
    <row r="1169" ht="15" customHeight="1">
      <c r="A1169" s="2" t="inlineStr"/>
      <c r="B1169" s="2" t="inlineStr"/>
      <c r="C1169" s="2" t="inlineStr"/>
      <c r="D1169" s="2" t="inlineStr"/>
      <c r="E1169" s="26" t="inlineStr">
        <is>
          <t>TOTAL Serviço:</t>
        </is>
      </c>
      <c r="F1169" s="56" t="n"/>
      <c r="G1169" s="65">
        <f>SUM(G1168:G1168)</f>
        <v/>
      </c>
    </row>
    <row r="1170" ht="15" customHeight="1">
      <c r="A1170" s="2" t="inlineStr"/>
      <c r="B1170" s="2" t="inlineStr"/>
      <c r="C1170" s="2" t="inlineStr"/>
      <c r="D1170" s="2" t="inlineStr"/>
      <c r="E1170" s="28" t="inlineStr">
        <is>
          <t>VALOR:</t>
        </is>
      </c>
      <c r="F1170" s="56" t="n"/>
      <c r="G1170" s="66">
        <f>SUM(G1160,G1169,G1166)</f>
        <v/>
      </c>
    </row>
    <row r="1171" ht="15" customHeight="1">
      <c r="A1171" s="2" t="inlineStr"/>
      <c r="B1171" s="2" t="inlineStr"/>
      <c r="C1171" s="2" t="inlineStr"/>
      <c r="D1171" s="2" t="inlineStr"/>
      <c r="E1171" s="28" t="inlineStr">
        <is>
          <t>VALOR BDI (23.08%):</t>
        </is>
      </c>
      <c r="F1171" s="56" t="n"/>
      <c r="G1171" s="66">
        <f>ROUNDDOWN(G1170*BDI,2)</f>
        <v/>
      </c>
    </row>
    <row r="1172" ht="15" customHeight="1">
      <c r="A1172" s="2" t="inlineStr"/>
      <c r="B1172" s="2" t="inlineStr"/>
      <c r="C1172" s="2" t="inlineStr"/>
      <c r="D1172" s="2" t="inlineStr"/>
      <c r="E1172" s="28" t="inlineStr">
        <is>
          <t>VALOR COM BDI:</t>
        </is>
      </c>
      <c r="F1172" s="56" t="n"/>
      <c r="G1172" s="66">
        <f>G1171 + G1170</f>
        <v/>
      </c>
    </row>
    <row r="1173" ht="10" customHeight="1">
      <c r="A1173" s="2" t="inlineStr"/>
      <c r="B1173" s="2" t="inlineStr"/>
      <c r="C1173" s="2" t="inlineStr"/>
      <c r="D1173" s="2" t="inlineStr"/>
      <c r="E1173" s="18" t="inlineStr"/>
    </row>
    <row r="1174" ht="20" customHeight="1">
      <c r="A1174" s="19" t="inlineStr">
        <is>
          <t>6.1.1.1. ​103328​ ALVENARIA DE VEDAÇÃO DE BLOCOS CERÂMICOS FURADOS NA HORIZONTAL DE 9X19X19 CM (ESPESSURA 9 CM) E ARGAMASSA DE ASSENTAMENTO COMPREPARO EM BETONEIRA. AF_12/2021​ (M2)</t>
        </is>
      </c>
      <c r="B1174" s="55" t="n"/>
      <c r="C1174" s="55" t="n"/>
      <c r="D1174" s="55" t="n"/>
      <c r="E1174" s="55" t="n"/>
      <c r="F1174" s="55" t="n"/>
      <c r="G1174" s="56" t="n"/>
    </row>
    <row r="1175" ht="15" customHeight="1">
      <c r="A1175" s="20" t="inlineStr">
        <is>
          <t>Material</t>
        </is>
      </c>
      <c r="B1175" s="56" t="n"/>
      <c r="C1175" s="21" t="inlineStr">
        <is>
          <t>FONTE</t>
        </is>
      </c>
      <c r="D1175" s="21" t="inlineStr">
        <is>
          <t>UNID</t>
        </is>
      </c>
      <c r="E1175" s="21" t="inlineStr">
        <is>
          <t>COEFICIENTE</t>
        </is>
      </c>
      <c r="F1175" s="21" t="inlineStr">
        <is>
          <t>PREÇO UNITÁRIO</t>
        </is>
      </c>
      <c r="G1175" s="21" t="inlineStr">
        <is>
          <t>TOTAL</t>
        </is>
      </c>
    </row>
    <row r="1176" ht="29" customHeight="1">
      <c r="A1176" s="22" t="inlineStr">
        <is>
          <t>00007271</t>
        </is>
      </c>
      <c r="B1176" s="23" t="inlineStr">
        <is>
          <t>BLOCO CERAMICO / TIJOLO VAZADO PARA ALVENARIA DE VEDACAO, 8 FUROS NA HORIZONTAL DE 9 X 19 X 19 CM (L X A X C)</t>
        </is>
      </c>
      <c r="C1176" s="22" t="inlineStr">
        <is>
          <t>SINAPI</t>
        </is>
      </c>
      <c r="D1176" s="22" t="inlineStr">
        <is>
          <t>UN</t>
        </is>
      </c>
      <c r="E1176" s="63" t="n">
        <v>28.31</v>
      </c>
      <c r="F1176" s="64">
        <f>ROUND(M1176*FATOR, 2)</f>
        <v/>
      </c>
      <c r="G1176" s="64">
        <f>TRUNC(TRUNC(E1176,8)*F1176,2)</f>
        <v/>
      </c>
      <c r="L1176" t="n">
        <v>28.31</v>
      </c>
      <c r="M1176" t="n">
        <v>0.88</v>
      </c>
      <c r="N1176">
        <f>(M1176-F1176)</f>
        <v/>
      </c>
    </row>
    <row r="1177" ht="15" customHeight="1">
      <c r="A1177" s="22" t="inlineStr">
        <is>
          <t>00037395</t>
        </is>
      </c>
      <c r="B1177" s="23" t="inlineStr">
        <is>
          <t>PINO DE ACO COM FURO, HASTE = 27 MM (ACAO DIRETA)</t>
        </is>
      </c>
      <c r="C1177" s="22" t="inlineStr">
        <is>
          <t>SINAPI</t>
        </is>
      </c>
      <c r="D1177" s="22" t="inlineStr">
        <is>
          <t>CENTO</t>
        </is>
      </c>
      <c r="E1177" s="63" t="n">
        <v>0.005</v>
      </c>
      <c r="F1177" s="64">
        <f>ROUND(M1177*FATOR, 2)</f>
        <v/>
      </c>
      <c r="G1177" s="64">
        <f>TRUNC(TRUNC(E1177,8)*F1177,2)</f>
        <v/>
      </c>
      <c r="L1177" t="n">
        <v>0.005</v>
      </c>
      <c r="M1177" t="n">
        <v>41.93</v>
      </c>
      <c r="N1177">
        <f>(M1177-F1177)</f>
        <v/>
      </c>
    </row>
    <row r="1178" ht="29" customHeight="1">
      <c r="A1178" s="22" t="inlineStr">
        <is>
          <t>00034557</t>
        </is>
      </c>
      <c r="B1178" s="23" t="inlineStr">
        <is>
          <t>TELA DE ACO SOLDADA GALVANIZADA/ZINCADA PARA ALVENARIA, FIO D = *1,20 A 1,70* MM, MALHA 15 X 15 MM, (C X L) *50 X 7,5* CM</t>
        </is>
      </c>
      <c r="C1178" s="22" t="inlineStr">
        <is>
          <t>SINAPI</t>
        </is>
      </c>
      <c r="D1178" s="22" t="inlineStr">
        <is>
          <t>M</t>
        </is>
      </c>
      <c r="E1178" s="63" t="n">
        <v>0.42</v>
      </c>
      <c r="F1178" s="64">
        <f>ROUND(M1178*FATOR, 2)</f>
        <v/>
      </c>
      <c r="G1178" s="64">
        <f>TRUNC(TRUNC(E1178,8)*F1178,2)</f>
        <v/>
      </c>
      <c r="L1178" t="n">
        <v>0.42</v>
      </c>
      <c r="M1178" t="n">
        <v>2.06</v>
      </c>
      <c r="N1178">
        <f>(M1178-F1178)</f>
        <v/>
      </c>
    </row>
    <row r="1179" ht="15" customHeight="1">
      <c r="A1179" s="2" t="inlineStr"/>
      <c r="B1179" s="2" t="inlineStr"/>
      <c r="C1179" s="2" t="inlineStr"/>
      <c r="D1179" s="2" t="inlineStr"/>
      <c r="E1179" s="26" t="inlineStr">
        <is>
          <t>TOTAL Material:</t>
        </is>
      </c>
      <c r="F1179" s="56" t="n"/>
      <c r="G1179" s="65">
        <f>SUM(G1176:G1178)</f>
        <v/>
      </c>
    </row>
    <row r="1180" ht="15" customHeight="1">
      <c r="A1180" s="20" t="inlineStr">
        <is>
          <t>Mão de Obra com Encargos Complementares</t>
        </is>
      </c>
      <c r="B1180" s="56" t="n"/>
      <c r="C1180" s="21" t="inlineStr">
        <is>
          <t>FONTE</t>
        </is>
      </c>
      <c r="D1180" s="21" t="inlineStr">
        <is>
          <t>UNID</t>
        </is>
      </c>
      <c r="E1180" s="21" t="inlineStr">
        <is>
          <t>COEFICIENTE</t>
        </is>
      </c>
      <c r="F1180" s="21" t="inlineStr">
        <is>
          <t>PREÇO UNITÁRIO</t>
        </is>
      </c>
      <c r="G1180" s="21" t="inlineStr">
        <is>
          <t>TOTAL</t>
        </is>
      </c>
    </row>
    <row r="1181" ht="15" customHeight="1">
      <c r="A1181" s="22" t="inlineStr">
        <is>
          <t>88309</t>
        </is>
      </c>
      <c r="B1181" s="23" t="inlineStr">
        <is>
          <t>PEDREIRO COM ENCARGOS COMPLEMENTARES</t>
        </is>
      </c>
      <c r="C1181" s="22" t="inlineStr">
        <is>
          <t>SINAPI</t>
        </is>
      </c>
      <c r="D1181" s="22" t="inlineStr">
        <is>
          <t>H</t>
        </is>
      </c>
      <c r="E1181" s="63">
        <f>L1181*FATOR</f>
        <v/>
      </c>
      <c r="F1181" s="64">
        <f>'COMPOSICOES AUXILIARES'!G2887</f>
        <v/>
      </c>
      <c r="G1181" s="64">
        <f>TRUNC(TRUNC(E1181,8)*F1181,2)</f>
        <v/>
      </c>
      <c r="L1181" t="n">
        <v>1.61</v>
      </c>
      <c r="M1181" t="n">
        <v>30.58</v>
      </c>
      <c r="N1181">
        <f>(M1181-F1181)</f>
        <v/>
      </c>
    </row>
    <row r="1182" ht="15" customHeight="1">
      <c r="A1182" s="22" t="inlineStr">
        <is>
          <t>88316</t>
        </is>
      </c>
      <c r="B1182" s="23" t="inlineStr">
        <is>
          <t>SERVENTE COM ENCARGOS COMPLEMENTARES</t>
        </is>
      </c>
      <c r="C1182" s="22" t="inlineStr">
        <is>
          <t>SINAPI</t>
        </is>
      </c>
      <c r="D1182" s="22" t="inlineStr">
        <is>
          <t>H</t>
        </is>
      </c>
      <c r="E1182" s="63">
        <f>L1182*FATOR</f>
        <v/>
      </c>
      <c r="F1182" s="64">
        <f>'COMPOSICOES AUXILIARES'!G3390</f>
        <v/>
      </c>
      <c r="G1182" s="64">
        <f>TRUNC(TRUNC(E1182,8)*F1182,2)</f>
        <v/>
      </c>
      <c r="L1182" t="n">
        <v>0.805</v>
      </c>
      <c r="M1182" t="n">
        <v>23.56</v>
      </c>
      <c r="N1182">
        <f>(M1182-F1182)</f>
        <v/>
      </c>
    </row>
    <row r="1183" ht="18" customHeight="1">
      <c r="A1183" s="2" t="inlineStr"/>
      <c r="B1183" s="2" t="inlineStr"/>
      <c r="C1183" s="2" t="inlineStr"/>
      <c r="D1183" s="2" t="inlineStr"/>
      <c r="E1183" s="26" t="inlineStr">
        <is>
          <t>TOTAL Mão de Obra com Encargos Complementares:</t>
        </is>
      </c>
      <c r="F1183" s="56" t="n"/>
      <c r="G1183" s="65">
        <f>SUM(G1181:G1182)</f>
        <v/>
      </c>
    </row>
    <row r="1184" ht="15" customHeight="1">
      <c r="A1184" s="20" t="inlineStr">
        <is>
          <t>Serviço</t>
        </is>
      </c>
      <c r="B1184" s="56" t="n"/>
      <c r="C1184" s="21" t="inlineStr">
        <is>
          <t>FONTE</t>
        </is>
      </c>
      <c r="D1184" s="21" t="inlineStr">
        <is>
          <t>UNID</t>
        </is>
      </c>
      <c r="E1184" s="21" t="inlineStr">
        <is>
          <t>COEFICIENTE</t>
        </is>
      </c>
      <c r="F1184" s="21" t="inlineStr">
        <is>
          <t>PREÇO UNITÁRIO</t>
        </is>
      </c>
      <c r="G1184" s="21" t="inlineStr">
        <is>
          <t>TOTAL</t>
        </is>
      </c>
    </row>
    <row r="1185" ht="38" customHeight="1">
      <c r="A1185" s="22" t="inlineStr">
        <is>
          <t>87292</t>
        </is>
      </c>
      <c r="B1185" s="23" t="inlineStr">
        <is>
          <t>ARGAMASSA TRAÇO 1:2:8 (EM VOLUME DE CIMENTO, CAL E AREIA MÉDIA ÚMIDA) PARA EMBOÇO/MASSA ÚNICA/ASSENTAMENTO DE ALVENARIA DE VEDAÇÃO, PREPARO MECÂNICO COM BETONEIRA 400 L. AF_08/2019</t>
        </is>
      </c>
      <c r="C1185" s="22" t="inlineStr">
        <is>
          <t>SINAPI</t>
        </is>
      </c>
      <c r="D1185" s="22" t="inlineStr">
        <is>
          <t>M3</t>
        </is>
      </c>
      <c r="E1185" s="63" t="n">
        <v>0.0091</v>
      </c>
      <c r="F1185" s="64">
        <f>'COMPOSICOES AUXILIARES'!G217</f>
        <v/>
      </c>
      <c r="G1185" s="64">
        <f>TRUNC(TRUNC(E1185,8)*F1185,2)</f>
        <v/>
      </c>
      <c r="L1185" t="n">
        <v>0.0091</v>
      </c>
      <c r="M1185" t="n">
        <v>654.5</v>
      </c>
      <c r="N1185">
        <f>(M1185-F1185)</f>
        <v/>
      </c>
    </row>
    <row r="1186" ht="15" customHeight="1">
      <c r="A1186" s="2" t="inlineStr"/>
      <c r="B1186" s="2" t="inlineStr"/>
      <c r="C1186" s="2" t="inlineStr"/>
      <c r="D1186" s="2" t="inlineStr"/>
      <c r="E1186" s="26" t="inlineStr">
        <is>
          <t>TOTAL Serviço:</t>
        </is>
      </c>
      <c r="F1186" s="56" t="n"/>
      <c r="G1186" s="65">
        <f>SUM(G1185:G1185)</f>
        <v/>
      </c>
    </row>
    <row r="1187" ht="15" customHeight="1">
      <c r="A1187" s="2" t="inlineStr"/>
      <c r="B1187" s="2" t="inlineStr"/>
      <c r="C1187" s="2" t="inlineStr"/>
      <c r="D1187" s="2" t="inlineStr"/>
      <c r="E1187" s="28" t="inlineStr">
        <is>
          <t>VALOR:</t>
        </is>
      </c>
      <c r="F1187" s="56" t="n"/>
      <c r="G1187" s="66">
        <f>SUM(G1186,G1179,G1183)</f>
        <v/>
      </c>
    </row>
    <row r="1188" ht="15" customHeight="1">
      <c r="A1188" s="2" t="inlineStr"/>
      <c r="B1188" s="2" t="inlineStr"/>
      <c r="C1188" s="2" t="inlineStr"/>
      <c r="D1188" s="2" t="inlineStr"/>
      <c r="E1188" s="28" t="inlineStr">
        <is>
          <t>VALOR BDI (23.08%):</t>
        </is>
      </c>
      <c r="F1188" s="56" t="n"/>
      <c r="G1188" s="66">
        <f>ROUNDDOWN(G1187*BDI,2)</f>
        <v/>
      </c>
    </row>
    <row r="1189" ht="15" customHeight="1">
      <c r="A1189" s="2" t="inlineStr"/>
      <c r="B1189" s="2" t="inlineStr"/>
      <c r="C1189" s="2" t="inlineStr"/>
      <c r="D1189" s="2" t="inlineStr"/>
      <c r="E1189" s="28" t="inlineStr">
        <is>
          <t>VALOR COM BDI:</t>
        </is>
      </c>
      <c r="F1189" s="56" t="n"/>
      <c r="G1189" s="66">
        <f>G1188 + G1187</f>
        <v/>
      </c>
    </row>
    <row r="1190" ht="10" customHeight="1">
      <c r="A1190" s="2" t="inlineStr"/>
      <c r="B1190" s="2" t="inlineStr"/>
      <c r="C1190" s="2" t="inlineStr"/>
      <c r="D1190" s="2" t="inlineStr"/>
      <c r="E1190" s="18" t="inlineStr"/>
    </row>
    <row r="1191" ht="20" customHeight="1">
      <c r="A1191" s="19" t="inlineStr">
        <is>
          <t>6.2.1.1. ​90443​ RASGO LINEAR MANUAL EM ALVENARIA, PARA RAMAIS/ DISTRIBUIÇÃO DE INSTALAÇÕES HIDRÁULICAS, DIÂMETROS MENORES OU IGUAIS A 40 MM. AF_09/2023​ (M)</t>
        </is>
      </c>
      <c r="B1191" s="55" t="n"/>
      <c r="C1191" s="55" t="n"/>
      <c r="D1191" s="55" t="n"/>
      <c r="E1191" s="55" t="n"/>
      <c r="F1191" s="55" t="n"/>
      <c r="G1191" s="56" t="n"/>
    </row>
    <row r="1192" ht="15" customHeight="1">
      <c r="A1192" s="20" t="inlineStr">
        <is>
          <t>Mão de Obra com Encargos Complementares</t>
        </is>
      </c>
      <c r="B1192" s="56" t="n"/>
      <c r="C1192" s="21" t="inlineStr">
        <is>
          <t>FONTE</t>
        </is>
      </c>
      <c r="D1192" s="21" t="inlineStr">
        <is>
          <t>UNID</t>
        </is>
      </c>
      <c r="E1192" s="21" t="inlineStr">
        <is>
          <t>COEFICIENTE</t>
        </is>
      </c>
      <c r="F1192" s="21" t="inlineStr">
        <is>
          <t>PREÇO UNITÁRIO</t>
        </is>
      </c>
      <c r="G1192" s="21" t="inlineStr">
        <is>
          <t>TOTAL</t>
        </is>
      </c>
    </row>
    <row r="1193" ht="21" customHeight="1">
      <c r="A1193" s="22" t="inlineStr">
        <is>
          <t>88248</t>
        </is>
      </c>
      <c r="B1193" s="23" t="inlineStr">
        <is>
          <t>AUXILIAR DE ENCANADOR OU BOMBEIRO HIDRÁULICO COM ENCARGOS COMPLEMENTARES</t>
        </is>
      </c>
      <c r="C1193" s="22" t="inlineStr">
        <is>
          <t>SINAPI</t>
        </is>
      </c>
      <c r="D1193" s="22" t="inlineStr">
        <is>
          <t>H</t>
        </is>
      </c>
      <c r="E1193" s="63">
        <f>L1193*FATOR</f>
        <v/>
      </c>
      <c r="F1193" s="64">
        <f>'COMPOSICOES AUXILIARES'!G524</f>
        <v/>
      </c>
      <c r="G1193" s="64">
        <f>TRUNC(TRUNC(E1193,8)*F1193,2)</f>
        <v/>
      </c>
      <c r="L1193" t="n">
        <v>0.066</v>
      </c>
      <c r="M1193" t="n">
        <v>24.23</v>
      </c>
      <c r="N1193">
        <f>(M1193-F1193)</f>
        <v/>
      </c>
    </row>
    <row r="1194" ht="21" customHeight="1">
      <c r="A1194" s="22" t="inlineStr">
        <is>
          <t>88267</t>
        </is>
      </c>
      <c r="B1194" s="23" t="inlineStr">
        <is>
          <t>ENCANADOR OU BOMBEIRO HIDRÁULICO COM ENCARGOS COMPLEMENTARES</t>
        </is>
      </c>
      <c r="C1194" s="22" t="inlineStr">
        <is>
          <t>SINAPI</t>
        </is>
      </c>
      <c r="D1194" s="22" t="inlineStr">
        <is>
          <t>H</t>
        </is>
      </c>
      <c r="E1194" s="63">
        <f>L1194*FATOR</f>
        <v/>
      </c>
      <c r="F1194" s="64">
        <f>'COMPOSICOES AUXILIARES'!G524</f>
        <v/>
      </c>
      <c r="G1194" s="64">
        <f>TRUNC(TRUNC(E1194,8)*F1194,2)</f>
        <v/>
      </c>
      <c r="L1194" t="n">
        <v>0.2348</v>
      </c>
      <c r="M1194" t="n">
        <v>29.86</v>
      </c>
      <c r="N1194">
        <f>(M1194-F1194)</f>
        <v/>
      </c>
    </row>
    <row r="1195" ht="18" customHeight="1">
      <c r="A1195" s="2" t="inlineStr"/>
      <c r="B1195" s="2" t="inlineStr"/>
      <c r="C1195" s="2" t="inlineStr"/>
      <c r="D1195" s="2" t="inlineStr"/>
      <c r="E1195" s="26" t="inlineStr">
        <is>
          <t>TOTAL Mão de Obra com Encargos Complementares:</t>
        </is>
      </c>
      <c r="F1195" s="56" t="n"/>
      <c r="G1195" s="65">
        <f>SUM(G1193:G1194)</f>
        <v/>
      </c>
    </row>
    <row r="1196" ht="15" customHeight="1">
      <c r="A1196" s="2" t="inlineStr"/>
      <c r="B1196" s="2" t="inlineStr"/>
      <c r="C1196" s="2" t="inlineStr"/>
      <c r="D1196" s="2" t="inlineStr"/>
      <c r="E1196" s="28" t="inlineStr">
        <is>
          <t>VALOR:</t>
        </is>
      </c>
      <c r="F1196" s="56" t="n"/>
      <c r="G1196" s="66">
        <f>SUM(G1195)</f>
        <v/>
      </c>
    </row>
    <row r="1197" ht="15" customHeight="1">
      <c r="A1197" s="2" t="inlineStr"/>
      <c r="B1197" s="2" t="inlineStr"/>
      <c r="C1197" s="2" t="inlineStr"/>
      <c r="D1197" s="2" t="inlineStr"/>
      <c r="E1197" s="28" t="inlineStr">
        <is>
          <t>VALOR BDI (23.08%):</t>
        </is>
      </c>
      <c r="F1197" s="56" t="n"/>
      <c r="G1197" s="66">
        <f>ROUNDDOWN(G1196*BDI,2)</f>
        <v/>
      </c>
    </row>
    <row r="1198" ht="15" customHeight="1">
      <c r="A1198" s="2" t="inlineStr"/>
      <c r="B1198" s="2" t="inlineStr"/>
      <c r="C1198" s="2" t="inlineStr"/>
      <c r="D1198" s="2" t="inlineStr"/>
      <c r="E1198" s="28" t="inlineStr">
        <is>
          <t>VALOR COM BDI:</t>
        </is>
      </c>
      <c r="F1198" s="56" t="n"/>
      <c r="G1198" s="66">
        <f>G1197 + G1196</f>
        <v/>
      </c>
    </row>
    <row r="1199" ht="10" customHeight="1">
      <c r="A1199" s="2" t="inlineStr"/>
      <c r="B1199" s="2" t="inlineStr"/>
      <c r="C1199" s="2" t="inlineStr"/>
      <c r="D1199" s="2" t="inlineStr"/>
      <c r="E1199" s="18" t="inlineStr"/>
    </row>
    <row r="1200" ht="20" customHeight="1">
      <c r="A1200" s="19" t="inlineStr">
        <is>
          <t>6.2.1.2. ​90447​ RASGO LINEAR MANUAL EM ALVENARIA, PARA ELETRODUTOS, DIÂMETROSMENORES OU IGUAIS A 40 MM. AF_09/2023​ (M)</t>
        </is>
      </c>
      <c r="B1200" s="55" t="n"/>
      <c r="C1200" s="55" t="n"/>
      <c r="D1200" s="55" t="n"/>
      <c r="E1200" s="55" t="n"/>
      <c r="F1200" s="55" t="n"/>
      <c r="G1200" s="56" t="n"/>
    </row>
    <row r="1201" ht="15" customHeight="1">
      <c r="A1201" s="20" t="inlineStr">
        <is>
          <t>Mão de Obra com Encargos Complementares</t>
        </is>
      </c>
      <c r="B1201" s="56" t="n"/>
      <c r="C1201" s="21" t="inlineStr">
        <is>
          <t>FONTE</t>
        </is>
      </c>
      <c r="D1201" s="21" t="inlineStr">
        <is>
          <t>UNID</t>
        </is>
      </c>
      <c r="E1201" s="21" t="inlineStr">
        <is>
          <t>COEFICIENTE</t>
        </is>
      </c>
      <c r="F1201" s="21" t="inlineStr">
        <is>
          <t>PREÇO UNITÁRIO</t>
        </is>
      </c>
      <c r="G1201" s="21" t="inlineStr">
        <is>
          <t>TOTAL</t>
        </is>
      </c>
    </row>
    <row r="1202" ht="21" customHeight="1">
      <c r="A1202" s="22" t="inlineStr">
        <is>
          <t>88247</t>
        </is>
      </c>
      <c r="B1202" s="23" t="inlineStr">
        <is>
          <t>AUXILIAR DE ELETRICISTA COM ENCARGOS COMPLEMENTARES</t>
        </is>
      </c>
      <c r="C1202" s="22" t="inlineStr">
        <is>
          <t>SINAPI</t>
        </is>
      </c>
      <c r="D1202" s="22" t="inlineStr">
        <is>
          <t>H</t>
        </is>
      </c>
      <c r="E1202" s="63">
        <f>L1202*FATOR</f>
        <v/>
      </c>
      <c r="F1202" s="64">
        <f>'COMPOSICOES AUXILIARES'!G505</f>
        <v/>
      </c>
      <c r="G1202" s="64">
        <f>TRUNC(TRUNC(E1202,8)*F1202,2)</f>
        <v/>
      </c>
      <c r="L1202" t="n">
        <v>0.066</v>
      </c>
      <c r="M1202" t="n">
        <v>25.22</v>
      </c>
      <c r="N1202">
        <f>(M1202-F1202)</f>
        <v/>
      </c>
    </row>
    <row r="1203" ht="15" customHeight="1">
      <c r="A1203" s="22" t="inlineStr">
        <is>
          <t>88264</t>
        </is>
      </c>
      <c r="B1203" s="23" t="inlineStr">
        <is>
          <t>ELETRICISTA COM ENCARGOS COMPLEMENTARES</t>
        </is>
      </c>
      <c r="C1203" s="22" t="inlineStr">
        <is>
          <t>SINAPI</t>
        </is>
      </c>
      <c r="D1203" s="22" t="inlineStr">
        <is>
          <t>H</t>
        </is>
      </c>
      <c r="E1203" s="63">
        <f>L1203*FATOR</f>
        <v/>
      </c>
      <c r="F1203" s="64">
        <f>'COMPOSICOES AUXILIARES'!G505</f>
        <v/>
      </c>
      <c r="G1203" s="64">
        <f>TRUNC(TRUNC(E1203,8)*F1203,2)</f>
        <v/>
      </c>
      <c r="L1203" t="n">
        <v>0.2348</v>
      </c>
      <c r="M1203" t="n">
        <v>30.96</v>
      </c>
      <c r="N1203">
        <f>(M1203-F1203)</f>
        <v/>
      </c>
    </row>
    <row r="1204" ht="18" customHeight="1">
      <c r="A1204" s="2" t="inlineStr"/>
      <c r="B1204" s="2" t="inlineStr"/>
      <c r="C1204" s="2" t="inlineStr"/>
      <c r="D1204" s="2" t="inlineStr"/>
      <c r="E1204" s="26" t="inlineStr">
        <is>
          <t>TOTAL Mão de Obra com Encargos Complementares:</t>
        </is>
      </c>
      <c r="F1204" s="56" t="n"/>
      <c r="G1204" s="65">
        <f>SUM(G1202:G1203)</f>
        <v/>
      </c>
    </row>
    <row r="1205" ht="15" customHeight="1">
      <c r="A1205" s="2" t="inlineStr"/>
      <c r="B1205" s="2" t="inlineStr"/>
      <c r="C1205" s="2" t="inlineStr"/>
      <c r="D1205" s="2" t="inlineStr"/>
      <c r="E1205" s="28" t="inlineStr">
        <is>
          <t>VALOR:</t>
        </is>
      </c>
      <c r="F1205" s="56" t="n"/>
      <c r="G1205" s="66">
        <f>SUM(G1204)</f>
        <v/>
      </c>
    </row>
    <row r="1206" ht="15" customHeight="1">
      <c r="A1206" s="2" t="inlineStr"/>
      <c r="B1206" s="2" t="inlineStr"/>
      <c r="C1206" s="2" t="inlineStr"/>
      <c r="D1206" s="2" t="inlineStr"/>
      <c r="E1206" s="28" t="inlineStr">
        <is>
          <t>VALOR BDI (23.08%):</t>
        </is>
      </c>
      <c r="F1206" s="56" t="n"/>
      <c r="G1206" s="66">
        <f>ROUNDDOWN(G1205*BDI,2)</f>
        <v/>
      </c>
    </row>
    <row r="1207" ht="15" customHeight="1">
      <c r="A1207" s="2" t="inlineStr"/>
      <c r="B1207" s="2" t="inlineStr"/>
      <c r="C1207" s="2" t="inlineStr"/>
      <c r="D1207" s="2" t="inlineStr"/>
      <c r="E1207" s="28" t="inlineStr">
        <is>
          <t>VALOR COM BDI:</t>
        </is>
      </c>
      <c r="F1207" s="56" t="n"/>
      <c r="G1207" s="66">
        <f>G1206 + G1205</f>
        <v/>
      </c>
    </row>
    <row r="1208" ht="10" customHeight="1">
      <c r="A1208" s="2" t="inlineStr"/>
      <c r="B1208" s="2" t="inlineStr"/>
      <c r="C1208" s="2" t="inlineStr"/>
      <c r="D1208" s="2" t="inlineStr"/>
      <c r="E1208" s="18" t="inlineStr"/>
    </row>
    <row r="1209" ht="20" customHeight="1">
      <c r="A1209" s="19" t="inlineStr">
        <is>
          <t>6.2.2.1. ​90466​ CHUMBAMENTO LINEAR EM ALVENARIA PARA RAMAIS/DISTRIBUIÇÃO DE INSTALAÇÕES HIDRÁULICAS COM DIÂMETROS MENORES OU IGUAIS A 40 MM.AF_09/2023​ (M)</t>
        </is>
      </c>
      <c r="B1209" s="55" t="n"/>
      <c r="C1209" s="55" t="n"/>
      <c r="D1209" s="55" t="n"/>
      <c r="E1209" s="55" t="n"/>
      <c r="F1209" s="55" t="n"/>
      <c r="G1209" s="56" t="n"/>
    </row>
    <row r="1210" ht="15" customHeight="1">
      <c r="A1210" s="20" t="inlineStr">
        <is>
          <t>Mão de Obra com Encargos Complementares</t>
        </is>
      </c>
      <c r="B1210" s="56" t="n"/>
      <c r="C1210" s="21" t="inlineStr">
        <is>
          <t>FONTE</t>
        </is>
      </c>
      <c r="D1210" s="21" t="inlineStr">
        <is>
          <t>UNID</t>
        </is>
      </c>
      <c r="E1210" s="21" t="inlineStr">
        <is>
          <t>COEFICIENTE</t>
        </is>
      </c>
      <c r="F1210" s="21" t="inlineStr">
        <is>
          <t>PREÇO UNITÁRIO</t>
        </is>
      </c>
      <c r="G1210" s="21" t="inlineStr">
        <is>
          <t>TOTAL</t>
        </is>
      </c>
    </row>
    <row r="1211" ht="21" customHeight="1">
      <c r="A1211" s="22" t="inlineStr">
        <is>
          <t>88248</t>
        </is>
      </c>
      <c r="B1211" s="23" t="inlineStr">
        <is>
          <t>AUXILIAR DE ENCANADOR OU BOMBEIRO HIDRÁULICO COM ENCARGOS COMPLEMENTARES</t>
        </is>
      </c>
      <c r="C1211" s="22" t="inlineStr">
        <is>
          <t>SINAPI</t>
        </is>
      </c>
      <c r="D1211" s="22" t="inlineStr">
        <is>
          <t>H</t>
        </is>
      </c>
      <c r="E1211" s="63">
        <f>L1211*FATOR</f>
        <v/>
      </c>
      <c r="F1211" s="64">
        <f>'COMPOSICOES AUXILIARES'!G524</f>
        <v/>
      </c>
      <c r="G1211" s="64">
        <f>TRUNC(TRUNC(E1211,8)*F1211,2)</f>
        <v/>
      </c>
      <c r="L1211" t="n">
        <v>0.083</v>
      </c>
      <c r="M1211" t="n">
        <v>24.23</v>
      </c>
      <c r="N1211">
        <f>(M1211-F1211)</f>
        <v/>
      </c>
    </row>
    <row r="1212" ht="21" customHeight="1">
      <c r="A1212" s="22" t="inlineStr">
        <is>
          <t>88267</t>
        </is>
      </c>
      <c r="B1212" s="23" t="inlineStr">
        <is>
          <t>ENCANADOR OU BOMBEIRO HIDRÁULICO COM ENCARGOS COMPLEMENTARES</t>
        </is>
      </c>
      <c r="C1212" s="22" t="inlineStr">
        <is>
          <t>SINAPI</t>
        </is>
      </c>
      <c r="D1212" s="22" t="inlineStr">
        <is>
          <t>H</t>
        </is>
      </c>
      <c r="E1212" s="63">
        <f>L1212*FATOR</f>
        <v/>
      </c>
      <c r="F1212" s="64">
        <f>'COMPOSICOES AUXILIARES'!G524</f>
        <v/>
      </c>
      <c r="G1212" s="64">
        <f>TRUNC(TRUNC(E1212,8)*F1212,2)</f>
        <v/>
      </c>
      <c r="L1212" t="n">
        <v>0.365</v>
      </c>
      <c r="M1212" t="n">
        <v>29.86</v>
      </c>
      <c r="N1212">
        <f>(M1212-F1212)</f>
        <v/>
      </c>
    </row>
    <row r="1213" ht="18" customHeight="1">
      <c r="A1213" s="2" t="inlineStr"/>
      <c r="B1213" s="2" t="inlineStr"/>
      <c r="C1213" s="2" t="inlineStr"/>
      <c r="D1213" s="2" t="inlineStr"/>
      <c r="E1213" s="26" t="inlineStr">
        <is>
          <t>TOTAL Mão de Obra com Encargos Complementares:</t>
        </is>
      </c>
      <c r="F1213" s="56" t="n"/>
      <c r="G1213" s="65">
        <f>SUM(G1211:G1212)</f>
        <v/>
      </c>
    </row>
    <row r="1214" ht="15" customHeight="1">
      <c r="A1214" s="20" t="inlineStr">
        <is>
          <t>Serviço</t>
        </is>
      </c>
      <c r="B1214" s="56" t="n"/>
      <c r="C1214" s="21" t="inlineStr">
        <is>
          <t>FONTE</t>
        </is>
      </c>
      <c r="D1214" s="21" t="inlineStr">
        <is>
          <t>UNID</t>
        </is>
      </c>
      <c r="E1214" s="21" t="inlineStr">
        <is>
          <t>COEFICIENTE</t>
        </is>
      </c>
      <c r="F1214" s="21" t="inlineStr">
        <is>
          <t>PREÇO UNITÁRIO</t>
        </is>
      </c>
      <c r="G1214" s="21" t="inlineStr">
        <is>
          <t>TOTAL</t>
        </is>
      </c>
    </row>
    <row r="1215" ht="21" customHeight="1">
      <c r="A1215" s="22" t="inlineStr">
        <is>
          <t>88629</t>
        </is>
      </c>
      <c r="B1215" s="23" t="inlineStr">
        <is>
          <t>ARGAMASSA TRAÇO 1:3 (EM VOLUME DE CIMENTO E AREIA MÉDIA ÚMIDA), PREPARO MANUAL. AF_08/2019</t>
        </is>
      </c>
      <c r="C1215" s="22" t="inlineStr">
        <is>
          <t>SINAPI</t>
        </is>
      </c>
      <c r="D1215" s="22" t="inlineStr">
        <is>
          <t>M3</t>
        </is>
      </c>
      <c r="E1215" s="63" t="n">
        <v>0.0051</v>
      </c>
      <c r="F1215" s="64">
        <f>'COMPOSICOES AUXILIARES'!G308</f>
        <v/>
      </c>
      <c r="G1215" s="64">
        <f>TRUNC(TRUNC(E1215,8)*F1215,2)</f>
        <v/>
      </c>
      <c r="L1215" t="n">
        <v>0.0051</v>
      </c>
      <c r="M1215" t="n">
        <v>698.39</v>
      </c>
      <c r="N1215">
        <f>(M1215-F1215)</f>
        <v/>
      </c>
    </row>
    <row r="1216" ht="15" customHeight="1">
      <c r="A1216" s="2" t="inlineStr"/>
      <c r="B1216" s="2" t="inlineStr"/>
      <c r="C1216" s="2" t="inlineStr"/>
      <c r="D1216" s="2" t="inlineStr"/>
      <c r="E1216" s="26" t="inlineStr">
        <is>
          <t>TOTAL Serviço:</t>
        </is>
      </c>
      <c r="F1216" s="56" t="n"/>
      <c r="G1216" s="65">
        <f>SUM(G1215:G1215)</f>
        <v/>
      </c>
    </row>
    <row r="1217" ht="15" customHeight="1">
      <c r="A1217" s="2" t="inlineStr"/>
      <c r="B1217" s="2" t="inlineStr"/>
      <c r="C1217" s="2" t="inlineStr"/>
      <c r="D1217" s="2" t="inlineStr"/>
      <c r="E1217" s="28" t="inlineStr">
        <is>
          <t>VALOR:</t>
        </is>
      </c>
      <c r="F1217" s="56" t="n"/>
      <c r="G1217" s="66">
        <f>SUM(G1216,G1213)</f>
        <v/>
      </c>
    </row>
    <row r="1218" ht="15" customHeight="1">
      <c r="A1218" s="2" t="inlineStr"/>
      <c r="B1218" s="2" t="inlineStr"/>
      <c r="C1218" s="2" t="inlineStr"/>
      <c r="D1218" s="2" t="inlineStr"/>
      <c r="E1218" s="28" t="inlineStr">
        <is>
          <t>VALOR BDI (23.08%):</t>
        </is>
      </c>
      <c r="F1218" s="56" t="n"/>
      <c r="G1218" s="66">
        <f>ROUNDDOWN(G1217*BDI,2)</f>
        <v/>
      </c>
    </row>
    <row r="1219" ht="15" customHeight="1">
      <c r="A1219" s="2" t="inlineStr"/>
      <c r="B1219" s="2" t="inlineStr"/>
      <c r="C1219" s="2" t="inlineStr"/>
      <c r="D1219" s="2" t="inlineStr"/>
      <c r="E1219" s="28" t="inlineStr">
        <is>
          <t>VALOR COM BDI:</t>
        </is>
      </c>
      <c r="F1219" s="56" t="n"/>
      <c r="G1219" s="66">
        <f>G1218 + G1217</f>
        <v/>
      </c>
    </row>
    <row r="1220" ht="10" customHeight="1">
      <c r="A1220" s="2" t="inlineStr"/>
      <c r="B1220" s="2" t="inlineStr"/>
      <c r="C1220" s="2" t="inlineStr"/>
      <c r="D1220" s="2" t="inlineStr"/>
      <c r="E1220" s="18" t="inlineStr"/>
    </row>
    <row r="1221" ht="20" customHeight="1">
      <c r="A1221" s="19" t="inlineStr">
        <is>
          <t>6.2.2.2. ​104766​ CHUMBAMENTO LINEAR EM ALVENARIA PARA ELETRODUTOS COM DIÂMETROSMENORES OU IGUAIS A 40 MM. AF_09/2023​ (M)</t>
        </is>
      </c>
      <c r="B1221" s="55" t="n"/>
      <c r="C1221" s="55" t="n"/>
      <c r="D1221" s="55" t="n"/>
      <c r="E1221" s="55" t="n"/>
      <c r="F1221" s="55" t="n"/>
      <c r="G1221" s="56" t="n"/>
    </row>
    <row r="1222" ht="15" customHeight="1">
      <c r="A1222" s="20" t="inlineStr">
        <is>
          <t>Mão de Obra com Encargos Complementares</t>
        </is>
      </c>
      <c r="B1222" s="56" t="n"/>
      <c r="C1222" s="21" t="inlineStr">
        <is>
          <t>FONTE</t>
        </is>
      </c>
      <c r="D1222" s="21" t="inlineStr">
        <is>
          <t>UNID</t>
        </is>
      </c>
      <c r="E1222" s="21" t="inlineStr">
        <is>
          <t>COEFICIENTE</t>
        </is>
      </c>
      <c r="F1222" s="21" t="inlineStr">
        <is>
          <t>PREÇO UNITÁRIO</t>
        </is>
      </c>
      <c r="G1222" s="21" t="inlineStr">
        <is>
          <t>TOTAL</t>
        </is>
      </c>
    </row>
    <row r="1223" ht="21" customHeight="1">
      <c r="A1223" s="22" t="inlineStr">
        <is>
          <t>88247</t>
        </is>
      </c>
      <c r="B1223" s="23" t="inlineStr">
        <is>
          <t>AUXILIAR DE ELETRICISTA COM ENCARGOS COMPLEMENTARES</t>
        </is>
      </c>
      <c r="C1223" s="22" t="inlineStr">
        <is>
          <t>SINAPI</t>
        </is>
      </c>
      <c r="D1223" s="22" t="inlineStr">
        <is>
          <t>H</t>
        </is>
      </c>
      <c r="E1223" s="63">
        <f>L1223*FATOR</f>
        <v/>
      </c>
      <c r="F1223" s="64">
        <f>'COMPOSICOES AUXILIARES'!G505</f>
        <v/>
      </c>
      <c r="G1223" s="64">
        <f>TRUNC(TRUNC(E1223,8)*F1223,2)</f>
        <v/>
      </c>
      <c r="L1223" t="n">
        <v>0.083</v>
      </c>
      <c r="M1223" t="n">
        <v>25.22</v>
      </c>
      <c r="N1223">
        <f>(M1223-F1223)</f>
        <v/>
      </c>
    </row>
    <row r="1224" ht="15" customHeight="1">
      <c r="A1224" s="22" t="inlineStr">
        <is>
          <t>88264</t>
        </is>
      </c>
      <c r="B1224" s="23" t="inlineStr">
        <is>
          <t>ELETRICISTA COM ENCARGOS COMPLEMENTARES</t>
        </is>
      </c>
      <c r="C1224" s="22" t="inlineStr">
        <is>
          <t>SINAPI</t>
        </is>
      </c>
      <c r="D1224" s="22" t="inlineStr">
        <is>
          <t>H</t>
        </is>
      </c>
      <c r="E1224" s="63">
        <f>L1224*FATOR</f>
        <v/>
      </c>
      <c r="F1224" s="64">
        <f>'COMPOSICOES AUXILIARES'!G505</f>
        <v/>
      </c>
      <c r="G1224" s="64">
        <f>TRUNC(TRUNC(E1224,8)*F1224,2)</f>
        <v/>
      </c>
      <c r="L1224" t="n">
        <v>0.365</v>
      </c>
      <c r="M1224" t="n">
        <v>30.96</v>
      </c>
      <c r="N1224">
        <f>(M1224-F1224)</f>
        <v/>
      </c>
    </row>
    <row r="1225" ht="18" customHeight="1">
      <c r="A1225" s="2" t="inlineStr"/>
      <c r="B1225" s="2" t="inlineStr"/>
      <c r="C1225" s="2" t="inlineStr"/>
      <c r="D1225" s="2" t="inlineStr"/>
      <c r="E1225" s="26" t="inlineStr">
        <is>
          <t>TOTAL Mão de Obra com Encargos Complementares:</t>
        </is>
      </c>
      <c r="F1225" s="56" t="n"/>
      <c r="G1225" s="65">
        <f>SUM(G1223:G1224)</f>
        <v/>
      </c>
    </row>
    <row r="1226" ht="15" customHeight="1">
      <c r="A1226" s="20" t="inlineStr">
        <is>
          <t>Serviço</t>
        </is>
      </c>
      <c r="B1226" s="56" t="n"/>
      <c r="C1226" s="21" t="inlineStr">
        <is>
          <t>FONTE</t>
        </is>
      </c>
      <c r="D1226" s="21" t="inlineStr">
        <is>
          <t>UNID</t>
        </is>
      </c>
      <c r="E1226" s="21" t="inlineStr">
        <is>
          <t>COEFICIENTE</t>
        </is>
      </c>
      <c r="F1226" s="21" t="inlineStr">
        <is>
          <t>PREÇO UNITÁRIO</t>
        </is>
      </c>
      <c r="G1226" s="21" t="inlineStr">
        <is>
          <t>TOTAL</t>
        </is>
      </c>
    </row>
    <row r="1227" ht="21" customHeight="1">
      <c r="A1227" s="22" t="inlineStr">
        <is>
          <t>88629</t>
        </is>
      </c>
      <c r="B1227" s="23" t="inlineStr">
        <is>
          <t>ARGAMASSA TRAÇO 1:3 (EM VOLUME DE CIMENTO E AREIA MÉDIA ÚMIDA), PREPARO MANUAL. AF_08/2019</t>
        </is>
      </c>
      <c r="C1227" s="22" t="inlineStr">
        <is>
          <t>SINAPI</t>
        </is>
      </c>
      <c r="D1227" s="22" t="inlineStr">
        <is>
          <t>M3</t>
        </is>
      </c>
      <c r="E1227" s="63" t="n">
        <v>0.0051</v>
      </c>
      <c r="F1227" s="64">
        <f>'COMPOSICOES AUXILIARES'!G308</f>
        <v/>
      </c>
      <c r="G1227" s="64">
        <f>TRUNC(TRUNC(E1227,8)*F1227,2)</f>
        <v/>
      </c>
      <c r="L1227" t="n">
        <v>0.0051</v>
      </c>
      <c r="M1227" t="n">
        <v>698.39</v>
      </c>
      <c r="N1227">
        <f>(M1227-F1227)</f>
        <v/>
      </c>
    </row>
    <row r="1228" ht="15" customHeight="1">
      <c r="A1228" s="2" t="inlineStr"/>
      <c r="B1228" s="2" t="inlineStr"/>
      <c r="C1228" s="2" t="inlineStr"/>
      <c r="D1228" s="2" t="inlineStr"/>
      <c r="E1228" s="26" t="inlineStr">
        <is>
          <t>TOTAL Serviço:</t>
        </is>
      </c>
      <c r="F1228" s="56" t="n"/>
      <c r="G1228" s="65">
        <f>SUM(G1227:G1227)</f>
        <v/>
      </c>
    </row>
    <row r="1229" ht="15" customHeight="1">
      <c r="A1229" s="2" t="inlineStr"/>
      <c r="B1229" s="2" t="inlineStr"/>
      <c r="C1229" s="2" t="inlineStr"/>
      <c r="D1229" s="2" t="inlineStr"/>
      <c r="E1229" s="28" t="inlineStr">
        <is>
          <t>VALOR:</t>
        </is>
      </c>
      <c r="F1229" s="56" t="n"/>
      <c r="G1229" s="66">
        <f>SUM(G1225,G1228)</f>
        <v/>
      </c>
    </row>
    <row r="1230" ht="15" customHeight="1">
      <c r="A1230" s="2" t="inlineStr"/>
      <c r="B1230" s="2" t="inlineStr"/>
      <c r="C1230" s="2" t="inlineStr"/>
      <c r="D1230" s="2" t="inlineStr"/>
      <c r="E1230" s="28" t="inlineStr">
        <is>
          <t>VALOR BDI (23.08%):</t>
        </is>
      </c>
      <c r="F1230" s="56" t="n"/>
      <c r="G1230" s="66">
        <f>ROUNDDOWN(G1229*BDI,2)</f>
        <v/>
      </c>
    </row>
    <row r="1231" ht="15" customHeight="1">
      <c r="A1231" s="2" t="inlineStr"/>
      <c r="B1231" s="2" t="inlineStr"/>
      <c r="C1231" s="2" t="inlineStr"/>
      <c r="D1231" s="2" t="inlineStr"/>
      <c r="E1231" s="28" t="inlineStr">
        <is>
          <t>VALOR COM BDI:</t>
        </is>
      </c>
      <c r="F1231" s="56" t="n"/>
      <c r="G1231" s="66">
        <f>G1230 + G1229</f>
        <v/>
      </c>
    </row>
    <row r="1232" ht="10" customHeight="1">
      <c r="A1232" s="2" t="inlineStr"/>
      <c r="B1232" s="2" t="inlineStr"/>
      <c r="C1232" s="2" t="inlineStr"/>
      <c r="D1232" s="2" t="inlineStr"/>
      <c r="E1232" s="18" t="inlineStr"/>
    </row>
    <row r="1233" ht="20" customHeight="1">
      <c r="A1233" s="19" t="inlineStr">
        <is>
          <t>6.2.3.1. ​93202​ FIXAÇÃO (ENCUNHAMENTO) DE ALVENARIA DE VEDAÇÃO COM TIJOLOMACIÇO. AF_03/2024​ (M)</t>
        </is>
      </c>
      <c r="B1233" s="55" t="n"/>
      <c r="C1233" s="55" t="n"/>
      <c r="D1233" s="55" t="n"/>
      <c r="E1233" s="55" t="n"/>
      <c r="F1233" s="55" t="n"/>
      <c r="G1233" s="56" t="n"/>
    </row>
    <row r="1234" ht="15" customHeight="1">
      <c r="A1234" s="20" t="inlineStr">
        <is>
          <t>Material</t>
        </is>
      </c>
      <c r="B1234" s="56" t="n"/>
      <c r="C1234" s="21" t="inlineStr">
        <is>
          <t>FONTE</t>
        </is>
      </c>
      <c r="D1234" s="21" t="inlineStr">
        <is>
          <t>UNID</t>
        </is>
      </c>
      <c r="E1234" s="21" t="inlineStr">
        <is>
          <t>COEFICIENTE</t>
        </is>
      </c>
      <c r="F1234" s="21" t="inlineStr">
        <is>
          <t>PREÇO UNITÁRIO</t>
        </is>
      </c>
      <c r="G1234" s="21" t="inlineStr">
        <is>
          <t>TOTAL</t>
        </is>
      </c>
    </row>
    <row r="1235" ht="21" customHeight="1">
      <c r="A1235" s="22" t="inlineStr">
        <is>
          <t>00007258</t>
        </is>
      </c>
      <c r="B1235" s="23" t="inlineStr">
        <is>
          <t>TIJOLO CERAMICO MACICO COMUM DE *5 X 10 X 20* CM (L X A X C)</t>
        </is>
      </c>
      <c r="C1235" s="22" t="inlineStr">
        <is>
          <t>SINAPI</t>
        </is>
      </c>
      <c r="D1235" s="22" t="inlineStr">
        <is>
          <t>UN</t>
        </is>
      </c>
      <c r="E1235" s="63" t="n">
        <v>11.661</v>
      </c>
      <c r="F1235" s="64">
        <f>ROUND(M1235*FATOR, 2)</f>
        <v/>
      </c>
      <c r="G1235" s="64">
        <f>TRUNC(TRUNC(E1235,8)*F1235,2)</f>
        <v/>
      </c>
      <c r="L1235" t="n">
        <v>11.661</v>
      </c>
      <c r="M1235" t="n">
        <v>0.6</v>
      </c>
      <c r="N1235">
        <f>(M1235-F1235)</f>
        <v/>
      </c>
    </row>
    <row r="1236" ht="15" customHeight="1">
      <c r="A1236" s="2" t="inlineStr"/>
      <c r="B1236" s="2" t="inlineStr"/>
      <c r="C1236" s="2" t="inlineStr"/>
      <c r="D1236" s="2" t="inlineStr"/>
      <c r="E1236" s="26" t="inlineStr">
        <is>
          <t>TOTAL Material:</t>
        </is>
      </c>
      <c r="F1236" s="56" t="n"/>
      <c r="G1236" s="65">
        <f>SUM(G1235:G1235)</f>
        <v/>
      </c>
    </row>
    <row r="1237" ht="15" customHeight="1">
      <c r="A1237" s="20" t="inlineStr">
        <is>
          <t>Mão de Obra com Encargos Complementares</t>
        </is>
      </c>
      <c r="B1237" s="56" t="n"/>
      <c r="C1237" s="21" t="inlineStr">
        <is>
          <t>FONTE</t>
        </is>
      </c>
      <c r="D1237" s="21" t="inlineStr">
        <is>
          <t>UNID</t>
        </is>
      </c>
      <c r="E1237" s="21" t="inlineStr">
        <is>
          <t>COEFICIENTE</t>
        </is>
      </c>
      <c r="F1237" s="21" t="inlineStr">
        <is>
          <t>PREÇO UNITÁRIO</t>
        </is>
      </c>
      <c r="G1237" s="21" t="inlineStr">
        <is>
          <t>TOTAL</t>
        </is>
      </c>
    </row>
    <row r="1238" ht="15" customHeight="1">
      <c r="A1238" s="22" t="inlineStr">
        <is>
          <t>88309</t>
        </is>
      </c>
      <c r="B1238" s="23" t="inlineStr">
        <is>
          <t>PEDREIRO COM ENCARGOS COMPLEMENTARES</t>
        </is>
      </c>
      <c r="C1238" s="22" t="inlineStr">
        <is>
          <t>SINAPI</t>
        </is>
      </c>
      <c r="D1238" s="22" t="inlineStr">
        <is>
          <t>H</t>
        </is>
      </c>
      <c r="E1238" s="63">
        <f>L1238*FATOR</f>
        <v/>
      </c>
      <c r="F1238" s="64">
        <f>'COMPOSICOES AUXILIARES'!G2887</f>
        <v/>
      </c>
      <c r="G1238" s="64">
        <f>TRUNC(TRUNC(E1238,8)*F1238,2)</f>
        <v/>
      </c>
      <c r="L1238" t="n">
        <v>0.5600000000000001</v>
      </c>
      <c r="M1238" t="n">
        <v>30.58</v>
      </c>
      <c r="N1238">
        <f>(M1238-F1238)</f>
        <v/>
      </c>
    </row>
    <row r="1239" ht="15" customHeight="1">
      <c r="A1239" s="22" t="inlineStr">
        <is>
          <t>88316</t>
        </is>
      </c>
      <c r="B1239" s="23" t="inlineStr">
        <is>
          <t>SERVENTE COM ENCARGOS COMPLEMENTARES</t>
        </is>
      </c>
      <c r="C1239" s="22" t="inlineStr">
        <is>
          <t>SINAPI</t>
        </is>
      </c>
      <c r="D1239" s="22" t="inlineStr">
        <is>
          <t>H</t>
        </is>
      </c>
      <c r="E1239" s="63">
        <f>L1239*FATOR</f>
        <v/>
      </c>
      <c r="F1239" s="64">
        <f>'COMPOSICOES AUXILIARES'!G3390</f>
        <v/>
      </c>
      <c r="G1239" s="64">
        <f>TRUNC(TRUNC(E1239,8)*F1239,2)</f>
        <v/>
      </c>
      <c r="L1239" t="n">
        <v>0.105</v>
      </c>
      <c r="M1239" t="n">
        <v>23.56</v>
      </c>
      <c r="N1239">
        <f>(M1239-F1239)</f>
        <v/>
      </c>
    </row>
    <row r="1240" ht="18" customHeight="1">
      <c r="A1240" s="2" t="inlineStr"/>
      <c r="B1240" s="2" t="inlineStr"/>
      <c r="C1240" s="2" t="inlineStr"/>
      <c r="D1240" s="2" t="inlineStr"/>
      <c r="E1240" s="26" t="inlineStr">
        <is>
          <t>TOTAL Mão de Obra com Encargos Complementares:</t>
        </is>
      </c>
      <c r="F1240" s="56" t="n"/>
      <c r="G1240" s="65">
        <f>SUM(G1238:G1239)</f>
        <v/>
      </c>
    </row>
    <row r="1241" ht="15" customHeight="1">
      <c r="A1241" s="20" t="inlineStr">
        <is>
          <t>Serviço</t>
        </is>
      </c>
      <c r="B1241" s="56" t="n"/>
      <c r="C1241" s="21" t="inlineStr">
        <is>
          <t>FONTE</t>
        </is>
      </c>
      <c r="D1241" s="21" t="inlineStr">
        <is>
          <t>UNID</t>
        </is>
      </c>
      <c r="E1241" s="21" t="inlineStr">
        <is>
          <t>COEFICIENTE</t>
        </is>
      </c>
      <c r="F1241" s="21" t="inlineStr">
        <is>
          <t>PREÇO UNITÁRIO</t>
        </is>
      </c>
      <c r="G1241" s="21" t="inlineStr">
        <is>
          <t>TOTAL</t>
        </is>
      </c>
    </row>
    <row r="1242" ht="38" customHeight="1">
      <c r="A1242" s="22" t="inlineStr">
        <is>
          <t>87294</t>
        </is>
      </c>
      <c r="B1242" s="23" t="inlineStr">
        <is>
          <t>ARGAMASSA TRAÇO 1:2:9 (EM VOLUME DE CIMENTO, CAL E AREIA MÉDIA ÚMIDA) PARA EMBOÇO/MASSA ÚNICA/ASSENTAMENTO DE ALVENARIA DE VEDAÇÃO, PREPARO MECÂNICO COM BETONEIRA 600 L. AF_08/2019</t>
        </is>
      </c>
      <c r="C1242" s="22" t="inlineStr">
        <is>
          <t>SINAPI</t>
        </is>
      </c>
      <c r="D1242" s="22" t="inlineStr">
        <is>
          <t>M3</t>
        </is>
      </c>
      <c r="E1242" s="63" t="n">
        <v>0.0052</v>
      </c>
      <c r="F1242" s="64">
        <f>'COMPOSICOES AUXILIARES'!G235</f>
        <v/>
      </c>
      <c r="G1242" s="64">
        <f>TRUNC(TRUNC(E1242,8)*F1242,2)</f>
        <v/>
      </c>
      <c r="L1242" t="n">
        <v>0.0052</v>
      </c>
      <c r="M1242" t="n">
        <v>621.54</v>
      </c>
      <c r="N1242">
        <f>(M1242-F1242)</f>
        <v/>
      </c>
    </row>
    <row r="1243" ht="15" customHeight="1">
      <c r="A1243" s="2" t="inlineStr"/>
      <c r="B1243" s="2" t="inlineStr"/>
      <c r="C1243" s="2" t="inlineStr"/>
      <c r="D1243" s="2" t="inlineStr"/>
      <c r="E1243" s="26" t="inlineStr">
        <is>
          <t>TOTAL Serviço:</t>
        </is>
      </c>
      <c r="F1243" s="56" t="n"/>
      <c r="G1243" s="65">
        <f>SUM(G1242:G1242)</f>
        <v/>
      </c>
    </row>
    <row r="1244" ht="15" customHeight="1">
      <c r="A1244" s="2" t="inlineStr"/>
      <c r="B1244" s="2" t="inlineStr"/>
      <c r="C1244" s="2" t="inlineStr"/>
      <c r="D1244" s="2" t="inlineStr"/>
      <c r="E1244" s="28" t="inlineStr">
        <is>
          <t>VALOR:</t>
        </is>
      </c>
      <c r="F1244" s="56" t="n"/>
      <c r="G1244" s="66">
        <f>SUM(G1240,G1243,G1236)</f>
        <v/>
      </c>
    </row>
    <row r="1245" ht="15" customHeight="1">
      <c r="A1245" s="2" t="inlineStr"/>
      <c r="B1245" s="2" t="inlineStr"/>
      <c r="C1245" s="2" t="inlineStr"/>
      <c r="D1245" s="2" t="inlineStr"/>
      <c r="E1245" s="28" t="inlineStr">
        <is>
          <t>VALOR BDI (23.08%):</t>
        </is>
      </c>
      <c r="F1245" s="56" t="n"/>
      <c r="G1245" s="66">
        <f>ROUNDDOWN(G1244*BDI,2)</f>
        <v/>
      </c>
    </row>
    <row r="1246" ht="15" customHeight="1">
      <c r="A1246" s="2" t="inlineStr"/>
      <c r="B1246" s="2" t="inlineStr"/>
      <c r="C1246" s="2" t="inlineStr"/>
      <c r="D1246" s="2" t="inlineStr"/>
      <c r="E1246" s="28" t="inlineStr">
        <is>
          <t>VALOR COM BDI:</t>
        </is>
      </c>
      <c r="F1246" s="56" t="n"/>
      <c r="G1246" s="66">
        <f>G1245 + G1244</f>
        <v/>
      </c>
    </row>
    <row r="1247" ht="10" customHeight="1">
      <c r="A1247" s="2" t="inlineStr"/>
      <c r="B1247" s="2" t="inlineStr"/>
      <c r="C1247" s="2" t="inlineStr"/>
      <c r="D1247" s="2" t="inlineStr"/>
      <c r="E1247" s="18" t="inlineStr"/>
    </row>
    <row r="1248" ht="20" customHeight="1">
      <c r="A1248" s="19" t="inlineStr">
        <is>
          <t>6.2.4.1. ​34 PRÓPRIO​ ENTELAMENTO PREVENTIVO DE SUPERFÍCIE SUJEITA A TRINCAS - LARGURA DA TELA: 25CM​ (M)</t>
        </is>
      </c>
      <c r="B1248" s="55" t="n"/>
      <c r="C1248" s="55" t="n"/>
      <c r="D1248" s="55" t="n"/>
      <c r="E1248" s="55" t="n"/>
      <c r="F1248" s="55" t="n"/>
      <c r="G1248" s="56" t="n"/>
    </row>
    <row r="1249" ht="15" customHeight="1">
      <c r="A1249" s="20" t="inlineStr">
        <is>
          <t>Mão de Obra com Encargos Complementares</t>
        </is>
      </c>
      <c r="B1249" s="56" t="n"/>
      <c r="C1249" s="21" t="inlineStr">
        <is>
          <t>FONTE</t>
        </is>
      </c>
      <c r="D1249" s="21" t="inlineStr">
        <is>
          <t>UNID</t>
        </is>
      </c>
      <c r="E1249" s="21" t="inlineStr">
        <is>
          <t>COEFICIENTE</t>
        </is>
      </c>
      <c r="F1249" s="21" t="inlineStr">
        <is>
          <t>PREÇO UNITÁRIO</t>
        </is>
      </c>
      <c r="G1249" s="21" t="inlineStr">
        <is>
          <t>TOTAL</t>
        </is>
      </c>
    </row>
    <row r="1250" ht="15" customHeight="1">
      <c r="A1250" s="22" t="inlineStr">
        <is>
          <t>88309</t>
        </is>
      </c>
      <c r="B1250" s="23" t="inlineStr">
        <is>
          <t>PEDREIRO COM ENCARGOS COMPLEMENTARES</t>
        </is>
      </c>
      <c r="C1250" s="22" t="inlineStr">
        <is>
          <t>SINAPI</t>
        </is>
      </c>
      <c r="D1250" s="22" t="inlineStr">
        <is>
          <t>H</t>
        </is>
      </c>
      <c r="E1250" s="63">
        <f>L1250*FATOR</f>
        <v/>
      </c>
      <c r="F1250" s="64">
        <f>'COMPOSICOES AUXILIARES'!G2887</f>
        <v/>
      </c>
      <c r="G1250" s="64">
        <f>ROUND(ROUND(E1250,8)*F1250,2)</f>
        <v/>
      </c>
      <c r="L1250" t="n">
        <v>0.05</v>
      </c>
      <c r="M1250" t="n">
        <v>30.58</v>
      </c>
      <c r="N1250">
        <f>(M1250-F1250)</f>
        <v/>
      </c>
    </row>
    <row r="1251" ht="18" customHeight="1">
      <c r="A1251" s="2" t="inlineStr"/>
      <c r="B1251" s="2" t="inlineStr"/>
      <c r="C1251" s="2" t="inlineStr"/>
      <c r="D1251" s="2" t="inlineStr"/>
      <c r="E1251" s="26" t="inlineStr">
        <is>
          <t>TOTAL Mão de Obra com Encargos Complementares:</t>
        </is>
      </c>
      <c r="F1251" s="56" t="n"/>
      <c r="G1251" s="65">
        <f>SUM(G1250:G1250)</f>
        <v/>
      </c>
    </row>
    <row r="1252" ht="15" customHeight="1">
      <c r="A1252" s="2" t="inlineStr"/>
      <c r="B1252" s="2" t="inlineStr"/>
      <c r="C1252" s="2" t="inlineStr"/>
      <c r="D1252" s="2" t="inlineStr"/>
      <c r="E1252" s="28" t="inlineStr">
        <is>
          <t>VALOR:</t>
        </is>
      </c>
      <c r="F1252" s="56" t="n"/>
      <c r="G1252" s="66">
        <f>SUM(G1251)</f>
        <v/>
      </c>
    </row>
    <row r="1253" ht="15" customHeight="1">
      <c r="A1253" s="2" t="inlineStr"/>
      <c r="B1253" s="2" t="inlineStr"/>
      <c r="C1253" s="2" t="inlineStr"/>
      <c r="D1253" s="2" t="inlineStr"/>
      <c r="E1253" s="28" t="inlineStr">
        <is>
          <t>VALOR BDI (23.08%):</t>
        </is>
      </c>
      <c r="F1253" s="56" t="n"/>
      <c r="G1253" s="66">
        <f>ROUNDDOWN(G1252*BDI,2)</f>
        <v/>
      </c>
    </row>
    <row r="1254" ht="15" customHeight="1">
      <c r="A1254" s="2" t="inlineStr"/>
      <c r="B1254" s="2" t="inlineStr"/>
      <c r="C1254" s="2" t="inlineStr"/>
      <c r="D1254" s="2" t="inlineStr"/>
      <c r="E1254" s="28" t="inlineStr">
        <is>
          <t>VALOR COM BDI:</t>
        </is>
      </c>
      <c r="F1254" s="56" t="n"/>
      <c r="G1254" s="66">
        <f>G1253 + G1252</f>
        <v/>
      </c>
    </row>
    <row r="1255" ht="10" customHeight="1">
      <c r="A1255" s="2" t="inlineStr"/>
      <c r="B1255" s="2" t="inlineStr"/>
      <c r="C1255" s="2" t="inlineStr"/>
      <c r="D1255" s="2" t="inlineStr"/>
      <c r="E1255" s="18" t="inlineStr"/>
    </row>
    <row r="1256" ht="20" customHeight="1">
      <c r="A1256" s="19" t="inlineStr">
        <is>
          <t>6.2.5.1. ​105024​ VERGA MOLDADA IN LOCO EM CONCRETO, ESPESSURA DE *10* CM. AF_03/2024​ (M)</t>
        </is>
      </c>
      <c r="B1256" s="55" t="n"/>
      <c r="C1256" s="55" t="n"/>
      <c r="D1256" s="55" t="n"/>
      <c r="E1256" s="55" t="n"/>
      <c r="F1256" s="55" t="n"/>
      <c r="G1256" s="56" t="n"/>
    </row>
    <row r="1257" ht="15" customHeight="1">
      <c r="A1257" s="20" t="inlineStr">
        <is>
          <t>Material</t>
        </is>
      </c>
      <c r="B1257" s="56" t="n"/>
      <c r="C1257" s="21" t="inlineStr">
        <is>
          <t>FONTE</t>
        </is>
      </c>
      <c r="D1257" s="21" t="inlineStr">
        <is>
          <t>UNID</t>
        </is>
      </c>
      <c r="E1257" s="21" t="inlineStr">
        <is>
          <t>COEFICIENTE</t>
        </is>
      </c>
      <c r="F1257" s="21" t="inlineStr">
        <is>
          <t>PREÇO UNITÁRIO</t>
        </is>
      </c>
      <c r="G1257" s="21" t="inlineStr">
        <is>
          <t>TOTAL</t>
        </is>
      </c>
    </row>
    <row r="1258" ht="21" customHeight="1">
      <c r="A1258" s="22" t="inlineStr">
        <is>
          <t>00002692</t>
        </is>
      </c>
      <c r="B1258" s="23" t="inlineStr">
        <is>
          <t>DESMOLDANTE PROTETOR PARA FORMAS DE MADEIRA, DE BASE OLEOSA EMULSIONADA EM AGUA</t>
        </is>
      </c>
      <c r="C1258" s="22" t="inlineStr">
        <is>
          <t>SINAPI</t>
        </is>
      </c>
      <c r="D1258" s="22" t="inlineStr">
        <is>
          <t>L</t>
        </is>
      </c>
      <c r="E1258" s="63" t="n">
        <v>0.008</v>
      </c>
      <c r="F1258" s="64">
        <f>ROUND(M1258*FATOR, 2)</f>
        <v/>
      </c>
      <c r="G1258" s="64">
        <f>TRUNC(TRUNC(E1258,8)*F1258,2)</f>
        <v/>
      </c>
      <c r="L1258" t="n">
        <v>0.008</v>
      </c>
      <c r="M1258" t="n">
        <v>8.06</v>
      </c>
      <c r="N1258">
        <f>(M1258-F1258)</f>
        <v/>
      </c>
    </row>
    <row r="1259" ht="29" customHeight="1">
      <c r="A1259" s="22" t="inlineStr">
        <is>
          <t>00039017</t>
        </is>
      </c>
      <c r="B1259" s="23" t="inlineStr">
        <is>
          <t>ESPACADOR / DISTANCIADOR CIRCULAR COM ENTRADA LATERAL, EM PLASTICO, PARA VERGALHAO *4,2 A 12,5* MM, COBRIMENTO 20 MM</t>
        </is>
      </c>
      <c r="C1259" s="22" t="inlineStr">
        <is>
          <t>SINAPI</t>
        </is>
      </c>
      <c r="D1259" s="22" t="inlineStr">
        <is>
          <t>UN</t>
        </is>
      </c>
      <c r="E1259" s="63" t="n">
        <v>6</v>
      </c>
      <c r="F1259" s="64">
        <f>ROUND(M1259*FATOR, 2)</f>
        <v/>
      </c>
      <c r="G1259" s="64">
        <f>TRUNC(TRUNC(E1259,8)*F1259,2)</f>
        <v/>
      </c>
      <c r="L1259" t="n">
        <v>6</v>
      </c>
      <c r="M1259" t="n">
        <v>0.22</v>
      </c>
      <c r="N1259">
        <f>(M1259-F1259)</f>
        <v/>
      </c>
    </row>
    <row r="1260" ht="21" customHeight="1">
      <c r="A1260" s="22" t="inlineStr">
        <is>
          <t>00004491</t>
        </is>
      </c>
      <c r="B1260" s="23" t="inlineStr">
        <is>
          <t>PONTALETE *7,5 X 7,5* CM EM PINUS, MISTA OU EQUIVALENTE DA REGIAO - BRUTA</t>
        </is>
      </c>
      <c r="C1260" s="22" t="inlineStr">
        <is>
          <t>SINAPI</t>
        </is>
      </c>
      <c r="D1260" s="22" t="inlineStr">
        <is>
          <t>M</t>
        </is>
      </c>
      <c r="E1260" s="63" t="n">
        <v>0.203</v>
      </c>
      <c r="F1260" s="64">
        <f>ROUND(M1260*FATOR, 2)</f>
        <v/>
      </c>
      <c r="G1260" s="64">
        <f>TRUNC(TRUNC(E1260,8)*F1260,2)</f>
        <v/>
      </c>
      <c r="L1260" t="n">
        <v>0.203</v>
      </c>
      <c r="M1260" t="n">
        <v>11.05</v>
      </c>
      <c r="N1260">
        <f>(M1260-F1260)</f>
        <v/>
      </c>
    </row>
    <row r="1261" ht="15" customHeight="1">
      <c r="A1261" s="2" t="inlineStr"/>
      <c r="B1261" s="2" t="inlineStr"/>
      <c r="C1261" s="2" t="inlineStr"/>
      <c r="D1261" s="2" t="inlineStr"/>
      <c r="E1261" s="26" t="inlineStr">
        <is>
          <t>TOTAL Material:</t>
        </is>
      </c>
      <c r="F1261" s="56" t="n"/>
      <c r="G1261" s="65">
        <f>SUM(G1258:G1260)</f>
        <v/>
      </c>
    </row>
    <row r="1262" ht="15" customHeight="1">
      <c r="A1262" s="20" t="inlineStr">
        <is>
          <t>Mão de Obra com Encargos Complementares</t>
        </is>
      </c>
      <c r="B1262" s="56" t="n"/>
      <c r="C1262" s="21" t="inlineStr">
        <is>
          <t>FONTE</t>
        </is>
      </c>
      <c r="D1262" s="21" t="inlineStr">
        <is>
          <t>UNID</t>
        </is>
      </c>
      <c r="E1262" s="21" t="inlineStr">
        <is>
          <t>COEFICIENTE</t>
        </is>
      </c>
      <c r="F1262" s="21" t="inlineStr">
        <is>
          <t>PREÇO UNITÁRIO</t>
        </is>
      </c>
      <c r="G1262" s="21" t="inlineStr">
        <is>
          <t>TOTAL</t>
        </is>
      </c>
    </row>
    <row r="1263" ht="15" customHeight="1">
      <c r="A1263" s="22" t="inlineStr">
        <is>
          <t>88309</t>
        </is>
      </c>
      <c r="B1263" s="23" t="inlineStr">
        <is>
          <t>PEDREIRO COM ENCARGOS COMPLEMENTARES</t>
        </is>
      </c>
      <c r="C1263" s="22" t="inlineStr">
        <is>
          <t>SINAPI</t>
        </is>
      </c>
      <c r="D1263" s="22" t="inlineStr">
        <is>
          <t>H</t>
        </is>
      </c>
      <c r="E1263" s="63">
        <f>L1263*FATOR</f>
        <v/>
      </c>
      <c r="F1263" s="64">
        <f>'COMPOSICOES AUXILIARES'!G2887</f>
        <v/>
      </c>
      <c r="G1263" s="64">
        <f>TRUNC(TRUNC(E1263,8)*F1263,2)</f>
        <v/>
      </c>
      <c r="L1263" t="n">
        <v>0.39</v>
      </c>
      <c r="M1263" t="n">
        <v>30.58</v>
      </c>
      <c r="N1263">
        <f>(M1263-F1263)</f>
        <v/>
      </c>
    </row>
    <row r="1264" ht="15" customHeight="1">
      <c r="A1264" s="22" t="inlineStr">
        <is>
          <t>88316</t>
        </is>
      </c>
      <c r="B1264" s="23" t="inlineStr">
        <is>
          <t>SERVENTE COM ENCARGOS COMPLEMENTARES</t>
        </is>
      </c>
      <c r="C1264" s="22" t="inlineStr">
        <is>
          <t>SINAPI</t>
        </is>
      </c>
      <c r="D1264" s="22" t="inlineStr">
        <is>
          <t>H</t>
        </is>
      </c>
      <c r="E1264" s="63">
        <f>L1264*FATOR</f>
        <v/>
      </c>
      <c r="F1264" s="64">
        <f>'COMPOSICOES AUXILIARES'!G3390</f>
        <v/>
      </c>
      <c r="G1264" s="64">
        <f>TRUNC(TRUNC(E1264,8)*F1264,2)</f>
        <v/>
      </c>
      <c r="L1264" t="n">
        <v>0.195</v>
      </c>
      <c r="M1264" t="n">
        <v>23.56</v>
      </c>
      <c r="N1264">
        <f>(M1264-F1264)</f>
        <v/>
      </c>
    </row>
    <row r="1265" ht="18" customHeight="1">
      <c r="A1265" s="2" t="inlineStr"/>
      <c r="B1265" s="2" t="inlineStr"/>
      <c r="C1265" s="2" t="inlineStr"/>
      <c r="D1265" s="2" t="inlineStr"/>
      <c r="E1265" s="26" t="inlineStr">
        <is>
          <t>TOTAL Mão de Obra com Encargos Complementares:</t>
        </is>
      </c>
      <c r="F1265" s="56" t="n"/>
      <c r="G1265" s="65">
        <f>SUM(G1263:G1264)</f>
        <v/>
      </c>
    </row>
    <row r="1266" ht="15" customHeight="1">
      <c r="A1266" s="20" t="inlineStr">
        <is>
          <t>Serviço</t>
        </is>
      </c>
      <c r="B1266" s="56" t="n"/>
      <c r="C1266" s="21" t="inlineStr">
        <is>
          <t>FONTE</t>
        </is>
      </c>
      <c r="D1266" s="21" t="inlineStr">
        <is>
          <t>UNID</t>
        </is>
      </c>
      <c r="E1266" s="21" t="inlineStr">
        <is>
          <t>COEFICIENTE</t>
        </is>
      </c>
      <c r="F1266" s="21" t="inlineStr">
        <is>
          <t>PREÇO UNITÁRIO</t>
        </is>
      </c>
      <c r="G1266" s="21" t="inlineStr">
        <is>
          <t>TOTAL</t>
        </is>
      </c>
    </row>
    <row r="1267" ht="29" customHeight="1">
      <c r="A1267" s="22" t="inlineStr">
        <is>
          <t>94964</t>
        </is>
      </c>
      <c r="B1267" s="23" t="inlineStr">
        <is>
          <t>CONCRETO FCK = 20MPA, TRAÇO 1:2,7:3 (EM MASSA SECA DE CIMENTO/ AREIA MÉDIA/ BRITA 1) - PREPARO MECÂNICO COM BETONEIRA 400 L. AF_05/2021</t>
        </is>
      </c>
      <c r="C1267" s="22" t="inlineStr">
        <is>
          <t>SINAPI</t>
        </is>
      </c>
      <c r="D1267" s="22" t="inlineStr">
        <is>
          <t>M3</t>
        </is>
      </c>
      <c r="E1267" s="63" t="n">
        <v>0.021</v>
      </c>
      <c r="F1267" s="64">
        <f>'COMPOSICOES AUXILIARES'!G1178</f>
        <v/>
      </c>
      <c r="G1267" s="64">
        <f>TRUNC(TRUNC(E1267,8)*F1267,2)</f>
        <v/>
      </c>
      <c r="L1267" t="n">
        <v>0.021</v>
      </c>
      <c r="M1267" t="n">
        <v>511.3</v>
      </c>
      <c r="N1267">
        <f>(M1267-F1267)</f>
        <v/>
      </c>
    </row>
    <row r="1268" ht="21" customHeight="1">
      <c r="A1268" s="22" t="inlineStr">
        <is>
          <t>92802</t>
        </is>
      </c>
      <c r="B1268" s="23" t="inlineStr">
        <is>
          <t>CORTE E DOBRA DE AÇO CA-50, DIÂMETRO DE 8,0 MM. AF_06/2022</t>
        </is>
      </c>
      <c r="C1268" s="22" t="inlineStr">
        <is>
          <t>SINAPI</t>
        </is>
      </c>
      <c r="D1268" s="22" t="inlineStr">
        <is>
          <t>KG</t>
        </is>
      </c>
      <c r="E1268" s="63" t="n">
        <v>0.79</v>
      </c>
      <c r="F1268" s="64">
        <f>'COMPOSICOES AUXILIARES'!G1451</f>
        <v/>
      </c>
      <c r="G1268" s="64">
        <f>TRUNC(TRUNC(E1268,8)*F1268,2)</f>
        <v/>
      </c>
      <c r="L1268" t="n">
        <v>0.79</v>
      </c>
      <c r="M1268" t="n">
        <v>9.26</v>
      </c>
      <c r="N1268">
        <f>(M1268-F1268)</f>
        <v/>
      </c>
    </row>
    <row r="1269" ht="21" customHeight="1">
      <c r="A1269" s="22" t="inlineStr">
        <is>
          <t>92270</t>
        </is>
      </c>
      <c r="B1269" s="23" t="inlineStr">
        <is>
          <t>FABRICAÇÃO DE FÔRMA PARA VIGAS, COM MADEIRA SERRADA, E = 25 MM. AF_09/2020</t>
        </is>
      </c>
      <c r="C1269" s="22" t="inlineStr">
        <is>
          <t>SINAPI</t>
        </is>
      </c>
      <c r="D1269" s="22" t="inlineStr">
        <is>
          <t>M2</t>
        </is>
      </c>
      <c r="E1269" s="63" t="n">
        <v>0.094</v>
      </c>
      <c r="F1269" s="64">
        <f>'COMPOSICOES AUXILIARES'!G2121</f>
        <v/>
      </c>
      <c r="G1269" s="64">
        <f>TRUNC(TRUNC(E1269,8)*F1269,2)</f>
        <v/>
      </c>
      <c r="L1269" t="n">
        <v>0.094</v>
      </c>
      <c r="M1269" t="n">
        <v>189.51</v>
      </c>
      <c r="N1269">
        <f>(M1269-F1269)</f>
        <v/>
      </c>
    </row>
    <row r="1270" ht="15" customHeight="1">
      <c r="A1270" s="2" t="inlineStr"/>
      <c r="B1270" s="2" t="inlineStr"/>
      <c r="C1270" s="2" t="inlineStr"/>
      <c r="D1270" s="2" t="inlineStr"/>
      <c r="E1270" s="26" t="inlineStr">
        <is>
          <t>TOTAL Serviço:</t>
        </is>
      </c>
      <c r="F1270" s="56" t="n"/>
      <c r="G1270" s="65">
        <f>SUM(G1267:G1269)</f>
        <v/>
      </c>
    </row>
    <row r="1271" ht="15" customHeight="1">
      <c r="A1271" s="2" t="inlineStr"/>
      <c r="B1271" s="2" t="inlineStr"/>
      <c r="C1271" s="2" t="inlineStr"/>
      <c r="D1271" s="2" t="inlineStr"/>
      <c r="E1271" s="28" t="inlineStr">
        <is>
          <t>VALOR:</t>
        </is>
      </c>
      <c r="F1271" s="56" t="n"/>
      <c r="G1271" s="66">
        <f>SUM(G1265,G1261,G1270)</f>
        <v/>
      </c>
    </row>
    <row r="1272" ht="15" customHeight="1">
      <c r="A1272" s="2" t="inlineStr"/>
      <c r="B1272" s="2" t="inlineStr"/>
      <c r="C1272" s="2" t="inlineStr"/>
      <c r="D1272" s="2" t="inlineStr"/>
      <c r="E1272" s="28" t="inlineStr">
        <is>
          <t>VALOR BDI (23.08%):</t>
        </is>
      </c>
      <c r="F1272" s="56" t="n"/>
      <c r="G1272" s="66">
        <f>ROUNDDOWN(G1271*BDI,2)</f>
        <v/>
      </c>
    </row>
    <row r="1273" ht="15" customHeight="1">
      <c r="A1273" s="2" t="inlineStr"/>
      <c r="B1273" s="2" t="inlineStr"/>
      <c r="C1273" s="2" t="inlineStr"/>
      <c r="D1273" s="2" t="inlineStr"/>
      <c r="E1273" s="28" t="inlineStr">
        <is>
          <t>VALOR COM BDI:</t>
        </is>
      </c>
      <c r="F1273" s="56" t="n"/>
      <c r="G1273" s="66">
        <f>G1272 + G1271</f>
        <v/>
      </c>
    </row>
    <row r="1274" ht="10" customHeight="1">
      <c r="A1274" s="2" t="inlineStr"/>
      <c r="B1274" s="2" t="inlineStr"/>
      <c r="C1274" s="2" t="inlineStr"/>
      <c r="D1274" s="2" t="inlineStr"/>
      <c r="E1274" s="18" t="inlineStr"/>
    </row>
    <row r="1275" ht="20" customHeight="1">
      <c r="A1275" s="19" t="inlineStr">
        <is>
          <t>6.3.1.1. ​480 PRÓPRIO​ ESTRUTURA METÁLICA - TUBO DE AÇO GALVANIZADO A FOGO COM COSTURA , DN 1", E= 2,65MM, Ø EXT= 33,7MM, PESO2.03KG/M (NBR 5590), LIGAÇÕES SOLDADAS, INCLUSOS MATERIAIS E MÃODE OBRA - FORNECIMENTO E INSTALAÇÃO​ (M)</t>
        </is>
      </c>
      <c r="B1275" s="55" t="n"/>
      <c r="C1275" s="55" t="n"/>
      <c r="D1275" s="55" t="n"/>
      <c r="E1275" s="55" t="n"/>
      <c r="F1275" s="55" t="n"/>
      <c r="G1275" s="56" t="n"/>
    </row>
    <row r="1276" ht="15" customHeight="1">
      <c r="A1276" s="20" t="inlineStr">
        <is>
          <t>Material</t>
        </is>
      </c>
      <c r="B1276" s="56" t="n"/>
      <c r="C1276" s="21" t="inlineStr">
        <is>
          <t>FONTE</t>
        </is>
      </c>
      <c r="D1276" s="21" t="inlineStr">
        <is>
          <t>UNID</t>
        </is>
      </c>
      <c r="E1276" s="21" t="inlineStr">
        <is>
          <t>COEFICIENTE</t>
        </is>
      </c>
      <c r="F1276" s="21" t="inlineStr">
        <is>
          <t>PREÇO UNITÁRIO</t>
        </is>
      </c>
      <c r="G1276" s="21" t="inlineStr">
        <is>
          <t>TOTAL</t>
        </is>
      </c>
    </row>
    <row r="1277" ht="21" customHeight="1">
      <c r="A1277" s="22" t="inlineStr">
        <is>
          <t>00010997</t>
        </is>
      </c>
      <c r="B1277" s="23" t="inlineStr">
        <is>
          <t>ELETRODO REVESTIDO AWS - E7018, DIAMETRO IGUAL A 4,00 MM</t>
        </is>
      </c>
      <c r="C1277" s="22" t="inlineStr">
        <is>
          <t>SINAPI</t>
        </is>
      </c>
      <c r="D1277" s="22" t="inlineStr">
        <is>
          <t>KG</t>
        </is>
      </c>
      <c r="E1277" s="63" t="n">
        <v>0.002</v>
      </c>
      <c r="F1277" s="64">
        <f>ROUND(M1277*FATOR, 2)</f>
        <v/>
      </c>
      <c r="G1277" s="64">
        <f>ROUND(ROUND(E1277,8)*F1277,2)</f>
        <v/>
      </c>
      <c r="L1277" t="n">
        <v>0.002</v>
      </c>
      <c r="M1277" t="n">
        <v>48.29</v>
      </c>
      <c r="N1277">
        <f>(M1277-F1277)</f>
        <v/>
      </c>
    </row>
    <row r="1278" ht="21" customHeight="1">
      <c r="A1278" s="22" t="inlineStr">
        <is>
          <t>00021001</t>
        </is>
      </c>
      <c r="B1278" s="23" t="inlineStr">
        <is>
          <t>TUBO ACO CARBONO COM COSTURA, NBR 5580, CLASSE L, DN = 25 MM, E = 2,65 MM, 2,02 KG/M</t>
        </is>
      </c>
      <c r="C1278" s="22" t="inlineStr">
        <is>
          <t>SINAPI</t>
        </is>
      </c>
      <c r="D1278" s="22" t="inlineStr">
        <is>
          <t>M</t>
        </is>
      </c>
      <c r="E1278" s="63" t="n">
        <v>1</v>
      </c>
      <c r="F1278" s="64">
        <f>ROUND(M1278*FATOR, 2)</f>
        <v/>
      </c>
      <c r="G1278" s="64">
        <f>ROUND(ROUND(E1278,8)*F1278,2)</f>
        <v/>
      </c>
      <c r="L1278" t="n">
        <v>1</v>
      </c>
      <c r="M1278" t="n">
        <v>22.33</v>
      </c>
      <c r="N1278">
        <f>(M1278-F1278)</f>
        <v/>
      </c>
    </row>
    <row r="1279" ht="15" customHeight="1">
      <c r="A1279" s="2" t="inlineStr"/>
      <c r="B1279" s="2" t="inlineStr"/>
      <c r="C1279" s="2" t="inlineStr"/>
      <c r="D1279" s="2" t="inlineStr"/>
      <c r="E1279" s="26" t="inlineStr">
        <is>
          <t>TOTAL Material:</t>
        </is>
      </c>
      <c r="F1279" s="56" t="n"/>
      <c r="G1279" s="65">
        <f>SUM(G1277:G1278)</f>
        <v/>
      </c>
    </row>
    <row r="1280" ht="15" customHeight="1">
      <c r="A1280" s="20" t="inlineStr">
        <is>
          <t>Mão de Obra com Encargos Complementares</t>
        </is>
      </c>
      <c r="B1280" s="56" t="n"/>
      <c r="C1280" s="21" t="inlineStr">
        <is>
          <t>FONTE</t>
        </is>
      </c>
      <c r="D1280" s="21" t="inlineStr">
        <is>
          <t>UNID</t>
        </is>
      </c>
      <c r="E1280" s="21" t="inlineStr">
        <is>
          <t>COEFICIENTE</t>
        </is>
      </c>
      <c r="F1280" s="21" t="inlineStr">
        <is>
          <t>PREÇO UNITÁRIO</t>
        </is>
      </c>
      <c r="G1280" s="21" t="inlineStr">
        <is>
          <t>TOTAL</t>
        </is>
      </c>
    </row>
    <row r="1281" ht="21" customHeight="1">
      <c r="A1281" s="22" t="inlineStr">
        <is>
          <t>88240</t>
        </is>
      </c>
      <c r="B1281" s="23" t="inlineStr">
        <is>
          <t>AJUDANTE DE ESTRUTURA METÁLICA COM ENCARGOS COMPLEMENTARES</t>
        </is>
      </c>
      <c r="C1281" s="22" t="inlineStr">
        <is>
          <t>SINAPI</t>
        </is>
      </c>
      <c r="D1281" s="22" t="inlineStr">
        <is>
          <t>H</t>
        </is>
      </c>
      <c r="E1281" s="63">
        <f>L1281*FATOR</f>
        <v/>
      </c>
      <c r="F1281" s="64">
        <f>'COMPOSICOES AUXILIARES'!G87</f>
        <v/>
      </c>
      <c r="G1281" s="64">
        <f>ROUND(ROUND(E1281,8)*F1281,2)</f>
        <v/>
      </c>
      <c r="L1281" t="n">
        <v>0.3</v>
      </c>
      <c r="M1281" t="n">
        <v>23.58</v>
      </c>
      <c r="N1281">
        <f>(M1281-F1281)</f>
        <v/>
      </c>
    </row>
    <row r="1282" ht="21" customHeight="1">
      <c r="A1282" s="22" t="inlineStr">
        <is>
          <t>88278</t>
        </is>
      </c>
      <c r="B1282" s="23" t="inlineStr">
        <is>
          <t>MONTADOR DE ESTRUTURAS METÁLICAS COM ENCARGOS COMPLEMENTARES</t>
        </is>
      </c>
      <c r="C1282" s="22" t="inlineStr">
        <is>
          <t>SINAPI</t>
        </is>
      </c>
      <c r="D1282" s="22" t="inlineStr">
        <is>
          <t>H</t>
        </is>
      </c>
      <c r="E1282" s="63">
        <f>L1282*FATOR</f>
        <v/>
      </c>
      <c r="F1282" s="64">
        <f>'COMPOSICOES AUXILIARES'!G2589</f>
        <v/>
      </c>
      <c r="G1282" s="64">
        <f>ROUND(ROUND(E1282,8)*F1282,2)</f>
        <v/>
      </c>
      <c r="L1282" t="n">
        <v>0.3</v>
      </c>
      <c r="M1282" t="n">
        <v>27.54</v>
      </c>
      <c r="N1282">
        <f>(M1282-F1282)</f>
        <v/>
      </c>
    </row>
    <row r="1283" ht="15" customHeight="1">
      <c r="A1283" s="22" t="inlineStr">
        <is>
          <t>88317</t>
        </is>
      </c>
      <c r="B1283" s="23" t="inlineStr">
        <is>
          <t>SOLDADOR COM ENCARGOS COMPLEMENTARES</t>
        </is>
      </c>
      <c r="C1283" s="22" t="inlineStr">
        <is>
          <t>SINAPI</t>
        </is>
      </c>
      <c r="D1283" s="22" t="inlineStr">
        <is>
          <t>H</t>
        </is>
      </c>
      <c r="E1283" s="63">
        <f>L1283*FATOR</f>
        <v/>
      </c>
      <c r="F1283" s="64">
        <f>'COMPOSICOES AUXILIARES'!G3422</f>
        <v/>
      </c>
      <c r="G1283" s="64">
        <f>ROUND(ROUND(E1283,8)*F1283,2)</f>
        <v/>
      </c>
      <c r="L1283" t="n">
        <v>0.05</v>
      </c>
      <c r="M1283" t="n">
        <v>31.31</v>
      </c>
      <c r="N1283">
        <f>(M1283-F1283)</f>
        <v/>
      </c>
    </row>
    <row r="1284" ht="18" customHeight="1">
      <c r="A1284" s="2" t="inlineStr"/>
      <c r="B1284" s="2" t="inlineStr"/>
      <c r="C1284" s="2" t="inlineStr"/>
      <c r="D1284" s="2" t="inlineStr"/>
      <c r="E1284" s="26" t="inlineStr">
        <is>
          <t>TOTAL Mão de Obra com Encargos Complementares:</t>
        </is>
      </c>
      <c r="F1284" s="56" t="n"/>
      <c r="G1284" s="65">
        <f>SUM(G1281:G1283)</f>
        <v/>
      </c>
    </row>
    <row r="1285" ht="15" customHeight="1">
      <c r="A1285" s="2" t="inlineStr"/>
      <c r="B1285" s="2" t="inlineStr"/>
      <c r="C1285" s="2" t="inlineStr"/>
      <c r="D1285" s="2" t="inlineStr"/>
      <c r="E1285" s="28" t="inlineStr">
        <is>
          <t>VALOR:</t>
        </is>
      </c>
      <c r="F1285" s="56" t="n"/>
      <c r="G1285" s="66">
        <f>SUM(G1284,G1279)</f>
        <v/>
      </c>
    </row>
    <row r="1286" ht="15" customHeight="1">
      <c r="A1286" s="2" t="inlineStr"/>
      <c r="B1286" s="2" t="inlineStr"/>
      <c r="C1286" s="2" t="inlineStr"/>
      <c r="D1286" s="2" t="inlineStr"/>
      <c r="E1286" s="28" t="inlineStr">
        <is>
          <t>VALOR BDI (23.08%):</t>
        </is>
      </c>
      <c r="F1286" s="56" t="n"/>
      <c r="G1286" s="66">
        <f>ROUNDDOWN(G1285*BDI,2)</f>
        <v/>
      </c>
    </row>
    <row r="1287" ht="15" customHeight="1">
      <c r="A1287" s="2" t="inlineStr"/>
      <c r="B1287" s="2" t="inlineStr"/>
      <c r="C1287" s="2" t="inlineStr"/>
      <c r="D1287" s="2" t="inlineStr"/>
      <c r="E1287" s="28" t="inlineStr">
        <is>
          <t>VALOR COM BDI:</t>
        </is>
      </c>
      <c r="F1287" s="56" t="n"/>
      <c r="G1287" s="66">
        <f>G1286 + G1285</f>
        <v/>
      </c>
    </row>
    <row r="1288" ht="10" customHeight="1">
      <c r="A1288" s="2" t="inlineStr"/>
      <c r="B1288" s="2" t="inlineStr"/>
      <c r="C1288" s="2" t="inlineStr"/>
      <c r="D1288" s="2" t="inlineStr"/>
      <c r="E1288" s="18" t="inlineStr"/>
    </row>
    <row r="1289" ht="20" customHeight="1">
      <c r="A1289" s="19" t="inlineStr">
        <is>
          <t>6.3.1.2. ​486 PRÓPRIO​ PLACA DE BASE EM CHAPA GROSSA DE AÇO SAC 350 (ASTM A588, COR-TEM) - E= 8MM (5/16") - ANCORADA COM BARRA ROSCADA DE AÇO GALVANIZADO 3/8" -FORNECIMENTO E INSTALAÇÃO​ (KG)</t>
        </is>
      </c>
      <c r="B1289" s="55" t="n"/>
      <c r="C1289" s="55" t="n"/>
      <c r="D1289" s="55" t="n"/>
      <c r="E1289" s="55" t="n"/>
      <c r="F1289" s="55" t="n"/>
      <c r="G1289" s="56" t="n"/>
    </row>
    <row r="1290" ht="15" customHeight="1">
      <c r="A1290" s="20" t="inlineStr">
        <is>
          <t>Material</t>
        </is>
      </c>
      <c r="B1290" s="56" t="n"/>
      <c r="C1290" s="21" t="inlineStr">
        <is>
          <t>FONTE</t>
        </is>
      </c>
      <c r="D1290" s="21" t="inlineStr">
        <is>
          <t>UNID</t>
        </is>
      </c>
      <c r="E1290" s="21" t="inlineStr">
        <is>
          <t>COEFICIENTE</t>
        </is>
      </c>
      <c r="F1290" s="21" t="inlineStr">
        <is>
          <t>PREÇO UNITÁRIO</t>
        </is>
      </c>
      <c r="G1290" s="21" t="inlineStr">
        <is>
          <t>TOTAL</t>
        </is>
      </c>
    </row>
    <row r="1291" ht="21" customHeight="1">
      <c r="A1291" s="22" t="inlineStr">
        <is>
          <t>M3279</t>
        </is>
      </c>
      <c r="B1291" s="23" t="inlineStr">
        <is>
          <t>Arruela lisa em aço zincado branco para parafuso - D = 9,525 mm (3/8")</t>
        </is>
      </c>
      <c r="C1291" s="22" t="inlineStr">
        <is>
          <t>SICRO NOVO</t>
        </is>
      </c>
      <c r="D1291" s="22" t="inlineStr">
        <is>
          <t>un</t>
        </is>
      </c>
      <c r="E1291" s="63" t="n">
        <v>1.589</v>
      </c>
      <c r="F1291" s="64">
        <f>ROUND(M1291*FATOR, 2)</f>
        <v/>
      </c>
      <c r="G1291" s="64">
        <f>ROUND(ROUND(E1291,8)*F1291,2)</f>
        <v/>
      </c>
      <c r="L1291" t="n">
        <v>1.589</v>
      </c>
      <c r="M1291" t="n">
        <v>0.19</v>
      </c>
      <c r="N1291">
        <f>(M1291-F1291)</f>
        <v/>
      </c>
    </row>
    <row r="1292" ht="15" customHeight="1">
      <c r="A1292" s="22" t="inlineStr">
        <is>
          <t>M1245</t>
        </is>
      </c>
      <c r="B1292" s="23" t="inlineStr">
        <is>
          <t>Barra em aço SAE 1010/1020 roscada - D = 9,5 mm (3/8")</t>
        </is>
      </c>
      <c r="C1292" s="22" t="inlineStr">
        <is>
          <t>SICRO NOVO</t>
        </is>
      </c>
      <c r="D1292" s="22" t="inlineStr">
        <is>
          <t>m</t>
        </is>
      </c>
      <c r="E1292" s="63" t="n">
        <v>1.253</v>
      </c>
      <c r="F1292" s="64">
        <f>ROUND(M1292*FATOR, 2)</f>
        <v/>
      </c>
      <c r="G1292" s="64">
        <f>ROUND(ROUND(E1292,8)*F1292,2)</f>
        <v/>
      </c>
      <c r="L1292" t="n">
        <v>1.253</v>
      </c>
      <c r="M1292" t="n">
        <v>10.67</v>
      </c>
      <c r="N1292">
        <f>(M1292-F1292)</f>
        <v/>
      </c>
    </row>
    <row r="1293" ht="21" customHeight="1">
      <c r="A1293" s="22" t="inlineStr">
        <is>
          <t>M3171</t>
        </is>
      </c>
      <c r="B1293" s="23" t="inlineStr">
        <is>
          <t>Porca sextavada em aço galvanizado para parafuso - D = 9,525 mm (3/8")</t>
        </is>
      </c>
      <c r="C1293" s="22" t="inlineStr">
        <is>
          <t>SICRO NOVO</t>
        </is>
      </c>
      <c r="D1293" s="22" t="inlineStr">
        <is>
          <t>un</t>
        </is>
      </c>
      <c r="E1293" s="63" t="n">
        <v>3.179</v>
      </c>
      <c r="F1293" s="64">
        <f>ROUND(M1293*FATOR, 2)</f>
        <v/>
      </c>
      <c r="G1293" s="64">
        <f>ROUND(ROUND(E1293,8)*F1293,2)</f>
        <v/>
      </c>
      <c r="L1293" t="n">
        <v>3.179</v>
      </c>
      <c r="M1293" t="n">
        <v>0.3</v>
      </c>
      <c r="N1293">
        <f>(M1293-F1293)</f>
        <v/>
      </c>
    </row>
    <row r="1294" ht="15" customHeight="1">
      <c r="A1294" s="2" t="inlineStr"/>
      <c r="B1294" s="2" t="inlineStr"/>
      <c r="C1294" s="2" t="inlineStr"/>
      <c r="D1294" s="2" t="inlineStr"/>
      <c r="E1294" s="26" t="inlineStr">
        <is>
          <t>TOTAL Material:</t>
        </is>
      </c>
      <c r="F1294" s="56" t="n"/>
      <c r="G1294" s="65">
        <f>SUM(G1291:G1293)</f>
        <v/>
      </c>
    </row>
    <row r="1295" ht="15" customHeight="1">
      <c r="A1295" s="20" t="inlineStr">
        <is>
          <t>Mão de Obra com Encargos Complementares</t>
        </is>
      </c>
      <c r="B1295" s="56" t="n"/>
      <c r="C1295" s="21" t="inlineStr">
        <is>
          <t>FONTE</t>
        </is>
      </c>
      <c r="D1295" s="21" t="inlineStr">
        <is>
          <t>UNID</t>
        </is>
      </c>
      <c r="E1295" s="21" t="inlineStr">
        <is>
          <t>COEFICIENTE</t>
        </is>
      </c>
      <c r="F1295" s="21" t="inlineStr">
        <is>
          <t>PREÇO UNITÁRIO</t>
        </is>
      </c>
      <c r="G1295" s="21" t="inlineStr">
        <is>
          <t>TOTAL</t>
        </is>
      </c>
    </row>
    <row r="1296" ht="21" customHeight="1">
      <c r="A1296" s="22" t="inlineStr">
        <is>
          <t>88240</t>
        </is>
      </c>
      <c r="B1296" s="23" t="inlineStr">
        <is>
          <t>AJUDANTE DE ESTRUTURA METÁLICA COM ENCARGOS COMPLEMENTARES</t>
        </is>
      </c>
      <c r="C1296" s="22" t="inlineStr">
        <is>
          <t>SINAPI</t>
        </is>
      </c>
      <c r="D1296" s="22" t="inlineStr">
        <is>
          <t>H</t>
        </is>
      </c>
      <c r="E1296" s="63">
        <f>L1296*FATOR</f>
        <v/>
      </c>
      <c r="F1296" s="64">
        <f>'COMPOSICOES AUXILIARES'!G87</f>
        <v/>
      </c>
      <c r="G1296" s="64">
        <f>ROUND(ROUND(E1296,8)*F1296,2)</f>
        <v/>
      </c>
      <c r="L1296" t="n">
        <v>0.0015</v>
      </c>
      <c r="M1296" t="n">
        <v>23.58</v>
      </c>
      <c r="N1296">
        <f>(M1296-F1296)</f>
        <v/>
      </c>
    </row>
    <row r="1297" ht="21" customHeight="1">
      <c r="A1297" s="22" t="inlineStr">
        <is>
          <t>88278</t>
        </is>
      </c>
      <c r="B1297" s="23" t="inlineStr">
        <is>
          <t>MONTADOR DE ESTRUTURAS METÁLICAS COM ENCARGOS COMPLEMENTARES</t>
        </is>
      </c>
      <c r="C1297" s="22" t="inlineStr">
        <is>
          <t>SINAPI</t>
        </is>
      </c>
      <c r="D1297" s="22" t="inlineStr">
        <is>
          <t>H</t>
        </is>
      </c>
      <c r="E1297" s="63">
        <f>L1297*FATOR</f>
        <v/>
      </c>
      <c r="F1297" s="64">
        <f>'COMPOSICOES AUXILIARES'!G2589</f>
        <v/>
      </c>
      <c r="G1297" s="64">
        <f>ROUND(ROUND(E1297,8)*F1297,2)</f>
        <v/>
      </c>
      <c r="L1297" t="n">
        <v>0.015</v>
      </c>
      <c r="M1297" t="n">
        <v>27.54</v>
      </c>
      <c r="N1297">
        <f>(M1297-F1297)</f>
        <v/>
      </c>
    </row>
    <row r="1298" ht="18" customHeight="1">
      <c r="A1298" s="2" t="inlineStr"/>
      <c r="B1298" s="2" t="inlineStr"/>
      <c r="C1298" s="2" t="inlineStr"/>
      <c r="D1298" s="2" t="inlineStr"/>
      <c r="E1298" s="26" t="inlineStr">
        <is>
          <t>TOTAL Mão de Obra com Encargos Complementares:</t>
        </is>
      </c>
      <c r="F1298" s="56" t="n"/>
      <c r="G1298" s="65">
        <f>SUM(G1296:G1297)</f>
        <v/>
      </c>
    </row>
    <row r="1299" ht="15" customHeight="1">
      <c r="A1299" s="20" t="inlineStr">
        <is>
          <t>Serviço</t>
        </is>
      </c>
      <c r="B1299" s="56" t="n"/>
      <c r="C1299" s="21" t="inlineStr">
        <is>
          <t>FONTE</t>
        </is>
      </c>
      <c r="D1299" s="21" t="inlineStr">
        <is>
          <t>UNID</t>
        </is>
      </c>
      <c r="E1299" s="21" t="inlineStr">
        <is>
          <t>COEFICIENTE</t>
        </is>
      </c>
      <c r="F1299" s="21" t="inlineStr">
        <is>
          <t>PREÇO UNITÁRIO</t>
        </is>
      </c>
      <c r="G1299" s="21" t="inlineStr">
        <is>
          <t>TOTAL</t>
        </is>
      </c>
    </row>
    <row r="1300" ht="21" customHeight="1">
      <c r="A1300" s="22" t="inlineStr">
        <is>
          <t>100716</t>
        </is>
      </c>
      <c r="B1300" s="23" t="inlineStr">
        <is>
          <t>JATEAMENTO ABRASIVO COM GRANALHA DE AÇO EM PERFIL METÁLICO EM FÁBRICA. AF_01/2020</t>
        </is>
      </c>
      <c r="C1300" s="22" t="inlineStr">
        <is>
          <t>SINAPI</t>
        </is>
      </c>
      <c r="D1300" s="22" t="inlineStr">
        <is>
          <t>M2</t>
        </is>
      </c>
      <c r="E1300" s="63" t="n">
        <v>0.0227</v>
      </c>
      <c r="F1300" s="64">
        <f>'COMPOSICOES AUXILIARES'!G2360</f>
        <v/>
      </c>
      <c r="G1300" s="64">
        <f>ROUND(ROUND(E1300,8)*F1300,2)</f>
        <v/>
      </c>
      <c r="L1300" t="n">
        <v>0.0227</v>
      </c>
      <c r="M1300" t="n">
        <v>25.22</v>
      </c>
      <c r="N1300">
        <f>(M1300-F1300)</f>
        <v/>
      </c>
    </row>
    <row r="1301" ht="29" customHeight="1">
      <c r="A1301" s="22" t="inlineStr">
        <is>
          <t>100719</t>
        </is>
      </c>
      <c r="B1301" s="23" t="inlineStr">
        <is>
          <t>PINTURA COM TINTA ALQUÍDICA DE FUNDO (TIPO ZARCÃO) PULVERIZADA SOBRE PERFIL METÁLICO EXECUTADO EM FÁBRICA (POR DEMÃO). AF_01/2020_PE</t>
        </is>
      </c>
      <c r="C1301" s="22" t="inlineStr">
        <is>
          <t>SINAPI</t>
        </is>
      </c>
      <c r="D1301" s="22" t="inlineStr">
        <is>
          <t>M2</t>
        </is>
      </c>
      <c r="E1301" s="63" t="n">
        <v>0.0227</v>
      </c>
      <c r="F1301" s="64">
        <f>'COMPOSICOES AUXILIARES'!G3059</f>
        <v/>
      </c>
      <c r="G1301" s="64">
        <f>ROUND(ROUND(E1301,8)*F1301,2)</f>
        <v/>
      </c>
      <c r="L1301" t="n">
        <v>0.0227</v>
      </c>
      <c r="M1301" t="n">
        <v>12.69</v>
      </c>
      <c r="N1301">
        <f>(M1301-F1301)</f>
        <v/>
      </c>
    </row>
    <row r="1302" ht="15" customHeight="1">
      <c r="A1302" s="2" t="inlineStr"/>
      <c r="B1302" s="2" t="inlineStr"/>
      <c r="C1302" s="2" t="inlineStr"/>
      <c r="D1302" s="2" t="inlineStr"/>
      <c r="E1302" s="26" t="inlineStr">
        <is>
          <t>TOTAL Serviço:</t>
        </is>
      </c>
      <c r="F1302" s="56" t="n"/>
      <c r="G1302" s="65">
        <f>SUM(G1300:G1301)</f>
        <v/>
      </c>
    </row>
    <row r="1303" ht="15" customHeight="1">
      <c r="A1303" s="2" t="inlineStr"/>
      <c r="B1303" s="2" t="inlineStr"/>
      <c r="C1303" s="2" t="inlineStr"/>
      <c r="D1303" s="2" t="inlineStr"/>
      <c r="E1303" s="28" t="inlineStr">
        <is>
          <t>VALOR:</t>
        </is>
      </c>
      <c r="F1303" s="56" t="n"/>
      <c r="G1303" s="66">
        <f>SUM(G1298,G1294,G1302)</f>
        <v/>
      </c>
    </row>
    <row r="1304" ht="15" customHeight="1">
      <c r="A1304" s="2" t="inlineStr"/>
      <c r="B1304" s="2" t="inlineStr"/>
      <c r="C1304" s="2" t="inlineStr"/>
      <c r="D1304" s="2" t="inlineStr"/>
      <c r="E1304" s="28" t="inlineStr">
        <is>
          <t>VALOR BDI (23.08%):</t>
        </is>
      </c>
      <c r="F1304" s="56" t="n"/>
      <c r="G1304" s="66">
        <f>ROUNDDOWN(G1303*BDI,2)</f>
        <v/>
      </c>
    </row>
    <row r="1305" ht="15" customHeight="1">
      <c r="A1305" s="2" t="inlineStr"/>
      <c r="B1305" s="2" t="inlineStr"/>
      <c r="C1305" s="2" t="inlineStr"/>
      <c r="D1305" s="2" t="inlineStr"/>
      <c r="E1305" s="28" t="inlineStr">
        <is>
          <t>VALOR COM BDI:</t>
        </is>
      </c>
      <c r="F1305" s="56" t="n"/>
      <c r="G1305" s="66">
        <f>G1304 + G1303</f>
        <v/>
      </c>
    </row>
    <row r="1306" ht="10" customHeight="1">
      <c r="A1306" s="2" t="inlineStr"/>
      <c r="B1306" s="2" t="inlineStr"/>
      <c r="C1306" s="2" t="inlineStr"/>
      <c r="D1306" s="2" t="inlineStr"/>
      <c r="E1306" s="18" t="inlineStr"/>
    </row>
    <row r="1307" ht="20" customHeight="1">
      <c r="A1307" s="19" t="inlineStr">
        <is>
          <t>7.1.1.1. ​374 PRÓPRIO​ PORTA DE ALUMÍNIO ANODIZADO (PRETO OU BRONZE) DE CORRER, EM PERFIS SERIE 30, INCLUSOS FERRAGENS E VIDRODE SEGURANÇA 8MM​ (M²)</t>
        </is>
      </c>
      <c r="B1307" s="55" t="n"/>
      <c r="C1307" s="55" t="n"/>
      <c r="D1307" s="55" t="n"/>
      <c r="E1307" s="55" t="n"/>
      <c r="F1307" s="55" t="n"/>
      <c r="G1307" s="56" t="n"/>
    </row>
    <row r="1308" ht="15" customHeight="1">
      <c r="A1308" s="20" t="inlineStr">
        <is>
          <t>Material</t>
        </is>
      </c>
      <c r="B1308" s="56" t="n"/>
      <c r="C1308" s="21" t="inlineStr">
        <is>
          <t>FONTE</t>
        </is>
      </c>
      <c r="D1308" s="21" t="inlineStr">
        <is>
          <t>UNID</t>
        </is>
      </c>
      <c r="E1308" s="21" t="inlineStr">
        <is>
          <t>COEFICIENTE</t>
        </is>
      </c>
      <c r="F1308" s="21" t="inlineStr">
        <is>
          <t>PREÇO UNITÁRIO</t>
        </is>
      </c>
      <c r="G1308" s="21" t="inlineStr">
        <is>
          <t>TOTAL</t>
        </is>
      </c>
    </row>
    <row r="1309" ht="15" customHeight="1">
      <c r="A1309" s="22" t="inlineStr">
        <is>
          <t>00034360</t>
        </is>
      </c>
      <c r="B1309" s="23" t="inlineStr">
        <is>
          <t>PERFIL DE ALUMINIO ANODIZADO</t>
        </is>
      </c>
      <c r="C1309" s="22" t="inlineStr">
        <is>
          <t>SINAPI</t>
        </is>
      </c>
      <c r="D1309" s="22" t="inlineStr">
        <is>
          <t>KG</t>
        </is>
      </c>
      <c r="E1309" s="63" t="n">
        <v>9</v>
      </c>
      <c r="F1309" s="64">
        <f>ROUND(M1309*FATOR, 2)</f>
        <v/>
      </c>
      <c r="G1309" s="64">
        <f>ROUND(ROUND(E1309,8)*F1309,2)</f>
        <v/>
      </c>
      <c r="L1309" t="n">
        <v>9</v>
      </c>
      <c r="M1309" t="n">
        <v>43.16</v>
      </c>
      <c r="N1309">
        <f>(M1309-F1309)</f>
        <v/>
      </c>
    </row>
    <row r="1310" ht="15" customHeight="1">
      <c r="A1310" s="2" t="inlineStr"/>
      <c r="B1310" s="2" t="inlineStr"/>
      <c r="C1310" s="2" t="inlineStr"/>
      <c r="D1310" s="2" t="inlineStr"/>
      <c r="E1310" s="26" t="inlineStr">
        <is>
          <t>TOTAL Material:</t>
        </is>
      </c>
      <c r="F1310" s="56" t="n"/>
      <c r="G1310" s="65">
        <f>SUM(G1309:G1309)</f>
        <v/>
      </c>
    </row>
    <row r="1311" ht="15" customHeight="1">
      <c r="A1311" s="20" t="inlineStr">
        <is>
          <t>Mão de Obra com Encargos Complementares</t>
        </is>
      </c>
      <c r="B1311" s="56" t="n"/>
      <c r="C1311" s="21" t="inlineStr">
        <is>
          <t>FONTE</t>
        </is>
      </c>
      <c r="D1311" s="21" t="inlineStr">
        <is>
          <t>UNID</t>
        </is>
      </c>
      <c r="E1311" s="21" t="inlineStr">
        <is>
          <t>COEFICIENTE</t>
        </is>
      </c>
      <c r="F1311" s="21" t="inlineStr">
        <is>
          <t>PREÇO UNITÁRIO</t>
        </is>
      </c>
      <c r="G1311" s="21" t="inlineStr">
        <is>
          <t>TOTAL</t>
        </is>
      </c>
    </row>
    <row r="1312" ht="21" customHeight="1">
      <c r="A1312" s="22" t="inlineStr">
        <is>
          <t>88251</t>
        </is>
      </c>
      <c r="B1312" s="23" t="inlineStr">
        <is>
          <t>AUXILIAR DE SERRALHEIRO COM ENCARGOS COMPLEMENTARES</t>
        </is>
      </c>
      <c r="C1312" s="22" t="inlineStr">
        <is>
          <t>SINAPI</t>
        </is>
      </c>
      <c r="D1312" s="22" t="inlineStr">
        <is>
          <t>H</t>
        </is>
      </c>
      <c r="E1312" s="63">
        <f>L1312*FATOR</f>
        <v/>
      </c>
      <c r="F1312" s="64">
        <f>'COMPOSICOES AUXILIARES'!G543</f>
        <v/>
      </c>
      <c r="G1312" s="64">
        <f>ROUND(ROUND(E1312,8)*F1312,2)</f>
        <v/>
      </c>
      <c r="L1312" t="n">
        <v>3</v>
      </c>
      <c r="M1312" t="n">
        <v>24.77</v>
      </c>
      <c r="N1312">
        <f>(M1312-F1312)</f>
        <v/>
      </c>
    </row>
    <row r="1313" ht="15" customHeight="1">
      <c r="A1313" s="22" t="inlineStr">
        <is>
          <t>88315</t>
        </is>
      </c>
      <c r="B1313" s="23" t="inlineStr">
        <is>
          <t>SERRALHEIRO COM ENCARGOS COMPLEMENTARES</t>
        </is>
      </c>
      <c r="C1313" s="22" t="inlineStr">
        <is>
          <t>SINAPI</t>
        </is>
      </c>
      <c r="D1313" s="22" t="inlineStr">
        <is>
          <t>H</t>
        </is>
      </c>
      <c r="E1313" s="63">
        <f>L1313*FATOR</f>
        <v/>
      </c>
      <c r="F1313" s="64">
        <f>'COMPOSICOES AUXILIARES'!G543</f>
        <v/>
      </c>
      <c r="G1313" s="64">
        <f>ROUND(ROUND(E1313,8)*F1313,2)</f>
        <v/>
      </c>
      <c r="L1313" t="n">
        <v>3</v>
      </c>
      <c r="M1313" t="n">
        <v>30.37</v>
      </c>
      <c r="N1313">
        <f>(M1313-F1313)</f>
        <v/>
      </c>
    </row>
    <row r="1314" ht="15" customHeight="1">
      <c r="A1314" s="22" t="inlineStr">
        <is>
          <t>88316</t>
        </is>
      </c>
      <c r="B1314" s="23" t="inlineStr">
        <is>
          <t>SERVENTE COM ENCARGOS COMPLEMENTARES</t>
        </is>
      </c>
      <c r="C1314" s="22" t="inlineStr">
        <is>
          <t>SINAPI</t>
        </is>
      </c>
      <c r="D1314" s="22" t="inlineStr">
        <is>
          <t>H</t>
        </is>
      </c>
      <c r="E1314" s="63">
        <f>L1314*FATOR</f>
        <v/>
      </c>
      <c r="F1314" s="64">
        <f>'COMPOSICOES AUXILIARES'!G3390</f>
        <v/>
      </c>
      <c r="G1314" s="64">
        <f>ROUND(ROUND(E1314,8)*F1314,2)</f>
        <v/>
      </c>
      <c r="L1314" t="n">
        <v>1.4651</v>
      </c>
      <c r="M1314" t="n">
        <v>23.56</v>
      </c>
      <c r="N1314">
        <f>(M1314-F1314)</f>
        <v/>
      </c>
    </row>
    <row r="1315" ht="15" customHeight="1">
      <c r="A1315" s="22" t="inlineStr">
        <is>
          <t>88325</t>
        </is>
      </c>
      <c r="B1315" s="23" t="inlineStr">
        <is>
          <t>VIDRACEIRO COM ENCARGOS COMPLEMENTARES</t>
        </is>
      </c>
      <c r="C1315" s="22" t="inlineStr">
        <is>
          <t>SINAPI</t>
        </is>
      </c>
      <c r="D1315" s="22" t="inlineStr">
        <is>
          <t>H</t>
        </is>
      </c>
      <c r="E1315" s="63">
        <f>L1315*FATOR</f>
        <v/>
      </c>
      <c r="F1315" s="64">
        <f>'COMPOSICOES AUXILIARES'!G3787</f>
        <v/>
      </c>
      <c r="G1315" s="64">
        <f>ROUND(ROUND(E1315,8)*F1315,2)</f>
        <v/>
      </c>
      <c r="L1315" t="n">
        <v>1.511</v>
      </c>
      <c r="M1315" t="n">
        <v>25.13</v>
      </c>
      <c r="N1315">
        <f>(M1315-F1315)</f>
        <v/>
      </c>
    </row>
    <row r="1316" ht="18" customHeight="1">
      <c r="A1316" s="2" t="inlineStr"/>
      <c r="B1316" s="2" t="inlineStr"/>
      <c r="C1316" s="2" t="inlineStr"/>
      <c r="D1316" s="2" t="inlineStr"/>
      <c r="E1316" s="26" t="inlineStr">
        <is>
          <t>TOTAL Mão de Obra com Encargos Complementares:</t>
        </is>
      </c>
      <c r="F1316" s="56" t="n"/>
      <c r="G1316" s="65">
        <f>SUM(G1312:G1315)</f>
        <v/>
      </c>
    </row>
    <row r="1317" ht="15" customHeight="1">
      <c r="A1317" s="20" t="inlineStr">
        <is>
          <t>Serviço</t>
        </is>
      </c>
      <c r="B1317" s="56" t="n"/>
      <c r="C1317" s="21" t="inlineStr">
        <is>
          <t>FONTE</t>
        </is>
      </c>
      <c r="D1317" s="21" t="inlineStr">
        <is>
          <t>UNID</t>
        </is>
      </c>
      <c r="E1317" s="21" t="inlineStr">
        <is>
          <t>COEFICIENTE</t>
        </is>
      </c>
      <c r="F1317" s="21" t="inlineStr">
        <is>
          <t>PREÇO UNITÁRIO</t>
        </is>
      </c>
      <c r="G1317" s="21" t="inlineStr">
        <is>
          <t>TOTAL</t>
        </is>
      </c>
    </row>
    <row r="1318" ht="29" customHeight="1">
      <c r="A1318" s="22" t="inlineStr">
        <is>
          <t>00034391</t>
        </is>
      </c>
      <c r="B1318" s="23" t="inlineStr">
        <is>
          <t>VIDRO COMUM LAMINADO LISO INCOLOR DUPLO, ESPESSURA TOTAL 8 MM (CADA CAMADA DE 4 MM) - COLOCADO</t>
        </is>
      </c>
      <c r="C1318" s="22" t="inlineStr">
        <is>
          <t>SINAPI</t>
        </is>
      </c>
      <c r="D1318" s="22" t="inlineStr">
        <is>
          <t>M2</t>
        </is>
      </c>
      <c r="E1318" s="63" t="n">
        <v>1</v>
      </c>
      <c r="F1318" s="64">
        <f>'COMPOSICOES AUXILIARES'!G1795</f>
        <v/>
      </c>
      <c r="G1318" s="64">
        <f>ROUND(ROUND(E1318,8)*F1318,2)</f>
        <v/>
      </c>
      <c r="L1318" t="n">
        <v>1</v>
      </c>
      <c r="M1318" t="n">
        <v>861.75</v>
      </c>
      <c r="N1318">
        <f>(M1318-F1318)</f>
        <v/>
      </c>
    </row>
    <row r="1319" ht="15" customHeight="1">
      <c r="A1319" s="2" t="inlineStr"/>
      <c r="B1319" s="2" t="inlineStr"/>
      <c r="C1319" s="2" t="inlineStr"/>
      <c r="D1319" s="2" t="inlineStr"/>
      <c r="E1319" s="26" t="inlineStr">
        <is>
          <t>TOTAL Serviço:</t>
        </is>
      </c>
      <c r="F1319" s="56" t="n"/>
      <c r="G1319" s="65">
        <f>SUM(G1318:G1318)</f>
        <v/>
      </c>
    </row>
    <row r="1320" ht="15" customHeight="1">
      <c r="A1320" s="2" t="inlineStr"/>
      <c r="B1320" s="2" t="inlineStr"/>
      <c r="C1320" s="2" t="inlineStr"/>
      <c r="D1320" s="2" t="inlineStr"/>
      <c r="E1320" s="28" t="inlineStr">
        <is>
          <t>VALOR:</t>
        </is>
      </c>
      <c r="F1320" s="56" t="n"/>
      <c r="G1320" s="66">
        <f>SUM(G1316,G1310,G1319)</f>
        <v/>
      </c>
    </row>
    <row r="1321" ht="15" customHeight="1">
      <c r="A1321" s="2" t="inlineStr"/>
      <c r="B1321" s="2" t="inlineStr"/>
      <c r="C1321" s="2" t="inlineStr"/>
      <c r="D1321" s="2" t="inlineStr"/>
      <c r="E1321" s="28" t="inlineStr">
        <is>
          <t>VALOR BDI (23.08%):</t>
        </is>
      </c>
      <c r="F1321" s="56" t="n"/>
      <c r="G1321" s="66">
        <f>ROUNDDOWN(G1320*BDI,2)</f>
        <v/>
      </c>
    </row>
    <row r="1322" ht="15" customHeight="1">
      <c r="A1322" s="2" t="inlineStr"/>
      <c r="B1322" s="2" t="inlineStr"/>
      <c r="C1322" s="2" t="inlineStr"/>
      <c r="D1322" s="2" t="inlineStr"/>
      <c r="E1322" s="28" t="inlineStr">
        <is>
          <t>VALOR COM BDI:</t>
        </is>
      </c>
      <c r="F1322" s="56" t="n"/>
      <c r="G1322" s="66">
        <f>G1321 + G1320</f>
        <v/>
      </c>
    </row>
    <row r="1323" ht="10" customHeight="1">
      <c r="A1323" s="2" t="inlineStr"/>
      <c r="B1323" s="2" t="inlineStr"/>
      <c r="C1323" s="2" t="inlineStr"/>
      <c r="D1323" s="2" t="inlineStr"/>
      <c r="E1323" s="18" t="inlineStr"/>
    </row>
    <row r="1324" ht="27" customHeight="1">
      <c r="A1324" s="19" t="inlineStr">
        <is>
          <t>7.1.2.1. ​94569​ JANELA DE ALUMÍNIO TIPO MAXIM-AR, BATENTE/ REQUADRO 3 A 14 CM, VIDRO INCLUSO, FIXAÇÃO COM PARAFUSO, SEM GUARNIÇÃO/ ALIZAR, DIMENSÕES 60X80 (A X L) CM, SEM ACABAMENTO, VEDAÇÃO COM SILICONE, EXCLUSIVE CONTRAMARCO - FORNECIMENTO EINSTALAÇÃO. AF_11/2024​ (M2)</t>
        </is>
      </c>
      <c r="B1324" s="55" t="n"/>
      <c r="C1324" s="55" t="n"/>
      <c r="D1324" s="55" t="n"/>
      <c r="E1324" s="55" t="n"/>
      <c r="F1324" s="55" t="n"/>
      <c r="G1324" s="56" t="n"/>
    </row>
    <row r="1325" ht="15" customHeight="1">
      <c r="A1325" s="20" t="inlineStr">
        <is>
          <t>Material</t>
        </is>
      </c>
      <c r="B1325" s="56" t="n"/>
      <c r="C1325" s="21" t="inlineStr">
        <is>
          <t>FONTE</t>
        </is>
      </c>
      <c r="D1325" s="21" t="inlineStr">
        <is>
          <t>UNID</t>
        </is>
      </c>
      <c r="E1325" s="21" t="inlineStr">
        <is>
          <t>COEFICIENTE</t>
        </is>
      </c>
      <c r="F1325" s="21" t="inlineStr">
        <is>
          <t>PREÇO UNITÁRIO</t>
        </is>
      </c>
      <c r="G1325" s="21" t="inlineStr">
        <is>
          <t>TOTAL</t>
        </is>
      </c>
    </row>
    <row r="1326" ht="29" customHeight="1">
      <c r="A1326" s="22" t="inlineStr">
        <is>
          <t>00034381</t>
        </is>
      </c>
      <c r="B1326" s="23" t="inlineStr">
        <is>
          <t>JANELA MAXIM-AR, EM ALUMINIO PERFIL 25, 60 X 80 CM (A X L), ACABAMENTO BRANCO OU BRILHANTE, BATENTE DE 4 A 5 CM, COM VIDRO 4 MM, SEM GUARNICAO/ALIZAR</t>
        </is>
      </c>
      <c r="C1326" s="22" t="inlineStr">
        <is>
          <t>SINAPI</t>
        </is>
      </c>
      <c r="D1326" s="22" t="inlineStr">
        <is>
          <t>UN</t>
        </is>
      </c>
      <c r="E1326" s="63" t="n">
        <v>2.0833</v>
      </c>
      <c r="F1326" s="64">
        <f>ROUND(M1326*FATOR, 2)</f>
        <v/>
      </c>
      <c r="G1326" s="64">
        <f>TRUNC(TRUNC(E1326,8)*F1326,2)</f>
        <v/>
      </c>
      <c r="L1326" t="n">
        <v>2.0833</v>
      </c>
      <c r="M1326" t="n">
        <v>335.03</v>
      </c>
      <c r="N1326">
        <f>(M1326-F1326)</f>
        <v/>
      </c>
    </row>
    <row r="1327" ht="29" customHeight="1">
      <c r="A1327" s="22" t="inlineStr">
        <is>
          <t>00004377</t>
        </is>
      </c>
      <c r="B1327" s="23" t="inlineStr">
        <is>
          <t>PARAFUSO DE ACO ZINCADO COM ROSCA SOBERBA, CABECA CHATA E FENDA SIMPLES, DIAMETRO 4,2 MM, COMPRIMENTO * 32 * MM</t>
        </is>
      </c>
      <c r="C1327" s="22" t="inlineStr">
        <is>
          <t>SINAPI</t>
        </is>
      </c>
      <c r="D1327" s="22" t="inlineStr">
        <is>
          <t>UN</t>
        </is>
      </c>
      <c r="E1327" s="63" t="n">
        <v>24.4</v>
      </c>
      <c r="F1327" s="64">
        <f>ROUND(M1327*FATOR, 2)</f>
        <v/>
      </c>
      <c r="G1327" s="64">
        <f>TRUNC(TRUNC(E1327,8)*F1327,2)</f>
        <v/>
      </c>
      <c r="L1327" t="n">
        <v>24.4</v>
      </c>
      <c r="M1327" t="n">
        <v>0.26</v>
      </c>
      <c r="N1327">
        <f>(M1327-F1327)</f>
        <v/>
      </c>
    </row>
    <row r="1328" ht="15" customHeight="1">
      <c r="A1328" s="22" t="inlineStr">
        <is>
          <t>00039961</t>
        </is>
      </c>
      <c r="B1328" s="23" t="inlineStr">
        <is>
          <t>SILICONE ACETICO USO GERAL INCOLOR 280 G</t>
        </is>
      </c>
      <c r="C1328" s="22" t="inlineStr">
        <is>
          <t>SINAPI</t>
        </is>
      </c>
      <c r="D1328" s="22" t="inlineStr">
        <is>
          <t>UN</t>
        </is>
      </c>
      <c r="E1328" s="63" t="n">
        <v>1.16875</v>
      </c>
      <c r="F1328" s="64">
        <f>ROUND(M1328*FATOR, 2)</f>
        <v/>
      </c>
      <c r="G1328" s="64">
        <f>TRUNC(TRUNC(E1328,8)*F1328,2)</f>
        <v/>
      </c>
      <c r="L1328" t="n">
        <v>1.16875</v>
      </c>
      <c r="M1328" t="n">
        <v>26.59</v>
      </c>
      <c r="N1328">
        <f>(M1328-F1328)</f>
        <v/>
      </c>
    </row>
    <row r="1329" ht="15" customHeight="1">
      <c r="A1329" s="2" t="inlineStr"/>
      <c r="B1329" s="2" t="inlineStr"/>
      <c r="C1329" s="2" t="inlineStr"/>
      <c r="D1329" s="2" t="inlineStr"/>
      <c r="E1329" s="26" t="inlineStr">
        <is>
          <t>TOTAL Material:</t>
        </is>
      </c>
      <c r="F1329" s="56" t="n"/>
      <c r="G1329" s="65">
        <f>SUM(G1326:G1328)</f>
        <v/>
      </c>
    </row>
    <row r="1330" ht="15" customHeight="1">
      <c r="A1330" s="20" t="inlineStr">
        <is>
          <t>Mão de Obra com Encargos Complementares</t>
        </is>
      </c>
      <c r="B1330" s="56" t="n"/>
      <c r="C1330" s="21" t="inlineStr">
        <is>
          <t>FONTE</t>
        </is>
      </c>
      <c r="D1330" s="21" t="inlineStr">
        <is>
          <t>UNID</t>
        </is>
      </c>
      <c r="E1330" s="21" t="inlineStr">
        <is>
          <t>COEFICIENTE</t>
        </is>
      </c>
      <c r="F1330" s="21" t="inlineStr">
        <is>
          <t>PREÇO UNITÁRIO</t>
        </is>
      </c>
      <c r="G1330" s="21" t="inlineStr">
        <is>
          <t>TOTAL</t>
        </is>
      </c>
    </row>
    <row r="1331" ht="15" customHeight="1">
      <c r="A1331" s="22" t="inlineStr">
        <is>
          <t>88309</t>
        </is>
      </c>
      <c r="B1331" s="23" t="inlineStr">
        <is>
          <t>PEDREIRO COM ENCARGOS COMPLEMENTARES</t>
        </is>
      </c>
      <c r="C1331" s="22" t="inlineStr">
        <is>
          <t>SINAPI</t>
        </is>
      </c>
      <c r="D1331" s="22" t="inlineStr">
        <is>
          <t>H</t>
        </is>
      </c>
      <c r="E1331" s="63">
        <f>L1331*FATOR</f>
        <v/>
      </c>
      <c r="F1331" s="64">
        <f>'COMPOSICOES AUXILIARES'!G2887</f>
        <v/>
      </c>
      <c r="G1331" s="64">
        <f>TRUNC(TRUNC(E1331,8)*F1331,2)</f>
        <v/>
      </c>
      <c r="L1331" t="n">
        <v>1.0104139</v>
      </c>
      <c r="M1331" t="n">
        <v>30.58</v>
      </c>
      <c r="N1331">
        <f>(M1331-F1331)</f>
        <v/>
      </c>
    </row>
    <row r="1332" ht="15" customHeight="1">
      <c r="A1332" s="22" t="inlineStr">
        <is>
          <t>88316</t>
        </is>
      </c>
      <c r="B1332" s="23" t="inlineStr">
        <is>
          <t>SERVENTE COM ENCARGOS COMPLEMENTARES</t>
        </is>
      </c>
      <c r="C1332" s="22" t="inlineStr">
        <is>
          <t>SINAPI</t>
        </is>
      </c>
      <c r="D1332" s="22" t="inlineStr">
        <is>
          <t>H</t>
        </is>
      </c>
      <c r="E1332" s="63">
        <f>L1332*FATOR</f>
        <v/>
      </c>
      <c r="F1332" s="64">
        <f>'COMPOSICOES AUXILIARES'!G3390</f>
        <v/>
      </c>
      <c r="G1332" s="64">
        <f>TRUNC(TRUNC(E1332,8)*F1332,2)</f>
        <v/>
      </c>
      <c r="L1332" t="n">
        <v>0.5052069</v>
      </c>
      <c r="M1332" t="n">
        <v>23.56</v>
      </c>
      <c r="N1332">
        <f>(M1332-F1332)</f>
        <v/>
      </c>
    </row>
    <row r="1333" ht="18" customHeight="1">
      <c r="A1333" s="2" t="inlineStr"/>
      <c r="B1333" s="2" t="inlineStr"/>
      <c r="C1333" s="2" t="inlineStr"/>
      <c r="D1333" s="2" t="inlineStr"/>
      <c r="E1333" s="26" t="inlineStr">
        <is>
          <t>TOTAL Mão de Obra com Encargos Complementares:</t>
        </is>
      </c>
      <c r="F1333" s="56" t="n"/>
      <c r="G1333" s="65">
        <f>SUM(G1331:G1332)</f>
        <v/>
      </c>
    </row>
    <row r="1334" ht="15" customHeight="1">
      <c r="A1334" s="2" t="inlineStr"/>
      <c r="B1334" s="2" t="inlineStr"/>
      <c r="C1334" s="2" t="inlineStr"/>
      <c r="D1334" s="2" t="inlineStr"/>
      <c r="E1334" s="28" t="inlineStr">
        <is>
          <t>VALOR:</t>
        </is>
      </c>
      <c r="F1334" s="56" t="n"/>
      <c r="G1334" s="66">
        <f>SUM(G1329,G1333)</f>
        <v/>
      </c>
    </row>
    <row r="1335" ht="15" customHeight="1">
      <c r="A1335" s="2" t="inlineStr"/>
      <c r="B1335" s="2" t="inlineStr"/>
      <c r="C1335" s="2" t="inlineStr"/>
      <c r="D1335" s="2" t="inlineStr"/>
      <c r="E1335" s="28" t="inlineStr">
        <is>
          <t>VALOR BDI (23.08%):</t>
        </is>
      </c>
      <c r="F1335" s="56" t="n"/>
      <c r="G1335" s="66">
        <f>ROUNDDOWN(G1334*BDI,2)</f>
        <v/>
      </c>
    </row>
    <row r="1336" ht="15" customHeight="1">
      <c r="A1336" s="2" t="inlineStr"/>
      <c r="B1336" s="2" t="inlineStr"/>
      <c r="C1336" s="2" t="inlineStr"/>
      <c r="D1336" s="2" t="inlineStr"/>
      <c r="E1336" s="28" t="inlineStr">
        <is>
          <t>VALOR COM BDI:</t>
        </is>
      </c>
      <c r="F1336" s="56" t="n"/>
      <c r="G1336" s="66">
        <f>G1335 + G1334</f>
        <v/>
      </c>
    </row>
    <row r="1337" ht="10" customHeight="1">
      <c r="A1337" s="2" t="inlineStr"/>
      <c r="B1337" s="2" t="inlineStr"/>
      <c r="C1337" s="2" t="inlineStr"/>
      <c r="D1337" s="2" t="inlineStr"/>
      <c r="E1337" s="18" t="inlineStr"/>
    </row>
    <row r="1338" ht="20" customHeight="1">
      <c r="A1338" s="19" t="inlineStr">
        <is>
          <t>7.2.1.1. ​90793​ KIT DE PORTA-PRONTA DE MADEIRA EM ACABAMENTO MELAMÍNICO BRANCO, FOLHA PESADA OU SUPERPESADA, 90X210CM, FIXAÇÃO COMPREENCHIMENTO TOTAL DE ESPUMA EXPANSIVA - FORNECIMENTO EINSTALAÇÃO. AF_12/2019​ (UN)</t>
        </is>
      </c>
      <c r="B1338" s="55" t="n"/>
      <c r="C1338" s="55" t="n"/>
      <c r="D1338" s="55" t="n"/>
      <c r="E1338" s="55" t="n"/>
      <c r="F1338" s="55" t="n"/>
      <c r="G1338" s="56" t="n"/>
    </row>
    <row r="1339" ht="15" customHeight="1">
      <c r="A1339" s="20" t="inlineStr">
        <is>
          <t>Material</t>
        </is>
      </c>
      <c r="B1339" s="56" t="n"/>
      <c r="C1339" s="21" t="inlineStr">
        <is>
          <t>FONTE</t>
        </is>
      </c>
      <c r="D1339" s="21" t="inlineStr">
        <is>
          <t>UNID</t>
        </is>
      </c>
      <c r="E1339" s="21" t="inlineStr">
        <is>
          <t>COEFICIENTE</t>
        </is>
      </c>
      <c r="F1339" s="21" t="inlineStr">
        <is>
          <t>PREÇO UNITÁRIO</t>
        </is>
      </c>
      <c r="G1339" s="21" t="inlineStr">
        <is>
          <t>TOTAL</t>
        </is>
      </c>
    </row>
    <row r="1340" ht="21" customHeight="1">
      <c r="A1340" s="22" t="inlineStr">
        <is>
          <t>00038124</t>
        </is>
      </c>
      <c r="B1340" s="23" t="inlineStr">
        <is>
          <t>ESPUMA EXPANSIVA DE POLIURETANO, APLICACAO MANUAL - 500 ML</t>
        </is>
      </c>
      <c r="C1340" s="22" t="inlineStr">
        <is>
          <t>SINAPI</t>
        </is>
      </c>
      <c r="D1340" s="22" t="inlineStr">
        <is>
          <t>UN</t>
        </is>
      </c>
      <c r="E1340" s="63" t="n">
        <v>1.162</v>
      </c>
      <c r="F1340" s="64">
        <f>ROUND(M1340*FATOR, 2)</f>
        <v/>
      </c>
      <c r="G1340" s="64">
        <f>TRUNC(TRUNC(E1340,8)*F1340,2)</f>
        <v/>
      </c>
      <c r="L1340" t="n">
        <v>1.162</v>
      </c>
      <c r="M1340" t="n">
        <v>30</v>
      </c>
      <c r="N1340">
        <f>(M1340-F1340)</f>
        <v/>
      </c>
    </row>
    <row r="1341" ht="46" customHeight="1">
      <c r="A1341" s="22" t="inlineStr">
        <is>
          <t>00039501</t>
        </is>
      </c>
      <c r="B1341" s="23" t="inlineStr">
        <is>
          <t>KIT PORTA PRONTA DE MADEIRA, FOLHA PESADA (NBR 15930) DE 900 X 2100 MM, DE 40 MM A 45 MM DE ESPESSURA, NUCLEO SOLIDO, CAPA LISA EM HDF, ACABAMENTO MELAMINICO BRANCO (INCLUI MARCO, ALIZARES, DOBRADICAS E FECHADURA EXTERNA)</t>
        </is>
      </c>
      <c r="C1341" s="22" t="inlineStr">
        <is>
          <t>SINAPI</t>
        </is>
      </c>
      <c r="D1341" s="22" t="inlineStr">
        <is>
          <t>UN</t>
        </is>
      </c>
      <c r="E1341" s="63" t="n">
        <v>1</v>
      </c>
      <c r="F1341" s="64">
        <f>ROUND(M1341*FATOR, 2)</f>
        <v/>
      </c>
      <c r="G1341" s="64">
        <f>TRUNC(TRUNC(E1341,8)*F1341,2)</f>
        <v/>
      </c>
      <c r="L1341" t="n">
        <v>1</v>
      </c>
      <c r="M1341" t="n">
        <v>1167.65</v>
      </c>
      <c r="N1341">
        <f>(M1341-F1341)</f>
        <v/>
      </c>
    </row>
    <row r="1342" ht="15" customHeight="1">
      <c r="A1342" s="2" t="inlineStr"/>
      <c r="B1342" s="2" t="inlineStr"/>
      <c r="C1342" s="2" t="inlineStr"/>
      <c r="D1342" s="2" t="inlineStr"/>
      <c r="E1342" s="26" t="inlineStr">
        <is>
          <t>TOTAL Material:</t>
        </is>
      </c>
      <c r="F1342" s="56" t="n"/>
      <c r="G1342" s="65">
        <f>SUM(G1340:G1341)</f>
        <v/>
      </c>
    </row>
    <row r="1343" ht="15" customHeight="1">
      <c r="A1343" s="20" t="inlineStr">
        <is>
          <t>Mão de Obra com Encargos Complementares</t>
        </is>
      </c>
      <c r="B1343" s="56" t="n"/>
      <c r="C1343" s="21" t="inlineStr">
        <is>
          <t>FONTE</t>
        </is>
      </c>
      <c r="D1343" s="21" t="inlineStr">
        <is>
          <t>UNID</t>
        </is>
      </c>
      <c r="E1343" s="21" t="inlineStr">
        <is>
          <t>COEFICIENTE</t>
        </is>
      </c>
      <c r="F1343" s="21" t="inlineStr">
        <is>
          <t>PREÇO UNITÁRIO</t>
        </is>
      </c>
      <c r="G1343" s="21" t="inlineStr">
        <is>
          <t>TOTAL</t>
        </is>
      </c>
    </row>
    <row r="1344" ht="21" customHeight="1">
      <c r="A1344" s="22" t="inlineStr">
        <is>
          <t>88261</t>
        </is>
      </c>
      <c r="B1344" s="23" t="inlineStr">
        <is>
          <t>CARPINTEIRO DE ESQUADRIAS COM ENCARGOS COMPLEMENTARES</t>
        </is>
      </c>
      <c r="C1344" s="22" t="inlineStr">
        <is>
          <t>SINAPI</t>
        </is>
      </c>
      <c r="D1344" s="22" t="inlineStr">
        <is>
          <t>H</t>
        </is>
      </c>
      <c r="E1344" s="63">
        <f>L1344*FATOR</f>
        <v/>
      </c>
      <c r="F1344" s="64">
        <f>'COMPOSICOES AUXILIARES'!G924</f>
        <v/>
      </c>
      <c r="G1344" s="64">
        <f>TRUNC(TRUNC(E1344,8)*F1344,2)</f>
        <v/>
      </c>
      <c r="L1344" t="n">
        <v>0.929</v>
      </c>
      <c r="M1344" t="n">
        <v>29.16</v>
      </c>
      <c r="N1344">
        <f>(M1344-F1344)</f>
        <v/>
      </c>
    </row>
    <row r="1345" ht="15" customHeight="1">
      <c r="A1345" s="22" t="inlineStr">
        <is>
          <t>88316</t>
        </is>
      </c>
      <c r="B1345" s="23" t="inlineStr">
        <is>
          <t>SERVENTE COM ENCARGOS COMPLEMENTARES</t>
        </is>
      </c>
      <c r="C1345" s="22" t="inlineStr">
        <is>
          <t>SINAPI</t>
        </is>
      </c>
      <c r="D1345" s="22" t="inlineStr">
        <is>
          <t>H</t>
        </is>
      </c>
      <c r="E1345" s="63">
        <f>L1345*FATOR</f>
        <v/>
      </c>
      <c r="F1345" s="64">
        <f>'COMPOSICOES AUXILIARES'!G3390</f>
        <v/>
      </c>
      <c r="G1345" s="64">
        <f>TRUNC(TRUNC(E1345,8)*F1345,2)</f>
        <v/>
      </c>
      <c r="L1345" t="n">
        <v>0.465</v>
      </c>
      <c r="M1345" t="n">
        <v>23.56</v>
      </c>
      <c r="N1345">
        <f>(M1345-F1345)</f>
        <v/>
      </c>
    </row>
    <row r="1346" ht="18" customHeight="1">
      <c r="A1346" s="2" t="inlineStr"/>
      <c r="B1346" s="2" t="inlineStr"/>
      <c r="C1346" s="2" t="inlineStr"/>
      <c r="D1346" s="2" t="inlineStr"/>
      <c r="E1346" s="26" t="inlineStr">
        <is>
          <t>TOTAL Mão de Obra com Encargos Complementares:</t>
        </is>
      </c>
      <c r="F1346" s="56" t="n"/>
      <c r="G1346" s="65">
        <f>SUM(G1344:G1345)</f>
        <v/>
      </c>
    </row>
    <row r="1347" ht="15" customHeight="1">
      <c r="A1347" s="2" t="inlineStr"/>
      <c r="B1347" s="2" t="inlineStr"/>
      <c r="C1347" s="2" t="inlineStr"/>
      <c r="D1347" s="2" t="inlineStr"/>
      <c r="E1347" s="28" t="inlineStr">
        <is>
          <t>VALOR:</t>
        </is>
      </c>
      <c r="F1347" s="56" t="n"/>
      <c r="G1347" s="66">
        <f>SUM(G1346,G1342)</f>
        <v/>
      </c>
    </row>
    <row r="1348" ht="15" customHeight="1">
      <c r="A1348" s="2" t="inlineStr"/>
      <c r="B1348" s="2" t="inlineStr"/>
      <c r="C1348" s="2" t="inlineStr"/>
      <c r="D1348" s="2" t="inlineStr"/>
      <c r="E1348" s="28" t="inlineStr">
        <is>
          <t>VALOR BDI (23.08%):</t>
        </is>
      </c>
      <c r="F1348" s="56" t="n"/>
      <c r="G1348" s="66">
        <f>ROUNDDOWN(G1347*BDI,2)</f>
        <v/>
      </c>
    </row>
    <row r="1349" ht="15" customHeight="1">
      <c r="A1349" s="2" t="inlineStr"/>
      <c r="B1349" s="2" t="inlineStr"/>
      <c r="C1349" s="2" t="inlineStr"/>
      <c r="D1349" s="2" t="inlineStr"/>
      <c r="E1349" s="28" t="inlineStr">
        <is>
          <t>VALOR COM BDI:</t>
        </is>
      </c>
      <c r="F1349" s="56" t="n"/>
      <c r="G1349" s="66">
        <f>G1348 + G1347</f>
        <v/>
      </c>
    </row>
    <row r="1350" ht="10" customHeight="1">
      <c r="A1350" s="2" t="inlineStr"/>
      <c r="B1350" s="2" t="inlineStr"/>
      <c r="C1350" s="2" t="inlineStr"/>
      <c r="D1350" s="2" t="inlineStr"/>
      <c r="E1350" s="18" t="inlineStr"/>
    </row>
    <row r="1351" ht="20" customHeight="1">
      <c r="A1351" s="19" t="inlineStr">
        <is>
          <t>7.3.1.1. ​479 PRÓPRIO​ PORTA DE ENROLAR MANUAL COMPLETA, PERFIL MEIA CANA CEGA, EM AÇO GALVANIZADO COM PINTURA ELETROSTÁTICA, CHAPA NÚMERO 24"(FORNECIMENTO E INSTALAÇÃO)​ (M²)</t>
        </is>
      </c>
      <c r="B1351" s="55" t="n"/>
      <c r="C1351" s="55" t="n"/>
      <c r="D1351" s="55" t="n"/>
      <c r="E1351" s="55" t="n"/>
      <c r="F1351" s="55" t="n"/>
      <c r="G1351" s="56" t="n"/>
    </row>
    <row r="1352" ht="15" customHeight="1">
      <c r="A1352" s="20" t="inlineStr">
        <is>
          <t>Material</t>
        </is>
      </c>
      <c r="B1352" s="56" t="n"/>
      <c r="C1352" s="21" t="inlineStr">
        <is>
          <t>FONTE</t>
        </is>
      </c>
      <c r="D1352" s="21" t="inlineStr">
        <is>
          <t>UNID</t>
        </is>
      </c>
      <c r="E1352" s="21" t="inlineStr">
        <is>
          <t>COEFICIENTE</t>
        </is>
      </c>
      <c r="F1352" s="21" t="inlineStr">
        <is>
          <t>PREÇO UNITÁRIO</t>
        </is>
      </c>
      <c r="G1352" s="21" t="inlineStr">
        <is>
          <t>TOTAL</t>
        </is>
      </c>
    </row>
    <row r="1353" ht="29" customHeight="1">
      <c r="A1353" s="22" t="inlineStr">
        <is>
          <t>00037518</t>
        </is>
      </c>
      <c r="B1353" s="23" t="inlineStr">
        <is>
          <t>PORTA DE ENROLAR MANUAL COMPLETA, PERFIL MEIA CANA CEGA, EM ACO GALVANIZADO COM PINTURA ELETROSTATICA, CHAPA NUMERO 24" (SEM INSTALACAO)</t>
        </is>
      </c>
      <c r="C1353" s="22" t="inlineStr">
        <is>
          <t>SINAPI</t>
        </is>
      </c>
      <c r="D1353" s="22" t="inlineStr">
        <is>
          <t>M2</t>
        </is>
      </c>
      <c r="E1353" s="63" t="n">
        <v>1.05</v>
      </c>
      <c r="F1353" s="64">
        <f>ROUND(M1353*FATOR, 2)</f>
        <v/>
      </c>
      <c r="G1353" s="64">
        <f>ROUND(ROUND(E1353,8)*F1353,2)</f>
        <v/>
      </c>
      <c r="L1353" t="n">
        <v>1.05</v>
      </c>
      <c r="M1353" t="n">
        <v>465.01</v>
      </c>
      <c r="N1353">
        <f>(M1353-F1353)</f>
        <v/>
      </c>
    </row>
    <row r="1354" ht="15" customHeight="1">
      <c r="A1354" s="2" t="inlineStr"/>
      <c r="B1354" s="2" t="inlineStr"/>
      <c r="C1354" s="2" t="inlineStr"/>
      <c r="D1354" s="2" t="inlineStr"/>
      <c r="E1354" s="26" t="inlineStr">
        <is>
          <t>TOTAL Material:</t>
        </is>
      </c>
      <c r="F1354" s="56" t="n"/>
      <c r="G1354" s="65">
        <f>SUM(G1353:G1353)</f>
        <v/>
      </c>
    </row>
    <row r="1355" ht="15" customHeight="1">
      <c r="A1355" s="20" t="inlineStr">
        <is>
          <t>Mão de Obra com Encargos Complementares</t>
        </is>
      </c>
      <c r="B1355" s="56" t="n"/>
      <c r="C1355" s="21" t="inlineStr">
        <is>
          <t>FONTE</t>
        </is>
      </c>
      <c r="D1355" s="21" t="inlineStr">
        <is>
          <t>UNID</t>
        </is>
      </c>
      <c r="E1355" s="21" t="inlineStr">
        <is>
          <t>COEFICIENTE</t>
        </is>
      </c>
      <c r="F1355" s="21" t="inlineStr">
        <is>
          <t>PREÇO UNITÁRIO</t>
        </is>
      </c>
      <c r="G1355" s="21" t="inlineStr">
        <is>
          <t>TOTAL</t>
        </is>
      </c>
    </row>
    <row r="1356" ht="15" customHeight="1">
      <c r="A1356" s="22" t="inlineStr">
        <is>
          <t>88309</t>
        </is>
      </c>
      <c r="B1356" s="23" t="inlineStr">
        <is>
          <t>PEDREIRO COM ENCARGOS COMPLEMENTARES</t>
        </is>
      </c>
      <c r="C1356" s="22" t="inlineStr">
        <is>
          <t>SINAPI</t>
        </is>
      </c>
      <c r="D1356" s="22" t="inlineStr">
        <is>
          <t>H</t>
        </is>
      </c>
      <c r="E1356" s="63">
        <f>L1356*FATOR</f>
        <v/>
      </c>
      <c r="F1356" s="64">
        <f>'COMPOSICOES AUXILIARES'!G2887</f>
        <v/>
      </c>
      <c r="G1356" s="64">
        <f>ROUND(ROUND(E1356,8)*F1356,2)</f>
        <v/>
      </c>
      <c r="L1356" t="n">
        <v>0.8</v>
      </c>
      <c r="M1356" t="n">
        <v>30.58</v>
      </c>
      <c r="N1356">
        <f>(M1356-F1356)</f>
        <v/>
      </c>
    </row>
    <row r="1357" ht="15" customHeight="1">
      <c r="A1357" s="22" t="inlineStr">
        <is>
          <t>88315</t>
        </is>
      </c>
      <c r="B1357" s="23" t="inlineStr">
        <is>
          <t>SERRALHEIRO COM ENCARGOS COMPLEMENTARES</t>
        </is>
      </c>
      <c r="C1357" s="22" t="inlineStr">
        <is>
          <t>SINAPI</t>
        </is>
      </c>
      <c r="D1357" s="22" t="inlineStr">
        <is>
          <t>H</t>
        </is>
      </c>
      <c r="E1357" s="63">
        <f>L1357*FATOR</f>
        <v/>
      </c>
      <c r="F1357" s="64">
        <f>'COMPOSICOES AUXILIARES'!G543</f>
        <v/>
      </c>
      <c r="G1357" s="64">
        <f>ROUND(ROUND(E1357,8)*F1357,2)</f>
        <v/>
      </c>
      <c r="L1357" t="n">
        <v>1.8</v>
      </c>
      <c r="M1357" t="n">
        <v>30.37</v>
      </c>
      <c r="N1357">
        <f>(M1357-F1357)</f>
        <v/>
      </c>
    </row>
    <row r="1358" ht="15" customHeight="1">
      <c r="A1358" s="22" t="inlineStr">
        <is>
          <t>88316</t>
        </is>
      </c>
      <c r="B1358" s="23" t="inlineStr">
        <is>
          <t>SERVENTE COM ENCARGOS COMPLEMENTARES</t>
        </is>
      </c>
      <c r="C1358" s="22" t="inlineStr">
        <is>
          <t>SINAPI</t>
        </is>
      </c>
      <c r="D1358" s="22" t="inlineStr">
        <is>
          <t>H</t>
        </is>
      </c>
      <c r="E1358" s="63">
        <f>L1358*FATOR</f>
        <v/>
      </c>
      <c r="F1358" s="64">
        <f>'COMPOSICOES AUXILIARES'!G3390</f>
        <v/>
      </c>
      <c r="G1358" s="64">
        <f>ROUND(ROUND(E1358,8)*F1358,2)</f>
        <v/>
      </c>
      <c r="L1358" t="n">
        <v>3</v>
      </c>
      <c r="M1358" t="n">
        <v>23.56</v>
      </c>
      <c r="N1358">
        <f>(M1358-F1358)</f>
        <v/>
      </c>
    </row>
    <row r="1359" ht="18" customHeight="1">
      <c r="A1359" s="2" t="inlineStr"/>
      <c r="B1359" s="2" t="inlineStr"/>
      <c r="C1359" s="2" t="inlineStr"/>
      <c r="D1359" s="2" t="inlineStr"/>
      <c r="E1359" s="26" t="inlineStr">
        <is>
          <t>TOTAL Mão de Obra com Encargos Complementares:</t>
        </is>
      </c>
      <c r="F1359" s="56" t="n"/>
      <c r="G1359" s="65">
        <f>SUM(G1356:G1358)</f>
        <v/>
      </c>
    </row>
    <row r="1360" ht="15" customHeight="1">
      <c r="A1360" s="20" t="inlineStr">
        <is>
          <t>Serviço</t>
        </is>
      </c>
      <c r="B1360" s="56" t="n"/>
      <c r="C1360" s="21" t="inlineStr">
        <is>
          <t>FONTE</t>
        </is>
      </c>
      <c r="D1360" s="21" t="inlineStr">
        <is>
          <t>UNID</t>
        </is>
      </c>
      <c r="E1360" s="21" t="inlineStr">
        <is>
          <t>COEFICIENTE</t>
        </is>
      </c>
      <c r="F1360" s="21" t="inlineStr">
        <is>
          <t>PREÇO UNITÁRIO</t>
        </is>
      </c>
      <c r="G1360" s="21" t="inlineStr">
        <is>
          <t>TOTAL</t>
        </is>
      </c>
    </row>
    <row r="1361" ht="29" customHeight="1">
      <c r="A1361" s="22" t="inlineStr">
        <is>
          <t>88627</t>
        </is>
      </c>
      <c r="B1361" s="23" t="inlineStr">
        <is>
          <t>ARGAMASSA TRAÇO 1:0,5:4,5 (EM VOLUME DE CIMENTO, CAL E AREIA MÉDIA ÚMIDA) PARA ASSENTAMENTO DE ALVENARIA, PREPARO MANUAL. AF_08/2019</t>
        </is>
      </c>
      <c r="C1361" s="22" t="inlineStr">
        <is>
          <t>SINAPI</t>
        </is>
      </c>
      <c r="D1361" s="22" t="inlineStr">
        <is>
          <t>M3</t>
        </is>
      </c>
      <c r="E1361" s="63" t="n">
        <v>0.006</v>
      </c>
      <c r="F1361" s="64">
        <f>'COMPOSICOES AUXILIARES'!G174</f>
        <v/>
      </c>
      <c r="G1361" s="64">
        <f>ROUND(ROUND(E1361,8)*F1361,2)</f>
        <v/>
      </c>
      <c r="L1361" t="n">
        <v>0.006</v>
      </c>
      <c r="M1361" t="n">
        <v>701.66</v>
      </c>
      <c r="N1361">
        <f>(M1361-F1361)</f>
        <v/>
      </c>
    </row>
    <row r="1362" ht="15" customHeight="1">
      <c r="A1362" s="2" t="inlineStr"/>
      <c r="B1362" s="2" t="inlineStr"/>
      <c r="C1362" s="2" t="inlineStr"/>
      <c r="D1362" s="2" t="inlineStr"/>
      <c r="E1362" s="26" t="inlineStr">
        <is>
          <t>TOTAL Serviço:</t>
        </is>
      </c>
      <c r="F1362" s="56" t="n"/>
      <c r="G1362" s="65">
        <f>SUM(G1361:G1361)</f>
        <v/>
      </c>
    </row>
    <row r="1363" ht="15" customHeight="1">
      <c r="A1363" s="2" t="inlineStr"/>
      <c r="B1363" s="2" t="inlineStr"/>
      <c r="C1363" s="2" t="inlineStr"/>
      <c r="D1363" s="2" t="inlineStr"/>
      <c r="E1363" s="28" t="inlineStr">
        <is>
          <t>VALOR:</t>
        </is>
      </c>
      <c r="F1363" s="56" t="n"/>
      <c r="G1363" s="66">
        <f>SUM(G1354,G1362,G1359)</f>
        <v/>
      </c>
    </row>
    <row r="1364" ht="15" customHeight="1">
      <c r="A1364" s="2" t="inlineStr"/>
      <c r="B1364" s="2" t="inlineStr"/>
      <c r="C1364" s="2" t="inlineStr"/>
      <c r="D1364" s="2" t="inlineStr"/>
      <c r="E1364" s="28" t="inlineStr">
        <is>
          <t>VALOR BDI (23.08%):</t>
        </is>
      </c>
      <c r="F1364" s="56" t="n"/>
      <c r="G1364" s="66">
        <f>ROUNDDOWN(G1363*BDI,2)</f>
        <v/>
      </c>
    </row>
    <row r="1365" ht="15" customHeight="1">
      <c r="A1365" s="2" t="inlineStr"/>
      <c r="B1365" s="2" t="inlineStr"/>
      <c r="C1365" s="2" t="inlineStr"/>
      <c r="D1365" s="2" t="inlineStr"/>
      <c r="E1365" s="28" t="inlineStr">
        <is>
          <t>VALOR COM BDI:</t>
        </is>
      </c>
      <c r="F1365" s="56" t="n"/>
      <c r="G1365" s="66">
        <f>G1364 + G1363</f>
        <v/>
      </c>
    </row>
    <row r="1366" ht="10" customHeight="1">
      <c r="A1366" s="2" t="inlineStr"/>
      <c r="B1366" s="2" t="inlineStr"/>
      <c r="C1366" s="2" t="inlineStr"/>
      <c r="D1366" s="2" t="inlineStr"/>
      <c r="E1366" s="18" t="inlineStr"/>
    </row>
    <row r="1367" ht="20" customHeight="1">
      <c r="A1367" s="19" t="inlineStr">
        <is>
          <t>8.1.1.1. ​95674​ HIDRÔMETRO DN 1/2", 3,0 M3/H - FORNECIMENTO E INSTALAÇÃO.AF_03/2024​ (UN)</t>
        </is>
      </c>
      <c r="B1367" s="55" t="n"/>
      <c r="C1367" s="55" t="n"/>
      <c r="D1367" s="55" t="n"/>
      <c r="E1367" s="55" t="n"/>
      <c r="F1367" s="55" t="n"/>
      <c r="G1367" s="56" t="n"/>
    </row>
    <row r="1368" ht="15" customHeight="1">
      <c r="A1368" s="20" t="inlineStr">
        <is>
          <t>Material</t>
        </is>
      </c>
      <c r="B1368" s="56" t="n"/>
      <c r="C1368" s="21" t="inlineStr">
        <is>
          <t>FONTE</t>
        </is>
      </c>
      <c r="D1368" s="21" t="inlineStr">
        <is>
          <t>UNID</t>
        </is>
      </c>
      <c r="E1368" s="21" t="inlineStr">
        <is>
          <t>COEFICIENTE</t>
        </is>
      </c>
      <c r="F1368" s="21" t="inlineStr">
        <is>
          <t>PREÇO UNITÁRIO</t>
        </is>
      </c>
      <c r="G1368" s="21" t="inlineStr">
        <is>
          <t>TOTAL</t>
        </is>
      </c>
    </row>
    <row r="1369" ht="21" customHeight="1">
      <c r="A1369" s="22" t="inlineStr">
        <is>
          <t>00003148</t>
        </is>
      </c>
      <c r="B1369" s="23" t="inlineStr">
        <is>
          <t>FITA VEDA ROSCA, EM PTFE, ROLO DE 18 MM X 50 M (L X C)</t>
        </is>
      </c>
      <c r="C1369" s="22" t="inlineStr">
        <is>
          <t>SINAPI</t>
        </is>
      </c>
      <c r="D1369" s="22" t="inlineStr">
        <is>
          <t>UN</t>
        </is>
      </c>
      <c r="E1369" s="63" t="n">
        <v>0.0106</v>
      </c>
      <c r="F1369" s="64">
        <f>ROUND(M1369*FATOR, 2)</f>
        <v/>
      </c>
      <c r="G1369" s="64">
        <f>TRUNC(TRUNC(E1369,8)*F1369,2)</f>
        <v/>
      </c>
      <c r="L1369" t="n">
        <v>0.0106</v>
      </c>
      <c r="M1369" t="n">
        <v>14.75</v>
      </c>
      <c r="N1369">
        <f>(M1369-F1369)</f>
        <v/>
      </c>
    </row>
    <row r="1370" ht="38" customHeight="1">
      <c r="A1370" s="22" t="inlineStr">
        <is>
          <t>00012773</t>
        </is>
      </c>
      <c r="B1370" s="23" t="inlineStr">
        <is>
          <t>HIDROMETRO UNIJATO / MEDIDOR DE AGUA, DN 1/2", VAZAO MAXIMA DE 3 M3/H, PARA AGUA POTAVEL FRIA, RELOJOARIA PLANA, CLASSE B, HORIZONTAL (SEM CONEXOES)</t>
        </is>
      </c>
      <c r="C1370" s="22" t="inlineStr">
        <is>
          <t>SINAPI</t>
        </is>
      </c>
      <c r="D1370" s="22" t="inlineStr">
        <is>
          <t>UN</t>
        </is>
      </c>
      <c r="E1370" s="63" t="n">
        <v>1</v>
      </c>
      <c r="F1370" s="64">
        <f>ROUND(M1370*FATOR, 2)</f>
        <v/>
      </c>
      <c r="G1370" s="64">
        <f>TRUNC(TRUNC(E1370,8)*F1370,2)</f>
        <v/>
      </c>
      <c r="L1370" t="n">
        <v>1</v>
      </c>
      <c r="M1370" t="n">
        <v>118.08</v>
      </c>
      <c r="N1370">
        <f>(M1370-F1370)</f>
        <v/>
      </c>
    </row>
    <row r="1371" ht="15" customHeight="1">
      <c r="A1371" s="2" t="inlineStr"/>
      <c r="B1371" s="2" t="inlineStr"/>
      <c r="C1371" s="2" t="inlineStr"/>
      <c r="D1371" s="2" t="inlineStr"/>
      <c r="E1371" s="26" t="inlineStr">
        <is>
          <t>TOTAL Material:</t>
        </is>
      </c>
      <c r="F1371" s="56" t="n"/>
      <c r="G1371" s="65">
        <f>SUM(G1369:G1370)</f>
        <v/>
      </c>
    </row>
    <row r="1372" ht="15" customHeight="1">
      <c r="A1372" s="20" t="inlineStr">
        <is>
          <t>Mão de Obra com Encargos Complementares</t>
        </is>
      </c>
      <c r="B1372" s="56" t="n"/>
      <c r="C1372" s="21" t="inlineStr">
        <is>
          <t>FONTE</t>
        </is>
      </c>
      <c r="D1372" s="21" t="inlineStr">
        <is>
          <t>UNID</t>
        </is>
      </c>
      <c r="E1372" s="21" t="inlineStr">
        <is>
          <t>COEFICIENTE</t>
        </is>
      </c>
      <c r="F1372" s="21" t="inlineStr">
        <is>
          <t>PREÇO UNITÁRIO</t>
        </is>
      </c>
      <c r="G1372" s="21" t="inlineStr">
        <is>
          <t>TOTAL</t>
        </is>
      </c>
    </row>
    <row r="1373" ht="21" customHeight="1">
      <c r="A1373" s="22" t="inlineStr">
        <is>
          <t>88248</t>
        </is>
      </c>
      <c r="B1373" s="23" t="inlineStr">
        <is>
          <t>AUXILIAR DE ENCANADOR OU BOMBEIRO HIDRÁULICO COM ENCARGOS COMPLEMENTARES</t>
        </is>
      </c>
      <c r="C1373" s="22" t="inlineStr">
        <is>
          <t>SINAPI</t>
        </is>
      </c>
      <c r="D1373" s="22" t="inlineStr">
        <is>
          <t>H</t>
        </is>
      </c>
      <c r="E1373" s="63">
        <f>L1373*FATOR</f>
        <v/>
      </c>
      <c r="F1373" s="64">
        <f>'COMPOSICOES AUXILIARES'!G524</f>
        <v/>
      </c>
      <c r="G1373" s="64">
        <f>TRUNC(TRUNC(E1373,8)*F1373,2)</f>
        <v/>
      </c>
      <c r="L1373" t="n">
        <v>0.4315</v>
      </c>
      <c r="M1373" t="n">
        <v>24.23</v>
      </c>
      <c r="N1373">
        <f>(M1373-F1373)</f>
        <v/>
      </c>
    </row>
    <row r="1374" ht="21" customHeight="1">
      <c r="A1374" s="22" t="inlineStr">
        <is>
          <t>88267</t>
        </is>
      </c>
      <c r="B1374" s="23" t="inlineStr">
        <is>
          <t>ENCANADOR OU BOMBEIRO HIDRÁULICO COM ENCARGOS COMPLEMENTARES</t>
        </is>
      </c>
      <c r="C1374" s="22" t="inlineStr">
        <is>
          <t>SINAPI</t>
        </is>
      </c>
      <c r="D1374" s="22" t="inlineStr">
        <is>
          <t>H</t>
        </is>
      </c>
      <c r="E1374" s="63">
        <f>L1374*FATOR</f>
        <v/>
      </c>
      <c r="F1374" s="64">
        <f>'COMPOSICOES AUXILIARES'!G524</f>
        <v/>
      </c>
      <c r="G1374" s="64">
        <f>TRUNC(TRUNC(E1374,8)*F1374,2)</f>
        <v/>
      </c>
      <c r="L1374" t="n">
        <v>0.4315</v>
      </c>
      <c r="M1374" t="n">
        <v>29.86</v>
      </c>
      <c r="N1374">
        <f>(M1374-F1374)</f>
        <v/>
      </c>
    </row>
    <row r="1375" ht="18" customHeight="1">
      <c r="A1375" s="2" t="inlineStr"/>
      <c r="B1375" s="2" t="inlineStr"/>
      <c r="C1375" s="2" t="inlineStr"/>
      <c r="D1375" s="2" t="inlineStr"/>
      <c r="E1375" s="26" t="inlineStr">
        <is>
          <t>TOTAL Mão de Obra com Encargos Complementares:</t>
        </is>
      </c>
      <c r="F1375" s="56" t="n"/>
      <c r="G1375" s="65">
        <f>SUM(G1373:G1374)</f>
        <v/>
      </c>
    </row>
    <row r="1376" ht="15" customHeight="1">
      <c r="A1376" s="2" t="inlineStr"/>
      <c r="B1376" s="2" t="inlineStr"/>
      <c r="C1376" s="2" t="inlineStr"/>
      <c r="D1376" s="2" t="inlineStr"/>
      <c r="E1376" s="28" t="inlineStr">
        <is>
          <t>VALOR:</t>
        </is>
      </c>
      <c r="F1376" s="56" t="n"/>
      <c r="G1376" s="66">
        <f>SUM(G1371,G1375)</f>
        <v/>
      </c>
    </row>
    <row r="1377" ht="15" customHeight="1">
      <c r="A1377" s="2" t="inlineStr"/>
      <c r="B1377" s="2" t="inlineStr"/>
      <c r="C1377" s="2" t="inlineStr"/>
      <c r="D1377" s="2" t="inlineStr"/>
      <c r="E1377" s="28" t="inlineStr">
        <is>
          <t>VALOR BDI (23.08%):</t>
        </is>
      </c>
      <c r="F1377" s="56" t="n"/>
      <c r="G1377" s="66">
        <f>ROUNDDOWN(G1376*BDI,2)</f>
        <v/>
      </c>
    </row>
    <row r="1378" ht="15" customHeight="1">
      <c r="A1378" s="2" t="inlineStr"/>
      <c r="B1378" s="2" t="inlineStr"/>
      <c r="C1378" s="2" t="inlineStr"/>
      <c r="D1378" s="2" t="inlineStr"/>
      <c r="E1378" s="28" t="inlineStr">
        <is>
          <t>VALOR COM BDI:</t>
        </is>
      </c>
      <c r="F1378" s="56" t="n"/>
      <c r="G1378" s="66">
        <f>G1377 + G1376</f>
        <v/>
      </c>
    </row>
    <row r="1379" ht="10" customHeight="1">
      <c r="A1379" s="2" t="inlineStr"/>
      <c r="B1379" s="2" t="inlineStr"/>
      <c r="C1379" s="2" t="inlineStr"/>
      <c r="D1379" s="2" t="inlineStr"/>
      <c r="E1379" s="18" t="inlineStr"/>
    </row>
    <row r="1380" ht="20" customHeight="1">
      <c r="A1380" s="19" t="inlineStr">
        <is>
          <t>8.1.1.2. ​95635​ KIT CAVALETE PARA MEDIÇÃO DE ÁGUA - ENTRADA PRINCIPAL, EM PVC 25 MM (3/4") - FORNECIMENTO E INSTALAÇÃO(EXCLUSIVE HIDRÔMETRO). AF_03/2024​ (UN)</t>
        </is>
      </c>
      <c r="B1380" s="55" t="n"/>
      <c r="C1380" s="55" t="n"/>
      <c r="D1380" s="55" t="n"/>
      <c r="E1380" s="55" t="n"/>
      <c r="F1380" s="55" t="n"/>
      <c r="G1380" s="56" t="n"/>
    </row>
    <row r="1381" ht="15" customHeight="1">
      <c r="A1381" s="20" t="inlineStr">
        <is>
          <t>Material</t>
        </is>
      </c>
      <c r="B1381" s="56" t="n"/>
      <c r="C1381" s="21" t="inlineStr">
        <is>
          <t>FONTE</t>
        </is>
      </c>
      <c r="D1381" s="21" t="inlineStr">
        <is>
          <t>UNID</t>
        </is>
      </c>
      <c r="E1381" s="21" t="inlineStr">
        <is>
          <t>COEFICIENTE</t>
        </is>
      </c>
      <c r="F1381" s="21" t="inlineStr">
        <is>
          <t>PREÇO UNITÁRIO</t>
        </is>
      </c>
      <c r="G1381" s="21" t="inlineStr">
        <is>
          <t>TOTAL</t>
        </is>
      </c>
    </row>
    <row r="1382" ht="21" customHeight="1">
      <c r="A1382" s="22" t="inlineStr">
        <is>
          <t>00003148</t>
        </is>
      </c>
      <c r="B1382" s="23" t="inlineStr">
        <is>
          <t>FITA VEDA ROSCA, EM PTFE, ROLO DE 18 MM X 50 M (L X C)</t>
        </is>
      </c>
      <c r="C1382" s="22" t="inlineStr">
        <is>
          <t>SINAPI</t>
        </is>
      </c>
      <c r="D1382" s="22" t="inlineStr">
        <is>
          <t>UN</t>
        </is>
      </c>
      <c r="E1382" s="63" t="n">
        <v>0.1188</v>
      </c>
      <c r="F1382" s="64">
        <f>ROUND(M1382*FATOR, 2)</f>
        <v/>
      </c>
      <c r="G1382" s="64">
        <f>TRUNC(TRUNC(E1382,8)*F1382,2)</f>
        <v/>
      </c>
      <c r="L1382" t="n">
        <v>0.1188</v>
      </c>
      <c r="M1382" t="n">
        <v>14.75</v>
      </c>
      <c r="N1382">
        <f>(M1382-F1382)</f>
        <v/>
      </c>
    </row>
    <row r="1383" ht="21" customHeight="1">
      <c r="A1383" s="22" t="inlineStr">
        <is>
          <t>00003729</t>
        </is>
      </c>
      <c r="B1383" s="23" t="inlineStr">
        <is>
          <t>KIT CAVALETE, PVC, COM REGISTRO, PARA HIDROMETRO, BITOLAS 1/2" OU 3/4" - COMPLETO</t>
        </is>
      </c>
      <c r="C1383" s="22" t="inlineStr">
        <is>
          <t>SINAPI</t>
        </is>
      </c>
      <c r="D1383" s="22" t="inlineStr">
        <is>
          <t>UN</t>
        </is>
      </c>
      <c r="E1383" s="63" t="n">
        <v>1</v>
      </c>
      <c r="F1383" s="64">
        <f>ROUND(M1383*FATOR, 2)</f>
        <v/>
      </c>
      <c r="G1383" s="64">
        <f>TRUNC(TRUNC(E1383,8)*F1383,2)</f>
        <v/>
      </c>
      <c r="L1383" t="n">
        <v>1</v>
      </c>
      <c r="M1383" t="n">
        <v>144.25</v>
      </c>
      <c r="N1383">
        <f>(M1383-F1383)</f>
        <v/>
      </c>
    </row>
    <row r="1384" ht="15" customHeight="1">
      <c r="A1384" s="2" t="inlineStr"/>
      <c r="B1384" s="2" t="inlineStr"/>
      <c r="C1384" s="2" t="inlineStr"/>
      <c r="D1384" s="2" t="inlineStr"/>
      <c r="E1384" s="26" t="inlineStr">
        <is>
          <t>TOTAL Material:</t>
        </is>
      </c>
      <c r="F1384" s="56" t="n"/>
      <c r="G1384" s="65">
        <f>SUM(G1382:G1383)</f>
        <v/>
      </c>
    </row>
    <row r="1385" ht="15" customHeight="1">
      <c r="A1385" s="20" t="inlineStr">
        <is>
          <t>Mão de Obra com Encargos Complementares</t>
        </is>
      </c>
      <c r="B1385" s="56" t="n"/>
      <c r="C1385" s="21" t="inlineStr">
        <is>
          <t>FONTE</t>
        </is>
      </c>
      <c r="D1385" s="21" t="inlineStr">
        <is>
          <t>UNID</t>
        </is>
      </c>
      <c r="E1385" s="21" t="inlineStr">
        <is>
          <t>COEFICIENTE</t>
        </is>
      </c>
      <c r="F1385" s="21" t="inlineStr">
        <is>
          <t>PREÇO UNITÁRIO</t>
        </is>
      </c>
      <c r="G1385" s="21" t="inlineStr">
        <is>
          <t>TOTAL</t>
        </is>
      </c>
    </row>
    <row r="1386" ht="21" customHeight="1">
      <c r="A1386" s="22" t="inlineStr">
        <is>
          <t>88248</t>
        </is>
      </c>
      <c r="B1386" s="23" t="inlineStr">
        <is>
          <t>AUXILIAR DE ENCANADOR OU BOMBEIRO HIDRÁULICO COM ENCARGOS COMPLEMENTARES</t>
        </is>
      </c>
      <c r="C1386" s="22" t="inlineStr">
        <is>
          <t>SINAPI</t>
        </is>
      </c>
      <c r="D1386" s="22" t="inlineStr">
        <is>
          <t>H</t>
        </is>
      </c>
      <c r="E1386" s="63">
        <f>L1386*FATOR</f>
        <v/>
      </c>
      <c r="F1386" s="64">
        <f>'COMPOSICOES AUXILIARES'!G524</f>
        <v/>
      </c>
      <c r="G1386" s="64">
        <f>TRUNC(TRUNC(E1386,8)*F1386,2)</f>
        <v/>
      </c>
      <c r="L1386" t="n">
        <v>1.4905</v>
      </c>
      <c r="M1386" t="n">
        <v>24.23</v>
      </c>
      <c r="N1386">
        <f>(M1386-F1386)</f>
        <v/>
      </c>
    </row>
    <row r="1387" ht="21" customHeight="1">
      <c r="A1387" s="22" t="inlineStr">
        <is>
          <t>88267</t>
        </is>
      </c>
      <c r="B1387" s="23" t="inlineStr">
        <is>
          <t>ENCANADOR OU BOMBEIRO HIDRÁULICO COM ENCARGOS COMPLEMENTARES</t>
        </is>
      </c>
      <c r="C1387" s="22" t="inlineStr">
        <is>
          <t>SINAPI</t>
        </is>
      </c>
      <c r="D1387" s="22" t="inlineStr">
        <is>
          <t>H</t>
        </is>
      </c>
      <c r="E1387" s="63">
        <f>L1387*FATOR</f>
        <v/>
      </c>
      <c r="F1387" s="64">
        <f>'COMPOSICOES AUXILIARES'!G524</f>
        <v/>
      </c>
      <c r="G1387" s="64">
        <f>TRUNC(TRUNC(E1387,8)*F1387,2)</f>
        <v/>
      </c>
      <c r="L1387" t="n">
        <v>1.4905</v>
      </c>
      <c r="M1387" t="n">
        <v>29.86</v>
      </c>
      <c r="N1387">
        <f>(M1387-F1387)</f>
        <v/>
      </c>
    </row>
    <row r="1388" ht="18" customHeight="1">
      <c r="A1388" s="2" t="inlineStr"/>
      <c r="B1388" s="2" t="inlineStr"/>
      <c r="C1388" s="2" t="inlineStr"/>
      <c r="D1388" s="2" t="inlineStr"/>
      <c r="E1388" s="26" t="inlineStr">
        <is>
          <t>TOTAL Mão de Obra com Encargos Complementares:</t>
        </is>
      </c>
      <c r="F1388" s="56" t="n"/>
      <c r="G1388" s="65">
        <f>SUM(G1386:G1387)</f>
        <v/>
      </c>
    </row>
    <row r="1389" ht="15" customHeight="1">
      <c r="A1389" s="2" t="inlineStr"/>
      <c r="B1389" s="2" t="inlineStr"/>
      <c r="C1389" s="2" t="inlineStr"/>
      <c r="D1389" s="2" t="inlineStr"/>
      <c r="E1389" s="28" t="inlineStr">
        <is>
          <t>VALOR:</t>
        </is>
      </c>
      <c r="F1389" s="56" t="n"/>
      <c r="G1389" s="66">
        <f>SUM(G1384,G1388)</f>
        <v/>
      </c>
    </row>
    <row r="1390" ht="15" customHeight="1">
      <c r="A1390" s="2" t="inlineStr"/>
      <c r="B1390" s="2" t="inlineStr"/>
      <c r="C1390" s="2" t="inlineStr"/>
      <c r="D1390" s="2" t="inlineStr"/>
      <c r="E1390" s="28" t="inlineStr">
        <is>
          <t>VALOR BDI (23.08%):</t>
        </is>
      </c>
      <c r="F1390" s="56" t="n"/>
      <c r="G1390" s="66">
        <f>ROUNDDOWN(G1389*BDI,2)</f>
        <v/>
      </c>
    </row>
    <row r="1391" ht="15" customHeight="1">
      <c r="A1391" s="2" t="inlineStr"/>
      <c r="B1391" s="2" t="inlineStr"/>
      <c r="C1391" s="2" t="inlineStr"/>
      <c r="D1391" s="2" t="inlineStr"/>
      <c r="E1391" s="28" t="inlineStr">
        <is>
          <t>VALOR COM BDI:</t>
        </is>
      </c>
      <c r="F1391" s="56" t="n"/>
      <c r="G1391" s="66">
        <f>G1390 + G1389</f>
        <v/>
      </c>
    </row>
    <row r="1392" ht="10" customHeight="1">
      <c r="A1392" s="2" t="inlineStr"/>
      <c r="B1392" s="2" t="inlineStr"/>
      <c r="C1392" s="2" t="inlineStr"/>
      <c r="D1392" s="2" t="inlineStr"/>
      <c r="E1392" s="18" t="inlineStr"/>
    </row>
    <row r="1393" ht="20" customHeight="1">
      <c r="A1393" s="19" t="inlineStr">
        <is>
          <t>8.1.1.3. ​95676​ CAIXA EM CONCRETO PRÉ-MOLDADO PARA ABRIGO DE HIDRÔMETRO COM DN 20 MM - FORNECIMENTO E INSTALAÇÃO.AF_03/2024​ (UN)</t>
        </is>
      </c>
      <c r="B1393" s="55" t="n"/>
      <c r="C1393" s="55" t="n"/>
      <c r="D1393" s="55" t="n"/>
      <c r="E1393" s="55" t="n"/>
      <c r="F1393" s="55" t="n"/>
      <c r="G1393" s="56" t="n"/>
    </row>
    <row r="1394" ht="15" customHeight="1">
      <c r="A1394" s="20" t="inlineStr">
        <is>
          <t>Material</t>
        </is>
      </c>
      <c r="B1394" s="56" t="n"/>
      <c r="C1394" s="21" t="inlineStr">
        <is>
          <t>FONTE</t>
        </is>
      </c>
      <c r="D1394" s="21" t="inlineStr">
        <is>
          <t>UNID</t>
        </is>
      </c>
      <c r="E1394" s="21" t="inlineStr">
        <is>
          <t>COEFICIENTE</t>
        </is>
      </c>
      <c r="F1394" s="21" t="inlineStr">
        <is>
          <t>PREÇO UNITÁRIO</t>
        </is>
      </c>
      <c r="G1394" s="21" t="inlineStr">
        <is>
          <t>TOTAL</t>
        </is>
      </c>
    </row>
    <row r="1395" ht="21" customHeight="1">
      <c r="A1395" s="22" t="inlineStr">
        <is>
          <t>00011882</t>
        </is>
      </c>
      <c r="B1395" s="23" t="inlineStr">
        <is>
          <t>CAIXA PARA HIDROMETRO CONCRETO PRE MOLDADO, *0,24 M X 0,45 M X 0,30* M (L X C X A)</t>
        </is>
      </c>
      <c r="C1395" s="22" t="inlineStr">
        <is>
          <t>SINAPI</t>
        </is>
      </c>
      <c r="D1395" s="22" t="inlineStr">
        <is>
          <t>UN</t>
        </is>
      </c>
      <c r="E1395" s="63" t="n">
        <v>1</v>
      </c>
      <c r="F1395" s="64">
        <f>ROUND(M1395*FATOR, 2)</f>
        <v/>
      </c>
      <c r="G1395" s="64">
        <f>TRUNC(TRUNC(E1395,8)*F1395,2)</f>
        <v/>
      </c>
      <c r="L1395" t="n">
        <v>1</v>
      </c>
      <c r="M1395" t="n">
        <v>155.83</v>
      </c>
      <c r="N1395">
        <f>(M1395-F1395)</f>
        <v/>
      </c>
    </row>
    <row r="1396" ht="15" customHeight="1">
      <c r="A1396" s="2" t="inlineStr"/>
      <c r="B1396" s="2" t="inlineStr"/>
      <c r="C1396" s="2" t="inlineStr"/>
      <c r="D1396" s="2" t="inlineStr"/>
      <c r="E1396" s="26" t="inlineStr">
        <is>
          <t>TOTAL Material:</t>
        </is>
      </c>
      <c r="F1396" s="56" t="n"/>
      <c r="G1396" s="65">
        <f>SUM(G1395:G1395)</f>
        <v/>
      </c>
    </row>
    <row r="1397" ht="15" customHeight="1">
      <c r="A1397" s="20" t="inlineStr">
        <is>
          <t>Mão de Obra com Encargos Complementares</t>
        </is>
      </c>
      <c r="B1397" s="56" t="n"/>
      <c r="C1397" s="21" t="inlineStr">
        <is>
          <t>FONTE</t>
        </is>
      </c>
      <c r="D1397" s="21" t="inlineStr">
        <is>
          <t>UNID</t>
        </is>
      </c>
      <c r="E1397" s="21" t="inlineStr">
        <is>
          <t>COEFICIENTE</t>
        </is>
      </c>
      <c r="F1397" s="21" t="inlineStr">
        <is>
          <t>PREÇO UNITÁRIO</t>
        </is>
      </c>
      <c r="G1397" s="21" t="inlineStr">
        <is>
          <t>TOTAL</t>
        </is>
      </c>
    </row>
    <row r="1398" ht="21" customHeight="1">
      <c r="A1398" s="22" t="inlineStr">
        <is>
          <t>88248</t>
        </is>
      </c>
      <c r="B1398" s="23" t="inlineStr">
        <is>
          <t>AUXILIAR DE ENCANADOR OU BOMBEIRO HIDRÁULICO COM ENCARGOS COMPLEMENTARES</t>
        </is>
      </c>
      <c r="C1398" s="22" t="inlineStr">
        <is>
          <t>SINAPI</t>
        </is>
      </c>
      <c r="D1398" s="22" t="inlineStr">
        <is>
          <t>H</t>
        </is>
      </c>
      <c r="E1398" s="63">
        <f>L1398*FATOR</f>
        <v/>
      </c>
      <c r="F1398" s="64">
        <f>'COMPOSICOES AUXILIARES'!G524</f>
        <v/>
      </c>
      <c r="G1398" s="64">
        <f>TRUNC(TRUNC(E1398,8)*F1398,2)</f>
        <v/>
      </c>
      <c r="L1398" t="n">
        <v>0.2632</v>
      </c>
      <c r="M1398" t="n">
        <v>24.23</v>
      </c>
      <c r="N1398">
        <f>(M1398-F1398)</f>
        <v/>
      </c>
    </row>
    <row r="1399" ht="21" customHeight="1">
      <c r="A1399" s="22" t="inlineStr">
        <is>
          <t>88267</t>
        </is>
      </c>
      <c r="B1399" s="23" t="inlineStr">
        <is>
          <t>ENCANADOR OU BOMBEIRO HIDRÁULICO COM ENCARGOS COMPLEMENTARES</t>
        </is>
      </c>
      <c r="C1399" s="22" t="inlineStr">
        <is>
          <t>SINAPI</t>
        </is>
      </c>
      <c r="D1399" s="22" t="inlineStr">
        <is>
          <t>H</t>
        </is>
      </c>
      <c r="E1399" s="63">
        <f>L1399*FATOR</f>
        <v/>
      </c>
      <c r="F1399" s="64">
        <f>'COMPOSICOES AUXILIARES'!G524</f>
        <v/>
      </c>
      <c r="G1399" s="64">
        <f>TRUNC(TRUNC(E1399,8)*F1399,2)</f>
        <v/>
      </c>
      <c r="L1399" t="n">
        <v>0.2632</v>
      </c>
      <c r="M1399" t="n">
        <v>29.86</v>
      </c>
      <c r="N1399">
        <f>(M1399-F1399)</f>
        <v/>
      </c>
    </row>
    <row r="1400" ht="18" customHeight="1">
      <c r="A1400" s="2" t="inlineStr"/>
      <c r="B1400" s="2" t="inlineStr"/>
      <c r="C1400" s="2" t="inlineStr"/>
      <c r="D1400" s="2" t="inlineStr"/>
      <c r="E1400" s="26" t="inlineStr">
        <is>
          <t>TOTAL Mão de Obra com Encargos Complementares:</t>
        </is>
      </c>
      <c r="F1400" s="56" t="n"/>
      <c r="G1400" s="65">
        <f>SUM(G1398:G1399)</f>
        <v/>
      </c>
    </row>
    <row r="1401" ht="15" customHeight="1">
      <c r="A1401" s="2" t="inlineStr"/>
      <c r="B1401" s="2" t="inlineStr"/>
      <c r="C1401" s="2" t="inlineStr"/>
      <c r="D1401" s="2" t="inlineStr"/>
      <c r="E1401" s="28" t="inlineStr">
        <is>
          <t>VALOR:</t>
        </is>
      </c>
      <c r="F1401" s="56" t="n"/>
      <c r="G1401" s="66">
        <f>SUM(G1400,G1396)</f>
        <v/>
      </c>
    </row>
    <row r="1402" ht="15" customHeight="1">
      <c r="A1402" s="2" t="inlineStr"/>
      <c r="B1402" s="2" t="inlineStr"/>
      <c r="C1402" s="2" t="inlineStr"/>
      <c r="D1402" s="2" t="inlineStr"/>
      <c r="E1402" s="28" t="inlineStr">
        <is>
          <t>VALOR BDI (23.08%):</t>
        </is>
      </c>
      <c r="F1402" s="56" t="n"/>
      <c r="G1402" s="66">
        <f>ROUNDDOWN(G1401*BDI,2)</f>
        <v/>
      </c>
    </row>
    <row r="1403" ht="15" customHeight="1">
      <c r="A1403" s="2" t="inlineStr"/>
      <c r="B1403" s="2" t="inlineStr"/>
      <c r="C1403" s="2" t="inlineStr"/>
      <c r="D1403" s="2" t="inlineStr"/>
      <c r="E1403" s="28" t="inlineStr">
        <is>
          <t>VALOR COM BDI:</t>
        </is>
      </c>
      <c r="F1403" s="56" t="n"/>
      <c r="G1403" s="66">
        <f>G1402 + G1401</f>
        <v/>
      </c>
    </row>
    <row r="1404" ht="10" customHeight="1">
      <c r="A1404" s="2" t="inlineStr"/>
      <c r="B1404" s="2" t="inlineStr"/>
      <c r="C1404" s="2" t="inlineStr"/>
      <c r="D1404" s="2" t="inlineStr"/>
      <c r="E1404" s="18" t="inlineStr"/>
    </row>
    <row r="1405" ht="20" customHeight="1">
      <c r="A1405" s="19" t="inlineStr">
        <is>
          <t>8.1.2.1. ​102615​ CAIXA D´ÁGUA EM POLIÉSTER REFORÇADO COM FIBRA DE VIDRO, 2000 LITROS - FORNECIMENTO E INSTALAÇÃO.AF_06/2021​ (UN)</t>
        </is>
      </c>
      <c r="B1405" s="55" t="n"/>
      <c r="C1405" s="55" t="n"/>
      <c r="D1405" s="55" t="n"/>
      <c r="E1405" s="55" t="n"/>
      <c r="F1405" s="55" t="n"/>
      <c r="G1405" s="56" t="n"/>
    </row>
    <row r="1406" ht="15" customHeight="1">
      <c r="A1406" s="20" t="inlineStr">
        <is>
          <t>Material</t>
        </is>
      </c>
      <c r="B1406" s="56" t="n"/>
      <c r="C1406" s="21" t="inlineStr">
        <is>
          <t>FONTE</t>
        </is>
      </c>
      <c r="D1406" s="21" t="inlineStr">
        <is>
          <t>UNID</t>
        </is>
      </c>
      <c r="E1406" s="21" t="inlineStr">
        <is>
          <t>COEFICIENTE</t>
        </is>
      </c>
      <c r="F1406" s="21" t="inlineStr">
        <is>
          <t>PREÇO UNITÁRIO</t>
        </is>
      </c>
      <c r="G1406" s="21" t="inlineStr">
        <is>
          <t>TOTAL</t>
        </is>
      </c>
    </row>
    <row r="1407" ht="29" customHeight="1">
      <c r="A1407" s="22" t="inlineStr">
        <is>
          <t>00037104</t>
        </is>
      </c>
      <c r="B1407" s="23" t="inlineStr">
        <is>
          <t>CAIXA D'AGUA / RESERVATORIO EM POLIESTER REFORCADO COM FIBRA DE VIDRO, 2000 LITROS, COM TAMPA</t>
        </is>
      </c>
      <c r="C1407" s="22" t="inlineStr">
        <is>
          <t>SINAPI</t>
        </is>
      </c>
      <c r="D1407" s="22" t="inlineStr">
        <is>
          <t>UN</t>
        </is>
      </c>
      <c r="E1407" s="63" t="n">
        <v>1</v>
      </c>
      <c r="F1407" s="64">
        <f>ROUND(M1407*FATOR, 2)</f>
        <v/>
      </c>
      <c r="G1407" s="64">
        <f>TRUNC(TRUNC(E1407,8)*F1407,2)</f>
        <v/>
      </c>
      <c r="L1407" t="n">
        <v>1</v>
      </c>
      <c r="M1407" t="n">
        <v>1355.97</v>
      </c>
      <c r="N1407">
        <f>(M1407-F1407)</f>
        <v/>
      </c>
    </row>
    <row r="1408" ht="15" customHeight="1">
      <c r="A1408" s="2" t="inlineStr"/>
      <c r="B1408" s="2" t="inlineStr"/>
      <c r="C1408" s="2" t="inlineStr"/>
      <c r="D1408" s="2" t="inlineStr"/>
      <c r="E1408" s="26" t="inlineStr">
        <is>
          <t>TOTAL Material:</t>
        </is>
      </c>
      <c r="F1408" s="56" t="n"/>
      <c r="G1408" s="65">
        <f>SUM(G1407:G1407)</f>
        <v/>
      </c>
    </row>
    <row r="1409" ht="15" customHeight="1">
      <c r="A1409" s="20" t="inlineStr">
        <is>
          <t>Mão de Obra com Encargos Complementares</t>
        </is>
      </c>
      <c r="B1409" s="56" t="n"/>
      <c r="C1409" s="21" t="inlineStr">
        <is>
          <t>FONTE</t>
        </is>
      </c>
      <c r="D1409" s="21" t="inlineStr">
        <is>
          <t>UNID</t>
        </is>
      </c>
      <c r="E1409" s="21" t="inlineStr">
        <is>
          <t>COEFICIENTE</t>
        </is>
      </c>
      <c r="F1409" s="21" t="inlineStr">
        <is>
          <t>PREÇO UNITÁRIO</t>
        </is>
      </c>
      <c r="G1409" s="21" t="inlineStr">
        <is>
          <t>TOTAL</t>
        </is>
      </c>
    </row>
    <row r="1410" ht="21" customHeight="1">
      <c r="A1410" s="22" t="inlineStr">
        <is>
          <t>88248</t>
        </is>
      </c>
      <c r="B1410" s="23" t="inlineStr">
        <is>
          <t>AUXILIAR DE ENCANADOR OU BOMBEIRO HIDRÁULICO COM ENCARGOS COMPLEMENTARES</t>
        </is>
      </c>
      <c r="C1410" s="22" t="inlineStr">
        <is>
          <t>SINAPI</t>
        </is>
      </c>
      <c r="D1410" s="22" t="inlineStr">
        <is>
          <t>H</t>
        </is>
      </c>
      <c r="E1410" s="63">
        <f>L1410*FATOR</f>
        <v/>
      </c>
      <c r="F1410" s="64">
        <f>'COMPOSICOES AUXILIARES'!G524</f>
        <v/>
      </c>
      <c r="G1410" s="64">
        <f>TRUNC(TRUNC(E1410,8)*F1410,2)</f>
        <v/>
      </c>
      <c r="L1410" t="n">
        <v>0.2473</v>
      </c>
      <c r="M1410" t="n">
        <v>24.23</v>
      </c>
      <c r="N1410">
        <f>(M1410-F1410)</f>
        <v/>
      </c>
    </row>
    <row r="1411" ht="21" customHeight="1">
      <c r="A1411" s="22" t="inlineStr">
        <is>
          <t>88267</t>
        </is>
      </c>
      <c r="B1411" s="23" t="inlineStr">
        <is>
          <t>ENCANADOR OU BOMBEIRO HIDRÁULICO COM ENCARGOS COMPLEMENTARES</t>
        </is>
      </c>
      <c r="C1411" s="22" t="inlineStr">
        <is>
          <t>SINAPI</t>
        </is>
      </c>
      <c r="D1411" s="22" t="inlineStr">
        <is>
          <t>H</t>
        </is>
      </c>
      <c r="E1411" s="63">
        <f>L1411*FATOR</f>
        <v/>
      </c>
      <c r="F1411" s="64">
        <f>'COMPOSICOES AUXILIARES'!G524</f>
        <v/>
      </c>
      <c r="G1411" s="64">
        <f>TRUNC(TRUNC(E1411,8)*F1411,2)</f>
        <v/>
      </c>
      <c r="L1411" t="n">
        <v>0.2473</v>
      </c>
      <c r="M1411" t="n">
        <v>29.86</v>
      </c>
      <c r="N1411">
        <f>(M1411-F1411)</f>
        <v/>
      </c>
    </row>
    <row r="1412" ht="18" customHeight="1">
      <c r="A1412" s="2" t="inlineStr"/>
      <c r="B1412" s="2" t="inlineStr"/>
      <c r="C1412" s="2" t="inlineStr"/>
      <c r="D1412" s="2" t="inlineStr"/>
      <c r="E1412" s="26" t="inlineStr">
        <is>
          <t>TOTAL Mão de Obra com Encargos Complementares:</t>
        </is>
      </c>
      <c r="F1412" s="56" t="n"/>
      <c r="G1412" s="65">
        <f>SUM(G1410:G1411)</f>
        <v/>
      </c>
    </row>
    <row r="1413" ht="15" customHeight="1">
      <c r="A1413" s="2" t="inlineStr"/>
      <c r="B1413" s="2" t="inlineStr"/>
      <c r="C1413" s="2" t="inlineStr"/>
      <c r="D1413" s="2" t="inlineStr"/>
      <c r="E1413" s="28" t="inlineStr">
        <is>
          <t>VALOR:</t>
        </is>
      </c>
      <c r="F1413" s="56" t="n"/>
      <c r="G1413" s="66">
        <f>SUM(G1408,G1412)</f>
        <v/>
      </c>
    </row>
    <row r="1414" ht="15" customHeight="1">
      <c r="A1414" s="2" t="inlineStr"/>
      <c r="B1414" s="2" t="inlineStr"/>
      <c r="C1414" s="2" t="inlineStr"/>
      <c r="D1414" s="2" t="inlineStr"/>
      <c r="E1414" s="28" t="inlineStr">
        <is>
          <t>VALOR BDI (23.08%):</t>
        </is>
      </c>
      <c r="F1414" s="56" t="n"/>
      <c r="G1414" s="66">
        <f>ROUNDDOWN(G1413*BDI,2)</f>
        <v/>
      </c>
    </row>
    <row r="1415" ht="15" customHeight="1">
      <c r="A1415" s="2" t="inlineStr"/>
      <c r="B1415" s="2" t="inlineStr"/>
      <c r="C1415" s="2" t="inlineStr"/>
      <c r="D1415" s="2" t="inlineStr"/>
      <c r="E1415" s="28" t="inlineStr">
        <is>
          <t>VALOR COM BDI:</t>
        </is>
      </c>
      <c r="F1415" s="56" t="n"/>
      <c r="G1415" s="66">
        <f>G1414 + G1413</f>
        <v/>
      </c>
    </row>
    <row r="1416" ht="10" customHeight="1">
      <c r="A1416" s="2" t="inlineStr"/>
      <c r="B1416" s="2" t="inlineStr"/>
      <c r="C1416" s="2" t="inlineStr"/>
      <c r="D1416" s="2" t="inlineStr"/>
      <c r="E1416" s="18" t="inlineStr"/>
    </row>
    <row r="1417" ht="20" customHeight="1">
      <c r="A1417" s="19" t="inlineStr">
        <is>
          <t>8.1.2.2. ​94795​ TORNEIRA DE BOIA PARA CAIXA D'ÁGUA, ROSCÁVEL, 1/2" - FORNECIMENTO EINSTALAÇÃO. AF_08/2021​ (UN)</t>
        </is>
      </c>
      <c r="B1417" s="55" t="n"/>
      <c r="C1417" s="55" t="n"/>
      <c r="D1417" s="55" t="n"/>
      <c r="E1417" s="55" t="n"/>
      <c r="F1417" s="55" t="n"/>
      <c r="G1417" s="56" t="n"/>
    </row>
    <row r="1418" ht="15" customHeight="1">
      <c r="A1418" s="20" t="inlineStr">
        <is>
          <t>Material</t>
        </is>
      </c>
      <c r="B1418" s="56" t="n"/>
      <c r="C1418" s="21" t="inlineStr">
        <is>
          <t>FONTE</t>
        </is>
      </c>
      <c r="D1418" s="21" t="inlineStr">
        <is>
          <t>UNID</t>
        </is>
      </c>
      <c r="E1418" s="21" t="inlineStr">
        <is>
          <t>COEFICIENTE</t>
        </is>
      </c>
      <c r="F1418" s="21" t="inlineStr">
        <is>
          <t>PREÇO UNITÁRIO</t>
        </is>
      </c>
      <c r="G1418" s="21" t="inlineStr">
        <is>
          <t>TOTAL</t>
        </is>
      </c>
    </row>
    <row r="1419" ht="21" customHeight="1">
      <c r="A1419" s="22" t="inlineStr">
        <is>
          <t>00003148</t>
        </is>
      </c>
      <c r="B1419" s="23" t="inlineStr">
        <is>
          <t>FITA VEDA ROSCA, EM PTFE, ROLO DE 18 MM X 50 M (L X C)</t>
        </is>
      </c>
      <c r="C1419" s="22" t="inlineStr">
        <is>
          <t>SINAPI</t>
        </is>
      </c>
      <c r="D1419" s="22" t="inlineStr">
        <is>
          <t>UN</t>
        </is>
      </c>
      <c r="E1419" s="63" t="n">
        <v>0.0042</v>
      </c>
      <c r="F1419" s="64">
        <f>ROUND(M1419*FATOR, 2)</f>
        <v/>
      </c>
      <c r="G1419" s="64">
        <f>TRUNC(TRUNC(E1419,8)*F1419,2)</f>
        <v/>
      </c>
      <c r="L1419" t="n">
        <v>0.0042</v>
      </c>
      <c r="M1419" t="n">
        <v>14.75</v>
      </c>
      <c r="N1419">
        <f>(M1419-F1419)</f>
        <v/>
      </c>
    </row>
    <row r="1420" ht="29" customHeight="1">
      <c r="A1420" s="22" t="inlineStr">
        <is>
          <t>00011829</t>
        </is>
      </c>
      <c r="B1420" s="23" t="inlineStr">
        <is>
          <t>TORNEIRA DE BOIA CONVENCIONAL PARA CAIXA D'AGUA, AGUA FRIA, 1/2", COM HASTE E TORNEIRA METALICOS E BALAO PLASTICO</t>
        </is>
      </c>
      <c r="C1420" s="22" t="inlineStr">
        <is>
          <t>SINAPI</t>
        </is>
      </c>
      <c r="D1420" s="22" t="inlineStr">
        <is>
          <t>UN</t>
        </is>
      </c>
      <c r="E1420" s="63" t="n">
        <v>1</v>
      </c>
      <c r="F1420" s="64">
        <f>ROUND(M1420*FATOR, 2)</f>
        <v/>
      </c>
      <c r="G1420" s="64">
        <f>TRUNC(TRUNC(E1420,8)*F1420,2)</f>
        <v/>
      </c>
      <c r="L1420" t="n">
        <v>1</v>
      </c>
      <c r="M1420" t="n">
        <v>27.53</v>
      </c>
      <c r="N1420">
        <f>(M1420-F1420)</f>
        <v/>
      </c>
    </row>
    <row r="1421" ht="15" customHeight="1">
      <c r="A1421" s="2" t="inlineStr"/>
      <c r="B1421" s="2" t="inlineStr"/>
      <c r="C1421" s="2" t="inlineStr"/>
      <c r="D1421" s="2" t="inlineStr"/>
      <c r="E1421" s="26" t="inlineStr">
        <is>
          <t>TOTAL Material:</t>
        </is>
      </c>
      <c r="F1421" s="56" t="n"/>
      <c r="G1421" s="65">
        <f>SUM(G1419:G1420)</f>
        <v/>
      </c>
    </row>
    <row r="1422" ht="15" customHeight="1">
      <c r="A1422" s="20" t="inlineStr">
        <is>
          <t>Mão de Obra com Encargos Complementares</t>
        </is>
      </c>
      <c r="B1422" s="56" t="n"/>
      <c r="C1422" s="21" t="inlineStr">
        <is>
          <t>FONTE</t>
        </is>
      </c>
      <c r="D1422" s="21" t="inlineStr">
        <is>
          <t>UNID</t>
        </is>
      </c>
      <c r="E1422" s="21" t="inlineStr">
        <is>
          <t>COEFICIENTE</t>
        </is>
      </c>
      <c r="F1422" s="21" t="inlineStr">
        <is>
          <t>PREÇO UNITÁRIO</t>
        </is>
      </c>
      <c r="G1422" s="21" t="inlineStr">
        <is>
          <t>TOTAL</t>
        </is>
      </c>
    </row>
    <row r="1423" ht="21" customHeight="1">
      <c r="A1423" s="22" t="inlineStr">
        <is>
          <t>88248</t>
        </is>
      </c>
      <c r="B1423" s="23" t="inlineStr">
        <is>
          <t>AUXILIAR DE ENCANADOR OU BOMBEIRO HIDRÁULICO COM ENCARGOS COMPLEMENTARES</t>
        </is>
      </c>
      <c r="C1423" s="22" t="inlineStr">
        <is>
          <t>SINAPI</t>
        </is>
      </c>
      <c r="D1423" s="22" t="inlineStr">
        <is>
          <t>H</t>
        </is>
      </c>
      <c r="E1423" s="63">
        <f>L1423*FATOR</f>
        <v/>
      </c>
      <c r="F1423" s="64">
        <f>'COMPOSICOES AUXILIARES'!G524</f>
        <v/>
      </c>
      <c r="G1423" s="64">
        <f>TRUNC(TRUNC(E1423,8)*F1423,2)</f>
        <v/>
      </c>
      <c r="L1423" t="n">
        <v>0.1242</v>
      </c>
      <c r="M1423" t="n">
        <v>24.23</v>
      </c>
      <c r="N1423">
        <f>(M1423-F1423)</f>
        <v/>
      </c>
    </row>
    <row r="1424" ht="21" customHeight="1">
      <c r="A1424" s="22" t="inlineStr">
        <is>
          <t>88267</t>
        </is>
      </c>
      <c r="B1424" s="23" t="inlineStr">
        <is>
          <t>ENCANADOR OU BOMBEIRO HIDRÁULICO COM ENCARGOS COMPLEMENTARES</t>
        </is>
      </c>
      <c r="C1424" s="22" t="inlineStr">
        <is>
          <t>SINAPI</t>
        </is>
      </c>
      <c r="D1424" s="22" t="inlineStr">
        <is>
          <t>H</t>
        </is>
      </c>
      <c r="E1424" s="63">
        <f>L1424*FATOR</f>
        <v/>
      </c>
      <c r="F1424" s="64">
        <f>'COMPOSICOES AUXILIARES'!G524</f>
        <v/>
      </c>
      <c r="G1424" s="64">
        <f>TRUNC(TRUNC(E1424,8)*F1424,2)</f>
        <v/>
      </c>
      <c r="L1424" t="n">
        <v>0.1242</v>
      </c>
      <c r="M1424" t="n">
        <v>29.86</v>
      </c>
      <c r="N1424">
        <f>(M1424-F1424)</f>
        <v/>
      </c>
    </row>
    <row r="1425" ht="18" customHeight="1">
      <c r="A1425" s="2" t="inlineStr"/>
      <c r="B1425" s="2" t="inlineStr"/>
      <c r="C1425" s="2" t="inlineStr"/>
      <c r="D1425" s="2" t="inlineStr"/>
      <c r="E1425" s="26" t="inlineStr">
        <is>
          <t>TOTAL Mão de Obra com Encargos Complementares:</t>
        </is>
      </c>
      <c r="F1425" s="56" t="n"/>
      <c r="G1425" s="65">
        <f>SUM(G1423:G1424)</f>
        <v/>
      </c>
    </row>
    <row r="1426" ht="15" customHeight="1">
      <c r="A1426" s="2" t="inlineStr"/>
      <c r="B1426" s="2" t="inlineStr"/>
      <c r="C1426" s="2" t="inlineStr"/>
      <c r="D1426" s="2" t="inlineStr"/>
      <c r="E1426" s="28" t="inlineStr">
        <is>
          <t>VALOR:</t>
        </is>
      </c>
      <c r="F1426" s="56" t="n"/>
      <c r="G1426" s="66">
        <f>SUM(G1425,G1421)</f>
        <v/>
      </c>
    </row>
    <row r="1427" ht="15" customHeight="1">
      <c r="A1427" s="2" t="inlineStr"/>
      <c r="B1427" s="2" t="inlineStr"/>
      <c r="C1427" s="2" t="inlineStr"/>
      <c r="D1427" s="2" t="inlineStr"/>
      <c r="E1427" s="28" t="inlineStr">
        <is>
          <t>VALOR BDI (23.08%):</t>
        </is>
      </c>
      <c r="F1427" s="56" t="n"/>
      <c r="G1427" s="66">
        <f>ROUNDDOWN(G1426*BDI,2)</f>
        <v/>
      </c>
    </row>
    <row r="1428" ht="15" customHeight="1">
      <c r="A1428" s="2" t="inlineStr"/>
      <c r="B1428" s="2" t="inlineStr"/>
      <c r="C1428" s="2" t="inlineStr"/>
      <c r="D1428" s="2" t="inlineStr"/>
      <c r="E1428" s="28" t="inlineStr">
        <is>
          <t>VALOR COM BDI:</t>
        </is>
      </c>
      <c r="F1428" s="56" t="n"/>
      <c r="G1428" s="66">
        <f>G1427 + G1426</f>
        <v/>
      </c>
    </row>
    <row r="1429" ht="10" customHeight="1">
      <c r="A1429" s="2" t="inlineStr"/>
      <c r="B1429" s="2" t="inlineStr"/>
      <c r="C1429" s="2" t="inlineStr"/>
      <c r="D1429" s="2" t="inlineStr"/>
      <c r="E1429" s="18" t="inlineStr"/>
    </row>
    <row r="1430" ht="20" customHeight="1">
      <c r="A1430" s="19" t="inlineStr">
        <is>
          <t>8.1.3.1. ​89353​ REGISTRO DE GAVETA BRUTO, LATÃO, ROSCÁVEL, 3/4" - FORNECIMENTO EINSTALAÇÃO. AF_08/2021​ (UN)</t>
        </is>
      </c>
      <c r="B1430" s="55" t="n"/>
      <c r="C1430" s="55" t="n"/>
      <c r="D1430" s="55" t="n"/>
      <c r="E1430" s="55" t="n"/>
      <c r="F1430" s="55" t="n"/>
      <c r="G1430" s="56" t="n"/>
    </row>
    <row r="1431" ht="15" customHeight="1">
      <c r="A1431" s="20" t="inlineStr">
        <is>
          <t>Material</t>
        </is>
      </c>
      <c r="B1431" s="56" t="n"/>
      <c r="C1431" s="21" t="inlineStr">
        <is>
          <t>FONTE</t>
        </is>
      </c>
      <c r="D1431" s="21" t="inlineStr">
        <is>
          <t>UNID</t>
        </is>
      </c>
      <c r="E1431" s="21" t="inlineStr">
        <is>
          <t>COEFICIENTE</t>
        </is>
      </c>
      <c r="F1431" s="21" t="inlineStr">
        <is>
          <t>PREÇO UNITÁRIO</t>
        </is>
      </c>
      <c r="G1431" s="21" t="inlineStr">
        <is>
          <t>TOTAL</t>
        </is>
      </c>
    </row>
    <row r="1432" ht="21" customHeight="1">
      <c r="A1432" s="22" t="inlineStr">
        <is>
          <t>00003148</t>
        </is>
      </c>
      <c r="B1432" s="23" t="inlineStr">
        <is>
          <t>FITA VEDA ROSCA, EM PTFE, ROLO DE 18 MM X 50 M (L X C)</t>
        </is>
      </c>
      <c r="C1432" s="22" t="inlineStr">
        <is>
          <t>SINAPI</t>
        </is>
      </c>
      <c r="D1432" s="22" t="inlineStr">
        <is>
          <t>UN</t>
        </is>
      </c>
      <c r="E1432" s="63" t="n">
        <v>0.0106</v>
      </c>
      <c r="F1432" s="64">
        <f>ROUND(M1432*FATOR, 2)</f>
        <v/>
      </c>
      <c r="G1432" s="64">
        <f>TRUNC(TRUNC(E1432,8)*F1432,2)</f>
        <v/>
      </c>
      <c r="L1432" t="n">
        <v>0.0106</v>
      </c>
      <c r="M1432" t="n">
        <v>14.75</v>
      </c>
      <c r="N1432">
        <f>(M1432-F1432)</f>
        <v/>
      </c>
    </row>
    <row r="1433" ht="21" customHeight="1">
      <c r="A1433" s="22" t="inlineStr">
        <is>
          <t>00006016</t>
        </is>
      </c>
      <c r="B1433" s="23" t="inlineStr">
        <is>
          <t>REGISTRO GAVETA BRUTO EM LATAO FORJADO, BITOLA 3/4"</t>
        </is>
      </c>
      <c r="C1433" s="22" t="inlineStr">
        <is>
          <t>SINAPI</t>
        </is>
      </c>
      <c r="D1433" s="22" t="inlineStr">
        <is>
          <t>UN</t>
        </is>
      </c>
      <c r="E1433" s="63" t="n">
        <v>1</v>
      </c>
      <c r="F1433" s="64">
        <f>ROUND(M1433*FATOR, 2)</f>
        <v/>
      </c>
      <c r="G1433" s="64">
        <f>TRUNC(TRUNC(E1433,8)*F1433,2)</f>
        <v/>
      </c>
      <c r="L1433" t="n">
        <v>1</v>
      </c>
      <c r="M1433" t="n">
        <v>33.2</v>
      </c>
      <c r="N1433">
        <f>(M1433-F1433)</f>
        <v/>
      </c>
    </row>
    <row r="1434" ht="15" customHeight="1">
      <c r="A1434" s="2" t="inlineStr"/>
      <c r="B1434" s="2" t="inlineStr"/>
      <c r="C1434" s="2" t="inlineStr"/>
      <c r="D1434" s="2" t="inlineStr"/>
      <c r="E1434" s="26" t="inlineStr">
        <is>
          <t>TOTAL Material:</t>
        </is>
      </c>
      <c r="F1434" s="56" t="n"/>
      <c r="G1434" s="65">
        <f>SUM(G1432:G1433)</f>
        <v/>
      </c>
    </row>
    <row r="1435" ht="15" customHeight="1">
      <c r="A1435" s="20" t="inlineStr">
        <is>
          <t>Mão de Obra com Encargos Complementares</t>
        </is>
      </c>
      <c r="B1435" s="56" t="n"/>
      <c r="C1435" s="21" t="inlineStr">
        <is>
          <t>FONTE</t>
        </is>
      </c>
      <c r="D1435" s="21" t="inlineStr">
        <is>
          <t>UNID</t>
        </is>
      </c>
      <c r="E1435" s="21" t="inlineStr">
        <is>
          <t>COEFICIENTE</t>
        </is>
      </c>
      <c r="F1435" s="21" t="inlineStr">
        <is>
          <t>PREÇO UNITÁRIO</t>
        </is>
      </c>
      <c r="G1435" s="21" t="inlineStr">
        <is>
          <t>TOTAL</t>
        </is>
      </c>
    </row>
    <row r="1436" ht="21" customHeight="1">
      <c r="A1436" s="22" t="inlineStr">
        <is>
          <t>88248</t>
        </is>
      </c>
      <c r="B1436" s="23" t="inlineStr">
        <is>
          <t>AUXILIAR DE ENCANADOR OU BOMBEIRO HIDRÁULICO COM ENCARGOS COMPLEMENTARES</t>
        </is>
      </c>
      <c r="C1436" s="22" t="inlineStr">
        <is>
          <t>SINAPI</t>
        </is>
      </c>
      <c r="D1436" s="22" t="inlineStr">
        <is>
          <t>H</t>
        </is>
      </c>
      <c r="E1436" s="63">
        <f>L1436*FATOR</f>
        <v/>
      </c>
      <c r="F1436" s="64">
        <f>'COMPOSICOES AUXILIARES'!G524</f>
        <v/>
      </c>
      <c r="G1436" s="64">
        <f>TRUNC(TRUNC(E1436,8)*F1436,2)</f>
        <v/>
      </c>
      <c r="L1436" t="n">
        <v>0.1102</v>
      </c>
      <c r="M1436" t="n">
        <v>24.23</v>
      </c>
      <c r="N1436">
        <f>(M1436-F1436)</f>
        <v/>
      </c>
    </row>
    <row r="1437" ht="21" customHeight="1">
      <c r="A1437" s="22" t="inlineStr">
        <is>
          <t>88267</t>
        </is>
      </c>
      <c r="B1437" s="23" t="inlineStr">
        <is>
          <t>ENCANADOR OU BOMBEIRO HIDRÁULICO COM ENCARGOS COMPLEMENTARES</t>
        </is>
      </c>
      <c r="C1437" s="22" t="inlineStr">
        <is>
          <t>SINAPI</t>
        </is>
      </c>
      <c r="D1437" s="22" t="inlineStr">
        <is>
          <t>H</t>
        </is>
      </c>
      <c r="E1437" s="63">
        <f>L1437*FATOR</f>
        <v/>
      </c>
      <c r="F1437" s="64">
        <f>'COMPOSICOES AUXILIARES'!G524</f>
        <v/>
      </c>
      <c r="G1437" s="64">
        <f>TRUNC(TRUNC(E1437,8)*F1437,2)</f>
        <v/>
      </c>
      <c r="L1437" t="n">
        <v>0.1102</v>
      </c>
      <c r="M1437" t="n">
        <v>29.86</v>
      </c>
      <c r="N1437">
        <f>(M1437-F1437)</f>
        <v/>
      </c>
    </row>
    <row r="1438" ht="18" customHeight="1">
      <c r="A1438" s="2" t="inlineStr"/>
      <c r="B1438" s="2" t="inlineStr"/>
      <c r="C1438" s="2" t="inlineStr"/>
      <c r="D1438" s="2" t="inlineStr"/>
      <c r="E1438" s="26" t="inlineStr">
        <is>
          <t>TOTAL Mão de Obra com Encargos Complementares:</t>
        </is>
      </c>
      <c r="F1438" s="56" t="n"/>
      <c r="G1438" s="65">
        <f>SUM(G1436:G1437)</f>
        <v/>
      </c>
    </row>
    <row r="1439" ht="15" customHeight="1">
      <c r="A1439" s="2" t="inlineStr"/>
      <c r="B1439" s="2" t="inlineStr"/>
      <c r="C1439" s="2" t="inlineStr"/>
      <c r="D1439" s="2" t="inlineStr"/>
      <c r="E1439" s="28" t="inlineStr">
        <is>
          <t>VALOR:</t>
        </is>
      </c>
      <c r="F1439" s="56" t="n"/>
      <c r="G1439" s="66">
        <f>SUM(G1434,G1438)</f>
        <v/>
      </c>
    </row>
    <row r="1440" ht="15" customHeight="1">
      <c r="A1440" s="2" t="inlineStr"/>
      <c r="B1440" s="2" t="inlineStr"/>
      <c r="C1440" s="2" t="inlineStr"/>
      <c r="D1440" s="2" t="inlineStr"/>
      <c r="E1440" s="28" t="inlineStr">
        <is>
          <t>VALOR BDI (23.08%):</t>
        </is>
      </c>
      <c r="F1440" s="56" t="n"/>
      <c r="G1440" s="66">
        <f>ROUNDDOWN(G1439*BDI,2)</f>
        <v/>
      </c>
    </row>
    <row r="1441" ht="15" customHeight="1">
      <c r="A1441" s="2" t="inlineStr"/>
      <c r="B1441" s="2" t="inlineStr"/>
      <c r="C1441" s="2" t="inlineStr"/>
      <c r="D1441" s="2" t="inlineStr"/>
      <c r="E1441" s="28" t="inlineStr">
        <is>
          <t>VALOR COM BDI:</t>
        </is>
      </c>
      <c r="F1441" s="56" t="n"/>
      <c r="G1441" s="66">
        <f>G1440 + G1439</f>
        <v/>
      </c>
    </row>
    <row r="1442" ht="10" customHeight="1">
      <c r="A1442" s="2" t="inlineStr"/>
      <c r="B1442" s="2" t="inlineStr"/>
      <c r="C1442" s="2" t="inlineStr"/>
      <c r="D1442" s="2" t="inlineStr"/>
      <c r="E1442" s="18" t="inlineStr"/>
    </row>
    <row r="1443" ht="20" customHeight="1">
      <c r="A1443" s="19" t="inlineStr">
        <is>
          <t>8.1.3.2. ​89985​ REGISTRO DE PRESSÃO BRUTO, LATÃO, ROSCÁVEL, 3/4", COM ACABAMENTO E CANOPLA CROMADOS - FORNECIMENTO EINSTALAÇÃO. AF_08/2021​ (UN)</t>
        </is>
      </c>
      <c r="B1443" s="55" t="n"/>
      <c r="C1443" s="55" t="n"/>
      <c r="D1443" s="55" t="n"/>
      <c r="E1443" s="55" t="n"/>
      <c r="F1443" s="55" t="n"/>
      <c r="G1443" s="56" t="n"/>
    </row>
    <row r="1444" ht="15" customHeight="1">
      <c r="A1444" s="20" t="inlineStr">
        <is>
          <t>Material</t>
        </is>
      </c>
      <c r="B1444" s="56" t="n"/>
      <c r="C1444" s="21" t="inlineStr">
        <is>
          <t>FONTE</t>
        </is>
      </c>
      <c r="D1444" s="21" t="inlineStr">
        <is>
          <t>UNID</t>
        </is>
      </c>
      <c r="E1444" s="21" t="inlineStr">
        <is>
          <t>COEFICIENTE</t>
        </is>
      </c>
      <c r="F1444" s="21" t="inlineStr">
        <is>
          <t>PREÇO UNITÁRIO</t>
        </is>
      </c>
      <c r="G1444" s="21" t="inlineStr">
        <is>
          <t>TOTAL</t>
        </is>
      </c>
    </row>
    <row r="1445" ht="21" customHeight="1">
      <c r="A1445" s="22" t="inlineStr">
        <is>
          <t>00003148</t>
        </is>
      </c>
      <c r="B1445" s="23" t="inlineStr">
        <is>
          <t>FITA VEDA ROSCA, EM PTFE, ROLO DE 18 MM X 50 M (L X C)</t>
        </is>
      </c>
      <c r="C1445" s="22" t="inlineStr">
        <is>
          <t>SINAPI</t>
        </is>
      </c>
      <c r="D1445" s="22" t="inlineStr">
        <is>
          <t>UN</t>
        </is>
      </c>
      <c r="E1445" s="63" t="n">
        <v>0.0106</v>
      </c>
      <c r="F1445" s="64">
        <f>ROUND(M1445*FATOR, 2)</f>
        <v/>
      </c>
      <c r="G1445" s="64">
        <f>TRUNC(TRUNC(E1445,8)*F1445,2)</f>
        <v/>
      </c>
      <c r="L1445" t="n">
        <v>0.0106</v>
      </c>
      <c r="M1445" t="n">
        <v>14.75</v>
      </c>
      <c r="N1445">
        <f>(M1445-F1445)</f>
        <v/>
      </c>
    </row>
    <row r="1446" ht="21" customHeight="1">
      <c r="A1446" s="22" t="inlineStr">
        <is>
          <t>00006024</t>
        </is>
      </c>
      <c r="B1446" s="23" t="inlineStr">
        <is>
          <t>REGISTRO PRESSAO COM ACABAMENTO E CANOPLA CROMADA, SIMPLES, BITOLA 3/4"</t>
        </is>
      </c>
      <c r="C1446" s="22" t="inlineStr">
        <is>
          <t>SINAPI</t>
        </is>
      </c>
      <c r="D1446" s="22" t="inlineStr">
        <is>
          <t>UN</t>
        </is>
      </c>
      <c r="E1446" s="63" t="n">
        <v>1</v>
      </c>
      <c r="F1446" s="64">
        <f>ROUND(M1446*FATOR, 2)</f>
        <v/>
      </c>
      <c r="G1446" s="64">
        <f>TRUNC(TRUNC(E1446,8)*F1446,2)</f>
        <v/>
      </c>
      <c r="L1446" t="n">
        <v>1</v>
      </c>
      <c r="M1446" t="n">
        <v>76.39</v>
      </c>
      <c r="N1446">
        <f>(M1446-F1446)</f>
        <v/>
      </c>
    </row>
    <row r="1447" ht="15" customHeight="1">
      <c r="A1447" s="2" t="inlineStr"/>
      <c r="B1447" s="2" t="inlineStr"/>
      <c r="C1447" s="2" t="inlineStr"/>
      <c r="D1447" s="2" t="inlineStr"/>
      <c r="E1447" s="26" t="inlineStr">
        <is>
          <t>TOTAL Material:</t>
        </is>
      </c>
      <c r="F1447" s="56" t="n"/>
      <c r="G1447" s="65">
        <f>SUM(G1445:G1446)</f>
        <v/>
      </c>
    </row>
    <row r="1448" ht="15" customHeight="1">
      <c r="A1448" s="20" t="inlineStr">
        <is>
          <t>Mão de Obra com Encargos Complementares</t>
        </is>
      </c>
      <c r="B1448" s="56" t="n"/>
      <c r="C1448" s="21" t="inlineStr">
        <is>
          <t>FONTE</t>
        </is>
      </c>
      <c r="D1448" s="21" t="inlineStr">
        <is>
          <t>UNID</t>
        </is>
      </c>
      <c r="E1448" s="21" t="inlineStr">
        <is>
          <t>COEFICIENTE</t>
        </is>
      </c>
      <c r="F1448" s="21" t="inlineStr">
        <is>
          <t>PREÇO UNITÁRIO</t>
        </is>
      </c>
      <c r="G1448" s="21" t="inlineStr">
        <is>
          <t>TOTAL</t>
        </is>
      </c>
    </row>
    <row r="1449" ht="21" customHeight="1">
      <c r="A1449" s="22" t="inlineStr">
        <is>
          <t>88248</t>
        </is>
      </c>
      <c r="B1449" s="23" t="inlineStr">
        <is>
          <t>AUXILIAR DE ENCANADOR OU BOMBEIRO HIDRÁULICO COM ENCARGOS COMPLEMENTARES</t>
        </is>
      </c>
      <c r="C1449" s="22" t="inlineStr">
        <is>
          <t>SINAPI</t>
        </is>
      </c>
      <c r="D1449" s="22" t="inlineStr">
        <is>
          <t>H</t>
        </is>
      </c>
      <c r="E1449" s="63">
        <f>L1449*FATOR</f>
        <v/>
      </c>
      <c r="F1449" s="64">
        <f>'COMPOSICOES AUXILIARES'!G524</f>
        <v/>
      </c>
      <c r="G1449" s="64">
        <f>TRUNC(TRUNC(E1449,8)*F1449,2)</f>
        <v/>
      </c>
      <c r="L1449" t="n">
        <v>0.2212</v>
      </c>
      <c r="M1449" t="n">
        <v>24.23</v>
      </c>
      <c r="N1449">
        <f>(M1449-F1449)</f>
        <v/>
      </c>
    </row>
    <row r="1450" ht="21" customHeight="1">
      <c r="A1450" s="22" t="inlineStr">
        <is>
          <t>88267</t>
        </is>
      </c>
      <c r="B1450" s="23" t="inlineStr">
        <is>
          <t>ENCANADOR OU BOMBEIRO HIDRÁULICO COM ENCARGOS COMPLEMENTARES</t>
        </is>
      </c>
      <c r="C1450" s="22" t="inlineStr">
        <is>
          <t>SINAPI</t>
        </is>
      </c>
      <c r="D1450" s="22" t="inlineStr">
        <is>
          <t>H</t>
        </is>
      </c>
      <c r="E1450" s="63">
        <f>L1450*FATOR</f>
        <v/>
      </c>
      <c r="F1450" s="64">
        <f>'COMPOSICOES AUXILIARES'!G524</f>
        <v/>
      </c>
      <c r="G1450" s="64">
        <f>TRUNC(TRUNC(E1450,8)*F1450,2)</f>
        <v/>
      </c>
      <c r="L1450" t="n">
        <v>0.2212</v>
      </c>
      <c r="M1450" t="n">
        <v>29.86</v>
      </c>
      <c r="N1450">
        <f>(M1450-F1450)</f>
        <v/>
      </c>
    </row>
    <row r="1451" ht="18" customHeight="1">
      <c r="A1451" s="2" t="inlineStr"/>
      <c r="B1451" s="2" t="inlineStr"/>
      <c r="C1451" s="2" t="inlineStr"/>
      <c r="D1451" s="2" t="inlineStr"/>
      <c r="E1451" s="26" t="inlineStr">
        <is>
          <t>TOTAL Mão de Obra com Encargos Complementares:</t>
        </is>
      </c>
      <c r="F1451" s="56" t="n"/>
      <c r="G1451" s="65">
        <f>SUM(G1449:G1450)</f>
        <v/>
      </c>
    </row>
    <row r="1452" ht="15" customHeight="1">
      <c r="A1452" s="2" t="inlineStr"/>
      <c r="B1452" s="2" t="inlineStr"/>
      <c r="C1452" s="2" t="inlineStr"/>
      <c r="D1452" s="2" t="inlineStr"/>
      <c r="E1452" s="28" t="inlineStr">
        <is>
          <t>VALOR:</t>
        </is>
      </c>
      <c r="F1452" s="56" t="n"/>
      <c r="G1452" s="66">
        <f>SUM(G1451,G1447)</f>
        <v/>
      </c>
    </row>
    <row r="1453" ht="15" customHeight="1">
      <c r="A1453" s="2" t="inlineStr"/>
      <c r="B1453" s="2" t="inlineStr"/>
      <c r="C1453" s="2" t="inlineStr"/>
      <c r="D1453" s="2" t="inlineStr"/>
      <c r="E1453" s="28" t="inlineStr">
        <is>
          <t>VALOR BDI (23.08%):</t>
        </is>
      </c>
      <c r="F1453" s="56" t="n"/>
      <c r="G1453" s="66">
        <f>ROUNDDOWN(G1452*BDI,2)</f>
        <v/>
      </c>
    </row>
    <row r="1454" ht="15" customHeight="1">
      <c r="A1454" s="2" t="inlineStr"/>
      <c r="B1454" s="2" t="inlineStr"/>
      <c r="C1454" s="2" t="inlineStr"/>
      <c r="D1454" s="2" t="inlineStr"/>
      <c r="E1454" s="28" t="inlineStr">
        <is>
          <t>VALOR COM BDI:</t>
        </is>
      </c>
      <c r="F1454" s="56" t="n"/>
      <c r="G1454" s="66">
        <f>G1453 + G1452</f>
        <v/>
      </c>
    </row>
    <row r="1455" ht="10" customHeight="1">
      <c r="A1455" s="2" t="inlineStr"/>
      <c r="B1455" s="2" t="inlineStr"/>
      <c r="C1455" s="2" t="inlineStr"/>
      <c r="D1455" s="2" t="inlineStr"/>
      <c r="E1455" s="18" t="inlineStr"/>
    </row>
    <row r="1456" ht="20" customHeight="1">
      <c r="A1456" s="19" t="inlineStr">
        <is>
          <t>8.1.3.3. ​94489​ REGISTRO DE ESFERA, PVC, SOLDÁVEL, COM VOLANTE, DN 25 MM - FORNECIMENTOE INSTALAÇÃO. AF_08/2021​ (UN)</t>
        </is>
      </c>
      <c r="B1456" s="55" t="n"/>
      <c r="C1456" s="55" t="n"/>
      <c r="D1456" s="55" t="n"/>
      <c r="E1456" s="55" t="n"/>
      <c r="F1456" s="55" t="n"/>
      <c r="G1456" s="56" t="n"/>
    </row>
    <row r="1457" ht="15" customHeight="1">
      <c r="A1457" s="20" t="inlineStr">
        <is>
          <t>Material</t>
        </is>
      </c>
      <c r="B1457" s="56" t="n"/>
      <c r="C1457" s="21" t="inlineStr">
        <is>
          <t>FONTE</t>
        </is>
      </c>
      <c r="D1457" s="21" t="inlineStr">
        <is>
          <t>UNID</t>
        </is>
      </c>
      <c r="E1457" s="21" t="inlineStr">
        <is>
          <t>COEFICIENTE</t>
        </is>
      </c>
      <c r="F1457" s="21" t="inlineStr">
        <is>
          <t>PREÇO UNITÁRIO</t>
        </is>
      </c>
      <c r="G1457" s="21" t="inlineStr">
        <is>
          <t>TOTAL</t>
        </is>
      </c>
    </row>
    <row r="1458" ht="15" customHeight="1">
      <c r="A1458" s="22" t="inlineStr">
        <is>
          <t>00020080</t>
        </is>
      </c>
      <c r="B1458" s="23" t="inlineStr">
        <is>
          <t>ADESIVO PLASTICO PARA PVC, FRASCO COM 175 GR</t>
        </is>
      </c>
      <c r="C1458" s="22" t="inlineStr">
        <is>
          <t>SINAPI</t>
        </is>
      </c>
      <c r="D1458" s="22" t="inlineStr">
        <is>
          <t>UN</t>
        </is>
      </c>
      <c r="E1458" s="63" t="n">
        <v>0.04</v>
      </c>
      <c r="F1458" s="64">
        <f>ROUND(M1458*FATOR, 2)</f>
        <v/>
      </c>
      <c r="G1458" s="64">
        <f>TRUNC(TRUNC(E1458,8)*F1458,2)</f>
        <v/>
      </c>
      <c r="L1458" t="n">
        <v>0.04</v>
      </c>
      <c r="M1458" t="n">
        <v>20.19</v>
      </c>
      <c r="N1458">
        <f>(M1458-F1458)</f>
        <v/>
      </c>
    </row>
    <row r="1459" ht="15" customHeight="1">
      <c r="A1459" s="22" t="inlineStr">
        <is>
          <t>00038383</t>
        </is>
      </c>
      <c r="B1459" s="23" t="inlineStr">
        <is>
          <t>LIXA D'AGUA EM FOLHA, COR PRETA, GRAO 100</t>
        </is>
      </c>
      <c r="C1459" s="22" t="inlineStr">
        <is>
          <t>SINAPI</t>
        </is>
      </c>
      <c r="D1459" s="22" t="inlineStr">
        <is>
          <t>UN</t>
        </is>
      </c>
      <c r="E1459" s="63" t="n">
        <v>0.008</v>
      </c>
      <c r="F1459" s="64">
        <f>ROUND(M1459*FATOR, 2)</f>
        <v/>
      </c>
      <c r="G1459" s="64">
        <f>TRUNC(TRUNC(E1459,8)*F1459,2)</f>
        <v/>
      </c>
      <c r="L1459" t="n">
        <v>0.008</v>
      </c>
      <c r="M1459" t="n">
        <v>1.65</v>
      </c>
      <c r="N1459">
        <f>(M1459-F1459)</f>
        <v/>
      </c>
    </row>
    <row r="1460" ht="21" customHeight="1">
      <c r="A1460" s="22" t="inlineStr">
        <is>
          <t>00011674</t>
        </is>
      </c>
      <c r="B1460" s="23" t="inlineStr">
        <is>
          <t>REGISTRO DE ESFERA, PVC, COM VOLANTE, VS, SOLDAVEL, DN 25 MM, COM CORPO DIVIDIDO</t>
        </is>
      </c>
      <c r="C1460" s="22" t="inlineStr">
        <is>
          <t>SINAPI</t>
        </is>
      </c>
      <c r="D1460" s="22" t="inlineStr">
        <is>
          <t>UN</t>
        </is>
      </c>
      <c r="E1460" s="63" t="n">
        <v>1</v>
      </c>
      <c r="F1460" s="64">
        <f>ROUND(M1460*FATOR, 2)</f>
        <v/>
      </c>
      <c r="G1460" s="64">
        <f>TRUNC(TRUNC(E1460,8)*F1460,2)</f>
        <v/>
      </c>
      <c r="L1460" t="n">
        <v>1</v>
      </c>
      <c r="M1460" t="n">
        <v>15.28</v>
      </c>
      <c r="N1460">
        <f>(M1460-F1460)</f>
        <v/>
      </c>
    </row>
    <row r="1461" ht="21" customHeight="1">
      <c r="A1461" s="22" t="inlineStr">
        <is>
          <t>00020083</t>
        </is>
      </c>
      <c r="B1461" s="23" t="inlineStr">
        <is>
          <t>SOLUCAO PREPARADORA / LIMPADORA PARA PVC, FRASCO COM 1000 CM3</t>
        </is>
      </c>
      <c r="C1461" s="22" t="inlineStr">
        <is>
          <t>SINAPI</t>
        </is>
      </c>
      <c r="D1461" s="22" t="inlineStr">
        <is>
          <t>UN</t>
        </is>
      </c>
      <c r="E1461" s="63" t="n">
        <v>0.0095</v>
      </c>
      <c r="F1461" s="64">
        <f>ROUND(M1461*FATOR, 2)</f>
        <v/>
      </c>
      <c r="G1461" s="64">
        <f>TRUNC(TRUNC(E1461,8)*F1461,2)</f>
        <v/>
      </c>
      <c r="L1461" t="n">
        <v>0.0095</v>
      </c>
      <c r="M1461" t="n">
        <v>70.08</v>
      </c>
      <c r="N1461">
        <f>(M1461-F1461)</f>
        <v/>
      </c>
    </row>
    <row r="1462" ht="15" customHeight="1">
      <c r="A1462" s="2" t="inlineStr"/>
      <c r="B1462" s="2" t="inlineStr"/>
      <c r="C1462" s="2" t="inlineStr"/>
      <c r="D1462" s="2" t="inlineStr"/>
      <c r="E1462" s="26" t="inlineStr">
        <is>
          <t>TOTAL Material:</t>
        </is>
      </c>
      <c r="F1462" s="56" t="n"/>
      <c r="G1462" s="65">
        <f>SUM(G1458:G1461)</f>
        <v/>
      </c>
    </row>
    <row r="1463" ht="15" customHeight="1">
      <c r="A1463" s="20" t="inlineStr">
        <is>
          <t>Mão de Obra com Encargos Complementares</t>
        </is>
      </c>
      <c r="B1463" s="56" t="n"/>
      <c r="C1463" s="21" t="inlineStr">
        <is>
          <t>FONTE</t>
        </is>
      </c>
      <c r="D1463" s="21" t="inlineStr">
        <is>
          <t>UNID</t>
        </is>
      </c>
      <c r="E1463" s="21" t="inlineStr">
        <is>
          <t>COEFICIENTE</t>
        </is>
      </c>
      <c r="F1463" s="21" t="inlineStr">
        <is>
          <t>PREÇO UNITÁRIO</t>
        </is>
      </c>
      <c r="G1463" s="21" t="inlineStr">
        <is>
          <t>TOTAL</t>
        </is>
      </c>
    </row>
    <row r="1464" ht="21" customHeight="1">
      <c r="A1464" s="22" t="inlineStr">
        <is>
          <t>88248</t>
        </is>
      </c>
      <c r="B1464" s="23" t="inlineStr">
        <is>
          <t>AUXILIAR DE ENCANADOR OU BOMBEIRO HIDRÁULICO COM ENCARGOS COMPLEMENTARES</t>
        </is>
      </c>
      <c r="C1464" s="22" t="inlineStr">
        <is>
          <t>SINAPI</t>
        </is>
      </c>
      <c r="D1464" s="22" t="inlineStr">
        <is>
          <t>H</t>
        </is>
      </c>
      <c r="E1464" s="63">
        <f>L1464*FATOR</f>
        <v/>
      </c>
      <c r="F1464" s="64">
        <f>'COMPOSICOES AUXILIARES'!G524</f>
        <v/>
      </c>
      <c r="G1464" s="64">
        <f>TRUNC(TRUNC(E1464,8)*F1464,2)</f>
        <v/>
      </c>
      <c r="L1464" t="n">
        <v>0.0795</v>
      </c>
      <c r="M1464" t="n">
        <v>24.23</v>
      </c>
      <c r="N1464">
        <f>(M1464-F1464)</f>
        <v/>
      </c>
    </row>
    <row r="1465" ht="21" customHeight="1">
      <c r="A1465" s="22" t="inlineStr">
        <is>
          <t>88267</t>
        </is>
      </c>
      <c r="B1465" s="23" t="inlineStr">
        <is>
          <t>ENCANADOR OU BOMBEIRO HIDRÁULICO COM ENCARGOS COMPLEMENTARES</t>
        </is>
      </c>
      <c r="C1465" s="22" t="inlineStr">
        <is>
          <t>SINAPI</t>
        </is>
      </c>
      <c r="D1465" s="22" t="inlineStr">
        <is>
          <t>H</t>
        </is>
      </c>
      <c r="E1465" s="63">
        <f>L1465*FATOR</f>
        <v/>
      </c>
      <c r="F1465" s="64">
        <f>'COMPOSICOES AUXILIARES'!G524</f>
        <v/>
      </c>
      <c r="G1465" s="64">
        <f>TRUNC(TRUNC(E1465,8)*F1465,2)</f>
        <v/>
      </c>
      <c r="L1465" t="n">
        <v>0.0795</v>
      </c>
      <c r="M1465" t="n">
        <v>29.86</v>
      </c>
      <c r="N1465">
        <f>(M1465-F1465)</f>
        <v/>
      </c>
    </row>
    <row r="1466" ht="18" customHeight="1">
      <c r="A1466" s="2" t="inlineStr"/>
      <c r="B1466" s="2" t="inlineStr"/>
      <c r="C1466" s="2" t="inlineStr"/>
      <c r="D1466" s="2" t="inlineStr"/>
      <c r="E1466" s="26" t="inlineStr">
        <is>
          <t>TOTAL Mão de Obra com Encargos Complementares:</t>
        </is>
      </c>
      <c r="F1466" s="56" t="n"/>
      <c r="G1466" s="65">
        <f>SUM(G1464:G1465)</f>
        <v/>
      </c>
    </row>
    <row r="1467" ht="15" customHeight="1">
      <c r="A1467" s="2" t="inlineStr"/>
      <c r="B1467" s="2" t="inlineStr"/>
      <c r="C1467" s="2" t="inlineStr"/>
      <c r="D1467" s="2" t="inlineStr"/>
      <c r="E1467" s="28" t="inlineStr">
        <is>
          <t>VALOR:</t>
        </is>
      </c>
      <c r="F1467" s="56" t="n"/>
      <c r="G1467" s="66">
        <f>SUM(G1466,G1462)</f>
        <v/>
      </c>
    </row>
    <row r="1468" ht="15" customHeight="1">
      <c r="A1468" s="2" t="inlineStr"/>
      <c r="B1468" s="2" t="inlineStr"/>
      <c r="C1468" s="2" t="inlineStr"/>
      <c r="D1468" s="2" t="inlineStr"/>
      <c r="E1468" s="28" t="inlineStr">
        <is>
          <t>VALOR BDI (23.08%):</t>
        </is>
      </c>
      <c r="F1468" s="56" t="n"/>
      <c r="G1468" s="66">
        <f>ROUNDDOWN(G1467*BDI,2)</f>
        <v/>
      </c>
    </row>
    <row r="1469" ht="15" customHeight="1">
      <c r="A1469" s="2" t="inlineStr"/>
      <c r="B1469" s="2" t="inlineStr"/>
      <c r="C1469" s="2" t="inlineStr"/>
      <c r="D1469" s="2" t="inlineStr"/>
      <c r="E1469" s="28" t="inlineStr">
        <is>
          <t>VALOR COM BDI:</t>
        </is>
      </c>
      <c r="F1469" s="56" t="n"/>
      <c r="G1469" s="66">
        <f>G1468 + G1467</f>
        <v/>
      </c>
    </row>
    <row r="1470" ht="10" customHeight="1">
      <c r="A1470" s="2" t="inlineStr"/>
      <c r="B1470" s="2" t="inlineStr"/>
      <c r="C1470" s="2" t="inlineStr"/>
      <c r="D1470" s="2" t="inlineStr"/>
      <c r="E1470" s="18" t="inlineStr"/>
    </row>
    <row r="1471" ht="20" customHeight="1">
      <c r="A1471" s="19" t="inlineStr">
        <is>
          <t>8.1.3.4. ​94491​ REGISTRO DE ESFERA, PVC, SOLDÁVEL, COM VOLANTE, DN 40 MM - FORNECIMENTOE INSTALAÇÃO. AF_08/2021​ (UN)</t>
        </is>
      </c>
      <c r="B1471" s="55" t="n"/>
      <c r="C1471" s="55" t="n"/>
      <c r="D1471" s="55" t="n"/>
      <c r="E1471" s="55" t="n"/>
      <c r="F1471" s="55" t="n"/>
      <c r="G1471" s="56" t="n"/>
    </row>
    <row r="1472" ht="15" customHeight="1">
      <c r="A1472" s="20" t="inlineStr">
        <is>
          <t>Material</t>
        </is>
      </c>
      <c r="B1472" s="56" t="n"/>
      <c r="C1472" s="21" t="inlineStr">
        <is>
          <t>FONTE</t>
        </is>
      </c>
      <c r="D1472" s="21" t="inlineStr">
        <is>
          <t>UNID</t>
        </is>
      </c>
      <c r="E1472" s="21" t="inlineStr">
        <is>
          <t>COEFICIENTE</t>
        </is>
      </c>
      <c r="F1472" s="21" t="inlineStr">
        <is>
          <t>PREÇO UNITÁRIO</t>
        </is>
      </c>
      <c r="G1472" s="21" t="inlineStr">
        <is>
          <t>TOTAL</t>
        </is>
      </c>
    </row>
    <row r="1473" ht="15" customHeight="1">
      <c r="A1473" s="22" t="inlineStr">
        <is>
          <t>00020080</t>
        </is>
      </c>
      <c r="B1473" s="23" t="inlineStr">
        <is>
          <t>ADESIVO PLASTICO PARA PVC, FRASCO COM 175 GR</t>
        </is>
      </c>
      <c r="C1473" s="22" t="inlineStr">
        <is>
          <t>SINAPI</t>
        </is>
      </c>
      <c r="D1473" s="22" t="inlineStr">
        <is>
          <t>UN</t>
        </is>
      </c>
      <c r="E1473" s="63" t="n">
        <v>0.07140000000000001</v>
      </c>
      <c r="F1473" s="64">
        <f>ROUND(M1473*FATOR, 2)</f>
        <v/>
      </c>
      <c r="G1473" s="64">
        <f>TRUNC(TRUNC(E1473,8)*F1473,2)</f>
        <v/>
      </c>
      <c r="L1473" t="n">
        <v>0.07140000000000001</v>
      </c>
      <c r="M1473" t="n">
        <v>20.19</v>
      </c>
      <c r="N1473">
        <f>(M1473-F1473)</f>
        <v/>
      </c>
    </row>
    <row r="1474" ht="15" customHeight="1">
      <c r="A1474" s="22" t="inlineStr">
        <is>
          <t>00038383</t>
        </is>
      </c>
      <c r="B1474" s="23" t="inlineStr">
        <is>
          <t>LIXA D'AGUA EM FOLHA, COR PRETA, GRAO 100</t>
        </is>
      </c>
      <c r="C1474" s="22" t="inlineStr">
        <is>
          <t>SINAPI</t>
        </is>
      </c>
      <c r="D1474" s="22" t="inlineStr">
        <is>
          <t>UN</t>
        </is>
      </c>
      <c r="E1474" s="63" t="n">
        <v>0.0114</v>
      </c>
      <c r="F1474" s="64">
        <f>ROUND(M1474*FATOR, 2)</f>
        <v/>
      </c>
      <c r="G1474" s="64">
        <f>TRUNC(TRUNC(E1474,8)*F1474,2)</f>
        <v/>
      </c>
      <c r="L1474" t="n">
        <v>0.0114</v>
      </c>
      <c r="M1474" t="n">
        <v>1.65</v>
      </c>
      <c r="N1474">
        <f>(M1474-F1474)</f>
        <v/>
      </c>
    </row>
    <row r="1475" ht="21" customHeight="1">
      <c r="A1475" s="22" t="inlineStr">
        <is>
          <t>00011676</t>
        </is>
      </c>
      <c r="B1475" s="23" t="inlineStr">
        <is>
          <t>REGISTRO DE ESFERA, PVC, COM VOLANTE, VS, SOLDAVEL, DN 40 MM, COM CORPO DIVIDIDO</t>
        </is>
      </c>
      <c r="C1475" s="22" t="inlineStr">
        <is>
          <t>SINAPI</t>
        </is>
      </c>
      <c r="D1475" s="22" t="inlineStr">
        <is>
          <t>UN</t>
        </is>
      </c>
      <c r="E1475" s="63" t="n">
        <v>1</v>
      </c>
      <c r="F1475" s="64">
        <f>ROUND(M1475*FATOR, 2)</f>
        <v/>
      </c>
      <c r="G1475" s="64">
        <f>TRUNC(TRUNC(E1475,8)*F1475,2)</f>
        <v/>
      </c>
      <c r="L1475" t="n">
        <v>1</v>
      </c>
      <c r="M1475" t="n">
        <v>32.45</v>
      </c>
      <c r="N1475">
        <f>(M1475-F1475)</f>
        <v/>
      </c>
    </row>
    <row r="1476" ht="21" customHeight="1">
      <c r="A1476" s="22" t="inlineStr">
        <is>
          <t>00020083</t>
        </is>
      </c>
      <c r="B1476" s="23" t="inlineStr">
        <is>
          <t>SOLUCAO PREPARADORA / LIMPADORA PARA PVC, FRASCO COM 1000 CM3</t>
        </is>
      </c>
      <c r="C1476" s="22" t="inlineStr">
        <is>
          <t>SINAPI</t>
        </is>
      </c>
      <c r="D1476" s="22" t="inlineStr">
        <is>
          <t>UN</t>
        </is>
      </c>
      <c r="E1476" s="63" t="n">
        <v>0.018</v>
      </c>
      <c r="F1476" s="64">
        <f>ROUND(M1476*FATOR, 2)</f>
        <v/>
      </c>
      <c r="G1476" s="64">
        <f>TRUNC(TRUNC(E1476,8)*F1476,2)</f>
        <v/>
      </c>
      <c r="L1476" t="n">
        <v>0.018</v>
      </c>
      <c r="M1476" t="n">
        <v>70.08</v>
      </c>
      <c r="N1476">
        <f>(M1476-F1476)</f>
        <v/>
      </c>
    </row>
    <row r="1477" ht="15" customHeight="1">
      <c r="A1477" s="2" t="inlineStr"/>
      <c r="B1477" s="2" t="inlineStr"/>
      <c r="C1477" s="2" t="inlineStr"/>
      <c r="D1477" s="2" t="inlineStr"/>
      <c r="E1477" s="26" t="inlineStr">
        <is>
          <t>TOTAL Material:</t>
        </is>
      </c>
      <c r="F1477" s="56" t="n"/>
      <c r="G1477" s="65">
        <f>SUM(G1473:G1476)</f>
        <v/>
      </c>
    </row>
    <row r="1478" ht="15" customHeight="1">
      <c r="A1478" s="20" t="inlineStr">
        <is>
          <t>Mão de Obra com Encargos Complementares</t>
        </is>
      </c>
      <c r="B1478" s="56" t="n"/>
      <c r="C1478" s="21" t="inlineStr">
        <is>
          <t>FONTE</t>
        </is>
      </c>
      <c r="D1478" s="21" t="inlineStr">
        <is>
          <t>UNID</t>
        </is>
      </c>
      <c r="E1478" s="21" t="inlineStr">
        <is>
          <t>COEFICIENTE</t>
        </is>
      </c>
      <c r="F1478" s="21" t="inlineStr">
        <is>
          <t>PREÇO UNITÁRIO</t>
        </is>
      </c>
      <c r="G1478" s="21" t="inlineStr">
        <is>
          <t>TOTAL</t>
        </is>
      </c>
    </row>
    <row r="1479" ht="21" customHeight="1">
      <c r="A1479" s="22" t="inlineStr">
        <is>
          <t>88248</t>
        </is>
      </c>
      <c r="B1479" s="23" t="inlineStr">
        <is>
          <t>AUXILIAR DE ENCANADOR OU BOMBEIRO HIDRÁULICO COM ENCARGOS COMPLEMENTARES</t>
        </is>
      </c>
      <c r="C1479" s="22" t="inlineStr">
        <is>
          <t>SINAPI</t>
        </is>
      </c>
      <c r="D1479" s="22" t="inlineStr">
        <is>
          <t>H</t>
        </is>
      </c>
      <c r="E1479" s="63">
        <f>L1479*FATOR</f>
        <v/>
      </c>
      <c r="F1479" s="64">
        <f>'COMPOSICOES AUXILIARES'!G524</f>
        <v/>
      </c>
      <c r="G1479" s="64">
        <f>TRUNC(TRUNC(E1479,8)*F1479,2)</f>
        <v/>
      </c>
      <c r="L1479" t="n">
        <v>0.1133</v>
      </c>
      <c r="M1479" t="n">
        <v>24.23</v>
      </c>
      <c r="N1479">
        <f>(M1479-F1479)</f>
        <v/>
      </c>
    </row>
    <row r="1480" ht="21" customHeight="1">
      <c r="A1480" s="22" t="inlineStr">
        <is>
          <t>88267</t>
        </is>
      </c>
      <c r="B1480" s="23" t="inlineStr">
        <is>
          <t>ENCANADOR OU BOMBEIRO HIDRÁULICO COM ENCARGOS COMPLEMENTARES</t>
        </is>
      </c>
      <c r="C1480" s="22" t="inlineStr">
        <is>
          <t>SINAPI</t>
        </is>
      </c>
      <c r="D1480" s="22" t="inlineStr">
        <is>
          <t>H</t>
        </is>
      </c>
      <c r="E1480" s="63">
        <f>L1480*FATOR</f>
        <v/>
      </c>
      <c r="F1480" s="64">
        <f>'COMPOSICOES AUXILIARES'!G524</f>
        <v/>
      </c>
      <c r="G1480" s="64">
        <f>TRUNC(TRUNC(E1480,8)*F1480,2)</f>
        <v/>
      </c>
      <c r="L1480" t="n">
        <v>0.1133</v>
      </c>
      <c r="M1480" t="n">
        <v>29.86</v>
      </c>
      <c r="N1480">
        <f>(M1480-F1480)</f>
        <v/>
      </c>
    </row>
    <row r="1481" ht="18" customHeight="1">
      <c r="A1481" s="2" t="inlineStr"/>
      <c r="B1481" s="2" t="inlineStr"/>
      <c r="C1481" s="2" t="inlineStr"/>
      <c r="D1481" s="2" t="inlineStr"/>
      <c r="E1481" s="26" t="inlineStr">
        <is>
          <t>TOTAL Mão de Obra com Encargos Complementares:</t>
        </is>
      </c>
      <c r="F1481" s="56" t="n"/>
      <c r="G1481" s="65">
        <f>SUM(G1479:G1480)</f>
        <v/>
      </c>
    </row>
    <row r="1482" ht="15" customHeight="1">
      <c r="A1482" s="2" t="inlineStr"/>
      <c r="B1482" s="2" t="inlineStr"/>
      <c r="C1482" s="2" t="inlineStr"/>
      <c r="D1482" s="2" t="inlineStr"/>
      <c r="E1482" s="28" t="inlineStr">
        <is>
          <t>VALOR:</t>
        </is>
      </c>
      <c r="F1482" s="56" t="n"/>
      <c r="G1482" s="66">
        <f>SUM(G1481,G1477)</f>
        <v/>
      </c>
    </row>
    <row r="1483" ht="15" customHeight="1">
      <c r="A1483" s="2" t="inlineStr"/>
      <c r="B1483" s="2" t="inlineStr"/>
      <c r="C1483" s="2" t="inlineStr"/>
      <c r="D1483" s="2" t="inlineStr"/>
      <c r="E1483" s="28" t="inlineStr">
        <is>
          <t>VALOR BDI (23.08%):</t>
        </is>
      </c>
      <c r="F1483" s="56" t="n"/>
      <c r="G1483" s="66">
        <f>ROUNDDOWN(G1482*BDI,2)</f>
        <v/>
      </c>
    </row>
    <row r="1484" ht="15" customHeight="1">
      <c r="A1484" s="2" t="inlineStr"/>
      <c r="B1484" s="2" t="inlineStr"/>
      <c r="C1484" s="2" t="inlineStr"/>
      <c r="D1484" s="2" t="inlineStr"/>
      <c r="E1484" s="28" t="inlineStr">
        <is>
          <t>VALOR COM BDI:</t>
        </is>
      </c>
      <c r="F1484" s="56" t="n"/>
      <c r="G1484" s="66">
        <f>G1483 + G1482</f>
        <v/>
      </c>
    </row>
    <row r="1485" ht="10" customHeight="1">
      <c r="A1485" s="2" t="inlineStr"/>
      <c r="B1485" s="2" t="inlineStr"/>
      <c r="C1485" s="2" t="inlineStr"/>
      <c r="D1485" s="2" t="inlineStr"/>
      <c r="E1485" s="18" t="inlineStr"/>
    </row>
    <row r="1486" ht="20" customHeight="1">
      <c r="A1486" s="19" t="inlineStr">
        <is>
          <t>8.1.3.5. ​94492​ REGISTRO DE ESFERA, PVC, SOLDÁVEL, COM VOLANTE, DN 50 MM - FORNECIMENTOE INSTALAÇÃO. AF_08/2021​ (UN)</t>
        </is>
      </c>
      <c r="B1486" s="55" t="n"/>
      <c r="C1486" s="55" t="n"/>
      <c r="D1486" s="55" t="n"/>
      <c r="E1486" s="55" t="n"/>
      <c r="F1486" s="55" t="n"/>
      <c r="G1486" s="56" t="n"/>
    </row>
    <row r="1487" ht="15" customHeight="1">
      <c r="A1487" s="20" t="inlineStr">
        <is>
          <t>Material</t>
        </is>
      </c>
      <c r="B1487" s="56" t="n"/>
      <c r="C1487" s="21" t="inlineStr">
        <is>
          <t>FONTE</t>
        </is>
      </c>
      <c r="D1487" s="21" t="inlineStr">
        <is>
          <t>UNID</t>
        </is>
      </c>
      <c r="E1487" s="21" t="inlineStr">
        <is>
          <t>COEFICIENTE</t>
        </is>
      </c>
      <c r="F1487" s="21" t="inlineStr">
        <is>
          <t>PREÇO UNITÁRIO</t>
        </is>
      </c>
      <c r="G1487" s="21" t="inlineStr">
        <is>
          <t>TOTAL</t>
        </is>
      </c>
    </row>
    <row r="1488" ht="15" customHeight="1">
      <c r="A1488" s="22" t="inlineStr">
        <is>
          <t>00020080</t>
        </is>
      </c>
      <c r="B1488" s="23" t="inlineStr">
        <is>
          <t>ADESIVO PLASTICO PARA PVC, FRASCO COM 175 GR</t>
        </is>
      </c>
      <c r="C1488" s="22" t="inlineStr">
        <is>
          <t>SINAPI</t>
        </is>
      </c>
      <c r="D1488" s="22" t="inlineStr">
        <is>
          <t>UN</t>
        </is>
      </c>
      <c r="E1488" s="63" t="n">
        <v>0.07140000000000001</v>
      </c>
      <c r="F1488" s="64">
        <f>ROUND(M1488*FATOR, 2)</f>
        <v/>
      </c>
      <c r="G1488" s="64">
        <f>TRUNC(TRUNC(E1488,8)*F1488,2)</f>
        <v/>
      </c>
      <c r="L1488" t="n">
        <v>0.07140000000000001</v>
      </c>
      <c r="M1488" t="n">
        <v>20.19</v>
      </c>
      <c r="N1488">
        <f>(M1488-F1488)</f>
        <v/>
      </c>
    </row>
    <row r="1489" ht="15" customHeight="1">
      <c r="A1489" s="22" t="inlineStr">
        <is>
          <t>00038383</t>
        </is>
      </c>
      <c r="B1489" s="23" t="inlineStr">
        <is>
          <t>LIXA D'AGUA EM FOLHA, COR PRETA, GRAO 100</t>
        </is>
      </c>
      <c r="C1489" s="22" t="inlineStr">
        <is>
          <t>SINAPI</t>
        </is>
      </c>
      <c r="D1489" s="22" t="inlineStr">
        <is>
          <t>UN</t>
        </is>
      </c>
      <c r="E1489" s="63" t="n">
        <v>0.0114</v>
      </c>
      <c r="F1489" s="64">
        <f>ROUND(M1489*FATOR, 2)</f>
        <v/>
      </c>
      <c r="G1489" s="64">
        <f>TRUNC(TRUNC(E1489,8)*F1489,2)</f>
        <v/>
      </c>
      <c r="L1489" t="n">
        <v>0.0114</v>
      </c>
      <c r="M1489" t="n">
        <v>1.65</v>
      </c>
      <c r="N1489">
        <f>(M1489-F1489)</f>
        <v/>
      </c>
    </row>
    <row r="1490" ht="21" customHeight="1">
      <c r="A1490" s="22" t="inlineStr">
        <is>
          <t>00011677</t>
        </is>
      </c>
      <c r="B1490" s="23" t="inlineStr">
        <is>
          <t>REGISTRO DE ESFERA, PVC, COM VOLANTE, VS, SOLDAVEL, DN 50 MM, COM CORPO DIVIDIDO</t>
        </is>
      </c>
      <c r="C1490" s="22" t="inlineStr">
        <is>
          <t>SINAPI</t>
        </is>
      </c>
      <c r="D1490" s="22" t="inlineStr">
        <is>
          <t>UN</t>
        </is>
      </c>
      <c r="E1490" s="63" t="n">
        <v>1</v>
      </c>
      <c r="F1490" s="64">
        <f>ROUND(M1490*FATOR, 2)</f>
        <v/>
      </c>
      <c r="G1490" s="64">
        <f>TRUNC(TRUNC(E1490,8)*F1490,2)</f>
        <v/>
      </c>
      <c r="L1490" t="n">
        <v>1</v>
      </c>
      <c r="M1490" t="n">
        <v>33.51</v>
      </c>
      <c r="N1490">
        <f>(M1490-F1490)</f>
        <v/>
      </c>
    </row>
    <row r="1491" ht="21" customHeight="1">
      <c r="A1491" s="22" t="inlineStr">
        <is>
          <t>00020083</t>
        </is>
      </c>
      <c r="B1491" s="23" t="inlineStr">
        <is>
          <t>SOLUCAO PREPARADORA / LIMPADORA PARA PVC, FRASCO COM 1000 CM3</t>
        </is>
      </c>
      <c r="C1491" s="22" t="inlineStr">
        <is>
          <t>SINAPI</t>
        </is>
      </c>
      <c r="D1491" s="22" t="inlineStr">
        <is>
          <t>UN</t>
        </is>
      </c>
      <c r="E1491" s="63" t="n">
        <v>0.018</v>
      </c>
      <c r="F1491" s="64">
        <f>ROUND(M1491*FATOR, 2)</f>
        <v/>
      </c>
      <c r="G1491" s="64">
        <f>TRUNC(TRUNC(E1491,8)*F1491,2)</f>
        <v/>
      </c>
      <c r="L1491" t="n">
        <v>0.018</v>
      </c>
      <c r="M1491" t="n">
        <v>70.08</v>
      </c>
      <c r="N1491">
        <f>(M1491-F1491)</f>
        <v/>
      </c>
    </row>
    <row r="1492" ht="15" customHeight="1">
      <c r="A1492" s="2" t="inlineStr"/>
      <c r="B1492" s="2" t="inlineStr"/>
      <c r="C1492" s="2" t="inlineStr"/>
      <c r="D1492" s="2" t="inlineStr"/>
      <c r="E1492" s="26" t="inlineStr">
        <is>
          <t>TOTAL Material:</t>
        </is>
      </c>
      <c r="F1492" s="56" t="n"/>
      <c r="G1492" s="65">
        <f>SUM(G1488:G1491)</f>
        <v/>
      </c>
    </row>
    <row r="1493" ht="15" customHeight="1">
      <c r="A1493" s="20" t="inlineStr">
        <is>
          <t>Mão de Obra com Encargos Complementares</t>
        </is>
      </c>
      <c r="B1493" s="56" t="n"/>
      <c r="C1493" s="21" t="inlineStr">
        <is>
          <t>FONTE</t>
        </is>
      </c>
      <c r="D1493" s="21" t="inlineStr">
        <is>
          <t>UNID</t>
        </is>
      </c>
      <c r="E1493" s="21" t="inlineStr">
        <is>
          <t>COEFICIENTE</t>
        </is>
      </c>
      <c r="F1493" s="21" t="inlineStr">
        <is>
          <t>PREÇO UNITÁRIO</t>
        </is>
      </c>
      <c r="G1493" s="21" t="inlineStr">
        <is>
          <t>TOTAL</t>
        </is>
      </c>
    </row>
    <row r="1494" ht="21" customHeight="1">
      <c r="A1494" s="22" t="inlineStr">
        <is>
          <t>88248</t>
        </is>
      </c>
      <c r="B1494" s="23" t="inlineStr">
        <is>
          <t>AUXILIAR DE ENCANADOR OU BOMBEIRO HIDRÁULICO COM ENCARGOS COMPLEMENTARES</t>
        </is>
      </c>
      <c r="C1494" s="22" t="inlineStr">
        <is>
          <t>SINAPI</t>
        </is>
      </c>
      <c r="D1494" s="22" t="inlineStr">
        <is>
          <t>H</t>
        </is>
      </c>
      <c r="E1494" s="63">
        <f>L1494*FATOR</f>
        <v/>
      </c>
      <c r="F1494" s="64">
        <f>'COMPOSICOES AUXILIARES'!G524</f>
        <v/>
      </c>
      <c r="G1494" s="64">
        <f>TRUNC(TRUNC(E1494,8)*F1494,2)</f>
        <v/>
      </c>
      <c r="L1494" t="n">
        <v>0.1133</v>
      </c>
      <c r="M1494" t="n">
        <v>24.23</v>
      </c>
      <c r="N1494">
        <f>(M1494-F1494)</f>
        <v/>
      </c>
    </row>
    <row r="1495" ht="21" customHeight="1">
      <c r="A1495" s="22" t="inlineStr">
        <is>
          <t>88267</t>
        </is>
      </c>
      <c r="B1495" s="23" t="inlineStr">
        <is>
          <t>ENCANADOR OU BOMBEIRO HIDRÁULICO COM ENCARGOS COMPLEMENTARES</t>
        </is>
      </c>
      <c r="C1495" s="22" t="inlineStr">
        <is>
          <t>SINAPI</t>
        </is>
      </c>
      <c r="D1495" s="22" t="inlineStr">
        <is>
          <t>H</t>
        </is>
      </c>
      <c r="E1495" s="63">
        <f>L1495*FATOR</f>
        <v/>
      </c>
      <c r="F1495" s="64">
        <f>'COMPOSICOES AUXILIARES'!G524</f>
        <v/>
      </c>
      <c r="G1495" s="64">
        <f>TRUNC(TRUNC(E1495,8)*F1495,2)</f>
        <v/>
      </c>
      <c r="L1495" t="n">
        <v>0.1133</v>
      </c>
      <c r="M1495" t="n">
        <v>29.86</v>
      </c>
      <c r="N1495">
        <f>(M1495-F1495)</f>
        <v/>
      </c>
    </row>
    <row r="1496" ht="18" customHeight="1">
      <c r="A1496" s="2" t="inlineStr"/>
      <c r="B1496" s="2" t="inlineStr"/>
      <c r="C1496" s="2" t="inlineStr"/>
      <c r="D1496" s="2" t="inlineStr"/>
      <c r="E1496" s="26" t="inlineStr">
        <is>
          <t>TOTAL Mão de Obra com Encargos Complementares:</t>
        </is>
      </c>
      <c r="F1496" s="56" t="n"/>
      <c r="G1496" s="65">
        <f>SUM(G1494:G1495)</f>
        <v/>
      </c>
    </row>
    <row r="1497" ht="15" customHeight="1">
      <c r="A1497" s="2" t="inlineStr"/>
      <c r="B1497" s="2" t="inlineStr"/>
      <c r="C1497" s="2" t="inlineStr"/>
      <c r="D1497" s="2" t="inlineStr"/>
      <c r="E1497" s="28" t="inlineStr">
        <is>
          <t>VALOR:</t>
        </is>
      </c>
      <c r="F1497" s="56" t="n"/>
      <c r="G1497" s="66">
        <f>SUM(G1496,G1492)</f>
        <v/>
      </c>
    </row>
    <row r="1498" ht="15" customHeight="1">
      <c r="A1498" s="2" t="inlineStr"/>
      <c r="B1498" s="2" t="inlineStr"/>
      <c r="C1498" s="2" t="inlineStr"/>
      <c r="D1498" s="2" t="inlineStr"/>
      <c r="E1498" s="28" t="inlineStr">
        <is>
          <t>VALOR BDI (23.08%):</t>
        </is>
      </c>
      <c r="F1498" s="56" t="n"/>
      <c r="G1498" s="66">
        <f>ROUNDDOWN(G1497*BDI,2)</f>
        <v/>
      </c>
    </row>
    <row r="1499" ht="15" customHeight="1">
      <c r="A1499" s="2" t="inlineStr"/>
      <c r="B1499" s="2" t="inlineStr"/>
      <c r="C1499" s="2" t="inlineStr"/>
      <c r="D1499" s="2" t="inlineStr"/>
      <c r="E1499" s="28" t="inlineStr">
        <is>
          <t>VALOR COM BDI:</t>
        </is>
      </c>
      <c r="F1499" s="56" t="n"/>
      <c r="G1499" s="66">
        <f>G1498 + G1497</f>
        <v/>
      </c>
    </row>
    <row r="1500" ht="10" customHeight="1">
      <c r="A1500" s="2" t="inlineStr"/>
      <c r="B1500" s="2" t="inlineStr"/>
      <c r="C1500" s="2" t="inlineStr"/>
      <c r="D1500" s="2" t="inlineStr"/>
      <c r="E1500" s="18" t="inlineStr"/>
    </row>
    <row r="1501" ht="20" customHeight="1">
      <c r="A1501" s="19" t="inlineStr">
        <is>
          <t>8.1.4.1. ​89402​ TUBO, PVC, SOLDÁVEL, DE 25MM, INSTALADO EM RAMAL DE DISTRIBUIÇÃO DE ÁGUA - FORNECIMENTO E INSTALAÇÃO.AF_06/2022​ (M)</t>
        </is>
      </c>
      <c r="B1501" s="55" t="n"/>
      <c r="C1501" s="55" t="n"/>
      <c r="D1501" s="55" t="n"/>
      <c r="E1501" s="55" t="n"/>
      <c r="F1501" s="55" t="n"/>
      <c r="G1501" s="56" t="n"/>
    </row>
    <row r="1502" ht="15" customHeight="1">
      <c r="A1502" s="20" t="inlineStr">
        <is>
          <t>Material</t>
        </is>
      </c>
      <c r="B1502" s="56" t="n"/>
      <c r="C1502" s="21" t="inlineStr">
        <is>
          <t>FONTE</t>
        </is>
      </c>
      <c r="D1502" s="21" t="inlineStr">
        <is>
          <t>UNID</t>
        </is>
      </c>
      <c r="E1502" s="21" t="inlineStr">
        <is>
          <t>COEFICIENTE</t>
        </is>
      </c>
      <c r="F1502" s="21" t="inlineStr">
        <is>
          <t>PREÇO UNITÁRIO</t>
        </is>
      </c>
      <c r="G1502" s="21" t="inlineStr">
        <is>
          <t>TOTAL</t>
        </is>
      </c>
    </row>
    <row r="1503" ht="15" customHeight="1">
      <c r="A1503" s="22" t="inlineStr">
        <is>
          <t>00038383</t>
        </is>
      </c>
      <c r="B1503" s="23" t="inlineStr">
        <is>
          <t>LIXA D'AGUA EM FOLHA, COR PRETA, GRAO 100</t>
        </is>
      </c>
      <c r="C1503" s="22" t="inlineStr">
        <is>
          <t>SINAPI</t>
        </is>
      </c>
      <c r="D1503" s="22" t="inlineStr">
        <is>
          <t>UN</t>
        </is>
      </c>
      <c r="E1503" s="63" t="n">
        <v>0.037</v>
      </c>
      <c r="F1503" s="64">
        <f>ROUND(M1503*FATOR, 2)</f>
        <v/>
      </c>
      <c r="G1503" s="64">
        <f>TRUNC(TRUNC(E1503,8)*F1503,2)</f>
        <v/>
      </c>
      <c r="L1503" t="n">
        <v>0.037</v>
      </c>
      <c r="M1503" t="n">
        <v>1.65</v>
      </c>
      <c r="N1503">
        <f>(M1503-F1503)</f>
        <v/>
      </c>
    </row>
    <row r="1504" ht="15" customHeight="1">
      <c r="A1504" s="22" t="inlineStr">
        <is>
          <t>00009868</t>
        </is>
      </c>
      <c r="B1504" s="23" t="inlineStr">
        <is>
          <t>TUBO PVC, SOLDAVEL, DE 25 MM, AGUA FRIA (NBR-5648)</t>
        </is>
      </c>
      <c r="C1504" s="22" t="inlineStr">
        <is>
          <t>SINAPI</t>
        </is>
      </c>
      <c r="D1504" s="22" t="inlineStr">
        <is>
          <t>M</t>
        </is>
      </c>
      <c r="E1504" s="63" t="n">
        <v>1.0493</v>
      </c>
      <c r="F1504" s="64">
        <f>ROUND(M1504*FATOR, 2)</f>
        <v/>
      </c>
      <c r="G1504" s="64">
        <f>TRUNC(TRUNC(E1504,8)*F1504,2)</f>
        <v/>
      </c>
      <c r="L1504" t="n">
        <v>1.0493</v>
      </c>
      <c r="M1504" t="n">
        <v>4.32</v>
      </c>
      <c r="N1504">
        <f>(M1504-F1504)</f>
        <v/>
      </c>
    </row>
    <row r="1505" ht="15" customHeight="1">
      <c r="A1505" s="2" t="inlineStr"/>
      <c r="B1505" s="2" t="inlineStr"/>
      <c r="C1505" s="2" t="inlineStr"/>
      <c r="D1505" s="2" t="inlineStr"/>
      <c r="E1505" s="26" t="inlineStr">
        <is>
          <t>TOTAL Material:</t>
        </is>
      </c>
      <c r="F1505" s="56" t="n"/>
      <c r="G1505" s="65">
        <f>SUM(G1503:G1504)</f>
        <v/>
      </c>
    </row>
    <row r="1506" ht="15" customHeight="1">
      <c r="A1506" s="20" t="inlineStr">
        <is>
          <t>Mão de Obra com Encargos Complementares</t>
        </is>
      </c>
      <c r="B1506" s="56" t="n"/>
      <c r="C1506" s="21" t="inlineStr">
        <is>
          <t>FONTE</t>
        </is>
      </c>
      <c r="D1506" s="21" t="inlineStr">
        <is>
          <t>UNID</t>
        </is>
      </c>
      <c r="E1506" s="21" t="inlineStr">
        <is>
          <t>COEFICIENTE</t>
        </is>
      </c>
      <c r="F1506" s="21" t="inlineStr">
        <is>
          <t>PREÇO UNITÁRIO</t>
        </is>
      </c>
      <c r="G1506" s="21" t="inlineStr">
        <is>
          <t>TOTAL</t>
        </is>
      </c>
    </row>
    <row r="1507" ht="21" customHeight="1">
      <c r="A1507" s="22" t="inlineStr">
        <is>
          <t>88248</t>
        </is>
      </c>
      <c r="B1507" s="23" t="inlineStr">
        <is>
          <t>AUXILIAR DE ENCANADOR OU BOMBEIRO HIDRÁULICO COM ENCARGOS COMPLEMENTARES</t>
        </is>
      </c>
      <c r="C1507" s="22" t="inlineStr">
        <is>
          <t>SINAPI</t>
        </is>
      </c>
      <c r="D1507" s="22" t="inlineStr">
        <is>
          <t>H</t>
        </is>
      </c>
      <c r="E1507" s="63">
        <f>L1507*FATOR</f>
        <v/>
      </c>
      <c r="F1507" s="64">
        <f>'COMPOSICOES AUXILIARES'!G524</f>
        <v/>
      </c>
      <c r="G1507" s="64">
        <f>TRUNC(TRUNC(E1507,8)*F1507,2)</f>
        <v/>
      </c>
      <c r="L1507" t="n">
        <v>0.1586</v>
      </c>
      <c r="M1507" t="n">
        <v>24.23</v>
      </c>
      <c r="N1507">
        <f>(M1507-F1507)</f>
        <v/>
      </c>
    </row>
    <row r="1508" ht="21" customHeight="1">
      <c r="A1508" s="22" t="inlineStr">
        <is>
          <t>88267</t>
        </is>
      </c>
      <c r="B1508" s="23" t="inlineStr">
        <is>
          <t>ENCANADOR OU BOMBEIRO HIDRÁULICO COM ENCARGOS COMPLEMENTARES</t>
        </is>
      </c>
      <c r="C1508" s="22" t="inlineStr">
        <is>
          <t>SINAPI</t>
        </is>
      </c>
      <c r="D1508" s="22" t="inlineStr">
        <is>
          <t>H</t>
        </is>
      </c>
      <c r="E1508" s="63">
        <f>L1508*FATOR</f>
        <v/>
      </c>
      <c r="F1508" s="64">
        <f>'COMPOSICOES AUXILIARES'!G524</f>
        <v/>
      </c>
      <c r="G1508" s="64">
        <f>TRUNC(TRUNC(E1508,8)*F1508,2)</f>
        <v/>
      </c>
      <c r="L1508" t="n">
        <v>0.1586</v>
      </c>
      <c r="M1508" t="n">
        <v>29.86</v>
      </c>
      <c r="N1508">
        <f>(M1508-F1508)</f>
        <v/>
      </c>
    </row>
    <row r="1509" ht="18" customHeight="1">
      <c r="A1509" s="2" t="inlineStr"/>
      <c r="B1509" s="2" t="inlineStr"/>
      <c r="C1509" s="2" t="inlineStr"/>
      <c r="D1509" s="2" t="inlineStr"/>
      <c r="E1509" s="26" t="inlineStr">
        <is>
          <t>TOTAL Mão de Obra com Encargos Complementares:</t>
        </is>
      </c>
      <c r="F1509" s="56" t="n"/>
      <c r="G1509" s="65">
        <f>SUM(G1507:G1508)</f>
        <v/>
      </c>
    </row>
    <row r="1510" ht="15" customHeight="1">
      <c r="A1510" s="2" t="inlineStr"/>
      <c r="B1510" s="2" t="inlineStr"/>
      <c r="C1510" s="2" t="inlineStr"/>
      <c r="D1510" s="2" t="inlineStr"/>
      <c r="E1510" s="28" t="inlineStr">
        <is>
          <t>VALOR:</t>
        </is>
      </c>
      <c r="F1510" s="56" t="n"/>
      <c r="G1510" s="66">
        <f>SUM(G1505,G1509)</f>
        <v/>
      </c>
    </row>
    <row r="1511" ht="15" customHeight="1">
      <c r="A1511" s="2" t="inlineStr"/>
      <c r="B1511" s="2" t="inlineStr"/>
      <c r="C1511" s="2" t="inlineStr"/>
      <c r="D1511" s="2" t="inlineStr"/>
      <c r="E1511" s="28" t="inlineStr">
        <is>
          <t>VALOR BDI (23.08%):</t>
        </is>
      </c>
      <c r="F1511" s="56" t="n"/>
      <c r="G1511" s="66">
        <f>ROUNDDOWN(G1510*BDI,2)</f>
        <v/>
      </c>
    </row>
    <row r="1512" ht="15" customHeight="1">
      <c r="A1512" s="2" t="inlineStr"/>
      <c r="B1512" s="2" t="inlineStr"/>
      <c r="C1512" s="2" t="inlineStr"/>
      <c r="D1512" s="2" t="inlineStr"/>
      <c r="E1512" s="28" t="inlineStr">
        <is>
          <t>VALOR COM BDI:</t>
        </is>
      </c>
      <c r="F1512" s="56" t="n"/>
      <c r="G1512" s="66">
        <f>G1511 + G1510</f>
        <v/>
      </c>
    </row>
    <row r="1513" ht="10" customHeight="1">
      <c r="A1513" s="2" t="inlineStr"/>
      <c r="B1513" s="2" t="inlineStr"/>
      <c r="C1513" s="2" t="inlineStr"/>
      <c r="D1513" s="2" t="inlineStr"/>
      <c r="E1513" s="18" t="inlineStr"/>
    </row>
    <row r="1514" ht="20" customHeight="1">
      <c r="A1514" s="19" t="inlineStr">
        <is>
          <t>8.1.4.2. ​103978​ TUBO, PVC, SOLDÁVEL, DE 40MM, INSTALADO EM RAMAL DE DISTRIBUIÇÃO DE ÁGUA - FORNECIMENTO E INSTALAÇÃO.AF_06/2022​ (M)</t>
        </is>
      </c>
      <c r="B1514" s="55" t="n"/>
      <c r="C1514" s="55" t="n"/>
      <c r="D1514" s="55" t="n"/>
      <c r="E1514" s="55" t="n"/>
      <c r="F1514" s="55" t="n"/>
      <c r="G1514" s="56" t="n"/>
    </row>
    <row r="1515" ht="15" customHeight="1">
      <c r="A1515" s="20" t="inlineStr">
        <is>
          <t>Material</t>
        </is>
      </c>
      <c r="B1515" s="56" t="n"/>
      <c r="C1515" s="21" t="inlineStr">
        <is>
          <t>FONTE</t>
        </is>
      </c>
      <c r="D1515" s="21" t="inlineStr">
        <is>
          <t>UNID</t>
        </is>
      </c>
      <c r="E1515" s="21" t="inlineStr">
        <is>
          <t>COEFICIENTE</t>
        </is>
      </c>
      <c r="F1515" s="21" t="inlineStr">
        <is>
          <t>PREÇO UNITÁRIO</t>
        </is>
      </c>
      <c r="G1515" s="21" t="inlineStr">
        <is>
          <t>TOTAL</t>
        </is>
      </c>
    </row>
    <row r="1516" ht="15" customHeight="1">
      <c r="A1516" s="22" t="inlineStr">
        <is>
          <t>00038383</t>
        </is>
      </c>
      <c r="B1516" s="23" t="inlineStr">
        <is>
          <t>LIXA D'AGUA EM FOLHA, COR PRETA, GRAO 100</t>
        </is>
      </c>
      <c r="C1516" s="22" t="inlineStr">
        <is>
          <t>SINAPI</t>
        </is>
      </c>
      <c r="D1516" s="22" t="inlineStr">
        <is>
          <t>UN</t>
        </is>
      </c>
      <c r="E1516" s="63" t="n">
        <v>0.0261</v>
      </c>
      <c r="F1516" s="64">
        <f>ROUND(M1516*FATOR, 2)</f>
        <v/>
      </c>
      <c r="G1516" s="64">
        <f>TRUNC(TRUNC(E1516,8)*F1516,2)</f>
        <v/>
      </c>
      <c r="L1516" t="n">
        <v>0.0261</v>
      </c>
      <c r="M1516" t="n">
        <v>1.65</v>
      </c>
      <c r="N1516">
        <f>(M1516-F1516)</f>
        <v/>
      </c>
    </row>
    <row r="1517" ht="15" customHeight="1">
      <c r="A1517" s="22" t="inlineStr">
        <is>
          <t>00009874</t>
        </is>
      </c>
      <c r="B1517" s="23" t="inlineStr">
        <is>
          <t>TUBO PVC, SOLDAVEL, DE 40 MM, AGUA FRIA (NBR-5648)</t>
        </is>
      </c>
      <c r="C1517" s="22" t="inlineStr">
        <is>
          <t>SINAPI</t>
        </is>
      </c>
      <c r="D1517" s="22" t="inlineStr">
        <is>
          <t>M</t>
        </is>
      </c>
      <c r="E1517" s="63" t="n">
        <v>1.0493</v>
      </c>
      <c r="F1517" s="64">
        <f>ROUND(M1517*FATOR, 2)</f>
        <v/>
      </c>
      <c r="G1517" s="64">
        <f>TRUNC(TRUNC(E1517,8)*F1517,2)</f>
        <v/>
      </c>
      <c r="L1517" t="n">
        <v>1.0493</v>
      </c>
      <c r="M1517" t="n">
        <v>14.64</v>
      </c>
      <c r="N1517">
        <f>(M1517-F1517)</f>
        <v/>
      </c>
    </row>
    <row r="1518" ht="15" customHeight="1">
      <c r="A1518" s="2" t="inlineStr"/>
      <c r="B1518" s="2" t="inlineStr"/>
      <c r="C1518" s="2" t="inlineStr"/>
      <c r="D1518" s="2" t="inlineStr"/>
      <c r="E1518" s="26" t="inlineStr">
        <is>
          <t>TOTAL Material:</t>
        </is>
      </c>
      <c r="F1518" s="56" t="n"/>
      <c r="G1518" s="65">
        <f>SUM(G1516:G1517)</f>
        <v/>
      </c>
    </row>
    <row r="1519" ht="15" customHeight="1">
      <c r="A1519" s="20" t="inlineStr">
        <is>
          <t>Mão de Obra com Encargos Complementares</t>
        </is>
      </c>
      <c r="B1519" s="56" t="n"/>
      <c r="C1519" s="21" t="inlineStr">
        <is>
          <t>FONTE</t>
        </is>
      </c>
      <c r="D1519" s="21" t="inlineStr">
        <is>
          <t>UNID</t>
        </is>
      </c>
      <c r="E1519" s="21" t="inlineStr">
        <is>
          <t>COEFICIENTE</t>
        </is>
      </c>
      <c r="F1519" s="21" t="inlineStr">
        <is>
          <t>PREÇO UNITÁRIO</t>
        </is>
      </c>
      <c r="G1519" s="21" t="inlineStr">
        <is>
          <t>TOTAL</t>
        </is>
      </c>
    </row>
    <row r="1520" ht="21" customHeight="1">
      <c r="A1520" s="22" t="inlineStr">
        <is>
          <t>88248</t>
        </is>
      </c>
      <c r="B1520" s="23" t="inlineStr">
        <is>
          <t>AUXILIAR DE ENCANADOR OU BOMBEIRO HIDRÁULICO COM ENCARGOS COMPLEMENTARES</t>
        </is>
      </c>
      <c r="C1520" s="22" t="inlineStr">
        <is>
          <t>SINAPI</t>
        </is>
      </c>
      <c r="D1520" s="22" t="inlineStr">
        <is>
          <t>H</t>
        </is>
      </c>
      <c r="E1520" s="63">
        <f>L1520*FATOR</f>
        <v/>
      </c>
      <c r="F1520" s="64">
        <f>'COMPOSICOES AUXILIARES'!G524</f>
        <v/>
      </c>
      <c r="G1520" s="64">
        <f>TRUNC(TRUNC(E1520,8)*F1520,2)</f>
        <v/>
      </c>
      <c r="L1520" t="n">
        <v>0.224</v>
      </c>
      <c r="M1520" t="n">
        <v>24.23</v>
      </c>
      <c r="N1520">
        <f>(M1520-F1520)</f>
        <v/>
      </c>
    </row>
    <row r="1521" ht="21" customHeight="1">
      <c r="A1521" s="22" t="inlineStr">
        <is>
          <t>88267</t>
        </is>
      </c>
      <c r="B1521" s="23" t="inlineStr">
        <is>
          <t>ENCANADOR OU BOMBEIRO HIDRÁULICO COM ENCARGOS COMPLEMENTARES</t>
        </is>
      </c>
      <c r="C1521" s="22" t="inlineStr">
        <is>
          <t>SINAPI</t>
        </is>
      </c>
      <c r="D1521" s="22" t="inlineStr">
        <is>
          <t>H</t>
        </is>
      </c>
      <c r="E1521" s="63">
        <f>L1521*FATOR</f>
        <v/>
      </c>
      <c r="F1521" s="64">
        <f>'COMPOSICOES AUXILIARES'!G524</f>
        <v/>
      </c>
      <c r="G1521" s="64">
        <f>TRUNC(TRUNC(E1521,8)*F1521,2)</f>
        <v/>
      </c>
      <c r="L1521" t="n">
        <v>0.224</v>
      </c>
      <c r="M1521" t="n">
        <v>29.86</v>
      </c>
      <c r="N1521">
        <f>(M1521-F1521)</f>
        <v/>
      </c>
    </row>
    <row r="1522" ht="18" customHeight="1">
      <c r="A1522" s="2" t="inlineStr"/>
      <c r="B1522" s="2" t="inlineStr"/>
      <c r="C1522" s="2" t="inlineStr"/>
      <c r="D1522" s="2" t="inlineStr"/>
      <c r="E1522" s="26" t="inlineStr">
        <is>
          <t>TOTAL Mão de Obra com Encargos Complementares:</t>
        </is>
      </c>
      <c r="F1522" s="56" t="n"/>
      <c r="G1522" s="65">
        <f>SUM(G1520:G1521)</f>
        <v/>
      </c>
    </row>
    <row r="1523" ht="15" customHeight="1">
      <c r="A1523" s="2" t="inlineStr"/>
      <c r="B1523" s="2" t="inlineStr"/>
      <c r="C1523" s="2" t="inlineStr"/>
      <c r="D1523" s="2" t="inlineStr"/>
      <c r="E1523" s="28" t="inlineStr">
        <is>
          <t>VALOR:</t>
        </is>
      </c>
      <c r="F1523" s="56" t="n"/>
      <c r="G1523" s="66">
        <f>SUM(G1522,G1518)</f>
        <v/>
      </c>
    </row>
    <row r="1524" ht="15" customHeight="1">
      <c r="A1524" s="2" t="inlineStr"/>
      <c r="B1524" s="2" t="inlineStr"/>
      <c r="C1524" s="2" t="inlineStr"/>
      <c r="D1524" s="2" t="inlineStr"/>
      <c r="E1524" s="28" t="inlineStr">
        <is>
          <t>VALOR BDI (23.08%):</t>
        </is>
      </c>
      <c r="F1524" s="56" t="n"/>
      <c r="G1524" s="66">
        <f>ROUNDDOWN(G1523*BDI,2)</f>
        <v/>
      </c>
    </row>
    <row r="1525" ht="15" customHeight="1">
      <c r="A1525" s="2" t="inlineStr"/>
      <c r="B1525" s="2" t="inlineStr"/>
      <c r="C1525" s="2" t="inlineStr"/>
      <c r="D1525" s="2" t="inlineStr"/>
      <c r="E1525" s="28" t="inlineStr">
        <is>
          <t>VALOR COM BDI:</t>
        </is>
      </c>
      <c r="F1525" s="56" t="n"/>
      <c r="G1525" s="66">
        <f>G1524 + G1523</f>
        <v/>
      </c>
    </row>
    <row r="1526" ht="10" customHeight="1">
      <c r="A1526" s="2" t="inlineStr"/>
      <c r="B1526" s="2" t="inlineStr"/>
      <c r="C1526" s="2" t="inlineStr"/>
      <c r="D1526" s="2" t="inlineStr"/>
      <c r="E1526" s="18" t="inlineStr"/>
    </row>
    <row r="1527" ht="20" customHeight="1">
      <c r="A1527" s="19" t="inlineStr">
        <is>
          <t>8.1.4.3. ​103979​ TUBO, PVC, SOLDÁVEL, DE 50MM, INSTALADO EM RAMAL DE DISTRIBUIÇÃO DE ÁGUA - FORNECIMENTO E INSTALAÇÃO.AF_06/2022​ (M)</t>
        </is>
      </c>
      <c r="B1527" s="55" t="n"/>
      <c r="C1527" s="55" t="n"/>
      <c r="D1527" s="55" t="n"/>
      <c r="E1527" s="55" t="n"/>
      <c r="F1527" s="55" t="n"/>
      <c r="G1527" s="56" t="n"/>
    </row>
    <row r="1528" ht="15" customHeight="1">
      <c r="A1528" s="20" t="inlineStr">
        <is>
          <t>Material</t>
        </is>
      </c>
      <c r="B1528" s="56" t="n"/>
      <c r="C1528" s="21" t="inlineStr">
        <is>
          <t>FONTE</t>
        </is>
      </c>
      <c r="D1528" s="21" t="inlineStr">
        <is>
          <t>UNID</t>
        </is>
      </c>
      <c r="E1528" s="21" t="inlineStr">
        <is>
          <t>COEFICIENTE</t>
        </is>
      </c>
      <c r="F1528" s="21" t="inlineStr">
        <is>
          <t>PREÇO UNITÁRIO</t>
        </is>
      </c>
      <c r="G1528" s="21" t="inlineStr">
        <is>
          <t>TOTAL</t>
        </is>
      </c>
    </row>
    <row r="1529" ht="15" customHeight="1">
      <c r="A1529" s="22" t="inlineStr">
        <is>
          <t>00038383</t>
        </is>
      </c>
      <c r="B1529" s="23" t="inlineStr">
        <is>
          <t>LIXA D'AGUA EM FOLHA, COR PRETA, GRAO 100</t>
        </is>
      </c>
      <c r="C1529" s="22" t="inlineStr">
        <is>
          <t>SINAPI</t>
        </is>
      </c>
      <c r="D1529" s="22" t="inlineStr">
        <is>
          <t>UN</t>
        </is>
      </c>
      <c r="E1529" s="63" t="n">
        <v>0.0312</v>
      </c>
      <c r="F1529" s="64">
        <f>ROUND(M1529*FATOR, 2)</f>
        <v/>
      </c>
      <c r="G1529" s="64">
        <f>TRUNC(TRUNC(E1529,8)*F1529,2)</f>
        <v/>
      </c>
      <c r="L1529" t="n">
        <v>0.0312</v>
      </c>
      <c r="M1529" t="n">
        <v>1.65</v>
      </c>
      <c r="N1529">
        <f>(M1529-F1529)</f>
        <v/>
      </c>
    </row>
    <row r="1530" ht="15" customHeight="1">
      <c r="A1530" s="22" t="inlineStr">
        <is>
          <t>00009875</t>
        </is>
      </c>
      <c r="B1530" s="23" t="inlineStr">
        <is>
          <t>TUBO PVC, SOLDAVEL, DE 50 MM, AGUA FRIA (NBR-5648)</t>
        </is>
      </c>
      <c r="C1530" s="22" t="inlineStr">
        <is>
          <t>SINAPI</t>
        </is>
      </c>
      <c r="D1530" s="22" t="inlineStr">
        <is>
          <t>M</t>
        </is>
      </c>
      <c r="E1530" s="63" t="n">
        <v>1.0493</v>
      </c>
      <c r="F1530" s="64">
        <f>ROUND(M1530*FATOR, 2)</f>
        <v/>
      </c>
      <c r="G1530" s="64">
        <f>TRUNC(TRUNC(E1530,8)*F1530,2)</f>
        <v/>
      </c>
      <c r="L1530" t="n">
        <v>1.0493</v>
      </c>
      <c r="M1530" t="n">
        <v>16.06</v>
      </c>
      <c r="N1530">
        <f>(M1530-F1530)</f>
        <v/>
      </c>
    </row>
    <row r="1531" ht="15" customHeight="1">
      <c r="A1531" s="2" t="inlineStr"/>
      <c r="B1531" s="2" t="inlineStr"/>
      <c r="C1531" s="2" t="inlineStr"/>
      <c r="D1531" s="2" t="inlineStr"/>
      <c r="E1531" s="26" t="inlineStr">
        <is>
          <t>TOTAL Material:</t>
        </is>
      </c>
      <c r="F1531" s="56" t="n"/>
      <c r="G1531" s="65">
        <f>SUM(G1529:G1530)</f>
        <v/>
      </c>
    </row>
    <row r="1532" ht="15" customHeight="1">
      <c r="A1532" s="20" t="inlineStr">
        <is>
          <t>Mão de Obra com Encargos Complementares</t>
        </is>
      </c>
      <c r="B1532" s="56" t="n"/>
      <c r="C1532" s="21" t="inlineStr">
        <is>
          <t>FONTE</t>
        </is>
      </c>
      <c r="D1532" s="21" t="inlineStr">
        <is>
          <t>UNID</t>
        </is>
      </c>
      <c r="E1532" s="21" t="inlineStr">
        <is>
          <t>COEFICIENTE</t>
        </is>
      </c>
      <c r="F1532" s="21" t="inlineStr">
        <is>
          <t>PREÇO UNITÁRIO</t>
        </is>
      </c>
      <c r="G1532" s="21" t="inlineStr">
        <is>
          <t>TOTAL</t>
        </is>
      </c>
    </row>
    <row r="1533" ht="21" customHeight="1">
      <c r="A1533" s="22" t="inlineStr">
        <is>
          <t>88248</t>
        </is>
      </c>
      <c r="B1533" s="23" t="inlineStr">
        <is>
          <t>AUXILIAR DE ENCANADOR OU BOMBEIRO HIDRÁULICO COM ENCARGOS COMPLEMENTARES</t>
        </is>
      </c>
      <c r="C1533" s="22" t="inlineStr">
        <is>
          <t>SINAPI</t>
        </is>
      </c>
      <c r="D1533" s="22" t="inlineStr">
        <is>
          <t>H</t>
        </is>
      </c>
      <c r="E1533" s="63">
        <f>L1533*FATOR</f>
        <v/>
      </c>
      <c r="F1533" s="64">
        <f>'COMPOSICOES AUXILIARES'!G524</f>
        <v/>
      </c>
      <c r="G1533" s="64">
        <f>TRUNC(TRUNC(E1533,8)*F1533,2)</f>
        <v/>
      </c>
      <c r="L1533" t="n">
        <v>0.2677</v>
      </c>
      <c r="M1533" t="n">
        <v>24.23</v>
      </c>
      <c r="N1533">
        <f>(M1533-F1533)</f>
        <v/>
      </c>
    </row>
    <row r="1534" ht="21" customHeight="1">
      <c r="A1534" s="22" t="inlineStr">
        <is>
          <t>88267</t>
        </is>
      </c>
      <c r="B1534" s="23" t="inlineStr">
        <is>
          <t>ENCANADOR OU BOMBEIRO HIDRÁULICO COM ENCARGOS COMPLEMENTARES</t>
        </is>
      </c>
      <c r="C1534" s="22" t="inlineStr">
        <is>
          <t>SINAPI</t>
        </is>
      </c>
      <c r="D1534" s="22" t="inlineStr">
        <is>
          <t>H</t>
        </is>
      </c>
      <c r="E1534" s="63">
        <f>L1534*FATOR</f>
        <v/>
      </c>
      <c r="F1534" s="64">
        <f>'COMPOSICOES AUXILIARES'!G524</f>
        <v/>
      </c>
      <c r="G1534" s="64">
        <f>TRUNC(TRUNC(E1534,8)*F1534,2)</f>
        <v/>
      </c>
      <c r="L1534" t="n">
        <v>0.2677</v>
      </c>
      <c r="M1534" t="n">
        <v>29.86</v>
      </c>
      <c r="N1534">
        <f>(M1534-F1534)</f>
        <v/>
      </c>
    </row>
    <row r="1535" ht="18" customHeight="1">
      <c r="A1535" s="2" t="inlineStr"/>
      <c r="B1535" s="2" t="inlineStr"/>
      <c r="C1535" s="2" t="inlineStr"/>
      <c r="D1535" s="2" t="inlineStr"/>
      <c r="E1535" s="26" t="inlineStr">
        <is>
          <t>TOTAL Mão de Obra com Encargos Complementares:</t>
        </is>
      </c>
      <c r="F1535" s="56" t="n"/>
      <c r="G1535" s="65">
        <f>SUM(G1533:G1534)</f>
        <v/>
      </c>
    </row>
    <row r="1536" ht="15" customHeight="1">
      <c r="A1536" s="2" t="inlineStr"/>
      <c r="B1536" s="2" t="inlineStr"/>
      <c r="C1536" s="2" t="inlineStr"/>
      <c r="D1536" s="2" t="inlineStr"/>
      <c r="E1536" s="28" t="inlineStr">
        <is>
          <t>VALOR:</t>
        </is>
      </c>
      <c r="F1536" s="56" t="n"/>
      <c r="G1536" s="66">
        <f>SUM(G1531,G1535)</f>
        <v/>
      </c>
    </row>
    <row r="1537" ht="15" customHeight="1">
      <c r="A1537" s="2" t="inlineStr"/>
      <c r="B1537" s="2" t="inlineStr"/>
      <c r="C1537" s="2" t="inlineStr"/>
      <c r="D1537" s="2" t="inlineStr"/>
      <c r="E1537" s="28" t="inlineStr">
        <is>
          <t>VALOR BDI (23.08%):</t>
        </is>
      </c>
      <c r="F1537" s="56" t="n"/>
      <c r="G1537" s="66">
        <f>ROUNDDOWN(G1536*BDI,2)</f>
        <v/>
      </c>
    </row>
    <row r="1538" ht="15" customHeight="1">
      <c r="A1538" s="2" t="inlineStr"/>
      <c r="B1538" s="2" t="inlineStr"/>
      <c r="C1538" s="2" t="inlineStr"/>
      <c r="D1538" s="2" t="inlineStr"/>
      <c r="E1538" s="28" t="inlineStr">
        <is>
          <t>VALOR COM BDI:</t>
        </is>
      </c>
      <c r="F1538" s="56" t="n"/>
      <c r="G1538" s="66">
        <f>G1537 + G1536</f>
        <v/>
      </c>
    </row>
    <row r="1539" ht="10" customHeight="1">
      <c r="A1539" s="2" t="inlineStr"/>
      <c r="B1539" s="2" t="inlineStr"/>
      <c r="C1539" s="2" t="inlineStr"/>
      <c r="D1539" s="2" t="inlineStr"/>
      <c r="E1539" s="18" t="inlineStr"/>
    </row>
    <row r="1540" ht="20" customHeight="1">
      <c r="A1540" s="19" t="inlineStr">
        <is>
          <t>8.1.5.1. ​89409​ JOELHO 45 GRAUS, PVC, SOLDÁVEL, DN 25MM, INSTALADO EM RAMAL DE DISTRIBUIÇÃO DE ÁGUA - FORNECIMENTOE INSTALAÇÃO. AF_06/2022​ (UN)</t>
        </is>
      </c>
      <c r="B1540" s="55" t="n"/>
      <c r="C1540" s="55" t="n"/>
      <c r="D1540" s="55" t="n"/>
      <c r="E1540" s="55" t="n"/>
      <c r="F1540" s="55" t="n"/>
      <c r="G1540" s="56" t="n"/>
    </row>
    <row r="1541" ht="15" customHeight="1">
      <c r="A1541" s="20" t="inlineStr">
        <is>
          <t>Material</t>
        </is>
      </c>
      <c r="B1541" s="56" t="n"/>
      <c r="C1541" s="21" t="inlineStr">
        <is>
          <t>FONTE</t>
        </is>
      </c>
      <c r="D1541" s="21" t="inlineStr">
        <is>
          <t>UNID</t>
        </is>
      </c>
      <c r="E1541" s="21" t="inlineStr">
        <is>
          <t>COEFICIENTE</t>
        </is>
      </c>
      <c r="F1541" s="21" t="inlineStr">
        <is>
          <t>PREÇO UNITÁRIO</t>
        </is>
      </c>
      <c r="G1541" s="21" t="inlineStr">
        <is>
          <t>TOTAL</t>
        </is>
      </c>
    </row>
    <row r="1542" ht="15" customHeight="1">
      <c r="A1542" s="22" t="inlineStr">
        <is>
          <t>00000122</t>
        </is>
      </c>
      <c r="B1542" s="23" t="inlineStr">
        <is>
          <t>ADESIVO PLASTICO PARA PVC, FRASCO COM *850* GR</t>
        </is>
      </c>
      <c r="C1542" s="22" t="inlineStr">
        <is>
          <t>SINAPI</t>
        </is>
      </c>
      <c r="D1542" s="22" t="inlineStr">
        <is>
          <t>UN</t>
        </is>
      </c>
      <c r="E1542" s="63" t="n">
        <v>0.0071</v>
      </c>
      <c r="F1542" s="64">
        <f>ROUND(M1542*FATOR, 2)</f>
        <v/>
      </c>
      <c r="G1542" s="64">
        <f>TRUNC(TRUNC(E1542,8)*F1542,2)</f>
        <v/>
      </c>
      <c r="L1542" t="n">
        <v>0.0071</v>
      </c>
      <c r="M1542" t="n">
        <v>61.86</v>
      </c>
      <c r="N1542">
        <f>(M1542-F1542)</f>
        <v/>
      </c>
    </row>
    <row r="1543" ht="21" customHeight="1">
      <c r="A1543" s="22" t="inlineStr">
        <is>
          <t>00003500</t>
        </is>
      </c>
      <c r="B1543" s="23" t="inlineStr">
        <is>
          <t>JOELHO, PVC SOLDAVEL, 45 GRAUS, 25 MM, COR MARROM, PARA AGUA FRIA PREDIAL</t>
        </is>
      </c>
      <c r="C1543" s="22" t="inlineStr">
        <is>
          <t>SINAPI</t>
        </is>
      </c>
      <c r="D1543" s="22" t="inlineStr">
        <is>
          <t>UN</t>
        </is>
      </c>
      <c r="E1543" s="63" t="n">
        <v>1</v>
      </c>
      <c r="F1543" s="64">
        <f>ROUND(M1543*FATOR, 2)</f>
        <v/>
      </c>
      <c r="G1543" s="64">
        <f>TRUNC(TRUNC(E1543,8)*F1543,2)</f>
        <v/>
      </c>
      <c r="L1543" t="n">
        <v>1</v>
      </c>
      <c r="M1543" t="n">
        <v>1.56</v>
      </c>
      <c r="N1543">
        <f>(M1543-F1543)</f>
        <v/>
      </c>
    </row>
    <row r="1544" ht="15" customHeight="1">
      <c r="A1544" s="22" t="inlineStr">
        <is>
          <t>00038383</t>
        </is>
      </c>
      <c r="B1544" s="23" t="inlineStr">
        <is>
          <t>LIXA D'AGUA EM FOLHA, COR PRETA, GRAO 100</t>
        </is>
      </c>
      <c r="C1544" s="22" t="inlineStr">
        <is>
          <t>SINAPI</t>
        </is>
      </c>
      <c r="D1544" s="22" t="inlineStr">
        <is>
          <t>UN</t>
        </is>
      </c>
      <c r="E1544" s="63" t="n">
        <v>0.0302</v>
      </c>
      <c r="F1544" s="64">
        <f>ROUND(M1544*FATOR, 2)</f>
        <v/>
      </c>
      <c r="G1544" s="64">
        <f>TRUNC(TRUNC(E1544,8)*F1544,2)</f>
        <v/>
      </c>
      <c r="L1544" t="n">
        <v>0.0302</v>
      </c>
      <c r="M1544" t="n">
        <v>1.65</v>
      </c>
      <c r="N1544">
        <f>(M1544-F1544)</f>
        <v/>
      </c>
    </row>
    <row r="1545" ht="21" customHeight="1">
      <c r="A1545" s="22" t="inlineStr">
        <is>
          <t>00020083</t>
        </is>
      </c>
      <c r="B1545" s="23" t="inlineStr">
        <is>
          <t>SOLUCAO PREPARADORA / LIMPADORA PARA PVC, FRASCO COM 1000 CM3</t>
        </is>
      </c>
      <c r="C1545" s="22" t="inlineStr">
        <is>
          <t>SINAPI</t>
        </is>
      </c>
      <c r="D1545" s="22" t="inlineStr">
        <is>
          <t>UN</t>
        </is>
      </c>
      <c r="E1545" s="63" t="n">
        <v>0.008</v>
      </c>
      <c r="F1545" s="64">
        <f>ROUND(M1545*FATOR, 2)</f>
        <v/>
      </c>
      <c r="G1545" s="64">
        <f>TRUNC(TRUNC(E1545,8)*F1545,2)</f>
        <v/>
      </c>
      <c r="L1545" t="n">
        <v>0.008</v>
      </c>
      <c r="M1545" t="n">
        <v>70.08</v>
      </c>
      <c r="N1545">
        <f>(M1545-F1545)</f>
        <v/>
      </c>
    </row>
    <row r="1546" ht="15" customHeight="1">
      <c r="A1546" s="2" t="inlineStr"/>
      <c r="B1546" s="2" t="inlineStr"/>
      <c r="C1546" s="2" t="inlineStr"/>
      <c r="D1546" s="2" t="inlineStr"/>
      <c r="E1546" s="26" t="inlineStr">
        <is>
          <t>TOTAL Material:</t>
        </is>
      </c>
      <c r="F1546" s="56" t="n"/>
      <c r="G1546" s="65">
        <f>SUM(G1542:G1545)</f>
        <v/>
      </c>
    </row>
    <row r="1547" ht="15" customHeight="1">
      <c r="A1547" s="20" t="inlineStr">
        <is>
          <t>Mão de Obra com Encargos Complementares</t>
        </is>
      </c>
      <c r="B1547" s="56" t="n"/>
      <c r="C1547" s="21" t="inlineStr">
        <is>
          <t>FONTE</t>
        </is>
      </c>
      <c r="D1547" s="21" t="inlineStr">
        <is>
          <t>UNID</t>
        </is>
      </c>
      <c r="E1547" s="21" t="inlineStr">
        <is>
          <t>COEFICIENTE</t>
        </is>
      </c>
      <c r="F1547" s="21" t="inlineStr">
        <is>
          <t>PREÇO UNITÁRIO</t>
        </is>
      </c>
      <c r="G1547" s="21" t="inlineStr">
        <is>
          <t>TOTAL</t>
        </is>
      </c>
    </row>
    <row r="1548" ht="21" customHeight="1">
      <c r="A1548" s="22" t="inlineStr">
        <is>
          <t>88248</t>
        </is>
      </c>
      <c r="B1548" s="23" t="inlineStr">
        <is>
          <t>AUXILIAR DE ENCANADOR OU BOMBEIRO HIDRÁULICO COM ENCARGOS COMPLEMENTARES</t>
        </is>
      </c>
      <c r="C1548" s="22" t="inlineStr">
        <is>
          <t>SINAPI</t>
        </is>
      </c>
      <c r="D1548" s="22" t="inlineStr">
        <is>
          <t>H</t>
        </is>
      </c>
      <c r="E1548" s="63">
        <f>L1548*FATOR</f>
        <v/>
      </c>
      <c r="F1548" s="64">
        <f>'COMPOSICOES AUXILIARES'!G524</f>
        <v/>
      </c>
      <c r="G1548" s="64">
        <f>TRUNC(TRUNC(E1548,8)*F1548,2)</f>
        <v/>
      </c>
      <c r="L1548" t="n">
        <v>0.1359</v>
      </c>
      <c r="M1548" t="n">
        <v>24.23</v>
      </c>
      <c r="N1548">
        <f>(M1548-F1548)</f>
        <v/>
      </c>
    </row>
    <row r="1549" ht="21" customHeight="1">
      <c r="A1549" s="22" t="inlineStr">
        <is>
          <t>88267</t>
        </is>
      </c>
      <c r="B1549" s="23" t="inlineStr">
        <is>
          <t>ENCANADOR OU BOMBEIRO HIDRÁULICO COM ENCARGOS COMPLEMENTARES</t>
        </is>
      </c>
      <c r="C1549" s="22" t="inlineStr">
        <is>
          <t>SINAPI</t>
        </is>
      </c>
      <c r="D1549" s="22" t="inlineStr">
        <is>
          <t>H</t>
        </is>
      </c>
      <c r="E1549" s="63">
        <f>L1549*FATOR</f>
        <v/>
      </c>
      <c r="F1549" s="64">
        <f>'COMPOSICOES AUXILIARES'!G524</f>
        <v/>
      </c>
      <c r="G1549" s="64">
        <f>TRUNC(TRUNC(E1549,8)*F1549,2)</f>
        <v/>
      </c>
      <c r="L1549" t="n">
        <v>0.1359</v>
      </c>
      <c r="M1549" t="n">
        <v>29.86</v>
      </c>
      <c r="N1549">
        <f>(M1549-F1549)</f>
        <v/>
      </c>
    </row>
    <row r="1550" ht="18" customHeight="1">
      <c r="A1550" s="2" t="inlineStr"/>
      <c r="B1550" s="2" t="inlineStr"/>
      <c r="C1550" s="2" t="inlineStr"/>
      <c r="D1550" s="2" t="inlineStr"/>
      <c r="E1550" s="26" t="inlineStr">
        <is>
          <t>TOTAL Mão de Obra com Encargos Complementares:</t>
        </is>
      </c>
      <c r="F1550" s="56" t="n"/>
      <c r="G1550" s="65">
        <f>SUM(G1548:G1549)</f>
        <v/>
      </c>
    </row>
    <row r="1551" ht="15" customHeight="1">
      <c r="A1551" s="2" t="inlineStr"/>
      <c r="B1551" s="2" t="inlineStr"/>
      <c r="C1551" s="2" t="inlineStr"/>
      <c r="D1551" s="2" t="inlineStr"/>
      <c r="E1551" s="28" t="inlineStr">
        <is>
          <t>VALOR:</t>
        </is>
      </c>
      <c r="F1551" s="56" t="n"/>
      <c r="G1551" s="66">
        <f>SUM(G1546,G1550)</f>
        <v/>
      </c>
    </row>
    <row r="1552" ht="15" customHeight="1">
      <c r="A1552" s="2" t="inlineStr"/>
      <c r="B1552" s="2" t="inlineStr"/>
      <c r="C1552" s="2" t="inlineStr"/>
      <c r="D1552" s="2" t="inlineStr"/>
      <c r="E1552" s="28" t="inlineStr">
        <is>
          <t>VALOR BDI (23.08%):</t>
        </is>
      </c>
      <c r="F1552" s="56" t="n"/>
      <c r="G1552" s="66">
        <f>ROUNDDOWN(G1551*BDI,2)</f>
        <v/>
      </c>
    </row>
    <row r="1553" ht="15" customHeight="1">
      <c r="A1553" s="2" t="inlineStr"/>
      <c r="B1553" s="2" t="inlineStr"/>
      <c r="C1553" s="2" t="inlineStr"/>
      <c r="D1553" s="2" t="inlineStr"/>
      <c r="E1553" s="28" t="inlineStr">
        <is>
          <t>VALOR COM BDI:</t>
        </is>
      </c>
      <c r="F1553" s="56" t="n"/>
      <c r="G1553" s="66">
        <f>G1552 + G1551</f>
        <v/>
      </c>
    </row>
    <row r="1554" ht="10" customHeight="1">
      <c r="A1554" s="2" t="inlineStr"/>
      <c r="B1554" s="2" t="inlineStr"/>
      <c r="C1554" s="2" t="inlineStr"/>
      <c r="D1554" s="2" t="inlineStr"/>
      <c r="E1554" s="18" t="inlineStr"/>
    </row>
    <row r="1555" ht="20" customHeight="1">
      <c r="A1555" s="19" t="inlineStr">
        <is>
          <t>8.1.5.2. ​89408​ JOELHO 90 GRAUS, PVC, SOLDÁVEL, DN 25MM, INSTALADO EM RAMAL DE DISTRIBUIÇÃO DE ÁGUA - FORNECIMENTOE INSTALAÇÃO. AF_06/2022​ (UN)</t>
        </is>
      </c>
      <c r="B1555" s="55" t="n"/>
      <c r="C1555" s="55" t="n"/>
      <c r="D1555" s="55" t="n"/>
      <c r="E1555" s="55" t="n"/>
      <c r="F1555" s="55" t="n"/>
      <c r="G1555" s="56" t="n"/>
    </row>
    <row r="1556" ht="15" customHeight="1">
      <c r="A1556" s="20" t="inlineStr">
        <is>
          <t>Material</t>
        </is>
      </c>
      <c r="B1556" s="56" t="n"/>
      <c r="C1556" s="21" t="inlineStr">
        <is>
          <t>FONTE</t>
        </is>
      </c>
      <c r="D1556" s="21" t="inlineStr">
        <is>
          <t>UNID</t>
        </is>
      </c>
      <c r="E1556" s="21" t="inlineStr">
        <is>
          <t>COEFICIENTE</t>
        </is>
      </c>
      <c r="F1556" s="21" t="inlineStr">
        <is>
          <t>PREÇO UNITÁRIO</t>
        </is>
      </c>
      <c r="G1556" s="21" t="inlineStr">
        <is>
          <t>TOTAL</t>
        </is>
      </c>
    </row>
    <row r="1557" ht="15" customHeight="1">
      <c r="A1557" s="22" t="inlineStr">
        <is>
          <t>00000122</t>
        </is>
      </c>
      <c r="B1557" s="23" t="inlineStr">
        <is>
          <t>ADESIVO PLASTICO PARA PVC, FRASCO COM *850* GR</t>
        </is>
      </c>
      <c r="C1557" s="22" t="inlineStr">
        <is>
          <t>SINAPI</t>
        </is>
      </c>
      <c r="D1557" s="22" t="inlineStr">
        <is>
          <t>UN</t>
        </is>
      </c>
      <c r="E1557" s="63" t="n">
        <v>0.0071</v>
      </c>
      <c r="F1557" s="64">
        <f>ROUND(M1557*FATOR, 2)</f>
        <v/>
      </c>
      <c r="G1557" s="64">
        <f>TRUNC(TRUNC(E1557,8)*F1557,2)</f>
        <v/>
      </c>
      <c r="L1557" t="n">
        <v>0.0071</v>
      </c>
      <c r="M1557" t="n">
        <v>61.86</v>
      </c>
      <c r="N1557">
        <f>(M1557-F1557)</f>
        <v/>
      </c>
    </row>
    <row r="1558" ht="21" customHeight="1">
      <c r="A1558" s="22" t="inlineStr">
        <is>
          <t>00003529</t>
        </is>
      </c>
      <c r="B1558" s="23" t="inlineStr">
        <is>
          <t>JOELHO PVC, SOLDAVEL, 90 GRAUS, 25 MM, COR MARROM, PARA AGUA FRIA PREDIAL</t>
        </is>
      </c>
      <c r="C1558" s="22" t="inlineStr">
        <is>
          <t>SINAPI</t>
        </is>
      </c>
      <c r="D1558" s="22" t="inlineStr">
        <is>
          <t>UN</t>
        </is>
      </c>
      <c r="E1558" s="63" t="n">
        <v>1</v>
      </c>
      <c r="F1558" s="64">
        <f>ROUND(M1558*FATOR, 2)</f>
        <v/>
      </c>
      <c r="G1558" s="64">
        <f>TRUNC(TRUNC(E1558,8)*F1558,2)</f>
        <v/>
      </c>
      <c r="L1558" t="n">
        <v>1</v>
      </c>
      <c r="M1558" t="n">
        <v>0.76</v>
      </c>
      <c r="N1558">
        <f>(M1558-F1558)</f>
        <v/>
      </c>
    </row>
    <row r="1559" ht="15" customHeight="1">
      <c r="A1559" s="22" t="inlineStr">
        <is>
          <t>00038383</t>
        </is>
      </c>
      <c r="B1559" s="23" t="inlineStr">
        <is>
          <t>LIXA D'AGUA EM FOLHA, COR PRETA, GRAO 100</t>
        </is>
      </c>
      <c r="C1559" s="22" t="inlineStr">
        <is>
          <t>SINAPI</t>
        </is>
      </c>
      <c r="D1559" s="22" t="inlineStr">
        <is>
          <t>UN</t>
        </is>
      </c>
      <c r="E1559" s="63" t="n">
        <v>0.0302</v>
      </c>
      <c r="F1559" s="64">
        <f>ROUND(M1559*FATOR, 2)</f>
        <v/>
      </c>
      <c r="G1559" s="64">
        <f>TRUNC(TRUNC(E1559,8)*F1559,2)</f>
        <v/>
      </c>
      <c r="L1559" t="n">
        <v>0.0302</v>
      </c>
      <c r="M1559" t="n">
        <v>1.65</v>
      </c>
      <c r="N1559">
        <f>(M1559-F1559)</f>
        <v/>
      </c>
    </row>
    <row r="1560" ht="21" customHeight="1">
      <c r="A1560" s="22" t="inlineStr">
        <is>
          <t>00020083</t>
        </is>
      </c>
      <c r="B1560" s="23" t="inlineStr">
        <is>
          <t>SOLUCAO PREPARADORA / LIMPADORA PARA PVC, FRASCO COM 1000 CM3</t>
        </is>
      </c>
      <c r="C1560" s="22" t="inlineStr">
        <is>
          <t>SINAPI</t>
        </is>
      </c>
      <c r="D1560" s="22" t="inlineStr">
        <is>
          <t>UN</t>
        </is>
      </c>
      <c r="E1560" s="63" t="n">
        <v>0.008</v>
      </c>
      <c r="F1560" s="64">
        <f>ROUND(M1560*FATOR, 2)</f>
        <v/>
      </c>
      <c r="G1560" s="64">
        <f>TRUNC(TRUNC(E1560,8)*F1560,2)</f>
        <v/>
      </c>
      <c r="L1560" t="n">
        <v>0.008</v>
      </c>
      <c r="M1560" t="n">
        <v>70.08</v>
      </c>
      <c r="N1560">
        <f>(M1560-F1560)</f>
        <v/>
      </c>
    </row>
    <row r="1561" ht="15" customHeight="1">
      <c r="A1561" s="2" t="inlineStr"/>
      <c r="B1561" s="2" t="inlineStr"/>
      <c r="C1561" s="2" t="inlineStr"/>
      <c r="D1561" s="2" t="inlineStr"/>
      <c r="E1561" s="26" t="inlineStr">
        <is>
          <t>TOTAL Material:</t>
        </is>
      </c>
      <c r="F1561" s="56" t="n"/>
      <c r="G1561" s="65">
        <f>SUM(G1557:G1560)</f>
        <v/>
      </c>
    </row>
    <row r="1562" ht="15" customHeight="1">
      <c r="A1562" s="20" t="inlineStr">
        <is>
          <t>Mão de Obra com Encargos Complementares</t>
        </is>
      </c>
      <c r="B1562" s="56" t="n"/>
      <c r="C1562" s="21" t="inlineStr">
        <is>
          <t>FONTE</t>
        </is>
      </c>
      <c r="D1562" s="21" t="inlineStr">
        <is>
          <t>UNID</t>
        </is>
      </c>
      <c r="E1562" s="21" t="inlineStr">
        <is>
          <t>COEFICIENTE</t>
        </is>
      </c>
      <c r="F1562" s="21" t="inlineStr">
        <is>
          <t>PREÇO UNITÁRIO</t>
        </is>
      </c>
      <c r="G1562" s="21" t="inlineStr">
        <is>
          <t>TOTAL</t>
        </is>
      </c>
    </row>
    <row r="1563" ht="21" customHeight="1">
      <c r="A1563" s="22" t="inlineStr">
        <is>
          <t>88248</t>
        </is>
      </c>
      <c r="B1563" s="23" t="inlineStr">
        <is>
          <t>AUXILIAR DE ENCANADOR OU BOMBEIRO HIDRÁULICO COM ENCARGOS COMPLEMENTARES</t>
        </is>
      </c>
      <c r="C1563" s="22" t="inlineStr">
        <is>
          <t>SINAPI</t>
        </is>
      </c>
      <c r="D1563" s="22" t="inlineStr">
        <is>
          <t>H</t>
        </is>
      </c>
      <c r="E1563" s="63">
        <f>L1563*FATOR</f>
        <v/>
      </c>
      <c r="F1563" s="64">
        <f>'COMPOSICOES AUXILIARES'!G524</f>
        <v/>
      </c>
      <c r="G1563" s="64">
        <f>TRUNC(TRUNC(E1563,8)*F1563,2)</f>
        <v/>
      </c>
      <c r="L1563" t="n">
        <v>0.1359</v>
      </c>
      <c r="M1563" t="n">
        <v>24.23</v>
      </c>
      <c r="N1563">
        <f>(M1563-F1563)</f>
        <v/>
      </c>
    </row>
    <row r="1564" ht="21" customHeight="1">
      <c r="A1564" s="22" t="inlineStr">
        <is>
          <t>88267</t>
        </is>
      </c>
      <c r="B1564" s="23" t="inlineStr">
        <is>
          <t>ENCANADOR OU BOMBEIRO HIDRÁULICO COM ENCARGOS COMPLEMENTARES</t>
        </is>
      </c>
      <c r="C1564" s="22" t="inlineStr">
        <is>
          <t>SINAPI</t>
        </is>
      </c>
      <c r="D1564" s="22" t="inlineStr">
        <is>
          <t>H</t>
        </is>
      </c>
      <c r="E1564" s="63">
        <f>L1564*FATOR</f>
        <v/>
      </c>
      <c r="F1564" s="64">
        <f>'COMPOSICOES AUXILIARES'!G524</f>
        <v/>
      </c>
      <c r="G1564" s="64">
        <f>TRUNC(TRUNC(E1564,8)*F1564,2)</f>
        <v/>
      </c>
      <c r="L1564" t="n">
        <v>0.1359</v>
      </c>
      <c r="M1564" t="n">
        <v>29.86</v>
      </c>
      <c r="N1564">
        <f>(M1564-F1564)</f>
        <v/>
      </c>
    </row>
    <row r="1565" ht="18" customHeight="1">
      <c r="A1565" s="2" t="inlineStr"/>
      <c r="B1565" s="2" t="inlineStr"/>
      <c r="C1565" s="2" t="inlineStr"/>
      <c r="D1565" s="2" t="inlineStr"/>
      <c r="E1565" s="26" t="inlineStr">
        <is>
          <t>TOTAL Mão de Obra com Encargos Complementares:</t>
        </is>
      </c>
      <c r="F1565" s="56" t="n"/>
      <c r="G1565" s="65">
        <f>SUM(G1563:G1564)</f>
        <v/>
      </c>
    </row>
    <row r="1566" ht="15" customHeight="1">
      <c r="A1566" s="2" t="inlineStr"/>
      <c r="B1566" s="2" t="inlineStr"/>
      <c r="C1566" s="2" t="inlineStr"/>
      <c r="D1566" s="2" t="inlineStr"/>
      <c r="E1566" s="28" t="inlineStr">
        <is>
          <t>VALOR:</t>
        </is>
      </c>
      <c r="F1566" s="56" t="n"/>
      <c r="G1566" s="66">
        <f>SUM(G1561,G1565)</f>
        <v/>
      </c>
    </row>
    <row r="1567" ht="15" customHeight="1">
      <c r="A1567" s="2" t="inlineStr"/>
      <c r="B1567" s="2" t="inlineStr"/>
      <c r="C1567" s="2" t="inlineStr"/>
      <c r="D1567" s="2" t="inlineStr"/>
      <c r="E1567" s="28" t="inlineStr">
        <is>
          <t>VALOR BDI (23.08%):</t>
        </is>
      </c>
      <c r="F1567" s="56" t="n"/>
      <c r="G1567" s="66">
        <f>ROUNDDOWN(G1566*BDI,2)</f>
        <v/>
      </c>
    </row>
    <row r="1568" ht="15" customHeight="1">
      <c r="A1568" s="2" t="inlineStr"/>
      <c r="B1568" s="2" t="inlineStr"/>
      <c r="C1568" s="2" t="inlineStr"/>
      <c r="D1568" s="2" t="inlineStr"/>
      <c r="E1568" s="28" t="inlineStr">
        <is>
          <t>VALOR COM BDI:</t>
        </is>
      </c>
      <c r="F1568" s="56" t="n"/>
      <c r="G1568" s="66">
        <f>G1567 + G1566</f>
        <v/>
      </c>
    </row>
    <row r="1569" ht="10" customHeight="1">
      <c r="A1569" s="2" t="inlineStr"/>
      <c r="B1569" s="2" t="inlineStr"/>
      <c r="C1569" s="2" t="inlineStr"/>
      <c r="D1569" s="2" t="inlineStr"/>
      <c r="E1569" s="18" t="inlineStr"/>
    </row>
    <row r="1570" ht="20" customHeight="1">
      <c r="A1570" s="19" t="inlineStr">
        <is>
          <t>8.1.5.3. ​90373​ JOELHO 90 GRAUS COM BUCHA DE LATÃO, PVC, SOLDÁVEL, DN 25MM, X 1/2 INSTALADO EM RAMAL OU SUB-RAMAL DE ÁGUA - FORNECIMENTO E INSTALAÇÃO.AF_06/2022​ (UN)</t>
        </is>
      </c>
      <c r="B1570" s="55" t="n"/>
      <c r="C1570" s="55" t="n"/>
      <c r="D1570" s="55" t="n"/>
      <c r="E1570" s="55" t="n"/>
      <c r="F1570" s="55" t="n"/>
      <c r="G1570" s="56" t="n"/>
    </row>
    <row r="1571" ht="15" customHeight="1">
      <c r="A1571" s="20" t="inlineStr">
        <is>
          <t>Material</t>
        </is>
      </c>
      <c r="B1571" s="56" t="n"/>
      <c r="C1571" s="21" t="inlineStr">
        <is>
          <t>FONTE</t>
        </is>
      </c>
      <c r="D1571" s="21" t="inlineStr">
        <is>
          <t>UNID</t>
        </is>
      </c>
      <c r="E1571" s="21" t="inlineStr">
        <is>
          <t>COEFICIENTE</t>
        </is>
      </c>
      <c r="F1571" s="21" t="inlineStr">
        <is>
          <t>PREÇO UNITÁRIO</t>
        </is>
      </c>
      <c r="G1571" s="21" t="inlineStr">
        <is>
          <t>TOTAL</t>
        </is>
      </c>
    </row>
    <row r="1572" ht="15" customHeight="1">
      <c r="A1572" s="22" t="inlineStr">
        <is>
          <t>00000122</t>
        </is>
      </c>
      <c r="B1572" s="23" t="inlineStr">
        <is>
          <t>ADESIVO PLASTICO PARA PVC, FRASCO COM *850* GR</t>
        </is>
      </c>
      <c r="C1572" s="22" t="inlineStr">
        <is>
          <t>SINAPI</t>
        </is>
      </c>
      <c r="D1572" s="22" t="inlineStr">
        <is>
          <t>UN</t>
        </is>
      </c>
      <c r="E1572" s="63" t="n">
        <v>0.0059</v>
      </c>
      <c r="F1572" s="64">
        <f>ROUND(M1572*FATOR, 2)</f>
        <v/>
      </c>
      <c r="G1572" s="64">
        <f>TRUNC(TRUNC(E1572,8)*F1572,2)</f>
        <v/>
      </c>
      <c r="L1572" t="n">
        <v>0.0059</v>
      </c>
      <c r="M1572" t="n">
        <v>61.86</v>
      </c>
      <c r="N1572">
        <f>(M1572-F1572)</f>
        <v/>
      </c>
    </row>
    <row r="1573" ht="21" customHeight="1">
      <c r="A1573" s="22" t="inlineStr">
        <is>
          <t>00020147</t>
        </is>
      </c>
      <c r="B1573" s="23" t="inlineStr">
        <is>
          <t>JOELHO PVC, SOLDAVEL, COM BUCHA DE LATAO, 90 GRAUS, 25 MM X 1/2", PARA AGUA FRIA PREDIAL</t>
        </is>
      </c>
      <c r="C1573" s="22" t="inlineStr">
        <is>
          <t>SINAPI</t>
        </is>
      </c>
      <c r="D1573" s="22" t="inlineStr">
        <is>
          <t>UN</t>
        </is>
      </c>
      <c r="E1573" s="63" t="n">
        <v>1</v>
      </c>
      <c r="F1573" s="64">
        <f>ROUND(M1573*FATOR, 2)</f>
        <v/>
      </c>
      <c r="G1573" s="64">
        <f>TRUNC(TRUNC(E1573,8)*F1573,2)</f>
        <v/>
      </c>
      <c r="L1573" t="n">
        <v>1</v>
      </c>
      <c r="M1573" t="n">
        <v>5.57</v>
      </c>
      <c r="N1573">
        <f>(M1573-F1573)</f>
        <v/>
      </c>
    </row>
    <row r="1574" ht="15" customHeight="1">
      <c r="A1574" s="22" t="inlineStr">
        <is>
          <t>00038383</t>
        </is>
      </c>
      <c r="B1574" s="23" t="inlineStr">
        <is>
          <t>LIXA D'AGUA EM FOLHA, COR PRETA, GRAO 100</t>
        </is>
      </c>
      <c r="C1574" s="22" t="inlineStr">
        <is>
          <t>SINAPI</t>
        </is>
      </c>
      <c r="D1574" s="22" t="inlineStr">
        <is>
          <t>UN</t>
        </is>
      </c>
      <c r="E1574" s="63" t="n">
        <v>0.0315</v>
      </c>
      <c r="F1574" s="64">
        <f>ROUND(M1574*FATOR, 2)</f>
        <v/>
      </c>
      <c r="G1574" s="64">
        <f>TRUNC(TRUNC(E1574,8)*F1574,2)</f>
        <v/>
      </c>
      <c r="L1574" t="n">
        <v>0.0315</v>
      </c>
      <c r="M1574" t="n">
        <v>1.65</v>
      </c>
      <c r="N1574">
        <f>(M1574-F1574)</f>
        <v/>
      </c>
    </row>
    <row r="1575" ht="21" customHeight="1">
      <c r="A1575" s="22" t="inlineStr">
        <is>
          <t>00020083</t>
        </is>
      </c>
      <c r="B1575" s="23" t="inlineStr">
        <is>
          <t>SOLUCAO PREPARADORA / LIMPADORA PARA PVC, FRASCO COM 1000 CM3</t>
        </is>
      </c>
      <c r="C1575" s="22" t="inlineStr">
        <is>
          <t>SINAPI</t>
        </is>
      </c>
      <c r="D1575" s="22" t="inlineStr">
        <is>
          <t>UN</t>
        </is>
      </c>
      <c r="E1575" s="63" t="n">
        <v>0.007</v>
      </c>
      <c r="F1575" s="64">
        <f>ROUND(M1575*FATOR, 2)</f>
        <v/>
      </c>
      <c r="G1575" s="64">
        <f>TRUNC(TRUNC(E1575,8)*F1575,2)</f>
        <v/>
      </c>
      <c r="L1575" t="n">
        <v>0.007</v>
      </c>
      <c r="M1575" t="n">
        <v>70.08</v>
      </c>
      <c r="N1575">
        <f>(M1575-F1575)</f>
        <v/>
      </c>
    </row>
    <row r="1576" ht="15" customHeight="1">
      <c r="A1576" s="2" t="inlineStr"/>
      <c r="B1576" s="2" t="inlineStr"/>
      <c r="C1576" s="2" t="inlineStr"/>
      <c r="D1576" s="2" t="inlineStr"/>
      <c r="E1576" s="26" t="inlineStr">
        <is>
          <t>TOTAL Material:</t>
        </is>
      </c>
      <c r="F1576" s="56" t="n"/>
      <c r="G1576" s="65">
        <f>SUM(G1572:G1575)</f>
        <v/>
      </c>
    </row>
    <row r="1577" ht="15" customHeight="1">
      <c r="A1577" s="20" t="inlineStr">
        <is>
          <t>Mão de Obra com Encargos Complementares</t>
        </is>
      </c>
      <c r="B1577" s="56" t="n"/>
      <c r="C1577" s="21" t="inlineStr">
        <is>
          <t>FONTE</t>
        </is>
      </c>
      <c r="D1577" s="21" t="inlineStr">
        <is>
          <t>UNID</t>
        </is>
      </c>
      <c r="E1577" s="21" t="inlineStr">
        <is>
          <t>COEFICIENTE</t>
        </is>
      </c>
      <c r="F1577" s="21" t="inlineStr">
        <is>
          <t>PREÇO UNITÁRIO</t>
        </is>
      </c>
      <c r="G1577" s="21" t="inlineStr">
        <is>
          <t>TOTAL</t>
        </is>
      </c>
    </row>
    <row r="1578" ht="21" customHeight="1">
      <c r="A1578" s="22" t="inlineStr">
        <is>
          <t>88248</t>
        </is>
      </c>
      <c r="B1578" s="23" t="inlineStr">
        <is>
          <t>AUXILIAR DE ENCANADOR OU BOMBEIRO HIDRÁULICO COM ENCARGOS COMPLEMENTARES</t>
        </is>
      </c>
      <c r="C1578" s="22" t="inlineStr">
        <is>
          <t>SINAPI</t>
        </is>
      </c>
      <c r="D1578" s="22" t="inlineStr">
        <is>
          <t>H</t>
        </is>
      </c>
      <c r="E1578" s="63">
        <f>L1578*FATOR</f>
        <v/>
      </c>
      <c r="F1578" s="64">
        <f>'COMPOSICOES AUXILIARES'!G524</f>
        <v/>
      </c>
      <c r="G1578" s="64">
        <f>TRUNC(TRUNC(E1578,8)*F1578,2)</f>
        <v/>
      </c>
      <c r="L1578" t="n">
        <v>0.1312</v>
      </c>
      <c r="M1578" t="n">
        <v>24.23</v>
      </c>
      <c r="N1578">
        <f>(M1578-F1578)</f>
        <v/>
      </c>
    </row>
    <row r="1579" ht="21" customHeight="1">
      <c r="A1579" s="22" t="inlineStr">
        <is>
          <t>88267</t>
        </is>
      </c>
      <c r="B1579" s="23" t="inlineStr">
        <is>
          <t>ENCANADOR OU BOMBEIRO HIDRÁULICO COM ENCARGOS COMPLEMENTARES</t>
        </is>
      </c>
      <c r="C1579" s="22" t="inlineStr">
        <is>
          <t>SINAPI</t>
        </is>
      </c>
      <c r="D1579" s="22" t="inlineStr">
        <is>
          <t>H</t>
        </is>
      </c>
      <c r="E1579" s="63">
        <f>L1579*FATOR</f>
        <v/>
      </c>
      <c r="F1579" s="64">
        <f>'COMPOSICOES AUXILIARES'!G524</f>
        <v/>
      </c>
      <c r="G1579" s="64">
        <f>TRUNC(TRUNC(E1579,8)*F1579,2)</f>
        <v/>
      </c>
      <c r="L1579" t="n">
        <v>0.1312</v>
      </c>
      <c r="M1579" t="n">
        <v>29.86</v>
      </c>
      <c r="N1579">
        <f>(M1579-F1579)</f>
        <v/>
      </c>
    </row>
    <row r="1580" ht="18" customHeight="1">
      <c r="A1580" s="2" t="inlineStr"/>
      <c r="B1580" s="2" t="inlineStr"/>
      <c r="C1580" s="2" t="inlineStr"/>
      <c r="D1580" s="2" t="inlineStr"/>
      <c r="E1580" s="26" t="inlineStr">
        <is>
          <t>TOTAL Mão de Obra com Encargos Complementares:</t>
        </is>
      </c>
      <c r="F1580" s="56" t="n"/>
      <c r="G1580" s="65">
        <f>SUM(G1578:G1579)</f>
        <v/>
      </c>
    </row>
    <row r="1581" ht="15" customHeight="1">
      <c r="A1581" s="2" t="inlineStr"/>
      <c r="B1581" s="2" t="inlineStr"/>
      <c r="C1581" s="2" t="inlineStr"/>
      <c r="D1581" s="2" t="inlineStr"/>
      <c r="E1581" s="28" t="inlineStr">
        <is>
          <t>VALOR:</t>
        </is>
      </c>
      <c r="F1581" s="56" t="n"/>
      <c r="G1581" s="66">
        <f>SUM(G1576,G1580)</f>
        <v/>
      </c>
    </row>
    <row r="1582" ht="15" customHeight="1">
      <c r="A1582" s="2" t="inlineStr"/>
      <c r="B1582" s="2" t="inlineStr"/>
      <c r="C1582" s="2" t="inlineStr"/>
      <c r="D1582" s="2" t="inlineStr"/>
      <c r="E1582" s="28" t="inlineStr">
        <is>
          <t>VALOR BDI (23.08%):</t>
        </is>
      </c>
      <c r="F1582" s="56" t="n"/>
      <c r="G1582" s="66">
        <f>ROUNDDOWN(G1581*BDI,2)</f>
        <v/>
      </c>
    </row>
    <row r="1583" ht="15" customHeight="1">
      <c r="A1583" s="2" t="inlineStr"/>
      <c r="B1583" s="2" t="inlineStr"/>
      <c r="C1583" s="2" t="inlineStr"/>
      <c r="D1583" s="2" t="inlineStr"/>
      <c r="E1583" s="28" t="inlineStr">
        <is>
          <t>VALOR COM BDI:</t>
        </is>
      </c>
      <c r="F1583" s="56" t="n"/>
      <c r="G1583" s="66">
        <f>G1582 + G1581</f>
        <v/>
      </c>
    </row>
    <row r="1584" ht="10" customHeight="1">
      <c r="A1584" s="2" t="inlineStr"/>
      <c r="B1584" s="2" t="inlineStr"/>
      <c r="C1584" s="2" t="inlineStr"/>
      <c r="D1584" s="2" t="inlineStr"/>
      <c r="E1584" s="18" t="inlineStr"/>
    </row>
    <row r="1585" ht="20" customHeight="1">
      <c r="A1585" s="19" t="inlineStr">
        <is>
          <t>8.1.5.4. ​103980​ JOELHO 90 GRAUS, PVC, SOLDÁVEL, DN 40MM, INSTALADO EM RAMAL DE DISTRIBUIÇÃO DE ÁGUA - FORNECIMENTOE INSTALAÇÃO. AF_06/2022​ (UN)</t>
        </is>
      </c>
      <c r="B1585" s="55" t="n"/>
      <c r="C1585" s="55" t="n"/>
      <c r="D1585" s="55" t="n"/>
      <c r="E1585" s="55" t="n"/>
      <c r="F1585" s="55" t="n"/>
      <c r="G1585" s="56" t="n"/>
    </row>
    <row r="1586" ht="15" customHeight="1">
      <c r="A1586" s="20" t="inlineStr">
        <is>
          <t>Material</t>
        </is>
      </c>
      <c r="B1586" s="56" t="n"/>
      <c r="C1586" s="21" t="inlineStr">
        <is>
          <t>FONTE</t>
        </is>
      </c>
      <c r="D1586" s="21" t="inlineStr">
        <is>
          <t>UNID</t>
        </is>
      </c>
      <c r="E1586" s="21" t="inlineStr">
        <is>
          <t>COEFICIENTE</t>
        </is>
      </c>
      <c r="F1586" s="21" t="inlineStr">
        <is>
          <t>PREÇO UNITÁRIO</t>
        </is>
      </c>
      <c r="G1586" s="21" t="inlineStr">
        <is>
          <t>TOTAL</t>
        </is>
      </c>
    </row>
    <row r="1587" ht="15" customHeight="1">
      <c r="A1587" s="22" t="inlineStr">
        <is>
          <t>00000122</t>
        </is>
      </c>
      <c r="B1587" s="23" t="inlineStr">
        <is>
          <t>ADESIVO PLASTICO PARA PVC, FRASCO COM *850* GR</t>
        </is>
      </c>
      <c r="C1587" s="22" t="inlineStr">
        <is>
          <t>SINAPI</t>
        </is>
      </c>
      <c r="D1587" s="22" t="inlineStr">
        <is>
          <t>UN</t>
        </is>
      </c>
      <c r="E1587" s="63" t="n">
        <v>0.0118</v>
      </c>
      <c r="F1587" s="64">
        <f>ROUND(M1587*FATOR, 2)</f>
        <v/>
      </c>
      <c r="G1587" s="64">
        <f>TRUNC(TRUNC(E1587,8)*F1587,2)</f>
        <v/>
      </c>
      <c r="L1587" t="n">
        <v>0.0118</v>
      </c>
      <c r="M1587" t="n">
        <v>61.86</v>
      </c>
      <c r="N1587">
        <f>(M1587-F1587)</f>
        <v/>
      </c>
    </row>
    <row r="1588" ht="21" customHeight="1">
      <c r="A1588" s="22" t="inlineStr">
        <is>
          <t>00003535</t>
        </is>
      </c>
      <c r="B1588" s="23" t="inlineStr">
        <is>
          <t>JOELHO PVC, SOLDAVEL, 90 GRAUS, 40 MM, COR MARROM, PARA AGUA FRIA PREDIAL</t>
        </is>
      </c>
      <c r="C1588" s="22" t="inlineStr">
        <is>
          <t>SINAPI</t>
        </is>
      </c>
      <c r="D1588" s="22" t="inlineStr">
        <is>
          <t>UN</t>
        </is>
      </c>
      <c r="E1588" s="63" t="n">
        <v>1</v>
      </c>
      <c r="F1588" s="64">
        <f>ROUND(M1588*FATOR, 2)</f>
        <v/>
      </c>
      <c r="G1588" s="64">
        <f>TRUNC(TRUNC(E1588,8)*F1588,2)</f>
        <v/>
      </c>
      <c r="L1588" t="n">
        <v>1</v>
      </c>
      <c r="M1588" t="n">
        <v>6.14</v>
      </c>
      <c r="N1588">
        <f>(M1588-F1588)</f>
        <v/>
      </c>
    </row>
    <row r="1589" ht="15" customHeight="1">
      <c r="A1589" s="22" t="inlineStr">
        <is>
          <t>00038383</t>
        </is>
      </c>
      <c r="B1589" s="23" t="inlineStr">
        <is>
          <t>LIXA D'AGUA EM FOLHA, COR PRETA, GRAO 100</t>
        </is>
      </c>
      <c r="C1589" s="22" t="inlineStr">
        <is>
          <t>SINAPI</t>
        </is>
      </c>
      <c r="D1589" s="22" t="inlineStr">
        <is>
          <t>UN</t>
        </is>
      </c>
      <c r="E1589" s="63" t="n">
        <v>0.0427</v>
      </c>
      <c r="F1589" s="64">
        <f>ROUND(M1589*FATOR, 2)</f>
        <v/>
      </c>
      <c r="G1589" s="64">
        <f>TRUNC(TRUNC(E1589,8)*F1589,2)</f>
        <v/>
      </c>
      <c r="L1589" t="n">
        <v>0.0427</v>
      </c>
      <c r="M1589" t="n">
        <v>1.65</v>
      </c>
      <c r="N1589">
        <f>(M1589-F1589)</f>
        <v/>
      </c>
    </row>
    <row r="1590" ht="21" customHeight="1">
      <c r="A1590" s="22" t="inlineStr">
        <is>
          <t>00020083</t>
        </is>
      </c>
      <c r="B1590" s="23" t="inlineStr">
        <is>
          <t>SOLUCAO PREPARADORA / LIMPADORA PARA PVC, FRASCO COM 1000 CM3</t>
        </is>
      </c>
      <c r="C1590" s="22" t="inlineStr">
        <is>
          <t>SINAPI</t>
        </is>
      </c>
      <c r="D1590" s="22" t="inlineStr">
        <is>
          <t>UN</t>
        </is>
      </c>
      <c r="E1590" s="63" t="n">
        <v>0.014</v>
      </c>
      <c r="F1590" s="64">
        <f>ROUND(M1590*FATOR, 2)</f>
        <v/>
      </c>
      <c r="G1590" s="64">
        <f>TRUNC(TRUNC(E1590,8)*F1590,2)</f>
        <v/>
      </c>
      <c r="L1590" t="n">
        <v>0.014</v>
      </c>
      <c r="M1590" t="n">
        <v>70.08</v>
      </c>
      <c r="N1590">
        <f>(M1590-F1590)</f>
        <v/>
      </c>
    </row>
    <row r="1591" ht="15" customHeight="1">
      <c r="A1591" s="2" t="inlineStr"/>
      <c r="B1591" s="2" t="inlineStr"/>
      <c r="C1591" s="2" t="inlineStr"/>
      <c r="D1591" s="2" t="inlineStr"/>
      <c r="E1591" s="26" t="inlineStr">
        <is>
          <t>TOTAL Material:</t>
        </is>
      </c>
      <c r="F1591" s="56" t="n"/>
      <c r="G1591" s="65">
        <f>SUM(G1587:G1590)</f>
        <v/>
      </c>
    </row>
    <row r="1592" ht="15" customHeight="1">
      <c r="A1592" s="20" t="inlineStr">
        <is>
          <t>Mão de Obra com Encargos Complementares</t>
        </is>
      </c>
      <c r="B1592" s="56" t="n"/>
      <c r="C1592" s="21" t="inlineStr">
        <is>
          <t>FONTE</t>
        </is>
      </c>
      <c r="D1592" s="21" t="inlineStr">
        <is>
          <t>UNID</t>
        </is>
      </c>
      <c r="E1592" s="21" t="inlineStr">
        <is>
          <t>COEFICIENTE</t>
        </is>
      </c>
      <c r="F1592" s="21" t="inlineStr">
        <is>
          <t>PREÇO UNITÁRIO</t>
        </is>
      </c>
      <c r="G1592" s="21" t="inlineStr">
        <is>
          <t>TOTAL</t>
        </is>
      </c>
    </row>
    <row r="1593" ht="21" customHeight="1">
      <c r="A1593" s="22" t="inlineStr">
        <is>
          <t>88248</t>
        </is>
      </c>
      <c r="B1593" s="23" t="inlineStr">
        <is>
          <t>AUXILIAR DE ENCANADOR OU BOMBEIRO HIDRÁULICO COM ENCARGOS COMPLEMENTARES</t>
        </is>
      </c>
      <c r="C1593" s="22" t="inlineStr">
        <is>
          <t>SINAPI</t>
        </is>
      </c>
      <c r="D1593" s="22" t="inlineStr">
        <is>
          <t>H</t>
        </is>
      </c>
      <c r="E1593" s="63">
        <f>L1593*FATOR</f>
        <v/>
      </c>
      <c r="F1593" s="64">
        <f>'COMPOSICOES AUXILIARES'!G524</f>
        <v/>
      </c>
      <c r="G1593" s="64">
        <f>TRUNC(TRUNC(E1593,8)*F1593,2)</f>
        <v/>
      </c>
      <c r="L1593" t="n">
        <v>0.192</v>
      </c>
      <c r="M1593" t="n">
        <v>24.23</v>
      </c>
      <c r="N1593">
        <f>(M1593-F1593)</f>
        <v/>
      </c>
    </row>
    <row r="1594" ht="21" customHeight="1">
      <c r="A1594" s="22" t="inlineStr">
        <is>
          <t>88267</t>
        </is>
      </c>
      <c r="B1594" s="23" t="inlineStr">
        <is>
          <t>ENCANADOR OU BOMBEIRO HIDRÁULICO COM ENCARGOS COMPLEMENTARES</t>
        </is>
      </c>
      <c r="C1594" s="22" t="inlineStr">
        <is>
          <t>SINAPI</t>
        </is>
      </c>
      <c r="D1594" s="22" t="inlineStr">
        <is>
          <t>H</t>
        </is>
      </c>
      <c r="E1594" s="63">
        <f>L1594*FATOR</f>
        <v/>
      </c>
      <c r="F1594" s="64">
        <f>'COMPOSICOES AUXILIARES'!G524</f>
        <v/>
      </c>
      <c r="G1594" s="64">
        <f>TRUNC(TRUNC(E1594,8)*F1594,2)</f>
        <v/>
      </c>
      <c r="L1594" t="n">
        <v>0.192</v>
      </c>
      <c r="M1594" t="n">
        <v>29.86</v>
      </c>
      <c r="N1594">
        <f>(M1594-F1594)</f>
        <v/>
      </c>
    </row>
    <row r="1595" ht="18" customHeight="1">
      <c r="A1595" s="2" t="inlineStr"/>
      <c r="B1595" s="2" t="inlineStr"/>
      <c r="C1595" s="2" t="inlineStr"/>
      <c r="D1595" s="2" t="inlineStr"/>
      <c r="E1595" s="26" t="inlineStr">
        <is>
          <t>TOTAL Mão de Obra com Encargos Complementares:</t>
        </is>
      </c>
      <c r="F1595" s="56" t="n"/>
      <c r="G1595" s="65">
        <f>SUM(G1593:G1594)</f>
        <v/>
      </c>
    </row>
    <row r="1596" ht="15" customHeight="1">
      <c r="A1596" s="2" t="inlineStr"/>
      <c r="B1596" s="2" t="inlineStr"/>
      <c r="C1596" s="2" t="inlineStr"/>
      <c r="D1596" s="2" t="inlineStr"/>
      <c r="E1596" s="28" t="inlineStr">
        <is>
          <t>VALOR:</t>
        </is>
      </c>
      <c r="F1596" s="56" t="n"/>
      <c r="G1596" s="66">
        <f>SUM(G1595,G1591)</f>
        <v/>
      </c>
    </row>
    <row r="1597" ht="15" customHeight="1">
      <c r="A1597" s="2" t="inlineStr"/>
      <c r="B1597" s="2" t="inlineStr"/>
      <c r="C1597" s="2" t="inlineStr"/>
      <c r="D1597" s="2" t="inlineStr"/>
      <c r="E1597" s="28" t="inlineStr">
        <is>
          <t>VALOR BDI (23.08%):</t>
        </is>
      </c>
      <c r="F1597" s="56" t="n"/>
      <c r="G1597" s="66">
        <f>ROUNDDOWN(G1596*BDI,2)</f>
        <v/>
      </c>
    </row>
    <row r="1598" ht="15" customHeight="1">
      <c r="A1598" s="2" t="inlineStr"/>
      <c r="B1598" s="2" t="inlineStr"/>
      <c r="C1598" s="2" t="inlineStr"/>
      <c r="D1598" s="2" t="inlineStr"/>
      <c r="E1598" s="28" t="inlineStr">
        <is>
          <t>VALOR COM BDI:</t>
        </is>
      </c>
      <c r="F1598" s="56" t="n"/>
      <c r="G1598" s="66">
        <f>G1597 + G1596</f>
        <v/>
      </c>
    </row>
    <row r="1599" ht="10" customHeight="1">
      <c r="A1599" s="2" t="inlineStr"/>
      <c r="B1599" s="2" t="inlineStr"/>
      <c r="C1599" s="2" t="inlineStr"/>
      <c r="D1599" s="2" t="inlineStr"/>
      <c r="E1599" s="18" t="inlineStr"/>
    </row>
    <row r="1600" ht="20" customHeight="1">
      <c r="A1600" s="19" t="inlineStr">
        <is>
          <t>8.1.5.5. ​103985​ JOELHO 45 GRAUS, PVC, SOLDÁVEL, DN 50MM, INSTALADO EM RAMAL DE DISTRIBUIÇÃO DE ÁGUA - FORNECIMENTOE INSTALAÇÃO. AF_06/2022​ (UN)</t>
        </is>
      </c>
      <c r="B1600" s="55" t="n"/>
      <c r="C1600" s="55" t="n"/>
      <c r="D1600" s="55" t="n"/>
      <c r="E1600" s="55" t="n"/>
      <c r="F1600" s="55" t="n"/>
      <c r="G1600" s="56" t="n"/>
    </row>
    <row r="1601" ht="15" customHeight="1">
      <c r="A1601" s="20" t="inlineStr">
        <is>
          <t>Material</t>
        </is>
      </c>
      <c r="B1601" s="56" t="n"/>
      <c r="C1601" s="21" t="inlineStr">
        <is>
          <t>FONTE</t>
        </is>
      </c>
      <c r="D1601" s="21" t="inlineStr">
        <is>
          <t>UNID</t>
        </is>
      </c>
      <c r="E1601" s="21" t="inlineStr">
        <is>
          <t>COEFICIENTE</t>
        </is>
      </c>
      <c r="F1601" s="21" t="inlineStr">
        <is>
          <t>PREÇO UNITÁRIO</t>
        </is>
      </c>
      <c r="G1601" s="21" t="inlineStr">
        <is>
          <t>TOTAL</t>
        </is>
      </c>
    </row>
    <row r="1602" ht="15" customHeight="1">
      <c r="A1602" s="22" t="inlineStr">
        <is>
          <t>00000122</t>
        </is>
      </c>
      <c r="B1602" s="23" t="inlineStr">
        <is>
          <t>ADESIVO PLASTICO PARA PVC, FRASCO COM *850* GR</t>
        </is>
      </c>
      <c r="C1602" s="22" t="inlineStr">
        <is>
          <t>SINAPI</t>
        </is>
      </c>
      <c r="D1602" s="22" t="inlineStr">
        <is>
          <t>UN</t>
        </is>
      </c>
      <c r="E1602" s="63" t="n">
        <v>0.0165</v>
      </c>
      <c r="F1602" s="64">
        <f>ROUND(M1602*FATOR, 2)</f>
        <v/>
      </c>
      <c r="G1602" s="64">
        <f>TRUNC(TRUNC(E1602,8)*F1602,2)</f>
        <v/>
      </c>
      <c r="L1602" t="n">
        <v>0.0165</v>
      </c>
      <c r="M1602" t="n">
        <v>61.86</v>
      </c>
      <c r="N1602">
        <f>(M1602-F1602)</f>
        <v/>
      </c>
    </row>
    <row r="1603" ht="21" customHeight="1">
      <c r="A1603" s="22" t="inlineStr">
        <is>
          <t>00003503</t>
        </is>
      </c>
      <c r="B1603" s="23" t="inlineStr">
        <is>
          <t>JOELHO, PVC SOLDAVEL, 45 GRAUS, 50 MM, COR MARROM, PARA AGUA FRIA PREDIAL</t>
        </is>
      </c>
      <c r="C1603" s="22" t="inlineStr">
        <is>
          <t>SINAPI</t>
        </is>
      </c>
      <c r="D1603" s="22" t="inlineStr">
        <is>
          <t>UN</t>
        </is>
      </c>
      <c r="E1603" s="63" t="n">
        <v>1</v>
      </c>
      <c r="F1603" s="64">
        <f>ROUND(M1603*FATOR, 2)</f>
        <v/>
      </c>
      <c r="G1603" s="64">
        <f>TRUNC(TRUNC(E1603,8)*F1603,2)</f>
        <v/>
      </c>
      <c r="L1603" t="n">
        <v>1</v>
      </c>
      <c r="M1603" t="n">
        <v>7.79</v>
      </c>
      <c r="N1603">
        <f>(M1603-F1603)</f>
        <v/>
      </c>
    </row>
    <row r="1604" ht="15" customHeight="1">
      <c r="A1604" s="22" t="inlineStr">
        <is>
          <t>00038383</t>
        </is>
      </c>
      <c r="B1604" s="23" t="inlineStr">
        <is>
          <t>LIXA D'AGUA EM FOLHA, COR PRETA, GRAO 100</t>
        </is>
      </c>
      <c r="C1604" s="22" t="inlineStr">
        <is>
          <t>SINAPI</t>
        </is>
      </c>
      <c r="D1604" s="22" t="inlineStr">
        <is>
          <t>UN</t>
        </is>
      </c>
      <c r="E1604" s="63" t="n">
        <v>0.051</v>
      </c>
      <c r="F1604" s="64">
        <f>ROUND(M1604*FATOR, 2)</f>
        <v/>
      </c>
      <c r="G1604" s="64">
        <f>TRUNC(TRUNC(E1604,8)*F1604,2)</f>
        <v/>
      </c>
      <c r="L1604" t="n">
        <v>0.051</v>
      </c>
      <c r="M1604" t="n">
        <v>1.65</v>
      </c>
      <c r="N1604">
        <f>(M1604-F1604)</f>
        <v/>
      </c>
    </row>
    <row r="1605" ht="21" customHeight="1">
      <c r="A1605" s="22" t="inlineStr">
        <is>
          <t>00020083</t>
        </is>
      </c>
      <c r="B1605" s="23" t="inlineStr">
        <is>
          <t>SOLUCAO PREPARADORA / LIMPADORA PARA PVC, FRASCO COM 1000 CM3</t>
        </is>
      </c>
      <c r="C1605" s="22" t="inlineStr">
        <is>
          <t>SINAPI</t>
        </is>
      </c>
      <c r="D1605" s="22" t="inlineStr">
        <is>
          <t>UN</t>
        </is>
      </c>
      <c r="E1605" s="63" t="n">
        <v>0.022</v>
      </c>
      <c r="F1605" s="64">
        <f>ROUND(M1605*FATOR, 2)</f>
        <v/>
      </c>
      <c r="G1605" s="64">
        <f>TRUNC(TRUNC(E1605,8)*F1605,2)</f>
        <v/>
      </c>
      <c r="L1605" t="n">
        <v>0.022</v>
      </c>
      <c r="M1605" t="n">
        <v>70.08</v>
      </c>
      <c r="N1605">
        <f>(M1605-F1605)</f>
        <v/>
      </c>
    </row>
    <row r="1606" ht="15" customHeight="1">
      <c r="A1606" s="2" t="inlineStr"/>
      <c r="B1606" s="2" t="inlineStr"/>
      <c r="C1606" s="2" t="inlineStr"/>
      <c r="D1606" s="2" t="inlineStr"/>
      <c r="E1606" s="26" t="inlineStr">
        <is>
          <t>TOTAL Material:</t>
        </is>
      </c>
      <c r="F1606" s="56" t="n"/>
      <c r="G1606" s="65">
        <f>SUM(G1602:G1605)</f>
        <v/>
      </c>
    </row>
    <row r="1607" ht="15" customHeight="1">
      <c r="A1607" s="20" t="inlineStr">
        <is>
          <t>Mão de Obra com Encargos Complementares</t>
        </is>
      </c>
      <c r="B1607" s="56" t="n"/>
      <c r="C1607" s="21" t="inlineStr">
        <is>
          <t>FONTE</t>
        </is>
      </c>
      <c r="D1607" s="21" t="inlineStr">
        <is>
          <t>UNID</t>
        </is>
      </c>
      <c r="E1607" s="21" t="inlineStr">
        <is>
          <t>COEFICIENTE</t>
        </is>
      </c>
      <c r="F1607" s="21" t="inlineStr">
        <is>
          <t>PREÇO UNITÁRIO</t>
        </is>
      </c>
      <c r="G1607" s="21" t="inlineStr">
        <is>
          <t>TOTAL</t>
        </is>
      </c>
    </row>
    <row r="1608" ht="21" customHeight="1">
      <c r="A1608" s="22" t="inlineStr">
        <is>
          <t>88248</t>
        </is>
      </c>
      <c r="B1608" s="23" t="inlineStr">
        <is>
          <t>AUXILIAR DE ENCANADOR OU BOMBEIRO HIDRÁULICO COM ENCARGOS COMPLEMENTARES</t>
        </is>
      </c>
      <c r="C1608" s="22" t="inlineStr">
        <is>
          <t>SINAPI</t>
        </is>
      </c>
      <c r="D1608" s="22" t="inlineStr">
        <is>
          <t>H</t>
        </is>
      </c>
      <c r="E1608" s="63">
        <f>L1608*FATOR</f>
        <v/>
      </c>
      <c r="F1608" s="64">
        <f>'COMPOSICOES AUXILIARES'!G524</f>
        <v/>
      </c>
      <c r="G1608" s="64">
        <f>TRUNC(TRUNC(E1608,8)*F1608,2)</f>
        <v/>
      </c>
      <c r="L1608" t="n">
        <v>0.2294</v>
      </c>
      <c r="M1608" t="n">
        <v>24.23</v>
      </c>
      <c r="N1608">
        <f>(M1608-F1608)</f>
        <v/>
      </c>
    </row>
    <row r="1609" ht="21" customHeight="1">
      <c r="A1609" s="22" t="inlineStr">
        <is>
          <t>88267</t>
        </is>
      </c>
      <c r="B1609" s="23" t="inlineStr">
        <is>
          <t>ENCANADOR OU BOMBEIRO HIDRÁULICO COM ENCARGOS COMPLEMENTARES</t>
        </is>
      </c>
      <c r="C1609" s="22" t="inlineStr">
        <is>
          <t>SINAPI</t>
        </is>
      </c>
      <c r="D1609" s="22" t="inlineStr">
        <is>
          <t>H</t>
        </is>
      </c>
      <c r="E1609" s="63">
        <f>L1609*FATOR</f>
        <v/>
      </c>
      <c r="F1609" s="64">
        <f>'COMPOSICOES AUXILIARES'!G524</f>
        <v/>
      </c>
      <c r="G1609" s="64">
        <f>TRUNC(TRUNC(E1609,8)*F1609,2)</f>
        <v/>
      </c>
      <c r="L1609" t="n">
        <v>0.2294</v>
      </c>
      <c r="M1609" t="n">
        <v>29.86</v>
      </c>
      <c r="N1609">
        <f>(M1609-F1609)</f>
        <v/>
      </c>
    </row>
    <row r="1610" ht="18" customHeight="1">
      <c r="A1610" s="2" t="inlineStr"/>
      <c r="B1610" s="2" t="inlineStr"/>
      <c r="C1610" s="2" t="inlineStr"/>
      <c r="D1610" s="2" t="inlineStr"/>
      <c r="E1610" s="26" t="inlineStr">
        <is>
          <t>TOTAL Mão de Obra com Encargos Complementares:</t>
        </is>
      </c>
      <c r="F1610" s="56" t="n"/>
      <c r="G1610" s="65">
        <f>SUM(G1608:G1609)</f>
        <v/>
      </c>
    </row>
    <row r="1611" ht="15" customHeight="1">
      <c r="A1611" s="2" t="inlineStr"/>
      <c r="B1611" s="2" t="inlineStr"/>
      <c r="C1611" s="2" t="inlineStr"/>
      <c r="D1611" s="2" t="inlineStr"/>
      <c r="E1611" s="28" t="inlineStr">
        <is>
          <t>VALOR:</t>
        </is>
      </c>
      <c r="F1611" s="56" t="n"/>
      <c r="G1611" s="66">
        <f>SUM(G1610,G1606)</f>
        <v/>
      </c>
    </row>
    <row r="1612" ht="15" customHeight="1">
      <c r="A1612" s="2" t="inlineStr"/>
      <c r="B1612" s="2" t="inlineStr"/>
      <c r="C1612" s="2" t="inlineStr"/>
      <c r="D1612" s="2" t="inlineStr"/>
      <c r="E1612" s="28" t="inlineStr">
        <is>
          <t>VALOR BDI (23.08%):</t>
        </is>
      </c>
      <c r="F1612" s="56" t="n"/>
      <c r="G1612" s="66">
        <f>ROUNDDOWN(G1611*BDI,2)</f>
        <v/>
      </c>
    </row>
    <row r="1613" ht="15" customHeight="1">
      <c r="A1613" s="2" t="inlineStr"/>
      <c r="B1613" s="2" t="inlineStr"/>
      <c r="C1613" s="2" t="inlineStr"/>
      <c r="D1613" s="2" t="inlineStr"/>
      <c r="E1613" s="28" t="inlineStr">
        <is>
          <t>VALOR COM BDI:</t>
        </is>
      </c>
      <c r="F1613" s="56" t="n"/>
      <c r="G1613" s="66">
        <f>G1612 + G1611</f>
        <v/>
      </c>
    </row>
    <row r="1614" ht="10" customHeight="1">
      <c r="A1614" s="2" t="inlineStr"/>
      <c r="B1614" s="2" t="inlineStr"/>
      <c r="C1614" s="2" t="inlineStr"/>
      <c r="D1614" s="2" t="inlineStr"/>
      <c r="E1614" s="18" t="inlineStr"/>
    </row>
    <row r="1615" ht="20" customHeight="1">
      <c r="A1615" s="19" t="inlineStr">
        <is>
          <t>8.1.5.6. ​103984​ JOELHO 90 GRAUS, PVC, SOLDÁVEL, DN 50MM, INSTALADO EM RAMAL DE DISTRIBUIÇÃO DE ÁGUA - FORNECIMENTOE INSTALAÇÃO. AF_06/2022​ (UN)</t>
        </is>
      </c>
      <c r="B1615" s="55" t="n"/>
      <c r="C1615" s="55" t="n"/>
      <c r="D1615" s="55" t="n"/>
      <c r="E1615" s="55" t="n"/>
      <c r="F1615" s="55" t="n"/>
      <c r="G1615" s="56" t="n"/>
    </row>
    <row r="1616" ht="15" customHeight="1">
      <c r="A1616" s="20" t="inlineStr">
        <is>
          <t>Material</t>
        </is>
      </c>
      <c r="B1616" s="56" t="n"/>
      <c r="C1616" s="21" t="inlineStr">
        <is>
          <t>FONTE</t>
        </is>
      </c>
      <c r="D1616" s="21" t="inlineStr">
        <is>
          <t>UNID</t>
        </is>
      </c>
      <c r="E1616" s="21" t="inlineStr">
        <is>
          <t>COEFICIENTE</t>
        </is>
      </c>
      <c r="F1616" s="21" t="inlineStr">
        <is>
          <t>PREÇO UNITÁRIO</t>
        </is>
      </c>
      <c r="G1616" s="21" t="inlineStr">
        <is>
          <t>TOTAL</t>
        </is>
      </c>
    </row>
    <row r="1617" ht="15" customHeight="1">
      <c r="A1617" s="22" t="inlineStr">
        <is>
          <t>00000122</t>
        </is>
      </c>
      <c r="B1617" s="23" t="inlineStr">
        <is>
          <t>ADESIVO PLASTICO PARA PVC, FRASCO COM *850* GR</t>
        </is>
      </c>
      <c r="C1617" s="22" t="inlineStr">
        <is>
          <t>SINAPI</t>
        </is>
      </c>
      <c r="D1617" s="22" t="inlineStr">
        <is>
          <t>UN</t>
        </is>
      </c>
      <c r="E1617" s="63" t="n">
        <v>0.0165</v>
      </c>
      <c r="F1617" s="64">
        <f>ROUND(M1617*FATOR, 2)</f>
        <v/>
      </c>
      <c r="G1617" s="64">
        <f>TRUNC(TRUNC(E1617,8)*F1617,2)</f>
        <v/>
      </c>
      <c r="L1617" t="n">
        <v>0.0165</v>
      </c>
      <c r="M1617" t="n">
        <v>61.86</v>
      </c>
      <c r="N1617">
        <f>(M1617-F1617)</f>
        <v/>
      </c>
    </row>
    <row r="1618" ht="21" customHeight="1">
      <c r="A1618" s="22" t="inlineStr">
        <is>
          <t>00003540</t>
        </is>
      </c>
      <c r="B1618" s="23" t="inlineStr">
        <is>
          <t>JOELHO PVC, SOLDAVEL, 90 GRAUS, 50 MM, COR MARROM, PARA AGUA FRIA PREDIAL</t>
        </is>
      </c>
      <c r="C1618" s="22" t="inlineStr">
        <is>
          <t>SINAPI</t>
        </is>
      </c>
      <c r="D1618" s="22" t="inlineStr">
        <is>
          <t>UN</t>
        </is>
      </c>
      <c r="E1618" s="63" t="n">
        <v>1</v>
      </c>
      <c r="F1618" s="64">
        <f>ROUND(M1618*FATOR, 2)</f>
        <v/>
      </c>
      <c r="G1618" s="64">
        <f>TRUNC(TRUNC(E1618,8)*F1618,2)</f>
        <v/>
      </c>
      <c r="L1618" t="n">
        <v>1</v>
      </c>
      <c r="M1618" t="n">
        <v>5.19</v>
      </c>
      <c r="N1618">
        <f>(M1618-F1618)</f>
        <v/>
      </c>
    </row>
    <row r="1619" ht="15" customHeight="1">
      <c r="A1619" s="22" t="inlineStr">
        <is>
          <t>00038383</t>
        </is>
      </c>
      <c r="B1619" s="23" t="inlineStr">
        <is>
          <t>LIXA D'AGUA EM FOLHA, COR PRETA, GRAO 100</t>
        </is>
      </c>
      <c r="C1619" s="22" t="inlineStr">
        <is>
          <t>SINAPI</t>
        </is>
      </c>
      <c r="D1619" s="22" t="inlineStr">
        <is>
          <t>UN</t>
        </is>
      </c>
      <c r="E1619" s="63" t="n">
        <v>0.051</v>
      </c>
      <c r="F1619" s="64">
        <f>ROUND(M1619*FATOR, 2)</f>
        <v/>
      </c>
      <c r="G1619" s="64">
        <f>TRUNC(TRUNC(E1619,8)*F1619,2)</f>
        <v/>
      </c>
      <c r="L1619" t="n">
        <v>0.051</v>
      </c>
      <c r="M1619" t="n">
        <v>1.65</v>
      </c>
      <c r="N1619">
        <f>(M1619-F1619)</f>
        <v/>
      </c>
    </row>
    <row r="1620" ht="21" customHeight="1">
      <c r="A1620" s="22" t="inlineStr">
        <is>
          <t>00020083</t>
        </is>
      </c>
      <c r="B1620" s="23" t="inlineStr">
        <is>
          <t>SOLUCAO PREPARADORA / LIMPADORA PARA PVC, FRASCO COM 1000 CM3</t>
        </is>
      </c>
      <c r="C1620" s="22" t="inlineStr">
        <is>
          <t>SINAPI</t>
        </is>
      </c>
      <c r="D1620" s="22" t="inlineStr">
        <is>
          <t>UN</t>
        </is>
      </c>
      <c r="E1620" s="63" t="n">
        <v>0.022</v>
      </c>
      <c r="F1620" s="64">
        <f>ROUND(M1620*FATOR, 2)</f>
        <v/>
      </c>
      <c r="G1620" s="64">
        <f>TRUNC(TRUNC(E1620,8)*F1620,2)</f>
        <v/>
      </c>
      <c r="L1620" t="n">
        <v>0.022</v>
      </c>
      <c r="M1620" t="n">
        <v>70.08</v>
      </c>
      <c r="N1620">
        <f>(M1620-F1620)</f>
        <v/>
      </c>
    </row>
    <row r="1621" ht="15" customHeight="1">
      <c r="A1621" s="2" t="inlineStr"/>
      <c r="B1621" s="2" t="inlineStr"/>
      <c r="C1621" s="2" t="inlineStr"/>
      <c r="D1621" s="2" t="inlineStr"/>
      <c r="E1621" s="26" t="inlineStr">
        <is>
          <t>TOTAL Material:</t>
        </is>
      </c>
      <c r="F1621" s="56" t="n"/>
      <c r="G1621" s="65">
        <f>SUM(G1617:G1620)</f>
        <v/>
      </c>
    </row>
    <row r="1622" ht="15" customHeight="1">
      <c r="A1622" s="20" t="inlineStr">
        <is>
          <t>Mão de Obra com Encargos Complementares</t>
        </is>
      </c>
      <c r="B1622" s="56" t="n"/>
      <c r="C1622" s="21" t="inlineStr">
        <is>
          <t>FONTE</t>
        </is>
      </c>
      <c r="D1622" s="21" t="inlineStr">
        <is>
          <t>UNID</t>
        </is>
      </c>
      <c r="E1622" s="21" t="inlineStr">
        <is>
          <t>COEFICIENTE</t>
        </is>
      </c>
      <c r="F1622" s="21" t="inlineStr">
        <is>
          <t>PREÇO UNITÁRIO</t>
        </is>
      </c>
      <c r="G1622" s="21" t="inlineStr">
        <is>
          <t>TOTAL</t>
        </is>
      </c>
    </row>
    <row r="1623" ht="21" customHeight="1">
      <c r="A1623" s="22" t="inlineStr">
        <is>
          <t>88248</t>
        </is>
      </c>
      <c r="B1623" s="23" t="inlineStr">
        <is>
          <t>AUXILIAR DE ENCANADOR OU BOMBEIRO HIDRÁULICO COM ENCARGOS COMPLEMENTARES</t>
        </is>
      </c>
      <c r="C1623" s="22" t="inlineStr">
        <is>
          <t>SINAPI</t>
        </is>
      </c>
      <c r="D1623" s="22" t="inlineStr">
        <is>
          <t>H</t>
        </is>
      </c>
      <c r="E1623" s="63">
        <f>L1623*FATOR</f>
        <v/>
      </c>
      <c r="F1623" s="64">
        <f>'COMPOSICOES AUXILIARES'!G524</f>
        <v/>
      </c>
      <c r="G1623" s="64">
        <f>TRUNC(TRUNC(E1623,8)*F1623,2)</f>
        <v/>
      </c>
      <c r="L1623" t="n">
        <v>0.2294</v>
      </c>
      <c r="M1623" t="n">
        <v>24.23</v>
      </c>
      <c r="N1623">
        <f>(M1623-F1623)</f>
        <v/>
      </c>
    </row>
    <row r="1624" ht="21" customHeight="1">
      <c r="A1624" s="22" t="inlineStr">
        <is>
          <t>88267</t>
        </is>
      </c>
      <c r="B1624" s="23" t="inlineStr">
        <is>
          <t>ENCANADOR OU BOMBEIRO HIDRÁULICO COM ENCARGOS COMPLEMENTARES</t>
        </is>
      </c>
      <c r="C1624" s="22" t="inlineStr">
        <is>
          <t>SINAPI</t>
        </is>
      </c>
      <c r="D1624" s="22" t="inlineStr">
        <is>
          <t>H</t>
        </is>
      </c>
      <c r="E1624" s="63">
        <f>L1624*FATOR</f>
        <v/>
      </c>
      <c r="F1624" s="64">
        <f>'COMPOSICOES AUXILIARES'!G524</f>
        <v/>
      </c>
      <c r="G1624" s="64">
        <f>TRUNC(TRUNC(E1624,8)*F1624,2)</f>
        <v/>
      </c>
      <c r="L1624" t="n">
        <v>0.2294</v>
      </c>
      <c r="M1624" t="n">
        <v>29.86</v>
      </c>
      <c r="N1624">
        <f>(M1624-F1624)</f>
        <v/>
      </c>
    </row>
    <row r="1625" ht="18" customHeight="1">
      <c r="A1625" s="2" t="inlineStr"/>
      <c r="B1625" s="2" t="inlineStr"/>
      <c r="C1625" s="2" t="inlineStr"/>
      <c r="D1625" s="2" t="inlineStr"/>
      <c r="E1625" s="26" t="inlineStr">
        <is>
          <t>TOTAL Mão de Obra com Encargos Complementares:</t>
        </is>
      </c>
      <c r="F1625" s="56" t="n"/>
      <c r="G1625" s="65">
        <f>SUM(G1623:G1624)</f>
        <v/>
      </c>
    </row>
    <row r="1626" ht="15" customHeight="1">
      <c r="A1626" s="2" t="inlineStr"/>
      <c r="B1626" s="2" t="inlineStr"/>
      <c r="C1626" s="2" t="inlineStr"/>
      <c r="D1626" s="2" t="inlineStr"/>
      <c r="E1626" s="28" t="inlineStr">
        <is>
          <t>VALOR:</t>
        </is>
      </c>
      <c r="F1626" s="56" t="n"/>
      <c r="G1626" s="66">
        <f>SUM(G1625,G1621)</f>
        <v/>
      </c>
    </row>
    <row r="1627" ht="15" customHeight="1">
      <c r="A1627" s="2" t="inlineStr"/>
      <c r="B1627" s="2" t="inlineStr"/>
      <c r="C1627" s="2" t="inlineStr"/>
      <c r="D1627" s="2" t="inlineStr"/>
      <c r="E1627" s="28" t="inlineStr">
        <is>
          <t>VALOR BDI (23.08%):</t>
        </is>
      </c>
      <c r="F1627" s="56" t="n"/>
      <c r="G1627" s="66">
        <f>ROUNDDOWN(G1626*BDI,2)</f>
        <v/>
      </c>
    </row>
    <row r="1628" ht="15" customHeight="1">
      <c r="A1628" s="2" t="inlineStr"/>
      <c r="B1628" s="2" t="inlineStr"/>
      <c r="C1628" s="2" t="inlineStr"/>
      <c r="D1628" s="2" t="inlineStr"/>
      <c r="E1628" s="28" t="inlineStr">
        <is>
          <t>VALOR COM BDI:</t>
        </is>
      </c>
      <c r="F1628" s="56" t="n"/>
      <c r="G1628" s="66">
        <f>G1627 + G1626</f>
        <v/>
      </c>
    </row>
    <row r="1629" ht="10" customHeight="1">
      <c r="A1629" s="2" t="inlineStr"/>
      <c r="B1629" s="2" t="inlineStr"/>
      <c r="C1629" s="2" t="inlineStr"/>
      <c r="D1629" s="2" t="inlineStr"/>
      <c r="E1629" s="18" t="inlineStr"/>
    </row>
    <row r="1630" ht="20" customHeight="1">
      <c r="A1630" s="19" t="inlineStr">
        <is>
          <t>8.1.6.1. ​89395​ TE, PVC, SOLDÁVEL, DN 25MM, INSTALADO EM RAMAL OU SUB-RAMAL DE ÁGUA - FORNECIMENTO E INSTALAÇÃO.AF_06/2022​ (UN)</t>
        </is>
      </c>
      <c r="B1630" s="55" t="n"/>
      <c r="C1630" s="55" t="n"/>
      <c r="D1630" s="55" t="n"/>
      <c r="E1630" s="55" t="n"/>
      <c r="F1630" s="55" t="n"/>
      <c r="G1630" s="56" t="n"/>
    </row>
    <row r="1631" ht="15" customHeight="1">
      <c r="A1631" s="20" t="inlineStr">
        <is>
          <t>Material</t>
        </is>
      </c>
      <c r="B1631" s="56" t="n"/>
      <c r="C1631" s="21" t="inlineStr">
        <is>
          <t>FONTE</t>
        </is>
      </c>
      <c r="D1631" s="21" t="inlineStr">
        <is>
          <t>UNID</t>
        </is>
      </c>
      <c r="E1631" s="21" t="inlineStr">
        <is>
          <t>COEFICIENTE</t>
        </is>
      </c>
      <c r="F1631" s="21" t="inlineStr">
        <is>
          <t>PREÇO UNITÁRIO</t>
        </is>
      </c>
      <c r="G1631" s="21" t="inlineStr">
        <is>
          <t>TOTAL</t>
        </is>
      </c>
    </row>
    <row r="1632" ht="15" customHeight="1">
      <c r="A1632" s="22" t="inlineStr">
        <is>
          <t>00000122</t>
        </is>
      </c>
      <c r="B1632" s="23" t="inlineStr">
        <is>
          <t>ADESIVO PLASTICO PARA PVC, FRASCO COM *850* GR</t>
        </is>
      </c>
      <c r="C1632" s="22" t="inlineStr">
        <is>
          <t>SINAPI</t>
        </is>
      </c>
      <c r="D1632" s="22" t="inlineStr">
        <is>
          <t>UN</t>
        </is>
      </c>
      <c r="E1632" s="63" t="n">
        <v>0.0106</v>
      </c>
      <c r="F1632" s="64">
        <f>ROUND(M1632*FATOR, 2)</f>
        <v/>
      </c>
      <c r="G1632" s="64">
        <f>TRUNC(TRUNC(E1632,8)*F1632,2)</f>
        <v/>
      </c>
      <c r="L1632" t="n">
        <v>0.0106</v>
      </c>
      <c r="M1632" t="n">
        <v>61.86</v>
      </c>
      <c r="N1632">
        <f>(M1632-F1632)</f>
        <v/>
      </c>
    </row>
    <row r="1633" ht="15" customHeight="1">
      <c r="A1633" s="22" t="inlineStr">
        <is>
          <t>00038383</t>
        </is>
      </c>
      <c r="B1633" s="23" t="inlineStr">
        <is>
          <t>LIXA D'AGUA EM FOLHA, COR PRETA, GRAO 100</t>
        </is>
      </c>
      <c r="C1633" s="22" t="inlineStr">
        <is>
          <t>SINAPI</t>
        </is>
      </c>
      <c r="D1633" s="22" t="inlineStr">
        <is>
          <t>UN</t>
        </is>
      </c>
      <c r="E1633" s="63" t="n">
        <v>0.0507</v>
      </c>
      <c r="F1633" s="64">
        <f>ROUND(M1633*FATOR, 2)</f>
        <v/>
      </c>
      <c r="G1633" s="64">
        <f>TRUNC(TRUNC(E1633,8)*F1633,2)</f>
        <v/>
      </c>
      <c r="L1633" t="n">
        <v>0.0507</v>
      </c>
      <c r="M1633" t="n">
        <v>1.65</v>
      </c>
      <c r="N1633">
        <f>(M1633-F1633)</f>
        <v/>
      </c>
    </row>
    <row r="1634" ht="21" customHeight="1">
      <c r="A1634" s="22" t="inlineStr">
        <is>
          <t>00020083</t>
        </is>
      </c>
      <c r="B1634" s="23" t="inlineStr">
        <is>
          <t>SOLUCAO PREPARADORA / LIMPADORA PARA PVC, FRASCO COM 1000 CM3</t>
        </is>
      </c>
      <c r="C1634" s="22" t="inlineStr">
        <is>
          <t>SINAPI</t>
        </is>
      </c>
      <c r="D1634" s="22" t="inlineStr">
        <is>
          <t>UN</t>
        </is>
      </c>
      <c r="E1634" s="63" t="n">
        <v>0.012</v>
      </c>
      <c r="F1634" s="64">
        <f>ROUND(M1634*FATOR, 2)</f>
        <v/>
      </c>
      <c r="G1634" s="64">
        <f>TRUNC(TRUNC(E1634,8)*F1634,2)</f>
        <v/>
      </c>
      <c r="L1634" t="n">
        <v>0.012</v>
      </c>
      <c r="M1634" t="n">
        <v>70.08</v>
      </c>
      <c r="N1634">
        <f>(M1634-F1634)</f>
        <v/>
      </c>
    </row>
    <row r="1635" ht="21" customHeight="1">
      <c r="A1635" s="22" t="inlineStr">
        <is>
          <t>00007139</t>
        </is>
      </c>
      <c r="B1635" s="23" t="inlineStr">
        <is>
          <t>TE SOLDAVEL, PVC, 90 GRAUS, 25 MM, PARA AGUA FRIA PREDIAL (NBR 5648)</t>
        </is>
      </c>
      <c r="C1635" s="22" t="inlineStr">
        <is>
          <t>SINAPI</t>
        </is>
      </c>
      <c r="D1635" s="22" t="inlineStr">
        <is>
          <t>UN</t>
        </is>
      </c>
      <c r="E1635" s="63" t="n">
        <v>1</v>
      </c>
      <c r="F1635" s="64">
        <f>ROUND(M1635*FATOR, 2)</f>
        <v/>
      </c>
      <c r="G1635" s="64">
        <f>TRUNC(TRUNC(E1635,8)*F1635,2)</f>
        <v/>
      </c>
      <c r="L1635" t="n">
        <v>1</v>
      </c>
      <c r="M1635" t="n">
        <v>1.25</v>
      </c>
      <c r="N1635">
        <f>(M1635-F1635)</f>
        <v/>
      </c>
    </row>
    <row r="1636" ht="15" customHeight="1">
      <c r="A1636" s="2" t="inlineStr"/>
      <c r="B1636" s="2" t="inlineStr"/>
      <c r="C1636" s="2" t="inlineStr"/>
      <c r="D1636" s="2" t="inlineStr"/>
      <c r="E1636" s="26" t="inlineStr">
        <is>
          <t>TOTAL Material:</t>
        </is>
      </c>
      <c r="F1636" s="56" t="n"/>
      <c r="G1636" s="65">
        <f>SUM(G1632:G1635)</f>
        <v/>
      </c>
    </row>
    <row r="1637" ht="15" customHeight="1">
      <c r="A1637" s="20" t="inlineStr">
        <is>
          <t>Mão de Obra com Encargos Complementares</t>
        </is>
      </c>
      <c r="B1637" s="56" t="n"/>
      <c r="C1637" s="21" t="inlineStr">
        <is>
          <t>FONTE</t>
        </is>
      </c>
      <c r="D1637" s="21" t="inlineStr">
        <is>
          <t>UNID</t>
        </is>
      </c>
      <c r="E1637" s="21" t="inlineStr">
        <is>
          <t>COEFICIENTE</t>
        </is>
      </c>
      <c r="F1637" s="21" t="inlineStr">
        <is>
          <t>PREÇO UNITÁRIO</t>
        </is>
      </c>
      <c r="G1637" s="21" t="inlineStr">
        <is>
          <t>TOTAL</t>
        </is>
      </c>
    </row>
    <row r="1638" ht="21" customHeight="1">
      <c r="A1638" s="22" t="inlineStr">
        <is>
          <t>88248</t>
        </is>
      </c>
      <c r="B1638" s="23" t="inlineStr">
        <is>
          <t>AUXILIAR DE ENCANADOR OU BOMBEIRO HIDRÁULICO COM ENCARGOS COMPLEMENTARES</t>
        </is>
      </c>
      <c r="C1638" s="22" t="inlineStr">
        <is>
          <t>SINAPI</t>
        </is>
      </c>
      <c r="D1638" s="22" t="inlineStr">
        <is>
          <t>H</t>
        </is>
      </c>
      <c r="E1638" s="63">
        <f>L1638*FATOR</f>
        <v/>
      </c>
      <c r="F1638" s="64">
        <f>'COMPOSICOES AUXILIARES'!G524</f>
        <v/>
      </c>
      <c r="G1638" s="64">
        <f>TRUNC(TRUNC(E1638,8)*F1638,2)</f>
        <v/>
      </c>
      <c r="L1638" t="n">
        <v>0.2026</v>
      </c>
      <c r="M1638" t="n">
        <v>24.23</v>
      </c>
      <c r="N1638">
        <f>(M1638-F1638)</f>
        <v/>
      </c>
    </row>
    <row r="1639" ht="21" customHeight="1">
      <c r="A1639" s="22" t="inlineStr">
        <is>
          <t>88267</t>
        </is>
      </c>
      <c r="B1639" s="23" t="inlineStr">
        <is>
          <t>ENCANADOR OU BOMBEIRO HIDRÁULICO COM ENCARGOS COMPLEMENTARES</t>
        </is>
      </c>
      <c r="C1639" s="22" t="inlineStr">
        <is>
          <t>SINAPI</t>
        </is>
      </c>
      <c r="D1639" s="22" t="inlineStr">
        <is>
          <t>H</t>
        </is>
      </c>
      <c r="E1639" s="63">
        <f>L1639*FATOR</f>
        <v/>
      </c>
      <c r="F1639" s="64">
        <f>'COMPOSICOES AUXILIARES'!G524</f>
        <v/>
      </c>
      <c r="G1639" s="64">
        <f>TRUNC(TRUNC(E1639,8)*F1639,2)</f>
        <v/>
      </c>
      <c r="L1639" t="n">
        <v>0.2026</v>
      </c>
      <c r="M1639" t="n">
        <v>29.86</v>
      </c>
      <c r="N1639">
        <f>(M1639-F1639)</f>
        <v/>
      </c>
    </row>
    <row r="1640" ht="18" customHeight="1">
      <c r="A1640" s="2" t="inlineStr"/>
      <c r="B1640" s="2" t="inlineStr"/>
      <c r="C1640" s="2" t="inlineStr"/>
      <c r="D1640" s="2" t="inlineStr"/>
      <c r="E1640" s="26" t="inlineStr">
        <is>
          <t>TOTAL Mão de Obra com Encargos Complementares:</t>
        </is>
      </c>
      <c r="F1640" s="56" t="n"/>
      <c r="G1640" s="65">
        <f>SUM(G1638:G1639)</f>
        <v/>
      </c>
    </row>
    <row r="1641" ht="15" customHeight="1">
      <c r="A1641" s="2" t="inlineStr"/>
      <c r="B1641" s="2" t="inlineStr"/>
      <c r="C1641" s="2" t="inlineStr"/>
      <c r="D1641" s="2" t="inlineStr"/>
      <c r="E1641" s="28" t="inlineStr">
        <is>
          <t>VALOR:</t>
        </is>
      </c>
      <c r="F1641" s="56" t="n"/>
      <c r="G1641" s="66">
        <f>SUM(G1640,G1636)</f>
        <v/>
      </c>
    </row>
    <row r="1642" ht="15" customHeight="1">
      <c r="A1642" s="2" t="inlineStr"/>
      <c r="B1642" s="2" t="inlineStr"/>
      <c r="C1642" s="2" t="inlineStr"/>
      <c r="D1642" s="2" t="inlineStr"/>
      <c r="E1642" s="28" t="inlineStr">
        <is>
          <t>VALOR BDI (23.08%):</t>
        </is>
      </c>
      <c r="F1642" s="56" t="n"/>
      <c r="G1642" s="66">
        <f>ROUNDDOWN(G1641*BDI,2)</f>
        <v/>
      </c>
    </row>
    <row r="1643" ht="15" customHeight="1">
      <c r="A1643" s="2" t="inlineStr"/>
      <c r="B1643" s="2" t="inlineStr"/>
      <c r="C1643" s="2" t="inlineStr"/>
      <c r="D1643" s="2" t="inlineStr"/>
      <c r="E1643" s="28" t="inlineStr">
        <is>
          <t>VALOR COM BDI:</t>
        </is>
      </c>
      <c r="F1643" s="56" t="n"/>
      <c r="G1643" s="66">
        <f>G1642 + G1641</f>
        <v/>
      </c>
    </row>
    <row r="1644" ht="10" customHeight="1">
      <c r="A1644" s="2" t="inlineStr"/>
      <c r="B1644" s="2" t="inlineStr"/>
      <c r="C1644" s="2" t="inlineStr"/>
      <c r="D1644" s="2" t="inlineStr"/>
      <c r="E1644" s="18" t="inlineStr"/>
    </row>
    <row r="1645" ht="20" customHeight="1">
      <c r="A1645" s="19" t="inlineStr">
        <is>
          <t>8.1.6.2. ​104011​ TE, PVC, SOLDÁVEL, DN 40MM, INSTALADO EM RAMAL DE DISTRIBUIÇÃO DE ÁGUA - FORNECIMENTO E INSTALAÇÃO.AF_06/2022​ (UN)</t>
        </is>
      </c>
      <c r="B1645" s="55" t="n"/>
      <c r="C1645" s="55" t="n"/>
      <c r="D1645" s="55" t="n"/>
      <c r="E1645" s="55" t="n"/>
      <c r="F1645" s="55" t="n"/>
      <c r="G1645" s="56" t="n"/>
    </row>
    <row r="1646" ht="15" customHeight="1">
      <c r="A1646" s="20" t="inlineStr">
        <is>
          <t>Material</t>
        </is>
      </c>
      <c r="B1646" s="56" t="n"/>
      <c r="C1646" s="21" t="inlineStr">
        <is>
          <t>FONTE</t>
        </is>
      </c>
      <c r="D1646" s="21" t="inlineStr">
        <is>
          <t>UNID</t>
        </is>
      </c>
      <c r="E1646" s="21" t="inlineStr">
        <is>
          <t>COEFICIENTE</t>
        </is>
      </c>
      <c r="F1646" s="21" t="inlineStr">
        <is>
          <t>PREÇO UNITÁRIO</t>
        </is>
      </c>
      <c r="G1646" s="21" t="inlineStr">
        <is>
          <t>TOTAL</t>
        </is>
      </c>
    </row>
    <row r="1647" ht="15" customHeight="1">
      <c r="A1647" s="22" t="inlineStr">
        <is>
          <t>00000122</t>
        </is>
      </c>
      <c r="B1647" s="23" t="inlineStr">
        <is>
          <t>ADESIVO PLASTICO PARA PVC, FRASCO COM *850* GR</t>
        </is>
      </c>
      <c r="C1647" s="22" t="inlineStr">
        <is>
          <t>SINAPI</t>
        </is>
      </c>
      <c r="D1647" s="22" t="inlineStr">
        <is>
          <t>UN</t>
        </is>
      </c>
      <c r="E1647" s="63" t="n">
        <v>0.0176</v>
      </c>
      <c r="F1647" s="64">
        <f>ROUND(M1647*FATOR, 2)</f>
        <v/>
      </c>
      <c r="G1647" s="64">
        <f>TRUNC(TRUNC(E1647,8)*F1647,2)</f>
        <v/>
      </c>
      <c r="L1647" t="n">
        <v>0.0176</v>
      </c>
      <c r="M1647" t="n">
        <v>61.86</v>
      </c>
      <c r="N1647">
        <f>(M1647-F1647)</f>
        <v/>
      </c>
    </row>
    <row r="1648" ht="15" customHeight="1">
      <c r="A1648" s="22" t="inlineStr">
        <is>
          <t>00038383</t>
        </is>
      </c>
      <c r="B1648" s="23" t="inlineStr">
        <is>
          <t>LIXA D'AGUA EM FOLHA, COR PRETA, GRAO 100</t>
        </is>
      </c>
      <c r="C1648" s="22" t="inlineStr">
        <is>
          <t>SINAPI</t>
        </is>
      </c>
      <c r="D1648" s="22" t="inlineStr">
        <is>
          <t>UN</t>
        </is>
      </c>
      <c r="E1648" s="63" t="n">
        <v>0.0641</v>
      </c>
      <c r="F1648" s="64">
        <f>ROUND(M1648*FATOR, 2)</f>
        <v/>
      </c>
      <c r="G1648" s="64">
        <f>TRUNC(TRUNC(E1648,8)*F1648,2)</f>
        <v/>
      </c>
      <c r="L1648" t="n">
        <v>0.0641</v>
      </c>
      <c r="M1648" t="n">
        <v>1.65</v>
      </c>
      <c r="N1648">
        <f>(M1648-F1648)</f>
        <v/>
      </c>
    </row>
    <row r="1649" ht="21" customHeight="1">
      <c r="A1649" s="22" t="inlineStr">
        <is>
          <t>00020083</t>
        </is>
      </c>
      <c r="B1649" s="23" t="inlineStr">
        <is>
          <t>SOLUCAO PREPARADORA / LIMPADORA PARA PVC, FRASCO COM 1000 CM3</t>
        </is>
      </c>
      <c r="C1649" s="22" t="inlineStr">
        <is>
          <t>SINAPI</t>
        </is>
      </c>
      <c r="D1649" s="22" t="inlineStr">
        <is>
          <t>UN</t>
        </is>
      </c>
      <c r="E1649" s="63" t="n">
        <v>0.021</v>
      </c>
      <c r="F1649" s="64">
        <f>ROUND(M1649*FATOR, 2)</f>
        <v/>
      </c>
      <c r="G1649" s="64">
        <f>TRUNC(TRUNC(E1649,8)*F1649,2)</f>
        <v/>
      </c>
      <c r="L1649" t="n">
        <v>0.021</v>
      </c>
      <c r="M1649" t="n">
        <v>70.08</v>
      </c>
      <c r="N1649">
        <f>(M1649-F1649)</f>
        <v/>
      </c>
    </row>
    <row r="1650" ht="21" customHeight="1">
      <c r="A1650" s="22" t="inlineStr">
        <is>
          <t>00007141</t>
        </is>
      </c>
      <c r="B1650" s="23" t="inlineStr">
        <is>
          <t>TE SOLDAVEL, PVC, 90 GRAUS, 40 MM, PARA AGUA FRIA PREDIAL (NBR 5648)</t>
        </is>
      </c>
      <c r="C1650" s="22" t="inlineStr">
        <is>
          <t>SINAPI</t>
        </is>
      </c>
      <c r="D1650" s="22" t="inlineStr">
        <is>
          <t>UN</t>
        </is>
      </c>
      <c r="E1650" s="63" t="n">
        <v>1</v>
      </c>
      <c r="F1650" s="64">
        <f>ROUND(M1650*FATOR, 2)</f>
        <v/>
      </c>
      <c r="G1650" s="64">
        <f>TRUNC(TRUNC(E1650,8)*F1650,2)</f>
        <v/>
      </c>
      <c r="L1650" t="n">
        <v>1</v>
      </c>
      <c r="M1650" t="n">
        <v>9.59</v>
      </c>
      <c r="N1650">
        <f>(M1650-F1650)</f>
        <v/>
      </c>
    </row>
    <row r="1651" ht="15" customHeight="1">
      <c r="A1651" s="2" t="inlineStr"/>
      <c r="B1651" s="2" t="inlineStr"/>
      <c r="C1651" s="2" t="inlineStr"/>
      <c r="D1651" s="2" t="inlineStr"/>
      <c r="E1651" s="26" t="inlineStr">
        <is>
          <t>TOTAL Material:</t>
        </is>
      </c>
      <c r="F1651" s="56" t="n"/>
      <c r="G1651" s="65">
        <f>SUM(G1647:G1650)</f>
        <v/>
      </c>
    </row>
    <row r="1652" ht="15" customHeight="1">
      <c r="A1652" s="20" t="inlineStr">
        <is>
          <t>Mão de Obra com Encargos Complementares</t>
        </is>
      </c>
      <c r="B1652" s="56" t="n"/>
      <c r="C1652" s="21" t="inlineStr">
        <is>
          <t>FONTE</t>
        </is>
      </c>
      <c r="D1652" s="21" t="inlineStr">
        <is>
          <t>UNID</t>
        </is>
      </c>
      <c r="E1652" s="21" t="inlineStr">
        <is>
          <t>COEFICIENTE</t>
        </is>
      </c>
      <c r="F1652" s="21" t="inlineStr">
        <is>
          <t>PREÇO UNITÁRIO</t>
        </is>
      </c>
      <c r="G1652" s="21" t="inlineStr">
        <is>
          <t>TOTAL</t>
        </is>
      </c>
    </row>
    <row r="1653" ht="21" customHeight="1">
      <c r="A1653" s="22" t="inlineStr">
        <is>
          <t>88248</t>
        </is>
      </c>
      <c r="B1653" s="23" t="inlineStr">
        <is>
          <t>AUXILIAR DE ENCANADOR OU BOMBEIRO HIDRÁULICO COM ENCARGOS COMPLEMENTARES</t>
        </is>
      </c>
      <c r="C1653" s="22" t="inlineStr">
        <is>
          <t>SINAPI</t>
        </is>
      </c>
      <c r="D1653" s="22" t="inlineStr">
        <is>
          <t>H</t>
        </is>
      </c>
      <c r="E1653" s="63">
        <f>L1653*FATOR</f>
        <v/>
      </c>
      <c r="F1653" s="64">
        <f>'COMPOSICOES AUXILIARES'!G524</f>
        <v/>
      </c>
      <c r="G1653" s="64">
        <f>TRUNC(TRUNC(E1653,8)*F1653,2)</f>
        <v/>
      </c>
      <c r="L1653" t="n">
        <v>0.256</v>
      </c>
      <c r="M1653" t="n">
        <v>24.23</v>
      </c>
      <c r="N1653">
        <f>(M1653-F1653)</f>
        <v/>
      </c>
    </row>
    <row r="1654" ht="21" customHeight="1">
      <c r="A1654" s="22" t="inlineStr">
        <is>
          <t>88267</t>
        </is>
      </c>
      <c r="B1654" s="23" t="inlineStr">
        <is>
          <t>ENCANADOR OU BOMBEIRO HIDRÁULICO COM ENCARGOS COMPLEMENTARES</t>
        </is>
      </c>
      <c r="C1654" s="22" t="inlineStr">
        <is>
          <t>SINAPI</t>
        </is>
      </c>
      <c r="D1654" s="22" t="inlineStr">
        <is>
          <t>H</t>
        </is>
      </c>
      <c r="E1654" s="63">
        <f>L1654*FATOR</f>
        <v/>
      </c>
      <c r="F1654" s="64">
        <f>'COMPOSICOES AUXILIARES'!G524</f>
        <v/>
      </c>
      <c r="G1654" s="64">
        <f>TRUNC(TRUNC(E1654,8)*F1654,2)</f>
        <v/>
      </c>
      <c r="L1654" t="n">
        <v>0.256</v>
      </c>
      <c r="M1654" t="n">
        <v>29.86</v>
      </c>
      <c r="N1654">
        <f>(M1654-F1654)</f>
        <v/>
      </c>
    </row>
    <row r="1655" ht="18" customHeight="1">
      <c r="A1655" s="2" t="inlineStr"/>
      <c r="B1655" s="2" t="inlineStr"/>
      <c r="C1655" s="2" t="inlineStr"/>
      <c r="D1655" s="2" t="inlineStr"/>
      <c r="E1655" s="26" t="inlineStr">
        <is>
          <t>TOTAL Mão de Obra com Encargos Complementares:</t>
        </is>
      </c>
      <c r="F1655" s="56" t="n"/>
      <c r="G1655" s="65">
        <f>SUM(G1653:G1654)</f>
        <v/>
      </c>
    </row>
    <row r="1656" ht="15" customHeight="1">
      <c r="A1656" s="2" t="inlineStr"/>
      <c r="B1656" s="2" t="inlineStr"/>
      <c r="C1656" s="2" t="inlineStr"/>
      <c r="D1656" s="2" t="inlineStr"/>
      <c r="E1656" s="28" t="inlineStr">
        <is>
          <t>VALOR:</t>
        </is>
      </c>
      <c r="F1656" s="56" t="n"/>
      <c r="G1656" s="66">
        <f>SUM(G1651,G1655)</f>
        <v/>
      </c>
    </row>
    <row r="1657" ht="15" customHeight="1">
      <c r="A1657" s="2" t="inlineStr"/>
      <c r="B1657" s="2" t="inlineStr"/>
      <c r="C1657" s="2" t="inlineStr"/>
      <c r="D1657" s="2" t="inlineStr"/>
      <c r="E1657" s="28" t="inlineStr">
        <is>
          <t>VALOR BDI (23.08%):</t>
        </is>
      </c>
      <c r="F1657" s="56" t="n"/>
      <c r="G1657" s="66">
        <f>ROUNDDOWN(G1656*BDI,2)</f>
        <v/>
      </c>
    </row>
    <row r="1658" ht="15" customHeight="1">
      <c r="A1658" s="2" t="inlineStr"/>
      <c r="B1658" s="2" t="inlineStr"/>
      <c r="C1658" s="2" t="inlineStr"/>
      <c r="D1658" s="2" t="inlineStr"/>
      <c r="E1658" s="28" t="inlineStr">
        <is>
          <t>VALOR COM BDI:</t>
        </is>
      </c>
      <c r="F1658" s="56" t="n"/>
      <c r="G1658" s="66">
        <f>G1657 + G1656</f>
        <v/>
      </c>
    </row>
    <row r="1659" ht="10" customHeight="1">
      <c r="A1659" s="2" t="inlineStr"/>
      <c r="B1659" s="2" t="inlineStr"/>
      <c r="C1659" s="2" t="inlineStr"/>
      <c r="D1659" s="2" t="inlineStr"/>
      <c r="E1659" s="18" t="inlineStr"/>
    </row>
    <row r="1660" ht="20" customHeight="1">
      <c r="A1660" s="19" t="inlineStr">
        <is>
          <t>8.1.6.3. ​104006​ TÊ DE REDUÇÃO, PVC, SOLDÁVEL, DN 50MM X 25MM, INSTALADO EM RAMAL DE DISTRIBUIÇÃO DE ÁGUA - FORNECIMENTOE INSTALAÇÃO. AF_06/2022​ (UN)</t>
        </is>
      </c>
      <c r="B1660" s="55" t="n"/>
      <c r="C1660" s="55" t="n"/>
      <c r="D1660" s="55" t="n"/>
      <c r="E1660" s="55" t="n"/>
      <c r="F1660" s="55" t="n"/>
      <c r="G1660" s="56" t="n"/>
    </row>
    <row r="1661" ht="15" customHeight="1">
      <c r="A1661" s="20" t="inlineStr">
        <is>
          <t>Material</t>
        </is>
      </c>
      <c r="B1661" s="56" t="n"/>
      <c r="C1661" s="21" t="inlineStr">
        <is>
          <t>FONTE</t>
        </is>
      </c>
      <c r="D1661" s="21" t="inlineStr">
        <is>
          <t>UNID</t>
        </is>
      </c>
      <c r="E1661" s="21" t="inlineStr">
        <is>
          <t>COEFICIENTE</t>
        </is>
      </c>
      <c r="F1661" s="21" t="inlineStr">
        <is>
          <t>PREÇO UNITÁRIO</t>
        </is>
      </c>
      <c r="G1661" s="21" t="inlineStr">
        <is>
          <t>TOTAL</t>
        </is>
      </c>
    </row>
    <row r="1662" ht="15" customHeight="1">
      <c r="A1662" s="22" t="inlineStr">
        <is>
          <t>00000122</t>
        </is>
      </c>
      <c r="B1662" s="23" t="inlineStr">
        <is>
          <t>ADESIVO PLASTICO PARA PVC, FRASCO COM *850* GR</t>
        </is>
      </c>
      <c r="C1662" s="22" t="inlineStr">
        <is>
          <t>SINAPI</t>
        </is>
      </c>
      <c r="D1662" s="22" t="inlineStr">
        <is>
          <t>UN</t>
        </is>
      </c>
      <c r="E1662" s="63" t="n">
        <v>0.0176</v>
      </c>
      <c r="F1662" s="64">
        <f>ROUND(M1662*FATOR, 2)</f>
        <v/>
      </c>
      <c r="G1662" s="64">
        <f>TRUNC(TRUNC(E1662,8)*F1662,2)</f>
        <v/>
      </c>
      <c r="L1662" t="n">
        <v>0.0176</v>
      </c>
      <c r="M1662" t="n">
        <v>61.86</v>
      </c>
      <c r="N1662">
        <f>(M1662-F1662)</f>
        <v/>
      </c>
    </row>
    <row r="1663" ht="15" customHeight="1">
      <c r="A1663" s="22" t="inlineStr">
        <is>
          <t>00038383</t>
        </is>
      </c>
      <c r="B1663" s="23" t="inlineStr">
        <is>
          <t>LIXA D'AGUA EM FOLHA, COR PRETA, GRAO 100</t>
        </is>
      </c>
      <c r="C1663" s="22" t="inlineStr">
        <is>
          <t>SINAPI</t>
        </is>
      </c>
      <c r="D1663" s="22" t="inlineStr">
        <is>
          <t>UN</t>
        </is>
      </c>
      <c r="E1663" s="63" t="n">
        <v>0.06610000000000001</v>
      </c>
      <c r="F1663" s="64">
        <f>ROUND(M1663*FATOR, 2)</f>
        <v/>
      </c>
      <c r="G1663" s="64">
        <f>TRUNC(TRUNC(E1663,8)*F1663,2)</f>
        <v/>
      </c>
      <c r="L1663" t="n">
        <v>0.06610000000000001</v>
      </c>
      <c r="M1663" t="n">
        <v>1.65</v>
      </c>
      <c r="N1663">
        <f>(M1663-F1663)</f>
        <v/>
      </c>
    </row>
    <row r="1664" ht="21" customHeight="1">
      <c r="A1664" s="22" t="inlineStr">
        <is>
          <t>00020083</t>
        </is>
      </c>
      <c r="B1664" s="23" t="inlineStr">
        <is>
          <t>SOLUCAO PREPARADORA / LIMPADORA PARA PVC, FRASCO COM 1000 CM3</t>
        </is>
      </c>
      <c r="C1664" s="22" t="inlineStr">
        <is>
          <t>SINAPI</t>
        </is>
      </c>
      <c r="D1664" s="22" t="inlineStr">
        <is>
          <t>UN</t>
        </is>
      </c>
      <c r="E1664" s="63" t="n">
        <v>0.0225</v>
      </c>
      <c r="F1664" s="64">
        <f>ROUND(M1664*FATOR, 2)</f>
        <v/>
      </c>
      <c r="G1664" s="64">
        <f>TRUNC(TRUNC(E1664,8)*F1664,2)</f>
        <v/>
      </c>
      <c r="L1664" t="n">
        <v>0.0225</v>
      </c>
      <c r="M1664" t="n">
        <v>70.08</v>
      </c>
      <c r="N1664">
        <f>(M1664-F1664)</f>
        <v/>
      </c>
    </row>
    <row r="1665" ht="21" customHeight="1">
      <c r="A1665" s="22" t="inlineStr">
        <is>
          <t>00007129</t>
        </is>
      </c>
      <c r="B1665" s="23" t="inlineStr">
        <is>
          <t>TE DE REDUCAO, PVC, SOLDAVEL, 90 GRAUS, 50 MM X 25 MM, PARA AGUA FRIA PREDIAL</t>
        </is>
      </c>
      <c r="C1665" s="22" t="inlineStr">
        <is>
          <t>SINAPI</t>
        </is>
      </c>
      <c r="D1665" s="22" t="inlineStr">
        <is>
          <t>UN</t>
        </is>
      </c>
      <c r="E1665" s="63" t="n">
        <v>1</v>
      </c>
      <c r="F1665" s="64">
        <f>ROUND(M1665*FATOR, 2)</f>
        <v/>
      </c>
      <c r="G1665" s="64">
        <f>TRUNC(TRUNC(E1665,8)*F1665,2)</f>
        <v/>
      </c>
      <c r="L1665" t="n">
        <v>1</v>
      </c>
      <c r="M1665" t="n">
        <v>10.59</v>
      </c>
      <c r="N1665">
        <f>(M1665-F1665)</f>
        <v/>
      </c>
    </row>
    <row r="1666" ht="15" customHeight="1">
      <c r="A1666" s="2" t="inlineStr"/>
      <c r="B1666" s="2" t="inlineStr"/>
      <c r="C1666" s="2" t="inlineStr"/>
      <c r="D1666" s="2" t="inlineStr"/>
      <c r="E1666" s="26" t="inlineStr">
        <is>
          <t>TOTAL Material:</t>
        </is>
      </c>
      <c r="F1666" s="56" t="n"/>
      <c r="G1666" s="65">
        <f>SUM(G1662:G1665)</f>
        <v/>
      </c>
    </row>
    <row r="1667" ht="15" customHeight="1">
      <c r="A1667" s="20" t="inlineStr">
        <is>
          <t>Mão de Obra com Encargos Complementares</t>
        </is>
      </c>
      <c r="B1667" s="56" t="n"/>
      <c r="C1667" s="21" t="inlineStr">
        <is>
          <t>FONTE</t>
        </is>
      </c>
      <c r="D1667" s="21" t="inlineStr">
        <is>
          <t>UNID</t>
        </is>
      </c>
      <c r="E1667" s="21" t="inlineStr">
        <is>
          <t>COEFICIENTE</t>
        </is>
      </c>
      <c r="F1667" s="21" t="inlineStr">
        <is>
          <t>PREÇO UNITÁRIO</t>
        </is>
      </c>
      <c r="G1667" s="21" t="inlineStr">
        <is>
          <t>TOTAL</t>
        </is>
      </c>
    </row>
    <row r="1668" ht="21" customHeight="1">
      <c r="A1668" s="22" t="inlineStr">
        <is>
          <t>88248</t>
        </is>
      </c>
      <c r="B1668" s="23" t="inlineStr">
        <is>
          <t>AUXILIAR DE ENCANADOR OU BOMBEIRO HIDRÁULICO COM ENCARGOS COMPLEMENTARES</t>
        </is>
      </c>
      <c r="C1668" s="22" t="inlineStr">
        <is>
          <t>SINAPI</t>
        </is>
      </c>
      <c r="D1668" s="22" t="inlineStr">
        <is>
          <t>H</t>
        </is>
      </c>
      <c r="E1668" s="63">
        <f>L1668*FATOR</f>
        <v/>
      </c>
      <c r="F1668" s="64">
        <f>'COMPOSICOES AUXILIARES'!G524</f>
        <v/>
      </c>
      <c r="G1668" s="64">
        <f>TRUNC(TRUNC(E1668,8)*F1668,2)</f>
        <v/>
      </c>
      <c r="L1668" t="n">
        <v>0.2311</v>
      </c>
      <c r="M1668" t="n">
        <v>24.23</v>
      </c>
      <c r="N1668">
        <f>(M1668-F1668)</f>
        <v/>
      </c>
    </row>
    <row r="1669" ht="21" customHeight="1">
      <c r="A1669" s="22" t="inlineStr">
        <is>
          <t>88267</t>
        </is>
      </c>
      <c r="B1669" s="23" t="inlineStr">
        <is>
          <t>ENCANADOR OU BOMBEIRO HIDRÁULICO COM ENCARGOS COMPLEMENTARES</t>
        </is>
      </c>
      <c r="C1669" s="22" t="inlineStr">
        <is>
          <t>SINAPI</t>
        </is>
      </c>
      <c r="D1669" s="22" t="inlineStr">
        <is>
          <t>H</t>
        </is>
      </c>
      <c r="E1669" s="63">
        <f>L1669*FATOR</f>
        <v/>
      </c>
      <c r="F1669" s="64">
        <f>'COMPOSICOES AUXILIARES'!G524</f>
        <v/>
      </c>
      <c r="G1669" s="64">
        <f>TRUNC(TRUNC(E1669,8)*F1669,2)</f>
        <v/>
      </c>
      <c r="L1669" t="n">
        <v>0.2311</v>
      </c>
      <c r="M1669" t="n">
        <v>29.86</v>
      </c>
      <c r="N1669">
        <f>(M1669-F1669)</f>
        <v/>
      </c>
    </row>
    <row r="1670" ht="18" customHeight="1">
      <c r="A1670" s="2" t="inlineStr"/>
      <c r="B1670" s="2" t="inlineStr"/>
      <c r="C1670" s="2" t="inlineStr"/>
      <c r="D1670" s="2" t="inlineStr"/>
      <c r="E1670" s="26" t="inlineStr">
        <is>
          <t>TOTAL Mão de Obra com Encargos Complementares:</t>
        </is>
      </c>
      <c r="F1670" s="56" t="n"/>
      <c r="G1670" s="65">
        <f>SUM(G1668:G1669)</f>
        <v/>
      </c>
    </row>
    <row r="1671" ht="15" customHeight="1">
      <c r="A1671" s="2" t="inlineStr"/>
      <c r="B1671" s="2" t="inlineStr"/>
      <c r="C1671" s="2" t="inlineStr"/>
      <c r="D1671" s="2" t="inlineStr"/>
      <c r="E1671" s="28" t="inlineStr">
        <is>
          <t>VALOR:</t>
        </is>
      </c>
      <c r="F1671" s="56" t="n"/>
      <c r="G1671" s="66">
        <f>SUM(G1666,G1670)</f>
        <v/>
      </c>
    </row>
    <row r="1672" ht="15" customHeight="1">
      <c r="A1672" s="2" t="inlineStr"/>
      <c r="B1672" s="2" t="inlineStr"/>
      <c r="C1672" s="2" t="inlineStr"/>
      <c r="D1672" s="2" t="inlineStr"/>
      <c r="E1672" s="28" t="inlineStr">
        <is>
          <t>VALOR BDI (23.08%):</t>
        </is>
      </c>
      <c r="F1672" s="56" t="n"/>
      <c r="G1672" s="66">
        <f>ROUNDDOWN(G1671*BDI,2)</f>
        <v/>
      </c>
    </row>
    <row r="1673" ht="15" customHeight="1">
      <c r="A1673" s="2" t="inlineStr"/>
      <c r="B1673" s="2" t="inlineStr"/>
      <c r="C1673" s="2" t="inlineStr"/>
      <c r="D1673" s="2" t="inlineStr"/>
      <c r="E1673" s="28" t="inlineStr">
        <is>
          <t>VALOR COM BDI:</t>
        </is>
      </c>
      <c r="F1673" s="56" t="n"/>
      <c r="G1673" s="66">
        <f>G1672 + G1671</f>
        <v/>
      </c>
    </row>
    <row r="1674" ht="10" customHeight="1">
      <c r="A1674" s="2" t="inlineStr"/>
      <c r="B1674" s="2" t="inlineStr"/>
      <c r="C1674" s="2" t="inlineStr"/>
      <c r="D1674" s="2" t="inlineStr"/>
      <c r="E1674" s="18" t="inlineStr"/>
    </row>
    <row r="1675" ht="20" customHeight="1">
      <c r="A1675" s="19" t="inlineStr">
        <is>
          <t>8.1.6.4. ​89396​ TÊ COM BUCHA DE LATÃO NA BOLSA CENTRAL, PVC, SOLDÁVEL, DN 25MM X 1/2, INSTALADO EM RAMAL OU SUB-RAMAL DE ÁGUA - FORNECIMENTO E INSTALAÇÃO.AF_06/2022​ (UN)</t>
        </is>
      </c>
      <c r="B1675" s="55" t="n"/>
      <c r="C1675" s="55" t="n"/>
      <c r="D1675" s="55" t="n"/>
      <c r="E1675" s="55" t="n"/>
      <c r="F1675" s="55" t="n"/>
      <c r="G1675" s="56" t="n"/>
    </row>
    <row r="1676" ht="15" customHeight="1">
      <c r="A1676" s="20" t="inlineStr">
        <is>
          <t>Material</t>
        </is>
      </c>
      <c r="B1676" s="56" t="n"/>
      <c r="C1676" s="21" t="inlineStr">
        <is>
          <t>FONTE</t>
        </is>
      </c>
      <c r="D1676" s="21" t="inlineStr">
        <is>
          <t>UNID</t>
        </is>
      </c>
      <c r="E1676" s="21" t="inlineStr">
        <is>
          <t>COEFICIENTE</t>
        </is>
      </c>
      <c r="F1676" s="21" t="inlineStr">
        <is>
          <t>PREÇO UNITÁRIO</t>
        </is>
      </c>
      <c r="G1676" s="21" t="inlineStr">
        <is>
          <t>TOTAL</t>
        </is>
      </c>
    </row>
    <row r="1677" ht="15" customHeight="1">
      <c r="A1677" s="22" t="inlineStr">
        <is>
          <t>00000122</t>
        </is>
      </c>
      <c r="B1677" s="23" t="inlineStr">
        <is>
          <t>ADESIVO PLASTICO PARA PVC, FRASCO COM *850* GR</t>
        </is>
      </c>
      <c r="C1677" s="22" t="inlineStr">
        <is>
          <t>SINAPI</t>
        </is>
      </c>
      <c r="D1677" s="22" t="inlineStr">
        <is>
          <t>UN</t>
        </is>
      </c>
      <c r="E1677" s="63" t="n">
        <v>0.008800000000000001</v>
      </c>
      <c r="F1677" s="64">
        <f>ROUND(M1677*FATOR, 2)</f>
        <v/>
      </c>
      <c r="G1677" s="64">
        <f>TRUNC(TRUNC(E1677,8)*F1677,2)</f>
        <v/>
      </c>
      <c r="L1677" t="n">
        <v>0.008800000000000001</v>
      </c>
      <c r="M1677" t="n">
        <v>61.86</v>
      </c>
      <c r="N1677">
        <f>(M1677-F1677)</f>
        <v/>
      </c>
    </row>
    <row r="1678" ht="15" customHeight="1">
      <c r="A1678" s="22" t="inlineStr">
        <is>
          <t>00038383</t>
        </is>
      </c>
      <c r="B1678" s="23" t="inlineStr">
        <is>
          <t>LIXA D'AGUA EM FOLHA, COR PRETA, GRAO 100</t>
        </is>
      </c>
      <c r="C1678" s="22" t="inlineStr">
        <is>
          <t>SINAPI</t>
        </is>
      </c>
      <c r="D1678" s="22" t="inlineStr">
        <is>
          <t>UN</t>
        </is>
      </c>
      <c r="E1678" s="63" t="n">
        <v>0.0484</v>
      </c>
      <c r="F1678" s="64">
        <f>ROUND(M1678*FATOR, 2)</f>
        <v/>
      </c>
      <c r="G1678" s="64">
        <f>TRUNC(TRUNC(E1678,8)*F1678,2)</f>
        <v/>
      </c>
      <c r="L1678" t="n">
        <v>0.0484</v>
      </c>
      <c r="M1678" t="n">
        <v>1.65</v>
      </c>
      <c r="N1678">
        <f>(M1678-F1678)</f>
        <v/>
      </c>
    </row>
    <row r="1679" ht="21" customHeight="1">
      <c r="A1679" s="22" t="inlineStr">
        <is>
          <t>00020083</t>
        </is>
      </c>
      <c r="B1679" s="23" t="inlineStr">
        <is>
          <t>SOLUCAO PREPARADORA / LIMPADORA PARA PVC, FRASCO COM 1000 CM3</t>
        </is>
      </c>
      <c r="C1679" s="22" t="inlineStr">
        <is>
          <t>SINAPI</t>
        </is>
      </c>
      <c r="D1679" s="22" t="inlineStr">
        <is>
          <t>UN</t>
        </is>
      </c>
      <c r="E1679" s="63" t="n">
        <v>0.0105</v>
      </c>
      <c r="F1679" s="64">
        <f>ROUND(M1679*FATOR, 2)</f>
        <v/>
      </c>
      <c r="G1679" s="64">
        <f>TRUNC(TRUNC(E1679,8)*F1679,2)</f>
        <v/>
      </c>
      <c r="L1679" t="n">
        <v>0.0105</v>
      </c>
      <c r="M1679" t="n">
        <v>70.08</v>
      </c>
      <c r="N1679">
        <f>(M1679-F1679)</f>
        <v/>
      </c>
    </row>
    <row r="1680" ht="29" customHeight="1">
      <c r="A1680" s="22" t="inlineStr">
        <is>
          <t>00007137</t>
        </is>
      </c>
      <c r="B1680" s="23" t="inlineStr">
        <is>
          <t>TE PVC, SOLDAVEL, COM BUCHA DE LATAO NA BOLSA CENTRAL, 90 GRAUS, 25 MM X 1/2", PARA AGUA FRIA PREDIAL</t>
        </is>
      </c>
      <c r="C1680" s="22" t="inlineStr">
        <is>
          <t>SINAPI</t>
        </is>
      </c>
      <c r="D1680" s="22" t="inlineStr">
        <is>
          <t>UN</t>
        </is>
      </c>
      <c r="E1680" s="63" t="n">
        <v>1</v>
      </c>
      <c r="F1680" s="64">
        <f>ROUND(M1680*FATOR, 2)</f>
        <v/>
      </c>
      <c r="G1680" s="64">
        <f>TRUNC(TRUNC(E1680,8)*F1680,2)</f>
        <v/>
      </c>
      <c r="L1680" t="n">
        <v>1</v>
      </c>
      <c r="M1680" t="n">
        <v>10.41</v>
      </c>
      <c r="N1680">
        <f>(M1680-F1680)</f>
        <v/>
      </c>
    </row>
    <row r="1681" ht="15" customHeight="1">
      <c r="A1681" s="2" t="inlineStr"/>
      <c r="B1681" s="2" t="inlineStr"/>
      <c r="C1681" s="2" t="inlineStr"/>
      <c r="D1681" s="2" t="inlineStr"/>
      <c r="E1681" s="26" t="inlineStr">
        <is>
          <t>TOTAL Material:</t>
        </is>
      </c>
      <c r="F1681" s="56" t="n"/>
      <c r="G1681" s="65">
        <f>SUM(G1677:G1680)</f>
        <v/>
      </c>
    </row>
    <row r="1682" ht="15" customHeight="1">
      <c r="A1682" s="20" t="inlineStr">
        <is>
          <t>Mão de Obra com Encargos Complementares</t>
        </is>
      </c>
      <c r="B1682" s="56" t="n"/>
      <c r="C1682" s="21" t="inlineStr">
        <is>
          <t>FONTE</t>
        </is>
      </c>
      <c r="D1682" s="21" t="inlineStr">
        <is>
          <t>UNID</t>
        </is>
      </c>
      <c r="E1682" s="21" t="inlineStr">
        <is>
          <t>COEFICIENTE</t>
        </is>
      </c>
      <c r="F1682" s="21" t="inlineStr">
        <is>
          <t>PREÇO UNITÁRIO</t>
        </is>
      </c>
      <c r="G1682" s="21" t="inlineStr">
        <is>
          <t>TOTAL</t>
        </is>
      </c>
    </row>
    <row r="1683" ht="21" customHeight="1">
      <c r="A1683" s="22" t="inlineStr">
        <is>
          <t>88248</t>
        </is>
      </c>
      <c r="B1683" s="23" t="inlineStr">
        <is>
          <t>AUXILIAR DE ENCANADOR OU BOMBEIRO HIDRÁULICO COM ENCARGOS COMPLEMENTARES</t>
        </is>
      </c>
      <c r="C1683" s="22" t="inlineStr">
        <is>
          <t>SINAPI</t>
        </is>
      </c>
      <c r="D1683" s="22" t="inlineStr">
        <is>
          <t>H</t>
        </is>
      </c>
      <c r="E1683" s="63">
        <f>L1683*FATOR</f>
        <v/>
      </c>
      <c r="F1683" s="64">
        <f>'COMPOSICOES AUXILIARES'!G524</f>
        <v/>
      </c>
      <c r="G1683" s="64">
        <f>TRUNC(TRUNC(E1683,8)*F1683,2)</f>
        <v/>
      </c>
      <c r="L1683" t="n">
        <v>0.1748</v>
      </c>
      <c r="M1683" t="n">
        <v>24.23</v>
      </c>
      <c r="N1683">
        <f>(M1683-F1683)</f>
        <v/>
      </c>
    </row>
    <row r="1684" ht="21" customHeight="1">
      <c r="A1684" s="22" t="inlineStr">
        <is>
          <t>88267</t>
        </is>
      </c>
      <c r="B1684" s="23" t="inlineStr">
        <is>
          <t>ENCANADOR OU BOMBEIRO HIDRÁULICO COM ENCARGOS COMPLEMENTARES</t>
        </is>
      </c>
      <c r="C1684" s="22" t="inlineStr">
        <is>
          <t>SINAPI</t>
        </is>
      </c>
      <c r="D1684" s="22" t="inlineStr">
        <is>
          <t>H</t>
        </is>
      </c>
      <c r="E1684" s="63">
        <f>L1684*FATOR</f>
        <v/>
      </c>
      <c r="F1684" s="64">
        <f>'COMPOSICOES AUXILIARES'!G524</f>
        <v/>
      </c>
      <c r="G1684" s="64">
        <f>TRUNC(TRUNC(E1684,8)*F1684,2)</f>
        <v/>
      </c>
      <c r="L1684" t="n">
        <v>0.1748</v>
      </c>
      <c r="M1684" t="n">
        <v>29.86</v>
      </c>
      <c r="N1684">
        <f>(M1684-F1684)</f>
        <v/>
      </c>
    </row>
    <row r="1685" ht="18" customHeight="1">
      <c r="A1685" s="2" t="inlineStr"/>
      <c r="B1685" s="2" t="inlineStr"/>
      <c r="C1685" s="2" t="inlineStr"/>
      <c r="D1685" s="2" t="inlineStr"/>
      <c r="E1685" s="26" t="inlineStr">
        <is>
          <t>TOTAL Mão de Obra com Encargos Complementares:</t>
        </is>
      </c>
      <c r="F1685" s="56" t="n"/>
      <c r="G1685" s="65">
        <f>SUM(G1683:G1684)</f>
        <v/>
      </c>
    </row>
    <row r="1686" ht="15" customHeight="1">
      <c r="A1686" s="2" t="inlineStr"/>
      <c r="B1686" s="2" t="inlineStr"/>
      <c r="C1686" s="2" t="inlineStr"/>
      <c r="D1686" s="2" t="inlineStr"/>
      <c r="E1686" s="28" t="inlineStr">
        <is>
          <t>VALOR:</t>
        </is>
      </c>
      <c r="F1686" s="56" t="n"/>
      <c r="G1686" s="66">
        <f>SUM(G1681,G1685)</f>
        <v/>
      </c>
    </row>
    <row r="1687" ht="15" customHeight="1">
      <c r="A1687" s="2" t="inlineStr"/>
      <c r="B1687" s="2" t="inlineStr"/>
      <c r="C1687" s="2" t="inlineStr"/>
      <c r="D1687" s="2" t="inlineStr"/>
      <c r="E1687" s="28" t="inlineStr">
        <is>
          <t>VALOR BDI (23.08%):</t>
        </is>
      </c>
      <c r="F1687" s="56" t="n"/>
      <c r="G1687" s="66">
        <f>ROUNDDOWN(G1686*BDI,2)</f>
        <v/>
      </c>
    </row>
    <row r="1688" ht="15" customHeight="1">
      <c r="A1688" s="2" t="inlineStr"/>
      <c r="B1688" s="2" t="inlineStr"/>
      <c r="C1688" s="2" t="inlineStr"/>
      <c r="D1688" s="2" t="inlineStr"/>
      <c r="E1688" s="28" t="inlineStr">
        <is>
          <t>VALOR COM BDI:</t>
        </is>
      </c>
      <c r="F1688" s="56" t="n"/>
      <c r="G1688" s="66">
        <f>G1687 + G1686</f>
        <v/>
      </c>
    </row>
    <row r="1689" ht="10" customHeight="1">
      <c r="A1689" s="2" t="inlineStr"/>
      <c r="B1689" s="2" t="inlineStr"/>
      <c r="C1689" s="2" t="inlineStr"/>
      <c r="D1689" s="2" t="inlineStr"/>
      <c r="E1689" s="18" t="inlineStr"/>
    </row>
    <row r="1690" ht="20" customHeight="1">
      <c r="A1690" s="19" t="inlineStr">
        <is>
          <t>8.1.7.1. ​89383​ ADAPTADOR CURTO COM BOLSA E ROSCA PARA REGISTRO, PVC, SOLDÁVEL, DN 25MM X 3/4, INSTALADO EM RAMAL OU SUB-RAMAL DE ÁGUA - FORNECIMENTO EINSTALAÇÃO. AF_06/2022​ (UN)</t>
        </is>
      </c>
      <c r="B1690" s="55" t="n"/>
      <c r="C1690" s="55" t="n"/>
      <c r="D1690" s="55" t="n"/>
      <c r="E1690" s="55" t="n"/>
      <c r="F1690" s="55" t="n"/>
      <c r="G1690" s="56" t="n"/>
    </row>
    <row r="1691" ht="15" customHeight="1">
      <c r="A1691" s="20" t="inlineStr">
        <is>
          <t>Material</t>
        </is>
      </c>
      <c r="B1691" s="56" t="n"/>
      <c r="C1691" s="21" t="inlineStr">
        <is>
          <t>FONTE</t>
        </is>
      </c>
      <c r="D1691" s="21" t="inlineStr">
        <is>
          <t>UNID</t>
        </is>
      </c>
      <c r="E1691" s="21" t="inlineStr">
        <is>
          <t>COEFICIENTE</t>
        </is>
      </c>
      <c r="F1691" s="21" t="inlineStr">
        <is>
          <t>PREÇO UNITÁRIO</t>
        </is>
      </c>
      <c r="G1691" s="21" t="inlineStr">
        <is>
          <t>TOTAL</t>
        </is>
      </c>
    </row>
    <row r="1692" ht="21" customHeight="1">
      <c r="A1692" s="22" t="inlineStr">
        <is>
          <t>00000065</t>
        </is>
      </c>
      <c r="B1692" s="23" t="inlineStr">
        <is>
          <t>ADAPTADOR PVC SOLDAVEL CURTO COM BOLSA E ROSCA, 25 MM X 3/4", PARA AGUA FRIA</t>
        </is>
      </c>
      <c r="C1692" s="22" t="inlineStr">
        <is>
          <t>SINAPI</t>
        </is>
      </c>
      <c r="D1692" s="22" t="inlineStr">
        <is>
          <t>UN</t>
        </is>
      </c>
      <c r="E1692" s="63" t="n">
        <v>1</v>
      </c>
      <c r="F1692" s="64">
        <f>ROUND(M1692*FATOR, 2)</f>
        <v/>
      </c>
      <c r="G1692" s="64">
        <f>TRUNC(TRUNC(E1692,8)*F1692,2)</f>
        <v/>
      </c>
      <c r="L1692" t="n">
        <v>1</v>
      </c>
      <c r="M1692" t="n">
        <v>0.93</v>
      </c>
      <c r="N1692">
        <f>(M1692-F1692)</f>
        <v/>
      </c>
    </row>
    <row r="1693" ht="15" customHeight="1">
      <c r="A1693" s="22" t="inlineStr">
        <is>
          <t>00000122</t>
        </is>
      </c>
      <c r="B1693" s="23" t="inlineStr">
        <is>
          <t>ADESIVO PLASTICO PARA PVC, FRASCO COM *850* GR</t>
        </is>
      </c>
      <c r="C1693" s="22" t="inlineStr">
        <is>
          <t>SINAPI</t>
        </is>
      </c>
      <c r="D1693" s="22" t="inlineStr">
        <is>
          <t>UN</t>
        </is>
      </c>
      <c r="E1693" s="63" t="n">
        <v>0.0059</v>
      </c>
      <c r="F1693" s="64">
        <f>ROUND(M1693*FATOR, 2)</f>
        <v/>
      </c>
      <c r="G1693" s="64">
        <f>TRUNC(TRUNC(E1693,8)*F1693,2)</f>
        <v/>
      </c>
      <c r="L1693" t="n">
        <v>0.0059</v>
      </c>
      <c r="M1693" t="n">
        <v>61.86</v>
      </c>
      <c r="N1693">
        <f>(M1693-F1693)</f>
        <v/>
      </c>
    </row>
    <row r="1694" ht="15" customHeight="1">
      <c r="A1694" s="22" t="inlineStr">
        <is>
          <t>00038383</t>
        </is>
      </c>
      <c r="B1694" s="23" t="inlineStr">
        <is>
          <t>LIXA D'AGUA EM FOLHA, COR PRETA, GRAO 100</t>
        </is>
      </c>
      <c r="C1694" s="22" t="inlineStr">
        <is>
          <t>SINAPI</t>
        </is>
      </c>
      <c r="D1694" s="22" t="inlineStr">
        <is>
          <t>UN</t>
        </is>
      </c>
      <c r="E1694" s="63" t="n">
        <v>0.0315</v>
      </c>
      <c r="F1694" s="64">
        <f>ROUND(M1694*FATOR, 2)</f>
        <v/>
      </c>
      <c r="G1694" s="64">
        <f>TRUNC(TRUNC(E1694,8)*F1694,2)</f>
        <v/>
      </c>
      <c r="L1694" t="n">
        <v>0.0315</v>
      </c>
      <c r="M1694" t="n">
        <v>1.65</v>
      </c>
      <c r="N1694">
        <f>(M1694-F1694)</f>
        <v/>
      </c>
    </row>
    <row r="1695" ht="21" customHeight="1">
      <c r="A1695" s="22" t="inlineStr">
        <is>
          <t>00020083</t>
        </is>
      </c>
      <c r="B1695" s="23" t="inlineStr">
        <is>
          <t>SOLUCAO PREPARADORA / LIMPADORA PARA PVC, FRASCO COM 1000 CM3</t>
        </is>
      </c>
      <c r="C1695" s="22" t="inlineStr">
        <is>
          <t>SINAPI</t>
        </is>
      </c>
      <c r="D1695" s="22" t="inlineStr">
        <is>
          <t>UN</t>
        </is>
      </c>
      <c r="E1695" s="63" t="n">
        <v>0.007</v>
      </c>
      <c r="F1695" s="64">
        <f>ROUND(M1695*FATOR, 2)</f>
        <v/>
      </c>
      <c r="G1695" s="64">
        <f>TRUNC(TRUNC(E1695,8)*F1695,2)</f>
        <v/>
      </c>
      <c r="L1695" t="n">
        <v>0.007</v>
      </c>
      <c r="M1695" t="n">
        <v>70.08</v>
      </c>
      <c r="N1695">
        <f>(M1695-F1695)</f>
        <v/>
      </c>
    </row>
    <row r="1696" ht="15" customHeight="1">
      <c r="A1696" s="2" t="inlineStr"/>
      <c r="B1696" s="2" t="inlineStr"/>
      <c r="C1696" s="2" t="inlineStr"/>
      <c r="D1696" s="2" t="inlineStr"/>
      <c r="E1696" s="26" t="inlineStr">
        <is>
          <t>TOTAL Material:</t>
        </is>
      </c>
      <c r="F1696" s="56" t="n"/>
      <c r="G1696" s="65">
        <f>SUM(G1692:G1695)</f>
        <v/>
      </c>
    </row>
    <row r="1697" ht="15" customHeight="1">
      <c r="A1697" s="20" t="inlineStr">
        <is>
          <t>Mão de Obra com Encargos Complementares</t>
        </is>
      </c>
      <c r="B1697" s="56" t="n"/>
      <c r="C1697" s="21" t="inlineStr">
        <is>
          <t>FONTE</t>
        </is>
      </c>
      <c r="D1697" s="21" t="inlineStr">
        <is>
          <t>UNID</t>
        </is>
      </c>
      <c r="E1697" s="21" t="inlineStr">
        <is>
          <t>COEFICIENTE</t>
        </is>
      </c>
      <c r="F1697" s="21" t="inlineStr">
        <is>
          <t>PREÇO UNITÁRIO</t>
        </is>
      </c>
      <c r="G1697" s="21" t="inlineStr">
        <is>
          <t>TOTAL</t>
        </is>
      </c>
    </row>
    <row r="1698" ht="21" customHeight="1">
      <c r="A1698" s="22" t="inlineStr">
        <is>
          <t>88248</t>
        </is>
      </c>
      <c r="B1698" s="23" t="inlineStr">
        <is>
          <t>AUXILIAR DE ENCANADOR OU BOMBEIRO HIDRÁULICO COM ENCARGOS COMPLEMENTARES</t>
        </is>
      </c>
      <c r="C1698" s="22" t="inlineStr">
        <is>
          <t>SINAPI</t>
        </is>
      </c>
      <c r="D1698" s="22" t="inlineStr">
        <is>
          <t>H</t>
        </is>
      </c>
      <c r="E1698" s="63">
        <f>L1698*FATOR</f>
        <v/>
      </c>
      <c r="F1698" s="64">
        <f>'COMPOSICOES AUXILIARES'!G524</f>
        <v/>
      </c>
      <c r="G1698" s="64">
        <f>TRUNC(TRUNC(E1698,8)*F1698,2)</f>
        <v/>
      </c>
      <c r="L1698" t="n">
        <v>0.0944</v>
      </c>
      <c r="M1698" t="n">
        <v>24.23</v>
      </c>
      <c r="N1698">
        <f>(M1698-F1698)</f>
        <v/>
      </c>
    </row>
    <row r="1699" ht="21" customHeight="1">
      <c r="A1699" s="22" t="inlineStr">
        <is>
          <t>88267</t>
        </is>
      </c>
      <c r="B1699" s="23" t="inlineStr">
        <is>
          <t>ENCANADOR OU BOMBEIRO HIDRÁULICO COM ENCARGOS COMPLEMENTARES</t>
        </is>
      </c>
      <c r="C1699" s="22" t="inlineStr">
        <is>
          <t>SINAPI</t>
        </is>
      </c>
      <c r="D1699" s="22" t="inlineStr">
        <is>
          <t>H</t>
        </is>
      </c>
      <c r="E1699" s="63">
        <f>L1699*FATOR</f>
        <v/>
      </c>
      <c r="F1699" s="64">
        <f>'COMPOSICOES AUXILIARES'!G524</f>
        <v/>
      </c>
      <c r="G1699" s="64">
        <f>TRUNC(TRUNC(E1699,8)*F1699,2)</f>
        <v/>
      </c>
      <c r="L1699" t="n">
        <v>0.0944</v>
      </c>
      <c r="M1699" t="n">
        <v>29.86</v>
      </c>
      <c r="N1699">
        <f>(M1699-F1699)</f>
        <v/>
      </c>
    </row>
    <row r="1700" ht="18" customHeight="1">
      <c r="A1700" s="2" t="inlineStr"/>
      <c r="B1700" s="2" t="inlineStr"/>
      <c r="C1700" s="2" t="inlineStr"/>
      <c r="D1700" s="2" t="inlineStr"/>
      <c r="E1700" s="26" t="inlineStr">
        <is>
          <t>TOTAL Mão de Obra com Encargos Complementares:</t>
        </is>
      </c>
      <c r="F1700" s="56" t="n"/>
      <c r="G1700" s="65">
        <f>SUM(G1698:G1699)</f>
        <v/>
      </c>
    </row>
    <row r="1701" ht="15" customHeight="1">
      <c r="A1701" s="2" t="inlineStr"/>
      <c r="B1701" s="2" t="inlineStr"/>
      <c r="C1701" s="2" t="inlineStr"/>
      <c r="D1701" s="2" t="inlineStr"/>
      <c r="E1701" s="28" t="inlineStr">
        <is>
          <t>VALOR:</t>
        </is>
      </c>
      <c r="F1701" s="56" t="n"/>
      <c r="G1701" s="66">
        <f>SUM(G1696,G1700)</f>
        <v/>
      </c>
    </row>
    <row r="1702" ht="15" customHeight="1">
      <c r="A1702" s="2" t="inlineStr"/>
      <c r="B1702" s="2" t="inlineStr"/>
      <c r="C1702" s="2" t="inlineStr"/>
      <c r="D1702" s="2" t="inlineStr"/>
      <c r="E1702" s="28" t="inlineStr">
        <is>
          <t>VALOR BDI (23.08%):</t>
        </is>
      </c>
      <c r="F1702" s="56" t="n"/>
      <c r="G1702" s="66">
        <f>ROUNDDOWN(G1701*BDI,2)</f>
        <v/>
      </c>
    </row>
    <row r="1703" ht="15" customHeight="1">
      <c r="A1703" s="2" t="inlineStr"/>
      <c r="B1703" s="2" t="inlineStr"/>
      <c r="C1703" s="2" t="inlineStr"/>
      <c r="D1703" s="2" t="inlineStr"/>
      <c r="E1703" s="28" t="inlineStr">
        <is>
          <t>VALOR COM BDI:</t>
        </is>
      </c>
      <c r="F1703" s="56" t="n"/>
      <c r="G1703" s="66">
        <f>G1702 + G1701</f>
        <v/>
      </c>
    </row>
    <row r="1704" ht="10" customHeight="1">
      <c r="A1704" s="2" t="inlineStr"/>
      <c r="B1704" s="2" t="inlineStr"/>
      <c r="C1704" s="2" t="inlineStr"/>
      <c r="D1704" s="2" t="inlineStr"/>
      <c r="E1704" s="18" t="inlineStr"/>
    </row>
    <row r="1705" ht="20" customHeight="1">
      <c r="A1705" s="19" t="inlineStr">
        <is>
          <t>8.1.8.1. ​89381​ LUVA COM BUCHA DE LATÃO, PVC, SOLDÁVEL, DN 25MM X 3/4, INSTALADO EM RAMAL OU SUB-RAMAL DE ÁGUA - FORNECIMENTO E INSTALAÇÃO.AF_06/2022​ (UN)</t>
        </is>
      </c>
      <c r="B1705" s="55" t="n"/>
      <c r="C1705" s="55" t="n"/>
      <c r="D1705" s="55" t="n"/>
      <c r="E1705" s="55" t="n"/>
      <c r="F1705" s="55" t="n"/>
      <c r="G1705" s="56" t="n"/>
    </row>
    <row r="1706" ht="15" customHeight="1">
      <c r="A1706" s="20" t="inlineStr">
        <is>
          <t>Material</t>
        </is>
      </c>
      <c r="B1706" s="56" t="n"/>
      <c r="C1706" s="21" t="inlineStr">
        <is>
          <t>FONTE</t>
        </is>
      </c>
      <c r="D1706" s="21" t="inlineStr">
        <is>
          <t>UNID</t>
        </is>
      </c>
      <c r="E1706" s="21" t="inlineStr">
        <is>
          <t>COEFICIENTE</t>
        </is>
      </c>
      <c r="F1706" s="21" t="inlineStr">
        <is>
          <t>PREÇO UNITÁRIO</t>
        </is>
      </c>
      <c r="G1706" s="21" t="inlineStr">
        <is>
          <t>TOTAL</t>
        </is>
      </c>
    </row>
    <row r="1707" ht="15" customHeight="1">
      <c r="A1707" s="22" t="inlineStr">
        <is>
          <t>00000122</t>
        </is>
      </c>
      <c r="B1707" s="23" t="inlineStr">
        <is>
          <t>ADESIVO PLASTICO PARA PVC, FRASCO COM *850* GR</t>
        </is>
      </c>
      <c r="C1707" s="22" t="inlineStr">
        <is>
          <t>SINAPI</t>
        </is>
      </c>
      <c r="D1707" s="22" t="inlineStr">
        <is>
          <t>UN</t>
        </is>
      </c>
      <c r="E1707" s="63" t="n">
        <v>0.0059</v>
      </c>
      <c r="F1707" s="64">
        <f>ROUND(M1707*FATOR, 2)</f>
        <v/>
      </c>
      <c r="G1707" s="64">
        <f>TRUNC(TRUNC(E1707,8)*F1707,2)</f>
        <v/>
      </c>
      <c r="L1707" t="n">
        <v>0.0059</v>
      </c>
      <c r="M1707" t="n">
        <v>61.86</v>
      </c>
      <c r="N1707">
        <f>(M1707-F1707)</f>
        <v/>
      </c>
    </row>
    <row r="1708" ht="15" customHeight="1">
      <c r="A1708" s="22" t="inlineStr">
        <is>
          <t>00038383</t>
        </is>
      </c>
      <c r="B1708" s="23" t="inlineStr">
        <is>
          <t>LIXA D'AGUA EM FOLHA, COR PRETA, GRAO 100</t>
        </is>
      </c>
      <c r="C1708" s="22" t="inlineStr">
        <is>
          <t>SINAPI</t>
        </is>
      </c>
      <c r="D1708" s="22" t="inlineStr">
        <is>
          <t>UN</t>
        </is>
      </c>
      <c r="E1708" s="63" t="n">
        <v>0.0315</v>
      </c>
      <c r="F1708" s="64">
        <f>ROUND(M1708*FATOR, 2)</f>
        <v/>
      </c>
      <c r="G1708" s="64">
        <f>TRUNC(TRUNC(E1708,8)*F1708,2)</f>
        <v/>
      </c>
      <c r="L1708" t="n">
        <v>0.0315</v>
      </c>
      <c r="M1708" t="n">
        <v>1.65</v>
      </c>
      <c r="N1708">
        <f>(M1708-F1708)</f>
        <v/>
      </c>
    </row>
    <row r="1709" ht="15" customHeight="1">
      <c r="A1709" s="22" t="inlineStr">
        <is>
          <t>00003870</t>
        </is>
      </c>
      <c r="B1709" s="23" t="inlineStr">
        <is>
          <t>LUVA SOLDAVEL COM BUCHA DE LATAO, PVC, 25 MM X 3/4"</t>
        </is>
      </c>
      <c r="C1709" s="22" t="inlineStr">
        <is>
          <t>SINAPI</t>
        </is>
      </c>
      <c r="D1709" s="22" t="inlineStr">
        <is>
          <t>UN</t>
        </is>
      </c>
      <c r="E1709" s="63" t="n">
        <v>1</v>
      </c>
      <c r="F1709" s="64">
        <f>ROUND(M1709*FATOR, 2)</f>
        <v/>
      </c>
      <c r="G1709" s="64">
        <f>TRUNC(TRUNC(E1709,8)*F1709,2)</f>
        <v/>
      </c>
      <c r="L1709" t="n">
        <v>1</v>
      </c>
      <c r="M1709" t="n">
        <v>6.83</v>
      </c>
      <c r="N1709">
        <f>(M1709-F1709)</f>
        <v/>
      </c>
    </row>
    <row r="1710" ht="21" customHeight="1">
      <c r="A1710" s="22" t="inlineStr">
        <is>
          <t>00020083</t>
        </is>
      </c>
      <c r="B1710" s="23" t="inlineStr">
        <is>
          <t>SOLUCAO PREPARADORA / LIMPADORA PARA PVC, FRASCO COM 1000 CM3</t>
        </is>
      </c>
      <c r="C1710" s="22" t="inlineStr">
        <is>
          <t>SINAPI</t>
        </is>
      </c>
      <c r="D1710" s="22" t="inlineStr">
        <is>
          <t>UN</t>
        </is>
      </c>
      <c r="E1710" s="63" t="n">
        <v>0.007</v>
      </c>
      <c r="F1710" s="64">
        <f>ROUND(M1710*FATOR, 2)</f>
        <v/>
      </c>
      <c r="G1710" s="64">
        <f>TRUNC(TRUNC(E1710,8)*F1710,2)</f>
        <v/>
      </c>
      <c r="L1710" t="n">
        <v>0.007</v>
      </c>
      <c r="M1710" t="n">
        <v>70.08</v>
      </c>
      <c r="N1710">
        <f>(M1710-F1710)</f>
        <v/>
      </c>
    </row>
    <row r="1711" ht="15" customHeight="1">
      <c r="A1711" s="2" t="inlineStr"/>
      <c r="B1711" s="2" t="inlineStr"/>
      <c r="C1711" s="2" t="inlineStr"/>
      <c r="D1711" s="2" t="inlineStr"/>
      <c r="E1711" s="26" t="inlineStr">
        <is>
          <t>TOTAL Material:</t>
        </is>
      </c>
      <c r="F1711" s="56" t="n"/>
      <c r="G1711" s="65">
        <f>SUM(G1707:G1710)</f>
        <v/>
      </c>
    </row>
    <row r="1712" ht="15" customHeight="1">
      <c r="A1712" s="20" t="inlineStr">
        <is>
          <t>Mão de Obra com Encargos Complementares</t>
        </is>
      </c>
      <c r="B1712" s="56" t="n"/>
      <c r="C1712" s="21" t="inlineStr">
        <is>
          <t>FONTE</t>
        </is>
      </c>
      <c r="D1712" s="21" t="inlineStr">
        <is>
          <t>UNID</t>
        </is>
      </c>
      <c r="E1712" s="21" t="inlineStr">
        <is>
          <t>COEFICIENTE</t>
        </is>
      </c>
      <c r="F1712" s="21" t="inlineStr">
        <is>
          <t>PREÇO UNITÁRIO</t>
        </is>
      </c>
      <c r="G1712" s="21" t="inlineStr">
        <is>
          <t>TOTAL</t>
        </is>
      </c>
    </row>
    <row r="1713" ht="21" customHeight="1">
      <c r="A1713" s="22" t="inlineStr">
        <is>
          <t>88248</t>
        </is>
      </c>
      <c r="B1713" s="23" t="inlineStr">
        <is>
          <t>AUXILIAR DE ENCANADOR OU BOMBEIRO HIDRÁULICO COM ENCARGOS COMPLEMENTARES</t>
        </is>
      </c>
      <c r="C1713" s="22" t="inlineStr">
        <is>
          <t>SINAPI</t>
        </is>
      </c>
      <c r="D1713" s="22" t="inlineStr">
        <is>
          <t>H</t>
        </is>
      </c>
      <c r="E1713" s="63">
        <f>L1713*FATOR</f>
        <v/>
      </c>
      <c r="F1713" s="64">
        <f>'COMPOSICOES AUXILIARES'!G524</f>
        <v/>
      </c>
      <c r="G1713" s="64">
        <f>TRUNC(TRUNC(E1713,8)*F1713,2)</f>
        <v/>
      </c>
      <c r="L1713" t="n">
        <v>0.0944</v>
      </c>
      <c r="M1713" t="n">
        <v>24.23</v>
      </c>
      <c r="N1713">
        <f>(M1713-F1713)</f>
        <v/>
      </c>
    </row>
    <row r="1714" ht="21" customHeight="1">
      <c r="A1714" s="22" t="inlineStr">
        <is>
          <t>88267</t>
        </is>
      </c>
      <c r="B1714" s="23" t="inlineStr">
        <is>
          <t>ENCANADOR OU BOMBEIRO HIDRÁULICO COM ENCARGOS COMPLEMENTARES</t>
        </is>
      </c>
      <c r="C1714" s="22" t="inlineStr">
        <is>
          <t>SINAPI</t>
        </is>
      </c>
      <c r="D1714" s="22" t="inlineStr">
        <is>
          <t>H</t>
        </is>
      </c>
      <c r="E1714" s="63">
        <f>L1714*FATOR</f>
        <v/>
      </c>
      <c r="F1714" s="64">
        <f>'COMPOSICOES AUXILIARES'!G524</f>
        <v/>
      </c>
      <c r="G1714" s="64">
        <f>TRUNC(TRUNC(E1714,8)*F1714,2)</f>
        <v/>
      </c>
      <c r="L1714" t="n">
        <v>0.0944</v>
      </c>
      <c r="M1714" t="n">
        <v>29.86</v>
      </c>
      <c r="N1714">
        <f>(M1714-F1714)</f>
        <v/>
      </c>
    </row>
    <row r="1715" ht="18" customHeight="1">
      <c r="A1715" s="2" t="inlineStr"/>
      <c r="B1715" s="2" t="inlineStr"/>
      <c r="C1715" s="2" t="inlineStr"/>
      <c r="D1715" s="2" t="inlineStr"/>
      <c r="E1715" s="26" t="inlineStr">
        <is>
          <t>TOTAL Mão de Obra com Encargos Complementares:</t>
        </is>
      </c>
      <c r="F1715" s="56" t="n"/>
      <c r="G1715" s="65">
        <f>SUM(G1713:G1714)</f>
        <v/>
      </c>
    </row>
    <row r="1716" ht="15" customHeight="1">
      <c r="A1716" s="2" t="inlineStr"/>
      <c r="B1716" s="2" t="inlineStr"/>
      <c r="C1716" s="2" t="inlineStr"/>
      <c r="D1716" s="2" t="inlineStr"/>
      <c r="E1716" s="28" t="inlineStr">
        <is>
          <t>VALOR:</t>
        </is>
      </c>
      <c r="F1716" s="56" t="n"/>
      <c r="G1716" s="66">
        <f>SUM(G1715,G1711)</f>
        <v/>
      </c>
    </row>
    <row r="1717" ht="15" customHeight="1">
      <c r="A1717" s="2" t="inlineStr"/>
      <c r="B1717" s="2" t="inlineStr"/>
      <c r="C1717" s="2" t="inlineStr"/>
      <c r="D1717" s="2" t="inlineStr"/>
      <c r="E1717" s="28" t="inlineStr">
        <is>
          <t>VALOR BDI (23.08%):</t>
        </is>
      </c>
      <c r="F1717" s="56" t="n"/>
      <c r="G1717" s="66">
        <f>ROUNDDOWN(G1716*BDI,2)</f>
        <v/>
      </c>
    </row>
    <row r="1718" ht="15" customHeight="1">
      <c r="A1718" s="2" t="inlineStr"/>
      <c r="B1718" s="2" t="inlineStr"/>
      <c r="C1718" s="2" t="inlineStr"/>
      <c r="D1718" s="2" t="inlineStr"/>
      <c r="E1718" s="28" t="inlineStr">
        <is>
          <t>VALOR COM BDI:</t>
        </is>
      </c>
      <c r="F1718" s="56" t="n"/>
      <c r="G1718" s="66">
        <f>G1717 + G1716</f>
        <v/>
      </c>
    </row>
    <row r="1719" ht="10" customHeight="1">
      <c r="A1719" s="2" t="inlineStr"/>
      <c r="B1719" s="2" t="inlineStr"/>
      <c r="C1719" s="2" t="inlineStr"/>
      <c r="D1719" s="2" t="inlineStr"/>
      <c r="E1719" s="18" t="inlineStr"/>
    </row>
    <row r="1720" ht="20" customHeight="1">
      <c r="A1720" s="19" t="inlineStr">
        <is>
          <t>8.1.9.1. ​103999​ BUCHA DE REDUÇÃO, LONGA, PVC, SOLDÁVEL, DN 50 X 25 MM, INSTALADO EM RAMAL DE DISTRIBUIÇÃO DE ÁGUA - FORNECIMENTO E INSTALAÇÃO.AF_06/2022​ (UN)</t>
        </is>
      </c>
      <c r="B1720" s="55" t="n"/>
      <c r="C1720" s="55" t="n"/>
      <c r="D1720" s="55" t="n"/>
      <c r="E1720" s="55" t="n"/>
      <c r="F1720" s="55" t="n"/>
      <c r="G1720" s="56" t="n"/>
    </row>
    <row r="1721" ht="15" customHeight="1">
      <c r="A1721" s="20" t="inlineStr">
        <is>
          <t>Material</t>
        </is>
      </c>
      <c r="B1721" s="56" t="n"/>
      <c r="C1721" s="21" t="inlineStr">
        <is>
          <t>FONTE</t>
        </is>
      </c>
      <c r="D1721" s="21" t="inlineStr">
        <is>
          <t>UNID</t>
        </is>
      </c>
      <c r="E1721" s="21" t="inlineStr">
        <is>
          <t>COEFICIENTE</t>
        </is>
      </c>
      <c r="F1721" s="21" t="inlineStr">
        <is>
          <t>PREÇO UNITÁRIO</t>
        </is>
      </c>
      <c r="G1721" s="21" t="inlineStr">
        <is>
          <t>TOTAL</t>
        </is>
      </c>
    </row>
    <row r="1722" ht="15" customHeight="1">
      <c r="A1722" s="22" t="inlineStr">
        <is>
          <t>00000122</t>
        </is>
      </c>
      <c r="B1722" s="23" t="inlineStr">
        <is>
          <t>ADESIVO PLASTICO PARA PVC, FRASCO COM *850* GR</t>
        </is>
      </c>
      <c r="C1722" s="22" t="inlineStr">
        <is>
          <t>SINAPI</t>
        </is>
      </c>
      <c r="D1722" s="22" t="inlineStr">
        <is>
          <t>UN</t>
        </is>
      </c>
      <c r="E1722" s="63" t="n">
        <v>0.0118</v>
      </c>
      <c r="F1722" s="64">
        <f>ROUND(M1722*FATOR, 2)</f>
        <v/>
      </c>
      <c r="G1722" s="64">
        <f>TRUNC(TRUNC(E1722,8)*F1722,2)</f>
        <v/>
      </c>
      <c r="L1722" t="n">
        <v>0.0118</v>
      </c>
      <c r="M1722" t="n">
        <v>61.86</v>
      </c>
      <c r="N1722">
        <f>(M1722-F1722)</f>
        <v/>
      </c>
    </row>
    <row r="1723" ht="21" customHeight="1">
      <c r="A1723" s="22" t="inlineStr">
        <is>
          <t>00000813</t>
        </is>
      </c>
      <c r="B1723" s="23" t="inlineStr">
        <is>
          <t>BUCHA DE REDUCAO DE PVC, SOLDAVEL, LONGA, COM 50 X 25 MM, PARA AGUA FRIA PREDIAL</t>
        </is>
      </c>
      <c r="C1723" s="22" t="inlineStr">
        <is>
          <t>SINAPI</t>
        </is>
      </c>
      <c r="D1723" s="22" t="inlineStr">
        <is>
          <t>UN</t>
        </is>
      </c>
      <c r="E1723" s="63" t="n">
        <v>1</v>
      </c>
      <c r="F1723" s="64">
        <f>ROUND(M1723*FATOR, 2)</f>
        <v/>
      </c>
      <c r="G1723" s="64">
        <f>TRUNC(TRUNC(E1723,8)*F1723,2)</f>
        <v/>
      </c>
      <c r="L1723" t="n">
        <v>1</v>
      </c>
      <c r="M1723" t="n">
        <v>4.41</v>
      </c>
      <c r="N1723">
        <f>(M1723-F1723)</f>
        <v/>
      </c>
    </row>
    <row r="1724" ht="15" customHeight="1">
      <c r="A1724" s="22" t="inlineStr">
        <is>
          <t>00038383</t>
        </is>
      </c>
      <c r="B1724" s="23" t="inlineStr">
        <is>
          <t>LIXA D'AGUA EM FOLHA, COR PRETA, GRAO 100</t>
        </is>
      </c>
      <c r="C1724" s="22" t="inlineStr">
        <is>
          <t>SINAPI</t>
        </is>
      </c>
      <c r="D1724" s="22" t="inlineStr">
        <is>
          <t>UN</t>
        </is>
      </c>
      <c r="E1724" s="63" t="n">
        <v>0.0406</v>
      </c>
      <c r="F1724" s="64">
        <f>ROUND(M1724*FATOR, 2)</f>
        <v/>
      </c>
      <c r="G1724" s="64">
        <f>TRUNC(TRUNC(E1724,8)*F1724,2)</f>
        <v/>
      </c>
      <c r="L1724" t="n">
        <v>0.0406</v>
      </c>
      <c r="M1724" t="n">
        <v>1.65</v>
      </c>
      <c r="N1724">
        <f>(M1724-F1724)</f>
        <v/>
      </c>
    </row>
    <row r="1725" ht="21" customHeight="1">
      <c r="A1725" s="22" t="inlineStr">
        <is>
          <t>00020083</t>
        </is>
      </c>
      <c r="B1725" s="23" t="inlineStr">
        <is>
          <t>SOLUCAO PREPARADORA / LIMPADORA PARA PVC, FRASCO COM 1000 CM3</t>
        </is>
      </c>
      <c r="C1725" s="22" t="inlineStr">
        <is>
          <t>SINAPI</t>
        </is>
      </c>
      <c r="D1725" s="22" t="inlineStr">
        <is>
          <t>UN</t>
        </is>
      </c>
      <c r="E1725" s="63" t="n">
        <v>0.015</v>
      </c>
      <c r="F1725" s="64">
        <f>ROUND(M1725*FATOR, 2)</f>
        <v/>
      </c>
      <c r="G1725" s="64">
        <f>TRUNC(TRUNC(E1725,8)*F1725,2)</f>
        <v/>
      </c>
      <c r="L1725" t="n">
        <v>0.015</v>
      </c>
      <c r="M1725" t="n">
        <v>70.08</v>
      </c>
      <c r="N1725">
        <f>(M1725-F1725)</f>
        <v/>
      </c>
    </row>
    <row r="1726" ht="15" customHeight="1">
      <c r="A1726" s="2" t="inlineStr"/>
      <c r="B1726" s="2" t="inlineStr"/>
      <c r="C1726" s="2" t="inlineStr"/>
      <c r="D1726" s="2" t="inlineStr"/>
      <c r="E1726" s="26" t="inlineStr">
        <is>
          <t>TOTAL Material:</t>
        </is>
      </c>
      <c r="F1726" s="56" t="n"/>
      <c r="G1726" s="65">
        <f>SUM(G1722:G1725)</f>
        <v/>
      </c>
    </row>
    <row r="1727" ht="15" customHeight="1">
      <c r="A1727" s="20" t="inlineStr">
        <is>
          <t>Mão de Obra com Encargos Complementares</t>
        </is>
      </c>
      <c r="B1727" s="56" t="n"/>
      <c r="C1727" s="21" t="inlineStr">
        <is>
          <t>FONTE</t>
        </is>
      </c>
      <c r="D1727" s="21" t="inlineStr">
        <is>
          <t>UNID</t>
        </is>
      </c>
      <c r="E1727" s="21" t="inlineStr">
        <is>
          <t>COEFICIENTE</t>
        </is>
      </c>
      <c r="F1727" s="21" t="inlineStr">
        <is>
          <t>PREÇO UNITÁRIO</t>
        </is>
      </c>
      <c r="G1727" s="21" t="inlineStr">
        <is>
          <t>TOTAL</t>
        </is>
      </c>
    </row>
    <row r="1728" ht="21" customHeight="1">
      <c r="A1728" s="22" t="inlineStr">
        <is>
          <t>88248</t>
        </is>
      </c>
      <c r="B1728" s="23" t="inlineStr">
        <is>
          <t>AUXILIAR DE ENCANADOR OU BOMBEIRO HIDRÁULICO COM ENCARGOS COMPLEMENTARES</t>
        </is>
      </c>
      <c r="C1728" s="22" t="inlineStr">
        <is>
          <t>SINAPI</t>
        </is>
      </c>
      <c r="D1728" s="22" t="inlineStr">
        <is>
          <t>H</t>
        </is>
      </c>
      <c r="E1728" s="63">
        <f>L1728*FATOR</f>
        <v/>
      </c>
      <c r="F1728" s="64">
        <f>'COMPOSICOES AUXILIARES'!G524</f>
        <v/>
      </c>
      <c r="G1728" s="64">
        <f>TRUNC(TRUNC(E1728,8)*F1728,2)</f>
        <v/>
      </c>
      <c r="L1728" t="n">
        <v>0.1218</v>
      </c>
      <c r="M1728" t="n">
        <v>24.23</v>
      </c>
      <c r="N1728">
        <f>(M1728-F1728)</f>
        <v/>
      </c>
    </row>
    <row r="1729" ht="21" customHeight="1">
      <c r="A1729" s="22" t="inlineStr">
        <is>
          <t>88267</t>
        </is>
      </c>
      <c r="B1729" s="23" t="inlineStr">
        <is>
          <t>ENCANADOR OU BOMBEIRO HIDRÁULICO COM ENCARGOS COMPLEMENTARES</t>
        </is>
      </c>
      <c r="C1729" s="22" t="inlineStr">
        <is>
          <t>SINAPI</t>
        </is>
      </c>
      <c r="D1729" s="22" t="inlineStr">
        <is>
          <t>H</t>
        </is>
      </c>
      <c r="E1729" s="63">
        <f>L1729*FATOR</f>
        <v/>
      </c>
      <c r="F1729" s="64">
        <f>'COMPOSICOES AUXILIARES'!G524</f>
        <v/>
      </c>
      <c r="G1729" s="64">
        <f>TRUNC(TRUNC(E1729,8)*F1729,2)</f>
        <v/>
      </c>
      <c r="L1729" t="n">
        <v>0.1218</v>
      </c>
      <c r="M1729" t="n">
        <v>29.86</v>
      </c>
      <c r="N1729">
        <f>(M1729-F1729)</f>
        <v/>
      </c>
    </row>
    <row r="1730" ht="18" customHeight="1">
      <c r="A1730" s="2" t="inlineStr"/>
      <c r="B1730" s="2" t="inlineStr"/>
      <c r="C1730" s="2" t="inlineStr"/>
      <c r="D1730" s="2" t="inlineStr"/>
      <c r="E1730" s="26" t="inlineStr">
        <is>
          <t>TOTAL Mão de Obra com Encargos Complementares:</t>
        </is>
      </c>
      <c r="F1730" s="56" t="n"/>
      <c r="G1730" s="65">
        <f>SUM(G1728:G1729)</f>
        <v/>
      </c>
    </row>
    <row r="1731" ht="15" customHeight="1">
      <c r="A1731" s="2" t="inlineStr"/>
      <c r="B1731" s="2" t="inlineStr"/>
      <c r="C1731" s="2" t="inlineStr"/>
      <c r="D1731" s="2" t="inlineStr"/>
      <c r="E1731" s="28" t="inlineStr">
        <is>
          <t>VALOR:</t>
        </is>
      </c>
      <c r="F1731" s="56" t="n"/>
      <c r="G1731" s="66">
        <f>SUM(G1730,G1726)</f>
        <v/>
      </c>
    </row>
    <row r="1732" ht="15" customHeight="1">
      <c r="A1732" s="2" t="inlineStr"/>
      <c r="B1732" s="2" t="inlineStr"/>
      <c r="C1732" s="2" t="inlineStr"/>
      <c r="D1732" s="2" t="inlineStr"/>
      <c r="E1732" s="28" t="inlineStr">
        <is>
          <t>VALOR BDI (23.08%):</t>
        </is>
      </c>
      <c r="F1732" s="56" t="n"/>
      <c r="G1732" s="66">
        <f>ROUNDDOWN(G1731*BDI,2)</f>
        <v/>
      </c>
    </row>
    <row r="1733" ht="15" customHeight="1">
      <c r="A1733" s="2" t="inlineStr"/>
      <c r="B1733" s="2" t="inlineStr"/>
      <c r="C1733" s="2" t="inlineStr"/>
      <c r="D1733" s="2" t="inlineStr"/>
      <c r="E1733" s="28" t="inlineStr">
        <is>
          <t>VALOR COM BDI:</t>
        </is>
      </c>
      <c r="F1733" s="56" t="n"/>
      <c r="G1733" s="66">
        <f>G1732 + G1731</f>
        <v/>
      </c>
    </row>
    <row r="1734" ht="10" customHeight="1">
      <c r="A1734" s="2" t="inlineStr"/>
      <c r="B1734" s="2" t="inlineStr"/>
      <c r="C1734" s="2" t="inlineStr"/>
      <c r="D1734" s="2" t="inlineStr"/>
      <c r="E1734" s="18" t="inlineStr"/>
    </row>
    <row r="1735" ht="20" customHeight="1">
      <c r="A1735" s="19" t="inlineStr">
        <is>
          <t>8.2.1.1. ​89711​ TUBO PVC, SERIE NORMAL, ESGOTO PREDIAL, DN 40 MM, FORNECIDO E INSTALADO EM RAMAL DE DESCARGA OU RAMAL DE ESGOTO SANITÁRIO.AF_08/2022​ (M)</t>
        </is>
      </c>
      <c r="B1735" s="55" t="n"/>
      <c r="C1735" s="55" t="n"/>
      <c r="D1735" s="55" t="n"/>
      <c r="E1735" s="55" t="n"/>
      <c r="F1735" s="55" t="n"/>
      <c r="G1735" s="56" t="n"/>
    </row>
    <row r="1736" ht="15" customHeight="1">
      <c r="A1736" s="20" t="inlineStr">
        <is>
          <t>Material</t>
        </is>
      </c>
      <c r="B1736" s="56" t="n"/>
      <c r="C1736" s="21" t="inlineStr">
        <is>
          <t>FONTE</t>
        </is>
      </c>
      <c r="D1736" s="21" t="inlineStr">
        <is>
          <t>UNID</t>
        </is>
      </c>
      <c r="E1736" s="21" t="inlineStr">
        <is>
          <t>COEFICIENTE</t>
        </is>
      </c>
      <c r="F1736" s="21" t="inlineStr">
        <is>
          <t>PREÇO UNITÁRIO</t>
        </is>
      </c>
      <c r="G1736" s="21" t="inlineStr">
        <is>
          <t>TOTAL</t>
        </is>
      </c>
    </row>
    <row r="1737" ht="15" customHeight="1">
      <c r="A1737" s="22" t="inlineStr">
        <is>
          <t>00038383</t>
        </is>
      </c>
      <c r="B1737" s="23" t="inlineStr">
        <is>
          <t>LIXA D'AGUA EM FOLHA, COR PRETA, GRAO 100</t>
        </is>
      </c>
      <c r="C1737" s="22" t="inlineStr">
        <is>
          <t>SINAPI</t>
        </is>
      </c>
      <c r="D1737" s="22" t="inlineStr">
        <is>
          <t>UN</t>
        </is>
      </c>
      <c r="E1737" s="63" t="n">
        <v>0.0163</v>
      </c>
      <c r="F1737" s="64">
        <f>ROUND(M1737*FATOR, 2)</f>
        <v/>
      </c>
      <c r="G1737" s="64">
        <f>TRUNC(TRUNC(E1737,8)*F1737,2)</f>
        <v/>
      </c>
      <c r="L1737" t="n">
        <v>0.0163</v>
      </c>
      <c r="M1737" t="n">
        <v>1.65</v>
      </c>
      <c r="N1737">
        <f>(M1737-F1737)</f>
        <v/>
      </c>
    </row>
    <row r="1738" ht="21" customHeight="1">
      <c r="A1738" s="22" t="inlineStr">
        <is>
          <t>00009835</t>
        </is>
      </c>
      <c r="B1738" s="23" t="inlineStr">
        <is>
          <t>TUBO PVC SERIE NORMAL, DN 40 MM, PARA ESGOTO PREDIAL (NBR 5688)</t>
        </is>
      </c>
      <c r="C1738" s="22" t="inlineStr">
        <is>
          <t>SINAPI</t>
        </is>
      </c>
      <c r="D1738" s="22" t="inlineStr">
        <is>
          <t>M</t>
        </is>
      </c>
      <c r="E1738" s="63" t="n">
        <v>1.0549</v>
      </c>
      <c r="F1738" s="64">
        <f>ROUND(M1738*FATOR, 2)</f>
        <v/>
      </c>
      <c r="G1738" s="64">
        <f>TRUNC(TRUNC(E1738,8)*F1738,2)</f>
        <v/>
      </c>
      <c r="L1738" t="n">
        <v>1.0549</v>
      </c>
      <c r="M1738" t="n">
        <v>6.55</v>
      </c>
      <c r="N1738">
        <f>(M1738-F1738)</f>
        <v/>
      </c>
    </row>
    <row r="1739" ht="15" customHeight="1">
      <c r="A1739" s="2" t="inlineStr"/>
      <c r="B1739" s="2" t="inlineStr"/>
      <c r="C1739" s="2" t="inlineStr"/>
      <c r="D1739" s="2" t="inlineStr"/>
      <c r="E1739" s="26" t="inlineStr">
        <is>
          <t>TOTAL Material:</t>
        </is>
      </c>
      <c r="F1739" s="56" t="n"/>
      <c r="G1739" s="65">
        <f>SUM(G1737:G1738)</f>
        <v/>
      </c>
    </row>
    <row r="1740" ht="15" customHeight="1">
      <c r="A1740" s="20" t="inlineStr">
        <is>
          <t>Mão de Obra com Encargos Complementares</t>
        </is>
      </c>
      <c r="B1740" s="56" t="n"/>
      <c r="C1740" s="21" t="inlineStr">
        <is>
          <t>FONTE</t>
        </is>
      </c>
      <c r="D1740" s="21" t="inlineStr">
        <is>
          <t>UNID</t>
        </is>
      </c>
      <c r="E1740" s="21" t="inlineStr">
        <is>
          <t>COEFICIENTE</t>
        </is>
      </c>
      <c r="F1740" s="21" t="inlineStr">
        <is>
          <t>PREÇO UNITÁRIO</t>
        </is>
      </c>
      <c r="G1740" s="21" t="inlineStr">
        <is>
          <t>TOTAL</t>
        </is>
      </c>
    </row>
    <row r="1741" ht="21" customHeight="1">
      <c r="A1741" s="22" t="inlineStr">
        <is>
          <t>88248</t>
        </is>
      </c>
      <c r="B1741" s="23" t="inlineStr">
        <is>
          <t>AUXILIAR DE ENCANADOR OU BOMBEIRO HIDRÁULICO COM ENCARGOS COMPLEMENTARES</t>
        </is>
      </c>
      <c r="C1741" s="22" t="inlineStr">
        <is>
          <t>SINAPI</t>
        </is>
      </c>
      <c r="D1741" s="22" t="inlineStr">
        <is>
          <t>H</t>
        </is>
      </c>
      <c r="E1741" s="63">
        <f>L1741*FATOR</f>
        <v/>
      </c>
      <c r="F1741" s="64">
        <f>'COMPOSICOES AUXILIARES'!G524</f>
        <v/>
      </c>
      <c r="G1741" s="64">
        <f>TRUNC(TRUNC(E1741,8)*F1741,2)</f>
        <v/>
      </c>
      <c r="L1741" t="n">
        <v>0.293</v>
      </c>
      <c r="M1741" t="n">
        <v>24.23</v>
      </c>
      <c r="N1741">
        <f>(M1741-F1741)</f>
        <v/>
      </c>
    </row>
    <row r="1742" ht="21" customHeight="1">
      <c r="A1742" s="22" t="inlineStr">
        <is>
          <t>88267</t>
        </is>
      </c>
      <c r="B1742" s="23" t="inlineStr">
        <is>
          <t>ENCANADOR OU BOMBEIRO HIDRÁULICO COM ENCARGOS COMPLEMENTARES</t>
        </is>
      </c>
      <c r="C1742" s="22" t="inlineStr">
        <is>
          <t>SINAPI</t>
        </is>
      </c>
      <c r="D1742" s="22" t="inlineStr">
        <is>
          <t>H</t>
        </is>
      </c>
      <c r="E1742" s="63">
        <f>L1742*FATOR</f>
        <v/>
      </c>
      <c r="F1742" s="64">
        <f>'COMPOSICOES AUXILIARES'!G524</f>
        <v/>
      </c>
      <c r="G1742" s="64">
        <f>TRUNC(TRUNC(E1742,8)*F1742,2)</f>
        <v/>
      </c>
      <c r="L1742" t="n">
        <v>0.293</v>
      </c>
      <c r="M1742" t="n">
        <v>29.86</v>
      </c>
      <c r="N1742">
        <f>(M1742-F1742)</f>
        <v/>
      </c>
    </row>
    <row r="1743" ht="18" customHeight="1">
      <c r="A1743" s="2" t="inlineStr"/>
      <c r="B1743" s="2" t="inlineStr"/>
      <c r="C1743" s="2" t="inlineStr"/>
      <c r="D1743" s="2" t="inlineStr"/>
      <c r="E1743" s="26" t="inlineStr">
        <is>
          <t>TOTAL Mão de Obra com Encargos Complementares:</t>
        </is>
      </c>
      <c r="F1743" s="56" t="n"/>
      <c r="G1743" s="65">
        <f>SUM(G1741:G1742)</f>
        <v/>
      </c>
    </row>
    <row r="1744" ht="15" customHeight="1">
      <c r="A1744" s="2" t="inlineStr"/>
      <c r="B1744" s="2" t="inlineStr"/>
      <c r="C1744" s="2" t="inlineStr"/>
      <c r="D1744" s="2" t="inlineStr"/>
      <c r="E1744" s="28" t="inlineStr">
        <is>
          <t>VALOR:</t>
        </is>
      </c>
      <c r="F1744" s="56" t="n"/>
      <c r="G1744" s="66">
        <f>SUM(G1739,G1743)</f>
        <v/>
      </c>
    </row>
    <row r="1745" ht="15" customHeight="1">
      <c r="A1745" s="2" t="inlineStr"/>
      <c r="B1745" s="2" t="inlineStr"/>
      <c r="C1745" s="2" t="inlineStr"/>
      <c r="D1745" s="2" t="inlineStr"/>
      <c r="E1745" s="28" t="inlineStr">
        <is>
          <t>VALOR BDI (23.08%):</t>
        </is>
      </c>
      <c r="F1745" s="56" t="n"/>
      <c r="G1745" s="66">
        <f>ROUNDDOWN(G1744*BDI,2)</f>
        <v/>
      </c>
    </row>
    <row r="1746" ht="15" customHeight="1">
      <c r="A1746" s="2" t="inlineStr"/>
      <c r="B1746" s="2" t="inlineStr"/>
      <c r="C1746" s="2" t="inlineStr"/>
      <c r="D1746" s="2" t="inlineStr"/>
      <c r="E1746" s="28" t="inlineStr">
        <is>
          <t>VALOR COM BDI:</t>
        </is>
      </c>
      <c r="F1746" s="56" t="n"/>
      <c r="G1746" s="66">
        <f>G1745 + G1744</f>
        <v/>
      </c>
    </row>
    <row r="1747" ht="10" customHeight="1">
      <c r="A1747" s="2" t="inlineStr"/>
      <c r="B1747" s="2" t="inlineStr"/>
      <c r="C1747" s="2" t="inlineStr"/>
      <c r="D1747" s="2" t="inlineStr"/>
      <c r="E1747" s="18" t="inlineStr"/>
    </row>
    <row r="1748" ht="20" customHeight="1">
      <c r="A1748" s="19" t="inlineStr">
        <is>
          <t>8.2.1.2. ​89712​ TUBO PVC, SERIE NORMAL, ESGOTO PREDIAL, DN 50 MM, FORNECIDO E INSTALADO EM RAMAL DE DESCARGA OU RAMAL DE ESGOTO SANITÁRIO.AF_08/2022​ (M)</t>
        </is>
      </c>
      <c r="B1748" s="55" t="n"/>
      <c r="C1748" s="55" t="n"/>
      <c r="D1748" s="55" t="n"/>
      <c r="E1748" s="55" t="n"/>
      <c r="F1748" s="55" t="n"/>
      <c r="G1748" s="56" t="n"/>
    </row>
    <row r="1749" ht="15" customHeight="1">
      <c r="A1749" s="20" t="inlineStr">
        <is>
          <t>Material</t>
        </is>
      </c>
      <c r="B1749" s="56" t="n"/>
      <c r="C1749" s="21" t="inlineStr">
        <is>
          <t>FONTE</t>
        </is>
      </c>
      <c r="D1749" s="21" t="inlineStr">
        <is>
          <t>UNID</t>
        </is>
      </c>
      <c r="E1749" s="21" t="inlineStr">
        <is>
          <t>COEFICIENTE</t>
        </is>
      </c>
      <c r="F1749" s="21" t="inlineStr">
        <is>
          <t>PREÇO UNITÁRIO</t>
        </is>
      </c>
      <c r="G1749" s="21" t="inlineStr">
        <is>
          <t>TOTAL</t>
        </is>
      </c>
    </row>
    <row r="1750" ht="15" customHeight="1">
      <c r="A1750" s="22" t="inlineStr">
        <is>
          <t>00038383</t>
        </is>
      </c>
      <c r="B1750" s="23" t="inlineStr">
        <is>
          <t>LIXA D'AGUA EM FOLHA, COR PRETA, GRAO 100</t>
        </is>
      </c>
      <c r="C1750" s="22" t="inlineStr">
        <is>
          <t>SINAPI</t>
        </is>
      </c>
      <c r="D1750" s="22" t="inlineStr">
        <is>
          <t>UN</t>
        </is>
      </c>
      <c r="E1750" s="63" t="n">
        <v>0.0177</v>
      </c>
      <c r="F1750" s="64">
        <f>ROUND(M1750*FATOR, 2)</f>
        <v/>
      </c>
      <c r="G1750" s="64">
        <f>TRUNC(TRUNC(E1750,8)*F1750,2)</f>
        <v/>
      </c>
      <c r="L1750" t="n">
        <v>0.0177</v>
      </c>
      <c r="M1750" t="n">
        <v>1.65</v>
      </c>
      <c r="N1750">
        <f>(M1750-F1750)</f>
        <v/>
      </c>
    </row>
    <row r="1751" ht="21" customHeight="1">
      <c r="A1751" s="22" t="inlineStr">
        <is>
          <t>00009838</t>
        </is>
      </c>
      <c r="B1751" s="23" t="inlineStr">
        <is>
          <t>TUBO PVC SERIE NORMAL, DN 50 MM, PARA ESGOTO PREDIAL (NBR 5688)</t>
        </is>
      </c>
      <c r="C1751" s="22" t="inlineStr">
        <is>
          <t>SINAPI</t>
        </is>
      </c>
      <c r="D1751" s="22" t="inlineStr">
        <is>
          <t>M</t>
        </is>
      </c>
      <c r="E1751" s="63" t="n">
        <v>1.0549</v>
      </c>
      <c r="F1751" s="64">
        <f>ROUND(M1751*FATOR, 2)</f>
        <v/>
      </c>
      <c r="G1751" s="64">
        <f>TRUNC(TRUNC(E1751,8)*F1751,2)</f>
        <v/>
      </c>
      <c r="L1751" t="n">
        <v>1.0549</v>
      </c>
      <c r="M1751" t="n">
        <v>10.81</v>
      </c>
      <c r="N1751">
        <f>(M1751-F1751)</f>
        <v/>
      </c>
    </row>
    <row r="1752" ht="15" customHeight="1">
      <c r="A1752" s="2" t="inlineStr"/>
      <c r="B1752" s="2" t="inlineStr"/>
      <c r="C1752" s="2" t="inlineStr"/>
      <c r="D1752" s="2" t="inlineStr"/>
      <c r="E1752" s="26" t="inlineStr">
        <is>
          <t>TOTAL Material:</t>
        </is>
      </c>
      <c r="F1752" s="56" t="n"/>
      <c r="G1752" s="65">
        <f>SUM(G1750:G1751)</f>
        <v/>
      </c>
    </row>
    <row r="1753" ht="15" customHeight="1">
      <c r="A1753" s="20" t="inlineStr">
        <is>
          <t>Mão de Obra com Encargos Complementares</t>
        </is>
      </c>
      <c r="B1753" s="56" t="n"/>
      <c r="C1753" s="21" t="inlineStr">
        <is>
          <t>FONTE</t>
        </is>
      </c>
      <c r="D1753" s="21" t="inlineStr">
        <is>
          <t>UNID</t>
        </is>
      </c>
      <c r="E1753" s="21" t="inlineStr">
        <is>
          <t>COEFICIENTE</t>
        </is>
      </c>
      <c r="F1753" s="21" t="inlineStr">
        <is>
          <t>PREÇO UNITÁRIO</t>
        </is>
      </c>
      <c r="G1753" s="21" t="inlineStr">
        <is>
          <t>TOTAL</t>
        </is>
      </c>
    </row>
    <row r="1754" ht="21" customHeight="1">
      <c r="A1754" s="22" t="inlineStr">
        <is>
          <t>88248</t>
        </is>
      </c>
      <c r="B1754" s="23" t="inlineStr">
        <is>
          <t>AUXILIAR DE ENCANADOR OU BOMBEIRO HIDRÁULICO COM ENCARGOS COMPLEMENTARES</t>
        </is>
      </c>
      <c r="C1754" s="22" t="inlineStr">
        <is>
          <t>SINAPI</t>
        </is>
      </c>
      <c r="D1754" s="22" t="inlineStr">
        <is>
          <t>H</t>
        </is>
      </c>
      <c r="E1754" s="63">
        <f>L1754*FATOR</f>
        <v/>
      </c>
      <c r="F1754" s="64">
        <f>'COMPOSICOES AUXILIARES'!G524</f>
        <v/>
      </c>
      <c r="G1754" s="64">
        <f>TRUNC(TRUNC(E1754,8)*F1754,2)</f>
        <v/>
      </c>
      <c r="L1754" t="n">
        <v>0.3182</v>
      </c>
      <c r="M1754" t="n">
        <v>24.23</v>
      </c>
      <c r="N1754">
        <f>(M1754-F1754)</f>
        <v/>
      </c>
    </row>
    <row r="1755" ht="21" customHeight="1">
      <c r="A1755" s="22" t="inlineStr">
        <is>
          <t>88267</t>
        </is>
      </c>
      <c r="B1755" s="23" t="inlineStr">
        <is>
          <t>ENCANADOR OU BOMBEIRO HIDRÁULICO COM ENCARGOS COMPLEMENTARES</t>
        </is>
      </c>
      <c r="C1755" s="22" t="inlineStr">
        <is>
          <t>SINAPI</t>
        </is>
      </c>
      <c r="D1755" s="22" t="inlineStr">
        <is>
          <t>H</t>
        </is>
      </c>
      <c r="E1755" s="63">
        <f>L1755*FATOR</f>
        <v/>
      </c>
      <c r="F1755" s="64">
        <f>'COMPOSICOES AUXILIARES'!G524</f>
        <v/>
      </c>
      <c r="G1755" s="64">
        <f>TRUNC(TRUNC(E1755,8)*F1755,2)</f>
        <v/>
      </c>
      <c r="L1755" t="n">
        <v>0.3182</v>
      </c>
      <c r="M1755" t="n">
        <v>29.86</v>
      </c>
      <c r="N1755">
        <f>(M1755-F1755)</f>
        <v/>
      </c>
    </row>
    <row r="1756" ht="18" customHeight="1">
      <c r="A1756" s="2" t="inlineStr"/>
      <c r="B1756" s="2" t="inlineStr"/>
      <c r="C1756" s="2" t="inlineStr"/>
      <c r="D1756" s="2" t="inlineStr"/>
      <c r="E1756" s="26" t="inlineStr">
        <is>
          <t>TOTAL Mão de Obra com Encargos Complementares:</t>
        </is>
      </c>
      <c r="F1756" s="56" t="n"/>
      <c r="G1756" s="65">
        <f>SUM(G1754:G1755)</f>
        <v/>
      </c>
    </row>
    <row r="1757" ht="15" customHeight="1">
      <c r="A1757" s="2" t="inlineStr"/>
      <c r="B1757" s="2" t="inlineStr"/>
      <c r="C1757" s="2" t="inlineStr"/>
      <c r="D1757" s="2" t="inlineStr"/>
      <c r="E1757" s="28" t="inlineStr">
        <is>
          <t>VALOR:</t>
        </is>
      </c>
      <c r="F1757" s="56" t="n"/>
      <c r="G1757" s="66">
        <f>SUM(G1752,G1756)</f>
        <v/>
      </c>
    </row>
    <row r="1758" ht="15" customHeight="1">
      <c r="A1758" s="2" t="inlineStr"/>
      <c r="B1758" s="2" t="inlineStr"/>
      <c r="C1758" s="2" t="inlineStr"/>
      <c r="D1758" s="2" t="inlineStr"/>
      <c r="E1758" s="28" t="inlineStr">
        <is>
          <t>VALOR BDI (23.08%):</t>
        </is>
      </c>
      <c r="F1758" s="56" t="n"/>
      <c r="G1758" s="66">
        <f>ROUNDDOWN(G1757*BDI,2)</f>
        <v/>
      </c>
    </row>
    <row r="1759" ht="15" customHeight="1">
      <c r="A1759" s="2" t="inlineStr"/>
      <c r="B1759" s="2" t="inlineStr"/>
      <c r="C1759" s="2" t="inlineStr"/>
      <c r="D1759" s="2" t="inlineStr"/>
      <c r="E1759" s="28" t="inlineStr">
        <is>
          <t>VALOR COM BDI:</t>
        </is>
      </c>
      <c r="F1759" s="56" t="n"/>
      <c r="G1759" s="66">
        <f>G1758 + G1757</f>
        <v/>
      </c>
    </row>
    <row r="1760" ht="10" customHeight="1">
      <c r="A1760" s="2" t="inlineStr"/>
      <c r="B1760" s="2" t="inlineStr"/>
      <c r="C1760" s="2" t="inlineStr"/>
      <c r="D1760" s="2" t="inlineStr"/>
      <c r="E1760" s="18" t="inlineStr"/>
    </row>
    <row r="1761" ht="20" customHeight="1">
      <c r="A1761" s="19" t="inlineStr">
        <is>
          <t>8.2.1.3. ​89713​ TUBO PVC, SERIE NORMAL, ESGOTO PREDIAL, DN 75 MM, FORNECIDO E INSTALADO EM RAMAL DE DESCARGA OU RAMAL DE ESGOTO SANITÁRIO.AF_08/2022​ (M)</t>
        </is>
      </c>
      <c r="B1761" s="55" t="n"/>
      <c r="C1761" s="55" t="n"/>
      <c r="D1761" s="55" t="n"/>
      <c r="E1761" s="55" t="n"/>
      <c r="F1761" s="55" t="n"/>
      <c r="G1761" s="56" t="n"/>
    </row>
    <row r="1762" ht="15" customHeight="1">
      <c r="A1762" s="20" t="inlineStr">
        <is>
          <t>Material</t>
        </is>
      </c>
      <c r="B1762" s="56" t="n"/>
      <c r="C1762" s="21" t="inlineStr">
        <is>
          <t>FONTE</t>
        </is>
      </c>
      <c r="D1762" s="21" t="inlineStr">
        <is>
          <t>UNID</t>
        </is>
      </c>
      <c r="E1762" s="21" t="inlineStr">
        <is>
          <t>COEFICIENTE</t>
        </is>
      </c>
      <c r="F1762" s="21" t="inlineStr">
        <is>
          <t>PREÇO UNITÁRIO</t>
        </is>
      </c>
      <c r="G1762" s="21" t="inlineStr">
        <is>
          <t>TOTAL</t>
        </is>
      </c>
    </row>
    <row r="1763" ht="15" customHeight="1">
      <c r="A1763" s="22" t="inlineStr">
        <is>
          <t>00038383</t>
        </is>
      </c>
      <c r="B1763" s="23" t="inlineStr">
        <is>
          <t>LIXA D'AGUA EM FOLHA, COR PRETA, GRAO 100</t>
        </is>
      </c>
      <c r="C1763" s="22" t="inlineStr">
        <is>
          <t>SINAPI</t>
        </is>
      </c>
      <c r="D1763" s="22" t="inlineStr">
        <is>
          <t>UN</t>
        </is>
      </c>
      <c r="E1763" s="63" t="n">
        <v>0.0212</v>
      </c>
      <c r="F1763" s="64">
        <f>ROUND(M1763*FATOR, 2)</f>
        <v/>
      </c>
      <c r="G1763" s="64">
        <f>TRUNC(TRUNC(E1763,8)*F1763,2)</f>
        <v/>
      </c>
      <c r="L1763" t="n">
        <v>0.0212</v>
      </c>
      <c r="M1763" t="n">
        <v>1.65</v>
      </c>
      <c r="N1763">
        <f>(M1763-F1763)</f>
        <v/>
      </c>
    </row>
    <row r="1764" ht="21" customHeight="1">
      <c r="A1764" s="22" t="inlineStr">
        <is>
          <t>00009837</t>
        </is>
      </c>
      <c r="B1764" s="23" t="inlineStr">
        <is>
          <t>TUBO PVC SERIE NORMAL, DN 75 MM, PARA ESGOTO PREDIAL (NBR 5688)</t>
        </is>
      </c>
      <c r="C1764" s="22" t="inlineStr">
        <is>
          <t>SINAPI</t>
        </is>
      </c>
      <c r="D1764" s="22" t="inlineStr">
        <is>
          <t>M</t>
        </is>
      </c>
      <c r="E1764" s="63" t="n">
        <v>1.0549</v>
      </c>
      <c r="F1764" s="64">
        <f>ROUND(M1764*FATOR, 2)</f>
        <v/>
      </c>
      <c r="G1764" s="64">
        <f>TRUNC(TRUNC(E1764,8)*F1764,2)</f>
        <v/>
      </c>
      <c r="L1764" t="n">
        <v>1.0549</v>
      </c>
      <c r="M1764" t="n">
        <v>14.19</v>
      </c>
      <c r="N1764">
        <f>(M1764-F1764)</f>
        <v/>
      </c>
    </row>
    <row r="1765" ht="15" customHeight="1">
      <c r="A1765" s="2" t="inlineStr"/>
      <c r="B1765" s="2" t="inlineStr"/>
      <c r="C1765" s="2" t="inlineStr"/>
      <c r="D1765" s="2" t="inlineStr"/>
      <c r="E1765" s="26" t="inlineStr">
        <is>
          <t>TOTAL Material:</t>
        </is>
      </c>
      <c r="F1765" s="56" t="n"/>
      <c r="G1765" s="65">
        <f>SUM(G1763:G1764)</f>
        <v/>
      </c>
    </row>
    <row r="1766" ht="15" customHeight="1">
      <c r="A1766" s="20" t="inlineStr">
        <is>
          <t>Mão de Obra com Encargos Complementares</t>
        </is>
      </c>
      <c r="B1766" s="56" t="n"/>
      <c r="C1766" s="21" t="inlineStr">
        <is>
          <t>FONTE</t>
        </is>
      </c>
      <c r="D1766" s="21" t="inlineStr">
        <is>
          <t>UNID</t>
        </is>
      </c>
      <c r="E1766" s="21" t="inlineStr">
        <is>
          <t>COEFICIENTE</t>
        </is>
      </c>
      <c r="F1766" s="21" t="inlineStr">
        <is>
          <t>PREÇO UNITÁRIO</t>
        </is>
      </c>
      <c r="G1766" s="21" t="inlineStr">
        <is>
          <t>TOTAL</t>
        </is>
      </c>
    </row>
    <row r="1767" ht="21" customHeight="1">
      <c r="A1767" s="22" t="inlineStr">
        <is>
          <t>88248</t>
        </is>
      </c>
      <c r="B1767" s="23" t="inlineStr">
        <is>
          <t>AUXILIAR DE ENCANADOR OU BOMBEIRO HIDRÁULICO COM ENCARGOS COMPLEMENTARES</t>
        </is>
      </c>
      <c r="C1767" s="22" t="inlineStr">
        <is>
          <t>SINAPI</t>
        </is>
      </c>
      <c r="D1767" s="22" t="inlineStr">
        <is>
          <t>H</t>
        </is>
      </c>
      <c r="E1767" s="63">
        <f>L1767*FATOR</f>
        <v/>
      </c>
      <c r="F1767" s="64">
        <f>'COMPOSICOES AUXILIARES'!G524</f>
        <v/>
      </c>
      <c r="G1767" s="64">
        <f>TRUNC(TRUNC(E1767,8)*F1767,2)</f>
        <v/>
      </c>
      <c r="L1767" t="n">
        <v>0.3813</v>
      </c>
      <c r="M1767" t="n">
        <v>24.23</v>
      </c>
      <c r="N1767">
        <f>(M1767-F1767)</f>
        <v/>
      </c>
    </row>
    <row r="1768" ht="21" customHeight="1">
      <c r="A1768" s="22" t="inlineStr">
        <is>
          <t>88267</t>
        </is>
      </c>
      <c r="B1768" s="23" t="inlineStr">
        <is>
          <t>ENCANADOR OU BOMBEIRO HIDRÁULICO COM ENCARGOS COMPLEMENTARES</t>
        </is>
      </c>
      <c r="C1768" s="22" t="inlineStr">
        <is>
          <t>SINAPI</t>
        </is>
      </c>
      <c r="D1768" s="22" t="inlineStr">
        <is>
          <t>H</t>
        </is>
      </c>
      <c r="E1768" s="63">
        <f>L1768*FATOR</f>
        <v/>
      </c>
      <c r="F1768" s="64">
        <f>'COMPOSICOES AUXILIARES'!G524</f>
        <v/>
      </c>
      <c r="G1768" s="64">
        <f>TRUNC(TRUNC(E1768,8)*F1768,2)</f>
        <v/>
      </c>
      <c r="L1768" t="n">
        <v>0.3813</v>
      </c>
      <c r="M1768" t="n">
        <v>29.86</v>
      </c>
      <c r="N1768">
        <f>(M1768-F1768)</f>
        <v/>
      </c>
    </row>
    <row r="1769" ht="18" customHeight="1">
      <c r="A1769" s="2" t="inlineStr"/>
      <c r="B1769" s="2" t="inlineStr"/>
      <c r="C1769" s="2" t="inlineStr"/>
      <c r="D1769" s="2" t="inlineStr"/>
      <c r="E1769" s="26" t="inlineStr">
        <is>
          <t>TOTAL Mão de Obra com Encargos Complementares:</t>
        </is>
      </c>
      <c r="F1769" s="56" t="n"/>
      <c r="G1769" s="65">
        <f>SUM(G1767:G1768)</f>
        <v/>
      </c>
    </row>
    <row r="1770" ht="15" customHeight="1">
      <c r="A1770" s="2" t="inlineStr"/>
      <c r="B1770" s="2" t="inlineStr"/>
      <c r="C1770" s="2" t="inlineStr"/>
      <c r="D1770" s="2" t="inlineStr"/>
      <c r="E1770" s="28" t="inlineStr">
        <is>
          <t>VALOR:</t>
        </is>
      </c>
      <c r="F1770" s="56" t="n"/>
      <c r="G1770" s="66">
        <f>SUM(G1769,G1765)</f>
        <v/>
      </c>
    </row>
    <row r="1771" ht="15" customHeight="1">
      <c r="A1771" s="2" t="inlineStr"/>
      <c r="B1771" s="2" t="inlineStr"/>
      <c r="C1771" s="2" t="inlineStr"/>
      <c r="D1771" s="2" t="inlineStr"/>
      <c r="E1771" s="28" t="inlineStr">
        <is>
          <t>VALOR BDI (23.08%):</t>
        </is>
      </c>
      <c r="F1771" s="56" t="n"/>
      <c r="G1771" s="66">
        <f>ROUNDDOWN(G1770*BDI,2)</f>
        <v/>
      </c>
    </row>
    <row r="1772" ht="15" customHeight="1">
      <c r="A1772" s="2" t="inlineStr"/>
      <c r="B1772" s="2" t="inlineStr"/>
      <c r="C1772" s="2" t="inlineStr"/>
      <c r="D1772" s="2" t="inlineStr"/>
      <c r="E1772" s="28" t="inlineStr">
        <is>
          <t>VALOR COM BDI:</t>
        </is>
      </c>
      <c r="F1772" s="56" t="n"/>
      <c r="G1772" s="66">
        <f>G1771 + G1770</f>
        <v/>
      </c>
    </row>
    <row r="1773" ht="10" customHeight="1">
      <c r="A1773" s="2" t="inlineStr"/>
      <c r="B1773" s="2" t="inlineStr"/>
      <c r="C1773" s="2" t="inlineStr"/>
      <c r="D1773" s="2" t="inlineStr"/>
      <c r="E1773" s="18" t="inlineStr"/>
    </row>
    <row r="1774" ht="20" customHeight="1">
      <c r="A1774" s="19" t="inlineStr">
        <is>
          <t>8.2.1.4. ​89714​ TUBO PVC, SERIE NORMAL, ESGOTO PREDIAL, DN 100 MM, FORNECIDO E INSTALADO EM RAMAL DE DESCARGA OU RAMAL DE ESGOTO SANITÁRIO.AF_08/2022​ (M)</t>
        </is>
      </c>
      <c r="B1774" s="55" t="n"/>
      <c r="C1774" s="55" t="n"/>
      <c r="D1774" s="55" t="n"/>
      <c r="E1774" s="55" t="n"/>
      <c r="F1774" s="55" t="n"/>
      <c r="G1774" s="56" t="n"/>
    </row>
    <row r="1775" ht="15" customHeight="1">
      <c r="A1775" s="20" t="inlineStr">
        <is>
          <t>Material</t>
        </is>
      </c>
      <c r="B1775" s="56" t="n"/>
      <c r="C1775" s="21" t="inlineStr">
        <is>
          <t>FONTE</t>
        </is>
      </c>
      <c r="D1775" s="21" t="inlineStr">
        <is>
          <t>UNID</t>
        </is>
      </c>
      <c r="E1775" s="21" t="inlineStr">
        <is>
          <t>COEFICIENTE</t>
        </is>
      </c>
      <c r="F1775" s="21" t="inlineStr">
        <is>
          <t>PREÇO UNITÁRIO</t>
        </is>
      </c>
      <c r="G1775" s="21" t="inlineStr">
        <is>
          <t>TOTAL</t>
        </is>
      </c>
    </row>
    <row r="1776" ht="15" customHeight="1">
      <c r="A1776" s="22" t="inlineStr">
        <is>
          <t>00038383</t>
        </is>
      </c>
      <c r="B1776" s="23" t="inlineStr">
        <is>
          <t>LIXA D'AGUA EM FOLHA, COR PRETA, GRAO 100</t>
        </is>
      </c>
      <c r="C1776" s="22" t="inlineStr">
        <is>
          <t>SINAPI</t>
        </is>
      </c>
      <c r="D1776" s="22" t="inlineStr">
        <is>
          <t>UN</t>
        </is>
      </c>
      <c r="E1776" s="63" t="n">
        <v>0.0247</v>
      </c>
      <c r="F1776" s="64">
        <f>ROUND(M1776*FATOR, 2)</f>
        <v/>
      </c>
      <c r="G1776" s="64">
        <f>TRUNC(TRUNC(E1776,8)*F1776,2)</f>
        <v/>
      </c>
      <c r="L1776" t="n">
        <v>0.0247</v>
      </c>
      <c r="M1776" t="n">
        <v>1.65</v>
      </c>
      <c r="N1776">
        <f>(M1776-F1776)</f>
        <v/>
      </c>
    </row>
    <row r="1777" ht="21" customHeight="1">
      <c r="A1777" s="22" t="inlineStr">
        <is>
          <t>00009836</t>
        </is>
      </c>
      <c r="B1777" s="23" t="inlineStr">
        <is>
          <t>TUBO PVC SERIE NORMAL, DN 100 MM, PARA ESGOTO PREDIAL (NBR 5688)</t>
        </is>
      </c>
      <c r="C1777" s="22" t="inlineStr">
        <is>
          <t>SINAPI</t>
        </is>
      </c>
      <c r="D1777" s="22" t="inlineStr">
        <is>
          <t>M</t>
        </is>
      </c>
      <c r="E1777" s="63" t="n">
        <v>1.0549</v>
      </c>
      <c r="F1777" s="64">
        <f>ROUND(M1777*FATOR, 2)</f>
        <v/>
      </c>
      <c r="G1777" s="64">
        <f>TRUNC(TRUNC(E1777,8)*F1777,2)</f>
        <v/>
      </c>
      <c r="L1777" t="n">
        <v>1.0549</v>
      </c>
      <c r="M1777" t="n">
        <v>14.99</v>
      </c>
      <c r="N1777">
        <f>(M1777-F1777)</f>
        <v/>
      </c>
    </row>
    <row r="1778" ht="15" customHeight="1">
      <c r="A1778" s="2" t="inlineStr"/>
      <c r="B1778" s="2" t="inlineStr"/>
      <c r="C1778" s="2" t="inlineStr"/>
      <c r="D1778" s="2" t="inlineStr"/>
      <c r="E1778" s="26" t="inlineStr">
        <is>
          <t>TOTAL Material:</t>
        </is>
      </c>
      <c r="F1778" s="56" t="n"/>
      <c r="G1778" s="65">
        <f>SUM(G1776:G1777)</f>
        <v/>
      </c>
    </row>
    <row r="1779" ht="15" customHeight="1">
      <c r="A1779" s="20" t="inlineStr">
        <is>
          <t>Mão de Obra com Encargos Complementares</t>
        </is>
      </c>
      <c r="B1779" s="56" t="n"/>
      <c r="C1779" s="21" t="inlineStr">
        <is>
          <t>FONTE</t>
        </is>
      </c>
      <c r="D1779" s="21" t="inlineStr">
        <is>
          <t>UNID</t>
        </is>
      </c>
      <c r="E1779" s="21" t="inlineStr">
        <is>
          <t>COEFICIENTE</t>
        </is>
      </c>
      <c r="F1779" s="21" t="inlineStr">
        <is>
          <t>PREÇO UNITÁRIO</t>
        </is>
      </c>
      <c r="G1779" s="21" t="inlineStr">
        <is>
          <t>TOTAL</t>
        </is>
      </c>
    </row>
    <row r="1780" ht="21" customHeight="1">
      <c r="A1780" s="22" t="inlineStr">
        <is>
          <t>88248</t>
        </is>
      </c>
      <c r="B1780" s="23" t="inlineStr">
        <is>
          <t>AUXILIAR DE ENCANADOR OU BOMBEIRO HIDRÁULICO COM ENCARGOS COMPLEMENTARES</t>
        </is>
      </c>
      <c r="C1780" s="22" t="inlineStr">
        <is>
          <t>SINAPI</t>
        </is>
      </c>
      <c r="D1780" s="22" t="inlineStr">
        <is>
          <t>H</t>
        </is>
      </c>
      <c r="E1780" s="63">
        <f>L1780*FATOR</f>
        <v/>
      </c>
      <c r="F1780" s="64">
        <f>'COMPOSICOES AUXILIARES'!G524</f>
        <v/>
      </c>
      <c r="G1780" s="64">
        <f>TRUNC(TRUNC(E1780,8)*F1780,2)</f>
        <v/>
      </c>
      <c r="L1780" t="n">
        <v>0.4444</v>
      </c>
      <c r="M1780" t="n">
        <v>24.23</v>
      </c>
      <c r="N1780">
        <f>(M1780-F1780)</f>
        <v/>
      </c>
    </row>
    <row r="1781" ht="21" customHeight="1">
      <c r="A1781" s="22" t="inlineStr">
        <is>
          <t>88267</t>
        </is>
      </c>
      <c r="B1781" s="23" t="inlineStr">
        <is>
          <t>ENCANADOR OU BOMBEIRO HIDRÁULICO COM ENCARGOS COMPLEMENTARES</t>
        </is>
      </c>
      <c r="C1781" s="22" t="inlineStr">
        <is>
          <t>SINAPI</t>
        </is>
      </c>
      <c r="D1781" s="22" t="inlineStr">
        <is>
          <t>H</t>
        </is>
      </c>
      <c r="E1781" s="63">
        <f>L1781*FATOR</f>
        <v/>
      </c>
      <c r="F1781" s="64">
        <f>'COMPOSICOES AUXILIARES'!G524</f>
        <v/>
      </c>
      <c r="G1781" s="64">
        <f>TRUNC(TRUNC(E1781,8)*F1781,2)</f>
        <v/>
      </c>
      <c r="L1781" t="n">
        <v>0.4444</v>
      </c>
      <c r="M1781" t="n">
        <v>29.86</v>
      </c>
      <c r="N1781">
        <f>(M1781-F1781)</f>
        <v/>
      </c>
    </row>
    <row r="1782" ht="18" customHeight="1">
      <c r="A1782" s="2" t="inlineStr"/>
      <c r="B1782" s="2" t="inlineStr"/>
      <c r="C1782" s="2" t="inlineStr"/>
      <c r="D1782" s="2" t="inlineStr"/>
      <c r="E1782" s="26" t="inlineStr">
        <is>
          <t>TOTAL Mão de Obra com Encargos Complementares:</t>
        </is>
      </c>
      <c r="F1782" s="56" t="n"/>
      <c r="G1782" s="65">
        <f>SUM(G1780:G1781)</f>
        <v/>
      </c>
    </row>
    <row r="1783" ht="15" customHeight="1">
      <c r="A1783" s="2" t="inlineStr"/>
      <c r="B1783" s="2" t="inlineStr"/>
      <c r="C1783" s="2" t="inlineStr"/>
      <c r="D1783" s="2" t="inlineStr"/>
      <c r="E1783" s="28" t="inlineStr">
        <is>
          <t>VALOR:</t>
        </is>
      </c>
      <c r="F1783" s="56" t="n"/>
      <c r="G1783" s="66">
        <f>SUM(G1778,G1782)</f>
        <v/>
      </c>
    </row>
    <row r="1784" ht="15" customHeight="1">
      <c r="A1784" s="2" t="inlineStr"/>
      <c r="B1784" s="2" t="inlineStr"/>
      <c r="C1784" s="2" t="inlineStr"/>
      <c r="D1784" s="2" t="inlineStr"/>
      <c r="E1784" s="28" t="inlineStr">
        <is>
          <t>VALOR BDI (23.08%):</t>
        </is>
      </c>
      <c r="F1784" s="56" t="n"/>
      <c r="G1784" s="66">
        <f>ROUNDDOWN(G1783*BDI,2)</f>
        <v/>
      </c>
    </row>
    <row r="1785" ht="15" customHeight="1">
      <c r="A1785" s="2" t="inlineStr"/>
      <c r="B1785" s="2" t="inlineStr"/>
      <c r="C1785" s="2" t="inlineStr"/>
      <c r="D1785" s="2" t="inlineStr"/>
      <c r="E1785" s="28" t="inlineStr">
        <is>
          <t>VALOR COM BDI:</t>
        </is>
      </c>
      <c r="F1785" s="56" t="n"/>
      <c r="G1785" s="66">
        <f>G1784 + G1783</f>
        <v/>
      </c>
    </row>
    <row r="1786" ht="10" customHeight="1">
      <c r="A1786" s="2" t="inlineStr"/>
      <c r="B1786" s="2" t="inlineStr"/>
      <c r="C1786" s="2" t="inlineStr"/>
      <c r="D1786" s="2" t="inlineStr"/>
      <c r="E1786" s="18" t="inlineStr"/>
    </row>
    <row r="1787" ht="20" customHeight="1">
      <c r="A1787" s="19" t="inlineStr">
        <is>
          <t>8.2.2.1. ​89726​ JOELHO 45 GRAUS, PVC, SERIE NORMAL, ESGOTO PREDIAL, DN 40 MM, JUNTA SOLDÁVEL, FORNECIDO E INSTALADO EM RAMAL DE DESCARGA OU RAMAL DEESGOTO SANITÁRIO. AF_08/2022​ (UN)</t>
        </is>
      </c>
      <c r="B1787" s="55" t="n"/>
      <c r="C1787" s="55" t="n"/>
      <c r="D1787" s="55" t="n"/>
      <c r="E1787" s="55" t="n"/>
      <c r="F1787" s="55" t="n"/>
      <c r="G1787" s="56" t="n"/>
    </row>
    <row r="1788" ht="15" customHeight="1">
      <c r="A1788" s="20" t="inlineStr">
        <is>
          <t>Material</t>
        </is>
      </c>
      <c r="B1788" s="56" t="n"/>
      <c r="C1788" s="21" t="inlineStr">
        <is>
          <t>FONTE</t>
        </is>
      </c>
      <c r="D1788" s="21" t="inlineStr">
        <is>
          <t>UNID</t>
        </is>
      </c>
      <c r="E1788" s="21" t="inlineStr">
        <is>
          <t>COEFICIENTE</t>
        </is>
      </c>
      <c r="F1788" s="21" t="inlineStr">
        <is>
          <t>PREÇO UNITÁRIO</t>
        </is>
      </c>
      <c r="G1788" s="21" t="inlineStr">
        <is>
          <t>TOTAL</t>
        </is>
      </c>
    </row>
    <row r="1789" ht="15" customHeight="1">
      <c r="A1789" s="22" t="inlineStr">
        <is>
          <t>00000122</t>
        </is>
      </c>
      <c r="B1789" s="23" t="inlineStr">
        <is>
          <t>ADESIVO PLASTICO PARA PVC, FRASCO COM *850* GR</t>
        </is>
      </c>
      <c r="C1789" s="22" t="inlineStr">
        <is>
          <t>SINAPI</t>
        </is>
      </c>
      <c r="D1789" s="22" t="inlineStr">
        <is>
          <t>UN</t>
        </is>
      </c>
      <c r="E1789" s="63" t="n">
        <v>0.009900000000000001</v>
      </c>
      <c r="F1789" s="64">
        <f>ROUND(M1789*FATOR, 2)</f>
        <v/>
      </c>
      <c r="G1789" s="64">
        <f>TRUNC(TRUNC(E1789,8)*F1789,2)</f>
        <v/>
      </c>
      <c r="L1789" t="n">
        <v>0.009900000000000001</v>
      </c>
      <c r="M1789" t="n">
        <v>61.86</v>
      </c>
      <c r="N1789">
        <f>(M1789-F1789)</f>
        <v/>
      </c>
    </row>
    <row r="1790" ht="21" customHeight="1">
      <c r="A1790" s="22" t="inlineStr">
        <is>
          <t>00003516</t>
        </is>
      </c>
      <c r="B1790" s="23" t="inlineStr">
        <is>
          <t>JOELHO PVC, SOLDAVEL, BB, 45 GRAUS, DN 40 MM, PARA ESGOTO PREDIAL</t>
        </is>
      </c>
      <c r="C1790" s="22" t="inlineStr">
        <is>
          <t>SINAPI</t>
        </is>
      </c>
      <c r="D1790" s="22" t="inlineStr">
        <is>
          <t>UN</t>
        </is>
      </c>
      <c r="E1790" s="63" t="n">
        <v>1</v>
      </c>
      <c r="F1790" s="64">
        <f>ROUND(M1790*FATOR, 2)</f>
        <v/>
      </c>
      <c r="G1790" s="64">
        <f>TRUNC(TRUNC(E1790,8)*F1790,2)</f>
        <v/>
      </c>
      <c r="L1790" t="n">
        <v>1</v>
      </c>
      <c r="M1790" t="n">
        <v>2.35</v>
      </c>
      <c r="N1790">
        <f>(M1790-F1790)</f>
        <v/>
      </c>
    </row>
    <row r="1791" ht="15" customHeight="1">
      <c r="A1791" s="22" t="inlineStr">
        <is>
          <t>00038383</t>
        </is>
      </c>
      <c r="B1791" s="23" t="inlineStr">
        <is>
          <t>LIXA D'AGUA EM FOLHA, COR PRETA, GRAO 100</t>
        </is>
      </c>
      <c r="C1791" s="22" t="inlineStr">
        <is>
          <t>SINAPI</t>
        </is>
      </c>
      <c r="D1791" s="22" t="inlineStr">
        <is>
          <t>UN</t>
        </is>
      </c>
      <c r="E1791" s="63" t="n">
        <v>0.0071</v>
      </c>
      <c r="F1791" s="64">
        <f>ROUND(M1791*FATOR, 2)</f>
        <v/>
      </c>
      <c r="G1791" s="64">
        <f>TRUNC(TRUNC(E1791,8)*F1791,2)</f>
        <v/>
      </c>
      <c r="L1791" t="n">
        <v>0.0071</v>
      </c>
      <c r="M1791" t="n">
        <v>1.65</v>
      </c>
      <c r="N1791">
        <f>(M1791-F1791)</f>
        <v/>
      </c>
    </row>
    <row r="1792" ht="21" customHeight="1">
      <c r="A1792" s="22" t="inlineStr">
        <is>
          <t>00020083</t>
        </is>
      </c>
      <c r="B1792" s="23" t="inlineStr">
        <is>
          <t>SOLUCAO PREPARADORA / LIMPADORA PARA PVC, FRASCO COM 1000 CM3</t>
        </is>
      </c>
      <c r="C1792" s="22" t="inlineStr">
        <is>
          <t>SINAPI</t>
        </is>
      </c>
      <c r="D1792" s="22" t="inlineStr">
        <is>
          <t>UN</t>
        </is>
      </c>
      <c r="E1792" s="63" t="n">
        <v>0.015</v>
      </c>
      <c r="F1792" s="64">
        <f>ROUND(M1792*FATOR, 2)</f>
        <v/>
      </c>
      <c r="G1792" s="64">
        <f>TRUNC(TRUNC(E1792,8)*F1792,2)</f>
        <v/>
      </c>
      <c r="L1792" t="n">
        <v>0.015</v>
      </c>
      <c r="M1792" t="n">
        <v>70.08</v>
      </c>
      <c r="N1792">
        <f>(M1792-F1792)</f>
        <v/>
      </c>
    </row>
    <row r="1793" ht="15" customHeight="1">
      <c r="A1793" s="2" t="inlineStr"/>
      <c r="B1793" s="2" t="inlineStr"/>
      <c r="C1793" s="2" t="inlineStr"/>
      <c r="D1793" s="2" t="inlineStr"/>
      <c r="E1793" s="26" t="inlineStr">
        <is>
          <t>TOTAL Material:</t>
        </is>
      </c>
      <c r="F1793" s="56" t="n"/>
      <c r="G1793" s="65">
        <f>SUM(G1789:G1792)</f>
        <v/>
      </c>
    </row>
    <row r="1794" ht="15" customHeight="1">
      <c r="A1794" s="20" t="inlineStr">
        <is>
          <t>Mão de Obra com Encargos Complementares</t>
        </is>
      </c>
      <c r="B1794" s="56" t="n"/>
      <c r="C1794" s="21" t="inlineStr">
        <is>
          <t>FONTE</t>
        </is>
      </c>
      <c r="D1794" s="21" t="inlineStr">
        <is>
          <t>UNID</t>
        </is>
      </c>
      <c r="E1794" s="21" t="inlineStr">
        <is>
          <t>COEFICIENTE</t>
        </is>
      </c>
      <c r="F1794" s="21" t="inlineStr">
        <is>
          <t>PREÇO UNITÁRIO</t>
        </is>
      </c>
      <c r="G1794" s="21" t="inlineStr">
        <is>
          <t>TOTAL</t>
        </is>
      </c>
    </row>
    <row r="1795" ht="21" customHeight="1">
      <c r="A1795" s="22" t="inlineStr">
        <is>
          <t>88248</t>
        </is>
      </c>
      <c r="B1795" s="23" t="inlineStr">
        <is>
          <t>AUXILIAR DE ENCANADOR OU BOMBEIRO HIDRÁULICO COM ENCARGOS COMPLEMENTARES</t>
        </is>
      </c>
      <c r="C1795" s="22" t="inlineStr">
        <is>
          <t>SINAPI</t>
        </is>
      </c>
      <c r="D1795" s="22" t="inlineStr">
        <is>
          <t>H</t>
        </is>
      </c>
      <c r="E1795" s="63">
        <f>L1795*FATOR</f>
        <v/>
      </c>
      <c r="F1795" s="64">
        <f>'COMPOSICOES AUXILIARES'!G524</f>
        <v/>
      </c>
      <c r="G1795" s="64">
        <f>TRUNC(TRUNC(E1795,8)*F1795,2)</f>
        <v/>
      </c>
      <c r="L1795" t="n">
        <v>0.127</v>
      </c>
      <c r="M1795" t="n">
        <v>24.23</v>
      </c>
      <c r="N1795">
        <f>(M1795-F1795)</f>
        <v/>
      </c>
    </row>
    <row r="1796" ht="21" customHeight="1">
      <c r="A1796" s="22" t="inlineStr">
        <is>
          <t>88267</t>
        </is>
      </c>
      <c r="B1796" s="23" t="inlineStr">
        <is>
          <t>ENCANADOR OU BOMBEIRO HIDRÁULICO COM ENCARGOS COMPLEMENTARES</t>
        </is>
      </c>
      <c r="C1796" s="22" t="inlineStr">
        <is>
          <t>SINAPI</t>
        </is>
      </c>
      <c r="D1796" s="22" t="inlineStr">
        <is>
          <t>H</t>
        </is>
      </c>
      <c r="E1796" s="63">
        <f>L1796*FATOR</f>
        <v/>
      </c>
      <c r="F1796" s="64">
        <f>'COMPOSICOES AUXILIARES'!G524</f>
        <v/>
      </c>
      <c r="G1796" s="64">
        <f>TRUNC(TRUNC(E1796,8)*F1796,2)</f>
        <v/>
      </c>
      <c r="L1796" t="n">
        <v>0.127</v>
      </c>
      <c r="M1796" t="n">
        <v>29.86</v>
      </c>
      <c r="N1796">
        <f>(M1796-F1796)</f>
        <v/>
      </c>
    </row>
    <row r="1797" ht="18" customHeight="1">
      <c r="A1797" s="2" t="inlineStr"/>
      <c r="B1797" s="2" t="inlineStr"/>
      <c r="C1797" s="2" t="inlineStr"/>
      <c r="D1797" s="2" t="inlineStr"/>
      <c r="E1797" s="26" t="inlineStr">
        <is>
          <t>TOTAL Mão de Obra com Encargos Complementares:</t>
        </is>
      </c>
      <c r="F1797" s="56" t="n"/>
      <c r="G1797" s="65">
        <f>SUM(G1795:G1796)</f>
        <v/>
      </c>
    </row>
    <row r="1798" ht="15" customHeight="1">
      <c r="A1798" s="2" t="inlineStr"/>
      <c r="B1798" s="2" t="inlineStr"/>
      <c r="C1798" s="2" t="inlineStr"/>
      <c r="D1798" s="2" t="inlineStr"/>
      <c r="E1798" s="28" t="inlineStr">
        <is>
          <t>VALOR:</t>
        </is>
      </c>
      <c r="F1798" s="56" t="n"/>
      <c r="G1798" s="66">
        <f>SUM(G1793,G1797)</f>
        <v/>
      </c>
    </row>
    <row r="1799" ht="15" customHeight="1">
      <c r="A1799" s="2" t="inlineStr"/>
      <c r="B1799" s="2" t="inlineStr"/>
      <c r="C1799" s="2" t="inlineStr"/>
      <c r="D1799" s="2" t="inlineStr"/>
      <c r="E1799" s="28" t="inlineStr">
        <is>
          <t>VALOR BDI (23.08%):</t>
        </is>
      </c>
      <c r="F1799" s="56" t="n"/>
      <c r="G1799" s="66">
        <f>ROUNDDOWN(G1798*BDI,2)</f>
        <v/>
      </c>
    </row>
    <row r="1800" ht="15" customHeight="1">
      <c r="A1800" s="2" t="inlineStr"/>
      <c r="B1800" s="2" t="inlineStr"/>
      <c r="C1800" s="2" t="inlineStr"/>
      <c r="D1800" s="2" t="inlineStr"/>
      <c r="E1800" s="28" t="inlineStr">
        <is>
          <t>VALOR COM BDI:</t>
        </is>
      </c>
      <c r="F1800" s="56" t="n"/>
      <c r="G1800" s="66">
        <f>G1799 + G1798</f>
        <v/>
      </c>
    </row>
    <row r="1801" ht="10" customHeight="1">
      <c r="A1801" s="2" t="inlineStr"/>
      <c r="B1801" s="2" t="inlineStr"/>
      <c r="C1801" s="2" t="inlineStr"/>
      <c r="D1801" s="2" t="inlineStr"/>
      <c r="E1801" s="18" t="inlineStr"/>
    </row>
    <row r="1802" ht="20" customHeight="1">
      <c r="A1802" s="19" t="inlineStr">
        <is>
          <t>8.2.2.2. ​89802​ JOELHO 45 GRAUS, PVC, SERIE NORMAL, ESGOTO PREDIAL, DN 50 MM, JUNTA ELÁSTICA, FORNECIDO E INSTALADO EM PRUMADA DE ESGOTO SANITÁRIO OUVENTILAÇÃO. AF_08/2022​ (UN)</t>
        </is>
      </c>
      <c r="B1802" s="55" t="n"/>
      <c r="C1802" s="55" t="n"/>
      <c r="D1802" s="55" t="n"/>
      <c r="E1802" s="55" t="n"/>
      <c r="F1802" s="55" t="n"/>
      <c r="G1802" s="56" t="n"/>
    </row>
    <row r="1803" ht="15" customHeight="1">
      <c r="A1803" s="20" t="inlineStr">
        <is>
          <t>Material</t>
        </is>
      </c>
      <c r="B1803" s="56" t="n"/>
      <c r="C1803" s="21" t="inlineStr">
        <is>
          <t>FONTE</t>
        </is>
      </c>
      <c r="D1803" s="21" t="inlineStr">
        <is>
          <t>UNID</t>
        </is>
      </c>
      <c r="E1803" s="21" t="inlineStr">
        <is>
          <t>COEFICIENTE</t>
        </is>
      </c>
      <c r="F1803" s="21" t="inlineStr">
        <is>
          <t>PREÇO UNITÁRIO</t>
        </is>
      </c>
      <c r="G1803" s="21" t="inlineStr">
        <is>
          <t>TOTAL</t>
        </is>
      </c>
    </row>
    <row r="1804" ht="21" customHeight="1">
      <c r="A1804" s="22" t="inlineStr">
        <is>
          <t>00000296</t>
        </is>
      </c>
      <c r="B1804" s="23" t="inlineStr">
        <is>
          <t>ANEL BORRACHA PARA TUBO ESGOTO PREDIAL, DN 50 MM (NBR 5688)</t>
        </is>
      </c>
      <c r="C1804" s="22" t="inlineStr">
        <is>
          <t>SINAPI</t>
        </is>
      </c>
      <c r="D1804" s="22" t="inlineStr">
        <is>
          <t>UN</t>
        </is>
      </c>
      <c r="E1804" s="63" t="n">
        <v>2</v>
      </c>
      <c r="F1804" s="64">
        <f>ROUND(M1804*FATOR, 2)</f>
        <v/>
      </c>
      <c r="G1804" s="64">
        <f>TRUNC(TRUNC(E1804,8)*F1804,2)</f>
        <v/>
      </c>
      <c r="L1804" t="n">
        <v>2</v>
      </c>
      <c r="M1804" t="n">
        <v>2.42</v>
      </c>
      <c r="N1804">
        <f>(M1804-F1804)</f>
        <v/>
      </c>
    </row>
    <row r="1805" ht="21" customHeight="1">
      <c r="A1805" s="22" t="inlineStr">
        <is>
          <t>00003518</t>
        </is>
      </c>
      <c r="B1805" s="23" t="inlineStr">
        <is>
          <t>JOELHO PVC, SOLDAVEL, PB, 45 GRAUS, DN 50 MM, PARA ESGOTO PREDIAL</t>
        </is>
      </c>
      <c r="C1805" s="22" t="inlineStr">
        <is>
          <t>SINAPI</t>
        </is>
      </c>
      <c r="D1805" s="22" t="inlineStr">
        <is>
          <t>UN</t>
        </is>
      </c>
      <c r="E1805" s="63" t="n">
        <v>1</v>
      </c>
      <c r="F1805" s="64">
        <f>ROUND(M1805*FATOR, 2)</f>
        <v/>
      </c>
      <c r="G1805" s="64">
        <f>TRUNC(TRUNC(E1805,8)*F1805,2)</f>
        <v/>
      </c>
      <c r="L1805" t="n">
        <v>1</v>
      </c>
      <c r="M1805" t="n">
        <v>3.81</v>
      </c>
      <c r="N1805">
        <f>(M1805-F1805)</f>
        <v/>
      </c>
    </row>
    <row r="1806" ht="29" customHeight="1">
      <c r="A1806" s="22" t="inlineStr">
        <is>
          <t>00020078</t>
        </is>
      </c>
      <c r="B1806" s="23" t="inlineStr">
        <is>
          <t>PASTA LUBRIFICANTE PARA TUBOS E CONEXOES COM JUNTA ELASTICA, EMBALAGEM DE *400* GR (USO EM PVC, ACO, POLIETILENO E OUTROS)</t>
        </is>
      </c>
      <c r="C1806" s="22" t="inlineStr">
        <is>
          <t>SINAPI</t>
        </is>
      </c>
      <c r="D1806" s="22" t="inlineStr">
        <is>
          <t>UN</t>
        </is>
      </c>
      <c r="E1806" s="63" t="n">
        <v>0.05</v>
      </c>
      <c r="F1806" s="64">
        <f>ROUND(M1806*FATOR, 2)</f>
        <v/>
      </c>
      <c r="G1806" s="64">
        <f>TRUNC(TRUNC(E1806,8)*F1806,2)</f>
        <v/>
      </c>
      <c r="L1806" t="n">
        <v>0.05</v>
      </c>
      <c r="M1806" t="n">
        <v>25.53</v>
      </c>
      <c r="N1806">
        <f>(M1806-F1806)</f>
        <v/>
      </c>
    </row>
    <row r="1807" ht="15" customHeight="1">
      <c r="A1807" s="2" t="inlineStr"/>
      <c r="B1807" s="2" t="inlineStr"/>
      <c r="C1807" s="2" t="inlineStr"/>
      <c r="D1807" s="2" t="inlineStr"/>
      <c r="E1807" s="26" t="inlineStr">
        <is>
          <t>TOTAL Material:</t>
        </is>
      </c>
      <c r="F1807" s="56" t="n"/>
      <c r="G1807" s="65">
        <f>SUM(G1804:G1806)</f>
        <v/>
      </c>
    </row>
    <row r="1808" ht="15" customHeight="1">
      <c r="A1808" s="20" t="inlineStr">
        <is>
          <t>Mão de Obra com Encargos Complementares</t>
        </is>
      </c>
      <c r="B1808" s="56" t="n"/>
      <c r="C1808" s="21" t="inlineStr">
        <is>
          <t>FONTE</t>
        </is>
      </c>
      <c r="D1808" s="21" t="inlineStr">
        <is>
          <t>UNID</t>
        </is>
      </c>
      <c r="E1808" s="21" t="inlineStr">
        <is>
          <t>COEFICIENTE</t>
        </is>
      </c>
      <c r="F1808" s="21" t="inlineStr">
        <is>
          <t>PREÇO UNITÁRIO</t>
        </is>
      </c>
      <c r="G1808" s="21" t="inlineStr">
        <is>
          <t>TOTAL</t>
        </is>
      </c>
    </row>
    <row r="1809" ht="21" customHeight="1">
      <c r="A1809" s="22" t="inlineStr">
        <is>
          <t>88248</t>
        </is>
      </c>
      <c r="B1809" s="23" t="inlineStr">
        <is>
          <t>AUXILIAR DE ENCANADOR OU BOMBEIRO HIDRÁULICO COM ENCARGOS COMPLEMENTARES</t>
        </is>
      </c>
      <c r="C1809" s="22" t="inlineStr">
        <is>
          <t>SINAPI</t>
        </is>
      </c>
      <c r="D1809" s="22" t="inlineStr">
        <is>
          <t>H</t>
        </is>
      </c>
      <c r="E1809" s="63">
        <f>L1809*FATOR</f>
        <v/>
      </c>
      <c r="F1809" s="64">
        <f>'COMPOSICOES AUXILIARES'!G524</f>
        <v/>
      </c>
      <c r="G1809" s="64">
        <f>TRUNC(TRUNC(E1809,8)*F1809,2)</f>
        <v/>
      </c>
      <c r="L1809" t="n">
        <v>0.0343</v>
      </c>
      <c r="M1809" t="n">
        <v>24.23</v>
      </c>
      <c r="N1809">
        <f>(M1809-F1809)</f>
        <v/>
      </c>
    </row>
    <row r="1810" ht="21" customHeight="1">
      <c r="A1810" s="22" t="inlineStr">
        <is>
          <t>88267</t>
        </is>
      </c>
      <c r="B1810" s="23" t="inlineStr">
        <is>
          <t>ENCANADOR OU BOMBEIRO HIDRÁULICO COM ENCARGOS COMPLEMENTARES</t>
        </is>
      </c>
      <c r="C1810" s="22" t="inlineStr">
        <is>
          <t>SINAPI</t>
        </is>
      </c>
      <c r="D1810" s="22" t="inlineStr">
        <is>
          <t>H</t>
        </is>
      </c>
      <c r="E1810" s="63">
        <f>L1810*FATOR</f>
        <v/>
      </c>
      <c r="F1810" s="64">
        <f>'COMPOSICOES AUXILIARES'!G524</f>
        <v/>
      </c>
      <c r="G1810" s="64">
        <f>TRUNC(TRUNC(E1810,8)*F1810,2)</f>
        <v/>
      </c>
      <c r="L1810" t="n">
        <v>0.0343</v>
      </c>
      <c r="M1810" t="n">
        <v>29.86</v>
      </c>
      <c r="N1810">
        <f>(M1810-F1810)</f>
        <v/>
      </c>
    </row>
    <row r="1811" ht="18" customHeight="1">
      <c r="A1811" s="2" t="inlineStr"/>
      <c r="B1811" s="2" t="inlineStr"/>
      <c r="C1811" s="2" t="inlineStr"/>
      <c r="D1811" s="2" t="inlineStr"/>
      <c r="E1811" s="26" t="inlineStr">
        <is>
          <t>TOTAL Mão de Obra com Encargos Complementares:</t>
        </is>
      </c>
      <c r="F1811" s="56" t="n"/>
      <c r="G1811" s="65">
        <f>SUM(G1809:G1810)</f>
        <v/>
      </c>
    </row>
    <row r="1812" ht="15" customHeight="1">
      <c r="A1812" s="2" t="inlineStr"/>
      <c r="B1812" s="2" t="inlineStr"/>
      <c r="C1812" s="2" t="inlineStr"/>
      <c r="D1812" s="2" t="inlineStr"/>
      <c r="E1812" s="28" t="inlineStr">
        <is>
          <t>VALOR:</t>
        </is>
      </c>
      <c r="F1812" s="56" t="n"/>
      <c r="G1812" s="66">
        <f>SUM(G1811,G1807)</f>
        <v/>
      </c>
    </row>
    <row r="1813" ht="15" customHeight="1">
      <c r="A1813" s="2" t="inlineStr"/>
      <c r="B1813" s="2" t="inlineStr"/>
      <c r="C1813" s="2" t="inlineStr"/>
      <c r="D1813" s="2" t="inlineStr"/>
      <c r="E1813" s="28" t="inlineStr">
        <is>
          <t>VALOR BDI (23.08%):</t>
        </is>
      </c>
      <c r="F1813" s="56" t="n"/>
      <c r="G1813" s="66">
        <f>ROUNDDOWN(G1812*BDI,2)</f>
        <v/>
      </c>
    </row>
    <row r="1814" ht="15" customHeight="1">
      <c r="A1814" s="2" t="inlineStr"/>
      <c r="B1814" s="2" t="inlineStr"/>
      <c r="C1814" s="2" t="inlineStr"/>
      <c r="D1814" s="2" t="inlineStr"/>
      <c r="E1814" s="28" t="inlineStr">
        <is>
          <t>VALOR COM BDI:</t>
        </is>
      </c>
      <c r="F1814" s="56" t="n"/>
      <c r="G1814" s="66">
        <f>G1813 + G1812</f>
        <v/>
      </c>
    </row>
    <row r="1815" ht="10" customHeight="1">
      <c r="A1815" s="2" t="inlineStr"/>
      <c r="B1815" s="2" t="inlineStr"/>
      <c r="C1815" s="2" t="inlineStr"/>
      <c r="D1815" s="2" t="inlineStr"/>
      <c r="E1815" s="18" t="inlineStr"/>
    </row>
    <row r="1816" ht="20" customHeight="1">
      <c r="A1816" s="19" t="inlineStr">
        <is>
          <t>8.2.2.3. ​89746​ JOELHO 45 GRAUS, PVC, SERIE NORMAL, ESGOTO PREDIAL, DN 100 MM, JUNTA ELÁSTICA, FORNECIDO E INSTALADO EM RAMAL DE DESCARGA OU RAMAL DEESGOTO SANITÁRIO. AF_08/2022​ (UN)</t>
        </is>
      </c>
      <c r="B1816" s="55" t="n"/>
      <c r="C1816" s="55" t="n"/>
      <c r="D1816" s="55" t="n"/>
      <c r="E1816" s="55" t="n"/>
      <c r="F1816" s="55" t="n"/>
      <c r="G1816" s="56" t="n"/>
    </row>
    <row r="1817" ht="15" customHeight="1">
      <c r="A1817" s="20" t="inlineStr">
        <is>
          <t>Material</t>
        </is>
      </c>
      <c r="B1817" s="56" t="n"/>
      <c r="C1817" s="21" t="inlineStr">
        <is>
          <t>FONTE</t>
        </is>
      </c>
      <c r="D1817" s="21" t="inlineStr">
        <is>
          <t>UNID</t>
        </is>
      </c>
      <c r="E1817" s="21" t="inlineStr">
        <is>
          <t>COEFICIENTE</t>
        </is>
      </c>
      <c r="F1817" s="21" t="inlineStr">
        <is>
          <t>PREÇO UNITÁRIO</t>
        </is>
      </c>
      <c r="G1817" s="21" t="inlineStr">
        <is>
          <t>TOTAL</t>
        </is>
      </c>
    </row>
    <row r="1818" ht="21" customHeight="1">
      <c r="A1818" s="22" t="inlineStr">
        <is>
          <t>00000301</t>
        </is>
      </c>
      <c r="B1818" s="23" t="inlineStr">
        <is>
          <t>ANEL BORRACHA PARA TUBO ESGOTO PREDIAL, DN 100 MM (NBR 5688)</t>
        </is>
      </c>
      <c r="C1818" s="22" t="inlineStr">
        <is>
          <t>SINAPI</t>
        </is>
      </c>
      <c r="D1818" s="22" t="inlineStr">
        <is>
          <t>UN</t>
        </is>
      </c>
      <c r="E1818" s="63" t="n">
        <v>2</v>
      </c>
      <c r="F1818" s="64">
        <f>ROUND(M1818*FATOR, 2)</f>
        <v/>
      </c>
      <c r="G1818" s="64">
        <f>TRUNC(TRUNC(E1818,8)*F1818,2)</f>
        <v/>
      </c>
      <c r="L1818" t="n">
        <v>2</v>
      </c>
      <c r="M1818" t="n">
        <v>4.29</v>
      </c>
      <c r="N1818">
        <f>(M1818-F1818)</f>
        <v/>
      </c>
    </row>
    <row r="1819" ht="21" customHeight="1">
      <c r="A1819" s="22" t="inlineStr">
        <is>
          <t>00003528</t>
        </is>
      </c>
      <c r="B1819" s="23" t="inlineStr">
        <is>
          <t>JOELHO PVC, SOLDAVEL, PB, 45 GRAUS, DN 100 MM, PARA ESGOTO PREDIAL</t>
        </is>
      </c>
      <c r="C1819" s="22" t="inlineStr">
        <is>
          <t>SINAPI</t>
        </is>
      </c>
      <c r="D1819" s="22" t="inlineStr">
        <is>
          <t>UN</t>
        </is>
      </c>
      <c r="E1819" s="63" t="n">
        <v>1</v>
      </c>
      <c r="F1819" s="64">
        <f>ROUND(M1819*FATOR, 2)</f>
        <v/>
      </c>
      <c r="G1819" s="64">
        <f>TRUNC(TRUNC(E1819,8)*F1819,2)</f>
        <v/>
      </c>
      <c r="L1819" t="n">
        <v>1</v>
      </c>
      <c r="M1819" t="n">
        <v>9.199999999999999</v>
      </c>
      <c r="N1819">
        <f>(M1819-F1819)</f>
        <v/>
      </c>
    </row>
    <row r="1820" ht="29" customHeight="1">
      <c r="A1820" s="22" t="inlineStr">
        <is>
          <t>00020078</t>
        </is>
      </c>
      <c r="B1820" s="23" t="inlineStr">
        <is>
          <t>PASTA LUBRIFICANTE PARA TUBOS E CONEXOES COM JUNTA ELASTICA, EMBALAGEM DE *400* GR (USO EM PVC, ACO, POLIETILENO E OUTROS)</t>
        </is>
      </c>
      <c r="C1820" s="22" t="inlineStr">
        <is>
          <t>SINAPI</t>
        </is>
      </c>
      <c r="D1820" s="22" t="inlineStr">
        <is>
          <t>UN</t>
        </is>
      </c>
      <c r="E1820" s="63" t="n">
        <v>0.115</v>
      </c>
      <c r="F1820" s="64">
        <f>ROUND(M1820*FATOR, 2)</f>
        <v/>
      </c>
      <c r="G1820" s="64">
        <f>TRUNC(TRUNC(E1820,8)*F1820,2)</f>
        <v/>
      </c>
      <c r="L1820" t="n">
        <v>0.115</v>
      </c>
      <c r="M1820" t="n">
        <v>25.53</v>
      </c>
      <c r="N1820">
        <f>(M1820-F1820)</f>
        <v/>
      </c>
    </row>
    <row r="1821" ht="15" customHeight="1">
      <c r="A1821" s="2" t="inlineStr"/>
      <c r="B1821" s="2" t="inlineStr"/>
      <c r="C1821" s="2" t="inlineStr"/>
      <c r="D1821" s="2" t="inlineStr"/>
      <c r="E1821" s="26" t="inlineStr">
        <is>
          <t>TOTAL Material:</t>
        </is>
      </c>
      <c r="F1821" s="56" t="n"/>
      <c r="G1821" s="65">
        <f>SUM(G1818:G1820)</f>
        <v/>
      </c>
    </row>
    <row r="1822" ht="15" customHeight="1">
      <c r="A1822" s="20" t="inlineStr">
        <is>
          <t>Mão de Obra com Encargos Complementares</t>
        </is>
      </c>
      <c r="B1822" s="56" t="n"/>
      <c r="C1822" s="21" t="inlineStr">
        <is>
          <t>FONTE</t>
        </is>
      </c>
      <c r="D1822" s="21" t="inlineStr">
        <is>
          <t>UNID</t>
        </is>
      </c>
      <c r="E1822" s="21" t="inlineStr">
        <is>
          <t>COEFICIENTE</t>
        </is>
      </c>
      <c r="F1822" s="21" t="inlineStr">
        <is>
          <t>PREÇO UNITÁRIO</t>
        </is>
      </c>
      <c r="G1822" s="21" t="inlineStr">
        <is>
          <t>TOTAL</t>
        </is>
      </c>
    </row>
    <row r="1823" ht="21" customHeight="1">
      <c r="A1823" s="22" t="inlineStr">
        <is>
          <t>88248</t>
        </is>
      </c>
      <c r="B1823" s="23" t="inlineStr">
        <is>
          <t>AUXILIAR DE ENCANADOR OU BOMBEIRO HIDRÁULICO COM ENCARGOS COMPLEMENTARES</t>
        </is>
      </c>
      <c r="C1823" s="22" t="inlineStr">
        <is>
          <t>SINAPI</t>
        </is>
      </c>
      <c r="D1823" s="22" t="inlineStr">
        <is>
          <t>H</t>
        </is>
      </c>
      <c r="E1823" s="63">
        <f>L1823*FATOR</f>
        <v/>
      </c>
      <c r="F1823" s="64">
        <f>'COMPOSICOES AUXILIARES'!G524</f>
        <v/>
      </c>
      <c r="G1823" s="64">
        <f>TRUNC(TRUNC(E1823,8)*F1823,2)</f>
        <v/>
      </c>
      <c r="L1823" t="n">
        <v>0.1926</v>
      </c>
      <c r="M1823" t="n">
        <v>24.23</v>
      </c>
      <c r="N1823">
        <f>(M1823-F1823)</f>
        <v/>
      </c>
    </row>
    <row r="1824" ht="21" customHeight="1">
      <c r="A1824" s="22" t="inlineStr">
        <is>
          <t>88267</t>
        </is>
      </c>
      <c r="B1824" s="23" t="inlineStr">
        <is>
          <t>ENCANADOR OU BOMBEIRO HIDRÁULICO COM ENCARGOS COMPLEMENTARES</t>
        </is>
      </c>
      <c r="C1824" s="22" t="inlineStr">
        <is>
          <t>SINAPI</t>
        </is>
      </c>
      <c r="D1824" s="22" t="inlineStr">
        <is>
          <t>H</t>
        </is>
      </c>
      <c r="E1824" s="63">
        <f>L1824*FATOR</f>
        <v/>
      </c>
      <c r="F1824" s="64">
        <f>'COMPOSICOES AUXILIARES'!G524</f>
        <v/>
      </c>
      <c r="G1824" s="64">
        <f>TRUNC(TRUNC(E1824,8)*F1824,2)</f>
        <v/>
      </c>
      <c r="L1824" t="n">
        <v>0.1926</v>
      </c>
      <c r="M1824" t="n">
        <v>29.86</v>
      </c>
      <c r="N1824">
        <f>(M1824-F1824)</f>
        <v/>
      </c>
    </row>
    <row r="1825" ht="18" customHeight="1">
      <c r="A1825" s="2" t="inlineStr"/>
      <c r="B1825" s="2" t="inlineStr"/>
      <c r="C1825" s="2" t="inlineStr"/>
      <c r="D1825" s="2" t="inlineStr"/>
      <c r="E1825" s="26" t="inlineStr">
        <is>
          <t>TOTAL Mão de Obra com Encargos Complementares:</t>
        </is>
      </c>
      <c r="F1825" s="56" t="n"/>
      <c r="G1825" s="65">
        <f>SUM(G1823:G1824)</f>
        <v/>
      </c>
    </row>
    <row r="1826" ht="15" customHeight="1">
      <c r="A1826" s="2" t="inlineStr"/>
      <c r="B1826" s="2" t="inlineStr"/>
      <c r="C1826" s="2" t="inlineStr"/>
      <c r="D1826" s="2" t="inlineStr"/>
      <c r="E1826" s="28" t="inlineStr">
        <is>
          <t>VALOR:</t>
        </is>
      </c>
      <c r="F1826" s="56" t="n"/>
      <c r="G1826" s="66">
        <f>SUM(G1825,G1821)</f>
        <v/>
      </c>
    </row>
    <row r="1827" ht="15" customHeight="1">
      <c r="A1827" s="2" t="inlineStr"/>
      <c r="B1827" s="2" t="inlineStr"/>
      <c r="C1827" s="2" t="inlineStr"/>
      <c r="D1827" s="2" t="inlineStr"/>
      <c r="E1827" s="28" t="inlineStr">
        <is>
          <t>VALOR BDI (23.08%):</t>
        </is>
      </c>
      <c r="F1827" s="56" t="n"/>
      <c r="G1827" s="66">
        <f>ROUNDDOWN(G1826*BDI,2)</f>
        <v/>
      </c>
    </row>
    <row r="1828" ht="15" customHeight="1">
      <c r="A1828" s="2" t="inlineStr"/>
      <c r="B1828" s="2" t="inlineStr"/>
      <c r="C1828" s="2" t="inlineStr"/>
      <c r="D1828" s="2" t="inlineStr"/>
      <c r="E1828" s="28" t="inlineStr">
        <is>
          <t>VALOR COM BDI:</t>
        </is>
      </c>
      <c r="F1828" s="56" t="n"/>
      <c r="G1828" s="66">
        <f>G1827 + G1826</f>
        <v/>
      </c>
    </row>
    <row r="1829" ht="10" customHeight="1">
      <c r="A1829" s="2" t="inlineStr"/>
      <c r="B1829" s="2" t="inlineStr"/>
      <c r="C1829" s="2" t="inlineStr"/>
      <c r="D1829" s="2" t="inlineStr"/>
      <c r="E1829" s="18" t="inlineStr"/>
    </row>
    <row r="1830" ht="20" customHeight="1">
      <c r="A1830" s="19" t="inlineStr">
        <is>
          <t>8.2.2.4. ​89724​ JOELHO 90 GRAUS, PVC, SERIE NORMAL, ESGOTO PREDIAL, DN 40 MM, JUNTA SOLDÁVEL, FORNECIDO E INSTALADO EM RAMAL DE DESCARGA OU RAMAL DEESGOTO SANITÁRIO. AF_08/2022​ (UN)</t>
        </is>
      </c>
      <c r="B1830" s="55" t="n"/>
      <c r="C1830" s="55" t="n"/>
      <c r="D1830" s="55" t="n"/>
      <c r="E1830" s="55" t="n"/>
      <c r="F1830" s="55" t="n"/>
      <c r="G1830" s="56" t="n"/>
    </row>
    <row r="1831" ht="15" customHeight="1">
      <c r="A1831" s="20" t="inlineStr">
        <is>
          <t>Material</t>
        </is>
      </c>
      <c r="B1831" s="56" t="n"/>
      <c r="C1831" s="21" t="inlineStr">
        <is>
          <t>FONTE</t>
        </is>
      </c>
      <c r="D1831" s="21" t="inlineStr">
        <is>
          <t>UNID</t>
        </is>
      </c>
      <c r="E1831" s="21" t="inlineStr">
        <is>
          <t>COEFICIENTE</t>
        </is>
      </c>
      <c r="F1831" s="21" t="inlineStr">
        <is>
          <t>PREÇO UNITÁRIO</t>
        </is>
      </c>
      <c r="G1831" s="21" t="inlineStr">
        <is>
          <t>TOTAL</t>
        </is>
      </c>
    </row>
    <row r="1832" ht="15" customHeight="1">
      <c r="A1832" s="22" t="inlineStr">
        <is>
          <t>00000122</t>
        </is>
      </c>
      <c r="B1832" s="23" t="inlineStr">
        <is>
          <t>ADESIVO PLASTICO PARA PVC, FRASCO COM *850* GR</t>
        </is>
      </c>
      <c r="C1832" s="22" t="inlineStr">
        <is>
          <t>SINAPI</t>
        </is>
      </c>
      <c r="D1832" s="22" t="inlineStr">
        <is>
          <t>UN</t>
        </is>
      </c>
      <c r="E1832" s="63" t="n">
        <v>0.009900000000000001</v>
      </c>
      <c r="F1832" s="64">
        <f>ROUND(M1832*FATOR, 2)</f>
        <v/>
      </c>
      <c r="G1832" s="64">
        <f>TRUNC(TRUNC(E1832,8)*F1832,2)</f>
        <v/>
      </c>
      <c r="L1832" t="n">
        <v>0.009900000000000001</v>
      </c>
      <c r="M1832" t="n">
        <v>61.86</v>
      </c>
      <c r="N1832">
        <f>(M1832-F1832)</f>
        <v/>
      </c>
    </row>
    <row r="1833" ht="21" customHeight="1">
      <c r="A1833" s="22" t="inlineStr">
        <is>
          <t>00003517</t>
        </is>
      </c>
      <c r="B1833" s="23" t="inlineStr">
        <is>
          <t>JOELHO PVC, SOLDAVEL, BB, 90 GRAUS, SEM ANEL, DN 40 MM, PARA ESGOTO PREDIAL SECUNDARIO</t>
        </is>
      </c>
      <c r="C1833" s="22" t="inlineStr">
        <is>
          <t>SINAPI</t>
        </is>
      </c>
      <c r="D1833" s="22" t="inlineStr">
        <is>
          <t>UN</t>
        </is>
      </c>
      <c r="E1833" s="63" t="n">
        <v>1</v>
      </c>
      <c r="F1833" s="64">
        <f>ROUND(M1833*FATOR, 2)</f>
        <v/>
      </c>
      <c r="G1833" s="64">
        <f>TRUNC(TRUNC(E1833,8)*F1833,2)</f>
        <v/>
      </c>
      <c r="L1833" t="n">
        <v>1</v>
      </c>
      <c r="M1833" t="n">
        <v>2.12</v>
      </c>
      <c r="N1833">
        <f>(M1833-F1833)</f>
        <v/>
      </c>
    </row>
    <row r="1834" ht="15" customHeight="1">
      <c r="A1834" s="22" t="inlineStr">
        <is>
          <t>00038383</t>
        </is>
      </c>
      <c r="B1834" s="23" t="inlineStr">
        <is>
          <t>LIXA D'AGUA EM FOLHA, COR PRETA, GRAO 100</t>
        </is>
      </c>
      <c r="C1834" s="22" t="inlineStr">
        <is>
          <t>SINAPI</t>
        </is>
      </c>
      <c r="D1834" s="22" t="inlineStr">
        <is>
          <t>UN</t>
        </is>
      </c>
      <c r="E1834" s="63" t="n">
        <v>0.0071</v>
      </c>
      <c r="F1834" s="64">
        <f>ROUND(M1834*FATOR, 2)</f>
        <v/>
      </c>
      <c r="G1834" s="64">
        <f>TRUNC(TRUNC(E1834,8)*F1834,2)</f>
        <v/>
      </c>
      <c r="L1834" t="n">
        <v>0.0071</v>
      </c>
      <c r="M1834" t="n">
        <v>1.65</v>
      </c>
      <c r="N1834">
        <f>(M1834-F1834)</f>
        <v/>
      </c>
    </row>
    <row r="1835" ht="21" customHeight="1">
      <c r="A1835" s="22" t="inlineStr">
        <is>
          <t>00020083</t>
        </is>
      </c>
      <c r="B1835" s="23" t="inlineStr">
        <is>
          <t>SOLUCAO PREPARADORA / LIMPADORA PARA PVC, FRASCO COM 1000 CM3</t>
        </is>
      </c>
      <c r="C1835" s="22" t="inlineStr">
        <is>
          <t>SINAPI</t>
        </is>
      </c>
      <c r="D1835" s="22" t="inlineStr">
        <is>
          <t>UN</t>
        </is>
      </c>
      <c r="E1835" s="63" t="n">
        <v>0.015</v>
      </c>
      <c r="F1835" s="64">
        <f>ROUND(M1835*FATOR, 2)</f>
        <v/>
      </c>
      <c r="G1835" s="64">
        <f>TRUNC(TRUNC(E1835,8)*F1835,2)</f>
        <v/>
      </c>
      <c r="L1835" t="n">
        <v>0.015</v>
      </c>
      <c r="M1835" t="n">
        <v>70.08</v>
      </c>
      <c r="N1835">
        <f>(M1835-F1835)</f>
        <v/>
      </c>
    </row>
    <row r="1836" ht="15" customHeight="1">
      <c r="A1836" s="2" t="inlineStr"/>
      <c r="B1836" s="2" t="inlineStr"/>
      <c r="C1836" s="2" t="inlineStr"/>
      <c r="D1836" s="2" t="inlineStr"/>
      <c r="E1836" s="26" t="inlineStr">
        <is>
          <t>TOTAL Material:</t>
        </is>
      </c>
      <c r="F1836" s="56" t="n"/>
      <c r="G1836" s="65">
        <f>SUM(G1832:G1835)</f>
        <v/>
      </c>
    </row>
    <row r="1837" ht="15" customHeight="1">
      <c r="A1837" s="20" t="inlineStr">
        <is>
          <t>Mão de Obra com Encargos Complementares</t>
        </is>
      </c>
      <c r="B1837" s="56" t="n"/>
      <c r="C1837" s="21" t="inlineStr">
        <is>
          <t>FONTE</t>
        </is>
      </c>
      <c r="D1837" s="21" t="inlineStr">
        <is>
          <t>UNID</t>
        </is>
      </c>
      <c r="E1837" s="21" t="inlineStr">
        <is>
          <t>COEFICIENTE</t>
        </is>
      </c>
      <c r="F1837" s="21" t="inlineStr">
        <is>
          <t>PREÇO UNITÁRIO</t>
        </is>
      </c>
      <c r="G1837" s="21" t="inlineStr">
        <is>
          <t>TOTAL</t>
        </is>
      </c>
    </row>
    <row r="1838" ht="21" customHeight="1">
      <c r="A1838" s="22" t="inlineStr">
        <is>
          <t>88248</t>
        </is>
      </c>
      <c r="B1838" s="23" t="inlineStr">
        <is>
          <t>AUXILIAR DE ENCANADOR OU BOMBEIRO HIDRÁULICO COM ENCARGOS COMPLEMENTARES</t>
        </is>
      </c>
      <c r="C1838" s="22" t="inlineStr">
        <is>
          <t>SINAPI</t>
        </is>
      </c>
      <c r="D1838" s="22" t="inlineStr">
        <is>
          <t>H</t>
        </is>
      </c>
      <c r="E1838" s="63">
        <f>L1838*FATOR</f>
        <v/>
      </c>
      <c r="F1838" s="64">
        <f>'COMPOSICOES AUXILIARES'!G524</f>
        <v/>
      </c>
      <c r="G1838" s="64">
        <f>TRUNC(TRUNC(E1838,8)*F1838,2)</f>
        <v/>
      </c>
      <c r="L1838" t="n">
        <v>0.127</v>
      </c>
      <c r="M1838" t="n">
        <v>24.23</v>
      </c>
      <c r="N1838">
        <f>(M1838-F1838)</f>
        <v/>
      </c>
    </row>
    <row r="1839" ht="21" customHeight="1">
      <c r="A1839" s="22" t="inlineStr">
        <is>
          <t>88267</t>
        </is>
      </c>
      <c r="B1839" s="23" t="inlineStr">
        <is>
          <t>ENCANADOR OU BOMBEIRO HIDRÁULICO COM ENCARGOS COMPLEMENTARES</t>
        </is>
      </c>
      <c r="C1839" s="22" t="inlineStr">
        <is>
          <t>SINAPI</t>
        </is>
      </c>
      <c r="D1839" s="22" t="inlineStr">
        <is>
          <t>H</t>
        </is>
      </c>
      <c r="E1839" s="63">
        <f>L1839*FATOR</f>
        <v/>
      </c>
      <c r="F1839" s="64">
        <f>'COMPOSICOES AUXILIARES'!G524</f>
        <v/>
      </c>
      <c r="G1839" s="64">
        <f>TRUNC(TRUNC(E1839,8)*F1839,2)</f>
        <v/>
      </c>
      <c r="L1839" t="n">
        <v>0.127</v>
      </c>
      <c r="M1839" t="n">
        <v>29.86</v>
      </c>
      <c r="N1839">
        <f>(M1839-F1839)</f>
        <v/>
      </c>
    </row>
    <row r="1840" ht="18" customHeight="1">
      <c r="A1840" s="2" t="inlineStr"/>
      <c r="B1840" s="2" t="inlineStr"/>
      <c r="C1840" s="2" t="inlineStr"/>
      <c r="D1840" s="2" t="inlineStr"/>
      <c r="E1840" s="26" t="inlineStr">
        <is>
          <t>TOTAL Mão de Obra com Encargos Complementares:</t>
        </is>
      </c>
      <c r="F1840" s="56" t="n"/>
      <c r="G1840" s="65">
        <f>SUM(G1838:G1839)</f>
        <v/>
      </c>
    </row>
    <row r="1841" ht="15" customHeight="1">
      <c r="A1841" s="2" t="inlineStr"/>
      <c r="B1841" s="2" t="inlineStr"/>
      <c r="C1841" s="2" t="inlineStr"/>
      <c r="D1841" s="2" t="inlineStr"/>
      <c r="E1841" s="28" t="inlineStr">
        <is>
          <t>VALOR:</t>
        </is>
      </c>
      <c r="F1841" s="56" t="n"/>
      <c r="G1841" s="66">
        <f>SUM(G1840,G1836)</f>
        <v/>
      </c>
    </row>
    <row r="1842" ht="15" customHeight="1">
      <c r="A1842" s="2" t="inlineStr"/>
      <c r="B1842" s="2" t="inlineStr"/>
      <c r="C1842" s="2" t="inlineStr"/>
      <c r="D1842" s="2" t="inlineStr"/>
      <c r="E1842" s="28" t="inlineStr">
        <is>
          <t>VALOR BDI (23.08%):</t>
        </is>
      </c>
      <c r="F1842" s="56" t="n"/>
      <c r="G1842" s="66">
        <f>ROUNDDOWN(G1841*BDI,2)</f>
        <v/>
      </c>
    </row>
    <row r="1843" ht="15" customHeight="1">
      <c r="A1843" s="2" t="inlineStr"/>
      <c r="B1843" s="2" t="inlineStr"/>
      <c r="C1843" s="2" t="inlineStr"/>
      <c r="D1843" s="2" t="inlineStr"/>
      <c r="E1843" s="28" t="inlineStr">
        <is>
          <t>VALOR COM BDI:</t>
        </is>
      </c>
      <c r="F1843" s="56" t="n"/>
      <c r="G1843" s="66">
        <f>G1842 + G1841</f>
        <v/>
      </c>
    </row>
    <row r="1844" ht="10" customHeight="1">
      <c r="A1844" s="2" t="inlineStr"/>
      <c r="B1844" s="2" t="inlineStr"/>
      <c r="C1844" s="2" t="inlineStr"/>
      <c r="D1844" s="2" t="inlineStr"/>
      <c r="E1844" s="18" t="inlineStr"/>
    </row>
    <row r="1845" ht="20" customHeight="1">
      <c r="A1845" s="19" t="inlineStr">
        <is>
          <t>8.2.2.5. ​89801​ JOELHO 90 GRAUS, PVC, SERIE NORMAL, ESGOTO PREDIAL, DN 50 MM, JUNTA ELÁSTICA, FORNECIDO E INSTALADO EM PRUMADA DE ESGOTO SANITÁRIO OUVENTILAÇÃO. AF_08/2022​ (UN)</t>
        </is>
      </c>
      <c r="B1845" s="55" t="n"/>
      <c r="C1845" s="55" t="n"/>
      <c r="D1845" s="55" t="n"/>
      <c r="E1845" s="55" t="n"/>
      <c r="F1845" s="55" t="n"/>
      <c r="G1845" s="56" t="n"/>
    </row>
    <row r="1846" ht="15" customHeight="1">
      <c r="A1846" s="20" t="inlineStr">
        <is>
          <t>Material</t>
        </is>
      </c>
      <c r="B1846" s="56" t="n"/>
      <c r="C1846" s="21" t="inlineStr">
        <is>
          <t>FONTE</t>
        </is>
      </c>
      <c r="D1846" s="21" t="inlineStr">
        <is>
          <t>UNID</t>
        </is>
      </c>
      <c r="E1846" s="21" t="inlineStr">
        <is>
          <t>COEFICIENTE</t>
        </is>
      </c>
      <c r="F1846" s="21" t="inlineStr">
        <is>
          <t>PREÇO UNITÁRIO</t>
        </is>
      </c>
      <c r="G1846" s="21" t="inlineStr">
        <is>
          <t>TOTAL</t>
        </is>
      </c>
    </row>
    <row r="1847" ht="21" customHeight="1">
      <c r="A1847" s="22" t="inlineStr">
        <is>
          <t>00000296</t>
        </is>
      </c>
      <c r="B1847" s="23" t="inlineStr">
        <is>
          <t>ANEL BORRACHA PARA TUBO ESGOTO PREDIAL, DN 50 MM (NBR 5688)</t>
        </is>
      </c>
      <c r="C1847" s="22" t="inlineStr">
        <is>
          <t>SINAPI</t>
        </is>
      </c>
      <c r="D1847" s="22" t="inlineStr">
        <is>
          <t>UN</t>
        </is>
      </c>
      <c r="E1847" s="63" t="n">
        <v>2</v>
      </c>
      <c r="F1847" s="64">
        <f>ROUND(M1847*FATOR, 2)</f>
        <v/>
      </c>
      <c r="G1847" s="64">
        <f>TRUNC(TRUNC(E1847,8)*F1847,2)</f>
        <v/>
      </c>
      <c r="L1847" t="n">
        <v>2</v>
      </c>
      <c r="M1847" t="n">
        <v>2.42</v>
      </c>
      <c r="N1847">
        <f>(M1847-F1847)</f>
        <v/>
      </c>
    </row>
    <row r="1848" ht="21" customHeight="1">
      <c r="A1848" s="22" t="inlineStr">
        <is>
          <t>00003526</t>
        </is>
      </c>
      <c r="B1848" s="23" t="inlineStr">
        <is>
          <t>JOELHO PVC, SOLDAVEL, PB, 90 GRAUS, DN 50 MM, PARA ESGOTO PREDIAL</t>
        </is>
      </c>
      <c r="C1848" s="22" t="inlineStr">
        <is>
          <t>SINAPI</t>
        </is>
      </c>
      <c r="D1848" s="22" t="inlineStr">
        <is>
          <t>UN</t>
        </is>
      </c>
      <c r="E1848" s="63" t="n">
        <v>1</v>
      </c>
      <c r="F1848" s="64">
        <f>ROUND(M1848*FATOR, 2)</f>
        <v/>
      </c>
      <c r="G1848" s="64">
        <f>TRUNC(TRUNC(E1848,8)*F1848,2)</f>
        <v/>
      </c>
      <c r="L1848" t="n">
        <v>1</v>
      </c>
      <c r="M1848" t="n">
        <v>3.08</v>
      </c>
      <c r="N1848">
        <f>(M1848-F1848)</f>
        <v/>
      </c>
    </row>
    <row r="1849" ht="29" customHeight="1">
      <c r="A1849" s="22" t="inlineStr">
        <is>
          <t>00020078</t>
        </is>
      </c>
      <c r="B1849" s="23" t="inlineStr">
        <is>
          <t>PASTA LUBRIFICANTE PARA TUBOS E CONEXOES COM JUNTA ELASTICA, EMBALAGEM DE *400* GR (USO EM PVC, ACO, POLIETILENO E OUTROS)</t>
        </is>
      </c>
      <c r="C1849" s="22" t="inlineStr">
        <is>
          <t>SINAPI</t>
        </is>
      </c>
      <c r="D1849" s="22" t="inlineStr">
        <is>
          <t>UN</t>
        </is>
      </c>
      <c r="E1849" s="63" t="n">
        <v>0.05</v>
      </c>
      <c r="F1849" s="64">
        <f>ROUND(M1849*FATOR, 2)</f>
        <v/>
      </c>
      <c r="G1849" s="64">
        <f>TRUNC(TRUNC(E1849,8)*F1849,2)</f>
        <v/>
      </c>
      <c r="L1849" t="n">
        <v>0.05</v>
      </c>
      <c r="M1849" t="n">
        <v>25.53</v>
      </c>
      <c r="N1849">
        <f>(M1849-F1849)</f>
        <v/>
      </c>
    </row>
    <row r="1850" ht="15" customHeight="1">
      <c r="A1850" s="2" t="inlineStr"/>
      <c r="B1850" s="2" t="inlineStr"/>
      <c r="C1850" s="2" t="inlineStr"/>
      <c r="D1850" s="2" t="inlineStr"/>
      <c r="E1850" s="26" t="inlineStr">
        <is>
          <t>TOTAL Material:</t>
        </is>
      </c>
      <c r="F1850" s="56" t="n"/>
      <c r="G1850" s="65">
        <f>SUM(G1847:G1849)</f>
        <v/>
      </c>
    </row>
    <row r="1851" ht="15" customHeight="1">
      <c r="A1851" s="20" t="inlineStr">
        <is>
          <t>Mão de Obra com Encargos Complementares</t>
        </is>
      </c>
      <c r="B1851" s="56" t="n"/>
      <c r="C1851" s="21" t="inlineStr">
        <is>
          <t>FONTE</t>
        </is>
      </c>
      <c r="D1851" s="21" t="inlineStr">
        <is>
          <t>UNID</t>
        </is>
      </c>
      <c r="E1851" s="21" t="inlineStr">
        <is>
          <t>COEFICIENTE</t>
        </is>
      </c>
      <c r="F1851" s="21" t="inlineStr">
        <is>
          <t>PREÇO UNITÁRIO</t>
        </is>
      </c>
      <c r="G1851" s="21" t="inlineStr">
        <is>
          <t>TOTAL</t>
        </is>
      </c>
    </row>
    <row r="1852" ht="21" customHeight="1">
      <c r="A1852" s="22" t="inlineStr">
        <is>
          <t>88248</t>
        </is>
      </c>
      <c r="B1852" s="23" t="inlineStr">
        <is>
          <t>AUXILIAR DE ENCANADOR OU BOMBEIRO HIDRÁULICO COM ENCARGOS COMPLEMENTARES</t>
        </is>
      </c>
      <c r="C1852" s="22" t="inlineStr">
        <is>
          <t>SINAPI</t>
        </is>
      </c>
      <c r="D1852" s="22" t="inlineStr">
        <is>
          <t>H</t>
        </is>
      </c>
      <c r="E1852" s="63">
        <f>L1852*FATOR</f>
        <v/>
      </c>
      <c r="F1852" s="64">
        <f>'COMPOSICOES AUXILIARES'!G524</f>
        <v/>
      </c>
      <c r="G1852" s="64">
        <f>TRUNC(TRUNC(E1852,8)*F1852,2)</f>
        <v/>
      </c>
      <c r="L1852" t="n">
        <v>0.0343</v>
      </c>
      <c r="M1852" t="n">
        <v>24.23</v>
      </c>
      <c r="N1852">
        <f>(M1852-F1852)</f>
        <v/>
      </c>
    </row>
    <row r="1853" ht="21" customHeight="1">
      <c r="A1853" s="22" t="inlineStr">
        <is>
          <t>88267</t>
        </is>
      </c>
      <c r="B1853" s="23" t="inlineStr">
        <is>
          <t>ENCANADOR OU BOMBEIRO HIDRÁULICO COM ENCARGOS COMPLEMENTARES</t>
        </is>
      </c>
      <c r="C1853" s="22" t="inlineStr">
        <is>
          <t>SINAPI</t>
        </is>
      </c>
      <c r="D1853" s="22" t="inlineStr">
        <is>
          <t>H</t>
        </is>
      </c>
      <c r="E1853" s="63">
        <f>L1853*FATOR</f>
        <v/>
      </c>
      <c r="F1853" s="64">
        <f>'COMPOSICOES AUXILIARES'!G524</f>
        <v/>
      </c>
      <c r="G1853" s="64">
        <f>TRUNC(TRUNC(E1853,8)*F1853,2)</f>
        <v/>
      </c>
      <c r="L1853" t="n">
        <v>0.0343</v>
      </c>
      <c r="M1853" t="n">
        <v>29.86</v>
      </c>
      <c r="N1853">
        <f>(M1853-F1853)</f>
        <v/>
      </c>
    </row>
    <row r="1854" ht="18" customHeight="1">
      <c r="A1854" s="2" t="inlineStr"/>
      <c r="B1854" s="2" t="inlineStr"/>
      <c r="C1854" s="2" t="inlineStr"/>
      <c r="D1854" s="2" t="inlineStr"/>
      <c r="E1854" s="26" t="inlineStr">
        <is>
          <t>TOTAL Mão de Obra com Encargos Complementares:</t>
        </is>
      </c>
      <c r="F1854" s="56" t="n"/>
      <c r="G1854" s="65">
        <f>SUM(G1852:G1853)</f>
        <v/>
      </c>
    </row>
    <row r="1855" ht="15" customHeight="1">
      <c r="A1855" s="2" t="inlineStr"/>
      <c r="B1855" s="2" t="inlineStr"/>
      <c r="C1855" s="2" t="inlineStr"/>
      <c r="D1855" s="2" t="inlineStr"/>
      <c r="E1855" s="28" t="inlineStr">
        <is>
          <t>VALOR:</t>
        </is>
      </c>
      <c r="F1855" s="56" t="n"/>
      <c r="G1855" s="66">
        <f>SUM(G1850,G1854)</f>
        <v/>
      </c>
    </row>
    <row r="1856" ht="15" customHeight="1">
      <c r="A1856" s="2" t="inlineStr"/>
      <c r="B1856" s="2" t="inlineStr"/>
      <c r="C1856" s="2" t="inlineStr"/>
      <c r="D1856" s="2" t="inlineStr"/>
      <c r="E1856" s="28" t="inlineStr">
        <is>
          <t>VALOR BDI (23.08%):</t>
        </is>
      </c>
      <c r="F1856" s="56" t="n"/>
      <c r="G1856" s="66">
        <f>ROUNDDOWN(G1855*BDI,2)</f>
        <v/>
      </c>
    </row>
    <row r="1857" ht="15" customHeight="1">
      <c r="A1857" s="2" t="inlineStr"/>
      <c r="B1857" s="2" t="inlineStr"/>
      <c r="C1857" s="2" t="inlineStr"/>
      <c r="D1857" s="2" t="inlineStr"/>
      <c r="E1857" s="28" t="inlineStr">
        <is>
          <t>VALOR COM BDI:</t>
        </is>
      </c>
      <c r="F1857" s="56" t="n"/>
      <c r="G1857" s="66">
        <f>G1856 + G1855</f>
        <v/>
      </c>
    </row>
    <row r="1858" ht="10" customHeight="1">
      <c r="A1858" s="2" t="inlineStr"/>
      <c r="B1858" s="2" t="inlineStr"/>
      <c r="C1858" s="2" t="inlineStr"/>
      <c r="D1858" s="2" t="inlineStr"/>
      <c r="E1858" s="18" t="inlineStr"/>
    </row>
    <row r="1859" ht="20" customHeight="1">
      <c r="A1859" s="19" t="inlineStr">
        <is>
          <t>8.2.2.6. ​89737​ JOELHO 90 GRAUS, PVC, SERIE NORMAL, ESGOTO PREDIAL, DN 75 MM, JUNTA ELÁSTICA, FORNECIDO E INSTALADO EM RAMAL DE DESCARGA OU RAMAL DEESGOTO SANITÁRIO. AF_08/2022​ (UN)</t>
        </is>
      </c>
      <c r="B1859" s="55" t="n"/>
      <c r="C1859" s="55" t="n"/>
      <c r="D1859" s="55" t="n"/>
      <c r="E1859" s="55" t="n"/>
      <c r="F1859" s="55" t="n"/>
      <c r="G1859" s="56" t="n"/>
    </row>
    <row r="1860" ht="15" customHeight="1">
      <c r="A1860" s="20" t="inlineStr">
        <is>
          <t>Material</t>
        </is>
      </c>
      <c r="B1860" s="56" t="n"/>
      <c r="C1860" s="21" t="inlineStr">
        <is>
          <t>FONTE</t>
        </is>
      </c>
      <c r="D1860" s="21" t="inlineStr">
        <is>
          <t>UNID</t>
        </is>
      </c>
      <c r="E1860" s="21" t="inlineStr">
        <is>
          <t>COEFICIENTE</t>
        </is>
      </c>
      <c r="F1860" s="21" t="inlineStr">
        <is>
          <t>PREÇO UNITÁRIO</t>
        </is>
      </c>
      <c r="G1860" s="21" t="inlineStr">
        <is>
          <t>TOTAL</t>
        </is>
      </c>
    </row>
    <row r="1861" ht="21" customHeight="1">
      <c r="A1861" s="22" t="inlineStr">
        <is>
          <t>00000297</t>
        </is>
      </c>
      <c r="B1861" s="23" t="inlineStr">
        <is>
          <t>ANEL BORRACHA PARA TUBO ESGOTO PREDIAL, DN 75 MM (NBR 5688)</t>
        </is>
      </c>
      <c r="C1861" s="22" t="inlineStr">
        <is>
          <t>SINAPI</t>
        </is>
      </c>
      <c r="D1861" s="22" t="inlineStr">
        <is>
          <t>UN</t>
        </is>
      </c>
      <c r="E1861" s="63" t="n">
        <v>2</v>
      </c>
      <c r="F1861" s="64">
        <f>ROUND(M1861*FATOR, 2)</f>
        <v/>
      </c>
      <c r="G1861" s="64">
        <f>TRUNC(TRUNC(E1861,8)*F1861,2)</f>
        <v/>
      </c>
      <c r="L1861" t="n">
        <v>2</v>
      </c>
      <c r="M1861" t="n">
        <v>3.56</v>
      </c>
      <c r="N1861">
        <f>(M1861-F1861)</f>
        <v/>
      </c>
    </row>
    <row r="1862" ht="21" customHeight="1">
      <c r="A1862" s="22" t="inlineStr">
        <is>
          <t>00003509</t>
        </is>
      </c>
      <c r="B1862" s="23" t="inlineStr">
        <is>
          <t>JOELHO PVC, SOLDAVEL, PB, 90 GRAUS, DN 75 MM, PARA ESGOTO PREDIAL</t>
        </is>
      </c>
      <c r="C1862" s="22" t="inlineStr">
        <is>
          <t>SINAPI</t>
        </is>
      </c>
      <c r="D1862" s="22" t="inlineStr">
        <is>
          <t>UN</t>
        </is>
      </c>
      <c r="E1862" s="63" t="n">
        <v>1</v>
      </c>
      <c r="F1862" s="64">
        <f>ROUND(M1862*FATOR, 2)</f>
        <v/>
      </c>
      <c r="G1862" s="64">
        <f>TRUNC(TRUNC(E1862,8)*F1862,2)</f>
        <v/>
      </c>
      <c r="L1862" t="n">
        <v>1</v>
      </c>
      <c r="M1862" t="n">
        <v>6.99</v>
      </c>
      <c r="N1862">
        <f>(M1862-F1862)</f>
        <v/>
      </c>
    </row>
    <row r="1863" ht="29" customHeight="1">
      <c r="A1863" s="22" t="inlineStr">
        <is>
          <t>00020078</t>
        </is>
      </c>
      <c r="B1863" s="23" t="inlineStr">
        <is>
          <t>PASTA LUBRIFICANTE PARA TUBOS E CONEXOES COM JUNTA ELASTICA, EMBALAGEM DE *400* GR (USO EM PVC, ACO, POLIETILENO E OUTROS)</t>
        </is>
      </c>
      <c r="C1863" s="22" t="inlineStr">
        <is>
          <t>SINAPI</t>
        </is>
      </c>
      <c r="D1863" s="22" t="inlineStr">
        <is>
          <t>UN</t>
        </is>
      </c>
      <c r="E1863" s="63" t="n">
        <v>0.075</v>
      </c>
      <c r="F1863" s="64">
        <f>ROUND(M1863*FATOR, 2)</f>
        <v/>
      </c>
      <c r="G1863" s="64">
        <f>TRUNC(TRUNC(E1863,8)*F1863,2)</f>
        <v/>
      </c>
      <c r="L1863" t="n">
        <v>0.075</v>
      </c>
      <c r="M1863" t="n">
        <v>25.53</v>
      </c>
      <c r="N1863">
        <f>(M1863-F1863)</f>
        <v/>
      </c>
    </row>
    <row r="1864" ht="15" customHeight="1">
      <c r="A1864" s="2" t="inlineStr"/>
      <c r="B1864" s="2" t="inlineStr"/>
      <c r="C1864" s="2" t="inlineStr"/>
      <c r="D1864" s="2" t="inlineStr"/>
      <c r="E1864" s="26" t="inlineStr">
        <is>
          <t>TOTAL Material:</t>
        </is>
      </c>
      <c r="F1864" s="56" t="n"/>
      <c r="G1864" s="65">
        <f>SUM(G1861:G1863)</f>
        <v/>
      </c>
    </row>
    <row r="1865" ht="15" customHeight="1">
      <c r="A1865" s="20" t="inlineStr">
        <is>
          <t>Mão de Obra com Encargos Complementares</t>
        </is>
      </c>
      <c r="B1865" s="56" t="n"/>
      <c r="C1865" s="21" t="inlineStr">
        <is>
          <t>FONTE</t>
        </is>
      </c>
      <c r="D1865" s="21" t="inlineStr">
        <is>
          <t>UNID</t>
        </is>
      </c>
      <c r="E1865" s="21" t="inlineStr">
        <is>
          <t>COEFICIENTE</t>
        </is>
      </c>
      <c r="F1865" s="21" t="inlineStr">
        <is>
          <t>PREÇO UNITÁRIO</t>
        </is>
      </c>
      <c r="G1865" s="21" t="inlineStr">
        <is>
          <t>TOTAL</t>
        </is>
      </c>
    </row>
    <row r="1866" ht="21" customHeight="1">
      <c r="A1866" s="22" t="inlineStr">
        <is>
          <t>88248</t>
        </is>
      </c>
      <c r="B1866" s="23" t="inlineStr">
        <is>
          <t>AUXILIAR DE ENCANADOR OU BOMBEIRO HIDRÁULICO COM ENCARGOS COMPLEMENTARES</t>
        </is>
      </c>
      <c r="C1866" s="22" t="inlineStr">
        <is>
          <t>SINAPI</t>
        </is>
      </c>
      <c r="D1866" s="22" t="inlineStr">
        <is>
          <t>H</t>
        </is>
      </c>
      <c r="E1866" s="63">
        <f>L1866*FATOR</f>
        <v/>
      </c>
      <c r="F1866" s="64">
        <f>'COMPOSICOES AUXILIARES'!G524</f>
        <v/>
      </c>
      <c r="G1866" s="64">
        <f>TRUNC(TRUNC(E1866,8)*F1866,2)</f>
        <v/>
      </c>
      <c r="L1866" t="n">
        <v>0.1652</v>
      </c>
      <c r="M1866" t="n">
        <v>24.23</v>
      </c>
      <c r="N1866">
        <f>(M1866-F1866)</f>
        <v/>
      </c>
    </row>
    <row r="1867" ht="21" customHeight="1">
      <c r="A1867" s="22" t="inlineStr">
        <is>
          <t>88267</t>
        </is>
      </c>
      <c r="B1867" s="23" t="inlineStr">
        <is>
          <t>ENCANADOR OU BOMBEIRO HIDRÁULICO COM ENCARGOS COMPLEMENTARES</t>
        </is>
      </c>
      <c r="C1867" s="22" t="inlineStr">
        <is>
          <t>SINAPI</t>
        </is>
      </c>
      <c r="D1867" s="22" t="inlineStr">
        <is>
          <t>H</t>
        </is>
      </c>
      <c r="E1867" s="63">
        <f>L1867*FATOR</f>
        <v/>
      </c>
      <c r="F1867" s="64">
        <f>'COMPOSICOES AUXILIARES'!G524</f>
        <v/>
      </c>
      <c r="G1867" s="64">
        <f>TRUNC(TRUNC(E1867,8)*F1867,2)</f>
        <v/>
      </c>
      <c r="L1867" t="n">
        <v>0.1652</v>
      </c>
      <c r="M1867" t="n">
        <v>29.86</v>
      </c>
      <c r="N1867">
        <f>(M1867-F1867)</f>
        <v/>
      </c>
    </row>
    <row r="1868" ht="18" customHeight="1">
      <c r="A1868" s="2" t="inlineStr"/>
      <c r="B1868" s="2" t="inlineStr"/>
      <c r="C1868" s="2" t="inlineStr"/>
      <c r="D1868" s="2" t="inlineStr"/>
      <c r="E1868" s="26" t="inlineStr">
        <is>
          <t>TOTAL Mão de Obra com Encargos Complementares:</t>
        </is>
      </c>
      <c r="F1868" s="56" t="n"/>
      <c r="G1868" s="65">
        <f>SUM(G1866:G1867)</f>
        <v/>
      </c>
    </row>
    <row r="1869" ht="15" customHeight="1">
      <c r="A1869" s="2" t="inlineStr"/>
      <c r="B1869" s="2" t="inlineStr"/>
      <c r="C1869" s="2" t="inlineStr"/>
      <c r="D1869" s="2" t="inlineStr"/>
      <c r="E1869" s="28" t="inlineStr">
        <is>
          <t>VALOR:</t>
        </is>
      </c>
      <c r="F1869" s="56" t="n"/>
      <c r="G1869" s="66">
        <f>SUM(G1864,G1868)</f>
        <v/>
      </c>
    </row>
    <row r="1870" ht="15" customHeight="1">
      <c r="A1870" s="2" t="inlineStr"/>
      <c r="B1870" s="2" t="inlineStr"/>
      <c r="C1870" s="2" t="inlineStr"/>
      <c r="D1870" s="2" t="inlineStr"/>
      <c r="E1870" s="28" t="inlineStr">
        <is>
          <t>VALOR BDI (23.08%):</t>
        </is>
      </c>
      <c r="F1870" s="56" t="n"/>
      <c r="G1870" s="66">
        <f>ROUNDDOWN(G1869*BDI,2)</f>
        <v/>
      </c>
    </row>
    <row r="1871" ht="15" customHeight="1">
      <c r="A1871" s="2" t="inlineStr"/>
      <c r="B1871" s="2" t="inlineStr"/>
      <c r="C1871" s="2" t="inlineStr"/>
      <c r="D1871" s="2" t="inlineStr"/>
      <c r="E1871" s="28" t="inlineStr">
        <is>
          <t>VALOR COM BDI:</t>
        </is>
      </c>
      <c r="F1871" s="56" t="n"/>
      <c r="G1871" s="66">
        <f>G1870 + G1869</f>
        <v/>
      </c>
    </row>
    <row r="1872" ht="10" customHeight="1">
      <c r="A1872" s="2" t="inlineStr"/>
      <c r="B1872" s="2" t="inlineStr"/>
      <c r="C1872" s="2" t="inlineStr"/>
      <c r="D1872" s="2" t="inlineStr"/>
      <c r="E1872" s="18" t="inlineStr"/>
    </row>
    <row r="1873" ht="20" customHeight="1">
      <c r="A1873" s="19" t="inlineStr">
        <is>
          <t>8.2.2.7. ​89744​ JOELHO 90 GRAUS, PVC, SERIE NORMAL, ESGOTO PREDIAL, DN 100 MM, JUNTA ELÁSTICA, FORNECIDO E INSTALADO EM RAMAL DE DESCARGA OU RAMAL DEESGOTO SANITÁRIO. AF_08/2022​ (UN)</t>
        </is>
      </c>
      <c r="B1873" s="55" t="n"/>
      <c r="C1873" s="55" t="n"/>
      <c r="D1873" s="55" t="n"/>
      <c r="E1873" s="55" t="n"/>
      <c r="F1873" s="55" t="n"/>
      <c r="G1873" s="56" t="n"/>
    </row>
    <row r="1874" ht="15" customHeight="1">
      <c r="A1874" s="20" t="inlineStr">
        <is>
          <t>Material</t>
        </is>
      </c>
      <c r="B1874" s="56" t="n"/>
      <c r="C1874" s="21" t="inlineStr">
        <is>
          <t>FONTE</t>
        </is>
      </c>
      <c r="D1874" s="21" t="inlineStr">
        <is>
          <t>UNID</t>
        </is>
      </c>
      <c r="E1874" s="21" t="inlineStr">
        <is>
          <t>COEFICIENTE</t>
        </is>
      </c>
      <c r="F1874" s="21" t="inlineStr">
        <is>
          <t>PREÇO UNITÁRIO</t>
        </is>
      </c>
      <c r="G1874" s="21" t="inlineStr">
        <is>
          <t>TOTAL</t>
        </is>
      </c>
    </row>
    <row r="1875" ht="21" customHeight="1">
      <c r="A1875" s="22" t="inlineStr">
        <is>
          <t>00000301</t>
        </is>
      </c>
      <c r="B1875" s="23" t="inlineStr">
        <is>
          <t>ANEL BORRACHA PARA TUBO ESGOTO PREDIAL, DN 100 MM (NBR 5688)</t>
        </is>
      </c>
      <c r="C1875" s="22" t="inlineStr">
        <is>
          <t>SINAPI</t>
        </is>
      </c>
      <c r="D1875" s="22" t="inlineStr">
        <is>
          <t>UN</t>
        </is>
      </c>
      <c r="E1875" s="63" t="n">
        <v>2</v>
      </c>
      <c r="F1875" s="64">
        <f>ROUND(M1875*FATOR, 2)</f>
        <v/>
      </c>
      <c r="G1875" s="64">
        <f>TRUNC(TRUNC(E1875,8)*F1875,2)</f>
        <v/>
      </c>
      <c r="L1875" t="n">
        <v>2</v>
      </c>
      <c r="M1875" t="n">
        <v>4.29</v>
      </c>
      <c r="N1875">
        <f>(M1875-F1875)</f>
        <v/>
      </c>
    </row>
    <row r="1876" ht="21" customHeight="1">
      <c r="A1876" s="22" t="inlineStr">
        <is>
          <t>00003520</t>
        </is>
      </c>
      <c r="B1876" s="23" t="inlineStr">
        <is>
          <t>JOELHO PVC, SOLDAVEL, PB, 90 GRAUS, DN 100 MM, PARA ESGOTO PREDIAL</t>
        </is>
      </c>
      <c r="C1876" s="22" t="inlineStr">
        <is>
          <t>SINAPI</t>
        </is>
      </c>
      <c r="D1876" s="22" t="inlineStr">
        <is>
          <t>UN</t>
        </is>
      </c>
      <c r="E1876" s="63" t="n">
        <v>1</v>
      </c>
      <c r="F1876" s="64">
        <f>ROUND(M1876*FATOR, 2)</f>
        <v/>
      </c>
      <c r="G1876" s="64">
        <f>TRUNC(TRUNC(E1876,8)*F1876,2)</f>
        <v/>
      </c>
      <c r="L1876" t="n">
        <v>1</v>
      </c>
      <c r="M1876" t="n">
        <v>8.359999999999999</v>
      </c>
      <c r="N1876">
        <f>(M1876-F1876)</f>
        <v/>
      </c>
    </row>
    <row r="1877" ht="29" customHeight="1">
      <c r="A1877" s="22" t="inlineStr">
        <is>
          <t>00020078</t>
        </is>
      </c>
      <c r="B1877" s="23" t="inlineStr">
        <is>
          <t>PASTA LUBRIFICANTE PARA TUBOS E CONEXOES COM JUNTA ELASTICA, EMBALAGEM DE *400* GR (USO EM PVC, ACO, POLIETILENO E OUTROS)</t>
        </is>
      </c>
      <c r="C1877" s="22" t="inlineStr">
        <is>
          <t>SINAPI</t>
        </is>
      </c>
      <c r="D1877" s="22" t="inlineStr">
        <is>
          <t>UN</t>
        </is>
      </c>
      <c r="E1877" s="63" t="n">
        <v>0.115</v>
      </c>
      <c r="F1877" s="64">
        <f>ROUND(M1877*FATOR, 2)</f>
        <v/>
      </c>
      <c r="G1877" s="64">
        <f>TRUNC(TRUNC(E1877,8)*F1877,2)</f>
        <v/>
      </c>
      <c r="L1877" t="n">
        <v>0.115</v>
      </c>
      <c r="M1877" t="n">
        <v>25.53</v>
      </c>
      <c r="N1877">
        <f>(M1877-F1877)</f>
        <v/>
      </c>
    </row>
    <row r="1878" ht="15" customHeight="1">
      <c r="A1878" s="2" t="inlineStr"/>
      <c r="B1878" s="2" t="inlineStr"/>
      <c r="C1878" s="2" t="inlineStr"/>
      <c r="D1878" s="2" t="inlineStr"/>
      <c r="E1878" s="26" t="inlineStr">
        <is>
          <t>TOTAL Material:</t>
        </is>
      </c>
      <c r="F1878" s="56" t="n"/>
      <c r="G1878" s="65">
        <f>SUM(G1875:G1877)</f>
        <v/>
      </c>
    </row>
    <row r="1879" ht="15" customHeight="1">
      <c r="A1879" s="20" t="inlineStr">
        <is>
          <t>Mão de Obra com Encargos Complementares</t>
        </is>
      </c>
      <c r="B1879" s="56" t="n"/>
      <c r="C1879" s="21" t="inlineStr">
        <is>
          <t>FONTE</t>
        </is>
      </c>
      <c r="D1879" s="21" t="inlineStr">
        <is>
          <t>UNID</t>
        </is>
      </c>
      <c r="E1879" s="21" t="inlineStr">
        <is>
          <t>COEFICIENTE</t>
        </is>
      </c>
      <c r="F1879" s="21" t="inlineStr">
        <is>
          <t>PREÇO UNITÁRIO</t>
        </is>
      </c>
      <c r="G1879" s="21" t="inlineStr">
        <is>
          <t>TOTAL</t>
        </is>
      </c>
    </row>
    <row r="1880" ht="21" customHeight="1">
      <c r="A1880" s="22" t="inlineStr">
        <is>
          <t>88248</t>
        </is>
      </c>
      <c r="B1880" s="23" t="inlineStr">
        <is>
          <t>AUXILIAR DE ENCANADOR OU BOMBEIRO HIDRÁULICO COM ENCARGOS COMPLEMENTARES</t>
        </is>
      </c>
      <c r="C1880" s="22" t="inlineStr">
        <is>
          <t>SINAPI</t>
        </is>
      </c>
      <c r="D1880" s="22" t="inlineStr">
        <is>
          <t>H</t>
        </is>
      </c>
      <c r="E1880" s="63">
        <f>L1880*FATOR</f>
        <v/>
      </c>
      <c r="F1880" s="64">
        <f>'COMPOSICOES AUXILIARES'!G524</f>
        <v/>
      </c>
      <c r="G1880" s="64">
        <f>TRUNC(TRUNC(E1880,8)*F1880,2)</f>
        <v/>
      </c>
      <c r="L1880" t="n">
        <v>0.1926</v>
      </c>
      <c r="M1880" t="n">
        <v>24.23</v>
      </c>
      <c r="N1880">
        <f>(M1880-F1880)</f>
        <v/>
      </c>
    </row>
    <row r="1881" ht="21" customHeight="1">
      <c r="A1881" s="22" t="inlineStr">
        <is>
          <t>88267</t>
        </is>
      </c>
      <c r="B1881" s="23" t="inlineStr">
        <is>
          <t>ENCANADOR OU BOMBEIRO HIDRÁULICO COM ENCARGOS COMPLEMENTARES</t>
        </is>
      </c>
      <c r="C1881" s="22" t="inlineStr">
        <is>
          <t>SINAPI</t>
        </is>
      </c>
      <c r="D1881" s="22" t="inlineStr">
        <is>
          <t>H</t>
        </is>
      </c>
      <c r="E1881" s="63">
        <f>L1881*FATOR</f>
        <v/>
      </c>
      <c r="F1881" s="64">
        <f>'COMPOSICOES AUXILIARES'!G524</f>
        <v/>
      </c>
      <c r="G1881" s="64">
        <f>TRUNC(TRUNC(E1881,8)*F1881,2)</f>
        <v/>
      </c>
      <c r="L1881" t="n">
        <v>0.1926</v>
      </c>
      <c r="M1881" t="n">
        <v>29.86</v>
      </c>
      <c r="N1881">
        <f>(M1881-F1881)</f>
        <v/>
      </c>
    </row>
    <row r="1882" ht="18" customHeight="1">
      <c r="A1882" s="2" t="inlineStr"/>
      <c r="B1882" s="2" t="inlineStr"/>
      <c r="C1882" s="2" t="inlineStr"/>
      <c r="D1882" s="2" t="inlineStr"/>
      <c r="E1882" s="26" t="inlineStr">
        <is>
          <t>TOTAL Mão de Obra com Encargos Complementares:</t>
        </is>
      </c>
      <c r="F1882" s="56" t="n"/>
      <c r="G1882" s="65">
        <f>SUM(G1880:G1881)</f>
        <v/>
      </c>
    </row>
    <row r="1883" ht="15" customHeight="1">
      <c r="A1883" s="2" t="inlineStr"/>
      <c r="B1883" s="2" t="inlineStr"/>
      <c r="C1883" s="2" t="inlineStr"/>
      <c r="D1883" s="2" t="inlineStr"/>
      <c r="E1883" s="28" t="inlineStr">
        <is>
          <t>VALOR:</t>
        </is>
      </c>
      <c r="F1883" s="56" t="n"/>
      <c r="G1883" s="66">
        <f>SUM(G1882,G1878)</f>
        <v/>
      </c>
    </row>
    <row r="1884" ht="15" customHeight="1">
      <c r="A1884" s="2" t="inlineStr"/>
      <c r="B1884" s="2" t="inlineStr"/>
      <c r="C1884" s="2" t="inlineStr"/>
      <c r="D1884" s="2" t="inlineStr"/>
      <c r="E1884" s="28" t="inlineStr">
        <is>
          <t>VALOR BDI (23.08%):</t>
        </is>
      </c>
      <c r="F1884" s="56" t="n"/>
      <c r="G1884" s="66">
        <f>ROUNDDOWN(G1883*BDI,2)</f>
        <v/>
      </c>
    </row>
    <row r="1885" ht="15" customHeight="1">
      <c r="A1885" s="2" t="inlineStr"/>
      <c r="B1885" s="2" t="inlineStr"/>
      <c r="C1885" s="2" t="inlineStr"/>
      <c r="D1885" s="2" t="inlineStr"/>
      <c r="E1885" s="28" t="inlineStr">
        <is>
          <t>VALOR COM BDI:</t>
        </is>
      </c>
      <c r="F1885" s="56" t="n"/>
      <c r="G1885" s="66">
        <f>G1884 + G1883</f>
        <v/>
      </c>
    </row>
    <row r="1886" ht="10" customHeight="1">
      <c r="A1886" s="2" t="inlineStr"/>
      <c r="B1886" s="2" t="inlineStr"/>
      <c r="C1886" s="2" t="inlineStr"/>
      <c r="D1886" s="2" t="inlineStr"/>
      <c r="E1886" s="18" t="inlineStr"/>
    </row>
    <row r="1887" ht="20" customHeight="1">
      <c r="A1887" s="19" t="inlineStr">
        <is>
          <t>8.2.3.1. ​89785​ JUNÇÃO SIMPLES, PVC, SERIE NORMAL, ESGOTO PREDIAL, DN 50 X 50 MM, JUNTA ELÁSTICA, FORNECIDO E INSTALADO EM RAMAL DE DESCARGA OU RAMAL DEESGOTO SANITÁRIO. AF_08/2022​ (UN)</t>
        </is>
      </c>
      <c r="B1887" s="55" t="n"/>
      <c r="C1887" s="55" t="n"/>
      <c r="D1887" s="55" t="n"/>
      <c r="E1887" s="55" t="n"/>
      <c r="F1887" s="55" t="n"/>
      <c r="G1887" s="56" t="n"/>
    </row>
    <row r="1888" ht="15" customHeight="1">
      <c r="A1888" s="20" t="inlineStr">
        <is>
          <t>Material</t>
        </is>
      </c>
      <c r="B1888" s="56" t="n"/>
      <c r="C1888" s="21" t="inlineStr">
        <is>
          <t>FONTE</t>
        </is>
      </c>
      <c r="D1888" s="21" t="inlineStr">
        <is>
          <t>UNID</t>
        </is>
      </c>
      <c r="E1888" s="21" t="inlineStr">
        <is>
          <t>COEFICIENTE</t>
        </is>
      </c>
      <c r="F1888" s="21" t="inlineStr">
        <is>
          <t>PREÇO UNITÁRIO</t>
        </is>
      </c>
      <c r="G1888" s="21" t="inlineStr">
        <is>
          <t>TOTAL</t>
        </is>
      </c>
    </row>
    <row r="1889" ht="21" customHeight="1">
      <c r="A1889" s="22" t="inlineStr">
        <is>
          <t>00000296</t>
        </is>
      </c>
      <c r="B1889" s="23" t="inlineStr">
        <is>
          <t>ANEL BORRACHA PARA TUBO ESGOTO PREDIAL, DN 50 MM (NBR 5688)</t>
        </is>
      </c>
      <c r="C1889" s="22" t="inlineStr">
        <is>
          <t>SINAPI</t>
        </is>
      </c>
      <c r="D1889" s="22" t="inlineStr">
        <is>
          <t>UN</t>
        </is>
      </c>
      <c r="E1889" s="63" t="n">
        <v>3</v>
      </c>
      <c r="F1889" s="64">
        <f>ROUND(M1889*FATOR, 2)</f>
        <v/>
      </c>
      <c r="G1889" s="64">
        <f>TRUNC(TRUNC(E1889,8)*F1889,2)</f>
        <v/>
      </c>
      <c r="L1889" t="n">
        <v>3</v>
      </c>
      <c r="M1889" t="n">
        <v>2.42</v>
      </c>
      <c r="N1889">
        <f>(M1889-F1889)</f>
        <v/>
      </c>
    </row>
    <row r="1890" ht="21" customHeight="1">
      <c r="A1890" s="22" t="inlineStr">
        <is>
          <t>00003662</t>
        </is>
      </c>
      <c r="B1890" s="23" t="inlineStr">
        <is>
          <t>JUNCAO SIMPLES, PVC, 45 GRAUS, DN 50 X 50 MM, SERIE NORMAL PARA ESGOTO PREDIAL</t>
        </is>
      </c>
      <c r="C1890" s="22" t="inlineStr">
        <is>
          <t>SINAPI</t>
        </is>
      </c>
      <c r="D1890" s="22" t="inlineStr">
        <is>
          <t>UN</t>
        </is>
      </c>
      <c r="E1890" s="63" t="n">
        <v>1</v>
      </c>
      <c r="F1890" s="64">
        <f>ROUND(M1890*FATOR, 2)</f>
        <v/>
      </c>
      <c r="G1890" s="64">
        <f>TRUNC(TRUNC(E1890,8)*F1890,2)</f>
        <v/>
      </c>
      <c r="L1890" t="n">
        <v>1</v>
      </c>
      <c r="M1890" t="n">
        <v>9.91</v>
      </c>
      <c r="N1890">
        <f>(M1890-F1890)</f>
        <v/>
      </c>
    </row>
    <row r="1891" ht="29" customHeight="1">
      <c r="A1891" s="22" t="inlineStr">
        <is>
          <t>00020078</t>
        </is>
      </c>
      <c r="B1891" s="23" t="inlineStr">
        <is>
          <t>PASTA LUBRIFICANTE PARA TUBOS E CONEXOES COM JUNTA ELASTICA, EMBALAGEM DE *400* GR (USO EM PVC, ACO, POLIETILENO E OUTROS)</t>
        </is>
      </c>
      <c r="C1891" s="22" t="inlineStr">
        <is>
          <t>SINAPI</t>
        </is>
      </c>
      <c r="D1891" s="22" t="inlineStr">
        <is>
          <t>UN</t>
        </is>
      </c>
      <c r="E1891" s="63" t="n">
        <v>0.075</v>
      </c>
      <c r="F1891" s="64">
        <f>ROUND(M1891*FATOR, 2)</f>
        <v/>
      </c>
      <c r="G1891" s="64">
        <f>TRUNC(TRUNC(E1891,8)*F1891,2)</f>
        <v/>
      </c>
      <c r="L1891" t="n">
        <v>0.075</v>
      </c>
      <c r="M1891" t="n">
        <v>25.53</v>
      </c>
      <c r="N1891">
        <f>(M1891-F1891)</f>
        <v/>
      </c>
    </row>
    <row r="1892" ht="15" customHeight="1">
      <c r="A1892" s="2" t="inlineStr"/>
      <c r="B1892" s="2" t="inlineStr"/>
      <c r="C1892" s="2" t="inlineStr"/>
      <c r="D1892" s="2" t="inlineStr"/>
      <c r="E1892" s="26" t="inlineStr">
        <is>
          <t>TOTAL Material:</t>
        </is>
      </c>
      <c r="F1892" s="56" t="n"/>
      <c r="G1892" s="65">
        <f>SUM(G1889:G1891)</f>
        <v/>
      </c>
    </row>
    <row r="1893" ht="15" customHeight="1">
      <c r="A1893" s="20" t="inlineStr">
        <is>
          <t>Mão de Obra com Encargos Complementares</t>
        </is>
      </c>
      <c r="B1893" s="56" t="n"/>
      <c r="C1893" s="21" t="inlineStr">
        <is>
          <t>FONTE</t>
        </is>
      </c>
      <c r="D1893" s="21" t="inlineStr">
        <is>
          <t>UNID</t>
        </is>
      </c>
      <c r="E1893" s="21" t="inlineStr">
        <is>
          <t>COEFICIENTE</t>
        </is>
      </c>
      <c r="F1893" s="21" t="inlineStr">
        <is>
          <t>PREÇO UNITÁRIO</t>
        </is>
      </c>
      <c r="G1893" s="21" t="inlineStr">
        <is>
          <t>TOTAL</t>
        </is>
      </c>
    </row>
    <row r="1894" ht="21" customHeight="1">
      <c r="A1894" s="22" t="inlineStr">
        <is>
          <t>88248</t>
        </is>
      </c>
      <c r="B1894" s="23" t="inlineStr">
        <is>
          <t>AUXILIAR DE ENCANADOR OU BOMBEIRO HIDRÁULICO COM ENCARGOS COMPLEMENTARES</t>
        </is>
      </c>
      <c r="C1894" s="22" t="inlineStr">
        <is>
          <t>SINAPI</t>
        </is>
      </c>
      <c r="D1894" s="22" t="inlineStr">
        <is>
          <t>H</t>
        </is>
      </c>
      <c r="E1894" s="63">
        <f>L1894*FATOR</f>
        <v/>
      </c>
      <c r="F1894" s="64">
        <f>'COMPOSICOES AUXILIARES'!G524</f>
        <v/>
      </c>
      <c r="G1894" s="64">
        <f>TRUNC(TRUNC(E1894,8)*F1894,2)</f>
        <v/>
      </c>
      <c r="L1894" t="n">
        <v>0.1839</v>
      </c>
      <c r="M1894" t="n">
        <v>24.23</v>
      </c>
      <c r="N1894">
        <f>(M1894-F1894)</f>
        <v/>
      </c>
    </row>
    <row r="1895" ht="21" customHeight="1">
      <c r="A1895" s="22" t="inlineStr">
        <is>
          <t>88267</t>
        </is>
      </c>
      <c r="B1895" s="23" t="inlineStr">
        <is>
          <t>ENCANADOR OU BOMBEIRO HIDRÁULICO COM ENCARGOS COMPLEMENTARES</t>
        </is>
      </c>
      <c r="C1895" s="22" t="inlineStr">
        <is>
          <t>SINAPI</t>
        </is>
      </c>
      <c r="D1895" s="22" t="inlineStr">
        <is>
          <t>H</t>
        </is>
      </c>
      <c r="E1895" s="63">
        <f>L1895*FATOR</f>
        <v/>
      </c>
      <c r="F1895" s="64">
        <f>'COMPOSICOES AUXILIARES'!G524</f>
        <v/>
      </c>
      <c r="G1895" s="64">
        <f>TRUNC(TRUNC(E1895,8)*F1895,2)</f>
        <v/>
      </c>
      <c r="L1895" t="n">
        <v>0.1839</v>
      </c>
      <c r="M1895" t="n">
        <v>29.86</v>
      </c>
      <c r="N1895">
        <f>(M1895-F1895)</f>
        <v/>
      </c>
    </row>
    <row r="1896" ht="18" customHeight="1">
      <c r="A1896" s="2" t="inlineStr"/>
      <c r="B1896" s="2" t="inlineStr"/>
      <c r="C1896" s="2" t="inlineStr"/>
      <c r="D1896" s="2" t="inlineStr"/>
      <c r="E1896" s="26" t="inlineStr">
        <is>
          <t>TOTAL Mão de Obra com Encargos Complementares:</t>
        </is>
      </c>
      <c r="F1896" s="56" t="n"/>
      <c r="G1896" s="65">
        <f>SUM(G1894:G1895)</f>
        <v/>
      </c>
    </row>
    <row r="1897" ht="15" customHeight="1">
      <c r="A1897" s="2" t="inlineStr"/>
      <c r="B1897" s="2" t="inlineStr"/>
      <c r="C1897" s="2" t="inlineStr"/>
      <c r="D1897" s="2" t="inlineStr"/>
      <c r="E1897" s="28" t="inlineStr">
        <is>
          <t>VALOR:</t>
        </is>
      </c>
      <c r="F1897" s="56" t="n"/>
      <c r="G1897" s="66">
        <f>SUM(G1896,G1892)</f>
        <v/>
      </c>
    </row>
    <row r="1898" ht="15" customHeight="1">
      <c r="A1898" s="2" t="inlineStr"/>
      <c r="B1898" s="2" t="inlineStr"/>
      <c r="C1898" s="2" t="inlineStr"/>
      <c r="D1898" s="2" t="inlineStr"/>
      <c r="E1898" s="28" t="inlineStr">
        <is>
          <t>VALOR BDI (23.08%):</t>
        </is>
      </c>
      <c r="F1898" s="56" t="n"/>
      <c r="G1898" s="66">
        <f>ROUNDDOWN(G1897*BDI,2)</f>
        <v/>
      </c>
    </row>
    <row r="1899" ht="15" customHeight="1">
      <c r="A1899" s="2" t="inlineStr"/>
      <c r="B1899" s="2" t="inlineStr"/>
      <c r="C1899" s="2" t="inlineStr"/>
      <c r="D1899" s="2" t="inlineStr"/>
      <c r="E1899" s="28" t="inlineStr">
        <is>
          <t>VALOR COM BDI:</t>
        </is>
      </c>
      <c r="F1899" s="56" t="n"/>
      <c r="G1899" s="66">
        <f>G1898 + G1897</f>
        <v/>
      </c>
    </row>
    <row r="1900" ht="10" customHeight="1">
      <c r="A1900" s="2" t="inlineStr"/>
      <c r="B1900" s="2" t="inlineStr"/>
      <c r="C1900" s="2" t="inlineStr"/>
      <c r="D1900" s="2" t="inlineStr"/>
      <c r="E1900" s="18" t="inlineStr"/>
    </row>
    <row r="1901" ht="20" customHeight="1">
      <c r="A1901" s="19" t="inlineStr">
        <is>
          <t>8.2.3.2. ​89797​ JUNÇÃO SIMPLES, PVC, SERIE NORMAL, ESGOTO PREDIAL, DN 100 X 100 MM, JUNTA ELÁSTICA, FORNECIDO E INSTALADO EM RAMAL DE DESCARGA OU RAMAL DEESGOTO SANITÁRIO. AF_08/2022​ (UN)</t>
        </is>
      </c>
      <c r="B1901" s="55" t="n"/>
      <c r="C1901" s="55" t="n"/>
      <c r="D1901" s="55" t="n"/>
      <c r="E1901" s="55" t="n"/>
      <c r="F1901" s="55" t="n"/>
      <c r="G1901" s="56" t="n"/>
    </row>
    <row r="1902" ht="15" customHeight="1">
      <c r="A1902" s="20" t="inlineStr">
        <is>
          <t>Material</t>
        </is>
      </c>
      <c r="B1902" s="56" t="n"/>
      <c r="C1902" s="21" t="inlineStr">
        <is>
          <t>FONTE</t>
        </is>
      </c>
      <c r="D1902" s="21" t="inlineStr">
        <is>
          <t>UNID</t>
        </is>
      </c>
      <c r="E1902" s="21" t="inlineStr">
        <is>
          <t>COEFICIENTE</t>
        </is>
      </c>
      <c r="F1902" s="21" t="inlineStr">
        <is>
          <t>PREÇO UNITÁRIO</t>
        </is>
      </c>
      <c r="G1902" s="21" t="inlineStr">
        <is>
          <t>TOTAL</t>
        </is>
      </c>
    </row>
    <row r="1903" ht="21" customHeight="1">
      <c r="A1903" s="22" t="inlineStr">
        <is>
          <t>00000301</t>
        </is>
      </c>
      <c r="B1903" s="23" t="inlineStr">
        <is>
          <t>ANEL BORRACHA PARA TUBO ESGOTO PREDIAL, DN 100 MM (NBR 5688)</t>
        </is>
      </c>
      <c r="C1903" s="22" t="inlineStr">
        <is>
          <t>SINAPI</t>
        </is>
      </c>
      <c r="D1903" s="22" t="inlineStr">
        <is>
          <t>UN</t>
        </is>
      </c>
      <c r="E1903" s="63" t="n">
        <v>3</v>
      </c>
      <c r="F1903" s="64">
        <f>ROUND(M1903*FATOR, 2)</f>
        <v/>
      </c>
      <c r="G1903" s="64">
        <f>TRUNC(TRUNC(E1903,8)*F1903,2)</f>
        <v/>
      </c>
      <c r="L1903" t="n">
        <v>3</v>
      </c>
      <c r="M1903" t="n">
        <v>4.29</v>
      </c>
      <c r="N1903">
        <f>(M1903-F1903)</f>
        <v/>
      </c>
    </row>
    <row r="1904" ht="21" customHeight="1">
      <c r="A1904" s="22" t="inlineStr">
        <is>
          <t>00003670</t>
        </is>
      </c>
      <c r="B1904" s="23" t="inlineStr">
        <is>
          <t>JUNCAO SIMPLES, PVC, 45 GRAUS, DN 100 X 100 MM, SERIE NORMAL PARA ESGOTO PREDIAL</t>
        </is>
      </c>
      <c r="C1904" s="22" t="inlineStr">
        <is>
          <t>SINAPI</t>
        </is>
      </c>
      <c r="D1904" s="22" t="inlineStr">
        <is>
          <t>UN</t>
        </is>
      </c>
      <c r="E1904" s="63" t="n">
        <v>1</v>
      </c>
      <c r="F1904" s="64">
        <f>ROUND(M1904*FATOR, 2)</f>
        <v/>
      </c>
      <c r="G1904" s="64">
        <f>TRUNC(TRUNC(E1904,8)*F1904,2)</f>
        <v/>
      </c>
      <c r="L1904" t="n">
        <v>1</v>
      </c>
      <c r="M1904" t="n">
        <v>24.16</v>
      </c>
      <c r="N1904">
        <f>(M1904-F1904)</f>
        <v/>
      </c>
    </row>
    <row r="1905" ht="29" customHeight="1">
      <c r="A1905" s="22" t="inlineStr">
        <is>
          <t>00020078</t>
        </is>
      </c>
      <c r="B1905" s="23" t="inlineStr">
        <is>
          <t>PASTA LUBRIFICANTE PARA TUBOS E CONEXOES COM JUNTA ELASTICA, EMBALAGEM DE *400* GR (USO EM PVC, ACO, POLIETILENO E OUTROS)</t>
        </is>
      </c>
      <c r="C1905" s="22" t="inlineStr">
        <is>
          <t>SINAPI</t>
        </is>
      </c>
      <c r="D1905" s="22" t="inlineStr">
        <is>
          <t>UN</t>
        </is>
      </c>
      <c r="E1905" s="63" t="n">
        <v>0.1725</v>
      </c>
      <c r="F1905" s="64">
        <f>ROUND(M1905*FATOR, 2)</f>
        <v/>
      </c>
      <c r="G1905" s="64">
        <f>TRUNC(TRUNC(E1905,8)*F1905,2)</f>
        <v/>
      </c>
      <c r="L1905" t="n">
        <v>0.1725</v>
      </c>
      <c r="M1905" t="n">
        <v>25.53</v>
      </c>
      <c r="N1905">
        <f>(M1905-F1905)</f>
        <v/>
      </c>
    </row>
    <row r="1906" ht="15" customHeight="1">
      <c r="A1906" s="2" t="inlineStr"/>
      <c r="B1906" s="2" t="inlineStr"/>
      <c r="C1906" s="2" t="inlineStr"/>
      <c r="D1906" s="2" t="inlineStr"/>
      <c r="E1906" s="26" t="inlineStr">
        <is>
          <t>TOTAL Material:</t>
        </is>
      </c>
      <c r="F1906" s="56" t="n"/>
      <c r="G1906" s="65">
        <f>SUM(G1903:G1905)</f>
        <v/>
      </c>
    </row>
    <row r="1907" ht="15" customHeight="1">
      <c r="A1907" s="20" t="inlineStr">
        <is>
          <t>Mão de Obra com Encargos Complementares</t>
        </is>
      </c>
      <c r="B1907" s="56" t="n"/>
      <c r="C1907" s="21" t="inlineStr">
        <is>
          <t>FONTE</t>
        </is>
      </c>
      <c r="D1907" s="21" t="inlineStr">
        <is>
          <t>UNID</t>
        </is>
      </c>
      <c r="E1907" s="21" t="inlineStr">
        <is>
          <t>COEFICIENTE</t>
        </is>
      </c>
      <c r="F1907" s="21" t="inlineStr">
        <is>
          <t>PREÇO UNITÁRIO</t>
        </is>
      </c>
      <c r="G1907" s="21" t="inlineStr">
        <is>
          <t>TOTAL</t>
        </is>
      </c>
    </row>
    <row r="1908" ht="21" customHeight="1">
      <c r="A1908" s="22" t="inlineStr">
        <is>
          <t>88248</t>
        </is>
      </c>
      <c r="B1908" s="23" t="inlineStr">
        <is>
          <t>AUXILIAR DE ENCANADOR OU BOMBEIRO HIDRÁULICO COM ENCARGOS COMPLEMENTARES</t>
        </is>
      </c>
      <c r="C1908" s="22" t="inlineStr">
        <is>
          <t>SINAPI</t>
        </is>
      </c>
      <c r="D1908" s="22" t="inlineStr">
        <is>
          <t>H</t>
        </is>
      </c>
      <c r="E1908" s="63">
        <f>L1908*FATOR</f>
        <v/>
      </c>
      <c r="F1908" s="64">
        <f>'COMPOSICOES AUXILIARES'!G524</f>
        <v/>
      </c>
      <c r="G1908" s="64">
        <f>TRUNC(TRUNC(E1908,8)*F1908,2)</f>
        <v/>
      </c>
      <c r="L1908" t="n">
        <v>0.2568</v>
      </c>
      <c r="M1908" t="n">
        <v>24.23</v>
      </c>
      <c r="N1908">
        <f>(M1908-F1908)</f>
        <v/>
      </c>
    </row>
    <row r="1909" ht="21" customHeight="1">
      <c r="A1909" s="22" t="inlineStr">
        <is>
          <t>88267</t>
        </is>
      </c>
      <c r="B1909" s="23" t="inlineStr">
        <is>
          <t>ENCANADOR OU BOMBEIRO HIDRÁULICO COM ENCARGOS COMPLEMENTARES</t>
        </is>
      </c>
      <c r="C1909" s="22" t="inlineStr">
        <is>
          <t>SINAPI</t>
        </is>
      </c>
      <c r="D1909" s="22" t="inlineStr">
        <is>
          <t>H</t>
        </is>
      </c>
      <c r="E1909" s="63">
        <f>L1909*FATOR</f>
        <v/>
      </c>
      <c r="F1909" s="64">
        <f>'COMPOSICOES AUXILIARES'!G524</f>
        <v/>
      </c>
      <c r="G1909" s="64">
        <f>TRUNC(TRUNC(E1909,8)*F1909,2)</f>
        <v/>
      </c>
      <c r="L1909" t="n">
        <v>0.2568</v>
      </c>
      <c r="M1909" t="n">
        <v>29.86</v>
      </c>
      <c r="N1909">
        <f>(M1909-F1909)</f>
        <v/>
      </c>
    </row>
    <row r="1910" ht="18" customHeight="1">
      <c r="A1910" s="2" t="inlineStr"/>
      <c r="B1910" s="2" t="inlineStr"/>
      <c r="C1910" s="2" t="inlineStr"/>
      <c r="D1910" s="2" t="inlineStr"/>
      <c r="E1910" s="26" t="inlineStr">
        <is>
          <t>TOTAL Mão de Obra com Encargos Complementares:</t>
        </is>
      </c>
      <c r="F1910" s="56" t="n"/>
      <c r="G1910" s="65">
        <f>SUM(G1908:G1909)</f>
        <v/>
      </c>
    </row>
    <row r="1911" ht="15" customHeight="1">
      <c r="A1911" s="2" t="inlineStr"/>
      <c r="B1911" s="2" t="inlineStr"/>
      <c r="C1911" s="2" t="inlineStr"/>
      <c r="D1911" s="2" t="inlineStr"/>
      <c r="E1911" s="28" t="inlineStr">
        <is>
          <t>VALOR:</t>
        </is>
      </c>
      <c r="F1911" s="56" t="n"/>
      <c r="G1911" s="66">
        <f>SUM(G1906,G1910)</f>
        <v/>
      </c>
    </row>
    <row r="1912" ht="15" customHeight="1">
      <c r="A1912" s="2" t="inlineStr"/>
      <c r="B1912" s="2" t="inlineStr"/>
      <c r="C1912" s="2" t="inlineStr"/>
      <c r="D1912" s="2" t="inlineStr"/>
      <c r="E1912" s="28" t="inlineStr">
        <is>
          <t>VALOR BDI (23.08%):</t>
        </is>
      </c>
      <c r="F1912" s="56" t="n"/>
      <c r="G1912" s="66">
        <f>ROUNDDOWN(G1911*BDI,2)</f>
        <v/>
      </c>
    </row>
    <row r="1913" ht="15" customHeight="1">
      <c r="A1913" s="2" t="inlineStr"/>
      <c r="B1913" s="2" t="inlineStr"/>
      <c r="C1913" s="2" t="inlineStr"/>
      <c r="D1913" s="2" t="inlineStr"/>
      <c r="E1913" s="28" t="inlineStr">
        <is>
          <t>VALOR COM BDI:</t>
        </is>
      </c>
      <c r="F1913" s="56" t="n"/>
      <c r="G1913" s="66">
        <f>G1912 + G1911</f>
        <v/>
      </c>
    </row>
    <row r="1914" ht="10" customHeight="1">
      <c r="A1914" s="2" t="inlineStr"/>
      <c r="B1914" s="2" t="inlineStr"/>
      <c r="C1914" s="2" t="inlineStr"/>
      <c r="D1914" s="2" t="inlineStr"/>
      <c r="E1914" s="18" t="inlineStr"/>
    </row>
    <row r="1915" ht="20" customHeight="1">
      <c r="A1915" s="19" t="inlineStr">
        <is>
          <t>8.2.3.3. ​424​ JUNÇÃO COM REDUÇÃO, PVC, SERIENORMAL, ESGOTO PREDIAL, DN 100 X​ (UN)</t>
        </is>
      </c>
      <c r="B1915" s="55" t="n"/>
      <c r="C1915" s="55" t="n"/>
      <c r="D1915" s="55" t="n"/>
      <c r="E1915" s="55" t="n"/>
      <c r="F1915" s="55" t="n"/>
      <c r="G1915" s="56" t="n"/>
    </row>
    <row r="1916" ht="15" customHeight="1">
      <c r="A1916" s="20" t="inlineStr">
        <is>
          <t>Material</t>
        </is>
      </c>
      <c r="B1916" s="56" t="n"/>
      <c r="C1916" s="21" t="inlineStr">
        <is>
          <t>FONTE</t>
        </is>
      </c>
      <c r="D1916" s="21" t="inlineStr">
        <is>
          <t>UNID</t>
        </is>
      </c>
      <c r="E1916" s="21" t="inlineStr">
        <is>
          <t>COEFICIENTE</t>
        </is>
      </c>
      <c r="F1916" s="21" t="inlineStr">
        <is>
          <t>PREÇO UNITÁRIO</t>
        </is>
      </c>
      <c r="G1916" s="21" t="inlineStr">
        <is>
          <t>TOTAL</t>
        </is>
      </c>
    </row>
    <row r="1917" ht="21" customHeight="1">
      <c r="A1917" s="22" t="inlineStr">
        <is>
          <t>00000301</t>
        </is>
      </c>
      <c r="B1917" s="23" t="inlineStr">
        <is>
          <t>ANEL BORRACHA PARA TUBO ESGOTO PREDIAL, DN 100 MM (NBR 5688)</t>
        </is>
      </c>
      <c r="C1917" s="22" t="inlineStr">
        <is>
          <t>SINAPI</t>
        </is>
      </c>
      <c r="D1917" s="22" t="inlineStr">
        <is>
          <t>UN</t>
        </is>
      </c>
      <c r="E1917" s="63" t="n">
        <v>1</v>
      </c>
      <c r="F1917" s="64">
        <f>ROUND(M1917*FATOR, 2)</f>
        <v/>
      </c>
      <c r="G1917" s="64">
        <f>ROUND(ROUND(E1917,8)*F1917,2)</f>
        <v/>
      </c>
      <c r="L1917" t="n">
        <v>1</v>
      </c>
      <c r="M1917" t="n">
        <v>4.29</v>
      </c>
      <c r="N1917">
        <f>(M1917-F1917)</f>
        <v/>
      </c>
    </row>
    <row r="1918" ht="21" customHeight="1">
      <c r="A1918" s="22" t="inlineStr">
        <is>
          <t>00000296</t>
        </is>
      </c>
      <c r="B1918" s="23" t="inlineStr">
        <is>
          <t>ANEL BORRACHA PARA TUBO ESGOTO PREDIAL, DN 50 MM (NBR 5688)</t>
        </is>
      </c>
      <c r="C1918" s="22" t="inlineStr">
        <is>
          <t>SINAPI</t>
        </is>
      </c>
      <c r="D1918" s="22" t="inlineStr">
        <is>
          <t>UN</t>
        </is>
      </c>
      <c r="E1918" s="63" t="n">
        <v>1</v>
      </c>
      <c r="F1918" s="64">
        <f>ROUND(M1918*FATOR, 2)</f>
        <v/>
      </c>
      <c r="G1918" s="64">
        <f>ROUND(ROUND(E1918,8)*F1918,2)</f>
        <v/>
      </c>
      <c r="L1918" t="n">
        <v>1</v>
      </c>
      <c r="M1918" t="n">
        <v>2.42</v>
      </c>
      <c r="N1918">
        <f>(M1918-F1918)</f>
        <v/>
      </c>
    </row>
    <row r="1919" ht="21" customHeight="1">
      <c r="A1919" s="22" t="inlineStr">
        <is>
          <t>002657 SBC</t>
        </is>
      </c>
      <c r="B1919" s="23" t="inlineStr">
        <is>
          <t>JUNÇÃO PVC COM REDUÇÃO ESGOTO SERIE NORMAL 100 X 50MM'</t>
        </is>
      </c>
      <c r="C1919" s="22" t="inlineStr">
        <is>
          <t xml:space="preserve">Composições </t>
        </is>
      </c>
      <c r="D1919" s="22" t="inlineStr">
        <is>
          <t>UN</t>
        </is>
      </c>
      <c r="E1919" s="63" t="n">
        <v>1</v>
      </c>
      <c r="F1919" s="64">
        <f>ROUND(M1919*FATOR, 2)</f>
        <v/>
      </c>
      <c r="G1919" s="64">
        <f>ROUND(ROUND(E1919,8)*F1919,2)</f>
        <v/>
      </c>
      <c r="L1919" t="n">
        <v>1</v>
      </c>
      <c r="M1919" t="n">
        <v>28.9</v>
      </c>
      <c r="N1919">
        <f>(M1919-F1919)</f>
        <v/>
      </c>
    </row>
    <row r="1920" ht="21" customHeight="1">
      <c r="A1920" s="22" t="inlineStr">
        <is>
          <t>00020083</t>
        </is>
      </c>
      <c r="B1920" s="23" t="inlineStr">
        <is>
          <t>SOLUCAO PREPARADORA / LIMPADORA PARA PVC, FRASCO COM 1000 CM3</t>
        </is>
      </c>
      <c r="C1920" s="22" t="inlineStr">
        <is>
          <t>SINAPI</t>
        </is>
      </c>
      <c r="D1920" s="22" t="inlineStr">
        <is>
          <t>UN</t>
        </is>
      </c>
      <c r="E1920" s="63" t="n">
        <v>0.01</v>
      </c>
      <c r="F1920" s="64">
        <f>ROUND(M1920*FATOR, 2)</f>
        <v/>
      </c>
      <c r="G1920" s="64">
        <f>ROUND(ROUND(E1920,8)*F1920,2)</f>
        <v/>
      </c>
      <c r="L1920" t="n">
        <v>0.01</v>
      </c>
      <c r="M1920" t="n">
        <v>70.08</v>
      </c>
      <c r="N1920">
        <f>(M1920-F1920)</f>
        <v/>
      </c>
    </row>
    <row r="1921" ht="15" customHeight="1">
      <c r="A1921" s="2" t="inlineStr"/>
      <c r="B1921" s="2" t="inlineStr"/>
      <c r="C1921" s="2" t="inlineStr"/>
      <c r="D1921" s="2" t="inlineStr"/>
      <c r="E1921" s="26" t="inlineStr">
        <is>
          <t>TOTAL Material:</t>
        </is>
      </c>
      <c r="F1921" s="56" t="n"/>
      <c r="G1921" s="65">
        <f>SUM(G1917:G1920)</f>
        <v/>
      </c>
    </row>
    <row r="1922" ht="15" customHeight="1">
      <c r="A1922" s="20" t="inlineStr">
        <is>
          <t>Mão de Obra com Encargos Complementares</t>
        </is>
      </c>
      <c r="B1922" s="56" t="n"/>
      <c r="C1922" s="21" t="inlineStr">
        <is>
          <t>FONTE</t>
        </is>
      </c>
      <c r="D1922" s="21" t="inlineStr">
        <is>
          <t>UNID</t>
        </is>
      </c>
      <c r="E1922" s="21" t="inlineStr">
        <is>
          <t>COEFICIENTE</t>
        </is>
      </c>
      <c r="F1922" s="21" t="inlineStr">
        <is>
          <t>PREÇO UNITÁRIO</t>
        </is>
      </c>
      <c r="G1922" s="21" t="inlineStr">
        <is>
          <t>TOTAL</t>
        </is>
      </c>
    </row>
    <row r="1923" ht="21" customHeight="1">
      <c r="A1923" s="22" t="inlineStr">
        <is>
          <t>88248</t>
        </is>
      </c>
      <c r="B1923" s="23" t="inlineStr">
        <is>
          <t>AUXILIAR DE ENCANADOR OU BOMBEIRO HIDRÁULICO COM ENCARGOS COMPLEMENTARES</t>
        </is>
      </c>
      <c r="C1923" s="22" t="inlineStr">
        <is>
          <t>SINAPI</t>
        </is>
      </c>
      <c r="D1923" s="22" t="inlineStr">
        <is>
          <t>H</t>
        </is>
      </c>
      <c r="E1923" s="63">
        <f>L1923*FATOR</f>
        <v/>
      </c>
      <c r="F1923" s="64">
        <f>'COMPOSICOES AUXILIARES'!G524</f>
        <v/>
      </c>
      <c r="G1923" s="64">
        <f>ROUND(ROUND(E1923,8)*F1923,2)</f>
        <v/>
      </c>
      <c r="L1923" t="n">
        <v>0.907</v>
      </c>
      <c r="M1923" t="n">
        <v>24.23</v>
      </c>
      <c r="N1923">
        <f>(M1923-F1923)</f>
        <v/>
      </c>
    </row>
    <row r="1924" ht="21" customHeight="1">
      <c r="A1924" s="22" t="inlineStr">
        <is>
          <t>88267</t>
        </is>
      </c>
      <c r="B1924" s="23" t="inlineStr">
        <is>
          <t>ENCANADOR OU BOMBEIRO HIDRÁULICO COM ENCARGOS COMPLEMENTARES</t>
        </is>
      </c>
      <c r="C1924" s="22" t="inlineStr">
        <is>
          <t>SINAPI</t>
        </is>
      </c>
      <c r="D1924" s="22" t="inlineStr">
        <is>
          <t>H</t>
        </is>
      </c>
      <c r="E1924" s="63">
        <f>L1924*FATOR</f>
        <v/>
      </c>
      <c r="F1924" s="64">
        <f>'COMPOSICOES AUXILIARES'!G524</f>
        <v/>
      </c>
      <c r="G1924" s="64">
        <f>ROUND(ROUND(E1924,8)*F1924,2)</f>
        <v/>
      </c>
      <c r="L1924" t="n">
        <v>0.907</v>
      </c>
      <c r="M1924" t="n">
        <v>29.86</v>
      </c>
      <c r="N1924">
        <f>(M1924-F1924)</f>
        <v/>
      </c>
    </row>
    <row r="1925" ht="18" customHeight="1">
      <c r="A1925" s="2" t="inlineStr"/>
      <c r="B1925" s="2" t="inlineStr"/>
      <c r="C1925" s="2" t="inlineStr"/>
      <c r="D1925" s="2" t="inlineStr"/>
      <c r="E1925" s="26" t="inlineStr">
        <is>
          <t>TOTAL Mão de Obra com Encargos Complementares:</t>
        </is>
      </c>
      <c r="F1925" s="56" t="n"/>
      <c r="G1925" s="65">
        <f>SUM(G1923:G1924)</f>
        <v/>
      </c>
    </row>
    <row r="1926" ht="15" customHeight="1">
      <c r="A1926" s="2" t="inlineStr"/>
      <c r="B1926" s="2" t="inlineStr"/>
      <c r="C1926" s="2" t="inlineStr"/>
      <c r="D1926" s="2" t="inlineStr"/>
      <c r="E1926" s="28" t="inlineStr">
        <is>
          <t>VALOR:</t>
        </is>
      </c>
      <c r="F1926" s="56" t="n"/>
      <c r="G1926" s="66">
        <f>SUM(G1921,G1925)</f>
        <v/>
      </c>
    </row>
    <row r="1927" ht="15" customHeight="1">
      <c r="A1927" s="2" t="inlineStr"/>
      <c r="B1927" s="2" t="inlineStr"/>
      <c r="C1927" s="2" t="inlineStr"/>
      <c r="D1927" s="2" t="inlineStr"/>
      <c r="E1927" s="28" t="inlineStr">
        <is>
          <t>VALOR BDI (23.08%):</t>
        </is>
      </c>
      <c r="F1927" s="56" t="n"/>
      <c r="G1927" s="66">
        <f>ROUNDDOWN(G1926*BDI,2)</f>
        <v/>
      </c>
    </row>
    <row r="1928" ht="15" customHeight="1">
      <c r="A1928" s="2" t="inlineStr"/>
      <c r="B1928" s="2" t="inlineStr"/>
      <c r="C1928" s="2" t="inlineStr"/>
      <c r="D1928" s="2" t="inlineStr"/>
      <c r="E1928" s="28" t="inlineStr">
        <is>
          <t>VALOR COM BDI:</t>
        </is>
      </c>
      <c r="F1928" s="56" t="n"/>
      <c r="G1928" s="66">
        <f>G1927 + G1926</f>
        <v/>
      </c>
    </row>
    <row r="1929" ht="10" customHeight="1">
      <c r="A1929" s="2" t="inlineStr"/>
      <c r="B1929" s="2" t="inlineStr"/>
      <c r="C1929" s="2" t="inlineStr"/>
      <c r="D1929" s="2" t="inlineStr"/>
      <c r="E1929" s="18" t="inlineStr"/>
    </row>
    <row r="1930" ht="20" customHeight="1">
      <c r="A1930" s="19" t="inlineStr">
        <is>
          <t>8.2.4.1. ​89784​ TE, PVC, SERIE NORMAL, ESGOTO PREDIAL, DN 50 X 50 MM, JUNTA ELÁSTICA, FORNECIDO E INSTALADO EM RAMAL DE DESCARGA OU RAMAL DE ESGOTOSANITÁRIO. AF_08/2022​ (UN)</t>
        </is>
      </c>
      <c r="B1930" s="55" t="n"/>
      <c r="C1930" s="55" t="n"/>
      <c r="D1930" s="55" t="n"/>
      <c r="E1930" s="55" t="n"/>
      <c r="F1930" s="55" t="n"/>
      <c r="G1930" s="56" t="n"/>
    </row>
    <row r="1931" ht="15" customHeight="1">
      <c r="A1931" s="20" t="inlineStr">
        <is>
          <t>Material</t>
        </is>
      </c>
      <c r="B1931" s="56" t="n"/>
      <c r="C1931" s="21" t="inlineStr">
        <is>
          <t>FONTE</t>
        </is>
      </c>
      <c r="D1931" s="21" t="inlineStr">
        <is>
          <t>UNID</t>
        </is>
      </c>
      <c r="E1931" s="21" t="inlineStr">
        <is>
          <t>COEFICIENTE</t>
        </is>
      </c>
      <c r="F1931" s="21" t="inlineStr">
        <is>
          <t>PREÇO UNITÁRIO</t>
        </is>
      </c>
      <c r="G1931" s="21" t="inlineStr">
        <is>
          <t>TOTAL</t>
        </is>
      </c>
    </row>
    <row r="1932" ht="21" customHeight="1">
      <c r="A1932" s="22" t="inlineStr">
        <is>
          <t>00000296</t>
        </is>
      </c>
      <c r="B1932" s="23" t="inlineStr">
        <is>
          <t>ANEL BORRACHA PARA TUBO ESGOTO PREDIAL, DN 50 MM (NBR 5688)</t>
        </is>
      </c>
      <c r="C1932" s="22" t="inlineStr">
        <is>
          <t>SINAPI</t>
        </is>
      </c>
      <c r="D1932" s="22" t="inlineStr">
        <is>
          <t>UN</t>
        </is>
      </c>
      <c r="E1932" s="63" t="n">
        <v>3</v>
      </c>
      <c r="F1932" s="64">
        <f>ROUND(M1932*FATOR, 2)</f>
        <v/>
      </c>
      <c r="G1932" s="64">
        <f>TRUNC(TRUNC(E1932,8)*F1932,2)</f>
        <v/>
      </c>
      <c r="L1932" t="n">
        <v>3</v>
      </c>
      <c r="M1932" t="n">
        <v>2.42</v>
      </c>
      <c r="N1932">
        <f>(M1932-F1932)</f>
        <v/>
      </c>
    </row>
    <row r="1933" ht="29" customHeight="1">
      <c r="A1933" s="22" t="inlineStr">
        <is>
          <t>00020078</t>
        </is>
      </c>
      <c r="B1933" s="23" t="inlineStr">
        <is>
          <t>PASTA LUBRIFICANTE PARA TUBOS E CONEXOES COM JUNTA ELASTICA, EMBALAGEM DE *400* GR (USO EM PVC, ACO, POLIETILENO E OUTROS)</t>
        </is>
      </c>
      <c r="C1933" s="22" t="inlineStr">
        <is>
          <t>SINAPI</t>
        </is>
      </c>
      <c r="D1933" s="22" t="inlineStr">
        <is>
          <t>UN</t>
        </is>
      </c>
      <c r="E1933" s="63" t="n">
        <v>0.075</v>
      </c>
      <c r="F1933" s="64">
        <f>ROUND(M1933*FATOR, 2)</f>
        <v/>
      </c>
      <c r="G1933" s="64">
        <f>TRUNC(TRUNC(E1933,8)*F1933,2)</f>
        <v/>
      </c>
      <c r="L1933" t="n">
        <v>0.075</v>
      </c>
      <c r="M1933" t="n">
        <v>25.53</v>
      </c>
      <c r="N1933">
        <f>(M1933-F1933)</f>
        <v/>
      </c>
    </row>
    <row r="1934" ht="21" customHeight="1">
      <c r="A1934" s="22" t="inlineStr">
        <is>
          <t>00007097</t>
        </is>
      </c>
      <c r="B1934" s="23" t="inlineStr">
        <is>
          <t>TE SANITARIO, PVC, DN 50 X 50 MM, SERIE NORMAL, PARA ESGOTO PREDIAL</t>
        </is>
      </c>
      <c r="C1934" s="22" t="inlineStr">
        <is>
          <t>SINAPI</t>
        </is>
      </c>
      <c r="D1934" s="22" t="inlineStr">
        <is>
          <t>UN</t>
        </is>
      </c>
      <c r="E1934" s="63" t="n">
        <v>1</v>
      </c>
      <c r="F1934" s="64">
        <f>ROUND(M1934*FATOR, 2)</f>
        <v/>
      </c>
      <c r="G1934" s="64">
        <f>TRUNC(TRUNC(E1934,8)*F1934,2)</f>
        <v/>
      </c>
      <c r="L1934" t="n">
        <v>1</v>
      </c>
      <c r="M1934" t="n">
        <v>7.56</v>
      </c>
      <c r="N1934">
        <f>(M1934-F1934)</f>
        <v/>
      </c>
    </row>
    <row r="1935" ht="15" customHeight="1">
      <c r="A1935" s="2" t="inlineStr"/>
      <c r="B1935" s="2" t="inlineStr"/>
      <c r="C1935" s="2" t="inlineStr"/>
      <c r="D1935" s="2" t="inlineStr"/>
      <c r="E1935" s="26" t="inlineStr">
        <is>
          <t>TOTAL Material:</t>
        </is>
      </c>
      <c r="F1935" s="56" t="n"/>
      <c r="G1935" s="65">
        <f>SUM(G1932:G1934)</f>
        <v/>
      </c>
    </row>
    <row r="1936" ht="15" customHeight="1">
      <c r="A1936" s="20" t="inlineStr">
        <is>
          <t>Mão de Obra com Encargos Complementares</t>
        </is>
      </c>
      <c r="B1936" s="56" t="n"/>
      <c r="C1936" s="21" t="inlineStr">
        <is>
          <t>FONTE</t>
        </is>
      </c>
      <c r="D1936" s="21" t="inlineStr">
        <is>
          <t>UNID</t>
        </is>
      </c>
      <c r="E1936" s="21" t="inlineStr">
        <is>
          <t>COEFICIENTE</t>
        </is>
      </c>
      <c r="F1936" s="21" t="inlineStr">
        <is>
          <t>PREÇO UNITÁRIO</t>
        </is>
      </c>
      <c r="G1936" s="21" t="inlineStr">
        <is>
          <t>TOTAL</t>
        </is>
      </c>
    </row>
    <row r="1937" ht="21" customHeight="1">
      <c r="A1937" s="22" t="inlineStr">
        <is>
          <t>88248</t>
        </is>
      </c>
      <c r="B1937" s="23" t="inlineStr">
        <is>
          <t>AUXILIAR DE ENCANADOR OU BOMBEIRO HIDRÁULICO COM ENCARGOS COMPLEMENTARES</t>
        </is>
      </c>
      <c r="C1937" s="22" t="inlineStr">
        <is>
          <t>SINAPI</t>
        </is>
      </c>
      <c r="D1937" s="22" t="inlineStr">
        <is>
          <t>H</t>
        </is>
      </c>
      <c r="E1937" s="63">
        <f>L1937*FATOR</f>
        <v/>
      </c>
      <c r="F1937" s="64">
        <f>'COMPOSICOES AUXILIARES'!G524</f>
        <v/>
      </c>
      <c r="G1937" s="64">
        <f>TRUNC(TRUNC(E1937,8)*F1937,2)</f>
        <v/>
      </c>
      <c r="L1937" t="n">
        <v>0.1839</v>
      </c>
      <c r="M1937" t="n">
        <v>24.23</v>
      </c>
      <c r="N1937">
        <f>(M1937-F1937)</f>
        <v/>
      </c>
    </row>
    <row r="1938" ht="21" customHeight="1">
      <c r="A1938" s="22" t="inlineStr">
        <is>
          <t>88267</t>
        </is>
      </c>
      <c r="B1938" s="23" t="inlineStr">
        <is>
          <t>ENCANADOR OU BOMBEIRO HIDRÁULICO COM ENCARGOS COMPLEMENTARES</t>
        </is>
      </c>
      <c r="C1938" s="22" t="inlineStr">
        <is>
          <t>SINAPI</t>
        </is>
      </c>
      <c r="D1938" s="22" t="inlineStr">
        <is>
          <t>H</t>
        </is>
      </c>
      <c r="E1938" s="63">
        <f>L1938*FATOR</f>
        <v/>
      </c>
      <c r="F1938" s="64">
        <f>'COMPOSICOES AUXILIARES'!G524</f>
        <v/>
      </c>
      <c r="G1938" s="64">
        <f>TRUNC(TRUNC(E1938,8)*F1938,2)</f>
        <v/>
      </c>
      <c r="L1938" t="n">
        <v>0.1839</v>
      </c>
      <c r="M1938" t="n">
        <v>29.86</v>
      </c>
      <c r="N1938">
        <f>(M1938-F1938)</f>
        <v/>
      </c>
    </row>
    <row r="1939" ht="18" customHeight="1">
      <c r="A1939" s="2" t="inlineStr"/>
      <c r="B1939" s="2" t="inlineStr"/>
      <c r="C1939" s="2" t="inlineStr"/>
      <c r="D1939" s="2" t="inlineStr"/>
      <c r="E1939" s="26" t="inlineStr">
        <is>
          <t>TOTAL Mão de Obra com Encargos Complementares:</t>
        </is>
      </c>
      <c r="F1939" s="56" t="n"/>
      <c r="G1939" s="65">
        <f>SUM(G1937:G1938)</f>
        <v/>
      </c>
    </row>
    <row r="1940" ht="15" customHeight="1">
      <c r="A1940" s="2" t="inlineStr"/>
      <c r="B1940" s="2" t="inlineStr"/>
      <c r="C1940" s="2" t="inlineStr"/>
      <c r="D1940" s="2" t="inlineStr"/>
      <c r="E1940" s="28" t="inlineStr">
        <is>
          <t>VALOR:</t>
        </is>
      </c>
      <c r="F1940" s="56" t="n"/>
      <c r="G1940" s="66">
        <f>SUM(G1939,G1935)</f>
        <v/>
      </c>
    </row>
    <row r="1941" ht="15" customHeight="1">
      <c r="A1941" s="2" t="inlineStr"/>
      <c r="B1941" s="2" t="inlineStr"/>
      <c r="C1941" s="2" t="inlineStr"/>
      <c r="D1941" s="2" t="inlineStr"/>
      <c r="E1941" s="28" t="inlineStr">
        <is>
          <t>VALOR BDI (23.08%):</t>
        </is>
      </c>
      <c r="F1941" s="56" t="n"/>
      <c r="G1941" s="66">
        <f>ROUNDDOWN(G1940*BDI,2)</f>
        <v/>
      </c>
    </row>
    <row r="1942" ht="15" customHeight="1">
      <c r="A1942" s="2" t="inlineStr"/>
      <c r="B1942" s="2" t="inlineStr"/>
      <c r="C1942" s="2" t="inlineStr"/>
      <c r="D1942" s="2" t="inlineStr"/>
      <c r="E1942" s="28" t="inlineStr">
        <is>
          <t>VALOR COM BDI:</t>
        </is>
      </c>
      <c r="F1942" s="56" t="n"/>
      <c r="G1942" s="66">
        <f>G1941 + G1940</f>
        <v/>
      </c>
    </row>
    <row r="1943" ht="10" customHeight="1">
      <c r="A1943" s="2" t="inlineStr"/>
      <c r="B1943" s="2" t="inlineStr"/>
      <c r="C1943" s="2" t="inlineStr"/>
      <c r="D1943" s="2" t="inlineStr"/>
      <c r="E1943" s="18" t="inlineStr"/>
    </row>
    <row r="1944" ht="20" customHeight="1">
      <c r="A1944" s="19" t="inlineStr">
        <is>
          <t>8.2.4.2. ​89786​ TE, PVC, SERIE NORMAL, ESGOTO PREDIAL, DN 75 X 75 MM, JUNTA ELÁSTICA, FORNECIDO E INSTALADO EM RAMAL DE DESCARGA OU RAMAL DE ESGOTOSANITÁRIO. AF_08/2022​ (UN)</t>
        </is>
      </c>
      <c r="B1944" s="55" t="n"/>
      <c r="C1944" s="55" t="n"/>
      <c r="D1944" s="55" t="n"/>
      <c r="E1944" s="55" t="n"/>
      <c r="F1944" s="55" t="n"/>
      <c r="G1944" s="56" t="n"/>
    </row>
    <row r="1945" ht="15" customHeight="1">
      <c r="A1945" s="20" t="inlineStr">
        <is>
          <t>Material</t>
        </is>
      </c>
      <c r="B1945" s="56" t="n"/>
      <c r="C1945" s="21" t="inlineStr">
        <is>
          <t>FONTE</t>
        </is>
      </c>
      <c r="D1945" s="21" t="inlineStr">
        <is>
          <t>UNID</t>
        </is>
      </c>
      <c r="E1945" s="21" t="inlineStr">
        <is>
          <t>COEFICIENTE</t>
        </is>
      </c>
      <c r="F1945" s="21" t="inlineStr">
        <is>
          <t>PREÇO UNITÁRIO</t>
        </is>
      </c>
      <c r="G1945" s="21" t="inlineStr">
        <is>
          <t>TOTAL</t>
        </is>
      </c>
    </row>
    <row r="1946" ht="21" customHeight="1">
      <c r="A1946" s="22" t="inlineStr">
        <is>
          <t>00000297</t>
        </is>
      </c>
      <c r="B1946" s="23" t="inlineStr">
        <is>
          <t>ANEL BORRACHA PARA TUBO ESGOTO PREDIAL, DN 75 MM (NBR 5688)</t>
        </is>
      </c>
      <c r="C1946" s="22" t="inlineStr">
        <is>
          <t>SINAPI</t>
        </is>
      </c>
      <c r="D1946" s="22" t="inlineStr">
        <is>
          <t>UN</t>
        </is>
      </c>
      <c r="E1946" s="63" t="n">
        <v>3</v>
      </c>
      <c r="F1946" s="64">
        <f>ROUND(M1946*FATOR, 2)</f>
        <v/>
      </c>
      <c r="G1946" s="64">
        <f>TRUNC(TRUNC(E1946,8)*F1946,2)</f>
        <v/>
      </c>
      <c r="L1946" t="n">
        <v>3</v>
      </c>
      <c r="M1946" t="n">
        <v>3.56</v>
      </c>
      <c r="N1946">
        <f>(M1946-F1946)</f>
        <v/>
      </c>
    </row>
    <row r="1947" ht="29" customHeight="1">
      <c r="A1947" s="22" t="inlineStr">
        <is>
          <t>00020078</t>
        </is>
      </c>
      <c r="B1947" s="23" t="inlineStr">
        <is>
          <t>PASTA LUBRIFICANTE PARA TUBOS E CONEXOES COM JUNTA ELASTICA, EMBALAGEM DE *400* GR (USO EM PVC, ACO, POLIETILENO E OUTROS)</t>
        </is>
      </c>
      <c r="C1947" s="22" t="inlineStr">
        <is>
          <t>SINAPI</t>
        </is>
      </c>
      <c r="D1947" s="22" t="inlineStr">
        <is>
          <t>UN</t>
        </is>
      </c>
      <c r="E1947" s="63" t="n">
        <v>0.1125</v>
      </c>
      <c r="F1947" s="64">
        <f>ROUND(M1947*FATOR, 2)</f>
        <v/>
      </c>
      <c r="G1947" s="64">
        <f>TRUNC(TRUNC(E1947,8)*F1947,2)</f>
        <v/>
      </c>
      <c r="L1947" t="n">
        <v>0.1125</v>
      </c>
      <c r="M1947" t="n">
        <v>25.53</v>
      </c>
      <c r="N1947">
        <f>(M1947-F1947)</f>
        <v/>
      </c>
    </row>
    <row r="1948" ht="21" customHeight="1">
      <c r="A1948" s="22" t="inlineStr">
        <is>
          <t>00011658</t>
        </is>
      </c>
      <c r="B1948" s="23" t="inlineStr">
        <is>
          <t>TE SANITARIO, PVC, DN 75 X 75 MM, SERIE NORMAL PARA ESGOTO PREDIAL</t>
        </is>
      </c>
      <c r="C1948" s="22" t="inlineStr">
        <is>
          <t>SINAPI</t>
        </is>
      </c>
      <c r="D1948" s="22" t="inlineStr">
        <is>
          <t>UN</t>
        </is>
      </c>
      <c r="E1948" s="63" t="n">
        <v>1</v>
      </c>
      <c r="F1948" s="64">
        <f>ROUND(M1948*FATOR, 2)</f>
        <v/>
      </c>
      <c r="G1948" s="64">
        <f>TRUNC(TRUNC(E1948,8)*F1948,2)</f>
        <v/>
      </c>
      <c r="L1948" t="n">
        <v>1</v>
      </c>
      <c r="M1948" t="n">
        <v>16.7</v>
      </c>
      <c r="N1948">
        <f>(M1948-F1948)</f>
        <v/>
      </c>
    </row>
    <row r="1949" ht="15" customHeight="1">
      <c r="A1949" s="2" t="inlineStr"/>
      <c r="B1949" s="2" t="inlineStr"/>
      <c r="C1949" s="2" t="inlineStr"/>
      <c r="D1949" s="2" t="inlineStr"/>
      <c r="E1949" s="26" t="inlineStr">
        <is>
          <t>TOTAL Material:</t>
        </is>
      </c>
      <c r="F1949" s="56" t="n"/>
      <c r="G1949" s="65">
        <f>SUM(G1946:G1948)</f>
        <v/>
      </c>
    </row>
    <row r="1950" ht="15" customHeight="1">
      <c r="A1950" s="20" t="inlineStr">
        <is>
          <t>Mão de Obra com Encargos Complementares</t>
        </is>
      </c>
      <c r="B1950" s="56" t="n"/>
      <c r="C1950" s="21" t="inlineStr">
        <is>
          <t>FONTE</t>
        </is>
      </c>
      <c r="D1950" s="21" t="inlineStr">
        <is>
          <t>UNID</t>
        </is>
      </c>
      <c r="E1950" s="21" t="inlineStr">
        <is>
          <t>COEFICIENTE</t>
        </is>
      </c>
      <c r="F1950" s="21" t="inlineStr">
        <is>
          <t>PREÇO UNITÁRIO</t>
        </is>
      </c>
      <c r="G1950" s="21" t="inlineStr">
        <is>
          <t>TOTAL</t>
        </is>
      </c>
    </row>
    <row r="1951" ht="21" customHeight="1">
      <c r="A1951" s="22" t="inlineStr">
        <is>
          <t>88248</t>
        </is>
      </c>
      <c r="B1951" s="23" t="inlineStr">
        <is>
          <t>AUXILIAR DE ENCANADOR OU BOMBEIRO HIDRÁULICO COM ENCARGOS COMPLEMENTARES</t>
        </is>
      </c>
      <c r="C1951" s="22" t="inlineStr">
        <is>
          <t>SINAPI</t>
        </is>
      </c>
      <c r="D1951" s="22" t="inlineStr">
        <is>
          <t>H</t>
        </is>
      </c>
      <c r="E1951" s="63">
        <f>L1951*FATOR</f>
        <v/>
      </c>
      <c r="F1951" s="64">
        <f>'COMPOSICOES AUXILIARES'!G524</f>
        <v/>
      </c>
      <c r="G1951" s="64">
        <f>TRUNC(TRUNC(E1951,8)*F1951,2)</f>
        <v/>
      </c>
      <c r="L1951" t="n">
        <v>0.2203</v>
      </c>
      <c r="M1951" t="n">
        <v>24.23</v>
      </c>
      <c r="N1951">
        <f>(M1951-F1951)</f>
        <v/>
      </c>
    </row>
    <row r="1952" ht="21" customHeight="1">
      <c r="A1952" s="22" t="inlineStr">
        <is>
          <t>88267</t>
        </is>
      </c>
      <c r="B1952" s="23" t="inlineStr">
        <is>
          <t>ENCANADOR OU BOMBEIRO HIDRÁULICO COM ENCARGOS COMPLEMENTARES</t>
        </is>
      </c>
      <c r="C1952" s="22" t="inlineStr">
        <is>
          <t>SINAPI</t>
        </is>
      </c>
      <c r="D1952" s="22" t="inlineStr">
        <is>
          <t>H</t>
        </is>
      </c>
      <c r="E1952" s="63">
        <f>L1952*FATOR</f>
        <v/>
      </c>
      <c r="F1952" s="64">
        <f>'COMPOSICOES AUXILIARES'!G524</f>
        <v/>
      </c>
      <c r="G1952" s="64">
        <f>TRUNC(TRUNC(E1952,8)*F1952,2)</f>
        <v/>
      </c>
      <c r="L1952" t="n">
        <v>0.2203</v>
      </c>
      <c r="M1952" t="n">
        <v>29.86</v>
      </c>
      <c r="N1952">
        <f>(M1952-F1952)</f>
        <v/>
      </c>
    </row>
    <row r="1953" ht="18" customHeight="1">
      <c r="A1953" s="2" t="inlineStr"/>
      <c r="B1953" s="2" t="inlineStr"/>
      <c r="C1953" s="2" t="inlineStr"/>
      <c r="D1953" s="2" t="inlineStr"/>
      <c r="E1953" s="26" t="inlineStr">
        <is>
          <t>TOTAL Mão de Obra com Encargos Complementares:</t>
        </is>
      </c>
      <c r="F1953" s="56" t="n"/>
      <c r="G1953" s="65">
        <f>SUM(G1951:G1952)</f>
        <v/>
      </c>
    </row>
    <row r="1954" ht="15" customHeight="1">
      <c r="A1954" s="2" t="inlineStr"/>
      <c r="B1954" s="2" t="inlineStr"/>
      <c r="C1954" s="2" t="inlineStr"/>
      <c r="D1954" s="2" t="inlineStr"/>
      <c r="E1954" s="28" t="inlineStr">
        <is>
          <t>VALOR:</t>
        </is>
      </c>
      <c r="F1954" s="56" t="n"/>
      <c r="G1954" s="66">
        <f>SUM(G1953,G1949)</f>
        <v/>
      </c>
    </row>
    <row r="1955" ht="15" customHeight="1">
      <c r="A1955" s="2" t="inlineStr"/>
      <c r="B1955" s="2" t="inlineStr"/>
      <c r="C1955" s="2" t="inlineStr"/>
      <c r="D1955" s="2" t="inlineStr"/>
      <c r="E1955" s="28" t="inlineStr">
        <is>
          <t>VALOR BDI (23.08%):</t>
        </is>
      </c>
      <c r="F1955" s="56" t="n"/>
      <c r="G1955" s="66">
        <f>ROUNDDOWN(G1954*BDI,2)</f>
        <v/>
      </c>
    </row>
    <row r="1956" ht="15" customHeight="1">
      <c r="A1956" s="2" t="inlineStr"/>
      <c r="B1956" s="2" t="inlineStr"/>
      <c r="C1956" s="2" t="inlineStr"/>
      <c r="D1956" s="2" t="inlineStr"/>
      <c r="E1956" s="28" t="inlineStr">
        <is>
          <t>VALOR COM BDI:</t>
        </is>
      </c>
      <c r="F1956" s="56" t="n"/>
      <c r="G1956" s="66">
        <f>G1955 + G1954</f>
        <v/>
      </c>
    </row>
    <row r="1957" ht="10" customHeight="1">
      <c r="A1957" s="2" t="inlineStr"/>
      <c r="B1957" s="2" t="inlineStr"/>
      <c r="C1957" s="2" t="inlineStr"/>
      <c r="D1957" s="2" t="inlineStr"/>
      <c r="E1957" s="18" t="inlineStr"/>
    </row>
    <row r="1958" ht="20" customHeight="1">
      <c r="A1958" s="19" t="inlineStr">
        <is>
          <t>8.2.4.3. ​425 PRÓPRIO​ TE COM REDUÇÃO, PVC, SERIE NORMAL, ESGOTO PREDIAL, DN 75 X 50MM, JUNTA ELÁSTICA, FORNECIDO E INSTALADO EM RAMAL DE DESCARGA OU RAMAL DEESGOTO SANITÁRIO​ (UN)</t>
        </is>
      </c>
      <c r="B1958" s="55" t="n"/>
      <c r="C1958" s="55" t="n"/>
      <c r="D1958" s="55" t="n"/>
      <c r="E1958" s="55" t="n"/>
      <c r="F1958" s="55" t="n"/>
      <c r="G1958" s="56" t="n"/>
    </row>
    <row r="1959" ht="15" customHeight="1">
      <c r="A1959" s="20" t="inlineStr">
        <is>
          <t>Material</t>
        </is>
      </c>
      <c r="B1959" s="56" t="n"/>
      <c r="C1959" s="21" t="inlineStr">
        <is>
          <t>FONTE</t>
        </is>
      </c>
      <c r="D1959" s="21" t="inlineStr">
        <is>
          <t>UNID</t>
        </is>
      </c>
      <c r="E1959" s="21" t="inlineStr">
        <is>
          <t>COEFICIENTE</t>
        </is>
      </c>
      <c r="F1959" s="21" t="inlineStr">
        <is>
          <t>PREÇO UNITÁRIO</t>
        </is>
      </c>
      <c r="G1959" s="21" t="inlineStr">
        <is>
          <t>TOTAL</t>
        </is>
      </c>
    </row>
    <row r="1960" ht="21" customHeight="1">
      <c r="A1960" s="22" t="inlineStr">
        <is>
          <t>00000296</t>
        </is>
      </c>
      <c r="B1960" s="23" t="inlineStr">
        <is>
          <t>ANEL BORRACHA PARA TUBO ESGOTO PREDIAL, DN 50 MM (NBR 5688)</t>
        </is>
      </c>
      <c r="C1960" s="22" t="inlineStr">
        <is>
          <t>SINAPI</t>
        </is>
      </c>
      <c r="D1960" s="22" t="inlineStr">
        <is>
          <t>UN</t>
        </is>
      </c>
      <c r="E1960" s="63" t="n">
        <v>1</v>
      </c>
      <c r="F1960" s="64">
        <f>ROUND(M1960*FATOR, 2)</f>
        <v/>
      </c>
      <c r="G1960" s="64">
        <f>ROUND(ROUND(E1960,8)*F1960,2)</f>
        <v/>
      </c>
      <c r="L1960" t="n">
        <v>1</v>
      </c>
      <c r="M1960" t="n">
        <v>2.42</v>
      </c>
      <c r="N1960">
        <f>(M1960-F1960)</f>
        <v/>
      </c>
    </row>
    <row r="1961" ht="21" customHeight="1">
      <c r="A1961" s="22" t="inlineStr">
        <is>
          <t>00000297</t>
        </is>
      </c>
      <c r="B1961" s="23" t="inlineStr">
        <is>
          <t>ANEL BORRACHA PARA TUBO ESGOTO PREDIAL, DN 75 MM (NBR 5688)</t>
        </is>
      </c>
      <c r="C1961" s="22" t="inlineStr">
        <is>
          <t>SINAPI</t>
        </is>
      </c>
      <c r="D1961" s="22" t="inlineStr">
        <is>
          <t>UN</t>
        </is>
      </c>
      <c r="E1961" s="63" t="n">
        <v>1</v>
      </c>
      <c r="F1961" s="64">
        <f>ROUND(M1961*FATOR, 2)</f>
        <v/>
      </c>
      <c r="G1961" s="64">
        <f>ROUND(ROUND(E1961,8)*F1961,2)</f>
        <v/>
      </c>
      <c r="L1961" t="n">
        <v>1</v>
      </c>
      <c r="M1961" t="n">
        <v>3.56</v>
      </c>
      <c r="N1961">
        <f>(M1961-F1961)</f>
        <v/>
      </c>
    </row>
    <row r="1962" ht="21" customHeight="1">
      <c r="A1962" s="22" t="inlineStr">
        <is>
          <t>00020083</t>
        </is>
      </c>
      <c r="B1962" s="23" t="inlineStr">
        <is>
          <t>SOLUCAO PREPARADORA / LIMPADORA PARA PVC, FRASCO COM 1000 CM3</t>
        </is>
      </c>
      <c r="C1962" s="22" t="inlineStr">
        <is>
          <t>SINAPI</t>
        </is>
      </c>
      <c r="D1962" s="22" t="inlineStr">
        <is>
          <t>UN</t>
        </is>
      </c>
      <c r="E1962" s="63" t="n">
        <v>0.01</v>
      </c>
      <c r="F1962" s="64">
        <f>ROUND(M1962*FATOR, 2)</f>
        <v/>
      </c>
      <c r="G1962" s="64">
        <f>ROUND(ROUND(E1962,8)*F1962,2)</f>
        <v/>
      </c>
      <c r="L1962" t="n">
        <v>0.01</v>
      </c>
      <c r="M1962" t="n">
        <v>70.08</v>
      </c>
      <c r="N1962">
        <f>(M1962-F1962)</f>
        <v/>
      </c>
    </row>
    <row r="1963" ht="15" customHeight="1">
      <c r="A1963" s="22" t="inlineStr">
        <is>
          <t>004490 SBC</t>
        </is>
      </c>
      <c r="B1963" s="23" t="inlineStr">
        <is>
          <t>TE ESGOTO SANITARIO PVC SERIE NORMAL 75 X 50MM</t>
        </is>
      </c>
      <c r="C1963" s="22" t="inlineStr">
        <is>
          <t xml:space="preserve">Composições </t>
        </is>
      </c>
      <c r="D1963" s="22" t="inlineStr">
        <is>
          <t>UN</t>
        </is>
      </c>
      <c r="E1963" s="63" t="n">
        <v>1</v>
      </c>
      <c r="F1963" s="64">
        <f>ROUND(M1963*FATOR, 2)</f>
        <v/>
      </c>
      <c r="G1963" s="64">
        <f>ROUND(ROUND(E1963,8)*F1963,2)</f>
        <v/>
      </c>
      <c r="L1963" t="n">
        <v>1</v>
      </c>
      <c r="M1963" t="n">
        <v>14.9</v>
      </c>
      <c r="N1963">
        <f>(M1963-F1963)</f>
        <v/>
      </c>
    </row>
    <row r="1964" ht="15" customHeight="1">
      <c r="A1964" s="2" t="inlineStr"/>
      <c r="B1964" s="2" t="inlineStr"/>
      <c r="C1964" s="2" t="inlineStr"/>
      <c r="D1964" s="2" t="inlineStr"/>
      <c r="E1964" s="26" t="inlineStr">
        <is>
          <t>TOTAL Material:</t>
        </is>
      </c>
      <c r="F1964" s="56" t="n"/>
      <c r="G1964" s="65">
        <f>SUM(G1960:G1963)</f>
        <v/>
      </c>
    </row>
    <row r="1965" ht="15" customHeight="1">
      <c r="A1965" s="20" t="inlineStr">
        <is>
          <t>Mão de Obra com Encargos Complementares</t>
        </is>
      </c>
      <c r="B1965" s="56" t="n"/>
      <c r="C1965" s="21" t="inlineStr">
        <is>
          <t>FONTE</t>
        </is>
      </c>
      <c r="D1965" s="21" t="inlineStr">
        <is>
          <t>UNID</t>
        </is>
      </c>
      <c r="E1965" s="21" t="inlineStr">
        <is>
          <t>COEFICIENTE</t>
        </is>
      </c>
      <c r="F1965" s="21" t="inlineStr">
        <is>
          <t>PREÇO UNITÁRIO</t>
        </is>
      </c>
      <c r="G1965" s="21" t="inlineStr">
        <is>
          <t>TOTAL</t>
        </is>
      </c>
    </row>
    <row r="1966" ht="21" customHeight="1">
      <c r="A1966" s="22" t="inlineStr">
        <is>
          <t>88248</t>
        </is>
      </c>
      <c r="B1966" s="23" t="inlineStr">
        <is>
          <t>AUXILIAR DE ENCANADOR OU BOMBEIRO HIDRÁULICO COM ENCARGOS COMPLEMENTARES</t>
        </is>
      </c>
      <c r="C1966" s="22" t="inlineStr">
        <is>
          <t>SINAPI</t>
        </is>
      </c>
      <c r="D1966" s="22" t="inlineStr">
        <is>
          <t>H</t>
        </is>
      </c>
      <c r="E1966" s="63">
        <f>L1966*FATOR</f>
        <v/>
      </c>
      <c r="F1966" s="64">
        <f>'COMPOSICOES AUXILIARES'!G524</f>
        <v/>
      </c>
      <c r="G1966" s="64">
        <f>ROUND(ROUND(E1966,8)*F1966,2)</f>
        <v/>
      </c>
      <c r="L1966" t="n">
        <v>0.742</v>
      </c>
      <c r="M1966" t="n">
        <v>24.23</v>
      </c>
      <c r="N1966">
        <f>(M1966-F1966)</f>
        <v/>
      </c>
    </row>
    <row r="1967" ht="21" customHeight="1">
      <c r="A1967" s="22" t="inlineStr">
        <is>
          <t>88267</t>
        </is>
      </c>
      <c r="B1967" s="23" t="inlineStr">
        <is>
          <t>ENCANADOR OU BOMBEIRO HIDRÁULICO COM ENCARGOS COMPLEMENTARES</t>
        </is>
      </c>
      <c r="C1967" s="22" t="inlineStr">
        <is>
          <t>SINAPI</t>
        </is>
      </c>
      <c r="D1967" s="22" t="inlineStr">
        <is>
          <t>H</t>
        </is>
      </c>
      <c r="E1967" s="63">
        <f>L1967*FATOR</f>
        <v/>
      </c>
      <c r="F1967" s="64">
        <f>'COMPOSICOES AUXILIARES'!G524</f>
        <v/>
      </c>
      <c r="G1967" s="64">
        <f>ROUND(ROUND(E1967,8)*F1967,2)</f>
        <v/>
      </c>
      <c r="L1967" t="n">
        <v>0.742</v>
      </c>
      <c r="M1967" t="n">
        <v>29.86</v>
      </c>
      <c r="N1967">
        <f>(M1967-F1967)</f>
        <v/>
      </c>
    </row>
    <row r="1968" ht="18" customHeight="1">
      <c r="A1968" s="2" t="inlineStr"/>
      <c r="B1968" s="2" t="inlineStr"/>
      <c r="C1968" s="2" t="inlineStr"/>
      <c r="D1968" s="2" t="inlineStr"/>
      <c r="E1968" s="26" t="inlineStr">
        <is>
          <t>TOTAL Mão de Obra com Encargos Complementares:</t>
        </is>
      </c>
      <c r="F1968" s="56" t="n"/>
      <c r="G1968" s="65">
        <f>SUM(G1966:G1967)</f>
        <v/>
      </c>
    </row>
    <row r="1969" ht="15" customHeight="1">
      <c r="A1969" s="2" t="inlineStr"/>
      <c r="B1969" s="2" t="inlineStr"/>
      <c r="C1969" s="2" t="inlineStr"/>
      <c r="D1969" s="2" t="inlineStr"/>
      <c r="E1969" s="28" t="inlineStr">
        <is>
          <t>VALOR:</t>
        </is>
      </c>
      <c r="F1969" s="56" t="n"/>
      <c r="G1969" s="66">
        <f>SUM(G1968,G1964)</f>
        <v/>
      </c>
    </row>
    <row r="1970" ht="15" customHeight="1">
      <c r="A1970" s="2" t="inlineStr"/>
      <c r="B1970" s="2" t="inlineStr"/>
      <c r="C1970" s="2" t="inlineStr"/>
      <c r="D1970" s="2" t="inlineStr"/>
      <c r="E1970" s="28" t="inlineStr">
        <is>
          <t>VALOR BDI (23.08%):</t>
        </is>
      </c>
      <c r="F1970" s="56" t="n"/>
      <c r="G1970" s="66">
        <f>ROUNDDOWN(G1969*BDI,2)</f>
        <v/>
      </c>
    </row>
    <row r="1971" ht="15" customHeight="1">
      <c r="A1971" s="2" t="inlineStr"/>
      <c r="B1971" s="2" t="inlineStr"/>
      <c r="C1971" s="2" t="inlineStr"/>
      <c r="D1971" s="2" t="inlineStr"/>
      <c r="E1971" s="28" t="inlineStr">
        <is>
          <t>VALOR COM BDI:</t>
        </is>
      </c>
      <c r="F1971" s="56" t="n"/>
      <c r="G1971" s="66">
        <f>G1970 + G1969</f>
        <v/>
      </c>
    </row>
    <row r="1972" ht="10" customHeight="1">
      <c r="A1972" s="2" t="inlineStr"/>
      <c r="B1972" s="2" t="inlineStr"/>
      <c r="C1972" s="2" t="inlineStr"/>
      <c r="D1972" s="2" t="inlineStr"/>
      <c r="E1972" s="18" t="inlineStr"/>
    </row>
    <row r="1973" ht="20" customHeight="1">
      <c r="A1973" s="19" t="inlineStr">
        <is>
          <t>8.2.4.4. ​104344​ TE, PVC, SÉRIE NORMAL, ESGOTO PREDIAL, DN 100 X 50 MM, JUNTA ELÁSTICA, FORNECIDO E INSTALADO EM RAMAL DE DESCARGA OU RAMAL DE ESGOTOSANITÁRIO. AF_08/2022​ (UN)</t>
        </is>
      </c>
      <c r="B1973" s="55" t="n"/>
      <c r="C1973" s="55" t="n"/>
      <c r="D1973" s="55" t="n"/>
      <c r="E1973" s="55" t="n"/>
      <c r="F1973" s="55" t="n"/>
      <c r="G1973" s="56" t="n"/>
    </row>
    <row r="1974" ht="15" customHeight="1">
      <c r="A1974" s="20" t="inlineStr">
        <is>
          <t>Material</t>
        </is>
      </c>
      <c r="B1974" s="56" t="n"/>
      <c r="C1974" s="21" t="inlineStr">
        <is>
          <t>FONTE</t>
        </is>
      </c>
      <c r="D1974" s="21" t="inlineStr">
        <is>
          <t>UNID</t>
        </is>
      </c>
      <c r="E1974" s="21" t="inlineStr">
        <is>
          <t>COEFICIENTE</t>
        </is>
      </c>
      <c r="F1974" s="21" t="inlineStr">
        <is>
          <t>PREÇO UNITÁRIO</t>
        </is>
      </c>
      <c r="G1974" s="21" t="inlineStr">
        <is>
          <t>TOTAL</t>
        </is>
      </c>
    </row>
    <row r="1975" ht="21" customHeight="1">
      <c r="A1975" s="22" t="inlineStr">
        <is>
          <t>00000301</t>
        </is>
      </c>
      <c r="B1975" s="23" t="inlineStr">
        <is>
          <t>ANEL BORRACHA PARA TUBO ESGOTO PREDIAL, DN 100 MM (NBR 5688)</t>
        </is>
      </c>
      <c r="C1975" s="22" t="inlineStr">
        <is>
          <t>SINAPI</t>
        </is>
      </c>
      <c r="D1975" s="22" t="inlineStr">
        <is>
          <t>UN</t>
        </is>
      </c>
      <c r="E1975" s="63" t="n">
        <v>2</v>
      </c>
      <c r="F1975" s="64">
        <f>ROUND(M1975*FATOR, 2)</f>
        <v/>
      </c>
      <c r="G1975" s="64">
        <f>TRUNC(TRUNC(E1975,8)*F1975,2)</f>
        <v/>
      </c>
      <c r="L1975" t="n">
        <v>2</v>
      </c>
      <c r="M1975" t="n">
        <v>4.29</v>
      </c>
      <c r="N1975">
        <f>(M1975-F1975)</f>
        <v/>
      </c>
    </row>
    <row r="1976" ht="21" customHeight="1">
      <c r="A1976" s="22" t="inlineStr">
        <is>
          <t>00000296</t>
        </is>
      </c>
      <c r="B1976" s="23" t="inlineStr">
        <is>
          <t>ANEL BORRACHA PARA TUBO ESGOTO PREDIAL, DN 50 MM (NBR 5688)</t>
        </is>
      </c>
      <c r="C1976" s="22" t="inlineStr">
        <is>
          <t>SINAPI</t>
        </is>
      </c>
      <c r="D1976" s="22" t="inlineStr">
        <is>
          <t>UN</t>
        </is>
      </c>
      <c r="E1976" s="63" t="n">
        <v>1</v>
      </c>
      <c r="F1976" s="64">
        <f>ROUND(M1976*FATOR, 2)</f>
        <v/>
      </c>
      <c r="G1976" s="64">
        <f>TRUNC(TRUNC(E1976,8)*F1976,2)</f>
        <v/>
      </c>
      <c r="L1976" t="n">
        <v>1</v>
      </c>
      <c r="M1976" t="n">
        <v>2.42</v>
      </c>
      <c r="N1976">
        <f>(M1976-F1976)</f>
        <v/>
      </c>
    </row>
    <row r="1977" ht="29" customHeight="1">
      <c r="A1977" s="22" t="inlineStr">
        <is>
          <t>00020078</t>
        </is>
      </c>
      <c r="B1977" s="23" t="inlineStr">
        <is>
          <t>PASTA LUBRIFICANTE PARA TUBOS E CONEXOES COM JUNTA ELASTICA, EMBALAGEM DE *400* GR (USO EM PVC, ACO, POLIETILENO E OUTROS)</t>
        </is>
      </c>
      <c r="C1977" s="22" t="inlineStr">
        <is>
          <t>SINAPI</t>
        </is>
      </c>
      <c r="D1977" s="22" t="inlineStr">
        <is>
          <t>UN</t>
        </is>
      </c>
      <c r="E1977" s="63" t="n">
        <v>0.14</v>
      </c>
      <c r="F1977" s="64">
        <f>ROUND(M1977*FATOR, 2)</f>
        <v/>
      </c>
      <c r="G1977" s="64">
        <f>TRUNC(TRUNC(E1977,8)*F1977,2)</f>
        <v/>
      </c>
      <c r="L1977" t="n">
        <v>0.14</v>
      </c>
      <c r="M1977" t="n">
        <v>25.53</v>
      </c>
      <c r="N1977">
        <f>(M1977-F1977)</f>
        <v/>
      </c>
    </row>
    <row r="1978" ht="21" customHeight="1">
      <c r="A1978" s="22" t="inlineStr">
        <is>
          <t>00011655</t>
        </is>
      </c>
      <c r="B1978" s="23" t="inlineStr">
        <is>
          <t>TE SANITARIO DE REDUCAO, PVC, DN 100 X 50 MM, SERIE NORMAL, PARA ESGOTO PREDIAL</t>
        </is>
      </c>
      <c r="C1978" s="22" t="inlineStr">
        <is>
          <t>SINAPI</t>
        </is>
      </c>
      <c r="D1978" s="22" t="inlineStr">
        <is>
          <t>UN</t>
        </is>
      </c>
      <c r="E1978" s="63" t="n">
        <v>1</v>
      </c>
      <c r="F1978" s="64">
        <f>ROUND(M1978*FATOR, 2)</f>
        <v/>
      </c>
      <c r="G1978" s="64">
        <f>TRUNC(TRUNC(E1978,8)*F1978,2)</f>
        <v/>
      </c>
      <c r="L1978" t="n">
        <v>1</v>
      </c>
      <c r="M1978" t="n">
        <v>17.11</v>
      </c>
      <c r="N1978">
        <f>(M1978-F1978)</f>
        <v/>
      </c>
    </row>
    <row r="1979" ht="15" customHeight="1">
      <c r="A1979" s="2" t="inlineStr"/>
      <c r="B1979" s="2" t="inlineStr"/>
      <c r="C1979" s="2" t="inlineStr"/>
      <c r="D1979" s="2" t="inlineStr"/>
      <c r="E1979" s="26" t="inlineStr">
        <is>
          <t>TOTAL Material:</t>
        </is>
      </c>
      <c r="F1979" s="56" t="n"/>
      <c r="G1979" s="65">
        <f>SUM(G1975:G1978)</f>
        <v/>
      </c>
    </row>
    <row r="1980" ht="15" customHeight="1">
      <c r="A1980" s="20" t="inlineStr">
        <is>
          <t>Mão de Obra com Encargos Complementares</t>
        </is>
      </c>
      <c r="B1980" s="56" t="n"/>
      <c r="C1980" s="21" t="inlineStr">
        <is>
          <t>FONTE</t>
        </is>
      </c>
      <c r="D1980" s="21" t="inlineStr">
        <is>
          <t>UNID</t>
        </is>
      </c>
      <c r="E1980" s="21" t="inlineStr">
        <is>
          <t>COEFICIENTE</t>
        </is>
      </c>
      <c r="F1980" s="21" t="inlineStr">
        <is>
          <t>PREÇO UNITÁRIO</t>
        </is>
      </c>
      <c r="G1980" s="21" t="inlineStr">
        <is>
          <t>TOTAL</t>
        </is>
      </c>
    </row>
    <row r="1981" ht="21" customHeight="1">
      <c r="A1981" s="22" t="inlineStr">
        <is>
          <t>88248</t>
        </is>
      </c>
      <c r="B1981" s="23" t="inlineStr">
        <is>
          <t>AUXILIAR DE ENCANADOR OU BOMBEIRO HIDRÁULICO COM ENCARGOS COMPLEMENTARES</t>
        </is>
      </c>
      <c r="C1981" s="22" t="inlineStr">
        <is>
          <t>SINAPI</t>
        </is>
      </c>
      <c r="D1981" s="22" t="inlineStr">
        <is>
          <t>H</t>
        </is>
      </c>
      <c r="E1981" s="63">
        <f>L1981*FATOR</f>
        <v/>
      </c>
      <c r="F1981" s="64">
        <f>'COMPOSICOES AUXILIARES'!G524</f>
        <v/>
      </c>
      <c r="G1981" s="64">
        <f>TRUNC(TRUNC(E1981,8)*F1981,2)</f>
        <v/>
      </c>
      <c r="L1981" t="n">
        <v>0.2325</v>
      </c>
      <c r="M1981" t="n">
        <v>24.23</v>
      </c>
      <c r="N1981">
        <f>(M1981-F1981)</f>
        <v/>
      </c>
    </row>
    <row r="1982" ht="21" customHeight="1">
      <c r="A1982" s="22" t="inlineStr">
        <is>
          <t>88267</t>
        </is>
      </c>
      <c r="B1982" s="23" t="inlineStr">
        <is>
          <t>ENCANADOR OU BOMBEIRO HIDRÁULICO COM ENCARGOS COMPLEMENTARES</t>
        </is>
      </c>
      <c r="C1982" s="22" t="inlineStr">
        <is>
          <t>SINAPI</t>
        </is>
      </c>
      <c r="D1982" s="22" t="inlineStr">
        <is>
          <t>H</t>
        </is>
      </c>
      <c r="E1982" s="63">
        <f>L1982*FATOR</f>
        <v/>
      </c>
      <c r="F1982" s="64">
        <f>'COMPOSICOES AUXILIARES'!G524</f>
        <v/>
      </c>
      <c r="G1982" s="64">
        <f>TRUNC(TRUNC(E1982,8)*F1982,2)</f>
        <v/>
      </c>
      <c r="L1982" t="n">
        <v>0.2325</v>
      </c>
      <c r="M1982" t="n">
        <v>29.86</v>
      </c>
      <c r="N1982">
        <f>(M1982-F1982)</f>
        <v/>
      </c>
    </row>
    <row r="1983" ht="18" customHeight="1">
      <c r="A1983" s="2" t="inlineStr"/>
      <c r="B1983" s="2" t="inlineStr"/>
      <c r="C1983" s="2" t="inlineStr"/>
      <c r="D1983" s="2" t="inlineStr"/>
      <c r="E1983" s="26" t="inlineStr">
        <is>
          <t>TOTAL Mão de Obra com Encargos Complementares:</t>
        </is>
      </c>
      <c r="F1983" s="56" t="n"/>
      <c r="G1983" s="65">
        <f>SUM(G1981:G1982)</f>
        <v/>
      </c>
    </row>
    <row r="1984" ht="15" customHeight="1">
      <c r="A1984" s="2" t="inlineStr"/>
      <c r="B1984" s="2" t="inlineStr"/>
      <c r="C1984" s="2" t="inlineStr"/>
      <c r="D1984" s="2" t="inlineStr"/>
      <c r="E1984" s="28" t="inlineStr">
        <is>
          <t>VALOR:</t>
        </is>
      </c>
      <c r="F1984" s="56" t="n"/>
      <c r="G1984" s="66">
        <f>SUM(G1979,G1983)</f>
        <v/>
      </c>
    </row>
    <row r="1985" ht="15" customHeight="1">
      <c r="A1985" s="2" t="inlineStr"/>
      <c r="B1985" s="2" t="inlineStr"/>
      <c r="C1985" s="2" t="inlineStr"/>
      <c r="D1985" s="2" t="inlineStr"/>
      <c r="E1985" s="28" t="inlineStr">
        <is>
          <t>VALOR BDI (23.08%):</t>
        </is>
      </c>
      <c r="F1985" s="56" t="n"/>
      <c r="G1985" s="66">
        <f>ROUNDDOWN(G1984*BDI,2)</f>
        <v/>
      </c>
    </row>
    <row r="1986" ht="15" customHeight="1">
      <c r="A1986" s="2" t="inlineStr"/>
      <c r="B1986" s="2" t="inlineStr"/>
      <c r="C1986" s="2" t="inlineStr"/>
      <c r="D1986" s="2" t="inlineStr"/>
      <c r="E1986" s="28" t="inlineStr">
        <is>
          <t>VALOR COM BDI:</t>
        </is>
      </c>
      <c r="F1986" s="56" t="n"/>
      <c r="G1986" s="66">
        <f>G1985 + G1984</f>
        <v/>
      </c>
    </row>
    <row r="1987" ht="10" customHeight="1">
      <c r="A1987" s="2" t="inlineStr"/>
      <c r="B1987" s="2" t="inlineStr"/>
      <c r="C1987" s="2" t="inlineStr"/>
      <c r="D1987" s="2" t="inlineStr"/>
      <c r="E1987" s="18" t="inlineStr"/>
    </row>
    <row r="1988" ht="20" customHeight="1">
      <c r="A1988" s="19" t="inlineStr">
        <is>
          <t>8.2.5.1. ​89753​ LUVA SIMPLES, PVC, SERIE NORMAL, ESGOTO PREDIAL, DN 50 MM, JUNTA ELÁSTICA, FORNECIDO E INSTALADO EM RAMAL DE DESCARGA OU RAMAL DEESGOTO SANITÁRIO. AF_08/2022​ (UN)</t>
        </is>
      </c>
      <c r="B1988" s="55" t="n"/>
      <c r="C1988" s="55" t="n"/>
      <c r="D1988" s="55" t="n"/>
      <c r="E1988" s="55" t="n"/>
      <c r="F1988" s="55" t="n"/>
      <c r="G1988" s="56" t="n"/>
    </row>
    <row r="1989" ht="15" customHeight="1">
      <c r="A1989" s="20" t="inlineStr">
        <is>
          <t>Material</t>
        </is>
      </c>
      <c r="B1989" s="56" t="n"/>
      <c r="C1989" s="21" t="inlineStr">
        <is>
          <t>FONTE</t>
        </is>
      </c>
      <c r="D1989" s="21" t="inlineStr">
        <is>
          <t>UNID</t>
        </is>
      </c>
      <c r="E1989" s="21" t="inlineStr">
        <is>
          <t>COEFICIENTE</t>
        </is>
      </c>
      <c r="F1989" s="21" t="inlineStr">
        <is>
          <t>PREÇO UNITÁRIO</t>
        </is>
      </c>
      <c r="G1989" s="21" t="inlineStr">
        <is>
          <t>TOTAL</t>
        </is>
      </c>
    </row>
    <row r="1990" ht="15" customHeight="1">
      <c r="A1990" s="22" t="inlineStr">
        <is>
          <t>00000122</t>
        </is>
      </c>
      <c r="B1990" s="23" t="inlineStr">
        <is>
          <t>ADESIVO PLASTICO PARA PVC, FRASCO COM *850* GR</t>
        </is>
      </c>
      <c r="C1990" s="22" t="inlineStr">
        <is>
          <t>SINAPI</t>
        </is>
      </c>
      <c r="D1990" s="22" t="inlineStr">
        <is>
          <t>UN</t>
        </is>
      </c>
      <c r="E1990" s="63" t="n">
        <v>0.0073</v>
      </c>
      <c r="F1990" s="64">
        <f>ROUND(M1990*FATOR, 2)</f>
        <v/>
      </c>
      <c r="G1990" s="64">
        <f>TRUNC(TRUNC(E1990,8)*F1990,2)</f>
        <v/>
      </c>
      <c r="L1990" t="n">
        <v>0.0073</v>
      </c>
      <c r="M1990" t="n">
        <v>61.86</v>
      </c>
      <c r="N1990">
        <f>(M1990-F1990)</f>
        <v/>
      </c>
    </row>
    <row r="1991" ht="15" customHeight="1">
      <c r="A1991" s="22" t="inlineStr">
        <is>
          <t>00038383</t>
        </is>
      </c>
      <c r="B1991" s="23" t="inlineStr">
        <is>
          <t>LIXA D'AGUA EM FOLHA, COR PRETA, GRAO 100</t>
        </is>
      </c>
      <c r="C1991" s="22" t="inlineStr">
        <is>
          <t>SINAPI</t>
        </is>
      </c>
      <c r="D1991" s="22" t="inlineStr">
        <is>
          <t>UN</t>
        </is>
      </c>
      <c r="E1991" s="63" t="n">
        <v>0.039</v>
      </c>
      <c r="F1991" s="64">
        <f>ROUND(M1991*FATOR, 2)</f>
        <v/>
      </c>
      <c r="G1991" s="64">
        <f>TRUNC(TRUNC(E1991,8)*F1991,2)</f>
        <v/>
      </c>
      <c r="L1991" t="n">
        <v>0.039</v>
      </c>
      <c r="M1991" t="n">
        <v>1.65</v>
      </c>
      <c r="N1991">
        <f>(M1991-F1991)</f>
        <v/>
      </c>
    </row>
    <row r="1992" ht="21" customHeight="1">
      <c r="A1992" s="22" t="inlineStr">
        <is>
          <t>00003875</t>
        </is>
      </c>
      <c r="B1992" s="23" t="inlineStr">
        <is>
          <t>LUVA SIMPLES, PVC, SOLDAVEL, DN 50 MM, SERIE NORMAL, PARA ESGOTO PREDIAL</t>
        </is>
      </c>
      <c r="C1992" s="22" t="inlineStr">
        <is>
          <t>SINAPI</t>
        </is>
      </c>
      <c r="D1992" s="22" t="inlineStr">
        <is>
          <t>UN</t>
        </is>
      </c>
      <c r="E1992" s="63" t="n">
        <v>1</v>
      </c>
      <c r="F1992" s="64">
        <f>ROUND(M1992*FATOR, 2)</f>
        <v/>
      </c>
      <c r="G1992" s="64">
        <f>TRUNC(TRUNC(E1992,8)*F1992,2)</f>
        <v/>
      </c>
      <c r="L1992" t="n">
        <v>1</v>
      </c>
      <c r="M1992" t="n">
        <v>3.32</v>
      </c>
      <c r="N1992">
        <f>(M1992-F1992)</f>
        <v/>
      </c>
    </row>
    <row r="1993" ht="21" customHeight="1">
      <c r="A1993" s="22" t="inlineStr">
        <is>
          <t>00020083</t>
        </is>
      </c>
      <c r="B1993" s="23" t="inlineStr">
        <is>
          <t>SOLUCAO PREPARADORA / LIMPADORA PARA PVC, FRASCO COM 1000 CM3</t>
        </is>
      </c>
      <c r="C1993" s="22" t="inlineStr">
        <is>
          <t>SINAPI</t>
        </is>
      </c>
      <c r="D1993" s="22" t="inlineStr">
        <is>
          <t>UN</t>
        </is>
      </c>
      <c r="E1993" s="63" t="n">
        <v>0.011</v>
      </c>
      <c r="F1993" s="64">
        <f>ROUND(M1993*FATOR, 2)</f>
        <v/>
      </c>
      <c r="G1993" s="64">
        <f>TRUNC(TRUNC(E1993,8)*F1993,2)</f>
        <v/>
      </c>
      <c r="L1993" t="n">
        <v>0.011</v>
      </c>
      <c r="M1993" t="n">
        <v>70.08</v>
      </c>
      <c r="N1993">
        <f>(M1993-F1993)</f>
        <v/>
      </c>
    </row>
    <row r="1994" ht="15" customHeight="1">
      <c r="A1994" s="2" t="inlineStr"/>
      <c r="B1994" s="2" t="inlineStr"/>
      <c r="C1994" s="2" t="inlineStr"/>
      <c r="D1994" s="2" t="inlineStr"/>
      <c r="E1994" s="26" t="inlineStr">
        <is>
          <t>TOTAL Material:</t>
        </is>
      </c>
      <c r="F1994" s="56" t="n"/>
      <c r="G1994" s="65">
        <f>SUM(G1990:G1993)</f>
        <v/>
      </c>
    </row>
    <row r="1995" ht="15" customHeight="1">
      <c r="A1995" s="20" t="inlineStr">
        <is>
          <t>Mão de Obra com Encargos Complementares</t>
        </is>
      </c>
      <c r="B1995" s="56" t="n"/>
      <c r="C1995" s="21" t="inlineStr">
        <is>
          <t>FONTE</t>
        </is>
      </c>
      <c r="D1995" s="21" t="inlineStr">
        <is>
          <t>UNID</t>
        </is>
      </c>
      <c r="E1995" s="21" t="inlineStr">
        <is>
          <t>COEFICIENTE</t>
        </is>
      </c>
      <c r="F1995" s="21" t="inlineStr">
        <is>
          <t>PREÇO UNITÁRIO</t>
        </is>
      </c>
      <c r="G1995" s="21" t="inlineStr">
        <is>
          <t>TOTAL</t>
        </is>
      </c>
    </row>
    <row r="1996" ht="21" customHeight="1">
      <c r="A1996" s="22" t="inlineStr">
        <is>
          <t>88248</t>
        </is>
      </c>
      <c r="B1996" s="23" t="inlineStr">
        <is>
          <t>AUXILIAR DE ENCANADOR OU BOMBEIRO HIDRÁULICO COM ENCARGOS COMPLEMENTARES</t>
        </is>
      </c>
      <c r="C1996" s="22" t="inlineStr">
        <is>
          <t>SINAPI</t>
        </is>
      </c>
      <c r="D1996" s="22" t="inlineStr">
        <is>
          <t>H</t>
        </is>
      </c>
      <c r="E1996" s="63">
        <f>L1996*FATOR</f>
        <v/>
      </c>
      <c r="F1996" s="64">
        <f>'COMPOSICOES AUXILIARES'!G524</f>
        <v/>
      </c>
      <c r="G1996" s="64">
        <f>TRUNC(TRUNC(E1996,8)*F1996,2)</f>
        <v/>
      </c>
      <c r="L1996" t="n">
        <v>0.0919</v>
      </c>
      <c r="M1996" t="n">
        <v>24.23</v>
      </c>
      <c r="N1996">
        <f>(M1996-F1996)</f>
        <v/>
      </c>
    </row>
    <row r="1997" ht="21" customHeight="1">
      <c r="A1997" s="22" t="inlineStr">
        <is>
          <t>88267</t>
        </is>
      </c>
      <c r="B1997" s="23" t="inlineStr">
        <is>
          <t>ENCANADOR OU BOMBEIRO HIDRÁULICO COM ENCARGOS COMPLEMENTARES</t>
        </is>
      </c>
      <c r="C1997" s="22" t="inlineStr">
        <is>
          <t>SINAPI</t>
        </is>
      </c>
      <c r="D1997" s="22" t="inlineStr">
        <is>
          <t>H</t>
        </is>
      </c>
      <c r="E1997" s="63">
        <f>L1997*FATOR</f>
        <v/>
      </c>
      <c r="F1997" s="64">
        <f>'COMPOSICOES AUXILIARES'!G524</f>
        <v/>
      </c>
      <c r="G1997" s="64">
        <f>TRUNC(TRUNC(E1997,8)*F1997,2)</f>
        <v/>
      </c>
      <c r="L1997" t="n">
        <v>0.0919</v>
      </c>
      <c r="M1997" t="n">
        <v>29.86</v>
      </c>
      <c r="N1997">
        <f>(M1997-F1997)</f>
        <v/>
      </c>
    </row>
    <row r="1998" ht="18" customHeight="1">
      <c r="A1998" s="2" t="inlineStr"/>
      <c r="B1998" s="2" t="inlineStr"/>
      <c r="C1998" s="2" t="inlineStr"/>
      <c r="D1998" s="2" t="inlineStr"/>
      <c r="E1998" s="26" t="inlineStr">
        <is>
          <t>TOTAL Mão de Obra com Encargos Complementares:</t>
        </is>
      </c>
      <c r="F1998" s="56" t="n"/>
      <c r="G1998" s="65">
        <f>SUM(G1996:G1997)</f>
        <v/>
      </c>
    </row>
    <row r="1999" ht="15" customHeight="1">
      <c r="A1999" s="2" t="inlineStr"/>
      <c r="B1999" s="2" t="inlineStr"/>
      <c r="C1999" s="2" t="inlineStr"/>
      <c r="D1999" s="2" t="inlineStr"/>
      <c r="E1999" s="28" t="inlineStr">
        <is>
          <t>VALOR:</t>
        </is>
      </c>
      <c r="F1999" s="56" t="n"/>
      <c r="G1999" s="66">
        <f>SUM(G1994,G1998)</f>
        <v/>
      </c>
    </row>
    <row r="2000" ht="15" customHeight="1">
      <c r="A2000" s="2" t="inlineStr"/>
      <c r="B2000" s="2" t="inlineStr"/>
      <c r="C2000" s="2" t="inlineStr"/>
      <c r="D2000" s="2" t="inlineStr"/>
      <c r="E2000" s="28" t="inlineStr">
        <is>
          <t>VALOR BDI (23.08%):</t>
        </is>
      </c>
      <c r="F2000" s="56" t="n"/>
      <c r="G2000" s="66">
        <f>ROUNDDOWN(G1999*BDI,2)</f>
        <v/>
      </c>
    </row>
    <row r="2001" ht="15" customHeight="1">
      <c r="A2001" s="2" t="inlineStr"/>
      <c r="B2001" s="2" t="inlineStr"/>
      <c r="C2001" s="2" t="inlineStr"/>
      <c r="D2001" s="2" t="inlineStr"/>
      <c r="E2001" s="28" t="inlineStr">
        <is>
          <t>VALOR COM BDI:</t>
        </is>
      </c>
      <c r="F2001" s="56" t="n"/>
      <c r="G2001" s="66">
        <f>G2000 + G1999</f>
        <v/>
      </c>
    </row>
    <row r="2002" ht="10" customHeight="1">
      <c r="A2002" s="2" t="inlineStr"/>
      <c r="B2002" s="2" t="inlineStr"/>
      <c r="C2002" s="2" t="inlineStr"/>
      <c r="D2002" s="2" t="inlineStr"/>
      <c r="E2002" s="18" t="inlineStr"/>
    </row>
    <row r="2003" ht="20" customHeight="1">
      <c r="A2003" s="19" t="inlineStr">
        <is>
          <t>8.2.5.2. ​89774​ LUVA SIMPLES, PVC, SERIE NORMAL, ESGOTO PREDIAL, DN 75 MM, JUNTA ELÁSTICA, FORNECIDO E INSTALADO EM RAMAL DE DESCARGA OU RAMAL DEESGOTO SANITÁRIO. AF_08/2022​ (UN)</t>
        </is>
      </c>
      <c r="B2003" s="55" t="n"/>
      <c r="C2003" s="55" t="n"/>
      <c r="D2003" s="55" t="n"/>
      <c r="E2003" s="55" t="n"/>
      <c r="F2003" s="55" t="n"/>
      <c r="G2003" s="56" t="n"/>
    </row>
    <row r="2004" ht="15" customHeight="1">
      <c r="A2004" s="20" t="inlineStr">
        <is>
          <t>Material</t>
        </is>
      </c>
      <c r="B2004" s="56" t="n"/>
      <c r="C2004" s="21" t="inlineStr">
        <is>
          <t>FONTE</t>
        </is>
      </c>
      <c r="D2004" s="21" t="inlineStr">
        <is>
          <t>UNID</t>
        </is>
      </c>
      <c r="E2004" s="21" t="inlineStr">
        <is>
          <t>COEFICIENTE</t>
        </is>
      </c>
      <c r="F2004" s="21" t="inlineStr">
        <is>
          <t>PREÇO UNITÁRIO</t>
        </is>
      </c>
      <c r="G2004" s="21" t="inlineStr">
        <is>
          <t>TOTAL</t>
        </is>
      </c>
    </row>
    <row r="2005" ht="15" customHeight="1">
      <c r="A2005" s="22" t="inlineStr">
        <is>
          <t>00000122</t>
        </is>
      </c>
      <c r="B2005" s="23" t="inlineStr">
        <is>
          <t>ADESIVO PLASTICO PARA PVC, FRASCO COM *850* GR</t>
        </is>
      </c>
      <c r="C2005" s="22" t="inlineStr">
        <is>
          <t>SINAPI</t>
        </is>
      </c>
      <c r="D2005" s="22" t="inlineStr">
        <is>
          <t>UN</t>
        </is>
      </c>
      <c r="E2005" s="63" t="n">
        <v>0.0167</v>
      </c>
      <c r="F2005" s="64">
        <f>ROUND(M2005*FATOR, 2)</f>
        <v/>
      </c>
      <c r="G2005" s="64">
        <f>TRUNC(TRUNC(E2005,8)*F2005,2)</f>
        <v/>
      </c>
      <c r="L2005" t="n">
        <v>0.0167</v>
      </c>
      <c r="M2005" t="n">
        <v>61.86</v>
      </c>
      <c r="N2005">
        <f>(M2005-F2005)</f>
        <v/>
      </c>
    </row>
    <row r="2006" ht="15" customHeight="1">
      <c r="A2006" s="22" t="inlineStr">
        <is>
          <t>00038383</t>
        </is>
      </c>
      <c r="B2006" s="23" t="inlineStr">
        <is>
          <t>LIXA D'AGUA EM FOLHA, COR PRETA, GRAO 100</t>
        </is>
      </c>
      <c r="C2006" s="22" t="inlineStr">
        <is>
          <t>SINAPI</t>
        </is>
      </c>
      <c r="D2006" s="22" t="inlineStr">
        <is>
          <t>UN</t>
        </is>
      </c>
      <c r="E2006" s="63" t="n">
        <v>0.046</v>
      </c>
      <c r="F2006" s="64">
        <f>ROUND(M2006*FATOR, 2)</f>
        <v/>
      </c>
      <c r="G2006" s="64">
        <f>TRUNC(TRUNC(E2006,8)*F2006,2)</f>
        <v/>
      </c>
      <c r="L2006" t="n">
        <v>0.046</v>
      </c>
      <c r="M2006" t="n">
        <v>1.65</v>
      </c>
      <c r="N2006">
        <f>(M2006-F2006)</f>
        <v/>
      </c>
    </row>
    <row r="2007" ht="21" customHeight="1">
      <c r="A2007" s="22" t="inlineStr">
        <is>
          <t>00003898</t>
        </is>
      </c>
      <c r="B2007" s="23" t="inlineStr">
        <is>
          <t>LUVA SIMPLES, PVC, SOLDAVEL, DN 75 MM, SERIE NORMAL, PARA ESGOTO PREDIAL</t>
        </is>
      </c>
      <c r="C2007" s="22" t="inlineStr">
        <is>
          <t>SINAPI</t>
        </is>
      </c>
      <c r="D2007" s="22" t="inlineStr">
        <is>
          <t>UN</t>
        </is>
      </c>
      <c r="E2007" s="63" t="n">
        <v>1</v>
      </c>
      <c r="F2007" s="64">
        <f>ROUND(M2007*FATOR, 2)</f>
        <v/>
      </c>
      <c r="G2007" s="64">
        <f>TRUNC(TRUNC(E2007,8)*F2007,2)</f>
        <v/>
      </c>
      <c r="L2007" t="n">
        <v>1</v>
      </c>
      <c r="M2007" t="n">
        <v>6.75</v>
      </c>
      <c r="N2007">
        <f>(M2007-F2007)</f>
        <v/>
      </c>
    </row>
    <row r="2008" ht="21" customHeight="1">
      <c r="A2008" s="22" t="inlineStr">
        <is>
          <t>00020083</t>
        </is>
      </c>
      <c r="B2008" s="23" t="inlineStr">
        <is>
          <t>SOLUCAO PREPARADORA / LIMPADORA PARA PVC, FRASCO COM 1000 CM3</t>
        </is>
      </c>
      <c r="C2008" s="22" t="inlineStr">
        <is>
          <t>SINAPI</t>
        </is>
      </c>
      <c r="D2008" s="22" t="inlineStr">
        <is>
          <t>UN</t>
        </is>
      </c>
      <c r="E2008" s="63" t="n">
        <v>0.026</v>
      </c>
      <c r="F2008" s="64">
        <f>ROUND(M2008*FATOR, 2)</f>
        <v/>
      </c>
      <c r="G2008" s="64">
        <f>TRUNC(TRUNC(E2008,8)*F2008,2)</f>
        <v/>
      </c>
      <c r="L2008" t="n">
        <v>0.026</v>
      </c>
      <c r="M2008" t="n">
        <v>70.08</v>
      </c>
      <c r="N2008">
        <f>(M2008-F2008)</f>
        <v/>
      </c>
    </row>
    <row r="2009" ht="15" customHeight="1">
      <c r="A2009" s="2" t="inlineStr"/>
      <c r="B2009" s="2" t="inlineStr"/>
      <c r="C2009" s="2" t="inlineStr"/>
      <c r="D2009" s="2" t="inlineStr"/>
      <c r="E2009" s="26" t="inlineStr">
        <is>
          <t>TOTAL Material:</t>
        </is>
      </c>
      <c r="F2009" s="56" t="n"/>
      <c r="G2009" s="65">
        <f>SUM(G2005:G2008)</f>
        <v/>
      </c>
    </row>
    <row r="2010" ht="15" customHeight="1">
      <c r="A2010" s="20" t="inlineStr">
        <is>
          <t>Mão de Obra com Encargos Complementares</t>
        </is>
      </c>
      <c r="B2010" s="56" t="n"/>
      <c r="C2010" s="21" t="inlineStr">
        <is>
          <t>FONTE</t>
        </is>
      </c>
      <c r="D2010" s="21" t="inlineStr">
        <is>
          <t>UNID</t>
        </is>
      </c>
      <c r="E2010" s="21" t="inlineStr">
        <is>
          <t>COEFICIENTE</t>
        </is>
      </c>
      <c r="F2010" s="21" t="inlineStr">
        <is>
          <t>PREÇO UNITÁRIO</t>
        </is>
      </c>
      <c r="G2010" s="21" t="inlineStr">
        <is>
          <t>TOTAL</t>
        </is>
      </c>
    </row>
    <row r="2011" ht="21" customHeight="1">
      <c r="A2011" s="22" t="inlineStr">
        <is>
          <t>88248</t>
        </is>
      </c>
      <c r="B2011" s="23" t="inlineStr">
        <is>
          <t>AUXILIAR DE ENCANADOR OU BOMBEIRO HIDRÁULICO COM ENCARGOS COMPLEMENTARES</t>
        </is>
      </c>
      <c r="C2011" s="22" t="inlineStr">
        <is>
          <t>SINAPI</t>
        </is>
      </c>
      <c r="D2011" s="22" t="inlineStr">
        <is>
          <t>H</t>
        </is>
      </c>
      <c r="E2011" s="63">
        <f>L2011*FATOR</f>
        <v/>
      </c>
      <c r="F2011" s="64">
        <f>'COMPOSICOES AUXILIARES'!G524</f>
        <v/>
      </c>
      <c r="G2011" s="64">
        <f>TRUNC(TRUNC(E2011,8)*F2011,2)</f>
        <v/>
      </c>
      <c r="L2011" t="n">
        <v>0.1102</v>
      </c>
      <c r="M2011" t="n">
        <v>24.23</v>
      </c>
      <c r="N2011">
        <f>(M2011-F2011)</f>
        <v/>
      </c>
    </row>
    <row r="2012" ht="21" customHeight="1">
      <c r="A2012" s="22" t="inlineStr">
        <is>
          <t>88267</t>
        </is>
      </c>
      <c r="B2012" s="23" t="inlineStr">
        <is>
          <t>ENCANADOR OU BOMBEIRO HIDRÁULICO COM ENCARGOS COMPLEMENTARES</t>
        </is>
      </c>
      <c r="C2012" s="22" t="inlineStr">
        <is>
          <t>SINAPI</t>
        </is>
      </c>
      <c r="D2012" s="22" t="inlineStr">
        <is>
          <t>H</t>
        </is>
      </c>
      <c r="E2012" s="63">
        <f>L2012*FATOR</f>
        <v/>
      </c>
      <c r="F2012" s="64">
        <f>'COMPOSICOES AUXILIARES'!G524</f>
        <v/>
      </c>
      <c r="G2012" s="64">
        <f>TRUNC(TRUNC(E2012,8)*F2012,2)</f>
        <v/>
      </c>
      <c r="L2012" t="n">
        <v>0.1102</v>
      </c>
      <c r="M2012" t="n">
        <v>29.86</v>
      </c>
      <c r="N2012">
        <f>(M2012-F2012)</f>
        <v/>
      </c>
    </row>
    <row r="2013" ht="18" customHeight="1">
      <c r="A2013" s="2" t="inlineStr"/>
      <c r="B2013" s="2" t="inlineStr"/>
      <c r="C2013" s="2" t="inlineStr"/>
      <c r="D2013" s="2" t="inlineStr"/>
      <c r="E2013" s="26" t="inlineStr">
        <is>
          <t>TOTAL Mão de Obra com Encargos Complementares:</t>
        </is>
      </c>
      <c r="F2013" s="56" t="n"/>
      <c r="G2013" s="65">
        <f>SUM(G2011:G2012)</f>
        <v/>
      </c>
    </row>
    <row r="2014" ht="15" customHeight="1">
      <c r="A2014" s="2" t="inlineStr"/>
      <c r="B2014" s="2" t="inlineStr"/>
      <c r="C2014" s="2" t="inlineStr"/>
      <c r="D2014" s="2" t="inlineStr"/>
      <c r="E2014" s="28" t="inlineStr">
        <is>
          <t>VALOR:</t>
        </is>
      </c>
      <c r="F2014" s="56" t="n"/>
      <c r="G2014" s="66">
        <f>SUM(G2009,G2013)</f>
        <v/>
      </c>
    </row>
    <row r="2015" ht="15" customHeight="1">
      <c r="A2015" s="2" t="inlineStr"/>
      <c r="B2015" s="2" t="inlineStr"/>
      <c r="C2015" s="2" t="inlineStr"/>
      <c r="D2015" s="2" t="inlineStr"/>
      <c r="E2015" s="28" t="inlineStr">
        <is>
          <t>VALOR BDI (23.08%):</t>
        </is>
      </c>
      <c r="F2015" s="56" t="n"/>
      <c r="G2015" s="66">
        <f>ROUNDDOWN(G2014*BDI,2)</f>
        <v/>
      </c>
    </row>
    <row r="2016" ht="15" customHeight="1">
      <c r="A2016" s="2" t="inlineStr"/>
      <c r="B2016" s="2" t="inlineStr"/>
      <c r="C2016" s="2" t="inlineStr"/>
      <c r="D2016" s="2" t="inlineStr"/>
      <c r="E2016" s="28" t="inlineStr">
        <is>
          <t>VALOR COM BDI:</t>
        </is>
      </c>
      <c r="F2016" s="56" t="n"/>
      <c r="G2016" s="66">
        <f>G2015 + G2014</f>
        <v/>
      </c>
    </row>
    <row r="2017" ht="10" customHeight="1">
      <c r="A2017" s="2" t="inlineStr"/>
      <c r="B2017" s="2" t="inlineStr"/>
      <c r="C2017" s="2" t="inlineStr"/>
      <c r="D2017" s="2" t="inlineStr"/>
      <c r="E2017" s="18" t="inlineStr"/>
    </row>
    <row r="2018" ht="20" customHeight="1">
      <c r="A2018" s="19" t="inlineStr">
        <is>
          <t>8.2.5.3. ​89778​ LUVA SIMPLES, PVC, SERIE NORMAL, ESGOTO PREDIAL, DN 100 MM, JUNTA ELÁSTICA, FORNECIDO E INSTALADO EM RAMAL DE DESCARGA OU RAMAL DEESGOTO SANITÁRIO. AF_08/2022​ (UN)</t>
        </is>
      </c>
      <c r="B2018" s="55" t="n"/>
      <c r="C2018" s="55" t="n"/>
      <c r="D2018" s="55" t="n"/>
      <c r="E2018" s="55" t="n"/>
      <c r="F2018" s="55" t="n"/>
      <c r="G2018" s="56" t="n"/>
    </row>
    <row r="2019" ht="15" customHeight="1">
      <c r="A2019" s="20" t="inlineStr">
        <is>
          <t>Material</t>
        </is>
      </c>
      <c r="B2019" s="56" t="n"/>
      <c r="C2019" s="21" t="inlineStr">
        <is>
          <t>FONTE</t>
        </is>
      </c>
      <c r="D2019" s="21" t="inlineStr">
        <is>
          <t>UNID</t>
        </is>
      </c>
      <c r="E2019" s="21" t="inlineStr">
        <is>
          <t>COEFICIENTE</t>
        </is>
      </c>
      <c r="F2019" s="21" t="inlineStr">
        <is>
          <t>PREÇO UNITÁRIO</t>
        </is>
      </c>
      <c r="G2019" s="21" t="inlineStr">
        <is>
          <t>TOTAL</t>
        </is>
      </c>
    </row>
    <row r="2020" ht="15" customHeight="1">
      <c r="A2020" s="22" t="inlineStr">
        <is>
          <t>00000122</t>
        </is>
      </c>
      <c r="B2020" s="23" t="inlineStr">
        <is>
          <t>ADESIVO PLASTICO PARA PVC, FRASCO COM *850* GR</t>
        </is>
      </c>
      <c r="C2020" s="22" t="inlineStr">
        <is>
          <t>SINAPI</t>
        </is>
      </c>
      <c r="D2020" s="22" t="inlineStr">
        <is>
          <t>UN</t>
        </is>
      </c>
      <c r="E2020" s="63" t="n">
        <v>0.0245</v>
      </c>
      <c r="F2020" s="64">
        <f>ROUND(M2020*FATOR, 2)</f>
        <v/>
      </c>
      <c r="G2020" s="64">
        <f>TRUNC(TRUNC(E2020,8)*F2020,2)</f>
        <v/>
      </c>
      <c r="L2020" t="n">
        <v>0.0245</v>
      </c>
      <c r="M2020" t="n">
        <v>61.86</v>
      </c>
      <c r="N2020">
        <f>(M2020-F2020)</f>
        <v/>
      </c>
    </row>
    <row r="2021" ht="15" customHeight="1">
      <c r="A2021" s="22" t="inlineStr">
        <is>
          <t>00038383</t>
        </is>
      </c>
      <c r="B2021" s="23" t="inlineStr">
        <is>
          <t>LIXA D'AGUA EM FOLHA, COR PRETA, GRAO 100</t>
        </is>
      </c>
      <c r="C2021" s="22" t="inlineStr">
        <is>
          <t>SINAPI</t>
        </is>
      </c>
      <c r="D2021" s="22" t="inlineStr">
        <is>
          <t>UN</t>
        </is>
      </c>
      <c r="E2021" s="63" t="n">
        <v>0.0054</v>
      </c>
      <c r="F2021" s="64">
        <f>ROUND(M2021*FATOR, 2)</f>
        <v/>
      </c>
      <c r="G2021" s="64">
        <f>TRUNC(TRUNC(E2021,8)*F2021,2)</f>
        <v/>
      </c>
      <c r="L2021" t="n">
        <v>0.0054</v>
      </c>
      <c r="M2021" t="n">
        <v>1.65</v>
      </c>
      <c r="N2021">
        <f>(M2021-F2021)</f>
        <v/>
      </c>
    </row>
    <row r="2022" ht="21" customHeight="1">
      <c r="A2022" s="22" t="inlineStr">
        <is>
          <t>00003899</t>
        </is>
      </c>
      <c r="B2022" s="23" t="inlineStr">
        <is>
          <t>LUVA SIMPLES, PVC, SOLDAVEL, DN 100 MM, SERIE NORMAL, PARA ESGOTO PREDIAL</t>
        </is>
      </c>
      <c r="C2022" s="22" t="inlineStr">
        <is>
          <t>SINAPI</t>
        </is>
      </c>
      <c r="D2022" s="22" t="inlineStr">
        <is>
          <t>UN</t>
        </is>
      </c>
      <c r="E2022" s="63" t="n">
        <v>1</v>
      </c>
      <c r="F2022" s="64">
        <f>ROUND(M2022*FATOR, 2)</f>
        <v/>
      </c>
      <c r="G2022" s="64">
        <f>TRUNC(TRUNC(E2022,8)*F2022,2)</f>
        <v/>
      </c>
      <c r="L2022" t="n">
        <v>1</v>
      </c>
      <c r="M2022" t="n">
        <v>6.59</v>
      </c>
      <c r="N2022">
        <f>(M2022-F2022)</f>
        <v/>
      </c>
    </row>
    <row r="2023" ht="21" customHeight="1">
      <c r="A2023" s="22" t="inlineStr">
        <is>
          <t>00020083</t>
        </is>
      </c>
      <c r="B2023" s="23" t="inlineStr">
        <is>
          <t>SOLUCAO PREPARADORA / LIMPADORA PARA PVC, FRASCO COM 1000 CM3</t>
        </is>
      </c>
      <c r="C2023" s="22" t="inlineStr">
        <is>
          <t>SINAPI</t>
        </is>
      </c>
      <c r="D2023" s="22" t="inlineStr">
        <is>
          <t>UN</t>
        </is>
      </c>
      <c r="E2023" s="63" t="n">
        <v>0.04</v>
      </c>
      <c r="F2023" s="64">
        <f>ROUND(M2023*FATOR, 2)</f>
        <v/>
      </c>
      <c r="G2023" s="64">
        <f>TRUNC(TRUNC(E2023,8)*F2023,2)</f>
        <v/>
      </c>
      <c r="L2023" t="n">
        <v>0.04</v>
      </c>
      <c r="M2023" t="n">
        <v>70.08</v>
      </c>
      <c r="N2023">
        <f>(M2023-F2023)</f>
        <v/>
      </c>
    </row>
    <row r="2024" ht="15" customHeight="1">
      <c r="A2024" s="2" t="inlineStr"/>
      <c r="B2024" s="2" t="inlineStr"/>
      <c r="C2024" s="2" t="inlineStr"/>
      <c r="D2024" s="2" t="inlineStr"/>
      <c r="E2024" s="26" t="inlineStr">
        <is>
          <t>TOTAL Material:</t>
        </is>
      </c>
      <c r="F2024" s="56" t="n"/>
      <c r="G2024" s="65">
        <f>SUM(G2020:G2023)</f>
        <v/>
      </c>
    </row>
    <row r="2025" ht="15" customHeight="1">
      <c r="A2025" s="20" t="inlineStr">
        <is>
          <t>Mão de Obra com Encargos Complementares</t>
        </is>
      </c>
      <c r="B2025" s="56" t="n"/>
      <c r="C2025" s="21" t="inlineStr">
        <is>
          <t>FONTE</t>
        </is>
      </c>
      <c r="D2025" s="21" t="inlineStr">
        <is>
          <t>UNID</t>
        </is>
      </c>
      <c r="E2025" s="21" t="inlineStr">
        <is>
          <t>COEFICIENTE</t>
        </is>
      </c>
      <c r="F2025" s="21" t="inlineStr">
        <is>
          <t>PREÇO UNITÁRIO</t>
        </is>
      </c>
      <c r="G2025" s="21" t="inlineStr">
        <is>
          <t>TOTAL</t>
        </is>
      </c>
    </row>
    <row r="2026" ht="21" customHeight="1">
      <c r="A2026" s="22" t="inlineStr">
        <is>
          <t>88248</t>
        </is>
      </c>
      <c r="B2026" s="23" t="inlineStr">
        <is>
          <t>AUXILIAR DE ENCANADOR OU BOMBEIRO HIDRÁULICO COM ENCARGOS COMPLEMENTARES</t>
        </is>
      </c>
      <c r="C2026" s="22" t="inlineStr">
        <is>
          <t>SINAPI</t>
        </is>
      </c>
      <c r="D2026" s="22" t="inlineStr">
        <is>
          <t>H</t>
        </is>
      </c>
      <c r="E2026" s="63">
        <f>L2026*FATOR</f>
        <v/>
      </c>
      <c r="F2026" s="64">
        <f>'COMPOSICOES AUXILIARES'!G524</f>
        <v/>
      </c>
      <c r="G2026" s="64">
        <f>TRUNC(TRUNC(E2026,8)*F2026,2)</f>
        <v/>
      </c>
      <c r="L2026" t="n">
        <v>0.1284</v>
      </c>
      <c r="M2026" t="n">
        <v>24.23</v>
      </c>
      <c r="N2026">
        <f>(M2026-F2026)</f>
        <v/>
      </c>
    </row>
    <row r="2027" ht="21" customHeight="1">
      <c r="A2027" s="22" t="inlineStr">
        <is>
          <t>88267</t>
        </is>
      </c>
      <c r="B2027" s="23" t="inlineStr">
        <is>
          <t>ENCANADOR OU BOMBEIRO HIDRÁULICO COM ENCARGOS COMPLEMENTARES</t>
        </is>
      </c>
      <c r="C2027" s="22" t="inlineStr">
        <is>
          <t>SINAPI</t>
        </is>
      </c>
      <c r="D2027" s="22" t="inlineStr">
        <is>
          <t>H</t>
        </is>
      </c>
      <c r="E2027" s="63">
        <f>L2027*FATOR</f>
        <v/>
      </c>
      <c r="F2027" s="64">
        <f>'COMPOSICOES AUXILIARES'!G524</f>
        <v/>
      </c>
      <c r="G2027" s="64">
        <f>TRUNC(TRUNC(E2027,8)*F2027,2)</f>
        <v/>
      </c>
      <c r="L2027" t="n">
        <v>0.1284</v>
      </c>
      <c r="M2027" t="n">
        <v>29.86</v>
      </c>
      <c r="N2027">
        <f>(M2027-F2027)</f>
        <v/>
      </c>
    </row>
    <row r="2028" ht="18" customHeight="1">
      <c r="A2028" s="2" t="inlineStr"/>
      <c r="B2028" s="2" t="inlineStr"/>
      <c r="C2028" s="2" t="inlineStr"/>
      <c r="D2028" s="2" t="inlineStr"/>
      <c r="E2028" s="26" t="inlineStr">
        <is>
          <t>TOTAL Mão de Obra com Encargos Complementares:</t>
        </is>
      </c>
      <c r="F2028" s="56" t="n"/>
      <c r="G2028" s="65">
        <f>SUM(G2026:G2027)</f>
        <v/>
      </c>
    </row>
    <row r="2029" ht="15" customHeight="1">
      <c r="A2029" s="2" t="inlineStr"/>
      <c r="B2029" s="2" t="inlineStr"/>
      <c r="C2029" s="2" t="inlineStr"/>
      <c r="D2029" s="2" t="inlineStr"/>
      <c r="E2029" s="28" t="inlineStr">
        <is>
          <t>VALOR:</t>
        </is>
      </c>
      <c r="F2029" s="56" t="n"/>
      <c r="G2029" s="66">
        <f>SUM(G2024,G2028)</f>
        <v/>
      </c>
    </row>
    <row r="2030" ht="15" customHeight="1">
      <c r="A2030" s="2" t="inlineStr"/>
      <c r="B2030" s="2" t="inlineStr"/>
      <c r="C2030" s="2" t="inlineStr"/>
      <c r="D2030" s="2" t="inlineStr"/>
      <c r="E2030" s="28" t="inlineStr">
        <is>
          <t>VALOR BDI (23.08%):</t>
        </is>
      </c>
      <c r="F2030" s="56" t="n"/>
      <c r="G2030" s="66">
        <f>ROUNDDOWN(G2029*BDI,2)</f>
        <v/>
      </c>
    </row>
    <row r="2031" ht="15" customHeight="1">
      <c r="A2031" s="2" t="inlineStr"/>
      <c r="B2031" s="2" t="inlineStr"/>
      <c r="C2031" s="2" t="inlineStr"/>
      <c r="D2031" s="2" t="inlineStr"/>
      <c r="E2031" s="28" t="inlineStr">
        <is>
          <t>VALOR COM BDI:</t>
        </is>
      </c>
      <c r="F2031" s="56" t="n"/>
      <c r="G2031" s="66">
        <f>G2030 + G2029</f>
        <v/>
      </c>
    </row>
    <row r="2032" ht="10" customHeight="1">
      <c r="A2032" s="2" t="inlineStr"/>
      <c r="B2032" s="2" t="inlineStr"/>
      <c r="C2032" s="2" t="inlineStr"/>
      <c r="D2032" s="2" t="inlineStr"/>
      <c r="E2032" s="18" t="inlineStr"/>
    </row>
    <row r="2033" ht="20" customHeight="1">
      <c r="A2033" s="19" t="inlineStr">
        <is>
          <t>8.2.6.1. ​104348​ TERMINAL DE VENTILAÇÃO, PVC, SÉRIE NORMAL, ESGOTO PREDIAL, DN 50 MM, JUNTA SOLDÁVEL, FORNECIDO E INSTALADO EM PRUMADA DE ESGOTOSANITÁRIO OU VENTILAÇÃO. AF_08/2022​ (UN)</t>
        </is>
      </c>
      <c r="B2033" s="55" t="n"/>
      <c r="C2033" s="55" t="n"/>
      <c r="D2033" s="55" t="n"/>
      <c r="E2033" s="55" t="n"/>
      <c r="F2033" s="55" t="n"/>
      <c r="G2033" s="56" t="n"/>
    </row>
    <row r="2034" ht="15" customHeight="1">
      <c r="A2034" s="20" t="inlineStr">
        <is>
          <t>Material</t>
        </is>
      </c>
      <c r="B2034" s="56" t="n"/>
      <c r="C2034" s="21" t="inlineStr">
        <is>
          <t>FONTE</t>
        </is>
      </c>
      <c r="D2034" s="21" t="inlineStr">
        <is>
          <t>UNID</t>
        </is>
      </c>
      <c r="E2034" s="21" t="inlineStr">
        <is>
          <t>COEFICIENTE</t>
        </is>
      </c>
      <c r="F2034" s="21" t="inlineStr">
        <is>
          <t>PREÇO UNITÁRIO</t>
        </is>
      </c>
      <c r="G2034" s="21" t="inlineStr">
        <is>
          <t>TOTAL</t>
        </is>
      </c>
    </row>
    <row r="2035" ht="15" customHeight="1">
      <c r="A2035" s="22" t="inlineStr">
        <is>
          <t>00000122</t>
        </is>
      </c>
      <c r="B2035" s="23" t="inlineStr">
        <is>
          <t>ADESIVO PLASTICO PARA PVC, FRASCO COM *850* GR</t>
        </is>
      </c>
      <c r="C2035" s="22" t="inlineStr">
        <is>
          <t>SINAPI</t>
        </is>
      </c>
      <c r="D2035" s="22" t="inlineStr">
        <is>
          <t>UN</t>
        </is>
      </c>
      <c r="E2035" s="63" t="n">
        <v>0.0073</v>
      </c>
      <c r="F2035" s="64">
        <f>ROUND(M2035*FATOR, 2)</f>
        <v/>
      </c>
      <c r="G2035" s="64">
        <f>TRUNC(TRUNC(E2035,8)*F2035,2)</f>
        <v/>
      </c>
      <c r="L2035" t="n">
        <v>0.0073</v>
      </c>
      <c r="M2035" t="n">
        <v>61.86</v>
      </c>
      <c r="N2035">
        <f>(M2035-F2035)</f>
        <v/>
      </c>
    </row>
    <row r="2036" ht="15" customHeight="1">
      <c r="A2036" s="22" t="inlineStr">
        <is>
          <t>00038383</t>
        </is>
      </c>
      <c r="B2036" s="23" t="inlineStr">
        <is>
          <t>LIXA D'AGUA EM FOLHA, COR PRETA, GRAO 100</t>
        </is>
      </c>
      <c r="C2036" s="22" t="inlineStr">
        <is>
          <t>SINAPI</t>
        </is>
      </c>
      <c r="D2036" s="22" t="inlineStr">
        <is>
          <t>UN</t>
        </is>
      </c>
      <c r="E2036" s="63" t="n">
        <v>0.008</v>
      </c>
      <c r="F2036" s="64">
        <f>ROUND(M2036*FATOR, 2)</f>
        <v/>
      </c>
      <c r="G2036" s="64">
        <f>TRUNC(TRUNC(E2036,8)*F2036,2)</f>
        <v/>
      </c>
      <c r="L2036" t="n">
        <v>0.008</v>
      </c>
      <c r="M2036" t="n">
        <v>1.65</v>
      </c>
      <c r="N2036">
        <f>(M2036-F2036)</f>
        <v/>
      </c>
    </row>
    <row r="2037" ht="21" customHeight="1">
      <c r="A2037" s="22" t="inlineStr">
        <is>
          <t>00020083</t>
        </is>
      </c>
      <c r="B2037" s="23" t="inlineStr">
        <is>
          <t>SOLUCAO PREPARADORA / LIMPADORA PARA PVC, FRASCO COM 1000 CM3</t>
        </is>
      </c>
      <c r="C2037" s="22" t="inlineStr">
        <is>
          <t>SINAPI</t>
        </is>
      </c>
      <c r="D2037" s="22" t="inlineStr">
        <is>
          <t>UN</t>
        </is>
      </c>
      <c r="E2037" s="63" t="n">
        <v>0.011</v>
      </c>
      <c r="F2037" s="64">
        <f>ROUND(M2037*FATOR, 2)</f>
        <v/>
      </c>
      <c r="G2037" s="64">
        <f>TRUNC(TRUNC(E2037,8)*F2037,2)</f>
        <v/>
      </c>
      <c r="L2037" t="n">
        <v>0.011</v>
      </c>
      <c r="M2037" t="n">
        <v>70.08</v>
      </c>
      <c r="N2037">
        <f>(M2037-F2037)</f>
        <v/>
      </c>
    </row>
    <row r="2038" ht="21" customHeight="1">
      <c r="A2038" s="22" t="inlineStr">
        <is>
          <t>00039319</t>
        </is>
      </c>
      <c r="B2038" s="23" t="inlineStr">
        <is>
          <t>TERMINAL DE VENTILACAO, 50 MM, SERIE NORMAL, ESGOTO PREDIAL</t>
        </is>
      </c>
      <c r="C2038" s="22" t="inlineStr">
        <is>
          <t>SINAPI</t>
        </is>
      </c>
      <c r="D2038" s="22" t="inlineStr">
        <is>
          <t>UN</t>
        </is>
      </c>
      <c r="E2038" s="63" t="n">
        <v>1</v>
      </c>
      <c r="F2038" s="64">
        <f>ROUND(M2038*FATOR, 2)</f>
        <v/>
      </c>
      <c r="G2038" s="64">
        <f>TRUNC(TRUNC(E2038,8)*F2038,2)</f>
        <v/>
      </c>
      <c r="L2038" t="n">
        <v>1</v>
      </c>
      <c r="M2038" t="n">
        <v>9.18</v>
      </c>
      <c r="N2038">
        <f>(M2038-F2038)</f>
        <v/>
      </c>
    </row>
    <row r="2039" ht="15" customHeight="1">
      <c r="A2039" s="2" t="inlineStr"/>
      <c r="B2039" s="2" t="inlineStr"/>
      <c r="C2039" s="2" t="inlineStr"/>
      <c r="D2039" s="2" t="inlineStr"/>
      <c r="E2039" s="26" t="inlineStr">
        <is>
          <t>TOTAL Material:</t>
        </is>
      </c>
      <c r="F2039" s="56" t="n"/>
      <c r="G2039" s="65">
        <f>SUM(G2035:G2038)</f>
        <v/>
      </c>
    </row>
    <row r="2040" ht="15" customHeight="1">
      <c r="A2040" s="20" t="inlineStr">
        <is>
          <t>Mão de Obra com Encargos Complementares</t>
        </is>
      </c>
      <c r="B2040" s="56" t="n"/>
      <c r="C2040" s="21" t="inlineStr">
        <is>
          <t>FONTE</t>
        </is>
      </c>
      <c r="D2040" s="21" t="inlineStr">
        <is>
          <t>UNID</t>
        </is>
      </c>
      <c r="E2040" s="21" t="inlineStr">
        <is>
          <t>COEFICIENTE</t>
        </is>
      </c>
      <c r="F2040" s="21" t="inlineStr">
        <is>
          <t>PREÇO UNITÁRIO</t>
        </is>
      </c>
      <c r="G2040" s="21" t="inlineStr">
        <is>
          <t>TOTAL</t>
        </is>
      </c>
    </row>
    <row r="2041" ht="21" customHeight="1">
      <c r="A2041" s="22" t="inlineStr">
        <is>
          <t>88248</t>
        </is>
      </c>
      <c r="B2041" s="23" t="inlineStr">
        <is>
          <t>AUXILIAR DE ENCANADOR OU BOMBEIRO HIDRÁULICO COM ENCARGOS COMPLEMENTARES</t>
        </is>
      </c>
      <c r="C2041" s="22" t="inlineStr">
        <is>
          <t>SINAPI</t>
        </is>
      </c>
      <c r="D2041" s="22" t="inlineStr">
        <is>
          <t>H</t>
        </is>
      </c>
      <c r="E2041" s="63">
        <f>L2041*FATOR</f>
        <v/>
      </c>
      <c r="F2041" s="64">
        <f>'COMPOSICOES AUXILIARES'!G524</f>
        <v/>
      </c>
      <c r="G2041" s="64">
        <f>TRUNC(TRUNC(E2041,8)*F2041,2)</f>
        <v/>
      </c>
      <c r="L2041" t="n">
        <v>0.0114</v>
      </c>
      <c r="M2041" t="n">
        <v>24.23</v>
      </c>
      <c r="N2041">
        <f>(M2041-F2041)</f>
        <v/>
      </c>
    </row>
    <row r="2042" ht="21" customHeight="1">
      <c r="A2042" s="22" t="inlineStr">
        <is>
          <t>88267</t>
        </is>
      </c>
      <c r="B2042" s="23" t="inlineStr">
        <is>
          <t>ENCANADOR OU BOMBEIRO HIDRÁULICO COM ENCARGOS COMPLEMENTARES</t>
        </is>
      </c>
      <c r="C2042" s="22" t="inlineStr">
        <is>
          <t>SINAPI</t>
        </is>
      </c>
      <c r="D2042" s="22" t="inlineStr">
        <is>
          <t>H</t>
        </is>
      </c>
      <c r="E2042" s="63">
        <f>L2042*FATOR</f>
        <v/>
      </c>
      <c r="F2042" s="64">
        <f>'COMPOSICOES AUXILIARES'!G524</f>
        <v/>
      </c>
      <c r="G2042" s="64">
        <f>TRUNC(TRUNC(E2042,8)*F2042,2)</f>
        <v/>
      </c>
      <c r="L2042" t="n">
        <v>0.0114</v>
      </c>
      <c r="M2042" t="n">
        <v>29.86</v>
      </c>
      <c r="N2042">
        <f>(M2042-F2042)</f>
        <v/>
      </c>
    </row>
    <row r="2043" ht="18" customHeight="1">
      <c r="A2043" s="2" t="inlineStr"/>
      <c r="B2043" s="2" t="inlineStr"/>
      <c r="C2043" s="2" t="inlineStr"/>
      <c r="D2043" s="2" t="inlineStr"/>
      <c r="E2043" s="26" t="inlineStr">
        <is>
          <t>TOTAL Mão de Obra com Encargos Complementares:</t>
        </is>
      </c>
      <c r="F2043" s="56" t="n"/>
      <c r="G2043" s="65">
        <f>SUM(G2041:G2042)</f>
        <v/>
      </c>
    </row>
    <row r="2044" ht="15" customHeight="1">
      <c r="A2044" s="2" t="inlineStr"/>
      <c r="B2044" s="2" t="inlineStr"/>
      <c r="C2044" s="2" t="inlineStr"/>
      <c r="D2044" s="2" t="inlineStr"/>
      <c r="E2044" s="28" t="inlineStr">
        <is>
          <t>VALOR:</t>
        </is>
      </c>
      <c r="F2044" s="56" t="n"/>
      <c r="G2044" s="66">
        <f>SUM(G2043,G2039)</f>
        <v/>
      </c>
    </row>
    <row r="2045" ht="15" customHeight="1">
      <c r="A2045" s="2" t="inlineStr"/>
      <c r="B2045" s="2" t="inlineStr"/>
      <c r="C2045" s="2" t="inlineStr"/>
      <c r="D2045" s="2" t="inlineStr"/>
      <c r="E2045" s="28" t="inlineStr">
        <is>
          <t>VALOR BDI (23.08%):</t>
        </is>
      </c>
      <c r="F2045" s="56" t="n"/>
      <c r="G2045" s="66">
        <f>ROUNDDOWN(G2044*BDI,2)</f>
        <v/>
      </c>
    </row>
    <row r="2046" ht="15" customHeight="1">
      <c r="A2046" s="2" t="inlineStr"/>
      <c r="B2046" s="2" t="inlineStr"/>
      <c r="C2046" s="2" t="inlineStr"/>
      <c r="D2046" s="2" t="inlineStr"/>
      <c r="E2046" s="28" t="inlineStr">
        <is>
          <t>VALOR COM BDI:</t>
        </is>
      </c>
      <c r="F2046" s="56" t="n"/>
      <c r="G2046" s="66">
        <f>G2045 + G2044</f>
        <v/>
      </c>
    </row>
    <row r="2047" ht="10" customHeight="1">
      <c r="A2047" s="2" t="inlineStr"/>
      <c r="B2047" s="2" t="inlineStr"/>
      <c r="C2047" s="2" t="inlineStr"/>
      <c r="D2047" s="2" t="inlineStr"/>
      <c r="E2047" s="18" t="inlineStr"/>
    </row>
    <row r="2048" ht="20" customHeight="1">
      <c r="A2048" s="19" t="inlineStr">
        <is>
          <t>8.2.6.2. ​104351​ TERMINAL DE VENTILAÇÃO, PVC, SÉRIE NORMAL, ESGOTO PREDIAL, DN 75 MM, JUNTA SOLDÁVEL, FORNECIDO E INSTALADO EM PRUMADA DE ESGOTOSANITÁRIO OU VENTILAÇÃO. AF_08/2022​ (UN)</t>
        </is>
      </c>
      <c r="B2048" s="55" t="n"/>
      <c r="C2048" s="55" t="n"/>
      <c r="D2048" s="55" t="n"/>
      <c r="E2048" s="55" t="n"/>
      <c r="F2048" s="55" t="n"/>
      <c r="G2048" s="56" t="n"/>
    </row>
    <row r="2049" ht="15" customHeight="1">
      <c r="A2049" s="20" t="inlineStr">
        <is>
          <t>Material</t>
        </is>
      </c>
      <c r="B2049" s="56" t="n"/>
      <c r="C2049" s="21" t="inlineStr">
        <is>
          <t>FONTE</t>
        </is>
      </c>
      <c r="D2049" s="21" t="inlineStr">
        <is>
          <t>UNID</t>
        </is>
      </c>
      <c r="E2049" s="21" t="inlineStr">
        <is>
          <t>COEFICIENTE</t>
        </is>
      </c>
      <c r="F2049" s="21" t="inlineStr">
        <is>
          <t>PREÇO UNITÁRIO</t>
        </is>
      </c>
      <c r="G2049" s="21" t="inlineStr">
        <is>
          <t>TOTAL</t>
        </is>
      </c>
    </row>
    <row r="2050" ht="15" customHeight="1">
      <c r="A2050" s="22" t="inlineStr">
        <is>
          <t>00000122</t>
        </is>
      </c>
      <c r="B2050" s="23" t="inlineStr">
        <is>
          <t>ADESIVO PLASTICO PARA PVC, FRASCO COM *850* GR</t>
        </is>
      </c>
      <c r="C2050" s="22" t="inlineStr">
        <is>
          <t>SINAPI</t>
        </is>
      </c>
      <c r="D2050" s="22" t="inlineStr">
        <is>
          <t>UN</t>
        </is>
      </c>
      <c r="E2050" s="63" t="n">
        <v>0.0167</v>
      </c>
      <c r="F2050" s="64">
        <f>ROUND(M2050*FATOR, 2)</f>
        <v/>
      </c>
      <c r="G2050" s="64">
        <f>TRUNC(TRUNC(E2050,8)*F2050,2)</f>
        <v/>
      </c>
      <c r="L2050" t="n">
        <v>0.0167</v>
      </c>
      <c r="M2050" t="n">
        <v>61.86</v>
      </c>
      <c r="N2050">
        <f>(M2050-F2050)</f>
        <v/>
      </c>
    </row>
    <row r="2051" ht="15" customHeight="1">
      <c r="A2051" s="22" t="inlineStr">
        <is>
          <t>00038383</t>
        </is>
      </c>
      <c r="B2051" s="23" t="inlineStr">
        <is>
          <t>LIXA D'AGUA EM FOLHA, COR PRETA, GRAO 100</t>
        </is>
      </c>
      <c r="C2051" s="22" t="inlineStr">
        <is>
          <t>SINAPI</t>
        </is>
      </c>
      <c r="D2051" s="22" t="inlineStr">
        <is>
          <t>UN</t>
        </is>
      </c>
      <c r="E2051" s="63" t="n">
        <v>0.031</v>
      </c>
      <c r="F2051" s="64">
        <f>ROUND(M2051*FATOR, 2)</f>
        <v/>
      </c>
      <c r="G2051" s="64">
        <f>TRUNC(TRUNC(E2051,8)*F2051,2)</f>
        <v/>
      </c>
      <c r="L2051" t="n">
        <v>0.031</v>
      </c>
      <c r="M2051" t="n">
        <v>1.65</v>
      </c>
      <c r="N2051">
        <f>(M2051-F2051)</f>
        <v/>
      </c>
    </row>
    <row r="2052" ht="21" customHeight="1">
      <c r="A2052" s="22" t="inlineStr">
        <is>
          <t>00020083</t>
        </is>
      </c>
      <c r="B2052" s="23" t="inlineStr">
        <is>
          <t>SOLUCAO PREPARADORA / LIMPADORA PARA PVC, FRASCO COM 1000 CM3</t>
        </is>
      </c>
      <c r="C2052" s="22" t="inlineStr">
        <is>
          <t>SINAPI</t>
        </is>
      </c>
      <c r="D2052" s="22" t="inlineStr">
        <is>
          <t>UN</t>
        </is>
      </c>
      <c r="E2052" s="63" t="n">
        <v>0.026</v>
      </c>
      <c r="F2052" s="64">
        <f>ROUND(M2052*FATOR, 2)</f>
        <v/>
      </c>
      <c r="G2052" s="64">
        <f>TRUNC(TRUNC(E2052,8)*F2052,2)</f>
        <v/>
      </c>
      <c r="L2052" t="n">
        <v>0.026</v>
      </c>
      <c r="M2052" t="n">
        <v>70.08</v>
      </c>
      <c r="N2052">
        <f>(M2052-F2052)</f>
        <v/>
      </c>
    </row>
    <row r="2053" ht="21" customHeight="1">
      <c r="A2053" s="22" t="inlineStr">
        <is>
          <t>00039320</t>
        </is>
      </c>
      <c r="B2053" s="23" t="inlineStr">
        <is>
          <t>TERMINAL DE VENTILACAO, 75 MM, SERIE NORMAL, ESGOTO PREDIAL</t>
        </is>
      </c>
      <c r="C2053" s="22" t="inlineStr">
        <is>
          <t>SINAPI</t>
        </is>
      </c>
      <c r="D2053" s="22" t="inlineStr">
        <is>
          <t>UN</t>
        </is>
      </c>
      <c r="E2053" s="63" t="n">
        <v>1</v>
      </c>
      <c r="F2053" s="64">
        <f>ROUND(M2053*FATOR, 2)</f>
        <v/>
      </c>
      <c r="G2053" s="64">
        <f>TRUNC(TRUNC(E2053,8)*F2053,2)</f>
        <v/>
      </c>
      <c r="L2053" t="n">
        <v>1</v>
      </c>
      <c r="M2053" t="n">
        <v>17.65</v>
      </c>
      <c r="N2053">
        <f>(M2053-F2053)</f>
        <v/>
      </c>
    </row>
    <row r="2054" ht="15" customHeight="1">
      <c r="A2054" s="2" t="inlineStr"/>
      <c r="B2054" s="2" t="inlineStr"/>
      <c r="C2054" s="2" t="inlineStr"/>
      <c r="D2054" s="2" t="inlineStr"/>
      <c r="E2054" s="26" t="inlineStr">
        <is>
          <t>TOTAL Material:</t>
        </is>
      </c>
      <c r="F2054" s="56" t="n"/>
      <c r="G2054" s="65">
        <f>SUM(G2050:G2053)</f>
        <v/>
      </c>
    </row>
    <row r="2055" ht="15" customHeight="1">
      <c r="A2055" s="20" t="inlineStr">
        <is>
          <t>Mão de Obra com Encargos Complementares</t>
        </is>
      </c>
      <c r="B2055" s="56" t="n"/>
      <c r="C2055" s="21" t="inlineStr">
        <is>
          <t>FONTE</t>
        </is>
      </c>
      <c r="D2055" s="21" t="inlineStr">
        <is>
          <t>UNID</t>
        </is>
      </c>
      <c r="E2055" s="21" t="inlineStr">
        <is>
          <t>COEFICIENTE</t>
        </is>
      </c>
      <c r="F2055" s="21" t="inlineStr">
        <is>
          <t>PREÇO UNITÁRIO</t>
        </is>
      </c>
      <c r="G2055" s="21" t="inlineStr">
        <is>
          <t>TOTAL</t>
        </is>
      </c>
    </row>
    <row r="2056" ht="21" customHeight="1">
      <c r="A2056" s="22" t="inlineStr">
        <is>
          <t>88248</t>
        </is>
      </c>
      <c r="B2056" s="23" t="inlineStr">
        <is>
          <t>AUXILIAR DE ENCANADOR OU BOMBEIRO HIDRÁULICO COM ENCARGOS COMPLEMENTARES</t>
        </is>
      </c>
      <c r="C2056" s="22" t="inlineStr">
        <is>
          <t>SINAPI</t>
        </is>
      </c>
      <c r="D2056" s="22" t="inlineStr">
        <is>
          <t>H</t>
        </is>
      </c>
      <c r="E2056" s="63">
        <f>L2056*FATOR</f>
        <v/>
      </c>
      <c r="F2056" s="64">
        <f>'COMPOSICOES AUXILIARES'!G524</f>
        <v/>
      </c>
      <c r="G2056" s="64">
        <f>TRUNC(TRUNC(E2056,8)*F2056,2)</f>
        <v/>
      </c>
      <c r="L2056" t="n">
        <v>0.0419</v>
      </c>
      <c r="M2056" t="n">
        <v>24.23</v>
      </c>
      <c r="N2056">
        <f>(M2056-F2056)</f>
        <v/>
      </c>
    </row>
    <row r="2057" ht="21" customHeight="1">
      <c r="A2057" s="22" t="inlineStr">
        <is>
          <t>88267</t>
        </is>
      </c>
      <c r="B2057" s="23" t="inlineStr">
        <is>
          <t>ENCANADOR OU BOMBEIRO HIDRÁULICO COM ENCARGOS COMPLEMENTARES</t>
        </is>
      </c>
      <c r="C2057" s="22" t="inlineStr">
        <is>
          <t>SINAPI</t>
        </is>
      </c>
      <c r="D2057" s="22" t="inlineStr">
        <is>
          <t>H</t>
        </is>
      </c>
      <c r="E2057" s="63">
        <f>L2057*FATOR</f>
        <v/>
      </c>
      <c r="F2057" s="64">
        <f>'COMPOSICOES AUXILIARES'!G524</f>
        <v/>
      </c>
      <c r="G2057" s="64">
        <f>TRUNC(TRUNC(E2057,8)*F2057,2)</f>
        <v/>
      </c>
      <c r="L2057" t="n">
        <v>0.0419</v>
      </c>
      <c r="M2057" t="n">
        <v>29.86</v>
      </c>
      <c r="N2057">
        <f>(M2057-F2057)</f>
        <v/>
      </c>
    </row>
    <row r="2058" ht="18" customHeight="1">
      <c r="A2058" s="2" t="inlineStr"/>
      <c r="B2058" s="2" t="inlineStr"/>
      <c r="C2058" s="2" t="inlineStr"/>
      <c r="D2058" s="2" t="inlineStr"/>
      <c r="E2058" s="26" t="inlineStr">
        <is>
          <t>TOTAL Mão de Obra com Encargos Complementares:</t>
        </is>
      </c>
      <c r="F2058" s="56" t="n"/>
      <c r="G2058" s="65">
        <f>SUM(G2056:G2057)</f>
        <v/>
      </c>
    </row>
    <row r="2059" ht="15" customHeight="1">
      <c r="A2059" s="2" t="inlineStr"/>
      <c r="B2059" s="2" t="inlineStr"/>
      <c r="C2059" s="2" t="inlineStr"/>
      <c r="D2059" s="2" t="inlineStr"/>
      <c r="E2059" s="28" t="inlineStr">
        <is>
          <t>VALOR:</t>
        </is>
      </c>
      <c r="F2059" s="56" t="n"/>
      <c r="G2059" s="66">
        <f>SUM(G2058,G2054)</f>
        <v/>
      </c>
    </row>
    <row r="2060" ht="15" customHeight="1">
      <c r="A2060" s="2" t="inlineStr"/>
      <c r="B2060" s="2" t="inlineStr"/>
      <c r="C2060" s="2" t="inlineStr"/>
      <c r="D2060" s="2" t="inlineStr"/>
      <c r="E2060" s="28" t="inlineStr">
        <is>
          <t>VALOR BDI (23.08%):</t>
        </is>
      </c>
      <c r="F2060" s="56" t="n"/>
      <c r="G2060" s="66">
        <f>ROUNDDOWN(G2059*BDI,2)</f>
        <v/>
      </c>
    </row>
    <row r="2061" ht="15" customHeight="1">
      <c r="A2061" s="2" t="inlineStr"/>
      <c r="B2061" s="2" t="inlineStr"/>
      <c r="C2061" s="2" t="inlineStr"/>
      <c r="D2061" s="2" t="inlineStr"/>
      <c r="E2061" s="28" t="inlineStr">
        <is>
          <t>VALOR COM BDI:</t>
        </is>
      </c>
      <c r="F2061" s="56" t="n"/>
      <c r="G2061" s="66">
        <f>G2060 + G2059</f>
        <v/>
      </c>
    </row>
    <row r="2062" ht="10" customHeight="1">
      <c r="A2062" s="2" t="inlineStr"/>
      <c r="B2062" s="2" t="inlineStr"/>
      <c r="C2062" s="2" t="inlineStr"/>
      <c r="D2062" s="2" t="inlineStr"/>
      <c r="E2062" s="18" t="inlineStr"/>
    </row>
    <row r="2063" ht="20" customHeight="1">
      <c r="A2063" s="19" t="inlineStr">
        <is>
          <t>8.2.7.1. ​89549​ REDUÇÃO EXCÊNTRICA, PVC, SERIE R, ÁGUA PLUVIAL, DN 75 X 50 MM, JUNTA ELÁSTICA, FORNECIDO E INSTALADO EMRAMAL DE ENCAMINHAMENTO. AF_06/2022​ (UN)</t>
        </is>
      </c>
      <c r="B2063" s="55" t="n"/>
      <c r="C2063" s="55" t="n"/>
      <c r="D2063" s="55" t="n"/>
      <c r="E2063" s="55" t="n"/>
      <c r="F2063" s="55" t="n"/>
      <c r="G2063" s="56" t="n"/>
    </row>
    <row r="2064" ht="15" customHeight="1">
      <c r="A2064" s="20" t="inlineStr">
        <is>
          <t>Material</t>
        </is>
      </c>
      <c r="B2064" s="56" t="n"/>
      <c r="C2064" s="21" t="inlineStr">
        <is>
          <t>FONTE</t>
        </is>
      </c>
      <c r="D2064" s="21" t="inlineStr">
        <is>
          <t>UNID</t>
        </is>
      </c>
      <c r="E2064" s="21" t="inlineStr">
        <is>
          <t>COEFICIENTE</t>
        </is>
      </c>
      <c r="F2064" s="21" t="inlineStr">
        <is>
          <t>PREÇO UNITÁRIO</t>
        </is>
      </c>
      <c r="G2064" s="21" t="inlineStr">
        <is>
          <t>TOTAL</t>
        </is>
      </c>
    </row>
    <row r="2065" ht="21" customHeight="1">
      <c r="A2065" s="22" t="inlineStr">
        <is>
          <t>00020085</t>
        </is>
      </c>
      <c r="B2065" s="23" t="inlineStr">
        <is>
          <t>ANEL BORRACHA, DN 50 MM, PARA TUBO SERIE REFORCADA ESGOTO PREDIAL</t>
        </is>
      </c>
      <c r="C2065" s="22" t="inlineStr">
        <is>
          <t>SINAPI</t>
        </is>
      </c>
      <c r="D2065" s="22" t="inlineStr">
        <is>
          <t>UN</t>
        </is>
      </c>
      <c r="E2065" s="63" t="n">
        <v>1</v>
      </c>
      <c r="F2065" s="64">
        <f>ROUND(M2065*FATOR, 2)</f>
        <v/>
      </c>
      <c r="G2065" s="64">
        <f>TRUNC(TRUNC(E2065,8)*F2065,2)</f>
        <v/>
      </c>
      <c r="L2065" t="n">
        <v>1</v>
      </c>
      <c r="M2065" t="n">
        <v>3.18</v>
      </c>
      <c r="N2065">
        <f>(M2065-F2065)</f>
        <v/>
      </c>
    </row>
    <row r="2066" ht="21" customHeight="1">
      <c r="A2066" s="22" t="inlineStr">
        <is>
          <t>00000298</t>
        </is>
      </c>
      <c r="B2066" s="23" t="inlineStr">
        <is>
          <t>ANEL BORRACHA, DN 75 MM, PARA TUBO SERIE REFORCADA ESGOTO PREDIAL</t>
        </is>
      </c>
      <c r="C2066" s="22" t="inlineStr">
        <is>
          <t>SINAPI</t>
        </is>
      </c>
      <c r="D2066" s="22" t="inlineStr">
        <is>
          <t>UN</t>
        </is>
      </c>
      <c r="E2066" s="63" t="n">
        <v>1</v>
      </c>
      <c r="F2066" s="64">
        <f>ROUND(M2066*FATOR, 2)</f>
        <v/>
      </c>
      <c r="G2066" s="64">
        <f>TRUNC(TRUNC(E2066,8)*F2066,2)</f>
        <v/>
      </c>
      <c r="L2066" t="n">
        <v>1</v>
      </c>
      <c r="M2066" t="n">
        <v>3.87</v>
      </c>
      <c r="N2066">
        <f>(M2066-F2066)</f>
        <v/>
      </c>
    </row>
    <row r="2067" ht="29" customHeight="1">
      <c r="A2067" s="22" t="inlineStr">
        <is>
          <t>00020078</t>
        </is>
      </c>
      <c r="B2067" s="23" t="inlineStr">
        <is>
          <t>PASTA LUBRIFICANTE PARA TUBOS E CONEXOES COM JUNTA ELASTICA, EMBALAGEM DE *400* GR (USO EM PVC, ACO, POLIETILENO E OUTROS)</t>
        </is>
      </c>
      <c r="C2067" s="22" t="inlineStr">
        <is>
          <t>SINAPI</t>
        </is>
      </c>
      <c r="D2067" s="22" t="inlineStr">
        <is>
          <t>UN</t>
        </is>
      </c>
      <c r="E2067" s="63" t="n">
        <v>0.0625</v>
      </c>
      <c r="F2067" s="64">
        <f>ROUND(M2067*FATOR, 2)</f>
        <v/>
      </c>
      <c r="G2067" s="64">
        <f>TRUNC(TRUNC(E2067,8)*F2067,2)</f>
        <v/>
      </c>
      <c r="L2067" t="n">
        <v>0.0625</v>
      </c>
      <c r="M2067" t="n">
        <v>25.53</v>
      </c>
      <c r="N2067">
        <f>(M2067-F2067)</f>
        <v/>
      </c>
    </row>
    <row r="2068" ht="21" customHeight="1">
      <c r="A2068" s="22" t="inlineStr">
        <is>
          <t>00020045</t>
        </is>
      </c>
      <c r="B2068" s="23" t="inlineStr">
        <is>
          <t>REDUCAO EXCENTRICA PVC, SERIE R, DN 75 X 50 MM, PARA ESGOTO PREDIAL</t>
        </is>
      </c>
      <c r="C2068" s="22" t="inlineStr">
        <is>
          <t>SINAPI</t>
        </is>
      </c>
      <c r="D2068" s="22" t="inlineStr">
        <is>
          <t>UN</t>
        </is>
      </c>
      <c r="E2068" s="63" t="n">
        <v>1</v>
      </c>
      <c r="F2068" s="64">
        <f>ROUND(M2068*FATOR, 2)</f>
        <v/>
      </c>
      <c r="G2068" s="64">
        <f>TRUNC(TRUNC(E2068,8)*F2068,2)</f>
        <v/>
      </c>
      <c r="L2068" t="n">
        <v>1</v>
      </c>
      <c r="M2068" t="n">
        <v>9.369999999999999</v>
      </c>
      <c r="N2068">
        <f>(M2068-F2068)</f>
        <v/>
      </c>
    </row>
    <row r="2069" ht="15" customHeight="1">
      <c r="A2069" s="2" t="inlineStr"/>
      <c r="B2069" s="2" t="inlineStr"/>
      <c r="C2069" s="2" t="inlineStr"/>
      <c r="D2069" s="2" t="inlineStr"/>
      <c r="E2069" s="26" t="inlineStr">
        <is>
          <t>TOTAL Material:</t>
        </is>
      </c>
      <c r="F2069" s="56" t="n"/>
      <c r="G2069" s="65">
        <f>SUM(G2065:G2068)</f>
        <v/>
      </c>
    </row>
    <row r="2070" ht="15" customHeight="1">
      <c r="A2070" s="20" t="inlineStr">
        <is>
          <t>Mão de Obra com Encargos Complementares</t>
        </is>
      </c>
      <c r="B2070" s="56" t="n"/>
      <c r="C2070" s="21" t="inlineStr">
        <is>
          <t>FONTE</t>
        </is>
      </c>
      <c r="D2070" s="21" t="inlineStr">
        <is>
          <t>UNID</t>
        </is>
      </c>
      <c r="E2070" s="21" t="inlineStr">
        <is>
          <t>COEFICIENTE</t>
        </is>
      </c>
      <c r="F2070" s="21" t="inlineStr">
        <is>
          <t>PREÇO UNITÁRIO</t>
        </is>
      </c>
      <c r="G2070" s="21" t="inlineStr">
        <is>
          <t>TOTAL</t>
        </is>
      </c>
    </row>
    <row r="2071" ht="21" customHeight="1">
      <c r="A2071" s="22" t="inlineStr">
        <is>
          <t>88248</t>
        </is>
      </c>
      <c r="B2071" s="23" t="inlineStr">
        <is>
          <t>AUXILIAR DE ENCANADOR OU BOMBEIRO HIDRÁULICO COM ENCARGOS COMPLEMENTARES</t>
        </is>
      </c>
      <c r="C2071" s="22" t="inlineStr">
        <is>
          <t>SINAPI</t>
        </is>
      </c>
      <c r="D2071" s="22" t="inlineStr">
        <is>
          <t>H</t>
        </is>
      </c>
      <c r="E2071" s="63">
        <f>L2071*FATOR</f>
        <v/>
      </c>
      <c r="F2071" s="64">
        <f>'COMPOSICOES AUXILIARES'!G524</f>
        <v/>
      </c>
      <c r="G2071" s="64">
        <f>TRUNC(TRUNC(E2071,8)*F2071,2)</f>
        <v/>
      </c>
      <c r="L2071" t="n">
        <v>0.0516</v>
      </c>
      <c r="M2071" t="n">
        <v>24.23</v>
      </c>
      <c r="N2071">
        <f>(M2071-F2071)</f>
        <v/>
      </c>
    </row>
    <row r="2072" ht="21" customHeight="1">
      <c r="A2072" s="22" t="inlineStr">
        <is>
          <t>88267</t>
        </is>
      </c>
      <c r="B2072" s="23" t="inlineStr">
        <is>
          <t>ENCANADOR OU BOMBEIRO HIDRÁULICO COM ENCARGOS COMPLEMENTARES</t>
        </is>
      </c>
      <c r="C2072" s="22" t="inlineStr">
        <is>
          <t>SINAPI</t>
        </is>
      </c>
      <c r="D2072" s="22" t="inlineStr">
        <is>
          <t>H</t>
        </is>
      </c>
      <c r="E2072" s="63">
        <f>L2072*FATOR</f>
        <v/>
      </c>
      <c r="F2072" s="64">
        <f>'COMPOSICOES AUXILIARES'!G524</f>
        <v/>
      </c>
      <c r="G2072" s="64">
        <f>TRUNC(TRUNC(E2072,8)*F2072,2)</f>
        <v/>
      </c>
      <c r="L2072" t="n">
        <v>0.0516</v>
      </c>
      <c r="M2072" t="n">
        <v>29.86</v>
      </c>
      <c r="N2072">
        <f>(M2072-F2072)</f>
        <v/>
      </c>
    </row>
    <row r="2073" ht="18" customHeight="1">
      <c r="A2073" s="2" t="inlineStr"/>
      <c r="B2073" s="2" t="inlineStr"/>
      <c r="C2073" s="2" t="inlineStr"/>
      <c r="D2073" s="2" t="inlineStr"/>
      <c r="E2073" s="26" t="inlineStr">
        <is>
          <t>TOTAL Mão de Obra com Encargos Complementares:</t>
        </is>
      </c>
      <c r="F2073" s="56" t="n"/>
      <c r="G2073" s="65">
        <f>SUM(G2071:G2072)</f>
        <v/>
      </c>
    </row>
    <row r="2074" ht="15" customHeight="1">
      <c r="A2074" s="2" t="inlineStr"/>
      <c r="B2074" s="2" t="inlineStr"/>
      <c r="C2074" s="2" t="inlineStr"/>
      <c r="D2074" s="2" t="inlineStr"/>
      <c r="E2074" s="28" t="inlineStr">
        <is>
          <t>VALOR:</t>
        </is>
      </c>
      <c r="F2074" s="56" t="n"/>
      <c r="G2074" s="66">
        <f>SUM(G2073,G2069)</f>
        <v/>
      </c>
    </row>
    <row r="2075" ht="15" customHeight="1">
      <c r="A2075" s="2" t="inlineStr"/>
      <c r="B2075" s="2" t="inlineStr"/>
      <c r="C2075" s="2" t="inlineStr"/>
      <c r="D2075" s="2" t="inlineStr"/>
      <c r="E2075" s="28" t="inlineStr">
        <is>
          <t>VALOR BDI (23.08%):</t>
        </is>
      </c>
      <c r="F2075" s="56" t="n"/>
      <c r="G2075" s="66">
        <f>ROUNDDOWN(G2074*BDI,2)</f>
        <v/>
      </c>
    </row>
    <row r="2076" ht="15" customHeight="1">
      <c r="A2076" s="2" t="inlineStr"/>
      <c r="B2076" s="2" t="inlineStr"/>
      <c r="C2076" s="2" t="inlineStr"/>
      <c r="D2076" s="2" t="inlineStr"/>
      <c r="E2076" s="28" t="inlineStr">
        <is>
          <t>VALOR COM BDI:</t>
        </is>
      </c>
      <c r="F2076" s="56" t="n"/>
      <c r="G2076" s="66">
        <f>G2075 + G2074</f>
        <v/>
      </c>
    </row>
    <row r="2077" ht="10" customHeight="1">
      <c r="A2077" s="2" t="inlineStr"/>
      <c r="B2077" s="2" t="inlineStr"/>
      <c r="C2077" s="2" t="inlineStr"/>
      <c r="D2077" s="2" t="inlineStr"/>
      <c r="E2077" s="18" t="inlineStr"/>
    </row>
    <row r="2078" ht="20" customHeight="1">
      <c r="A2078" s="19" t="inlineStr">
        <is>
          <t>8.2.7.2. ​89557​ REDUÇÃO EXCÊNTRICA, PVC, SERIE R, ÁGUA PLUVIAL, DN 100 X 75 MM, JUNTA ELÁSTICA, FORNECIDO E INSTALADO EMRAMAL DE ENCAMINHAMENTO. AF_06/2022​ (UN)</t>
        </is>
      </c>
      <c r="B2078" s="55" t="n"/>
      <c r="C2078" s="55" t="n"/>
      <c r="D2078" s="55" t="n"/>
      <c r="E2078" s="55" t="n"/>
      <c r="F2078" s="55" t="n"/>
      <c r="G2078" s="56" t="n"/>
    </row>
    <row r="2079" ht="15" customHeight="1">
      <c r="A2079" s="20" t="inlineStr">
        <is>
          <t>Material</t>
        </is>
      </c>
      <c r="B2079" s="56" t="n"/>
      <c r="C2079" s="21" t="inlineStr">
        <is>
          <t>FONTE</t>
        </is>
      </c>
      <c r="D2079" s="21" t="inlineStr">
        <is>
          <t>UNID</t>
        </is>
      </c>
      <c r="E2079" s="21" t="inlineStr">
        <is>
          <t>COEFICIENTE</t>
        </is>
      </c>
      <c r="F2079" s="21" t="inlineStr">
        <is>
          <t>PREÇO UNITÁRIO</t>
        </is>
      </c>
      <c r="G2079" s="21" t="inlineStr">
        <is>
          <t>TOTAL</t>
        </is>
      </c>
    </row>
    <row r="2080" ht="21" customHeight="1">
      <c r="A2080" s="22" t="inlineStr">
        <is>
          <t>00000299</t>
        </is>
      </c>
      <c r="B2080" s="23" t="inlineStr">
        <is>
          <t>ANEL BORRACHA, DN 100 MM, PARA TUBO SERIE REFORCADA ESGOTO PREDIAL</t>
        </is>
      </c>
      <c r="C2080" s="22" t="inlineStr">
        <is>
          <t>SINAPI</t>
        </is>
      </c>
      <c r="D2080" s="22" t="inlineStr">
        <is>
          <t>UN</t>
        </is>
      </c>
      <c r="E2080" s="63" t="n">
        <v>1</v>
      </c>
      <c r="F2080" s="64">
        <f>ROUND(M2080*FATOR, 2)</f>
        <v/>
      </c>
      <c r="G2080" s="64">
        <f>TRUNC(TRUNC(E2080,8)*F2080,2)</f>
        <v/>
      </c>
      <c r="L2080" t="n">
        <v>1</v>
      </c>
      <c r="M2080" t="n">
        <v>5.03</v>
      </c>
      <c r="N2080">
        <f>(M2080-F2080)</f>
        <v/>
      </c>
    </row>
    <row r="2081" ht="21" customHeight="1">
      <c r="A2081" s="22" t="inlineStr">
        <is>
          <t>00000298</t>
        </is>
      </c>
      <c r="B2081" s="23" t="inlineStr">
        <is>
          <t>ANEL BORRACHA, DN 75 MM, PARA TUBO SERIE REFORCADA ESGOTO PREDIAL</t>
        </is>
      </c>
      <c r="C2081" s="22" t="inlineStr">
        <is>
          <t>SINAPI</t>
        </is>
      </c>
      <c r="D2081" s="22" t="inlineStr">
        <is>
          <t>UN</t>
        </is>
      </c>
      <c r="E2081" s="63" t="n">
        <v>1</v>
      </c>
      <c r="F2081" s="64">
        <f>ROUND(M2081*FATOR, 2)</f>
        <v/>
      </c>
      <c r="G2081" s="64">
        <f>TRUNC(TRUNC(E2081,8)*F2081,2)</f>
        <v/>
      </c>
      <c r="L2081" t="n">
        <v>1</v>
      </c>
      <c r="M2081" t="n">
        <v>3.87</v>
      </c>
      <c r="N2081">
        <f>(M2081-F2081)</f>
        <v/>
      </c>
    </row>
    <row r="2082" ht="29" customHeight="1">
      <c r="A2082" s="22" t="inlineStr">
        <is>
          <t>00020078</t>
        </is>
      </c>
      <c r="B2082" s="23" t="inlineStr">
        <is>
          <t>PASTA LUBRIFICANTE PARA TUBOS E CONEXOES COM JUNTA ELASTICA, EMBALAGEM DE *400* GR (USO EM PVC, ACO, POLIETILENO E OUTROS)</t>
        </is>
      </c>
      <c r="C2082" s="22" t="inlineStr">
        <is>
          <t>SINAPI</t>
        </is>
      </c>
      <c r="D2082" s="22" t="inlineStr">
        <is>
          <t>UN</t>
        </is>
      </c>
      <c r="E2082" s="63" t="n">
        <v>0.095</v>
      </c>
      <c r="F2082" s="64">
        <f>ROUND(M2082*FATOR, 2)</f>
        <v/>
      </c>
      <c r="G2082" s="64">
        <f>TRUNC(TRUNC(E2082,8)*F2082,2)</f>
        <v/>
      </c>
      <c r="L2082" t="n">
        <v>0.095</v>
      </c>
      <c r="M2082" t="n">
        <v>25.53</v>
      </c>
      <c r="N2082">
        <f>(M2082-F2082)</f>
        <v/>
      </c>
    </row>
    <row r="2083" ht="21" customHeight="1">
      <c r="A2083" s="22" t="inlineStr">
        <is>
          <t>00020046</t>
        </is>
      </c>
      <c r="B2083" s="23" t="inlineStr">
        <is>
          <t>REDUCAO EXCENTRICA PVC, SERIE R, DN 100 X 75 MM, PARA ESGOTO PREDIAL</t>
        </is>
      </c>
      <c r="C2083" s="22" t="inlineStr">
        <is>
          <t>SINAPI</t>
        </is>
      </c>
      <c r="D2083" s="22" t="inlineStr">
        <is>
          <t>UN</t>
        </is>
      </c>
      <c r="E2083" s="63" t="n">
        <v>1</v>
      </c>
      <c r="F2083" s="64">
        <f>ROUND(M2083*FATOR, 2)</f>
        <v/>
      </c>
      <c r="G2083" s="64">
        <f>TRUNC(TRUNC(E2083,8)*F2083,2)</f>
        <v/>
      </c>
      <c r="L2083" t="n">
        <v>1</v>
      </c>
      <c r="M2083" t="n">
        <v>18.53</v>
      </c>
      <c r="N2083">
        <f>(M2083-F2083)</f>
        <v/>
      </c>
    </row>
    <row r="2084" ht="15" customHeight="1">
      <c r="A2084" s="2" t="inlineStr"/>
      <c r="B2084" s="2" t="inlineStr"/>
      <c r="C2084" s="2" t="inlineStr"/>
      <c r="D2084" s="2" t="inlineStr"/>
      <c r="E2084" s="26" t="inlineStr">
        <is>
          <t>TOTAL Material:</t>
        </is>
      </c>
      <c r="F2084" s="56" t="n"/>
      <c r="G2084" s="65">
        <f>SUM(G2080:G2083)</f>
        <v/>
      </c>
    </row>
    <row r="2085" ht="15" customHeight="1">
      <c r="A2085" s="20" t="inlineStr">
        <is>
          <t>Mão de Obra com Encargos Complementares</t>
        </is>
      </c>
      <c r="B2085" s="56" t="n"/>
      <c r="C2085" s="21" t="inlineStr">
        <is>
          <t>FONTE</t>
        </is>
      </c>
      <c r="D2085" s="21" t="inlineStr">
        <is>
          <t>UNID</t>
        </is>
      </c>
      <c r="E2085" s="21" t="inlineStr">
        <is>
          <t>COEFICIENTE</t>
        </is>
      </c>
      <c r="F2085" s="21" t="inlineStr">
        <is>
          <t>PREÇO UNITÁRIO</t>
        </is>
      </c>
      <c r="G2085" s="21" t="inlineStr">
        <is>
          <t>TOTAL</t>
        </is>
      </c>
    </row>
    <row r="2086" ht="21" customHeight="1">
      <c r="A2086" s="22" t="inlineStr">
        <is>
          <t>88248</t>
        </is>
      </c>
      <c r="B2086" s="23" t="inlineStr">
        <is>
          <t>AUXILIAR DE ENCANADOR OU BOMBEIRO HIDRÁULICO COM ENCARGOS COMPLEMENTARES</t>
        </is>
      </c>
      <c r="C2086" s="22" t="inlineStr">
        <is>
          <t>SINAPI</t>
        </is>
      </c>
      <c r="D2086" s="22" t="inlineStr">
        <is>
          <t>H</t>
        </is>
      </c>
      <c r="E2086" s="63">
        <f>L2086*FATOR</f>
        <v/>
      </c>
      <c r="F2086" s="64">
        <f>'COMPOSICOES AUXILIARES'!G524</f>
        <v/>
      </c>
      <c r="G2086" s="64">
        <f>TRUNC(TRUNC(E2086,8)*F2086,2)</f>
        <v/>
      </c>
      <c r="L2086" t="n">
        <v>0.0743</v>
      </c>
      <c r="M2086" t="n">
        <v>24.23</v>
      </c>
      <c r="N2086">
        <f>(M2086-F2086)</f>
        <v/>
      </c>
    </row>
    <row r="2087" ht="21" customHeight="1">
      <c r="A2087" s="22" t="inlineStr">
        <is>
          <t>88267</t>
        </is>
      </c>
      <c r="B2087" s="23" t="inlineStr">
        <is>
          <t>ENCANADOR OU BOMBEIRO HIDRÁULICO COM ENCARGOS COMPLEMENTARES</t>
        </is>
      </c>
      <c r="C2087" s="22" t="inlineStr">
        <is>
          <t>SINAPI</t>
        </is>
      </c>
      <c r="D2087" s="22" t="inlineStr">
        <is>
          <t>H</t>
        </is>
      </c>
      <c r="E2087" s="63">
        <f>L2087*FATOR</f>
        <v/>
      </c>
      <c r="F2087" s="64">
        <f>'COMPOSICOES AUXILIARES'!G524</f>
        <v/>
      </c>
      <c r="G2087" s="64">
        <f>TRUNC(TRUNC(E2087,8)*F2087,2)</f>
        <v/>
      </c>
      <c r="L2087" t="n">
        <v>0.0743</v>
      </c>
      <c r="M2087" t="n">
        <v>29.86</v>
      </c>
      <c r="N2087">
        <f>(M2087-F2087)</f>
        <v/>
      </c>
    </row>
    <row r="2088" ht="18" customHeight="1">
      <c r="A2088" s="2" t="inlineStr"/>
      <c r="B2088" s="2" t="inlineStr"/>
      <c r="C2088" s="2" t="inlineStr"/>
      <c r="D2088" s="2" t="inlineStr"/>
      <c r="E2088" s="26" t="inlineStr">
        <is>
          <t>TOTAL Mão de Obra com Encargos Complementares:</t>
        </is>
      </c>
      <c r="F2088" s="56" t="n"/>
      <c r="G2088" s="65">
        <f>SUM(G2086:G2087)</f>
        <v/>
      </c>
    </row>
    <row r="2089" ht="15" customHeight="1">
      <c r="A2089" s="2" t="inlineStr"/>
      <c r="B2089" s="2" t="inlineStr"/>
      <c r="C2089" s="2" t="inlineStr"/>
      <c r="D2089" s="2" t="inlineStr"/>
      <c r="E2089" s="28" t="inlineStr">
        <is>
          <t>VALOR:</t>
        </is>
      </c>
      <c r="F2089" s="56" t="n"/>
      <c r="G2089" s="66">
        <f>SUM(G2088,G2084)</f>
        <v/>
      </c>
    </row>
    <row r="2090" ht="15" customHeight="1">
      <c r="A2090" s="2" t="inlineStr"/>
      <c r="B2090" s="2" t="inlineStr"/>
      <c r="C2090" s="2" t="inlineStr"/>
      <c r="D2090" s="2" t="inlineStr"/>
      <c r="E2090" s="28" t="inlineStr">
        <is>
          <t>VALOR BDI (23.08%):</t>
        </is>
      </c>
      <c r="F2090" s="56" t="n"/>
      <c r="G2090" s="66">
        <f>ROUNDDOWN(G2089*BDI,2)</f>
        <v/>
      </c>
    </row>
    <row r="2091" ht="15" customHeight="1">
      <c r="A2091" s="2" t="inlineStr"/>
      <c r="B2091" s="2" t="inlineStr"/>
      <c r="C2091" s="2" t="inlineStr"/>
      <c r="D2091" s="2" t="inlineStr"/>
      <c r="E2091" s="28" t="inlineStr">
        <is>
          <t>VALOR COM BDI:</t>
        </is>
      </c>
      <c r="F2091" s="56" t="n"/>
      <c r="G2091" s="66">
        <f>G2090 + G2089</f>
        <v/>
      </c>
    </row>
    <row r="2092" ht="10" customHeight="1">
      <c r="A2092" s="2" t="inlineStr"/>
      <c r="B2092" s="2" t="inlineStr"/>
      <c r="C2092" s="2" t="inlineStr"/>
      <c r="D2092" s="2" t="inlineStr"/>
      <c r="E2092" s="18" t="inlineStr"/>
    </row>
    <row r="2093" ht="20" customHeight="1">
      <c r="A2093" s="19" t="inlineStr">
        <is>
          <t>8.2.8.1. ​89707​ CAIXA SIFONADA, PVC, DN 100 X 100 X 50 MM, JUNTA ELÁSTICA, FORNECIDA E INSTALADA EM RAMAL DE DESCARGA OU EM RAMAL DE ESGOTO SANITÁRIO.AF_08/2022​ (UN)</t>
        </is>
      </c>
      <c r="B2093" s="55" t="n"/>
      <c r="C2093" s="55" t="n"/>
      <c r="D2093" s="55" t="n"/>
      <c r="E2093" s="55" t="n"/>
      <c r="F2093" s="55" t="n"/>
      <c r="G2093" s="56" t="n"/>
    </row>
    <row r="2094" ht="15" customHeight="1">
      <c r="A2094" s="20" t="inlineStr">
        <is>
          <t>Material</t>
        </is>
      </c>
      <c r="B2094" s="56" t="n"/>
      <c r="C2094" s="21" t="inlineStr">
        <is>
          <t>FONTE</t>
        </is>
      </c>
      <c r="D2094" s="21" t="inlineStr">
        <is>
          <t>UNID</t>
        </is>
      </c>
      <c r="E2094" s="21" t="inlineStr">
        <is>
          <t>COEFICIENTE</t>
        </is>
      </c>
      <c r="F2094" s="21" t="inlineStr">
        <is>
          <t>PREÇO UNITÁRIO</t>
        </is>
      </c>
      <c r="G2094" s="21" t="inlineStr">
        <is>
          <t>TOTAL</t>
        </is>
      </c>
    </row>
    <row r="2095" ht="15" customHeight="1">
      <c r="A2095" s="22" t="inlineStr">
        <is>
          <t>00000122</t>
        </is>
      </c>
      <c r="B2095" s="23" t="inlineStr">
        <is>
          <t>ADESIVO PLASTICO PARA PVC, FRASCO COM *850* GR</t>
        </is>
      </c>
      <c r="C2095" s="22" t="inlineStr">
        <is>
          <t>SINAPI</t>
        </is>
      </c>
      <c r="D2095" s="22" t="inlineStr">
        <is>
          <t>UN</t>
        </is>
      </c>
      <c r="E2095" s="63" t="n">
        <v>0.0292</v>
      </c>
      <c r="F2095" s="64">
        <f>ROUND(M2095*FATOR, 2)</f>
        <v/>
      </c>
      <c r="G2095" s="64">
        <f>TRUNC(TRUNC(E2095,8)*F2095,2)</f>
        <v/>
      </c>
      <c r="L2095" t="n">
        <v>0.0292</v>
      </c>
      <c r="M2095" t="n">
        <v>61.86</v>
      </c>
      <c r="N2095">
        <f>(M2095-F2095)</f>
        <v/>
      </c>
    </row>
    <row r="2096" ht="21" customHeight="1">
      <c r="A2096" s="22" t="inlineStr">
        <is>
          <t>00005103</t>
        </is>
      </c>
      <c r="B2096" s="23" t="inlineStr">
        <is>
          <t>CAIXA SIFONADA PVC, 100 X 100 X 50 MM, COM GRELHA REDONDA, BRANCA</t>
        </is>
      </c>
      <c r="C2096" s="22" t="inlineStr">
        <is>
          <t>SINAPI</t>
        </is>
      </c>
      <c r="D2096" s="22" t="inlineStr">
        <is>
          <t>UN</t>
        </is>
      </c>
      <c r="E2096" s="63" t="n">
        <v>1</v>
      </c>
      <c r="F2096" s="64">
        <f>ROUND(M2096*FATOR, 2)</f>
        <v/>
      </c>
      <c r="G2096" s="64">
        <f>TRUNC(TRUNC(E2096,8)*F2096,2)</f>
        <v/>
      </c>
      <c r="L2096" t="n">
        <v>1</v>
      </c>
      <c r="M2096" t="n">
        <v>29.58</v>
      </c>
      <c r="N2096">
        <f>(M2096-F2096)</f>
        <v/>
      </c>
    </row>
    <row r="2097" ht="15" customHeight="1">
      <c r="A2097" s="22" t="inlineStr">
        <is>
          <t>00038383</t>
        </is>
      </c>
      <c r="B2097" s="23" t="inlineStr">
        <is>
          <t>LIXA D'AGUA EM FOLHA, COR PRETA, GRAO 100</t>
        </is>
      </c>
      <c r="C2097" s="22" t="inlineStr">
        <is>
          <t>SINAPI</t>
        </is>
      </c>
      <c r="D2097" s="22" t="inlineStr">
        <is>
          <t>UN</t>
        </is>
      </c>
      <c r="E2097" s="63" t="n">
        <v>0.0154</v>
      </c>
      <c r="F2097" s="64">
        <f>ROUND(M2097*FATOR, 2)</f>
        <v/>
      </c>
      <c r="G2097" s="64">
        <f>TRUNC(TRUNC(E2097,8)*F2097,2)</f>
        <v/>
      </c>
      <c r="L2097" t="n">
        <v>0.0154</v>
      </c>
      <c r="M2097" t="n">
        <v>1.65</v>
      </c>
      <c r="N2097">
        <f>(M2097-F2097)</f>
        <v/>
      </c>
    </row>
    <row r="2098" ht="21" customHeight="1">
      <c r="A2098" s="22" t="inlineStr">
        <is>
          <t>00020083</t>
        </is>
      </c>
      <c r="B2098" s="23" t="inlineStr">
        <is>
          <t>SOLUCAO PREPARADORA / LIMPADORA PARA PVC, FRASCO COM 1000 CM3</t>
        </is>
      </c>
      <c r="C2098" s="22" t="inlineStr">
        <is>
          <t>SINAPI</t>
        </is>
      </c>
      <c r="D2098" s="22" t="inlineStr">
        <is>
          <t>UN</t>
        </is>
      </c>
      <c r="E2098" s="63" t="n">
        <v>0.044</v>
      </c>
      <c r="F2098" s="64">
        <f>ROUND(M2098*FATOR, 2)</f>
        <v/>
      </c>
      <c r="G2098" s="64">
        <f>TRUNC(TRUNC(E2098,8)*F2098,2)</f>
        <v/>
      </c>
      <c r="L2098" t="n">
        <v>0.044</v>
      </c>
      <c r="M2098" t="n">
        <v>70.08</v>
      </c>
      <c r="N2098">
        <f>(M2098-F2098)</f>
        <v/>
      </c>
    </row>
    <row r="2099" ht="15" customHeight="1">
      <c r="A2099" s="2" t="inlineStr"/>
      <c r="B2099" s="2" t="inlineStr"/>
      <c r="C2099" s="2" t="inlineStr"/>
      <c r="D2099" s="2" t="inlineStr"/>
      <c r="E2099" s="26" t="inlineStr">
        <is>
          <t>TOTAL Material:</t>
        </is>
      </c>
      <c r="F2099" s="56" t="n"/>
      <c r="G2099" s="65">
        <f>SUM(G2095:G2098)</f>
        <v/>
      </c>
    </row>
    <row r="2100" ht="15" customHeight="1">
      <c r="A2100" s="20" t="inlineStr">
        <is>
          <t>Mão de Obra com Encargos Complementares</t>
        </is>
      </c>
      <c r="B2100" s="56" t="n"/>
      <c r="C2100" s="21" t="inlineStr">
        <is>
          <t>FONTE</t>
        </is>
      </c>
      <c r="D2100" s="21" t="inlineStr">
        <is>
          <t>UNID</t>
        </is>
      </c>
      <c r="E2100" s="21" t="inlineStr">
        <is>
          <t>COEFICIENTE</t>
        </is>
      </c>
      <c r="F2100" s="21" t="inlineStr">
        <is>
          <t>PREÇO UNITÁRIO</t>
        </is>
      </c>
      <c r="G2100" s="21" t="inlineStr">
        <is>
          <t>TOTAL</t>
        </is>
      </c>
    </row>
    <row r="2101" ht="21" customHeight="1">
      <c r="A2101" s="22" t="inlineStr">
        <is>
          <t>88248</t>
        </is>
      </c>
      <c r="B2101" s="23" t="inlineStr">
        <is>
          <t>AUXILIAR DE ENCANADOR OU BOMBEIRO HIDRÁULICO COM ENCARGOS COMPLEMENTARES</t>
        </is>
      </c>
      <c r="C2101" s="22" t="inlineStr">
        <is>
          <t>SINAPI</t>
        </is>
      </c>
      <c r="D2101" s="22" t="inlineStr">
        <is>
          <t>H</t>
        </is>
      </c>
      <c r="E2101" s="63">
        <f>L2101*FATOR</f>
        <v/>
      </c>
      <c r="F2101" s="64">
        <f>'COMPOSICOES AUXILIARES'!G524</f>
        <v/>
      </c>
      <c r="G2101" s="64">
        <f>TRUNC(TRUNC(E2101,8)*F2101,2)</f>
        <v/>
      </c>
      <c r="L2101" t="n">
        <v>0.3987</v>
      </c>
      <c r="M2101" t="n">
        <v>24.23</v>
      </c>
      <c r="N2101">
        <f>(M2101-F2101)</f>
        <v/>
      </c>
    </row>
    <row r="2102" ht="21" customHeight="1">
      <c r="A2102" s="22" t="inlineStr">
        <is>
          <t>88267</t>
        </is>
      </c>
      <c r="B2102" s="23" t="inlineStr">
        <is>
          <t>ENCANADOR OU BOMBEIRO HIDRÁULICO COM ENCARGOS COMPLEMENTARES</t>
        </is>
      </c>
      <c r="C2102" s="22" t="inlineStr">
        <is>
          <t>SINAPI</t>
        </is>
      </c>
      <c r="D2102" s="22" t="inlineStr">
        <is>
          <t>H</t>
        </is>
      </c>
      <c r="E2102" s="63">
        <f>L2102*FATOR</f>
        <v/>
      </c>
      <c r="F2102" s="64">
        <f>'COMPOSICOES AUXILIARES'!G524</f>
        <v/>
      </c>
      <c r="G2102" s="64">
        <f>TRUNC(TRUNC(E2102,8)*F2102,2)</f>
        <v/>
      </c>
      <c r="L2102" t="n">
        <v>0.3987</v>
      </c>
      <c r="M2102" t="n">
        <v>29.86</v>
      </c>
      <c r="N2102">
        <f>(M2102-F2102)</f>
        <v/>
      </c>
    </row>
    <row r="2103" ht="18" customHeight="1">
      <c r="A2103" s="2" t="inlineStr"/>
      <c r="B2103" s="2" t="inlineStr"/>
      <c r="C2103" s="2" t="inlineStr"/>
      <c r="D2103" s="2" t="inlineStr"/>
      <c r="E2103" s="26" t="inlineStr">
        <is>
          <t>TOTAL Mão de Obra com Encargos Complementares:</t>
        </is>
      </c>
      <c r="F2103" s="56" t="n"/>
      <c r="G2103" s="65">
        <f>SUM(G2101:G2102)</f>
        <v/>
      </c>
    </row>
    <row r="2104" ht="15" customHeight="1">
      <c r="A2104" s="2" t="inlineStr"/>
      <c r="B2104" s="2" t="inlineStr"/>
      <c r="C2104" s="2" t="inlineStr"/>
      <c r="D2104" s="2" t="inlineStr"/>
      <c r="E2104" s="28" t="inlineStr">
        <is>
          <t>VALOR:</t>
        </is>
      </c>
      <c r="F2104" s="56" t="n"/>
      <c r="G2104" s="66">
        <f>SUM(G2099,G2103)</f>
        <v/>
      </c>
    </row>
    <row r="2105" ht="15" customHeight="1">
      <c r="A2105" s="2" t="inlineStr"/>
      <c r="B2105" s="2" t="inlineStr"/>
      <c r="C2105" s="2" t="inlineStr"/>
      <c r="D2105" s="2" t="inlineStr"/>
      <c r="E2105" s="28" t="inlineStr">
        <is>
          <t>VALOR BDI (23.08%):</t>
        </is>
      </c>
      <c r="F2105" s="56" t="n"/>
      <c r="G2105" s="66">
        <f>ROUNDDOWN(G2104*BDI,2)</f>
        <v/>
      </c>
    </row>
    <row r="2106" ht="15" customHeight="1">
      <c r="A2106" s="2" t="inlineStr"/>
      <c r="B2106" s="2" t="inlineStr"/>
      <c r="C2106" s="2" t="inlineStr"/>
      <c r="D2106" s="2" t="inlineStr"/>
      <c r="E2106" s="28" t="inlineStr">
        <is>
          <t>VALOR COM BDI:</t>
        </is>
      </c>
      <c r="F2106" s="56" t="n"/>
      <c r="G2106" s="66">
        <f>G2105 + G2104</f>
        <v/>
      </c>
    </row>
    <row r="2107" ht="10" customHeight="1">
      <c r="A2107" s="2" t="inlineStr"/>
      <c r="B2107" s="2" t="inlineStr"/>
      <c r="C2107" s="2" t="inlineStr"/>
      <c r="D2107" s="2" t="inlineStr"/>
      <c r="E2107" s="18" t="inlineStr"/>
    </row>
    <row r="2108" ht="20" customHeight="1">
      <c r="A2108" s="19" t="inlineStr">
        <is>
          <t>8.2.8.2. ​104329​ CAIXA SIFONADA, COM GRELHA REDONDA, PVC, DN 150 X 150 X 50 MM, JUNTA SOLDÁVEL, FORNECIDA E INSTALADA EM RAMAL DE DESCARGA OU EM RAMAL DEESGOTO SANITÁRIO. AF_08/2022​ (UN)</t>
        </is>
      </c>
      <c r="B2108" s="55" t="n"/>
      <c r="C2108" s="55" t="n"/>
      <c r="D2108" s="55" t="n"/>
      <c r="E2108" s="55" t="n"/>
      <c r="F2108" s="55" t="n"/>
      <c r="G2108" s="56" t="n"/>
    </row>
    <row r="2109" ht="15" customHeight="1">
      <c r="A2109" s="20" t="inlineStr">
        <is>
          <t>Material</t>
        </is>
      </c>
      <c r="B2109" s="56" t="n"/>
      <c r="C2109" s="21" t="inlineStr">
        <is>
          <t>FONTE</t>
        </is>
      </c>
      <c r="D2109" s="21" t="inlineStr">
        <is>
          <t>UNID</t>
        </is>
      </c>
      <c r="E2109" s="21" t="inlineStr">
        <is>
          <t>COEFICIENTE</t>
        </is>
      </c>
      <c r="F2109" s="21" t="inlineStr">
        <is>
          <t>PREÇO UNITÁRIO</t>
        </is>
      </c>
      <c r="G2109" s="21" t="inlineStr">
        <is>
          <t>TOTAL</t>
        </is>
      </c>
    </row>
    <row r="2110" ht="15" customHeight="1">
      <c r="A2110" s="22" t="inlineStr">
        <is>
          <t>00000122</t>
        </is>
      </c>
      <c r="B2110" s="23" t="inlineStr">
        <is>
          <t>ADESIVO PLASTICO PARA PVC, FRASCO COM *850* GR</t>
        </is>
      </c>
      <c r="C2110" s="22" t="inlineStr">
        <is>
          <t>SINAPI</t>
        </is>
      </c>
      <c r="D2110" s="22" t="inlineStr">
        <is>
          <t>UN</t>
        </is>
      </c>
      <c r="E2110" s="63" t="n">
        <v>0.0292</v>
      </c>
      <c r="F2110" s="64">
        <f>ROUND(M2110*FATOR, 2)</f>
        <v/>
      </c>
      <c r="G2110" s="64">
        <f>TRUNC(TRUNC(E2110,8)*F2110,2)</f>
        <v/>
      </c>
      <c r="L2110" t="n">
        <v>0.0292</v>
      </c>
      <c r="M2110" t="n">
        <v>61.86</v>
      </c>
      <c r="N2110">
        <f>(M2110-F2110)</f>
        <v/>
      </c>
    </row>
    <row r="2111" ht="21" customHeight="1">
      <c r="A2111" s="22" t="inlineStr">
        <is>
          <t>00011717</t>
        </is>
      </c>
      <c r="B2111" s="23" t="inlineStr">
        <is>
          <t>CAIXA SIFONADA, PVC, 150 X 150 X 50 MM, COM GRELHA REDONDA, BRANCA</t>
        </is>
      </c>
      <c r="C2111" s="22" t="inlineStr">
        <is>
          <t>SINAPI</t>
        </is>
      </c>
      <c r="D2111" s="22" t="inlineStr">
        <is>
          <t>UN</t>
        </is>
      </c>
      <c r="E2111" s="63" t="n">
        <v>1</v>
      </c>
      <c r="F2111" s="64">
        <f>ROUND(M2111*FATOR, 2)</f>
        <v/>
      </c>
      <c r="G2111" s="64">
        <f>TRUNC(TRUNC(E2111,8)*F2111,2)</f>
        <v/>
      </c>
      <c r="L2111" t="n">
        <v>1</v>
      </c>
      <c r="M2111" t="n">
        <v>66.72</v>
      </c>
      <c r="N2111">
        <f>(M2111-F2111)</f>
        <v/>
      </c>
    </row>
    <row r="2112" ht="15" customHeight="1">
      <c r="A2112" s="22" t="inlineStr">
        <is>
          <t>00038383</t>
        </is>
      </c>
      <c r="B2112" s="23" t="inlineStr">
        <is>
          <t>LIXA D'AGUA EM FOLHA, COR PRETA, GRAO 100</t>
        </is>
      </c>
      <c r="C2112" s="22" t="inlineStr">
        <is>
          <t>SINAPI</t>
        </is>
      </c>
      <c r="D2112" s="22" t="inlineStr">
        <is>
          <t>UN</t>
        </is>
      </c>
      <c r="E2112" s="63" t="n">
        <v>0.0154</v>
      </c>
      <c r="F2112" s="64">
        <f>ROUND(M2112*FATOR, 2)</f>
        <v/>
      </c>
      <c r="G2112" s="64">
        <f>TRUNC(TRUNC(E2112,8)*F2112,2)</f>
        <v/>
      </c>
      <c r="L2112" t="n">
        <v>0.0154</v>
      </c>
      <c r="M2112" t="n">
        <v>1.65</v>
      </c>
      <c r="N2112">
        <f>(M2112-F2112)</f>
        <v/>
      </c>
    </row>
    <row r="2113" ht="21" customHeight="1">
      <c r="A2113" s="22" t="inlineStr">
        <is>
          <t>00020083</t>
        </is>
      </c>
      <c r="B2113" s="23" t="inlineStr">
        <is>
          <t>SOLUCAO PREPARADORA / LIMPADORA PARA PVC, FRASCO COM 1000 CM3</t>
        </is>
      </c>
      <c r="C2113" s="22" t="inlineStr">
        <is>
          <t>SINAPI</t>
        </is>
      </c>
      <c r="D2113" s="22" t="inlineStr">
        <is>
          <t>UN</t>
        </is>
      </c>
      <c r="E2113" s="63" t="n">
        <v>0.044</v>
      </c>
      <c r="F2113" s="64">
        <f>ROUND(M2113*FATOR, 2)</f>
        <v/>
      </c>
      <c r="G2113" s="64">
        <f>TRUNC(TRUNC(E2113,8)*F2113,2)</f>
        <v/>
      </c>
      <c r="L2113" t="n">
        <v>0.044</v>
      </c>
      <c r="M2113" t="n">
        <v>70.08</v>
      </c>
      <c r="N2113">
        <f>(M2113-F2113)</f>
        <v/>
      </c>
    </row>
    <row r="2114" ht="15" customHeight="1">
      <c r="A2114" s="2" t="inlineStr"/>
      <c r="B2114" s="2" t="inlineStr"/>
      <c r="C2114" s="2" t="inlineStr"/>
      <c r="D2114" s="2" t="inlineStr"/>
      <c r="E2114" s="26" t="inlineStr">
        <is>
          <t>TOTAL Material:</t>
        </is>
      </c>
      <c r="F2114" s="56" t="n"/>
      <c r="G2114" s="65">
        <f>SUM(G2110:G2113)</f>
        <v/>
      </c>
    </row>
    <row r="2115" ht="15" customHeight="1">
      <c r="A2115" s="20" t="inlineStr">
        <is>
          <t>Mão de Obra com Encargos Complementares</t>
        </is>
      </c>
      <c r="B2115" s="56" t="n"/>
      <c r="C2115" s="21" t="inlineStr">
        <is>
          <t>FONTE</t>
        </is>
      </c>
      <c r="D2115" s="21" t="inlineStr">
        <is>
          <t>UNID</t>
        </is>
      </c>
      <c r="E2115" s="21" t="inlineStr">
        <is>
          <t>COEFICIENTE</t>
        </is>
      </c>
      <c r="F2115" s="21" t="inlineStr">
        <is>
          <t>PREÇO UNITÁRIO</t>
        </is>
      </c>
      <c r="G2115" s="21" t="inlineStr">
        <is>
          <t>TOTAL</t>
        </is>
      </c>
    </row>
    <row r="2116" ht="21" customHeight="1">
      <c r="A2116" s="22" t="inlineStr">
        <is>
          <t>88248</t>
        </is>
      </c>
      <c r="B2116" s="23" t="inlineStr">
        <is>
          <t>AUXILIAR DE ENCANADOR OU BOMBEIRO HIDRÁULICO COM ENCARGOS COMPLEMENTARES</t>
        </is>
      </c>
      <c r="C2116" s="22" t="inlineStr">
        <is>
          <t>SINAPI</t>
        </is>
      </c>
      <c r="D2116" s="22" t="inlineStr">
        <is>
          <t>H</t>
        </is>
      </c>
      <c r="E2116" s="63">
        <f>L2116*FATOR</f>
        <v/>
      </c>
      <c r="F2116" s="64">
        <f>'COMPOSICOES AUXILIARES'!G524</f>
        <v/>
      </c>
      <c r="G2116" s="64">
        <f>TRUNC(TRUNC(E2116,8)*F2116,2)</f>
        <v/>
      </c>
      <c r="L2116" t="n">
        <v>0.4231</v>
      </c>
      <c r="M2116" t="n">
        <v>24.23</v>
      </c>
      <c r="N2116">
        <f>(M2116-F2116)</f>
        <v/>
      </c>
    </row>
    <row r="2117" ht="21" customHeight="1">
      <c r="A2117" s="22" t="inlineStr">
        <is>
          <t>88267</t>
        </is>
      </c>
      <c r="B2117" s="23" t="inlineStr">
        <is>
          <t>ENCANADOR OU BOMBEIRO HIDRÁULICO COM ENCARGOS COMPLEMENTARES</t>
        </is>
      </c>
      <c r="C2117" s="22" t="inlineStr">
        <is>
          <t>SINAPI</t>
        </is>
      </c>
      <c r="D2117" s="22" t="inlineStr">
        <is>
          <t>H</t>
        </is>
      </c>
      <c r="E2117" s="63">
        <f>L2117*FATOR</f>
        <v/>
      </c>
      <c r="F2117" s="64">
        <f>'COMPOSICOES AUXILIARES'!G524</f>
        <v/>
      </c>
      <c r="G2117" s="64">
        <f>TRUNC(TRUNC(E2117,8)*F2117,2)</f>
        <v/>
      </c>
      <c r="L2117" t="n">
        <v>0.4231</v>
      </c>
      <c r="M2117" t="n">
        <v>29.86</v>
      </c>
      <c r="N2117">
        <f>(M2117-F2117)</f>
        <v/>
      </c>
    </row>
    <row r="2118" ht="18" customHeight="1">
      <c r="A2118" s="2" t="inlineStr"/>
      <c r="B2118" s="2" t="inlineStr"/>
      <c r="C2118" s="2" t="inlineStr"/>
      <c r="D2118" s="2" t="inlineStr"/>
      <c r="E2118" s="26" t="inlineStr">
        <is>
          <t>TOTAL Mão de Obra com Encargos Complementares:</t>
        </is>
      </c>
      <c r="F2118" s="56" t="n"/>
      <c r="G2118" s="65">
        <f>SUM(G2116:G2117)</f>
        <v/>
      </c>
    </row>
    <row r="2119" ht="15" customHeight="1">
      <c r="A2119" s="2" t="inlineStr"/>
      <c r="B2119" s="2" t="inlineStr"/>
      <c r="C2119" s="2" t="inlineStr"/>
      <c r="D2119" s="2" t="inlineStr"/>
      <c r="E2119" s="28" t="inlineStr">
        <is>
          <t>VALOR:</t>
        </is>
      </c>
      <c r="F2119" s="56" t="n"/>
      <c r="G2119" s="66">
        <f>SUM(G2114,G2118)</f>
        <v/>
      </c>
    </row>
    <row r="2120" ht="15" customHeight="1">
      <c r="A2120" s="2" t="inlineStr"/>
      <c r="B2120" s="2" t="inlineStr"/>
      <c r="C2120" s="2" t="inlineStr"/>
      <c r="D2120" s="2" t="inlineStr"/>
      <c r="E2120" s="28" t="inlineStr">
        <is>
          <t>VALOR BDI (23.08%):</t>
        </is>
      </c>
      <c r="F2120" s="56" t="n"/>
      <c r="G2120" s="66">
        <f>ROUNDDOWN(G2119*BDI,2)</f>
        <v/>
      </c>
    </row>
    <row r="2121" ht="15" customHeight="1">
      <c r="A2121" s="2" t="inlineStr"/>
      <c r="B2121" s="2" t="inlineStr"/>
      <c r="C2121" s="2" t="inlineStr"/>
      <c r="D2121" s="2" t="inlineStr"/>
      <c r="E2121" s="28" t="inlineStr">
        <is>
          <t>VALOR COM BDI:</t>
        </is>
      </c>
      <c r="F2121" s="56" t="n"/>
      <c r="G2121" s="66">
        <f>G2120 + G2119</f>
        <v/>
      </c>
    </row>
    <row r="2122" ht="10" customHeight="1">
      <c r="A2122" s="2" t="inlineStr"/>
      <c r="B2122" s="2" t="inlineStr"/>
      <c r="C2122" s="2" t="inlineStr"/>
      <c r="D2122" s="2" t="inlineStr"/>
      <c r="E2122" s="18" t="inlineStr"/>
    </row>
    <row r="2123" ht="20" customHeight="1">
      <c r="A2123" s="19" t="inlineStr">
        <is>
          <t>8.2.8.3. ​89708​ CAIXA SIFONADA, PVC, DN 150 X 185 X 75 MM, JUNTA ELÁSTICA, FORNECIDA E INSTALADA EM RAMAL DE DESCARGA OU EM RAMAL DE ESGOTO SANITÁRIO.AF_08/2022​ (UN)</t>
        </is>
      </c>
      <c r="B2123" s="55" t="n"/>
      <c r="C2123" s="55" t="n"/>
      <c r="D2123" s="55" t="n"/>
      <c r="E2123" s="55" t="n"/>
      <c r="F2123" s="55" t="n"/>
      <c r="G2123" s="56" t="n"/>
    </row>
    <row r="2124" ht="15" customHeight="1">
      <c r="A2124" s="20" t="inlineStr">
        <is>
          <t>Material</t>
        </is>
      </c>
      <c r="B2124" s="56" t="n"/>
      <c r="C2124" s="21" t="inlineStr">
        <is>
          <t>FONTE</t>
        </is>
      </c>
      <c r="D2124" s="21" t="inlineStr">
        <is>
          <t>UNID</t>
        </is>
      </c>
      <c r="E2124" s="21" t="inlineStr">
        <is>
          <t>COEFICIENTE</t>
        </is>
      </c>
      <c r="F2124" s="21" t="inlineStr">
        <is>
          <t>PREÇO UNITÁRIO</t>
        </is>
      </c>
      <c r="G2124" s="21" t="inlineStr">
        <is>
          <t>TOTAL</t>
        </is>
      </c>
    </row>
    <row r="2125" ht="15" customHeight="1">
      <c r="A2125" s="22" t="inlineStr">
        <is>
          <t>00000122</t>
        </is>
      </c>
      <c r="B2125" s="23" t="inlineStr">
        <is>
          <t>ADESIVO PLASTICO PARA PVC, FRASCO COM *850* GR</t>
        </is>
      </c>
      <c r="C2125" s="22" t="inlineStr">
        <is>
          <t>SINAPI</t>
        </is>
      </c>
      <c r="D2125" s="22" t="inlineStr">
        <is>
          <t>UN</t>
        </is>
      </c>
      <c r="E2125" s="63" t="n">
        <v>0.0668</v>
      </c>
      <c r="F2125" s="64">
        <f>ROUND(M2125*FATOR, 2)</f>
        <v/>
      </c>
      <c r="G2125" s="64">
        <f>TRUNC(TRUNC(E2125,8)*F2125,2)</f>
        <v/>
      </c>
      <c r="L2125" t="n">
        <v>0.0668</v>
      </c>
      <c r="M2125" t="n">
        <v>61.86</v>
      </c>
      <c r="N2125">
        <f>(M2125-F2125)</f>
        <v/>
      </c>
    </row>
    <row r="2126" ht="21" customHeight="1">
      <c r="A2126" s="22" t="inlineStr">
        <is>
          <t>00011714</t>
        </is>
      </c>
      <c r="B2126" s="23" t="inlineStr">
        <is>
          <t>CAIXA SIFONADA, PVC, 150 X *185* X 75 MM, COM GRELHA QUADRADA, BRANCA</t>
        </is>
      </c>
      <c r="C2126" s="22" t="inlineStr">
        <is>
          <t>SINAPI</t>
        </is>
      </c>
      <c r="D2126" s="22" t="inlineStr">
        <is>
          <t>UN</t>
        </is>
      </c>
      <c r="E2126" s="63" t="n">
        <v>1</v>
      </c>
      <c r="F2126" s="64">
        <f>ROUND(M2126*FATOR, 2)</f>
        <v/>
      </c>
      <c r="G2126" s="64">
        <f>TRUNC(TRUNC(E2126,8)*F2126,2)</f>
        <v/>
      </c>
      <c r="L2126" t="n">
        <v>1</v>
      </c>
      <c r="M2126" t="n">
        <v>84.76000000000001</v>
      </c>
      <c r="N2126">
        <f>(M2126-F2126)</f>
        <v/>
      </c>
    </row>
    <row r="2127" ht="15" customHeight="1">
      <c r="A2127" s="22" t="inlineStr">
        <is>
          <t>00038383</t>
        </is>
      </c>
      <c r="B2127" s="23" t="inlineStr">
        <is>
          <t>LIXA D'AGUA EM FOLHA, COR PRETA, GRAO 100</t>
        </is>
      </c>
      <c r="C2127" s="22" t="inlineStr">
        <is>
          <t>SINAPI</t>
        </is>
      </c>
      <c r="D2127" s="22" t="inlineStr">
        <is>
          <t>UN</t>
        </is>
      </c>
      <c r="E2127" s="63" t="n">
        <v>0.0184</v>
      </c>
      <c r="F2127" s="64">
        <f>ROUND(M2127*FATOR, 2)</f>
        <v/>
      </c>
      <c r="G2127" s="64">
        <f>TRUNC(TRUNC(E2127,8)*F2127,2)</f>
        <v/>
      </c>
      <c r="L2127" t="n">
        <v>0.0184</v>
      </c>
      <c r="M2127" t="n">
        <v>1.65</v>
      </c>
      <c r="N2127">
        <f>(M2127-F2127)</f>
        <v/>
      </c>
    </row>
    <row r="2128" ht="21" customHeight="1">
      <c r="A2128" s="22" t="inlineStr">
        <is>
          <t>00020083</t>
        </is>
      </c>
      <c r="B2128" s="23" t="inlineStr">
        <is>
          <t>SOLUCAO PREPARADORA / LIMPADORA PARA PVC, FRASCO COM 1000 CM3</t>
        </is>
      </c>
      <c r="C2128" s="22" t="inlineStr">
        <is>
          <t>SINAPI</t>
        </is>
      </c>
      <c r="D2128" s="22" t="inlineStr">
        <is>
          <t>UN</t>
        </is>
      </c>
      <c r="E2128" s="63" t="n">
        <v>0.104</v>
      </c>
      <c r="F2128" s="64">
        <f>ROUND(M2128*FATOR, 2)</f>
        <v/>
      </c>
      <c r="G2128" s="64">
        <f>TRUNC(TRUNC(E2128,8)*F2128,2)</f>
        <v/>
      </c>
      <c r="L2128" t="n">
        <v>0.104</v>
      </c>
      <c r="M2128" t="n">
        <v>70.08</v>
      </c>
      <c r="N2128">
        <f>(M2128-F2128)</f>
        <v/>
      </c>
    </row>
    <row r="2129" ht="15" customHeight="1">
      <c r="A2129" s="2" t="inlineStr"/>
      <c r="B2129" s="2" t="inlineStr"/>
      <c r="C2129" s="2" t="inlineStr"/>
      <c r="D2129" s="2" t="inlineStr"/>
      <c r="E2129" s="26" t="inlineStr">
        <is>
          <t>TOTAL Material:</t>
        </is>
      </c>
      <c r="F2129" s="56" t="n"/>
      <c r="G2129" s="65">
        <f>SUM(G2125:G2128)</f>
        <v/>
      </c>
    </row>
    <row r="2130" ht="15" customHeight="1">
      <c r="A2130" s="20" t="inlineStr">
        <is>
          <t>Mão de Obra com Encargos Complementares</t>
        </is>
      </c>
      <c r="B2130" s="56" t="n"/>
      <c r="C2130" s="21" t="inlineStr">
        <is>
          <t>FONTE</t>
        </is>
      </c>
      <c r="D2130" s="21" t="inlineStr">
        <is>
          <t>UNID</t>
        </is>
      </c>
      <c r="E2130" s="21" t="inlineStr">
        <is>
          <t>COEFICIENTE</t>
        </is>
      </c>
      <c r="F2130" s="21" t="inlineStr">
        <is>
          <t>PREÇO UNITÁRIO</t>
        </is>
      </c>
      <c r="G2130" s="21" t="inlineStr">
        <is>
          <t>TOTAL</t>
        </is>
      </c>
    </row>
    <row r="2131" ht="21" customHeight="1">
      <c r="A2131" s="22" t="inlineStr">
        <is>
          <t>88248</t>
        </is>
      </c>
      <c r="B2131" s="23" t="inlineStr">
        <is>
          <t>AUXILIAR DE ENCANADOR OU BOMBEIRO HIDRÁULICO COM ENCARGOS COMPLEMENTARES</t>
        </is>
      </c>
      <c r="C2131" s="22" t="inlineStr">
        <is>
          <t>SINAPI</t>
        </is>
      </c>
      <c r="D2131" s="22" t="inlineStr">
        <is>
          <t>H</t>
        </is>
      </c>
      <c r="E2131" s="63">
        <f>L2131*FATOR</f>
        <v/>
      </c>
      <c r="F2131" s="64">
        <f>'COMPOSICOES AUXILIARES'!G524</f>
        <v/>
      </c>
      <c r="G2131" s="64">
        <f>TRUNC(TRUNC(E2131,8)*F2131,2)</f>
        <v/>
      </c>
      <c r="L2131" t="n">
        <v>0.4777</v>
      </c>
      <c r="M2131" t="n">
        <v>24.23</v>
      </c>
      <c r="N2131">
        <f>(M2131-F2131)</f>
        <v/>
      </c>
    </row>
    <row r="2132" ht="21" customHeight="1">
      <c r="A2132" s="22" t="inlineStr">
        <is>
          <t>88267</t>
        </is>
      </c>
      <c r="B2132" s="23" t="inlineStr">
        <is>
          <t>ENCANADOR OU BOMBEIRO HIDRÁULICO COM ENCARGOS COMPLEMENTARES</t>
        </is>
      </c>
      <c r="C2132" s="22" t="inlineStr">
        <is>
          <t>SINAPI</t>
        </is>
      </c>
      <c r="D2132" s="22" t="inlineStr">
        <is>
          <t>H</t>
        </is>
      </c>
      <c r="E2132" s="63">
        <f>L2132*FATOR</f>
        <v/>
      </c>
      <c r="F2132" s="64">
        <f>'COMPOSICOES AUXILIARES'!G524</f>
        <v/>
      </c>
      <c r="G2132" s="64">
        <f>TRUNC(TRUNC(E2132,8)*F2132,2)</f>
        <v/>
      </c>
      <c r="L2132" t="n">
        <v>0.4777</v>
      </c>
      <c r="M2132" t="n">
        <v>29.86</v>
      </c>
      <c r="N2132">
        <f>(M2132-F2132)</f>
        <v/>
      </c>
    </row>
    <row r="2133" ht="18" customHeight="1">
      <c r="A2133" s="2" t="inlineStr"/>
      <c r="B2133" s="2" t="inlineStr"/>
      <c r="C2133" s="2" t="inlineStr"/>
      <c r="D2133" s="2" t="inlineStr"/>
      <c r="E2133" s="26" t="inlineStr">
        <is>
          <t>TOTAL Mão de Obra com Encargos Complementares:</t>
        </is>
      </c>
      <c r="F2133" s="56" t="n"/>
      <c r="G2133" s="65">
        <f>SUM(G2131:G2132)</f>
        <v/>
      </c>
    </row>
    <row r="2134" ht="15" customHeight="1">
      <c r="A2134" s="2" t="inlineStr"/>
      <c r="B2134" s="2" t="inlineStr"/>
      <c r="C2134" s="2" t="inlineStr"/>
      <c r="D2134" s="2" t="inlineStr"/>
      <c r="E2134" s="28" t="inlineStr">
        <is>
          <t>VALOR:</t>
        </is>
      </c>
      <c r="F2134" s="56" t="n"/>
      <c r="G2134" s="66">
        <f>SUM(G2129,G2133)</f>
        <v/>
      </c>
    </row>
    <row r="2135" ht="15" customHeight="1">
      <c r="A2135" s="2" t="inlineStr"/>
      <c r="B2135" s="2" t="inlineStr"/>
      <c r="C2135" s="2" t="inlineStr"/>
      <c r="D2135" s="2" t="inlineStr"/>
      <c r="E2135" s="28" t="inlineStr">
        <is>
          <t>VALOR BDI (23.08%):</t>
        </is>
      </c>
      <c r="F2135" s="56" t="n"/>
      <c r="G2135" s="66">
        <f>ROUNDDOWN(G2134*BDI,2)</f>
        <v/>
      </c>
    </row>
    <row r="2136" ht="15" customHeight="1">
      <c r="A2136" s="2" t="inlineStr"/>
      <c r="B2136" s="2" t="inlineStr"/>
      <c r="C2136" s="2" t="inlineStr"/>
      <c r="D2136" s="2" t="inlineStr"/>
      <c r="E2136" s="28" t="inlineStr">
        <is>
          <t>VALOR COM BDI:</t>
        </is>
      </c>
      <c r="F2136" s="56" t="n"/>
      <c r="G2136" s="66">
        <f>G2135 + G2134</f>
        <v/>
      </c>
    </row>
    <row r="2137" ht="10" customHeight="1">
      <c r="A2137" s="2" t="inlineStr"/>
      <c r="B2137" s="2" t="inlineStr"/>
      <c r="C2137" s="2" t="inlineStr"/>
      <c r="D2137" s="2" t="inlineStr"/>
      <c r="E2137" s="18" t="inlineStr"/>
    </row>
    <row r="2138" ht="20" customHeight="1">
      <c r="A2138" s="19" t="inlineStr">
        <is>
          <t>8.2.8.4. ​89709​ RALO SIFONADO, PVC, DN 100 X 40 MM, JUNTA SOLDÁVEL, FORNECIDO E INSTALADO EM RAMAL DE DESCARGA OU EM RAMAL DE ESGOTO SANITÁRIO.AF_08/2022​ (UN)</t>
        </is>
      </c>
      <c r="B2138" s="55" t="n"/>
      <c r="C2138" s="55" t="n"/>
      <c r="D2138" s="55" t="n"/>
      <c r="E2138" s="55" t="n"/>
      <c r="F2138" s="55" t="n"/>
      <c r="G2138" s="56" t="n"/>
    </row>
    <row r="2139" ht="15" customHeight="1">
      <c r="A2139" s="20" t="inlineStr">
        <is>
          <t>Material</t>
        </is>
      </c>
      <c r="B2139" s="56" t="n"/>
      <c r="C2139" s="21" t="inlineStr">
        <is>
          <t>FONTE</t>
        </is>
      </c>
      <c r="D2139" s="21" t="inlineStr">
        <is>
          <t>UNID</t>
        </is>
      </c>
      <c r="E2139" s="21" t="inlineStr">
        <is>
          <t>COEFICIENTE</t>
        </is>
      </c>
      <c r="F2139" s="21" t="inlineStr">
        <is>
          <t>PREÇO UNITÁRIO</t>
        </is>
      </c>
      <c r="G2139" s="21" t="inlineStr">
        <is>
          <t>TOTAL</t>
        </is>
      </c>
    </row>
    <row r="2140" ht="15" customHeight="1">
      <c r="A2140" s="22" t="inlineStr">
        <is>
          <t>00000122</t>
        </is>
      </c>
      <c r="B2140" s="23" t="inlineStr">
        <is>
          <t>ADESIVO PLASTICO PARA PVC, FRASCO COM *850* GR</t>
        </is>
      </c>
      <c r="C2140" s="22" t="inlineStr">
        <is>
          <t>SINAPI</t>
        </is>
      </c>
      <c r="D2140" s="22" t="inlineStr">
        <is>
          <t>UN</t>
        </is>
      </c>
      <c r="E2140" s="63" t="n">
        <v>0.0049</v>
      </c>
      <c r="F2140" s="64">
        <f>ROUND(M2140*FATOR, 2)</f>
        <v/>
      </c>
      <c r="G2140" s="64">
        <f>TRUNC(TRUNC(E2140,8)*F2140,2)</f>
        <v/>
      </c>
      <c r="L2140" t="n">
        <v>0.0049</v>
      </c>
      <c r="M2140" t="n">
        <v>61.86</v>
      </c>
      <c r="N2140">
        <f>(M2140-F2140)</f>
        <v/>
      </c>
    </row>
    <row r="2141" ht="15" customHeight="1">
      <c r="A2141" s="22" t="inlineStr">
        <is>
          <t>00038383</t>
        </is>
      </c>
      <c r="B2141" s="23" t="inlineStr">
        <is>
          <t>LIXA D'AGUA EM FOLHA, COR PRETA, GRAO 100</t>
        </is>
      </c>
      <c r="C2141" s="22" t="inlineStr">
        <is>
          <t>SINAPI</t>
        </is>
      </c>
      <c r="D2141" s="22" t="inlineStr">
        <is>
          <t>UN</t>
        </is>
      </c>
      <c r="E2141" s="63" t="n">
        <v>0.036</v>
      </c>
      <c r="F2141" s="64">
        <f>ROUND(M2141*FATOR, 2)</f>
        <v/>
      </c>
      <c r="G2141" s="64">
        <f>TRUNC(TRUNC(E2141,8)*F2141,2)</f>
        <v/>
      </c>
      <c r="L2141" t="n">
        <v>0.036</v>
      </c>
      <c r="M2141" t="n">
        <v>1.65</v>
      </c>
      <c r="N2141">
        <f>(M2141-F2141)</f>
        <v/>
      </c>
    </row>
    <row r="2142" ht="21" customHeight="1">
      <c r="A2142" s="22" t="inlineStr">
        <is>
          <t>00011741</t>
        </is>
      </c>
      <c r="B2142" s="23" t="inlineStr">
        <is>
          <t>RALO SIFONADO CILINDRICO, PVC, 100 X 40 MM, COM GRELHA REDONDA BRANCA</t>
        </is>
      </c>
      <c r="C2142" s="22" t="inlineStr">
        <is>
          <t>SINAPI</t>
        </is>
      </c>
      <c r="D2142" s="22" t="inlineStr">
        <is>
          <t>UN</t>
        </is>
      </c>
      <c r="E2142" s="63" t="n">
        <v>1</v>
      </c>
      <c r="F2142" s="64">
        <f>ROUND(M2142*FATOR, 2)</f>
        <v/>
      </c>
      <c r="G2142" s="64">
        <f>TRUNC(TRUNC(E2142,8)*F2142,2)</f>
        <v/>
      </c>
      <c r="L2142" t="n">
        <v>1</v>
      </c>
      <c r="M2142" t="n">
        <v>14.84</v>
      </c>
      <c r="N2142">
        <f>(M2142-F2142)</f>
        <v/>
      </c>
    </row>
    <row r="2143" ht="21" customHeight="1">
      <c r="A2143" s="22" t="inlineStr">
        <is>
          <t>00020083</t>
        </is>
      </c>
      <c r="B2143" s="23" t="inlineStr">
        <is>
          <t>SOLUCAO PREPARADORA / LIMPADORA PARA PVC, FRASCO COM 1000 CM3</t>
        </is>
      </c>
      <c r="C2143" s="22" t="inlineStr">
        <is>
          <t>SINAPI</t>
        </is>
      </c>
      <c r="D2143" s="22" t="inlineStr">
        <is>
          <t>UN</t>
        </is>
      </c>
      <c r="E2143" s="63" t="n">
        <v>0.0075</v>
      </c>
      <c r="F2143" s="64">
        <f>ROUND(M2143*FATOR, 2)</f>
        <v/>
      </c>
      <c r="G2143" s="64">
        <f>TRUNC(TRUNC(E2143,8)*F2143,2)</f>
        <v/>
      </c>
      <c r="L2143" t="n">
        <v>0.0075</v>
      </c>
      <c r="M2143" t="n">
        <v>70.08</v>
      </c>
      <c r="N2143">
        <f>(M2143-F2143)</f>
        <v/>
      </c>
    </row>
    <row r="2144" ht="15" customHeight="1">
      <c r="A2144" s="2" t="inlineStr"/>
      <c r="B2144" s="2" t="inlineStr"/>
      <c r="C2144" s="2" t="inlineStr"/>
      <c r="D2144" s="2" t="inlineStr"/>
      <c r="E2144" s="26" t="inlineStr">
        <is>
          <t>TOTAL Material:</t>
        </is>
      </c>
      <c r="F2144" s="56" t="n"/>
      <c r="G2144" s="65">
        <f>SUM(G2140:G2143)</f>
        <v/>
      </c>
    </row>
    <row r="2145" ht="15" customHeight="1">
      <c r="A2145" s="20" t="inlineStr">
        <is>
          <t>Mão de Obra com Encargos Complementares</t>
        </is>
      </c>
      <c r="B2145" s="56" t="n"/>
      <c r="C2145" s="21" t="inlineStr">
        <is>
          <t>FONTE</t>
        </is>
      </c>
      <c r="D2145" s="21" t="inlineStr">
        <is>
          <t>UNID</t>
        </is>
      </c>
      <c r="E2145" s="21" t="inlineStr">
        <is>
          <t>COEFICIENTE</t>
        </is>
      </c>
      <c r="F2145" s="21" t="inlineStr">
        <is>
          <t>PREÇO UNITÁRIO</t>
        </is>
      </c>
      <c r="G2145" s="21" t="inlineStr">
        <is>
          <t>TOTAL</t>
        </is>
      </c>
    </row>
    <row r="2146" ht="21" customHeight="1">
      <c r="A2146" s="22" t="inlineStr">
        <is>
          <t>88248</t>
        </is>
      </c>
      <c r="B2146" s="23" t="inlineStr">
        <is>
          <t>AUXILIAR DE ENCANADOR OU BOMBEIRO HIDRÁULICO COM ENCARGOS COMPLEMENTARES</t>
        </is>
      </c>
      <c r="C2146" s="22" t="inlineStr">
        <is>
          <t>SINAPI</t>
        </is>
      </c>
      <c r="D2146" s="22" t="inlineStr">
        <is>
          <t>H</t>
        </is>
      </c>
      <c r="E2146" s="63">
        <f>L2146*FATOR</f>
        <v/>
      </c>
      <c r="F2146" s="64">
        <f>'COMPOSICOES AUXILIARES'!G524</f>
        <v/>
      </c>
      <c r="G2146" s="64">
        <f>TRUNC(TRUNC(E2146,8)*F2146,2)</f>
        <v/>
      </c>
      <c r="L2146" t="n">
        <v>0.1652</v>
      </c>
      <c r="M2146" t="n">
        <v>24.23</v>
      </c>
      <c r="N2146">
        <f>(M2146-F2146)</f>
        <v/>
      </c>
    </row>
    <row r="2147" ht="21" customHeight="1">
      <c r="A2147" s="22" t="inlineStr">
        <is>
          <t>88267</t>
        </is>
      </c>
      <c r="B2147" s="23" t="inlineStr">
        <is>
          <t>ENCANADOR OU BOMBEIRO HIDRÁULICO COM ENCARGOS COMPLEMENTARES</t>
        </is>
      </c>
      <c r="C2147" s="22" t="inlineStr">
        <is>
          <t>SINAPI</t>
        </is>
      </c>
      <c r="D2147" s="22" t="inlineStr">
        <is>
          <t>H</t>
        </is>
      </c>
      <c r="E2147" s="63">
        <f>L2147*FATOR</f>
        <v/>
      </c>
      <c r="F2147" s="64">
        <f>'COMPOSICOES AUXILIARES'!G524</f>
        <v/>
      </c>
      <c r="G2147" s="64">
        <f>TRUNC(TRUNC(E2147,8)*F2147,2)</f>
        <v/>
      </c>
      <c r="L2147" t="n">
        <v>0.1652</v>
      </c>
      <c r="M2147" t="n">
        <v>29.86</v>
      </c>
      <c r="N2147">
        <f>(M2147-F2147)</f>
        <v/>
      </c>
    </row>
    <row r="2148" ht="18" customHeight="1">
      <c r="A2148" s="2" t="inlineStr"/>
      <c r="B2148" s="2" t="inlineStr"/>
      <c r="C2148" s="2" t="inlineStr"/>
      <c r="D2148" s="2" t="inlineStr"/>
      <c r="E2148" s="26" t="inlineStr">
        <is>
          <t>TOTAL Mão de Obra com Encargos Complementares:</t>
        </is>
      </c>
      <c r="F2148" s="56" t="n"/>
      <c r="G2148" s="65">
        <f>SUM(G2146:G2147)</f>
        <v/>
      </c>
    </row>
    <row r="2149" ht="15" customHeight="1">
      <c r="A2149" s="2" t="inlineStr"/>
      <c r="B2149" s="2" t="inlineStr"/>
      <c r="C2149" s="2" t="inlineStr"/>
      <c r="D2149" s="2" t="inlineStr"/>
      <c r="E2149" s="28" t="inlineStr">
        <is>
          <t>VALOR:</t>
        </is>
      </c>
      <c r="F2149" s="56" t="n"/>
      <c r="G2149" s="66">
        <f>SUM(G2144,G2148)</f>
        <v/>
      </c>
    </row>
    <row r="2150" ht="15" customHeight="1">
      <c r="A2150" s="2" t="inlineStr"/>
      <c r="B2150" s="2" t="inlineStr"/>
      <c r="C2150" s="2" t="inlineStr"/>
      <c r="D2150" s="2" t="inlineStr"/>
      <c r="E2150" s="28" t="inlineStr">
        <is>
          <t>VALOR BDI (23.08%):</t>
        </is>
      </c>
      <c r="F2150" s="56" t="n"/>
      <c r="G2150" s="66">
        <f>ROUNDDOWN(G2149*BDI,2)</f>
        <v/>
      </c>
    </row>
    <row r="2151" ht="15" customHeight="1">
      <c r="A2151" s="2" t="inlineStr"/>
      <c r="B2151" s="2" t="inlineStr"/>
      <c r="C2151" s="2" t="inlineStr"/>
      <c r="D2151" s="2" t="inlineStr"/>
      <c r="E2151" s="28" t="inlineStr">
        <is>
          <t>VALOR COM BDI:</t>
        </is>
      </c>
      <c r="F2151" s="56" t="n"/>
      <c r="G2151" s="66">
        <f>G2150 + G2149</f>
        <v/>
      </c>
    </row>
    <row r="2152" ht="10" customHeight="1">
      <c r="A2152" s="2" t="inlineStr"/>
      <c r="B2152" s="2" t="inlineStr"/>
      <c r="C2152" s="2" t="inlineStr"/>
      <c r="D2152" s="2" t="inlineStr"/>
      <c r="E2152" s="18" t="inlineStr"/>
    </row>
    <row r="2153" ht="20" customHeight="1">
      <c r="A2153" s="19" t="inlineStr">
        <is>
          <t>8.2.8.5. ​426 PRÓPRIO​ PROLONGAMENTO PARA CAIXA SIFONADA PVC 100 X 100MM, ESGOTO​ (UN)</t>
        </is>
      </c>
      <c r="B2153" s="55" t="n"/>
      <c r="C2153" s="55" t="n"/>
      <c r="D2153" s="55" t="n"/>
      <c r="E2153" s="55" t="n"/>
      <c r="F2153" s="55" t="n"/>
      <c r="G2153" s="56" t="n"/>
    </row>
    <row r="2154" ht="15" customHeight="1">
      <c r="A2154" s="20" t="inlineStr">
        <is>
          <t>Material</t>
        </is>
      </c>
      <c r="B2154" s="56" t="n"/>
      <c r="C2154" s="21" t="inlineStr">
        <is>
          <t>FONTE</t>
        </is>
      </c>
      <c r="D2154" s="21" t="inlineStr">
        <is>
          <t>UNID</t>
        </is>
      </c>
      <c r="E2154" s="21" t="inlineStr">
        <is>
          <t>COEFICIENTE</t>
        </is>
      </c>
      <c r="F2154" s="21" t="inlineStr">
        <is>
          <t>PREÇO UNITÁRIO</t>
        </is>
      </c>
      <c r="G2154" s="21" t="inlineStr">
        <is>
          <t>TOTAL</t>
        </is>
      </c>
    </row>
    <row r="2155" ht="15" customHeight="1">
      <c r="A2155" s="22" t="inlineStr">
        <is>
          <t>00000119</t>
        </is>
      </c>
      <c r="B2155" s="23" t="inlineStr">
        <is>
          <t>ADESIVO PLASTICO PARA PVC, BISNAGA COM 75 GR</t>
        </is>
      </c>
      <c r="C2155" s="22" t="inlineStr">
        <is>
          <t>SINAPI</t>
        </is>
      </c>
      <c r="D2155" s="22" t="inlineStr">
        <is>
          <t>UN</t>
        </is>
      </c>
      <c r="E2155" s="63" t="n">
        <v>0.227</v>
      </c>
      <c r="F2155" s="64">
        <f>ROUND(M2155*FATOR, 2)</f>
        <v/>
      </c>
      <c r="G2155" s="64">
        <f>ROUND(ROUND(E2155,8)*F2155,2)</f>
        <v/>
      </c>
      <c r="L2155" t="n">
        <v>0.227</v>
      </c>
      <c r="M2155" t="n">
        <v>8.039999999999999</v>
      </c>
      <c r="N2155">
        <f>(M2155-F2155)</f>
        <v/>
      </c>
    </row>
    <row r="2156" ht="21" customHeight="1">
      <c r="A2156" s="22" t="inlineStr">
        <is>
          <t>00011735</t>
        </is>
      </c>
      <c r="B2156" s="23" t="inlineStr">
        <is>
          <t>PROLONGAMENTO / PROLONGADOR PARA CAIXA SIFONADA, PVC, 100 MM X 200 MM (NBR 5688)</t>
        </is>
      </c>
      <c r="C2156" s="22" t="inlineStr">
        <is>
          <t>SINAPI</t>
        </is>
      </c>
      <c r="D2156" s="22" t="inlineStr">
        <is>
          <t>UN</t>
        </is>
      </c>
      <c r="E2156" s="63" t="n">
        <v>1</v>
      </c>
      <c r="F2156" s="64">
        <f>ROUND(M2156*FATOR, 2)</f>
        <v/>
      </c>
      <c r="G2156" s="64">
        <f>ROUND(ROUND(E2156,8)*F2156,2)</f>
        <v/>
      </c>
      <c r="L2156" t="n">
        <v>1</v>
      </c>
      <c r="M2156" t="n">
        <v>11.64</v>
      </c>
      <c r="N2156">
        <f>(M2156-F2156)</f>
        <v/>
      </c>
    </row>
    <row r="2157" ht="21" customHeight="1">
      <c r="A2157" s="22" t="inlineStr">
        <is>
          <t>00020083</t>
        </is>
      </c>
      <c r="B2157" s="23" t="inlineStr">
        <is>
          <t>SOLUCAO PREPARADORA / LIMPADORA PARA PVC, FRASCO COM 1000 CM3</t>
        </is>
      </c>
      <c r="C2157" s="22" t="inlineStr">
        <is>
          <t>SINAPI</t>
        </is>
      </c>
      <c r="D2157" s="22" t="inlineStr">
        <is>
          <t>UN</t>
        </is>
      </c>
      <c r="E2157" s="63" t="n">
        <v>0.012</v>
      </c>
      <c r="F2157" s="64">
        <f>ROUND(M2157*FATOR, 2)</f>
        <v/>
      </c>
      <c r="G2157" s="64">
        <f>ROUND(ROUND(E2157,8)*F2157,2)</f>
        <v/>
      </c>
      <c r="L2157" t="n">
        <v>0.012</v>
      </c>
      <c r="M2157" t="n">
        <v>70.08</v>
      </c>
      <c r="N2157">
        <f>(M2157-F2157)</f>
        <v/>
      </c>
    </row>
    <row r="2158" ht="15" customHeight="1">
      <c r="A2158" s="2" t="inlineStr"/>
      <c r="B2158" s="2" t="inlineStr"/>
      <c r="C2158" s="2" t="inlineStr"/>
      <c r="D2158" s="2" t="inlineStr"/>
      <c r="E2158" s="26" t="inlineStr">
        <is>
          <t>TOTAL Material:</t>
        </is>
      </c>
      <c r="F2158" s="56" t="n"/>
      <c r="G2158" s="65">
        <f>SUM(G2155:G2157)</f>
        <v/>
      </c>
    </row>
    <row r="2159" ht="15" customHeight="1">
      <c r="A2159" s="20" t="inlineStr">
        <is>
          <t>Mão de Obra com Encargos Complementares</t>
        </is>
      </c>
      <c r="B2159" s="56" t="n"/>
      <c r="C2159" s="21" t="inlineStr">
        <is>
          <t>FONTE</t>
        </is>
      </c>
      <c r="D2159" s="21" t="inlineStr">
        <is>
          <t>UNID</t>
        </is>
      </c>
      <c r="E2159" s="21" t="inlineStr">
        <is>
          <t>COEFICIENTE</t>
        </is>
      </c>
      <c r="F2159" s="21" t="inlineStr">
        <is>
          <t>PREÇO UNITÁRIO</t>
        </is>
      </c>
      <c r="G2159" s="21" t="inlineStr">
        <is>
          <t>TOTAL</t>
        </is>
      </c>
    </row>
    <row r="2160" ht="21" customHeight="1">
      <c r="A2160" s="22" t="inlineStr">
        <is>
          <t>88248</t>
        </is>
      </c>
      <c r="B2160" s="23" t="inlineStr">
        <is>
          <t>AUXILIAR DE ENCANADOR OU BOMBEIRO HIDRÁULICO COM ENCARGOS COMPLEMENTARES</t>
        </is>
      </c>
      <c r="C2160" s="22" t="inlineStr">
        <is>
          <t>SINAPI</t>
        </is>
      </c>
      <c r="D2160" s="22" t="inlineStr">
        <is>
          <t>H</t>
        </is>
      </c>
      <c r="E2160" s="63">
        <f>L2160*FATOR</f>
        <v/>
      </c>
      <c r="F2160" s="64">
        <f>'COMPOSICOES AUXILIARES'!G524</f>
        <v/>
      </c>
      <c r="G2160" s="64">
        <f>ROUND(ROUND(E2160,8)*F2160,2)</f>
        <v/>
      </c>
      <c r="L2160" t="n">
        <v>1.711</v>
      </c>
      <c r="M2160" t="n">
        <v>24.23</v>
      </c>
      <c r="N2160">
        <f>(M2160-F2160)</f>
        <v/>
      </c>
    </row>
    <row r="2161" ht="21" customHeight="1">
      <c r="A2161" s="22" t="inlineStr">
        <is>
          <t>88267</t>
        </is>
      </c>
      <c r="B2161" s="23" t="inlineStr">
        <is>
          <t>ENCANADOR OU BOMBEIRO HIDRÁULICO COM ENCARGOS COMPLEMENTARES</t>
        </is>
      </c>
      <c r="C2161" s="22" t="inlineStr">
        <is>
          <t>SINAPI</t>
        </is>
      </c>
      <c r="D2161" s="22" t="inlineStr">
        <is>
          <t>H</t>
        </is>
      </c>
      <c r="E2161" s="63">
        <f>L2161*FATOR</f>
        <v/>
      </c>
      <c r="F2161" s="64">
        <f>'COMPOSICOES AUXILIARES'!G524</f>
        <v/>
      </c>
      <c r="G2161" s="64">
        <f>ROUND(ROUND(E2161,8)*F2161,2)</f>
        <v/>
      </c>
      <c r="L2161" t="n">
        <v>1.54</v>
      </c>
      <c r="M2161" t="n">
        <v>29.86</v>
      </c>
      <c r="N2161">
        <f>(M2161-F2161)</f>
        <v/>
      </c>
    </row>
    <row r="2162" ht="18" customHeight="1">
      <c r="A2162" s="2" t="inlineStr"/>
      <c r="B2162" s="2" t="inlineStr"/>
      <c r="C2162" s="2" t="inlineStr"/>
      <c r="D2162" s="2" t="inlineStr"/>
      <c r="E2162" s="26" t="inlineStr">
        <is>
          <t>TOTAL Mão de Obra com Encargos Complementares:</t>
        </is>
      </c>
      <c r="F2162" s="56" t="n"/>
      <c r="G2162" s="65">
        <f>SUM(G2160:G2161)</f>
        <v/>
      </c>
    </row>
    <row r="2163" ht="15" customHeight="1">
      <c r="A2163" s="2" t="inlineStr"/>
      <c r="B2163" s="2" t="inlineStr"/>
      <c r="C2163" s="2" t="inlineStr"/>
      <c r="D2163" s="2" t="inlineStr"/>
      <c r="E2163" s="28" t="inlineStr">
        <is>
          <t>VALOR:</t>
        </is>
      </c>
      <c r="F2163" s="56" t="n"/>
      <c r="G2163" s="66">
        <f>SUM(G2162,G2158)</f>
        <v/>
      </c>
    </row>
    <row r="2164" ht="15" customHeight="1">
      <c r="A2164" s="2" t="inlineStr"/>
      <c r="B2164" s="2" t="inlineStr"/>
      <c r="C2164" s="2" t="inlineStr"/>
      <c r="D2164" s="2" t="inlineStr"/>
      <c r="E2164" s="28" t="inlineStr">
        <is>
          <t>VALOR BDI (23.08%):</t>
        </is>
      </c>
      <c r="F2164" s="56" t="n"/>
      <c r="G2164" s="66">
        <f>ROUNDDOWN(G2163*BDI,2)</f>
        <v/>
      </c>
    </row>
    <row r="2165" ht="15" customHeight="1">
      <c r="A2165" s="2" t="inlineStr"/>
      <c r="B2165" s="2" t="inlineStr"/>
      <c r="C2165" s="2" t="inlineStr"/>
      <c r="D2165" s="2" t="inlineStr"/>
      <c r="E2165" s="28" t="inlineStr">
        <is>
          <t>VALOR COM BDI:</t>
        </is>
      </c>
      <c r="F2165" s="56" t="n"/>
      <c r="G2165" s="66">
        <f>G2164 + G2163</f>
        <v/>
      </c>
    </row>
    <row r="2166" ht="10" customHeight="1">
      <c r="A2166" s="2" t="inlineStr"/>
      <c r="B2166" s="2" t="inlineStr"/>
      <c r="C2166" s="2" t="inlineStr"/>
      <c r="D2166" s="2" t="inlineStr"/>
      <c r="E2166" s="18" t="inlineStr"/>
    </row>
    <row r="2167" ht="20" customHeight="1">
      <c r="A2167" s="19" t="inlineStr">
        <is>
          <t>8.2.8.6. ​427 PRÓPRIO​ PROLONGAMENTO PARA CAIXA SIFONADA PVC 150 X 150MM, ESGOTO​ (UN)</t>
        </is>
      </c>
      <c r="B2167" s="55" t="n"/>
      <c r="C2167" s="55" t="n"/>
      <c r="D2167" s="55" t="n"/>
      <c r="E2167" s="55" t="n"/>
      <c r="F2167" s="55" t="n"/>
      <c r="G2167" s="56" t="n"/>
    </row>
    <row r="2168" ht="15" customHeight="1">
      <c r="A2168" s="20" t="inlineStr">
        <is>
          <t>Material</t>
        </is>
      </c>
      <c r="B2168" s="56" t="n"/>
      <c r="C2168" s="21" t="inlineStr">
        <is>
          <t>FONTE</t>
        </is>
      </c>
      <c r="D2168" s="21" t="inlineStr">
        <is>
          <t>UNID</t>
        </is>
      </c>
      <c r="E2168" s="21" t="inlineStr">
        <is>
          <t>COEFICIENTE</t>
        </is>
      </c>
      <c r="F2168" s="21" t="inlineStr">
        <is>
          <t>PREÇO UNITÁRIO</t>
        </is>
      </c>
      <c r="G2168" s="21" t="inlineStr">
        <is>
          <t>TOTAL</t>
        </is>
      </c>
    </row>
    <row r="2169" ht="15" customHeight="1">
      <c r="A2169" s="22" t="inlineStr">
        <is>
          <t>00000119</t>
        </is>
      </c>
      <c r="B2169" s="23" t="inlineStr">
        <is>
          <t>ADESIVO PLASTICO PARA PVC, BISNAGA COM 75 GR</t>
        </is>
      </c>
      <c r="C2169" s="22" t="inlineStr">
        <is>
          <t>SINAPI</t>
        </is>
      </c>
      <c r="D2169" s="22" t="inlineStr">
        <is>
          <t>UN</t>
        </is>
      </c>
      <c r="E2169" s="63" t="n">
        <v>0.227</v>
      </c>
      <c r="F2169" s="64">
        <f>ROUND(M2169*FATOR, 2)</f>
        <v/>
      </c>
      <c r="G2169" s="64">
        <f>ROUND(ROUND(E2169,8)*F2169,2)</f>
        <v/>
      </c>
      <c r="L2169" t="n">
        <v>0.227</v>
      </c>
      <c r="M2169" t="n">
        <v>8.039999999999999</v>
      </c>
      <c r="N2169">
        <f>(M2169-F2169)</f>
        <v/>
      </c>
    </row>
    <row r="2170" ht="21" customHeight="1">
      <c r="A2170" s="22" t="inlineStr">
        <is>
          <t>00011737</t>
        </is>
      </c>
      <c r="B2170" s="23" t="inlineStr">
        <is>
          <t>PROLONGAMENTO / PROLONGADOR PARA CAIXA SIFONADA, PVC, 150 MM X 150 MM (NBR 5688)</t>
        </is>
      </c>
      <c r="C2170" s="22" t="inlineStr">
        <is>
          <t>SINAPI</t>
        </is>
      </c>
      <c r="D2170" s="22" t="inlineStr">
        <is>
          <t>UN</t>
        </is>
      </c>
      <c r="E2170" s="63" t="n">
        <v>1</v>
      </c>
      <c r="F2170" s="64">
        <f>ROUND(M2170*FATOR, 2)</f>
        <v/>
      </c>
      <c r="G2170" s="64">
        <f>ROUND(ROUND(E2170,8)*F2170,2)</f>
        <v/>
      </c>
      <c r="L2170" t="n">
        <v>1</v>
      </c>
      <c r="M2170" t="n">
        <v>16.5</v>
      </c>
      <c r="N2170">
        <f>(M2170-F2170)</f>
        <v/>
      </c>
    </row>
    <row r="2171" ht="21" customHeight="1">
      <c r="A2171" s="22" t="inlineStr">
        <is>
          <t>00020083</t>
        </is>
      </c>
      <c r="B2171" s="23" t="inlineStr">
        <is>
          <t>SOLUCAO PREPARADORA / LIMPADORA PARA PVC, FRASCO COM 1000 CM3</t>
        </is>
      </c>
      <c r="C2171" s="22" t="inlineStr">
        <is>
          <t>SINAPI</t>
        </is>
      </c>
      <c r="D2171" s="22" t="inlineStr">
        <is>
          <t>UN</t>
        </is>
      </c>
      <c r="E2171" s="63" t="n">
        <v>0.012</v>
      </c>
      <c r="F2171" s="64">
        <f>ROUND(M2171*FATOR, 2)</f>
        <v/>
      </c>
      <c r="G2171" s="64">
        <f>ROUND(ROUND(E2171,8)*F2171,2)</f>
        <v/>
      </c>
      <c r="L2171" t="n">
        <v>0.012</v>
      </c>
      <c r="M2171" t="n">
        <v>70.08</v>
      </c>
      <c r="N2171">
        <f>(M2171-F2171)</f>
        <v/>
      </c>
    </row>
    <row r="2172" ht="15" customHeight="1">
      <c r="A2172" s="2" t="inlineStr"/>
      <c r="B2172" s="2" t="inlineStr"/>
      <c r="C2172" s="2" t="inlineStr"/>
      <c r="D2172" s="2" t="inlineStr"/>
      <c r="E2172" s="26" t="inlineStr">
        <is>
          <t>TOTAL Material:</t>
        </is>
      </c>
      <c r="F2172" s="56" t="n"/>
      <c r="G2172" s="65">
        <f>SUM(G2169:G2171)</f>
        <v/>
      </c>
    </row>
    <row r="2173" ht="15" customHeight="1">
      <c r="A2173" s="20" t="inlineStr">
        <is>
          <t>Mão de Obra com Encargos Complementares</t>
        </is>
      </c>
      <c r="B2173" s="56" t="n"/>
      <c r="C2173" s="21" t="inlineStr">
        <is>
          <t>FONTE</t>
        </is>
      </c>
      <c r="D2173" s="21" t="inlineStr">
        <is>
          <t>UNID</t>
        </is>
      </c>
      <c r="E2173" s="21" t="inlineStr">
        <is>
          <t>COEFICIENTE</t>
        </is>
      </c>
      <c r="F2173" s="21" t="inlineStr">
        <is>
          <t>PREÇO UNITÁRIO</t>
        </is>
      </c>
      <c r="G2173" s="21" t="inlineStr">
        <is>
          <t>TOTAL</t>
        </is>
      </c>
    </row>
    <row r="2174" ht="21" customHeight="1">
      <c r="A2174" s="22" t="inlineStr">
        <is>
          <t>88248</t>
        </is>
      </c>
      <c r="B2174" s="23" t="inlineStr">
        <is>
          <t>AUXILIAR DE ENCANADOR OU BOMBEIRO HIDRÁULICO COM ENCARGOS COMPLEMENTARES</t>
        </is>
      </c>
      <c r="C2174" s="22" t="inlineStr">
        <is>
          <t>SINAPI</t>
        </is>
      </c>
      <c r="D2174" s="22" t="inlineStr">
        <is>
          <t>H</t>
        </is>
      </c>
      <c r="E2174" s="63">
        <f>L2174*FATOR</f>
        <v/>
      </c>
      <c r="F2174" s="64">
        <f>'COMPOSICOES AUXILIARES'!G524</f>
        <v/>
      </c>
      <c r="G2174" s="64">
        <f>ROUND(ROUND(E2174,8)*F2174,2)</f>
        <v/>
      </c>
      <c r="L2174" t="n">
        <v>1.711</v>
      </c>
      <c r="M2174" t="n">
        <v>24.23</v>
      </c>
      <c r="N2174">
        <f>(M2174-F2174)</f>
        <v/>
      </c>
    </row>
    <row r="2175" ht="21" customHeight="1">
      <c r="A2175" s="22" t="inlineStr">
        <is>
          <t>88267</t>
        </is>
      </c>
      <c r="B2175" s="23" t="inlineStr">
        <is>
          <t>ENCANADOR OU BOMBEIRO HIDRÁULICO COM ENCARGOS COMPLEMENTARES</t>
        </is>
      </c>
      <c r="C2175" s="22" t="inlineStr">
        <is>
          <t>SINAPI</t>
        </is>
      </c>
      <c r="D2175" s="22" t="inlineStr">
        <is>
          <t>H</t>
        </is>
      </c>
      <c r="E2175" s="63">
        <f>L2175*FATOR</f>
        <v/>
      </c>
      <c r="F2175" s="64">
        <f>'COMPOSICOES AUXILIARES'!G524</f>
        <v/>
      </c>
      <c r="G2175" s="64">
        <f>ROUND(ROUND(E2175,8)*F2175,2)</f>
        <v/>
      </c>
      <c r="L2175" t="n">
        <v>1.711</v>
      </c>
      <c r="M2175" t="n">
        <v>29.86</v>
      </c>
      <c r="N2175">
        <f>(M2175-F2175)</f>
        <v/>
      </c>
    </row>
    <row r="2176" ht="18" customHeight="1">
      <c r="A2176" s="2" t="inlineStr"/>
      <c r="B2176" s="2" t="inlineStr"/>
      <c r="C2176" s="2" t="inlineStr"/>
      <c r="D2176" s="2" t="inlineStr"/>
      <c r="E2176" s="26" t="inlineStr">
        <is>
          <t>TOTAL Mão de Obra com Encargos Complementares:</t>
        </is>
      </c>
      <c r="F2176" s="56" t="n"/>
      <c r="G2176" s="65">
        <f>SUM(G2174:G2175)</f>
        <v/>
      </c>
    </row>
    <row r="2177" ht="15" customHeight="1">
      <c r="A2177" s="2" t="inlineStr"/>
      <c r="B2177" s="2" t="inlineStr"/>
      <c r="C2177" s="2" t="inlineStr"/>
      <c r="D2177" s="2" t="inlineStr"/>
      <c r="E2177" s="28" t="inlineStr">
        <is>
          <t>VALOR:</t>
        </is>
      </c>
      <c r="F2177" s="56" t="n"/>
      <c r="G2177" s="66">
        <f>SUM(G2176,G2172)</f>
        <v/>
      </c>
    </row>
    <row r="2178" ht="15" customHeight="1">
      <c r="A2178" s="2" t="inlineStr"/>
      <c r="B2178" s="2" t="inlineStr"/>
      <c r="C2178" s="2" t="inlineStr"/>
      <c r="D2178" s="2" t="inlineStr"/>
      <c r="E2178" s="28" t="inlineStr">
        <is>
          <t>VALOR BDI (23.08%):</t>
        </is>
      </c>
      <c r="F2178" s="56" t="n"/>
      <c r="G2178" s="66">
        <f>ROUNDDOWN(G2177*BDI,2)</f>
        <v/>
      </c>
    </row>
    <row r="2179" ht="15" customHeight="1">
      <c r="A2179" s="2" t="inlineStr"/>
      <c r="B2179" s="2" t="inlineStr"/>
      <c r="C2179" s="2" t="inlineStr"/>
      <c r="D2179" s="2" t="inlineStr"/>
      <c r="E2179" s="28" t="inlineStr">
        <is>
          <t>VALOR COM BDI:</t>
        </is>
      </c>
      <c r="F2179" s="56" t="n"/>
      <c r="G2179" s="66">
        <f>G2178 + G2177</f>
        <v/>
      </c>
    </row>
    <row r="2180" ht="10" customHeight="1">
      <c r="A2180" s="2" t="inlineStr"/>
      <c r="B2180" s="2" t="inlineStr"/>
      <c r="C2180" s="2" t="inlineStr"/>
      <c r="D2180" s="2" t="inlineStr"/>
      <c r="E2180" s="18" t="inlineStr"/>
    </row>
    <row r="2181" ht="20" customHeight="1">
      <c r="A2181" s="19" t="inlineStr">
        <is>
          <t>8.2.9.1. ​98110​ CAIXA DE GORDURA PEQUENA (CAPACIDADE: 19 L), CIRCULAR, EM PVC,DIÂMETRO INTERNO= 0,3 M. AF_12/2020​ (UN)</t>
        </is>
      </c>
      <c r="B2181" s="55" t="n"/>
      <c r="C2181" s="55" t="n"/>
      <c r="D2181" s="55" t="n"/>
      <c r="E2181" s="55" t="n"/>
      <c r="F2181" s="55" t="n"/>
      <c r="G2181" s="56" t="n"/>
    </row>
    <row r="2182" ht="15" customHeight="1">
      <c r="A2182" s="20" t="inlineStr">
        <is>
          <t>Material</t>
        </is>
      </c>
      <c r="B2182" s="56" t="n"/>
      <c r="C2182" s="21" t="inlineStr">
        <is>
          <t>FONTE</t>
        </is>
      </c>
      <c r="D2182" s="21" t="inlineStr">
        <is>
          <t>UNID</t>
        </is>
      </c>
      <c r="E2182" s="21" t="inlineStr">
        <is>
          <t>COEFICIENTE</t>
        </is>
      </c>
      <c r="F2182" s="21" t="inlineStr">
        <is>
          <t>PREÇO UNITÁRIO</t>
        </is>
      </c>
      <c r="G2182" s="21" t="inlineStr">
        <is>
          <t>TOTAL</t>
        </is>
      </c>
    </row>
    <row r="2183" ht="29" customHeight="1">
      <c r="A2183" s="22" t="inlineStr">
        <is>
          <t>00035277</t>
        </is>
      </c>
      <c r="B2183" s="23" t="inlineStr">
        <is>
          <t>CAIXA DE GORDURA EM PVC, DIAMETRO MINIMO 300 MM, DIAMETRO DE SAIDA 100 MM, CAPACIDADE APROXIMADA 18 LITROS, COM TAMPA E CESTO</t>
        </is>
      </c>
      <c r="C2183" s="22" t="inlineStr">
        <is>
          <t>SINAPI</t>
        </is>
      </c>
      <c r="D2183" s="22" t="inlineStr">
        <is>
          <t>UN</t>
        </is>
      </c>
      <c r="E2183" s="63" t="n">
        <v>1</v>
      </c>
      <c r="F2183" s="64">
        <f>ROUND(M2183*FATOR, 2)</f>
        <v/>
      </c>
      <c r="G2183" s="64">
        <f>TRUNC(TRUNC(E2183,8)*F2183,2)</f>
        <v/>
      </c>
      <c r="L2183" t="n">
        <v>1</v>
      </c>
      <c r="M2183" t="n">
        <v>467.28</v>
      </c>
      <c r="N2183">
        <f>(M2183-F2183)</f>
        <v/>
      </c>
    </row>
    <row r="2184" ht="15" customHeight="1">
      <c r="A2184" s="2" t="inlineStr"/>
      <c r="B2184" s="2" t="inlineStr"/>
      <c r="C2184" s="2" t="inlineStr"/>
      <c r="D2184" s="2" t="inlineStr"/>
      <c r="E2184" s="26" t="inlineStr">
        <is>
          <t>TOTAL Material:</t>
        </is>
      </c>
      <c r="F2184" s="56" t="n"/>
      <c r="G2184" s="65">
        <f>SUM(G2183:G2183)</f>
        <v/>
      </c>
    </row>
    <row r="2185" ht="15" customHeight="1">
      <c r="A2185" s="20" t="inlineStr">
        <is>
          <t>Mão de Obra com Encargos Complementares</t>
        </is>
      </c>
      <c r="B2185" s="56" t="n"/>
      <c r="C2185" s="21" t="inlineStr">
        <is>
          <t>FONTE</t>
        </is>
      </c>
      <c r="D2185" s="21" t="inlineStr">
        <is>
          <t>UNID</t>
        </is>
      </c>
      <c r="E2185" s="21" t="inlineStr">
        <is>
          <t>COEFICIENTE</t>
        </is>
      </c>
      <c r="F2185" s="21" t="inlineStr">
        <is>
          <t>PREÇO UNITÁRIO</t>
        </is>
      </c>
      <c r="G2185" s="21" t="inlineStr">
        <is>
          <t>TOTAL</t>
        </is>
      </c>
    </row>
    <row r="2186" ht="15" customHeight="1">
      <c r="A2186" s="22" t="inlineStr">
        <is>
          <t>88309</t>
        </is>
      </c>
      <c r="B2186" s="23" t="inlineStr">
        <is>
          <t>PEDREIRO COM ENCARGOS COMPLEMENTARES</t>
        </is>
      </c>
      <c r="C2186" s="22" t="inlineStr">
        <is>
          <t>SINAPI</t>
        </is>
      </c>
      <c r="D2186" s="22" t="inlineStr">
        <is>
          <t>H</t>
        </is>
      </c>
      <c r="E2186" s="63">
        <f>L2186*FATOR</f>
        <v/>
      </c>
      <c r="F2186" s="64">
        <f>'COMPOSICOES AUXILIARES'!G2887</f>
        <v/>
      </c>
      <c r="G2186" s="64">
        <f>TRUNC(TRUNC(E2186,8)*F2186,2)</f>
        <v/>
      </c>
      <c r="L2186" t="n">
        <v>0.284</v>
      </c>
      <c r="M2186" t="n">
        <v>30.58</v>
      </c>
      <c r="N2186">
        <f>(M2186-F2186)</f>
        <v/>
      </c>
    </row>
    <row r="2187" ht="15" customHeight="1">
      <c r="A2187" s="22" t="inlineStr">
        <is>
          <t>88316</t>
        </is>
      </c>
      <c r="B2187" s="23" t="inlineStr">
        <is>
          <t>SERVENTE COM ENCARGOS COMPLEMENTARES</t>
        </is>
      </c>
      <c r="C2187" s="22" t="inlineStr">
        <is>
          <t>SINAPI</t>
        </is>
      </c>
      <c r="D2187" s="22" t="inlineStr">
        <is>
          <t>H</t>
        </is>
      </c>
      <c r="E2187" s="63">
        <f>L2187*FATOR</f>
        <v/>
      </c>
      <c r="F2187" s="64">
        <f>'COMPOSICOES AUXILIARES'!G3390</f>
        <v/>
      </c>
      <c r="G2187" s="64">
        <f>TRUNC(TRUNC(E2187,8)*F2187,2)</f>
        <v/>
      </c>
      <c r="L2187" t="n">
        <v>0.2231</v>
      </c>
      <c r="M2187" t="n">
        <v>23.56</v>
      </c>
      <c r="N2187">
        <f>(M2187-F2187)</f>
        <v/>
      </c>
    </row>
    <row r="2188" ht="18" customHeight="1">
      <c r="A2188" s="2" t="inlineStr"/>
      <c r="B2188" s="2" t="inlineStr"/>
      <c r="C2188" s="2" t="inlineStr"/>
      <c r="D2188" s="2" t="inlineStr"/>
      <c r="E2188" s="26" t="inlineStr">
        <is>
          <t>TOTAL Mão de Obra com Encargos Complementares:</t>
        </is>
      </c>
      <c r="F2188" s="56" t="n"/>
      <c r="G2188" s="65">
        <f>SUM(G2186:G2187)</f>
        <v/>
      </c>
    </row>
    <row r="2189" ht="15" customHeight="1">
      <c r="A2189" s="20" t="inlineStr">
        <is>
          <t>Serviço</t>
        </is>
      </c>
      <c r="B2189" s="56" t="n"/>
      <c r="C2189" s="21" t="inlineStr">
        <is>
          <t>FONTE</t>
        </is>
      </c>
      <c r="D2189" s="21" t="inlineStr">
        <is>
          <t>UNID</t>
        </is>
      </c>
      <c r="E2189" s="21" t="inlineStr">
        <is>
          <t>COEFICIENTE</t>
        </is>
      </c>
      <c r="F2189" s="21" t="inlineStr">
        <is>
          <t>PREÇO UNITÁRIO</t>
        </is>
      </c>
      <c r="G2189" s="21" t="inlineStr">
        <is>
          <t>TOTAL</t>
        </is>
      </c>
    </row>
    <row r="2190" ht="29" customHeight="1">
      <c r="A2190" s="22" t="inlineStr">
        <is>
          <t>101618</t>
        </is>
      </c>
      <c r="B2190" s="23" t="inlineStr">
        <is>
          <t>PREPARO DE FUNDO DE VALA COM LARGURA MENOR QUE 1,5 M, COM CAMADA DE AREIA, LANÇAMENTO MANUAL. AF_08/2020</t>
        </is>
      </c>
      <c r="C2190" s="22" t="inlineStr">
        <is>
          <t>SINAPI</t>
        </is>
      </c>
      <c r="D2190" s="22" t="inlineStr">
        <is>
          <t>M3</t>
        </is>
      </c>
      <c r="E2190" s="63" t="n">
        <v>0.0141</v>
      </c>
      <c r="F2190" s="64">
        <f>'COMPOSICOES AUXILIARES'!G3220</f>
        <v/>
      </c>
      <c r="G2190" s="64">
        <f>TRUNC(TRUNC(E2190,8)*F2190,2)</f>
        <v/>
      </c>
      <c r="L2190" t="n">
        <v>0.0141</v>
      </c>
      <c r="M2190" t="n">
        <v>281.89</v>
      </c>
      <c r="N2190">
        <f>(M2190-F2190)</f>
        <v/>
      </c>
    </row>
    <row r="2191" ht="15" customHeight="1">
      <c r="A2191" s="2" t="inlineStr"/>
      <c r="B2191" s="2" t="inlineStr"/>
      <c r="C2191" s="2" t="inlineStr"/>
      <c r="D2191" s="2" t="inlineStr"/>
      <c r="E2191" s="26" t="inlineStr">
        <is>
          <t>TOTAL Serviço:</t>
        </is>
      </c>
      <c r="F2191" s="56" t="n"/>
      <c r="G2191" s="65">
        <f>SUM(G2190:G2190)</f>
        <v/>
      </c>
    </row>
    <row r="2192" ht="15" customHeight="1">
      <c r="A2192" s="2" t="inlineStr"/>
      <c r="B2192" s="2" t="inlineStr"/>
      <c r="C2192" s="2" t="inlineStr"/>
      <c r="D2192" s="2" t="inlineStr"/>
      <c r="E2192" s="28" t="inlineStr">
        <is>
          <t>VALOR:</t>
        </is>
      </c>
      <c r="F2192" s="56" t="n"/>
      <c r="G2192" s="66">
        <f>SUM(G2184,G2188,G2191)</f>
        <v/>
      </c>
    </row>
    <row r="2193" ht="15" customHeight="1">
      <c r="A2193" s="2" t="inlineStr"/>
      <c r="B2193" s="2" t="inlineStr"/>
      <c r="C2193" s="2" t="inlineStr"/>
      <c r="D2193" s="2" t="inlineStr"/>
      <c r="E2193" s="28" t="inlineStr">
        <is>
          <t>VALOR BDI (23.08%):</t>
        </is>
      </c>
      <c r="F2193" s="56" t="n"/>
      <c r="G2193" s="66">
        <f>ROUNDDOWN(G2192*BDI,2)</f>
        <v/>
      </c>
    </row>
    <row r="2194" ht="15" customHeight="1">
      <c r="A2194" s="2" t="inlineStr"/>
      <c r="B2194" s="2" t="inlineStr"/>
      <c r="C2194" s="2" t="inlineStr"/>
      <c r="D2194" s="2" t="inlineStr"/>
      <c r="E2194" s="28" t="inlineStr">
        <is>
          <t>VALOR COM BDI:</t>
        </is>
      </c>
      <c r="F2194" s="56" t="n"/>
      <c r="G2194" s="66">
        <f>G2193 + G2192</f>
        <v/>
      </c>
    </row>
    <row r="2195" ht="10" customHeight="1">
      <c r="A2195" s="2" t="inlineStr"/>
      <c r="B2195" s="2" t="inlineStr"/>
      <c r="C2195" s="2" t="inlineStr"/>
      <c r="D2195" s="2" t="inlineStr"/>
      <c r="E2195" s="18" t="inlineStr"/>
    </row>
    <row r="2196" ht="20" customHeight="1">
      <c r="A2196" s="19" t="inlineStr">
        <is>
          <t>8.2.9.2. ​97895​ CAIXA ENTERRADA HIDRÁULICA RETANGULAR, EM CONCRETO PRÉ-MOLDADO, DIMENSÕES INTERNAS:0,3X0,3X0,3 M. AF_12/2020​ (UN)</t>
        </is>
      </c>
      <c r="B2196" s="55" t="n"/>
      <c r="C2196" s="55" t="n"/>
      <c r="D2196" s="55" t="n"/>
      <c r="E2196" s="55" t="n"/>
      <c r="F2196" s="55" t="n"/>
      <c r="G2196" s="56" t="n"/>
    </row>
    <row r="2197" ht="15" customHeight="1">
      <c r="A2197" s="20" t="inlineStr">
        <is>
          <t>Material</t>
        </is>
      </c>
      <c r="B2197" s="56" t="n"/>
      <c r="C2197" s="21" t="inlineStr">
        <is>
          <t>FONTE</t>
        </is>
      </c>
      <c r="D2197" s="21" t="inlineStr">
        <is>
          <t>UNID</t>
        </is>
      </c>
      <c r="E2197" s="21" t="inlineStr">
        <is>
          <t>COEFICIENTE</t>
        </is>
      </c>
      <c r="F2197" s="21" t="inlineStr">
        <is>
          <t>PREÇO UNITÁRIO</t>
        </is>
      </c>
      <c r="G2197" s="21" t="inlineStr">
        <is>
          <t>TOTAL</t>
        </is>
      </c>
    </row>
    <row r="2198" ht="21" customHeight="1">
      <c r="A2198" s="22" t="inlineStr">
        <is>
          <t>00041627</t>
        </is>
      </c>
      <c r="B2198" s="23" t="inlineStr">
        <is>
          <t>CAIXA DE CONCRETO ARMADO PRE-MOLDADO, COM FUNDO E TAMPA, DIMENSOES DE 0,30 X 0,30 X 0,30 M</t>
        </is>
      </c>
      <c r="C2198" s="22" t="inlineStr">
        <is>
          <t>SINAPI</t>
        </is>
      </c>
      <c r="D2198" s="22" t="inlineStr">
        <is>
          <t>UN</t>
        </is>
      </c>
      <c r="E2198" s="63" t="n">
        <v>1</v>
      </c>
      <c r="F2198" s="64">
        <f>ROUND(M2198*FATOR, 2)</f>
        <v/>
      </c>
      <c r="G2198" s="64">
        <f>TRUNC(TRUNC(E2198,8)*F2198,2)</f>
        <v/>
      </c>
      <c r="L2198" t="n">
        <v>1</v>
      </c>
      <c r="M2198" t="n">
        <v>236.3</v>
      </c>
      <c r="N2198">
        <f>(M2198-F2198)</f>
        <v/>
      </c>
    </row>
    <row r="2199" ht="15" customHeight="1">
      <c r="A2199" s="2" t="inlineStr"/>
      <c r="B2199" s="2" t="inlineStr"/>
      <c r="C2199" s="2" t="inlineStr"/>
      <c r="D2199" s="2" t="inlineStr"/>
      <c r="E2199" s="26" t="inlineStr">
        <is>
          <t>TOTAL Material:</t>
        </is>
      </c>
      <c r="F2199" s="56" t="n"/>
      <c r="G2199" s="65">
        <f>SUM(G2198:G2198)</f>
        <v/>
      </c>
    </row>
    <row r="2200" ht="15" customHeight="1">
      <c r="A2200" s="20" t="inlineStr">
        <is>
          <t>Mão de Obra com Encargos Complementares</t>
        </is>
      </c>
      <c r="B2200" s="56" t="n"/>
      <c r="C2200" s="21" t="inlineStr">
        <is>
          <t>FONTE</t>
        </is>
      </c>
      <c r="D2200" s="21" t="inlineStr">
        <is>
          <t>UNID</t>
        </is>
      </c>
      <c r="E2200" s="21" t="inlineStr">
        <is>
          <t>COEFICIENTE</t>
        </is>
      </c>
      <c r="F2200" s="21" t="inlineStr">
        <is>
          <t>PREÇO UNITÁRIO</t>
        </is>
      </c>
      <c r="G2200" s="21" t="inlineStr">
        <is>
          <t>TOTAL</t>
        </is>
      </c>
    </row>
    <row r="2201" ht="15" customHeight="1">
      <c r="A2201" s="22" t="inlineStr">
        <is>
          <t>88309</t>
        </is>
      </c>
      <c r="B2201" s="23" t="inlineStr">
        <is>
          <t>PEDREIRO COM ENCARGOS COMPLEMENTARES</t>
        </is>
      </c>
      <c r="C2201" s="22" t="inlineStr">
        <is>
          <t>SINAPI</t>
        </is>
      </c>
      <c r="D2201" s="22" t="inlineStr">
        <is>
          <t>H</t>
        </is>
      </c>
      <c r="E2201" s="63">
        <f>L2201*FATOR</f>
        <v/>
      </c>
      <c r="F2201" s="64">
        <f>'COMPOSICOES AUXILIARES'!G2887</f>
        <v/>
      </c>
      <c r="G2201" s="64">
        <f>TRUNC(TRUNC(E2201,8)*F2201,2)</f>
        <v/>
      </c>
      <c r="L2201" t="n">
        <v>0.0259</v>
      </c>
      <c r="M2201" t="n">
        <v>30.58</v>
      </c>
      <c r="N2201">
        <f>(M2201-F2201)</f>
        <v/>
      </c>
    </row>
    <row r="2202" ht="15" customHeight="1">
      <c r="A2202" s="22" t="inlineStr">
        <is>
          <t>88316</t>
        </is>
      </c>
      <c r="B2202" s="23" t="inlineStr">
        <is>
          <t>SERVENTE COM ENCARGOS COMPLEMENTARES</t>
        </is>
      </c>
      <c r="C2202" s="22" t="inlineStr">
        <is>
          <t>SINAPI</t>
        </is>
      </c>
      <c r="D2202" s="22" t="inlineStr">
        <is>
          <t>H</t>
        </is>
      </c>
      <c r="E2202" s="63">
        <f>L2202*FATOR</f>
        <v/>
      </c>
      <c r="F2202" s="64">
        <f>'COMPOSICOES AUXILIARES'!G3390</f>
        <v/>
      </c>
      <c r="G2202" s="64">
        <f>TRUNC(TRUNC(E2202,8)*F2202,2)</f>
        <v/>
      </c>
      <c r="L2202" t="n">
        <v>0.0204</v>
      </c>
      <c r="M2202" t="n">
        <v>23.56</v>
      </c>
      <c r="N2202">
        <f>(M2202-F2202)</f>
        <v/>
      </c>
    </row>
    <row r="2203" ht="18" customHeight="1">
      <c r="A2203" s="2" t="inlineStr"/>
      <c r="B2203" s="2" t="inlineStr"/>
      <c r="C2203" s="2" t="inlineStr"/>
      <c r="D2203" s="2" t="inlineStr"/>
      <c r="E2203" s="26" t="inlineStr">
        <is>
          <t>TOTAL Mão de Obra com Encargos Complementares:</t>
        </is>
      </c>
      <c r="F2203" s="56" t="n"/>
      <c r="G2203" s="65">
        <f>SUM(G2201:G2202)</f>
        <v/>
      </c>
    </row>
    <row r="2204" ht="15" customHeight="1">
      <c r="A2204" s="20" t="inlineStr">
        <is>
          <t>Serviço</t>
        </is>
      </c>
      <c r="B2204" s="56" t="n"/>
      <c r="C2204" s="21" t="inlineStr">
        <is>
          <t>FONTE</t>
        </is>
      </c>
      <c r="D2204" s="21" t="inlineStr">
        <is>
          <t>UNID</t>
        </is>
      </c>
      <c r="E2204" s="21" t="inlineStr">
        <is>
          <t>COEFICIENTE</t>
        </is>
      </c>
      <c r="F2204" s="21" t="inlineStr">
        <is>
          <t>PREÇO UNITÁRIO</t>
        </is>
      </c>
      <c r="G2204" s="21" t="inlineStr">
        <is>
          <t>TOTAL</t>
        </is>
      </c>
    </row>
    <row r="2205" ht="29" customHeight="1">
      <c r="A2205" s="22" t="inlineStr">
        <is>
          <t>101618</t>
        </is>
      </c>
      <c r="B2205" s="23" t="inlineStr">
        <is>
          <t>PREPARO DE FUNDO DE VALA COM LARGURA MENOR QUE 1,5 M, COM CAMADA DE AREIA, LANÇAMENTO MANUAL. AF_08/2020</t>
        </is>
      </c>
      <c r="C2205" s="22" t="inlineStr">
        <is>
          <t>SINAPI</t>
        </is>
      </c>
      <c r="D2205" s="22" t="inlineStr">
        <is>
          <t>M3</t>
        </is>
      </c>
      <c r="E2205" s="63" t="n">
        <v>0.018</v>
      </c>
      <c r="F2205" s="64">
        <f>'COMPOSICOES AUXILIARES'!G3220</f>
        <v/>
      </c>
      <c r="G2205" s="64">
        <f>TRUNC(TRUNC(E2205,8)*F2205,2)</f>
        <v/>
      </c>
      <c r="L2205" t="n">
        <v>0.018</v>
      </c>
      <c r="M2205" t="n">
        <v>281.89</v>
      </c>
      <c r="N2205">
        <f>(M2205-F2205)</f>
        <v/>
      </c>
    </row>
    <row r="2206" ht="15" customHeight="1">
      <c r="A2206" s="2" t="inlineStr"/>
      <c r="B2206" s="2" t="inlineStr"/>
      <c r="C2206" s="2" t="inlineStr"/>
      <c r="D2206" s="2" t="inlineStr"/>
      <c r="E2206" s="26" t="inlineStr">
        <is>
          <t>TOTAL Serviço:</t>
        </is>
      </c>
      <c r="F2206" s="56" t="n"/>
      <c r="G2206" s="65">
        <f>SUM(G2205:G2205)</f>
        <v/>
      </c>
    </row>
    <row r="2207" ht="15" customHeight="1">
      <c r="A2207" s="2" t="inlineStr"/>
      <c r="B2207" s="2" t="inlineStr"/>
      <c r="C2207" s="2" t="inlineStr"/>
      <c r="D2207" s="2" t="inlineStr"/>
      <c r="E2207" s="28" t="inlineStr">
        <is>
          <t>VALOR:</t>
        </is>
      </c>
      <c r="F2207" s="56" t="n"/>
      <c r="G2207" s="66">
        <f>SUM(G2203,G2206,G2199)</f>
        <v/>
      </c>
    </row>
    <row r="2208" ht="15" customHeight="1">
      <c r="A2208" s="2" t="inlineStr"/>
      <c r="B2208" s="2" t="inlineStr"/>
      <c r="C2208" s="2" t="inlineStr"/>
      <c r="D2208" s="2" t="inlineStr"/>
      <c r="E2208" s="28" t="inlineStr">
        <is>
          <t>VALOR BDI (23.08%):</t>
        </is>
      </c>
      <c r="F2208" s="56" t="n"/>
      <c r="G2208" s="66">
        <f>ROUNDDOWN(G2207*BDI,2)</f>
        <v/>
      </c>
    </row>
    <row r="2209" ht="15" customHeight="1">
      <c r="A2209" s="2" t="inlineStr"/>
      <c r="B2209" s="2" t="inlineStr"/>
      <c r="C2209" s="2" t="inlineStr"/>
      <c r="D2209" s="2" t="inlineStr"/>
      <c r="E2209" s="28" t="inlineStr">
        <is>
          <t>VALOR COM BDI:</t>
        </is>
      </c>
      <c r="F2209" s="56" t="n"/>
      <c r="G2209" s="66">
        <f>G2208 + G2207</f>
        <v/>
      </c>
    </row>
    <row r="2210" ht="10" customHeight="1">
      <c r="A2210" s="2" t="inlineStr"/>
      <c r="B2210" s="2" t="inlineStr"/>
      <c r="C2210" s="2" t="inlineStr"/>
      <c r="D2210" s="2" t="inlineStr"/>
      <c r="E2210" s="18" t="inlineStr"/>
    </row>
    <row r="2211" ht="20" customHeight="1">
      <c r="A2211" s="19" t="inlineStr">
        <is>
          <t>8.2.9.3. ​97897​ CAIXA ENTERRADA HIDRÁULICA RETANGULAR, EM CONCRETO PRÉ-MOLDADO, DIMENSÕES INTERNAS:0,6X0,6X0,5 M. AF_12/2020​ (UN)</t>
        </is>
      </c>
      <c r="B2211" s="55" t="n"/>
      <c r="C2211" s="55" t="n"/>
      <c r="D2211" s="55" t="n"/>
      <c r="E2211" s="55" t="n"/>
      <c r="F2211" s="55" t="n"/>
      <c r="G2211" s="56" t="n"/>
    </row>
    <row r="2212" ht="15" customHeight="1">
      <c r="A2212" s="20" t="inlineStr">
        <is>
          <t>Equipamento Custo Horário</t>
        </is>
      </c>
      <c r="B2212" s="56" t="n"/>
      <c r="C2212" s="21" t="inlineStr">
        <is>
          <t>FONTE</t>
        </is>
      </c>
      <c r="D2212" s="21" t="inlineStr">
        <is>
          <t>UNID</t>
        </is>
      </c>
      <c r="E2212" s="21" t="inlineStr">
        <is>
          <t>COEFICIENTE</t>
        </is>
      </c>
      <c r="F2212" s="21" t="inlineStr">
        <is>
          <t>PREÇO UNITÁRIO</t>
        </is>
      </c>
      <c r="G2212" s="21" t="inlineStr">
        <is>
          <t>TOTAL</t>
        </is>
      </c>
    </row>
    <row r="2213" ht="46" customHeight="1">
      <c r="A2213" s="22" t="inlineStr">
        <is>
          <t>5679</t>
        </is>
      </c>
      <c r="B2213" s="23" t="inlineStr">
        <is>
          <t>RETROESCAVADEIRA SOBRE RODAS COM CARREGADEIRA, TRAÇÃO 4X4, POTÊNCIA LÍQ. 88 HP, CAÇAMBA CARREG. CAP. MÍN. 1 M3, CAÇAMBA RETRO CAP. 0,26 M3, PESO OPERACIONAL MÍN. 6.674 KG, PROFUNDIDADE ESCAVAÇÃO MÁX. 4,37 M - CHI DIURNO. AF_06/2014</t>
        </is>
      </c>
      <c r="C2213" s="22" t="inlineStr">
        <is>
          <t>SINAPI</t>
        </is>
      </c>
      <c r="D2213" s="22" t="inlineStr">
        <is>
          <t>CHI</t>
        </is>
      </c>
      <c r="E2213" s="63" t="n">
        <v>0.0888</v>
      </c>
      <c r="F2213" s="64">
        <f>'COMPOSICOES AUXILIARES'!G3248</f>
        <v/>
      </c>
      <c r="G2213" s="64">
        <f>TRUNC(TRUNC(E2213,8)*F2213,2)</f>
        <v/>
      </c>
      <c r="L2213" t="n">
        <v>0.0888</v>
      </c>
      <c r="M2213" t="n">
        <v>69.12</v>
      </c>
      <c r="N2213">
        <f>(M2213-F2213)</f>
        <v/>
      </c>
    </row>
    <row r="2214" ht="46" customHeight="1">
      <c r="A2214" s="22" t="inlineStr">
        <is>
          <t>5678</t>
        </is>
      </c>
      <c r="B2214" s="23" t="inlineStr">
        <is>
          <t>RETROESCAVADEIRA SOBRE RODAS COM CARREGADEIRA, TRAÇÃO 4X4, POTÊNCIA LÍQ. 88 HP, CAÇAMBA CARREG. CAP. MÍN. 1 M3, CAÇAMBA RETRO CAP. 0,26 M3, PESO OPERACIONAL MÍN. 6.674 KG, PROFUNDIDADE ESCAVAÇÃO MÁX. 4,37 M - CHP DIURNO. AF_06/2014</t>
        </is>
      </c>
      <c r="C2214" s="22" t="inlineStr">
        <is>
          <t>SINAPI</t>
        </is>
      </c>
      <c r="D2214" s="22" t="inlineStr">
        <is>
          <t>CHP</t>
        </is>
      </c>
      <c r="E2214" s="63" t="n">
        <v>0.0436</v>
      </c>
      <c r="F2214" s="64">
        <f>'COMPOSICOES AUXILIARES'!G3262</f>
        <v/>
      </c>
      <c r="G2214" s="64">
        <f>TRUNC(TRUNC(E2214,8)*F2214,2)</f>
        <v/>
      </c>
      <c r="L2214" t="n">
        <v>0.0436</v>
      </c>
      <c r="M2214" t="n">
        <v>152.91</v>
      </c>
      <c r="N2214">
        <f>(M2214-F2214)</f>
        <v/>
      </c>
    </row>
    <row r="2215" ht="18" customHeight="1">
      <c r="A2215" s="2" t="inlineStr"/>
      <c r="B2215" s="2" t="inlineStr"/>
      <c r="C2215" s="2" t="inlineStr"/>
      <c r="D2215" s="2" t="inlineStr"/>
      <c r="E2215" s="26" t="inlineStr">
        <is>
          <t>TOTAL Equipamento Custo Horário:</t>
        </is>
      </c>
      <c r="F2215" s="56" t="n"/>
      <c r="G2215" s="65">
        <f>SUM(G2213:G2214)</f>
        <v/>
      </c>
    </row>
    <row r="2216" ht="15" customHeight="1">
      <c r="A2216" s="20" t="inlineStr">
        <is>
          <t>Material</t>
        </is>
      </c>
      <c r="B2216" s="56" t="n"/>
      <c r="C2216" s="21" t="inlineStr">
        <is>
          <t>FONTE</t>
        </is>
      </c>
      <c r="D2216" s="21" t="inlineStr">
        <is>
          <t>UNID</t>
        </is>
      </c>
      <c r="E2216" s="21" t="inlineStr">
        <is>
          <t>COEFICIENTE</t>
        </is>
      </c>
      <c r="F2216" s="21" t="inlineStr">
        <is>
          <t>PREÇO UNITÁRIO</t>
        </is>
      </c>
      <c r="G2216" s="21" t="inlineStr">
        <is>
          <t>TOTAL</t>
        </is>
      </c>
    </row>
    <row r="2217" ht="21" customHeight="1">
      <c r="A2217" s="22" t="inlineStr">
        <is>
          <t>00041629</t>
        </is>
      </c>
      <c r="B2217" s="23" t="inlineStr">
        <is>
          <t>CAIXA DE CONCRETO ARMADO PRE-MOLDADO, COM FUNDO E TAMPA, DIMENSOES DE 0,60 X 0,60 X 0,50 M</t>
        </is>
      </c>
      <c r="C2217" s="22" t="inlineStr">
        <is>
          <t>SINAPI</t>
        </is>
      </c>
      <c r="D2217" s="22" t="inlineStr">
        <is>
          <t>UN</t>
        </is>
      </c>
      <c r="E2217" s="63" t="n">
        <v>1</v>
      </c>
      <c r="F2217" s="64">
        <f>ROUND(M2217*FATOR, 2)</f>
        <v/>
      </c>
      <c r="G2217" s="64">
        <f>TRUNC(TRUNC(E2217,8)*F2217,2)</f>
        <v/>
      </c>
      <c r="L2217" t="n">
        <v>1</v>
      </c>
      <c r="M2217" t="n">
        <v>551.79</v>
      </c>
      <c r="N2217">
        <f>(M2217-F2217)</f>
        <v/>
      </c>
    </row>
    <row r="2218" ht="15" customHeight="1">
      <c r="A2218" s="2" t="inlineStr"/>
      <c r="B2218" s="2" t="inlineStr"/>
      <c r="C2218" s="2" t="inlineStr"/>
      <c r="D2218" s="2" t="inlineStr"/>
      <c r="E2218" s="26" t="inlineStr">
        <is>
          <t>TOTAL Material:</t>
        </is>
      </c>
      <c r="F2218" s="56" t="n"/>
      <c r="G2218" s="65">
        <f>SUM(G2217:G2217)</f>
        <v/>
      </c>
    </row>
    <row r="2219" ht="15" customHeight="1">
      <c r="A2219" s="20" t="inlineStr">
        <is>
          <t>Mão de Obra com Encargos Complementares</t>
        </is>
      </c>
      <c r="B2219" s="56" t="n"/>
      <c r="C2219" s="21" t="inlineStr">
        <is>
          <t>FONTE</t>
        </is>
      </c>
      <c r="D2219" s="21" t="inlineStr">
        <is>
          <t>UNID</t>
        </is>
      </c>
      <c r="E2219" s="21" t="inlineStr">
        <is>
          <t>COEFICIENTE</t>
        </is>
      </c>
      <c r="F2219" s="21" t="inlineStr">
        <is>
          <t>PREÇO UNITÁRIO</t>
        </is>
      </c>
      <c r="G2219" s="21" t="inlineStr">
        <is>
          <t>TOTAL</t>
        </is>
      </c>
    </row>
    <row r="2220" ht="15" customHeight="1">
      <c r="A2220" s="22" t="inlineStr">
        <is>
          <t>88309</t>
        </is>
      </c>
      <c r="B2220" s="23" t="inlineStr">
        <is>
          <t>PEDREIRO COM ENCARGOS COMPLEMENTARES</t>
        </is>
      </c>
      <c r="C2220" s="22" t="inlineStr">
        <is>
          <t>SINAPI</t>
        </is>
      </c>
      <c r="D2220" s="22" t="inlineStr">
        <is>
          <t>H</t>
        </is>
      </c>
      <c r="E2220" s="63">
        <f>L2220*FATOR</f>
        <v/>
      </c>
      <c r="F2220" s="64">
        <f>'COMPOSICOES AUXILIARES'!G2887</f>
        <v/>
      </c>
      <c r="G2220" s="64">
        <f>TRUNC(TRUNC(E2220,8)*F2220,2)</f>
        <v/>
      </c>
      <c r="L2220" t="n">
        <v>0.0858</v>
      </c>
      <c r="M2220" t="n">
        <v>30.58</v>
      </c>
      <c r="N2220">
        <f>(M2220-F2220)</f>
        <v/>
      </c>
    </row>
    <row r="2221" ht="15" customHeight="1">
      <c r="A2221" s="22" t="inlineStr">
        <is>
          <t>88316</t>
        </is>
      </c>
      <c r="B2221" s="23" t="inlineStr">
        <is>
          <t>SERVENTE COM ENCARGOS COMPLEMENTARES</t>
        </is>
      </c>
      <c r="C2221" s="22" t="inlineStr">
        <is>
          <t>SINAPI</t>
        </is>
      </c>
      <c r="D2221" s="22" t="inlineStr">
        <is>
          <t>H</t>
        </is>
      </c>
      <c r="E2221" s="63">
        <f>L2221*FATOR</f>
        <v/>
      </c>
      <c r="F2221" s="64">
        <f>'COMPOSICOES AUXILIARES'!G3390</f>
        <v/>
      </c>
      <c r="G2221" s="64">
        <f>TRUNC(TRUNC(E2221,8)*F2221,2)</f>
        <v/>
      </c>
      <c r="L2221" t="n">
        <v>0.0674</v>
      </c>
      <c r="M2221" t="n">
        <v>23.56</v>
      </c>
      <c r="N2221">
        <f>(M2221-F2221)</f>
        <v/>
      </c>
    </row>
    <row r="2222" ht="18" customHeight="1">
      <c r="A2222" s="2" t="inlineStr"/>
      <c r="B2222" s="2" t="inlineStr"/>
      <c r="C2222" s="2" t="inlineStr"/>
      <c r="D2222" s="2" t="inlineStr"/>
      <c r="E2222" s="26" t="inlineStr">
        <is>
          <t>TOTAL Mão de Obra com Encargos Complementares:</t>
        </is>
      </c>
      <c r="F2222" s="56" t="n"/>
      <c r="G2222" s="65">
        <f>SUM(G2220:G2221)</f>
        <v/>
      </c>
    </row>
    <row r="2223" ht="15" customHeight="1">
      <c r="A2223" s="20" t="inlineStr">
        <is>
          <t>Serviço</t>
        </is>
      </c>
      <c r="B2223" s="56" t="n"/>
      <c r="C2223" s="21" t="inlineStr">
        <is>
          <t>FONTE</t>
        </is>
      </c>
      <c r="D2223" s="21" t="inlineStr">
        <is>
          <t>UNID</t>
        </is>
      </c>
      <c r="E2223" s="21" t="inlineStr">
        <is>
          <t>COEFICIENTE</t>
        </is>
      </c>
      <c r="F2223" s="21" t="inlineStr">
        <is>
          <t>PREÇO UNITÁRIO</t>
        </is>
      </c>
      <c r="G2223" s="21" t="inlineStr">
        <is>
          <t>TOTAL</t>
        </is>
      </c>
    </row>
    <row r="2224" ht="29" customHeight="1">
      <c r="A2224" s="22" t="inlineStr">
        <is>
          <t>101618</t>
        </is>
      </c>
      <c r="B2224" s="23" t="inlineStr">
        <is>
          <t>PREPARO DE FUNDO DE VALA COM LARGURA MENOR QUE 1,5 M, COM CAMADA DE AREIA, LANÇAMENTO MANUAL. AF_08/2020</t>
        </is>
      </c>
      <c r="C2224" s="22" t="inlineStr">
        <is>
          <t>SINAPI</t>
        </is>
      </c>
      <c r="D2224" s="22" t="inlineStr">
        <is>
          <t>M3</t>
        </is>
      </c>
      <c r="E2224" s="63" t="n">
        <v>0.0405</v>
      </c>
      <c r="F2224" s="64">
        <f>'COMPOSICOES AUXILIARES'!G3220</f>
        <v/>
      </c>
      <c r="G2224" s="64">
        <f>TRUNC(TRUNC(E2224,8)*F2224,2)</f>
        <v/>
      </c>
      <c r="L2224" t="n">
        <v>0.0405</v>
      </c>
      <c r="M2224" t="n">
        <v>281.89</v>
      </c>
      <c r="N2224">
        <f>(M2224-F2224)</f>
        <v/>
      </c>
    </row>
    <row r="2225" ht="15" customHeight="1">
      <c r="A2225" s="2" t="inlineStr"/>
      <c r="B2225" s="2" t="inlineStr"/>
      <c r="C2225" s="2" t="inlineStr"/>
      <c r="D2225" s="2" t="inlineStr"/>
      <c r="E2225" s="26" t="inlineStr">
        <is>
          <t>TOTAL Serviço:</t>
        </is>
      </c>
      <c r="F2225" s="56" t="n"/>
      <c r="G2225" s="65">
        <f>SUM(G2224:G2224)</f>
        <v/>
      </c>
    </row>
    <row r="2226" ht="15" customHeight="1">
      <c r="A2226" s="2" t="inlineStr"/>
      <c r="B2226" s="2" t="inlineStr"/>
      <c r="C2226" s="2" t="inlineStr"/>
      <c r="D2226" s="2" t="inlineStr"/>
      <c r="E2226" s="28" t="inlineStr">
        <is>
          <t>VALOR:</t>
        </is>
      </c>
      <c r="F2226" s="56" t="n"/>
      <c r="G2226" s="66">
        <f>SUM(G2225,G2218,G2222,G2215)</f>
        <v/>
      </c>
    </row>
    <row r="2227" ht="15" customHeight="1">
      <c r="A2227" s="2" t="inlineStr"/>
      <c r="B2227" s="2" t="inlineStr"/>
      <c r="C2227" s="2" t="inlineStr"/>
      <c r="D2227" s="2" t="inlineStr"/>
      <c r="E2227" s="28" t="inlineStr">
        <is>
          <t>VALOR BDI (23.08%):</t>
        </is>
      </c>
      <c r="F2227" s="56" t="n"/>
      <c r="G2227" s="66">
        <f>ROUNDDOWN(G2226*BDI,2)</f>
        <v/>
      </c>
    </row>
    <row r="2228" ht="15" customHeight="1">
      <c r="A2228" s="2" t="inlineStr"/>
      <c r="B2228" s="2" t="inlineStr"/>
      <c r="C2228" s="2" t="inlineStr"/>
      <c r="D2228" s="2" t="inlineStr"/>
      <c r="E2228" s="28" t="inlineStr">
        <is>
          <t>VALOR COM BDI:</t>
        </is>
      </c>
      <c r="F2228" s="56" t="n"/>
      <c r="G2228" s="66">
        <f>G2227 + G2226</f>
        <v/>
      </c>
    </row>
    <row r="2229" ht="10" customHeight="1">
      <c r="A2229" s="2" t="inlineStr"/>
      <c r="B2229" s="2" t="inlineStr"/>
      <c r="C2229" s="2" t="inlineStr"/>
      <c r="D2229" s="2" t="inlineStr"/>
      <c r="E2229" s="18" t="inlineStr"/>
    </row>
    <row r="2230" ht="20" customHeight="1">
      <c r="A2230" s="19" t="inlineStr">
        <is>
          <t>8.2.9.4. ​429 PRÓPRIO​ CAIXA INSPEÇÃO EM CONCRETO PRÉ MOLDADO CIRCULAR COM TAMPA DEFERRO FUNDIDO - Ø60CM​ (UN)</t>
        </is>
      </c>
      <c r="B2230" s="55" t="n"/>
      <c r="C2230" s="55" t="n"/>
      <c r="D2230" s="55" t="n"/>
      <c r="E2230" s="55" t="n"/>
      <c r="F2230" s="55" t="n"/>
      <c r="G2230" s="56" t="n"/>
    </row>
    <row r="2231" ht="15" customHeight="1">
      <c r="A2231" s="20" t="inlineStr">
        <is>
          <t>Material</t>
        </is>
      </c>
      <c r="B2231" s="56" t="n"/>
      <c r="C2231" s="21" t="inlineStr">
        <is>
          <t>FONTE</t>
        </is>
      </c>
      <c r="D2231" s="21" t="inlineStr">
        <is>
          <t>UNID</t>
        </is>
      </c>
      <c r="E2231" s="21" t="inlineStr">
        <is>
          <t>COEFICIENTE</t>
        </is>
      </c>
      <c r="F2231" s="21" t="inlineStr">
        <is>
          <t>PREÇO UNITÁRIO</t>
        </is>
      </c>
      <c r="G2231" s="21" t="inlineStr">
        <is>
          <t>TOTAL</t>
        </is>
      </c>
    </row>
    <row r="2232" ht="29" customHeight="1">
      <c r="A2232" s="22" t="inlineStr">
        <is>
          <t>00043441</t>
        </is>
      </c>
      <c r="B2232" s="23" t="inlineStr">
        <is>
          <t>ANEL EM CONCRETO ARMADO, LISO, PARA POCOS DE INSPECAO, COM FUNDO, DIAMETRO INTERNO DE 0,60 M E ALTURA DE 0,50 M</t>
        </is>
      </c>
      <c r="C2232" s="22" t="inlineStr">
        <is>
          <t>SINAPI</t>
        </is>
      </c>
      <c r="D2232" s="22" t="inlineStr">
        <is>
          <t>UN</t>
        </is>
      </c>
      <c r="E2232" s="63" t="n">
        <v>1</v>
      </c>
      <c r="F2232" s="64">
        <f>ROUND(M2232*FATOR, 2)</f>
        <v/>
      </c>
      <c r="G2232" s="64">
        <f>ROUND(ROUND(E2232,8)*F2232,2)</f>
        <v/>
      </c>
      <c r="L2232" t="n">
        <v>1</v>
      </c>
      <c r="M2232" t="n">
        <v>229.91</v>
      </c>
      <c r="N2232">
        <f>(M2232-F2232)</f>
        <v/>
      </c>
    </row>
    <row r="2233" ht="29" customHeight="1">
      <c r="A2233" s="22" t="inlineStr">
        <is>
          <t>00011301</t>
        </is>
      </c>
      <c r="B2233" s="23" t="inlineStr">
        <is>
          <t>TAMPAO FOFO ARTICULADO, COM BASE / REQUADRO, CLASSE B125 CARGA MAX 12,5 T, REDONDO, TAMPA 600 MM (COM INSCRICAO EM RELEVO DO TIPO DE REDE)</t>
        </is>
      </c>
      <c r="C2233" s="22" t="inlineStr">
        <is>
          <t>SINAPI</t>
        </is>
      </c>
      <c r="D2233" s="22" t="inlineStr">
        <is>
          <t>UN</t>
        </is>
      </c>
      <c r="E2233" s="63" t="n">
        <v>1</v>
      </c>
      <c r="F2233" s="64">
        <f>ROUND(M2233*FATOR, 2)</f>
        <v/>
      </c>
      <c r="G2233" s="64">
        <f>ROUND(ROUND(E2233,8)*F2233,2)</f>
        <v/>
      </c>
      <c r="L2233" t="n">
        <v>1</v>
      </c>
      <c r="M2233" t="n">
        <v>558.09</v>
      </c>
      <c r="N2233">
        <f>(M2233-F2233)</f>
        <v/>
      </c>
    </row>
    <row r="2234" ht="15" customHeight="1">
      <c r="A2234" s="2" t="inlineStr"/>
      <c r="B2234" s="2" t="inlineStr"/>
      <c r="C2234" s="2" t="inlineStr"/>
      <c r="D2234" s="2" t="inlineStr"/>
      <c r="E2234" s="26" t="inlineStr">
        <is>
          <t>TOTAL Material:</t>
        </is>
      </c>
      <c r="F2234" s="56" t="n"/>
      <c r="G2234" s="65">
        <f>SUM(G2232:G2233)</f>
        <v/>
      </c>
    </row>
    <row r="2235" ht="15" customHeight="1">
      <c r="A2235" s="20" t="inlineStr">
        <is>
          <t>Mão de Obra com Encargos Complementares</t>
        </is>
      </c>
      <c r="B2235" s="56" t="n"/>
      <c r="C2235" s="21" t="inlineStr">
        <is>
          <t>FONTE</t>
        </is>
      </c>
      <c r="D2235" s="21" t="inlineStr">
        <is>
          <t>UNID</t>
        </is>
      </c>
      <c r="E2235" s="21" t="inlineStr">
        <is>
          <t>COEFICIENTE</t>
        </is>
      </c>
      <c r="F2235" s="21" t="inlineStr">
        <is>
          <t>PREÇO UNITÁRIO</t>
        </is>
      </c>
      <c r="G2235" s="21" t="inlineStr">
        <is>
          <t>TOTAL</t>
        </is>
      </c>
    </row>
    <row r="2236" ht="21" customHeight="1">
      <c r="A2236" s="22" t="inlineStr">
        <is>
          <t>88248</t>
        </is>
      </c>
      <c r="B2236" s="23" t="inlineStr">
        <is>
          <t>AUXILIAR DE ENCANADOR OU BOMBEIRO HIDRÁULICO COM ENCARGOS COMPLEMENTARES</t>
        </is>
      </c>
      <c r="C2236" s="22" t="inlineStr">
        <is>
          <t>SINAPI</t>
        </is>
      </c>
      <c r="D2236" s="22" t="inlineStr">
        <is>
          <t>H</t>
        </is>
      </c>
      <c r="E2236" s="63">
        <f>L2236*FATOR</f>
        <v/>
      </c>
      <c r="F2236" s="64">
        <f>'COMPOSICOES AUXILIARES'!G524</f>
        <v/>
      </c>
      <c r="G2236" s="64">
        <f>ROUND(ROUND(E2236,8)*F2236,2)</f>
        <v/>
      </c>
      <c r="L2236" t="n">
        <v>1.759</v>
      </c>
      <c r="M2236" t="n">
        <v>24.23</v>
      </c>
      <c r="N2236">
        <f>(M2236-F2236)</f>
        <v/>
      </c>
    </row>
    <row r="2237" ht="21" customHeight="1">
      <c r="A2237" s="22" t="inlineStr">
        <is>
          <t>88267</t>
        </is>
      </c>
      <c r="B2237" s="23" t="inlineStr">
        <is>
          <t>ENCANADOR OU BOMBEIRO HIDRÁULICO COM ENCARGOS COMPLEMENTARES</t>
        </is>
      </c>
      <c r="C2237" s="22" t="inlineStr">
        <is>
          <t>SINAPI</t>
        </is>
      </c>
      <c r="D2237" s="22" t="inlineStr">
        <is>
          <t>H</t>
        </is>
      </c>
      <c r="E2237" s="63">
        <f>L2237*FATOR</f>
        <v/>
      </c>
      <c r="F2237" s="64">
        <f>'COMPOSICOES AUXILIARES'!G524</f>
        <v/>
      </c>
      <c r="G2237" s="64">
        <f>ROUND(ROUND(E2237,8)*F2237,2)</f>
        <v/>
      </c>
      <c r="L2237" t="n">
        <v>1.759</v>
      </c>
      <c r="M2237" t="n">
        <v>29.86</v>
      </c>
      <c r="N2237">
        <f>(M2237-F2237)</f>
        <v/>
      </c>
    </row>
    <row r="2238" ht="18" customHeight="1">
      <c r="A2238" s="2" t="inlineStr"/>
      <c r="B2238" s="2" t="inlineStr"/>
      <c r="C2238" s="2" t="inlineStr"/>
      <c r="D2238" s="2" t="inlineStr"/>
      <c r="E2238" s="26" t="inlineStr">
        <is>
          <t>TOTAL Mão de Obra com Encargos Complementares:</t>
        </is>
      </c>
      <c r="F2238" s="56" t="n"/>
      <c r="G2238" s="65">
        <f>SUM(G2236:G2237)</f>
        <v/>
      </c>
    </row>
    <row r="2239" ht="15" customHeight="1">
      <c r="A2239" s="2" t="inlineStr"/>
      <c r="B2239" s="2" t="inlineStr"/>
      <c r="C2239" s="2" t="inlineStr"/>
      <c r="D2239" s="2" t="inlineStr"/>
      <c r="E2239" s="28" t="inlineStr">
        <is>
          <t>VALOR:</t>
        </is>
      </c>
      <c r="F2239" s="56" t="n"/>
      <c r="G2239" s="66">
        <f>SUM(G2234,G2238)</f>
        <v/>
      </c>
    </row>
    <row r="2240" ht="15" customHeight="1">
      <c r="A2240" s="2" t="inlineStr"/>
      <c r="B2240" s="2" t="inlineStr"/>
      <c r="C2240" s="2" t="inlineStr"/>
      <c r="D2240" s="2" t="inlineStr"/>
      <c r="E2240" s="28" t="inlineStr">
        <is>
          <t>VALOR BDI (23.08%):</t>
        </is>
      </c>
      <c r="F2240" s="56" t="n"/>
      <c r="G2240" s="66">
        <f>ROUNDDOWN(G2239*BDI,2)</f>
        <v/>
      </c>
    </row>
    <row r="2241" ht="15" customHeight="1">
      <c r="A2241" s="2" t="inlineStr"/>
      <c r="B2241" s="2" t="inlineStr"/>
      <c r="C2241" s="2" t="inlineStr"/>
      <c r="D2241" s="2" t="inlineStr"/>
      <c r="E2241" s="28" t="inlineStr">
        <is>
          <t>VALOR COM BDI:</t>
        </is>
      </c>
      <c r="F2241" s="56" t="n"/>
      <c r="G2241" s="66">
        <f>G2240 + G2239</f>
        <v/>
      </c>
    </row>
    <row r="2242" ht="10" customHeight="1">
      <c r="A2242" s="2" t="inlineStr"/>
      <c r="B2242" s="2" t="inlineStr"/>
      <c r="C2242" s="2" t="inlineStr"/>
      <c r="D2242" s="2" t="inlineStr"/>
      <c r="E2242" s="18" t="inlineStr"/>
    </row>
    <row r="2243" ht="20" customHeight="1">
      <c r="A2243" s="19" t="inlineStr">
        <is>
          <t>8.2.10.1. ​98053​ TANQUE SÉPTICO CIRCULAR, EM CONCRETO PRÉ-MOLDADO, DIÂMETRO INTERNO = 1,40 M, ALTURA INTERNA = 2,50 M, VOLUME ÚTIL: 3463,6 L (PARA 13CONTRIBUINTES). AF_12/2020​ (UN)</t>
        </is>
      </c>
      <c r="B2243" s="55" t="n"/>
      <c r="C2243" s="55" t="n"/>
      <c r="D2243" s="55" t="n"/>
      <c r="E2243" s="55" t="n"/>
      <c r="F2243" s="55" t="n"/>
      <c r="G2243" s="56" t="n"/>
    </row>
    <row r="2244" ht="15" customHeight="1">
      <c r="A2244" s="20" t="inlineStr">
        <is>
          <t>Equipamento Custo Horário</t>
        </is>
      </c>
      <c r="B2244" s="56" t="n"/>
      <c r="C2244" s="21" t="inlineStr">
        <is>
          <t>FONTE</t>
        </is>
      </c>
      <c r="D2244" s="21" t="inlineStr">
        <is>
          <t>UNID</t>
        </is>
      </c>
      <c r="E2244" s="21" t="inlineStr">
        <is>
          <t>COEFICIENTE</t>
        </is>
      </c>
      <c r="F2244" s="21" t="inlineStr">
        <is>
          <t>PREÇO UNITÁRIO</t>
        </is>
      </c>
      <c r="G2244" s="21" t="inlineStr">
        <is>
          <t>TOTAL</t>
        </is>
      </c>
    </row>
    <row r="2245" ht="46" customHeight="1">
      <c r="A2245" s="22" t="inlineStr">
        <is>
          <t>5679</t>
        </is>
      </c>
      <c r="B2245" s="23" t="inlineStr">
        <is>
          <t>RETROESCAVADEIRA SOBRE RODAS COM CARREGADEIRA, TRAÇÃO 4X4, POTÊNCIA LÍQ. 88 HP, CAÇAMBA CARREG. CAP. MÍN. 1 M3, CAÇAMBA RETRO CAP. 0,26 M3, PESO OPERACIONAL MÍN. 6.674 KG, PROFUNDIDADE ESCAVAÇÃO MÁX. 4,37 M - CHI DIURNO. AF_06/2014</t>
        </is>
      </c>
      <c r="C2245" s="22" t="inlineStr">
        <is>
          <t>SINAPI</t>
        </is>
      </c>
      <c r="D2245" s="22" t="inlineStr">
        <is>
          <t>CHI</t>
        </is>
      </c>
      <c r="E2245" s="63" t="n">
        <v>0.8068</v>
      </c>
      <c r="F2245" s="64">
        <f>'COMPOSICOES AUXILIARES'!G3248</f>
        <v/>
      </c>
      <c r="G2245" s="64">
        <f>TRUNC(TRUNC(E2245,8)*F2245,2)</f>
        <v/>
      </c>
      <c r="L2245" t="n">
        <v>0.8068</v>
      </c>
      <c r="M2245" t="n">
        <v>69.12</v>
      </c>
      <c r="N2245">
        <f>(M2245-F2245)</f>
        <v/>
      </c>
    </row>
    <row r="2246" ht="46" customHeight="1">
      <c r="A2246" s="22" t="inlineStr">
        <is>
          <t>5678</t>
        </is>
      </c>
      <c r="B2246" s="23" t="inlineStr">
        <is>
          <t>RETROESCAVADEIRA SOBRE RODAS COM CARREGADEIRA, TRAÇÃO 4X4, POTÊNCIA LÍQ. 88 HP, CAÇAMBA CARREG. CAP. MÍN. 1 M3, CAÇAMBA RETRO CAP. 0,26 M3, PESO OPERACIONAL MÍN. 6.674 KG, PROFUNDIDADE ESCAVAÇÃO MÁX. 4,37 M - CHP DIURNO. AF_06/2014</t>
        </is>
      </c>
      <c r="C2246" s="22" t="inlineStr">
        <is>
          <t>SINAPI</t>
        </is>
      </c>
      <c r="D2246" s="22" t="inlineStr">
        <is>
          <t>CHP</t>
        </is>
      </c>
      <c r="E2246" s="63" t="n">
        <v>0.3959</v>
      </c>
      <c r="F2246" s="64">
        <f>'COMPOSICOES AUXILIARES'!G3262</f>
        <v/>
      </c>
      <c r="G2246" s="64">
        <f>TRUNC(TRUNC(E2246,8)*F2246,2)</f>
        <v/>
      </c>
      <c r="L2246" t="n">
        <v>0.3959</v>
      </c>
      <c r="M2246" t="n">
        <v>152.91</v>
      </c>
      <c r="N2246">
        <f>(M2246-F2246)</f>
        <v/>
      </c>
    </row>
    <row r="2247" ht="18" customHeight="1">
      <c r="A2247" s="2" t="inlineStr"/>
      <c r="B2247" s="2" t="inlineStr"/>
      <c r="C2247" s="2" t="inlineStr"/>
      <c r="D2247" s="2" t="inlineStr"/>
      <c r="E2247" s="26" t="inlineStr">
        <is>
          <t>TOTAL Equipamento Custo Horário:</t>
        </is>
      </c>
      <c r="F2247" s="56" t="n"/>
      <c r="G2247" s="65">
        <f>SUM(G2245:G2246)</f>
        <v/>
      </c>
    </row>
    <row r="2248" ht="15" customHeight="1">
      <c r="A2248" s="20" t="inlineStr">
        <is>
          <t>Material</t>
        </is>
      </c>
      <c r="B2248" s="56" t="n"/>
      <c r="C2248" s="21" t="inlineStr">
        <is>
          <t>FONTE</t>
        </is>
      </c>
      <c r="D2248" s="21" t="inlineStr">
        <is>
          <t>UNID</t>
        </is>
      </c>
      <c r="E2248" s="21" t="inlineStr">
        <is>
          <t>COEFICIENTE</t>
        </is>
      </c>
      <c r="F2248" s="21" t="inlineStr">
        <is>
          <t>PREÇO UNITÁRIO</t>
        </is>
      </c>
      <c r="G2248" s="21" t="inlineStr">
        <is>
          <t>TOTAL</t>
        </is>
      </c>
    </row>
    <row r="2249" ht="38" customHeight="1">
      <c r="A2249" s="22" t="inlineStr">
        <is>
          <t>00012563</t>
        </is>
      </c>
      <c r="B2249" s="23" t="inlineStr">
        <is>
          <t>ANEL EM CONCRETO ARMADO, LISO, PARA, POCOS DE VISITA, POCOS DE INSPECAO, FOSSAS SEPTICAS E SUMIDOUROS, SEM FUNDO, DIAMETRO INTERNO DE 1,50 M E ALTURA DE 0,50 M</t>
        </is>
      </c>
      <c r="C2249" s="22" t="inlineStr">
        <is>
          <t>SINAPI</t>
        </is>
      </c>
      <c r="D2249" s="22" t="inlineStr">
        <is>
          <t>UN</t>
        </is>
      </c>
      <c r="E2249" s="63" t="n">
        <v>5</v>
      </c>
      <c r="F2249" s="64">
        <f>ROUND(M2249*FATOR, 2)</f>
        <v/>
      </c>
      <c r="G2249" s="64">
        <f>TRUNC(TRUNC(E2249,8)*F2249,2)</f>
        <v/>
      </c>
      <c r="L2249" t="n">
        <v>5</v>
      </c>
      <c r="M2249" t="n">
        <v>548.3200000000001</v>
      </c>
      <c r="N2249">
        <f>(M2249-F2249)</f>
        <v/>
      </c>
    </row>
    <row r="2250" ht="15" customHeight="1">
      <c r="A2250" s="2" t="inlineStr"/>
      <c r="B2250" s="2" t="inlineStr"/>
      <c r="C2250" s="2" t="inlineStr"/>
      <c r="D2250" s="2" t="inlineStr"/>
      <c r="E2250" s="26" t="inlineStr">
        <is>
          <t>TOTAL Material:</t>
        </is>
      </c>
      <c r="F2250" s="56" t="n"/>
      <c r="G2250" s="65">
        <f>SUM(G2249:G2249)</f>
        <v/>
      </c>
    </row>
    <row r="2251" ht="15" customHeight="1">
      <c r="A2251" s="20" t="inlineStr">
        <is>
          <t>Mão de Obra com Encargos Complementares</t>
        </is>
      </c>
      <c r="B2251" s="56" t="n"/>
      <c r="C2251" s="21" t="inlineStr">
        <is>
          <t>FONTE</t>
        </is>
      </c>
      <c r="D2251" s="21" t="inlineStr">
        <is>
          <t>UNID</t>
        </is>
      </c>
      <c r="E2251" s="21" t="inlineStr">
        <is>
          <t>COEFICIENTE</t>
        </is>
      </c>
      <c r="F2251" s="21" t="inlineStr">
        <is>
          <t>PREÇO UNITÁRIO</t>
        </is>
      </c>
      <c r="G2251" s="21" t="inlineStr">
        <is>
          <t>TOTAL</t>
        </is>
      </c>
    </row>
    <row r="2252" ht="15" customHeight="1">
      <c r="A2252" s="22" t="inlineStr">
        <is>
          <t>88309</t>
        </is>
      </c>
      <c r="B2252" s="23" t="inlineStr">
        <is>
          <t>PEDREIRO COM ENCARGOS COMPLEMENTARES</t>
        </is>
      </c>
      <c r="C2252" s="22" t="inlineStr">
        <is>
          <t>SINAPI</t>
        </is>
      </c>
      <c r="D2252" s="22" t="inlineStr">
        <is>
          <t>H</t>
        </is>
      </c>
      <c r="E2252" s="63">
        <f>L2252*FATOR</f>
        <v/>
      </c>
      <c r="F2252" s="64">
        <f>'COMPOSICOES AUXILIARES'!G2887</f>
        <v/>
      </c>
      <c r="G2252" s="64">
        <f>TRUNC(TRUNC(E2252,8)*F2252,2)</f>
        <v/>
      </c>
      <c r="L2252" t="n">
        <v>1.8684</v>
      </c>
      <c r="M2252" t="n">
        <v>30.58</v>
      </c>
      <c r="N2252">
        <f>(M2252-F2252)</f>
        <v/>
      </c>
    </row>
    <row r="2253" ht="15" customHeight="1">
      <c r="A2253" s="22" t="inlineStr">
        <is>
          <t>88316</t>
        </is>
      </c>
      <c r="B2253" s="23" t="inlineStr">
        <is>
          <t>SERVENTE COM ENCARGOS COMPLEMENTARES</t>
        </is>
      </c>
      <c r="C2253" s="22" t="inlineStr">
        <is>
          <t>SINAPI</t>
        </is>
      </c>
      <c r="D2253" s="22" t="inlineStr">
        <is>
          <t>H</t>
        </is>
      </c>
      <c r="E2253" s="63">
        <f>L2253*FATOR</f>
        <v/>
      </c>
      <c r="F2253" s="64">
        <f>'COMPOSICOES AUXILIARES'!G3390</f>
        <v/>
      </c>
      <c r="G2253" s="64">
        <f>TRUNC(TRUNC(E2253,8)*F2253,2)</f>
        <v/>
      </c>
      <c r="L2253" t="n">
        <v>1.468</v>
      </c>
      <c r="M2253" t="n">
        <v>23.56</v>
      </c>
      <c r="N2253">
        <f>(M2253-F2253)</f>
        <v/>
      </c>
    </row>
    <row r="2254" ht="18" customHeight="1">
      <c r="A2254" s="2" t="inlineStr"/>
      <c r="B2254" s="2" t="inlineStr"/>
      <c r="C2254" s="2" t="inlineStr"/>
      <c r="D2254" s="2" t="inlineStr"/>
      <c r="E2254" s="26" t="inlineStr">
        <is>
          <t>TOTAL Mão de Obra com Encargos Complementares:</t>
        </is>
      </c>
      <c r="F2254" s="56" t="n"/>
      <c r="G2254" s="65">
        <f>SUM(G2252:G2253)</f>
        <v/>
      </c>
    </row>
    <row r="2255" ht="15" customHeight="1">
      <c r="A2255" s="20" t="inlineStr">
        <is>
          <t>Serviço</t>
        </is>
      </c>
      <c r="B2255" s="56" t="n"/>
      <c r="C2255" s="21" t="inlineStr">
        <is>
          <t>FONTE</t>
        </is>
      </c>
      <c r="D2255" s="21" t="inlineStr">
        <is>
          <t>UNID</t>
        </is>
      </c>
      <c r="E2255" s="21" t="inlineStr">
        <is>
          <t>COEFICIENTE</t>
        </is>
      </c>
      <c r="F2255" s="21" t="inlineStr">
        <is>
          <t>PREÇO UNITÁRIO</t>
        </is>
      </c>
      <c r="G2255" s="21" t="inlineStr">
        <is>
          <t>TOTAL</t>
        </is>
      </c>
    </row>
    <row r="2256" ht="29" customHeight="1">
      <c r="A2256" s="22" t="inlineStr">
        <is>
          <t>88628</t>
        </is>
      </c>
      <c r="B2256" s="23" t="inlineStr">
        <is>
          <t>ARGAMASSA TRAÇO 1:3 (EM VOLUME DE CIMENTO E AREIA MÉDIA ÚMIDA), PREPARO MECÂNICO COM BETONEIRA 400 L. AF_08/2019</t>
        </is>
      </c>
      <c r="C2256" s="22" t="inlineStr">
        <is>
          <t>SINAPI</t>
        </is>
      </c>
      <c r="D2256" s="22" t="inlineStr">
        <is>
          <t>M3</t>
        </is>
      </c>
      <c r="E2256" s="63" t="n">
        <v>0.0609</v>
      </c>
      <c r="F2256" s="64">
        <f>'COMPOSICOES AUXILIARES'!G324</f>
        <v/>
      </c>
      <c r="G2256" s="64">
        <f>TRUNC(TRUNC(E2256,8)*F2256,2)</f>
        <v/>
      </c>
      <c r="L2256" t="n">
        <v>0.0609</v>
      </c>
      <c r="M2256" t="n">
        <v>600.33</v>
      </c>
      <c r="N2256">
        <f>(M2256-F2256)</f>
        <v/>
      </c>
    </row>
    <row r="2257" ht="29" customHeight="1">
      <c r="A2257" s="22" t="inlineStr">
        <is>
          <t>97738</t>
        </is>
      </c>
      <c r="B2257" s="23" t="inlineStr">
        <is>
          <t>PEÇA CIRCULAR PRÉ-MOLDADA, VOLUME DE CONCRETO DE 10 A 30 LITROS, TAXA DE FIBRA DE POLIPROPILENO APROXIMADA DE 6 KG/M³. AF_03/2024_PS</t>
        </is>
      </c>
      <c r="C2257" s="22" t="inlineStr">
        <is>
          <t>SINAPI</t>
        </is>
      </c>
      <c r="D2257" s="22" t="inlineStr">
        <is>
          <t>M3</t>
        </is>
      </c>
      <c r="E2257" s="63" t="n">
        <v>0.0154</v>
      </c>
      <c r="F2257" s="64">
        <f>'COMPOSICOES AUXILIARES'!G2945</f>
        <v/>
      </c>
      <c r="G2257" s="64">
        <f>TRUNC(TRUNC(E2257,8)*F2257,2)</f>
        <v/>
      </c>
      <c r="L2257" t="n">
        <v>0.0154</v>
      </c>
      <c r="M2257" t="n">
        <v>4288.41</v>
      </c>
      <c r="N2257">
        <f>(M2257-F2257)</f>
        <v/>
      </c>
    </row>
    <row r="2258" ht="29" customHeight="1">
      <c r="A2258" s="22" t="inlineStr">
        <is>
          <t>97739</t>
        </is>
      </c>
      <c r="B2258" s="23" t="inlineStr">
        <is>
          <t>PEÇA CIRCULAR PRÉ-MOLDADA, VOLUME DE CONCRETO DE 30 A 100 LITROS, TAXA DE AÇO APROXIMADA DE 30KG/M³. AF_03/2024</t>
        </is>
      </c>
      <c r="C2258" s="22" t="inlineStr">
        <is>
          <t>SINAPI</t>
        </is>
      </c>
      <c r="D2258" s="22" t="inlineStr">
        <is>
          <t>M3</t>
        </is>
      </c>
      <c r="E2258" s="63" t="n">
        <v>0.1301</v>
      </c>
      <c r="F2258" s="64">
        <f>'COMPOSICOES AUXILIARES'!G2974</f>
        <v/>
      </c>
      <c r="G2258" s="64">
        <f>TRUNC(TRUNC(E2258,8)*F2258,2)</f>
        <v/>
      </c>
      <c r="L2258" t="n">
        <v>0.1301</v>
      </c>
      <c r="M2258" t="n">
        <v>3079.98</v>
      </c>
      <c r="N2258">
        <f>(M2258-F2258)</f>
        <v/>
      </c>
    </row>
    <row r="2259" ht="29" customHeight="1">
      <c r="A2259" s="22" t="inlineStr">
        <is>
          <t>101624</t>
        </is>
      </c>
      <c r="B2259" s="23" t="inlineStr">
        <is>
          <t>PREPARO DE FUNDO DE VALA COM LARGURA MAIOR OU IGUAL A 1,5 M E MENOR QUE 2,5 M, COM CAMADA DE BRITA, LANÇAMENTO MECANIZADO. AF_08/2020</t>
        </is>
      </c>
      <c r="C2259" s="22" t="inlineStr">
        <is>
          <t>SINAPI</t>
        </is>
      </c>
      <c r="D2259" s="22" t="inlineStr">
        <is>
          <t>M3</t>
        </is>
      </c>
      <c r="E2259" s="63" t="n">
        <v>0.227</v>
      </c>
      <c r="F2259" s="64">
        <f>'COMPOSICOES AUXILIARES'!G3191</f>
        <v/>
      </c>
      <c r="G2259" s="64">
        <f>TRUNC(TRUNC(E2259,8)*F2259,2)</f>
        <v/>
      </c>
      <c r="L2259" t="n">
        <v>0.227</v>
      </c>
      <c r="M2259" t="n">
        <v>220.81</v>
      </c>
      <c r="N2259">
        <f>(M2259-F2259)</f>
        <v/>
      </c>
    </row>
    <row r="2260" ht="15" customHeight="1">
      <c r="A2260" s="2" t="inlineStr"/>
      <c r="B2260" s="2" t="inlineStr"/>
      <c r="C2260" s="2" t="inlineStr"/>
      <c r="D2260" s="2" t="inlineStr"/>
      <c r="E2260" s="26" t="inlineStr">
        <is>
          <t>TOTAL Serviço:</t>
        </is>
      </c>
      <c r="F2260" s="56" t="n"/>
      <c r="G2260" s="65">
        <f>SUM(G2256:G2259)</f>
        <v/>
      </c>
    </row>
    <row r="2261" ht="15" customHeight="1">
      <c r="A2261" s="2" t="inlineStr"/>
      <c r="B2261" s="2" t="inlineStr"/>
      <c r="C2261" s="2" t="inlineStr"/>
      <c r="D2261" s="2" t="inlineStr"/>
      <c r="E2261" s="28" t="inlineStr">
        <is>
          <t>VALOR:</t>
        </is>
      </c>
      <c r="F2261" s="56" t="n"/>
      <c r="G2261" s="66">
        <f>SUM(G2250,G2260,G2254,G2247)</f>
        <v/>
      </c>
    </row>
    <row r="2262" ht="15" customHeight="1">
      <c r="A2262" s="2" t="inlineStr"/>
      <c r="B2262" s="2" t="inlineStr"/>
      <c r="C2262" s="2" t="inlineStr"/>
      <c r="D2262" s="2" t="inlineStr"/>
      <c r="E2262" s="28" t="inlineStr">
        <is>
          <t>VALOR BDI (23.08%):</t>
        </is>
      </c>
      <c r="F2262" s="56" t="n"/>
      <c r="G2262" s="66">
        <f>ROUNDDOWN(G2261*BDI,2)</f>
        <v/>
      </c>
    </row>
    <row r="2263" ht="15" customHeight="1">
      <c r="A2263" s="2" t="inlineStr"/>
      <c r="B2263" s="2" t="inlineStr"/>
      <c r="C2263" s="2" t="inlineStr"/>
      <c r="D2263" s="2" t="inlineStr"/>
      <c r="E2263" s="28" t="inlineStr">
        <is>
          <t>VALOR COM BDI:</t>
        </is>
      </c>
      <c r="F2263" s="56" t="n"/>
      <c r="G2263" s="66">
        <f>G2262 + G2261</f>
        <v/>
      </c>
    </row>
    <row r="2264" ht="10" customHeight="1">
      <c r="A2264" s="2" t="inlineStr"/>
      <c r="B2264" s="2" t="inlineStr"/>
      <c r="C2264" s="2" t="inlineStr"/>
      <c r="D2264" s="2" t="inlineStr"/>
      <c r="E2264" s="18" t="inlineStr"/>
    </row>
    <row r="2265" ht="20" customHeight="1">
      <c r="A2265" s="19" t="inlineStr">
        <is>
          <t>8.2.10.2. ​98059​ FILTRO ANAERÓBIO CIRCULAR, EM CONCRETO PRÉ-MOLDADO, DIÂMETRO INTERNO = 1,88 M, ALTURA INTERNA = 1,50 M, VOLUME ÚTIL: 3331,1 L (PARA 19CONTRIBUINTES). AF_12/2020​ (UN)</t>
        </is>
      </c>
      <c r="B2265" s="55" t="n"/>
      <c r="C2265" s="55" t="n"/>
      <c r="D2265" s="55" t="n"/>
      <c r="E2265" s="55" t="n"/>
      <c r="F2265" s="55" t="n"/>
      <c r="G2265" s="56" t="n"/>
    </row>
    <row r="2266" ht="15" customHeight="1">
      <c r="A2266" s="20" t="inlineStr">
        <is>
          <t>Equipamento Custo Horário</t>
        </is>
      </c>
      <c r="B2266" s="56" t="n"/>
      <c r="C2266" s="21" t="inlineStr">
        <is>
          <t>FONTE</t>
        </is>
      </c>
      <c r="D2266" s="21" t="inlineStr">
        <is>
          <t>UNID</t>
        </is>
      </c>
      <c r="E2266" s="21" t="inlineStr">
        <is>
          <t>COEFICIENTE</t>
        </is>
      </c>
      <c r="F2266" s="21" t="inlineStr">
        <is>
          <t>PREÇO UNITÁRIO</t>
        </is>
      </c>
      <c r="G2266" s="21" t="inlineStr">
        <is>
          <t>TOTAL</t>
        </is>
      </c>
    </row>
    <row r="2267" ht="46" customHeight="1">
      <c r="A2267" s="22" t="inlineStr">
        <is>
          <t>5679</t>
        </is>
      </c>
      <c r="B2267" s="23" t="inlineStr">
        <is>
          <t>RETROESCAVADEIRA SOBRE RODAS COM CARREGADEIRA, TRAÇÃO 4X4, POTÊNCIA LÍQ. 88 HP, CAÇAMBA CARREG. CAP. MÍN. 1 M3, CAÇAMBA RETRO CAP. 0,26 M3, PESO OPERACIONAL MÍN. 6.674 KG, PROFUNDIDADE ESCAVAÇÃO MÁX. 4,37 M - CHI DIURNO. AF_06/2014</t>
        </is>
      </c>
      <c r="C2267" s="22" t="inlineStr">
        <is>
          <t>SINAPI</t>
        </is>
      </c>
      <c r="D2267" s="22" t="inlineStr">
        <is>
          <t>CHI</t>
        </is>
      </c>
      <c r="E2267" s="63" t="n">
        <v>1.6325</v>
      </c>
      <c r="F2267" s="64">
        <f>'COMPOSICOES AUXILIARES'!G3248</f>
        <v/>
      </c>
      <c r="G2267" s="64">
        <f>TRUNC(TRUNC(E2267,8)*F2267,2)</f>
        <v/>
      </c>
      <c r="L2267" t="n">
        <v>1.6325</v>
      </c>
      <c r="M2267" t="n">
        <v>69.12</v>
      </c>
      <c r="N2267">
        <f>(M2267-F2267)</f>
        <v/>
      </c>
    </row>
    <row r="2268" ht="46" customHeight="1">
      <c r="A2268" s="22" t="inlineStr">
        <is>
          <t>5678</t>
        </is>
      </c>
      <c r="B2268" s="23" t="inlineStr">
        <is>
          <t>RETROESCAVADEIRA SOBRE RODAS COM CARREGADEIRA, TRAÇÃO 4X4, POTÊNCIA LÍQ. 88 HP, CAÇAMBA CARREG. CAP. MÍN. 1 M3, CAÇAMBA RETRO CAP. 0,26 M3, PESO OPERACIONAL MÍN. 6.674 KG, PROFUNDIDADE ESCAVAÇÃO MÁX. 4,37 M - CHP DIURNO. AF_06/2014</t>
        </is>
      </c>
      <c r="C2268" s="22" t="inlineStr">
        <is>
          <t>SINAPI</t>
        </is>
      </c>
      <c r="D2268" s="22" t="inlineStr">
        <is>
          <t>CHP</t>
        </is>
      </c>
      <c r="E2268" s="63" t="n">
        <v>0.8011</v>
      </c>
      <c r="F2268" s="64">
        <f>'COMPOSICOES AUXILIARES'!G3262</f>
        <v/>
      </c>
      <c r="G2268" s="64">
        <f>TRUNC(TRUNC(E2268,8)*F2268,2)</f>
        <v/>
      </c>
      <c r="L2268" t="n">
        <v>0.8011</v>
      </c>
      <c r="M2268" t="n">
        <v>152.91</v>
      </c>
      <c r="N2268">
        <f>(M2268-F2268)</f>
        <v/>
      </c>
    </row>
    <row r="2269" ht="18" customHeight="1">
      <c r="A2269" s="2" t="inlineStr"/>
      <c r="B2269" s="2" t="inlineStr"/>
      <c r="C2269" s="2" t="inlineStr"/>
      <c r="D2269" s="2" t="inlineStr"/>
      <c r="E2269" s="26" t="inlineStr">
        <is>
          <t>TOTAL Equipamento Custo Horário:</t>
        </is>
      </c>
      <c r="F2269" s="56" t="n"/>
      <c r="G2269" s="65">
        <f>SUM(G2267:G2268)</f>
        <v/>
      </c>
    </row>
    <row r="2270" ht="15" customHeight="1">
      <c r="A2270" s="20" t="inlineStr">
        <is>
          <t>Material</t>
        </is>
      </c>
      <c r="B2270" s="56" t="n"/>
      <c r="C2270" s="21" t="inlineStr">
        <is>
          <t>FONTE</t>
        </is>
      </c>
      <c r="D2270" s="21" t="inlineStr">
        <is>
          <t>UNID</t>
        </is>
      </c>
      <c r="E2270" s="21" t="inlineStr">
        <is>
          <t>COEFICIENTE</t>
        </is>
      </c>
      <c r="F2270" s="21" t="inlineStr">
        <is>
          <t>PREÇO UNITÁRIO</t>
        </is>
      </c>
      <c r="G2270" s="21" t="inlineStr">
        <is>
          <t>TOTAL</t>
        </is>
      </c>
    </row>
    <row r="2271" ht="29" customHeight="1">
      <c r="A2271" s="22" t="inlineStr">
        <is>
          <t>00012565</t>
        </is>
      </c>
      <c r="B2271" s="23" t="inlineStr">
        <is>
          <t>ANEL EM CONCRETO ARMADO, LISO, PARA FOSSAS SEPTICAS E SUMIDOUROS, SEM FUNDO, DIAMETRO INTERNO DE 2,00 M E ALTURA DE 0,50 M</t>
        </is>
      </c>
      <c r="C2271" s="22" t="inlineStr">
        <is>
          <t>SINAPI</t>
        </is>
      </c>
      <c r="D2271" s="22" t="inlineStr">
        <is>
          <t>UN</t>
        </is>
      </c>
      <c r="E2271" s="63" t="n">
        <v>3</v>
      </c>
      <c r="F2271" s="64">
        <f>ROUND(M2271*FATOR, 2)</f>
        <v/>
      </c>
      <c r="G2271" s="64">
        <f>TRUNC(TRUNC(E2271,8)*F2271,2)</f>
        <v/>
      </c>
      <c r="L2271" t="n">
        <v>3</v>
      </c>
      <c r="M2271" t="n">
        <v>950.97</v>
      </c>
      <c r="N2271">
        <f>(M2271-F2271)</f>
        <v/>
      </c>
    </row>
    <row r="2272" ht="29" customHeight="1">
      <c r="A2272" s="22" t="inlineStr">
        <is>
          <t>00012532</t>
        </is>
      </c>
      <c r="B2272" s="23" t="inlineStr">
        <is>
          <t>ANEL EM CONCRETO ARMADO, LISO, PARA POCOS DE INSPECAO, SEM FUNDO, DIAMETRO INTERNO DE 0,60 M E ALTURA DE 0,50 M</t>
        </is>
      </c>
      <c r="C2272" s="22" t="inlineStr">
        <is>
          <t>SINAPI</t>
        </is>
      </c>
      <c r="D2272" s="22" t="inlineStr">
        <is>
          <t>UN</t>
        </is>
      </c>
      <c r="E2272" s="63" t="n">
        <v>1</v>
      </c>
      <c r="F2272" s="64">
        <f>ROUND(M2272*FATOR, 2)</f>
        <v/>
      </c>
      <c r="G2272" s="64">
        <f>TRUNC(TRUNC(E2272,8)*F2272,2)</f>
        <v/>
      </c>
      <c r="L2272" t="n">
        <v>1</v>
      </c>
      <c r="M2272" t="n">
        <v>165.47</v>
      </c>
      <c r="N2272">
        <f>(M2272-F2272)</f>
        <v/>
      </c>
    </row>
    <row r="2273" ht="21" customHeight="1">
      <c r="A2273" s="22" t="inlineStr">
        <is>
          <t>00004720</t>
        </is>
      </c>
      <c r="B2273" s="23" t="inlineStr">
        <is>
          <t>PEDRA BRITADA N. 0, OU PEDRISCO (4,8 A 9,5 MM) POSTO PEDREIRA/FORNECEDOR, SEM FRETE</t>
        </is>
      </c>
      <c r="C2273" s="22" t="inlineStr">
        <is>
          <t>SINAPI</t>
        </is>
      </c>
      <c r="D2273" s="22" t="inlineStr">
        <is>
          <t>M3</t>
        </is>
      </c>
      <c r="E2273" s="63" t="n">
        <v>2.1375</v>
      </c>
      <c r="F2273" s="64">
        <f>ROUND(M2273*FATOR, 2)</f>
        <v/>
      </c>
      <c r="G2273" s="64">
        <f>TRUNC(TRUNC(E2273,8)*F2273,2)</f>
        <v/>
      </c>
      <c r="L2273" t="n">
        <v>2.1375</v>
      </c>
      <c r="M2273" t="n">
        <v>128.17</v>
      </c>
      <c r="N2273">
        <f>(M2273-F2273)</f>
        <v/>
      </c>
    </row>
    <row r="2274" ht="15" customHeight="1">
      <c r="A2274" s="2" t="inlineStr"/>
      <c r="B2274" s="2" t="inlineStr"/>
      <c r="C2274" s="2" t="inlineStr"/>
      <c r="D2274" s="2" t="inlineStr"/>
      <c r="E2274" s="26" t="inlineStr">
        <is>
          <t>TOTAL Material:</t>
        </is>
      </c>
      <c r="F2274" s="56" t="n"/>
      <c r="G2274" s="65">
        <f>SUM(G2271:G2273)</f>
        <v/>
      </c>
    </row>
    <row r="2275" ht="15" customHeight="1">
      <c r="A2275" s="20" t="inlineStr">
        <is>
          <t>Mão de Obra com Encargos Complementares</t>
        </is>
      </c>
      <c r="B2275" s="56" t="n"/>
      <c r="C2275" s="21" t="inlineStr">
        <is>
          <t>FONTE</t>
        </is>
      </c>
      <c r="D2275" s="21" t="inlineStr">
        <is>
          <t>UNID</t>
        </is>
      </c>
      <c r="E2275" s="21" t="inlineStr">
        <is>
          <t>COEFICIENTE</t>
        </is>
      </c>
      <c r="F2275" s="21" t="inlineStr">
        <is>
          <t>PREÇO UNITÁRIO</t>
        </is>
      </c>
      <c r="G2275" s="21" t="inlineStr">
        <is>
          <t>TOTAL</t>
        </is>
      </c>
    </row>
    <row r="2276" ht="15" customHeight="1">
      <c r="A2276" s="22" t="inlineStr">
        <is>
          <t>88309</t>
        </is>
      </c>
      <c r="B2276" s="23" t="inlineStr">
        <is>
          <t>PEDREIRO COM ENCARGOS COMPLEMENTARES</t>
        </is>
      </c>
      <c r="C2276" s="22" t="inlineStr">
        <is>
          <t>SINAPI</t>
        </is>
      </c>
      <c r="D2276" s="22" t="inlineStr">
        <is>
          <t>H</t>
        </is>
      </c>
      <c r="E2276" s="63">
        <f>L2276*FATOR</f>
        <v/>
      </c>
      <c r="F2276" s="64">
        <f>'COMPOSICOES AUXILIARES'!G2887</f>
        <v/>
      </c>
      <c r="G2276" s="64">
        <f>TRUNC(TRUNC(E2276,8)*F2276,2)</f>
        <v/>
      </c>
      <c r="L2276" t="n">
        <v>1.9927</v>
      </c>
      <c r="M2276" t="n">
        <v>30.58</v>
      </c>
      <c r="N2276">
        <f>(M2276-F2276)</f>
        <v/>
      </c>
    </row>
    <row r="2277" ht="15" customHeight="1">
      <c r="A2277" s="22" t="inlineStr">
        <is>
          <t>88316</t>
        </is>
      </c>
      <c r="B2277" s="23" t="inlineStr">
        <is>
          <t>SERVENTE COM ENCARGOS COMPLEMENTARES</t>
        </is>
      </c>
      <c r="C2277" s="22" t="inlineStr">
        <is>
          <t>SINAPI</t>
        </is>
      </c>
      <c r="D2277" s="22" t="inlineStr">
        <is>
          <t>H</t>
        </is>
      </c>
      <c r="E2277" s="63">
        <f>L2277*FATOR</f>
        <v/>
      </c>
      <c r="F2277" s="64">
        <f>'COMPOSICOES AUXILIARES'!G3390</f>
        <v/>
      </c>
      <c r="G2277" s="64">
        <f>TRUNC(TRUNC(E2277,8)*F2277,2)</f>
        <v/>
      </c>
      <c r="L2277" t="n">
        <v>1.5657</v>
      </c>
      <c r="M2277" t="n">
        <v>23.56</v>
      </c>
      <c r="N2277">
        <f>(M2277-F2277)</f>
        <v/>
      </c>
    </row>
    <row r="2278" ht="18" customHeight="1">
      <c r="A2278" s="2" t="inlineStr"/>
      <c r="B2278" s="2" t="inlineStr"/>
      <c r="C2278" s="2" t="inlineStr"/>
      <c r="D2278" s="2" t="inlineStr"/>
      <c r="E2278" s="26" t="inlineStr">
        <is>
          <t>TOTAL Mão de Obra com Encargos Complementares:</t>
        </is>
      </c>
      <c r="F2278" s="56" t="n"/>
      <c r="G2278" s="65">
        <f>SUM(G2276:G2277)</f>
        <v/>
      </c>
    </row>
    <row r="2279" ht="15" customHeight="1">
      <c r="A2279" s="20" t="inlineStr">
        <is>
          <t>Serviço</t>
        </is>
      </c>
      <c r="B2279" s="56" t="n"/>
      <c r="C2279" s="21" t="inlineStr">
        <is>
          <t>FONTE</t>
        </is>
      </c>
      <c r="D2279" s="21" t="inlineStr">
        <is>
          <t>UNID</t>
        </is>
      </c>
      <c r="E2279" s="21" t="inlineStr">
        <is>
          <t>COEFICIENTE</t>
        </is>
      </c>
      <c r="F2279" s="21" t="inlineStr">
        <is>
          <t>PREÇO UNITÁRIO</t>
        </is>
      </c>
      <c r="G2279" s="21" t="inlineStr">
        <is>
          <t>TOTAL</t>
        </is>
      </c>
    </row>
    <row r="2280" ht="29" customHeight="1">
      <c r="A2280" s="22" t="inlineStr">
        <is>
          <t>88628</t>
        </is>
      </c>
      <c r="B2280" s="23" t="inlineStr">
        <is>
          <t>ARGAMASSA TRAÇO 1:3 (EM VOLUME DE CIMENTO E AREIA MÉDIA ÚMIDA), PREPARO MECÂNICO COM BETONEIRA 400 L. AF_08/2019</t>
        </is>
      </c>
      <c r="C2280" s="22" t="inlineStr">
        <is>
          <t>SINAPI</t>
        </is>
      </c>
      <c r="D2280" s="22" t="inlineStr">
        <is>
          <t>M3</t>
        </is>
      </c>
      <c r="E2280" s="63" t="n">
        <v>0.0616</v>
      </c>
      <c r="F2280" s="64">
        <f>'COMPOSICOES AUXILIARES'!G324</f>
        <v/>
      </c>
      <c r="G2280" s="64">
        <f>TRUNC(TRUNC(E2280,8)*F2280,2)</f>
        <v/>
      </c>
      <c r="L2280" t="n">
        <v>0.0616</v>
      </c>
      <c r="M2280" t="n">
        <v>600.33</v>
      </c>
      <c r="N2280">
        <f>(M2280-F2280)</f>
        <v/>
      </c>
    </row>
    <row r="2281" ht="29" customHeight="1">
      <c r="A2281" s="22" t="inlineStr">
        <is>
          <t>97740</t>
        </is>
      </c>
      <c r="B2281" s="23" t="inlineStr">
        <is>
          <t>PEÇA CIRCULAR PRÉ-MOLDADA, VOLUME DE CONCRETO ACIMA DE 100 LITROS, TAXA DE AÇO APROXIMADA DE 30KG/M³. AF_03/2024</t>
        </is>
      </c>
      <c r="C2281" s="22" t="inlineStr">
        <is>
          <t>SINAPI</t>
        </is>
      </c>
      <c r="D2281" s="22" t="inlineStr">
        <is>
          <t>M3</t>
        </is>
      </c>
      <c r="E2281" s="63" t="n">
        <v>0.3486</v>
      </c>
      <c r="F2281" s="64">
        <f>'COMPOSICOES AUXILIARES'!G2918</f>
        <v/>
      </c>
      <c r="G2281" s="64">
        <f>TRUNC(TRUNC(E2281,8)*F2281,2)</f>
        <v/>
      </c>
      <c r="L2281" t="n">
        <v>0.3486</v>
      </c>
      <c r="M2281" t="n">
        <v>2155.66</v>
      </c>
      <c r="N2281">
        <f>(M2281-F2281)</f>
        <v/>
      </c>
    </row>
    <row r="2282" ht="29" customHeight="1">
      <c r="A2282" s="22" t="inlineStr">
        <is>
          <t>97738</t>
        </is>
      </c>
      <c r="B2282" s="23" t="inlineStr">
        <is>
          <t>PEÇA CIRCULAR PRÉ-MOLDADA, VOLUME DE CONCRETO DE 10 A 30 LITROS, TAXA DE FIBRA DE POLIPROPILENO APROXIMADA DE 6 KG/M³. AF_03/2024_PS</t>
        </is>
      </c>
      <c r="C2282" s="22" t="inlineStr">
        <is>
          <t>SINAPI</t>
        </is>
      </c>
      <c r="D2282" s="22" t="inlineStr">
        <is>
          <t>M3</t>
        </is>
      </c>
      <c r="E2282" s="63" t="n">
        <v>0.0154</v>
      </c>
      <c r="F2282" s="64">
        <f>'COMPOSICOES AUXILIARES'!G2945</f>
        <v/>
      </c>
      <c r="G2282" s="64">
        <f>TRUNC(TRUNC(E2282,8)*F2282,2)</f>
        <v/>
      </c>
      <c r="L2282" t="n">
        <v>0.0154</v>
      </c>
      <c r="M2282" t="n">
        <v>4288.41</v>
      </c>
      <c r="N2282">
        <f>(M2282-F2282)</f>
        <v/>
      </c>
    </row>
    <row r="2283" ht="29" customHeight="1">
      <c r="A2283" s="22" t="inlineStr">
        <is>
          <t>101624</t>
        </is>
      </c>
      <c r="B2283" s="23" t="inlineStr">
        <is>
          <t>PREPARO DE FUNDO DE VALA COM LARGURA MAIOR OU IGUAL A 1,5 M E MENOR QUE 2,5 M, COM CAMADA DE BRITA, LANÇAMENTO MECANIZADO. AF_08/2020</t>
        </is>
      </c>
      <c r="C2283" s="22" t="inlineStr">
        <is>
          <t>SINAPI</t>
        </is>
      </c>
      <c r="D2283" s="22" t="inlineStr">
        <is>
          <t>M3</t>
        </is>
      </c>
      <c r="E2283" s="63" t="n">
        <v>0.3733</v>
      </c>
      <c r="F2283" s="64">
        <f>'COMPOSICOES AUXILIARES'!G3191</f>
        <v/>
      </c>
      <c r="G2283" s="64">
        <f>TRUNC(TRUNC(E2283,8)*F2283,2)</f>
        <v/>
      </c>
      <c r="L2283" t="n">
        <v>0.3733</v>
      </c>
      <c r="M2283" t="n">
        <v>220.81</v>
      </c>
      <c r="N2283">
        <f>(M2283-F2283)</f>
        <v/>
      </c>
    </row>
    <row r="2284" ht="15" customHeight="1">
      <c r="A2284" s="2" t="inlineStr"/>
      <c r="B2284" s="2" t="inlineStr"/>
      <c r="C2284" s="2" t="inlineStr"/>
      <c r="D2284" s="2" t="inlineStr"/>
      <c r="E2284" s="26" t="inlineStr">
        <is>
          <t>TOTAL Serviço:</t>
        </is>
      </c>
      <c r="F2284" s="56" t="n"/>
      <c r="G2284" s="65">
        <f>SUM(G2280:G2283)</f>
        <v/>
      </c>
    </row>
    <row r="2285" ht="15" customHeight="1">
      <c r="A2285" s="2" t="inlineStr"/>
      <c r="B2285" s="2" t="inlineStr"/>
      <c r="C2285" s="2" t="inlineStr"/>
      <c r="D2285" s="2" t="inlineStr"/>
      <c r="E2285" s="28" t="inlineStr">
        <is>
          <t>VALOR:</t>
        </is>
      </c>
      <c r="F2285" s="56" t="n"/>
      <c r="G2285" s="66">
        <f>SUM(G2274,G2284,G2269,G2278)</f>
        <v/>
      </c>
    </row>
    <row r="2286" ht="15" customHeight="1">
      <c r="A2286" s="2" t="inlineStr"/>
      <c r="B2286" s="2" t="inlineStr"/>
      <c r="C2286" s="2" t="inlineStr"/>
      <c r="D2286" s="2" t="inlineStr"/>
      <c r="E2286" s="28" t="inlineStr">
        <is>
          <t>VALOR BDI (23.08%):</t>
        </is>
      </c>
      <c r="F2286" s="56" t="n"/>
      <c r="G2286" s="66">
        <f>ROUNDDOWN(G2285*BDI,2)</f>
        <v/>
      </c>
    </row>
    <row r="2287" ht="15" customHeight="1">
      <c r="A2287" s="2" t="inlineStr"/>
      <c r="B2287" s="2" t="inlineStr"/>
      <c r="C2287" s="2" t="inlineStr"/>
      <c r="D2287" s="2" t="inlineStr"/>
      <c r="E2287" s="28" t="inlineStr">
        <is>
          <t>VALOR COM BDI:</t>
        </is>
      </c>
      <c r="F2287" s="56" t="n"/>
      <c r="G2287" s="66">
        <f>G2286 + G2285</f>
        <v/>
      </c>
    </row>
    <row r="2288" ht="10" customHeight="1">
      <c r="A2288" s="2" t="inlineStr"/>
      <c r="B2288" s="2" t="inlineStr"/>
      <c r="C2288" s="2" t="inlineStr"/>
      <c r="D2288" s="2" t="inlineStr"/>
      <c r="E2288" s="18" t="inlineStr"/>
    </row>
    <row r="2289" ht="20" customHeight="1">
      <c r="A2289" s="19" t="inlineStr">
        <is>
          <t>8.2.10.3. ​99059​ LOCAÇÃO CONVENCIONAL DE OBRA, UTILIZANDO GABARITO DE TÁBUAS CORRIDAS PONTALETADAS A CADA 2,00M -2 UTILIZAÇÕES. AF_03/2024​ (M)</t>
        </is>
      </c>
      <c r="B2289" s="55" t="n"/>
      <c r="C2289" s="55" t="n"/>
      <c r="D2289" s="55" t="n"/>
      <c r="E2289" s="55" t="n"/>
      <c r="F2289" s="55" t="n"/>
      <c r="G2289" s="56" t="n"/>
    </row>
    <row r="2290" ht="15" customHeight="1">
      <c r="A2290" s="20" t="inlineStr">
        <is>
          <t>Equipamento Custo Horário</t>
        </is>
      </c>
      <c r="B2290" s="56" t="n"/>
      <c r="C2290" s="21" t="inlineStr">
        <is>
          <t>FONTE</t>
        </is>
      </c>
      <c r="D2290" s="21" t="inlineStr">
        <is>
          <t>UNID</t>
        </is>
      </c>
      <c r="E2290" s="21" t="inlineStr">
        <is>
          <t>COEFICIENTE</t>
        </is>
      </c>
      <c r="F2290" s="21" t="inlineStr">
        <is>
          <t>PREÇO UNITÁRIO</t>
        </is>
      </c>
      <c r="G2290" s="21" t="inlineStr">
        <is>
          <t>TOTAL</t>
        </is>
      </c>
    </row>
    <row r="2291" ht="29" customHeight="1">
      <c r="A2291" s="22" t="inlineStr">
        <is>
          <t>91693</t>
        </is>
      </c>
      <c r="B2291" s="23" t="inlineStr">
        <is>
          <t>SERRA CIRCULAR DE BANCADA COM MOTOR ELÉTRICO POTÊNCIA DE 5HP, COM COIFA PARA DISCO 10" - CHI DIURNO. AF_08/2015</t>
        </is>
      </c>
      <c r="C2291" s="22" t="inlineStr">
        <is>
          <t>SINAPI</t>
        </is>
      </c>
      <c r="D2291" s="22" t="inlineStr">
        <is>
          <t>CHI</t>
        </is>
      </c>
      <c r="E2291" s="63" t="n">
        <v>0.028</v>
      </c>
      <c r="F2291" s="64">
        <f>'COMPOSICOES AUXILIARES'!G3306</f>
        <v/>
      </c>
      <c r="G2291" s="64">
        <f>TRUNC(TRUNC(E2291,8)*F2291,2)</f>
        <v/>
      </c>
      <c r="L2291" t="n">
        <v>0.028</v>
      </c>
      <c r="M2291" t="n">
        <v>35.72</v>
      </c>
      <c r="N2291">
        <f>(M2291-F2291)</f>
        <v/>
      </c>
    </row>
    <row r="2292" ht="29" customHeight="1">
      <c r="A2292" s="22" t="inlineStr">
        <is>
          <t>91692</t>
        </is>
      </c>
      <c r="B2292" s="23" t="inlineStr">
        <is>
          <t>SERRA CIRCULAR DE BANCADA COM MOTOR ELÉTRICO POTÊNCIA DE 5HP, COM COIFA PARA DISCO 10" - CHP DIURNO. AF_08/2015</t>
        </is>
      </c>
      <c r="C2292" s="22" t="inlineStr">
        <is>
          <t>SINAPI</t>
        </is>
      </c>
      <c r="D2292" s="22" t="inlineStr">
        <is>
          <t>CHP</t>
        </is>
      </c>
      <c r="E2292" s="63" t="n">
        <v>0.007</v>
      </c>
      <c r="F2292" s="64">
        <f>'COMPOSICOES AUXILIARES'!G3320</f>
        <v/>
      </c>
      <c r="G2292" s="64">
        <f>TRUNC(TRUNC(E2292,8)*F2292,2)</f>
        <v/>
      </c>
      <c r="L2292" t="n">
        <v>0.007</v>
      </c>
      <c r="M2292" t="n">
        <v>37.16</v>
      </c>
      <c r="N2292">
        <f>(M2292-F2292)</f>
        <v/>
      </c>
    </row>
    <row r="2293" ht="18" customHeight="1">
      <c r="A2293" s="2" t="inlineStr"/>
      <c r="B2293" s="2" t="inlineStr"/>
      <c r="C2293" s="2" t="inlineStr"/>
      <c r="D2293" s="2" t="inlineStr"/>
      <c r="E2293" s="26" t="inlineStr">
        <is>
          <t>TOTAL Equipamento Custo Horário:</t>
        </is>
      </c>
      <c r="F2293" s="56" t="n"/>
      <c r="G2293" s="65">
        <f>SUM(G2291:G2292)</f>
        <v/>
      </c>
    </row>
    <row r="2294" ht="15" customHeight="1">
      <c r="A2294" s="20" t="inlineStr">
        <is>
          <t>Material</t>
        </is>
      </c>
      <c r="B2294" s="56" t="n"/>
      <c r="C2294" s="21" t="inlineStr">
        <is>
          <t>FONTE</t>
        </is>
      </c>
      <c r="D2294" s="21" t="inlineStr">
        <is>
          <t>UNID</t>
        </is>
      </c>
      <c r="E2294" s="21" t="inlineStr">
        <is>
          <t>COEFICIENTE</t>
        </is>
      </c>
      <c r="F2294" s="21" t="inlineStr">
        <is>
          <t>PREÇO UNITÁRIO</t>
        </is>
      </c>
      <c r="G2294" s="21" t="inlineStr">
        <is>
          <t>TOTAL</t>
        </is>
      </c>
    </row>
    <row r="2295" ht="29" customHeight="1">
      <c r="A2295" s="22" t="inlineStr">
        <is>
          <t>00004433</t>
        </is>
      </c>
      <c r="B2295" s="23" t="inlineStr">
        <is>
          <t>CAIBRO NAO APARELHADO *6 X 6* CM, EM MACARANDUBA/MASSARANDUBA, ANGELIM OU EQUIVALENTE DA REGIAO - BRUTA</t>
        </is>
      </c>
      <c r="C2295" s="22" t="inlineStr">
        <is>
          <t>SINAPI</t>
        </is>
      </c>
      <c r="D2295" s="22" t="inlineStr">
        <is>
          <t>M</t>
        </is>
      </c>
      <c r="E2295" s="63" t="n">
        <v>0.4125</v>
      </c>
      <c r="F2295" s="64">
        <f>ROUND(M2295*FATOR, 2)</f>
        <v/>
      </c>
      <c r="G2295" s="64">
        <f>TRUNC(TRUNC(E2295,8)*F2295,2)</f>
        <v/>
      </c>
      <c r="L2295" t="n">
        <v>0.4125</v>
      </c>
      <c r="M2295" t="n">
        <v>28.35</v>
      </c>
      <c r="N2295">
        <f>(M2295-F2295)</f>
        <v/>
      </c>
    </row>
    <row r="2296" ht="15" customHeight="1">
      <c r="A2296" s="22" t="inlineStr">
        <is>
          <t>00005068</t>
        </is>
      </c>
      <c r="B2296" s="23" t="inlineStr">
        <is>
          <t>PREGO DE ACO POLIDO COM CABECA 17 X 21 (2 X 11)</t>
        </is>
      </c>
      <c r="C2296" s="22" t="inlineStr">
        <is>
          <t>SINAPI</t>
        </is>
      </c>
      <c r="D2296" s="22" t="inlineStr">
        <is>
          <t>KG</t>
        </is>
      </c>
      <c r="E2296" s="63" t="n">
        <v>0.111</v>
      </c>
      <c r="F2296" s="64">
        <f>ROUND(M2296*FATOR, 2)</f>
        <v/>
      </c>
      <c r="G2296" s="64">
        <f>TRUNC(TRUNC(E2296,8)*F2296,2)</f>
        <v/>
      </c>
      <c r="L2296" t="n">
        <v>0.111</v>
      </c>
      <c r="M2296" t="n">
        <v>14.19</v>
      </c>
      <c r="N2296">
        <f>(M2296-F2296)</f>
        <v/>
      </c>
    </row>
    <row r="2297" ht="29" customHeight="1">
      <c r="A2297" s="22" t="inlineStr">
        <is>
          <t>00004417</t>
        </is>
      </c>
      <c r="B2297" s="23" t="inlineStr">
        <is>
          <t>SARRAFO NAO APARELHADO *2,5 X 7* CM, EM MACARANDUBA/MASSARANDUBA, ANGELIM, PEROBA-ROSA OU EQUIVALENTE DA REGIAO - BRUTA</t>
        </is>
      </c>
      <c r="C2297" s="22" t="inlineStr">
        <is>
          <t>SINAPI</t>
        </is>
      </c>
      <c r="D2297" s="22" t="inlineStr">
        <is>
          <t>M</t>
        </is>
      </c>
      <c r="E2297" s="63" t="n">
        <v>0.7445000000000001</v>
      </c>
      <c r="F2297" s="64">
        <f>ROUND(M2297*FATOR, 2)</f>
        <v/>
      </c>
      <c r="G2297" s="64">
        <f>TRUNC(TRUNC(E2297,8)*F2297,2)</f>
        <v/>
      </c>
      <c r="L2297" t="n">
        <v>0.7445000000000001</v>
      </c>
      <c r="M2297" t="n">
        <v>7.89</v>
      </c>
      <c r="N2297">
        <f>(M2297-F2297)</f>
        <v/>
      </c>
    </row>
    <row r="2298" ht="21" customHeight="1">
      <c r="A2298" s="22" t="inlineStr">
        <is>
          <t>00010567</t>
        </is>
      </c>
      <c r="B2298" s="23" t="inlineStr">
        <is>
          <t>TABUA *2,5 X 23* CM EM PINUS, MISTA OU EQUIVALENTE DA REGIAO - BRUTA</t>
        </is>
      </c>
      <c r="C2298" s="22" t="inlineStr">
        <is>
          <t>SINAPI</t>
        </is>
      </c>
      <c r="D2298" s="22" t="inlineStr">
        <is>
          <t>M</t>
        </is>
      </c>
      <c r="E2298" s="63" t="n">
        <v>0.55</v>
      </c>
      <c r="F2298" s="64">
        <f>ROUND(M2298*FATOR, 2)</f>
        <v/>
      </c>
      <c r="G2298" s="64">
        <f>TRUNC(TRUNC(E2298,8)*F2298,2)</f>
        <v/>
      </c>
      <c r="L2298" t="n">
        <v>0.55</v>
      </c>
      <c r="M2298" t="n">
        <v>12.49</v>
      </c>
      <c r="N2298">
        <f>(M2298-F2298)</f>
        <v/>
      </c>
    </row>
    <row r="2299" ht="15" customHeight="1">
      <c r="A2299" s="22" t="inlineStr">
        <is>
          <t>00007356</t>
        </is>
      </c>
      <c r="B2299" s="23" t="inlineStr">
        <is>
          <t>TINTA LATEX ACRILICA PREMIUM, COR BRANCO FOSCO</t>
        </is>
      </c>
      <c r="C2299" s="22" t="inlineStr">
        <is>
          <t>SINAPI</t>
        </is>
      </c>
      <c r="D2299" s="22" t="inlineStr">
        <is>
          <t>L</t>
        </is>
      </c>
      <c r="E2299" s="63" t="n">
        <v>0.0256</v>
      </c>
      <c r="F2299" s="64">
        <f>ROUND(M2299*FATOR, 2)</f>
        <v/>
      </c>
      <c r="G2299" s="64">
        <f>TRUNC(TRUNC(E2299,8)*F2299,2)</f>
        <v/>
      </c>
      <c r="L2299" t="n">
        <v>0.0256</v>
      </c>
      <c r="M2299" t="n">
        <v>30.79</v>
      </c>
      <c r="N2299">
        <f>(M2299-F2299)</f>
        <v/>
      </c>
    </row>
    <row r="2300" ht="15" customHeight="1">
      <c r="A2300" s="2" t="inlineStr"/>
      <c r="B2300" s="2" t="inlineStr"/>
      <c r="C2300" s="2" t="inlineStr"/>
      <c r="D2300" s="2" t="inlineStr"/>
      <c r="E2300" s="26" t="inlineStr">
        <is>
          <t>TOTAL Material:</t>
        </is>
      </c>
      <c r="F2300" s="56" t="n"/>
      <c r="G2300" s="65">
        <f>SUM(G2295:G2299)</f>
        <v/>
      </c>
    </row>
    <row r="2301" ht="15" customHeight="1">
      <c r="A2301" s="20" t="inlineStr">
        <is>
          <t>Mão de Obra com Encargos Complementares</t>
        </is>
      </c>
      <c r="B2301" s="56" t="n"/>
      <c r="C2301" s="21" t="inlineStr">
        <is>
          <t>FONTE</t>
        </is>
      </c>
      <c r="D2301" s="21" t="inlineStr">
        <is>
          <t>UNID</t>
        </is>
      </c>
      <c r="E2301" s="21" t="inlineStr">
        <is>
          <t>COEFICIENTE</t>
        </is>
      </c>
      <c r="F2301" s="21" t="inlineStr">
        <is>
          <t>PREÇO UNITÁRIO</t>
        </is>
      </c>
      <c r="G2301" s="21" t="inlineStr">
        <is>
          <t>TOTAL</t>
        </is>
      </c>
    </row>
    <row r="2302" ht="21" customHeight="1">
      <c r="A2302" s="22" t="inlineStr">
        <is>
          <t>88239</t>
        </is>
      </c>
      <c r="B2302" s="23" t="inlineStr">
        <is>
          <t>AJUDANTE DE CARPINTEIRO COM ENCARGOS COMPLEMENTARES</t>
        </is>
      </c>
      <c r="C2302" s="22" t="inlineStr">
        <is>
          <t>SINAPI</t>
        </is>
      </c>
      <c r="D2302" s="22" t="inlineStr">
        <is>
          <t>H</t>
        </is>
      </c>
      <c r="E2302" s="63">
        <f>L2302*FATOR</f>
        <v/>
      </c>
      <c r="F2302" s="64">
        <f>'COMPOSICOES AUXILIARES'!G68</f>
        <v/>
      </c>
      <c r="G2302" s="64">
        <f>TRUNC(TRUNC(E2302,8)*F2302,2)</f>
        <v/>
      </c>
      <c r="L2302" t="n">
        <v>0.7247</v>
      </c>
      <c r="M2302" t="n">
        <v>24.61</v>
      </c>
      <c r="N2302">
        <f>(M2302-F2302)</f>
        <v/>
      </c>
    </row>
    <row r="2303" ht="21" customHeight="1">
      <c r="A2303" s="22" t="inlineStr">
        <is>
          <t>88262</t>
        </is>
      </c>
      <c r="B2303" s="23" t="inlineStr">
        <is>
          <t>CARPINTEIRO DE FORMAS COM ENCARGOS COMPLEMENTARES</t>
        </is>
      </c>
      <c r="C2303" s="22" t="inlineStr">
        <is>
          <t>SINAPI</t>
        </is>
      </c>
      <c r="D2303" s="22" t="inlineStr">
        <is>
          <t>H</t>
        </is>
      </c>
      <c r="E2303" s="63">
        <f>L2303*FATOR</f>
        <v/>
      </c>
      <c r="F2303" s="64">
        <f>'COMPOSICOES AUXILIARES'!G943</f>
        <v/>
      </c>
      <c r="G2303" s="64">
        <f>TRUNC(TRUNC(E2303,8)*F2303,2)</f>
        <v/>
      </c>
      <c r="L2303" t="n">
        <v>0.7247</v>
      </c>
      <c r="M2303" t="n">
        <v>30.15</v>
      </c>
      <c r="N2303">
        <f>(M2303-F2303)</f>
        <v/>
      </c>
    </row>
    <row r="2304" ht="18" customHeight="1">
      <c r="A2304" s="2" t="inlineStr"/>
      <c r="B2304" s="2" t="inlineStr"/>
      <c r="C2304" s="2" t="inlineStr"/>
      <c r="D2304" s="2" t="inlineStr"/>
      <c r="E2304" s="26" t="inlineStr">
        <is>
          <t>TOTAL Mão de Obra com Encargos Complementares:</t>
        </is>
      </c>
      <c r="F2304" s="56" t="n"/>
      <c r="G2304" s="65">
        <f>SUM(G2302:G2303)</f>
        <v/>
      </c>
    </row>
    <row r="2305" ht="15" customHeight="1">
      <c r="A2305" s="20" t="inlineStr">
        <is>
          <t>Serviço</t>
        </is>
      </c>
      <c r="B2305" s="56" t="n"/>
      <c r="C2305" s="21" t="inlineStr">
        <is>
          <t>FONTE</t>
        </is>
      </c>
      <c r="D2305" s="21" t="inlineStr">
        <is>
          <t>UNID</t>
        </is>
      </c>
      <c r="E2305" s="21" t="inlineStr">
        <is>
          <t>COEFICIENTE</t>
        </is>
      </c>
      <c r="F2305" s="21" t="inlineStr">
        <is>
          <t>PREÇO UNITÁRIO</t>
        </is>
      </c>
      <c r="G2305" s="21" t="inlineStr">
        <is>
          <t>TOTAL</t>
        </is>
      </c>
    </row>
    <row r="2306" ht="29" customHeight="1">
      <c r="A2306" s="22" t="inlineStr">
        <is>
          <t>94974</t>
        </is>
      </c>
      <c r="B2306" s="23" t="inlineStr">
        <is>
          <t>CONCRETO MAGRO PARA LASTRO, TRAÇO 1:4,5:4,5 (EM MASSA SECA DE CIMENTO/ AREIA MÉDIA/ BRITA 1) - PREPARO MANUAL. AF_05/2021</t>
        </is>
      </c>
      <c r="C2306" s="22" t="inlineStr">
        <is>
          <t>SINAPI</t>
        </is>
      </c>
      <c r="D2306" s="22" t="inlineStr">
        <is>
          <t>M3</t>
        </is>
      </c>
      <c r="E2306" s="63" t="n">
        <v>0.004</v>
      </c>
      <c r="F2306" s="64">
        <f>'COMPOSICOES AUXILIARES'!G1245</f>
        <v/>
      </c>
      <c r="G2306" s="64">
        <f>TRUNC(TRUNC(E2306,8)*F2306,2)</f>
        <v/>
      </c>
      <c r="L2306" t="n">
        <v>0.004</v>
      </c>
      <c r="M2306" t="n">
        <v>487.36</v>
      </c>
      <c r="N2306">
        <f>(M2306-F2306)</f>
        <v/>
      </c>
    </row>
    <row r="2307" ht="15" customHeight="1">
      <c r="A2307" s="2" t="inlineStr"/>
      <c r="B2307" s="2" t="inlineStr"/>
      <c r="C2307" s="2" t="inlineStr"/>
      <c r="D2307" s="2" t="inlineStr"/>
      <c r="E2307" s="26" t="inlineStr">
        <is>
          <t>TOTAL Serviço:</t>
        </is>
      </c>
      <c r="F2307" s="56" t="n"/>
      <c r="G2307" s="65">
        <f>SUM(G2306:G2306)</f>
        <v/>
      </c>
    </row>
    <row r="2308" ht="15" customHeight="1">
      <c r="A2308" s="2" t="inlineStr"/>
      <c r="B2308" s="2" t="inlineStr"/>
      <c r="C2308" s="2" t="inlineStr"/>
      <c r="D2308" s="2" t="inlineStr"/>
      <c r="E2308" s="28" t="inlineStr">
        <is>
          <t>VALOR:</t>
        </is>
      </c>
      <c r="F2308" s="56" t="n"/>
      <c r="G2308" s="66">
        <f>SUM(G2304,G2307,G2300,G2293)</f>
        <v/>
      </c>
    </row>
    <row r="2309" ht="15" customHeight="1">
      <c r="A2309" s="2" t="inlineStr"/>
      <c r="B2309" s="2" t="inlineStr"/>
      <c r="C2309" s="2" t="inlineStr"/>
      <c r="D2309" s="2" t="inlineStr"/>
      <c r="E2309" s="28" t="inlineStr">
        <is>
          <t>VALOR BDI (23.08%):</t>
        </is>
      </c>
      <c r="F2309" s="56" t="n"/>
      <c r="G2309" s="66">
        <f>ROUNDDOWN(G2308*BDI,2)</f>
        <v/>
      </c>
    </row>
    <row r="2310" ht="15" customHeight="1">
      <c r="A2310" s="2" t="inlineStr"/>
      <c r="B2310" s="2" t="inlineStr"/>
      <c r="C2310" s="2" t="inlineStr"/>
      <c r="D2310" s="2" t="inlineStr"/>
      <c r="E2310" s="28" t="inlineStr">
        <is>
          <t>VALOR COM BDI:</t>
        </is>
      </c>
      <c r="F2310" s="56" t="n"/>
      <c r="G2310" s="66">
        <f>G2309 + G2308</f>
        <v/>
      </c>
    </row>
    <row r="2311" ht="10" customHeight="1">
      <c r="A2311" s="2" t="inlineStr"/>
      <c r="B2311" s="2" t="inlineStr"/>
      <c r="C2311" s="2" t="inlineStr"/>
      <c r="D2311" s="2" t="inlineStr"/>
      <c r="E2311" s="18" t="inlineStr"/>
    </row>
    <row r="2312" ht="20" customHeight="1">
      <c r="A2312" s="19" t="inlineStr">
        <is>
          <t>8.2.10.4. ​93358​ ESCAVAÇÃO MANUAL DE VALA. AF_09/2024​ (M3)</t>
        </is>
      </c>
      <c r="B2312" s="55" t="n"/>
      <c r="C2312" s="55" t="n"/>
      <c r="D2312" s="55" t="n"/>
      <c r="E2312" s="55" t="n"/>
      <c r="F2312" s="55" t="n"/>
      <c r="G2312" s="56" t="n"/>
    </row>
    <row r="2313" ht="15" customHeight="1">
      <c r="A2313" s="20" t="inlineStr">
        <is>
          <t>Mão de Obra com Encargos Complementares</t>
        </is>
      </c>
      <c r="B2313" s="56" t="n"/>
      <c r="C2313" s="21" t="inlineStr">
        <is>
          <t>FONTE</t>
        </is>
      </c>
      <c r="D2313" s="21" t="inlineStr">
        <is>
          <t>UNID</t>
        </is>
      </c>
      <c r="E2313" s="21" t="inlineStr">
        <is>
          <t>COEFICIENTE</t>
        </is>
      </c>
      <c r="F2313" s="21" t="inlineStr">
        <is>
          <t>PREÇO UNITÁRIO</t>
        </is>
      </c>
      <c r="G2313" s="21" t="inlineStr">
        <is>
          <t>TOTAL</t>
        </is>
      </c>
    </row>
    <row r="2314" ht="15" customHeight="1">
      <c r="A2314" s="22" t="inlineStr">
        <is>
          <t>88316</t>
        </is>
      </c>
      <c r="B2314" s="23" t="inlineStr">
        <is>
          <t>SERVENTE COM ENCARGOS COMPLEMENTARES</t>
        </is>
      </c>
      <c r="C2314" s="22" t="inlineStr">
        <is>
          <t>SINAPI</t>
        </is>
      </c>
      <c r="D2314" s="22" t="inlineStr">
        <is>
          <t>H</t>
        </is>
      </c>
      <c r="E2314" s="63">
        <f>L2314*FATOR</f>
        <v/>
      </c>
      <c r="F2314" s="64">
        <f>'COMPOSICOES AUXILIARES'!G3390</f>
        <v/>
      </c>
      <c r="G2314" s="64">
        <f>TRUNC(TRUNC(E2314,8)*F2314,2)</f>
        <v/>
      </c>
      <c r="L2314" t="n">
        <v>3.9557667</v>
      </c>
      <c r="M2314" t="n">
        <v>23.56</v>
      </c>
      <c r="N2314">
        <f>(M2314-F2314)</f>
        <v/>
      </c>
    </row>
    <row r="2315" ht="18" customHeight="1">
      <c r="A2315" s="2" t="inlineStr"/>
      <c r="B2315" s="2" t="inlineStr"/>
      <c r="C2315" s="2" t="inlineStr"/>
      <c r="D2315" s="2" t="inlineStr"/>
      <c r="E2315" s="26" t="inlineStr">
        <is>
          <t>TOTAL Mão de Obra com Encargos Complementares:</t>
        </is>
      </c>
      <c r="F2315" s="56" t="n"/>
      <c r="G2315" s="65">
        <f>SUM(G2314:G2314)</f>
        <v/>
      </c>
    </row>
    <row r="2316" ht="15" customHeight="1">
      <c r="A2316" s="2" t="inlineStr"/>
      <c r="B2316" s="2" t="inlineStr"/>
      <c r="C2316" s="2" t="inlineStr"/>
      <c r="D2316" s="2" t="inlineStr"/>
      <c r="E2316" s="28" t="inlineStr">
        <is>
          <t>VALOR:</t>
        </is>
      </c>
      <c r="F2316" s="56" t="n"/>
      <c r="G2316" s="66">
        <f>SUM(G2315)</f>
        <v/>
      </c>
    </row>
    <row r="2317" ht="15" customHeight="1">
      <c r="A2317" s="2" t="inlineStr"/>
      <c r="B2317" s="2" t="inlineStr"/>
      <c r="C2317" s="2" t="inlineStr"/>
      <c r="D2317" s="2" t="inlineStr"/>
      <c r="E2317" s="28" t="inlineStr">
        <is>
          <t>VALOR BDI (23.08%):</t>
        </is>
      </c>
      <c r="F2317" s="56" t="n"/>
      <c r="G2317" s="66">
        <f>ROUNDDOWN(G2316*BDI,2)</f>
        <v/>
      </c>
    </row>
    <row r="2318" ht="15" customHeight="1">
      <c r="A2318" s="2" t="inlineStr"/>
      <c r="B2318" s="2" t="inlineStr"/>
      <c r="C2318" s="2" t="inlineStr"/>
      <c r="D2318" s="2" t="inlineStr"/>
      <c r="E2318" s="28" t="inlineStr">
        <is>
          <t>VALOR COM BDI:</t>
        </is>
      </c>
      <c r="F2318" s="56" t="n"/>
      <c r="G2318" s="66">
        <f>G2317 + G2316</f>
        <v/>
      </c>
    </row>
    <row r="2319" ht="10" customHeight="1">
      <c r="A2319" s="2" t="inlineStr"/>
      <c r="B2319" s="2" t="inlineStr"/>
      <c r="C2319" s="2" t="inlineStr"/>
      <c r="D2319" s="2" t="inlineStr"/>
      <c r="E2319" s="18" t="inlineStr"/>
    </row>
    <row r="2320" ht="20" customHeight="1">
      <c r="A2320" s="19" t="inlineStr">
        <is>
          <t>8.2.10.5. ​93382​ REATERRO MANUAL DE VALAS, COM COMPACTADOR DE SOLOS DEPERCUSSÃO. AF_08/2023​ (M3)</t>
        </is>
      </c>
      <c r="B2320" s="55" t="n"/>
      <c r="C2320" s="55" t="n"/>
      <c r="D2320" s="55" t="n"/>
      <c r="E2320" s="55" t="n"/>
      <c r="F2320" s="55" t="n"/>
      <c r="G2320" s="56" t="n"/>
    </row>
    <row r="2321" ht="15" customHeight="1">
      <c r="A2321" s="20" t="inlineStr">
        <is>
          <t>Equipamento Custo Horário</t>
        </is>
      </c>
      <c r="B2321" s="56" t="n"/>
      <c r="C2321" s="21" t="inlineStr">
        <is>
          <t>FONTE</t>
        </is>
      </c>
      <c r="D2321" s="21" t="inlineStr">
        <is>
          <t>UNID</t>
        </is>
      </c>
      <c r="E2321" s="21" t="inlineStr">
        <is>
          <t>COEFICIENTE</t>
        </is>
      </c>
      <c r="F2321" s="21" t="inlineStr">
        <is>
          <t>PREÇO UNITÁRIO</t>
        </is>
      </c>
      <c r="G2321" s="21" t="inlineStr">
        <is>
          <t>TOTAL</t>
        </is>
      </c>
    </row>
    <row r="2322" ht="46" customHeight="1">
      <c r="A2322" s="22" t="inlineStr">
        <is>
          <t>5903</t>
        </is>
      </c>
      <c r="B2322" s="23" t="inlineStr">
        <is>
          <t>CAMINHÃO PIPA 10.000 L TRUCADO, PESO BRUTO TOTAL 23.000 KG, CARGA ÚTIL MÁXIMA 15.935 KG, DISTÂNCIA ENTRE EIXOS 4,8 M, POTÊNCIA 230 CV, INCLUSIVE TANQUE DE AÇO PARA TRANSPORTE DE ÁGUA - CHI DIURNO. AF_06/2014</t>
        </is>
      </c>
      <c r="C2322" s="22" t="inlineStr">
        <is>
          <t>SINAPI</t>
        </is>
      </c>
      <c r="D2322" s="22" t="inlineStr">
        <is>
          <t>CHI</t>
        </is>
      </c>
      <c r="E2322" s="63" t="n">
        <v>0.0005999999999999999</v>
      </c>
      <c r="F2322" s="64">
        <f>'COMPOSICOES AUXILIARES'!G834</f>
        <v/>
      </c>
      <c r="G2322" s="64">
        <f>TRUNC(TRUNC(E2322,8)*F2322,2)</f>
        <v/>
      </c>
      <c r="L2322" t="n">
        <v>0.0005999999999999999</v>
      </c>
      <c r="M2322" t="n">
        <v>79.86</v>
      </c>
      <c r="N2322">
        <f>(M2322-F2322)</f>
        <v/>
      </c>
    </row>
    <row r="2323" ht="46" customHeight="1">
      <c r="A2323" s="22" t="inlineStr">
        <is>
          <t>5901</t>
        </is>
      </c>
      <c r="B2323" s="23" t="inlineStr">
        <is>
          <t>CAMINHÃO PIPA 10.000 L TRUCADO, PESO BRUTO TOTAL 23.000 KG, CARGA ÚTIL MÁXIMA 15.935 KG, DISTÂNCIA ENTRE EIXOS 4,8 M, POTÊNCIA 230 CV, INCLUSIVE TANQUE DE AÇO PARA TRANSPORTE DE ÁGUA - CHP DIURNO. AF_06/2014</t>
        </is>
      </c>
      <c r="C2323" s="22" t="inlineStr">
        <is>
          <t>SINAPI</t>
        </is>
      </c>
      <c r="D2323" s="22" t="inlineStr">
        <is>
          <t>CHP</t>
        </is>
      </c>
      <c r="E2323" s="63" t="n">
        <v>0.0054</v>
      </c>
      <c r="F2323" s="64">
        <f>'COMPOSICOES AUXILIARES'!G849</f>
        <v/>
      </c>
      <c r="G2323" s="64">
        <f>TRUNC(TRUNC(E2323,8)*F2323,2)</f>
        <v/>
      </c>
      <c r="L2323" t="n">
        <v>0.0054</v>
      </c>
      <c r="M2323" t="n">
        <v>325.05</v>
      </c>
      <c r="N2323">
        <f>(M2323-F2323)</f>
        <v/>
      </c>
    </row>
    <row r="2324" ht="29" customHeight="1">
      <c r="A2324" s="22" t="inlineStr">
        <is>
          <t>91533</t>
        </is>
      </c>
      <c r="B2324" s="23" t="inlineStr">
        <is>
          <t>COMPACTADOR DE SOLOS DE PERCUSSÃO (SOQUETE) COM MOTOR A GASOLINA 4 TEMPOS, POTÊNCIA 4 CV - CHP DIURNO. AF_08/2015</t>
        </is>
      </c>
      <c r="C2324" s="22" t="inlineStr">
        <is>
          <t>SINAPI</t>
        </is>
      </c>
      <c r="D2324" s="22" t="inlineStr">
        <is>
          <t>CHP</t>
        </is>
      </c>
      <c r="E2324" s="63" t="n">
        <v>0.1962</v>
      </c>
      <c r="F2324" s="64">
        <f>'COMPOSICOES AUXILIARES'!G1003</f>
        <v/>
      </c>
      <c r="G2324" s="64">
        <f>TRUNC(TRUNC(E2324,8)*F2324,2)</f>
        <v/>
      </c>
      <c r="L2324" t="n">
        <v>0.1962</v>
      </c>
      <c r="M2324" t="n">
        <v>44.39</v>
      </c>
      <c r="N2324">
        <f>(M2324-F2324)</f>
        <v/>
      </c>
    </row>
    <row r="2325" ht="18" customHeight="1">
      <c r="A2325" s="2" t="inlineStr"/>
      <c r="B2325" s="2" t="inlineStr"/>
      <c r="C2325" s="2" t="inlineStr"/>
      <c r="D2325" s="2" t="inlineStr"/>
      <c r="E2325" s="26" t="inlineStr">
        <is>
          <t>TOTAL Equipamento Custo Horário:</t>
        </is>
      </c>
      <c r="F2325" s="56" t="n"/>
      <c r="G2325" s="65">
        <f>SUM(G2322:G2324)</f>
        <v/>
      </c>
    </row>
    <row r="2326" ht="15" customHeight="1">
      <c r="A2326" s="20" t="inlineStr">
        <is>
          <t>Mão de Obra com Encargos Complementares</t>
        </is>
      </c>
      <c r="B2326" s="56" t="n"/>
      <c r="C2326" s="21" t="inlineStr">
        <is>
          <t>FONTE</t>
        </is>
      </c>
      <c r="D2326" s="21" t="inlineStr">
        <is>
          <t>UNID</t>
        </is>
      </c>
      <c r="E2326" s="21" t="inlineStr">
        <is>
          <t>COEFICIENTE</t>
        </is>
      </c>
      <c r="F2326" s="21" t="inlineStr">
        <is>
          <t>PREÇO UNITÁRIO</t>
        </is>
      </c>
      <c r="G2326" s="21" t="inlineStr">
        <is>
          <t>TOTAL</t>
        </is>
      </c>
    </row>
    <row r="2327" ht="15" customHeight="1">
      <c r="A2327" s="22" t="inlineStr">
        <is>
          <t>88316</t>
        </is>
      </c>
      <c r="B2327" s="23" t="inlineStr">
        <is>
          <t>SERVENTE COM ENCARGOS COMPLEMENTARES</t>
        </is>
      </c>
      <c r="C2327" s="22" t="inlineStr">
        <is>
          <t>SINAPI</t>
        </is>
      </c>
      <c r="D2327" s="22" t="inlineStr">
        <is>
          <t>H</t>
        </is>
      </c>
      <c r="E2327" s="63">
        <f>L2327*FATOR</f>
        <v/>
      </c>
      <c r="F2327" s="64">
        <f>'COMPOSICOES AUXILIARES'!G3390</f>
        <v/>
      </c>
      <c r="G2327" s="64">
        <f>TRUNC(TRUNC(E2327,8)*F2327,2)</f>
        <v/>
      </c>
      <c r="L2327" t="n">
        <v>0.7866</v>
      </c>
      <c r="M2327" t="n">
        <v>23.56</v>
      </c>
      <c r="N2327">
        <f>(M2327-F2327)</f>
        <v/>
      </c>
    </row>
    <row r="2328" ht="18" customHeight="1">
      <c r="A2328" s="2" t="inlineStr"/>
      <c r="B2328" s="2" t="inlineStr"/>
      <c r="C2328" s="2" t="inlineStr"/>
      <c r="D2328" s="2" t="inlineStr"/>
      <c r="E2328" s="26" t="inlineStr">
        <is>
          <t>TOTAL Mão de Obra com Encargos Complementares:</t>
        </is>
      </c>
      <c r="F2328" s="56" t="n"/>
      <c r="G2328" s="65">
        <f>SUM(G2327:G2327)</f>
        <v/>
      </c>
    </row>
    <row r="2329" ht="15" customHeight="1">
      <c r="A2329" s="2" t="inlineStr"/>
      <c r="B2329" s="2" t="inlineStr"/>
      <c r="C2329" s="2" t="inlineStr"/>
      <c r="D2329" s="2" t="inlineStr"/>
      <c r="E2329" s="28" t="inlineStr">
        <is>
          <t>VALOR:</t>
        </is>
      </c>
      <c r="F2329" s="56" t="n"/>
      <c r="G2329" s="66">
        <f>SUM(G2328,G2325)</f>
        <v/>
      </c>
    </row>
    <row r="2330" ht="15" customHeight="1">
      <c r="A2330" s="2" t="inlineStr"/>
      <c r="B2330" s="2" t="inlineStr"/>
      <c r="C2330" s="2" t="inlineStr"/>
      <c r="D2330" s="2" t="inlineStr"/>
      <c r="E2330" s="28" t="inlineStr">
        <is>
          <t>VALOR BDI (23.08%):</t>
        </is>
      </c>
      <c r="F2330" s="56" t="n"/>
      <c r="G2330" s="66">
        <f>ROUNDDOWN(G2329*BDI,2)</f>
        <v/>
      </c>
    </row>
    <row r="2331" ht="15" customHeight="1">
      <c r="A2331" s="2" t="inlineStr"/>
      <c r="B2331" s="2" t="inlineStr"/>
      <c r="C2331" s="2" t="inlineStr"/>
      <c r="D2331" s="2" t="inlineStr"/>
      <c r="E2331" s="28" t="inlineStr">
        <is>
          <t>VALOR COM BDI:</t>
        </is>
      </c>
      <c r="F2331" s="56" t="n"/>
      <c r="G2331" s="66">
        <f>G2330 + G2329</f>
        <v/>
      </c>
    </row>
    <row r="2332" ht="10" customHeight="1">
      <c r="A2332" s="2" t="inlineStr"/>
      <c r="B2332" s="2" t="inlineStr"/>
      <c r="C2332" s="2" t="inlineStr"/>
      <c r="D2332" s="2" t="inlineStr"/>
      <c r="E2332" s="18" t="inlineStr"/>
    </row>
    <row r="2333" ht="20" customHeight="1">
      <c r="A2333" s="19" t="inlineStr">
        <is>
          <t>8.2.10.6. ​100980​ CARGA, MANOBRA E DESCARGA DE SOLOS E MATERIAIS GRANULARES EM CAMINHÃO BASCULANTE 18 M³ - CARGA COM ESCAVADEIRA HIDRÁULICA (CAÇAMBA DE 1,20 M³ / 155 HP) E DESCARGA LIVRE(UNIDADE: M3). AF_07/2020​ (M3)</t>
        </is>
      </c>
      <c r="B2333" s="55" t="n"/>
      <c r="C2333" s="55" t="n"/>
      <c r="D2333" s="55" t="n"/>
      <c r="E2333" s="55" t="n"/>
      <c r="F2333" s="55" t="n"/>
      <c r="G2333" s="56" t="n"/>
    </row>
    <row r="2334" ht="15" customHeight="1">
      <c r="A2334" s="20" t="inlineStr">
        <is>
          <t>Equipamento Custo Horário</t>
        </is>
      </c>
      <c r="B2334" s="56" t="n"/>
      <c r="C2334" s="21" t="inlineStr">
        <is>
          <t>FONTE</t>
        </is>
      </c>
      <c r="D2334" s="21" t="inlineStr">
        <is>
          <t>UNID</t>
        </is>
      </c>
      <c r="E2334" s="21" t="inlineStr">
        <is>
          <t>COEFICIENTE</t>
        </is>
      </c>
      <c r="F2334" s="21" t="inlineStr">
        <is>
          <t>PREÇO UNITÁRIO</t>
        </is>
      </c>
      <c r="G2334" s="21" t="inlineStr">
        <is>
          <t>TOTAL</t>
        </is>
      </c>
    </row>
    <row r="2335" ht="38" customHeight="1">
      <c r="A2335" s="22" t="inlineStr">
        <is>
          <t>89884</t>
        </is>
      </c>
      <c r="B2335" s="23" t="inlineStr">
        <is>
          <t>CAMINHÃO BASCULANTE 18 M3, COM CAVALO MECÂNICO DE CAPACIDADE MÁXIMA DE TRAÇÃO COMBINADO DE 45000 KG, POTÊNCIA 330 CV, INCLUSIVE SEMIREBOQUE COM CAÇAMBA METÁLICA - CHI DIURNO. AF_12/2014</t>
        </is>
      </c>
      <c r="C2335" s="22" t="inlineStr">
        <is>
          <t>SINAPI</t>
        </is>
      </c>
      <c r="D2335" s="22" t="inlineStr">
        <is>
          <t>CHI</t>
        </is>
      </c>
      <c r="E2335" s="63" t="n">
        <v>0.0077</v>
      </c>
      <c r="F2335" s="64">
        <f>'COMPOSICOES AUXILIARES'!G738</f>
        <v/>
      </c>
      <c r="G2335" s="64">
        <f>TRUNC(TRUNC(E2335,8)*F2335,2)</f>
        <v/>
      </c>
      <c r="L2335" t="n">
        <v>0.0077</v>
      </c>
      <c r="M2335" t="n">
        <v>98.09999999999999</v>
      </c>
      <c r="N2335">
        <f>(M2335-F2335)</f>
        <v/>
      </c>
    </row>
    <row r="2336" ht="38" customHeight="1">
      <c r="A2336" s="22" t="inlineStr">
        <is>
          <t>89883</t>
        </is>
      </c>
      <c r="B2336" s="23" t="inlineStr">
        <is>
          <t>CAMINHÃO BASCULANTE 18 M3, COM CAVALO MECÂNICO DE CAPACIDADE MÁXIMA DE TRAÇÃO COMBINADO DE 45000 KG, POTÊNCIA 330 CV, INCLUSIVE SEMIREBOQUE COM CAÇAMBA METÁLICA - CHP DIURNO. AF_12/2014</t>
        </is>
      </c>
      <c r="C2336" s="22" t="inlineStr">
        <is>
          <t>SINAPI</t>
        </is>
      </c>
      <c r="D2336" s="22" t="inlineStr">
        <is>
          <t>CHP</t>
        </is>
      </c>
      <c r="E2336" s="63" t="n">
        <v>0.0111</v>
      </c>
      <c r="F2336" s="64">
        <f>'COMPOSICOES AUXILIARES'!G753</f>
        <v/>
      </c>
      <c r="G2336" s="64">
        <f>TRUNC(TRUNC(E2336,8)*F2336,2)</f>
        <v/>
      </c>
      <c r="L2336" t="n">
        <v>0.0111</v>
      </c>
      <c r="M2336" t="n">
        <v>373.41</v>
      </c>
      <c r="N2336">
        <f>(M2336-F2336)</f>
        <v/>
      </c>
    </row>
    <row r="2337" ht="29" customHeight="1">
      <c r="A2337" s="22" t="inlineStr">
        <is>
          <t>88908</t>
        </is>
      </c>
      <c r="B2337" s="23" t="inlineStr">
        <is>
          <t>ESCAVADEIRA HIDRÁULICA SOBRE ESTEIRAS, CAÇAMBA 1,20 M3, PESO OPERACIONAL 21 T, POTÊNCIA BRUTA 155 HP - CHI DIURNO. AF_06/2014</t>
        </is>
      </c>
      <c r="C2337" s="22" t="inlineStr">
        <is>
          <t>SINAPI</t>
        </is>
      </c>
      <c r="D2337" s="22" t="inlineStr">
        <is>
          <t>CHI</t>
        </is>
      </c>
      <c r="E2337" s="63" t="n">
        <v>0.0056</v>
      </c>
      <c r="F2337" s="64">
        <f>'COMPOSICOES AUXILIARES'!G1978</f>
        <v/>
      </c>
      <c r="G2337" s="64">
        <f>TRUNC(TRUNC(E2337,8)*F2337,2)</f>
        <v/>
      </c>
      <c r="L2337" t="n">
        <v>0.0056</v>
      </c>
      <c r="M2337" t="n">
        <v>104.69</v>
      </c>
      <c r="N2337">
        <f>(M2337-F2337)</f>
        <v/>
      </c>
    </row>
    <row r="2338" ht="29" customHeight="1">
      <c r="A2338" s="22" t="inlineStr">
        <is>
          <t>88907</t>
        </is>
      </c>
      <c r="B2338" s="23" t="inlineStr">
        <is>
          <t>ESCAVADEIRA HIDRÁULICA SOBRE ESTEIRAS, CAÇAMBA 1,20 M3, PESO OPERACIONAL 21 T, POTÊNCIA BRUTA 155 HP - CHP DIURNO. AF_06/2014</t>
        </is>
      </c>
      <c r="C2338" s="22" t="inlineStr">
        <is>
          <t>SINAPI</t>
        </is>
      </c>
      <c r="D2338" s="22" t="inlineStr">
        <is>
          <t>CHP</t>
        </is>
      </c>
      <c r="E2338" s="63" t="n">
        <v>0.0042</v>
      </c>
      <c r="F2338" s="64">
        <f>'COMPOSICOES AUXILIARES'!G1992</f>
        <v/>
      </c>
      <c r="G2338" s="64">
        <f>TRUNC(TRUNC(E2338,8)*F2338,2)</f>
        <v/>
      </c>
      <c r="L2338" t="n">
        <v>0.0042</v>
      </c>
      <c r="M2338" t="n">
        <v>262.65</v>
      </c>
      <c r="N2338">
        <f>(M2338-F2338)</f>
        <v/>
      </c>
    </row>
    <row r="2339" ht="18" customHeight="1">
      <c r="A2339" s="2" t="inlineStr"/>
      <c r="B2339" s="2" t="inlineStr"/>
      <c r="C2339" s="2" t="inlineStr"/>
      <c r="D2339" s="2" t="inlineStr"/>
      <c r="E2339" s="26" t="inlineStr">
        <is>
          <t>TOTAL Equipamento Custo Horário:</t>
        </is>
      </c>
      <c r="F2339" s="56" t="n"/>
      <c r="G2339" s="65">
        <f>SUM(G2335:G2338)</f>
        <v/>
      </c>
    </row>
    <row r="2340" ht="15" customHeight="1">
      <c r="A2340" s="2" t="inlineStr"/>
      <c r="B2340" s="2" t="inlineStr"/>
      <c r="C2340" s="2" t="inlineStr"/>
      <c r="D2340" s="2" t="inlineStr"/>
      <c r="E2340" s="28" t="inlineStr">
        <is>
          <t>VALOR:</t>
        </is>
      </c>
      <c r="F2340" s="56" t="n"/>
      <c r="G2340" s="66">
        <f>SUM(G2339)</f>
        <v/>
      </c>
    </row>
    <row r="2341" ht="15" customHeight="1">
      <c r="A2341" s="2" t="inlineStr"/>
      <c r="B2341" s="2" t="inlineStr"/>
      <c r="C2341" s="2" t="inlineStr"/>
      <c r="D2341" s="2" t="inlineStr"/>
      <c r="E2341" s="28" t="inlineStr">
        <is>
          <t>VALOR BDI (23.08%):</t>
        </is>
      </c>
      <c r="F2341" s="56" t="n"/>
      <c r="G2341" s="66">
        <f>ROUNDDOWN(G2340*BDI,2)</f>
        <v/>
      </c>
    </row>
    <row r="2342" ht="15" customHeight="1">
      <c r="A2342" s="2" t="inlineStr"/>
      <c r="B2342" s="2" t="inlineStr"/>
      <c r="C2342" s="2" t="inlineStr"/>
      <c r="D2342" s="2" t="inlineStr"/>
      <c r="E2342" s="28" t="inlineStr">
        <is>
          <t>VALOR COM BDI:</t>
        </is>
      </c>
      <c r="F2342" s="56" t="n"/>
      <c r="G2342" s="66">
        <f>G2341 + G2340</f>
        <v/>
      </c>
    </row>
    <row r="2343" ht="10" customHeight="1">
      <c r="A2343" s="2" t="inlineStr"/>
      <c r="B2343" s="2" t="inlineStr"/>
      <c r="C2343" s="2" t="inlineStr"/>
      <c r="D2343" s="2" t="inlineStr"/>
      <c r="E2343" s="18" t="inlineStr"/>
    </row>
    <row r="2344" ht="20" customHeight="1">
      <c r="A2344" s="19" t="inlineStr">
        <is>
          <t>8.2.10.7. ​95877​ TRANSPORTE COM CAMINHÃO BASCULANTE DE 18 M³, EM VIA URBANA PAVIMENTADA, DMT ATÉ 30 KM (UNIDADE:M3XKM). AF_07/2020​ (M3XKM)</t>
        </is>
      </c>
      <c r="B2344" s="55" t="n"/>
      <c r="C2344" s="55" t="n"/>
      <c r="D2344" s="55" t="n"/>
      <c r="E2344" s="55" t="n"/>
      <c r="F2344" s="55" t="n"/>
      <c r="G2344" s="56" t="n"/>
    </row>
    <row r="2345" ht="15" customHeight="1">
      <c r="A2345" s="20" t="inlineStr">
        <is>
          <t>Equipamento Custo Horário</t>
        </is>
      </c>
      <c r="B2345" s="56" t="n"/>
      <c r="C2345" s="21" t="inlineStr">
        <is>
          <t>FONTE</t>
        </is>
      </c>
      <c r="D2345" s="21" t="inlineStr">
        <is>
          <t>UNID</t>
        </is>
      </c>
      <c r="E2345" s="21" t="inlineStr">
        <is>
          <t>COEFICIENTE</t>
        </is>
      </c>
      <c r="F2345" s="21" t="inlineStr">
        <is>
          <t>PREÇO UNITÁRIO</t>
        </is>
      </c>
      <c r="G2345" s="21" t="inlineStr">
        <is>
          <t>TOTAL</t>
        </is>
      </c>
    </row>
    <row r="2346" ht="38" customHeight="1">
      <c r="A2346" s="22" t="inlineStr">
        <is>
          <t>89884</t>
        </is>
      </c>
      <c r="B2346" s="23" t="inlineStr">
        <is>
          <t>CAMINHÃO BASCULANTE 18 M3, COM CAVALO MECÂNICO DE CAPACIDADE MÁXIMA DE TRAÇÃO COMBINADO DE 45000 KG, POTÊNCIA 330 CV, INCLUSIVE SEMIREBOQUE COM CAÇAMBA METÁLICA - CHI DIURNO. AF_12/2014</t>
        </is>
      </c>
      <c r="C2346" s="22" t="inlineStr">
        <is>
          <t>SINAPI</t>
        </is>
      </c>
      <c r="D2346" s="22" t="inlineStr">
        <is>
          <t>CHI</t>
        </is>
      </c>
      <c r="E2346" s="63" t="n">
        <v>0.002</v>
      </c>
      <c r="F2346" s="64">
        <f>'COMPOSICOES AUXILIARES'!G738</f>
        <v/>
      </c>
      <c r="G2346" s="64">
        <f>TRUNC(TRUNC(E2346,8)*F2346,2)</f>
        <v/>
      </c>
      <c r="L2346" t="n">
        <v>0.002</v>
      </c>
      <c r="M2346" t="n">
        <v>98.09999999999999</v>
      </c>
      <c r="N2346">
        <f>(M2346-F2346)</f>
        <v/>
      </c>
    </row>
    <row r="2347" ht="38" customHeight="1">
      <c r="A2347" s="22" t="inlineStr">
        <is>
          <t>89883</t>
        </is>
      </c>
      <c r="B2347" s="23" t="inlineStr">
        <is>
          <t>CAMINHÃO BASCULANTE 18 M3, COM CAVALO MECÂNICO DE CAPACIDADE MÁXIMA DE TRAÇÃO COMBINADO DE 45000 KG, POTÊNCIA 330 CV, INCLUSIVE SEMIREBOQUE COM CAÇAMBA METÁLICA - CHP DIURNO. AF_12/2014</t>
        </is>
      </c>
      <c r="C2347" s="22" t="inlineStr">
        <is>
          <t>SINAPI</t>
        </is>
      </c>
      <c r="D2347" s="22" t="inlineStr">
        <is>
          <t>CHP</t>
        </is>
      </c>
      <c r="E2347" s="63" t="n">
        <v>0.0046</v>
      </c>
      <c r="F2347" s="64">
        <f>'COMPOSICOES AUXILIARES'!G753</f>
        <v/>
      </c>
      <c r="G2347" s="64">
        <f>TRUNC(TRUNC(E2347,8)*F2347,2)</f>
        <v/>
      </c>
      <c r="L2347" t="n">
        <v>0.0046</v>
      </c>
      <c r="M2347" t="n">
        <v>373.41</v>
      </c>
      <c r="N2347">
        <f>(M2347-F2347)</f>
        <v/>
      </c>
    </row>
    <row r="2348" ht="18" customHeight="1">
      <c r="A2348" s="2" t="inlineStr"/>
      <c r="B2348" s="2" t="inlineStr"/>
      <c r="C2348" s="2" t="inlineStr"/>
      <c r="D2348" s="2" t="inlineStr"/>
      <c r="E2348" s="26" t="inlineStr">
        <is>
          <t>TOTAL Equipamento Custo Horário:</t>
        </is>
      </c>
      <c r="F2348" s="56" t="n"/>
      <c r="G2348" s="65">
        <f>SUM(G2346:G2347)</f>
        <v/>
      </c>
    </row>
    <row r="2349" ht="15" customHeight="1">
      <c r="A2349" s="2" t="inlineStr"/>
      <c r="B2349" s="2" t="inlineStr"/>
      <c r="C2349" s="2" t="inlineStr"/>
      <c r="D2349" s="2" t="inlineStr"/>
      <c r="E2349" s="28" t="inlineStr">
        <is>
          <t>VALOR:</t>
        </is>
      </c>
      <c r="F2349" s="56" t="n"/>
      <c r="G2349" s="66">
        <f>SUM(G2348)</f>
        <v/>
      </c>
    </row>
    <row r="2350" ht="15" customHeight="1">
      <c r="A2350" s="2" t="inlineStr"/>
      <c r="B2350" s="2" t="inlineStr"/>
      <c r="C2350" s="2" t="inlineStr"/>
      <c r="D2350" s="2" t="inlineStr"/>
      <c r="E2350" s="28" t="inlineStr">
        <is>
          <t>VALOR BDI (23.08%):</t>
        </is>
      </c>
      <c r="F2350" s="56" t="n"/>
      <c r="G2350" s="66">
        <f>ROUNDDOWN(G2349*BDI,2)</f>
        <v/>
      </c>
    </row>
    <row r="2351" ht="15" customHeight="1">
      <c r="A2351" s="2" t="inlineStr"/>
      <c r="B2351" s="2" t="inlineStr"/>
      <c r="C2351" s="2" t="inlineStr"/>
      <c r="D2351" s="2" t="inlineStr"/>
      <c r="E2351" s="28" t="inlineStr">
        <is>
          <t>VALOR COM BDI:</t>
        </is>
      </c>
      <c r="F2351" s="56" t="n"/>
      <c r="G2351" s="66">
        <f>G2350 + G2349</f>
        <v/>
      </c>
    </row>
    <row r="2352" ht="10" customHeight="1">
      <c r="A2352" s="2" t="inlineStr"/>
      <c r="B2352" s="2" t="inlineStr"/>
      <c r="C2352" s="2" t="inlineStr"/>
      <c r="D2352" s="2" t="inlineStr"/>
      <c r="E2352" s="18" t="inlineStr"/>
    </row>
    <row r="2353" ht="20" customHeight="1">
      <c r="A2353" s="19" t="inlineStr">
        <is>
          <t>8.2.10.8. ​C5185​ DESTINAÇÃO FINAL DO RESÍDUO SOLIDO NÃO SEGREGADO EM TERRENOLICENCIADO - SEM TRANSPORTE​ (M3)</t>
        </is>
      </c>
      <c r="B2353" s="55" t="n"/>
      <c r="C2353" s="55" t="n"/>
      <c r="D2353" s="55" t="n"/>
      <c r="E2353" s="55" t="n"/>
      <c r="F2353" s="55" t="n"/>
      <c r="G2353" s="56" t="n"/>
    </row>
    <row r="2354" ht="15" customHeight="1">
      <c r="A2354" s="20" t="inlineStr">
        <is>
          <t>Material</t>
        </is>
      </c>
      <c r="B2354" s="56" t="n"/>
      <c r="C2354" s="21" t="inlineStr">
        <is>
          <t>FONTE</t>
        </is>
      </c>
      <c r="D2354" s="21" t="inlineStr">
        <is>
          <t>UNID</t>
        </is>
      </c>
      <c r="E2354" s="21" t="inlineStr">
        <is>
          <t>COEFICIENTE</t>
        </is>
      </c>
      <c r="F2354" s="21" t="inlineStr">
        <is>
          <t>PREÇO UNITÁRIO</t>
        </is>
      </c>
      <c r="G2354" s="21" t="inlineStr">
        <is>
          <t>TOTAL</t>
        </is>
      </c>
    </row>
    <row r="2355" ht="15" customHeight="1">
      <c r="A2355" s="22" t="inlineStr">
        <is>
          <t>I10260</t>
        </is>
      </c>
      <c r="B2355" s="23" t="inlineStr">
        <is>
          <t>RECEBIMENTO DE MATERIAL SEGREGADO</t>
        </is>
      </c>
      <c r="C2355" s="22" t="inlineStr">
        <is>
          <t>SEINFRA</t>
        </is>
      </c>
      <c r="D2355" s="22" t="inlineStr">
        <is>
          <t>M3</t>
        </is>
      </c>
      <c r="E2355" s="63" t="n">
        <v>1</v>
      </c>
      <c r="F2355" s="67">
        <f>ROUND(M2355*FATOR, 2)</f>
        <v/>
      </c>
      <c r="G2355" s="67">
        <f>ROUND(ROUND(E2355,8)*F2355,4)</f>
        <v/>
      </c>
      <c r="L2355" t="n">
        <v>1</v>
      </c>
      <c r="M2355" t="n">
        <v>11.2</v>
      </c>
      <c r="N2355">
        <f>(M2355-F2355)</f>
        <v/>
      </c>
    </row>
    <row r="2356" ht="15" customHeight="1">
      <c r="A2356" s="2" t="inlineStr"/>
      <c r="B2356" s="2" t="inlineStr"/>
      <c r="C2356" s="2" t="inlineStr"/>
      <c r="D2356" s="2" t="inlineStr"/>
      <c r="E2356" s="26" t="inlineStr">
        <is>
          <t>TOTAL Material:</t>
        </is>
      </c>
      <c r="F2356" s="56" t="n"/>
      <c r="G2356" s="68">
        <f>SUM(G2355:G2355)</f>
        <v/>
      </c>
    </row>
    <row r="2357" ht="15" customHeight="1">
      <c r="A2357" s="2" t="inlineStr"/>
      <c r="B2357" s="2" t="inlineStr"/>
      <c r="C2357" s="2" t="inlineStr"/>
      <c r="D2357" s="2" t="inlineStr"/>
      <c r="E2357" s="28" t="inlineStr">
        <is>
          <t>VALOR:</t>
        </is>
      </c>
      <c r="F2357" s="56" t="n"/>
      <c r="G2357" s="66">
        <f>SUM(G2356)</f>
        <v/>
      </c>
    </row>
    <row r="2358" ht="15" customHeight="1">
      <c r="A2358" s="2" t="inlineStr"/>
      <c r="B2358" s="2" t="inlineStr"/>
      <c r="C2358" s="2" t="inlineStr"/>
      <c r="D2358" s="2" t="inlineStr"/>
      <c r="E2358" s="28" t="inlineStr">
        <is>
          <t>VALOR BDI (23.08%):</t>
        </is>
      </c>
      <c r="F2358" s="56" t="n"/>
      <c r="G2358" s="66">
        <f>ROUNDDOWN(G2357*BDI,2)</f>
        <v/>
      </c>
    </row>
    <row r="2359" ht="15" customHeight="1">
      <c r="A2359" s="2" t="inlineStr"/>
      <c r="B2359" s="2" t="inlineStr"/>
      <c r="C2359" s="2" t="inlineStr"/>
      <c r="D2359" s="2" t="inlineStr"/>
      <c r="E2359" s="28" t="inlineStr">
        <is>
          <t>VALOR COM BDI:</t>
        </is>
      </c>
      <c r="F2359" s="56" t="n"/>
      <c r="G2359" s="66">
        <f>G2358 + G2357</f>
        <v/>
      </c>
    </row>
    <row r="2360" ht="10" customHeight="1">
      <c r="A2360" s="2" t="inlineStr"/>
      <c r="B2360" s="2" t="inlineStr"/>
      <c r="C2360" s="2" t="inlineStr"/>
      <c r="D2360" s="2" t="inlineStr"/>
      <c r="E2360" s="18" t="inlineStr"/>
    </row>
    <row r="2361" ht="20" customHeight="1">
      <c r="A2361" s="19" t="inlineStr">
        <is>
          <t>8.2.10.9. ​101617​ PREPARO DE FUNDO DE VALA COM LARGURA MAIOR OU IGUAL A 1,5 M E MENOR QUE 2,5 M (ACERTO DO SOLONATURAL). AF_08/2020​ (M2)</t>
        </is>
      </c>
      <c r="B2361" s="55" t="n"/>
      <c r="C2361" s="55" t="n"/>
      <c r="D2361" s="55" t="n"/>
      <c r="E2361" s="55" t="n"/>
      <c r="F2361" s="55" t="n"/>
      <c r="G2361" s="56" t="n"/>
    </row>
    <row r="2362" ht="15" customHeight="1">
      <c r="A2362" s="20" t="inlineStr">
        <is>
          <t>Equipamento Custo Horário</t>
        </is>
      </c>
      <c r="B2362" s="56" t="n"/>
      <c r="C2362" s="21" t="inlineStr">
        <is>
          <t>FONTE</t>
        </is>
      </c>
      <c r="D2362" s="21" t="inlineStr">
        <is>
          <t>UNID</t>
        </is>
      </c>
      <c r="E2362" s="21" t="inlineStr">
        <is>
          <t>COEFICIENTE</t>
        </is>
      </c>
      <c r="F2362" s="21" t="inlineStr">
        <is>
          <t>PREÇO UNITÁRIO</t>
        </is>
      </c>
      <c r="G2362" s="21" t="inlineStr">
        <is>
          <t>TOTAL</t>
        </is>
      </c>
    </row>
    <row r="2363" ht="29" customHeight="1">
      <c r="A2363" s="22" t="inlineStr">
        <is>
          <t>91534</t>
        </is>
      </c>
      <c r="B2363" s="23" t="inlineStr">
        <is>
          <t>COMPACTADOR DE SOLOS DE PERCUSSÃO (SOQUETE) COM MOTOR A GASOLINA 4 TEMPOS, POTÊNCIA 4 CV - CHI DIURNO. AF_08/2015</t>
        </is>
      </c>
      <c r="C2363" s="22" t="inlineStr">
        <is>
          <t>SINAPI</t>
        </is>
      </c>
      <c r="D2363" s="22" t="inlineStr">
        <is>
          <t>CHI</t>
        </is>
      </c>
      <c r="E2363" s="63" t="n">
        <v>0.0016</v>
      </c>
      <c r="F2363" s="64">
        <f>'COMPOSICOES AUXILIARES'!G989</f>
        <v/>
      </c>
      <c r="G2363" s="64">
        <f>TRUNC(TRUNC(E2363,8)*F2363,2)</f>
        <v/>
      </c>
      <c r="L2363" t="n">
        <v>0.0016</v>
      </c>
      <c r="M2363" t="n">
        <v>36.75</v>
      </c>
      <c r="N2363">
        <f>(M2363-F2363)</f>
        <v/>
      </c>
    </row>
    <row r="2364" ht="29" customHeight="1">
      <c r="A2364" s="22" t="inlineStr">
        <is>
          <t>91533</t>
        </is>
      </c>
      <c r="B2364" s="23" t="inlineStr">
        <is>
          <t>COMPACTADOR DE SOLOS DE PERCUSSÃO (SOQUETE) COM MOTOR A GASOLINA 4 TEMPOS, POTÊNCIA 4 CV - CHP DIURNO. AF_08/2015</t>
        </is>
      </c>
      <c r="C2364" s="22" t="inlineStr">
        <is>
          <t>SINAPI</t>
        </is>
      </c>
      <c r="D2364" s="22" t="inlineStr">
        <is>
          <t>CHP</t>
        </is>
      </c>
      <c r="E2364" s="63" t="n">
        <v>0.0016</v>
      </c>
      <c r="F2364" s="64">
        <f>'COMPOSICOES AUXILIARES'!G1003</f>
        <v/>
      </c>
      <c r="G2364" s="64">
        <f>TRUNC(TRUNC(E2364,8)*F2364,2)</f>
        <v/>
      </c>
      <c r="L2364" t="n">
        <v>0.0016</v>
      </c>
      <c r="M2364" t="n">
        <v>44.39</v>
      </c>
      <c r="N2364">
        <f>(M2364-F2364)</f>
        <v/>
      </c>
    </row>
    <row r="2365" ht="18" customHeight="1">
      <c r="A2365" s="2" t="inlineStr"/>
      <c r="B2365" s="2" t="inlineStr"/>
      <c r="C2365" s="2" t="inlineStr"/>
      <c r="D2365" s="2" t="inlineStr"/>
      <c r="E2365" s="26" t="inlineStr">
        <is>
          <t>TOTAL Equipamento Custo Horário:</t>
        </is>
      </c>
      <c r="F2365" s="56" t="n"/>
      <c r="G2365" s="65">
        <f>SUM(G2363:G2364)</f>
        <v/>
      </c>
    </row>
    <row r="2366" ht="15" customHeight="1">
      <c r="A2366" s="20" t="inlineStr">
        <is>
          <t>Mão de Obra com Encargos Complementares</t>
        </is>
      </c>
      <c r="B2366" s="56" t="n"/>
      <c r="C2366" s="21" t="inlineStr">
        <is>
          <t>FONTE</t>
        </is>
      </c>
      <c r="D2366" s="21" t="inlineStr">
        <is>
          <t>UNID</t>
        </is>
      </c>
      <c r="E2366" s="21" t="inlineStr">
        <is>
          <t>COEFICIENTE</t>
        </is>
      </c>
      <c r="F2366" s="21" t="inlineStr">
        <is>
          <t>PREÇO UNITÁRIO</t>
        </is>
      </c>
      <c r="G2366" s="21" t="inlineStr">
        <is>
          <t>TOTAL</t>
        </is>
      </c>
    </row>
    <row r="2367" ht="15" customHeight="1">
      <c r="A2367" s="22" t="inlineStr">
        <is>
          <t>88309</t>
        </is>
      </c>
      <c r="B2367" s="23" t="inlineStr">
        <is>
          <t>PEDREIRO COM ENCARGOS COMPLEMENTARES</t>
        </is>
      </c>
      <c r="C2367" s="22" t="inlineStr">
        <is>
          <t>SINAPI</t>
        </is>
      </c>
      <c r="D2367" s="22" t="inlineStr">
        <is>
          <t>H</t>
        </is>
      </c>
      <c r="E2367" s="63">
        <f>L2367*FATOR</f>
        <v/>
      </c>
      <c r="F2367" s="64">
        <f>'COMPOSICOES AUXILIARES'!G2887</f>
        <v/>
      </c>
      <c r="G2367" s="64">
        <f>TRUNC(TRUNC(E2367,8)*F2367,2)</f>
        <v/>
      </c>
      <c r="L2367" t="n">
        <v>0.0507</v>
      </c>
      <c r="M2367" t="n">
        <v>30.58</v>
      </c>
      <c r="N2367">
        <f>(M2367-F2367)</f>
        <v/>
      </c>
    </row>
    <row r="2368" ht="15" customHeight="1">
      <c r="A2368" s="22" t="inlineStr">
        <is>
          <t>88316</t>
        </is>
      </c>
      <c r="B2368" s="23" t="inlineStr">
        <is>
          <t>SERVENTE COM ENCARGOS COMPLEMENTARES</t>
        </is>
      </c>
      <c r="C2368" s="22" t="inlineStr">
        <is>
          <t>SINAPI</t>
        </is>
      </c>
      <c r="D2368" s="22" t="inlineStr">
        <is>
          <t>H</t>
        </is>
      </c>
      <c r="E2368" s="63">
        <f>L2368*FATOR</f>
        <v/>
      </c>
      <c r="F2368" s="64">
        <f>'COMPOSICOES AUXILIARES'!G3390</f>
        <v/>
      </c>
      <c r="G2368" s="64">
        <f>TRUNC(TRUNC(E2368,8)*F2368,2)</f>
        <v/>
      </c>
      <c r="L2368" t="n">
        <v>0.076</v>
      </c>
      <c r="M2368" t="n">
        <v>23.56</v>
      </c>
      <c r="N2368">
        <f>(M2368-F2368)</f>
        <v/>
      </c>
    </row>
    <row r="2369" ht="18" customHeight="1">
      <c r="A2369" s="2" t="inlineStr"/>
      <c r="B2369" s="2" t="inlineStr"/>
      <c r="C2369" s="2" t="inlineStr"/>
      <c r="D2369" s="2" t="inlineStr"/>
      <c r="E2369" s="26" t="inlineStr">
        <is>
          <t>TOTAL Mão de Obra com Encargos Complementares:</t>
        </is>
      </c>
      <c r="F2369" s="56" t="n"/>
      <c r="G2369" s="65">
        <f>SUM(G2367:G2368)</f>
        <v/>
      </c>
    </row>
    <row r="2370" ht="15" customHeight="1">
      <c r="A2370" s="2" t="inlineStr"/>
      <c r="B2370" s="2" t="inlineStr"/>
      <c r="C2370" s="2" t="inlineStr"/>
      <c r="D2370" s="2" t="inlineStr"/>
      <c r="E2370" s="28" t="inlineStr">
        <is>
          <t>VALOR:</t>
        </is>
      </c>
      <c r="F2370" s="56" t="n"/>
      <c r="G2370" s="66">
        <f>SUM(G2369,G2365)</f>
        <v/>
      </c>
    </row>
    <row r="2371" ht="15" customHeight="1">
      <c r="A2371" s="2" t="inlineStr"/>
      <c r="B2371" s="2" t="inlineStr"/>
      <c r="C2371" s="2" t="inlineStr"/>
      <c r="D2371" s="2" t="inlineStr"/>
      <c r="E2371" s="28" t="inlineStr">
        <is>
          <t>VALOR BDI (23.08%):</t>
        </is>
      </c>
      <c r="F2371" s="56" t="n"/>
      <c r="G2371" s="66">
        <f>ROUNDDOWN(G2370*BDI,2)</f>
        <v/>
      </c>
    </row>
    <row r="2372" ht="15" customHeight="1">
      <c r="A2372" s="2" t="inlineStr"/>
      <c r="B2372" s="2" t="inlineStr"/>
      <c r="C2372" s="2" t="inlineStr"/>
      <c r="D2372" s="2" t="inlineStr"/>
      <c r="E2372" s="28" t="inlineStr">
        <is>
          <t>VALOR COM BDI:</t>
        </is>
      </c>
      <c r="F2372" s="56" t="n"/>
      <c r="G2372" s="66">
        <f>G2371 + G2370</f>
        <v/>
      </c>
    </row>
    <row r="2373" ht="10" customHeight="1">
      <c r="A2373" s="2" t="inlineStr"/>
      <c r="B2373" s="2" t="inlineStr"/>
      <c r="C2373" s="2" t="inlineStr"/>
      <c r="D2373" s="2" t="inlineStr"/>
      <c r="E2373" s="18" t="inlineStr"/>
    </row>
    <row r="2374" ht="20" customHeight="1">
      <c r="A2374" s="19" t="inlineStr">
        <is>
          <t>8.2.10.10. ​SOP2672​ AQUISIÇÃO E MONTAGEM DE ANEL PRÉ-MOLDADO D= 1,50M H= 0,50M​ (UN)</t>
        </is>
      </c>
      <c r="B2374" s="55" t="n"/>
      <c r="C2374" s="55" t="n"/>
      <c r="D2374" s="55" t="n"/>
      <c r="E2374" s="55" t="n"/>
      <c r="F2374" s="55" t="n"/>
      <c r="G2374" s="56" t="n"/>
    </row>
    <row r="2375" ht="15" customHeight="1">
      <c r="A2375" s="20" t="inlineStr">
        <is>
          <t>Equipamento Custo Horário</t>
        </is>
      </c>
      <c r="B2375" s="56" t="n"/>
      <c r="C2375" s="21" t="inlineStr">
        <is>
          <t>FONTE</t>
        </is>
      </c>
      <c r="D2375" s="21" t="inlineStr">
        <is>
          <t>UNID</t>
        </is>
      </c>
      <c r="E2375" s="21" t="inlineStr">
        <is>
          <t>COEFICIENTE</t>
        </is>
      </c>
      <c r="F2375" s="21" t="inlineStr">
        <is>
          <t>PREÇO UNITÁRIO</t>
        </is>
      </c>
      <c r="G2375" s="21" t="inlineStr">
        <is>
          <t>TOTAL</t>
        </is>
      </c>
    </row>
    <row r="2376" ht="15" customHeight="1">
      <c r="A2376" s="22" t="inlineStr">
        <is>
          <t>I0705</t>
        </is>
      </c>
      <c r="B2376" s="23" t="inlineStr">
        <is>
          <t>CAMINHÃO COMERC. EQUIP. C/GUINDASTE (CHP)</t>
        </is>
      </c>
      <c r="C2376" s="22" t="inlineStr">
        <is>
          <t>SEINFRA</t>
        </is>
      </c>
      <c r="D2376" s="22" t="inlineStr">
        <is>
          <t>H</t>
        </is>
      </c>
      <c r="E2376" s="63" t="n">
        <v>0.3131</v>
      </c>
      <c r="F2376" s="64">
        <f>'COMPOSICOES AUXILIARES'!G821</f>
        <v/>
      </c>
      <c r="G2376" s="64">
        <f>ROUND(ROUND(E2376,8)*F2376,2)</f>
        <v/>
      </c>
      <c r="L2376" t="n">
        <v>0.3131</v>
      </c>
      <c r="M2376" t="n">
        <v>172.71</v>
      </c>
      <c r="N2376">
        <f>(M2376-F2376)</f>
        <v/>
      </c>
    </row>
    <row r="2377" ht="18" customHeight="1">
      <c r="A2377" s="2" t="inlineStr"/>
      <c r="B2377" s="2" t="inlineStr"/>
      <c r="C2377" s="2" t="inlineStr"/>
      <c r="D2377" s="2" t="inlineStr"/>
      <c r="E2377" s="26" t="inlineStr">
        <is>
          <t>TOTAL Equipamento Custo Horário:</t>
        </is>
      </c>
      <c r="F2377" s="56" t="n"/>
      <c r="G2377" s="65">
        <f>SUM(G2376:G2376)</f>
        <v/>
      </c>
    </row>
    <row r="2378" ht="15" customHeight="1">
      <c r="A2378" s="20" t="inlineStr">
        <is>
          <t>Material</t>
        </is>
      </c>
      <c r="B2378" s="56" t="n"/>
      <c r="C2378" s="21" t="inlineStr">
        <is>
          <t>FONTE</t>
        </is>
      </c>
      <c r="D2378" s="21" t="inlineStr">
        <is>
          <t>UNID</t>
        </is>
      </c>
      <c r="E2378" s="21" t="inlineStr">
        <is>
          <t>COEFICIENTE</t>
        </is>
      </c>
      <c r="F2378" s="21" t="inlineStr">
        <is>
          <t>PREÇO UNITÁRIO</t>
        </is>
      </c>
      <c r="G2378" s="21" t="inlineStr">
        <is>
          <t>TOTAL</t>
        </is>
      </c>
    </row>
    <row r="2379" ht="38" customHeight="1">
      <c r="A2379" s="22" t="inlineStr">
        <is>
          <t>00012563</t>
        </is>
      </c>
      <c r="B2379" s="23" t="inlineStr">
        <is>
          <t>ANEL EM CONCRETO ARMADO, LISO, PARA, POCOS DE VISITA, POCOS DE INSPECAO, FOSSAS SEPTICAS E SUMIDOUROS, SEM FUNDO, DIAMETRO INTERNO DE 1,50 M E ALTURA DE 0,50 M</t>
        </is>
      </c>
      <c r="C2379" s="22" t="inlineStr">
        <is>
          <t>SINAPI</t>
        </is>
      </c>
      <c r="D2379" s="22" t="inlineStr">
        <is>
          <t>UN</t>
        </is>
      </c>
      <c r="E2379" s="63" t="n">
        <v>1</v>
      </c>
      <c r="F2379" s="64">
        <f>ROUND(M2379*FATOR, 2)</f>
        <v/>
      </c>
      <c r="G2379" s="64">
        <f>ROUND(ROUND(E2379,8)*F2379,2)</f>
        <v/>
      </c>
      <c r="L2379" t="n">
        <v>1</v>
      </c>
      <c r="M2379" t="n">
        <v>548.3200000000001</v>
      </c>
      <c r="N2379">
        <f>(M2379-F2379)</f>
        <v/>
      </c>
    </row>
    <row r="2380" ht="15" customHeight="1">
      <c r="A2380" s="2" t="inlineStr"/>
      <c r="B2380" s="2" t="inlineStr"/>
      <c r="C2380" s="2" t="inlineStr"/>
      <c r="D2380" s="2" t="inlineStr"/>
      <c r="E2380" s="26" t="inlineStr">
        <is>
          <t>TOTAL Material:</t>
        </is>
      </c>
      <c r="F2380" s="56" t="n"/>
      <c r="G2380" s="65">
        <f>SUM(G2379:G2379)</f>
        <v/>
      </c>
    </row>
    <row r="2381" ht="15" customHeight="1">
      <c r="A2381" s="20" t="inlineStr">
        <is>
          <t>Mão de Obra</t>
        </is>
      </c>
      <c r="B2381" s="56" t="n"/>
      <c r="C2381" s="21" t="inlineStr">
        <is>
          <t>FONTE</t>
        </is>
      </c>
      <c r="D2381" s="21" t="inlineStr">
        <is>
          <t>UNID</t>
        </is>
      </c>
      <c r="E2381" s="21" t="inlineStr">
        <is>
          <t>COEFICIENTE</t>
        </is>
      </c>
      <c r="F2381" s="21" t="inlineStr">
        <is>
          <t>PREÇO UNITÁRIO</t>
        </is>
      </c>
      <c r="G2381" s="21" t="inlineStr">
        <is>
          <t>TOTAL</t>
        </is>
      </c>
    </row>
    <row r="2382" ht="15" customHeight="1">
      <c r="A2382" s="22" t="inlineStr">
        <is>
          <t>I2391</t>
        </is>
      </c>
      <c r="B2382" s="23" t="inlineStr">
        <is>
          <t>PEDREIRO</t>
        </is>
      </c>
      <c r="C2382" s="22" t="inlineStr">
        <is>
          <t>SEINFRA</t>
        </is>
      </c>
      <c r="D2382" s="22" t="inlineStr">
        <is>
          <t>H</t>
        </is>
      </c>
      <c r="E2382" s="63">
        <f>L2382*FATOR</f>
        <v/>
      </c>
      <c r="F2382" s="64" t="n">
        <v>26.86</v>
      </c>
      <c r="G2382" s="64">
        <f>ROUND(ROUND(E2382,8)*F2382,2)</f>
        <v/>
      </c>
      <c r="L2382" t="n">
        <v>1</v>
      </c>
      <c r="M2382" t="n">
        <v>26.86</v>
      </c>
      <c r="N2382">
        <f>(M2382-F2382)</f>
        <v/>
      </c>
    </row>
    <row r="2383" ht="15" customHeight="1">
      <c r="A2383" s="22" t="inlineStr">
        <is>
          <t>I2543</t>
        </is>
      </c>
      <c r="B2383" s="23" t="inlineStr">
        <is>
          <t>SERVENTE</t>
        </is>
      </c>
      <c r="C2383" s="22" t="inlineStr">
        <is>
          <t>SEINFRA</t>
        </is>
      </c>
      <c r="D2383" s="22" t="inlineStr">
        <is>
          <t>H</t>
        </is>
      </c>
      <c r="E2383" s="63">
        <f>L2383*FATOR</f>
        <v/>
      </c>
      <c r="F2383" s="64" t="n">
        <v>20.26</v>
      </c>
      <c r="G2383" s="64">
        <f>ROUND(ROUND(E2383,8)*F2383,2)</f>
        <v/>
      </c>
      <c r="L2383" t="n">
        <v>1</v>
      </c>
      <c r="M2383" t="n">
        <v>20.26</v>
      </c>
      <c r="N2383">
        <f>(M2383-F2383)</f>
        <v/>
      </c>
    </row>
    <row r="2384" ht="15" customHeight="1">
      <c r="A2384" s="2" t="inlineStr"/>
      <c r="B2384" s="2" t="inlineStr"/>
      <c r="C2384" s="2" t="inlineStr"/>
      <c r="D2384" s="2" t="inlineStr"/>
      <c r="E2384" s="26" t="inlineStr">
        <is>
          <t>TOTAL Mão de Obra:</t>
        </is>
      </c>
      <c r="F2384" s="56" t="n"/>
      <c r="G2384" s="65">
        <f>SUM(G2382:G2383)</f>
        <v/>
      </c>
    </row>
    <row r="2385" ht="15" customHeight="1">
      <c r="A2385" s="20" t="inlineStr">
        <is>
          <t>Serviço</t>
        </is>
      </c>
      <c r="B2385" s="56" t="n"/>
      <c r="C2385" s="21" t="inlineStr">
        <is>
          <t>FONTE</t>
        </is>
      </c>
      <c r="D2385" s="21" t="inlineStr">
        <is>
          <t>UNID</t>
        </is>
      </c>
      <c r="E2385" s="21" t="inlineStr">
        <is>
          <t>COEFICIENTE</t>
        </is>
      </c>
      <c r="F2385" s="21" t="inlineStr">
        <is>
          <t>PREÇO UNITÁRIO</t>
        </is>
      </c>
      <c r="G2385" s="21" t="inlineStr">
        <is>
          <t>TOTAL</t>
        </is>
      </c>
    </row>
    <row r="2386" ht="15" customHeight="1">
      <c r="A2386" s="22" t="inlineStr">
        <is>
          <t>C0164</t>
        </is>
      </c>
      <c r="B2386" s="23" t="inlineStr">
        <is>
          <t>ARGAMASSA DE CIMENTO E AREIA PEN. TRAÇO 1:3</t>
        </is>
      </c>
      <c r="C2386" s="22" t="inlineStr">
        <is>
          <t>SEINFRA</t>
        </is>
      </c>
      <c r="D2386" s="22" t="inlineStr">
        <is>
          <t>M3</t>
        </is>
      </c>
      <c r="E2386" s="63" t="n">
        <v>0.07000000000000001</v>
      </c>
      <c r="F2386" s="64">
        <f>'COMPOSICOES AUXILIARES'!G135</f>
        <v/>
      </c>
      <c r="G2386" s="64">
        <f>ROUND(ROUND(E2386,8)*F2386,2)</f>
        <v/>
      </c>
      <c r="L2386" t="n">
        <v>0.07000000000000001</v>
      </c>
      <c r="M2386" t="n">
        <v>1104.13</v>
      </c>
      <c r="N2386">
        <f>(M2386-F2386)</f>
        <v/>
      </c>
    </row>
    <row r="2387" ht="15" customHeight="1">
      <c r="A2387" s="2" t="inlineStr"/>
      <c r="B2387" s="2" t="inlineStr"/>
      <c r="C2387" s="2" t="inlineStr"/>
      <c r="D2387" s="2" t="inlineStr"/>
      <c r="E2387" s="26" t="inlineStr">
        <is>
          <t>TOTAL Serviço:</t>
        </is>
      </c>
      <c r="F2387" s="56" t="n"/>
      <c r="G2387" s="65">
        <f>SUM(G2386:G2386)</f>
        <v/>
      </c>
    </row>
    <row r="2388" ht="15" customHeight="1">
      <c r="A2388" s="2" t="inlineStr"/>
      <c r="B2388" s="2" t="inlineStr"/>
      <c r="C2388" s="2" t="inlineStr"/>
      <c r="D2388" s="2" t="inlineStr"/>
      <c r="E2388" s="28" t="inlineStr">
        <is>
          <t>VALOR:</t>
        </is>
      </c>
      <c r="F2388" s="56" t="n"/>
      <c r="G2388" s="66">
        <f>SUM(G2384,G2377,G2387,G2380)</f>
        <v/>
      </c>
    </row>
    <row r="2389" ht="15" customHeight="1">
      <c r="A2389" s="2" t="inlineStr"/>
      <c r="B2389" s="2" t="inlineStr"/>
      <c r="C2389" s="2" t="inlineStr"/>
      <c r="D2389" s="2" t="inlineStr"/>
      <c r="E2389" s="28" t="inlineStr">
        <is>
          <t>VALOR BDI (23.08%):</t>
        </is>
      </c>
      <c r="F2389" s="56" t="n"/>
      <c r="G2389" s="66">
        <f>ROUNDDOWN(G2388*BDI,2)</f>
        <v/>
      </c>
    </row>
    <row r="2390" ht="15" customHeight="1">
      <c r="A2390" s="2" t="inlineStr"/>
      <c r="B2390" s="2" t="inlineStr"/>
      <c r="C2390" s="2" t="inlineStr"/>
      <c r="D2390" s="2" t="inlineStr"/>
      <c r="E2390" s="28" t="inlineStr">
        <is>
          <t>VALOR COM BDI:</t>
        </is>
      </c>
      <c r="F2390" s="56" t="n"/>
      <c r="G2390" s="66">
        <f>G2389 + G2388</f>
        <v/>
      </c>
    </row>
    <row r="2391" ht="10" customHeight="1">
      <c r="A2391" s="2" t="inlineStr"/>
      <c r="B2391" s="2" t="inlineStr"/>
      <c r="C2391" s="2" t="inlineStr"/>
      <c r="D2391" s="2" t="inlineStr"/>
      <c r="E2391" s="18" t="inlineStr"/>
    </row>
    <row r="2392" ht="20" customHeight="1">
      <c r="A2392" s="19" t="inlineStr">
        <is>
          <t>8.2.10.11. ​94965​ CONCRETO FCK = 25MPA, TRAÇO 1:2,3:2,7 (EM MASSA SECA DE CIMENTO/ AREIA MÉDIA/ BRITA 1) - PREPARO MECÂNICOCOM BETONEIRA 400 L. AF_05/2021​ (M3)</t>
        </is>
      </c>
      <c r="B2392" s="55" t="n"/>
      <c r="C2392" s="55" t="n"/>
      <c r="D2392" s="55" t="n"/>
      <c r="E2392" s="55" t="n"/>
      <c r="F2392" s="55" t="n"/>
      <c r="G2392" s="56" t="n"/>
    </row>
    <row r="2393" ht="15" customHeight="1">
      <c r="A2393" s="20" t="inlineStr">
        <is>
          <t>Equipamento Custo Horário</t>
        </is>
      </c>
      <c r="B2393" s="56" t="n"/>
      <c r="C2393" s="21" t="inlineStr">
        <is>
          <t>FONTE</t>
        </is>
      </c>
      <c r="D2393" s="21" t="inlineStr">
        <is>
          <t>UNID</t>
        </is>
      </c>
      <c r="E2393" s="21" t="inlineStr">
        <is>
          <t>COEFICIENTE</t>
        </is>
      </c>
      <c r="F2393" s="21" t="inlineStr">
        <is>
          <t>PREÇO UNITÁRIO</t>
        </is>
      </c>
      <c r="G2393" s="21" t="inlineStr">
        <is>
          <t>TOTAL</t>
        </is>
      </c>
    </row>
    <row r="2394" ht="38" customHeight="1">
      <c r="A2394" s="22" t="inlineStr">
        <is>
          <t>88831</t>
        </is>
      </c>
      <c r="B2394" s="23" t="inlineStr">
        <is>
          <t>BETONEIRA CAPACIDADE NOMINAL DE 400 L, CAPACIDADE DE MISTURA 280 L, MOTOR ELÉTRICO TRIFÁSICO POTÊNCIA DE 2 CV, SEM CARREGADOR - CHI DIURNO. AF_05/2023</t>
        </is>
      </c>
      <c r="C2394" s="22" t="inlineStr">
        <is>
          <t>SINAPI</t>
        </is>
      </c>
      <c r="D2394" s="22" t="inlineStr">
        <is>
          <t>CHI</t>
        </is>
      </c>
      <c r="E2394" s="63" t="n">
        <v>0.7103</v>
      </c>
      <c r="F2394" s="64">
        <f>'COMPOSICOES AUXILIARES'!G571</f>
        <v/>
      </c>
      <c r="G2394" s="64">
        <f>TRUNC(TRUNC(E2394,8)*F2394,2)</f>
        <v/>
      </c>
      <c r="L2394" t="n">
        <v>0.7103</v>
      </c>
      <c r="M2394" t="n">
        <v>0.4</v>
      </c>
      <c r="N2394">
        <f>(M2394-F2394)</f>
        <v/>
      </c>
    </row>
    <row r="2395" ht="38" customHeight="1">
      <c r="A2395" s="22" t="inlineStr">
        <is>
          <t>88830</t>
        </is>
      </c>
      <c r="B2395" s="23" t="inlineStr">
        <is>
          <t>BETONEIRA CAPACIDADE NOMINAL DE 400 L, CAPACIDADE DE MISTURA 280 L, MOTOR ELÉTRICO TRIFÁSICO POTÊNCIA DE 2 CV, SEM CARREGADOR - CHP DIURNO. AF_05/2023</t>
        </is>
      </c>
      <c r="C2395" s="22" t="inlineStr">
        <is>
          <t>SINAPI</t>
        </is>
      </c>
      <c r="D2395" s="22" t="inlineStr">
        <is>
          <t>CHP</t>
        </is>
      </c>
      <c r="E2395" s="63" t="n">
        <v>0.7534</v>
      </c>
      <c r="F2395" s="64">
        <f>'COMPOSICOES AUXILIARES'!G582</f>
        <v/>
      </c>
      <c r="G2395" s="64">
        <f>TRUNC(TRUNC(E2395,8)*F2395,2)</f>
        <v/>
      </c>
      <c r="L2395" t="n">
        <v>0.7534</v>
      </c>
      <c r="M2395" t="n">
        <v>2.02</v>
      </c>
      <c r="N2395">
        <f>(M2395-F2395)</f>
        <v/>
      </c>
    </row>
    <row r="2396" ht="18" customHeight="1">
      <c r="A2396" s="2" t="inlineStr"/>
      <c r="B2396" s="2" t="inlineStr"/>
      <c r="C2396" s="2" t="inlineStr"/>
      <c r="D2396" s="2" t="inlineStr"/>
      <c r="E2396" s="26" t="inlineStr">
        <is>
          <t>TOTAL Equipamento Custo Horário:</t>
        </is>
      </c>
      <c r="F2396" s="56" t="n"/>
      <c r="G2396" s="65">
        <f>SUM(G2394:G2395)</f>
        <v/>
      </c>
    </row>
    <row r="2397" ht="15" customHeight="1">
      <c r="A2397" s="20" t="inlineStr">
        <is>
          <t>Material</t>
        </is>
      </c>
      <c r="B2397" s="56" t="n"/>
      <c r="C2397" s="21" t="inlineStr">
        <is>
          <t>FONTE</t>
        </is>
      </c>
      <c r="D2397" s="21" t="inlineStr">
        <is>
          <t>UNID</t>
        </is>
      </c>
      <c r="E2397" s="21" t="inlineStr">
        <is>
          <t>COEFICIENTE</t>
        </is>
      </c>
      <c r="F2397" s="21" t="inlineStr">
        <is>
          <t>PREÇO UNITÁRIO</t>
        </is>
      </c>
      <c r="G2397" s="21" t="inlineStr">
        <is>
          <t>TOTAL</t>
        </is>
      </c>
    </row>
    <row r="2398" ht="21" customHeight="1">
      <c r="A2398" s="22" t="inlineStr">
        <is>
          <t>00000370</t>
        </is>
      </c>
      <c r="B2398" s="23" t="inlineStr">
        <is>
          <t>AREIA MEDIA - POSTO JAZIDA/FORNECEDOR (RETIRADO NA JAZIDA, SEM TRANSPORTE)</t>
        </is>
      </c>
      <c r="C2398" s="22" t="inlineStr">
        <is>
          <t>SINAPI</t>
        </is>
      </c>
      <c r="D2398" s="22" t="inlineStr">
        <is>
          <t>M3</t>
        </is>
      </c>
      <c r="E2398" s="63" t="n">
        <v>0.7229</v>
      </c>
      <c r="F2398" s="64">
        <f>ROUND(M2398*FATOR, 2)</f>
        <v/>
      </c>
      <c r="G2398" s="64">
        <f>TRUNC(TRUNC(E2398,8)*F2398,2)</f>
        <v/>
      </c>
      <c r="L2398" t="n">
        <v>0.7229</v>
      </c>
      <c r="M2398" t="n">
        <v>130</v>
      </c>
      <c r="N2398">
        <f>(M2398-F2398)</f>
        <v/>
      </c>
    </row>
    <row r="2399" ht="15" customHeight="1">
      <c r="A2399" s="22" t="inlineStr">
        <is>
          <t>00001379</t>
        </is>
      </c>
      <c r="B2399" s="23" t="inlineStr">
        <is>
          <t>CIMENTO PORTLAND COMPOSTO CP II-32</t>
        </is>
      </c>
      <c r="C2399" s="22" t="inlineStr">
        <is>
          <t>SINAPI</t>
        </is>
      </c>
      <c r="D2399" s="22" t="inlineStr">
        <is>
          <t>KG</t>
        </is>
      </c>
      <c r="E2399" s="63" t="n">
        <v>362.6579</v>
      </c>
      <c r="F2399" s="64">
        <f>ROUND(M2399*FATOR, 2)</f>
        <v/>
      </c>
      <c r="G2399" s="64">
        <f>TRUNC(TRUNC(E2399,8)*F2399,2)</f>
        <v/>
      </c>
      <c r="L2399" t="n">
        <v>362.6579</v>
      </c>
      <c r="M2399" t="n">
        <v>0.74</v>
      </c>
      <c r="N2399">
        <f>(M2399-F2399)</f>
        <v/>
      </c>
    </row>
    <row r="2400" ht="21" customHeight="1">
      <c r="A2400" s="22" t="inlineStr">
        <is>
          <t>00004721</t>
        </is>
      </c>
      <c r="B2400" s="23" t="inlineStr">
        <is>
          <t>PEDRA BRITADA N. 1 (9,5 A 19 MM) POSTO PEDREIRA/FORNECEDOR, SEM FRETE</t>
        </is>
      </c>
      <c r="C2400" s="22" t="inlineStr">
        <is>
          <t>SINAPI</t>
        </is>
      </c>
      <c r="D2400" s="22" t="inlineStr">
        <is>
          <t>M3</t>
        </is>
      </c>
      <c r="E2400" s="63" t="n">
        <v>0.5934</v>
      </c>
      <c r="F2400" s="64">
        <f>ROUND(M2400*FATOR, 2)</f>
        <v/>
      </c>
      <c r="G2400" s="64">
        <f>TRUNC(TRUNC(E2400,8)*F2400,2)</f>
        <v/>
      </c>
      <c r="L2400" t="n">
        <v>0.5934</v>
      </c>
      <c r="M2400" t="n">
        <v>111.01</v>
      </c>
      <c r="N2400">
        <f>(M2400-F2400)</f>
        <v/>
      </c>
    </row>
    <row r="2401" ht="15" customHeight="1">
      <c r="A2401" s="2" t="inlineStr"/>
      <c r="B2401" s="2" t="inlineStr"/>
      <c r="C2401" s="2" t="inlineStr"/>
      <c r="D2401" s="2" t="inlineStr"/>
      <c r="E2401" s="26" t="inlineStr">
        <is>
          <t>TOTAL Material:</t>
        </is>
      </c>
      <c r="F2401" s="56" t="n"/>
      <c r="G2401" s="65">
        <f>SUM(G2398:G2400)</f>
        <v/>
      </c>
    </row>
    <row r="2402" ht="15" customHeight="1">
      <c r="A2402" s="20" t="inlineStr">
        <is>
          <t>Mão de Obra com Encargos Complementares</t>
        </is>
      </c>
      <c r="B2402" s="56" t="n"/>
      <c r="C2402" s="21" t="inlineStr">
        <is>
          <t>FONTE</t>
        </is>
      </c>
      <c r="D2402" s="21" t="inlineStr">
        <is>
          <t>UNID</t>
        </is>
      </c>
      <c r="E2402" s="21" t="inlineStr">
        <is>
          <t>COEFICIENTE</t>
        </is>
      </c>
      <c r="F2402" s="21" t="inlineStr">
        <is>
          <t>PREÇO UNITÁRIO</t>
        </is>
      </c>
      <c r="G2402" s="21" t="inlineStr">
        <is>
          <t>TOTAL</t>
        </is>
      </c>
    </row>
    <row r="2403" ht="21" customHeight="1">
      <c r="A2403" s="22" t="inlineStr">
        <is>
          <t>88377</t>
        </is>
      </c>
      <c r="B2403" s="23" t="inlineStr">
        <is>
          <t>OPERADOR DE BETONEIRA ESTACIONÁRIA/MISTURADOR COM ENCARGOS COMPLEMENTARES</t>
        </is>
      </c>
      <c r="C2403" s="22" t="inlineStr">
        <is>
          <t>SINAPI</t>
        </is>
      </c>
      <c r="D2403" s="22" t="inlineStr">
        <is>
          <t>H</t>
        </is>
      </c>
      <c r="E2403" s="63">
        <f>L2403*FATOR</f>
        <v/>
      </c>
      <c r="F2403" s="64">
        <f>'COMPOSICOES AUXILIARES'!G2811</f>
        <v/>
      </c>
      <c r="G2403" s="64">
        <f>TRUNC(TRUNC(E2403,8)*F2403,2)</f>
        <v/>
      </c>
      <c r="L2403" t="n">
        <v>1.4637</v>
      </c>
      <c r="M2403" t="n">
        <v>29.43</v>
      </c>
      <c r="N2403">
        <f>(M2403-F2403)</f>
        <v/>
      </c>
    </row>
    <row r="2404" ht="15" customHeight="1">
      <c r="A2404" s="22" t="inlineStr">
        <is>
          <t>88316</t>
        </is>
      </c>
      <c r="B2404" s="23" t="inlineStr">
        <is>
          <t>SERVENTE COM ENCARGOS COMPLEMENTARES</t>
        </is>
      </c>
      <c r="C2404" s="22" t="inlineStr">
        <is>
          <t>SINAPI</t>
        </is>
      </c>
      <c r="D2404" s="22" t="inlineStr">
        <is>
          <t>H</t>
        </is>
      </c>
      <c r="E2404" s="63">
        <f>L2404*FATOR</f>
        <v/>
      </c>
      <c r="F2404" s="64">
        <f>'COMPOSICOES AUXILIARES'!G3390</f>
        <v/>
      </c>
      <c r="G2404" s="64">
        <f>TRUNC(TRUNC(E2404,8)*F2404,2)</f>
        <v/>
      </c>
      <c r="L2404" t="n">
        <v>2.3117</v>
      </c>
      <c r="M2404" t="n">
        <v>23.56</v>
      </c>
      <c r="N2404">
        <f>(M2404-F2404)</f>
        <v/>
      </c>
    </row>
    <row r="2405" ht="18" customHeight="1">
      <c r="A2405" s="2" t="inlineStr"/>
      <c r="B2405" s="2" t="inlineStr"/>
      <c r="C2405" s="2" t="inlineStr"/>
      <c r="D2405" s="2" t="inlineStr"/>
      <c r="E2405" s="26" t="inlineStr">
        <is>
          <t>TOTAL Mão de Obra com Encargos Complementares:</t>
        </is>
      </c>
      <c r="F2405" s="56" t="n"/>
      <c r="G2405" s="65">
        <f>SUM(G2403:G2404)</f>
        <v/>
      </c>
    </row>
    <row r="2406" ht="15" customHeight="1">
      <c r="A2406" s="2" t="inlineStr"/>
      <c r="B2406" s="2" t="inlineStr"/>
      <c r="C2406" s="2" t="inlineStr"/>
      <c r="D2406" s="2" t="inlineStr"/>
      <c r="E2406" s="28" t="inlineStr">
        <is>
          <t>VALOR:</t>
        </is>
      </c>
      <c r="F2406" s="56" t="n"/>
      <c r="G2406" s="66">
        <f>SUM(G2401,G2396,G2405)</f>
        <v/>
      </c>
    </row>
    <row r="2407" ht="15" customHeight="1">
      <c r="A2407" s="2" t="inlineStr"/>
      <c r="B2407" s="2" t="inlineStr"/>
      <c r="C2407" s="2" t="inlineStr"/>
      <c r="D2407" s="2" t="inlineStr"/>
      <c r="E2407" s="28" t="inlineStr">
        <is>
          <t>VALOR BDI (23.08%):</t>
        </is>
      </c>
      <c r="F2407" s="56" t="n"/>
      <c r="G2407" s="66">
        <f>ROUNDDOWN(G2406*BDI,2)</f>
        <v/>
      </c>
    </row>
    <row r="2408" ht="15" customHeight="1">
      <c r="A2408" s="2" t="inlineStr"/>
      <c r="B2408" s="2" t="inlineStr"/>
      <c r="C2408" s="2" t="inlineStr"/>
      <c r="D2408" s="2" t="inlineStr"/>
      <c r="E2408" s="28" t="inlineStr">
        <is>
          <t>VALOR COM BDI:</t>
        </is>
      </c>
      <c r="F2408" s="56" t="n"/>
      <c r="G2408" s="66">
        <f>G2407 + G2406</f>
        <v/>
      </c>
    </row>
    <row r="2409" ht="10" customHeight="1">
      <c r="A2409" s="2" t="inlineStr"/>
      <c r="B2409" s="2" t="inlineStr"/>
      <c r="C2409" s="2" t="inlineStr"/>
      <c r="D2409" s="2" t="inlineStr"/>
      <c r="E2409" s="18" t="inlineStr"/>
    </row>
    <row r="2410" ht="20" customHeight="1">
      <c r="A2410" s="19" t="inlineStr">
        <is>
          <t>8.2.10.12. ​103670​ LANÇAMENTO COM USO DE BALDES, ADENSAMENTO E ACABAMENTO DECONCRETO EM ESTRUTURAS. AF_02/2022​ (M3)</t>
        </is>
      </c>
      <c r="B2410" s="55" t="n"/>
      <c r="C2410" s="55" t="n"/>
      <c r="D2410" s="55" t="n"/>
      <c r="E2410" s="55" t="n"/>
      <c r="F2410" s="55" t="n"/>
      <c r="G2410" s="56" t="n"/>
    </row>
    <row r="2411" ht="15" customHeight="1">
      <c r="A2411" s="20" t="inlineStr">
        <is>
          <t>Equipamento Custo Horário</t>
        </is>
      </c>
      <c r="B2411" s="56" t="n"/>
      <c r="C2411" s="21" t="inlineStr">
        <is>
          <t>FONTE</t>
        </is>
      </c>
      <c r="D2411" s="21" t="inlineStr">
        <is>
          <t>UNID</t>
        </is>
      </c>
      <c r="E2411" s="21" t="inlineStr">
        <is>
          <t>COEFICIENTE</t>
        </is>
      </c>
      <c r="F2411" s="21" t="inlineStr">
        <is>
          <t>PREÇO UNITÁRIO</t>
        </is>
      </c>
      <c r="G2411" s="21" t="inlineStr">
        <is>
          <t>TOTAL</t>
        </is>
      </c>
    </row>
    <row r="2412" ht="29" customHeight="1">
      <c r="A2412" s="22" t="inlineStr">
        <is>
          <t>90587</t>
        </is>
      </c>
      <c r="B2412" s="23" t="inlineStr">
        <is>
          <t>VIBRADOR DE IMERSÃO, DIÂMETRO DE PONTEIRA 45MM, MOTOR ELÉTRICO TRIFÁSICO POTÊNCIA DE 2 CV - CHI DIURNO. AF_06/2015</t>
        </is>
      </c>
      <c r="C2412" s="22" t="inlineStr">
        <is>
          <t>SINAPI</t>
        </is>
      </c>
      <c r="D2412" s="22" t="inlineStr">
        <is>
          <t>CHI</t>
        </is>
      </c>
      <c r="E2412" s="63" t="n">
        <v>1.417</v>
      </c>
      <c r="F2412" s="64">
        <f>'COMPOSICOES AUXILIARES'!G3725</f>
        <v/>
      </c>
      <c r="G2412" s="64">
        <f>TRUNC(TRUNC(E2412,8)*F2412,2)</f>
        <v/>
      </c>
      <c r="L2412" t="n">
        <v>1.417</v>
      </c>
      <c r="M2412" t="n">
        <v>0.5600000000000001</v>
      </c>
      <c r="N2412">
        <f>(M2412-F2412)</f>
        <v/>
      </c>
    </row>
    <row r="2413" ht="29" customHeight="1">
      <c r="A2413" s="22" t="inlineStr">
        <is>
          <t>90586</t>
        </is>
      </c>
      <c r="B2413" s="23" t="inlineStr">
        <is>
          <t>VIBRADOR DE IMERSÃO, DIÂMETRO DE PONTEIRA 45MM, MOTOR ELÉTRICO TRIFÁSICO POTÊNCIA DE 2 CV - CHP DIURNO. AF_06/2015</t>
        </is>
      </c>
      <c r="C2413" s="22" t="inlineStr">
        <is>
          <t>SINAPI</t>
        </is>
      </c>
      <c r="D2413" s="22" t="inlineStr">
        <is>
          <t>CHP</t>
        </is>
      </c>
      <c r="E2413" s="63" t="n">
        <v>1.042</v>
      </c>
      <c r="F2413" s="64">
        <f>'COMPOSICOES AUXILIARES'!G3736</f>
        <v/>
      </c>
      <c r="G2413" s="64">
        <f>TRUNC(TRUNC(E2413,8)*F2413,2)</f>
        <v/>
      </c>
      <c r="L2413" t="n">
        <v>1.042</v>
      </c>
      <c r="M2413" t="n">
        <v>1.44</v>
      </c>
      <c r="N2413">
        <f>(M2413-F2413)</f>
        <v/>
      </c>
    </row>
    <row r="2414" ht="18" customHeight="1">
      <c r="A2414" s="2" t="inlineStr"/>
      <c r="B2414" s="2" t="inlineStr"/>
      <c r="C2414" s="2" t="inlineStr"/>
      <c r="D2414" s="2" t="inlineStr"/>
      <c r="E2414" s="26" t="inlineStr">
        <is>
          <t>TOTAL Equipamento Custo Horário:</t>
        </is>
      </c>
      <c r="F2414" s="56" t="n"/>
      <c r="G2414" s="65">
        <f>SUM(G2412:G2413)</f>
        <v/>
      </c>
    </row>
    <row r="2415" ht="15" customHeight="1">
      <c r="A2415" s="20" t="inlineStr">
        <is>
          <t>Mão de Obra com Encargos Complementares</t>
        </is>
      </c>
      <c r="B2415" s="56" t="n"/>
      <c r="C2415" s="21" t="inlineStr">
        <is>
          <t>FONTE</t>
        </is>
      </c>
      <c r="D2415" s="21" t="inlineStr">
        <is>
          <t>UNID</t>
        </is>
      </c>
      <c r="E2415" s="21" t="inlineStr">
        <is>
          <t>COEFICIENTE</t>
        </is>
      </c>
      <c r="F2415" s="21" t="inlineStr">
        <is>
          <t>PREÇO UNITÁRIO</t>
        </is>
      </c>
      <c r="G2415" s="21" t="inlineStr">
        <is>
          <t>TOTAL</t>
        </is>
      </c>
    </row>
    <row r="2416" ht="21" customHeight="1">
      <c r="A2416" s="22" t="inlineStr">
        <is>
          <t>88262</t>
        </is>
      </c>
      <c r="B2416" s="23" t="inlineStr">
        <is>
          <t>CARPINTEIRO DE FORMAS COM ENCARGOS COMPLEMENTARES</t>
        </is>
      </c>
      <c r="C2416" s="22" t="inlineStr">
        <is>
          <t>SINAPI</t>
        </is>
      </c>
      <c r="D2416" s="22" t="inlineStr">
        <is>
          <t>H</t>
        </is>
      </c>
      <c r="E2416" s="63">
        <f>L2416*FATOR</f>
        <v/>
      </c>
      <c r="F2416" s="64">
        <f>'COMPOSICOES AUXILIARES'!G943</f>
        <v/>
      </c>
      <c r="G2416" s="64">
        <f>TRUNC(TRUNC(E2416,8)*F2416,2)</f>
        <v/>
      </c>
      <c r="L2416" t="n">
        <v>2.459</v>
      </c>
      <c r="M2416" t="n">
        <v>30.15</v>
      </c>
      <c r="N2416">
        <f>(M2416-F2416)</f>
        <v/>
      </c>
    </row>
    <row r="2417" ht="15" customHeight="1">
      <c r="A2417" s="22" t="inlineStr">
        <is>
          <t>88309</t>
        </is>
      </c>
      <c r="B2417" s="23" t="inlineStr">
        <is>
          <t>PEDREIRO COM ENCARGOS COMPLEMENTARES</t>
        </is>
      </c>
      <c r="C2417" s="22" t="inlineStr">
        <is>
          <t>SINAPI</t>
        </is>
      </c>
      <c r="D2417" s="22" t="inlineStr">
        <is>
          <t>H</t>
        </is>
      </c>
      <c r="E2417" s="63">
        <f>L2417*FATOR</f>
        <v/>
      </c>
      <c r="F2417" s="64">
        <f>'COMPOSICOES AUXILIARES'!G2887</f>
        <v/>
      </c>
      <c r="G2417" s="64">
        <f>TRUNC(TRUNC(E2417,8)*F2417,2)</f>
        <v/>
      </c>
      <c r="L2417" t="n">
        <v>2.459</v>
      </c>
      <c r="M2417" t="n">
        <v>30.58</v>
      </c>
      <c r="N2417">
        <f>(M2417-F2417)</f>
        <v/>
      </c>
    </row>
    <row r="2418" ht="15" customHeight="1">
      <c r="A2418" s="22" t="inlineStr">
        <is>
          <t>88316</t>
        </is>
      </c>
      <c r="B2418" s="23" t="inlineStr">
        <is>
          <t>SERVENTE COM ENCARGOS COMPLEMENTARES</t>
        </is>
      </c>
      <c r="C2418" s="22" t="inlineStr">
        <is>
          <t>SINAPI</t>
        </is>
      </c>
      <c r="D2418" s="22" t="inlineStr">
        <is>
          <t>H</t>
        </is>
      </c>
      <c r="E2418" s="63">
        <f>L2418*FATOR</f>
        <v/>
      </c>
      <c r="F2418" s="64">
        <f>'COMPOSICOES AUXILIARES'!G3390</f>
        <v/>
      </c>
      <c r="G2418" s="64">
        <f>TRUNC(TRUNC(E2418,8)*F2418,2)</f>
        <v/>
      </c>
      <c r="L2418" t="n">
        <v>7.377</v>
      </c>
      <c r="M2418" t="n">
        <v>23.56</v>
      </c>
      <c r="N2418">
        <f>(M2418-F2418)</f>
        <v/>
      </c>
    </row>
    <row r="2419" ht="18" customHeight="1">
      <c r="A2419" s="2" t="inlineStr"/>
      <c r="B2419" s="2" t="inlineStr"/>
      <c r="C2419" s="2" t="inlineStr"/>
      <c r="D2419" s="2" t="inlineStr"/>
      <c r="E2419" s="26" t="inlineStr">
        <is>
          <t>TOTAL Mão de Obra com Encargos Complementares:</t>
        </is>
      </c>
      <c r="F2419" s="56" t="n"/>
      <c r="G2419" s="65">
        <f>SUM(G2416:G2418)</f>
        <v/>
      </c>
    </row>
    <row r="2420" ht="15" customHeight="1">
      <c r="A2420" s="2" t="inlineStr"/>
      <c r="B2420" s="2" t="inlineStr"/>
      <c r="C2420" s="2" t="inlineStr"/>
      <c r="D2420" s="2" t="inlineStr"/>
      <c r="E2420" s="28" t="inlineStr">
        <is>
          <t>VALOR:</t>
        </is>
      </c>
      <c r="F2420" s="56" t="n"/>
      <c r="G2420" s="66">
        <f>SUM(G2419,G2414)</f>
        <v/>
      </c>
    </row>
    <row r="2421" ht="15" customHeight="1">
      <c r="A2421" s="2" t="inlineStr"/>
      <c r="B2421" s="2" t="inlineStr"/>
      <c r="C2421" s="2" t="inlineStr"/>
      <c r="D2421" s="2" t="inlineStr"/>
      <c r="E2421" s="28" t="inlineStr">
        <is>
          <t>VALOR BDI (23.08%):</t>
        </is>
      </c>
      <c r="F2421" s="56" t="n"/>
      <c r="G2421" s="66">
        <f>ROUNDDOWN(G2420*BDI,2)</f>
        <v/>
      </c>
    </row>
    <row r="2422" ht="15" customHeight="1">
      <c r="A2422" s="2" t="inlineStr"/>
      <c r="B2422" s="2" t="inlineStr"/>
      <c r="C2422" s="2" t="inlineStr"/>
      <c r="D2422" s="2" t="inlineStr"/>
      <c r="E2422" s="28" t="inlineStr">
        <is>
          <t>VALOR COM BDI:</t>
        </is>
      </c>
      <c r="F2422" s="56" t="n"/>
      <c r="G2422" s="66">
        <f>G2421 + G2420</f>
        <v/>
      </c>
    </row>
    <row r="2423" ht="10" customHeight="1">
      <c r="A2423" s="2" t="inlineStr"/>
      <c r="B2423" s="2" t="inlineStr"/>
      <c r="C2423" s="2" t="inlineStr"/>
      <c r="D2423" s="2" t="inlineStr"/>
      <c r="E2423" s="18" t="inlineStr"/>
    </row>
    <row r="2424" ht="20" customHeight="1">
      <c r="A2424" s="19" t="inlineStr">
        <is>
          <t>8.2.10.13. ​SOP1660​ FORNECIMENTO E INSTALAÇÃO DE TELA AÇO SOLDADA NERVURADA CA-60, Q-138, MALHA 10X10CM, FERRO 4.2MM (2,20 KG/M2), PAINEL 2,45X6,0M, TELCON OUSIMILAR​ (M2)</t>
        </is>
      </c>
      <c r="B2424" s="55" t="n"/>
      <c r="C2424" s="55" t="n"/>
      <c r="D2424" s="55" t="n"/>
      <c r="E2424" s="55" t="n"/>
      <c r="F2424" s="55" t="n"/>
      <c r="G2424" s="56" t="n"/>
    </row>
    <row r="2425" ht="15" customHeight="1">
      <c r="A2425" s="20" t="inlineStr">
        <is>
          <t>Material</t>
        </is>
      </c>
      <c r="B2425" s="56" t="n"/>
      <c r="C2425" s="21" t="inlineStr">
        <is>
          <t>FONTE</t>
        </is>
      </c>
      <c r="D2425" s="21" t="inlineStr">
        <is>
          <t>UNID</t>
        </is>
      </c>
      <c r="E2425" s="21" t="inlineStr">
        <is>
          <t>COEFICIENTE</t>
        </is>
      </c>
      <c r="F2425" s="21" t="inlineStr">
        <is>
          <t>PREÇO UNITÁRIO</t>
        </is>
      </c>
      <c r="G2425" s="21" t="inlineStr">
        <is>
          <t>TOTAL</t>
        </is>
      </c>
    </row>
    <row r="2426" ht="29" customHeight="1">
      <c r="A2426" s="22" t="inlineStr">
        <is>
          <t>I04228</t>
        </is>
      </c>
      <c r="B2426" s="23" t="inlineStr">
        <is>
          <t>Tela aço soldada nervurada CA-60, Q-138, malha 10x10cm, ferro 4.2mm, painel 2,45x6,0m, (2,20kg/m²), Telcon ou similar</t>
        </is>
      </c>
      <c r="C2426" s="22" t="inlineStr">
        <is>
          <t>ORSE</t>
        </is>
      </c>
      <c r="D2426" s="22" t="inlineStr">
        <is>
          <t>m2</t>
        </is>
      </c>
      <c r="E2426" s="63" t="n">
        <v>1</v>
      </c>
      <c r="F2426" s="64">
        <f>ROUND(M2426*FATOR, 2)</f>
        <v/>
      </c>
      <c r="G2426" s="64">
        <f>ROUND(ROUND(E2426,8)*F2426,2)</f>
        <v/>
      </c>
      <c r="L2426" t="n">
        <v>1</v>
      </c>
      <c r="M2426" t="n">
        <v>15.46</v>
      </c>
      <c r="N2426">
        <f>(M2426-F2426)</f>
        <v/>
      </c>
    </row>
    <row r="2427" ht="15" customHeight="1">
      <c r="A2427" s="2" t="inlineStr"/>
      <c r="B2427" s="2" t="inlineStr"/>
      <c r="C2427" s="2" t="inlineStr"/>
      <c r="D2427" s="2" t="inlineStr"/>
      <c r="E2427" s="26" t="inlineStr">
        <is>
          <t>TOTAL Material:</t>
        </is>
      </c>
      <c r="F2427" s="56" t="n"/>
      <c r="G2427" s="65">
        <f>SUM(G2426:G2426)</f>
        <v/>
      </c>
    </row>
    <row r="2428" ht="15" customHeight="1">
      <c r="A2428" s="20" t="inlineStr">
        <is>
          <t>Mão de Obra</t>
        </is>
      </c>
      <c r="B2428" s="56" t="n"/>
      <c r="C2428" s="21" t="inlineStr">
        <is>
          <t>FONTE</t>
        </is>
      </c>
      <c r="D2428" s="21" t="inlineStr">
        <is>
          <t>UNID</t>
        </is>
      </c>
      <c r="E2428" s="21" t="inlineStr">
        <is>
          <t>COEFICIENTE</t>
        </is>
      </c>
      <c r="F2428" s="21" t="inlineStr">
        <is>
          <t>PREÇO UNITÁRIO</t>
        </is>
      </c>
      <c r="G2428" s="21" t="inlineStr">
        <is>
          <t>TOTAL</t>
        </is>
      </c>
    </row>
    <row r="2429" ht="15" customHeight="1">
      <c r="A2429" s="22" t="inlineStr">
        <is>
          <t>I0121</t>
        </is>
      </c>
      <c r="B2429" s="23" t="inlineStr">
        <is>
          <t>ARMADOR/FERREIRO</t>
        </is>
      </c>
      <c r="C2429" s="22" t="inlineStr">
        <is>
          <t>SEINFRA</t>
        </is>
      </c>
      <c r="D2429" s="22" t="inlineStr">
        <is>
          <t>H</t>
        </is>
      </c>
      <c r="E2429" s="63">
        <f>L2429*FATOR</f>
        <v/>
      </c>
      <c r="F2429" s="64" t="n">
        <v>26.86</v>
      </c>
      <c r="G2429" s="64">
        <f>ROUND(ROUND(E2429,8)*F2429,2)</f>
        <v/>
      </c>
      <c r="L2429" t="n">
        <v>0.5</v>
      </c>
      <c r="M2429" t="n">
        <v>26.86</v>
      </c>
      <c r="N2429">
        <f>(M2429-F2429)</f>
        <v/>
      </c>
    </row>
    <row r="2430" ht="15" customHeight="1">
      <c r="A2430" s="2" t="inlineStr"/>
      <c r="B2430" s="2" t="inlineStr"/>
      <c r="C2430" s="2" t="inlineStr"/>
      <c r="D2430" s="2" t="inlineStr"/>
      <c r="E2430" s="26" t="inlineStr">
        <is>
          <t>TOTAL Mão de Obra:</t>
        </is>
      </c>
      <c r="F2430" s="56" t="n"/>
      <c r="G2430" s="65">
        <f>SUM(G2429:G2429)</f>
        <v/>
      </c>
    </row>
    <row r="2431" ht="15" customHeight="1">
      <c r="A2431" s="2" t="inlineStr"/>
      <c r="B2431" s="2" t="inlineStr"/>
      <c r="C2431" s="2" t="inlineStr"/>
      <c r="D2431" s="2" t="inlineStr"/>
      <c r="E2431" s="28" t="inlineStr">
        <is>
          <t>VALOR:</t>
        </is>
      </c>
      <c r="F2431" s="56" t="n"/>
      <c r="G2431" s="66">
        <f>SUM(G2427,G2430)</f>
        <v/>
      </c>
    </row>
    <row r="2432" ht="15" customHeight="1">
      <c r="A2432" s="2" t="inlineStr"/>
      <c r="B2432" s="2" t="inlineStr"/>
      <c r="C2432" s="2" t="inlineStr"/>
      <c r="D2432" s="2" t="inlineStr"/>
      <c r="E2432" s="28" t="inlineStr">
        <is>
          <t>VALOR BDI (23.08%):</t>
        </is>
      </c>
      <c r="F2432" s="56" t="n"/>
      <c r="G2432" s="66">
        <f>ROUNDDOWN(G2431*BDI,2)</f>
        <v/>
      </c>
    </row>
    <row r="2433" ht="15" customHeight="1">
      <c r="A2433" s="2" t="inlineStr"/>
      <c r="B2433" s="2" t="inlineStr"/>
      <c r="C2433" s="2" t="inlineStr"/>
      <c r="D2433" s="2" t="inlineStr"/>
      <c r="E2433" s="28" t="inlineStr">
        <is>
          <t>VALOR COM BDI:</t>
        </is>
      </c>
      <c r="F2433" s="56" t="n"/>
      <c r="G2433" s="66">
        <f>G2432 + G2431</f>
        <v/>
      </c>
    </row>
    <row r="2434" ht="10" customHeight="1">
      <c r="A2434" s="2" t="inlineStr"/>
      <c r="B2434" s="2" t="inlineStr"/>
      <c r="C2434" s="2" t="inlineStr"/>
      <c r="D2434" s="2" t="inlineStr"/>
      <c r="E2434" s="18" t="inlineStr"/>
    </row>
    <row r="2435" ht="20" customHeight="1">
      <c r="A2435" s="19" t="inlineStr">
        <is>
          <t>8.2.10.14. ​C4772​ TAMPA EM CONCRETO ARMADO,ESPESSURA 0,05M​ (M2)</t>
        </is>
      </c>
      <c r="B2435" s="55" t="n"/>
      <c r="C2435" s="55" t="n"/>
      <c r="D2435" s="55" t="n"/>
      <c r="E2435" s="55" t="n"/>
      <c r="F2435" s="55" t="n"/>
      <c r="G2435" s="56" t="n"/>
    </row>
    <row r="2436" ht="15" customHeight="1">
      <c r="A2436" s="20" t="inlineStr">
        <is>
          <t>Serviço</t>
        </is>
      </c>
      <c r="B2436" s="56" t="n"/>
      <c r="C2436" s="21" t="inlineStr">
        <is>
          <t>FONTE</t>
        </is>
      </c>
      <c r="D2436" s="21" t="inlineStr">
        <is>
          <t>UNID</t>
        </is>
      </c>
      <c r="E2436" s="21" t="inlineStr">
        <is>
          <t>COEFICIENTE</t>
        </is>
      </c>
      <c r="F2436" s="21" t="inlineStr">
        <is>
          <t>PREÇO UNITÁRIO</t>
        </is>
      </c>
      <c r="G2436" s="21" t="inlineStr">
        <is>
          <t>TOTAL</t>
        </is>
      </c>
    </row>
    <row r="2437" ht="21" customHeight="1">
      <c r="A2437" s="22" t="inlineStr">
        <is>
          <t>C0034</t>
        </is>
      </c>
      <c r="B2437" s="23" t="inlineStr">
        <is>
          <t>ADIÇÃO DE IMPERMEABILIZANTE PARA CONCRETO ESTRUTURAL</t>
        </is>
      </c>
      <c r="C2437" s="22" t="inlineStr">
        <is>
          <t>SEINFRA</t>
        </is>
      </c>
      <c r="D2437" s="22" t="inlineStr">
        <is>
          <t>M3</t>
        </is>
      </c>
      <c r="E2437" s="63" t="n">
        <v>0.05</v>
      </c>
      <c r="F2437" s="67">
        <f>'COMPOSICOES AUXILIARES'!G7</f>
        <v/>
      </c>
      <c r="G2437" s="67">
        <f>ROUND(ROUND(E2437,8)*F2437,4)</f>
        <v/>
      </c>
      <c r="L2437" t="n">
        <v>0.05</v>
      </c>
      <c r="M2437" t="n">
        <v>55.44</v>
      </c>
      <c r="N2437">
        <f>(M2437-F2437)</f>
        <v/>
      </c>
    </row>
    <row r="2438" ht="15" customHeight="1">
      <c r="A2438" s="22" t="inlineStr">
        <is>
          <t>C0218</t>
        </is>
      </c>
      <c r="B2438" s="23" t="inlineStr">
        <is>
          <t>ARMADURA CA-60 MÉDIA D= 6,4 A 9,5mm</t>
        </is>
      </c>
      <c r="C2438" s="22" t="inlineStr">
        <is>
          <t>SEINFRA</t>
        </is>
      </c>
      <c r="D2438" s="22" t="inlineStr">
        <is>
          <t>KG</t>
        </is>
      </c>
      <c r="E2438" s="63" t="n">
        <v>2.5</v>
      </c>
      <c r="F2438" s="67">
        <f>'COMPOSICOES AUXILIARES'!G401</f>
        <v/>
      </c>
      <c r="G2438" s="67">
        <f>ROUND(ROUND(E2438,8)*F2438,4)</f>
        <v/>
      </c>
      <c r="L2438" t="n">
        <v>2.5</v>
      </c>
      <c r="M2438" t="n">
        <v>12.9</v>
      </c>
      <c r="N2438">
        <f>(M2438-F2438)</f>
        <v/>
      </c>
    </row>
    <row r="2439" ht="21" customHeight="1">
      <c r="A2439" s="22" t="inlineStr">
        <is>
          <t>C0840</t>
        </is>
      </c>
      <c r="B2439" s="23" t="inlineStr">
        <is>
          <t>CONCRETO P/VIBR., FCK 15 MPa COM AGREGADO ADQUIRIDO</t>
        </is>
      </c>
      <c r="C2439" s="22" t="inlineStr">
        <is>
          <t>SEINFRA</t>
        </is>
      </c>
      <c r="D2439" s="22" t="inlineStr">
        <is>
          <t>M3</t>
        </is>
      </c>
      <c r="E2439" s="63" t="n">
        <v>0.05</v>
      </c>
      <c r="F2439" s="67">
        <f>'COMPOSICOES AUXILIARES'!G1292</f>
        <v/>
      </c>
      <c r="G2439" s="67">
        <f>ROUND(ROUND(E2439,8)*F2439,4)</f>
        <v/>
      </c>
      <c r="L2439" t="n">
        <v>0.05</v>
      </c>
      <c r="M2439" t="n">
        <v>508.17</v>
      </c>
      <c r="N2439">
        <f>(M2439-F2439)</f>
        <v/>
      </c>
    </row>
    <row r="2440" ht="21" customHeight="1">
      <c r="A2440" s="22" t="inlineStr">
        <is>
          <t>C1399</t>
        </is>
      </c>
      <c r="B2440" s="23" t="inlineStr">
        <is>
          <t>FORMA PLANA CHAPA COMPENSADA PLASTIFICADA, ESP.= 12mm UTIL. 5X</t>
        </is>
      </c>
      <c r="C2440" s="22" t="inlineStr">
        <is>
          <t>SEINFRA</t>
        </is>
      </c>
      <c r="D2440" s="22" t="inlineStr">
        <is>
          <t>M2</t>
        </is>
      </c>
      <c r="E2440" s="63" t="n">
        <v>0.1075</v>
      </c>
      <c r="F2440" s="67">
        <f>'COMPOSICOES AUXILIARES'!G2155</f>
        <v/>
      </c>
      <c r="G2440" s="67">
        <f>ROUND(ROUND(E2440,8)*F2440,4)</f>
        <v/>
      </c>
      <c r="L2440" t="n">
        <v>0.1075</v>
      </c>
      <c r="M2440" t="n">
        <v>129.91</v>
      </c>
      <c r="N2440">
        <f>(M2440-F2440)</f>
        <v/>
      </c>
    </row>
    <row r="2441" ht="15" customHeight="1">
      <c r="A2441" s="22" t="inlineStr">
        <is>
          <t>C1604</t>
        </is>
      </c>
      <c r="B2441" s="23" t="inlineStr">
        <is>
          <t>LANÇAMENTO E APLICAÇÃO DE CONCRETO S/ ELEVAÇÃO</t>
        </is>
      </c>
      <c r="C2441" s="22" t="inlineStr">
        <is>
          <t>SEINFRA</t>
        </is>
      </c>
      <c r="D2441" s="22" t="inlineStr">
        <is>
          <t>M3</t>
        </is>
      </c>
      <c r="E2441" s="63" t="n">
        <v>0.05</v>
      </c>
      <c r="F2441" s="67">
        <f>'COMPOSICOES AUXILIARES'!G2383</f>
        <v/>
      </c>
      <c r="G2441" s="67">
        <f>ROUND(ROUND(E2441,8)*F2441,4)</f>
        <v/>
      </c>
      <c r="L2441" t="n">
        <v>0.05</v>
      </c>
      <c r="M2441" t="n">
        <v>175.28</v>
      </c>
      <c r="N2441">
        <f>(M2441-F2441)</f>
        <v/>
      </c>
    </row>
    <row r="2442" ht="15" customHeight="1">
      <c r="A2442" s="2" t="inlineStr"/>
      <c r="B2442" s="2" t="inlineStr"/>
      <c r="C2442" s="2" t="inlineStr"/>
      <c r="D2442" s="2" t="inlineStr"/>
      <c r="E2442" s="26" t="inlineStr">
        <is>
          <t>TOTAL Serviço:</t>
        </is>
      </c>
      <c r="F2442" s="56" t="n"/>
      <c r="G2442" s="68">
        <f>SUM(G2437:G2441)</f>
        <v/>
      </c>
    </row>
    <row r="2443" ht="15" customHeight="1">
      <c r="A2443" s="2" t="inlineStr"/>
      <c r="B2443" s="2" t="inlineStr"/>
      <c r="C2443" s="2" t="inlineStr"/>
      <c r="D2443" s="2" t="inlineStr"/>
      <c r="E2443" s="28" t="inlineStr">
        <is>
          <t>VALOR:</t>
        </is>
      </c>
      <c r="F2443" s="56" t="n"/>
      <c r="G2443" s="66">
        <f>SUM(G2442)</f>
        <v/>
      </c>
    </row>
    <row r="2444" ht="15" customHeight="1">
      <c r="A2444" s="2" t="inlineStr"/>
      <c r="B2444" s="2" t="inlineStr"/>
      <c r="C2444" s="2" t="inlineStr"/>
      <c r="D2444" s="2" t="inlineStr"/>
      <c r="E2444" s="28" t="inlineStr">
        <is>
          <t>VALOR BDI (23.08%):</t>
        </is>
      </c>
      <c r="F2444" s="56" t="n"/>
      <c r="G2444" s="66">
        <f>ROUNDDOWN(G2443*BDI,2)</f>
        <v/>
      </c>
    </row>
    <row r="2445" ht="15" customHeight="1">
      <c r="A2445" s="2" t="inlineStr"/>
      <c r="B2445" s="2" t="inlineStr"/>
      <c r="C2445" s="2" t="inlineStr"/>
      <c r="D2445" s="2" t="inlineStr"/>
      <c r="E2445" s="28" t="inlineStr">
        <is>
          <t>VALOR COM BDI:</t>
        </is>
      </c>
      <c r="F2445" s="56" t="n"/>
      <c r="G2445" s="66">
        <f>G2444 + G2443</f>
        <v/>
      </c>
    </row>
    <row r="2446" ht="10" customHeight="1">
      <c r="A2446" s="2" t="inlineStr"/>
      <c r="B2446" s="2" t="inlineStr"/>
      <c r="C2446" s="2" t="inlineStr"/>
      <c r="D2446" s="2" t="inlineStr"/>
      <c r="E2446" s="18" t="inlineStr"/>
    </row>
    <row r="2447" ht="20" customHeight="1">
      <c r="A2447" s="19" t="inlineStr">
        <is>
          <t>8.2.10.15. ​C2862​ LASTRO DE BRITA​ (M3)</t>
        </is>
      </c>
      <c r="B2447" s="55" t="n"/>
      <c r="C2447" s="55" t="n"/>
      <c r="D2447" s="55" t="n"/>
      <c r="E2447" s="55" t="n"/>
      <c r="F2447" s="55" t="n"/>
      <c r="G2447" s="56" t="n"/>
    </row>
    <row r="2448" ht="15" customHeight="1">
      <c r="A2448" s="20" t="inlineStr">
        <is>
          <t>Material</t>
        </is>
      </c>
      <c r="B2448" s="56" t="n"/>
      <c r="C2448" s="21" t="inlineStr">
        <is>
          <t>FONTE</t>
        </is>
      </c>
      <c r="D2448" s="21" t="inlineStr">
        <is>
          <t>UNID</t>
        </is>
      </c>
      <c r="E2448" s="21" t="inlineStr">
        <is>
          <t>COEFICIENTE</t>
        </is>
      </c>
      <c r="F2448" s="21" t="inlineStr">
        <is>
          <t>PREÇO UNITÁRIO</t>
        </is>
      </c>
      <c r="G2448" s="21" t="inlineStr">
        <is>
          <t>TOTAL</t>
        </is>
      </c>
    </row>
    <row r="2449" ht="15" customHeight="1">
      <c r="A2449" s="22" t="inlineStr">
        <is>
          <t>I0280</t>
        </is>
      </c>
      <c r="B2449" s="23" t="inlineStr">
        <is>
          <t>BRITA</t>
        </is>
      </c>
      <c r="C2449" s="22" t="inlineStr">
        <is>
          <t>SEINFRA</t>
        </is>
      </c>
      <c r="D2449" s="22" t="inlineStr">
        <is>
          <t>M3</t>
        </is>
      </c>
      <c r="E2449" s="63" t="n">
        <v>1.15</v>
      </c>
      <c r="F2449" s="67">
        <f>ROUND(M2449*FATOR, 2)</f>
        <v/>
      </c>
      <c r="G2449" s="67">
        <f>ROUND(ROUND(E2449,8)*F2449,4)</f>
        <v/>
      </c>
      <c r="L2449" t="n">
        <v>1.15</v>
      </c>
      <c r="M2449" t="n">
        <v>100.5</v>
      </c>
      <c r="N2449">
        <f>(M2449-F2449)</f>
        <v/>
      </c>
    </row>
    <row r="2450" ht="15" customHeight="1">
      <c r="A2450" s="2" t="inlineStr"/>
      <c r="B2450" s="2" t="inlineStr"/>
      <c r="C2450" s="2" t="inlineStr"/>
      <c r="D2450" s="2" t="inlineStr"/>
      <c r="E2450" s="26" t="inlineStr">
        <is>
          <t>TOTAL Material:</t>
        </is>
      </c>
      <c r="F2450" s="56" t="n"/>
      <c r="G2450" s="68">
        <f>SUM(G2449:G2449)</f>
        <v/>
      </c>
    </row>
    <row r="2451" ht="15" customHeight="1">
      <c r="A2451" s="20" t="inlineStr">
        <is>
          <t>Mão de Obra</t>
        </is>
      </c>
      <c r="B2451" s="56" t="n"/>
      <c r="C2451" s="21" t="inlineStr">
        <is>
          <t>FONTE</t>
        </is>
      </c>
      <c r="D2451" s="21" t="inlineStr">
        <is>
          <t>UNID</t>
        </is>
      </c>
      <c r="E2451" s="21" t="inlineStr">
        <is>
          <t>COEFICIENTE</t>
        </is>
      </c>
      <c r="F2451" s="21" t="inlineStr">
        <is>
          <t>PREÇO UNITÁRIO</t>
        </is>
      </c>
      <c r="G2451" s="21" t="inlineStr">
        <is>
          <t>TOTAL</t>
        </is>
      </c>
    </row>
    <row r="2452" ht="15" customHeight="1">
      <c r="A2452" s="22" t="inlineStr">
        <is>
          <t>I2543</t>
        </is>
      </c>
      <c r="B2452" s="23" t="inlineStr">
        <is>
          <t>SERVENTE</t>
        </is>
      </c>
      <c r="C2452" s="22" t="inlineStr">
        <is>
          <t>SEINFRA</t>
        </is>
      </c>
      <c r="D2452" s="22" t="inlineStr">
        <is>
          <t>H</t>
        </is>
      </c>
      <c r="E2452" s="63">
        <f>L2452*FATOR</f>
        <v/>
      </c>
      <c r="F2452" s="67" t="n">
        <v>20.26</v>
      </c>
      <c r="G2452" s="67">
        <f>ROUND(ROUND(E2452,8)*F2452,4)</f>
        <v/>
      </c>
      <c r="L2452" t="n">
        <v>2</v>
      </c>
      <c r="M2452" t="n">
        <v>20.26</v>
      </c>
      <c r="N2452">
        <f>(M2452-F2452)</f>
        <v/>
      </c>
    </row>
    <row r="2453" ht="15" customHeight="1">
      <c r="A2453" s="2" t="inlineStr"/>
      <c r="B2453" s="2" t="inlineStr"/>
      <c r="C2453" s="2" t="inlineStr"/>
      <c r="D2453" s="2" t="inlineStr"/>
      <c r="E2453" s="26" t="inlineStr">
        <is>
          <t>TOTAL Mão de Obra:</t>
        </is>
      </c>
      <c r="F2453" s="56" t="n"/>
      <c r="G2453" s="68">
        <f>SUM(G2452:G2452)</f>
        <v/>
      </c>
    </row>
    <row r="2454" ht="15" customHeight="1">
      <c r="A2454" s="2" t="inlineStr"/>
      <c r="B2454" s="2" t="inlineStr"/>
      <c r="C2454" s="2" t="inlineStr"/>
      <c r="D2454" s="2" t="inlineStr"/>
      <c r="E2454" s="28" t="inlineStr">
        <is>
          <t>VALOR:</t>
        </is>
      </c>
      <c r="F2454" s="56" t="n"/>
      <c r="G2454" s="66">
        <f>SUM(G2450,G2453)</f>
        <v/>
      </c>
    </row>
    <row r="2455" ht="15" customHeight="1">
      <c r="A2455" s="2" t="inlineStr"/>
      <c r="B2455" s="2" t="inlineStr"/>
      <c r="C2455" s="2" t="inlineStr"/>
      <c r="D2455" s="2" t="inlineStr"/>
      <c r="E2455" s="28" t="inlineStr">
        <is>
          <t>VALOR BDI (23.08%):</t>
        </is>
      </c>
      <c r="F2455" s="56" t="n"/>
      <c r="G2455" s="66">
        <f>ROUNDDOWN(G2454*BDI,2)</f>
        <v/>
      </c>
    </row>
    <row r="2456" ht="15" customHeight="1">
      <c r="A2456" s="2" t="inlineStr"/>
      <c r="B2456" s="2" t="inlineStr"/>
      <c r="C2456" s="2" t="inlineStr"/>
      <c r="D2456" s="2" t="inlineStr"/>
      <c r="E2456" s="28" t="inlineStr">
        <is>
          <t>VALOR COM BDI:</t>
        </is>
      </c>
      <c r="F2456" s="56" t="n"/>
      <c r="G2456" s="66">
        <f>G2455 + G2454</f>
        <v/>
      </c>
    </row>
    <row r="2457" ht="10" customHeight="1">
      <c r="A2457" s="2" t="inlineStr"/>
      <c r="B2457" s="2" t="inlineStr"/>
      <c r="C2457" s="2" t="inlineStr"/>
      <c r="D2457" s="2" t="inlineStr"/>
      <c r="E2457" s="18" t="inlineStr"/>
    </row>
    <row r="2458" ht="20" customHeight="1">
      <c r="A2458" s="19" t="inlineStr">
        <is>
          <t>8.3.1.1. ​89512​ TUBO PVC, SÉRIE R, ÁGUA PLUVIAL, DN 100 MM, FORNECIDO E INSTALADO EM RAMALDE ENCAMINHAMENTO. AF_06/2022​ (M)</t>
        </is>
      </c>
      <c r="B2458" s="55" t="n"/>
      <c r="C2458" s="55" t="n"/>
      <c r="D2458" s="55" t="n"/>
      <c r="E2458" s="55" t="n"/>
      <c r="F2458" s="55" t="n"/>
      <c r="G2458" s="56" t="n"/>
    </row>
    <row r="2459" ht="15" customHeight="1">
      <c r="A2459" s="20" t="inlineStr">
        <is>
          <t>Material</t>
        </is>
      </c>
      <c r="B2459" s="56" t="n"/>
      <c r="C2459" s="21" t="inlineStr">
        <is>
          <t>FONTE</t>
        </is>
      </c>
      <c r="D2459" s="21" t="inlineStr">
        <is>
          <t>UNID</t>
        </is>
      </c>
      <c r="E2459" s="21" t="inlineStr">
        <is>
          <t>COEFICIENTE</t>
        </is>
      </c>
      <c r="F2459" s="21" t="inlineStr">
        <is>
          <t>PREÇO UNITÁRIO</t>
        </is>
      </c>
      <c r="G2459" s="21" t="inlineStr">
        <is>
          <t>TOTAL</t>
        </is>
      </c>
    </row>
    <row r="2460" ht="15" customHeight="1">
      <c r="A2460" s="22" t="inlineStr">
        <is>
          <t>00038383</t>
        </is>
      </c>
      <c r="B2460" s="23" t="inlineStr">
        <is>
          <t>LIXA D'AGUA EM FOLHA, COR PRETA, GRAO 100</t>
        </is>
      </c>
      <c r="C2460" s="22" t="inlineStr">
        <is>
          <t>SINAPI</t>
        </is>
      </c>
      <c r="D2460" s="22" t="inlineStr">
        <is>
          <t>UN</t>
        </is>
      </c>
      <c r="E2460" s="63" t="n">
        <v>0.0224</v>
      </c>
      <c r="F2460" s="64">
        <f>ROUND(M2460*FATOR, 2)</f>
        <v/>
      </c>
      <c r="G2460" s="64">
        <f>TRUNC(TRUNC(E2460,8)*F2460,2)</f>
        <v/>
      </c>
      <c r="L2460" t="n">
        <v>0.0224</v>
      </c>
      <c r="M2460" t="n">
        <v>1.65</v>
      </c>
      <c r="N2460">
        <f>(M2460-F2460)</f>
        <v/>
      </c>
    </row>
    <row r="2461" ht="21" customHeight="1">
      <c r="A2461" s="22" t="inlineStr">
        <is>
          <t>00009841</t>
        </is>
      </c>
      <c r="B2461" s="23" t="inlineStr">
        <is>
          <t>TUBO PVC, SERIE R, DN 100 MM, PARA ESGOTO OU AGUAS PLUVIAIS PREDIAL (NBR 5688)</t>
        </is>
      </c>
      <c r="C2461" s="22" t="inlineStr">
        <is>
          <t>SINAPI</t>
        </is>
      </c>
      <c r="D2461" s="22" t="inlineStr">
        <is>
          <t>M</t>
        </is>
      </c>
      <c r="E2461" s="63" t="n">
        <v>1.0353</v>
      </c>
      <c r="F2461" s="64">
        <f>ROUND(M2461*FATOR, 2)</f>
        <v/>
      </c>
      <c r="G2461" s="64">
        <f>TRUNC(TRUNC(E2461,8)*F2461,2)</f>
        <v/>
      </c>
      <c r="L2461" t="n">
        <v>1.0353</v>
      </c>
      <c r="M2461" t="n">
        <v>28.23</v>
      </c>
      <c r="N2461">
        <f>(M2461-F2461)</f>
        <v/>
      </c>
    </row>
    <row r="2462" ht="15" customHeight="1">
      <c r="A2462" s="2" t="inlineStr"/>
      <c r="B2462" s="2" t="inlineStr"/>
      <c r="C2462" s="2" t="inlineStr"/>
      <c r="D2462" s="2" t="inlineStr"/>
      <c r="E2462" s="26" t="inlineStr">
        <is>
          <t>TOTAL Material:</t>
        </is>
      </c>
      <c r="F2462" s="56" t="n"/>
      <c r="G2462" s="65">
        <f>SUM(G2460:G2461)</f>
        <v/>
      </c>
    </row>
    <row r="2463" ht="15" customHeight="1">
      <c r="A2463" s="20" t="inlineStr">
        <is>
          <t>Mão de Obra com Encargos Complementares</t>
        </is>
      </c>
      <c r="B2463" s="56" t="n"/>
      <c r="C2463" s="21" t="inlineStr">
        <is>
          <t>FONTE</t>
        </is>
      </c>
      <c r="D2463" s="21" t="inlineStr">
        <is>
          <t>UNID</t>
        </is>
      </c>
      <c r="E2463" s="21" t="inlineStr">
        <is>
          <t>COEFICIENTE</t>
        </is>
      </c>
      <c r="F2463" s="21" t="inlineStr">
        <is>
          <t>PREÇO UNITÁRIO</t>
        </is>
      </c>
      <c r="G2463" s="21" t="inlineStr">
        <is>
          <t>TOTAL</t>
        </is>
      </c>
    </row>
    <row r="2464" ht="21" customHeight="1">
      <c r="A2464" s="22" t="inlineStr">
        <is>
          <t>88248</t>
        </is>
      </c>
      <c r="B2464" s="23" t="inlineStr">
        <is>
          <t>AUXILIAR DE ENCANADOR OU BOMBEIRO HIDRÁULICO COM ENCARGOS COMPLEMENTARES</t>
        </is>
      </c>
      <c r="C2464" s="22" t="inlineStr">
        <is>
          <t>SINAPI</t>
        </is>
      </c>
      <c r="D2464" s="22" t="inlineStr">
        <is>
          <t>H</t>
        </is>
      </c>
      <c r="E2464" s="63">
        <f>L2464*FATOR</f>
        <v/>
      </c>
      <c r="F2464" s="64">
        <f>'COMPOSICOES AUXILIARES'!G524</f>
        <v/>
      </c>
      <c r="G2464" s="64">
        <f>TRUNC(TRUNC(E2464,8)*F2464,2)</f>
        <v/>
      </c>
      <c r="L2464" t="n">
        <v>0.4024</v>
      </c>
      <c r="M2464" t="n">
        <v>24.23</v>
      </c>
      <c r="N2464">
        <f>(M2464-F2464)</f>
        <v/>
      </c>
    </row>
    <row r="2465" ht="21" customHeight="1">
      <c r="A2465" s="22" t="inlineStr">
        <is>
          <t>88267</t>
        </is>
      </c>
      <c r="B2465" s="23" t="inlineStr">
        <is>
          <t>ENCANADOR OU BOMBEIRO HIDRÁULICO COM ENCARGOS COMPLEMENTARES</t>
        </is>
      </c>
      <c r="C2465" s="22" t="inlineStr">
        <is>
          <t>SINAPI</t>
        </is>
      </c>
      <c r="D2465" s="22" t="inlineStr">
        <is>
          <t>H</t>
        </is>
      </c>
      <c r="E2465" s="63">
        <f>L2465*FATOR</f>
        <v/>
      </c>
      <c r="F2465" s="64">
        <f>'COMPOSICOES AUXILIARES'!G524</f>
        <v/>
      </c>
      <c r="G2465" s="64">
        <f>TRUNC(TRUNC(E2465,8)*F2465,2)</f>
        <v/>
      </c>
      <c r="L2465" t="n">
        <v>0.4024</v>
      </c>
      <c r="M2465" t="n">
        <v>29.86</v>
      </c>
      <c r="N2465">
        <f>(M2465-F2465)</f>
        <v/>
      </c>
    </row>
    <row r="2466" ht="18" customHeight="1">
      <c r="A2466" s="2" t="inlineStr"/>
      <c r="B2466" s="2" t="inlineStr"/>
      <c r="C2466" s="2" t="inlineStr"/>
      <c r="D2466" s="2" t="inlineStr"/>
      <c r="E2466" s="26" t="inlineStr">
        <is>
          <t>TOTAL Mão de Obra com Encargos Complementares:</t>
        </is>
      </c>
      <c r="F2466" s="56" t="n"/>
      <c r="G2466" s="65">
        <f>SUM(G2464:G2465)</f>
        <v/>
      </c>
    </row>
    <row r="2467" ht="15" customHeight="1">
      <c r="A2467" s="2" t="inlineStr"/>
      <c r="B2467" s="2" t="inlineStr"/>
      <c r="C2467" s="2" t="inlineStr"/>
      <c r="D2467" s="2" t="inlineStr"/>
      <c r="E2467" s="28" t="inlineStr">
        <is>
          <t>VALOR:</t>
        </is>
      </c>
      <c r="F2467" s="56" t="n"/>
      <c r="G2467" s="66">
        <f>SUM(G2466,G2462)</f>
        <v/>
      </c>
    </row>
    <row r="2468" ht="15" customHeight="1">
      <c r="A2468" s="2" t="inlineStr"/>
      <c r="B2468" s="2" t="inlineStr"/>
      <c r="C2468" s="2" t="inlineStr"/>
      <c r="D2468" s="2" t="inlineStr"/>
      <c r="E2468" s="28" t="inlineStr">
        <is>
          <t>VALOR BDI (23.08%):</t>
        </is>
      </c>
      <c r="F2468" s="56" t="n"/>
      <c r="G2468" s="66">
        <f>ROUNDDOWN(G2467*BDI,2)</f>
        <v/>
      </c>
    </row>
    <row r="2469" ht="15" customHeight="1">
      <c r="A2469" s="2" t="inlineStr"/>
      <c r="B2469" s="2" t="inlineStr"/>
      <c r="C2469" s="2" t="inlineStr"/>
      <c r="D2469" s="2" t="inlineStr"/>
      <c r="E2469" s="28" t="inlineStr">
        <is>
          <t>VALOR COM BDI:</t>
        </is>
      </c>
      <c r="F2469" s="56" t="n"/>
      <c r="G2469" s="66">
        <f>G2468 + G2467</f>
        <v/>
      </c>
    </row>
    <row r="2470" ht="10" customHeight="1">
      <c r="A2470" s="2" t="inlineStr"/>
      <c r="B2470" s="2" t="inlineStr"/>
      <c r="C2470" s="2" t="inlineStr"/>
      <c r="D2470" s="2" t="inlineStr"/>
      <c r="E2470" s="18" t="inlineStr"/>
    </row>
    <row r="2471" ht="20" customHeight="1">
      <c r="A2471" s="19" t="inlineStr">
        <is>
          <t>8.3.1.2. ​104166​ TUBO PVC, SÉRIE R, ÁGUA PLUVIAL, DN 150 MM, FORNECIDO E INSTALADO EM RAMALDE ENCAMINHAMENTO. AF_06/2022​ (M)</t>
        </is>
      </c>
      <c r="B2471" s="55" t="n"/>
      <c r="C2471" s="55" t="n"/>
      <c r="D2471" s="55" t="n"/>
      <c r="E2471" s="55" t="n"/>
      <c r="F2471" s="55" t="n"/>
      <c r="G2471" s="56" t="n"/>
    </row>
    <row r="2472" ht="15" customHeight="1">
      <c r="A2472" s="20" t="inlineStr">
        <is>
          <t>Material</t>
        </is>
      </c>
      <c r="B2472" s="56" t="n"/>
      <c r="C2472" s="21" t="inlineStr">
        <is>
          <t>FONTE</t>
        </is>
      </c>
      <c r="D2472" s="21" t="inlineStr">
        <is>
          <t>UNID</t>
        </is>
      </c>
      <c r="E2472" s="21" t="inlineStr">
        <is>
          <t>COEFICIENTE</t>
        </is>
      </c>
      <c r="F2472" s="21" t="inlineStr">
        <is>
          <t>PREÇO UNITÁRIO</t>
        </is>
      </c>
      <c r="G2472" s="21" t="inlineStr">
        <is>
          <t>TOTAL</t>
        </is>
      </c>
    </row>
    <row r="2473" ht="15" customHeight="1">
      <c r="A2473" s="22" t="inlineStr">
        <is>
          <t>00038383</t>
        </is>
      </c>
      <c r="B2473" s="23" t="inlineStr">
        <is>
          <t>LIXA D'AGUA EM FOLHA, COR PRETA, GRAO 100</t>
        </is>
      </c>
      <c r="C2473" s="22" t="inlineStr">
        <is>
          <t>SINAPI</t>
        </is>
      </c>
      <c r="D2473" s="22" t="inlineStr">
        <is>
          <t>UN</t>
        </is>
      </c>
      <c r="E2473" s="63" t="n">
        <v>0.0141</v>
      </c>
      <c r="F2473" s="64">
        <f>ROUND(M2473*FATOR, 2)</f>
        <v/>
      </c>
      <c r="G2473" s="64">
        <f>TRUNC(TRUNC(E2473,8)*F2473,2)</f>
        <v/>
      </c>
      <c r="L2473" t="n">
        <v>0.0141</v>
      </c>
      <c r="M2473" t="n">
        <v>1.65</v>
      </c>
      <c r="N2473">
        <f>(M2473-F2473)</f>
        <v/>
      </c>
    </row>
    <row r="2474" ht="21" customHeight="1">
      <c r="A2474" s="22" t="inlineStr">
        <is>
          <t>00009840</t>
        </is>
      </c>
      <c r="B2474" s="23" t="inlineStr">
        <is>
          <t>TUBO PVC, SERIE R, DN 150 MM, PARA ESGOTO OU AGUAS PLUVIAIS PREDIAL (NBR 5688)</t>
        </is>
      </c>
      <c r="C2474" s="22" t="inlineStr">
        <is>
          <t>SINAPI</t>
        </is>
      </c>
      <c r="D2474" s="22" t="inlineStr">
        <is>
          <t>M</t>
        </is>
      </c>
      <c r="E2474" s="63" t="n">
        <v>1.0353</v>
      </c>
      <c r="F2474" s="64">
        <f>ROUND(M2474*FATOR, 2)</f>
        <v/>
      </c>
      <c r="G2474" s="64">
        <f>TRUNC(TRUNC(E2474,8)*F2474,2)</f>
        <v/>
      </c>
      <c r="L2474" t="n">
        <v>1.0353</v>
      </c>
      <c r="M2474" t="n">
        <v>59.63</v>
      </c>
      <c r="N2474">
        <f>(M2474-F2474)</f>
        <v/>
      </c>
    </row>
    <row r="2475" ht="15" customHeight="1">
      <c r="A2475" s="2" t="inlineStr"/>
      <c r="B2475" s="2" t="inlineStr"/>
      <c r="C2475" s="2" t="inlineStr"/>
      <c r="D2475" s="2" t="inlineStr"/>
      <c r="E2475" s="26" t="inlineStr">
        <is>
          <t>TOTAL Material:</t>
        </is>
      </c>
      <c r="F2475" s="56" t="n"/>
      <c r="G2475" s="65">
        <f>SUM(G2473:G2474)</f>
        <v/>
      </c>
    </row>
    <row r="2476" ht="15" customHeight="1">
      <c r="A2476" s="20" t="inlineStr">
        <is>
          <t>Mão de Obra com Encargos Complementares</t>
        </is>
      </c>
      <c r="B2476" s="56" t="n"/>
      <c r="C2476" s="21" t="inlineStr">
        <is>
          <t>FONTE</t>
        </is>
      </c>
      <c r="D2476" s="21" t="inlineStr">
        <is>
          <t>UNID</t>
        </is>
      </c>
      <c r="E2476" s="21" t="inlineStr">
        <is>
          <t>COEFICIENTE</t>
        </is>
      </c>
      <c r="F2476" s="21" t="inlineStr">
        <is>
          <t>PREÇO UNITÁRIO</t>
        </is>
      </c>
      <c r="G2476" s="21" t="inlineStr">
        <is>
          <t>TOTAL</t>
        </is>
      </c>
    </row>
    <row r="2477" ht="21" customHeight="1">
      <c r="A2477" s="22" t="inlineStr">
        <is>
          <t>88248</t>
        </is>
      </c>
      <c r="B2477" s="23" t="inlineStr">
        <is>
          <t>AUXILIAR DE ENCANADOR OU BOMBEIRO HIDRÁULICO COM ENCARGOS COMPLEMENTARES</t>
        </is>
      </c>
      <c r="C2477" s="22" t="inlineStr">
        <is>
          <t>SINAPI</t>
        </is>
      </c>
      <c r="D2477" s="22" t="inlineStr">
        <is>
          <t>H</t>
        </is>
      </c>
      <c r="E2477" s="63">
        <f>L2477*FATOR</f>
        <v/>
      </c>
      <c r="F2477" s="64">
        <f>'COMPOSICOES AUXILIARES'!G524</f>
        <v/>
      </c>
      <c r="G2477" s="64">
        <f>TRUNC(TRUNC(E2477,8)*F2477,2)</f>
        <v/>
      </c>
      <c r="L2477" t="n">
        <v>0.2533</v>
      </c>
      <c r="M2477" t="n">
        <v>24.23</v>
      </c>
      <c r="N2477">
        <f>(M2477-F2477)</f>
        <v/>
      </c>
    </row>
    <row r="2478" ht="21" customHeight="1">
      <c r="A2478" s="22" t="inlineStr">
        <is>
          <t>88267</t>
        </is>
      </c>
      <c r="B2478" s="23" t="inlineStr">
        <is>
          <t>ENCANADOR OU BOMBEIRO HIDRÁULICO COM ENCARGOS COMPLEMENTARES</t>
        </is>
      </c>
      <c r="C2478" s="22" t="inlineStr">
        <is>
          <t>SINAPI</t>
        </is>
      </c>
      <c r="D2478" s="22" t="inlineStr">
        <is>
          <t>H</t>
        </is>
      </c>
      <c r="E2478" s="63">
        <f>L2478*FATOR</f>
        <v/>
      </c>
      <c r="F2478" s="64">
        <f>'COMPOSICOES AUXILIARES'!G524</f>
        <v/>
      </c>
      <c r="G2478" s="64">
        <f>TRUNC(TRUNC(E2478,8)*F2478,2)</f>
        <v/>
      </c>
      <c r="L2478" t="n">
        <v>0.2533</v>
      </c>
      <c r="M2478" t="n">
        <v>29.86</v>
      </c>
      <c r="N2478">
        <f>(M2478-F2478)</f>
        <v/>
      </c>
    </row>
    <row r="2479" ht="18" customHeight="1">
      <c r="A2479" s="2" t="inlineStr"/>
      <c r="B2479" s="2" t="inlineStr"/>
      <c r="C2479" s="2" t="inlineStr"/>
      <c r="D2479" s="2" t="inlineStr"/>
      <c r="E2479" s="26" t="inlineStr">
        <is>
          <t>TOTAL Mão de Obra com Encargos Complementares:</t>
        </is>
      </c>
      <c r="F2479" s="56" t="n"/>
      <c r="G2479" s="65">
        <f>SUM(G2477:G2478)</f>
        <v/>
      </c>
    </row>
    <row r="2480" ht="15" customHeight="1">
      <c r="A2480" s="2" t="inlineStr"/>
      <c r="B2480" s="2" t="inlineStr"/>
      <c r="C2480" s="2" t="inlineStr"/>
      <c r="D2480" s="2" t="inlineStr"/>
      <c r="E2480" s="28" t="inlineStr">
        <is>
          <t>VALOR:</t>
        </is>
      </c>
      <c r="F2480" s="56" t="n"/>
      <c r="G2480" s="66">
        <f>SUM(G2475,G2479)</f>
        <v/>
      </c>
    </row>
    <row r="2481" ht="15" customHeight="1">
      <c r="A2481" s="2" t="inlineStr"/>
      <c r="B2481" s="2" t="inlineStr"/>
      <c r="C2481" s="2" t="inlineStr"/>
      <c r="D2481" s="2" t="inlineStr"/>
      <c r="E2481" s="28" t="inlineStr">
        <is>
          <t>VALOR BDI (23.08%):</t>
        </is>
      </c>
      <c r="F2481" s="56" t="n"/>
      <c r="G2481" s="66">
        <f>ROUNDDOWN(G2480*BDI,2)</f>
        <v/>
      </c>
    </row>
    <row r="2482" ht="15" customHeight="1">
      <c r="A2482" s="2" t="inlineStr"/>
      <c r="B2482" s="2" t="inlineStr"/>
      <c r="C2482" s="2" t="inlineStr"/>
      <c r="D2482" s="2" t="inlineStr"/>
      <c r="E2482" s="28" t="inlineStr">
        <is>
          <t>VALOR COM BDI:</t>
        </is>
      </c>
      <c r="F2482" s="56" t="n"/>
      <c r="G2482" s="66">
        <f>G2481 + G2480</f>
        <v/>
      </c>
    </row>
    <row r="2483" ht="10" customHeight="1">
      <c r="A2483" s="2" t="inlineStr"/>
      <c r="B2483" s="2" t="inlineStr"/>
      <c r="C2483" s="2" t="inlineStr"/>
      <c r="D2483" s="2" t="inlineStr"/>
      <c r="E2483" s="18" t="inlineStr"/>
    </row>
    <row r="2484" ht="20" customHeight="1">
      <c r="A2484" s="19" t="inlineStr">
        <is>
          <t>8.3.2.1. ​375 PRÓPRIO​ RALO SEMI-HEMISFÉRICO FºFº, TIPO ABACAXI Ø 75MM​ (UN)</t>
        </is>
      </c>
      <c r="B2484" s="55" t="n"/>
      <c r="C2484" s="55" t="n"/>
      <c r="D2484" s="55" t="n"/>
      <c r="E2484" s="55" t="n"/>
      <c r="F2484" s="55" t="n"/>
      <c r="G2484" s="56" t="n"/>
    </row>
    <row r="2485" ht="15" customHeight="1">
      <c r="A2485" s="20" t="inlineStr">
        <is>
          <t>Material</t>
        </is>
      </c>
      <c r="B2485" s="56" t="n"/>
      <c r="C2485" s="21" t="inlineStr">
        <is>
          <t>FONTE</t>
        </is>
      </c>
      <c r="D2485" s="21" t="inlineStr">
        <is>
          <t>UNID</t>
        </is>
      </c>
      <c r="E2485" s="21" t="inlineStr">
        <is>
          <t>COEFICIENTE</t>
        </is>
      </c>
      <c r="F2485" s="21" t="inlineStr">
        <is>
          <t>PREÇO UNITÁRIO</t>
        </is>
      </c>
      <c r="G2485" s="21" t="inlineStr">
        <is>
          <t>TOTAL</t>
        </is>
      </c>
    </row>
    <row r="2486" ht="15" customHeight="1">
      <c r="A2486" s="22" t="inlineStr">
        <is>
          <t>00011707</t>
        </is>
      </c>
      <c r="B2486" s="23" t="inlineStr">
        <is>
          <t>RALO FOFO SEMIESFERICO, 75 MM, PARA LAJES/ CALHAS</t>
        </is>
      </c>
      <c r="C2486" s="22" t="inlineStr">
        <is>
          <t>SINAPI</t>
        </is>
      </c>
      <c r="D2486" s="22" t="inlineStr">
        <is>
          <t>UN</t>
        </is>
      </c>
      <c r="E2486" s="63" t="n">
        <v>1</v>
      </c>
      <c r="F2486" s="64">
        <f>ROUND(M2486*FATOR, 2)</f>
        <v/>
      </c>
      <c r="G2486" s="64">
        <f>ROUND(ROUND(E2486,8)*F2486,2)</f>
        <v/>
      </c>
      <c r="L2486" t="n">
        <v>1</v>
      </c>
      <c r="M2486" t="n">
        <v>16.19</v>
      </c>
      <c r="N2486">
        <f>(M2486-F2486)</f>
        <v/>
      </c>
    </row>
    <row r="2487" ht="15" customHeight="1">
      <c r="A2487" s="2" t="inlineStr"/>
      <c r="B2487" s="2" t="inlineStr"/>
      <c r="C2487" s="2" t="inlineStr"/>
      <c r="D2487" s="2" t="inlineStr"/>
      <c r="E2487" s="26" t="inlineStr">
        <is>
          <t>TOTAL Material:</t>
        </is>
      </c>
      <c r="F2487" s="56" t="n"/>
      <c r="G2487" s="65">
        <f>SUM(G2486:G2486)</f>
        <v/>
      </c>
    </row>
    <row r="2488" ht="15" customHeight="1">
      <c r="A2488" s="20" t="inlineStr">
        <is>
          <t>Mão de Obra com Encargos Complementares</t>
        </is>
      </c>
      <c r="B2488" s="56" t="n"/>
      <c r="C2488" s="21" t="inlineStr">
        <is>
          <t>FONTE</t>
        </is>
      </c>
      <c r="D2488" s="21" t="inlineStr">
        <is>
          <t>UNID</t>
        </is>
      </c>
      <c r="E2488" s="21" t="inlineStr">
        <is>
          <t>COEFICIENTE</t>
        </is>
      </c>
      <c r="F2488" s="21" t="inlineStr">
        <is>
          <t>PREÇO UNITÁRIO</t>
        </is>
      </c>
      <c r="G2488" s="21" t="inlineStr">
        <is>
          <t>TOTAL</t>
        </is>
      </c>
    </row>
    <row r="2489" ht="21" customHeight="1">
      <c r="A2489" s="22" t="inlineStr">
        <is>
          <t>88267</t>
        </is>
      </c>
      <c r="B2489" s="23" t="inlineStr">
        <is>
          <t>ENCANADOR OU BOMBEIRO HIDRÁULICO COM ENCARGOS COMPLEMENTARES</t>
        </is>
      </c>
      <c r="C2489" s="22" t="inlineStr">
        <is>
          <t>SINAPI</t>
        </is>
      </c>
      <c r="D2489" s="22" t="inlineStr">
        <is>
          <t>H</t>
        </is>
      </c>
      <c r="E2489" s="63">
        <f>L2489*FATOR</f>
        <v/>
      </c>
      <c r="F2489" s="64">
        <f>'COMPOSICOES AUXILIARES'!G524</f>
        <v/>
      </c>
      <c r="G2489" s="64">
        <f>ROUND(ROUND(E2489,8)*F2489,2)</f>
        <v/>
      </c>
      <c r="L2489" t="n">
        <v>0.5</v>
      </c>
      <c r="M2489" t="n">
        <v>29.86</v>
      </c>
      <c r="N2489">
        <f>(M2489-F2489)</f>
        <v/>
      </c>
    </row>
    <row r="2490" ht="15" customHeight="1">
      <c r="A2490" s="22" t="inlineStr">
        <is>
          <t>88316</t>
        </is>
      </c>
      <c r="B2490" s="23" t="inlineStr">
        <is>
          <t>SERVENTE COM ENCARGOS COMPLEMENTARES</t>
        </is>
      </c>
      <c r="C2490" s="22" t="inlineStr">
        <is>
          <t>SINAPI</t>
        </is>
      </c>
      <c r="D2490" s="22" t="inlineStr">
        <is>
          <t>H</t>
        </is>
      </c>
      <c r="E2490" s="63">
        <f>L2490*FATOR</f>
        <v/>
      </c>
      <c r="F2490" s="64">
        <f>'COMPOSICOES AUXILIARES'!G3390</f>
        <v/>
      </c>
      <c r="G2490" s="64">
        <f>ROUND(ROUND(E2490,8)*F2490,2)</f>
        <v/>
      </c>
      <c r="L2490" t="n">
        <v>0.5</v>
      </c>
      <c r="M2490" t="n">
        <v>23.56</v>
      </c>
      <c r="N2490">
        <f>(M2490-F2490)</f>
        <v/>
      </c>
    </row>
    <row r="2491" ht="18" customHeight="1">
      <c r="A2491" s="2" t="inlineStr"/>
      <c r="B2491" s="2" t="inlineStr"/>
      <c r="C2491" s="2" t="inlineStr"/>
      <c r="D2491" s="2" t="inlineStr"/>
      <c r="E2491" s="26" t="inlineStr">
        <is>
          <t>TOTAL Mão de Obra com Encargos Complementares:</t>
        </is>
      </c>
      <c r="F2491" s="56" t="n"/>
      <c r="G2491" s="65">
        <f>SUM(G2489:G2490)</f>
        <v/>
      </c>
    </row>
    <row r="2492" ht="15" customHeight="1">
      <c r="A2492" s="2" t="inlineStr"/>
      <c r="B2492" s="2" t="inlineStr"/>
      <c r="C2492" s="2" t="inlineStr"/>
      <c r="D2492" s="2" t="inlineStr"/>
      <c r="E2492" s="28" t="inlineStr">
        <is>
          <t>VALOR:</t>
        </is>
      </c>
      <c r="F2492" s="56" t="n"/>
      <c r="G2492" s="66">
        <f>SUM(G2491,G2487)</f>
        <v/>
      </c>
    </row>
    <row r="2493" ht="15" customHeight="1">
      <c r="A2493" s="2" t="inlineStr"/>
      <c r="B2493" s="2" t="inlineStr"/>
      <c r="C2493" s="2" t="inlineStr"/>
      <c r="D2493" s="2" t="inlineStr"/>
      <c r="E2493" s="28" t="inlineStr">
        <is>
          <t>VALOR BDI (23.08%):</t>
        </is>
      </c>
      <c r="F2493" s="56" t="n"/>
      <c r="G2493" s="66">
        <f>ROUNDDOWN(G2492*BDI,2)</f>
        <v/>
      </c>
    </row>
    <row r="2494" ht="15" customHeight="1">
      <c r="A2494" s="2" t="inlineStr"/>
      <c r="B2494" s="2" t="inlineStr"/>
      <c r="C2494" s="2" t="inlineStr"/>
      <c r="D2494" s="2" t="inlineStr"/>
      <c r="E2494" s="28" t="inlineStr">
        <is>
          <t>VALOR COM BDI:</t>
        </is>
      </c>
      <c r="F2494" s="56" t="n"/>
      <c r="G2494" s="66">
        <f>G2493 + G2492</f>
        <v/>
      </c>
    </row>
    <row r="2495" ht="10" customHeight="1">
      <c r="A2495" s="2" t="inlineStr"/>
      <c r="B2495" s="2" t="inlineStr"/>
      <c r="C2495" s="2" t="inlineStr"/>
      <c r="D2495" s="2" t="inlineStr"/>
      <c r="E2495" s="18" t="inlineStr"/>
    </row>
    <row r="2496" ht="20" customHeight="1">
      <c r="A2496" s="19" t="inlineStr">
        <is>
          <t>8.3.3.1. ​411 PRÓPRIO​ GÁRGULA DE DESCIDA PLUVIAL EM CONCRETO APARENTE​ (UN)</t>
        </is>
      </c>
      <c r="B2496" s="55" t="n"/>
      <c r="C2496" s="55" t="n"/>
      <c r="D2496" s="55" t="n"/>
      <c r="E2496" s="55" t="n"/>
      <c r="F2496" s="55" t="n"/>
      <c r="G2496" s="56" t="n"/>
    </row>
    <row r="2497" ht="15" customHeight="1">
      <c r="A2497" s="20" t="inlineStr">
        <is>
          <t>Material</t>
        </is>
      </c>
      <c r="B2497" s="56" t="n"/>
      <c r="C2497" s="21" t="inlineStr">
        <is>
          <t>FONTE</t>
        </is>
      </c>
      <c r="D2497" s="21" t="inlineStr">
        <is>
          <t>UNID</t>
        </is>
      </c>
      <c r="E2497" s="21" t="inlineStr">
        <is>
          <t>COEFICIENTE</t>
        </is>
      </c>
      <c r="F2497" s="21" t="inlineStr">
        <is>
          <t>PREÇO UNITÁRIO</t>
        </is>
      </c>
      <c r="G2497" s="21" t="inlineStr">
        <is>
          <t>TOTAL</t>
        </is>
      </c>
    </row>
    <row r="2498" ht="15" customHeight="1">
      <c r="A2498" s="22" t="inlineStr">
        <is>
          <t>001110 SBC</t>
        </is>
      </c>
      <c r="B2498" s="23" t="inlineStr">
        <is>
          <t>FLANGE COM SEXTAVADO FERRO GALVANIZADO 4"</t>
        </is>
      </c>
      <c r="C2498" s="22" t="inlineStr">
        <is>
          <t xml:space="preserve">Composições </t>
        </is>
      </c>
      <c r="D2498" s="22" t="inlineStr">
        <is>
          <t>UN</t>
        </is>
      </c>
      <c r="E2498" s="63" t="n">
        <v>2</v>
      </c>
      <c r="F2498" s="64">
        <f>ROUND(M2498*FATOR, 2)</f>
        <v/>
      </c>
      <c r="G2498" s="64">
        <f>ROUND(ROUND(E2498,8)*F2498,2)</f>
        <v/>
      </c>
      <c r="L2498" t="n">
        <v>2</v>
      </c>
      <c r="M2498" t="n">
        <v>179.97</v>
      </c>
      <c r="N2498">
        <f>(M2498-F2498)</f>
        <v/>
      </c>
    </row>
    <row r="2499" ht="15" customHeight="1">
      <c r="A2499" s="22" t="inlineStr">
        <is>
          <t>00011708</t>
        </is>
      </c>
      <c r="B2499" s="23" t="inlineStr">
        <is>
          <t>RALO FOFO SEMIESFERICO, 100 MM, PARA LAJES/ CALHAS</t>
        </is>
      </c>
      <c r="C2499" s="22" t="inlineStr">
        <is>
          <t>SINAPI</t>
        </is>
      </c>
      <c r="D2499" s="22" t="inlineStr">
        <is>
          <t>UN</t>
        </is>
      </c>
      <c r="E2499" s="63" t="n">
        <v>2</v>
      </c>
      <c r="F2499" s="64">
        <f>ROUND(M2499*FATOR, 2)</f>
        <v/>
      </c>
      <c r="G2499" s="64">
        <f>ROUND(ROUND(E2499,8)*F2499,2)</f>
        <v/>
      </c>
      <c r="L2499" t="n">
        <v>2</v>
      </c>
      <c r="M2499" t="n">
        <v>21.61</v>
      </c>
      <c r="N2499">
        <f>(M2499-F2499)</f>
        <v/>
      </c>
    </row>
    <row r="2500" ht="15" customHeight="1">
      <c r="A2500" s="2" t="inlineStr"/>
      <c r="B2500" s="2" t="inlineStr"/>
      <c r="C2500" s="2" t="inlineStr"/>
      <c r="D2500" s="2" t="inlineStr"/>
      <c r="E2500" s="26" t="inlineStr">
        <is>
          <t>TOTAL Material:</t>
        </is>
      </c>
      <c r="F2500" s="56" t="n"/>
      <c r="G2500" s="65">
        <f>SUM(G2498:G2499)</f>
        <v/>
      </c>
    </row>
    <row r="2501" ht="15" customHeight="1">
      <c r="A2501" s="20" t="inlineStr">
        <is>
          <t>Serviço</t>
        </is>
      </c>
      <c r="B2501" s="56" t="n"/>
      <c r="C2501" s="21" t="inlineStr">
        <is>
          <t>FONTE</t>
        </is>
      </c>
      <c r="D2501" s="21" t="inlineStr">
        <is>
          <t>UNID</t>
        </is>
      </c>
      <c r="E2501" s="21" t="inlineStr">
        <is>
          <t>COEFICIENTE</t>
        </is>
      </c>
      <c r="F2501" s="21" t="inlineStr">
        <is>
          <t>PREÇO UNITÁRIO</t>
        </is>
      </c>
      <c r="G2501" s="21" t="inlineStr">
        <is>
          <t>TOTAL</t>
        </is>
      </c>
    </row>
    <row r="2502" ht="29" customHeight="1">
      <c r="A2502" s="22" t="inlineStr">
        <is>
          <t>92770</t>
        </is>
      </c>
      <c r="B2502" s="23" t="inlineStr">
        <is>
          <t>ARMAÇÃO DE LAJE DE ESTRUTURA CONVENCIONAL DE CONCRETO ARMADO UTILIZANDO AÇO CA-50 DE 8,0 MM - MONTAGEM. AF_06/2022</t>
        </is>
      </c>
      <c r="C2502" s="22" t="inlineStr">
        <is>
          <t>SINAPI</t>
        </is>
      </c>
      <c r="D2502" s="22" t="inlineStr">
        <is>
          <t>KG</t>
        </is>
      </c>
      <c r="E2502" s="63" t="n">
        <v>5</v>
      </c>
      <c r="F2502" s="64">
        <f>'COMPOSICOES AUXILIARES'!G429</f>
        <v/>
      </c>
      <c r="G2502" s="64">
        <f>ROUND(ROUND(E2502,8)*F2502,2)</f>
        <v/>
      </c>
      <c r="L2502" t="n">
        <v>5</v>
      </c>
      <c r="M2502" t="n">
        <v>11.19</v>
      </c>
      <c r="N2502">
        <f>(M2502-F2502)</f>
        <v/>
      </c>
    </row>
    <row r="2503" ht="29" customHeight="1">
      <c r="A2503" s="22" t="inlineStr">
        <is>
          <t>92768</t>
        </is>
      </c>
      <c r="B2503" s="23" t="inlineStr">
        <is>
          <t>ARMAÇÃO DE LAJE DE ESTRUTURA CONVENCIONAL DE CONCRETO ARMADO UTILIZANDO AÇO CA-60 DE 5,0 MM - MONTAGEM. AF_06/2022</t>
        </is>
      </c>
      <c r="C2503" s="22" t="inlineStr">
        <is>
          <t>SINAPI</t>
        </is>
      </c>
      <c r="D2503" s="22" t="inlineStr">
        <is>
          <t>KG</t>
        </is>
      </c>
      <c r="E2503" s="63" t="n">
        <v>1.1</v>
      </c>
      <c r="F2503" s="64">
        <f>'COMPOSICOES AUXILIARES'!G461</f>
        <v/>
      </c>
      <c r="G2503" s="64">
        <f>ROUND(ROUND(E2503,8)*F2503,2)</f>
        <v/>
      </c>
      <c r="L2503" t="n">
        <v>1.1</v>
      </c>
      <c r="M2503" t="n">
        <v>13.2</v>
      </c>
      <c r="N2503">
        <f>(M2503-F2503)</f>
        <v/>
      </c>
    </row>
    <row r="2504" ht="29" customHeight="1">
      <c r="A2504" s="22" t="inlineStr">
        <is>
          <t>103138</t>
        </is>
      </c>
      <c r="B2504" s="23" t="inlineStr">
        <is>
          <t>ASSENTAMENTO DE CONEXÃO COM 1 ACESSO, FERRO FUNDIDO PARA REDE DE ÁGUA, DN 100 MM, JUNTA FLANGEADA (NÃO INCLUI O FORNECIMENTO). AF_09/2021</t>
        </is>
      </c>
      <c r="C2504" s="22" t="inlineStr">
        <is>
          <t>SINAPI</t>
        </is>
      </c>
      <c r="D2504" s="22" t="inlineStr">
        <is>
          <t>UN</t>
        </is>
      </c>
      <c r="E2504" s="63" t="n">
        <v>2</v>
      </c>
      <c r="F2504" s="64">
        <f>'COMPOSICOES AUXILIARES'!G474</f>
        <v/>
      </c>
      <c r="G2504" s="64">
        <f>ROUND(ROUND(E2504,8)*F2504,2)</f>
        <v/>
      </c>
      <c r="L2504" t="n">
        <v>2</v>
      </c>
      <c r="M2504" t="n">
        <v>40.63</v>
      </c>
      <c r="N2504">
        <f>(M2504-F2504)</f>
        <v/>
      </c>
    </row>
    <row r="2505" ht="38" customHeight="1">
      <c r="A2505" s="22" t="inlineStr">
        <is>
          <t>103683</t>
        </is>
      </c>
      <c r="B2505" s="23" t="inlineStr">
        <is>
          <t>CONCRETAGEM DE VIGAS E LAJES, FCK=25 MPA, PARA QUALQUER TIPO DE LAJE COM BALDES EM EDIFICAÇÃO DE MULTIPAVIMENTOS ATÉ 04 ANDARES - LANÇAMENTO, ADENSAMENTO E ACABAMENTO. AF_02/2022</t>
        </is>
      </c>
      <c r="C2505" s="22" t="inlineStr">
        <is>
          <t>SINAPI</t>
        </is>
      </c>
      <c r="D2505" s="22" t="inlineStr">
        <is>
          <t>M3</t>
        </is>
      </c>
      <c r="E2505" s="63" t="n">
        <v>0.03</v>
      </c>
      <c r="F2505" s="64">
        <f>'COMPOSICOES AUXILIARES'!G1112</f>
        <v/>
      </c>
      <c r="G2505" s="64">
        <f>ROUND(ROUND(E2505,8)*F2505,2)</f>
        <v/>
      </c>
      <c r="L2505" t="n">
        <v>0.03</v>
      </c>
      <c r="M2505" t="n">
        <v>1285.9</v>
      </c>
      <c r="N2505">
        <f>(M2505-F2505)</f>
        <v/>
      </c>
    </row>
    <row r="2506" ht="29" customHeight="1">
      <c r="A2506" s="22" t="inlineStr">
        <is>
          <t>92267</t>
        </is>
      </c>
      <c r="B2506" s="23" t="inlineStr">
        <is>
          <t>FABRICAÇÃO DE FÔRMA PARA LAJES, EM CHAPA DE MADEIRA COMPENSADA RESINADA, E = 17 MM. AF_09/2020</t>
        </is>
      </c>
      <c r="C2506" s="22" t="inlineStr">
        <is>
          <t>SINAPI</t>
        </is>
      </c>
      <c r="D2506" s="22" t="inlineStr">
        <is>
          <t>M2</t>
        </is>
      </c>
      <c r="E2506" s="63" t="n">
        <v>0.5</v>
      </c>
      <c r="F2506" s="64">
        <f>'COMPOSICOES AUXILIARES'!G2103</f>
        <v/>
      </c>
      <c r="G2506" s="64">
        <f>ROUND(ROUND(E2506,8)*F2506,2)</f>
        <v/>
      </c>
      <c r="L2506" t="n">
        <v>0.5</v>
      </c>
      <c r="M2506" t="n">
        <v>61.82</v>
      </c>
      <c r="N2506">
        <f>(M2506-F2506)</f>
        <v/>
      </c>
    </row>
    <row r="2507" ht="38" customHeight="1">
      <c r="A2507" s="22" t="inlineStr">
        <is>
          <t>92526</t>
        </is>
      </c>
      <c r="B2507" s="23" t="inlineStr">
        <is>
          <t>MONTAGEM E DESMONTAGEM DE FÔRMA DE LAJE MACIÇA, PÉ-DIREITO SIMPLES, EM CHAPA DE MADEIRA COMPENSADA PLASTIFICADA, 10 UTILIZAÇÕES. AF_09/2020</t>
        </is>
      </c>
      <c r="C2507" s="22" t="inlineStr">
        <is>
          <t>SINAPI</t>
        </is>
      </c>
      <c r="D2507" s="22" t="inlineStr">
        <is>
          <t>M2</t>
        </is>
      </c>
      <c r="E2507" s="63" t="n">
        <v>0.5</v>
      </c>
      <c r="F2507" s="64">
        <f>'COMPOSICOES AUXILIARES'!G2608</f>
        <v/>
      </c>
      <c r="G2507" s="64">
        <f>ROUND(ROUND(E2507,8)*F2507,2)</f>
        <v/>
      </c>
      <c r="L2507" t="n">
        <v>0.5</v>
      </c>
      <c r="M2507" t="n">
        <v>45.71</v>
      </c>
      <c r="N2507">
        <f>(M2507-F2507)</f>
        <v/>
      </c>
    </row>
    <row r="2508" ht="15" customHeight="1">
      <c r="A2508" s="2" t="inlineStr"/>
      <c r="B2508" s="2" t="inlineStr"/>
      <c r="C2508" s="2" t="inlineStr"/>
      <c r="D2508" s="2" t="inlineStr"/>
      <c r="E2508" s="26" t="inlineStr">
        <is>
          <t>TOTAL Serviço:</t>
        </is>
      </c>
      <c r="F2508" s="56" t="n"/>
      <c r="G2508" s="65">
        <f>SUM(G2502:G2507)</f>
        <v/>
      </c>
    </row>
    <row r="2509" ht="15" customHeight="1">
      <c r="A2509" s="2" t="inlineStr"/>
      <c r="B2509" s="2" t="inlineStr"/>
      <c r="C2509" s="2" t="inlineStr"/>
      <c r="D2509" s="2" t="inlineStr"/>
      <c r="E2509" s="28" t="inlineStr">
        <is>
          <t>VALOR:</t>
        </is>
      </c>
      <c r="F2509" s="56" t="n"/>
      <c r="G2509" s="66">
        <f>SUM(G2508,G2500)</f>
        <v/>
      </c>
    </row>
    <row r="2510" ht="15" customHeight="1">
      <c r="A2510" s="2" t="inlineStr"/>
      <c r="B2510" s="2" t="inlineStr"/>
      <c r="C2510" s="2" t="inlineStr"/>
      <c r="D2510" s="2" t="inlineStr"/>
      <c r="E2510" s="28" t="inlineStr">
        <is>
          <t>VALOR BDI (23.08%):</t>
        </is>
      </c>
      <c r="F2510" s="56" t="n"/>
      <c r="G2510" s="66">
        <f>ROUNDDOWN(G2509*BDI,2)</f>
        <v/>
      </c>
    </row>
    <row r="2511" ht="15" customHeight="1">
      <c r="A2511" s="2" t="inlineStr"/>
      <c r="B2511" s="2" t="inlineStr"/>
      <c r="C2511" s="2" t="inlineStr"/>
      <c r="D2511" s="2" t="inlineStr"/>
      <c r="E2511" s="28" t="inlineStr">
        <is>
          <t>VALOR COM BDI:</t>
        </is>
      </c>
      <c r="F2511" s="56" t="n"/>
      <c r="G2511" s="66">
        <f>G2510 + G2509</f>
        <v/>
      </c>
    </row>
    <row r="2512" ht="10" customHeight="1">
      <c r="A2512" s="2" t="inlineStr"/>
      <c r="B2512" s="2" t="inlineStr"/>
      <c r="C2512" s="2" t="inlineStr"/>
      <c r="D2512" s="2" t="inlineStr"/>
      <c r="E2512" s="18" t="inlineStr"/>
    </row>
    <row r="2513" ht="20" customHeight="1">
      <c r="A2513" s="19" t="inlineStr">
        <is>
          <t>8.3.4.1. ​412 PRÓPRIO​ CANALETA DE CONCRETO MOLDADO IN LOCO, ESPESSURA DE 0,10M, GEOMETRIA PRISMÁTICA (DIMENSÕES INTERNAS: L=0,40M; H(médio)= 0,325M)​ (M)</t>
        </is>
      </c>
      <c r="B2513" s="55" t="n"/>
      <c r="C2513" s="55" t="n"/>
      <c r="D2513" s="55" t="n"/>
      <c r="E2513" s="55" t="n"/>
      <c r="F2513" s="55" t="n"/>
      <c r="G2513" s="56" t="n"/>
    </row>
    <row r="2514" ht="15" customHeight="1">
      <c r="A2514" s="20" t="inlineStr">
        <is>
          <t>Material</t>
        </is>
      </c>
      <c r="B2514" s="56" t="n"/>
      <c r="C2514" s="21" t="inlineStr">
        <is>
          <t>FONTE</t>
        </is>
      </c>
      <c r="D2514" s="21" t="inlineStr">
        <is>
          <t>UNID</t>
        </is>
      </c>
      <c r="E2514" s="21" t="inlineStr">
        <is>
          <t>COEFICIENTE</t>
        </is>
      </c>
      <c r="F2514" s="21" t="inlineStr">
        <is>
          <t>PREÇO UNITÁRIO</t>
        </is>
      </c>
      <c r="G2514" s="21" t="inlineStr">
        <is>
          <t>TOTAL</t>
        </is>
      </c>
    </row>
    <row r="2515" ht="21" customHeight="1">
      <c r="A2515" s="22" t="inlineStr">
        <is>
          <t>00004509</t>
        </is>
      </c>
      <c r="B2515" s="23" t="inlineStr">
        <is>
          <t>SARRAFO *2,5 X 10* CM EM PINUS, MISTA OU EQUIVALENTE DA REGIAO - BRUTA</t>
        </is>
      </c>
      <c r="C2515" s="22" t="inlineStr">
        <is>
          <t>SINAPI</t>
        </is>
      </c>
      <c r="D2515" s="22" t="inlineStr">
        <is>
          <t>M</t>
        </is>
      </c>
      <c r="E2515" s="63" t="n">
        <v>1.0945</v>
      </c>
      <c r="F2515" s="64">
        <f>ROUND(M2515*FATOR, 2)</f>
        <v/>
      </c>
      <c r="G2515" s="64">
        <f>ROUND(ROUND(E2515,8)*F2515,2)</f>
        <v/>
      </c>
      <c r="L2515" t="n">
        <v>1.0945</v>
      </c>
      <c r="M2515" t="n">
        <v>5.61</v>
      </c>
      <c r="N2515">
        <f>(M2515-F2515)</f>
        <v/>
      </c>
    </row>
    <row r="2516" ht="15" customHeight="1">
      <c r="A2516" s="2" t="inlineStr"/>
      <c r="B2516" s="2" t="inlineStr"/>
      <c r="C2516" s="2" t="inlineStr"/>
      <c r="D2516" s="2" t="inlineStr"/>
      <c r="E2516" s="26" t="inlineStr">
        <is>
          <t>TOTAL Material:</t>
        </is>
      </c>
      <c r="F2516" s="56" t="n"/>
      <c r="G2516" s="65">
        <f>SUM(G2515:G2515)</f>
        <v/>
      </c>
    </row>
    <row r="2517" ht="15" customHeight="1">
      <c r="A2517" s="20" t="inlineStr">
        <is>
          <t>Mão de Obra com Encargos Complementares</t>
        </is>
      </c>
      <c r="B2517" s="56" t="n"/>
      <c r="C2517" s="21" t="inlineStr">
        <is>
          <t>FONTE</t>
        </is>
      </c>
      <c r="D2517" s="21" t="inlineStr">
        <is>
          <t>UNID</t>
        </is>
      </c>
      <c r="E2517" s="21" t="inlineStr">
        <is>
          <t>COEFICIENTE</t>
        </is>
      </c>
      <c r="F2517" s="21" t="inlineStr">
        <is>
          <t>PREÇO UNITÁRIO</t>
        </is>
      </c>
      <c r="G2517" s="21" t="inlineStr">
        <is>
          <t>TOTAL</t>
        </is>
      </c>
    </row>
    <row r="2518" ht="15" customHeight="1">
      <c r="A2518" s="22" t="inlineStr">
        <is>
          <t>88309</t>
        </is>
      </c>
      <c r="B2518" s="23" t="inlineStr">
        <is>
          <t>PEDREIRO COM ENCARGOS COMPLEMENTARES</t>
        </is>
      </c>
      <c r="C2518" s="22" t="inlineStr">
        <is>
          <t>SINAPI</t>
        </is>
      </c>
      <c r="D2518" s="22" t="inlineStr">
        <is>
          <t>H</t>
        </is>
      </c>
      <c r="E2518" s="63">
        <f>L2518*FATOR</f>
        <v/>
      </c>
      <c r="F2518" s="64">
        <f>'COMPOSICOES AUXILIARES'!G2887</f>
        <v/>
      </c>
      <c r="G2518" s="64">
        <f>ROUND(ROUND(E2518,8)*F2518,2)</f>
        <v/>
      </c>
      <c r="L2518" t="n">
        <v>0.5325</v>
      </c>
      <c r="M2518" t="n">
        <v>30.58</v>
      </c>
      <c r="N2518">
        <f>(M2518-F2518)</f>
        <v/>
      </c>
    </row>
    <row r="2519" ht="15" customHeight="1">
      <c r="A2519" s="22" t="inlineStr">
        <is>
          <t>88316</t>
        </is>
      </c>
      <c r="B2519" s="23" t="inlineStr">
        <is>
          <t>SERVENTE COM ENCARGOS COMPLEMENTARES</t>
        </is>
      </c>
      <c r="C2519" s="22" t="inlineStr">
        <is>
          <t>SINAPI</t>
        </is>
      </c>
      <c r="D2519" s="22" t="inlineStr">
        <is>
          <t>H</t>
        </is>
      </c>
      <c r="E2519" s="63">
        <f>L2519*FATOR</f>
        <v/>
      </c>
      <c r="F2519" s="64">
        <f>'COMPOSICOES AUXILIARES'!G3390</f>
        <v/>
      </c>
      <c r="G2519" s="64">
        <f>ROUND(ROUND(E2519,8)*F2519,2)</f>
        <v/>
      </c>
      <c r="L2519" t="n">
        <v>0.5325</v>
      </c>
      <c r="M2519" t="n">
        <v>23.56</v>
      </c>
      <c r="N2519">
        <f>(M2519-F2519)</f>
        <v/>
      </c>
    </row>
    <row r="2520" ht="18" customHeight="1">
      <c r="A2520" s="2" t="inlineStr"/>
      <c r="B2520" s="2" t="inlineStr"/>
      <c r="C2520" s="2" t="inlineStr"/>
      <c r="D2520" s="2" t="inlineStr"/>
      <c r="E2520" s="26" t="inlineStr">
        <is>
          <t>TOTAL Mão de Obra com Encargos Complementares:</t>
        </is>
      </c>
      <c r="F2520" s="56" t="n"/>
      <c r="G2520" s="65">
        <f>SUM(G2518:G2519)</f>
        <v/>
      </c>
    </row>
    <row r="2521" ht="15" customHeight="1">
      <c r="A2521" s="20" t="inlineStr">
        <is>
          <t>Serviço</t>
        </is>
      </c>
      <c r="B2521" s="56" t="n"/>
      <c r="C2521" s="21" t="inlineStr">
        <is>
          <t>FONTE</t>
        </is>
      </c>
      <c r="D2521" s="21" t="inlineStr">
        <is>
          <t>UNID</t>
        </is>
      </c>
      <c r="E2521" s="21" t="inlineStr">
        <is>
          <t>COEFICIENTE</t>
        </is>
      </c>
      <c r="F2521" s="21" t="inlineStr">
        <is>
          <t>PREÇO UNITÁRIO</t>
        </is>
      </c>
      <c r="G2521" s="21" t="inlineStr">
        <is>
          <t>TOTAL</t>
        </is>
      </c>
    </row>
    <row r="2522" ht="29" customHeight="1">
      <c r="A2522" s="22" t="inlineStr">
        <is>
          <t>94964</t>
        </is>
      </c>
      <c r="B2522" s="23" t="inlineStr">
        <is>
          <t>CONCRETO FCK = 20MPA, TRAÇO 1:2,7:3 (EM MASSA SECA DE CIMENTO/ AREIA MÉDIA/ BRITA 1) - PREPARO MECÂNICO COM BETONEIRA 400 L. AF_05/2021</t>
        </is>
      </c>
      <c r="C2522" s="22" t="inlineStr">
        <is>
          <t>SINAPI</t>
        </is>
      </c>
      <c r="D2522" s="22" t="inlineStr">
        <is>
          <t>M3</t>
        </is>
      </c>
      <c r="E2522" s="63" t="n">
        <v>0.1831</v>
      </c>
      <c r="F2522" s="64">
        <f>'COMPOSICOES AUXILIARES'!G1178</f>
        <v/>
      </c>
      <c r="G2522" s="64">
        <f>ROUND(ROUND(E2522,8)*F2522,2)</f>
        <v/>
      </c>
      <c r="L2522" t="n">
        <v>0.1831</v>
      </c>
      <c r="M2522" t="n">
        <v>511.3</v>
      </c>
      <c r="N2522">
        <f>(M2522-F2522)</f>
        <v/>
      </c>
    </row>
    <row r="2523" ht="21" customHeight="1">
      <c r="A2523" s="22" t="inlineStr">
        <is>
          <t>97114</t>
        </is>
      </c>
      <c r="B2523" s="23" t="inlineStr">
        <is>
          <t>EXECUÇÃO DE JUNTAS DE CONTRAÇÃO PARA PAVIMENTOS DE CONCRETO. AF_04/2022</t>
        </is>
      </c>
      <c r="C2523" s="22" t="inlineStr">
        <is>
          <t>SINAPI</t>
        </is>
      </c>
      <c r="D2523" s="22" t="inlineStr">
        <is>
          <t>M</t>
        </is>
      </c>
      <c r="E2523" s="63" t="n">
        <v>0.1658</v>
      </c>
      <c r="F2523" s="64">
        <f>'COMPOSICOES AUXILIARES'!G2036</f>
        <v/>
      </c>
      <c r="G2523" s="64">
        <f>ROUND(ROUND(E2523,8)*F2523,2)</f>
        <v/>
      </c>
      <c r="L2523" t="n">
        <v>0.1658</v>
      </c>
      <c r="M2523" t="n">
        <v>0.41</v>
      </c>
      <c r="N2523">
        <f>(M2523-F2523)</f>
        <v/>
      </c>
    </row>
    <row r="2524" ht="21" customHeight="1">
      <c r="A2524" s="22" t="inlineStr">
        <is>
          <t>100205</t>
        </is>
      </c>
      <c r="B2524" s="23" t="inlineStr">
        <is>
          <t>TRANSPORTE HORIZONTAL COM JERICA DE 60 L, DE MASSA/ GRANEL (UNIDADE: M3XKM). AF_07/2019</t>
        </is>
      </c>
      <c r="C2524" s="22" t="inlineStr">
        <is>
          <t>SINAPI</t>
        </is>
      </c>
      <c r="D2524" s="22" t="inlineStr">
        <is>
          <t>M3XKM</t>
        </is>
      </c>
      <c r="E2524" s="63" t="n">
        <v>0.0018</v>
      </c>
      <c r="F2524" s="64">
        <f>'COMPOSICOES AUXILIARES'!G3583</f>
        <v/>
      </c>
      <c r="G2524" s="64">
        <f>ROUND(ROUND(E2524,8)*F2524,2)</f>
        <v/>
      </c>
      <c r="L2524" t="n">
        <v>0.0018</v>
      </c>
      <c r="M2524" t="n">
        <v>1609.3</v>
      </c>
      <c r="N2524">
        <f>(M2524-F2524)</f>
        <v/>
      </c>
    </row>
    <row r="2525" ht="15" customHeight="1">
      <c r="A2525" s="2" t="inlineStr"/>
      <c r="B2525" s="2" t="inlineStr"/>
      <c r="C2525" s="2" t="inlineStr"/>
      <c r="D2525" s="2" t="inlineStr"/>
      <c r="E2525" s="26" t="inlineStr">
        <is>
          <t>TOTAL Serviço:</t>
        </is>
      </c>
      <c r="F2525" s="56" t="n"/>
      <c r="G2525" s="65">
        <f>SUM(G2522:G2524)</f>
        <v/>
      </c>
    </row>
    <row r="2526" ht="15" customHeight="1">
      <c r="A2526" s="2" t="inlineStr"/>
      <c r="B2526" s="2" t="inlineStr"/>
      <c r="C2526" s="2" t="inlineStr"/>
      <c r="D2526" s="2" t="inlineStr"/>
      <c r="E2526" s="28" t="inlineStr">
        <is>
          <t>VALOR:</t>
        </is>
      </c>
      <c r="F2526" s="56" t="n"/>
      <c r="G2526" s="66">
        <f>SUM(G2520,G2516,G2525)</f>
        <v/>
      </c>
    </row>
    <row r="2527" ht="15" customHeight="1">
      <c r="A2527" s="2" t="inlineStr"/>
      <c r="B2527" s="2" t="inlineStr"/>
      <c r="C2527" s="2" t="inlineStr"/>
      <c r="D2527" s="2" t="inlineStr"/>
      <c r="E2527" s="28" t="inlineStr">
        <is>
          <t>VALOR BDI (23.08%):</t>
        </is>
      </c>
      <c r="F2527" s="56" t="n"/>
      <c r="G2527" s="66">
        <f>ROUNDDOWN(G2526*BDI,2)</f>
        <v/>
      </c>
    </row>
    <row r="2528" ht="15" customHeight="1">
      <c r="A2528" s="2" t="inlineStr"/>
      <c r="B2528" s="2" t="inlineStr"/>
      <c r="C2528" s="2" t="inlineStr"/>
      <c r="D2528" s="2" t="inlineStr"/>
      <c r="E2528" s="28" t="inlineStr">
        <is>
          <t>VALOR COM BDI:</t>
        </is>
      </c>
      <c r="F2528" s="56" t="n"/>
      <c r="G2528" s="66">
        <f>G2527 + G2526</f>
        <v/>
      </c>
    </row>
    <row r="2529" ht="10" customHeight="1">
      <c r="A2529" s="2" t="inlineStr"/>
      <c r="B2529" s="2" t="inlineStr"/>
      <c r="C2529" s="2" t="inlineStr"/>
      <c r="D2529" s="2" t="inlineStr"/>
      <c r="E2529" s="18" t="inlineStr"/>
    </row>
    <row r="2530" ht="20" customHeight="1">
      <c r="A2530" s="19" t="inlineStr">
        <is>
          <t>8.3.5.1. ​428 PRÓPRIO​ CAIXA DE AREIA 60 X 60 X 80CM (MEDIDAS INTERNAS) - FUNDO DE BRITA - TAMPA T33EM FERRO FUNDIDO​ (UN)</t>
        </is>
      </c>
      <c r="B2530" s="55" t="n"/>
      <c r="C2530" s="55" t="n"/>
      <c r="D2530" s="55" t="n"/>
      <c r="E2530" s="55" t="n"/>
      <c r="F2530" s="55" t="n"/>
      <c r="G2530" s="56" t="n"/>
    </row>
    <row r="2531" ht="15" customHeight="1">
      <c r="A2531" s="20" t="inlineStr">
        <is>
          <t>Material</t>
        </is>
      </c>
      <c r="B2531" s="56" t="n"/>
      <c r="C2531" s="21" t="inlineStr">
        <is>
          <t>FONTE</t>
        </is>
      </c>
      <c r="D2531" s="21" t="inlineStr">
        <is>
          <t>UNID</t>
        </is>
      </c>
      <c r="E2531" s="21" t="inlineStr">
        <is>
          <t>COEFICIENTE</t>
        </is>
      </c>
      <c r="F2531" s="21" t="inlineStr">
        <is>
          <t>PREÇO UNITÁRIO</t>
        </is>
      </c>
      <c r="G2531" s="21" t="inlineStr">
        <is>
          <t>TOTAL</t>
        </is>
      </c>
    </row>
    <row r="2532" ht="21" customHeight="1">
      <c r="A2532" s="22" t="inlineStr">
        <is>
          <t>00043059</t>
        </is>
      </c>
      <c r="B2532" s="23" t="inlineStr">
        <is>
          <t>ACO CA-60, 4,2 MM, OU 5,0 MM, OU 6,0 MM, OU 7,0 MM, VERGALHAO</t>
        </is>
      </c>
      <c r="C2532" s="22" t="inlineStr">
        <is>
          <t>SINAPI</t>
        </is>
      </c>
      <c r="D2532" s="22" t="inlineStr">
        <is>
          <t>KG</t>
        </is>
      </c>
      <c r="E2532" s="63" t="n">
        <v>1.5157</v>
      </c>
      <c r="F2532" s="64">
        <f>ROUND(M2532*FATOR, 2)</f>
        <v/>
      </c>
      <c r="G2532" s="64">
        <f>ROUND(ROUND(E2532,8)*F2532,2)</f>
        <v/>
      </c>
      <c r="L2532" t="n">
        <v>1.5157</v>
      </c>
      <c r="M2532" t="n">
        <v>7</v>
      </c>
      <c r="N2532">
        <f>(M2532-F2532)</f>
        <v/>
      </c>
    </row>
    <row r="2533" ht="29" customHeight="1">
      <c r="A2533" s="22" t="inlineStr">
        <is>
          <t>00000123</t>
        </is>
      </c>
      <c r="B2533" s="23" t="inlineStr">
        <is>
          <t>ADITIVO IMPERMEABILIZANTE DE PEGA NORMAL PARA ARGAMASSAS E CONCRETOS SEM ARMACAO, LIQUIDO E ISENTO DE CLORETOS</t>
        </is>
      </c>
      <c r="C2533" s="22" t="inlineStr">
        <is>
          <t>SINAPI</t>
        </is>
      </c>
      <c r="D2533" s="22" t="inlineStr">
        <is>
          <t>L</t>
        </is>
      </c>
      <c r="E2533" s="63" t="n">
        <v>0.8965</v>
      </c>
      <c r="F2533" s="64">
        <f>ROUND(M2533*FATOR, 2)</f>
        <v/>
      </c>
      <c r="G2533" s="64">
        <f>ROUND(ROUND(E2533,8)*F2533,2)</f>
        <v/>
      </c>
      <c r="L2533" t="n">
        <v>0.8965</v>
      </c>
      <c r="M2533" t="n">
        <v>8.390000000000001</v>
      </c>
      <c r="N2533">
        <f>(M2533-F2533)</f>
        <v/>
      </c>
    </row>
    <row r="2534" ht="21" customHeight="1">
      <c r="A2534" s="22" t="inlineStr">
        <is>
          <t>00043132</t>
        </is>
      </c>
      <c r="B2534" s="23" t="inlineStr">
        <is>
          <t>ARAME RECOZIDO 16 BWG, D = 1,65 MM (0,016 KG/M) OU 18 BWG, D = 1,25 MM (0,01 KG/M)</t>
        </is>
      </c>
      <c r="C2534" s="22" t="inlineStr">
        <is>
          <t>SINAPI</t>
        </is>
      </c>
      <c r="D2534" s="22" t="inlineStr">
        <is>
          <t>KG</t>
        </is>
      </c>
      <c r="E2534" s="63" t="n">
        <v>0.0298</v>
      </c>
      <c r="F2534" s="64">
        <f>ROUND(M2534*FATOR, 2)</f>
        <v/>
      </c>
      <c r="G2534" s="64">
        <f>ROUND(ROUND(E2534,8)*F2534,2)</f>
        <v/>
      </c>
      <c r="L2534" t="n">
        <v>0.0298</v>
      </c>
      <c r="M2534" t="n">
        <v>15.67</v>
      </c>
      <c r="N2534">
        <f>(M2534-F2534)</f>
        <v/>
      </c>
    </row>
    <row r="2535" ht="21" customHeight="1">
      <c r="A2535" s="22" t="inlineStr">
        <is>
          <t>00000367</t>
        </is>
      </c>
      <c r="B2535" s="23" t="inlineStr">
        <is>
          <t>AREIA GROSSA - POSTO JAZIDA/FORNECEDOR (RETIRADO NA JAZIDA, SEM TRANSPORTE)</t>
        </is>
      </c>
      <c r="C2535" s="22" t="inlineStr">
        <is>
          <t>SINAPI</t>
        </is>
      </c>
      <c r="D2535" s="22" t="inlineStr">
        <is>
          <t>M3</t>
        </is>
      </c>
      <c r="E2535" s="63" t="n">
        <v>0.0157</v>
      </c>
      <c r="F2535" s="64">
        <f>ROUND(M2535*FATOR, 2)</f>
        <v/>
      </c>
      <c r="G2535" s="64">
        <f>ROUND(ROUND(E2535,8)*F2535,2)</f>
        <v/>
      </c>
      <c r="L2535" t="n">
        <v>0.0157</v>
      </c>
      <c r="M2535" t="n">
        <v>131.69</v>
      </c>
      <c r="N2535">
        <f>(M2535-F2535)</f>
        <v/>
      </c>
    </row>
    <row r="2536" ht="21" customHeight="1">
      <c r="A2536" s="22" t="inlineStr">
        <is>
          <t>00000370</t>
        </is>
      </c>
      <c r="B2536" s="23" t="inlineStr">
        <is>
          <t>AREIA MEDIA - POSTO JAZIDA/FORNECEDOR (RETIRADO NA JAZIDA, SEM TRANSPORTE)</t>
        </is>
      </c>
      <c r="C2536" s="22" t="inlineStr">
        <is>
          <t>SINAPI</t>
        </is>
      </c>
      <c r="D2536" s="22" t="inlineStr">
        <is>
          <t>M3</t>
        </is>
      </c>
      <c r="E2536" s="63" t="n">
        <v>0.1373</v>
      </c>
      <c r="F2536" s="64">
        <f>ROUND(M2536*FATOR, 2)</f>
        <v/>
      </c>
      <c r="G2536" s="64">
        <f>ROUND(ROUND(E2536,8)*F2536,2)</f>
        <v/>
      </c>
      <c r="L2536" t="n">
        <v>0.1373</v>
      </c>
      <c r="M2536" t="n">
        <v>130</v>
      </c>
      <c r="N2536">
        <f>(M2536-F2536)</f>
        <v/>
      </c>
    </row>
    <row r="2537" ht="15" customHeight="1">
      <c r="A2537" s="22" t="inlineStr">
        <is>
          <t>00001106</t>
        </is>
      </c>
      <c r="B2537" s="23" t="inlineStr">
        <is>
          <t>CAL HIDRATADA CH-I PARA ARGAMASSAS</t>
        </is>
      </c>
      <c r="C2537" s="22" t="inlineStr">
        <is>
          <t>SINAPI</t>
        </is>
      </c>
      <c r="D2537" s="22" t="inlineStr">
        <is>
          <t>KG</t>
        </is>
      </c>
      <c r="E2537" s="63" t="n">
        <v>20.5514</v>
      </c>
      <c r="F2537" s="64">
        <f>ROUND(M2537*FATOR, 2)</f>
        <v/>
      </c>
      <c r="G2537" s="64">
        <f>ROUND(ROUND(E2537,8)*F2537,2)</f>
        <v/>
      </c>
      <c r="L2537" t="n">
        <v>20.5514</v>
      </c>
      <c r="M2537" t="n">
        <v>1.28</v>
      </c>
      <c r="N2537">
        <f>(M2537-F2537)</f>
        <v/>
      </c>
    </row>
    <row r="2538" ht="21" customHeight="1">
      <c r="A2538" s="22" t="inlineStr">
        <is>
          <t>00004777</t>
        </is>
      </c>
      <c r="B2538" s="23" t="inlineStr">
        <is>
          <t>CANTONEIRA ACO ABAS IGUAIS (QUALQUER BITOLA), ESPESSURA ENTRE 1/8" E 1/4"</t>
        </is>
      </c>
      <c r="C2538" s="22" t="inlineStr">
        <is>
          <t>SINAPI</t>
        </is>
      </c>
      <c r="D2538" s="22" t="inlineStr">
        <is>
          <t>KG</t>
        </is>
      </c>
      <c r="E2538" s="63" t="n">
        <v>6.55</v>
      </c>
      <c r="F2538" s="64">
        <f>ROUND(M2538*FATOR, 2)</f>
        <v/>
      </c>
      <c r="G2538" s="64">
        <f>ROUND(ROUND(E2538,8)*F2538,2)</f>
        <v/>
      </c>
      <c r="L2538" t="n">
        <v>6.55</v>
      </c>
      <c r="M2538" t="n">
        <v>8.02</v>
      </c>
      <c r="N2538">
        <f>(M2538-F2538)</f>
        <v/>
      </c>
    </row>
    <row r="2539" ht="29" customHeight="1">
      <c r="A2539" s="22" t="inlineStr">
        <is>
          <t>00040424</t>
        </is>
      </c>
      <c r="B2539" s="23" t="inlineStr">
        <is>
          <t>CHAPA DE ACO CARBONO LAMINADO A QUENTE, QUALIDADE ESTRUTURAL, BITOLA 3/16", E =4,75 MM (37,29 KG/M2)</t>
        </is>
      </c>
      <c r="C2539" s="22" t="inlineStr">
        <is>
          <t>SINAPI</t>
        </is>
      </c>
      <c r="D2539" s="22" t="inlineStr">
        <is>
          <t>KG</t>
        </is>
      </c>
      <c r="E2539" s="63" t="n">
        <v>9.066000000000001</v>
      </c>
      <c r="F2539" s="64">
        <f>ROUND(M2539*FATOR, 2)</f>
        <v/>
      </c>
      <c r="G2539" s="64">
        <f>ROUND(ROUND(E2539,8)*F2539,2)</f>
        <v/>
      </c>
      <c r="L2539" t="n">
        <v>9.066000000000001</v>
      </c>
      <c r="M2539" t="n">
        <v>7.89</v>
      </c>
      <c r="N2539">
        <f>(M2539-F2539)</f>
        <v/>
      </c>
    </row>
    <row r="2540" ht="15" customHeight="1">
      <c r="A2540" s="22" t="inlineStr">
        <is>
          <t>00001379</t>
        </is>
      </c>
      <c r="B2540" s="23" t="inlineStr">
        <is>
          <t>CIMENTO PORTLAND COMPOSTO CP II-32</t>
        </is>
      </c>
      <c r="C2540" s="22" t="inlineStr">
        <is>
          <t>SINAPI</t>
        </is>
      </c>
      <c r="D2540" s="22" t="inlineStr">
        <is>
          <t>KG</t>
        </is>
      </c>
      <c r="E2540" s="63" t="n">
        <v>22.412</v>
      </c>
      <c r="F2540" s="64">
        <f>ROUND(M2540*FATOR, 2)</f>
        <v/>
      </c>
      <c r="G2540" s="64">
        <f>ROUND(ROUND(E2540,8)*F2540,2)</f>
        <v/>
      </c>
      <c r="L2540" t="n">
        <v>22.412</v>
      </c>
      <c r="M2540" t="n">
        <v>0.74</v>
      </c>
      <c r="N2540">
        <f>(M2540-F2540)</f>
        <v/>
      </c>
    </row>
    <row r="2541" ht="21" customHeight="1">
      <c r="A2541" s="22" t="inlineStr">
        <is>
          <t>00011135</t>
        </is>
      </c>
      <c r="B2541" s="23" t="inlineStr">
        <is>
          <t>COMPENSADO NAVAL - CHAPA/PAINEL EM MADEIRA COMPENSADA PRENSADA, DE 2200 X 1600 MM, E = 12 MM</t>
        </is>
      </c>
      <c r="C2541" s="22" t="inlineStr">
        <is>
          <t>SINAPI</t>
        </is>
      </c>
      <c r="D2541" s="22" t="inlineStr">
        <is>
          <t>M2</t>
        </is>
      </c>
      <c r="E2541" s="63" t="n">
        <v>0.0832</v>
      </c>
      <c r="F2541" s="64">
        <f>ROUND(M2541*FATOR, 2)</f>
        <v/>
      </c>
      <c r="G2541" s="64">
        <f>ROUND(ROUND(E2541,8)*F2541,2)</f>
        <v/>
      </c>
      <c r="L2541" t="n">
        <v>0.0832</v>
      </c>
      <c r="M2541" t="n">
        <v>87.44</v>
      </c>
      <c r="N2541">
        <f>(M2541-F2541)</f>
        <v/>
      </c>
    </row>
    <row r="2542" ht="21" customHeight="1">
      <c r="A2542" s="22" t="inlineStr">
        <is>
          <t>00044495</t>
        </is>
      </c>
      <c r="B2542" s="23" t="inlineStr">
        <is>
          <t>DISCO DE CORTE PARA METAL COM DUAS TELAS 12 X 1/8 X 3/4" (300 X 3,2 X 19,05 MM)</t>
        </is>
      </c>
      <c r="C2542" s="22" t="inlineStr">
        <is>
          <t>SINAPI</t>
        </is>
      </c>
      <c r="D2542" s="22" t="inlineStr">
        <is>
          <t>UN</t>
        </is>
      </c>
      <c r="E2542" s="63" t="n">
        <v>0.0965</v>
      </c>
      <c r="F2542" s="64">
        <f>ROUND(M2542*FATOR, 2)</f>
        <v/>
      </c>
      <c r="G2542" s="64">
        <f>ROUND(ROUND(E2542,8)*F2542,2)</f>
        <v/>
      </c>
      <c r="L2542" t="n">
        <v>0.0965</v>
      </c>
      <c r="M2542" t="n">
        <v>26.49</v>
      </c>
      <c r="N2542">
        <f>(M2542-F2542)</f>
        <v/>
      </c>
    </row>
    <row r="2543" ht="21" customHeight="1">
      <c r="A2543" s="22" t="inlineStr">
        <is>
          <t>00044533</t>
        </is>
      </c>
      <c r="B2543" s="23" t="inlineStr">
        <is>
          <t>DISCO DE DESBASTE PARA METAL FERROSO EM GERAL, COM TRES TELAS, 9 X 1/4 X 7/8" (228,6 X 6,4 X 22,2 MM)</t>
        </is>
      </c>
      <c r="C2543" s="22" t="inlineStr">
        <is>
          <t>SINAPI</t>
        </is>
      </c>
      <c r="D2543" s="22" t="inlineStr">
        <is>
          <t>UN</t>
        </is>
      </c>
      <c r="E2543" s="63" t="n">
        <v>0.0251</v>
      </c>
      <c r="F2543" s="64">
        <f>ROUND(M2543*FATOR, 2)</f>
        <v/>
      </c>
      <c r="G2543" s="64">
        <f>ROUND(ROUND(E2543,8)*F2543,2)</f>
        <v/>
      </c>
      <c r="L2543" t="n">
        <v>0.0251</v>
      </c>
      <c r="M2543" t="n">
        <v>26.87</v>
      </c>
      <c r="N2543">
        <f>(M2543-F2543)</f>
        <v/>
      </c>
    </row>
    <row r="2544" ht="21" customHeight="1">
      <c r="A2544" s="22" t="inlineStr">
        <is>
          <t>00011002</t>
        </is>
      </c>
      <c r="B2544" s="23" t="inlineStr">
        <is>
          <t>ELETRODO REVESTIDO AWS - E6013, DIAMETRO IGUAL A 2,50 MM</t>
        </is>
      </c>
      <c r="C2544" s="22" t="inlineStr">
        <is>
          <t>SINAPI</t>
        </is>
      </c>
      <c r="D2544" s="22" t="inlineStr">
        <is>
          <t>KG</t>
        </is>
      </c>
      <c r="E2544" s="63" t="n">
        <v>0.0752</v>
      </c>
      <c r="F2544" s="64">
        <f>ROUND(M2544*FATOR, 2)</f>
        <v/>
      </c>
      <c r="G2544" s="64">
        <f>ROUND(ROUND(E2544,8)*F2544,2)</f>
        <v/>
      </c>
      <c r="L2544" t="n">
        <v>0.0752</v>
      </c>
      <c r="M2544" t="n">
        <v>46.37</v>
      </c>
      <c r="N2544">
        <f>(M2544-F2544)</f>
        <v/>
      </c>
    </row>
    <row r="2545" ht="15" customHeight="1">
      <c r="A2545" s="22" t="inlineStr">
        <is>
          <t>2884</t>
        </is>
      </c>
      <c r="B2545" s="23" t="inlineStr">
        <is>
          <t>FABRICAÇÃO / MONTAGEM</t>
        </is>
      </c>
      <c r="C2545" s="22" t="inlineStr">
        <is>
          <t>GOINFRA CIVIL</t>
        </is>
      </c>
      <c r="D2545" s="22" t="inlineStr">
        <is>
          <t>un</t>
        </is>
      </c>
      <c r="E2545" s="63" t="n">
        <v>1</v>
      </c>
      <c r="F2545" s="64">
        <f>ROUND(M2545*FATOR, 2)</f>
        <v/>
      </c>
      <c r="G2545" s="64">
        <f>ROUND(ROUND(E2545,8)*F2545,2)</f>
        <v/>
      </c>
      <c r="L2545" t="n">
        <v>1</v>
      </c>
      <c r="M2545" t="n">
        <v>50.24</v>
      </c>
      <c r="N2545">
        <f>(M2545-F2545)</f>
        <v/>
      </c>
    </row>
    <row r="2546" ht="15" customHeight="1">
      <c r="A2546" s="22" t="inlineStr">
        <is>
          <t>00003768</t>
        </is>
      </c>
      <c r="B2546" s="23" t="inlineStr">
        <is>
          <t>LIXA EM FOLHA PARA FERRO, NUMERO 150</t>
        </is>
      </c>
      <c r="C2546" s="22" t="inlineStr">
        <is>
          <t>SINAPI</t>
        </is>
      </c>
      <c r="D2546" s="22" t="inlineStr">
        <is>
          <t>UN</t>
        </is>
      </c>
      <c r="E2546" s="63" t="n">
        <v>0.1257</v>
      </c>
      <c r="F2546" s="64">
        <f>ROUND(M2546*FATOR, 2)</f>
        <v/>
      </c>
      <c r="G2546" s="64">
        <f>ROUND(ROUND(E2546,8)*F2546,2)</f>
        <v/>
      </c>
      <c r="L2546" t="n">
        <v>0.1257</v>
      </c>
      <c r="M2546" t="n">
        <v>2.36</v>
      </c>
      <c r="N2546">
        <f>(M2546-F2546)</f>
        <v/>
      </c>
    </row>
    <row r="2547" ht="15" customHeight="1">
      <c r="A2547" s="22" t="inlineStr">
        <is>
          <t>00004823</t>
        </is>
      </c>
      <c r="B2547" s="23" t="inlineStr">
        <is>
          <t>MASSA PLASTICA PARA MARMORE/GRANITO</t>
        </is>
      </c>
      <c r="C2547" s="22" t="inlineStr">
        <is>
          <t>SINAPI</t>
        </is>
      </c>
      <c r="D2547" s="22" t="inlineStr">
        <is>
          <t>KG</t>
        </is>
      </c>
      <c r="E2547" s="63" t="n">
        <v>0.1006</v>
      </c>
      <c r="F2547" s="64">
        <f>ROUND(M2547*FATOR, 2)</f>
        <v/>
      </c>
      <c r="G2547" s="64">
        <f>ROUND(ROUND(E2547,8)*F2547,2)</f>
        <v/>
      </c>
      <c r="L2547" t="n">
        <v>0.1006</v>
      </c>
      <c r="M2547" t="n">
        <v>38.31</v>
      </c>
      <c r="N2547">
        <f>(M2547-F2547)</f>
        <v/>
      </c>
    </row>
    <row r="2548" ht="21" customHeight="1">
      <c r="A2548" s="22" t="inlineStr">
        <is>
          <t>00004720</t>
        </is>
      </c>
      <c r="B2548" s="23" t="inlineStr">
        <is>
          <t>PEDRA BRITADA N. 0, OU PEDRISCO (4,8 A 9,5 MM) POSTO PEDREIRA/FORNECEDOR, SEM FRETE</t>
        </is>
      </c>
      <c r="C2548" s="22" t="inlineStr">
        <is>
          <t>SINAPI</t>
        </is>
      </c>
      <c r="D2548" s="22" t="inlineStr">
        <is>
          <t>M3</t>
        </is>
      </c>
      <c r="E2548" s="63" t="n">
        <v>0.0432</v>
      </c>
      <c r="F2548" s="64">
        <f>ROUND(M2548*FATOR, 2)</f>
        <v/>
      </c>
      <c r="G2548" s="64">
        <f>ROUND(ROUND(E2548,8)*F2548,2)</f>
        <v/>
      </c>
      <c r="L2548" t="n">
        <v>0.0432</v>
      </c>
      <c r="M2548" t="n">
        <v>128.17</v>
      </c>
      <c r="N2548">
        <f>(M2548-F2548)</f>
        <v/>
      </c>
    </row>
    <row r="2549" ht="21" customHeight="1">
      <c r="A2549" s="22" t="inlineStr">
        <is>
          <t>00004721</t>
        </is>
      </c>
      <c r="B2549" s="23" t="inlineStr">
        <is>
          <t>PEDRA BRITADA N. 1 (9,5 A 19 MM) POSTO PEDREIRA/FORNECEDOR, SEM FRETE</t>
        </is>
      </c>
      <c r="C2549" s="22" t="inlineStr">
        <is>
          <t>SINAPI</t>
        </is>
      </c>
      <c r="D2549" s="22" t="inlineStr">
        <is>
          <t>M3</t>
        </is>
      </c>
      <c r="E2549" s="63" t="n">
        <v>0.0473</v>
      </c>
      <c r="F2549" s="64">
        <f>ROUND(M2549*FATOR, 2)</f>
        <v/>
      </c>
      <c r="G2549" s="64">
        <f>ROUND(ROUND(E2549,8)*F2549,2)</f>
        <v/>
      </c>
      <c r="L2549" t="n">
        <v>0.0473</v>
      </c>
      <c r="M2549" t="n">
        <v>111.01</v>
      </c>
      <c r="N2549">
        <f>(M2549-F2549)</f>
        <v/>
      </c>
    </row>
    <row r="2550" ht="21" customHeight="1">
      <c r="A2550" s="22" t="inlineStr">
        <is>
          <t>00004718</t>
        </is>
      </c>
      <c r="B2550" s="23" t="inlineStr">
        <is>
          <t>PEDRA BRITADA N. 2 (19 A 38 MM) POSTO PEDREIRA/FORNECEDOR, SEM FRETE</t>
        </is>
      </c>
      <c r="C2550" s="22" t="inlineStr">
        <is>
          <t>SINAPI</t>
        </is>
      </c>
      <c r="D2550" s="22" t="inlineStr">
        <is>
          <t>M3</t>
        </is>
      </c>
      <c r="E2550" s="63" t="n">
        <v>0.0122</v>
      </c>
      <c r="F2550" s="64">
        <f>ROUND(M2550*FATOR, 2)</f>
        <v/>
      </c>
      <c r="G2550" s="64">
        <f>ROUND(ROUND(E2550,8)*F2550,2)</f>
        <v/>
      </c>
      <c r="L2550" t="n">
        <v>0.0122</v>
      </c>
      <c r="M2550" t="n">
        <v>111.6</v>
      </c>
      <c r="N2550">
        <f>(M2550-F2550)</f>
        <v/>
      </c>
    </row>
    <row r="2551" ht="15" customHeight="1">
      <c r="A2551" s="22" t="inlineStr">
        <is>
          <t>00005071</t>
        </is>
      </c>
      <c r="B2551" s="23" t="inlineStr">
        <is>
          <t>PREGO DE ACO POLIDO COM CABECA 18 X 24 (2 1/4 X 10)</t>
        </is>
      </c>
      <c r="C2551" s="22" t="inlineStr">
        <is>
          <t>SINAPI</t>
        </is>
      </c>
      <c r="D2551" s="22" t="inlineStr">
        <is>
          <t>KG</t>
        </is>
      </c>
      <c r="E2551" s="63" t="n">
        <v>0.0048</v>
      </c>
      <c r="F2551" s="64">
        <f>ROUND(M2551*FATOR, 2)</f>
        <v/>
      </c>
      <c r="G2551" s="64">
        <f>ROUND(ROUND(E2551,8)*F2551,2)</f>
        <v/>
      </c>
      <c r="L2551" t="n">
        <v>0.0048</v>
      </c>
      <c r="M2551" t="n">
        <v>14.19</v>
      </c>
      <c r="N2551">
        <f>(M2551-F2551)</f>
        <v/>
      </c>
    </row>
    <row r="2552" ht="21" customHeight="1">
      <c r="A2552" s="22" t="inlineStr">
        <is>
          <t>00006212</t>
        </is>
      </c>
      <c r="B2552" s="23" t="inlineStr">
        <is>
          <t>TABUA *2,5 X 30 CM EM PINUS, MISTA OU EQUIVALENTE DA REGIAO - BRUTA</t>
        </is>
      </c>
      <c r="C2552" s="22" t="inlineStr">
        <is>
          <t>SINAPI</t>
        </is>
      </c>
      <c r="D2552" s="22" t="inlineStr">
        <is>
          <t>M</t>
        </is>
      </c>
      <c r="E2552" s="63" t="n">
        <v>0.0982</v>
      </c>
      <c r="F2552" s="64">
        <f>ROUND(M2552*FATOR, 2)</f>
        <v/>
      </c>
      <c r="G2552" s="64">
        <f>ROUND(ROUND(E2552,8)*F2552,2)</f>
        <v/>
      </c>
      <c r="L2552" t="n">
        <v>0.0982</v>
      </c>
      <c r="M2552" t="n">
        <v>18.33</v>
      </c>
      <c r="N2552">
        <f>(M2552-F2552)</f>
        <v/>
      </c>
    </row>
    <row r="2553" ht="21" customHeight="1">
      <c r="A2553" s="22" t="inlineStr">
        <is>
          <t>00007258</t>
        </is>
      </c>
      <c r="B2553" s="23" t="inlineStr">
        <is>
          <t>TIJOLO CERAMICO MACICO COMUM DE *5 X 10 X 20* CM (L X A X C)</t>
        </is>
      </c>
      <c r="C2553" s="22" t="inlineStr">
        <is>
          <t>SINAPI</t>
        </is>
      </c>
      <c r="D2553" s="22" t="inlineStr">
        <is>
          <t>UN</t>
        </is>
      </c>
      <c r="E2553" s="63" t="n">
        <v>201.3</v>
      </c>
      <c r="F2553" s="64">
        <f>ROUND(M2553*FATOR, 2)</f>
        <v/>
      </c>
      <c r="G2553" s="64">
        <f>ROUND(ROUND(E2553,8)*F2553,2)</f>
        <v/>
      </c>
      <c r="L2553" t="n">
        <v>201.3</v>
      </c>
      <c r="M2553" t="n">
        <v>0.6</v>
      </c>
      <c r="N2553">
        <f>(M2553-F2553)</f>
        <v/>
      </c>
    </row>
    <row r="2554" ht="15" customHeight="1">
      <c r="A2554" s="2" t="inlineStr"/>
      <c r="B2554" s="2" t="inlineStr"/>
      <c r="C2554" s="2" t="inlineStr"/>
      <c r="D2554" s="2" t="inlineStr"/>
      <c r="E2554" s="26" t="inlineStr">
        <is>
          <t>TOTAL Material:</t>
        </is>
      </c>
      <c r="F2554" s="56" t="n"/>
      <c r="G2554" s="65">
        <f>SUM(G2532:G2553)</f>
        <v/>
      </c>
    </row>
    <row r="2555" ht="15" customHeight="1">
      <c r="A2555" s="20" t="inlineStr">
        <is>
          <t>Mão de Obra com Encargos Complementares</t>
        </is>
      </c>
      <c r="B2555" s="56" t="n"/>
      <c r="C2555" s="21" t="inlineStr">
        <is>
          <t>FONTE</t>
        </is>
      </c>
      <c r="D2555" s="21" t="inlineStr">
        <is>
          <t>UNID</t>
        </is>
      </c>
      <c r="E2555" s="21" t="inlineStr">
        <is>
          <t>COEFICIENTE</t>
        </is>
      </c>
      <c r="F2555" s="21" t="inlineStr">
        <is>
          <t>PREÇO UNITÁRIO</t>
        </is>
      </c>
      <c r="G2555" s="21" t="inlineStr">
        <is>
          <t>TOTAL</t>
        </is>
      </c>
    </row>
    <row r="2556" ht="21" customHeight="1">
      <c r="A2556" s="22" t="inlineStr">
        <is>
          <t>88238</t>
        </is>
      </c>
      <c r="B2556" s="23" t="inlineStr">
        <is>
          <t>AJUDANTE DE ARMADOR COM ENCARGOS COMPLEMENTARES</t>
        </is>
      </c>
      <c r="C2556" s="22" t="inlineStr">
        <is>
          <t>SINAPI</t>
        </is>
      </c>
      <c r="D2556" s="22" t="inlineStr">
        <is>
          <t>H</t>
        </is>
      </c>
      <c r="E2556" s="63">
        <f>L2556*FATOR</f>
        <v/>
      </c>
      <c r="F2556" s="64">
        <f>'COMPOSICOES AUXILIARES'!G26</f>
        <v/>
      </c>
      <c r="G2556" s="64">
        <f>ROUND(ROUND(E2556,8)*F2556,2)</f>
        <v/>
      </c>
      <c r="L2556" t="n">
        <v>0.1224</v>
      </c>
      <c r="M2556" t="n">
        <v>24.77</v>
      </c>
      <c r="N2556">
        <f>(M2556-F2556)</f>
        <v/>
      </c>
    </row>
    <row r="2557" ht="15" customHeight="1">
      <c r="A2557" s="22" t="inlineStr">
        <is>
          <t>88245</t>
        </is>
      </c>
      <c r="B2557" s="23" t="inlineStr">
        <is>
          <t>ARMADOR COM ENCARGOS COMPLEMENTARES</t>
        </is>
      </c>
      <c r="C2557" s="22" t="inlineStr">
        <is>
          <t>SINAPI</t>
        </is>
      </c>
      <c r="D2557" s="22" t="inlineStr">
        <is>
          <t>H</t>
        </is>
      </c>
      <c r="E2557" s="63">
        <f>L2557*FATOR</f>
        <v/>
      </c>
      <c r="F2557" s="64">
        <f>'COMPOSICOES AUXILIARES'!G26</f>
        <v/>
      </c>
      <c r="G2557" s="64">
        <f>ROUND(ROUND(E2557,8)*F2557,2)</f>
        <v/>
      </c>
      <c r="L2557" t="n">
        <v>0.0955</v>
      </c>
      <c r="M2557" t="n">
        <v>30.43</v>
      </c>
      <c r="N2557">
        <f>(M2557-F2557)</f>
        <v/>
      </c>
    </row>
    <row r="2558" ht="21" customHeight="1">
      <c r="A2558" s="22" t="inlineStr">
        <is>
          <t>88262</t>
        </is>
      </c>
      <c r="B2558" s="23" t="inlineStr">
        <is>
          <t>CARPINTEIRO DE FORMAS COM ENCARGOS COMPLEMENTARES</t>
        </is>
      </c>
      <c r="C2558" s="22" t="inlineStr">
        <is>
          <t>SINAPI</t>
        </is>
      </c>
      <c r="D2558" s="22" t="inlineStr">
        <is>
          <t>H</t>
        </is>
      </c>
      <c r="E2558" s="63">
        <f>L2558*FATOR</f>
        <v/>
      </c>
      <c r="F2558" s="64">
        <f>'COMPOSICOES AUXILIARES'!G943</f>
        <v/>
      </c>
      <c r="G2558" s="64">
        <f>ROUND(ROUND(E2558,8)*F2558,2)</f>
        <v/>
      </c>
      <c r="L2558" t="n">
        <v>0.0257</v>
      </c>
      <c r="M2558" t="n">
        <v>30.15</v>
      </c>
      <c r="N2558">
        <f>(M2558-F2558)</f>
        <v/>
      </c>
    </row>
    <row r="2559" ht="21" customHeight="1">
      <c r="A2559" s="22" t="inlineStr">
        <is>
          <t>88377</t>
        </is>
      </c>
      <c r="B2559" s="23" t="inlineStr">
        <is>
          <t>OPERADOR DE BETONEIRA ESTACIONÁRIA/MISTURADOR COM ENCARGOS COMPLEMENTARES</t>
        </is>
      </c>
      <c r="C2559" s="22" t="inlineStr">
        <is>
          <t>SINAPI</t>
        </is>
      </c>
      <c r="D2559" s="22" t="inlineStr">
        <is>
          <t>H</t>
        </is>
      </c>
      <c r="E2559" s="63">
        <f>L2559*FATOR</f>
        <v/>
      </c>
      <c r="F2559" s="64">
        <f>'COMPOSICOES AUXILIARES'!G2811</f>
        <v/>
      </c>
      <c r="G2559" s="64">
        <f>ROUND(ROUND(E2559,8)*F2559,2)</f>
        <v/>
      </c>
      <c r="L2559" t="n">
        <v>0.0125</v>
      </c>
      <c r="M2559" t="n">
        <v>29.43</v>
      </c>
      <c r="N2559">
        <f>(M2559-F2559)</f>
        <v/>
      </c>
    </row>
    <row r="2560" ht="15" customHeight="1">
      <c r="A2560" s="22" t="inlineStr">
        <is>
          <t>88309</t>
        </is>
      </c>
      <c r="B2560" s="23" t="inlineStr">
        <is>
          <t>PEDREIRO COM ENCARGOS COMPLEMENTARES</t>
        </is>
      </c>
      <c r="C2560" s="22" t="inlineStr">
        <is>
          <t>SINAPI</t>
        </is>
      </c>
      <c r="D2560" s="22" t="inlineStr">
        <is>
          <t>H</t>
        </is>
      </c>
      <c r="E2560" s="63">
        <f>L2560*FATOR</f>
        <v/>
      </c>
      <c r="F2560" s="64">
        <f>'COMPOSICOES AUXILIARES'!G2887</f>
        <v/>
      </c>
      <c r="G2560" s="64">
        <f>ROUND(ROUND(E2560,8)*F2560,2)</f>
        <v/>
      </c>
      <c r="L2560" t="n">
        <v>6.9064</v>
      </c>
      <c r="M2560" t="n">
        <v>30.58</v>
      </c>
      <c r="N2560">
        <f>(M2560-F2560)</f>
        <v/>
      </c>
    </row>
    <row r="2561" ht="15" customHeight="1">
      <c r="A2561" s="22" t="inlineStr">
        <is>
          <t>88316</t>
        </is>
      </c>
      <c r="B2561" s="23" t="inlineStr">
        <is>
          <t>SERVENTE COM ENCARGOS COMPLEMENTARES</t>
        </is>
      </c>
      <c r="C2561" s="22" t="inlineStr">
        <is>
          <t>SINAPI</t>
        </is>
      </c>
      <c r="D2561" s="22" t="inlineStr">
        <is>
          <t>H</t>
        </is>
      </c>
      <c r="E2561" s="63">
        <f>L2561*FATOR</f>
        <v/>
      </c>
      <c r="F2561" s="64">
        <f>'COMPOSICOES AUXILIARES'!G3390</f>
        <v/>
      </c>
      <c r="G2561" s="64">
        <f>ROUND(ROUND(E2561,8)*F2561,2)</f>
        <v/>
      </c>
      <c r="L2561" t="n">
        <v>9.220599999999999</v>
      </c>
      <c r="M2561" t="n">
        <v>23.56</v>
      </c>
      <c r="N2561">
        <f>(M2561-F2561)</f>
        <v/>
      </c>
    </row>
    <row r="2562" ht="18" customHeight="1">
      <c r="A2562" s="2" t="inlineStr"/>
      <c r="B2562" s="2" t="inlineStr"/>
      <c r="C2562" s="2" t="inlineStr"/>
      <c r="D2562" s="2" t="inlineStr"/>
      <c r="E2562" s="26" t="inlineStr">
        <is>
          <t>TOTAL Mão de Obra com Encargos Complementares:</t>
        </is>
      </c>
      <c r="F2562" s="56" t="n"/>
      <c r="G2562" s="65">
        <f>SUM(G2556:G2561)</f>
        <v/>
      </c>
    </row>
    <row r="2563" ht="15" customHeight="1">
      <c r="A2563" s="2" t="inlineStr"/>
      <c r="B2563" s="2" t="inlineStr"/>
      <c r="C2563" s="2" t="inlineStr"/>
      <c r="D2563" s="2" t="inlineStr"/>
      <c r="E2563" s="28" t="inlineStr">
        <is>
          <t>VALOR:</t>
        </is>
      </c>
      <c r="F2563" s="56" t="n"/>
      <c r="G2563" s="66">
        <f>SUM(G2554,G2562)</f>
        <v/>
      </c>
    </row>
    <row r="2564" ht="15" customHeight="1">
      <c r="A2564" s="2" t="inlineStr"/>
      <c r="B2564" s="2" t="inlineStr"/>
      <c r="C2564" s="2" t="inlineStr"/>
      <c r="D2564" s="2" t="inlineStr"/>
      <c r="E2564" s="28" t="inlineStr">
        <is>
          <t>VALOR BDI (23.08%):</t>
        </is>
      </c>
      <c r="F2564" s="56" t="n"/>
      <c r="G2564" s="66">
        <f>ROUNDDOWN(G2563*BDI,2)</f>
        <v/>
      </c>
    </row>
    <row r="2565" ht="15" customHeight="1">
      <c r="A2565" s="2" t="inlineStr"/>
      <c r="B2565" s="2" t="inlineStr"/>
      <c r="C2565" s="2" t="inlineStr"/>
      <c r="D2565" s="2" t="inlineStr"/>
      <c r="E2565" s="28" t="inlineStr">
        <is>
          <t>VALOR COM BDI:</t>
        </is>
      </c>
      <c r="F2565" s="56" t="n"/>
      <c r="G2565" s="66">
        <f>G2564 + G2563</f>
        <v/>
      </c>
    </row>
    <row r="2566" ht="10" customHeight="1">
      <c r="A2566" s="2" t="inlineStr"/>
      <c r="B2566" s="2" t="inlineStr"/>
      <c r="C2566" s="2" t="inlineStr"/>
      <c r="D2566" s="2" t="inlineStr"/>
      <c r="E2566" s="18" t="inlineStr"/>
    </row>
    <row r="2567" ht="20" customHeight="1">
      <c r="A2567" s="19" t="inlineStr">
        <is>
          <t>8.4.1.1. ​101907​ EXTINTOR DE INCÊNDIO PORTÁTIL COM CARGA DE CO2 DE 6 KG, CLASSE BC - FORNECIMENTO E INSTALAÇÃO.AF_10/2020_PE​ (UN)</t>
        </is>
      </c>
      <c r="B2567" s="55" t="n"/>
      <c r="C2567" s="55" t="n"/>
      <c r="D2567" s="55" t="n"/>
      <c r="E2567" s="55" t="n"/>
      <c r="F2567" s="55" t="n"/>
      <c r="G2567" s="56" t="n"/>
    </row>
    <row r="2568" ht="15" customHeight="1">
      <c r="A2568" s="20" t="inlineStr">
        <is>
          <t>Material</t>
        </is>
      </c>
      <c r="B2568" s="56" t="n"/>
      <c r="C2568" s="21" t="inlineStr">
        <is>
          <t>FONTE</t>
        </is>
      </c>
      <c r="D2568" s="21" t="inlineStr">
        <is>
          <t>UNID</t>
        </is>
      </c>
      <c r="E2568" s="21" t="inlineStr">
        <is>
          <t>COEFICIENTE</t>
        </is>
      </c>
      <c r="F2568" s="21" t="inlineStr">
        <is>
          <t>PREÇO UNITÁRIO</t>
        </is>
      </c>
      <c r="G2568" s="21" t="inlineStr">
        <is>
          <t>TOTAL</t>
        </is>
      </c>
    </row>
    <row r="2569" ht="29" customHeight="1">
      <c r="A2569" s="22" t="inlineStr">
        <is>
          <t>00004350</t>
        </is>
      </c>
      <c r="B2569" s="23" t="inlineStr">
        <is>
          <t>BUCHA DE NYLON, DIAMETRO DO FURO 8 MM, COMPRIMENTO 40 MM, COM PARAFUSO DE ROSCA SOBERBA, CABECA CHATA, FENDA SIMPLES, 4,8 X 50 MM</t>
        </is>
      </c>
      <c r="C2569" s="22" t="inlineStr">
        <is>
          <t>SINAPI</t>
        </is>
      </c>
      <c r="D2569" s="22" t="inlineStr">
        <is>
          <t>UN</t>
        </is>
      </c>
      <c r="E2569" s="63" t="n">
        <v>2</v>
      </c>
      <c r="F2569" s="64">
        <f>ROUND(M2569*FATOR, 2)</f>
        <v/>
      </c>
      <c r="G2569" s="64">
        <f>TRUNC(TRUNC(E2569,8)*F2569,2)</f>
        <v/>
      </c>
      <c r="L2569" t="n">
        <v>2</v>
      </c>
      <c r="M2569" t="n">
        <v>0.88</v>
      </c>
      <c r="N2569">
        <f>(M2569-F2569)</f>
        <v/>
      </c>
    </row>
    <row r="2570" ht="21" customHeight="1">
      <c r="A2570" s="22" t="inlineStr">
        <is>
          <t>00010889</t>
        </is>
      </c>
      <c r="B2570" s="23" t="inlineStr">
        <is>
          <t>EXTINTOR DE INCENDIO PORTATIL COM CARGA DE GAS CARBONICO CO2 DE 6 KG, CLASSE BC</t>
        </is>
      </c>
      <c r="C2570" s="22" t="inlineStr">
        <is>
          <t>SINAPI</t>
        </is>
      </c>
      <c r="D2570" s="22" t="inlineStr">
        <is>
          <t>UN</t>
        </is>
      </c>
      <c r="E2570" s="63" t="n">
        <v>1</v>
      </c>
      <c r="F2570" s="64">
        <f>ROUND(M2570*FATOR, 2)</f>
        <v/>
      </c>
      <c r="G2570" s="64">
        <f>TRUNC(TRUNC(E2570,8)*F2570,2)</f>
        <v/>
      </c>
      <c r="L2570" t="n">
        <v>1</v>
      </c>
      <c r="M2570" t="n">
        <v>894</v>
      </c>
      <c r="N2570">
        <f>(M2570-F2570)</f>
        <v/>
      </c>
    </row>
    <row r="2571" ht="15" customHeight="1">
      <c r="A2571" s="2" t="inlineStr"/>
      <c r="B2571" s="2" t="inlineStr"/>
      <c r="C2571" s="2" t="inlineStr"/>
      <c r="D2571" s="2" t="inlineStr"/>
      <c r="E2571" s="26" t="inlineStr">
        <is>
          <t>TOTAL Material:</t>
        </is>
      </c>
      <c r="F2571" s="56" t="n"/>
      <c r="G2571" s="65">
        <f>SUM(G2569:G2570)</f>
        <v/>
      </c>
    </row>
    <row r="2572" ht="15" customHeight="1">
      <c r="A2572" s="20" t="inlineStr">
        <is>
          <t>Mão de Obra com Encargos Complementares</t>
        </is>
      </c>
      <c r="B2572" s="56" t="n"/>
      <c r="C2572" s="21" t="inlineStr">
        <is>
          <t>FONTE</t>
        </is>
      </c>
      <c r="D2572" s="21" t="inlineStr">
        <is>
          <t>UNID</t>
        </is>
      </c>
      <c r="E2572" s="21" t="inlineStr">
        <is>
          <t>COEFICIENTE</t>
        </is>
      </c>
      <c r="F2572" s="21" t="inlineStr">
        <is>
          <t>PREÇO UNITÁRIO</t>
        </is>
      </c>
      <c r="G2572" s="21" t="inlineStr">
        <is>
          <t>TOTAL</t>
        </is>
      </c>
    </row>
    <row r="2573" ht="21" customHeight="1">
      <c r="A2573" s="22" t="inlineStr">
        <is>
          <t>88248</t>
        </is>
      </c>
      <c r="B2573" s="23" t="inlineStr">
        <is>
          <t>AUXILIAR DE ENCANADOR OU BOMBEIRO HIDRÁULICO COM ENCARGOS COMPLEMENTARES</t>
        </is>
      </c>
      <c r="C2573" s="22" t="inlineStr">
        <is>
          <t>SINAPI</t>
        </is>
      </c>
      <c r="D2573" s="22" t="inlineStr">
        <is>
          <t>H</t>
        </is>
      </c>
      <c r="E2573" s="63">
        <f>L2573*FATOR</f>
        <v/>
      </c>
      <c r="F2573" s="64">
        <f>'COMPOSICOES AUXILIARES'!G524</f>
        <v/>
      </c>
      <c r="G2573" s="64">
        <f>TRUNC(TRUNC(E2573,8)*F2573,2)</f>
        <v/>
      </c>
      <c r="L2573" t="n">
        <v>0.4574</v>
      </c>
      <c r="M2573" t="n">
        <v>24.23</v>
      </c>
      <c r="N2573">
        <f>(M2573-F2573)</f>
        <v/>
      </c>
    </row>
    <row r="2574" ht="21" customHeight="1">
      <c r="A2574" s="22" t="inlineStr">
        <is>
          <t>88267</t>
        </is>
      </c>
      <c r="B2574" s="23" t="inlineStr">
        <is>
          <t>ENCANADOR OU BOMBEIRO HIDRÁULICO COM ENCARGOS COMPLEMENTARES</t>
        </is>
      </c>
      <c r="C2574" s="22" t="inlineStr">
        <is>
          <t>SINAPI</t>
        </is>
      </c>
      <c r="D2574" s="22" t="inlineStr">
        <is>
          <t>H</t>
        </is>
      </c>
      <c r="E2574" s="63">
        <f>L2574*FATOR</f>
        <v/>
      </c>
      <c r="F2574" s="64">
        <f>'COMPOSICOES AUXILIARES'!G524</f>
        <v/>
      </c>
      <c r="G2574" s="64">
        <f>TRUNC(TRUNC(E2574,8)*F2574,2)</f>
        <v/>
      </c>
      <c r="L2574" t="n">
        <v>0.4574</v>
      </c>
      <c r="M2574" t="n">
        <v>29.86</v>
      </c>
      <c r="N2574">
        <f>(M2574-F2574)</f>
        <v/>
      </c>
    </row>
    <row r="2575" ht="18" customHeight="1">
      <c r="A2575" s="2" t="inlineStr"/>
      <c r="B2575" s="2" t="inlineStr"/>
      <c r="C2575" s="2" t="inlineStr"/>
      <c r="D2575" s="2" t="inlineStr"/>
      <c r="E2575" s="26" t="inlineStr">
        <is>
          <t>TOTAL Mão de Obra com Encargos Complementares:</t>
        </is>
      </c>
      <c r="F2575" s="56" t="n"/>
      <c r="G2575" s="65">
        <f>SUM(G2573:G2574)</f>
        <v/>
      </c>
    </row>
    <row r="2576" ht="15" customHeight="1">
      <c r="A2576" s="2" t="inlineStr"/>
      <c r="B2576" s="2" t="inlineStr"/>
      <c r="C2576" s="2" t="inlineStr"/>
      <c r="D2576" s="2" t="inlineStr"/>
      <c r="E2576" s="28" t="inlineStr">
        <is>
          <t>VALOR:</t>
        </is>
      </c>
      <c r="F2576" s="56" t="n"/>
      <c r="G2576" s="66">
        <f>SUM(G2571,G2575)</f>
        <v/>
      </c>
    </row>
    <row r="2577" ht="15" customHeight="1">
      <c r="A2577" s="2" t="inlineStr"/>
      <c r="B2577" s="2" t="inlineStr"/>
      <c r="C2577" s="2" t="inlineStr"/>
      <c r="D2577" s="2" t="inlineStr"/>
      <c r="E2577" s="28" t="inlineStr">
        <is>
          <t>VALOR BDI (23.08%):</t>
        </is>
      </c>
      <c r="F2577" s="56" t="n"/>
      <c r="G2577" s="66">
        <f>ROUNDDOWN(G2576*BDI,2)</f>
        <v/>
      </c>
    </row>
    <row r="2578" ht="15" customHeight="1">
      <c r="A2578" s="2" t="inlineStr"/>
      <c r="B2578" s="2" t="inlineStr"/>
      <c r="C2578" s="2" t="inlineStr"/>
      <c r="D2578" s="2" t="inlineStr"/>
      <c r="E2578" s="28" t="inlineStr">
        <is>
          <t>VALOR COM BDI:</t>
        </is>
      </c>
      <c r="F2578" s="56" t="n"/>
      <c r="G2578" s="66">
        <f>G2577 + G2576</f>
        <v/>
      </c>
    </row>
    <row r="2579" ht="10" customHeight="1">
      <c r="A2579" s="2" t="inlineStr"/>
      <c r="B2579" s="2" t="inlineStr"/>
      <c r="C2579" s="2" t="inlineStr"/>
      <c r="D2579" s="2" t="inlineStr"/>
      <c r="E2579" s="18" t="inlineStr"/>
    </row>
    <row r="2580" ht="20" customHeight="1">
      <c r="A2580" s="19" t="inlineStr">
        <is>
          <t>8.4.2.1. ​55035 SBC​ PLACA FOTOLUMINESCENTE SAIDA DE EMERGENCIA PVC 2MM 15 X 30CM​ (UN)</t>
        </is>
      </c>
      <c r="B2580" s="55" t="n"/>
      <c r="C2580" s="55" t="n"/>
      <c r="D2580" s="55" t="n"/>
      <c r="E2580" s="55" t="n"/>
      <c r="F2580" s="55" t="n"/>
      <c r="G2580" s="56" t="n"/>
    </row>
    <row r="2581" ht="15" customHeight="1">
      <c r="A2581" s="20" t="inlineStr">
        <is>
          <t>Material</t>
        </is>
      </c>
      <c r="B2581" s="56" t="n"/>
      <c r="C2581" s="21" t="inlineStr">
        <is>
          <t>FONTE</t>
        </is>
      </c>
      <c r="D2581" s="21" t="inlineStr">
        <is>
          <t>UNID</t>
        </is>
      </c>
      <c r="E2581" s="21" t="inlineStr">
        <is>
          <t>COEFICIENTE</t>
        </is>
      </c>
      <c r="F2581" s="21" t="inlineStr">
        <is>
          <t>PREÇO UNITÁRIO</t>
        </is>
      </c>
      <c r="G2581" s="21" t="inlineStr">
        <is>
          <t>TOTAL</t>
        </is>
      </c>
    </row>
    <row r="2582" ht="21" customHeight="1">
      <c r="A2582" s="22" t="inlineStr">
        <is>
          <t>031852SBC</t>
        </is>
      </c>
      <c r="B2582" s="23" t="inlineStr">
        <is>
          <t>PLACA DE SINALIZAÇÃO FOTOLUMINESCENTE SAIDA DE EMERGENCIA 15X30CM</t>
        </is>
      </c>
      <c r="C2582" s="22" t="inlineStr">
        <is>
          <t xml:space="preserve">Composições </t>
        </is>
      </c>
      <c r="D2582" s="22" t="inlineStr">
        <is>
          <t>UN</t>
        </is>
      </c>
      <c r="E2582" s="63" t="n">
        <v>1</v>
      </c>
      <c r="F2582" s="64">
        <f>ROUND(M2582*FATOR, 2)</f>
        <v/>
      </c>
      <c r="G2582" s="64">
        <f>ROUND(ROUND(E2582,8)*F2582,2)</f>
        <v/>
      </c>
      <c r="L2582" t="n">
        <v>1</v>
      </c>
      <c r="M2582" t="n">
        <v>26.09</v>
      </c>
      <c r="N2582">
        <f>(M2582-F2582)</f>
        <v/>
      </c>
    </row>
    <row r="2583" ht="15" customHeight="1">
      <c r="A2583" s="2" t="inlineStr"/>
      <c r="B2583" s="2" t="inlineStr"/>
      <c r="C2583" s="2" t="inlineStr"/>
      <c r="D2583" s="2" t="inlineStr"/>
      <c r="E2583" s="26" t="inlineStr">
        <is>
          <t>TOTAL Material:</t>
        </is>
      </c>
      <c r="F2583" s="56" t="n"/>
      <c r="G2583" s="65">
        <f>SUM(G2582:G2582)</f>
        <v/>
      </c>
    </row>
    <row r="2584" ht="15" customHeight="1">
      <c r="A2584" s="20" t="inlineStr">
        <is>
          <t>Mão de Obra</t>
        </is>
      </c>
      <c r="B2584" s="56" t="n"/>
      <c r="C2584" s="21" t="inlineStr">
        <is>
          <t>FONTE</t>
        </is>
      </c>
      <c r="D2584" s="21" t="inlineStr">
        <is>
          <t>UNID</t>
        </is>
      </c>
      <c r="E2584" s="21" t="inlineStr">
        <is>
          <t>COEFICIENTE</t>
        </is>
      </c>
      <c r="F2584" s="21" t="inlineStr">
        <is>
          <t>PREÇO UNITÁRIO</t>
        </is>
      </c>
      <c r="G2584" s="21" t="inlineStr">
        <is>
          <t>TOTAL</t>
        </is>
      </c>
    </row>
    <row r="2585" ht="15" customHeight="1">
      <c r="A2585" s="22" t="inlineStr">
        <is>
          <t>099900 SBC</t>
        </is>
      </c>
      <c r="B2585" s="23" t="inlineStr">
        <is>
          <t>SERVENTE</t>
        </is>
      </c>
      <c r="C2585" s="22" t="inlineStr">
        <is>
          <t xml:space="preserve">Composições </t>
        </is>
      </c>
      <c r="D2585" s="22" t="inlineStr">
        <is>
          <t>H</t>
        </is>
      </c>
      <c r="E2585" s="63">
        <f>L2585*FATOR</f>
        <v/>
      </c>
      <c r="F2585" s="64" t="n">
        <v>13.73</v>
      </c>
      <c r="G2585" s="64">
        <f>ROUND(ROUND(E2585,8)*F2585,2)</f>
        <v/>
      </c>
      <c r="L2585" t="n">
        <v>0.32</v>
      </c>
      <c r="M2585" t="n">
        <v>13.73</v>
      </c>
      <c r="N2585">
        <f>(M2585-F2585)</f>
        <v/>
      </c>
    </row>
    <row r="2586" ht="15" customHeight="1">
      <c r="A2586" s="2" t="inlineStr"/>
      <c r="B2586" s="2" t="inlineStr"/>
      <c r="C2586" s="2" t="inlineStr"/>
      <c r="D2586" s="2" t="inlineStr"/>
      <c r="E2586" s="26" t="inlineStr">
        <is>
          <t>TOTAL Mão de Obra:</t>
        </is>
      </c>
      <c r="F2586" s="56" t="n"/>
      <c r="G2586" s="65">
        <f>SUM(G2585:G2585)</f>
        <v/>
      </c>
    </row>
    <row r="2587" ht="15" customHeight="1">
      <c r="A2587" s="2" t="inlineStr"/>
      <c r="B2587" s="2" t="inlineStr"/>
      <c r="C2587" s="2" t="inlineStr"/>
      <c r="D2587" s="2" t="inlineStr"/>
      <c r="E2587" s="28" t="inlineStr">
        <is>
          <t>VALOR:</t>
        </is>
      </c>
      <c r="F2587" s="56" t="n"/>
      <c r="G2587" s="66">
        <f>SUM(G2586,G2583)</f>
        <v/>
      </c>
    </row>
    <row r="2588" ht="15" customHeight="1">
      <c r="A2588" s="2" t="inlineStr"/>
      <c r="B2588" s="2" t="inlineStr"/>
      <c r="C2588" s="2" t="inlineStr"/>
      <c r="D2588" s="2" t="inlineStr"/>
      <c r="E2588" s="28" t="inlineStr">
        <is>
          <t>VALOR BDI (23.08%):</t>
        </is>
      </c>
      <c r="F2588" s="56" t="n"/>
      <c r="G2588" s="66">
        <f>ROUNDDOWN(G2587*BDI,2)</f>
        <v/>
      </c>
    </row>
    <row r="2589" ht="15" customHeight="1">
      <c r="A2589" s="2" t="inlineStr"/>
      <c r="B2589" s="2" t="inlineStr"/>
      <c r="C2589" s="2" t="inlineStr"/>
      <c r="D2589" s="2" t="inlineStr"/>
      <c r="E2589" s="28" t="inlineStr">
        <is>
          <t>VALOR COM BDI:</t>
        </is>
      </c>
      <c r="F2589" s="56" t="n"/>
      <c r="G2589" s="66">
        <f>G2588 + G2587</f>
        <v/>
      </c>
    </row>
    <row r="2590" ht="10" customHeight="1">
      <c r="A2590" s="2" t="inlineStr"/>
      <c r="B2590" s="2" t="inlineStr"/>
      <c r="C2590" s="2" t="inlineStr"/>
      <c r="D2590" s="2" t="inlineStr"/>
      <c r="E2590" s="18" t="inlineStr"/>
    </row>
    <row r="2591" ht="20" customHeight="1">
      <c r="A2591" s="19" t="inlineStr">
        <is>
          <t>8.4.2.2. ​55918 SBC​ PLACA FOTOLUMINESCENTE ROTA DE FUGA EM PVC 2MM 26 X 13CM​ (UN)</t>
        </is>
      </c>
      <c r="B2591" s="55" t="n"/>
      <c r="C2591" s="55" t="n"/>
      <c r="D2591" s="55" t="n"/>
      <c r="E2591" s="55" t="n"/>
      <c r="F2591" s="55" t="n"/>
      <c r="G2591" s="56" t="n"/>
    </row>
    <row r="2592" ht="15" customHeight="1">
      <c r="A2592" s="20" t="inlineStr">
        <is>
          <t>Material</t>
        </is>
      </c>
      <c r="B2592" s="56" t="n"/>
      <c r="C2592" s="21" t="inlineStr">
        <is>
          <t>FONTE</t>
        </is>
      </c>
      <c r="D2592" s="21" t="inlineStr">
        <is>
          <t>UNID</t>
        </is>
      </c>
      <c r="E2592" s="21" t="inlineStr">
        <is>
          <t>COEFICIENTE</t>
        </is>
      </c>
      <c r="F2592" s="21" t="inlineStr">
        <is>
          <t>PREÇO UNITÁRIO</t>
        </is>
      </c>
      <c r="G2592" s="21" t="inlineStr">
        <is>
          <t>TOTAL</t>
        </is>
      </c>
    </row>
    <row r="2593" ht="21" customHeight="1">
      <c r="A2593" s="22" t="inlineStr">
        <is>
          <t>000873SBC</t>
        </is>
      </c>
      <c r="B2593" s="23" t="inlineStr">
        <is>
          <t>PLACA DE SINALIZAÇÃO FOTOLUMINESCENTE DE ORIENTAÇÃO E SALVAMENTO 26X13CM</t>
        </is>
      </c>
      <c r="C2593" s="22" t="inlineStr">
        <is>
          <t xml:space="preserve">Composições </t>
        </is>
      </c>
      <c r="D2593" s="22" t="inlineStr">
        <is>
          <t>UN</t>
        </is>
      </c>
      <c r="E2593" s="63" t="n">
        <v>1</v>
      </c>
      <c r="F2593" s="64">
        <f>ROUND(M2593*FATOR, 2)</f>
        <v/>
      </c>
      <c r="G2593" s="64">
        <f>ROUND(ROUND(E2593,8)*F2593,2)</f>
        <v/>
      </c>
      <c r="L2593" t="n">
        <v>1</v>
      </c>
      <c r="M2593" t="n">
        <v>10.75</v>
      </c>
      <c r="N2593">
        <f>(M2593-F2593)</f>
        <v/>
      </c>
    </row>
    <row r="2594" ht="15" customHeight="1">
      <c r="A2594" s="2" t="inlineStr"/>
      <c r="B2594" s="2" t="inlineStr"/>
      <c r="C2594" s="2" t="inlineStr"/>
      <c r="D2594" s="2" t="inlineStr"/>
      <c r="E2594" s="26" t="inlineStr">
        <is>
          <t>TOTAL Material:</t>
        </is>
      </c>
      <c r="F2594" s="56" t="n"/>
      <c r="G2594" s="65">
        <f>SUM(G2593:G2593)</f>
        <v/>
      </c>
    </row>
    <row r="2595" ht="15" customHeight="1">
      <c r="A2595" s="20" t="inlineStr">
        <is>
          <t>Mão de Obra</t>
        </is>
      </c>
      <c r="B2595" s="56" t="n"/>
      <c r="C2595" s="21" t="inlineStr">
        <is>
          <t>FONTE</t>
        </is>
      </c>
      <c r="D2595" s="21" t="inlineStr">
        <is>
          <t>UNID</t>
        </is>
      </c>
      <c r="E2595" s="21" t="inlineStr">
        <is>
          <t>COEFICIENTE</t>
        </is>
      </c>
      <c r="F2595" s="21" t="inlineStr">
        <is>
          <t>PREÇO UNITÁRIO</t>
        </is>
      </c>
      <c r="G2595" s="21" t="inlineStr">
        <is>
          <t>TOTAL</t>
        </is>
      </c>
    </row>
    <row r="2596" ht="15" customHeight="1">
      <c r="A2596" s="22" t="inlineStr">
        <is>
          <t>099900 SBC</t>
        </is>
      </c>
      <c r="B2596" s="23" t="inlineStr">
        <is>
          <t>SERVENTE</t>
        </is>
      </c>
      <c r="C2596" s="22" t="inlineStr">
        <is>
          <t xml:space="preserve">Composições </t>
        </is>
      </c>
      <c r="D2596" s="22" t="inlineStr">
        <is>
          <t>H</t>
        </is>
      </c>
      <c r="E2596" s="63">
        <f>L2596*FATOR</f>
        <v/>
      </c>
      <c r="F2596" s="64" t="n">
        <v>13.73</v>
      </c>
      <c r="G2596" s="64">
        <f>ROUND(ROUND(E2596,8)*F2596,2)</f>
        <v/>
      </c>
      <c r="L2596" t="n">
        <v>0.032</v>
      </c>
      <c r="M2596" t="n">
        <v>13.73</v>
      </c>
      <c r="N2596">
        <f>(M2596-F2596)</f>
        <v/>
      </c>
    </row>
    <row r="2597" ht="15" customHeight="1">
      <c r="A2597" s="2" t="inlineStr"/>
      <c r="B2597" s="2" t="inlineStr"/>
      <c r="C2597" s="2" t="inlineStr"/>
      <c r="D2597" s="2" t="inlineStr"/>
      <c r="E2597" s="26" t="inlineStr">
        <is>
          <t>TOTAL Mão de Obra:</t>
        </is>
      </c>
      <c r="F2597" s="56" t="n"/>
      <c r="G2597" s="65">
        <f>SUM(G2596:G2596)</f>
        <v/>
      </c>
    </row>
    <row r="2598" ht="15" customHeight="1">
      <c r="A2598" s="2" t="inlineStr"/>
      <c r="B2598" s="2" t="inlineStr"/>
      <c r="C2598" s="2" t="inlineStr"/>
      <c r="D2598" s="2" t="inlineStr"/>
      <c r="E2598" s="28" t="inlineStr">
        <is>
          <t>VALOR:</t>
        </is>
      </c>
      <c r="F2598" s="56" t="n"/>
      <c r="G2598" s="66">
        <f>SUM(G2594,G2597)</f>
        <v/>
      </c>
    </row>
    <row r="2599" ht="15" customHeight="1">
      <c r="A2599" s="2" t="inlineStr"/>
      <c r="B2599" s="2" t="inlineStr"/>
      <c r="C2599" s="2" t="inlineStr"/>
      <c r="D2599" s="2" t="inlineStr"/>
      <c r="E2599" s="28" t="inlineStr">
        <is>
          <t>VALOR BDI (23.08%):</t>
        </is>
      </c>
      <c r="F2599" s="56" t="n"/>
      <c r="G2599" s="66">
        <f>ROUNDDOWN(G2598*BDI,2)</f>
        <v/>
      </c>
    </row>
    <row r="2600" ht="15" customHeight="1">
      <c r="A2600" s="2" t="inlineStr"/>
      <c r="B2600" s="2" t="inlineStr"/>
      <c r="C2600" s="2" t="inlineStr"/>
      <c r="D2600" s="2" t="inlineStr"/>
      <c r="E2600" s="28" t="inlineStr">
        <is>
          <t>VALOR COM BDI:</t>
        </is>
      </c>
      <c r="F2600" s="56" t="n"/>
      <c r="G2600" s="66">
        <f>G2599 + G2598</f>
        <v/>
      </c>
    </row>
    <row r="2601" ht="10" customHeight="1">
      <c r="A2601" s="2" t="inlineStr"/>
      <c r="B2601" s="2" t="inlineStr"/>
      <c r="C2601" s="2" t="inlineStr"/>
      <c r="D2601" s="2" t="inlineStr"/>
      <c r="E2601" s="18" t="inlineStr"/>
    </row>
    <row r="2602" ht="20" customHeight="1">
      <c r="A2602" s="19" t="inlineStr">
        <is>
          <t>8.4.2.3. ​475​ SINALIZAÇÃO ACRILICA LUMINOSA AUTÔNOMA - SAÍDA DE EMERGÊNCIA - 50 X 25CM​ (UN)</t>
        </is>
      </c>
      <c r="B2602" s="55" t="n"/>
      <c r="C2602" s="55" t="n"/>
      <c r="D2602" s="55" t="n"/>
      <c r="E2602" s="55" t="n"/>
      <c r="F2602" s="55" t="n"/>
      <c r="G2602" s="56" t="n"/>
    </row>
    <row r="2603" ht="15" customHeight="1">
      <c r="A2603" s="20" t="inlineStr">
        <is>
          <t>Material</t>
        </is>
      </c>
      <c r="B2603" s="56" t="n"/>
      <c r="C2603" s="21" t="inlineStr">
        <is>
          <t>FONTE</t>
        </is>
      </c>
      <c r="D2603" s="21" t="inlineStr">
        <is>
          <t>UNID</t>
        </is>
      </c>
      <c r="E2603" s="21" t="inlineStr">
        <is>
          <t>COEFICIENTE</t>
        </is>
      </c>
      <c r="F2603" s="21" t="inlineStr">
        <is>
          <t>PREÇO UNITÁRIO</t>
        </is>
      </c>
      <c r="G2603" s="21" t="inlineStr">
        <is>
          <t>TOTAL</t>
        </is>
      </c>
    </row>
    <row r="2604" ht="21" customHeight="1">
      <c r="A2604" s="22" t="inlineStr">
        <is>
          <t>040551 SBC</t>
        </is>
      </c>
      <c r="B2604" s="23" t="inlineStr">
        <is>
          <t>LUMINARIA DE SINALIZAÇÃO ACRILICA LUMINOSA SAIDA EMERGENCIA LED FACE UNICA SLIM VERDE 50X25CM ZEUS</t>
        </is>
      </c>
      <c r="C2604" s="22" t="inlineStr">
        <is>
          <t xml:space="preserve">Composições </t>
        </is>
      </c>
      <c r="D2604" s="22" t="inlineStr">
        <is>
          <t>UN</t>
        </is>
      </c>
      <c r="E2604" s="63" t="n">
        <v>2</v>
      </c>
      <c r="F2604" s="64">
        <f>ROUND(M2604*FATOR, 2)</f>
        <v/>
      </c>
      <c r="G2604" s="64">
        <f>ROUND(ROUND(E2604,8)*F2604,2)</f>
        <v/>
      </c>
      <c r="L2604" t="n">
        <v>2</v>
      </c>
      <c r="M2604" t="n">
        <v>63.9</v>
      </c>
      <c r="N2604">
        <f>(M2604-F2604)</f>
        <v/>
      </c>
    </row>
    <row r="2605" ht="15" customHeight="1">
      <c r="A2605" s="2" t="inlineStr"/>
      <c r="B2605" s="2" t="inlineStr"/>
      <c r="C2605" s="2" t="inlineStr"/>
      <c r="D2605" s="2" t="inlineStr"/>
      <c r="E2605" s="26" t="inlineStr">
        <is>
          <t>TOTAL Material:</t>
        </is>
      </c>
      <c r="F2605" s="56" t="n"/>
      <c r="G2605" s="65">
        <f>SUM(G2604:G2604)</f>
        <v/>
      </c>
    </row>
    <row r="2606" ht="15" customHeight="1">
      <c r="A2606" s="20" t="inlineStr">
        <is>
          <t>Mão de Obra com Encargos Complementares</t>
        </is>
      </c>
      <c r="B2606" s="56" t="n"/>
      <c r="C2606" s="21" t="inlineStr">
        <is>
          <t>FONTE</t>
        </is>
      </c>
      <c r="D2606" s="21" t="inlineStr">
        <is>
          <t>UNID</t>
        </is>
      </c>
      <c r="E2606" s="21" t="inlineStr">
        <is>
          <t>COEFICIENTE</t>
        </is>
      </c>
      <c r="F2606" s="21" t="inlineStr">
        <is>
          <t>PREÇO UNITÁRIO</t>
        </is>
      </c>
      <c r="G2606" s="21" t="inlineStr">
        <is>
          <t>TOTAL</t>
        </is>
      </c>
    </row>
    <row r="2607" ht="21" customHeight="1">
      <c r="A2607" s="22" t="inlineStr">
        <is>
          <t>88243</t>
        </is>
      </c>
      <c r="B2607" s="23" t="inlineStr">
        <is>
          <t>AJUDANTE ESPECIALIZADO COM ENCARGOS COMPLEMENTARES</t>
        </is>
      </c>
      <c r="C2607" s="22" t="inlineStr">
        <is>
          <t>SINAPI</t>
        </is>
      </c>
      <c r="D2607" s="22" t="inlineStr">
        <is>
          <t>H</t>
        </is>
      </c>
      <c r="E2607" s="63">
        <f>L2607*FATOR</f>
        <v/>
      </c>
      <c r="F2607" s="64">
        <f>'COMPOSICOES AUXILIARES'!G106</f>
        <v/>
      </c>
      <c r="G2607" s="64">
        <f>ROUND(ROUND(E2607,8)*F2607,2)</f>
        <v/>
      </c>
      <c r="L2607" t="n">
        <v>1.066</v>
      </c>
      <c r="M2607" t="n">
        <v>23.76</v>
      </c>
      <c r="N2607">
        <f>(M2607-F2607)</f>
        <v/>
      </c>
    </row>
    <row r="2608" ht="15" customHeight="1">
      <c r="A2608" s="22" t="inlineStr">
        <is>
          <t>88264</t>
        </is>
      </c>
      <c r="B2608" s="23" t="inlineStr">
        <is>
          <t>ELETRICISTA COM ENCARGOS COMPLEMENTARES</t>
        </is>
      </c>
      <c r="C2608" s="22" t="inlineStr">
        <is>
          <t>SINAPI</t>
        </is>
      </c>
      <c r="D2608" s="22" t="inlineStr">
        <is>
          <t>H</t>
        </is>
      </c>
      <c r="E2608" s="63">
        <f>L2608*FATOR</f>
        <v/>
      </c>
      <c r="F2608" s="64">
        <f>'COMPOSICOES AUXILIARES'!G505</f>
        <v/>
      </c>
      <c r="G2608" s="64">
        <f>ROUND(ROUND(E2608,8)*F2608,2)</f>
        <v/>
      </c>
      <c r="L2608" t="n">
        <v>1.066</v>
      </c>
      <c r="M2608" t="n">
        <v>30.96</v>
      </c>
      <c r="N2608">
        <f>(M2608-F2608)</f>
        <v/>
      </c>
    </row>
    <row r="2609" ht="18" customHeight="1">
      <c r="A2609" s="2" t="inlineStr"/>
      <c r="B2609" s="2" t="inlineStr"/>
      <c r="C2609" s="2" t="inlineStr"/>
      <c r="D2609" s="2" t="inlineStr"/>
      <c r="E2609" s="26" t="inlineStr">
        <is>
          <t>TOTAL Mão de Obra com Encargos Complementares:</t>
        </is>
      </c>
      <c r="F2609" s="56" t="n"/>
      <c r="G2609" s="65">
        <f>SUM(G2607:G2608)</f>
        <v/>
      </c>
    </row>
    <row r="2610" ht="15" customHeight="1">
      <c r="A2610" s="2" t="inlineStr"/>
      <c r="B2610" s="2" t="inlineStr"/>
      <c r="C2610" s="2" t="inlineStr"/>
      <c r="D2610" s="2" t="inlineStr"/>
      <c r="E2610" s="28" t="inlineStr">
        <is>
          <t>VALOR:</t>
        </is>
      </c>
      <c r="F2610" s="56" t="n"/>
      <c r="G2610" s="66">
        <f>SUM(G2609,G2605)</f>
        <v/>
      </c>
    </row>
    <row r="2611" ht="15" customHeight="1">
      <c r="A2611" s="2" t="inlineStr"/>
      <c r="B2611" s="2" t="inlineStr"/>
      <c r="C2611" s="2" t="inlineStr"/>
      <c r="D2611" s="2" t="inlineStr"/>
      <c r="E2611" s="28" t="inlineStr">
        <is>
          <t>VALOR BDI (23.08%):</t>
        </is>
      </c>
      <c r="F2611" s="56" t="n"/>
      <c r="G2611" s="66">
        <f>ROUNDDOWN(G2610*BDI,2)</f>
        <v/>
      </c>
    </row>
    <row r="2612" ht="15" customHeight="1">
      <c r="A2612" s="2" t="inlineStr"/>
      <c r="B2612" s="2" t="inlineStr"/>
      <c r="C2612" s="2" t="inlineStr"/>
      <c r="D2612" s="2" t="inlineStr"/>
      <c r="E2612" s="28" t="inlineStr">
        <is>
          <t>VALOR COM BDI:</t>
        </is>
      </c>
      <c r="F2612" s="56" t="n"/>
      <c r="G2612" s="66">
        <f>G2611 + G2610</f>
        <v/>
      </c>
    </row>
    <row r="2613" ht="10" customHeight="1">
      <c r="A2613" s="2" t="inlineStr"/>
      <c r="B2613" s="2" t="inlineStr"/>
      <c r="C2613" s="2" t="inlineStr"/>
      <c r="D2613" s="2" t="inlineStr"/>
      <c r="E2613" s="18" t="inlineStr"/>
    </row>
    <row r="2614" ht="20" customHeight="1">
      <c r="A2614" s="19" t="inlineStr">
        <is>
          <t>8.4.3.1. ​97599​ LUMINÁRIA DE EMERGÊNCIA, COM 30 LÂMPADAS LED DE 2 W, SEM REATOR - FORNECIMENTO E INSTALAÇÃO.AF_09/2024​ (UN)</t>
        </is>
      </c>
      <c r="B2614" s="55" t="n"/>
      <c r="C2614" s="55" t="n"/>
      <c r="D2614" s="55" t="n"/>
      <c r="E2614" s="55" t="n"/>
      <c r="F2614" s="55" t="n"/>
      <c r="G2614" s="56" t="n"/>
    </row>
    <row r="2615" ht="15" customHeight="1">
      <c r="A2615" s="20" t="inlineStr">
        <is>
          <t>Material</t>
        </is>
      </c>
      <c r="B2615" s="56" t="n"/>
      <c r="C2615" s="21" t="inlineStr">
        <is>
          <t>FONTE</t>
        </is>
      </c>
      <c r="D2615" s="21" t="inlineStr">
        <is>
          <t>UNID</t>
        </is>
      </c>
      <c r="E2615" s="21" t="inlineStr">
        <is>
          <t>COEFICIENTE</t>
        </is>
      </c>
      <c r="F2615" s="21" t="inlineStr">
        <is>
          <t>PREÇO UNITÁRIO</t>
        </is>
      </c>
      <c r="G2615" s="21" t="inlineStr">
        <is>
          <t>TOTAL</t>
        </is>
      </c>
    </row>
    <row r="2616" ht="21" customHeight="1">
      <c r="A2616" s="22" t="inlineStr">
        <is>
          <t>00038774</t>
        </is>
      </c>
      <c r="B2616" s="23" t="inlineStr">
        <is>
          <t>LUMINARIA DE EMERGENCIA 30 LEDS, POTENCIA 2 W, BATERIA DE LITIO, AUTONOMIA DE 6 HORAS</t>
        </is>
      </c>
      <c r="C2616" s="22" t="inlineStr">
        <is>
          <t>SINAPI</t>
        </is>
      </c>
      <c r="D2616" s="22" t="inlineStr">
        <is>
          <t>UN</t>
        </is>
      </c>
      <c r="E2616" s="63" t="n">
        <v>1</v>
      </c>
      <c r="F2616" s="64">
        <f>ROUND(M2616*FATOR, 2)</f>
        <v/>
      </c>
      <c r="G2616" s="64">
        <f>TRUNC(TRUNC(E2616,8)*F2616,2)</f>
        <v/>
      </c>
      <c r="L2616" t="n">
        <v>1</v>
      </c>
      <c r="M2616" t="n">
        <v>10.8</v>
      </c>
      <c r="N2616">
        <f>(M2616-F2616)</f>
        <v/>
      </c>
    </row>
    <row r="2617" ht="15" customHeight="1">
      <c r="A2617" s="2" t="inlineStr"/>
      <c r="B2617" s="2" t="inlineStr"/>
      <c r="C2617" s="2" t="inlineStr"/>
      <c r="D2617" s="2" t="inlineStr"/>
      <c r="E2617" s="26" t="inlineStr">
        <is>
          <t>TOTAL Material:</t>
        </is>
      </c>
      <c r="F2617" s="56" t="n"/>
      <c r="G2617" s="65">
        <f>SUM(G2616:G2616)</f>
        <v/>
      </c>
    </row>
    <row r="2618" ht="15" customHeight="1">
      <c r="A2618" s="20" t="inlineStr">
        <is>
          <t>Mão de Obra com Encargos Complementares</t>
        </is>
      </c>
      <c r="B2618" s="56" t="n"/>
      <c r="C2618" s="21" t="inlineStr">
        <is>
          <t>FONTE</t>
        </is>
      </c>
      <c r="D2618" s="21" t="inlineStr">
        <is>
          <t>UNID</t>
        </is>
      </c>
      <c r="E2618" s="21" t="inlineStr">
        <is>
          <t>COEFICIENTE</t>
        </is>
      </c>
      <c r="F2618" s="21" t="inlineStr">
        <is>
          <t>PREÇO UNITÁRIO</t>
        </is>
      </c>
      <c r="G2618" s="21" t="inlineStr">
        <is>
          <t>TOTAL</t>
        </is>
      </c>
    </row>
    <row r="2619" ht="21" customHeight="1">
      <c r="A2619" s="22" t="inlineStr">
        <is>
          <t>88247</t>
        </is>
      </c>
      <c r="B2619" s="23" t="inlineStr">
        <is>
          <t>AUXILIAR DE ELETRICISTA COM ENCARGOS COMPLEMENTARES</t>
        </is>
      </c>
      <c r="C2619" s="22" t="inlineStr">
        <is>
          <t>SINAPI</t>
        </is>
      </c>
      <c r="D2619" s="22" t="inlineStr">
        <is>
          <t>H</t>
        </is>
      </c>
      <c r="E2619" s="63">
        <f>L2619*FATOR</f>
        <v/>
      </c>
      <c r="F2619" s="64">
        <f>'COMPOSICOES AUXILIARES'!G505</f>
        <v/>
      </c>
      <c r="G2619" s="64">
        <f>TRUNC(TRUNC(E2619,8)*F2619,2)</f>
        <v/>
      </c>
      <c r="L2619" t="n">
        <v>0.0551562</v>
      </c>
      <c r="M2619" t="n">
        <v>25.22</v>
      </c>
      <c r="N2619">
        <f>(M2619-F2619)</f>
        <v/>
      </c>
    </row>
    <row r="2620" ht="15" customHeight="1">
      <c r="A2620" s="22" t="inlineStr">
        <is>
          <t>88264</t>
        </is>
      </c>
      <c r="B2620" s="23" t="inlineStr">
        <is>
          <t>ELETRICISTA COM ENCARGOS COMPLEMENTARES</t>
        </is>
      </c>
      <c r="C2620" s="22" t="inlineStr">
        <is>
          <t>SINAPI</t>
        </is>
      </c>
      <c r="D2620" s="22" t="inlineStr">
        <is>
          <t>H</t>
        </is>
      </c>
      <c r="E2620" s="63">
        <f>L2620*FATOR</f>
        <v/>
      </c>
      <c r="F2620" s="64">
        <f>'COMPOSICOES AUXILIARES'!G505</f>
        <v/>
      </c>
      <c r="G2620" s="64">
        <f>TRUNC(TRUNC(E2620,8)*F2620,2)</f>
        <v/>
      </c>
      <c r="L2620" t="n">
        <v>0.1765</v>
      </c>
      <c r="M2620" t="n">
        <v>30.96</v>
      </c>
      <c r="N2620">
        <f>(M2620-F2620)</f>
        <v/>
      </c>
    </row>
    <row r="2621" ht="18" customHeight="1">
      <c r="A2621" s="2" t="inlineStr"/>
      <c r="B2621" s="2" t="inlineStr"/>
      <c r="C2621" s="2" t="inlineStr"/>
      <c r="D2621" s="2" t="inlineStr"/>
      <c r="E2621" s="26" t="inlineStr">
        <is>
          <t>TOTAL Mão de Obra com Encargos Complementares:</t>
        </is>
      </c>
      <c r="F2621" s="56" t="n"/>
      <c r="G2621" s="65">
        <f>SUM(G2619:G2620)</f>
        <v/>
      </c>
    </row>
    <row r="2622" ht="15" customHeight="1">
      <c r="A2622" s="2" t="inlineStr"/>
      <c r="B2622" s="2" t="inlineStr"/>
      <c r="C2622" s="2" t="inlineStr"/>
      <c r="D2622" s="2" t="inlineStr"/>
      <c r="E2622" s="28" t="inlineStr">
        <is>
          <t>VALOR:</t>
        </is>
      </c>
      <c r="F2622" s="56" t="n"/>
      <c r="G2622" s="66">
        <f>SUM(G2617,G2621)</f>
        <v/>
      </c>
    </row>
    <row r="2623" ht="15" customHeight="1">
      <c r="A2623" s="2" t="inlineStr"/>
      <c r="B2623" s="2" t="inlineStr"/>
      <c r="C2623" s="2" t="inlineStr"/>
      <c r="D2623" s="2" t="inlineStr"/>
      <c r="E2623" s="28" t="inlineStr">
        <is>
          <t>VALOR BDI (23.08%):</t>
        </is>
      </c>
      <c r="F2623" s="56" t="n"/>
      <c r="G2623" s="66">
        <f>ROUNDDOWN(G2622*BDI,2)</f>
        <v/>
      </c>
    </row>
    <row r="2624" ht="15" customHeight="1">
      <c r="A2624" s="2" t="inlineStr"/>
      <c r="B2624" s="2" t="inlineStr"/>
      <c r="C2624" s="2" t="inlineStr"/>
      <c r="D2624" s="2" t="inlineStr"/>
      <c r="E2624" s="28" t="inlineStr">
        <is>
          <t>VALOR COM BDI:</t>
        </is>
      </c>
      <c r="F2624" s="56" t="n"/>
      <c r="G2624" s="66">
        <f>G2623 + G2622</f>
        <v/>
      </c>
    </row>
    <row r="2625" ht="10" customHeight="1">
      <c r="A2625" s="2" t="inlineStr"/>
      <c r="B2625" s="2" t="inlineStr"/>
      <c r="C2625" s="2" t="inlineStr"/>
      <c r="D2625" s="2" t="inlineStr"/>
      <c r="E2625" s="18" t="inlineStr"/>
    </row>
    <row r="2626" ht="20" customHeight="1">
      <c r="A2626" s="19" t="inlineStr">
        <is>
          <t>9.1.1.1. ​101946​ QUADRO DE MEDIÇÃO GERAL DE ENERGIA PARA 1 MEDIDOR DE SOBREPOR - FORNECIMENTO E INSTALAÇÃO.AF_07/2025​ (UN)</t>
        </is>
      </c>
      <c r="B2626" s="55" t="n"/>
      <c r="C2626" s="55" t="n"/>
      <c r="D2626" s="55" t="n"/>
      <c r="E2626" s="55" t="n"/>
      <c r="F2626" s="55" t="n"/>
      <c r="G2626" s="56" t="n"/>
    </row>
    <row r="2627" ht="15" customHeight="1">
      <c r="A2627" s="20" t="inlineStr">
        <is>
          <t>Material</t>
        </is>
      </c>
      <c r="B2627" s="56" t="n"/>
      <c r="C2627" s="21" t="inlineStr">
        <is>
          <t>FONTE</t>
        </is>
      </c>
      <c r="D2627" s="21" t="inlineStr">
        <is>
          <t>UNID</t>
        </is>
      </c>
      <c r="E2627" s="21" t="inlineStr">
        <is>
          <t>COEFICIENTE</t>
        </is>
      </c>
      <c r="F2627" s="21" t="inlineStr">
        <is>
          <t>PREÇO UNITÁRIO</t>
        </is>
      </c>
      <c r="G2627" s="21" t="inlineStr">
        <is>
          <t>TOTAL</t>
        </is>
      </c>
    </row>
    <row r="2628" ht="29" customHeight="1">
      <c r="A2628" s="22" t="inlineStr">
        <is>
          <t>00011950</t>
        </is>
      </c>
      <c r="B2628" s="23" t="inlineStr">
        <is>
          <t>BUCHA DE NYLON SEM ABA S6, COM PARAFUSO DE 4,20 X 40 MM EM ACO ZINCADO COM ROSCA SOBERBA, CABECA CHATA E FENDA PHILLIPS</t>
        </is>
      </c>
      <c r="C2628" s="22" t="inlineStr">
        <is>
          <t>SINAPI</t>
        </is>
      </c>
      <c r="D2628" s="22" t="inlineStr">
        <is>
          <t>UN</t>
        </is>
      </c>
      <c r="E2628" s="63" t="n">
        <v>4</v>
      </c>
      <c r="F2628" s="64">
        <f>ROUND(M2628*FATOR, 2)</f>
        <v/>
      </c>
      <c r="G2628" s="64">
        <f>TRUNC(TRUNC(E2628,8)*F2628,2)</f>
        <v/>
      </c>
      <c r="L2628" t="n">
        <v>4</v>
      </c>
      <c r="M2628" t="n">
        <v>0.28</v>
      </c>
      <c r="N2628">
        <f>(M2628-F2628)</f>
        <v/>
      </c>
    </row>
    <row r="2629" ht="29" customHeight="1">
      <c r="A2629" s="22" t="inlineStr">
        <is>
          <t>00039808</t>
        </is>
      </c>
      <c r="B2629" s="23" t="inlineStr">
        <is>
          <t>CAIXA PARA MEDIDOR MONOFASICO, EM POLICARBONATO / TERMOPLASTICO, PARA ALOJAR 1 DISJUNTOR (PADRAO DA CONCESSIONARIA LOCAL)</t>
        </is>
      </c>
      <c r="C2629" s="22" t="inlineStr">
        <is>
          <t>SINAPI</t>
        </is>
      </c>
      <c r="D2629" s="22" t="inlineStr">
        <is>
          <t>UN</t>
        </is>
      </c>
      <c r="E2629" s="63" t="n">
        <v>1</v>
      </c>
      <c r="F2629" s="64">
        <f>ROUND(M2629*FATOR, 2)</f>
        <v/>
      </c>
      <c r="G2629" s="64">
        <f>TRUNC(TRUNC(E2629,8)*F2629,2)</f>
        <v/>
      </c>
      <c r="L2629" t="n">
        <v>1</v>
      </c>
      <c r="M2629" t="n">
        <v>69.06</v>
      </c>
      <c r="N2629">
        <f>(M2629-F2629)</f>
        <v/>
      </c>
    </row>
    <row r="2630" ht="15" customHeight="1">
      <c r="A2630" s="2" t="inlineStr"/>
      <c r="B2630" s="2" t="inlineStr"/>
      <c r="C2630" s="2" t="inlineStr"/>
      <c r="D2630" s="2" t="inlineStr"/>
      <c r="E2630" s="26" t="inlineStr">
        <is>
          <t>TOTAL Material:</t>
        </is>
      </c>
      <c r="F2630" s="56" t="n"/>
      <c r="G2630" s="65">
        <f>SUM(G2628:G2629)</f>
        <v/>
      </c>
    </row>
    <row r="2631" ht="15" customHeight="1">
      <c r="A2631" s="20" t="inlineStr">
        <is>
          <t>Mão de Obra com Encargos Complementares</t>
        </is>
      </c>
      <c r="B2631" s="56" t="n"/>
      <c r="C2631" s="21" t="inlineStr">
        <is>
          <t>FONTE</t>
        </is>
      </c>
      <c r="D2631" s="21" t="inlineStr">
        <is>
          <t>UNID</t>
        </is>
      </c>
      <c r="E2631" s="21" t="inlineStr">
        <is>
          <t>COEFICIENTE</t>
        </is>
      </c>
      <c r="F2631" s="21" t="inlineStr">
        <is>
          <t>PREÇO UNITÁRIO</t>
        </is>
      </c>
      <c r="G2631" s="21" t="inlineStr">
        <is>
          <t>TOTAL</t>
        </is>
      </c>
    </row>
    <row r="2632" ht="21" customHeight="1">
      <c r="A2632" s="22" t="inlineStr">
        <is>
          <t>88247</t>
        </is>
      </c>
      <c r="B2632" s="23" t="inlineStr">
        <is>
          <t>AUXILIAR DE ELETRICISTA COM ENCARGOS COMPLEMENTARES</t>
        </is>
      </c>
      <c r="C2632" s="22" t="inlineStr">
        <is>
          <t>SINAPI</t>
        </is>
      </c>
      <c r="D2632" s="22" t="inlineStr">
        <is>
          <t>H</t>
        </is>
      </c>
      <c r="E2632" s="63">
        <f>L2632*FATOR</f>
        <v/>
      </c>
      <c r="F2632" s="64">
        <f>'COMPOSICOES AUXILIARES'!G505</f>
        <v/>
      </c>
      <c r="G2632" s="64">
        <f>TRUNC(TRUNC(E2632,8)*F2632,2)</f>
        <v/>
      </c>
      <c r="L2632" t="n">
        <v>0.52171</v>
      </c>
      <c r="M2632" t="n">
        <v>25.22</v>
      </c>
      <c r="N2632">
        <f>(M2632-F2632)</f>
        <v/>
      </c>
    </row>
    <row r="2633" ht="15" customHeight="1">
      <c r="A2633" s="22" t="inlineStr">
        <is>
          <t>88264</t>
        </is>
      </c>
      <c r="B2633" s="23" t="inlineStr">
        <is>
          <t>ELETRICISTA COM ENCARGOS COMPLEMENTARES</t>
        </is>
      </c>
      <c r="C2633" s="22" t="inlineStr">
        <is>
          <t>SINAPI</t>
        </is>
      </c>
      <c r="D2633" s="22" t="inlineStr">
        <is>
          <t>H</t>
        </is>
      </c>
      <c r="E2633" s="63">
        <f>L2633*FATOR</f>
        <v/>
      </c>
      <c r="F2633" s="64">
        <f>'COMPOSICOES AUXILIARES'!G505</f>
        <v/>
      </c>
      <c r="G2633" s="64">
        <f>TRUNC(TRUNC(E2633,8)*F2633,2)</f>
        <v/>
      </c>
      <c r="L2633" t="n">
        <v>0.52171</v>
      </c>
      <c r="M2633" t="n">
        <v>30.96</v>
      </c>
      <c r="N2633">
        <f>(M2633-F2633)</f>
        <v/>
      </c>
    </row>
    <row r="2634" ht="18" customHeight="1">
      <c r="A2634" s="2" t="inlineStr"/>
      <c r="B2634" s="2" t="inlineStr"/>
      <c r="C2634" s="2" t="inlineStr"/>
      <c r="D2634" s="2" t="inlineStr"/>
      <c r="E2634" s="26" t="inlineStr">
        <is>
          <t>TOTAL Mão de Obra com Encargos Complementares:</t>
        </is>
      </c>
      <c r="F2634" s="56" t="n"/>
      <c r="G2634" s="65">
        <f>SUM(G2632:G2633)</f>
        <v/>
      </c>
    </row>
    <row r="2635" ht="15" customHeight="1">
      <c r="A2635" s="2" t="inlineStr"/>
      <c r="B2635" s="2" t="inlineStr"/>
      <c r="C2635" s="2" t="inlineStr"/>
      <c r="D2635" s="2" t="inlineStr"/>
      <c r="E2635" s="28" t="inlineStr">
        <is>
          <t>VALOR:</t>
        </is>
      </c>
      <c r="F2635" s="56" t="n"/>
      <c r="G2635" s="66">
        <f>SUM(G2634,G2630)</f>
        <v/>
      </c>
    </row>
    <row r="2636" ht="15" customHeight="1">
      <c r="A2636" s="2" t="inlineStr"/>
      <c r="B2636" s="2" t="inlineStr"/>
      <c r="C2636" s="2" t="inlineStr"/>
      <c r="D2636" s="2" t="inlineStr"/>
      <c r="E2636" s="28" t="inlineStr">
        <is>
          <t>VALOR BDI (23.08%):</t>
        </is>
      </c>
      <c r="F2636" s="56" t="n"/>
      <c r="G2636" s="66">
        <f>ROUNDDOWN(G2635*BDI,2)</f>
        <v/>
      </c>
    </row>
    <row r="2637" ht="15" customHeight="1">
      <c r="A2637" s="2" t="inlineStr"/>
      <c r="B2637" s="2" t="inlineStr"/>
      <c r="C2637" s="2" t="inlineStr"/>
      <c r="D2637" s="2" t="inlineStr"/>
      <c r="E2637" s="28" t="inlineStr">
        <is>
          <t>VALOR COM BDI:</t>
        </is>
      </c>
      <c r="F2637" s="56" t="n"/>
      <c r="G2637" s="66">
        <f>G2636 + G2635</f>
        <v/>
      </c>
    </row>
    <row r="2638" ht="10" customHeight="1">
      <c r="A2638" s="2" t="inlineStr"/>
      <c r="B2638" s="2" t="inlineStr"/>
      <c r="C2638" s="2" t="inlineStr"/>
      <c r="D2638" s="2" t="inlineStr"/>
      <c r="E2638" s="18" t="inlineStr"/>
    </row>
    <row r="2639" ht="20" customHeight="1">
      <c r="A2639" s="19" t="inlineStr">
        <is>
          <t>9.1.1.2. ​SOP2751​ ENTRADA DE ENERGIA ELÉTRICA, SUBTERRÂNEA, TRIFÁSICA, COM CAIXA DE EMBUTIR, CABO DE 35MM2 E DISJUNTOR DIN 100A (NÃO INCLUSA MURETA DEALVENARIA) AF_07/2020​ (UN)</t>
        </is>
      </c>
      <c r="B2639" s="55" t="n"/>
      <c r="C2639" s="55" t="n"/>
      <c r="D2639" s="55" t="n"/>
      <c r="E2639" s="55" t="n"/>
      <c r="F2639" s="55" t="n"/>
      <c r="G2639" s="56" t="n"/>
    </row>
    <row r="2640" ht="15" customHeight="1">
      <c r="A2640" s="20" t="inlineStr">
        <is>
          <t>Material</t>
        </is>
      </c>
      <c r="B2640" s="56" t="n"/>
      <c r="C2640" s="21" t="inlineStr">
        <is>
          <t>FONTE</t>
        </is>
      </c>
      <c r="D2640" s="21" t="inlineStr">
        <is>
          <t>UNID</t>
        </is>
      </c>
      <c r="E2640" s="21" t="inlineStr">
        <is>
          <t>COEFICIENTE</t>
        </is>
      </c>
      <c r="F2640" s="21" t="inlineStr">
        <is>
          <t>PREÇO UNITÁRIO</t>
        </is>
      </c>
      <c r="G2640" s="21" t="inlineStr">
        <is>
          <t>TOTAL</t>
        </is>
      </c>
    </row>
    <row r="2641" ht="29" customHeight="1">
      <c r="A2641" s="22" t="inlineStr">
        <is>
          <t>00034643</t>
        </is>
      </c>
      <c r="B2641" s="23" t="inlineStr">
        <is>
          <t>CAIXA DE INSPECAO PARA ATERRAMENTO E PARA RAIOS, EM POLIPROPILENO, DIAMETRO = 300 MM X ALTURA = 400 MM (INCLUIDA TAMPA SEM ESCOTILHA)</t>
        </is>
      </c>
      <c r="C2641" s="22" t="inlineStr">
        <is>
          <t>SINAPI</t>
        </is>
      </c>
      <c r="D2641" s="22" t="inlineStr">
        <is>
          <t>UN</t>
        </is>
      </c>
      <c r="E2641" s="63" t="n">
        <v>1</v>
      </c>
      <c r="F2641" s="64">
        <f>ROUND(M2641*FATOR, 2)</f>
        <v/>
      </c>
      <c r="G2641" s="64">
        <f>ROUND(ROUND(E2641,8)*F2641,2)</f>
        <v/>
      </c>
      <c r="L2641" t="n">
        <v>1</v>
      </c>
      <c r="M2641" t="n">
        <v>53.81</v>
      </c>
      <c r="N2641">
        <f>(M2641-F2641)</f>
        <v/>
      </c>
    </row>
    <row r="2642" ht="29" customHeight="1">
      <c r="A2642" s="22" t="inlineStr">
        <is>
          <t>00001062</t>
        </is>
      </c>
      <c r="B2642" s="23" t="inlineStr">
        <is>
          <t>CAIXA INTERNA/EXTERNA DE MEDICAO PARA 1 MEDIDOR TRIFASICO, COM VISOR, EM CHAPA DE ACO 18 USG (PADRAO DA CONCESSIONARIA LOCAL)</t>
        </is>
      </c>
      <c r="C2642" s="22" t="inlineStr">
        <is>
          <t>SINAPI</t>
        </is>
      </c>
      <c r="D2642" s="22" t="inlineStr">
        <is>
          <t>UN</t>
        </is>
      </c>
      <c r="E2642" s="63" t="n">
        <v>1</v>
      </c>
      <c r="F2642" s="64">
        <f>ROUND(M2642*FATOR, 2)</f>
        <v/>
      </c>
      <c r="G2642" s="64">
        <f>ROUND(ROUND(E2642,8)*F2642,2)</f>
        <v/>
      </c>
      <c r="L2642" t="n">
        <v>1</v>
      </c>
      <c r="M2642" t="n">
        <v>222.18</v>
      </c>
      <c r="N2642">
        <f>(M2642-F2642)</f>
        <v/>
      </c>
    </row>
    <row r="2643" ht="15" customHeight="1">
      <c r="A2643" s="2" t="inlineStr"/>
      <c r="B2643" s="2" t="inlineStr"/>
      <c r="C2643" s="2" t="inlineStr"/>
      <c r="D2643" s="2" t="inlineStr"/>
      <c r="E2643" s="26" t="inlineStr">
        <is>
          <t>TOTAL Material:</t>
        </is>
      </c>
      <c r="F2643" s="56" t="n"/>
      <c r="G2643" s="65">
        <f>SUM(G2641:G2642)</f>
        <v/>
      </c>
    </row>
    <row r="2644" ht="15" customHeight="1">
      <c r="A2644" s="20" t="inlineStr">
        <is>
          <t>Mão de Obra</t>
        </is>
      </c>
      <c r="B2644" s="56" t="n"/>
      <c r="C2644" s="21" t="inlineStr">
        <is>
          <t>FONTE</t>
        </is>
      </c>
      <c r="D2644" s="21" t="inlineStr">
        <is>
          <t>UNID</t>
        </is>
      </c>
      <c r="E2644" s="21" t="inlineStr">
        <is>
          <t>COEFICIENTE</t>
        </is>
      </c>
      <c r="F2644" s="21" t="inlineStr">
        <is>
          <t>PREÇO UNITÁRIO</t>
        </is>
      </c>
      <c r="G2644" s="21" t="inlineStr">
        <is>
          <t>TOTAL</t>
        </is>
      </c>
    </row>
    <row r="2645" ht="15" customHeight="1">
      <c r="A2645" s="22" t="inlineStr">
        <is>
          <t>I0042</t>
        </is>
      </c>
      <c r="B2645" s="23" t="inlineStr">
        <is>
          <t>AJUDANTE DE ELETRICISTA</t>
        </is>
      </c>
      <c r="C2645" s="22" t="inlineStr">
        <is>
          <t>SEINFRA</t>
        </is>
      </c>
      <c r="D2645" s="22" t="inlineStr">
        <is>
          <t>H</t>
        </is>
      </c>
      <c r="E2645" s="63">
        <f>L2645*FATOR</f>
        <v/>
      </c>
      <c r="F2645" s="64" t="n">
        <v>21.1</v>
      </c>
      <c r="G2645" s="64">
        <f>ROUND(ROUND(E2645,8)*F2645,2)</f>
        <v/>
      </c>
      <c r="L2645" t="n">
        <v>0.1486</v>
      </c>
      <c r="M2645" t="n">
        <v>21.1</v>
      </c>
      <c r="N2645">
        <f>(M2645-F2645)</f>
        <v/>
      </c>
    </row>
    <row r="2646" ht="15" customHeight="1">
      <c r="A2646" s="22" t="inlineStr">
        <is>
          <t>I2312</t>
        </is>
      </c>
      <c r="B2646" s="23" t="inlineStr">
        <is>
          <t>ELETRICISTA</t>
        </is>
      </c>
      <c r="C2646" s="22" t="inlineStr">
        <is>
          <t>SEINFRA</t>
        </is>
      </c>
      <c r="D2646" s="22" t="inlineStr">
        <is>
          <t>H</t>
        </is>
      </c>
      <c r="E2646" s="63">
        <f>L2646*FATOR</f>
        <v/>
      </c>
      <c r="F2646" s="64" t="n">
        <v>26.85</v>
      </c>
      <c r="G2646" s="64">
        <f>ROUND(ROUND(E2646,8)*F2646,2)</f>
        <v/>
      </c>
      <c r="L2646" t="n">
        <v>1.3379</v>
      </c>
      <c r="M2646" t="n">
        <v>26.85</v>
      </c>
      <c r="N2646">
        <f>(M2646-F2646)</f>
        <v/>
      </c>
    </row>
    <row r="2647" ht="15" customHeight="1">
      <c r="A2647" s="2" t="inlineStr"/>
      <c r="B2647" s="2" t="inlineStr"/>
      <c r="C2647" s="2" t="inlineStr"/>
      <c r="D2647" s="2" t="inlineStr"/>
      <c r="E2647" s="26" t="inlineStr">
        <is>
          <t>TOTAL Mão de Obra:</t>
        </is>
      </c>
      <c r="F2647" s="56" t="n"/>
      <c r="G2647" s="65">
        <f>SUM(G2645:G2646)</f>
        <v/>
      </c>
    </row>
    <row r="2648" ht="15" customHeight="1">
      <c r="A2648" s="20" t="inlineStr">
        <is>
          <t>Serviço</t>
        </is>
      </c>
      <c r="B2648" s="56" t="n"/>
      <c r="C2648" s="21" t="inlineStr">
        <is>
          <t>FONTE</t>
        </is>
      </c>
      <c r="D2648" s="21" t="inlineStr">
        <is>
          <t>UNID</t>
        </is>
      </c>
      <c r="E2648" s="21" t="inlineStr">
        <is>
          <t>COEFICIENTE</t>
        </is>
      </c>
      <c r="F2648" s="21" t="inlineStr">
        <is>
          <t>PREÇO UNITÁRIO</t>
        </is>
      </c>
      <c r="G2648" s="21" t="inlineStr">
        <is>
          <t>TOTAL</t>
        </is>
      </c>
    </row>
    <row r="2649" ht="38" customHeight="1">
      <c r="A2649" s="22" t="inlineStr">
        <is>
          <t>87367</t>
        </is>
      </c>
      <c r="B2649" s="23" t="inlineStr">
        <is>
          <t>ARGAMASSA TRAÇO 1:1:6 (EM VOLUME DE CIMENTO, CAL E AREIA MÉDIA ÚMIDA) PARA EMBOÇO/MASSA ÚNICA/ASSENTAMENTO DE ALVENARIA DE VEDAÇÃO, PREPARO MANUAL. AF_08/2019</t>
        </is>
      </c>
      <c r="C2649" s="22" t="inlineStr">
        <is>
          <t>SINAPI</t>
        </is>
      </c>
      <c r="D2649" s="22" t="inlineStr">
        <is>
          <t>M3</t>
        </is>
      </c>
      <c r="E2649" s="63" t="n">
        <v>0.0194</v>
      </c>
      <c r="F2649" s="64">
        <f>'COMPOSICOES AUXILIARES'!G187</f>
        <v/>
      </c>
      <c r="G2649" s="64">
        <f>ROUND(ROUND(E2649,8)*F2649,2)</f>
        <v/>
      </c>
      <c r="L2649" t="n">
        <v>0.0194</v>
      </c>
      <c r="M2649" t="n">
        <v>758.15</v>
      </c>
      <c r="N2649">
        <f>(M2649-F2649)</f>
        <v/>
      </c>
    </row>
    <row r="2650" ht="38" customHeight="1">
      <c r="A2650" s="22" t="inlineStr">
        <is>
          <t>92986</t>
        </is>
      </c>
      <c r="B2650" s="23" t="inlineStr">
        <is>
          <t>CABO DE COBRE FLEXÍVEL ISOLADO, 35 MM², ANTI-CHAMA 0,6/1,0 KV, PARA REDE ENTERRADA DE DISTRIBUIÇÃO DE ENERGIA ELÉTRICA - FORNECIMENTO E INSTALAÇÃO. AF_12/2021</t>
        </is>
      </c>
      <c r="C2650" s="22" t="inlineStr">
        <is>
          <t>SINAPI</t>
        </is>
      </c>
      <c r="D2650" s="22" t="inlineStr">
        <is>
          <t>M</t>
        </is>
      </c>
      <c r="E2650" s="63" t="n">
        <v>26.4</v>
      </c>
      <c r="F2650" s="64">
        <f>'COMPOSICOES AUXILIARES'!G713</f>
        <v/>
      </c>
      <c r="G2650" s="64">
        <f>ROUND(ROUND(E2650,8)*F2650,2)</f>
        <v/>
      </c>
      <c r="L2650" t="n">
        <v>26.4</v>
      </c>
      <c r="M2650" t="n">
        <v>42.24</v>
      </c>
      <c r="N2650">
        <f>(M2650-F2650)</f>
        <v/>
      </c>
    </row>
    <row r="2651" ht="29" customHeight="1">
      <c r="A2651" s="22" t="inlineStr">
        <is>
          <t>104749</t>
        </is>
      </c>
      <c r="B2651" s="23" t="inlineStr">
        <is>
          <t>CONECTOR GRAMPO METÁLICO TIPO OLHAL, PARA SPDA, PARA HASTE DE ATERRAMENTO DE 3/4'' E CABOS DE 10 A 50 MM2 - FORNECIMENTO E INSTALAÇÃO. AF_08/2023</t>
        </is>
      </c>
      <c r="C2651" s="22" t="inlineStr">
        <is>
          <t>SINAPI</t>
        </is>
      </c>
      <c r="D2651" s="22" t="inlineStr">
        <is>
          <t>UN</t>
        </is>
      </c>
      <c r="E2651" s="63" t="n">
        <v>1</v>
      </c>
      <c r="F2651" s="64">
        <f>'COMPOSICOES AUXILIARES'!G1304</f>
        <v/>
      </c>
      <c r="G2651" s="64">
        <f>ROUND(ROUND(E2651,8)*F2651,2)</f>
        <v/>
      </c>
      <c r="L2651" t="n">
        <v>1</v>
      </c>
      <c r="M2651" t="n">
        <v>18.7</v>
      </c>
      <c r="N2651">
        <f>(M2651-F2651)</f>
        <v/>
      </c>
    </row>
    <row r="2652" ht="21" customHeight="1">
      <c r="A2652" s="22" t="inlineStr">
        <is>
          <t>96977</t>
        </is>
      </c>
      <c r="B2652" s="23" t="inlineStr">
        <is>
          <t>CORDOALHA DE COBRE NU 50 MM², ENTERRADA - FORNECIMENTO E INSTALAÇÃO. AF_08/2023</t>
        </is>
      </c>
      <c r="C2652" s="22" t="inlineStr">
        <is>
          <t>SINAPI</t>
        </is>
      </c>
      <c r="D2652" s="22" t="inlineStr">
        <is>
          <t>M</t>
        </is>
      </c>
      <c r="E2652" s="63" t="n">
        <v>1.95</v>
      </c>
      <c r="F2652" s="64">
        <f>'COMPOSICOES AUXILIARES'!G1332</f>
        <v/>
      </c>
      <c r="G2652" s="64">
        <f>ROUND(ROUND(E2652,8)*F2652,2)</f>
        <v/>
      </c>
      <c r="L2652" t="n">
        <v>1.95</v>
      </c>
      <c r="M2652" t="n">
        <v>63.47</v>
      </c>
      <c r="N2652">
        <f>(M2652-F2652)</f>
        <v/>
      </c>
    </row>
    <row r="2653" ht="15" customHeight="1">
      <c r="A2653" s="22" t="inlineStr">
        <is>
          <t>C1117</t>
        </is>
      </c>
      <c r="B2653" s="23" t="inlineStr">
        <is>
          <t>DISJUNTOR TRIPOLAR EM QUADRO DE DISTRIBUIÇÃO 100A</t>
        </is>
      </c>
      <c r="C2653" s="22" t="inlineStr">
        <is>
          <t>SEINFRA</t>
        </is>
      </c>
      <c r="D2653" s="22" t="inlineStr">
        <is>
          <t>UN</t>
        </is>
      </c>
      <c r="E2653" s="63" t="n">
        <v>1</v>
      </c>
      <c r="F2653" s="64">
        <f>'COMPOSICOES AUXILIARES'!G1807</f>
        <v/>
      </c>
      <c r="G2653" s="64">
        <f>ROUND(ROUND(E2653,8)*F2653,2)</f>
        <v/>
      </c>
      <c r="L2653" t="n">
        <v>1</v>
      </c>
      <c r="M2653" t="n">
        <v>148.04</v>
      </c>
      <c r="N2653">
        <f>(M2653-F2653)</f>
        <v/>
      </c>
    </row>
    <row r="2654" ht="29" customHeight="1">
      <c r="A2654" s="22" t="inlineStr">
        <is>
          <t>97668</t>
        </is>
      </c>
      <c r="B2654" s="23" t="inlineStr">
        <is>
          <t>ELETRODUTO FLEXÍVEL CORRUGADO, PEAD, DN 63 (2"), PARA REDE ENTERRADA DE DISTRIBUIÇÃO DE ENERGIA ELÉTRICA - FORNECIMENTO E INSTALAÇÃO. AF_12/2021</t>
        </is>
      </c>
      <c r="C2654" s="22" t="inlineStr">
        <is>
          <t>SINAPI</t>
        </is>
      </c>
      <c r="D2654" s="22" t="inlineStr">
        <is>
          <t>M</t>
        </is>
      </c>
      <c r="E2654" s="63" t="n">
        <v>6.3</v>
      </c>
      <c r="F2654" s="64">
        <f>'COMPOSICOES AUXILIARES'!G1838</f>
        <v/>
      </c>
      <c r="G2654" s="64">
        <f>ROUND(ROUND(E2654,8)*F2654,2)</f>
        <v/>
      </c>
      <c r="L2654" t="n">
        <v>6.3</v>
      </c>
      <c r="M2654" t="n">
        <v>12.1</v>
      </c>
      <c r="N2654">
        <f>(M2654-F2654)</f>
        <v/>
      </c>
    </row>
    <row r="2655" ht="29" customHeight="1">
      <c r="A2655" s="22" t="inlineStr">
        <is>
          <t>91872</t>
        </is>
      </c>
      <c r="B2655" s="23" t="inlineStr">
        <is>
          <t>ELETRODUTO RÍGIDO ROSCÁVEL, PVC, DN 32 MM (1"), PARA CIRCUITOS TERMINAIS, INSTALADO EM PAREDE - FORNECIMENTO E INSTALAÇÃO. AF_03/2023</t>
        </is>
      </c>
      <c r="C2655" s="22" t="inlineStr">
        <is>
          <t>SINAPI</t>
        </is>
      </c>
      <c r="D2655" s="22" t="inlineStr">
        <is>
          <t>M</t>
        </is>
      </c>
      <c r="E2655" s="63" t="n">
        <v>1.3</v>
      </c>
      <c r="F2655" s="64">
        <f>'COMPOSICOES AUXILIARES'!G1850</f>
        <v/>
      </c>
      <c r="G2655" s="64">
        <f>ROUND(ROUND(E2655,8)*F2655,2)</f>
        <v/>
      </c>
      <c r="L2655" t="n">
        <v>1.3</v>
      </c>
      <c r="M2655" t="n">
        <v>18.5</v>
      </c>
      <c r="N2655">
        <f>(M2655-F2655)</f>
        <v/>
      </c>
    </row>
    <row r="2656" ht="21" customHeight="1">
      <c r="A2656" s="22" t="inlineStr">
        <is>
          <t>96986</t>
        </is>
      </c>
      <c r="B2656" s="23" t="inlineStr">
        <is>
          <t>HASTE DE ATERRAMENTO, DIÂMETRO 3/4", COM 3 METROS - FORNECIMENTO E INSTALAÇÃO. AF_08/2023</t>
        </is>
      </c>
      <c r="C2656" s="22" t="inlineStr">
        <is>
          <t>SINAPI</t>
        </is>
      </c>
      <c r="D2656" s="22" t="inlineStr">
        <is>
          <t>UN</t>
        </is>
      </c>
      <c r="E2656" s="63" t="n">
        <v>1</v>
      </c>
      <c r="F2656" s="64">
        <f>'COMPOSICOES AUXILIARES'!G2270</f>
        <v/>
      </c>
      <c r="G2656" s="64">
        <f>ROUND(ROUND(E2656,8)*F2656,2)</f>
        <v/>
      </c>
      <c r="L2656" t="n">
        <v>1</v>
      </c>
      <c r="M2656" t="n">
        <v>101.57</v>
      </c>
      <c r="N2656">
        <f>(M2656-F2656)</f>
        <v/>
      </c>
    </row>
    <row r="2657" ht="15" customHeight="1">
      <c r="A2657" s="2" t="inlineStr"/>
      <c r="B2657" s="2" t="inlineStr"/>
      <c r="C2657" s="2" t="inlineStr"/>
      <c r="D2657" s="2" t="inlineStr"/>
      <c r="E2657" s="26" t="inlineStr">
        <is>
          <t>TOTAL Serviço:</t>
        </is>
      </c>
      <c r="F2657" s="56" t="n"/>
      <c r="G2657" s="65">
        <f>SUM(G2649:G2656)</f>
        <v/>
      </c>
    </row>
    <row r="2658" ht="15" customHeight="1">
      <c r="A2658" s="2" t="inlineStr"/>
      <c r="B2658" s="2" t="inlineStr"/>
      <c r="C2658" s="2" t="inlineStr"/>
      <c r="D2658" s="2" t="inlineStr"/>
      <c r="E2658" s="28" t="inlineStr">
        <is>
          <t>VALOR:</t>
        </is>
      </c>
      <c r="F2658" s="56" t="n"/>
      <c r="G2658" s="66">
        <f>SUM(G2657,G2643,G2647)</f>
        <v/>
      </c>
    </row>
    <row r="2659" ht="15" customHeight="1">
      <c r="A2659" s="2" t="inlineStr"/>
      <c r="B2659" s="2" t="inlineStr"/>
      <c r="C2659" s="2" t="inlineStr"/>
      <c r="D2659" s="2" t="inlineStr"/>
      <c r="E2659" s="28" t="inlineStr">
        <is>
          <t>VALOR BDI (23.08%):</t>
        </is>
      </c>
      <c r="F2659" s="56" t="n"/>
      <c r="G2659" s="66">
        <f>ROUNDDOWN(G2658*BDI,2)</f>
        <v/>
      </c>
    </row>
    <row r="2660" ht="15" customHeight="1">
      <c r="A2660" s="2" t="inlineStr"/>
      <c r="B2660" s="2" t="inlineStr"/>
      <c r="C2660" s="2" t="inlineStr"/>
      <c r="D2660" s="2" t="inlineStr"/>
      <c r="E2660" s="28" t="inlineStr">
        <is>
          <t>VALOR COM BDI:</t>
        </is>
      </c>
      <c r="F2660" s="56" t="n"/>
      <c r="G2660" s="66">
        <f>G2659 + G2658</f>
        <v/>
      </c>
    </row>
    <row r="2661" ht="10" customHeight="1">
      <c r="A2661" s="2" t="inlineStr"/>
      <c r="B2661" s="2" t="inlineStr"/>
      <c r="C2661" s="2" t="inlineStr"/>
      <c r="D2661" s="2" t="inlineStr"/>
      <c r="E2661" s="18" t="inlineStr"/>
    </row>
    <row r="2662" ht="20" customHeight="1">
      <c r="A2662" s="19" t="inlineStr">
        <is>
          <t>9.1.2.1. ​103328​ ALVENARIA DE VEDAÇÃO DE BLOCOS CERÂMICOS FURADOS NA HORIZONTAL DE 9X19X19 CM (ESPESSURA 9 CM) E ARGAMASSA DE ASSENTAMENTO COMPREPARO EM BETONEIRA. AF_12/2021​ (M2)</t>
        </is>
      </c>
      <c r="B2662" s="55" t="n"/>
      <c r="C2662" s="55" t="n"/>
      <c r="D2662" s="55" t="n"/>
      <c r="E2662" s="55" t="n"/>
      <c r="F2662" s="55" t="n"/>
      <c r="G2662" s="56" t="n"/>
    </row>
    <row r="2663" ht="15" customHeight="1">
      <c r="A2663" s="20" t="inlineStr">
        <is>
          <t>Material</t>
        </is>
      </c>
      <c r="B2663" s="56" t="n"/>
      <c r="C2663" s="21" t="inlineStr">
        <is>
          <t>FONTE</t>
        </is>
      </c>
      <c r="D2663" s="21" t="inlineStr">
        <is>
          <t>UNID</t>
        </is>
      </c>
      <c r="E2663" s="21" t="inlineStr">
        <is>
          <t>COEFICIENTE</t>
        </is>
      </c>
      <c r="F2663" s="21" t="inlineStr">
        <is>
          <t>PREÇO UNITÁRIO</t>
        </is>
      </c>
      <c r="G2663" s="21" t="inlineStr">
        <is>
          <t>TOTAL</t>
        </is>
      </c>
    </row>
    <row r="2664" ht="29" customHeight="1">
      <c r="A2664" s="22" t="inlineStr">
        <is>
          <t>00007271</t>
        </is>
      </c>
      <c r="B2664" s="23" t="inlineStr">
        <is>
          <t>BLOCO CERAMICO / TIJOLO VAZADO PARA ALVENARIA DE VEDACAO, 8 FUROS NA HORIZONTAL DE 9 X 19 X 19 CM (L X A X C)</t>
        </is>
      </c>
      <c r="C2664" s="22" t="inlineStr">
        <is>
          <t>SINAPI</t>
        </is>
      </c>
      <c r="D2664" s="22" t="inlineStr">
        <is>
          <t>UN</t>
        </is>
      </c>
      <c r="E2664" s="63" t="n">
        <v>28.31</v>
      </c>
      <c r="F2664" s="64">
        <f>ROUND(M2664*FATOR, 2)</f>
        <v/>
      </c>
      <c r="G2664" s="64">
        <f>TRUNC(TRUNC(E2664,8)*F2664,2)</f>
        <v/>
      </c>
      <c r="L2664" t="n">
        <v>28.31</v>
      </c>
      <c r="M2664" t="n">
        <v>0.88</v>
      </c>
      <c r="N2664">
        <f>(M2664-F2664)</f>
        <v/>
      </c>
    </row>
    <row r="2665" ht="15" customHeight="1">
      <c r="A2665" s="22" t="inlineStr">
        <is>
          <t>00037395</t>
        </is>
      </c>
      <c r="B2665" s="23" t="inlineStr">
        <is>
          <t>PINO DE ACO COM FURO, HASTE = 27 MM (ACAO DIRETA)</t>
        </is>
      </c>
      <c r="C2665" s="22" t="inlineStr">
        <is>
          <t>SINAPI</t>
        </is>
      </c>
      <c r="D2665" s="22" t="inlineStr">
        <is>
          <t>CENTO</t>
        </is>
      </c>
      <c r="E2665" s="63" t="n">
        <v>0.005</v>
      </c>
      <c r="F2665" s="64">
        <f>ROUND(M2665*FATOR, 2)</f>
        <v/>
      </c>
      <c r="G2665" s="64">
        <f>TRUNC(TRUNC(E2665,8)*F2665,2)</f>
        <v/>
      </c>
      <c r="L2665" t="n">
        <v>0.005</v>
      </c>
      <c r="M2665" t="n">
        <v>41.93</v>
      </c>
      <c r="N2665">
        <f>(M2665-F2665)</f>
        <v/>
      </c>
    </row>
    <row r="2666" ht="29" customHeight="1">
      <c r="A2666" s="22" t="inlineStr">
        <is>
          <t>00034557</t>
        </is>
      </c>
      <c r="B2666" s="23" t="inlineStr">
        <is>
          <t>TELA DE ACO SOLDADA GALVANIZADA/ZINCADA PARA ALVENARIA, FIO D = *1,20 A 1,70* MM, MALHA 15 X 15 MM, (C X L) *50 X 7,5* CM</t>
        </is>
      </c>
      <c r="C2666" s="22" t="inlineStr">
        <is>
          <t>SINAPI</t>
        </is>
      </c>
      <c r="D2666" s="22" t="inlineStr">
        <is>
          <t>M</t>
        </is>
      </c>
      <c r="E2666" s="63" t="n">
        <v>0.42</v>
      </c>
      <c r="F2666" s="64">
        <f>ROUND(M2666*FATOR, 2)</f>
        <v/>
      </c>
      <c r="G2666" s="64">
        <f>TRUNC(TRUNC(E2666,8)*F2666,2)</f>
        <v/>
      </c>
      <c r="L2666" t="n">
        <v>0.42</v>
      </c>
      <c r="M2666" t="n">
        <v>2.06</v>
      </c>
      <c r="N2666">
        <f>(M2666-F2666)</f>
        <v/>
      </c>
    </row>
    <row r="2667" ht="15" customHeight="1">
      <c r="A2667" s="2" t="inlineStr"/>
      <c r="B2667" s="2" t="inlineStr"/>
      <c r="C2667" s="2" t="inlineStr"/>
      <c r="D2667" s="2" t="inlineStr"/>
      <c r="E2667" s="26" t="inlineStr">
        <is>
          <t>TOTAL Material:</t>
        </is>
      </c>
      <c r="F2667" s="56" t="n"/>
      <c r="G2667" s="65">
        <f>SUM(G2664:G2666)</f>
        <v/>
      </c>
    </row>
    <row r="2668" ht="15" customHeight="1">
      <c r="A2668" s="20" t="inlineStr">
        <is>
          <t>Mão de Obra com Encargos Complementares</t>
        </is>
      </c>
      <c r="B2668" s="56" t="n"/>
      <c r="C2668" s="21" t="inlineStr">
        <is>
          <t>FONTE</t>
        </is>
      </c>
      <c r="D2668" s="21" t="inlineStr">
        <is>
          <t>UNID</t>
        </is>
      </c>
      <c r="E2668" s="21" t="inlineStr">
        <is>
          <t>COEFICIENTE</t>
        </is>
      </c>
      <c r="F2668" s="21" t="inlineStr">
        <is>
          <t>PREÇO UNITÁRIO</t>
        </is>
      </c>
      <c r="G2668" s="21" t="inlineStr">
        <is>
          <t>TOTAL</t>
        </is>
      </c>
    </row>
    <row r="2669" ht="15" customHeight="1">
      <c r="A2669" s="22" t="inlineStr">
        <is>
          <t>88309</t>
        </is>
      </c>
      <c r="B2669" s="23" t="inlineStr">
        <is>
          <t>PEDREIRO COM ENCARGOS COMPLEMENTARES</t>
        </is>
      </c>
      <c r="C2669" s="22" t="inlineStr">
        <is>
          <t>SINAPI</t>
        </is>
      </c>
      <c r="D2669" s="22" t="inlineStr">
        <is>
          <t>H</t>
        </is>
      </c>
      <c r="E2669" s="63">
        <f>L2669*FATOR</f>
        <v/>
      </c>
      <c r="F2669" s="64">
        <f>'COMPOSICOES AUXILIARES'!G2887</f>
        <v/>
      </c>
      <c r="G2669" s="64">
        <f>TRUNC(TRUNC(E2669,8)*F2669,2)</f>
        <v/>
      </c>
      <c r="L2669" t="n">
        <v>1.61</v>
      </c>
      <c r="M2669" t="n">
        <v>30.58</v>
      </c>
      <c r="N2669">
        <f>(M2669-F2669)</f>
        <v/>
      </c>
    </row>
    <row r="2670" ht="15" customHeight="1">
      <c r="A2670" s="22" t="inlineStr">
        <is>
          <t>88316</t>
        </is>
      </c>
      <c r="B2670" s="23" t="inlineStr">
        <is>
          <t>SERVENTE COM ENCARGOS COMPLEMENTARES</t>
        </is>
      </c>
      <c r="C2670" s="22" t="inlineStr">
        <is>
          <t>SINAPI</t>
        </is>
      </c>
      <c r="D2670" s="22" t="inlineStr">
        <is>
          <t>H</t>
        </is>
      </c>
      <c r="E2670" s="63">
        <f>L2670*FATOR</f>
        <v/>
      </c>
      <c r="F2670" s="64">
        <f>'COMPOSICOES AUXILIARES'!G3390</f>
        <v/>
      </c>
      <c r="G2670" s="64">
        <f>TRUNC(TRUNC(E2670,8)*F2670,2)</f>
        <v/>
      </c>
      <c r="L2670" t="n">
        <v>0.805</v>
      </c>
      <c r="M2670" t="n">
        <v>23.56</v>
      </c>
      <c r="N2670">
        <f>(M2670-F2670)</f>
        <v/>
      </c>
    </row>
    <row r="2671" ht="18" customHeight="1">
      <c r="A2671" s="2" t="inlineStr"/>
      <c r="B2671" s="2" t="inlineStr"/>
      <c r="C2671" s="2" t="inlineStr"/>
      <c r="D2671" s="2" t="inlineStr"/>
      <c r="E2671" s="26" t="inlineStr">
        <is>
          <t>TOTAL Mão de Obra com Encargos Complementares:</t>
        </is>
      </c>
      <c r="F2671" s="56" t="n"/>
      <c r="G2671" s="65">
        <f>SUM(G2669:G2670)</f>
        <v/>
      </c>
    </row>
    <row r="2672" ht="15" customHeight="1">
      <c r="A2672" s="20" t="inlineStr">
        <is>
          <t>Serviço</t>
        </is>
      </c>
      <c r="B2672" s="56" t="n"/>
      <c r="C2672" s="21" t="inlineStr">
        <is>
          <t>FONTE</t>
        </is>
      </c>
      <c r="D2672" s="21" t="inlineStr">
        <is>
          <t>UNID</t>
        </is>
      </c>
      <c r="E2672" s="21" t="inlineStr">
        <is>
          <t>COEFICIENTE</t>
        </is>
      </c>
      <c r="F2672" s="21" t="inlineStr">
        <is>
          <t>PREÇO UNITÁRIO</t>
        </is>
      </c>
      <c r="G2672" s="21" t="inlineStr">
        <is>
          <t>TOTAL</t>
        </is>
      </c>
    </row>
    <row r="2673" ht="38" customHeight="1">
      <c r="A2673" s="22" t="inlineStr">
        <is>
          <t>87292</t>
        </is>
      </c>
      <c r="B2673" s="23" t="inlineStr">
        <is>
          <t>ARGAMASSA TRAÇO 1:2:8 (EM VOLUME DE CIMENTO, CAL E AREIA MÉDIA ÚMIDA) PARA EMBOÇO/MASSA ÚNICA/ASSENTAMENTO DE ALVENARIA DE VEDAÇÃO, PREPARO MECÂNICO COM BETONEIRA 400 L. AF_08/2019</t>
        </is>
      </c>
      <c r="C2673" s="22" t="inlineStr">
        <is>
          <t>SINAPI</t>
        </is>
      </c>
      <c r="D2673" s="22" t="inlineStr">
        <is>
          <t>M3</t>
        </is>
      </c>
      <c r="E2673" s="63" t="n">
        <v>0.0091</v>
      </c>
      <c r="F2673" s="64">
        <f>'COMPOSICOES AUXILIARES'!G217</f>
        <v/>
      </c>
      <c r="G2673" s="64">
        <f>TRUNC(TRUNC(E2673,8)*F2673,2)</f>
        <v/>
      </c>
      <c r="L2673" t="n">
        <v>0.0091</v>
      </c>
      <c r="M2673" t="n">
        <v>654.5</v>
      </c>
      <c r="N2673">
        <f>(M2673-F2673)</f>
        <v/>
      </c>
    </row>
    <row r="2674" ht="15" customHeight="1">
      <c r="A2674" s="2" t="inlineStr"/>
      <c r="B2674" s="2" t="inlineStr"/>
      <c r="C2674" s="2" t="inlineStr"/>
      <c r="D2674" s="2" t="inlineStr"/>
      <c r="E2674" s="26" t="inlineStr">
        <is>
          <t>TOTAL Serviço:</t>
        </is>
      </c>
      <c r="F2674" s="56" t="n"/>
      <c r="G2674" s="65">
        <f>SUM(G2673:G2673)</f>
        <v/>
      </c>
    </row>
    <row r="2675" ht="15" customHeight="1">
      <c r="A2675" s="2" t="inlineStr"/>
      <c r="B2675" s="2" t="inlineStr"/>
      <c r="C2675" s="2" t="inlineStr"/>
      <c r="D2675" s="2" t="inlineStr"/>
      <c r="E2675" s="28" t="inlineStr">
        <is>
          <t>VALOR:</t>
        </is>
      </c>
      <c r="F2675" s="56" t="n"/>
      <c r="G2675" s="66">
        <f>SUM(G2674,G2667,G2671)</f>
        <v/>
      </c>
    </row>
    <row r="2676" ht="15" customHeight="1">
      <c r="A2676" s="2" t="inlineStr"/>
      <c r="B2676" s="2" t="inlineStr"/>
      <c r="C2676" s="2" t="inlineStr"/>
      <c r="D2676" s="2" t="inlineStr"/>
      <c r="E2676" s="28" t="inlineStr">
        <is>
          <t>VALOR BDI (23.08%):</t>
        </is>
      </c>
      <c r="F2676" s="56" t="n"/>
      <c r="G2676" s="66">
        <f>ROUNDDOWN(G2675*BDI,2)</f>
        <v/>
      </c>
    </row>
    <row r="2677" ht="15" customHeight="1">
      <c r="A2677" s="2" t="inlineStr"/>
      <c r="B2677" s="2" t="inlineStr"/>
      <c r="C2677" s="2" t="inlineStr"/>
      <c r="D2677" s="2" t="inlineStr"/>
      <c r="E2677" s="28" t="inlineStr">
        <is>
          <t>VALOR COM BDI:</t>
        </is>
      </c>
      <c r="F2677" s="56" t="n"/>
      <c r="G2677" s="66">
        <f>G2676 + G2675</f>
        <v/>
      </c>
    </row>
    <row r="2678" ht="10" customHeight="1">
      <c r="A2678" s="2" t="inlineStr"/>
      <c r="B2678" s="2" t="inlineStr"/>
      <c r="C2678" s="2" t="inlineStr"/>
      <c r="D2678" s="2" t="inlineStr"/>
      <c r="E2678" s="18" t="inlineStr"/>
    </row>
    <row r="2679" ht="20" customHeight="1">
      <c r="A2679" s="19" t="inlineStr">
        <is>
          <t>9.1.2.2. ​87794​ EMBOÇO OU MASSA ÚNICA EM ARGAMASSA TRAÇO 1:2:8, PREPARO MANUAL, APLICADA MANUALMENTE EM PANOS CEGOS DE FACHADA (SEM PRESENÇA DE VÃOS), ESPESSURA DE 25MM. AF_09/2022​ (M2)</t>
        </is>
      </c>
      <c r="B2679" s="55" t="n"/>
      <c r="C2679" s="55" t="n"/>
      <c r="D2679" s="55" t="n"/>
      <c r="E2679" s="55" t="n"/>
      <c r="F2679" s="55" t="n"/>
      <c r="G2679" s="56" t="n"/>
    </row>
    <row r="2680" ht="15" customHeight="1">
      <c r="A2680" s="20" t="inlineStr">
        <is>
          <t>Material</t>
        </is>
      </c>
      <c r="B2680" s="56" t="n"/>
      <c r="C2680" s="21" t="inlineStr">
        <is>
          <t>FONTE</t>
        </is>
      </c>
      <c r="D2680" s="21" t="inlineStr">
        <is>
          <t>UNID</t>
        </is>
      </c>
      <c r="E2680" s="21" t="inlineStr">
        <is>
          <t>COEFICIENTE</t>
        </is>
      </c>
      <c r="F2680" s="21" t="inlineStr">
        <is>
          <t>PREÇO UNITÁRIO</t>
        </is>
      </c>
      <c r="G2680" s="21" t="inlineStr">
        <is>
          <t>TOTAL</t>
        </is>
      </c>
    </row>
    <row r="2681" ht="21" customHeight="1">
      <c r="A2681" s="22" t="inlineStr">
        <is>
          <t>00037411</t>
        </is>
      </c>
      <c r="B2681" s="23" t="inlineStr">
        <is>
          <t>TELA DE ACO SOLDADA GALVANIZADA/ZINCADA PARA ALVENARIA, FIO D = *1,24 MM, MALHA 25 X 25 MM</t>
        </is>
      </c>
      <c r="C2681" s="22" t="inlineStr">
        <is>
          <t>SINAPI</t>
        </is>
      </c>
      <c r="D2681" s="22" t="inlineStr">
        <is>
          <t>M2</t>
        </is>
      </c>
      <c r="E2681" s="63" t="n">
        <v>0.1581</v>
      </c>
      <c r="F2681" s="64">
        <f>ROUND(M2681*FATOR, 2)</f>
        <v/>
      </c>
      <c r="G2681" s="64">
        <f>TRUNC(TRUNC(E2681,8)*F2681,2)</f>
        <v/>
      </c>
      <c r="L2681" t="n">
        <v>0.1581</v>
      </c>
      <c r="M2681" t="n">
        <v>15.07</v>
      </c>
      <c r="N2681">
        <f>(M2681-F2681)</f>
        <v/>
      </c>
    </row>
    <row r="2682" ht="15" customHeight="1">
      <c r="A2682" s="2" t="inlineStr"/>
      <c r="B2682" s="2" t="inlineStr"/>
      <c r="C2682" s="2" t="inlineStr"/>
      <c r="D2682" s="2" t="inlineStr"/>
      <c r="E2682" s="26" t="inlineStr">
        <is>
          <t>TOTAL Material:</t>
        </is>
      </c>
      <c r="F2682" s="56" t="n"/>
      <c r="G2682" s="65">
        <f>SUM(G2681:G2681)</f>
        <v/>
      </c>
    </row>
    <row r="2683" ht="15" customHeight="1">
      <c r="A2683" s="20" t="inlineStr">
        <is>
          <t>Mão de Obra com Encargos Complementares</t>
        </is>
      </c>
      <c r="B2683" s="56" t="n"/>
      <c r="C2683" s="21" t="inlineStr">
        <is>
          <t>FONTE</t>
        </is>
      </c>
      <c r="D2683" s="21" t="inlineStr">
        <is>
          <t>UNID</t>
        </is>
      </c>
      <c r="E2683" s="21" t="inlineStr">
        <is>
          <t>COEFICIENTE</t>
        </is>
      </c>
      <c r="F2683" s="21" t="inlineStr">
        <is>
          <t>PREÇO UNITÁRIO</t>
        </is>
      </c>
      <c r="G2683" s="21" t="inlineStr">
        <is>
          <t>TOTAL</t>
        </is>
      </c>
    </row>
    <row r="2684" ht="15" customHeight="1">
      <c r="A2684" s="22" t="inlineStr">
        <is>
          <t>88309</t>
        </is>
      </c>
      <c r="B2684" s="23" t="inlineStr">
        <is>
          <t>PEDREIRO COM ENCARGOS COMPLEMENTARES</t>
        </is>
      </c>
      <c r="C2684" s="22" t="inlineStr">
        <is>
          <t>SINAPI</t>
        </is>
      </c>
      <c r="D2684" s="22" t="inlineStr">
        <is>
          <t>H</t>
        </is>
      </c>
      <c r="E2684" s="63">
        <f>L2684*FATOR</f>
        <v/>
      </c>
      <c r="F2684" s="64">
        <f>'COMPOSICOES AUXILIARES'!G2887</f>
        <v/>
      </c>
      <c r="G2684" s="64">
        <f>TRUNC(TRUNC(E2684,8)*F2684,2)</f>
        <v/>
      </c>
      <c r="L2684" t="n">
        <v>0.409</v>
      </c>
      <c r="M2684" t="n">
        <v>30.58</v>
      </c>
      <c r="N2684">
        <f>(M2684-F2684)</f>
        <v/>
      </c>
    </row>
    <row r="2685" ht="15" customHeight="1">
      <c r="A2685" s="22" t="inlineStr">
        <is>
          <t>88316</t>
        </is>
      </c>
      <c r="B2685" s="23" t="inlineStr">
        <is>
          <t>SERVENTE COM ENCARGOS COMPLEMENTARES</t>
        </is>
      </c>
      <c r="C2685" s="22" t="inlineStr">
        <is>
          <t>SINAPI</t>
        </is>
      </c>
      <c r="D2685" s="22" t="inlineStr">
        <is>
          <t>H</t>
        </is>
      </c>
      <c r="E2685" s="63">
        <f>L2685*FATOR</f>
        <v/>
      </c>
      <c r="F2685" s="64">
        <f>'COMPOSICOES AUXILIARES'!G3390</f>
        <v/>
      </c>
      <c r="G2685" s="64">
        <f>TRUNC(TRUNC(E2685,8)*F2685,2)</f>
        <v/>
      </c>
      <c r="L2685" t="n">
        <v>0.409</v>
      </c>
      <c r="M2685" t="n">
        <v>23.56</v>
      </c>
      <c r="N2685">
        <f>(M2685-F2685)</f>
        <v/>
      </c>
    </row>
    <row r="2686" ht="18" customHeight="1">
      <c r="A2686" s="2" t="inlineStr"/>
      <c r="B2686" s="2" t="inlineStr"/>
      <c r="C2686" s="2" t="inlineStr"/>
      <c r="D2686" s="2" t="inlineStr"/>
      <c r="E2686" s="26" t="inlineStr">
        <is>
          <t>TOTAL Mão de Obra com Encargos Complementares:</t>
        </is>
      </c>
      <c r="F2686" s="56" t="n"/>
      <c r="G2686" s="65">
        <f>SUM(G2684:G2685)</f>
        <v/>
      </c>
    </row>
    <row r="2687" ht="15" customHeight="1">
      <c r="A2687" s="20" t="inlineStr">
        <is>
          <t>Serviço</t>
        </is>
      </c>
      <c r="B2687" s="56" t="n"/>
      <c r="C2687" s="21" t="inlineStr">
        <is>
          <t>FONTE</t>
        </is>
      </c>
      <c r="D2687" s="21" t="inlineStr">
        <is>
          <t>UNID</t>
        </is>
      </c>
      <c r="E2687" s="21" t="inlineStr">
        <is>
          <t>COEFICIENTE</t>
        </is>
      </c>
      <c r="F2687" s="21" t="inlineStr">
        <is>
          <t>PREÇO UNITÁRIO</t>
        </is>
      </c>
      <c r="G2687" s="21" t="inlineStr">
        <is>
          <t>TOTAL</t>
        </is>
      </c>
    </row>
    <row r="2688" ht="38" customHeight="1">
      <c r="A2688" s="22" t="inlineStr">
        <is>
          <t>87369</t>
        </is>
      </c>
      <c r="B2688" s="23" t="inlineStr">
        <is>
          <t>ARGAMASSA TRAÇO 1:2:8 (EM VOLUME DE CIMENTO, CAL E AREIA MÉDIA ÚMIDA) PARA EMBOÇO/MASSA ÚNICA/ASSENTAMENTO DE ALVENARIA DE VEDAÇÃO, PREPARO MANUAL. AF_08/2019</t>
        </is>
      </c>
      <c r="C2688" s="22" t="inlineStr">
        <is>
          <t>SINAPI</t>
        </is>
      </c>
      <c r="D2688" s="22" t="inlineStr">
        <is>
          <t>M3</t>
        </is>
      </c>
      <c r="E2688" s="63" t="n">
        <v>0.0293</v>
      </c>
      <c r="F2688" s="64">
        <f>'COMPOSICOES AUXILIARES'!G200</f>
        <v/>
      </c>
      <c r="G2688" s="64">
        <f>TRUNC(TRUNC(E2688,8)*F2688,2)</f>
        <v/>
      </c>
      <c r="L2688" t="n">
        <v>0.0293</v>
      </c>
      <c r="M2688" t="n">
        <v>771.21</v>
      </c>
      <c r="N2688">
        <f>(M2688-F2688)</f>
        <v/>
      </c>
    </row>
    <row r="2689" ht="15" customHeight="1">
      <c r="A2689" s="2" t="inlineStr"/>
      <c r="B2689" s="2" t="inlineStr"/>
      <c r="C2689" s="2" t="inlineStr"/>
      <c r="D2689" s="2" t="inlineStr"/>
      <c r="E2689" s="26" t="inlineStr">
        <is>
          <t>TOTAL Serviço:</t>
        </is>
      </c>
      <c r="F2689" s="56" t="n"/>
      <c r="G2689" s="65">
        <f>SUM(G2688:G2688)</f>
        <v/>
      </c>
    </row>
    <row r="2690" ht="15" customHeight="1">
      <c r="A2690" s="2" t="inlineStr"/>
      <c r="B2690" s="2" t="inlineStr"/>
      <c r="C2690" s="2" t="inlineStr"/>
      <c r="D2690" s="2" t="inlineStr"/>
      <c r="E2690" s="28" t="inlineStr">
        <is>
          <t>VALOR:</t>
        </is>
      </c>
      <c r="F2690" s="56" t="n"/>
      <c r="G2690" s="66">
        <f>SUM(G2689,G2682,G2686)</f>
        <v/>
      </c>
    </row>
    <row r="2691" ht="15" customHeight="1">
      <c r="A2691" s="2" t="inlineStr"/>
      <c r="B2691" s="2" t="inlineStr"/>
      <c r="C2691" s="2" t="inlineStr"/>
      <c r="D2691" s="2" t="inlineStr"/>
      <c r="E2691" s="28" t="inlineStr">
        <is>
          <t>VALOR BDI (23.08%):</t>
        </is>
      </c>
      <c r="F2691" s="56" t="n"/>
      <c r="G2691" s="66">
        <f>ROUNDDOWN(G2690*BDI,2)</f>
        <v/>
      </c>
    </row>
    <row r="2692" ht="15" customHeight="1">
      <c r="A2692" s="2" t="inlineStr"/>
      <c r="B2692" s="2" t="inlineStr"/>
      <c r="C2692" s="2" t="inlineStr"/>
      <c r="D2692" s="2" t="inlineStr"/>
      <c r="E2692" s="28" t="inlineStr">
        <is>
          <t>VALOR COM BDI:</t>
        </is>
      </c>
      <c r="F2692" s="56" t="n"/>
      <c r="G2692" s="66">
        <f>G2691 + G2690</f>
        <v/>
      </c>
    </row>
    <row r="2693" ht="10" customHeight="1">
      <c r="A2693" s="2" t="inlineStr"/>
      <c r="B2693" s="2" t="inlineStr"/>
      <c r="C2693" s="2" t="inlineStr"/>
      <c r="D2693" s="2" t="inlineStr"/>
      <c r="E2693" s="18" t="inlineStr"/>
    </row>
    <row r="2694" ht="20" customHeight="1">
      <c r="A2694" s="19" t="inlineStr">
        <is>
          <t>9.1.2.3. ​101795​ CAIXA ENTERRADA PARA INSTALAÇÕES TELEFÔNICAS TIPO R1, EM ALVENARIA COM BLOCOS DE CONCRETO, DIMENSÕES INTERNAS: 0,35X0,60X0,60 M, EXCLUINDOTAMPÃO. AF_12/2020​ (UN)</t>
        </is>
      </c>
      <c r="B2694" s="55" t="n"/>
      <c r="C2694" s="55" t="n"/>
      <c r="D2694" s="55" t="n"/>
      <c r="E2694" s="55" t="n"/>
      <c r="F2694" s="55" t="n"/>
      <c r="G2694" s="56" t="n"/>
    </row>
    <row r="2695" ht="15" customHeight="1">
      <c r="A2695" s="20" t="inlineStr">
        <is>
          <t>Equipamento Custo Horário</t>
        </is>
      </c>
      <c r="B2695" s="56" t="n"/>
      <c r="C2695" s="21" t="inlineStr">
        <is>
          <t>FONTE</t>
        </is>
      </c>
      <c r="D2695" s="21" t="inlineStr">
        <is>
          <t>UNID</t>
        </is>
      </c>
      <c r="E2695" s="21" t="inlineStr">
        <is>
          <t>COEFICIENTE</t>
        </is>
      </c>
      <c r="F2695" s="21" t="inlineStr">
        <is>
          <t>PREÇO UNITÁRIO</t>
        </is>
      </c>
      <c r="G2695" s="21" t="inlineStr">
        <is>
          <t>TOTAL</t>
        </is>
      </c>
    </row>
    <row r="2696" ht="46" customHeight="1">
      <c r="A2696" s="22" t="inlineStr">
        <is>
          <t>5679</t>
        </is>
      </c>
      <c r="B2696" s="23" t="inlineStr">
        <is>
          <t>RETROESCAVADEIRA SOBRE RODAS COM CARREGADEIRA, TRAÇÃO 4X4, POTÊNCIA LÍQ. 88 HP, CAÇAMBA CARREG. CAP. MÍN. 1 M3, CAÇAMBA RETRO CAP. 0,26 M3, PESO OPERACIONAL MÍN. 6.674 KG, PROFUNDIDADE ESCAVAÇÃO MÁX. 4,37 M - CHI DIURNO. AF_06/2014</t>
        </is>
      </c>
      <c r="C2696" s="22" t="inlineStr">
        <is>
          <t>SINAPI</t>
        </is>
      </c>
      <c r="D2696" s="22" t="inlineStr">
        <is>
          <t>CHI</t>
        </is>
      </c>
      <c r="E2696" s="63" t="n">
        <v>0.07530000000000001</v>
      </c>
      <c r="F2696" s="64">
        <f>'COMPOSICOES AUXILIARES'!G3248</f>
        <v/>
      </c>
      <c r="G2696" s="64">
        <f>TRUNC(TRUNC(E2696,8)*F2696,2)</f>
        <v/>
      </c>
      <c r="L2696" t="n">
        <v>0.07530000000000001</v>
      </c>
      <c r="M2696" t="n">
        <v>69.12</v>
      </c>
      <c r="N2696">
        <f>(M2696-F2696)</f>
        <v/>
      </c>
    </row>
    <row r="2697" ht="46" customHeight="1">
      <c r="A2697" s="22" t="inlineStr">
        <is>
          <t>5678</t>
        </is>
      </c>
      <c r="B2697" s="23" t="inlineStr">
        <is>
          <t>RETROESCAVADEIRA SOBRE RODAS COM CARREGADEIRA, TRAÇÃO 4X4, POTÊNCIA LÍQ. 88 HP, CAÇAMBA CARREG. CAP. MÍN. 1 M3, CAÇAMBA RETRO CAP. 0,26 M3, PESO OPERACIONAL MÍN. 6.674 KG, PROFUNDIDADE ESCAVAÇÃO MÁX. 4,37 M - CHP DIURNO. AF_06/2014</t>
        </is>
      </c>
      <c r="C2697" s="22" t="inlineStr">
        <is>
          <t>SINAPI</t>
        </is>
      </c>
      <c r="D2697" s="22" t="inlineStr">
        <is>
          <t>CHP</t>
        </is>
      </c>
      <c r="E2697" s="63" t="n">
        <v>0.0369</v>
      </c>
      <c r="F2697" s="64">
        <f>'COMPOSICOES AUXILIARES'!G3262</f>
        <v/>
      </c>
      <c r="G2697" s="64">
        <f>TRUNC(TRUNC(E2697,8)*F2697,2)</f>
        <v/>
      </c>
      <c r="L2697" t="n">
        <v>0.0369</v>
      </c>
      <c r="M2697" t="n">
        <v>152.91</v>
      </c>
      <c r="N2697">
        <f>(M2697-F2697)</f>
        <v/>
      </c>
    </row>
    <row r="2698" ht="18" customHeight="1">
      <c r="A2698" s="2" t="inlineStr"/>
      <c r="B2698" s="2" t="inlineStr"/>
      <c r="C2698" s="2" t="inlineStr"/>
      <c r="D2698" s="2" t="inlineStr"/>
      <c r="E2698" s="26" t="inlineStr">
        <is>
          <t>TOTAL Equipamento Custo Horário:</t>
        </is>
      </c>
      <c r="F2698" s="56" t="n"/>
      <c r="G2698" s="65">
        <f>SUM(G2696:G2697)</f>
        <v/>
      </c>
    </row>
    <row r="2699" ht="15" customHeight="1">
      <c r="A2699" s="20" t="inlineStr">
        <is>
          <t>Material</t>
        </is>
      </c>
      <c r="B2699" s="56" t="n"/>
      <c r="C2699" s="21" t="inlineStr">
        <is>
          <t>FONTE</t>
        </is>
      </c>
      <c r="D2699" s="21" t="inlineStr">
        <is>
          <t>UNID</t>
        </is>
      </c>
      <c r="E2699" s="21" t="inlineStr">
        <is>
          <t>COEFICIENTE</t>
        </is>
      </c>
      <c r="F2699" s="21" t="inlineStr">
        <is>
          <t>PREÇO UNITÁRIO</t>
        </is>
      </c>
      <c r="G2699" s="21" t="inlineStr">
        <is>
          <t>TOTAL</t>
        </is>
      </c>
    </row>
    <row r="2700" ht="21" customHeight="1">
      <c r="A2700" s="22" t="inlineStr">
        <is>
          <t>00025067</t>
        </is>
      </c>
      <c r="B2700" s="23" t="inlineStr">
        <is>
          <t>BLOCO DE CONCRETO ESTRUTURAL 19 X 19 X 39 CM, FBK 4,5 MPA (NBR 6136)</t>
        </is>
      </c>
      <c r="C2700" s="22" t="inlineStr">
        <is>
          <t>SINAPI</t>
        </is>
      </c>
      <c r="D2700" s="22" t="inlineStr">
        <is>
          <t>UN</t>
        </is>
      </c>
      <c r="E2700" s="63" t="n">
        <v>14.059</v>
      </c>
      <c r="F2700" s="64">
        <f>ROUND(M2700*FATOR, 2)</f>
        <v/>
      </c>
      <c r="G2700" s="64">
        <f>TRUNC(TRUNC(E2700,8)*F2700,2)</f>
        <v/>
      </c>
      <c r="L2700" t="n">
        <v>14.059</v>
      </c>
      <c r="M2700" t="n">
        <v>5.89</v>
      </c>
      <c r="N2700">
        <f>(M2700-F2700)</f>
        <v/>
      </c>
    </row>
    <row r="2701" ht="21" customHeight="1">
      <c r="A2701" s="22" t="inlineStr">
        <is>
          <t>00000660</t>
        </is>
      </c>
      <c r="B2701" s="23" t="inlineStr">
        <is>
          <t>CANALETA DE CONCRETO 19 X 19 X 19 CM (CLASSE C - NBR 6136)</t>
        </is>
      </c>
      <c r="C2701" s="22" t="inlineStr">
        <is>
          <t>SINAPI</t>
        </is>
      </c>
      <c r="D2701" s="22" t="inlineStr">
        <is>
          <t>UN</t>
        </is>
      </c>
      <c r="E2701" s="63" t="n">
        <v>14.175</v>
      </c>
      <c r="F2701" s="64">
        <f>ROUND(M2701*FATOR, 2)</f>
        <v/>
      </c>
      <c r="G2701" s="64">
        <f>TRUNC(TRUNC(E2701,8)*F2701,2)</f>
        <v/>
      </c>
      <c r="L2701" t="n">
        <v>14.175</v>
      </c>
      <c r="M2701" t="n">
        <v>3.65</v>
      </c>
      <c r="N2701">
        <f>(M2701-F2701)</f>
        <v/>
      </c>
    </row>
    <row r="2702" ht="21" customHeight="1">
      <c r="A2702" s="22" t="inlineStr">
        <is>
          <t>00002692</t>
        </is>
      </c>
      <c r="B2702" s="23" t="inlineStr">
        <is>
          <t>DESMOLDANTE PROTETOR PARA FORMAS DE MADEIRA, DE BASE OLEOSA EMULSIONADA EM AGUA</t>
        </is>
      </c>
      <c r="C2702" s="22" t="inlineStr">
        <is>
          <t>SINAPI</t>
        </is>
      </c>
      <c r="D2702" s="22" t="inlineStr">
        <is>
          <t>L</t>
        </is>
      </c>
      <c r="E2702" s="63" t="n">
        <v>0.006</v>
      </c>
      <c r="F2702" s="64">
        <f>ROUND(M2702*FATOR, 2)</f>
        <v/>
      </c>
      <c r="G2702" s="64">
        <f>TRUNC(TRUNC(E2702,8)*F2702,2)</f>
        <v/>
      </c>
      <c r="L2702" t="n">
        <v>0.006</v>
      </c>
      <c r="M2702" t="n">
        <v>8.06</v>
      </c>
      <c r="N2702">
        <f>(M2702-F2702)</f>
        <v/>
      </c>
    </row>
    <row r="2703" ht="21" customHeight="1">
      <c r="A2703" s="22" t="inlineStr">
        <is>
          <t>00004491</t>
        </is>
      </c>
      <c r="B2703" s="23" t="inlineStr">
        <is>
          <t>PONTALETE *7,5 X 7,5* CM EM PINUS, MISTA OU EQUIVALENTE DA REGIAO - BRUTA</t>
        </is>
      </c>
      <c r="C2703" s="22" t="inlineStr">
        <is>
          <t>SINAPI</t>
        </is>
      </c>
      <c r="D2703" s="22" t="inlineStr">
        <is>
          <t>M</t>
        </is>
      </c>
      <c r="E2703" s="63" t="n">
        <v>0.1295</v>
      </c>
      <c r="F2703" s="64">
        <f>ROUND(M2703*FATOR, 2)</f>
        <v/>
      </c>
      <c r="G2703" s="64">
        <f>TRUNC(TRUNC(E2703,8)*F2703,2)</f>
        <v/>
      </c>
      <c r="L2703" t="n">
        <v>0.1295</v>
      </c>
      <c r="M2703" t="n">
        <v>11.05</v>
      </c>
      <c r="N2703">
        <f>(M2703-F2703)</f>
        <v/>
      </c>
    </row>
    <row r="2704" ht="15" customHeight="1">
      <c r="A2704" s="22" t="inlineStr">
        <is>
          <t>00005069</t>
        </is>
      </c>
      <c r="B2704" s="23" t="inlineStr">
        <is>
          <t>PREGO DE ACO POLIDO COM CABECA 17 X 27 (2 1/2 X 11)</t>
        </is>
      </c>
      <c r="C2704" s="22" t="inlineStr">
        <is>
          <t>SINAPI</t>
        </is>
      </c>
      <c r="D2704" s="22" t="inlineStr">
        <is>
          <t>KG</t>
        </is>
      </c>
      <c r="E2704" s="63" t="n">
        <v>0.0137</v>
      </c>
      <c r="F2704" s="64">
        <f>ROUND(M2704*FATOR, 2)</f>
        <v/>
      </c>
      <c r="G2704" s="64">
        <f>TRUNC(TRUNC(E2704,8)*F2704,2)</f>
        <v/>
      </c>
      <c r="L2704" t="n">
        <v>0.0137</v>
      </c>
      <c r="M2704" t="n">
        <v>14.46</v>
      </c>
      <c r="N2704">
        <f>(M2704-F2704)</f>
        <v/>
      </c>
    </row>
    <row r="2705" ht="21" customHeight="1">
      <c r="A2705" s="22" t="inlineStr">
        <is>
          <t>00004517</t>
        </is>
      </c>
      <c r="B2705" s="23" t="inlineStr">
        <is>
          <t>SARRAFO *2,5 X 7,5* CM EM PINUS, MISTA OU EQUIVALENTE DA REGIAO - BRUTA</t>
        </is>
      </c>
      <c r="C2705" s="22" t="inlineStr">
        <is>
          <t>SINAPI</t>
        </is>
      </c>
      <c r="D2705" s="22" t="inlineStr">
        <is>
          <t>M</t>
        </is>
      </c>
      <c r="E2705" s="63" t="n">
        <v>0.154</v>
      </c>
      <c r="F2705" s="64">
        <f>ROUND(M2705*FATOR, 2)</f>
        <v/>
      </c>
      <c r="G2705" s="64">
        <f>TRUNC(TRUNC(E2705,8)*F2705,2)</f>
        <v/>
      </c>
      <c r="L2705" t="n">
        <v>0.154</v>
      </c>
      <c r="M2705" t="n">
        <v>3.87</v>
      </c>
      <c r="N2705">
        <f>(M2705-F2705)</f>
        <v/>
      </c>
    </row>
    <row r="2706" ht="29" customHeight="1">
      <c r="A2706" s="22" t="inlineStr">
        <is>
          <t>00006193</t>
        </is>
      </c>
      <c r="B2706" s="23" t="inlineStr">
        <is>
          <t>TABUA NAO APARELHADA *2,5 X 20* CM, EM MACARANDUBA/MASSARANDUBA, ANGELIM OU EQUIVALENTE DA REGIAO - BRUTA</t>
        </is>
      </c>
      <c r="C2706" s="22" t="inlineStr">
        <is>
          <t>SINAPI</t>
        </is>
      </c>
      <c r="D2706" s="22" t="inlineStr">
        <is>
          <t>M</t>
        </is>
      </c>
      <c r="E2706" s="63" t="n">
        <v>0.483</v>
      </c>
      <c r="F2706" s="64">
        <f>ROUND(M2706*FATOR, 2)</f>
        <v/>
      </c>
      <c r="G2706" s="64">
        <f>TRUNC(TRUNC(E2706,8)*F2706,2)</f>
        <v/>
      </c>
      <c r="L2706" t="n">
        <v>0.483</v>
      </c>
      <c r="M2706" t="n">
        <v>20.49</v>
      </c>
      <c r="N2706">
        <f>(M2706-F2706)</f>
        <v/>
      </c>
    </row>
    <row r="2707" ht="15" customHeight="1">
      <c r="A2707" s="2" t="inlineStr"/>
      <c r="B2707" s="2" t="inlineStr"/>
      <c r="C2707" s="2" t="inlineStr"/>
      <c r="D2707" s="2" t="inlineStr"/>
      <c r="E2707" s="26" t="inlineStr">
        <is>
          <t>TOTAL Material:</t>
        </is>
      </c>
      <c r="F2707" s="56" t="n"/>
      <c r="G2707" s="65">
        <f>SUM(G2700:G2706)</f>
        <v/>
      </c>
    </row>
    <row r="2708" ht="15" customHeight="1">
      <c r="A2708" s="20" t="inlineStr">
        <is>
          <t>Mão de Obra com Encargos Complementares</t>
        </is>
      </c>
      <c r="B2708" s="56" t="n"/>
      <c r="C2708" s="21" t="inlineStr">
        <is>
          <t>FONTE</t>
        </is>
      </c>
      <c r="D2708" s="21" t="inlineStr">
        <is>
          <t>UNID</t>
        </is>
      </c>
      <c r="E2708" s="21" t="inlineStr">
        <is>
          <t>COEFICIENTE</t>
        </is>
      </c>
      <c r="F2708" s="21" t="inlineStr">
        <is>
          <t>PREÇO UNITÁRIO</t>
        </is>
      </c>
      <c r="G2708" s="21" t="inlineStr">
        <is>
          <t>TOTAL</t>
        </is>
      </c>
    </row>
    <row r="2709" ht="15" customHeight="1">
      <c r="A2709" s="22" t="inlineStr">
        <is>
          <t>88309</t>
        </is>
      </c>
      <c r="B2709" s="23" t="inlineStr">
        <is>
          <t>PEDREIRO COM ENCARGOS COMPLEMENTARES</t>
        </is>
      </c>
      <c r="C2709" s="22" t="inlineStr">
        <is>
          <t>SINAPI</t>
        </is>
      </c>
      <c r="D2709" s="22" t="inlineStr">
        <is>
          <t>H</t>
        </is>
      </c>
      <c r="E2709" s="63">
        <f>L2709*FATOR</f>
        <v/>
      </c>
      <c r="F2709" s="64">
        <f>'COMPOSICOES AUXILIARES'!G2887</f>
        <v/>
      </c>
      <c r="G2709" s="64">
        <f>TRUNC(TRUNC(E2709,8)*F2709,2)</f>
        <v/>
      </c>
      <c r="L2709" t="n">
        <v>3.4972</v>
      </c>
      <c r="M2709" t="n">
        <v>30.58</v>
      </c>
      <c r="N2709">
        <f>(M2709-F2709)</f>
        <v/>
      </c>
    </row>
    <row r="2710" ht="15" customHeight="1">
      <c r="A2710" s="22" t="inlineStr">
        <is>
          <t>88316</t>
        </is>
      </c>
      <c r="B2710" s="23" t="inlineStr">
        <is>
          <t>SERVENTE COM ENCARGOS COMPLEMENTARES</t>
        </is>
      </c>
      <c r="C2710" s="22" t="inlineStr">
        <is>
          <t>SINAPI</t>
        </is>
      </c>
      <c r="D2710" s="22" t="inlineStr">
        <is>
          <t>H</t>
        </is>
      </c>
      <c r="E2710" s="63">
        <f>L2710*FATOR</f>
        <v/>
      </c>
      <c r="F2710" s="64">
        <f>'COMPOSICOES AUXILIARES'!G3390</f>
        <v/>
      </c>
      <c r="G2710" s="64">
        <f>TRUNC(TRUNC(E2710,8)*F2710,2)</f>
        <v/>
      </c>
      <c r="L2710" t="n">
        <v>2.7478</v>
      </c>
      <c r="M2710" t="n">
        <v>23.56</v>
      </c>
      <c r="N2710">
        <f>(M2710-F2710)</f>
        <v/>
      </c>
    </row>
    <row r="2711" ht="18" customHeight="1">
      <c r="A2711" s="2" t="inlineStr"/>
      <c r="B2711" s="2" t="inlineStr"/>
      <c r="C2711" s="2" t="inlineStr"/>
      <c r="D2711" s="2" t="inlineStr"/>
      <c r="E2711" s="26" t="inlineStr">
        <is>
          <t>TOTAL Mão de Obra com Encargos Complementares:</t>
        </is>
      </c>
      <c r="F2711" s="56" t="n"/>
      <c r="G2711" s="65">
        <f>SUM(G2709:G2710)</f>
        <v/>
      </c>
    </row>
    <row r="2712" ht="15" customHeight="1">
      <c r="A2712" s="20" t="inlineStr">
        <is>
          <t>Serviço</t>
        </is>
      </c>
      <c r="B2712" s="56" t="n"/>
      <c r="C2712" s="21" t="inlineStr">
        <is>
          <t>FONTE</t>
        </is>
      </c>
      <c r="D2712" s="21" t="inlineStr">
        <is>
          <t>UNID</t>
        </is>
      </c>
      <c r="E2712" s="21" t="inlineStr">
        <is>
          <t>COEFICIENTE</t>
        </is>
      </c>
      <c r="F2712" s="21" t="inlineStr">
        <is>
          <t>PREÇO UNITÁRIO</t>
        </is>
      </c>
      <c r="G2712" s="21" t="inlineStr">
        <is>
          <t>TOTAL</t>
        </is>
      </c>
    </row>
    <row r="2713" ht="29" customHeight="1">
      <c r="A2713" s="22" t="inlineStr">
        <is>
          <t>88628</t>
        </is>
      </c>
      <c r="B2713" s="23" t="inlineStr">
        <is>
          <t>ARGAMASSA TRAÇO 1:3 (EM VOLUME DE CIMENTO E AREIA MÉDIA ÚMIDA), PREPARO MECÂNICO COM BETONEIRA 400 L. AF_08/2019</t>
        </is>
      </c>
      <c r="C2713" s="22" t="inlineStr">
        <is>
          <t>SINAPI</t>
        </is>
      </c>
      <c r="D2713" s="22" t="inlineStr">
        <is>
          <t>M3</t>
        </is>
      </c>
      <c r="E2713" s="63" t="n">
        <v>0.0798</v>
      </c>
      <c r="F2713" s="64">
        <f>'COMPOSICOES AUXILIARES'!G324</f>
        <v/>
      </c>
      <c r="G2713" s="64">
        <f>TRUNC(TRUNC(E2713,8)*F2713,2)</f>
        <v/>
      </c>
      <c r="L2713" t="n">
        <v>0.0798</v>
      </c>
      <c r="M2713" t="n">
        <v>600.33</v>
      </c>
      <c r="N2713">
        <f>(M2713-F2713)</f>
        <v/>
      </c>
    </row>
    <row r="2714" ht="29" customHeight="1">
      <c r="A2714" s="22" t="inlineStr">
        <is>
          <t>87316</t>
        </is>
      </c>
      <c r="B2714" s="23" t="inlineStr">
        <is>
          <t>ARGAMASSA TRAÇO 1:4 (EM VOLUME DE CIMENTO E AREIA GROSSA ÚMIDA) PARA CHAPISCO CONVENCIONAL, PREPARO MECÂNICO COM BETONEIRA 400 L. AF_08/2019</t>
        </is>
      </c>
      <c r="C2714" s="22" t="inlineStr">
        <is>
          <t>SINAPI</t>
        </is>
      </c>
      <c r="D2714" s="22" t="inlineStr">
        <is>
          <t>M3</t>
        </is>
      </c>
      <c r="E2714" s="63" t="n">
        <v>0.0144</v>
      </c>
      <c r="F2714" s="64">
        <f>'COMPOSICOES AUXILIARES'!G340</f>
        <v/>
      </c>
      <c r="G2714" s="64">
        <f>TRUNC(TRUNC(E2714,8)*F2714,2)</f>
        <v/>
      </c>
      <c r="L2714" t="n">
        <v>0.0144</v>
      </c>
      <c r="M2714" t="n">
        <v>528.67</v>
      </c>
      <c r="N2714">
        <f>(M2714-F2714)</f>
        <v/>
      </c>
    </row>
    <row r="2715" ht="21" customHeight="1">
      <c r="A2715" s="22" t="inlineStr">
        <is>
          <t>89998</t>
        </is>
      </c>
      <c r="B2715" s="23" t="inlineStr">
        <is>
          <t>ARMAÇÃO DE CINTA DE ALVENARIA ESTRUTURAL; DIÂMETRO DE 10,0 MM. AF_09/2021</t>
        </is>
      </c>
      <c r="C2715" s="22" t="inlineStr">
        <is>
          <t>SINAPI</t>
        </is>
      </c>
      <c r="D2715" s="22" t="inlineStr">
        <is>
          <t>KG</t>
        </is>
      </c>
      <c r="E2715" s="63" t="n">
        <v>1.6659</v>
      </c>
      <c r="F2715" s="64">
        <f>'COMPOSICOES AUXILIARES'!G413</f>
        <v/>
      </c>
      <c r="G2715" s="64">
        <f>TRUNC(TRUNC(E2715,8)*F2715,2)</f>
        <v/>
      </c>
      <c r="L2715" t="n">
        <v>1.6659</v>
      </c>
      <c r="M2715" t="n">
        <v>9.68</v>
      </c>
      <c r="N2715">
        <f>(M2715-F2715)</f>
        <v/>
      </c>
    </row>
    <row r="2716" ht="29" customHeight="1">
      <c r="A2716" s="22" t="inlineStr">
        <is>
          <t>94970</t>
        </is>
      </c>
      <c r="B2716" s="23" t="inlineStr">
        <is>
          <t>CONCRETO FCK = 20MPA, TRAÇO 1:2,7:3 (EM MASSA SECA DE CIMENTO/ AREIA MÉDIA/ BRITA 1) - PREPARO MECÂNICO COM BETONEIRA 600 L. AF_05/2021</t>
        </is>
      </c>
      <c r="C2716" s="22" t="inlineStr">
        <is>
          <t>SINAPI</t>
        </is>
      </c>
      <c r="D2716" s="22" t="inlineStr">
        <is>
          <t>M3</t>
        </is>
      </c>
      <c r="E2716" s="63" t="n">
        <v>0.0872</v>
      </c>
      <c r="F2716" s="64">
        <f>'COMPOSICOES AUXILIARES'!G1196</f>
        <v/>
      </c>
      <c r="G2716" s="64">
        <f>TRUNC(TRUNC(E2716,8)*F2716,2)</f>
        <v/>
      </c>
      <c r="L2716" t="n">
        <v>0.0872</v>
      </c>
      <c r="M2716" t="n">
        <v>495.23</v>
      </c>
      <c r="N2716">
        <f>(M2716-F2716)</f>
        <v/>
      </c>
    </row>
    <row r="2717" ht="21" customHeight="1">
      <c r="A2717" s="22" t="inlineStr">
        <is>
          <t>89995</t>
        </is>
      </c>
      <c r="B2717" s="23" t="inlineStr">
        <is>
          <t>GRAUTEAMENTO DE CINTA SUPERIOR OU DE VERGA EM ALVENARIA ESTRUTURAL. AF_09/2021</t>
        </is>
      </c>
      <c r="C2717" s="22" t="inlineStr">
        <is>
          <t>SINAPI</t>
        </is>
      </c>
      <c r="D2717" s="22" t="inlineStr">
        <is>
          <t>M3</t>
        </is>
      </c>
      <c r="E2717" s="63" t="n">
        <v>0.0415</v>
      </c>
      <c r="F2717" s="64">
        <f>'COMPOSICOES AUXILIARES'!G2186</f>
        <v/>
      </c>
      <c r="G2717" s="64">
        <f>TRUNC(TRUNC(E2717,8)*F2717,2)</f>
        <v/>
      </c>
      <c r="L2717" t="n">
        <v>0.0415</v>
      </c>
      <c r="M2717" t="n">
        <v>1063.08</v>
      </c>
      <c r="N2717">
        <f>(M2717-F2717)</f>
        <v/>
      </c>
    </row>
    <row r="2718" ht="29" customHeight="1">
      <c r="A2718" s="22" t="inlineStr">
        <is>
          <t>97735</t>
        </is>
      </c>
      <c r="B2718" s="23" t="inlineStr">
        <is>
          <t>PEÇA RETANGULAR PRÉ-MOLDADA, VOLUME DE CONCRETO DE 30 A 100 LITROS, TAXA DE AÇO APROXIMADA DE 30KG/M³. AF_03/2024</t>
        </is>
      </c>
      <c r="C2718" s="22" t="inlineStr">
        <is>
          <t>SINAPI</t>
        </is>
      </c>
      <c r="D2718" s="22" t="inlineStr">
        <is>
          <t>M3</t>
        </is>
      </c>
      <c r="E2718" s="63" t="n">
        <v>0.051</v>
      </c>
      <c r="F2718" s="64">
        <f>'COMPOSICOES AUXILIARES'!G3028</f>
        <v/>
      </c>
      <c r="G2718" s="64">
        <f>TRUNC(TRUNC(E2718,8)*F2718,2)</f>
        <v/>
      </c>
      <c r="L2718" t="n">
        <v>0.051</v>
      </c>
      <c r="M2718" t="n">
        <v>2567.01</v>
      </c>
      <c r="N2718">
        <f>(M2718-F2718)</f>
        <v/>
      </c>
    </row>
    <row r="2719" ht="21" customHeight="1">
      <c r="A2719" s="22" t="inlineStr">
        <is>
          <t>101616</t>
        </is>
      </c>
      <c r="B2719" s="23" t="inlineStr">
        <is>
          <t>PREPARO DE FUNDO DE VALA COM LARGURA MENOR QUE 1,5 M (ACERTO DO SOLO NATURAL). AF_08/2020</t>
        </is>
      </c>
      <c r="C2719" s="22" t="inlineStr">
        <is>
          <t>SINAPI</t>
        </is>
      </c>
      <c r="D2719" s="22" t="inlineStr">
        <is>
          <t>M2</t>
        </is>
      </c>
      <c r="E2719" s="63" t="n">
        <v>0.585</v>
      </c>
      <c r="F2719" s="64">
        <f>'COMPOSICOES AUXILIARES'!G3204</f>
        <v/>
      </c>
      <c r="G2719" s="64">
        <f>TRUNC(TRUNC(E2719,8)*F2719,2)</f>
        <v/>
      </c>
      <c r="L2719" t="n">
        <v>0.585</v>
      </c>
      <c r="M2719" t="n">
        <v>6.99</v>
      </c>
      <c r="N2719">
        <f>(M2719-F2719)</f>
        <v/>
      </c>
    </row>
    <row r="2720" ht="15" customHeight="1">
      <c r="A2720" s="2" t="inlineStr"/>
      <c r="B2720" s="2" t="inlineStr"/>
      <c r="C2720" s="2" t="inlineStr"/>
      <c r="D2720" s="2" t="inlineStr"/>
      <c r="E2720" s="26" t="inlineStr">
        <is>
          <t>TOTAL Serviço:</t>
        </is>
      </c>
      <c r="F2720" s="56" t="n"/>
      <c r="G2720" s="65">
        <f>SUM(G2713:G2719)</f>
        <v/>
      </c>
    </row>
    <row r="2721" ht="15" customHeight="1">
      <c r="A2721" s="2" t="inlineStr"/>
      <c r="B2721" s="2" t="inlineStr"/>
      <c r="C2721" s="2" t="inlineStr"/>
      <c r="D2721" s="2" t="inlineStr"/>
      <c r="E2721" s="28" t="inlineStr">
        <is>
          <t>VALOR:</t>
        </is>
      </c>
      <c r="F2721" s="56" t="n"/>
      <c r="G2721" s="66">
        <f>SUM(G2720,G2698,G2707,G2711)</f>
        <v/>
      </c>
    </row>
    <row r="2722" ht="15" customHeight="1">
      <c r="A2722" s="2" t="inlineStr"/>
      <c r="B2722" s="2" t="inlineStr"/>
      <c r="C2722" s="2" t="inlineStr"/>
      <c r="D2722" s="2" t="inlineStr"/>
      <c r="E2722" s="28" t="inlineStr">
        <is>
          <t>VALOR BDI (23.08%):</t>
        </is>
      </c>
      <c r="F2722" s="56" t="n"/>
      <c r="G2722" s="66">
        <f>ROUNDDOWN(G2721*BDI,2)</f>
        <v/>
      </c>
    </row>
    <row r="2723" ht="15" customHeight="1">
      <c r="A2723" s="2" t="inlineStr"/>
      <c r="B2723" s="2" t="inlineStr"/>
      <c r="C2723" s="2" t="inlineStr"/>
      <c r="D2723" s="2" t="inlineStr"/>
      <c r="E2723" s="28" t="inlineStr">
        <is>
          <t>VALOR COM BDI:</t>
        </is>
      </c>
      <c r="F2723" s="56" t="n"/>
      <c r="G2723" s="66">
        <f>G2722 + G2721</f>
        <v/>
      </c>
    </row>
    <row r="2724" ht="10" customHeight="1">
      <c r="A2724" s="2" t="inlineStr"/>
      <c r="B2724" s="2" t="inlineStr"/>
      <c r="C2724" s="2" t="inlineStr"/>
      <c r="D2724" s="2" t="inlineStr"/>
      <c r="E2724" s="18" t="inlineStr"/>
    </row>
    <row r="2725" ht="20" customHeight="1">
      <c r="A2725" s="19" t="inlineStr">
        <is>
          <t>9.1.2.4. ​101798​ TAMPA PARA CAIXA TIPO R1, EM FERRO FUNDIDO, DIMENSÕES INTERNAS: 0,40 X 0,60 M - FORNECIMENTO E INSTALAÇÃO.AF_12/2020​ (UN)</t>
        </is>
      </c>
      <c r="B2725" s="55" t="n"/>
      <c r="C2725" s="55" t="n"/>
      <c r="D2725" s="55" t="n"/>
      <c r="E2725" s="55" t="n"/>
      <c r="F2725" s="55" t="n"/>
      <c r="G2725" s="56" t="n"/>
    </row>
    <row r="2726" ht="15" customHeight="1">
      <c r="A2726" s="20" t="inlineStr">
        <is>
          <t>Material</t>
        </is>
      </c>
      <c r="B2726" s="56" t="n"/>
      <c r="C2726" s="21" t="inlineStr">
        <is>
          <t>FONTE</t>
        </is>
      </c>
      <c r="D2726" s="21" t="inlineStr">
        <is>
          <t>UNID</t>
        </is>
      </c>
      <c r="E2726" s="21" t="inlineStr">
        <is>
          <t>COEFICIENTE</t>
        </is>
      </c>
      <c r="F2726" s="21" t="inlineStr">
        <is>
          <t>PREÇO UNITÁRIO</t>
        </is>
      </c>
      <c r="G2726" s="21" t="inlineStr">
        <is>
          <t>TOTAL</t>
        </is>
      </c>
    </row>
    <row r="2727" ht="29" customHeight="1">
      <c r="A2727" s="22" t="inlineStr">
        <is>
          <t>00014112</t>
        </is>
      </c>
      <c r="B2727" s="23" t="inlineStr">
        <is>
          <t>TAMPAO FOFO SIMPLES COM BASE / REQUADRO, CLASSE A15 CARGA MAX. 1,5 T, 400 X 600 MM (COM INSCRICAO EM RELEVO DO TIPO DE REDE)</t>
        </is>
      </c>
      <c r="C2727" s="22" t="inlineStr">
        <is>
          <t>SINAPI</t>
        </is>
      </c>
      <c r="D2727" s="22" t="inlineStr">
        <is>
          <t>UN</t>
        </is>
      </c>
      <c r="E2727" s="63" t="n">
        <v>1</v>
      </c>
      <c r="F2727" s="64">
        <f>ROUND(M2727*FATOR, 2)</f>
        <v/>
      </c>
      <c r="G2727" s="64">
        <f>TRUNC(TRUNC(E2727,8)*F2727,2)</f>
        <v/>
      </c>
      <c r="L2727" t="n">
        <v>1</v>
      </c>
      <c r="M2727" t="n">
        <v>285.33</v>
      </c>
      <c r="N2727">
        <f>(M2727-F2727)</f>
        <v/>
      </c>
    </row>
    <row r="2728" ht="15" customHeight="1">
      <c r="A2728" s="2" t="inlineStr"/>
      <c r="B2728" s="2" t="inlineStr"/>
      <c r="C2728" s="2" t="inlineStr"/>
      <c r="D2728" s="2" t="inlineStr"/>
      <c r="E2728" s="26" t="inlineStr">
        <is>
          <t>TOTAL Material:</t>
        </is>
      </c>
      <c r="F2728" s="56" t="n"/>
      <c r="G2728" s="65">
        <f>SUM(G2727:G2727)</f>
        <v/>
      </c>
    </row>
    <row r="2729" ht="15" customHeight="1">
      <c r="A2729" s="20" t="inlineStr">
        <is>
          <t>Mão de Obra com Encargos Complementares</t>
        </is>
      </c>
      <c r="B2729" s="56" t="n"/>
      <c r="C2729" s="21" t="inlineStr">
        <is>
          <t>FONTE</t>
        </is>
      </c>
      <c r="D2729" s="21" t="inlineStr">
        <is>
          <t>UNID</t>
        </is>
      </c>
      <c r="E2729" s="21" t="inlineStr">
        <is>
          <t>COEFICIENTE</t>
        </is>
      </c>
      <c r="F2729" s="21" t="inlineStr">
        <is>
          <t>PREÇO UNITÁRIO</t>
        </is>
      </c>
      <c r="G2729" s="21" t="inlineStr">
        <is>
          <t>TOTAL</t>
        </is>
      </c>
    </row>
    <row r="2730" ht="15" customHeight="1">
      <c r="A2730" s="22" t="inlineStr">
        <is>
          <t>88309</t>
        </is>
      </c>
      <c r="B2730" s="23" t="inlineStr">
        <is>
          <t>PEDREIRO COM ENCARGOS COMPLEMENTARES</t>
        </is>
      </c>
      <c r="C2730" s="22" t="inlineStr">
        <is>
          <t>SINAPI</t>
        </is>
      </c>
      <c r="D2730" s="22" t="inlineStr">
        <is>
          <t>H</t>
        </is>
      </c>
      <c r="E2730" s="63">
        <f>L2730*FATOR</f>
        <v/>
      </c>
      <c r="F2730" s="64">
        <f>'COMPOSICOES AUXILIARES'!G2887</f>
        <v/>
      </c>
      <c r="G2730" s="64">
        <f>TRUNC(TRUNC(E2730,8)*F2730,2)</f>
        <v/>
      </c>
      <c r="L2730" t="n">
        <v>1.0089</v>
      </c>
      <c r="M2730" t="n">
        <v>30.58</v>
      </c>
      <c r="N2730">
        <f>(M2730-F2730)</f>
        <v/>
      </c>
    </row>
    <row r="2731" ht="15" customHeight="1">
      <c r="A2731" s="22" t="inlineStr">
        <is>
          <t>88316</t>
        </is>
      </c>
      <c r="B2731" s="23" t="inlineStr">
        <is>
          <t>SERVENTE COM ENCARGOS COMPLEMENTARES</t>
        </is>
      </c>
      <c r="C2731" s="22" t="inlineStr">
        <is>
          <t>SINAPI</t>
        </is>
      </c>
      <c r="D2731" s="22" t="inlineStr">
        <is>
          <t>H</t>
        </is>
      </c>
      <c r="E2731" s="63">
        <f>L2731*FATOR</f>
        <v/>
      </c>
      <c r="F2731" s="64">
        <f>'COMPOSICOES AUXILIARES'!G3390</f>
        <v/>
      </c>
      <c r="G2731" s="64">
        <f>TRUNC(TRUNC(E2731,8)*F2731,2)</f>
        <v/>
      </c>
      <c r="L2731" t="n">
        <v>0.7927</v>
      </c>
      <c r="M2731" t="n">
        <v>23.56</v>
      </c>
      <c r="N2731">
        <f>(M2731-F2731)</f>
        <v/>
      </c>
    </row>
    <row r="2732" ht="18" customHeight="1">
      <c r="A2732" s="2" t="inlineStr"/>
      <c r="B2732" s="2" t="inlineStr"/>
      <c r="C2732" s="2" t="inlineStr"/>
      <c r="D2732" s="2" t="inlineStr"/>
      <c r="E2732" s="26" t="inlineStr">
        <is>
          <t>TOTAL Mão de Obra com Encargos Complementares:</t>
        </is>
      </c>
      <c r="F2732" s="56" t="n"/>
      <c r="G2732" s="65">
        <f>SUM(G2730:G2731)</f>
        <v/>
      </c>
    </row>
    <row r="2733" ht="15" customHeight="1">
      <c r="A2733" s="20" t="inlineStr">
        <is>
          <t>Serviço</t>
        </is>
      </c>
      <c r="B2733" s="56" t="n"/>
      <c r="C2733" s="21" t="inlineStr">
        <is>
          <t>FONTE</t>
        </is>
      </c>
      <c r="D2733" s="21" t="inlineStr">
        <is>
          <t>UNID</t>
        </is>
      </c>
      <c r="E2733" s="21" t="inlineStr">
        <is>
          <t>COEFICIENTE</t>
        </is>
      </c>
      <c r="F2733" s="21" t="inlineStr">
        <is>
          <t>PREÇO UNITÁRIO</t>
        </is>
      </c>
      <c r="G2733" s="21" t="inlineStr">
        <is>
          <t>TOTAL</t>
        </is>
      </c>
    </row>
    <row r="2734" ht="29" customHeight="1">
      <c r="A2734" s="22" t="inlineStr">
        <is>
          <t>88628</t>
        </is>
      </c>
      <c r="B2734" s="23" t="inlineStr">
        <is>
          <t>ARGAMASSA TRAÇO 1:3 (EM VOLUME DE CIMENTO E AREIA MÉDIA ÚMIDA), PREPARO MECÂNICO COM BETONEIRA 400 L. AF_08/2019</t>
        </is>
      </c>
      <c r="C2734" s="22" t="inlineStr">
        <is>
          <t>SINAPI</t>
        </is>
      </c>
      <c r="D2734" s="22" t="inlineStr">
        <is>
          <t>M3</t>
        </is>
      </c>
      <c r="E2734" s="63" t="n">
        <v>0.0044</v>
      </c>
      <c r="F2734" s="64">
        <f>'COMPOSICOES AUXILIARES'!G324</f>
        <v/>
      </c>
      <c r="G2734" s="64">
        <f>TRUNC(TRUNC(E2734,8)*F2734,2)</f>
        <v/>
      </c>
      <c r="L2734" t="n">
        <v>0.0044</v>
      </c>
      <c r="M2734" t="n">
        <v>600.33</v>
      </c>
      <c r="N2734">
        <f>(M2734-F2734)</f>
        <v/>
      </c>
    </row>
    <row r="2735" ht="15" customHeight="1">
      <c r="A2735" s="2" t="inlineStr"/>
      <c r="B2735" s="2" t="inlineStr"/>
      <c r="C2735" s="2" t="inlineStr"/>
      <c r="D2735" s="2" t="inlineStr"/>
      <c r="E2735" s="26" t="inlineStr">
        <is>
          <t>TOTAL Serviço:</t>
        </is>
      </c>
      <c r="F2735" s="56" t="n"/>
      <c r="G2735" s="65">
        <f>SUM(G2734:G2734)</f>
        <v/>
      </c>
    </row>
    <row r="2736" ht="15" customHeight="1">
      <c r="A2736" s="2" t="inlineStr"/>
      <c r="B2736" s="2" t="inlineStr"/>
      <c r="C2736" s="2" t="inlineStr"/>
      <c r="D2736" s="2" t="inlineStr"/>
      <c r="E2736" s="28" t="inlineStr">
        <is>
          <t>VALOR:</t>
        </is>
      </c>
      <c r="F2736" s="56" t="n"/>
      <c r="G2736" s="66">
        <f>SUM(G2728,G2732,G2735)</f>
        <v/>
      </c>
    </row>
    <row r="2737" ht="15" customHeight="1">
      <c r="A2737" s="2" t="inlineStr"/>
      <c r="B2737" s="2" t="inlineStr"/>
      <c r="C2737" s="2" t="inlineStr"/>
      <c r="D2737" s="2" t="inlineStr"/>
      <c r="E2737" s="28" t="inlineStr">
        <is>
          <t>VALOR BDI (23.08%):</t>
        </is>
      </c>
      <c r="F2737" s="56" t="n"/>
      <c r="G2737" s="66">
        <f>ROUNDDOWN(G2736*BDI,2)</f>
        <v/>
      </c>
    </row>
    <row r="2738" ht="15" customHeight="1">
      <c r="A2738" s="2" t="inlineStr"/>
      <c r="B2738" s="2" t="inlineStr"/>
      <c r="C2738" s="2" t="inlineStr"/>
      <c r="D2738" s="2" t="inlineStr"/>
      <c r="E2738" s="28" t="inlineStr">
        <is>
          <t>VALOR COM BDI:</t>
        </is>
      </c>
      <c r="F2738" s="56" t="n"/>
      <c r="G2738" s="66">
        <f>G2737 + G2736</f>
        <v/>
      </c>
    </row>
    <row r="2739" ht="10" customHeight="1">
      <c r="A2739" s="2" t="inlineStr"/>
      <c r="B2739" s="2" t="inlineStr"/>
      <c r="C2739" s="2" t="inlineStr"/>
      <c r="D2739" s="2" t="inlineStr"/>
      <c r="E2739" s="18" t="inlineStr"/>
    </row>
    <row r="2740" ht="20" customHeight="1">
      <c r="A2740" s="19" t="inlineStr">
        <is>
          <t>9.1.3.1. ​96986​ HASTE DE ATERRAMENTO, DIÂMETRO 3/4",COM 3 METROS - FORNECIMENTO E INSTALAÇÃO. AF_08/2023​ (UN)</t>
        </is>
      </c>
      <c r="B2740" s="55" t="n"/>
      <c r="C2740" s="55" t="n"/>
      <c r="D2740" s="55" t="n"/>
      <c r="E2740" s="55" t="n"/>
      <c r="F2740" s="55" t="n"/>
      <c r="G2740" s="56" t="n"/>
    </row>
    <row r="2741" ht="15" customHeight="1">
      <c r="A2741" s="20" t="inlineStr">
        <is>
          <t>Material</t>
        </is>
      </c>
      <c r="B2741" s="56" t="n"/>
      <c r="C2741" s="21" t="inlineStr">
        <is>
          <t>FONTE</t>
        </is>
      </c>
      <c r="D2741" s="21" t="inlineStr">
        <is>
          <t>UNID</t>
        </is>
      </c>
      <c r="E2741" s="21" t="inlineStr">
        <is>
          <t>COEFICIENTE</t>
        </is>
      </c>
      <c r="F2741" s="21" t="inlineStr">
        <is>
          <t>PREÇO UNITÁRIO</t>
        </is>
      </c>
      <c r="G2741" s="21" t="inlineStr">
        <is>
          <t>TOTAL</t>
        </is>
      </c>
    </row>
    <row r="2742" ht="29" customHeight="1">
      <c r="A2742" s="22" t="inlineStr">
        <is>
          <t>00003378</t>
        </is>
      </c>
      <c r="B2742" s="23" t="inlineStr">
        <is>
          <t>HASTE DE ATERRAMENTO EM ACO COM 3,00 M DE COMPRIMENTO E DN = 3/4", REVESTIDA COM BAIXA CAMADA DE COBRE, SEM CONECTOR</t>
        </is>
      </c>
      <c r="C2742" s="22" t="inlineStr">
        <is>
          <t>SINAPI</t>
        </is>
      </c>
      <c r="D2742" s="22" t="inlineStr">
        <is>
          <t>UN</t>
        </is>
      </c>
      <c r="E2742" s="63" t="n">
        <v>1</v>
      </c>
      <c r="F2742" s="64">
        <f>ROUND(M2742*FATOR, 2)</f>
        <v/>
      </c>
      <c r="G2742" s="64">
        <f>TRUNC(TRUNC(E2742,8)*F2742,2)</f>
        <v/>
      </c>
      <c r="L2742" t="n">
        <v>1</v>
      </c>
      <c r="M2742" t="n">
        <v>79.77</v>
      </c>
      <c r="N2742">
        <f>(M2742-F2742)</f>
        <v/>
      </c>
    </row>
    <row r="2743" ht="15" customHeight="1">
      <c r="A2743" s="2" t="inlineStr"/>
      <c r="B2743" s="2" t="inlineStr"/>
      <c r="C2743" s="2" t="inlineStr"/>
      <c r="D2743" s="2" t="inlineStr"/>
      <c r="E2743" s="26" t="inlineStr">
        <is>
          <t>TOTAL Material:</t>
        </is>
      </c>
      <c r="F2743" s="56" t="n"/>
      <c r="G2743" s="65">
        <f>SUM(G2742:G2742)</f>
        <v/>
      </c>
    </row>
    <row r="2744" ht="15" customHeight="1">
      <c r="A2744" s="20" t="inlineStr">
        <is>
          <t>Mão de Obra com Encargos Complementares</t>
        </is>
      </c>
      <c r="B2744" s="56" t="n"/>
      <c r="C2744" s="21" t="inlineStr">
        <is>
          <t>FONTE</t>
        </is>
      </c>
      <c r="D2744" s="21" t="inlineStr">
        <is>
          <t>UNID</t>
        </is>
      </c>
      <c r="E2744" s="21" t="inlineStr">
        <is>
          <t>COEFICIENTE</t>
        </is>
      </c>
      <c r="F2744" s="21" t="inlineStr">
        <is>
          <t>PREÇO UNITÁRIO</t>
        </is>
      </c>
      <c r="G2744" s="21" t="inlineStr">
        <is>
          <t>TOTAL</t>
        </is>
      </c>
    </row>
    <row r="2745" ht="21" customHeight="1">
      <c r="A2745" s="22" t="inlineStr">
        <is>
          <t>88247</t>
        </is>
      </c>
      <c r="B2745" s="23" t="inlineStr">
        <is>
          <t>AUXILIAR DE ELETRICISTA COM ENCARGOS COMPLEMENTARES</t>
        </is>
      </c>
      <c r="C2745" s="22" t="inlineStr">
        <is>
          <t>SINAPI</t>
        </is>
      </c>
      <c r="D2745" s="22" t="inlineStr">
        <is>
          <t>H</t>
        </is>
      </c>
      <c r="E2745" s="63">
        <f>L2745*FATOR</f>
        <v/>
      </c>
      <c r="F2745" s="64">
        <f>'COMPOSICOES AUXILIARES'!G505</f>
        <v/>
      </c>
      <c r="G2745" s="64">
        <f>TRUNC(TRUNC(E2745,8)*F2745,2)</f>
        <v/>
      </c>
      <c r="L2745" t="n">
        <v>0.3882</v>
      </c>
      <c r="M2745" t="n">
        <v>25.22</v>
      </c>
      <c r="N2745">
        <f>(M2745-F2745)</f>
        <v/>
      </c>
    </row>
    <row r="2746" ht="15" customHeight="1">
      <c r="A2746" s="22" t="inlineStr">
        <is>
          <t>88264</t>
        </is>
      </c>
      <c r="B2746" s="23" t="inlineStr">
        <is>
          <t>ELETRICISTA COM ENCARGOS COMPLEMENTARES</t>
        </is>
      </c>
      <c r="C2746" s="22" t="inlineStr">
        <is>
          <t>SINAPI</t>
        </is>
      </c>
      <c r="D2746" s="22" t="inlineStr">
        <is>
          <t>H</t>
        </is>
      </c>
      <c r="E2746" s="63">
        <f>L2746*FATOR</f>
        <v/>
      </c>
      <c r="F2746" s="64">
        <f>'COMPOSICOES AUXILIARES'!G505</f>
        <v/>
      </c>
      <c r="G2746" s="64">
        <f>TRUNC(TRUNC(E2746,8)*F2746,2)</f>
        <v/>
      </c>
      <c r="L2746" t="n">
        <v>0.3882</v>
      </c>
      <c r="M2746" t="n">
        <v>30.96</v>
      </c>
      <c r="N2746">
        <f>(M2746-F2746)</f>
        <v/>
      </c>
    </row>
    <row r="2747" ht="18" customHeight="1">
      <c r="A2747" s="2" t="inlineStr"/>
      <c r="B2747" s="2" t="inlineStr"/>
      <c r="C2747" s="2" t="inlineStr"/>
      <c r="D2747" s="2" t="inlineStr"/>
      <c r="E2747" s="26" t="inlineStr">
        <is>
          <t>TOTAL Mão de Obra com Encargos Complementares:</t>
        </is>
      </c>
      <c r="F2747" s="56" t="n"/>
      <c r="G2747" s="65">
        <f>SUM(G2745:G2746)</f>
        <v/>
      </c>
    </row>
    <row r="2748" ht="15" customHeight="1">
      <c r="A2748" s="2" t="inlineStr"/>
      <c r="B2748" s="2" t="inlineStr"/>
      <c r="C2748" s="2" t="inlineStr"/>
      <c r="D2748" s="2" t="inlineStr"/>
      <c r="E2748" s="28" t="inlineStr">
        <is>
          <t>VALOR:</t>
        </is>
      </c>
      <c r="F2748" s="56" t="n"/>
      <c r="G2748" s="66">
        <f>SUM(G2747,G2743)</f>
        <v/>
      </c>
    </row>
    <row r="2749" ht="15" customHeight="1">
      <c r="A2749" s="2" t="inlineStr"/>
      <c r="B2749" s="2" t="inlineStr"/>
      <c r="C2749" s="2" t="inlineStr"/>
      <c r="D2749" s="2" t="inlineStr"/>
      <c r="E2749" s="28" t="inlineStr">
        <is>
          <t>VALOR BDI (23.08%):</t>
        </is>
      </c>
      <c r="F2749" s="56" t="n"/>
      <c r="G2749" s="66">
        <f>ROUNDDOWN(G2748*BDI,2)</f>
        <v/>
      </c>
    </row>
    <row r="2750" ht="15" customHeight="1">
      <c r="A2750" s="2" t="inlineStr"/>
      <c r="B2750" s="2" t="inlineStr"/>
      <c r="C2750" s="2" t="inlineStr"/>
      <c r="D2750" s="2" t="inlineStr"/>
      <c r="E2750" s="28" t="inlineStr">
        <is>
          <t>VALOR COM BDI:</t>
        </is>
      </c>
      <c r="F2750" s="56" t="n"/>
      <c r="G2750" s="66">
        <f>G2749 + G2748</f>
        <v/>
      </c>
    </row>
    <row r="2751" ht="10" customHeight="1">
      <c r="A2751" s="2" t="inlineStr"/>
      <c r="B2751" s="2" t="inlineStr"/>
      <c r="C2751" s="2" t="inlineStr"/>
      <c r="D2751" s="2" t="inlineStr"/>
      <c r="E2751" s="18" t="inlineStr"/>
    </row>
    <row r="2752" ht="20" customHeight="1">
      <c r="A2752" s="19" t="inlineStr">
        <is>
          <t>9.1.3.2. ​104750​ CONECTOR GRAMPO METÁLICO TIPO OLHAL, PARA SPDA, PARA HASTE DE ATERRAMENTO DE 5/8'' E CABOS DE 10 A 50 MM2 - FORNECIMENTO E INSTALAÇÃO.AF_08/2023​ (UN)</t>
        </is>
      </c>
      <c r="B2752" s="55" t="n"/>
      <c r="C2752" s="55" t="n"/>
      <c r="D2752" s="55" t="n"/>
      <c r="E2752" s="55" t="n"/>
      <c r="F2752" s="55" t="n"/>
      <c r="G2752" s="56" t="n"/>
    </row>
    <row r="2753" ht="15" customHeight="1">
      <c r="A2753" s="20" t="inlineStr">
        <is>
          <t>Material</t>
        </is>
      </c>
      <c r="B2753" s="56" t="n"/>
      <c r="C2753" s="21" t="inlineStr">
        <is>
          <t>FONTE</t>
        </is>
      </c>
      <c r="D2753" s="21" t="inlineStr">
        <is>
          <t>UNID</t>
        </is>
      </c>
      <c r="E2753" s="21" t="inlineStr">
        <is>
          <t>COEFICIENTE</t>
        </is>
      </c>
      <c r="F2753" s="21" t="inlineStr">
        <is>
          <t>PREÇO UNITÁRIO</t>
        </is>
      </c>
      <c r="G2753" s="21" t="inlineStr">
        <is>
          <t>TOTAL</t>
        </is>
      </c>
    </row>
    <row r="2754" ht="21" customHeight="1">
      <c r="A2754" s="22" t="inlineStr">
        <is>
          <t>00000425</t>
        </is>
      </c>
      <c r="B2754" s="23" t="inlineStr">
        <is>
          <t>GRAMPO METALICO TIPO OLHAL PARA HASTE DE ATERRAMENTO DE 5/8", CONDUTOR DE *10* A 50 MM2</t>
        </is>
      </c>
      <c r="C2754" s="22" t="inlineStr">
        <is>
          <t>SINAPI</t>
        </is>
      </c>
      <c r="D2754" s="22" t="inlineStr">
        <is>
          <t>UN</t>
        </is>
      </c>
      <c r="E2754" s="63" t="n">
        <v>1</v>
      </c>
      <c r="F2754" s="64">
        <f>ROUND(M2754*FATOR, 2)</f>
        <v/>
      </c>
      <c r="G2754" s="64">
        <f>TRUNC(TRUNC(E2754,8)*F2754,2)</f>
        <v/>
      </c>
      <c r="L2754" t="n">
        <v>1</v>
      </c>
      <c r="M2754" t="n">
        <v>5.11</v>
      </c>
      <c r="N2754">
        <f>(M2754-F2754)</f>
        <v/>
      </c>
    </row>
    <row r="2755" ht="15" customHeight="1">
      <c r="A2755" s="2" t="inlineStr"/>
      <c r="B2755" s="2" t="inlineStr"/>
      <c r="C2755" s="2" t="inlineStr"/>
      <c r="D2755" s="2" t="inlineStr"/>
      <c r="E2755" s="26" t="inlineStr">
        <is>
          <t>TOTAL Material:</t>
        </is>
      </c>
      <c r="F2755" s="56" t="n"/>
      <c r="G2755" s="65">
        <f>SUM(G2754:G2754)</f>
        <v/>
      </c>
    </row>
    <row r="2756" ht="15" customHeight="1">
      <c r="A2756" s="20" t="inlineStr">
        <is>
          <t>Mão de Obra com Encargos Complementares</t>
        </is>
      </c>
      <c r="B2756" s="56" t="n"/>
      <c r="C2756" s="21" t="inlineStr">
        <is>
          <t>FONTE</t>
        </is>
      </c>
      <c r="D2756" s="21" t="inlineStr">
        <is>
          <t>UNID</t>
        </is>
      </c>
      <c r="E2756" s="21" t="inlineStr">
        <is>
          <t>COEFICIENTE</t>
        </is>
      </c>
      <c r="F2756" s="21" t="inlineStr">
        <is>
          <t>PREÇO UNITÁRIO</t>
        </is>
      </c>
      <c r="G2756" s="21" t="inlineStr">
        <is>
          <t>TOTAL</t>
        </is>
      </c>
    </row>
    <row r="2757" ht="21" customHeight="1">
      <c r="A2757" s="22" t="inlineStr">
        <is>
          <t>88247</t>
        </is>
      </c>
      <c r="B2757" s="23" t="inlineStr">
        <is>
          <t>AUXILIAR DE ELETRICISTA COM ENCARGOS COMPLEMENTARES</t>
        </is>
      </c>
      <c r="C2757" s="22" t="inlineStr">
        <is>
          <t>SINAPI</t>
        </is>
      </c>
      <c r="D2757" s="22" t="inlineStr">
        <is>
          <t>H</t>
        </is>
      </c>
      <c r="E2757" s="63">
        <f>L2757*FATOR</f>
        <v/>
      </c>
      <c r="F2757" s="64">
        <f>'COMPOSICOES AUXILIARES'!G505</f>
        <v/>
      </c>
      <c r="G2757" s="64">
        <f>TRUNC(TRUNC(E2757,8)*F2757,2)</f>
        <v/>
      </c>
      <c r="L2757" t="n">
        <v>0.1863</v>
      </c>
      <c r="M2757" t="n">
        <v>25.22</v>
      </c>
      <c r="N2757">
        <f>(M2757-F2757)</f>
        <v/>
      </c>
    </row>
    <row r="2758" ht="15" customHeight="1">
      <c r="A2758" s="22" t="inlineStr">
        <is>
          <t>88264</t>
        </is>
      </c>
      <c r="B2758" s="23" t="inlineStr">
        <is>
          <t>ELETRICISTA COM ENCARGOS COMPLEMENTARES</t>
        </is>
      </c>
      <c r="C2758" s="22" t="inlineStr">
        <is>
          <t>SINAPI</t>
        </is>
      </c>
      <c r="D2758" s="22" t="inlineStr">
        <is>
          <t>H</t>
        </is>
      </c>
      <c r="E2758" s="63">
        <f>L2758*FATOR</f>
        <v/>
      </c>
      <c r="F2758" s="64">
        <f>'COMPOSICOES AUXILIARES'!G505</f>
        <v/>
      </c>
      <c r="G2758" s="64">
        <f>TRUNC(TRUNC(E2758,8)*F2758,2)</f>
        <v/>
      </c>
      <c r="L2758" t="n">
        <v>0.1863</v>
      </c>
      <c r="M2758" t="n">
        <v>30.96</v>
      </c>
      <c r="N2758">
        <f>(M2758-F2758)</f>
        <v/>
      </c>
    </row>
    <row r="2759" ht="18" customHeight="1">
      <c r="A2759" s="2" t="inlineStr"/>
      <c r="B2759" s="2" t="inlineStr"/>
      <c r="C2759" s="2" t="inlineStr"/>
      <c r="D2759" s="2" t="inlineStr"/>
      <c r="E2759" s="26" t="inlineStr">
        <is>
          <t>TOTAL Mão de Obra com Encargos Complementares:</t>
        </is>
      </c>
      <c r="F2759" s="56" t="n"/>
      <c r="G2759" s="65">
        <f>SUM(G2757:G2758)</f>
        <v/>
      </c>
    </row>
    <row r="2760" ht="15" customHeight="1">
      <c r="A2760" s="2" t="inlineStr"/>
      <c r="B2760" s="2" t="inlineStr"/>
      <c r="C2760" s="2" t="inlineStr"/>
      <c r="D2760" s="2" t="inlineStr"/>
      <c r="E2760" s="28" t="inlineStr">
        <is>
          <t>VALOR:</t>
        </is>
      </c>
      <c r="F2760" s="56" t="n"/>
      <c r="G2760" s="66">
        <f>SUM(G2755,G2759)</f>
        <v/>
      </c>
    </row>
    <row r="2761" ht="15" customHeight="1">
      <c r="A2761" s="2" t="inlineStr"/>
      <c r="B2761" s="2" t="inlineStr"/>
      <c r="C2761" s="2" t="inlineStr"/>
      <c r="D2761" s="2" t="inlineStr"/>
      <c r="E2761" s="28" t="inlineStr">
        <is>
          <t>VALOR BDI (23.08%):</t>
        </is>
      </c>
      <c r="F2761" s="56" t="n"/>
      <c r="G2761" s="66">
        <f>ROUNDDOWN(G2760*BDI,2)</f>
        <v/>
      </c>
    </row>
    <row r="2762" ht="15" customHeight="1">
      <c r="A2762" s="2" t="inlineStr"/>
      <c r="B2762" s="2" t="inlineStr"/>
      <c r="C2762" s="2" t="inlineStr"/>
      <c r="D2762" s="2" t="inlineStr"/>
      <c r="E2762" s="28" t="inlineStr">
        <is>
          <t>VALOR COM BDI:</t>
        </is>
      </c>
      <c r="F2762" s="56" t="n"/>
      <c r="G2762" s="66">
        <f>G2761 + G2760</f>
        <v/>
      </c>
    </row>
    <row r="2763" ht="10" customHeight="1">
      <c r="A2763" s="2" t="inlineStr"/>
      <c r="B2763" s="2" t="inlineStr"/>
      <c r="C2763" s="2" t="inlineStr"/>
      <c r="D2763" s="2" t="inlineStr"/>
      <c r="E2763" s="18" t="inlineStr"/>
    </row>
    <row r="2764" ht="20" customHeight="1">
      <c r="A2764" s="19" t="inlineStr">
        <is>
          <t>9.1.3.3. ​98111​ CAIXA DE INSPEÇÃO PARA ATERRAMENTO, CIRCULAR, EM POLIETILENO, DIÂMETROINTERNO = 0,3 M. AF_12/2020​ (UN)</t>
        </is>
      </c>
      <c r="B2764" s="55" t="n"/>
      <c r="C2764" s="55" t="n"/>
      <c r="D2764" s="55" t="n"/>
      <c r="E2764" s="55" t="n"/>
      <c r="F2764" s="55" t="n"/>
      <c r="G2764" s="56" t="n"/>
    </row>
    <row r="2765" ht="15" customHeight="1">
      <c r="A2765" s="20" t="inlineStr">
        <is>
          <t>Material</t>
        </is>
      </c>
      <c r="B2765" s="56" t="n"/>
      <c r="C2765" s="21" t="inlineStr">
        <is>
          <t>FONTE</t>
        </is>
      </c>
      <c r="D2765" s="21" t="inlineStr">
        <is>
          <t>UNID</t>
        </is>
      </c>
      <c r="E2765" s="21" t="inlineStr">
        <is>
          <t>COEFICIENTE</t>
        </is>
      </c>
      <c r="F2765" s="21" t="inlineStr">
        <is>
          <t>PREÇO UNITÁRIO</t>
        </is>
      </c>
      <c r="G2765" s="21" t="inlineStr">
        <is>
          <t>TOTAL</t>
        </is>
      </c>
    </row>
    <row r="2766" ht="29" customHeight="1">
      <c r="A2766" s="22" t="inlineStr">
        <is>
          <t>00034643</t>
        </is>
      </c>
      <c r="B2766" s="23" t="inlineStr">
        <is>
          <t>CAIXA DE INSPECAO PARA ATERRAMENTO E PARA RAIOS, EM POLIPROPILENO, DIAMETRO = 300 MM X ALTURA = 400 MM (INCLUIDA TAMPA SEM ESCOTILHA)</t>
        </is>
      </c>
      <c r="C2766" s="22" t="inlineStr">
        <is>
          <t>SINAPI</t>
        </is>
      </c>
      <c r="D2766" s="22" t="inlineStr">
        <is>
          <t>UN</t>
        </is>
      </c>
      <c r="E2766" s="63" t="n">
        <v>1</v>
      </c>
      <c r="F2766" s="64">
        <f>ROUND(M2766*FATOR, 2)</f>
        <v/>
      </c>
      <c r="G2766" s="64">
        <f>TRUNC(TRUNC(E2766,8)*F2766,2)</f>
        <v/>
      </c>
      <c r="L2766" t="n">
        <v>1</v>
      </c>
      <c r="M2766" t="n">
        <v>53.81</v>
      </c>
      <c r="N2766">
        <f>(M2766-F2766)</f>
        <v/>
      </c>
    </row>
    <row r="2767" ht="15" customHeight="1">
      <c r="A2767" s="2" t="inlineStr"/>
      <c r="B2767" s="2" t="inlineStr"/>
      <c r="C2767" s="2" t="inlineStr"/>
      <c r="D2767" s="2" t="inlineStr"/>
      <c r="E2767" s="26" t="inlineStr">
        <is>
          <t>TOTAL Material:</t>
        </is>
      </c>
      <c r="F2767" s="56" t="n"/>
      <c r="G2767" s="65">
        <f>SUM(G2766:G2766)</f>
        <v/>
      </c>
    </row>
    <row r="2768" ht="15" customHeight="1">
      <c r="A2768" s="20" t="inlineStr">
        <is>
          <t>Mão de Obra com Encargos Complementares</t>
        </is>
      </c>
      <c r="B2768" s="56" t="n"/>
      <c r="C2768" s="21" t="inlineStr">
        <is>
          <t>FONTE</t>
        </is>
      </c>
      <c r="D2768" s="21" t="inlineStr">
        <is>
          <t>UNID</t>
        </is>
      </c>
      <c r="E2768" s="21" t="inlineStr">
        <is>
          <t>COEFICIENTE</t>
        </is>
      </c>
      <c r="F2768" s="21" t="inlineStr">
        <is>
          <t>PREÇO UNITÁRIO</t>
        </is>
      </c>
      <c r="G2768" s="21" t="inlineStr">
        <is>
          <t>TOTAL</t>
        </is>
      </c>
    </row>
    <row r="2769" ht="15" customHeight="1">
      <c r="A2769" s="22" t="inlineStr">
        <is>
          <t>88309</t>
        </is>
      </c>
      <c r="B2769" s="23" t="inlineStr">
        <is>
          <t>PEDREIRO COM ENCARGOS COMPLEMENTARES</t>
        </is>
      </c>
      <c r="C2769" s="22" t="inlineStr">
        <is>
          <t>SINAPI</t>
        </is>
      </c>
      <c r="D2769" s="22" t="inlineStr">
        <is>
          <t>H</t>
        </is>
      </c>
      <c r="E2769" s="63">
        <f>L2769*FATOR</f>
        <v/>
      </c>
      <c r="F2769" s="64">
        <f>'COMPOSICOES AUXILIARES'!G2887</f>
        <v/>
      </c>
      <c r="G2769" s="64">
        <f>TRUNC(TRUNC(E2769,8)*F2769,2)</f>
        <v/>
      </c>
      <c r="L2769" t="n">
        <v>0.1384</v>
      </c>
      <c r="M2769" t="n">
        <v>30.58</v>
      </c>
      <c r="N2769">
        <f>(M2769-F2769)</f>
        <v/>
      </c>
    </row>
    <row r="2770" ht="15" customHeight="1">
      <c r="A2770" s="22" t="inlineStr">
        <is>
          <t>88316</t>
        </is>
      </c>
      <c r="B2770" s="23" t="inlineStr">
        <is>
          <t>SERVENTE COM ENCARGOS COMPLEMENTARES</t>
        </is>
      </c>
      <c r="C2770" s="22" t="inlineStr">
        <is>
          <t>SINAPI</t>
        </is>
      </c>
      <c r="D2770" s="22" t="inlineStr">
        <is>
          <t>H</t>
        </is>
      </c>
      <c r="E2770" s="63">
        <f>L2770*FATOR</f>
        <v/>
      </c>
      <c r="F2770" s="64">
        <f>'COMPOSICOES AUXILIARES'!G3390</f>
        <v/>
      </c>
      <c r="G2770" s="64">
        <f>TRUNC(TRUNC(E2770,8)*F2770,2)</f>
        <v/>
      </c>
      <c r="L2770" t="n">
        <v>0.1088</v>
      </c>
      <c r="M2770" t="n">
        <v>23.56</v>
      </c>
      <c r="N2770">
        <f>(M2770-F2770)</f>
        <v/>
      </c>
    </row>
    <row r="2771" ht="18" customHeight="1">
      <c r="A2771" s="2" t="inlineStr"/>
      <c r="B2771" s="2" t="inlineStr"/>
      <c r="C2771" s="2" t="inlineStr"/>
      <c r="D2771" s="2" t="inlineStr"/>
      <c r="E2771" s="26" t="inlineStr">
        <is>
          <t>TOTAL Mão de Obra com Encargos Complementares:</t>
        </is>
      </c>
      <c r="F2771" s="56" t="n"/>
      <c r="G2771" s="65">
        <f>SUM(G2769:G2770)</f>
        <v/>
      </c>
    </row>
    <row r="2772" ht="15" customHeight="1">
      <c r="A2772" s="20" t="inlineStr">
        <is>
          <t>Serviço</t>
        </is>
      </c>
      <c r="B2772" s="56" t="n"/>
      <c r="C2772" s="21" t="inlineStr">
        <is>
          <t>FONTE</t>
        </is>
      </c>
      <c r="D2772" s="21" t="inlineStr">
        <is>
          <t>UNID</t>
        </is>
      </c>
      <c r="E2772" s="21" t="inlineStr">
        <is>
          <t>COEFICIENTE</t>
        </is>
      </c>
      <c r="F2772" s="21" t="inlineStr">
        <is>
          <t>PREÇO UNITÁRIO</t>
        </is>
      </c>
      <c r="G2772" s="21" t="inlineStr">
        <is>
          <t>TOTAL</t>
        </is>
      </c>
    </row>
    <row r="2773" ht="29" customHeight="1">
      <c r="A2773" s="22" t="inlineStr">
        <is>
          <t>101618</t>
        </is>
      </c>
      <c r="B2773" s="23" t="inlineStr">
        <is>
          <t>PREPARO DE FUNDO DE VALA COM LARGURA MENOR QUE 1,5 M, COM CAMADA DE AREIA, LANÇAMENTO MANUAL. AF_08/2020</t>
        </is>
      </c>
      <c r="C2773" s="22" t="inlineStr">
        <is>
          <t>SINAPI</t>
        </is>
      </c>
      <c r="D2773" s="22" t="inlineStr">
        <is>
          <t>M3</t>
        </is>
      </c>
      <c r="E2773" s="63" t="n">
        <v>0.0141</v>
      </c>
      <c r="F2773" s="64">
        <f>'COMPOSICOES AUXILIARES'!G3220</f>
        <v/>
      </c>
      <c r="G2773" s="64">
        <f>TRUNC(TRUNC(E2773,8)*F2773,2)</f>
        <v/>
      </c>
      <c r="L2773" t="n">
        <v>0.0141</v>
      </c>
      <c r="M2773" t="n">
        <v>281.89</v>
      </c>
      <c r="N2773">
        <f>(M2773-F2773)</f>
        <v/>
      </c>
    </row>
    <row r="2774" ht="15" customHeight="1">
      <c r="A2774" s="2" t="inlineStr"/>
      <c r="B2774" s="2" t="inlineStr"/>
      <c r="C2774" s="2" t="inlineStr"/>
      <c r="D2774" s="2" t="inlineStr"/>
      <c r="E2774" s="26" t="inlineStr">
        <is>
          <t>TOTAL Serviço:</t>
        </is>
      </c>
      <c r="F2774" s="56" t="n"/>
      <c r="G2774" s="65">
        <f>SUM(G2773:G2773)</f>
        <v/>
      </c>
    </row>
    <row r="2775" ht="15" customHeight="1">
      <c r="A2775" s="2" t="inlineStr"/>
      <c r="B2775" s="2" t="inlineStr"/>
      <c r="C2775" s="2" t="inlineStr"/>
      <c r="D2775" s="2" t="inlineStr"/>
      <c r="E2775" s="28" t="inlineStr">
        <is>
          <t>VALOR:</t>
        </is>
      </c>
      <c r="F2775" s="56" t="n"/>
      <c r="G2775" s="66">
        <f>SUM(G2771,G2774,G2767)</f>
        <v/>
      </c>
    </row>
    <row r="2776" ht="15" customHeight="1">
      <c r="A2776" s="2" t="inlineStr"/>
      <c r="B2776" s="2" t="inlineStr"/>
      <c r="C2776" s="2" t="inlineStr"/>
      <c r="D2776" s="2" t="inlineStr"/>
      <c r="E2776" s="28" t="inlineStr">
        <is>
          <t>VALOR BDI (23.08%):</t>
        </is>
      </c>
      <c r="F2776" s="56" t="n"/>
      <c r="G2776" s="66">
        <f>ROUNDDOWN(G2775*BDI,2)</f>
        <v/>
      </c>
    </row>
    <row r="2777" ht="15" customHeight="1">
      <c r="A2777" s="2" t="inlineStr"/>
      <c r="B2777" s="2" t="inlineStr"/>
      <c r="C2777" s="2" t="inlineStr"/>
      <c r="D2777" s="2" t="inlineStr"/>
      <c r="E2777" s="28" t="inlineStr">
        <is>
          <t>VALOR COM BDI:</t>
        </is>
      </c>
      <c r="F2777" s="56" t="n"/>
      <c r="G2777" s="66">
        <f>G2776 + G2775</f>
        <v/>
      </c>
    </row>
    <row r="2778" ht="10" customHeight="1">
      <c r="A2778" s="2" t="inlineStr"/>
      <c r="B2778" s="2" t="inlineStr"/>
      <c r="C2778" s="2" t="inlineStr"/>
      <c r="D2778" s="2" t="inlineStr"/>
      <c r="E2778" s="18" t="inlineStr"/>
    </row>
    <row r="2779" ht="20" customHeight="1">
      <c r="A2779" s="19" t="inlineStr">
        <is>
          <t>9.1.3.4. ​433 PRÓPRIO​ CABO COBRE NU 7 FIOS 4AWG - 16MM2​ (M)</t>
        </is>
      </c>
      <c r="B2779" s="55" t="n"/>
      <c r="C2779" s="55" t="n"/>
      <c r="D2779" s="55" t="n"/>
      <c r="E2779" s="55" t="n"/>
      <c r="F2779" s="55" t="n"/>
      <c r="G2779" s="56" t="n"/>
    </row>
    <row r="2780" ht="15" customHeight="1">
      <c r="A2780" s="20" t="inlineStr">
        <is>
          <t>Material</t>
        </is>
      </c>
      <c r="B2780" s="56" t="n"/>
      <c r="C2780" s="21" t="inlineStr">
        <is>
          <t>FONTE</t>
        </is>
      </c>
      <c r="D2780" s="21" t="inlineStr">
        <is>
          <t>UNID</t>
        </is>
      </c>
      <c r="E2780" s="21" t="inlineStr">
        <is>
          <t>COEFICIENTE</t>
        </is>
      </c>
      <c r="F2780" s="21" t="inlineStr">
        <is>
          <t>PREÇO UNITÁRIO</t>
        </is>
      </c>
      <c r="G2780" s="21" t="inlineStr">
        <is>
          <t>TOTAL</t>
        </is>
      </c>
    </row>
    <row r="2781" ht="15" customHeight="1">
      <c r="A2781" s="22" t="inlineStr">
        <is>
          <t>00000857</t>
        </is>
      </c>
      <c r="B2781" s="23" t="inlineStr">
        <is>
          <t>CABO DE COBRE NU 16 MM2 MEIO-DURO</t>
        </is>
      </c>
      <c r="C2781" s="22" t="inlineStr">
        <is>
          <t>SINAPI</t>
        </is>
      </c>
      <c r="D2781" s="22" t="inlineStr">
        <is>
          <t>M</t>
        </is>
      </c>
      <c r="E2781" s="63" t="n">
        <v>1.05</v>
      </c>
      <c r="F2781" s="64">
        <f>ROUND(M2781*FATOR, 2)</f>
        <v/>
      </c>
      <c r="G2781" s="64">
        <f>ROUND(ROUND(E2781,8)*F2781,2)</f>
        <v/>
      </c>
      <c r="L2781" t="n">
        <v>1.05</v>
      </c>
      <c r="M2781" t="n">
        <v>19.63</v>
      </c>
      <c r="N2781">
        <f>(M2781-F2781)</f>
        <v/>
      </c>
    </row>
    <row r="2782" ht="15" customHeight="1">
      <c r="A2782" s="2" t="inlineStr"/>
      <c r="B2782" s="2" t="inlineStr"/>
      <c r="C2782" s="2" t="inlineStr"/>
      <c r="D2782" s="2" t="inlineStr"/>
      <c r="E2782" s="26" t="inlineStr">
        <is>
          <t>TOTAL Material:</t>
        </is>
      </c>
      <c r="F2782" s="56" t="n"/>
      <c r="G2782" s="65">
        <f>SUM(G2781:G2781)</f>
        <v/>
      </c>
    </row>
    <row r="2783" ht="15" customHeight="1">
      <c r="A2783" s="20" t="inlineStr">
        <is>
          <t>Mão de Obra com Encargos Complementares</t>
        </is>
      </c>
      <c r="B2783" s="56" t="n"/>
      <c r="C2783" s="21" t="inlineStr">
        <is>
          <t>FONTE</t>
        </is>
      </c>
      <c r="D2783" s="21" t="inlineStr">
        <is>
          <t>UNID</t>
        </is>
      </c>
      <c r="E2783" s="21" t="inlineStr">
        <is>
          <t>COEFICIENTE</t>
        </is>
      </c>
      <c r="F2783" s="21" t="inlineStr">
        <is>
          <t>PREÇO UNITÁRIO</t>
        </is>
      </c>
      <c r="G2783" s="21" t="inlineStr">
        <is>
          <t>TOTAL</t>
        </is>
      </c>
    </row>
    <row r="2784" ht="21" customHeight="1">
      <c r="A2784" s="22" t="inlineStr">
        <is>
          <t>88247</t>
        </is>
      </c>
      <c r="B2784" s="23" t="inlineStr">
        <is>
          <t>AUXILIAR DE ELETRICISTA COM ENCARGOS COMPLEMENTARES</t>
        </is>
      </c>
      <c r="C2784" s="22" t="inlineStr">
        <is>
          <t>SINAPI</t>
        </is>
      </c>
      <c r="D2784" s="22" t="inlineStr">
        <is>
          <t>H</t>
        </is>
      </c>
      <c r="E2784" s="63">
        <f>L2784*FATOR</f>
        <v/>
      </c>
      <c r="F2784" s="64">
        <f>'COMPOSICOES AUXILIARES'!G505</f>
        <v/>
      </c>
      <c r="G2784" s="64">
        <f>ROUND(ROUND(E2784,8)*F2784,2)</f>
        <v/>
      </c>
      <c r="L2784" t="n">
        <v>0.472</v>
      </c>
      <c r="M2784" t="n">
        <v>25.22</v>
      </c>
      <c r="N2784">
        <f>(M2784-F2784)</f>
        <v/>
      </c>
    </row>
    <row r="2785" ht="15" customHeight="1">
      <c r="A2785" s="22" t="inlineStr">
        <is>
          <t>88264</t>
        </is>
      </c>
      <c r="B2785" s="23" t="inlineStr">
        <is>
          <t>ELETRICISTA COM ENCARGOS COMPLEMENTARES</t>
        </is>
      </c>
      <c r="C2785" s="22" t="inlineStr">
        <is>
          <t>SINAPI</t>
        </is>
      </c>
      <c r="D2785" s="22" t="inlineStr">
        <is>
          <t>H</t>
        </is>
      </c>
      <c r="E2785" s="63">
        <f>L2785*FATOR</f>
        <v/>
      </c>
      <c r="F2785" s="64">
        <f>'COMPOSICOES AUXILIARES'!G505</f>
        <v/>
      </c>
      <c r="G2785" s="64">
        <f>ROUND(ROUND(E2785,8)*F2785,2)</f>
        <v/>
      </c>
      <c r="L2785" t="n">
        <v>0.472</v>
      </c>
      <c r="M2785" t="n">
        <v>30.96</v>
      </c>
      <c r="N2785">
        <f>(M2785-F2785)</f>
        <v/>
      </c>
    </row>
    <row r="2786" ht="18" customHeight="1">
      <c r="A2786" s="2" t="inlineStr"/>
      <c r="B2786" s="2" t="inlineStr"/>
      <c r="C2786" s="2" t="inlineStr"/>
      <c r="D2786" s="2" t="inlineStr"/>
      <c r="E2786" s="26" t="inlineStr">
        <is>
          <t>TOTAL Mão de Obra com Encargos Complementares:</t>
        </is>
      </c>
      <c r="F2786" s="56" t="n"/>
      <c r="G2786" s="65">
        <f>SUM(G2784:G2785)</f>
        <v/>
      </c>
    </row>
    <row r="2787" ht="15" customHeight="1">
      <c r="A2787" s="2" t="inlineStr"/>
      <c r="B2787" s="2" t="inlineStr"/>
      <c r="C2787" s="2" t="inlineStr"/>
      <c r="D2787" s="2" t="inlineStr"/>
      <c r="E2787" s="28" t="inlineStr">
        <is>
          <t>VALOR:</t>
        </is>
      </c>
      <c r="F2787" s="56" t="n"/>
      <c r="G2787" s="66">
        <f>SUM(G2786,G2782)</f>
        <v/>
      </c>
    </row>
    <row r="2788" ht="15" customHeight="1">
      <c r="A2788" s="2" t="inlineStr"/>
      <c r="B2788" s="2" t="inlineStr"/>
      <c r="C2788" s="2" t="inlineStr"/>
      <c r="D2788" s="2" t="inlineStr"/>
      <c r="E2788" s="28" t="inlineStr">
        <is>
          <t>VALOR BDI (23.08%):</t>
        </is>
      </c>
      <c r="F2788" s="56" t="n"/>
      <c r="G2788" s="66">
        <f>ROUNDDOWN(G2787*BDI,2)</f>
        <v/>
      </c>
    </row>
    <row r="2789" ht="15" customHeight="1">
      <c r="A2789" s="2" t="inlineStr"/>
      <c r="B2789" s="2" t="inlineStr"/>
      <c r="C2789" s="2" t="inlineStr"/>
      <c r="D2789" s="2" t="inlineStr"/>
      <c r="E2789" s="28" t="inlineStr">
        <is>
          <t>VALOR COM BDI:</t>
        </is>
      </c>
      <c r="F2789" s="56" t="n"/>
      <c r="G2789" s="66">
        <f>G2788 + G2787</f>
        <v/>
      </c>
    </row>
    <row r="2790" ht="10" customHeight="1">
      <c r="A2790" s="2" t="inlineStr"/>
      <c r="B2790" s="2" t="inlineStr"/>
      <c r="C2790" s="2" t="inlineStr"/>
      <c r="D2790" s="2" t="inlineStr"/>
      <c r="E2790" s="18" t="inlineStr"/>
    </row>
    <row r="2791" ht="20" customHeight="1">
      <c r="A2791" s="19" t="inlineStr">
        <is>
          <t>9.2.1.1. ​384 PRÓPRIO​ QUADRO GERAL DE DISTRIBUIÇÃO TRIFÁSICO, DE EMBUTIR, COM BARRAMENTO, EM CHAPA GALVANIZADA PINTADA - 60 X 100 X 20CM - SEMDISJUNTORES​ (UN)</t>
        </is>
      </c>
      <c r="B2791" s="55" t="n"/>
      <c r="C2791" s="55" t="n"/>
      <c r="D2791" s="55" t="n"/>
      <c r="E2791" s="55" t="n"/>
      <c r="F2791" s="55" t="n"/>
      <c r="G2791" s="56" t="n"/>
    </row>
    <row r="2792" ht="15" customHeight="1">
      <c r="A2792" s="20" t="inlineStr">
        <is>
          <t>Material</t>
        </is>
      </c>
      <c r="B2792" s="56" t="n"/>
      <c r="C2792" s="21" t="inlineStr">
        <is>
          <t>FONTE</t>
        </is>
      </c>
      <c r="D2792" s="21" t="inlineStr">
        <is>
          <t>UNID</t>
        </is>
      </c>
      <c r="E2792" s="21" t="inlineStr">
        <is>
          <t>COEFICIENTE</t>
        </is>
      </c>
      <c r="F2792" s="21" t="inlineStr">
        <is>
          <t>PREÇO UNITÁRIO</t>
        </is>
      </c>
      <c r="G2792" s="21" t="inlineStr">
        <is>
          <t>TOTAL</t>
        </is>
      </c>
    </row>
    <row r="2793" ht="29" customHeight="1">
      <c r="A2793" s="22" t="inlineStr">
        <is>
          <t>I12233</t>
        </is>
      </c>
      <c r="B2793" s="23" t="inlineStr">
        <is>
          <t>Quadro geral de distribuição de embutir, com barramento, em chapa galvaniz., medindo:1000x600x250cm, exclusive disjuntores</t>
        </is>
      </c>
      <c r="C2793" s="22" t="inlineStr">
        <is>
          <t>ORSE</t>
        </is>
      </c>
      <c r="D2793" s="22" t="inlineStr">
        <is>
          <t>un</t>
        </is>
      </c>
      <c r="E2793" s="63" t="n">
        <v>1</v>
      </c>
      <c r="F2793" s="64">
        <f>ROUND(M2793*FATOR, 2)</f>
        <v/>
      </c>
      <c r="G2793" s="64">
        <f>ROUND(ROUND(E2793,8)*F2793,2)</f>
        <v/>
      </c>
      <c r="L2793" t="n">
        <v>1</v>
      </c>
      <c r="M2793" t="n">
        <v>2620.37</v>
      </c>
      <c r="N2793">
        <f>(M2793-F2793)</f>
        <v/>
      </c>
    </row>
    <row r="2794" ht="15" customHeight="1">
      <c r="A2794" s="2" t="inlineStr"/>
      <c r="B2794" s="2" t="inlineStr"/>
      <c r="C2794" s="2" t="inlineStr"/>
      <c r="D2794" s="2" t="inlineStr"/>
      <c r="E2794" s="26" t="inlineStr">
        <is>
          <t>TOTAL Material:</t>
        </is>
      </c>
      <c r="F2794" s="56" t="n"/>
      <c r="G2794" s="65">
        <f>SUM(G2793:G2793)</f>
        <v/>
      </c>
    </row>
    <row r="2795" ht="15" customHeight="1">
      <c r="A2795" s="20" t="inlineStr">
        <is>
          <t>Mão de Obra com Encargos Complementares</t>
        </is>
      </c>
      <c r="B2795" s="56" t="n"/>
      <c r="C2795" s="21" t="inlineStr">
        <is>
          <t>FONTE</t>
        </is>
      </c>
      <c r="D2795" s="21" t="inlineStr">
        <is>
          <t>UNID</t>
        </is>
      </c>
      <c r="E2795" s="21" t="inlineStr">
        <is>
          <t>COEFICIENTE</t>
        </is>
      </c>
      <c r="F2795" s="21" t="inlineStr">
        <is>
          <t>PREÇO UNITÁRIO</t>
        </is>
      </c>
      <c r="G2795" s="21" t="inlineStr">
        <is>
          <t>TOTAL</t>
        </is>
      </c>
    </row>
    <row r="2796" ht="15" customHeight="1">
      <c r="A2796" s="22" t="inlineStr">
        <is>
          <t>88264</t>
        </is>
      </c>
      <c r="B2796" s="23" t="inlineStr">
        <is>
          <t>ELETRICISTA COM ENCARGOS COMPLEMENTARES</t>
        </is>
      </c>
      <c r="C2796" s="22" t="inlineStr">
        <is>
          <t>SINAPI</t>
        </is>
      </c>
      <c r="D2796" s="22" t="inlineStr">
        <is>
          <t>H</t>
        </is>
      </c>
      <c r="E2796" s="63">
        <f>L2796*FATOR</f>
        <v/>
      </c>
      <c r="F2796" s="64">
        <f>'COMPOSICOES AUXILIARES'!G505</f>
        <v/>
      </c>
      <c r="G2796" s="64">
        <f>ROUND(ROUND(E2796,8)*F2796,2)</f>
        <v/>
      </c>
      <c r="L2796" t="n">
        <v>8</v>
      </c>
      <c r="M2796" t="n">
        <v>30.96</v>
      </c>
      <c r="N2796">
        <f>(M2796-F2796)</f>
        <v/>
      </c>
    </row>
    <row r="2797" ht="15" customHeight="1">
      <c r="A2797" s="22" t="inlineStr">
        <is>
          <t>88316</t>
        </is>
      </c>
      <c r="B2797" s="23" t="inlineStr">
        <is>
          <t>SERVENTE COM ENCARGOS COMPLEMENTARES</t>
        </is>
      </c>
      <c r="C2797" s="22" t="inlineStr">
        <is>
          <t>SINAPI</t>
        </is>
      </c>
      <c r="D2797" s="22" t="inlineStr">
        <is>
          <t>H</t>
        </is>
      </c>
      <c r="E2797" s="63">
        <f>L2797*FATOR</f>
        <v/>
      </c>
      <c r="F2797" s="64">
        <f>'COMPOSICOES AUXILIARES'!G3390</f>
        <v/>
      </c>
      <c r="G2797" s="64">
        <f>ROUND(ROUND(E2797,8)*F2797,2)</f>
        <v/>
      </c>
      <c r="L2797" t="n">
        <v>8</v>
      </c>
      <c r="M2797" t="n">
        <v>23.56</v>
      </c>
      <c r="N2797">
        <f>(M2797-F2797)</f>
        <v/>
      </c>
    </row>
    <row r="2798" ht="18" customHeight="1">
      <c r="A2798" s="2" t="inlineStr"/>
      <c r="B2798" s="2" t="inlineStr"/>
      <c r="C2798" s="2" t="inlineStr"/>
      <c r="D2798" s="2" t="inlineStr"/>
      <c r="E2798" s="26" t="inlineStr">
        <is>
          <t>TOTAL Mão de Obra com Encargos Complementares:</t>
        </is>
      </c>
      <c r="F2798" s="56" t="n"/>
      <c r="G2798" s="65">
        <f>SUM(G2796:G2797)</f>
        <v/>
      </c>
    </row>
    <row r="2799" ht="15" customHeight="1">
      <c r="A2799" s="2" t="inlineStr"/>
      <c r="B2799" s="2" t="inlineStr"/>
      <c r="C2799" s="2" t="inlineStr"/>
      <c r="D2799" s="2" t="inlineStr"/>
      <c r="E2799" s="28" t="inlineStr">
        <is>
          <t>VALOR:</t>
        </is>
      </c>
      <c r="F2799" s="56" t="n"/>
      <c r="G2799" s="66">
        <f>SUM(G2794,G2798)</f>
        <v/>
      </c>
    </row>
    <row r="2800" ht="15" customHeight="1">
      <c r="A2800" s="2" t="inlineStr"/>
      <c r="B2800" s="2" t="inlineStr"/>
      <c r="C2800" s="2" t="inlineStr"/>
      <c r="D2800" s="2" t="inlineStr"/>
      <c r="E2800" s="28" t="inlineStr">
        <is>
          <t>VALOR BDI (23.08%):</t>
        </is>
      </c>
      <c r="F2800" s="56" t="n"/>
      <c r="G2800" s="66">
        <f>ROUNDDOWN(G2799*BDI,2)</f>
        <v/>
      </c>
    </row>
    <row r="2801" ht="15" customHeight="1">
      <c r="A2801" s="2" t="inlineStr"/>
      <c r="B2801" s="2" t="inlineStr"/>
      <c r="C2801" s="2" t="inlineStr"/>
      <c r="D2801" s="2" t="inlineStr"/>
      <c r="E2801" s="28" t="inlineStr">
        <is>
          <t>VALOR COM BDI:</t>
        </is>
      </c>
      <c r="F2801" s="56" t="n"/>
      <c r="G2801" s="66">
        <f>G2800 + G2799</f>
        <v/>
      </c>
    </row>
    <row r="2802" ht="10" customHeight="1">
      <c r="A2802" s="2" t="inlineStr"/>
      <c r="B2802" s="2" t="inlineStr"/>
      <c r="C2802" s="2" t="inlineStr"/>
      <c r="D2802" s="2" t="inlineStr"/>
      <c r="E2802" s="18" t="inlineStr"/>
    </row>
    <row r="2803" ht="20" customHeight="1">
      <c r="A2803" s="19" t="inlineStr">
        <is>
          <t>9.2.2.1. ​98302​ PATCH PANEL 24 PORTAS, CATEGORIA 6 - FORNECIMENTO E INSTALAÇÃO.AF_08/2025​ (UN)</t>
        </is>
      </c>
      <c r="B2803" s="55" t="n"/>
      <c r="C2803" s="55" t="n"/>
      <c r="D2803" s="55" t="n"/>
      <c r="E2803" s="55" t="n"/>
      <c r="F2803" s="55" t="n"/>
      <c r="G2803" s="56" t="n"/>
    </row>
    <row r="2804" ht="15" customHeight="1">
      <c r="A2804" s="20" t="inlineStr">
        <is>
          <t>Material</t>
        </is>
      </c>
      <c r="B2804" s="56" t="n"/>
      <c r="C2804" s="21" t="inlineStr">
        <is>
          <t>FONTE</t>
        </is>
      </c>
      <c r="D2804" s="21" t="inlineStr">
        <is>
          <t>UNID</t>
        </is>
      </c>
      <c r="E2804" s="21" t="inlineStr">
        <is>
          <t>COEFICIENTE</t>
        </is>
      </c>
      <c r="F2804" s="21" t="inlineStr">
        <is>
          <t>PREÇO UNITÁRIO</t>
        </is>
      </c>
      <c r="G2804" s="21" t="inlineStr">
        <is>
          <t>TOTAL</t>
        </is>
      </c>
    </row>
    <row r="2805" ht="21" customHeight="1">
      <c r="A2805" s="22" t="inlineStr">
        <is>
          <t>00039596</t>
        </is>
      </c>
      <c r="B2805" s="23" t="inlineStr">
        <is>
          <t>PATCH PANEL, 24 PORTAS, CATEGORIA 6, COM RACKS DE 19" DE LARGURA E 1 U DE ALTURA</t>
        </is>
      </c>
      <c r="C2805" s="22" t="inlineStr">
        <is>
          <t>SINAPI</t>
        </is>
      </c>
      <c r="D2805" s="22" t="inlineStr">
        <is>
          <t>UN</t>
        </is>
      </c>
      <c r="E2805" s="63" t="n">
        <v>1</v>
      </c>
      <c r="F2805" s="64">
        <f>ROUND(M2805*FATOR, 2)</f>
        <v/>
      </c>
      <c r="G2805" s="64">
        <f>TRUNC(TRUNC(E2805,8)*F2805,2)</f>
        <v/>
      </c>
      <c r="L2805" t="n">
        <v>1</v>
      </c>
      <c r="M2805" t="n">
        <v>912.88</v>
      </c>
      <c r="N2805">
        <f>(M2805-F2805)</f>
        <v/>
      </c>
    </row>
    <row r="2806" ht="15" customHeight="1">
      <c r="A2806" s="2" t="inlineStr"/>
      <c r="B2806" s="2" t="inlineStr"/>
      <c r="C2806" s="2" t="inlineStr"/>
      <c r="D2806" s="2" t="inlineStr"/>
      <c r="E2806" s="26" t="inlineStr">
        <is>
          <t>TOTAL Material:</t>
        </is>
      </c>
      <c r="F2806" s="56" t="n"/>
      <c r="G2806" s="65">
        <f>SUM(G2805:G2805)</f>
        <v/>
      </c>
    </row>
    <row r="2807" ht="15" customHeight="1">
      <c r="A2807" s="20" t="inlineStr">
        <is>
          <t>Mão de Obra com Encargos Complementares</t>
        </is>
      </c>
      <c r="B2807" s="56" t="n"/>
      <c r="C2807" s="21" t="inlineStr">
        <is>
          <t>FONTE</t>
        </is>
      </c>
      <c r="D2807" s="21" t="inlineStr">
        <is>
          <t>UNID</t>
        </is>
      </c>
      <c r="E2807" s="21" t="inlineStr">
        <is>
          <t>COEFICIENTE</t>
        </is>
      </c>
      <c r="F2807" s="21" t="inlineStr">
        <is>
          <t>PREÇO UNITÁRIO</t>
        </is>
      </c>
      <c r="G2807" s="21" t="inlineStr">
        <is>
          <t>TOTAL</t>
        </is>
      </c>
    </row>
    <row r="2808" ht="21" customHeight="1">
      <c r="A2808" s="22" t="inlineStr">
        <is>
          <t>88247</t>
        </is>
      </c>
      <c r="B2808" s="23" t="inlineStr">
        <is>
          <t>AUXILIAR DE ELETRICISTA COM ENCARGOS COMPLEMENTARES</t>
        </is>
      </c>
      <c r="C2808" s="22" t="inlineStr">
        <is>
          <t>SINAPI</t>
        </is>
      </c>
      <c r="D2808" s="22" t="inlineStr">
        <is>
          <t>H</t>
        </is>
      </c>
      <c r="E2808" s="63">
        <f>L2808*FATOR</f>
        <v/>
      </c>
      <c r="F2808" s="64">
        <f>'COMPOSICOES AUXILIARES'!G505</f>
        <v/>
      </c>
      <c r="G2808" s="64">
        <f>TRUNC(TRUNC(E2808,8)*F2808,2)</f>
        <v/>
      </c>
      <c r="L2808" t="n">
        <v>4.3398</v>
      </c>
      <c r="M2808" t="n">
        <v>25.22</v>
      </c>
      <c r="N2808">
        <f>(M2808-F2808)</f>
        <v/>
      </c>
    </row>
    <row r="2809" ht="15" customHeight="1">
      <c r="A2809" s="22" t="inlineStr">
        <is>
          <t>88264</t>
        </is>
      </c>
      <c r="B2809" s="23" t="inlineStr">
        <is>
          <t>ELETRICISTA COM ENCARGOS COMPLEMENTARES</t>
        </is>
      </c>
      <c r="C2809" s="22" t="inlineStr">
        <is>
          <t>SINAPI</t>
        </is>
      </c>
      <c r="D2809" s="22" t="inlineStr">
        <is>
          <t>H</t>
        </is>
      </c>
      <c r="E2809" s="63">
        <f>L2809*FATOR</f>
        <v/>
      </c>
      <c r="F2809" s="64">
        <f>'COMPOSICOES AUXILIARES'!G505</f>
        <v/>
      </c>
      <c r="G2809" s="64">
        <f>TRUNC(TRUNC(E2809,8)*F2809,2)</f>
        <v/>
      </c>
      <c r="L2809" t="n">
        <v>5.7864</v>
      </c>
      <c r="M2809" t="n">
        <v>30.96</v>
      </c>
      <c r="N2809">
        <f>(M2809-F2809)</f>
        <v/>
      </c>
    </row>
    <row r="2810" ht="18" customHeight="1">
      <c r="A2810" s="2" t="inlineStr"/>
      <c r="B2810" s="2" t="inlineStr"/>
      <c r="C2810" s="2" t="inlineStr"/>
      <c r="D2810" s="2" t="inlineStr"/>
      <c r="E2810" s="26" t="inlineStr">
        <is>
          <t>TOTAL Mão de Obra com Encargos Complementares:</t>
        </is>
      </c>
      <c r="F2810" s="56" t="n"/>
      <c r="G2810" s="65">
        <f>SUM(G2808:G2809)</f>
        <v/>
      </c>
    </row>
    <row r="2811" ht="15" customHeight="1">
      <c r="A2811" s="2" t="inlineStr"/>
      <c r="B2811" s="2" t="inlineStr"/>
      <c r="C2811" s="2" t="inlineStr"/>
      <c r="D2811" s="2" t="inlineStr"/>
      <c r="E2811" s="28" t="inlineStr">
        <is>
          <t>VALOR:</t>
        </is>
      </c>
      <c r="F2811" s="56" t="n"/>
      <c r="G2811" s="66">
        <f>SUM(G2810,G2806)</f>
        <v/>
      </c>
    </row>
    <row r="2812" ht="15" customHeight="1">
      <c r="A2812" s="2" t="inlineStr"/>
      <c r="B2812" s="2" t="inlineStr"/>
      <c r="C2812" s="2" t="inlineStr"/>
      <c r="D2812" s="2" t="inlineStr"/>
      <c r="E2812" s="28" t="inlineStr">
        <is>
          <t>VALOR BDI (23.08%):</t>
        </is>
      </c>
      <c r="F2812" s="56" t="n"/>
      <c r="G2812" s="66">
        <f>ROUNDDOWN(G2811*BDI,2)</f>
        <v/>
      </c>
    </row>
    <row r="2813" ht="15" customHeight="1">
      <c r="A2813" s="2" t="inlineStr"/>
      <c r="B2813" s="2" t="inlineStr"/>
      <c r="C2813" s="2" t="inlineStr"/>
      <c r="D2813" s="2" t="inlineStr"/>
      <c r="E2813" s="28" t="inlineStr">
        <is>
          <t>VALOR COM BDI:</t>
        </is>
      </c>
      <c r="F2813" s="56" t="n"/>
      <c r="G2813" s="66">
        <f>G2812 + G2811</f>
        <v/>
      </c>
    </row>
    <row r="2814" ht="10" customHeight="1">
      <c r="A2814" s="2" t="inlineStr"/>
      <c r="B2814" s="2" t="inlineStr"/>
      <c r="C2814" s="2" t="inlineStr"/>
      <c r="D2814" s="2" t="inlineStr"/>
      <c r="E2814" s="18" t="inlineStr"/>
    </row>
    <row r="2815" ht="20" customHeight="1">
      <c r="A2815" s="19" t="inlineStr">
        <is>
          <t>9.2.2.2. ​432 PRÓPRIO​ SWITCH 24 PORTAS 10/100/1000 MPBS + 2P 10-100-1000 BT - FORNECIMENTO EINSTALAÇÃO​ (UN)</t>
        </is>
      </c>
      <c r="B2815" s="55" t="n"/>
      <c r="C2815" s="55" t="n"/>
      <c r="D2815" s="55" t="n"/>
      <c r="E2815" s="55" t="n"/>
      <c r="F2815" s="55" t="n"/>
      <c r="G2815" s="56" t="n"/>
    </row>
    <row r="2816" ht="15" customHeight="1">
      <c r="A2816" s="20" t="inlineStr">
        <is>
          <t>Material</t>
        </is>
      </c>
      <c r="B2816" s="56" t="n"/>
      <c r="C2816" s="21" t="inlineStr">
        <is>
          <t>FONTE</t>
        </is>
      </c>
      <c r="D2816" s="21" t="inlineStr">
        <is>
          <t>UNID</t>
        </is>
      </c>
      <c r="E2816" s="21" t="inlineStr">
        <is>
          <t>COEFICIENTE</t>
        </is>
      </c>
      <c r="F2816" s="21" t="inlineStr">
        <is>
          <t>PREÇO UNITÁRIO</t>
        </is>
      </c>
      <c r="G2816" s="21" t="inlineStr">
        <is>
          <t>TOTAL</t>
        </is>
      </c>
    </row>
    <row r="2817" ht="15" customHeight="1">
      <c r="A2817" s="22" t="inlineStr">
        <is>
          <t>I11481</t>
        </is>
      </c>
      <c r="B2817" s="23" t="inlineStr">
        <is>
          <t>Switch 24 portas 10/100 mpbs + 2P10-100-1000 BT</t>
        </is>
      </c>
      <c r="C2817" s="22" t="inlineStr">
        <is>
          <t>ORSE</t>
        </is>
      </c>
      <c r="D2817" s="22" t="inlineStr">
        <is>
          <t>un</t>
        </is>
      </c>
      <c r="E2817" s="63" t="n">
        <v>1</v>
      </c>
      <c r="F2817" s="64">
        <f>ROUND(M2817*FATOR, 2)</f>
        <v/>
      </c>
      <c r="G2817" s="64">
        <f>ROUND(ROUND(E2817,8)*F2817,2)</f>
        <v/>
      </c>
      <c r="L2817" t="n">
        <v>1</v>
      </c>
      <c r="M2817" t="n">
        <v>1267.86</v>
      </c>
      <c r="N2817">
        <f>(M2817-F2817)</f>
        <v/>
      </c>
    </row>
    <row r="2818" ht="15" customHeight="1">
      <c r="A2818" s="2" t="inlineStr"/>
      <c r="B2818" s="2" t="inlineStr"/>
      <c r="C2818" s="2" t="inlineStr"/>
      <c r="D2818" s="2" t="inlineStr"/>
      <c r="E2818" s="26" t="inlineStr">
        <is>
          <t>TOTAL Material:</t>
        </is>
      </c>
      <c r="F2818" s="56" t="n"/>
      <c r="G2818" s="65">
        <f>SUM(G2817:G2817)</f>
        <v/>
      </c>
    </row>
    <row r="2819" ht="15" customHeight="1">
      <c r="A2819" s="20" t="inlineStr">
        <is>
          <t>Mão de Obra com Encargos Complementares</t>
        </is>
      </c>
      <c r="B2819" s="56" t="n"/>
      <c r="C2819" s="21" t="inlineStr">
        <is>
          <t>FONTE</t>
        </is>
      </c>
      <c r="D2819" s="21" t="inlineStr">
        <is>
          <t>UNID</t>
        </is>
      </c>
      <c r="E2819" s="21" t="inlineStr">
        <is>
          <t>COEFICIENTE</t>
        </is>
      </c>
      <c r="F2819" s="21" t="inlineStr">
        <is>
          <t>PREÇO UNITÁRIO</t>
        </is>
      </c>
      <c r="G2819" s="21" t="inlineStr">
        <is>
          <t>TOTAL</t>
        </is>
      </c>
    </row>
    <row r="2820" ht="15" customHeight="1">
      <c r="A2820" s="22" t="inlineStr">
        <is>
          <t>88266</t>
        </is>
      </c>
      <c r="B2820" s="23" t="inlineStr">
        <is>
          <t>ELETROTÉCNICO COM ENCARGOS COMPLEMENTARES</t>
        </is>
      </c>
      <c r="C2820" s="22" t="inlineStr">
        <is>
          <t>SINAPI</t>
        </is>
      </c>
      <c r="D2820" s="22" t="inlineStr">
        <is>
          <t>H</t>
        </is>
      </c>
      <c r="E2820" s="63">
        <f>L2820*FATOR</f>
        <v/>
      </c>
      <c r="F2820" s="64">
        <f>'COMPOSICOES AUXILIARES'!G1869</f>
        <v/>
      </c>
      <c r="G2820" s="64">
        <f>ROUND(ROUND(E2820,8)*F2820,2)</f>
        <v/>
      </c>
      <c r="L2820" t="n">
        <v>1</v>
      </c>
      <c r="M2820" t="n">
        <v>42.28</v>
      </c>
      <c r="N2820">
        <f>(M2820-F2820)</f>
        <v/>
      </c>
    </row>
    <row r="2821" ht="18" customHeight="1">
      <c r="A2821" s="2" t="inlineStr"/>
      <c r="B2821" s="2" t="inlineStr"/>
      <c r="C2821" s="2" t="inlineStr"/>
      <c r="D2821" s="2" t="inlineStr"/>
      <c r="E2821" s="26" t="inlineStr">
        <is>
          <t>TOTAL Mão de Obra com Encargos Complementares:</t>
        </is>
      </c>
      <c r="F2821" s="56" t="n"/>
      <c r="G2821" s="65">
        <f>SUM(G2820:G2820)</f>
        <v/>
      </c>
    </row>
    <row r="2822" ht="15" customHeight="1">
      <c r="A2822" s="2" t="inlineStr"/>
      <c r="B2822" s="2" t="inlineStr"/>
      <c r="C2822" s="2" t="inlineStr"/>
      <c r="D2822" s="2" t="inlineStr"/>
      <c r="E2822" s="28" t="inlineStr">
        <is>
          <t>VALOR:</t>
        </is>
      </c>
      <c r="F2822" s="56" t="n"/>
      <c r="G2822" s="66">
        <f>SUM(G2818,G2821)</f>
        <v/>
      </c>
    </row>
    <row r="2823" ht="15" customHeight="1">
      <c r="A2823" s="2" t="inlineStr"/>
      <c r="B2823" s="2" t="inlineStr"/>
      <c r="C2823" s="2" t="inlineStr"/>
      <c r="D2823" s="2" t="inlineStr"/>
      <c r="E2823" s="28" t="inlineStr">
        <is>
          <t>VALOR BDI (23.08%):</t>
        </is>
      </c>
      <c r="F2823" s="56" t="n"/>
      <c r="G2823" s="66">
        <f>ROUNDDOWN(G2822*BDI,2)</f>
        <v/>
      </c>
    </row>
    <row r="2824" ht="15" customHeight="1">
      <c r="A2824" s="2" t="inlineStr"/>
      <c r="B2824" s="2" t="inlineStr"/>
      <c r="C2824" s="2" t="inlineStr"/>
      <c r="D2824" s="2" t="inlineStr"/>
      <c r="E2824" s="28" t="inlineStr">
        <is>
          <t>VALOR COM BDI:</t>
        </is>
      </c>
      <c r="F2824" s="56" t="n"/>
      <c r="G2824" s="66">
        <f>G2823 + G2822</f>
        <v/>
      </c>
    </row>
    <row r="2825" ht="10" customHeight="1">
      <c r="A2825" s="2" t="inlineStr"/>
      <c r="B2825" s="2" t="inlineStr"/>
      <c r="C2825" s="2" t="inlineStr"/>
      <c r="D2825" s="2" t="inlineStr"/>
      <c r="E2825" s="18" t="inlineStr"/>
    </row>
    <row r="2826" ht="20" customHeight="1">
      <c r="A2826" s="19" t="inlineStr">
        <is>
          <t>9.2.2.3. ​435 PRÓPRIO​ MINI RACK 6U X 450MM - INSTALAÇÃO EM PAREDE - COR: PRETO - COM VISOR​ (UN)</t>
        </is>
      </c>
      <c r="B2826" s="55" t="n"/>
      <c r="C2826" s="55" t="n"/>
      <c r="D2826" s="55" t="n"/>
      <c r="E2826" s="55" t="n"/>
      <c r="F2826" s="55" t="n"/>
      <c r="G2826" s="56" t="n"/>
    </row>
    <row r="2827" ht="15" customHeight="1">
      <c r="A2827" s="20" t="inlineStr">
        <is>
          <t>Material</t>
        </is>
      </c>
      <c r="B2827" s="56" t="n"/>
      <c r="C2827" s="21" t="inlineStr">
        <is>
          <t>FONTE</t>
        </is>
      </c>
      <c r="D2827" s="21" t="inlineStr">
        <is>
          <t>UNID</t>
        </is>
      </c>
      <c r="E2827" s="21" t="inlineStr">
        <is>
          <t>COEFICIENTE</t>
        </is>
      </c>
      <c r="F2827" s="21" t="inlineStr">
        <is>
          <t>PREÇO UNITÁRIO</t>
        </is>
      </c>
      <c r="G2827" s="21" t="inlineStr">
        <is>
          <t>TOTAL</t>
        </is>
      </c>
    </row>
    <row r="2828" ht="21" customHeight="1">
      <c r="A2828" s="22" t="inlineStr">
        <is>
          <t>006635 SBC</t>
        </is>
      </c>
      <c r="B2828" s="23" t="inlineStr">
        <is>
          <t>RACK - MINI RACK PAREDE 6UX450MM 19" COR PRETO PORTA COM VISOR DE ACRILICO</t>
        </is>
      </c>
      <c r="C2828" s="22" t="inlineStr">
        <is>
          <t xml:space="preserve">Composições </t>
        </is>
      </c>
      <c r="D2828" s="22" t="inlineStr">
        <is>
          <t>UN</t>
        </is>
      </c>
      <c r="E2828" s="63" t="n">
        <v>1</v>
      </c>
      <c r="F2828" s="64">
        <f>ROUND(M2828*FATOR, 2)</f>
        <v/>
      </c>
      <c r="G2828" s="64">
        <f>ROUND(ROUND(E2828,8)*F2828,2)</f>
        <v/>
      </c>
      <c r="L2828" t="n">
        <v>1</v>
      </c>
      <c r="M2828" t="n">
        <v>474.5</v>
      </c>
      <c r="N2828">
        <f>(M2828-F2828)</f>
        <v/>
      </c>
    </row>
    <row r="2829" ht="15" customHeight="1">
      <c r="A2829" s="2" t="inlineStr"/>
      <c r="B2829" s="2" t="inlineStr"/>
      <c r="C2829" s="2" t="inlineStr"/>
      <c r="D2829" s="2" t="inlineStr"/>
      <c r="E2829" s="26" t="inlineStr">
        <is>
          <t>TOTAL Material:</t>
        </is>
      </c>
      <c r="F2829" s="56" t="n"/>
      <c r="G2829" s="65">
        <f>SUM(G2828:G2828)</f>
        <v/>
      </c>
    </row>
    <row r="2830" ht="15" customHeight="1">
      <c r="A2830" s="20" t="inlineStr">
        <is>
          <t>Mão de Obra com Encargos Complementares</t>
        </is>
      </c>
      <c r="B2830" s="56" t="n"/>
      <c r="C2830" s="21" t="inlineStr">
        <is>
          <t>FONTE</t>
        </is>
      </c>
      <c r="D2830" s="21" t="inlineStr">
        <is>
          <t>UNID</t>
        </is>
      </c>
      <c r="E2830" s="21" t="inlineStr">
        <is>
          <t>COEFICIENTE</t>
        </is>
      </c>
      <c r="F2830" s="21" t="inlineStr">
        <is>
          <t>PREÇO UNITÁRIO</t>
        </is>
      </c>
      <c r="G2830" s="21" t="inlineStr">
        <is>
          <t>TOTAL</t>
        </is>
      </c>
    </row>
    <row r="2831" ht="21" customHeight="1">
      <c r="A2831" s="22" t="inlineStr">
        <is>
          <t>88243</t>
        </is>
      </c>
      <c r="B2831" s="23" t="inlineStr">
        <is>
          <t>AJUDANTE ESPECIALIZADO COM ENCARGOS COMPLEMENTARES</t>
        </is>
      </c>
      <c r="C2831" s="22" t="inlineStr">
        <is>
          <t>SINAPI</t>
        </is>
      </c>
      <c r="D2831" s="22" t="inlineStr">
        <is>
          <t>H</t>
        </is>
      </c>
      <c r="E2831" s="63">
        <f>L2831*FATOR</f>
        <v/>
      </c>
      <c r="F2831" s="64">
        <f>'COMPOSICOES AUXILIARES'!G106</f>
        <v/>
      </c>
      <c r="G2831" s="64">
        <f>ROUND(ROUND(E2831,8)*F2831,2)</f>
        <v/>
      </c>
      <c r="L2831" t="n">
        <v>1.1</v>
      </c>
      <c r="M2831" t="n">
        <v>23.76</v>
      </c>
      <c r="N2831">
        <f>(M2831-F2831)</f>
        <v/>
      </c>
    </row>
    <row r="2832" ht="15" customHeight="1">
      <c r="A2832" s="22" t="inlineStr">
        <is>
          <t>88266</t>
        </is>
      </c>
      <c r="B2832" s="23" t="inlineStr">
        <is>
          <t>ELETROTÉCNICO COM ENCARGOS COMPLEMENTARES</t>
        </is>
      </c>
      <c r="C2832" s="22" t="inlineStr">
        <is>
          <t>SINAPI</t>
        </is>
      </c>
      <c r="D2832" s="22" t="inlineStr">
        <is>
          <t>H</t>
        </is>
      </c>
      <c r="E2832" s="63">
        <f>L2832*FATOR</f>
        <v/>
      </c>
      <c r="F2832" s="64">
        <f>'COMPOSICOES AUXILIARES'!G1869</f>
        <v/>
      </c>
      <c r="G2832" s="64">
        <f>ROUND(ROUND(E2832,8)*F2832,2)</f>
        <v/>
      </c>
      <c r="L2832" t="n">
        <v>1.1</v>
      </c>
      <c r="M2832" t="n">
        <v>42.28</v>
      </c>
      <c r="N2832">
        <f>(M2832-F2832)</f>
        <v/>
      </c>
    </row>
    <row r="2833" ht="18" customHeight="1">
      <c r="A2833" s="2" t="inlineStr"/>
      <c r="B2833" s="2" t="inlineStr"/>
      <c r="C2833" s="2" t="inlineStr"/>
      <c r="D2833" s="2" t="inlineStr"/>
      <c r="E2833" s="26" t="inlineStr">
        <is>
          <t>TOTAL Mão de Obra com Encargos Complementares:</t>
        </is>
      </c>
      <c r="F2833" s="56" t="n"/>
      <c r="G2833" s="65">
        <f>SUM(G2831:G2832)</f>
        <v/>
      </c>
    </row>
    <row r="2834" ht="15" customHeight="1">
      <c r="A2834" s="2" t="inlineStr"/>
      <c r="B2834" s="2" t="inlineStr"/>
      <c r="C2834" s="2" t="inlineStr"/>
      <c r="D2834" s="2" t="inlineStr"/>
      <c r="E2834" s="28" t="inlineStr">
        <is>
          <t>VALOR:</t>
        </is>
      </c>
      <c r="F2834" s="56" t="n"/>
      <c r="G2834" s="66">
        <f>SUM(G2833,G2829)</f>
        <v/>
      </c>
    </row>
    <row r="2835" ht="15" customHeight="1">
      <c r="A2835" s="2" t="inlineStr"/>
      <c r="B2835" s="2" t="inlineStr"/>
      <c r="C2835" s="2" t="inlineStr"/>
      <c r="D2835" s="2" t="inlineStr"/>
      <c r="E2835" s="28" t="inlineStr">
        <is>
          <t>VALOR BDI (23.08%):</t>
        </is>
      </c>
      <c r="F2835" s="56" t="n"/>
      <c r="G2835" s="66">
        <f>ROUNDDOWN(G2834*BDI,2)</f>
        <v/>
      </c>
    </row>
    <row r="2836" ht="15" customHeight="1">
      <c r="A2836" s="2" t="inlineStr"/>
      <c r="B2836" s="2" t="inlineStr"/>
      <c r="C2836" s="2" t="inlineStr"/>
      <c r="D2836" s="2" t="inlineStr"/>
      <c r="E2836" s="28" t="inlineStr">
        <is>
          <t>VALOR COM BDI:</t>
        </is>
      </c>
      <c r="F2836" s="56" t="n"/>
      <c r="G2836" s="66">
        <f>G2835 + G2834</f>
        <v/>
      </c>
    </row>
    <row r="2837" ht="10" customHeight="1">
      <c r="A2837" s="2" t="inlineStr"/>
      <c r="B2837" s="2" t="inlineStr"/>
      <c r="C2837" s="2" t="inlineStr"/>
      <c r="D2837" s="2" t="inlineStr"/>
      <c r="E2837" s="18" t="inlineStr"/>
    </row>
    <row r="2838" ht="20" customHeight="1">
      <c r="A2838" s="19" t="inlineStr">
        <is>
          <t>9.2.2.4. ​437 PRÓPRIO​ TERMINAL TELEFONICO - BLOCO BLI-10P​ (UN)</t>
        </is>
      </c>
      <c r="B2838" s="55" t="n"/>
      <c r="C2838" s="55" t="n"/>
      <c r="D2838" s="55" t="n"/>
      <c r="E2838" s="55" t="n"/>
      <c r="F2838" s="55" t="n"/>
      <c r="G2838" s="56" t="n"/>
    </row>
    <row r="2839" ht="15" customHeight="1">
      <c r="A2839" s="20" t="inlineStr">
        <is>
          <t>Material</t>
        </is>
      </c>
      <c r="B2839" s="56" t="n"/>
      <c r="C2839" s="21" t="inlineStr">
        <is>
          <t>FONTE</t>
        </is>
      </c>
      <c r="D2839" s="21" t="inlineStr">
        <is>
          <t>UNID</t>
        </is>
      </c>
      <c r="E2839" s="21" t="inlineStr">
        <is>
          <t>COEFICIENTE</t>
        </is>
      </c>
      <c r="F2839" s="21" t="inlineStr">
        <is>
          <t>PREÇO UNITÁRIO</t>
        </is>
      </c>
      <c r="G2839" s="21" t="inlineStr">
        <is>
          <t>TOTAL</t>
        </is>
      </c>
    </row>
    <row r="2840" ht="21" customHeight="1">
      <c r="A2840" s="22" t="inlineStr">
        <is>
          <t>080931 SBC</t>
        </is>
      </c>
      <c r="B2840" s="23" t="inlineStr">
        <is>
          <t>BLOCO ENGATE RAPIDO PARA TELEFONIA 10 PARES - 5.64.11</t>
        </is>
      </c>
      <c r="C2840" s="22" t="inlineStr">
        <is>
          <t xml:space="preserve">Composições </t>
        </is>
      </c>
      <c r="D2840" s="22" t="inlineStr">
        <is>
          <t>UN</t>
        </is>
      </c>
      <c r="E2840" s="63" t="n">
        <v>1</v>
      </c>
      <c r="F2840" s="64">
        <f>ROUND(M2840*FATOR, 2)</f>
        <v/>
      </c>
      <c r="G2840" s="64">
        <f>ROUND(ROUND(E2840,8)*F2840,2)</f>
        <v/>
      </c>
      <c r="L2840" t="n">
        <v>1</v>
      </c>
      <c r="M2840" t="n">
        <v>16.15</v>
      </c>
      <c r="N2840">
        <f>(M2840-F2840)</f>
        <v/>
      </c>
    </row>
    <row r="2841" ht="15" customHeight="1">
      <c r="A2841" s="2" t="inlineStr"/>
      <c r="B2841" s="2" t="inlineStr"/>
      <c r="C2841" s="2" t="inlineStr"/>
      <c r="D2841" s="2" t="inlineStr"/>
      <c r="E2841" s="26" t="inlineStr">
        <is>
          <t>TOTAL Material:</t>
        </is>
      </c>
      <c r="F2841" s="56" t="n"/>
      <c r="G2841" s="65">
        <f>SUM(G2840:G2840)</f>
        <v/>
      </c>
    </row>
    <row r="2842" ht="15" customHeight="1">
      <c r="A2842" s="20" t="inlineStr">
        <is>
          <t>Mão de Obra com Encargos Complementares</t>
        </is>
      </c>
      <c r="B2842" s="56" t="n"/>
      <c r="C2842" s="21" t="inlineStr">
        <is>
          <t>FONTE</t>
        </is>
      </c>
      <c r="D2842" s="21" t="inlineStr">
        <is>
          <t>UNID</t>
        </is>
      </c>
      <c r="E2842" s="21" t="inlineStr">
        <is>
          <t>COEFICIENTE</t>
        </is>
      </c>
      <c r="F2842" s="21" t="inlineStr">
        <is>
          <t>PREÇO UNITÁRIO</t>
        </is>
      </c>
      <c r="G2842" s="21" t="inlineStr">
        <is>
          <t>TOTAL</t>
        </is>
      </c>
    </row>
    <row r="2843" ht="21" customHeight="1">
      <c r="A2843" s="22" t="inlineStr">
        <is>
          <t>88243</t>
        </is>
      </c>
      <c r="B2843" s="23" t="inlineStr">
        <is>
          <t>AJUDANTE ESPECIALIZADO COM ENCARGOS COMPLEMENTARES</t>
        </is>
      </c>
      <c r="C2843" s="22" t="inlineStr">
        <is>
          <t>SINAPI</t>
        </is>
      </c>
      <c r="D2843" s="22" t="inlineStr">
        <is>
          <t>H</t>
        </is>
      </c>
      <c r="E2843" s="63">
        <f>L2843*FATOR</f>
        <v/>
      </c>
      <c r="F2843" s="64">
        <f>'COMPOSICOES AUXILIARES'!G106</f>
        <v/>
      </c>
      <c r="G2843" s="64">
        <f>ROUND(ROUND(E2843,8)*F2843,2)</f>
        <v/>
      </c>
      <c r="L2843" t="n">
        <v>0.9</v>
      </c>
      <c r="M2843" t="n">
        <v>23.76</v>
      </c>
      <c r="N2843">
        <f>(M2843-F2843)</f>
        <v/>
      </c>
    </row>
    <row r="2844" ht="15" customHeight="1">
      <c r="A2844" s="22" t="inlineStr">
        <is>
          <t>88266</t>
        </is>
      </c>
      <c r="B2844" s="23" t="inlineStr">
        <is>
          <t>ELETROTÉCNICO COM ENCARGOS COMPLEMENTARES</t>
        </is>
      </c>
      <c r="C2844" s="22" t="inlineStr">
        <is>
          <t>SINAPI</t>
        </is>
      </c>
      <c r="D2844" s="22" t="inlineStr">
        <is>
          <t>H</t>
        </is>
      </c>
      <c r="E2844" s="63">
        <f>L2844*FATOR</f>
        <v/>
      </c>
      <c r="F2844" s="64">
        <f>'COMPOSICOES AUXILIARES'!G1869</f>
        <v/>
      </c>
      <c r="G2844" s="64">
        <f>ROUND(ROUND(E2844,8)*F2844,2)</f>
        <v/>
      </c>
      <c r="L2844" t="n">
        <v>0.9</v>
      </c>
      <c r="M2844" t="n">
        <v>42.28</v>
      </c>
      <c r="N2844">
        <f>(M2844-F2844)</f>
        <v/>
      </c>
    </row>
    <row r="2845" ht="18" customHeight="1">
      <c r="A2845" s="2" t="inlineStr"/>
      <c r="B2845" s="2" t="inlineStr"/>
      <c r="C2845" s="2" t="inlineStr"/>
      <c r="D2845" s="2" t="inlineStr"/>
      <c r="E2845" s="26" t="inlineStr">
        <is>
          <t>TOTAL Mão de Obra com Encargos Complementares:</t>
        </is>
      </c>
      <c r="F2845" s="56" t="n"/>
      <c r="G2845" s="65">
        <f>SUM(G2843:G2844)</f>
        <v/>
      </c>
    </row>
    <row r="2846" ht="15" customHeight="1">
      <c r="A2846" s="2" t="inlineStr"/>
      <c r="B2846" s="2" t="inlineStr"/>
      <c r="C2846" s="2" t="inlineStr"/>
      <c r="D2846" s="2" t="inlineStr"/>
      <c r="E2846" s="28" t="inlineStr">
        <is>
          <t>VALOR:</t>
        </is>
      </c>
      <c r="F2846" s="56" t="n"/>
      <c r="G2846" s="66">
        <f>SUM(G2841,G2845)</f>
        <v/>
      </c>
    </row>
    <row r="2847" ht="15" customHeight="1">
      <c r="A2847" s="2" t="inlineStr"/>
      <c r="B2847" s="2" t="inlineStr"/>
      <c r="C2847" s="2" t="inlineStr"/>
      <c r="D2847" s="2" t="inlineStr"/>
      <c r="E2847" s="28" t="inlineStr">
        <is>
          <t>VALOR BDI (23.08%):</t>
        </is>
      </c>
      <c r="F2847" s="56" t="n"/>
      <c r="G2847" s="66">
        <f>ROUNDDOWN(G2846*BDI,2)</f>
        <v/>
      </c>
    </row>
    <row r="2848" ht="15" customHeight="1">
      <c r="A2848" s="2" t="inlineStr"/>
      <c r="B2848" s="2" t="inlineStr"/>
      <c r="C2848" s="2" t="inlineStr"/>
      <c r="D2848" s="2" t="inlineStr"/>
      <c r="E2848" s="28" t="inlineStr">
        <is>
          <t>VALOR COM BDI:</t>
        </is>
      </c>
      <c r="F2848" s="56" t="n"/>
      <c r="G2848" s="66">
        <f>G2847 + G2846</f>
        <v/>
      </c>
    </row>
    <row r="2849" ht="10" customHeight="1">
      <c r="A2849" s="2" t="inlineStr"/>
      <c r="B2849" s="2" t="inlineStr"/>
      <c r="C2849" s="2" t="inlineStr"/>
      <c r="D2849" s="2" t="inlineStr"/>
      <c r="E2849" s="18" t="inlineStr"/>
    </row>
    <row r="2850" ht="20" customHeight="1">
      <c r="A2850" s="19" t="inlineStr">
        <is>
          <t>9.2.2.5. ​436 PRÓPRIO​ GUIA DE CABOS P/ RACK PADRÃO 19""​ (UN)</t>
        </is>
      </c>
      <c r="B2850" s="55" t="n"/>
      <c r="C2850" s="55" t="n"/>
      <c r="D2850" s="55" t="n"/>
      <c r="E2850" s="55" t="n"/>
      <c r="F2850" s="55" t="n"/>
      <c r="G2850" s="56" t="n"/>
    </row>
    <row r="2851" ht="15" customHeight="1">
      <c r="A2851" s="20" t="inlineStr">
        <is>
          <t>Material</t>
        </is>
      </c>
      <c r="B2851" s="56" t="n"/>
      <c r="C2851" s="21" t="inlineStr">
        <is>
          <t>FONTE</t>
        </is>
      </c>
      <c r="D2851" s="21" t="inlineStr">
        <is>
          <t>UNID</t>
        </is>
      </c>
      <c r="E2851" s="21" t="inlineStr">
        <is>
          <t>COEFICIENTE</t>
        </is>
      </c>
      <c r="F2851" s="21" t="inlineStr">
        <is>
          <t>PREÇO UNITÁRIO</t>
        </is>
      </c>
      <c r="G2851" s="21" t="inlineStr">
        <is>
          <t>TOTAL</t>
        </is>
      </c>
    </row>
    <row r="2852" ht="15" customHeight="1">
      <c r="A2852" s="22" t="inlineStr">
        <is>
          <t>041898 SBC</t>
        </is>
      </c>
      <c r="B2852" s="23" t="inlineStr">
        <is>
          <t>RACK - GUIA DE CABOS 1U PADRÃO 19"</t>
        </is>
      </c>
      <c r="C2852" s="22" t="inlineStr">
        <is>
          <t xml:space="preserve">Composições </t>
        </is>
      </c>
      <c r="D2852" s="22" t="inlineStr">
        <is>
          <t>UN</t>
        </is>
      </c>
      <c r="E2852" s="63" t="n">
        <v>1</v>
      </c>
      <c r="F2852" s="64">
        <f>ROUND(M2852*FATOR, 2)</f>
        <v/>
      </c>
      <c r="G2852" s="64">
        <f>ROUND(ROUND(E2852,8)*F2852,2)</f>
        <v/>
      </c>
      <c r="L2852" t="n">
        <v>1</v>
      </c>
      <c r="M2852" t="n">
        <v>19.1</v>
      </c>
      <c r="N2852">
        <f>(M2852-F2852)</f>
        <v/>
      </c>
    </row>
    <row r="2853" ht="15" customHeight="1">
      <c r="A2853" s="2" t="inlineStr"/>
      <c r="B2853" s="2" t="inlineStr"/>
      <c r="C2853" s="2" t="inlineStr"/>
      <c r="D2853" s="2" t="inlineStr"/>
      <c r="E2853" s="26" t="inlineStr">
        <is>
          <t>TOTAL Material:</t>
        </is>
      </c>
      <c r="F2853" s="56" t="n"/>
      <c r="G2853" s="65">
        <f>SUM(G2852:G2852)</f>
        <v/>
      </c>
    </row>
    <row r="2854" ht="15" customHeight="1">
      <c r="A2854" s="20" t="inlineStr">
        <is>
          <t>Mão de Obra com Encargos Complementares</t>
        </is>
      </c>
      <c r="B2854" s="56" t="n"/>
      <c r="C2854" s="21" t="inlineStr">
        <is>
          <t>FONTE</t>
        </is>
      </c>
      <c r="D2854" s="21" t="inlineStr">
        <is>
          <t>UNID</t>
        </is>
      </c>
      <c r="E2854" s="21" t="inlineStr">
        <is>
          <t>COEFICIENTE</t>
        </is>
      </c>
      <c r="F2854" s="21" t="inlineStr">
        <is>
          <t>PREÇO UNITÁRIO</t>
        </is>
      </c>
      <c r="G2854" s="21" t="inlineStr">
        <is>
          <t>TOTAL</t>
        </is>
      </c>
    </row>
    <row r="2855" ht="21" customHeight="1">
      <c r="A2855" s="22" t="inlineStr">
        <is>
          <t>88243</t>
        </is>
      </c>
      <c r="B2855" s="23" t="inlineStr">
        <is>
          <t>AJUDANTE ESPECIALIZADO COM ENCARGOS COMPLEMENTARES</t>
        </is>
      </c>
      <c r="C2855" s="22" t="inlineStr">
        <is>
          <t>SINAPI</t>
        </is>
      </c>
      <c r="D2855" s="22" t="inlineStr">
        <is>
          <t>H</t>
        </is>
      </c>
      <c r="E2855" s="63">
        <f>L2855*FATOR</f>
        <v/>
      </c>
      <c r="F2855" s="64">
        <f>'COMPOSICOES AUXILIARES'!G106</f>
        <v/>
      </c>
      <c r="G2855" s="64">
        <f>ROUND(ROUND(E2855,8)*F2855,2)</f>
        <v/>
      </c>
      <c r="L2855" t="n">
        <v>0.22</v>
      </c>
      <c r="M2855" t="n">
        <v>23.76</v>
      </c>
      <c r="N2855">
        <f>(M2855-F2855)</f>
        <v/>
      </c>
    </row>
    <row r="2856" ht="15" customHeight="1">
      <c r="A2856" s="22" t="inlineStr">
        <is>
          <t>88266</t>
        </is>
      </c>
      <c r="B2856" s="23" t="inlineStr">
        <is>
          <t>ELETROTÉCNICO COM ENCARGOS COMPLEMENTARES</t>
        </is>
      </c>
      <c r="C2856" s="22" t="inlineStr">
        <is>
          <t>SINAPI</t>
        </is>
      </c>
      <c r="D2856" s="22" t="inlineStr">
        <is>
          <t>H</t>
        </is>
      </c>
      <c r="E2856" s="63">
        <f>L2856*FATOR</f>
        <v/>
      </c>
      <c r="F2856" s="64">
        <f>'COMPOSICOES AUXILIARES'!G1869</f>
        <v/>
      </c>
      <c r="G2856" s="64">
        <f>ROUND(ROUND(E2856,8)*F2856,2)</f>
        <v/>
      </c>
      <c r="L2856" t="n">
        <v>0.22</v>
      </c>
      <c r="M2856" t="n">
        <v>42.28</v>
      </c>
      <c r="N2856">
        <f>(M2856-F2856)</f>
        <v/>
      </c>
    </row>
    <row r="2857" ht="18" customHeight="1">
      <c r="A2857" s="2" t="inlineStr"/>
      <c r="B2857" s="2" t="inlineStr"/>
      <c r="C2857" s="2" t="inlineStr"/>
      <c r="D2857" s="2" t="inlineStr"/>
      <c r="E2857" s="26" t="inlineStr">
        <is>
          <t>TOTAL Mão de Obra com Encargos Complementares:</t>
        </is>
      </c>
      <c r="F2857" s="56" t="n"/>
      <c r="G2857" s="65">
        <f>SUM(G2855:G2856)</f>
        <v/>
      </c>
    </row>
    <row r="2858" ht="15" customHeight="1">
      <c r="A2858" s="2" t="inlineStr"/>
      <c r="B2858" s="2" t="inlineStr"/>
      <c r="C2858" s="2" t="inlineStr"/>
      <c r="D2858" s="2" t="inlineStr"/>
      <c r="E2858" s="28" t="inlineStr">
        <is>
          <t>VALOR:</t>
        </is>
      </c>
      <c r="F2858" s="56" t="n"/>
      <c r="G2858" s="66">
        <f>SUM(G2857,G2853)</f>
        <v/>
      </c>
    </row>
    <row r="2859" ht="15" customHeight="1">
      <c r="A2859" s="2" t="inlineStr"/>
      <c r="B2859" s="2" t="inlineStr"/>
      <c r="C2859" s="2" t="inlineStr"/>
      <c r="D2859" s="2" t="inlineStr"/>
      <c r="E2859" s="28" t="inlineStr">
        <is>
          <t>VALOR BDI (23.08%):</t>
        </is>
      </c>
      <c r="F2859" s="56" t="n"/>
      <c r="G2859" s="66">
        <f>ROUNDDOWN(G2858*BDI,2)</f>
        <v/>
      </c>
    </row>
    <row r="2860" ht="15" customHeight="1">
      <c r="A2860" s="2" t="inlineStr"/>
      <c r="B2860" s="2" t="inlineStr"/>
      <c r="C2860" s="2" t="inlineStr"/>
      <c r="D2860" s="2" t="inlineStr"/>
      <c r="E2860" s="28" t="inlineStr">
        <is>
          <t>VALOR COM BDI:</t>
        </is>
      </c>
      <c r="F2860" s="56" t="n"/>
      <c r="G2860" s="66">
        <f>G2859 + G2858</f>
        <v/>
      </c>
    </row>
    <row r="2861" ht="10" customHeight="1">
      <c r="A2861" s="2" t="inlineStr"/>
      <c r="B2861" s="2" t="inlineStr"/>
      <c r="C2861" s="2" t="inlineStr"/>
      <c r="D2861" s="2" t="inlineStr"/>
      <c r="E2861" s="18" t="inlineStr"/>
    </row>
    <row r="2862" ht="20" customHeight="1">
      <c r="A2862" s="19" t="inlineStr">
        <is>
          <t>9.2.2.6. ​438 PRÓPRIO​ CANALETA PARA FIXAÇÃO DE BLOCOS BLI-10/BLI-20 - 5U​ (UN)</t>
        </is>
      </c>
      <c r="B2862" s="55" t="n"/>
      <c r="C2862" s="55" t="n"/>
      <c r="D2862" s="55" t="n"/>
      <c r="E2862" s="55" t="n"/>
      <c r="F2862" s="55" t="n"/>
      <c r="G2862" s="56" t="n"/>
    </row>
    <row r="2863" ht="15" customHeight="1">
      <c r="A2863" s="20" t="inlineStr">
        <is>
          <t>Material</t>
        </is>
      </c>
      <c r="B2863" s="56" t="n"/>
      <c r="C2863" s="21" t="inlineStr">
        <is>
          <t>FONTE</t>
        </is>
      </c>
      <c r="D2863" s="21" t="inlineStr">
        <is>
          <t>UNID</t>
        </is>
      </c>
      <c r="E2863" s="21" t="inlineStr">
        <is>
          <t>COEFICIENTE</t>
        </is>
      </c>
      <c r="F2863" s="21" t="inlineStr">
        <is>
          <t>PREÇO UNITÁRIO</t>
        </is>
      </c>
      <c r="G2863" s="21" t="inlineStr">
        <is>
          <t>TOTAL</t>
        </is>
      </c>
    </row>
    <row r="2864" ht="15" customHeight="1">
      <c r="A2864" s="22" t="inlineStr">
        <is>
          <t>010949 SBC</t>
        </is>
      </c>
      <c r="B2864" s="23" t="inlineStr">
        <is>
          <t>CANALETA PARA FIXAÇAO 5 BLOCOS BLI-10/BLI-20</t>
        </is>
      </c>
      <c r="C2864" s="22" t="inlineStr">
        <is>
          <t xml:space="preserve">Composições </t>
        </is>
      </c>
      <c r="D2864" s="22" t="inlineStr">
        <is>
          <t>UN</t>
        </is>
      </c>
      <c r="E2864" s="63" t="n">
        <v>1</v>
      </c>
      <c r="F2864" s="64">
        <f>ROUND(M2864*FATOR, 2)</f>
        <v/>
      </c>
      <c r="G2864" s="64">
        <f>ROUND(ROUND(E2864,8)*F2864,2)</f>
        <v/>
      </c>
      <c r="L2864" t="n">
        <v>1</v>
      </c>
      <c r="M2864" t="n">
        <v>14</v>
      </c>
      <c r="N2864">
        <f>(M2864-F2864)</f>
        <v/>
      </c>
    </row>
    <row r="2865" ht="15" customHeight="1">
      <c r="A2865" s="2" t="inlineStr"/>
      <c r="B2865" s="2" t="inlineStr"/>
      <c r="C2865" s="2" t="inlineStr"/>
      <c r="D2865" s="2" t="inlineStr"/>
      <c r="E2865" s="26" t="inlineStr">
        <is>
          <t>TOTAL Material:</t>
        </is>
      </c>
      <c r="F2865" s="56" t="n"/>
      <c r="G2865" s="65">
        <f>SUM(G2864:G2864)</f>
        <v/>
      </c>
    </row>
    <row r="2866" ht="15" customHeight="1">
      <c r="A2866" s="20" t="inlineStr">
        <is>
          <t>Mão de Obra com Encargos Complementares</t>
        </is>
      </c>
      <c r="B2866" s="56" t="n"/>
      <c r="C2866" s="21" t="inlineStr">
        <is>
          <t>FONTE</t>
        </is>
      </c>
      <c r="D2866" s="21" t="inlineStr">
        <is>
          <t>UNID</t>
        </is>
      </c>
      <c r="E2866" s="21" t="inlineStr">
        <is>
          <t>COEFICIENTE</t>
        </is>
      </c>
      <c r="F2866" s="21" t="inlineStr">
        <is>
          <t>PREÇO UNITÁRIO</t>
        </is>
      </c>
      <c r="G2866" s="21" t="inlineStr">
        <is>
          <t>TOTAL</t>
        </is>
      </c>
    </row>
    <row r="2867" ht="21" customHeight="1">
      <c r="A2867" s="22" t="inlineStr">
        <is>
          <t>88243</t>
        </is>
      </c>
      <c r="B2867" s="23" t="inlineStr">
        <is>
          <t>AJUDANTE ESPECIALIZADO COM ENCARGOS COMPLEMENTARES</t>
        </is>
      </c>
      <c r="C2867" s="22" t="inlineStr">
        <is>
          <t>SINAPI</t>
        </is>
      </c>
      <c r="D2867" s="22" t="inlineStr">
        <is>
          <t>H</t>
        </is>
      </c>
      <c r="E2867" s="63">
        <f>L2867*FATOR</f>
        <v/>
      </c>
      <c r="F2867" s="64">
        <f>'COMPOSICOES AUXILIARES'!G106</f>
        <v/>
      </c>
      <c r="G2867" s="64">
        <f>ROUND(ROUND(E2867,8)*F2867,2)</f>
        <v/>
      </c>
      <c r="L2867" t="n">
        <v>0.96</v>
      </c>
      <c r="M2867" t="n">
        <v>23.76</v>
      </c>
      <c r="N2867">
        <f>(M2867-F2867)</f>
        <v/>
      </c>
    </row>
    <row r="2868" ht="15" customHeight="1">
      <c r="A2868" s="22" t="inlineStr">
        <is>
          <t>88266</t>
        </is>
      </c>
      <c r="B2868" s="23" t="inlineStr">
        <is>
          <t>ELETROTÉCNICO COM ENCARGOS COMPLEMENTARES</t>
        </is>
      </c>
      <c r="C2868" s="22" t="inlineStr">
        <is>
          <t>SINAPI</t>
        </is>
      </c>
      <c r="D2868" s="22" t="inlineStr">
        <is>
          <t>H</t>
        </is>
      </c>
      <c r="E2868" s="63">
        <f>L2868*FATOR</f>
        <v/>
      </c>
      <c r="F2868" s="64">
        <f>'COMPOSICOES AUXILIARES'!G1869</f>
        <v/>
      </c>
      <c r="G2868" s="64">
        <f>ROUND(ROUND(E2868,8)*F2868,2)</f>
        <v/>
      </c>
      <c r="L2868" t="n">
        <v>0.96</v>
      </c>
      <c r="M2868" t="n">
        <v>42.28</v>
      </c>
      <c r="N2868">
        <f>(M2868-F2868)</f>
        <v/>
      </c>
    </row>
    <row r="2869" ht="18" customHeight="1">
      <c r="A2869" s="2" t="inlineStr"/>
      <c r="B2869" s="2" t="inlineStr"/>
      <c r="C2869" s="2" t="inlineStr"/>
      <c r="D2869" s="2" t="inlineStr"/>
      <c r="E2869" s="26" t="inlineStr">
        <is>
          <t>TOTAL Mão de Obra com Encargos Complementares:</t>
        </is>
      </c>
      <c r="F2869" s="56" t="n"/>
      <c r="G2869" s="65">
        <f>SUM(G2867:G2868)</f>
        <v/>
      </c>
    </row>
    <row r="2870" ht="15" customHeight="1">
      <c r="A2870" s="2" t="inlineStr"/>
      <c r="B2870" s="2" t="inlineStr"/>
      <c r="C2870" s="2" t="inlineStr"/>
      <c r="D2870" s="2" t="inlineStr"/>
      <c r="E2870" s="28" t="inlineStr">
        <is>
          <t>VALOR:</t>
        </is>
      </c>
      <c r="F2870" s="56" t="n"/>
      <c r="G2870" s="66">
        <f>SUM(G2865,G2869)</f>
        <v/>
      </c>
    </row>
    <row r="2871" ht="15" customHeight="1">
      <c r="A2871" s="2" t="inlineStr"/>
      <c r="B2871" s="2" t="inlineStr"/>
      <c r="C2871" s="2" t="inlineStr"/>
      <c r="D2871" s="2" t="inlineStr"/>
      <c r="E2871" s="28" t="inlineStr">
        <is>
          <t>VALOR BDI (23.08%):</t>
        </is>
      </c>
      <c r="F2871" s="56" t="n"/>
      <c r="G2871" s="66">
        <f>ROUNDDOWN(G2870*BDI,2)</f>
        <v/>
      </c>
    </row>
    <row r="2872" ht="15" customHeight="1">
      <c r="A2872" s="2" t="inlineStr"/>
      <c r="B2872" s="2" t="inlineStr"/>
      <c r="C2872" s="2" t="inlineStr"/>
      <c r="D2872" s="2" t="inlineStr"/>
      <c r="E2872" s="28" t="inlineStr">
        <is>
          <t>VALOR COM BDI:</t>
        </is>
      </c>
      <c r="F2872" s="56" t="n"/>
      <c r="G2872" s="66">
        <f>G2871 + G2870</f>
        <v/>
      </c>
    </row>
    <row r="2873" ht="10" customHeight="1">
      <c r="A2873" s="2" t="inlineStr"/>
      <c r="B2873" s="2" t="inlineStr"/>
      <c r="C2873" s="2" t="inlineStr"/>
      <c r="D2873" s="2" t="inlineStr"/>
      <c r="E2873" s="18" t="inlineStr"/>
    </row>
    <row r="2874" ht="20" customHeight="1">
      <c r="A2874" s="19" t="inlineStr">
        <is>
          <t>9.2.2.7. ​439 PRÓPRIO​ CONECTOR 110 IDC 4 PARES CAT5e PARA SISTEMAS DE VOZ​ (UN)</t>
        </is>
      </c>
      <c r="B2874" s="55" t="n"/>
      <c r="C2874" s="55" t="n"/>
      <c r="D2874" s="55" t="n"/>
      <c r="E2874" s="55" t="n"/>
      <c r="F2874" s="55" t="n"/>
      <c r="G2874" s="56" t="n"/>
    </row>
    <row r="2875" ht="15" customHeight="1">
      <c r="A2875" s="20" t="inlineStr">
        <is>
          <t>Mão de Obra com Encargos Complementares</t>
        </is>
      </c>
      <c r="B2875" s="56" t="n"/>
      <c r="C2875" s="21" t="inlineStr">
        <is>
          <t>FONTE</t>
        </is>
      </c>
      <c r="D2875" s="21" t="inlineStr">
        <is>
          <t>UNID</t>
        </is>
      </c>
      <c r="E2875" s="21" t="inlineStr">
        <is>
          <t>COEFICIENTE</t>
        </is>
      </c>
      <c r="F2875" s="21" t="inlineStr">
        <is>
          <t>PREÇO UNITÁRIO</t>
        </is>
      </c>
      <c r="G2875" s="21" t="inlineStr">
        <is>
          <t>TOTAL</t>
        </is>
      </c>
    </row>
    <row r="2876" ht="21" customHeight="1">
      <c r="A2876" s="22" t="inlineStr">
        <is>
          <t>88243</t>
        </is>
      </c>
      <c r="B2876" s="23" t="inlineStr">
        <is>
          <t>AJUDANTE ESPECIALIZADO COM ENCARGOS COMPLEMENTARES</t>
        </is>
      </c>
      <c r="C2876" s="22" t="inlineStr">
        <is>
          <t>SINAPI</t>
        </is>
      </c>
      <c r="D2876" s="22" t="inlineStr">
        <is>
          <t>H</t>
        </is>
      </c>
      <c r="E2876" s="63">
        <f>L2876*FATOR</f>
        <v/>
      </c>
      <c r="F2876" s="64">
        <f>'COMPOSICOES AUXILIARES'!G106</f>
        <v/>
      </c>
      <c r="G2876" s="64">
        <f>ROUND(ROUND(E2876,8)*F2876,2)</f>
        <v/>
      </c>
      <c r="L2876" t="n">
        <v>1.5</v>
      </c>
      <c r="M2876" t="n">
        <v>23.76</v>
      </c>
      <c r="N2876">
        <f>(M2876-F2876)</f>
        <v/>
      </c>
    </row>
    <row r="2877" ht="15" customHeight="1">
      <c r="A2877" s="22" t="inlineStr">
        <is>
          <t>88266</t>
        </is>
      </c>
      <c r="B2877" s="23" t="inlineStr">
        <is>
          <t>ELETROTÉCNICO COM ENCARGOS COMPLEMENTARES</t>
        </is>
      </c>
      <c r="C2877" s="22" t="inlineStr">
        <is>
          <t>SINAPI</t>
        </is>
      </c>
      <c r="D2877" s="22" t="inlineStr">
        <is>
          <t>H</t>
        </is>
      </c>
      <c r="E2877" s="63">
        <f>L2877*FATOR</f>
        <v/>
      </c>
      <c r="F2877" s="64">
        <f>'COMPOSICOES AUXILIARES'!G1869</f>
        <v/>
      </c>
      <c r="G2877" s="64">
        <f>ROUND(ROUND(E2877,8)*F2877,2)</f>
        <v/>
      </c>
      <c r="L2877" t="n">
        <v>1.5</v>
      </c>
      <c r="M2877" t="n">
        <v>42.28</v>
      </c>
      <c r="N2877">
        <f>(M2877-F2877)</f>
        <v/>
      </c>
    </row>
    <row r="2878" ht="18" customHeight="1">
      <c r="A2878" s="2" t="inlineStr"/>
      <c r="B2878" s="2" t="inlineStr"/>
      <c r="C2878" s="2" t="inlineStr"/>
      <c r="D2878" s="2" t="inlineStr"/>
      <c r="E2878" s="26" t="inlineStr">
        <is>
          <t>TOTAL Mão de Obra com Encargos Complementares:</t>
        </is>
      </c>
      <c r="F2878" s="56" t="n"/>
      <c r="G2878" s="65">
        <f>SUM(G2876:G2877)</f>
        <v/>
      </c>
    </row>
    <row r="2879" ht="15" customHeight="1">
      <c r="A2879" s="2" t="inlineStr"/>
      <c r="B2879" s="2" t="inlineStr"/>
      <c r="C2879" s="2" t="inlineStr"/>
      <c r="D2879" s="2" t="inlineStr"/>
      <c r="E2879" s="28" t="inlineStr">
        <is>
          <t>VALOR:</t>
        </is>
      </c>
      <c r="F2879" s="56" t="n"/>
      <c r="G2879" s="66">
        <f>SUM(G2878)</f>
        <v/>
      </c>
    </row>
    <row r="2880" ht="15" customHeight="1">
      <c r="A2880" s="2" t="inlineStr"/>
      <c r="B2880" s="2" t="inlineStr"/>
      <c r="C2880" s="2" t="inlineStr"/>
      <c r="D2880" s="2" t="inlineStr"/>
      <c r="E2880" s="28" t="inlineStr">
        <is>
          <t>VALOR BDI (23.08%):</t>
        </is>
      </c>
      <c r="F2880" s="56" t="n"/>
      <c r="G2880" s="66">
        <f>ROUNDDOWN(G2879*BDI,2)</f>
        <v/>
      </c>
    </row>
    <row r="2881" ht="15" customHeight="1">
      <c r="A2881" s="2" t="inlineStr"/>
      <c r="B2881" s="2" t="inlineStr"/>
      <c r="C2881" s="2" t="inlineStr"/>
      <c r="D2881" s="2" t="inlineStr"/>
      <c r="E2881" s="28" t="inlineStr">
        <is>
          <t>VALOR COM BDI:</t>
        </is>
      </c>
      <c r="F2881" s="56" t="n"/>
      <c r="G2881" s="66">
        <f>G2880 + G2879</f>
        <v/>
      </c>
    </row>
    <row r="2882" ht="10" customHeight="1">
      <c r="A2882" s="2" t="inlineStr"/>
      <c r="B2882" s="2" t="inlineStr"/>
      <c r="C2882" s="2" t="inlineStr"/>
      <c r="D2882" s="2" t="inlineStr"/>
      <c r="E2882" s="18" t="inlineStr"/>
    </row>
    <row r="2883" ht="20" customHeight="1">
      <c r="A2883" s="19" t="inlineStr">
        <is>
          <t>9.2.3.1. ​93653​ DISJUNTOR MONOPOLAR TIPO DIN, CORRENTE NOMINAL DE 10A - FORNECIMENTO E INSTALAÇÃO.AF_07/2025​ (UN)</t>
        </is>
      </c>
      <c r="B2883" s="55" t="n"/>
      <c r="C2883" s="55" t="n"/>
      <c r="D2883" s="55" t="n"/>
      <c r="E2883" s="55" t="n"/>
      <c r="F2883" s="55" t="n"/>
      <c r="G2883" s="56" t="n"/>
    </row>
    <row r="2884" ht="15" customHeight="1">
      <c r="A2884" s="20" t="inlineStr">
        <is>
          <t>Material</t>
        </is>
      </c>
      <c r="B2884" s="56" t="n"/>
      <c r="C2884" s="21" t="inlineStr">
        <is>
          <t>FONTE</t>
        </is>
      </c>
      <c r="D2884" s="21" t="inlineStr">
        <is>
          <t>UNID</t>
        </is>
      </c>
      <c r="E2884" s="21" t="inlineStr">
        <is>
          <t>COEFICIENTE</t>
        </is>
      </c>
      <c r="F2884" s="21" t="inlineStr">
        <is>
          <t>PREÇO UNITÁRIO</t>
        </is>
      </c>
      <c r="G2884" s="21" t="inlineStr">
        <is>
          <t>TOTAL</t>
        </is>
      </c>
    </row>
    <row r="2885" ht="21" customHeight="1">
      <c r="A2885" s="22" t="inlineStr">
        <is>
          <t>00034653</t>
        </is>
      </c>
      <c r="B2885" s="23" t="inlineStr">
        <is>
          <t>DISJUNTOR TERMOMAGNETICO PARA TRILHO DIN (IEC), MONOPOLAR, 6 - 32 A</t>
        </is>
      </c>
      <c r="C2885" s="22" t="inlineStr">
        <is>
          <t>SINAPI</t>
        </is>
      </c>
      <c r="D2885" s="22" t="inlineStr">
        <is>
          <t>UN</t>
        </is>
      </c>
      <c r="E2885" s="63" t="n">
        <v>1</v>
      </c>
      <c r="F2885" s="64">
        <f>ROUND(M2885*FATOR, 2)</f>
        <v/>
      </c>
      <c r="G2885" s="64">
        <f>TRUNC(TRUNC(E2885,8)*F2885,2)</f>
        <v/>
      </c>
      <c r="L2885" t="n">
        <v>1</v>
      </c>
      <c r="M2885" t="n">
        <v>9.26</v>
      </c>
      <c r="N2885">
        <f>(M2885-F2885)</f>
        <v/>
      </c>
    </row>
    <row r="2886" ht="29" customHeight="1">
      <c r="A2886" s="22" t="inlineStr">
        <is>
          <t>00001570</t>
        </is>
      </c>
      <c r="B2886" s="23" t="inlineStr">
        <is>
          <t>TERMINAL A COMPRESSAO EM COBRE ESTANHADO PARA CABO 2,5 MM2, 1 FURO E 1 COMPRESSAO, PARA PARAFUSO DE FIXACAO M5</t>
        </is>
      </c>
      <c r="C2886" s="22" t="inlineStr">
        <is>
          <t>SINAPI</t>
        </is>
      </c>
      <c r="D2886" s="22" t="inlineStr">
        <is>
          <t>UN</t>
        </is>
      </c>
      <c r="E2886" s="63" t="n">
        <v>1</v>
      </c>
      <c r="F2886" s="64">
        <f>ROUND(M2886*FATOR, 2)</f>
        <v/>
      </c>
      <c r="G2886" s="64">
        <f>TRUNC(TRUNC(E2886,8)*F2886,2)</f>
        <v/>
      </c>
      <c r="L2886" t="n">
        <v>1</v>
      </c>
      <c r="M2886" t="n">
        <v>1.05</v>
      </c>
      <c r="N2886">
        <f>(M2886-F2886)</f>
        <v/>
      </c>
    </row>
    <row r="2887" ht="15" customHeight="1">
      <c r="A2887" s="2" t="inlineStr"/>
      <c r="B2887" s="2" t="inlineStr"/>
      <c r="C2887" s="2" t="inlineStr"/>
      <c r="D2887" s="2" t="inlineStr"/>
      <c r="E2887" s="26" t="inlineStr">
        <is>
          <t>TOTAL Material:</t>
        </is>
      </c>
      <c r="F2887" s="56" t="n"/>
      <c r="G2887" s="65">
        <f>SUM(G2885:G2886)</f>
        <v/>
      </c>
    </row>
    <row r="2888" ht="15" customHeight="1">
      <c r="A2888" s="20" t="inlineStr">
        <is>
          <t>Mão de Obra com Encargos Complementares</t>
        </is>
      </c>
      <c r="B2888" s="56" t="n"/>
      <c r="C2888" s="21" t="inlineStr">
        <is>
          <t>FONTE</t>
        </is>
      </c>
      <c r="D2888" s="21" t="inlineStr">
        <is>
          <t>UNID</t>
        </is>
      </c>
      <c r="E2888" s="21" t="inlineStr">
        <is>
          <t>COEFICIENTE</t>
        </is>
      </c>
      <c r="F2888" s="21" t="inlineStr">
        <is>
          <t>PREÇO UNITÁRIO</t>
        </is>
      </c>
      <c r="G2888" s="21" t="inlineStr">
        <is>
          <t>TOTAL</t>
        </is>
      </c>
    </row>
    <row r="2889" ht="21" customHeight="1">
      <c r="A2889" s="22" t="inlineStr">
        <is>
          <t>88247</t>
        </is>
      </c>
      <c r="B2889" s="23" t="inlineStr">
        <is>
          <t>AUXILIAR DE ELETRICISTA COM ENCARGOS COMPLEMENTARES</t>
        </is>
      </c>
      <c r="C2889" s="22" t="inlineStr">
        <is>
          <t>SINAPI</t>
        </is>
      </c>
      <c r="D2889" s="22" t="inlineStr">
        <is>
          <t>H</t>
        </is>
      </c>
      <c r="E2889" s="63">
        <f>L2889*FATOR</f>
        <v/>
      </c>
      <c r="F2889" s="64">
        <f>'COMPOSICOES AUXILIARES'!G505</f>
        <v/>
      </c>
      <c r="G2889" s="64">
        <f>TRUNC(TRUNC(E2889,8)*F2889,2)</f>
        <v/>
      </c>
      <c r="L2889" t="n">
        <v>0.035428</v>
      </c>
      <c r="M2889" t="n">
        <v>25.22</v>
      </c>
      <c r="N2889">
        <f>(M2889-F2889)</f>
        <v/>
      </c>
    </row>
    <row r="2890" ht="15" customHeight="1">
      <c r="A2890" s="22" t="inlineStr">
        <is>
          <t>88264</t>
        </is>
      </c>
      <c r="B2890" s="23" t="inlineStr">
        <is>
          <t>ELETRICISTA COM ENCARGOS COMPLEMENTARES</t>
        </is>
      </c>
      <c r="C2890" s="22" t="inlineStr">
        <is>
          <t>SINAPI</t>
        </is>
      </c>
      <c r="D2890" s="22" t="inlineStr">
        <is>
          <t>H</t>
        </is>
      </c>
      <c r="E2890" s="63">
        <f>L2890*FATOR</f>
        <v/>
      </c>
      <c r="F2890" s="64">
        <f>'COMPOSICOES AUXILIARES'!G505</f>
        <v/>
      </c>
      <c r="G2890" s="64">
        <f>TRUNC(TRUNC(E2890,8)*F2890,2)</f>
        <v/>
      </c>
      <c r="L2890" t="n">
        <v>0.035428</v>
      </c>
      <c r="M2890" t="n">
        <v>30.96</v>
      </c>
      <c r="N2890">
        <f>(M2890-F2890)</f>
        <v/>
      </c>
    </row>
    <row r="2891" ht="18" customHeight="1">
      <c r="A2891" s="2" t="inlineStr"/>
      <c r="B2891" s="2" t="inlineStr"/>
      <c r="C2891" s="2" t="inlineStr"/>
      <c r="D2891" s="2" t="inlineStr"/>
      <c r="E2891" s="26" t="inlineStr">
        <is>
          <t>TOTAL Mão de Obra com Encargos Complementares:</t>
        </is>
      </c>
      <c r="F2891" s="56" t="n"/>
      <c r="G2891" s="65">
        <f>SUM(G2889:G2890)</f>
        <v/>
      </c>
    </row>
    <row r="2892" ht="15" customHeight="1">
      <c r="A2892" s="2" t="inlineStr"/>
      <c r="B2892" s="2" t="inlineStr"/>
      <c r="C2892" s="2" t="inlineStr"/>
      <c r="D2892" s="2" t="inlineStr"/>
      <c r="E2892" s="28" t="inlineStr">
        <is>
          <t>VALOR:</t>
        </is>
      </c>
      <c r="F2892" s="56" t="n"/>
      <c r="G2892" s="66">
        <f>SUM(G2891,G2887)</f>
        <v/>
      </c>
    </row>
    <row r="2893" ht="15" customHeight="1">
      <c r="A2893" s="2" t="inlineStr"/>
      <c r="B2893" s="2" t="inlineStr"/>
      <c r="C2893" s="2" t="inlineStr"/>
      <c r="D2893" s="2" t="inlineStr"/>
      <c r="E2893" s="28" t="inlineStr">
        <is>
          <t>VALOR BDI (23.08%):</t>
        </is>
      </c>
      <c r="F2893" s="56" t="n"/>
      <c r="G2893" s="66">
        <f>ROUNDDOWN(G2892*BDI,2)</f>
        <v/>
      </c>
    </row>
    <row r="2894" ht="15" customHeight="1">
      <c r="A2894" s="2" t="inlineStr"/>
      <c r="B2894" s="2" t="inlineStr"/>
      <c r="C2894" s="2" t="inlineStr"/>
      <c r="D2894" s="2" t="inlineStr"/>
      <c r="E2894" s="28" t="inlineStr">
        <is>
          <t>VALOR COM BDI:</t>
        </is>
      </c>
      <c r="F2894" s="56" t="n"/>
      <c r="G2894" s="66">
        <f>G2893 + G2892</f>
        <v/>
      </c>
    </row>
    <row r="2895" ht="10" customHeight="1">
      <c r="A2895" s="2" t="inlineStr"/>
      <c r="B2895" s="2" t="inlineStr"/>
      <c r="C2895" s="2" t="inlineStr"/>
      <c r="D2895" s="2" t="inlineStr"/>
      <c r="E2895" s="18" t="inlineStr"/>
    </row>
    <row r="2896" ht="20" customHeight="1">
      <c r="A2896" s="19" t="inlineStr">
        <is>
          <t>9.2.3.2. ​93654​ DISJUNTOR MONOPOLAR TIPO DIN, CORRENTE NOMINAL DE 16A - FORNECIMENTO E INSTALAÇÃO.AF_07/2025​ (UN)</t>
        </is>
      </c>
      <c r="B2896" s="55" t="n"/>
      <c r="C2896" s="55" t="n"/>
      <c r="D2896" s="55" t="n"/>
      <c r="E2896" s="55" t="n"/>
      <c r="F2896" s="55" t="n"/>
      <c r="G2896" s="56" t="n"/>
    </row>
    <row r="2897" ht="15" customHeight="1">
      <c r="A2897" s="20" t="inlineStr">
        <is>
          <t>Material</t>
        </is>
      </c>
      <c r="B2897" s="56" t="n"/>
      <c r="C2897" s="21" t="inlineStr">
        <is>
          <t>FONTE</t>
        </is>
      </c>
      <c r="D2897" s="21" t="inlineStr">
        <is>
          <t>UNID</t>
        </is>
      </c>
      <c r="E2897" s="21" t="inlineStr">
        <is>
          <t>COEFICIENTE</t>
        </is>
      </c>
      <c r="F2897" s="21" t="inlineStr">
        <is>
          <t>PREÇO UNITÁRIO</t>
        </is>
      </c>
      <c r="G2897" s="21" t="inlineStr">
        <is>
          <t>TOTAL</t>
        </is>
      </c>
    </row>
    <row r="2898" ht="21" customHeight="1">
      <c r="A2898" s="22" t="inlineStr">
        <is>
          <t>00034653</t>
        </is>
      </c>
      <c r="B2898" s="23" t="inlineStr">
        <is>
          <t>DISJUNTOR TERMOMAGNETICO PARA TRILHO DIN (IEC), MONOPOLAR, 6 - 32 A</t>
        </is>
      </c>
      <c r="C2898" s="22" t="inlineStr">
        <is>
          <t>SINAPI</t>
        </is>
      </c>
      <c r="D2898" s="22" t="inlineStr">
        <is>
          <t>UN</t>
        </is>
      </c>
      <c r="E2898" s="63" t="n">
        <v>1</v>
      </c>
      <c r="F2898" s="64">
        <f>ROUND(M2898*FATOR, 2)</f>
        <v/>
      </c>
      <c r="G2898" s="64">
        <f>TRUNC(TRUNC(E2898,8)*F2898,2)</f>
        <v/>
      </c>
      <c r="L2898" t="n">
        <v>1</v>
      </c>
      <c r="M2898" t="n">
        <v>9.26</v>
      </c>
      <c r="N2898">
        <f>(M2898-F2898)</f>
        <v/>
      </c>
    </row>
    <row r="2899" ht="29" customHeight="1">
      <c r="A2899" s="22" t="inlineStr">
        <is>
          <t>00001570</t>
        </is>
      </c>
      <c r="B2899" s="23" t="inlineStr">
        <is>
          <t>TERMINAL A COMPRESSAO EM COBRE ESTANHADO PARA CABO 2,5 MM2, 1 FURO E 1 COMPRESSAO, PARA PARAFUSO DE FIXACAO M5</t>
        </is>
      </c>
      <c r="C2899" s="22" t="inlineStr">
        <is>
          <t>SINAPI</t>
        </is>
      </c>
      <c r="D2899" s="22" t="inlineStr">
        <is>
          <t>UN</t>
        </is>
      </c>
      <c r="E2899" s="63" t="n">
        <v>1</v>
      </c>
      <c r="F2899" s="64">
        <f>ROUND(M2899*FATOR, 2)</f>
        <v/>
      </c>
      <c r="G2899" s="64">
        <f>TRUNC(TRUNC(E2899,8)*F2899,2)</f>
        <v/>
      </c>
      <c r="L2899" t="n">
        <v>1</v>
      </c>
      <c r="M2899" t="n">
        <v>1.05</v>
      </c>
      <c r="N2899">
        <f>(M2899-F2899)</f>
        <v/>
      </c>
    </row>
    <row r="2900" ht="15" customHeight="1">
      <c r="A2900" s="2" t="inlineStr"/>
      <c r="B2900" s="2" t="inlineStr"/>
      <c r="C2900" s="2" t="inlineStr"/>
      <c r="D2900" s="2" t="inlineStr"/>
      <c r="E2900" s="26" t="inlineStr">
        <is>
          <t>TOTAL Material:</t>
        </is>
      </c>
      <c r="F2900" s="56" t="n"/>
      <c r="G2900" s="65">
        <f>SUM(G2898:G2899)</f>
        <v/>
      </c>
    </row>
    <row r="2901" ht="15" customHeight="1">
      <c r="A2901" s="20" t="inlineStr">
        <is>
          <t>Mão de Obra com Encargos Complementares</t>
        </is>
      </c>
      <c r="B2901" s="56" t="n"/>
      <c r="C2901" s="21" t="inlineStr">
        <is>
          <t>FONTE</t>
        </is>
      </c>
      <c r="D2901" s="21" t="inlineStr">
        <is>
          <t>UNID</t>
        </is>
      </c>
      <c r="E2901" s="21" t="inlineStr">
        <is>
          <t>COEFICIENTE</t>
        </is>
      </c>
      <c r="F2901" s="21" t="inlineStr">
        <is>
          <t>PREÇO UNITÁRIO</t>
        </is>
      </c>
      <c r="G2901" s="21" t="inlineStr">
        <is>
          <t>TOTAL</t>
        </is>
      </c>
    </row>
    <row r="2902" ht="21" customHeight="1">
      <c r="A2902" s="22" t="inlineStr">
        <is>
          <t>88247</t>
        </is>
      </c>
      <c r="B2902" s="23" t="inlineStr">
        <is>
          <t>AUXILIAR DE ELETRICISTA COM ENCARGOS COMPLEMENTARES</t>
        </is>
      </c>
      <c r="C2902" s="22" t="inlineStr">
        <is>
          <t>SINAPI</t>
        </is>
      </c>
      <c r="D2902" s="22" t="inlineStr">
        <is>
          <t>H</t>
        </is>
      </c>
      <c r="E2902" s="63">
        <f>L2902*FATOR</f>
        <v/>
      </c>
      <c r="F2902" s="64">
        <f>'COMPOSICOES AUXILIARES'!G505</f>
        <v/>
      </c>
      <c r="G2902" s="64">
        <f>TRUNC(TRUNC(E2902,8)*F2902,2)</f>
        <v/>
      </c>
      <c r="L2902" t="n">
        <v>0.035428</v>
      </c>
      <c r="M2902" t="n">
        <v>25.22</v>
      </c>
      <c r="N2902">
        <f>(M2902-F2902)</f>
        <v/>
      </c>
    </row>
    <row r="2903" ht="15" customHeight="1">
      <c r="A2903" s="22" t="inlineStr">
        <is>
          <t>88264</t>
        </is>
      </c>
      <c r="B2903" s="23" t="inlineStr">
        <is>
          <t>ELETRICISTA COM ENCARGOS COMPLEMENTARES</t>
        </is>
      </c>
      <c r="C2903" s="22" t="inlineStr">
        <is>
          <t>SINAPI</t>
        </is>
      </c>
      <c r="D2903" s="22" t="inlineStr">
        <is>
          <t>H</t>
        </is>
      </c>
      <c r="E2903" s="63">
        <f>L2903*FATOR</f>
        <v/>
      </c>
      <c r="F2903" s="64">
        <f>'COMPOSICOES AUXILIARES'!G505</f>
        <v/>
      </c>
      <c r="G2903" s="64">
        <f>TRUNC(TRUNC(E2903,8)*F2903,2)</f>
        <v/>
      </c>
      <c r="L2903" t="n">
        <v>0.035428</v>
      </c>
      <c r="M2903" t="n">
        <v>30.96</v>
      </c>
      <c r="N2903">
        <f>(M2903-F2903)</f>
        <v/>
      </c>
    </row>
    <row r="2904" ht="18" customHeight="1">
      <c r="A2904" s="2" t="inlineStr"/>
      <c r="B2904" s="2" t="inlineStr"/>
      <c r="C2904" s="2" t="inlineStr"/>
      <c r="D2904" s="2" t="inlineStr"/>
      <c r="E2904" s="26" t="inlineStr">
        <is>
          <t>TOTAL Mão de Obra com Encargos Complementares:</t>
        </is>
      </c>
      <c r="F2904" s="56" t="n"/>
      <c r="G2904" s="65">
        <f>SUM(G2902:G2903)</f>
        <v/>
      </c>
    </row>
    <row r="2905" ht="15" customHeight="1">
      <c r="A2905" s="2" t="inlineStr"/>
      <c r="B2905" s="2" t="inlineStr"/>
      <c r="C2905" s="2" t="inlineStr"/>
      <c r="D2905" s="2" t="inlineStr"/>
      <c r="E2905" s="28" t="inlineStr">
        <is>
          <t>VALOR:</t>
        </is>
      </c>
      <c r="F2905" s="56" t="n"/>
      <c r="G2905" s="66">
        <f>SUM(G2904,G2900)</f>
        <v/>
      </c>
    </row>
    <row r="2906" ht="15" customHeight="1">
      <c r="A2906" s="2" t="inlineStr"/>
      <c r="B2906" s="2" t="inlineStr"/>
      <c r="C2906" s="2" t="inlineStr"/>
      <c r="D2906" s="2" t="inlineStr"/>
      <c r="E2906" s="28" t="inlineStr">
        <is>
          <t>VALOR BDI (23.08%):</t>
        </is>
      </c>
      <c r="F2906" s="56" t="n"/>
      <c r="G2906" s="66">
        <f>ROUNDDOWN(G2905*BDI,2)</f>
        <v/>
      </c>
    </row>
    <row r="2907" ht="15" customHeight="1">
      <c r="A2907" s="2" t="inlineStr"/>
      <c r="B2907" s="2" t="inlineStr"/>
      <c r="C2907" s="2" t="inlineStr"/>
      <c r="D2907" s="2" t="inlineStr"/>
      <c r="E2907" s="28" t="inlineStr">
        <is>
          <t>VALOR COM BDI:</t>
        </is>
      </c>
      <c r="F2907" s="56" t="n"/>
      <c r="G2907" s="66">
        <f>G2906 + G2905</f>
        <v/>
      </c>
    </row>
    <row r="2908" ht="10" customHeight="1">
      <c r="A2908" s="2" t="inlineStr"/>
      <c r="B2908" s="2" t="inlineStr"/>
      <c r="C2908" s="2" t="inlineStr"/>
      <c r="D2908" s="2" t="inlineStr"/>
      <c r="E2908" s="18" t="inlineStr"/>
    </row>
    <row r="2909" ht="20" customHeight="1">
      <c r="A2909" s="19" t="inlineStr">
        <is>
          <t>9.2.3.3. ​93655​ DISJUNTOR MONOPOLAR TIPO DIN, CORRENTE NOMINAL DE 20A - FORNECIMENTO E INSTALAÇÃO.AF_07/2025​ (UN)</t>
        </is>
      </c>
      <c r="B2909" s="55" t="n"/>
      <c r="C2909" s="55" t="n"/>
      <c r="D2909" s="55" t="n"/>
      <c r="E2909" s="55" t="n"/>
      <c r="F2909" s="55" t="n"/>
      <c r="G2909" s="56" t="n"/>
    </row>
    <row r="2910" ht="15" customHeight="1">
      <c r="A2910" s="20" t="inlineStr">
        <is>
          <t>Material</t>
        </is>
      </c>
      <c r="B2910" s="56" t="n"/>
      <c r="C2910" s="21" t="inlineStr">
        <is>
          <t>FONTE</t>
        </is>
      </c>
      <c r="D2910" s="21" t="inlineStr">
        <is>
          <t>UNID</t>
        </is>
      </c>
      <c r="E2910" s="21" t="inlineStr">
        <is>
          <t>COEFICIENTE</t>
        </is>
      </c>
      <c r="F2910" s="21" t="inlineStr">
        <is>
          <t>PREÇO UNITÁRIO</t>
        </is>
      </c>
      <c r="G2910" s="21" t="inlineStr">
        <is>
          <t>TOTAL</t>
        </is>
      </c>
    </row>
    <row r="2911" ht="21" customHeight="1">
      <c r="A2911" s="22" t="inlineStr">
        <is>
          <t>00034653</t>
        </is>
      </c>
      <c r="B2911" s="23" t="inlineStr">
        <is>
          <t>DISJUNTOR TERMOMAGNETICO PARA TRILHO DIN (IEC), MONOPOLAR, 6 - 32 A</t>
        </is>
      </c>
      <c r="C2911" s="22" t="inlineStr">
        <is>
          <t>SINAPI</t>
        </is>
      </c>
      <c r="D2911" s="22" t="inlineStr">
        <is>
          <t>UN</t>
        </is>
      </c>
      <c r="E2911" s="63" t="n">
        <v>1</v>
      </c>
      <c r="F2911" s="64">
        <f>ROUND(M2911*FATOR, 2)</f>
        <v/>
      </c>
      <c r="G2911" s="64">
        <f>TRUNC(TRUNC(E2911,8)*F2911,2)</f>
        <v/>
      </c>
      <c r="L2911" t="n">
        <v>1</v>
      </c>
      <c r="M2911" t="n">
        <v>9.26</v>
      </c>
      <c r="N2911">
        <f>(M2911-F2911)</f>
        <v/>
      </c>
    </row>
    <row r="2912" ht="29" customHeight="1">
      <c r="A2912" s="22" t="inlineStr">
        <is>
          <t>00001571</t>
        </is>
      </c>
      <c r="B2912" s="23" t="inlineStr">
        <is>
          <t>TERMINAL A COMPRESSAO EM COBRE ESTANHADO PARA CABO 4 MM2, 1 FURO E 1 COMPRESSAO, PARA PARAFUSO DE FIXACAO M5</t>
        </is>
      </c>
      <c r="C2912" s="22" t="inlineStr">
        <is>
          <t>SINAPI</t>
        </is>
      </c>
      <c r="D2912" s="22" t="inlineStr">
        <is>
          <t>UN</t>
        </is>
      </c>
      <c r="E2912" s="63" t="n">
        <v>1</v>
      </c>
      <c r="F2912" s="64">
        <f>ROUND(M2912*FATOR, 2)</f>
        <v/>
      </c>
      <c r="G2912" s="64">
        <f>TRUNC(TRUNC(E2912,8)*F2912,2)</f>
        <v/>
      </c>
      <c r="L2912" t="n">
        <v>1</v>
      </c>
      <c r="M2912" t="n">
        <v>1.37</v>
      </c>
      <c r="N2912">
        <f>(M2912-F2912)</f>
        <v/>
      </c>
    </row>
    <row r="2913" ht="15" customHeight="1">
      <c r="A2913" s="2" t="inlineStr"/>
      <c r="B2913" s="2" t="inlineStr"/>
      <c r="C2913" s="2" t="inlineStr"/>
      <c r="D2913" s="2" t="inlineStr"/>
      <c r="E2913" s="26" t="inlineStr">
        <is>
          <t>TOTAL Material:</t>
        </is>
      </c>
      <c r="F2913" s="56" t="n"/>
      <c r="G2913" s="65">
        <f>SUM(G2911:G2912)</f>
        <v/>
      </c>
    </row>
    <row r="2914" ht="15" customHeight="1">
      <c r="A2914" s="20" t="inlineStr">
        <is>
          <t>Mão de Obra com Encargos Complementares</t>
        </is>
      </c>
      <c r="B2914" s="56" t="n"/>
      <c r="C2914" s="21" t="inlineStr">
        <is>
          <t>FONTE</t>
        </is>
      </c>
      <c r="D2914" s="21" t="inlineStr">
        <is>
          <t>UNID</t>
        </is>
      </c>
      <c r="E2914" s="21" t="inlineStr">
        <is>
          <t>COEFICIENTE</t>
        </is>
      </c>
      <c r="F2914" s="21" t="inlineStr">
        <is>
          <t>PREÇO UNITÁRIO</t>
        </is>
      </c>
      <c r="G2914" s="21" t="inlineStr">
        <is>
          <t>TOTAL</t>
        </is>
      </c>
    </row>
    <row r="2915" ht="21" customHeight="1">
      <c r="A2915" s="22" t="inlineStr">
        <is>
          <t>88247</t>
        </is>
      </c>
      <c r="B2915" s="23" t="inlineStr">
        <is>
          <t>AUXILIAR DE ELETRICISTA COM ENCARGOS COMPLEMENTARES</t>
        </is>
      </c>
      <c r="C2915" s="22" t="inlineStr">
        <is>
          <t>SINAPI</t>
        </is>
      </c>
      <c r="D2915" s="22" t="inlineStr">
        <is>
          <t>H</t>
        </is>
      </c>
      <c r="E2915" s="63">
        <f>L2915*FATOR</f>
        <v/>
      </c>
      <c r="F2915" s="64">
        <f>'COMPOSICOES AUXILIARES'!G505</f>
        <v/>
      </c>
      <c r="G2915" s="64">
        <f>TRUNC(TRUNC(E2915,8)*F2915,2)</f>
        <v/>
      </c>
      <c r="L2915" t="n">
        <v>0.046843</v>
      </c>
      <c r="M2915" t="n">
        <v>25.22</v>
      </c>
      <c r="N2915">
        <f>(M2915-F2915)</f>
        <v/>
      </c>
    </row>
    <row r="2916" ht="15" customHeight="1">
      <c r="A2916" s="22" t="inlineStr">
        <is>
          <t>88264</t>
        </is>
      </c>
      <c r="B2916" s="23" t="inlineStr">
        <is>
          <t>ELETRICISTA COM ENCARGOS COMPLEMENTARES</t>
        </is>
      </c>
      <c r="C2916" s="22" t="inlineStr">
        <is>
          <t>SINAPI</t>
        </is>
      </c>
      <c r="D2916" s="22" t="inlineStr">
        <is>
          <t>H</t>
        </is>
      </c>
      <c r="E2916" s="63">
        <f>L2916*FATOR</f>
        <v/>
      </c>
      <c r="F2916" s="64">
        <f>'COMPOSICOES AUXILIARES'!G505</f>
        <v/>
      </c>
      <c r="G2916" s="64">
        <f>TRUNC(TRUNC(E2916,8)*F2916,2)</f>
        <v/>
      </c>
      <c r="L2916" t="n">
        <v>0.046843</v>
      </c>
      <c r="M2916" t="n">
        <v>30.96</v>
      </c>
      <c r="N2916">
        <f>(M2916-F2916)</f>
        <v/>
      </c>
    </row>
    <row r="2917" ht="18" customHeight="1">
      <c r="A2917" s="2" t="inlineStr"/>
      <c r="B2917" s="2" t="inlineStr"/>
      <c r="C2917" s="2" t="inlineStr"/>
      <c r="D2917" s="2" t="inlineStr"/>
      <c r="E2917" s="26" t="inlineStr">
        <is>
          <t>TOTAL Mão de Obra com Encargos Complementares:</t>
        </is>
      </c>
      <c r="F2917" s="56" t="n"/>
      <c r="G2917" s="65">
        <f>SUM(G2915:G2916)</f>
        <v/>
      </c>
    </row>
    <row r="2918" ht="15" customHeight="1">
      <c r="A2918" s="2" t="inlineStr"/>
      <c r="B2918" s="2" t="inlineStr"/>
      <c r="C2918" s="2" t="inlineStr"/>
      <c r="D2918" s="2" t="inlineStr"/>
      <c r="E2918" s="28" t="inlineStr">
        <is>
          <t>VALOR:</t>
        </is>
      </c>
      <c r="F2918" s="56" t="n"/>
      <c r="G2918" s="66">
        <f>SUM(G2913,G2917)</f>
        <v/>
      </c>
    </row>
    <row r="2919" ht="15" customHeight="1">
      <c r="A2919" s="2" t="inlineStr"/>
      <c r="B2919" s="2" t="inlineStr"/>
      <c r="C2919" s="2" t="inlineStr"/>
      <c r="D2919" s="2" t="inlineStr"/>
      <c r="E2919" s="28" t="inlineStr">
        <is>
          <t>VALOR BDI (23.08%):</t>
        </is>
      </c>
      <c r="F2919" s="56" t="n"/>
      <c r="G2919" s="66">
        <f>ROUNDDOWN(G2918*BDI,2)</f>
        <v/>
      </c>
    </row>
    <row r="2920" ht="15" customHeight="1">
      <c r="A2920" s="2" t="inlineStr"/>
      <c r="B2920" s="2" t="inlineStr"/>
      <c r="C2920" s="2" t="inlineStr"/>
      <c r="D2920" s="2" t="inlineStr"/>
      <c r="E2920" s="28" t="inlineStr">
        <is>
          <t>VALOR COM BDI:</t>
        </is>
      </c>
      <c r="F2920" s="56" t="n"/>
      <c r="G2920" s="66">
        <f>G2919 + G2918</f>
        <v/>
      </c>
    </row>
    <row r="2921" ht="10" customHeight="1">
      <c r="A2921" s="2" t="inlineStr"/>
      <c r="B2921" s="2" t="inlineStr"/>
      <c r="C2921" s="2" t="inlineStr"/>
      <c r="D2921" s="2" t="inlineStr"/>
      <c r="E2921" s="18" t="inlineStr"/>
    </row>
    <row r="2922" ht="20" customHeight="1">
      <c r="A2922" s="19" t="inlineStr">
        <is>
          <t>9.2.3.4. ​93656​ DISJUNTOR MONOPOLAR TIPO DIN, CORRENTE NOMINAL DE 25A - FORNECIMENTO E INSTALAÇÃO.AF_07/2025​ (UN)</t>
        </is>
      </c>
      <c r="B2922" s="55" t="n"/>
      <c r="C2922" s="55" t="n"/>
      <c r="D2922" s="55" t="n"/>
      <c r="E2922" s="55" t="n"/>
      <c r="F2922" s="55" t="n"/>
      <c r="G2922" s="56" t="n"/>
    </row>
    <row r="2923" ht="15" customHeight="1">
      <c r="A2923" s="20" t="inlineStr">
        <is>
          <t>Material</t>
        </is>
      </c>
      <c r="B2923" s="56" t="n"/>
      <c r="C2923" s="21" t="inlineStr">
        <is>
          <t>FONTE</t>
        </is>
      </c>
      <c r="D2923" s="21" t="inlineStr">
        <is>
          <t>UNID</t>
        </is>
      </c>
      <c r="E2923" s="21" t="inlineStr">
        <is>
          <t>COEFICIENTE</t>
        </is>
      </c>
      <c r="F2923" s="21" t="inlineStr">
        <is>
          <t>PREÇO UNITÁRIO</t>
        </is>
      </c>
      <c r="G2923" s="21" t="inlineStr">
        <is>
          <t>TOTAL</t>
        </is>
      </c>
    </row>
    <row r="2924" ht="21" customHeight="1">
      <c r="A2924" s="22" t="inlineStr">
        <is>
          <t>00034653</t>
        </is>
      </c>
      <c r="B2924" s="23" t="inlineStr">
        <is>
          <t>DISJUNTOR TERMOMAGNETICO PARA TRILHO DIN (IEC), MONOPOLAR, 6 - 32 A</t>
        </is>
      </c>
      <c r="C2924" s="22" t="inlineStr">
        <is>
          <t>SINAPI</t>
        </is>
      </c>
      <c r="D2924" s="22" t="inlineStr">
        <is>
          <t>UN</t>
        </is>
      </c>
      <c r="E2924" s="63" t="n">
        <v>1</v>
      </c>
      <c r="F2924" s="64">
        <f>ROUND(M2924*FATOR, 2)</f>
        <v/>
      </c>
      <c r="G2924" s="64">
        <f>TRUNC(TRUNC(E2924,8)*F2924,2)</f>
        <v/>
      </c>
      <c r="L2924" t="n">
        <v>1</v>
      </c>
      <c r="M2924" t="n">
        <v>9.26</v>
      </c>
      <c r="N2924">
        <f>(M2924-F2924)</f>
        <v/>
      </c>
    </row>
    <row r="2925" ht="29" customHeight="1">
      <c r="A2925" s="22" t="inlineStr">
        <is>
          <t>00001571</t>
        </is>
      </c>
      <c r="B2925" s="23" t="inlineStr">
        <is>
          <t>TERMINAL A COMPRESSAO EM COBRE ESTANHADO PARA CABO 4 MM2, 1 FURO E 1 COMPRESSAO, PARA PARAFUSO DE FIXACAO M5</t>
        </is>
      </c>
      <c r="C2925" s="22" t="inlineStr">
        <is>
          <t>SINAPI</t>
        </is>
      </c>
      <c r="D2925" s="22" t="inlineStr">
        <is>
          <t>UN</t>
        </is>
      </c>
      <c r="E2925" s="63" t="n">
        <v>1</v>
      </c>
      <c r="F2925" s="64">
        <f>ROUND(M2925*FATOR, 2)</f>
        <v/>
      </c>
      <c r="G2925" s="64">
        <f>TRUNC(TRUNC(E2925,8)*F2925,2)</f>
        <v/>
      </c>
      <c r="L2925" t="n">
        <v>1</v>
      </c>
      <c r="M2925" t="n">
        <v>1.37</v>
      </c>
      <c r="N2925">
        <f>(M2925-F2925)</f>
        <v/>
      </c>
    </row>
    <row r="2926" ht="15" customHeight="1">
      <c r="A2926" s="2" t="inlineStr"/>
      <c r="B2926" s="2" t="inlineStr"/>
      <c r="C2926" s="2" t="inlineStr"/>
      <c r="D2926" s="2" t="inlineStr"/>
      <c r="E2926" s="26" t="inlineStr">
        <is>
          <t>TOTAL Material:</t>
        </is>
      </c>
      <c r="F2926" s="56" t="n"/>
      <c r="G2926" s="65">
        <f>SUM(G2924:G2925)</f>
        <v/>
      </c>
    </row>
    <row r="2927" ht="15" customHeight="1">
      <c r="A2927" s="20" t="inlineStr">
        <is>
          <t>Mão de Obra com Encargos Complementares</t>
        </is>
      </c>
      <c r="B2927" s="56" t="n"/>
      <c r="C2927" s="21" t="inlineStr">
        <is>
          <t>FONTE</t>
        </is>
      </c>
      <c r="D2927" s="21" t="inlineStr">
        <is>
          <t>UNID</t>
        </is>
      </c>
      <c r="E2927" s="21" t="inlineStr">
        <is>
          <t>COEFICIENTE</t>
        </is>
      </c>
      <c r="F2927" s="21" t="inlineStr">
        <is>
          <t>PREÇO UNITÁRIO</t>
        </is>
      </c>
      <c r="G2927" s="21" t="inlineStr">
        <is>
          <t>TOTAL</t>
        </is>
      </c>
    </row>
    <row r="2928" ht="21" customHeight="1">
      <c r="A2928" s="22" t="inlineStr">
        <is>
          <t>88247</t>
        </is>
      </c>
      <c r="B2928" s="23" t="inlineStr">
        <is>
          <t>AUXILIAR DE ELETRICISTA COM ENCARGOS COMPLEMENTARES</t>
        </is>
      </c>
      <c r="C2928" s="22" t="inlineStr">
        <is>
          <t>SINAPI</t>
        </is>
      </c>
      <c r="D2928" s="22" t="inlineStr">
        <is>
          <t>H</t>
        </is>
      </c>
      <c r="E2928" s="63">
        <f>L2928*FATOR</f>
        <v/>
      </c>
      <c r="F2928" s="64">
        <f>'COMPOSICOES AUXILIARES'!G505</f>
        <v/>
      </c>
      <c r="G2928" s="64">
        <f>TRUNC(TRUNC(E2928,8)*F2928,2)</f>
        <v/>
      </c>
      <c r="L2928" t="n">
        <v>0.06396399999999999</v>
      </c>
      <c r="M2928" t="n">
        <v>25.22</v>
      </c>
      <c r="N2928">
        <f>(M2928-F2928)</f>
        <v/>
      </c>
    </row>
    <row r="2929" ht="15" customHeight="1">
      <c r="A2929" s="22" t="inlineStr">
        <is>
          <t>88264</t>
        </is>
      </c>
      <c r="B2929" s="23" t="inlineStr">
        <is>
          <t>ELETRICISTA COM ENCARGOS COMPLEMENTARES</t>
        </is>
      </c>
      <c r="C2929" s="22" t="inlineStr">
        <is>
          <t>SINAPI</t>
        </is>
      </c>
      <c r="D2929" s="22" t="inlineStr">
        <is>
          <t>H</t>
        </is>
      </c>
      <c r="E2929" s="63">
        <f>L2929*FATOR</f>
        <v/>
      </c>
      <c r="F2929" s="64">
        <f>'COMPOSICOES AUXILIARES'!G505</f>
        <v/>
      </c>
      <c r="G2929" s="64">
        <f>TRUNC(TRUNC(E2929,8)*F2929,2)</f>
        <v/>
      </c>
      <c r="L2929" t="n">
        <v>0.06396399999999999</v>
      </c>
      <c r="M2929" t="n">
        <v>30.96</v>
      </c>
      <c r="N2929">
        <f>(M2929-F2929)</f>
        <v/>
      </c>
    </row>
    <row r="2930" ht="18" customHeight="1">
      <c r="A2930" s="2" t="inlineStr"/>
      <c r="B2930" s="2" t="inlineStr"/>
      <c r="C2930" s="2" t="inlineStr"/>
      <c r="D2930" s="2" t="inlineStr"/>
      <c r="E2930" s="26" t="inlineStr">
        <is>
          <t>TOTAL Mão de Obra com Encargos Complementares:</t>
        </is>
      </c>
      <c r="F2930" s="56" t="n"/>
      <c r="G2930" s="65">
        <f>SUM(G2928:G2929)</f>
        <v/>
      </c>
    </row>
    <row r="2931" ht="15" customHeight="1">
      <c r="A2931" s="2" t="inlineStr"/>
      <c r="B2931" s="2" t="inlineStr"/>
      <c r="C2931" s="2" t="inlineStr"/>
      <c r="D2931" s="2" t="inlineStr"/>
      <c r="E2931" s="28" t="inlineStr">
        <is>
          <t>VALOR:</t>
        </is>
      </c>
      <c r="F2931" s="56" t="n"/>
      <c r="G2931" s="66">
        <f>SUM(G2930,G2926)</f>
        <v/>
      </c>
    </row>
    <row r="2932" ht="15" customHeight="1">
      <c r="A2932" s="2" t="inlineStr"/>
      <c r="B2932" s="2" t="inlineStr"/>
      <c r="C2932" s="2" t="inlineStr"/>
      <c r="D2932" s="2" t="inlineStr"/>
      <c r="E2932" s="28" t="inlineStr">
        <is>
          <t>VALOR BDI (23.08%):</t>
        </is>
      </c>
      <c r="F2932" s="56" t="n"/>
      <c r="G2932" s="66">
        <f>ROUNDDOWN(G2931*BDI,2)</f>
        <v/>
      </c>
    </row>
    <row r="2933" ht="15" customHeight="1">
      <c r="A2933" s="2" t="inlineStr"/>
      <c r="B2933" s="2" t="inlineStr"/>
      <c r="C2933" s="2" t="inlineStr"/>
      <c r="D2933" s="2" t="inlineStr"/>
      <c r="E2933" s="28" t="inlineStr">
        <is>
          <t>VALOR COM BDI:</t>
        </is>
      </c>
      <c r="F2933" s="56" t="n"/>
      <c r="G2933" s="66">
        <f>G2932 + G2931</f>
        <v/>
      </c>
    </row>
    <row r="2934" ht="10" customHeight="1">
      <c r="A2934" s="2" t="inlineStr"/>
      <c r="B2934" s="2" t="inlineStr"/>
      <c r="C2934" s="2" t="inlineStr"/>
      <c r="D2934" s="2" t="inlineStr"/>
      <c r="E2934" s="18" t="inlineStr"/>
    </row>
    <row r="2935" ht="20" customHeight="1">
      <c r="A2935" s="19" t="inlineStr">
        <is>
          <t>9.2.3.5. ​93658​ DISJUNTOR MONOPOLAR TIPO DIN, CORRENTE NOMINAL DE 40A - FORNECIMENTO E INSTALAÇÃO.AF_07/2025​ (UN)</t>
        </is>
      </c>
      <c r="B2935" s="55" t="n"/>
      <c r="C2935" s="55" t="n"/>
      <c r="D2935" s="55" t="n"/>
      <c r="E2935" s="55" t="n"/>
      <c r="F2935" s="55" t="n"/>
      <c r="G2935" s="56" t="n"/>
    </row>
    <row r="2936" ht="15" customHeight="1">
      <c r="A2936" s="20" t="inlineStr">
        <is>
          <t>Material</t>
        </is>
      </c>
      <c r="B2936" s="56" t="n"/>
      <c r="C2936" s="21" t="inlineStr">
        <is>
          <t>FONTE</t>
        </is>
      </c>
      <c r="D2936" s="21" t="inlineStr">
        <is>
          <t>UNID</t>
        </is>
      </c>
      <c r="E2936" s="21" t="inlineStr">
        <is>
          <t>COEFICIENTE</t>
        </is>
      </c>
      <c r="F2936" s="21" t="inlineStr">
        <is>
          <t>PREÇO UNITÁRIO</t>
        </is>
      </c>
      <c r="G2936" s="21" t="inlineStr">
        <is>
          <t>TOTAL</t>
        </is>
      </c>
    </row>
    <row r="2937" ht="21" customHeight="1">
      <c r="A2937" s="22" t="inlineStr">
        <is>
          <t>00034686</t>
        </is>
      </c>
      <c r="B2937" s="23" t="inlineStr">
        <is>
          <t>DISJUNTOR TERMOMAGNETICO PARA TRILHO DIN (IEC), MONOPOLAR, 40 - 50 A</t>
        </is>
      </c>
      <c r="C2937" s="22" t="inlineStr">
        <is>
          <t>SINAPI</t>
        </is>
      </c>
      <c r="D2937" s="22" t="inlineStr">
        <is>
          <t>UN</t>
        </is>
      </c>
      <c r="E2937" s="63" t="n">
        <v>1</v>
      </c>
      <c r="F2937" s="64">
        <f>ROUND(M2937*FATOR, 2)</f>
        <v/>
      </c>
      <c r="G2937" s="64">
        <f>TRUNC(TRUNC(E2937,8)*F2937,2)</f>
        <v/>
      </c>
      <c r="L2937" t="n">
        <v>1</v>
      </c>
      <c r="M2937" t="n">
        <v>13.74</v>
      </c>
      <c r="N2937">
        <f>(M2937-F2937)</f>
        <v/>
      </c>
    </row>
    <row r="2938" ht="29" customHeight="1">
      <c r="A2938" s="22" t="inlineStr">
        <is>
          <t>00001574</t>
        </is>
      </c>
      <c r="B2938" s="23" t="inlineStr">
        <is>
          <t>TERMINAL A COMPRESSAO EM COBRE ESTANHADO PARA CABO 10 MM2, 1 FURO E 1 COMPRESSAO, PARA PARAFUSO DE FIXACAO M6</t>
        </is>
      </c>
      <c r="C2938" s="22" t="inlineStr">
        <is>
          <t>SINAPI</t>
        </is>
      </c>
      <c r="D2938" s="22" t="inlineStr">
        <is>
          <t>UN</t>
        </is>
      </c>
      <c r="E2938" s="63" t="n">
        <v>1</v>
      </c>
      <c r="F2938" s="64">
        <f>ROUND(M2938*FATOR, 2)</f>
        <v/>
      </c>
      <c r="G2938" s="64">
        <f>TRUNC(TRUNC(E2938,8)*F2938,2)</f>
        <v/>
      </c>
      <c r="L2938" t="n">
        <v>1</v>
      </c>
      <c r="M2938" t="n">
        <v>1.77</v>
      </c>
      <c r="N2938">
        <f>(M2938-F2938)</f>
        <v/>
      </c>
    </row>
    <row r="2939" ht="15" customHeight="1">
      <c r="A2939" s="2" t="inlineStr"/>
      <c r="B2939" s="2" t="inlineStr"/>
      <c r="C2939" s="2" t="inlineStr"/>
      <c r="D2939" s="2" t="inlineStr"/>
      <c r="E2939" s="26" t="inlineStr">
        <is>
          <t>TOTAL Material:</t>
        </is>
      </c>
      <c r="F2939" s="56" t="n"/>
      <c r="G2939" s="65">
        <f>SUM(G2937:G2938)</f>
        <v/>
      </c>
    </row>
    <row r="2940" ht="15" customHeight="1">
      <c r="A2940" s="20" t="inlineStr">
        <is>
          <t>Mão de Obra com Encargos Complementares</t>
        </is>
      </c>
      <c r="B2940" s="56" t="n"/>
      <c r="C2940" s="21" t="inlineStr">
        <is>
          <t>FONTE</t>
        </is>
      </c>
      <c r="D2940" s="21" t="inlineStr">
        <is>
          <t>UNID</t>
        </is>
      </c>
      <c r="E2940" s="21" t="inlineStr">
        <is>
          <t>COEFICIENTE</t>
        </is>
      </c>
      <c r="F2940" s="21" t="inlineStr">
        <is>
          <t>PREÇO UNITÁRIO</t>
        </is>
      </c>
      <c r="G2940" s="21" t="inlineStr">
        <is>
          <t>TOTAL</t>
        </is>
      </c>
    </row>
    <row r="2941" ht="21" customHeight="1">
      <c r="A2941" s="22" t="inlineStr">
        <is>
          <t>88247</t>
        </is>
      </c>
      <c r="B2941" s="23" t="inlineStr">
        <is>
          <t>AUXILIAR DE ELETRICISTA COM ENCARGOS COMPLEMENTARES</t>
        </is>
      </c>
      <c r="C2941" s="22" t="inlineStr">
        <is>
          <t>SINAPI</t>
        </is>
      </c>
      <c r="D2941" s="22" t="inlineStr">
        <is>
          <t>H</t>
        </is>
      </c>
      <c r="E2941" s="63">
        <f>L2941*FATOR</f>
        <v/>
      </c>
      <c r="F2941" s="64">
        <f>'COMPOSICOES AUXILIARES'!G505</f>
        <v/>
      </c>
      <c r="G2941" s="64">
        <f>TRUNC(TRUNC(E2941,8)*F2941,2)</f>
        <v/>
      </c>
      <c r="L2941" t="n">
        <v>0.12714</v>
      </c>
      <c r="M2941" t="n">
        <v>25.22</v>
      </c>
      <c r="N2941">
        <f>(M2941-F2941)</f>
        <v/>
      </c>
    </row>
    <row r="2942" ht="15" customHeight="1">
      <c r="A2942" s="22" t="inlineStr">
        <is>
          <t>88264</t>
        </is>
      </c>
      <c r="B2942" s="23" t="inlineStr">
        <is>
          <t>ELETRICISTA COM ENCARGOS COMPLEMENTARES</t>
        </is>
      </c>
      <c r="C2942" s="22" t="inlineStr">
        <is>
          <t>SINAPI</t>
        </is>
      </c>
      <c r="D2942" s="22" t="inlineStr">
        <is>
          <t>H</t>
        </is>
      </c>
      <c r="E2942" s="63">
        <f>L2942*FATOR</f>
        <v/>
      </c>
      <c r="F2942" s="64">
        <f>'COMPOSICOES AUXILIARES'!G505</f>
        <v/>
      </c>
      <c r="G2942" s="64">
        <f>TRUNC(TRUNC(E2942,8)*F2942,2)</f>
        <v/>
      </c>
      <c r="L2942" t="n">
        <v>0.12714</v>
      </c>
      <c r="M2942" t="n">
        <v>30.96</v>
      </c>
      <c r="N2942">
        <f>(M2942-F2942)</f>
        <v/>
      </c>
    </row>
    <row r="2943" ht="18" customHeight="1">
      <c r="A2943" s="2" t="inlineStr"/>
      <c r="B2943" s="2" t="inlineStr"/>
      <c r="C2943" s="2" t="inlineStr"/>
      <c r="D2943" s="2" t="inlineStr"/>
      <c r="E2943" s="26" t="inlineStr">
        <is>
          <t>TOTAL Mão de Obra com Encargos Complementares:</t>
        </is>
      </c>
      <c r="F2943" s="56" t="n"/>
      <c r="G2943" s="65">
        <f>SUM(G2941:G2942)</f>
        <v/>
      </c>
    </row>
    <row r="2944" ht="15" customHeight="1">
      <c r="A2944" s="2" t="inlineStr"/>
      <c r="B2944" s="2" t="inlineStr"/>
      <c r="C2944" s="2" t="inlineStr"/>
      <c r="D2944" s="2" t="inlineStr"/>
      <c r="E2944" s="28" t="inlineStr">
        <is>
          <t>VALOR:</t>
        </is>
      </c>
      <c r="F2944" s="56" t="n"/>
      <c r="G2944" s="66">
        <f>SUM(G2939,G2943)</f>
        <v/>
      </c>
    </row>
    <row r="2945" ht="15" customHeight="1">
      <c r="A2945" s="2" t="inlineStr"/>
      <c r="B2945" s="2" t="inlineStr"/>
      <c r="C2945" s="2" t="inlineStr"/>
      <c r="D2945" s="2" t="inlineStr"/>
      <c r="E2945" s="28" t="inlineStr">
        <is>
          <t>VALOR BDI (23.08%):</t>
        </is>
      </c>
      <c r="F2945" s="56" t="n"/>
      <c r="G2945" s="66">
        <f>ROUNDDOWN(G2944*BDI,2)</f>
        <v/>
      </c>
    </row>
    <row r="2946" ht="15" customHeight="1">
      <c r="A2946" s="2" t="inlineStr"/>
      <c r="B2946" s="2" t="inlineStr"/>
      <c r="C2946" s="2" t="inlineStr"/>
      <c r="D2946" s="2" t="inlineStr"/>
      <c r="E2946" s="28" t="inlineStr">
        <is>
          <t>VALOR COM BDI:</t>
        </is>
      </c>
      <c r="F2946" s="56" t="n"/>
      <c r="G2946" s="66">
        <f>G2945 + G2944</f>
        <v/>
      </c>
    </row>
    <row r="2947" ht="10" customHeight="1">
      <c r="A2947" s="2" t="inlineStr"/>
      <c r="B2947" s="2" t="inlineStr"/>
      <c r="C2947" s="2" t="inlineStr"/>
      <c r="D2947" s="2" t="inlineStr"/>
      <c r="E2947" s="18" t="inlineStr"/>
    </row>
    <row r="2948" ht="20" customHeight="1">
      <c r="A2948" s="19" t="inlineStr">
        <is>
          <t>9.2.3.6. ​93673​ DISJUNTOR TRIPOLAR TIPO DIN, CORRENTE NOMINAL DE 50A - FORNECIMENTO E INSTALAÇÃO.AF_07/2025​ (UN)</t>
        </is>
      </c>
      <c r="B2948" s="55" t="n"/>
      <c r="C2948" s="55" t="n"/>
      <c r="D2948" s="55" t="n"/>
      <c r="E2948" s="55" t="n"/>
      <c r="F2948" s="55" t="n"/>
      <c r="G2948" s="56" t="n"/>
    </row>
    <row r="2949" ht="15" customHeight="1">
      <c r="A2949" s="20" t="inlineStr">
        <is>
          <t>Material</t>
        </is>
      </c>
      <c r="B2949" s="56" t="n"/>
      <c r="C2949" s="21" t="inlineStr">
        <is>
          <t>FONTE</t>
        </is>
      </c>
      <c r="D2949" s="21" t="inlineStr">
        <is>
          <t>UNID</t>
        </is>
      </c>
      <c r="E2949" s="21" t="inlineStr">
        <is>
          <t>COEFICIENTE</t>
        </is>
      </c>
      <c r="F2949" s="21" t="inlineStr">
        <is>
          <t>PREÇO UNITÁRIO</t>
        </is>
      </c>
      <c r="G2949" s="21" t="inlineStr">
        <is>
          <t>TOTAL</t>
        </is>
      </c>
    </row>
    <row r="2950" ht="21" customHeight="1">
      <c r="A2950" s="22" t="inlineStr">
        <is>
          <t>00034709</t>
        </is>
      </c>
      <c r="B2950" s="23" t="inlineStr">
        <is>
          <t>DISJUNTOR TERMOMAGNETICO PARA TRILHO DIN (IEC), TRIPOLAR, 10 - 50 A</t>
        </is>
      </c>
      <c r="C2950" s="22" t="inlineStr">
        <is>
          <t>SINAPI</t>
        </is>
      </c>
      <c r="D2950" s="22" t="inlineStr">
        <is>
          <t>UN</t>
        </is>
      </c>
      <c r="E2950" s="63" t="n">
        <v>1</v>
      </c>
      <c r="F2950" s="64">
        <f>ROUND(M2950*FATOR, 2)</f>
        <v/>
      </c>
      <c r="G2950" s="64">
        <f>TRUNC(TRUNC(E2950,8)*F2950,2)</f>
        <v/>
      </c>
      <c r="L2950" t="n">
        <v>1</v>
      </c>
      <c r="M2950" t="n">
        <v>65.06999999999999</v>
      </c>
      <c r="N2950">
        <f>(M2950-F2950)</f>
        <v/>
      </c>
    </row>
    <row r="2951" ht="29" customHeight="1">
      <c r="A2951" s="22" t="inlineStr">
        <is>
          <t>00001575</t>
        </is>
      </c>
      <c r="B2951" s="23" t="inlineStr">
        <is>
          <t>TERMINAL A COMPRESSAO EM COBRE ESTANHADO PARA CABO 16 MM2, 1 FURO E 1 COMPRESSAO, PARA PARAFUSO DE FIXACAO M6</t>
        </is>
      </c>
      <c r="C2951" s="22" t="inlineStr">
        <is>
          <t>SINAPI</t>
        </is>
      </c>
      <c r="D2951" s="22" t="inlineStr">
        <is>
          <t>UN</t>
        </is>
      </c>
      <c r="E2951" s="63" t="n">
        <v>3</v>
      </c>
      <c r="F2951" s="64">
        <f>ROUND(M2951*FATOR, 2)</f>
        <v/>
      </c>
      <c r="G2951" s="64">
        <f>TRUNC(TRUNC(E2951,8)*F2951,2)</f>
        <v/>
      </c>
      <c r="L2951" t="n">
        <v>3</v>
      </c>
      <c r="M2951" t="n">
        <v>2.1</v>
      </c>
      <c r="N2951">
        <f>(M2951-F2951)</f>
        <v/>
      </c>
    </row>
    <row r="2952" ht="15" customHeight="1">
      <c r="A2952" s="2" t="inlineStr"/>
      <c r="B2952" s="2" t="inlineStr"/>
      <c r="C2952" s="2" t="inlineStr"/>
      <c r="D2952" s="2" t="inlineStr"/>
      <c r="E2952" s="26" t="inlineStr">
        <is>
          <t>TOTAL Material:</t>
        </is>
      </c>
      <c r="F2952" s="56" t="n"/>
      <c r="G2952" s="65">
        <f>SUM(G2950:G2951)</f>
        <v/>
      </c>
    </row>
    <row r="2953" ht="15" customHeight="1">
      <c r="A2953" s="20" t="inlineStr">
        <is>
          <t>Mão de Obra com Encargos Complementares</t>
        </is>
      </c>
      <c r="B2953" s="56" t="n"/>
      <c r="C2953" s="21" t="inlineStr">
        <is>
          <t>FONTE</t>
        </is>
      </c>
      <c r="D2953" s="21" t="inlineStr">
        <is>
          <t>UNID</t>
        </is>
      </c>
      <c r="E2953" s="21" t="inlineStr">
        <is>
          <t>COEFICIENTE</t>
        </is>
      </c>
      <c r="F2953" s="21" t="inlineStr">
        <is>
          <t>PREÇO UNITÁRIO</t>
        </is>
      </c>
      <c r="G2953" s="21" t="inlineStr">
        <is>
          <t>TOTAL</t>
        </is>
      </c>
    </row>
    <row r="2954" ht="21" customHeight="1">
      <c r="A2954" s="22" t="inlineStr">
        <is>
          <t>88247</t>
        </is>
      </c>
      <c r="B2954" s="23" t="inlineStr">
        <is>
          <t>AUXILIAR DE ELETRICISTA COM ENCARGOS COMPLEMENTARES</t>
        </is>
      </c>
      <c r="C2954" s="22" t="inlineStr">
        <is>
          <t>SINAPI</t>
        </is>
      </c>
      <c r="D2954" s="22" t="inlineStr">
        <is>
          <t>H</t>
        </is>
      </c>
      <c r="E2954" s="63">
        <f>L2954*FATOR</f>
        <v/>
      </c>
      <c r="F2954" s="64">
        <f>'COMPOSICOES AUXILIARES'!G505</f>
        <v/>
      </c>
      <c r="G2954" s="64">
        <f>TRUNC(TRUNC(E2954,8)*F2954,2)</f>
        <v/>
      </c>
      <c r="L2954" t="n">
        <v>0.529745</v>
      </c>
      <c r="M2954" t="n">
        <v>25.22</v>
      </c>
      <c r="N2954">
        <f>(M2954-F2954)</f>
        <v/>
      </c>
    </row>
    <row r="2955" ht="15" customHeight="1">
      <c r="A2955" s="22" t="inlineStr">
        <is>
          <t>88264</t>
        </is>
      </c>
      <c r="B2955" s="23" t="inlineStr">
        <is>
          <t>ELETRICISTA COM ENCARGOS COMPLEMENTARES</t>
        </is>
      </c>
      <c r="C2955" s="22" t="inlineStr">
        <is>
          <t>SINAPI</t>
        </is>
      </c>
      <c r="D2955" s="22" t="inlineStr">
        <is>
          <t>H</t>
        </is>
      </c>
      <c r="E2955" s="63">
        <f>L2955*FATOR</f>
        <v/>
      </c>
      <c r="F2955" s="64">
        <f>'COMPOSICOES AUXILIARES'!G505</f>
        <v/>
      </c>
      <c r="G2955" s="64">
        <f>TRUNC(TRUNC(E2955,8)*F2955,2)</f>
        <v/>
      </c>
      <c r="L2955" t="n">
        <v>0.529745</v>
      </c>
      <c r="M2955" t="n">
        <v>30.96</v>
      </c>
      <c r="N2955">
        <f>(M2955-F2955)</f>
        <v/>
      </c>
    </row>
    <row r="2956" ht="18" customHeight="1">
      <c r="A2956" s="2" t="inlineStr"/>
      <c r="B2956" s="2" t="inlineStr"/>
      <c r="C2956" s="2" t="inlineStr"/>
      <c r="D2956" s="2" t="inlineStr"/>
      <c r="E2956" s="26" t="inlineStr">
        <is>
          <t>TOTAL Mão de Obra com Encargos Complementares:</t>
        </is>
      </c>
      <c r="F2956" s="56" t="n"/>
      <c r="G2956" s="65">
        <f>SUM(G2954:G2955)</f>
        <v/>
      </c>
    </row>
    <row r="2957" ht="15" customHeight="1">
      <c r="A2957" s="2" t="inlineStr"/>
      <c r="B2957" s="2" t="inlineStr"/>
      <c r="C2957" s="2" t="inlineStr"/>
      <c r="D2957" s="2" t="inlineStr"/>
      <c r="E2957" s="28" t="inlineStr">
        <is>
          <t>VALOR:</t>
        </is>
      </c>
      <c r="F2957" s="56" t="n"/>
      <c r="G2957" s="66">
        <f>SUM(G2952,G2956)</f>
        <v/>
      </c>
    </row>
    <row r="2958" ht="15" customHeight="1">
      <c r="A2958" s="2" t="inlineStr"/>
      <c r="B2958" s="2" t="inlineStr"/>
      <c r="C2958" s="2" t="inlineStr"/>
      <c r="D2958" s="2" t="inlineStr"/>
      <c r="E2958" s="28" t="inlineStr">
        <is>
          <t>VALOR BDI (23.08%):</t>
        </is>
      </c>
      <c r="F2958" s="56" t="n"/>
      <c r="G2958" s="66">
        <f>ROUNDDOWN(G2957*BDI,2)</f>
        <v/>
      </c>
    </row>
    <row r="2959" ht="15" customHeight="1">
      <c r="A2959" s="2" t="inlineStr"/>
      <c r="B2959" s="2" t="inlineStr"/>
      <c r="C2959" s="2" t="inlineStr"/>
      <c r="D2959" s="2" t="inlineStr"/>
      <c r="E2959" s="28" t="inlineStr">
        <is>
          <t>VALOR COM BDI:</t>
        </is>
      </c>
      <c r="F2959" s="56" t="n"/>
      <c r="G2959" s="66">
        <f>G2958 + G2957</f>
        <v/>
      </c>
    </row>
    <row r="2960" ht="10" customHeight="1">
      <c r="A2960" s="2" t="inlineStr"/>
      <c r="B2960" s="2" t="inlineStr"/>
      <c r="C2960" s="2" t="inlineStr"/>
      <c r="D2960" s="2" t="inlineStr"/>
      <c r="E2960" s="18" t="inlineStr"/>
    </row>
    <row r="2961" ht="20" customHeight="1">
      <c r="A2961" s="19" t="inlineStr">
        <is>
          <t>9.2.3.7. ​C1117​ DISJUNTOR TRIPOLAR EM QUADRO DEDISTRIBUIÇÃO 100A​ (UN)</t>
        </is>
      </c>
      <c r="B2961" s="55" t="n"/>
      <c r="C2961" s="55" t="n"/>
      <c r="D2961" s="55" t="n"/>
      <c r="E2961" s="55" t="n"/>
      <c r="F2961" s="55" t="n"/>
      <c r="G2961" s="56" t="n"/>
    </row>
    <row r="2962" ht="15" customHeight="1">
      <c r="A2962" s="20" t="inlineStr">
        <is>
          <t>Material</t>
        </is>
      </c>
      <c r="B2962" s="56" t="n"/>
      <c r="C2962" s="21" t="inlineStr">
        <is>
          <t>FONTE</t>
        </is>
      </c>
      <c r="D2962" s="21" t="inlineStr">
        <is>
          <t>UNID</t>
        </is>
      </c>
      <c r="E2962" s="21" t="inlineStr">
        <is>
          <t>COEFICIENTE</t>
        </is>
      </c>
      <c r="F2962" s="21" t="inlineStr">
        <is>
          <t>PREÇO UNITÁRIO</t>
        </is>
      </c>
      <c r="G2962" s="21" t="inlineStr">
        <is>
          <t>TOTAL</t>
        </is>
      </c>
    </row>
    <row r="2963" ht="15" customHeight="1">
      <c r="A2963" s="22" t="inlineStr">
        <is>
          <t>I1016</t>
        </is>
      </c>
      <c r="B2963" s="23" t="inlineStr">
        <is>
          <t>DISJUNTOR TRIPOLAR DE 100A</t>
        </is>
      </c>
      <c r="C2963" s="22" t="inlineStr">
        <is>
          <t>SEINFRA</t>
        </is>
      </c>
      <c r="D2963" s="22" t="inlineStr">
        <is>
          <t>UN</t>
        </is>
      </c>
      <c r="E2963" s="63" t="n">
        <v>1</v>
      </c>
      <c r="F2963" s="67">
        <f>ROUND(M2963*FATOR, 2)</f>
        <v/>
      </c>
      <c r="G2963" s="67">
        <f>ROUND(ROUND(E2963,8)*F2963,4)</f>
        <v/>
      </c>
      <c r="L2963" t="n">
        <v>1</v>
      </c>
      <c r="M2963" t="n">
        <v>104.88</v>
      </c>
      <c r="N2963">
        <f>(M2963-F2963)</f>
        <v/>
      </c>
    </row>
    <row r="2964" ht="15" customHeight="1">
      <c r="A2964" s="2" t="inlineStr"/>
      <c r="B2964" s="2" t="inlineStr"/>
      <c r="C2964" s="2" t="inlineStr"/>
      <c r="D2964" s="2" t="inlineStr"/>
      <c r="E2964" s="26" t="inlineStr">
        <is>
          <t>TOTAL Material:</t>
        </is>
      </c>
      <c r="F2964" s="56" t="n"/>
      <c r="G2964" s="68">
        <f>SUM(G2963:G2963)</f>
        <v/>
      </c>
    </row>
    <row r="2965" ht="15" customHeight="1">
      <c r="A2965" s="20" t="inlineStr">
        <is>
          <t>Mão de Obra</t>
        </is>
      </c>
      <c r="B2965" s="56" t="n"/>
      <c r="C2965" s="21" t="inlineStr">
        <is>
          <t>FONTE</t>
        </is>
      </c>
      <c r="D2965" s="21" t="inlineStr">
        <is>
          <t>UNID</t>
        </is>
      </c>
      <c r="E2965" s="21" t="inlineStr">
        <is>
          <t>COEFICIENTE</t>
        </is>
      </c>
      <c r="F2965" s="21" t="inlineStr">
        <is>
          <t>PREÇO UNITÁRIO</t>
        </is>
      </c>
      <c r="G2965" s="21" t="inlineStr">
        <is>
          <t>TOTAL</t>
        </is>
      </c>
    </row>
    <row r="2966" ht="15" customHeight="1">
      <c r="A2966" s="22" t="inlineStr">
        <is>
          <t>I0042</t>
        </is>
      </c>
      <c r="B2966" s="23" t="inlineStr">
        <is>
          <t>AJUDANTE DE ELETRICISTA</t>
        </is>
      </c>
      <c r="C2966" s="22" t="inlineStr">
        <is>
          <t>SEINFRA</t>
        </is>
      </c>
      <c r="D2966" s="22" t="inlineStr">
        <is>
          <t>H</t>
        </is>
      </c>
      <c r="E2966" s="63">
        <f>L2966*FATOR</f>
        <v/>
      </c>
      <c r="F2966" s="67" t="n">
        <v>21.1</v>
      </c>
      <c r="G2966" s="67">
        <f>ROUND(ROUND(E2966,8)*F2966,4)</f>
        <v/>
      </c>
      <c r="L2966" t="n">
        <v>0.9</v>
      </c>
      <c r="M2966" t="n">
        <v>21.1</v>
      </c>
      <c r="N2966">
        <f>(M2966-F2966)</f>
        <v/>
      </c>
    </row>
    <row r="2967" ht="15" customHeight="1">
      <c r="A2967" s="22" t="inlineStr">
        <is>
          <t>I2312</t>
        </is>
      </c>
      <c r="B2967" s="23" t="inlineStr">
        <is>
          <t>ELETRICISTA</t>
        </is>
      </c>
      <c r="C2967" s="22" t="inlineStr">
        <is>
          <t>SEINFRA</t>
        </is>
      </c>
      <c r="D2967" s="22" t="inlineStr">
        <is>
          <t>H</t>
        </is>
      </c>
      <c r="E2967" s="63">
        <f>L2967*FATOR</f>
        <v/>
      </c>
      <c r="F2967" s="67" t="n">
        <v>26.85</v>
      </c>
      <c r="G2967" s="67">
        <f>ROUND(ROUND(E2967,8)*F2967,4)</f>
        <v/>
      </c>
      <c r="L2967" t="n">
        <v>0.9</v>
      </c>
      <c r="M2967" t="n">
        <v>26.85</v>
      </c>
      <c r="N2967">
        <f>(M2967-F2967)</f>
        <v/>
      </c>
    </row>
    <row r="2968" ht="15" customHeight="1">
      <c r="A2968" s="2" t="inlineStr"/>
      <c r="B2968" s="2" t="inlineStr"/>
      <c r="C2968" s="2" t="inlineStr"/>
      <c r="D2968" s="2" t="inlineStr"/>
      <c r="E2968" s="26" t="inlineStr">
        <is>
          <t>TOTAL Mão de Obra:</t>
        </is>
      </c>
      <c r="F2968" s="56" t="n"/>
      <c r="G2968" s="68">
        <f>SUM(G2966:G2967)</f>
        <v/>
      </c>
    </row>
    <row r="2969" ht="15" customHeight="1">
      <c r="A2969" s="2" t="inlineStr"/>
      <c r="B2969" s="2" t="inlineStr"/>
      <c r="C2969" s="2" t="inlineStr"/>
      <c r="D2969" s="2" t="inlineStr"/>
      <c r="E2969" s="28" t="inlineStr">
        <is>
          <t>VALOR:</t>
        </is>
      </c>
      <c r="F2969" s="56" t="n"/>
      <c r="G2969" s="66">
        <f>SUM(G2968,G2964)</f>
        <v/>
      </c>
    </row>
    <row r="2970" ht="15" customHeight="1">
      <c r="A2970" s="2" t="inlineStr"/>
      <c r="B2970" s="2" t="inlineStr"/>
      <c r="C2970" s="2" t="inlineStr"/>
      <c r="D2970" s="2" t="inlineStr"/>
      <c r="E2970" s="28" t="inlineStr">
        <is>
          <t>VALOR BDI (23.08%):</t>
        </is>
      </c>
      <c r="F2970" s="56" t="n"/>
      <c r="G2970" s="66">
        <f>ROUNDDOWN(G2969*BDI,2)</f>
        <v/>
      </c>
    </row>
    <row r="2971" ht="15" customHeight="1">
      <c r="A2971" s="2" t="inlineStr"/>
      <c r="B2971" s="2" t="inlineStr"/>
      <c r="C2971" s="2" t="inlineStr"/>
      <c r="D2971" s="2" t="inlineStr"/>
      <c r="E2971" s="28" t="inlineStr">
        <is>
          <t>VALOR COM BDI:</t>
        </is>
      </c>
      <c r="F2971" s="56" t="n"/>
      <c r="G2971" s="66">
        <f>G2970 + G2969</f>
        <v/>
      </c>
    </row>
    <row r="2972" ht="10" customHeight="1">
      <c r="A2972" s="2" t="inlineStr"/>
      <c r="B2972" s="2" t="inlineStr"/>
      <c r="C2972" s="2" t="inlineStr"/>
      <c r="D2972" s="2" t="inlineStr"/>
      <c r="E2972" s="18" t="inlineStr"/>
    </row>
    <row r="2973" ht="20" customHeight="1">
      <c r="A2973" s="19" t="inlineStr">
        <is>
          <t>9.2.4.1. ​386 PRÓPRIO​ DISJUNTOR BIPOLAR TIPO DR - 25A - 30MA- FORNECIMENTO E INSTALAÇÃO​ (UN)</t>
        </is>
      </c>
      <c r="B2973" s="55" t="n"/>
      <c r="C2973" s="55" t="n"/>
      <c r="D2973" s="55" t="n"/>
      <c r="E2973" s="55" t="n"/>
      <c r="F2973" s="55" t="n"/>
      <c r="G2973" s="56" t="n"/>
    </row>
    <row r="2974" ht="15" customHeight="1">
      <c r="A2974" s="20" t="inlineStr">
        <is>
          <t>Material</t>
        </is>
      </c>
      <c r="B2974" s="56" t="n"/>
      <c r="C2974" s="21" t="inlineStr">
        <is>
          <t>FONTE</t>
        </is>
      </c>
      <c r="D2974" s="21" t="inlineStr">
        <is>
          <t>UNID</t>
        </is>
      </c>
      <c r="E2974" s="21" t="inlineStr">
        <is>
          <t>COEFICIENTE</t>
        </is>
      </c>
      <c r="F2974" s="21" t="inlineStr">
        <is>
          <t>PREÇO UNITÁRIO</t>
        </is>
      </c>
      <c r="G2974" s="21" t="inlineStr">
        <is>
          <t>TOTAL</t>
        </is>
      </c>
    </row>
    <row r="2975" ht="21" customHeight="1">
      <c r="A2975" s="22" t="inlineStr">
        <is>
          <t>00039445</t>
        </is>
      </c>
      <c r="B2975" s="23" t="inlineStr">
        <is>
          <t>DISPOSITIVO DR, 2 POLOS, SENSIBILIDADE DE 30 MA, CORRENTE DE 25 A, TIPO AC</t>
        </is>
      </c>
      <c r="C2975" s="22" t="inlineStr">
        <is>
          <t>SINAPI</t>
        </is>
      </c>
      <c r="D2975" s="22" t="inlineStr">
        <is>
          <t>UN</t>
        </is>
      </c>
      <c r="E2975" s="63" t="n">
        <v>1</v>
      </c>
      <c r="F2975" s="64">
        <f>ROUND(M2975*FATOR, 2)</f>
        <v/>
      </c>
      <c r="G2975" s="64">
        <f>ROUND(ROUND(E2975,8)*F2975,2)</f>
        <v/>
      </c>
      <c r="L2975" t="n">
        <v>1</v>
      </c>
      <c r="M2975" t="n">
        <v>142.66</v>
      </c>
      <c r="N2975">
        <f>(M2975-F2975)</f>
        <v/>
      </c>
    </row>
    <row r="2976" ht="29" customHeight="1">
      <c r="A2976" s="22" t="inlineStr">
        <is>
          <t>00001571</t>
        </is>
      </c>
      <c r="B2976" s="23" t="inlineStr">
        <is>
          <t>TERMINAL A COMPRESSAO EM COBRE ESTANHADO PARA CABO 4 MM2, 1 FURO E 1 COMPRESSAO, PARA PARAFUSO DE FIXACAO M5</t>
        </is>
      </c>
      <c r="C2976" s="22" t="inlineStr">
        <is>
          <t>SINAPI</t>
        </is>
      </c>
      <c r="D2976" s="22" t="inlineStr">
        <is>
          <t>UN</t>
        </is>
      </c>
      <c r="E2976" s="63" t="n">
        <v>2</v>
      </c>
      <c r="F2976" s="64">
        <f>ROUND(M2976*FATOR, 2)</f>
        <v/>
      </c>
      <c r="G2976" s="64">
        <f>ROUND(ROUND(E2976,8)*F2976,2)</f>
        <v/>
      </c>
      <c r="L2976" t="n">
        <v>2</v>
      </c>
      <c r="M2976" t="n">
        <v>1.37</v>
      </c>
      <c r="N2976">
        <f>(M2976-F2976)</f>
        <v/>
      </c>
    </row>
    <row r="2977" ht="15" customHeight="1">
      <c r="A2977" s="2" t="inlineStr"/>
      <c r="B2977" s="2" t="inlineStr"/>
      <c r="C2977" s="2" t="inlineStr"/>
      <c r="D2977" s="2" t="inlineStr"/>
      <c r="E2977" s="26" t="inlineStr">
        <is>
          <t>TOTAL Material:</t>
        </is>
      </c>
      <c r="F2977" s="56" t="n"/>
      <c r="G2977" s="65">
        <f>SUM(G2975:G2976)</f>
        <v/>
      </c>
    </row>
    <row r="2978" ht="15" customHeight="1">
      <c r="A2978" s="20" t="inlineStr">
        <is>
          <t>Mão de Obra com Encargos Complementares</t>
        </is>
      </c>
      <c r="B2978" s="56" t="n"/>
      <c r="C2978" s="21" t="inlineStr">
        <is>
          <t>FONTE</t>
        </is>
      </c>
      <c r="D2978" s="21" t="inlineStr">
        <is>
          <t>UNID</t>
        </is>
      </c>
      <c r="E2978" s="21" t="inlineStr">
        <is>
          <t>COEFICIENTE</t>
        </is>
      </c>
      <c r="F2978" s="21" t="inlineStr">
        <is>
          <t>PREÇO UNITÁRIO</t>
        </is>
      </c>
      <c r="G2978" s="21" t="inlineStr">
        <is>
          <t>TOTAL</t>
        </is>
      </c>
    </row>
    <row r="2979" ht="15" customHeight="1">
      <c r="A2979" s="22" t="inlineStr">
        <is>
          <t>88264</t>
        </is>
      </c>
      <c r="B2979" s="23" t="inlineStr">
        <is>
          <t>ELETRICISTA COM ENCARGOS COMPLEMENTARES</t>
        </is>
      </c>
      <c r="C2979" s="22" t="inlineStr">
        <is>
          <t>SINAPI</t>
        </is>
      </c>
      <c r="D2979" s="22" t="inlineStr">
        <is>
          <t>H</t>
        </is>
      </c>
      <c r="E2979" s="63">
        <f>L2979*FATOR</f>
        <v/>
      </c>
      <c r="F2979" s="64">
        <f>'COMPOSICOES AUXILIARES'!G505</f>
        <v/>
      </c>
      <c r="G2979" s="64">
        <f>ROUND(ROUND(E2979,8)*F2979,2)</f>
        <v/>
      </c>
      <c r="L2979" t="n">
        <v>0.1325</v>
      </c>
      <c r="M2979" t="n">
        <v>30.96</v>
      </c>
      <c r="N2979">
        <f>(M2979-F2979)</f>
        <v/>
      </c>
    </row>
    <row r="2980" ht="15" customHeight="1">
      <c r="A2980" s="22" t="inlineStr">
        <is>
          <t>88316</t>
        </is>
      </c>
      <c r="B2980" s="23" t="inlineStr">
        <is>
          <t>SERVENTE COM ENCARGOS COMPLEMENTARES</t>
        </is>
      </c>
      <c r="C2980" s="22" t="inlineStr">
        <is>
          <t>SINAPI</t>
        </is>
      </c>
      <c r="D2980" s="22" t="inlineStr">
        <is>
          <t>H</t>
        </is>
      </c>
      <c r="E2980" s="63">
        <f>L2980*FATOR</f>
        <v/>
      </c>
      <c r="F2980" s="64">
        <f>'COMPOSICOES AUXILIARES'!G3390</f>
        <v/>
      </c>
      <c r="G2980" s="64">
        <f>ROUND(ROUND(E2980,8)*F2980,2)</f>
        <v/>
      </c>
      <c r="L2980" t="n">
        <v>0.1325</v>
      </c>
      <c r="M2980" t="n">
        <v>23.56</v>
      </c>
      <c r="N2980">
        <f>(M2980-F2980)</f>
        <v/>
      </c>
    </row>
    <row r="2981" ht="18" customHeight="1">
      <c r="A2981" s="2" t="inlineStr"/>
      <c r="B2981" s="2" t="inlineStr"/>
      <c r="C2981" s="2" t="inlineStr"/>
      <c r="D2981" s="2" t="inlineStr"/>
      <c r="E2981" s="26" t="inlineStr">
        <is>
          <t>TOTAL Mão de Obra com Encargos Complementares:</t>
        </is>
      </c>
      <c r="F2981" s="56" t="n"/>
      <c r="G2981" s="65">
        <f>SUM(G2979:G2980)</f>
        <v/>
      </c>
    </row>
    <row r="2982" ht="15" customHeight="1">
      <c r="A2982" s="2" t="inlineStr"/>
      <c r="B2982" s="2" t="inlineStr"/>
      <c r="C2982" s="2" t="inlineStr"/>
      <c r="D2982" s="2" t="inlineStr"/>
      <c r="E2982" s="28" t="inlineStr">
        <is>
          <t>VALOR:</t>
        </is>
      </c>
      <c r="F2982" s="56" t="n"/>
      <c r="G2982" s="66">
        <f>SUM(G2977,G2981)</f>
        <v/>
      </c>
    </row>
    <row r="2983" ht="15" customHeight="1">
      <c r="A2983" s="2" t="inlineStr"/>
      <c r="B2983" s="2" t="inlineStr"/>
      <c r="C2983" s="2" t="inlineStr"/>
      <c r="D2983" s="2" t="inlineStr"/>
      <c r="E2983" s="28" t="inlineStr">
        <is>
          <t>VALOR BDI (23.08%):</t>
        </is>
      </c>
      <c r="F2983" s="56" t="n"/>
      <c r="G2983" s="66">
        <f>ROUNDDOWN(G2982*BDI,2)</f>
        <v/>
      </c>
    </row>
    <row r="2984" ht="15" customHeight="1">
      <c r="A2984" s="2" t="inlineStr"/>
      <c r="B2984" s="2" t="inlineStr"/>
      <c r="C2984" s="2" t="inlineStr"/>
      <c r="D2984" s="2" t="inlineStr"/>
      <c r="E2984" s="28" t="inlineStr">
        <is>
          <t>VALOR COM BDI:</t>
        </is>
      </c>
      <c r="F2984" s="56" t="n"/>
      <c r="G2984" s="66">
        <f>G2983 + G2982</f>
        <v/>
      </c>
    </row>
    <row r="2985" ht="10" customHeight="1">
      <c r="A2985" s="2" t="inlineStr"/>
      <c r="B2985" s="2" t="inlineStr"/>
      <c r="C2985" s="2" t="inlineStr"/>
      <c r="D2985" s="2" t="inlineStr"/>
      <c r="E2985" s="18" t="inlineStr"/>
    </row>
    <row r="2986" ht="20" customHeight="1">
      <c r="A2986" s="19" t="inlineStr">
        <is>
          <t>9.2.4.2. ​434 PRÓPRIO​ DISJUNTOR BIPOLAR TIPO DR - 40A - 30MA- FORNECIMENTO E INSTALAÇÃO​ (UN)</t>
        </is>
      </c>
      <c r="B2986" s="55" t="n"/>
      <c r="C2986" s="55" t="n"/>
      <c r="D2986" s="55" t="n"/>
      <c r="E2986" s="55" t="n"/>
      <c r="F2986" s="55" t="n"/>
      <c r="G2986" s="56" t="n"/>
    </row>
    <row r="2987" ht="15" customHeight="1">
      <c r="A2987" s="20" t="inlineStr">
        <is>
          <t>Material</t>
        </is>
      </c>
      <c r="B2987" s="56" t="n"/>
      <c r="C2987" s="21" t="inlineStr">
        <is>
          <t>FONTE</t>
        </is>
      </c>
      <c r="D2987" s="21" t="inlineStr">
        <is>
          <t>UNID</t>
        </is>
      </c>
      <c r="E2987" s="21" t="inlineStr">
        <is>
          <t>COEFICIENTE</t>
        </is>
      </c>
      <c r="F2987" s="21" t="inlineStr">
        <is>
          <t>PREÇO UNITÁRIO</t>
        </is>
      </c>
      <c r="G2987" s="21" t="inlineStr">
        <is>
          <t>TOTAL</t>
        </is>
      </c>
    </row>
    <row r="2988" ht="21" customHeight="1">
      <c r="A2988" s="22" t="inlineStr">
        <is>
          <t>00039446</t>
        </is>
      </c>
      <c r="B2988" s="23" t="inlineStr">
        <is>
          <t>DISPOSITIVO DR, 2 POLOS, SENSIBILIDADE DE 30 MA, CORRENTE DE 40 A, TIPO AC</t>
        </is>
      </c>
      <c r="C2988" s="22" t="inlineStr">
        <is>
          <t>SINAPI</t>
        </is>
      </c>
      <c r="D2988" s="22" t="inlineStr">
        <is>
          <t>UN</t>
        </is>
      </c>
      <c r="E2988" s="63" t="n">
        <v>1</v>
      </c>
      <c r="F2988" s="64">
        <f>ROUND(M2988*FATOR, 2)</f>
        <v/>
      </c>
      <c r="G2988" s="64">
        <f>ROUND(ROUND(E2988,8)*F2988,2)</f>
        <v/>
      </c>
      <c r="L2988" t="n">
        <v>1</v>
      </c>
      <c r="M2988" t="n">
        <v>145.2</v>
      </c>
      <c r="N2988">
        <f>(M2988-F2988)</f>
        <v/>
      </c>
    </row>
    <row r="2989" ht="29" customHeight="1">
      <c r="A2989" s="22" t="inlineStr">
        <is>
          <t>00001574</t>
        </is>
      </c>
      <c r="B2989" s="23" t="inlineStr">
        <is>
          <t>TERMINAL A COMPRESSAO EM COBRE ESTANHADO PARA CABO 10 MM2, 1 FURO E 1 COMPRESSAO, PARA PARAFUSO DE FIXACAO M6</t>
        </is>
      </c>
      <c r="C2989" s="22" t="inlineStr">
        <is>
          <t>SINAPI</t>
        </is>
      </c>
      <c r="D2989" s="22" t="inlineStr">
        <is>
          <t>UN</t>
        </is>
      </c>
      <c r="E2989" s="63" t="n">
        <v>2</v>
      </c>
      <c r="F2989" s="64">
        <f>ROUND(M2989*FATOR, 2)</f>
        <v/>
      </c>
      <c r="G2989" s="64">
        <f>ROUND(ROUND(E2989,8)*F2989,2)</f>
        <v/>
      </c>
      <c r="L2989" t="n">
        <v>2</v>
      </c>
      <c r="M2989" t="n">
        <v>1.77</v>
      </c>
      <c r="N2989">
        <f>(M2989-F2989)</f>
        <v/>
      </c>
    </row>
    <row r="2990" ht="15" customHeight="1">
      <c r="A2990" s="2" t="inlineStr"/>
      <c r="B2990" s="2" t="inlineStr"/>
      <c r="C2990" s="2" t="inlineStr"/>
      <c r="D2990" s="2" t="inlineStr"/>
      <c r="E2990" s="26" t="inlineStr">
        <is>
          <t>TOTAL Material:</t>
        </is>
      </c>
      <c r="F2990" s="56" t="n"/>
      <c r="G2990" s="65">
        <f>SUM(G2988:G2989)</f>
        <v/>
      </c>
    </row>
    <row r="2991" ht="15" customHeight="1">
      <c r="A2991" s="20" t="inlineStr">
        <is>
          <t>Mão de Obra com Encargos Complementares</t>
        </is>
      </c>
      <c r="B2991" s="56" t="n"/>
      <c r="C2991" s="21" t="inlineStr">
        <is>
          <t>FONTE</t>
        </is>
      </c>
      <c r="D2991" s="21" t="inlineStr">
        <is>
          <t>UNID</t>
        </is>
      </c>
      <c r="E2991" s="21" t="inlineStr">
        <is>
          <t>COEFICIENTE</t>
        </is>
      </c>
      <c r="F2991" s="21" t="inlineStr">
        <is>
          <t>PREÇO UNITÁRIO</t>
        </is>
      </c>
      <c r="G2991" s="21" t="inlineStr">
        <is>
          <t>TOTAL</t>
        </is>
      </c>
    </row>
    <row r="2992" ht="15" customHeight="1">
      <c r="A2992" s="22" t="inlineStr">
        <is>
          <t>88264</t>
        </is>
      </c>
      <c r="B2992" s="23" t="inlineStr">
        <is>
          <t>ELETRICISTA COM ENCARGOS COMPLEMENTARES</t>
        </is>
      </c>
      <c r="C2992" s="22" t="inlineStr">
        <is>
          <t>SINAPI</t>
        </is>
      </c>
      <c r="D2992" s="22" t="inlineStr">
        <is>
          <t>H</t>
        </is>
      </c>
      <c r="E2992" s="63">
        <f>L2992*FATOR</f>
        <v/>
      </c>
      <c r="F2992" s="64">
        <f>'COMPOSICOES AUXILIARES'!G505</f>
        <v/>
      </c>
      <c r="G2992" s="64">
        <f>ROUND(ROUND(E2992,8)*F2992,2)</f>
        <v/>
      </c>
      <c r="L2992" t="n">
        <v>0.2705</v>
      </c>
      <c r="M2992" t="n">
        <v>30.96</v>
      </c>
      <c r="N2992">
        <f>(M2992-F2992)</f>
        <v/>
      </c>
    </row>
    <row r="2993" ht="15" customHeight="1">
      <c r="A2993" s="22" t="inlineStr">
        <is>
          <t>88316</t>
        </is>
      </c>
      <c r="B2993" s="23" t="inlineStr">
        <is>
          <t>SERVENTE COM ENCARGOS COMPLEMENTARES</t>
        </is>
      </c>
      <c r="C2993" s="22" t="inlineStr">
        <is>
          <t>SINAPI</t>
        </is>
      </c>
      <c r="D2993" s="22" t="inlineStr">
        <is>
          <t>H</t>
        </is>
      </c>
      <c r="E2993" s="63">
        <f>L2993*FATOR</f>
        <v/>
      </c>
      <c r="F2993" s="64">
        <f>'COMPOSICOES AUXILIARES'!G3390</f>
        <v/>
      </c>
      <c r="G2993" s="64">
        <f>ROUND(ROUND(E2993,8)*F2993,2)</f>
        <v/>
      </c>
      <c r="L2993" t="n">
        <v>0.2705</v>
      </c>
      <c r="M2993" t="n">
        <v>23.56</v>
      </c>
      <c r="N2993">
        <f>(M2993-F2993)</f>
        <v/>
      </c>
    </row>
    <row r="2994" ht="18" customHeight="1">
      <c r="A2994" s="2" t="inlineStr"/>
      <c r="B2994" s="2" t="inlineStr"/>
      <c r="C2994" s="2" t="inlineStr"/>
      <c r="D2994" s="2" t="inlineStr"/>
      <c r="E2994" s="26" t="inlineStr">
        <is>
          <t>TOTAL Mão de Obra com Encargos Complementares:</t>
        </is>
      </c>
      <c r="F2994" s="56" t="n"/>
      <c r="G2994" s="65">
        <f>SUM(G2992:G2993)</f>
        <v/>
      </c>
    </row>
    <row r="2995" ht="15" customHeight="1">
      <c r="A2995" s="2" t="inlineStr"/>
      <c r="B2995" s="2" t="inlineStr"/>
      <c r="C2995" s="2" t="inlineStr"/>
      <c r="D2995" s="2" t="inlineStr"/>
      <c r="E2995" s="28" t="inlineStr">
        <is>
          <t>VALOR:</t>
        </is>
      </c>
      <c r="F2995" s="56" t="n"/>
      <c r="G2995" s="66">
        <f>SUM(G2994,G2990)</f>
        <v/>
      </c>
    </row>
    <row r="2996" ht="15" customHeight="1">
      <c r="A2996" s="2" t="inlineStr"/>
      <c r="B2996" s="2" t="inlineStr"/>
      <c r="C2996" s="2" t="inlineStr"/>
      <c r="D2996" s="2" t="inlineStr"/>
      <c r="E2996" s="28" t="inlineStr">
        <is>
          <t>VALOR BDI (23.08%):</t>
        </is>
      </c>
      <c r="F2996" s="56" t="n"/>
      <c r="G2996" s="66">
        <f>ROUNDDOWN(G2995*BDI,2)</f>
        <v/>
      </c>
    </row>
    <row r="2997" ht="15" customHeight="1">
      <c r="A2997" s="2" t="inlineStr"/>
      <c r="B2997" s="2" t="inlineStr"/>
      <c r="C2997" s="2" t="inlineStr"/>
      <c r="D2997" s="2" t="inlineStr"/>
      <c r="E2997" s="28" t="inlineStr">
        <is>
          <t>VALOR COM BDI:</t>
        </is>
      </c>
      <c r="F2997" s="56" t="n"/>
      <c r="G2997" s="66">
        <f>G2996 + G2995</f>
        <v/>
      </c>
    </row>
    <row r="2998" ht="10" customHeight="1">
      <c r="A2998" s="2" t="inlineStr"/>
      <c r="B2998" s="2" t="inlineStr"/>
      <c r="C2998" s="2" t="inlineStr"/>
      <c r="D2998" s="2" t="inlineStr"/>
      <c r="E2998" s="18" t="inlineStr"/>
    </row>
    <row r="2999" ht="20" customHeight="1">
      <c r="A2999" s="19" t="inlineStr">
        <is>
          <t>9.2.5.1. ​385 PRÓPRIO​ DISPOSITIVO DE PROTEÇÃO CONTRA SURTO (DPS) - TENSÃO 175V - CORRENTE20KA​ (UN)</t>
        </is>
      </c>
      <c r="B2999" s="55" t="n"/>
      <c r="C2999" s="55" t="n"/>
      <c r="D2999" s="55" t="n"/>
      <c r="E2999" s="55" t="n"/>
      <c r="F2999" s="55" t="n"/>
      <c r="G2999" s="56" t="n"/>
    </row>
    <row r="3000" ht="15" customHeight="1">
      <c r="A3000" s="20" t="inlineStr">
        <is>
          <t>Material</t>
        </is>
      </c>
      <c r="B3000" s="56" t="n"/>
      <c r="C3000" s="21" t="inlineStr">
        <is>
          <t>FONTE</t>
        </is>
      </c>
      <c r="D3000" s="21" t="inlineStr">
        <is>
          <t>UNID</t>
        </is>
      </c>
      <c r="E3000" s="21" t="inlineStr">
        <is>
          <t>COEFICIENTE</t>
        </is>
      </c>
      <c r="F3000" s="21" t="inlineStr">
        <is>
          <t>PREÇO UNITÁRIO</t>
        </is>
      </c>
      <c r="G3000" s="21" t="inlineStr">
        <is>
          <t>TOTAL</t>
        </is>
      </c>
    </row>
    <row r="3001" ht="21" customHeight="1">
      <c r="A3001" s="22" t="inlineStr">
        <is>
          <t>00039465</t>
        </is>
      </c>
      <c r="B3001" s="23" t="inlineStr">
        <is>
          <t>DISPOSITIVO DPS CLASSE II, 1 POLO, TENSAO MAXIMA DE 175 V, CORRENTE MAXIMA DE *20* KA (TIPO AC)</t>
        </is>
      </c>
      <c r="C3001" s="22" t="inlineStr">
        <is>
          <t>SINAPI</t>
        </is>
      </c>
      <c r="D3001" s="22" t="inlineStr">
        <is>
          <t>UN</t>
        </is>
      </c>
      <c r="E3001" s="63" t="n">
        <v>1</v>
      </c>
      <c r="F3001" s="64">
        <f>ROUND(M3001*FATOR, 2)</f>
        <v/>
      </c>
      <c r="G3001" s="64">
        <f>ROUND(ROUND(E3001,8)*F3001,2)</f>
        <v/>
      </c>
      <c r="L3001" t="n">
        <v>1</v>
      </c>
      <c r="M3001" t="n">
        <v>69.33</v>
      </c>
      <c r="N3001">
        <f>(M3001-F3001)</f>
        <v/>
      </c>
    </row>
    <row r="3002" ht="15" customHeight="1">
      <c r="A3002" s="2" t="inlineStr"/>
      <c r="B3002" s="2" t="inlineStr"/>
      <c r="C3002" s="2" t="inlineStr"/>
      <c r="D3002" s="2" t="inlineStr"/>
      <c r="E3002" s="26" t="inlineStr">
        <is>
          <t>TOTAL Material:</t>
        </is>
      </c>
      <c r="F3002" s="56" t="n"/>
      <c r="G3002" s="65">
        <f>SUM(G3001:G3001)</f>
        <v/>
      </c>
    </row>
    <row r="3003" ht="15" customHeight="1">
      <c r="A3003" s="20" t="inlineStr">
        <is>
          <t>Mão de Obra com Encargos Complementares</t>
        </is>
      </c>
      <c r="B3003" s="56" t="n"/>
      <c r="C3003" s="21" t="inlineStr">
        <is>
          <t>FONTE</t>
        </is>
      </c>
      <c r="D3003" s="21" t="inlineStr">
        <is>
          <t>UNID</t>
        </is>
      </c>
      <c r="E3003" s="21" t="inlineStr">
        <is>
          <t>COEFICIENTE</t>
        </is>
      </c>
      <c r="F3003" s="21" t="inlineStr">
        <is>
          <t>PREÇO UNITÁRIO</t>
        </is>
      </c>
      <c r="G3003" s="21" t="inlineStr">
        <is>
          <t>TOTAL</t>
        </is>
      </c>
    </row>
    <row r="3004" ht="15" customHeight="1">
      <c r="A3004" s="22" t="inlineStr">
        <is>
          <t>88264</t>
        </is>
      </c>
      <c r="B3004" s="23" t="inlineStr">
        <is>
          <t>ELETRICISTA COM ENCARGOS COMPLEMENTARES</t>
        </is>
      </c>
      <c r="C3004" s="22" t="inlineStr">
        <is>
          <t>SINAPI</t>
        </is>
      </c>
      <c r="D3004" s="22" t="inlineStr">
        <is>
          <t>H</t>
        </is>
      </c>
      <c r="E3004" s="63">
        <f>L3004*FATOR</f>
        <v/>
      </c>
      <c r="F3004" s="64">
        <f>'COMPOSICOES AUXILIARES'!G505</f>
        <v/>
      </c>
      <c r="G3004" s="64">
        <f>ROUND(ROUND(E3004,8)*F3004,2)</f>
        <v/>
      </c>
      <c r="L3004" t="n">
        <v>0.3</v>
      </c>
      <c r="M3004" t="n">
        <v>30.96</v>
      </c>
      <c r="N3004">
        <f>(M3004-F3004)</f>
        <v/>
      </c>
    </row>
    <row r="3005" ht="15" customHeight="1">
      <c r="A3005" s="22" t="inlineStr">
        <is>
          <t>88316</t>
        </is>
      </c>
      <c r="B3005" s="23" t="inlineStr">
        <is>
          <t>SERVENTE COM ENCARGOS COMPLEMENTARES</t>
        </is>
      </c>
      <c r="C3005" s="22" t="inlineStr">
        <is>
          <t>SINAPI</t>
        </is>
      </c>
      <c r="D3005" s="22" t="inlineStr">
        <is>
          <t>H</t>
        </is>
      </c>
      <c r="E3005" s="63">
        <f>L3005*FATOR</f>
        <v/>
      </c>
      <c r="F3005" s="64">
        <f>'COMPOSICOES AUXILIARES'!G3390</f>
        <v/>
      </c>
      <c r="G3005" s="64">
        <f>ROUND(ROUND(E3005,8)*F3005,2)</f>
        <v/>
      </c>
      <c r="L3005" t="n">
        <v>0.3</v>
      </c>
      <c r="M3005" t="n">
        <v>23.56</v>
      </c>
      <c r="N3005">
        <f>(M3005-F3005)</f>
        <v/>
      </c>
    </row>
    <row r="3006" ht="18" customHeight="1">
      <c r="A3006" s="2" t="inlineStr"/>
      <c r="B3006" s="2" t="inlineStr"/>
      <c r="C3006" s="2" t="inlineStr"/>
      <c r="D3006" s="2" t="inlineStr"/>
      <c r="E3006" s="26" t="inlineStr">
        <is>
          <t>TOTAL Mão de Obra com Encargos Complementares:</t>
        </is>
      </c>
      <c r="F3006" s="56" t="n"/>
      <c r="G3006" s="65">
        <f>SUM(G3004:G3005)</f>
        <v/>
      </c>
    </row>
    <row r="3007" ht="15" customHeight="1">
      <c r="A3007" s="2" t="inlineStr"/>
      <c r="B3007" s="2" t="inlineStr"/>
      <c r="C3007" s="2" t="inlineStr"/>
      <c r="D3007" s="2" t="inlineStr"/>
      <c r="E3007" s="28" t="inlineStr">
        <is>
          <t>VALOR:</t>
        </is>
      </c>
      <c r="F3007" s="56" t="n"/>
      <c r="G3007" s="66">
        <f>SUM(G3002,G3006)</f>
        <v/>
      </c>
    </row>
    <row r="3008" ht="15" customHeight="1">
      <c r="A3008" s="2" t="inlineStr"/>
      <c r="B3008" s="2" t="inlineStr"/>
      <c r="C3008" s="2" t="inlineStr"/>
      <c r="D3008" s="2" t="inlineStr"/>
      <c r="E3008" s="28" t="inlineStr">
        <is>
          <t>VALOR BDI (23.08%):</t>
        </is>
      </c>
      <c r="F3008" s="56" t="n"/>
      <c r="G3008" s="66">
        <f>ROUNDDOWN(G3007*BDI,2)</f>
        <v/>
      </c>
    </row>
    <row r="3009" ht="15" customHeight="1">
      <c r="A3009" s="2" t="inlineStr"/>
      <c r="B3009" s="2" t="inlineStr"/>
      <c r="C3009" s="2" t="inlineStr"/>
      <c r="D3009" s="2" t="inlineStr"/>
      <c r="E3009" s="28" t="inlineStr">
        <is>
          <t>VALOR COM BDI:</t>
        </is>
      </c>
      <c r="F3009" s="56" t="n"/>
      <c r="G3009" s="66">
        <f>G3008 + G3007</f>
        <v/>
      </c>
    </row>
    <row r="3010" ht="10" customHeight="1">
      <c r="A3010" s="2" t="inlineStr"/>
      <c r="B3010" s="2" t="inlineStr"/>
      <c r="C3010" s="2" t="inlineStr"/>
      <c r="D3010" s="2" t="inlineStr"/>
      <c r="E3010" s="18" t="inlineStr"/>
    </row>
    <row r="3011" ht="20" customHeight="1">
      <c r="A3011" s="19" t="inlineStr">
        <is>
          <t>9.3.1.1. ​91854​ ELETRODUTO FLEXÍVEL CORRUGADO,PVC, DN 25 MM (3/4"), PARA CIRCUITOS TERMINAIS, INSTALADO EM PAREDE - FORNECIMENTO E INSTALAÇÃO.AF_03/2023​ (M)</t>
        </is>
      </c>
      <c r="B3011" s="55" t="n"/>
      <c r="C3011" s="55" t="n"/>
      <c r="D3011" s="55" t="n"/>
      <c r="E3011" s="55" t="n"/>
      <c r="F3011" s="55" t="n"/>
      <c r="G3011" s="56" t="n"/>
    </row>
    <row r="3012" ht="15" customHeight="1">
      <c r="A3012" s="20" t="inlineStr">
        <is>
          <t>Material</t>
        </is>
      </c>
      <c r="B3012" s="56" t="n"/>
      <c r="C3012" s="21" t="inlineStr">
        <is>
          <t>FONTE</t>
        </is>
      </c>
      <c r="D3012" s="21" t="inlineStr">
        <is>
          <t>UNID</t>
        </is>
      </c>
      <c r="E3012" s="21" t="inlineStr">
        <is>
          <t>COEFICIENTE</t>
        </is>
      </c>
      <c r="F3012" s="21" t="inlineStr">
        <is>
          <t>PREÇO UNITÁRIO</t>
        </is>
      </c>
      <c r="G3012" s="21" t="inlineStr">
        <is>
          <t>TOTAL</t>
        </is>
      </c>
    </row>
    <row r="3013" ht="21" customHeight="1">
      <c r="A3013" s="22" t="inlineStr">
        <is>
          <t>00002688</t>
        </is>
      </c>
      <c r="B3013" s="23" t="inlineStr">
        <is>
          <t>ELETRODUTO PVC FLEXIVEL CORRUGADO, COR AMARELA, DE 25 MM</t>
        </is>
      </c>
      <c r="C3013" s="22" t="inlineStr">
        <is>
          <t>SINAPI</t>
        </is>
      </c>
      <c r="D3013" s="22" t="inlineStr">
        <is>
          <t>M</t>
        </is>
      </c>
      <c r="E3013" s="63" t="n">
        <v>1.017</v>
      </c>
      <c r="F3013" s="64">
        <f>ROUND(M3013*FATOR, 2)</f>
        <v/>
      </c>
      <c r="G3013" s="64">
        <f>TRUNC(TRUNC(E3013,8)*F3013,2)</f>
        <v/>
      </c>
      <c r="L3013" t="n">
        <v>1.017</v>
      </c>
      <c r="M3013" t="n">
        <v>2.47</v>
      </c>
      <c r="N3013">
        <f>(M3013-F3013)</f>
        <v/>
      </c>
    </row>
    <row r="3014" ht="15" customHeight="1">
      <c r="A3014" s="2" t="inlineStr"/>
      <c r="B3014" s="2" t="inlineStr"/>
      <c r="C3014" s="2" t="inlineStr"/>
      <c r="D3014" s="2" t="inlineStr"/>
      <c r="E3014" s="26" t="inlineStr">
        <is>
          <t>TOTAL Material:</t>
        </is>
      </c>
      <c r="F3014" s="56" t="n"/>
      <c r="G3014" s="65">
        <f>SUM(G3013:G3013)</f>
        <v/>
      </c>
    </row>
    <row r="3015" ht="15" customHeight="1">
      <c r="A3015" s="20" t="inlineStr">
        <is>
          <t>Mão de Obra com Encargos Complementares</t>
        </is>
      </c>
      <c r="B3015" s="56" t="n"/>
      <c r="C3015" s="21" t="inlineStr">
        <is>
          <t>FONTE</t>
        </is>
      </c>
      <c r="D3015" s="21" t="inlineStr">
        <is>
          <t>UNID</t>
        </is>
      </c>
      <c r="E3015" s="21" t="inlineStr">
        <is>
          <t>COEFICIENTE</t>
        </is>
      </c>
      <c r="F3015" s="21" t="inlineStr">
        <is>
          <t>PREÇO UNITÁRIO</t>
        </is>
      </c>
      <c r="G3015" s="21" t="inlineStr">
        <is>
          <t>TOTAL</t>
        </is>
      </c>
    </row>
    <row r="3016" ht="21" customHeight="1">
      <c r="A3016" s="22" t="inlineStr">
        <is>
          <t>88247</t>
        </is>
      </c>
      <c r="B3016" s="23" t="inlineStr">
        <is>
          <t>AUXILIAR DE ELETRICISTA COM ENCARGOS COMPLEMENTARES</t>
        </is>
      </c>
      <c r="C3016" s="22" t="inlineStr">
        <is>
          <t>SINAPI</t>
        </is>
      </c>
      <c r="D3016" s="22" t="inlineStr">
        <is>
          <t>H</t>
        </is>
      </c>
      <c r="E3016" s="63">
        <f>L3016*FATOR</f>
        <v/>
      </c>
      <c r="F3016" s="64">
        <f>'COMPOSICOES AUXILIARES'!G505</f>
        <v/>
      </c>
      <c r="G3016" s="64">
        <f>TRUNC(TRUNC(E3016,8)*F3016,2)</f>
        <v/>
      </c>
      <c r="L3016" t="n">
        <v>0.134</v>
      </c>
      <c r="M3016" t="n">
        <v>25.22</v>
      </c>
      <c r="N3016">
        <f>(M3016-F3016)</f>
        <v/>
      </c>
    </row>
    <row r="3017" ht="15" customHeight="1">
      <c r="A3017" s="22" t="inlineStr">
        <is>
          <t>88264</t>
        </is>
      </c>
      <c r="B3017" s="23" t="inlineStr">
        <is>
          <t>ELETRICISTA COM ENCARGOS COMPLEMENTARES</t>
        </is>
      </c>
      <c r="C3017" s="22" t="inlineStr">
        <is>
          <t>SINAPI</t>
        </is>
      </c>
      <c r="D3017" s="22" t="inlineStr">
        <is>
          <t>H</t>
        </is>
      </c>
      <c r="E3017" s="63">
        <f>L3017*FATOR</f>
        <v/>
      </c>
      <c r="F3017" s="64">
        <f>'COMPOSICOES AUXILIARES'!G505</f>
        <v/>
      </c>
      <c r="G3017" s="64">
        <f>TRUNC(TRUNC(E3017,8)*F3017,2)</f>
        <v/>
      </c>
      <c r="L3017" t="n">
        <v>0.134</v>
      </c>
      <c r="M3017" t="n">
        <v>30.96</v>
      </c>
      <c r="N3017">
        <f>(M3017-F3017)</f>
        <v/>
      </c>
    </row>
    <row r="3018" ht="18" customHeight="1">
      <c r="A3018" s="2" t="inlineStr"/>
      <c r="B3018" s="2" t="inlineStr"/>
      <c r="C3018" s="2" t="inlineStr"/>
      <c r="D3018" s="2" t="inlineStr"/>
      <c r="E3018" s="26" t="inlineStr">
        <is>
          <t>TOTAL Mão de Obra com Encargos Complementares:</t>
        </is>
      </c>
      <c r="F3018" s="56" t="n"/>
      <c r="G3018" s="65">
        <f>SUM(G3016:G3017)</f>
        <v/>
      </c>
    </row>
    <row r="3019" ht="15" customHeight="1">
      <c r="A3019" s="2" t="inlineStr"/>
      <c r="B3019" s="2" t="inlineStr"/>
      <c r="C3019" s="2" t="inlineStr"/>
      <c r="D3019" s="2" t="inlineStr"/>
      <c r="E3019" s="28" t="inlineStr">
        <is>
          <t>VALOR:</t>
        </is>
      </c>
      <c r="F3019" s="56" t="n"/>
      <c r="G3019" s="66">
        <f>SUM(G3018,G3014)</f>
        <v/>
      </c>
    </row>
    <row r="3020" ht="15" customHeight="1">
      <c r="A3020" s="2" t="inlineStr"/>
      <c r="B3020" s="2" t="inlineStr"/>
      <c r="C3020" s="2" t="inlineStr"/>
      <c r="D3020" s="2" t="inlineStr"/>
      <c r="E3020" s="28" t="inlineStr">
        <is>
          <t>VALOR BDI (23.08%):</t>
        </is>
      </c>
      <c r="F3020" s="56" t="n"/>
      <c r="G3020" s="66">
        <f>ROUNDDOWN(G3019*BDI,2)</f>
        <v/>
      </c>
    </row>
    <row r="3021" ht="15" customHeight="1">
      <c r="A3021" s="2" t="inlineStr"/>
      <c r="B3021" s="2" t="inlineStr"/>
      <c r="C3021" s="2" t="inlineStr"/>
      <c r="D3021" s="2" t="inlineStr"/>
      <c r="E3021" s="28" t="inlineStr">
        <is>
          <t>VALOR COM BDI:</t>
        </is>
      </c>
      <c r="F3021" s="56" t="n"/>
      <c r="G3021" s="66">
        <f>G3020 + G3019</f>
        <v/>
      </c>
    </row>
    <row r="3022" ht="10" customHeight="1">
      <c r="A3022" s="2" t="inlineStr"/>
      <c r="B3022" s="2" t="inlineStr"/>
      <c r="C3022" s="2" t="inlineStr"/>
      <c r="D3022" s="2" t="inlineStr"/>
      <c r="E3022" s="18" t="inlineStr"/>
    </row>
    <row r="3023" ht="20" customHeight="1">
      <c r="A3023" s="19" t="inlineStr">
        <is>
          <t>9.3.1.2. ​91856​ ELETRODUTO FLEXÍVEL CORRUGADO, PVC, DN 32 MM (1"), PARA CIRCUITOS TERMINAIS, INSTALADO EM PAREDE - FORNECIMENTO E INSTALAÇÃO.AF_03/2023​ (M)</t>
        </is>
      </c>
      <c r="B3023" s="55" t="n"/>
      <c r="C3023" s="55" t="n"/>
      <c r="D3023" s="55" t="n"/>
      <c r="E3023" s="55" t="n"/>
      <c r="F3023" s="55" t="n"/>
      <c r="G3023" s="56" t="n"/>
    </row>
    <row r="3024" ht="15" customHeight="1">
      <c r="A3024" s="20" t="inlineStr">
        <is>
          <t>Material</t>
        </is>
      </c>
      <c r="B3024" s="56" t="n"/>
      <c r="C3024" s="21" t="inlineStr">
        <is>
          <t>FONTE</t>
        </is>
      </c>
      <c r="D3024" s="21" t="inlineStr">
        <is>
          <t>UNID</t>
        </is>
      </c>
      <c r="E3024" s="21" t="inlineStr">
        <is>
          <t>COEFICIENTE</t>
        </is>
      </c>
      <c r="F3024" s="21" t="inlineStr">
        <is>
          <t>PREÇO UNITÁRIO</t>
        </is>
      </c>
      <c r="G3024" s="21" t="inlineStr">
        <is>
          <t>TOTAL</t>
        </is>
      </c>
    </row>
    <row r="3025" ht="21" customHeight="1">
      <c r="A3025" s="22" t="inlineStr">
        <is>
          <t>00002690</t>
        </is>
      </c>
      <c r="B3025" s="23" t="inlineStr">
        <is>
          <t>ELETRODUTO PVC FLEXIVEL CORRUGADO, COR AMARELA, DE 32 MM</t>
        </is>
      </c>
      <c r="C3025" s="22" t="inlineStr">
        <is>
          <t>SINAPI</t>
        </is>
      </c>
      <c r="D3025" s="22" t="inlineStr">
        <is>
          <t>M</t>
        </is>
      </c>
      <c r="E3025" s="63" t="n">
        <v>1.017</v>
      </c>
      <c r="F3025" s="64">
        <f>ROUND(M3025*FATOR, 2)</f>
        <v/>
      </c>
      <c r="G3025" s="64">
        <f>TRUNC(TRUNC(E3025,8)*F3025,2)</f>
        <v/>
      </c>
      <c r="L3025" t="n">
        <v>1.017</v>
      </c>
      <c r="M3025" t="n">
        <v>4.22</v>
      </c>
      <c r="N3025">
        <f>(M3025-F3025)</f>
        <v/>
      </c>
    </row>
    <row r="3026" ht="15" customHeight="1">
      <c r="A3026" s="2" t="inlineStr"/>
      <c r="B3026" s="2" t="inlineStr"/>
      <c r="C3026" s="2" t="inlineStr"/>
      <c r="D3026" s="2" t="inlineStr"/>
      <c r="E3026" s="26" t="inlineStr">
        <is>
          <t>TOTAL Material:</t>
        </is>
      </c>
      <c r="F3026" s="56" t="n"/>
      <c r="G3026" s="65">
        <f>SUM(G3025:G3025)</f>
        <v/>
      </c>
    </row>
    <row r="3027" ht="15" customHeight="1">
      <c r="A3027" s="20" t="inlineStr">
        <is>
          <t>Mão de Obra com Encargos Complementares</t>
        </is>
      </c>
      <c r="B3027" s="56" t="n"/>
      <c r="C3027" s="21" t="inlineStr">
        <is>
          <t>FONTE</t>
        </is>
      </c>
      <c r="D3027" s="21" t="inlineStr">
        <is>
          <t>UNID</t>
        </is>
      </c>
      <c r="E3027" s="21" t="inlineStr">
        <is>
          <t>COEFICIENTE</t>
        </is>
      </c>
      <c r="F3027" s="21" t="inlineStr">
        <is>
          <t>PREÇO UNITÁRIO</t>
        </is>
      </c>
      <c r="G3027" s="21" t="inlineStr">
        <is>
          <t>TOTAL</t>
        </is>
      </c>
    </row>
    <row r="3028" ht="21" customHeight="1">
      <c r="A3028" s="22" t="inlineStr">
        <is>
          <t>88247</t>
        </is>
      </c>
      <c r="B3028" s="23" t="inlineStr">
        <is>
          <t>AUXILIAR DE ELETRICISTA COM ENCARGOS COMPLEMENTARES</t>
        </is>
      </c>
      <c r="C3028" s="22" t="inlineStr">
        <is>
          <t>SINAPI</t>
        </is>
      </c>
      <c r="D3028" s="22" t="inlineStr">
        <is>
          <t>H</t>
        </is>
      </c>
      <c r="E3028" s="63">
        <f>L3028*FATOR</f>
        <v/>
      </c>
      <c r="F3028" s="64">
        <f>'COMPOSICOES AUXILIARES'!G505</f>
        <v/>
      </c>
      <c r="G3028" s="64">
        <f>TRUNC(TRUNC(E3028,8)*F3028,2)</f>
        <v/>
      </c>
      <c r="L3028" t="n">
        <v>0.149</v>
      </c>
      <c r="M3028" t="n">
        <v>25.22</v>
      </c>
      <c r="N3028">
        <f>(M3028-F3028)</f>
        <v/>
      </c>
    </row>
    <row r="3029" ht="15" customHeight="1">
      <c r="A3029" s="22" t="inlineStr">
        <is>
          <t>88264</t>
        </is>
      </c>
      <c r="B3029" s="23" t="inlineStr">
        <is>
          <t>ELETRICISTA COM ENCARGOS COMPLEMENTARES</t>
        </is>
      </c>
      <c r="C3029" s="22" t="inlineStr">
        <is>
          <t>SINAPI</t>
        </is>
      </c>
      <c r="D3029" s="22" t="inlineStr">
        <is>
          <t>H</t>
        </is>
      </c>
      <c r="E3029" s="63">
        <f>L3029*FATOR</f>
        <v/>
      </c>
      <c r="F3029" s="64">
        <f>'COMPOSICOES AUXILIARES'!G505</f>
        <v/>
      </c>
      <c r="G3029" s="64">
        <f>TRUNC(TRUNC(E3029,8)*F3029,2)</f>
        <v/>
      </c>
      <c r="L3029" t="n">
        <v>0.149</v>
      </c>
      <c r="M3029" t="n">
        <v>30.96</v>
      </c>
      <c r="N3029">
        <f>(M3029-F3029)</f>
        <v/>
      </c>
    </row>
    <row r="3030" ht="18" customHeight="1">
      <c r="A3030" s="2" t="inlineStr"/>
      <c r="B3030" s="2" t="inlineStr"/>
      <c r="C3030" s="2" t="inlineStr"/>
      <c r="D3030" s="2" t="inlineStr"/>
      <c r="E3030" s="26" t="inlineStr">
        <is>
          <t>TOTAL Mão de Obra com Encargos Complementares:</t>
        </is>
      </c>
      <c r="F3030" s="56" t="n"/>
      <c r="G3030" s="65">
        <f>SUM(G3028:G3029)</f>
        <v/>
      </c>
    </row>
    <row r="3031" ht="15" customHeight="1">
      <c r="A3031" s="2" t="inlineStr"/>
      <c r="B3031" s="2" t="inlineStr"/>
      <c r="C3031" s="2" t="inlineStr"/>
      <c r="D3031" s="2" t="inlineStr"/>
      <c r="E3031" s="28" t="inlineStr">
        <is>
          <t>VALOR:</t>
        </is>
      </c>
      <c r="F3031" s="56" t="n"/>
      <c r="G3031" s="66">
        <f>SUM(G3026,G3030)</f>
        <v/>
      </c>
    </row>
    <row r="3032" ht="15" customHeight="1">
      <c r="A3032" s="2" t="inlineStr"/>
      <c r="B3032" s="2" t="inlineStr"/>
      <c r="C3032" s="2" t="inlineStr"/>
      <c r="D3032" s="2" t="inlineStr"/>
      <c r="E3032" s="28" t="inlineStr">
        <is>
          <t>VALOR BDI (23.08%):</t>
        </is>
      </c>
      <c r="F3032" s="56" t="n"/>
      <c r="G3032" s="66">
        <f>ROUNDDOWN(G3031*BDI,2)</f>
        <v/>
      </c>
    </row>
    <row r="3033" ht="15" customHeight="1">
      <c r="A3033" s="2" t="inlineStr"/>
      <c r="B3033" s="2" t="inlineStr"/>
      <c r="C3033" s="2" t="inlineStr"/>
      <c r="D3033" s="2" t="inlineStr"/>
      <c r="E3033" s="28" t="inlineStr">
        <is>
          <t>VALOR COM BDI:</t>
        </is>
      </c>
      <c r="F3033" s="56" t="n"/>
      <c r="G3033" s="66">
        <f>G3032 + G3031</f>
        <v/>
      </c>
    </row>
    <row r="3034" ht="10" customHeight="1">
      <c r="A3034" s="2" t="inlineStr"/>
      <c r="B3034" s="2" t="inlineStr"/>
      <c r="C3034" s="2" t="inlineStr"/>
      <c r="D3034" s="2" t="inlineStr"/>
      <c r="E3034" s="18" t="inlineStr"/>
    </row>
    <row r="3035" ht="20" customHeight="1">
      <c r="A3035" s="19" t="inlineStr">
        <is>
          <t>9.3.1.3. ​91860​ ELETRODUTO FLEXÍVEL CORRUGADO, PEAD, DN 40 MM (1 1/4"), PARA CIRCUITOS TERMINAIS, INSTALADO EM PAREDE - FORNECIMENTO E INSTALAÇÃO.AF_03/2023​ (M)</t>
        </is>
      </c>
      <c r="B3035" s="55" t="n"/>
      <c r="C3035" s="55" t="n"/>
      <c r="D3035" s="55" t="n"/>
      <c r="E3035" s="55" t="n"/>
      <c r="F3035" s="55" t="n"/>
      <c r="G3035" s="56" t="n"/>
    </row>
    <row r="3036" ht="15" customHeight="1">
      <c r="A3036" s="20" t="inlineStr">
        <is>
          <t>Material</t>
        </is>
      </c>
      <c r="B3036" s="56" t="n"/>
      <c r="C3036" s="21" t="inlineStr">
        <is>
          <t>FONTE</t>
        </is>
      </c>
      <c r="D3036" s="21" t="inlineStr">
        <is>
          <t>UNID</t>
        </is>
      </c>
      <c r="E3036" s="21" t="inlineStr">
        <is>
          <t>COEFICIENTE</t>
        </is>
      </c>
      <c r="F3036" s="21" t="inlineStr">
        <is>
          <t>PREÇO UNITÁRIO</t>
        </is>
      </c>
      <c r="G3036" s="21" t="inlineStr">
        <is>
          <t>TOTAL</t>
        </is>
      </c>
    </row>
    <row r="3037" ht="38" customHeight="1">
      <c r="A3037" s="22" t="inlineStr">
        <is>
          <t>00039247</t>
        </is>
      </c>
      <c r="B3037" s="23" t="inlineStr">
        <is>
          <t>ELETRODUTO/DUTO PEAD FLEXIVEL PAREDE SIMPLES, CORRUGACAO HELICOIDAL, COR PRETA, SEM ROSCA, DE 1 1/4", CRC 680 N, PARA CABEAMENTO SUBTERRANEO (NBR 15715)</t>
        </is>
      </c>
      <c r="C3037" s="22" t="inlineStr">
        <is>
          <t>SINAPI</t>
        </is>
      </c>
      <c r="D3037" s="22" t="inlineStr">
        <is>
          <t>M</t>
        </is>
      </c>
      <c r="E3037" s="63" t="n">
        <v>1.017</v>
      </c>
      <c r="F3037" s="64">
        <f>ROUND(M3037*FATOR, 2)</f>
        <v/>
      </c>
      <c r="G3037" s="64">
        <f>TRUNC(TRUNC(E3037,8)*F3037,2)</f>
        <v/>
      </c>
      <c r="L3037" t="n">
        <v>1.017</v>
      </c>
      <c r="M3037" t="n">
        <v>3.76</v>
      </c>
      <c r="N3037">
        <f>(M3037-F3037)</f>
        <v/>
      </c>
    </row>
    <row r="3038" ht="15" customHeight="1">
      <c r="A3038" s="2" t="inlineStr"/>
      <c r="B3038" s="2" t="inlineStr"/>
      <c r="C3038" s="2" t="inlineStr"/>
      <c r="D3038" s="2" t="inlineStr"/>
      <c r="E3038" s="26" t="inlineStr">
        <is>
          <t>TOTAL Material:</t>
        </is>
      </c>
      <c r="F3038" s="56" t="n"/>
      <c r="G3038" s="65">
        <f>SUM(G3037:G3037)</f>
        <v/>
      </c>
    </row>
    <row r="3039" ht="15" customHeight="1">
      <c r="A3039" s="20" t="inlineStr">
        <is>
          <t>Mão de Obra com Encargos Complementares</t>
        </is>
      </c>
      <c r="B3039" s="56" t="n"/>
      <c r="C3039" s="21" t="inlineStr">
        <is>
          <t>FONTE</t>
        </is>
      </c>
      <c r="D3039" s="21" t="inlineStr">
        <is>
          <t>UNID</t>
        </is>
      </c>
      <c r="E3039" s="21" t="inlineStr">
        <is>
          <t>COEFICIENTE</t>
        </is>
      </c>
      <c r="F3039" s="21" t="inlineStr">
        <is>
          <t>PREÇO UNITÁRIO</t>
        </is>
      </c>
      <c r="G3039" s="21" t="inlineStr">
        <is>
          <t>TOTAL</t>
        </is>
      </c>
    </row>
    <row r="3040" ht="21" customHeight="1">
      <c r="A3040" s="22" t="inlineStr">
        <is>
          <t>88247</t>
        </is>
      </c>
      <c r="B3040" s="23" t="inlineStr">
        <is>
          <t>AUXILIAR DE ELETRICISTA COM ENCARGOS COMPLEMENTARES</t>
        </is>
      </c>
      <c r="C3040" s="22" t="inlineStr">
        <is>
          <t>SINAPI</t>
        </is>
      </c>
      <c r="D3040" s="22" t="inlineStr">
        <is>
          <t>H</t>
        </is>
      </c>
      <c r="E3040" s="63">
        <f>L3040*FATOR</f>
        <v/>
      </c>
      <c r="F3040" s="64">
        <f>'COMPOSICOES AUXILIARES'!G505</f>
        <v/>
      </c>
      <c r="G3040" s="64">
        <f>TRUNC(TRUNC(E3040,8)*F3040,2)</f>
        <v/>
      </c>
      <c r="L3040" t="n">
        <v>0.166</v>
      </c>
      <c r="M3040" t="n">
        <v>25.22</v>
      </c>
      <c r="N3040">
        <f>(M3040-F3040)</f>
        <v/>
      </c>
    </row>
    <row r="3041" ht="15" customHeight="1">
      <c r="A3041" s="22" t="inlineStr">
        <is>
          <t>88264</t>
        </is>
      </c>
      <c r="B3041" s="23" t="inlineStr">
        <is>
          <t>ELETRICISTA COM ENCARGOS COMPLEMENTARES</t>
        </is>
      </c>
      <c r="C3041" s="22" t="inlineStr">
        <is>
          <t>SINAPI</t>
        </is>
      </c>
      <c r="D3041" s="22" t="inlineStr">
        <is>
          <t>H</t>
        </is>
      </c>
      <c r="E3041" s="63">
        <f>L3041*FATOR</f>
        <v/>
      </c>
      <c r="F3041" s="64">
        <f>'COMPOSICOES AUXILIARES'!G505</f>
        <v/>
      </c>
      <c r="G3041" s="64">
        <f>TRUNC(TRUNC(E3041,8)*F3041,2)</f>
        <v/>
      </c>
      <c r="L3041" t="n">
        <v>0.166</v>
      </c>
      <c r="M3041" t="n">
        <v>30.96</v>
      </c>
      <c r="N3041">
        <f>(M3041-F3041)</f>
        <v/>
      </c>
    </row>
    <row r="3042" ht="18" customHeight="1">
      <c r="A3042" s="2" t="inlineStr"/>
      <c r="B3042" s="2" t="inlineStr"/>
      <c r="C3042" s="2" t="inlineStr"/>
      <c r="D3042" s="2" t="inlineStr"/>
      <c r="E3042" s="26" t="inlineStr">
        <is>
          <t>TOTAL Mão de Obra com Encargos Complementares:</t>
        </is>
      </c>
      <c r="F3042" s="56" t="n"/>
      <c r="G3042" s="65">
        <f>SUM(G3040:G3041)</f>
        <v/>
      </c>
    </row>
    <row r="3043" ht="15" customHeight="1">
      <c r="A3043" s="2" t="inlineStr"/>
      <c r="B3043" s="2" t="inlineStr"/>
      <c r="C3043" s="2" t="inlineStr"/>
      <c r="D3043" s="2" t="inlineStr"/>
      <c r="E3043" s="28" t="inlineStr">
        <is>
          <t>VALOR:</t>
        </is>
      </c>
      <c r="F3043" s="56" t="n"/>
      <c r="G3043" s="66">
        <f>SUM(G3042,G3038)</f>
        <v/>
      </c>
    </row>
    <row r="3044" ht="15" customHeight="1">
      <c r="A3044" s="2" t="inlineStr"/>
      <c r="B3044" s="2" t="inlineStr"/>
      <c r="C3044" s="2" t="inlineStr"/>
      <c r="D3044" s="2" t="inlineStr"/>
      <c r="E3044" s="28" t="inlineStr">
        <is>
          <t>VALOR BDI (23.08%):</t>
        </is>
      </c>
      <c r="F3044" s="56" t="n"/>
      <c r="G3044" s="66">
        <f>ROUNDDOWN(G3043*BDI,2)</f>
        <v/>
      </c>
    </row>
    <row r="3045" ht="15" customHeight="1">
      <c r="A3045" s="2" t="inlineStr"/>
      <c r="B3045" s="2" t="inlineStr"/>
      <c r="C3045" s="2" t="inlineStr"/>
      <c r="D3045" s="2" t="inlineStr"/>
      <c r="E3045" s="28" t="inlineStr">
        <is>
          <t>VALOR COM BDI:</t>
        </is>
      </c>
      <c r="F3045" s="56" t="n"/>
      <c r="G3045" s="66">
        <f>G3044 + G3043</f>
        <v/>
      </c>
    </row>
    <row r="3046" ht="10" customHeight="1">
      <c r="A3046" s="2" t="inlineStr"/>
      <c r="B3046" s="2" t="inlineStr"/>
      <c r="C3046" s="2" t="inlineStr"/>
      <c r="D3046" s="2" t="inlineStr"/>
      <c r="E3046" s="18" t="inlineStr"/>
    </row>
    <row r="3047" ht="20" customHeight="1">
      <c r="A3047" s="19" t="inlineStr">
        <is>
          <t>9.3.1.4. ​97668​ ELETRODUTO FLEXÍVEL CORRUGADO, PEAD, DN 63 (2"), PARA REDE ENTERRADA DE DISTRIBUIÇÃO DE ENERGIA ELÉTRICA - FORNECIMENTO E INSTALAÇÃO.AF_12/2021​ (M)</t>
        </is>
      </c>
      <c r="B3047" s="55" t="n"/>
      <c r="C3047" s="55" t="n"/>
      <c r="D3047" s="55" t="n"/>
      <c r="E3047" s="55" t="n"/>
      <c r="F3047" s="55" t="n"/>
      <c r="G3047" s="56" t="n"/>
    </row>
    <row r="3048" ht="15" customHeight="1">
      <c r="A3048" s="20" t="inlineStr">
        <is>
          <t>Material</t>
        </is>
      </c>
      <c r="B3048" s="56" t="n"/>
      <c r="C3048" s="21" t="inlineStr">
        <is>
          <t>FONTE</t>
        </is>
      </c>
      <c r="D3048" s="21" t="inlineStr">
        <is>
          <t>UNID</t>
        </is>
      </c>
      <c r="E3048" s="21" t="inlineStr">
        <is>
          <t>COEFICIENTE</t>
        </is>
      </c>
      <c r="F3048" s="21" t="inlineStr">
        <is>
          <t>PREÇO UNITÁRIO</t>
        </is>
      </c>
      <c r="G3048" s="21" t="inlineStr">
        <is>
          <t>TOTAL</t>
        </is>
      </c>
    </row>
    <row r="3049" ht="38" customHeight="1">
      <c r="A3049" s="22" t="inlineStr">
        <is>
          <t>00002446</t>
        </is>
      </c>
      <c r="B3049" s="23" t="inlineStr">
        <is>
          <t>ELETRODUTO/DUTO PEAD FLEXIVEL PAREDE SIMPLES, CORRUGACAO HELICOIDAL, COR PRETA, SEM ROSCA, DE 2", CRC 680 N, PARA CABEAMENTO SUBTERRANEO (NBR 15715)</t>
        </is>
      </c>
      <c r="C3049" s="22" t="inlineStr">
        <is>
          <t>SINAPI</t>
        </is>
      </c>
      <c r="D3049" s="22" t="inlineStr">
        <is>
          <t>M</t>
        </is>
      </c>
      <c r="E3049" s="63" t="n">
        <v>1.1</v>
      </c>
      <c r="F3049" s="64">
        <f>ROUND(M3049*FATOR, 2)</f>
        <v/>
      </c>
      <c r="G3049" s="64">
        <f>TRUNC(TRUNC(E3049,8)*F3049,2)</f>
        <v/>
      </c>
      <c r="L3049" t="n">
        <v>1.1</v>
      </c>
      <c r="M3049" t="n">
        <v>6.19</v>
      </c>
      <c r="N3049">
        <f>(M3049-F3049)</f>
        <v/>
      </c>
    </row>
    <row r="3050" ht="15" customHeight="1">
      <c r="A3050" s="2" t="inlineStr"/>
      <c r="B3050" s="2" t="inlineStr"/>
      <c r="C3050" s="2" t="inlineStr"/>
      <c r="D3050" s="2" t="inlineStr"/>
      <c r="E3050" s="26" t="inlineStr">
        <is>
          <t>TOTAL Material:</t>
        </is>
      </c>
      <c r="F3050" s="56" t="n"/>
      <c r="G3050" s="65">
        <f>SUM(G3049:G3049)</f>
        <v/>
      </c>
    </row>
    <row r="3051" ht="15" customHeight="1">
      <c r="A3051" s="20" t="inlineStr">
        <is>
          <t>Mão de Obra com Encargos Complementares</t>
        </is>
      </c>
      <c r="B3051" s="56" t="n"/>
      <c r="C3051" s="21" t="inlineStr">
        <is>
          <t>FONTE</t>
        </is>
      </c>
      <c r="D3051" s="21" t="inlineStr">
        <is>
          <t>UNID</t>
        </is>
      </c>
      <c r="E3051" s="21" t="inlineStr">
        <is>
          <t>COEFICIENTE</t>
        </is>
      </c>
      <c r="F3051" s="21" t="inlineStr">
        <is>
          <t>PREÇO UNITÁRIO</t>
        </is>
      </c>
      <c r="G3051" s="21" t="inlineStr">
        <is>
          <t>TOTAL</t>
        </is>
      </c>
    </row>
    <row r="3052" ht="21" customHeight="1">
      <c r="A3052" s="22" t="inlineStr">
        <is>
          <t>88247</t>
        </is>
      </c>
      <c r="B3052" s="23" t="inlineStr">
        <is>
          <t>AUXILIAR DE ELETRICISTA COM ENCARGOS COMPLEMENTARES</t>
        </is>
      </c>
      <c r="C3052" s="22" t="inlineStr">
        <is>
          <t>SINAPI</t>
        </is>
      </c>
      <c r="D3052" s="22" t="inlineStr">
        <is>
          <t>H</t>
        </is>
      </c>
      <c r="E3052" s="63">
        <f>L3052*FATOR</f>
        <v/>
      </c>
      <c r="F3052" s="64">
        <f>'COMPOSICOES AUXILIARES'!G505</f>
        <v/>
      </c>
      <c r="G3052" s="64">
        <f>TRUNC(TRUNC(E3052,8)*F3052,2)</f>
        <v/>
      </c>
      <c r="L3052" t="n">
        <v>0.0945</v>
      </c>
      <c r="M3052" t="n">
        <v>25.22</v>
      </c>
      <c r="N3052">
        <f>(M3052-F3052)</f>
        <v/>
      </c>
    </row>
    <row r="3053" ht="15" customHeight="1">
      <c r="A3053" s="22" t="inlineStr">
        <is>
          <t>88264</t>
        </is>
      </c>
      <c r="B3053" s="23" t="inlineStr">
        <is>
          <t>ELETRICISTA COM ENCARGOS COMPLEMENTARES</t>
        </is>
      </c>
      <c r="C3053" s="22" t="inlineStr">
        <is>
          <t>SINAPI</t>
        </is>
      </c>
      <c r="D3053" s="22" t="inlineStr">
        <is>
          <t>H</t>
        </is>
      </c>
      <c r="E3053" s="63">
        <f>L3053*FATOR</f>
        <v/>
      </c>
      <c r="F3053" s="64">
        <f>'COMPOSICOES AUXILIARES'!G505</f>
        <v/>
      </c>
      <c r="G3053" s="64">
        <f>TRUNC(TRUNC(E3053,8)*F3053,2)</f>
        <v/>
      </c>
      <c r="L3053" t="n">
        <v>0.0945</v>
      </c>
      <c r="M3053" t="n">
        <v>30.96</v>
      </c>
      <c r="N3053">
        <f>(M3053-F3053)</f>
        <v/>
      </c>
    </row>
    <row r="3054" ht="18" customHeight="1">
      <c r="A3054" s="2" t="inlineStr"/>
      <c r="B3054" s="2" t="inlineStr"/>
      <c r="C3054" s="2" t="inlineStr"/>
      <c r="D3054" s="2" t="inlineStr"/>
      <c r="E3054" s="26" t="inlineStr">
        <is>
          <t>TOTAL Mão de Obra com Encargos Complementares:</t>
        </is>
      </c>
      <c r="F3054" s="56" t="n"/>
      <c r="G3054" s="65">
        <f>SUM(G3052:G3053)</f>
        <v/>
      </c>
    </row>
    <row r="3055" ht="15" customHeight="1">
      <c r="A3055" s="2" t="inlineStr"/>
      <c r="B3055" s="2" t="inlineStr"/>
      <c r="C3055" s="2" t="inlineStr"/>
      <c r="D3055" s="2" t="inlineStr"/>
      <c r="E3055" s="28" t="inlineStr">
        <is>
          <t>VALOR:</t>
        </is>
      </c>
      <c r="F3055" s="56" t="n"/>
      <c r="G3055" s="66">
        <f>SUM(G3050,G3054)</f>
        <v/>
      </c>
    </row>
    <row r="3056" ht="15" customHeight="1">
      <c r="A3056" s="2" t="inlineStr"/>
      <c r="B3056" s="2" t="inlineStr"/>
      <c r="C3056" s="2" t="inlineStr"/>
      <c r="D3056" s="2" t="inlineStr"/>
      <c r="E3056" s="28" t="inlineStr">
        <is>
          <t>VALOR BDI (23.08%):</t>
        </is>
      </c>
      <c r="F3056" s="56" t="n"/>
      <c r="G3056" s="66">
        <f>ROUNDDOWN(G3055*BDI,2)</f>
        <v/>
      </c>
    </row>
    <row r="3057" ht="15" customHeight="1">
      <c r="A3057" s="2" t="inlineStr"/>
      <c r="B3057" s="2" t="inlineStr"/>
      <c r="C3057" s="2" t="inlineStr"/>
      <c r="D3057" s="2" t="inlineStr"/>
      <c r="E3057" s="28" t="inlineStr">
        <is>
          <t>VALOR COM BDI:</t>
        </is>
      </c>
      <c r="F3057" s="56" t="n"/>
      <c r="G3057" s="66">
        <f>G3056 + G3055</f>
        <v/>
      </c>
    </row>
    <row r="3058" ht="10" customHeight="1">
      <c r="A3058" s="2" t="inlineStr"/>
      <c r="B3058" s="2" t="inlineStr"/>
      <c r="C3058" s="2" t="inlineStr"/>
      <c r="D3058" s="2" t="inlineStr"/>
      <c r="E3058" s="18" t="inlineStr"/>
    </row>
    <row r="3059" ht="20" customHeight="1">
      <c r="A3059" s="19" t="inlineStr">
        <is>
          <t>9.3.2.1. ​463 PRÓPRIO​ LUVA DE PRESSÃO PARA ELETRODUTO FLEXÍVEL CORRUGADO - 25MM (3/4")​ (UN)</t>
        </is>
      </c>
      <c r="B3059" s="55" t="n"/>
      <c r="C3059" s="55" t="n"/>
      <c r="D3059" s="55" t="n"/>
      <c r="E3059" s="55" t="n"/>
      <c r="F3059" s="55" t="n"/>
      <c r="G3059" s="56" t="n"/>
    </row>
    <row r="3060" ht="15" customHeight="1">
      <c r="A3060" s="20" t="inlineStr">
        <is>
          <t>Material</t>
        </is>
      </c>
      <c r="B3060" s="56" t="n"/>
      <c r="C3060" s="21" t="inlineStr">
        <is>
          <t>FONTE</t>
        </is>
      </c>
      <c r="D3060" s="21" t="inlineStr">
        <is>
          <t>UNID</t>
        </is>
      </c>
      <c r="E3060" s="21" t="inlineStr">
        <is>
          <t>COEFICIENTE</t>
        </is>
      </c>
      <c r="F3060" s="21" t="inlineStr">
        <is>
          <t>PREÇO UNITÁRIO</t>
        </is>
      </c>
      <c r="G3060" s="21" t="inlineStr">
        <is>
          <t>TOTAL</t>
        </is>
      </c>
    </row>
    <row r="3061" ht="21" customHeight="1">
      <c r="A3061" s="22" t="inlineStr">
        <is>
          <t>00001899</t>
        </is>
      </c>
      <c r="B3061" s="23" t="inlineStr">
        <is>
          <t>LUVA DE PRESSAO, EM PVC, DE 25 MM, PARA ELETRODUTO FLEXIVEL</t>
        </is>
      </c>
      <c r="C3061" s="22" t="inlineStr">
        <is>
          <t>SINAPI</t>
        </is>
      </c>
      <c r="D3061" s="22" t="inlineStr">
        <is>
          <t>UN</t>
        </is>
      </c>
      <c r="E3061" s="63" t="n">
        <v>1</v>
      </c>
      <c r="F3061" s="64">
        <f>ROUND(M3061*FATOR, 2)</f>
        <v/>
      </c>
      <c r="G3061" s="64">
        <f>ROUND(ROUND(E3061,8)*F3061,2)</f>
        <v/>
      </c>
      <c r="L3061" t="n">
        <v>1</v>
      </c>
      <c r="M3061" t="n">
        <v>0.8</v>
      </c>
      <c r="N3061">
        <f>(M3061-F3061)</f>
        <v/>
      </c>
    </row>
    <row r="3062" ht="15" customHeight="1">
      <c r="A3062" s="2" t="inlineStr"/>
      <c r="B3062" s="2" t="inlineStr"/>
      <c r="C3062" s="2" t="inlineStr"/>
      <c r="D3062" s="2" t="inlineStr"/>
      <c r="E3062" s="26" t="inlineStr">
        <is>
          <t>TOTAL Material:</t>
        </is>
      </c>
      <c r="F3062" s="56" t="n"/>
      <c r="G3062" s="65">
        <f>SUM(G3061:G3061)</f>
        <v/>
      </c>
    </row>
    <row r="3063" ht="15" customHeight="1">
      <c r="A3063" s="20" t="inlineStr">
        <is>
          <t>Mão de Obra com Encargos Complementares</t>
        </is>
      </c>
      <c r="B3063" s="56" t="n"/>
      <c r="C3063" s="21" t="inlineStr">
        <is>
          <t>FONTE</t>
        </is>
      </c>
      <c r="D3063" s="21" t="inlineStr">
        <is>
          <t>UNID</t>
        </is>
      </c>
      <c r="E3063" s="21" t="inlineStr">
        <is>
          <t>COEFICIENTE</t>
        </is>
      </c>
      <c r="F3063" s="21" t="inlineStr">
        <is>
          <t>PREÇO UNITÁRIO</t>
        </is>
      </c>
      <c r="G3063" s="21" t="inlineStr">
        <is>
          <t>TOTAL</t>
        </is>
      </c>
    </row>
    <row r="3064" ht="21" customHeight="1">
      <c r="A3064" s="22" t="inlineStr">
        <is>
          <t>88243</t>
        </is>
      </c>
      <c r="B3064" s="23" t="inlineStr">
        <is>
          <t>AJUDANTE ESPECIALIZADO COM ENCARGOS COMPLEMENTARES</t>
        </is>
      </c>
      <c r="C3064" s="22" t="inlineStr">
        <is>
          <t>SINAPI</t>
        </is>
      </c>
      <c r="D3064" s="22" t="inlineStr">
        <is>
          <t>H</t>
        </is>
      </c>
      <c r="E3064" s="63">
        <f>L3064*FATOR</f>
        <v/>
      </c>
      <c r="F3064" s="64">
        <f>'COMPOSICOES AUXILIARES'!G106</f>
        <v/>
      </c>
      <c r="G3064" s="64">
        <f>ROUND(ROUND(E3064,8)*F3064,2)</f>
        <v/>
      </c>
      <c r="L3064" t="n">
        <v>0.05</v>
      </c>
      <c r="M3064" t="n">
        <v>23.76</v>
      </c>
      <c r="N3064">
        <f>(M3064-F3064)</f>
        <v/>
      </c>
    </row>
    <row r="3065" ht="15" customHeight="1">
      <c r="A3065" s="22" t="inlineStr">
        <is>
          <t>88264</t>
        </is>
      </c>
      <c r="B3065" s="23" t="inlineStr">
        <is>
          <t>ELETRICISTA COM ENCARGOS COMPLEMENTARES</t>
        </is>
      </c>
      <c r="C3065" s="22" t="inlineStr">
        <is>
          <t>SINAPI</t>
        </is>
      </c>
      <c r="D3065" s="22" t="inlineStr">
        <is>
          <t>H</t>
        </is>
      </c>
      <c r="E3065" s="63">
        <f>L3065*FATOR</f>
        <v/>
      </c>
      <c r="F3065" s="64">
        <f>'COMPOSICOES AUXILIARES'!G505</f>
        <v/>
      </c>
      <c r="G3065" s="64">
        <f>ROUND(ROUND(E3065,8)*F3065,2)</f>
        <v/>
      </c>
      <c r="L3065" t="n">
        <v>0.05</v>
      </c>
      <c r="M3065" t="n">
        <v>30.96</v>
      </c>
      <c r="N3065">
        <f>(M3065-F3065)</f>
        <v/>
      </c>
    </row>
    <row r="3066" ht="18" customHeight="1">
      <c r="A3066" s="2" t="inlineStr"/>
      <c r="B3066" s="2" t="inlineStr"/>
      <c r="C3066" s="2" t="inlineStr"/>
      <c r="D3066" s="2" t="inlineStr"/>
      <c r="E3066" s="26" t="inlineStr">
        <is>
          <t>TOTAL Mão de Obra com Encargos Complementares:</t>
        </is>
      </c>
      <c r="F3066" s="56" t="n"/>
      <c r="G3066" s="65">
        <f>SUM(G3064:G3065)</f>
        <v/>
      </c>
    </row>
    <row r="3067" ht="15" customHeight="1">
      <c r="A3067" s="2" t="inlineStr"/>
      <c r="B3067" s="2" t="inlineStr"/>
      <c r="C3067" s="2" t="inlineStr"/>
      <c r="D3067" s="2" t="inlineStr"/>
      <c r="E3067" s="28" t="inlineStr">
        <is>
          <t>VALOR:</t>
        </is>
      </c>
      <c r="F3067" s="56" t="n"/>
      <c r="G3067" s="66">
        <f>SUM(G3066,G3062)</f>
        <v/>
      </c>
    </row>
    <row r="3068" ht="15" customHeight="1">
      <c r="A3068" s="2" t="inlineStr"/>
      <c r="B3068" s="2" t="inlineStr"/>
      <c r="C3068" s="2" t="inlineStr"/>
      <c r="D3068" s="2" t="inlineStr"/>
      <c r="E3068" s="28" t="inlineStr">
        <is>
          <t>VALOR BDI (23.08%):</t>
        </is>
      </c>
      <c r="F3068" s="56" t="n"/>
      <c r="G3068" s="66">
        <f>ROUNDDOWN(G3067*BDI,2)</f>
        <v/>
      </c>
    </row>
    <row r="3069" ht="15" customHeight="1">
      <c r="A3069" s="2" t="inlineStr"/>
      <c r="B3069" s="2" t="inlineStr"/>
      <c r="C3069" s="2" t="inlineStr"/>
      <c r="D3069" s="2" t="inlineStr"/>
      <c r="E3069" s="28" t="inlineStr">
        <is>
          <t>VALOR COM BDI:</t>
        </is>
      </c>
      <c r="F3069" s="56" t="n"/>
      <c r="G3069" s="66">
        <f>G3068 + G3067</f>
        <v/>
      </c>
    </row>
    <row r="3070" ht="10" customHeight="1">
      <c r="A3070" s="2" t="inlineStr"/>
      <c r="B3070" s="2" t="inlineStr"/>
      <c r="C3070" s="2" t="inlineStr"/>
      <c r="D3070" s="2" t="inlineStr"/>
      <c r="E3070" s="18" t="inlineStr"/>
    </row>
    <row r="3071" ht="20" customHeight="1">
      <c r="A3071" s="19" t="inlineStr">
        <is>
          <t>9.4.1.1. ​91870​ ELETRODUTO RÍGIDO ROSCÁVEL, PVC, DN 20 MM (1/2"), PARA CIRCUITOS TERMINAIS, INSTALADO EM PAREDE - FORNECIMENTOE INSTALAÇÃO. AF_03/2023​ (M)</t>
        </is>
      </c>
      <c r="B3071" s="55" t="n"/>
      <c r="C3071" s="55" t="n"/>
      <c r="D3071" s="55" t="n"/>
      <c r="E3071" s="55" t="n"/>
      <c r="F3071" s="55" t="n"/>
      <c r="G3071" s="56" t="n"/>
    </row>
    <row r="3072" ht="15" customHeight="1">
      <c r="A3072" s="20" t="inlineStr">
        <is>
          <t>Material</t>
        </is>
      </c>
      <c r="B3072" s="56" t="n"/>
      <c r="C3072" s="21" t="inlineStr">
        <is>
          <t>FONTE</t>
        </is>
      </c>
      <c r="D3072" s="21" t="inlineStr">
        <is>
          <t>UNID</t>
        </is>
      </c>
      <c r="E3072" s="21" t="inlineStr">
        <is>
          <t>COEFICIENTE</t>
        </is>
      </c>
      <c r="F3072" s="21" t="inlineStr">
        <is>
          <t>PREÇO UNITÁRIO</t>
        </is>
      </c>
      <c r="G3072" s="21" t="inlineStr">
        <is>
          <t>TOTAL</t>
        </is>
      </c>
    </row>
    <row r="3073" ht="21" customHeight="1">
      <c r="A3073" s="22" t="inlineStr">
        <is>
          <t>00002673</t>
        </is>
      </c>
      <c r="B3073" s="23" t="inlineStr">
        <is>
          <t>ELETRODUTO DE PVC RIGIDO ROSCAVEL DE 1/2", SEM LUVA</t>
        </is>
      </c>
      <c r="C3073" s="22" t="inlineStr">
        <is>
          <t>SINAPI</t>
        </is>
      </c>
      <c r="D3073" s="22" t="inlineStr">
        <is>
          <t>M</t>
        </is>
      </c>
      <c r="E3073" s="63" t="n">
        <v>1.017</v>
      </c>
      <c r="F3073" s="64">
        <f>ROUND(M3073*FATOR, 2)</f>
        <v/>
      </c>
      <c r="G3073" s="64">
        <f>TRUNC(TRUNC(E3073,8)*F3073,2)</f>
        <v/>
      </c>
      <c r="L3073" t="n">
        <v>1.017</v>
      </c>
      <c r="M3073" t="n">
        <v>3.77</v>
      </c>
      <c r="N3073">
        <f>(M3073-F3073)</f>
        <v/>
      </c>
    </row>
    <row r="3074" ht="15" customHeight="1">
      <c r="A3074" s="2" t="inlineStr"/>
      <c r="B3074" s="2" t="inlineStr"/>
      <c r="C3074" s="2" t="inlineStr"/>
      <c r="D3074" s="2" t="inlineStr"/>
      <c r="E3074" s="26" t="inlineStr">
        <is>
          <t>TOTAL Material:</t>
        </is>
      </c>
      <c r="F3074" s="56" t="n"/>
      <c r="G3074" s="65">
        <f>SUM(G3073:G3073)</f>
        <v/>
      </c>
    </row>
    <row r="3075" ht="15" customHeight="1">
      <c r="A3075" s="20" t="inlineStr">
        <is>
          <t>Mão de Obra com Encargos Complementares</t>
        </is>
      </c>
      <c r="B3075" s="56" t="n"/>
      <c r="C3075" s="21" t="inlineStr">
        <is>
          <t>FONTE</t>
        </is>
      </c>
      <c r="D3075" s="21" t="inlineStr">
        <is>
          <t>UNID</t>
        </is>
      </c>
      <c r="E3075" s="21" t="inlineStr">
        <is>
          <t>COEFICIENTE</t>
        </is>
      </c>
      <c r="F3075" s="21" t="inlineStr">
        <is>
          <t>PREÇO UNITÁRIO</t>
        </is>
      </c>
      <c r="G3075" s="21" t="inlineStr">
        <is>
          <t>TOTAL</t>
        </is>
      </c>
    </row>
    <row r="3076" ht="21" customHeight="1">
      <c r="A3076" s="22" t="inlineStr">
        <is>
          <t>88247</t>
        </is>
      </c>
      <c r="B3076" s="23" t="inlineStr">
        <is>
          <t>AUXILIAR DE ELETRICISTA COM ENCARGOS COMPLEMENTARES</t>
        </is>
      </c>
      <c r="C3076" s="22" t="inlineStr">
        <is>
          <t>SINAPI</t>
        </is>
      </c>
      <c r="D3076" s="22" t="inlineStr">
        <is>
          <t>H</t>
        </is>
      </c>
      <c r="E3076" s="63">
        <f>L3076*FATOR</f>
        <v/>
      </c>
      <c r="F3076" s="64">
        <f>'COMPOSICOES AUXILIARES'!G505</f>
        <v/>
      </c>
      <c r="G3076" s="64">
        <f>TRUNC(TRUNC(E3076,8)*F3076,2)</f>
        <v/>
      </c>
      <c r="L3076" t="n">
        <v>0.163</v>
      </c>
      <c r="M3076" t="n">
        <v>25.22</v>
      </c>
      <c r="N3076">
        <f>(M3076-F3076)</f>
        <v/>
      </c>
    </row>
    <row r="3077" ht="15" customHeight="1">
      <c r="A3077" s="22" t="inlineStr">
        <is>
          <t>88264</t>
        </is>
      </c>
      <c r="B3077" s="23" t="inlineStr">
        <is>
          <t>ELETRICISTA COM ENCARGOS COMPLEMENTARES</t>
        </is>
      </c>
      <c r="C3077" s="22" t="inlineStr">
        <is>
          <t>SINAPI</t>
        </is>
      </c>
      <c r="D3077" s="22" t="inlineStr">
        <is>
          <t>H</t>
        </is>
      </c>
      <c r="E3077" s="63">
        <f>L3077*FATOR</f>
        <v/>
      </c>
      <c r="F3077" s="64">
        <f>'COMPOSICOES AUXILIARES'!G505</f>
        <v/>
      </c>
      <c r="G3077" s="64">
        <f>TRUNC(TRUNC(E3077,8)*F3077,2)</f>
        <v/>
      </c>
      <c r="L3077" t="n">
        <v>0.163</v>
      </c>
      <c r="M3077" t="n">
        <v>30.96</v>
      </c>
      <c r="N3077">
        <f>(M3077-F3077)</f>
        <v/>
      </c>
    </row>
    <row r="3078" ht="18" customHeight="1">
      <c r="A3078" s="2" t="inlineStr"/>
      <c r="B3078" s="2" t="inlineStr"/>
      <c r="C3078" s="2" t="inlineStr"/>
      <c r="D3078" s="2" t="inlineStr"/>
      <c r="E3078" s="26" t="inlineStr">
        <is>
          <t>TOTAL Mão de Obra com Encargos Complementares:</t>
        </is>
      </c>
      <c r="F3078" s="56" t="n"/>
      <c r="G3078" s="65">
        <f>SUM(G3076:G3077)</f>
        <v/>
      </c>
    </row>
    <row r="3079" ht="15" customHeight="1">
      <c r="A3079" s="2" t="inlineStr"/>
      <c r="B3079" s="2" t="inlineStr"/>
      <c r="C3079" s="2" t="inlineStr"/>
      <c r="D3079" s="2" t="inlineStr"/>
      <c r="E3079" s="28" t="inlineStr">
        <is>
          <t>VALOR:</t>
        </is>
      </c>
      <c r="F3079" s="56" t="n"/>
      <c r="G3079" s="66">
        <f>SUM(G3074,G3078)</f>
        <v/>
      </c>
    </row>
    <row r="3080" ht="15" customHeight="1">
      <c r="A3080" s="2" t="inlineStr"/>
      <c r="B3080" s="2" t="inlineStr"/>
      <c r="C3080" s="2" t="inlineStr"/>
      <c r="D3080" s="2" t="inlineStr"/>
      <c r="E3080" s="28" t="inlineStr">
        <is>
          <t>VALOR BDI (23.08%):</t>
        </is>
      </c>
      <c r="F3080" s="56" t="n"/>
      <c r="G3080" s="66">
        <f>ROUNDDOWN(G3079*BDI,2)</f>
        <v/>
      </c>
    </row>
    <row r="3081" ht="15" customHeight="1">
      <c r="A3081" s="2" t="inlineStr"/>
      <c r="B3081" s="2" t="inlineStr"/>
      <c r="C3081" s="2" t="inlineStr"/>
      <c r="D3081" s="2" t="inlineStr"/>
      <c r="E3081" s="28" t="inlineStr">
        <is>
          <t>VALOR COM BDI:</t>
        </is>
      </c>
      <c r="F3081" s="56" t="n"/>
      <c r="G3081" s="66">
        <f>G3080 + G3079</f>
        <v/>
      </c>
    </row>
    <row r="3082" ht="10" customHeight="1">
      <c r="A3082" s="2" t="inlineStr"/>
      <c r="B3082" s="2" t="inlineStr"/>
      <c r="C3082" s="2" t="inlineStr"/>
      <c r="D3082" s="2" t="inlineStr"/>
      <c r="E3082" s="18" t="inlineStr"/>
    </row>
    <row r="3083" ht="20" customHeight="1">
      <c r="A3083" s="19" t="inlineStr">
        <is>
          <t>9.4.1.2. ​91871​ ELETRODUTO RÍGIDO ROSCÁVEL, PVC, DN 25 MM (3/4"), PARA CIRCUITOS TERMINAIS, INSTALADO EM PAREDE - FORNECIMENTOE INSTALAÇÃO. AF_03/2023​ (M)</t>
        </is>
      </c>
      <c r="B3083" s="55" t="n"/>
      <c r="C3083" s="55" t="n"/>
      <c r="D3083" s="55" t="n"/>
      <c r="E3083" s="55" t="n"/>
      <c r="F3083" s="55" t="n"/>
      <c r="G3083" s="56" t="n"/>
    </row>
    <row r="3084" ht="15" customHeight="1">
      <c r="A3084" s="20" t="inlineStr">
        <is>
          <t>Material</t>
        </is>
      </c>
      <c r="B3084" s="56" t="n"/>
      <c r="C3084" s="21" t="inlineStr">
        <is>
          <t>FONTE</t>
        </is>
      </c>
      <c r="D3084" s="21" t="inlineStr">
        <is>
          <t>UNID</t>
        </is>
      </c>
      <c r="E3084" s="21" t="inlineStr">
        <is>
          <t>COEFICIENTE</t>
        </is>
      </c>
      <c r="F3084" s="21" t="inlineStr">
        <is>
          <t>PREÇO UNITÁRIO</t>
        </is>
      </c>
      <c r="G3084" s="21" t="inlineStr">
        <is>
          <t>TOTAL</t>
        </is>
      </c>
    </row>
    <row r="3085" ht="21" customHeight="1">
      <c r="A3085" s="22" t="inlineStr">
        <is>
          <t>00002674</t>
        </is>
      </c>
      <c r="B3085" s="23" t="inlineStr">
        <is>
          <t>ELETRODUTO DE PVC RIGIDO ROSCAVEL DE 3/4", SEM LUVA</t>
        </is>
      </c>
      <c r="C3085" s="22" t="inlineStr">
        <is>
          <t>SINAPI</t>
        </is>
      </c>
      <c r="D3085" s="22" t="inlineStr">
        <is>
          <t>M</t>
        </is>
      </c>
      <c r="E3085" s="63" t="n">
        <v>1.017</v>
      </c>
      <c r="F3085" s="64">
        <f>ROUND(M3085*FATOR, 2)</f>
        <v/>
      </c>
      <c r="G3085" s="64">
        <f>TRUNC(TRUNC(E3085,8)*F3085,2)</f>
        <v/>
      </c>
      <c r="L3085" t="n">
        <v>1.017</v>
      </c>
      <c r="M3085" t="n">
        <v>4.69</v>
      </c>
      <c r="N3085">
        <f>(M3085-F3085)</f>
        <v/>
      </c>
    </row>
    <row r="3086" ht="15" customHeight="1">
      <c r="A3086" s="2" t="inlineStr"/>
      <c r="B3086" s="2" t="inlineStr"/>
      <c r="C3086" s="2" t="inlineStr"/>
      <c r="D3086" s="2" t="inlineStr"/>
      <c r="E3086" s="26" t="inlineStr">
        <is>
          <t>TOTAL Material:</t>
        </is>
      </c>
      <c r="F3086" s="56" t="n"/>
      <c r="G3086" s="65">
        <f>SUM(G3085:G3085)</f>
        <v/>
      </c>
    </row>
    <row r="3087" ht="15" customHeight="1">
      <c r="A3087" s="20" t="inlineStr">
        <is>
          <t>Mão de Obra com Encargos Complementares</t>
        </is>
      </c>
      <c r="B3087" s="56" t="n"/>
      <c r="C3087" s="21" t="inlineStr">
        <is>
          <t>FONTE</t>
        </is>
      </c>
      <c r="D3087" s="21" t="inlineStr">
        <is>
          <t>UNID</t>
        </is>
      </c>
      <c r="E3087" s="21" t="inlineStr">
        <is>
          <t>COEFICIENTE</t>
        </is>
      </c>
      <c r="F3087" s="21" t="inlineStr">
        <is>
          <t>PREÇO UNITÁRIO</t>
        </is>
      </c>
      <c r="G3087" s="21" t="inlineStr">
        <is>
          <t>TOTAL</t>
        </is>
      </c>
    </row>
    <row r="3088" ht="21" customHeight="1">
      <c r="A3088" s="22" t="inlineStr">
        <is>
          <t>88247</t>
        </is>
      </c>
      <c r="B3088" s="23" t="inlineStr">
        <is>
          <t>AUXILIAR DE ELETRICISTA COM ENCARGOS COMPLEMENTARES</t>
        </is>
      </c>
      <c r="C3088" s="22" t="inlineStr">
        <is>
          <t>SINAPI</t>
        </is>
      </c>
      <c r="D3088" s="22" t="inlineStr">
        <is>
          <t>H</t>
        </is>
      </c>
      <c r="E3088" s="63">
        <f>L3088*FATOR</f>
        <v/>
      </c>
      <c r="F3088" s="64">
        <f>'COMPOSICOES AUXILIARES'!G505</f>
        <v/>
      </c>
      <c r="G3088" s="64">
        <f>TRUNC(TRUNC(E3088,8)*F3088,2)</f>
        <v/>
      </c>
      <c r="L3088" t="n">
        <v>0.177</v>
      </c>
      <c r="M3088" t="n">
        <v>25.22</v>
      </c>
      <c r="N3088">
        <f>(M3088-F3088)</f>
        <v/>
      </c>
    </row>
    <row r="3089" ht="15" customHeight="1">
      <c r="A3089" s="22" t="inlineStr">
        <is>
          <t>88264</t>
        </is>
      </c>
      <c r="B3089" s="23" t="inlineStr">
        <is>
          <t>ELETRICISTA COM ENCARGOS COMPLEMENTARES</t>
        </is>
      </c>
      <c r="C3089" s="22" t="inlineStr">
        <is>
          <t>SINAPI</t>
        </is>
      </c>
      <c r="D3089" s="22" t="inlineStr">
        <is>
          <t>H</t>
        </is>
      </c>
      <c r="E3089" s="63">
        <f>L3089*FATOR</f>
        <v/>
      </c>
      <c r="F3089" s="64">
        <f>'COMPOSICOES AUXILIARES'!G505</f>
        <v/>
      </c>
      <c r="G3089" s="64">
        <f>TRUNC(TRUNC(E3089,8)*F3089,2)</f>
        <v/>
      </c>
      <c r="L3089" t="n">
        <v>0.177</v>
      </c>
      <c r="M3089" t="n">
        <v>30.96</v>
      </c>
      <c r="N3089">
        <f>(M3089-F3089)</f>
        <v/>
      </c>
    </row>
    <row r="3090" ht="18" customHeight="1">
      <c r="A3090" s="2" t="inlineStr"/>
      <c r="B3090" s="2" t="inlineStr"/>
      <c r="C3090" s="2" t="inlineStr"/>
      <c r="D3090" s="2" t="inlineStr"/>
      <c r="E3090" s="26" t="inlineStr">
        <is>
          <t>TOTAL Mão de Obra com Encargos Complementares:</t>
        </is>
      </c>
      <c r="F3090" s="56" t="n"/>
      <c r="G3090" s="65">
        <f>SUM(G3088:G3089)</f>
        <v/>
      </c>
    </row>
    <row r="3091" ht="15" customHeight="1">
      <c r="A3091" s="2" t="inlineStr"/>
      <c r="B3091" s="2" t="inlineStr"/>
      <c r="C3091" s="2" t="inlineStr"/>
      <c r="D3091" s="2" t="inlineStr"/>
      <c r="E3091" s="28" t="inlineStr">
        <is>
          <t>VALOR:</t>
        </is>
      </c>
      <c r="F3091" s="56" t="n"/>
      <c r="G3091" s="66">
        <f>SUM(G3090,G3086)</f>
        <v/>
      </c>
    </row>
    <row r="3092" ht="15" customHeight="1">
      <c r="A3092" s="2" t="inlineStr"/>
      <c r="B3092" s="2" t="inlineStr"/>
      <c r="C3092" s="2" t="inlineStr"/>
      <c r="D3092" s="2" t="inlineStr"/>
      <c r="E3092" s="28" t="inlineStr">
        <is>
          <t>VALOR BDI (23.08%):</t>
        </is>
      </c>
      <c r="F3092" s="56" t="n"/>
      <c r="G3092" s="66">
        <f>ROUNDDOWN(G3091*BDI,2)</f>
        <v/>
      </c>
    </row>
    <row r="3093" ht="15" customHeight="1">
      <c r="A3093" s="2" t="inlineStr"/>
      <c r="B3093" s="2" t="inlineStr"/>
      <c r="C3093" s="2" t="inlineStr"/>
      <c r="D3093" s="2" t="inlineStr"/>
      <c r="E3093" s="28" t="inlineStr">
        <is>
          <t>VALOR COM BDI:</t>
        </is>
      </c>
      <c r="F3093" s="56" t="n"/>
      <c r="G3093" s="66">
        <f>G3092 + G3091</f>
        <v/>
      </c>
    </row>
    <row r="3094" ht="10" customHeight="1">
      <c r="A3094" s="2" t="inlineStr"/>
      <c r="B3094" s="2" t="inlineStr"/>
      <c r="C3094" s="2" t="inlineStr"/>
      <c r="D3094" s="2" t="inlineStr"/>
      <c r="E3094" s="18" t="inlineStr"/>
    </row>
    <row r="3095" ht="20" customHeight="1">
      <c r="A3095" s="19" t="inlineStr">
        <is>
          <t>9.4.2.1. ​91911​ CURVA 90 GRAUS PARA ELETRODUTO, PVC, ROSCÁVEL, DN 20 MM (1/2"), PARA CIRCUITOS TERMINAIS, INSTALADA EM PAREDE - FORNECIMENTO E INSTALAÇÃO.AF_03/2023​ (UN)</t>
        </is>
      </c>
      <c r="B3095" s="55" t="n"/>
      <c r="C3095" s="55" t="n"/>
      <c r="D3095" s="55" t="n"/>
      <c r="E3095" s="55" t="n"/>
      <c r="F3095" s="55" t="n"/>
      <c r="G3095" s="56" t="n"/>
    </row>
    <row r="3096" ht="15" customHeight="1">
      <c r="A3096" s="20" t="inlineStr">
        <is>
          <t>Material</t>
        </is>
      </c>
      <c r="B3096" s="56" t="n"/>
      <c r="C3096" s="21" t="inlineStr">
        <is>
          <t>FONTE</t>
        </is>
      </c>
      <c r="D3096" s="21" t="inlineStr">
        <is>
          <t>UNID</t>
        </is>
      </c>
      <c r="E3096" s="21" t="inlineStr">
        <is>
          <t>COEFICIENTE</t>
        </is>
      </c>
      <c r="F3096" s="21" t="inlineStr">
        <is>
          <t>PREÇO UNITÁRIO</t>
        </is>
      </c>
      <c r="G3096" s="21" t="inlineStr">
        <is>
          <t>TOTAL</t>
        </is>
      </c>
    </row>
    <row r="3097" ht="21" customHeight="1">
      <c r="A3097" s="22" t="inlineStr">
        <is>
          <t>00001870</t>
        </is>
      </c>
      <c r="B3097" s="23" t="inlineStr">
        <is>
          <t>CURVA 90 GRAUS, LONGA, DE PVC RIGIDO ROSCAVEL, DE 1/2", PARA ELETRODUTO</t>
        </is>
      </c>
      <c r="C3097" s="22" t="inlineStr">
        <is>
          <t>SINAPI</t>
        </is>
      </c>
      <c r="D3097" s="22" t="inlineStr">
        <is>
          <t>UN</t>
        </is>
      </c>
      <c r="E3097" s="63" t="n">
        <v>1</v>
      </c>
      <c r="F3097" s="64">
        <f>ROUND(M3097*FATOR, 2)</f>
        <v/>
      </c>
      <c r="G3097" s="64">
        <f>TRUNC(TRUNC(E3097,8)*F3097,2)</f>
        <v/>
      </c>
      <c r="L3097" t="n">
        <v>1</v>
      </c>
      <c r="M3097" t="n">
        <v>2.04</v>
      </c>
      <c r="N3097">
        <f>(M3097-F3097)</f>
        <v/>
      </c>
    </row>
    <row r="3098" ht="15" customHeight="1">
      <c r="A3098" s="2" t="inlineStr"/>
      <c r="B3098" s="2" t="inlineStr"/>
      <c r="C3098" s="2" t="inlineStr"/>
      <c r="D3098" s="2" t="inlineStr"/>
      <c r="E3098" s="26" t="inlineStr">
        <is>
          <t>TOTAL Material:</t>
        </is>
      </c>
      <c r="F3098" s="56" t="n"/>
      <c r="G3098" s="65">
        <f>SUM(G3097:G3097)</f>
        <v/>
      </c>
    </row>
    <row r="3099" ht="15" customHeight="1">
      <c r="A3099" s="20" t="inlineStr">
        <is>
          <t>Mão de Obra com Encargos Complementares</t>
        </is>
      </c>
      <c r="B3099" s="56" t="n"/>
      <c r="C3099" s="21" t="inlineStr">
        <is>
          <t>FONTE</t>
        </is>
      </c>
      <c r="D3099" s="21" t="inlineStr">
        <is>
          <t>UNID</t>
        </is>
      </c>
      <c r="E3099" s="21" t="inlineStr">
        <is>
          <t>COEFICIENTE</t>
        </is>
      </c>
      <c r="F3099" s="21" t="inlineStr">
        <is>
          <t>PREÇO UNITÁRIO</t>
        </is>
      </c>
      <c r="G3099" s="21" t="inlineStr">
        <is>
          <t>TOTAL</t>
        </is>
      </c>
    </row>
    <row r="3100" ht="21" customHeight="1">
      <c r="A3100" s="22" t="inlineStr">
        <is>
          <t>88247</t>
        </is>
      </c>
      <c r="B3100" s="23" t="inlineStr">
        <is>
          <t>AUXILIAR DE ELETRICISTA COM ENCARGOS COMPLEMENTARES</t>
        </is>
      </c>
      <c r="C3100" s="22" t="inlineStr">
        <is>
          <t>SINAPI</t>
        </is>
      </c>
      <c r="D3100" s="22" t="inlineStr">
        <is>
          <t>H</t>
        </is>
      </c>
      <c r="E3100" s="63">
        <f>L3100*FATOR</f>
        <v/>
      </c>
      <c r="F3100" s="64">
        <f>'COMPOSICOES AUXILIARES'!G505</f>
        <v/>
      </c>
      <c r="G3100" s="64">
        <f>TRUNC(TRUNC(E3100,8)*F3100,2)</f>
        <v/>
      </c>
      <c r="L3100" t="n">
        <v>0.272</v>
      </c>
      <c r="M3100" t="n">
        <v>25.22</v>
      </c>
      <c r="N3100">
        <f>(M3100-F3100)</f>
        <v/>
      </c>
    </row>
    <row r="3101" ht="15" customHeight="1">
      <c r="A3101" s="22" t="inlineStr">
        <is>
          <t>88264</t>
        </is>
      </c>
      <c r="B3101" s="23" t="inlineStr">
        <is>
          <t>ELETRICISTA COM ENCARGOS COMPLEMENTARES</t>
        </is>
      </c>
      <c r="C3101" s="22" t="inlineStr">
        <is>
          <t>SINAPI</t>
        </is>
      </c>
      <c r="D3101" s="22" t="inlineStr">
        <is>
          <t>H</t>
        </is>
      </c>
      <c r="E3101" s="63">
        <f>L3101*FATOR</f>
        <v/>
      </c>
      <c r="F3101" s="64">
        <f>'COMPOSICOES AUXILIARES'!G505</f>
        <v/>
      </c>
      <c r="G3101" s="64">
        <f>TRUNC(TRUNC(E3101,8)*F3101,2)</f>
        <v/>
      </c>
      <c r="L3101" t="n">
        <v>0.272</v>
      </c>
      <c r="M3101" t="n">
        <v>30.96</v>
      </c>
      <c r="N3101">
        <f>(M3101-F3101)</f>
        <v/>
      </c>
    </row>
    <row r="3102" ht="18" customHeight="1">
      <c r="A3102" s="2" t="inlineStr"/>
      <c r="B3102" s="2" t="inlineStr"/>
      <c r="C3102" s="2" t="inlineStr"/>
      <c r="D3102" s="2" t="inlineStr"/>
      <c r="E3102" s="26" t="inlineStr">
        <is>
          <t>TOTAL Mão de Obra com Encargos Complementares:</t>
        </is>
      </c>
      <c r="F3102" s="56" t="n"/>
      <c r="G3102" s="65">
        <f>SUM(G3100:G3101)</f>
        <v/>
      </c>
    </row>
    <row r="3103" ht="15" customHeight="1">
      <c r="A3103" s="2" t="inlineStr"/>
      <c r="B3103" s="2" t="inlineStr"/>
      <c r="C3103" s="2" t="inlineStr"/>
      <c r="D3103" s="2" t="inlineStr"/>
      <c r="E3103" s="28" t="inlineStr">
        <is>
          <t>VALOR:</t>
        </is>
      </c>
      <c r="F3103" s="56" t="n"/>
      <c r="G3103" s="66">
        <f>SUM(G3098,G3102)</f>
        <v/>
      </c>
    </row>
    <row r="3104" ht="15" customHeight="1">
      <c r="A3104" s="2" t="inlineStr"/>
      <c r="B3104" s="2" t="inlineStr"/>
      <c r="C3104" s="2" t="inlineStr"/>
      <c r="D3104" s="2" t="inlineStr"/>
      <c r="E3104" s="28" t="inlineStr">
        <is>
          <t>VALOR BDI (23.08%):</t>
        </is>
      </c>
      <c r="F3104" s="56" t="n"/>
      <c r="G3104" s="66">
        <f>ROUNDDOWN(G3103*BDI,2)</f>
        <v/>
      </c>
    </row>
    <row r="3105" ht="15" customHeight="1">
      <c r="A3105" s="2" t="inlineStr"/>
      <c r="B3105" s="2" t="inlineStr"/>
      <c r="C3105" s="2" t="inlineStr"/>
      <c r="D3105" s="2" t="inlineStr"/>
      <c r="E3105" s="28" t="inlineStr">
        <is>
          <t>VALOR COM BDI:</t>
        </is>
      </c>
      <c r="F3105" s="56" t="n"/>
      <c r="G3105" s="66">
        <f>G3104 + G3103</f>
        <v/>
      </c>
    </row>
    <row r="3106" ht="10" customHeight="1">
      <c r="A3106" s="2" t="inlineStr"/>
      <c r="B3106" s="2" t="inlineStr"/>
      <c r="C3106" s="2" t="inlineStr"/>
      <c r="D3106" s="2" t="inlineStr"/>
      <c r="E3106" s="18" t="inlineStr"/>
    </row>
    <row r="3107" ht="20" customHeight="1">
      <c r="A3107" s="19" t="inlineStr">
        <is>
          <t>9.4.2.2. ​91922​ CURVA 180 GRAUS PARA ELETRODUTO, PVC, ROSCÁVEL, DN 40 MM (1 1/4"), PARA CIRCUITOS TERMINAIS, INSTALADA EM PAREDE - FORNECIMENTO E INSTALAÇÃO.AF_03/2023​ (UN)</t>
        </is>
      </c>
      <c r="B3107" s="55" t="n"/>
      <c r="C3107" s="55" t="n"/>
      <c r="D3107" s="55" t="n"/>
      <c r="E3107" s="55" t="n"/>
      <c r="F3107" s="55" t="n"/>
      <c r="G3107" s="56" t="n"/>
    </row>
    <row r="3108" ht="15" customHeight="1">
      <c r="A3108" s="20" t="inlineStr">
        <is>
          <t>Material</t>
        </is>
      </c>
      <c r="B3108" s="56" t="n"/>
      <c r="C3108" s="21" t="inlineStr">
        <is>
          <t>FONTE</t>
        </is>
      </c>
      <c r="D3108" s="21" t="inlineStr">
        <is>
          <t>UNID</t>
        </is>
      </c>
      <c r="E3108" s="21" t="inlineStr">
        <is>
          <t>COEFICIENTE</t>
        </is>
      </c>
      <c r="F3108" s="21" t="inlineStr">
        <is>
          <t>PREÇO UNITÁRIO</t>
        </is>
      </c>
      <c r="G3108" s="21" t="inlineStr">
        <is>
          <t>TOTAL</t>
        </is>
      </c>
    </row>
    <row r="3109" ht="21" customHeight="1">
      <c r="A3109" s="22" t="inlineStr">
        <is>
          <t>00040408</t>
        </is>
      </c>
      <c r="B3109" s="23" t="inlineStr">
        <is>
          <t>CURVA 180 GRAUS, DE PVC RIGIDO ROSCAVEL, DE 1 1/4", PARA ELETRODUTO</t>
        </is>
      </c>
      <c r="C3109" s="22" t="inlineStr">
        <is>
          <t>SINAPI</t>
        </is>
      </c>
      <c r="D3109" s="22" t="inlineStr">
        <is>
          <t>UN</t>
        </is>
      </c>
      <c r="E3109" s="63" t="n">
        <v>1</v>
      </c>
      <c r="F3109" s="64">
        <f>ROUND(M3109*FATOR, 2)</f>
        <v/>
      </c>
      <c r="G3109" s="64">
        <f>TRUNC(TRUNC(E3109,8)*F3109,2)</f>
        <v/>
      </c>
      <c r="L3109" t="n">
        <v>1</v>
      </c>
      <c r="M3109" t="n">
        <v>5.14</v>
      </c>
      <c r="N3109">
        <f>(M3109-F3109)</f>
        <v/>
      </c>
    </row>
    <row r="3110" ht="15" customHeight="1">
      <c r="A3110" s="2" t="inlineStr"/>
      <c r="B3110" s="2" t="inlineStr"/>
      <c r="C3110" s="2" t="inlineStr"/>
      <c r="D3110" s="2" t="inlineStr"/>
      <c r="E3110" s="26" t="inlineStr">
        <is>
          <t>TOTAL Material:</t>
        </is>
      </c>
      <c r="F3110" s="56" t="n"/>
      <c r="G3110" s="65">
        <f>SUM(G3109:G3109)</f>
        <v/>
      </c>
    </row>
    <row r="3111" ht="15" customHeight="1">
      <c r="A3111" s="20" t="inlineStr">
        <is>
          <t>Mão de Obra com Encargos Complementares</t>
        </is>
      </c>
      <c r="B3111" s="56" t="n"/>
      <c r="C3111" s="21" t="inlineStr">
        <is>
          <t>FONTE</t>
        </is>
      </c>
      <c r="D3111" s="21" t="inlineStr">
        <is>
          <t>UNID</t>
        </is>
      </c>
      <c r="E3111" s="21" t="inlineStr">
        <is>
          <t>COEFICIENTE</t>
        </is>
      </c>
      <c r="F3111" s="21" t="inlineStr">
        <is>
          <t>PREÇO UNITÁRIO</t>
        </is>
      </c>
      <c r="G3111" s="21" t="inlineStr">
        <is>
          <t>TOTAL</t>
        </is>
      </c>
    </row>
    <row r="3112" ht="21" customHeight="1">
      <c r="A3112" s="22" t="inlineStr">
        <is>
          <t>88247</t>
        </is>
      </c>
      <c r="B3112" s="23" t="inlineStr">
        <is>
          <t>AUXILIAR DE ELETRICISTA COM ENCARGOS COMPLEMENTARES</t>
        </is>
      </c>
      <c r="C3112" s="22" t="inlineStr">
        <is>
          <t>SINAPI</t>
        </is>
      </c>
      <c r="D3112" s="22" t="inlineStr">
        <is>
          <t>H</t>
        </is>
      </c>
      <c r="E3112" s="63">
        <f>L3112*FATOR</f>
        <v/>
      </c>
      <c r="F3112" s="64">
        <f>'COMPOSICOES AUXILIARES'!G505</f>
        <v/>
      </c>
      <c r="G3112" s="64">
        <f>TRUNC(TRUNC(E3112,8)*F3112,2)</f>
        <v/>
      </c>
      <c r="L3112" t="n">
        <v>0.365</v>
      </c>
      <c r="M3112" t="n">
        <v>25.22</v>
      </c>
      <c r="N3112">
        <f>(M3112-F3112)</f>
        <v/>
      </c>
    </row>
    <row r="3113" ht="15" customHeight="1">
      <c r="A3113" s="22" t="inlineStr">
        <is>
          <t>88264</t>
        </is>
      </c>
      <c r="B3113" s="23" t="inlineStr">
        <is>
          <t>ELETRICISTA COM ENCARGOS COMPLEMENTARES</t>
        </is>
      </c>
      <c r="C3113" s="22" t="inlineStr">
        <is>
          <t>SINAPI</t>
        </is>
      </c>
      <c r="D3113" s="22" t="inlineStr">
        <is>
          <t>H</t>
        </is>
      </c>
      <c r="E3113" s="63">
        <f>L3113*FATOR</f>
        <v/>
      </c>
      <c r="F3113" s="64">
        <f>'COMPOSICOES AUXILIARES'!G505</f>
        <v/>
      </c>
      <c r="G3113" s="64">
        <f>TRUNC(TRUNC(E3113,8)*F3113,2)</f>
        <v/>
      </c>
      <c r="L3113" t="n">
        <v>0.365</v>
      </c>
      <c r="M3113" t="n">
        <v>30.96</v>
      </c>
      <c r="N3113">
        <f>(M3113-F3113)</f>
        <v/>
      </c>
    </row>
    <row r="3114" ht="18" customHeight="1">
      <c r="A3114" s="2" t="inlineStr"/>
      <c r="B3114" s="2" t="inlineStr"/>
      <c r="C3114" s="2" t="inlineStr"/>
      <c r="D3114" s="2" t="inlineStr"/>
      <c r="E3114" s="26" t="inlineStr">
        <is>
          <t>TOTAL Mão de Obra com Encargos Complementares:</t>
        </is>
      </c>
      <c r="F3114" s="56" t="n"/>
      <c r="G3114" s="65">
        <f>SUM(G3112:G3113)</f>
        <v/>
      </c>
    </row>
    <row r="3115" ht="15" customHeight="1">
      <c r="A3115" s="2" t="inlineStr"/>
      <c r="B3115" s="2" t="inlineStr"/>
      <c r="C3115" s="2" t="inlineStr"/>
      <c r="D3115" s="2" t="inlineStr"/>
      <c r="E3115" s="28" t="inlineStr">
        <is>
          <t>VALOR:</t>
        </is>
      </c>
      <c r="F3115" s="56" t="n"/>
      <c r="G3115" s="66">
        <f>SUM(G3114,G3110)</f>
        <v/>
      </c>
    </row>
    <row r="3116" ht="15" customHeight="1">
      <c r="A3116" s="2" t="inlineStr"/>
      <c r="B3116" s="2" t="inlineStr"/>
      <c r="C3116" s="2" t="inlineStr"/>
      <c r="D3116" s="2" t="inlineStr"/>
      <c r="E3116" s="28" t="inlineStr">
        <is>
          <t>VALOR BDI (23.08%):</t>
        </is>
      </c>
      <c r="F3116" s="56" t="n"/>
      <c r="G3116" s="66">
        <f>ROUNDDOWN(G3115*BDI,2)</f>
        <v/>
      </c>
    </row>
    <row r="3117" ht="15" customHeight="1">
      <c r="A3117" s="2" t="inlineStr"/>
      <c r="B3117" s="2" t="inlineStr"/>
      <c r="C3117" s="2" t="inlineStr"/>
      <c r="D3117" s="2" t="inlineStr"/>
      <c r="E3117" s="28" t="inlineStr">
        <is>
          <t>VALOR COM BDI:</t>
        </is>
      </c>
      <c r="F3117" s="56" t="n"/>
      <c r="G3117" s="66">
        <f>G3116 + G3115</f>
        <v/>
      </c>
    </row>
    <row r="3118" ht="10" customHeight="1">
      <c r="A3118" s="2" t="inlineStr"/>
      <c r="B3118" s="2" t="inlineStr"/>
      <c r="C3118" s="2" t="inlineStr"/>
      <c r="D3118" s="2" t="inlineStr"/>
      <c r="E3118" s="18" t="inlineStr"/>
    </row>
    <row r="3119" ht="20" customHeight="1">
      <c r="A3119" s="19" t="inlineStr">
        <is>
          <t>9.4.2.3. ​459 PRÓPRIO​ CURVA 45 GRAUS PARA ELETRODUTO, PVC, ROSCÁVEL, DN 40MM (1 1/4"), PARA CIRCUITOS TERMINAIS, INSTALADA EMPAREDE - FORNECIMENTO E INSTALAÇÃO​ (UN)</t>
        </is>
      </c>
      <c r="B3119" s="55" t="n"/>
      <c r="C3119" s="55" t="n"/>
      <c r="D3119" s="55" t="n"/>
      <c r="E3119" s="55" t="n"/>
      <c r="F3119" s="55" t="n"/>
      <c r="G3119" s="56" t="n"/>
    </row>
    <row r="3120" ht="15" customHeight="1">
      <c r="A3120" s="20" t="inlineStr">
        <is>
          <t>Material</t>
        </is>
      </c>
      <c r="B3120" s="56" t="n"/>
      <c r="C3120" s="21" t="inlineStr">
        <is>
          <t>FONTE</t>
        </is>
      </c>
      <c r="D3120" s="21" t="inlineStr">
        <is>
          <t>UNID</t>
        </is>
      </c>
      <c r="E3120" s="21" t="inlineStr">
        <is>
          <t>COEFICIENTE</t>
        </is>
      </c>
      <c r="F3120" s="21" t="inlineStr">
        <is>
          <t>PREÇO UNITÁRIO</t>
        </is>
      </c>
      <c r="G3120" s="21" t="inlineStr">
        <is>
          <t>TOTAL</t>
        </is>
      </c>
    </row>
    <row r="3121" ht="21" customHeight="1">
      <c r="A3121" s="22" t="inlineStr">
        <is>
          <t>00001874</t>
        </is>
      </c>
      <c r="B3121" s="23" t="inlineStr">
        <is>
          <t>CURVA 90 GRAUS, LONGA, DE PVC RIGIDO ROSCAVEL, DE 1 1/4", PARA ELETRODUTO</t>
        </is>
      </c>
      <c r="C3121" s="22" t="inlineStr">
        <is>
          <t>SINAPI</t>
        </is>
      </c>
      <c r="D3121" s="22" t="inlineStr">
        <is>
          <t>UN</t>
        </is>
      </c>
      <c r="E3121" s="63" t="n">
        <v>1</v>
      </c>
      <c r="F3121" s="64">
        <f>ROUND(M3121*FATOR, 2)</f>
        <v/>
      </c>
      <c r="G3121" s="64">
        <f>ROUND(ROUND(E3121,8)*F3121,2)</f>
        <v/>
      </c>
      <c r="L3121" t="n">
        <v>1</v>
      </c>
      <c r="M3121" t="n">
        <v>3.53</v>
      </c>
      <c r="N3121">
        <f>(M3121-F3121)</f>
        <v/>
      </c>
    </row>
    <row r="3122" ht="15" customHeight="1">
      <c r="A3122" s="2" t="inlineStr"/>
      <c r="B3122" s="2" t="inlineStr"/>
      <c r="C3122" s="2" t="inlineStr"/>
      <c r="D3122" s="2" t="inlineStr"/>
      <c r="E3122" s="26" t="inlineStr">
        <is>
          <t>TOTAL Material:</t>
        </is>
      </c>
      <c r="F3122" s="56" t="n"/>
      <c r="G3122" s="65">
        <f>SUM(G3121:G3121)</f>
        <v/>
      </c>
    </row>
    <row r="3123" ht="15" customHeight="1">
      <c r="A3123" s="20" t="inlineStr">
        <is>
          <t>Mão de Obra com Encargos Complementares</t>
        </is>
      </c>
      <c r="B3123" s="56" t="n"/>
      <c r="C3123" s="21" t="inlineStr">
        <is>
          <t>FONTE</t>
        </is>
      </c>
      <c r="D3123" s="21" t="inlineStr">
        <is>
          <t>UNID</t>
        </is>
      </c>
      <c r="E3123" s="21" t="inlineStr">
        <is>
          <t>COEFICIENTE</t>
        </is>
      </c>
      <c r="F3123" s="21" t="inlineStr">
        <is>
          <t>PREÇO UNITÁRIO</t>
        </is>
      </c>
      <c r="G3123" s="21" t="inlineStr">
        <is>
          <t>TOTAL</t>
        </is>
      </c>
    </row>
    <row r="3124" ht="21" customHeight="1">
      <c r="A3124" s="22" t="inlineStr">
        <is>
          <t>88247</t>
        </is>
      </c>
      <c r="B3124" s="23" t="inlineStr">
        <is>
          <t>AUXILIAR DE ELETRICISTA COM ENCARGOS COMPLEMENTARES</t>
        </is>
      </c>
      <c r="C3124" s="22" t="inlineStr">
        <is>
          <t>SINAPI</t>
        </is>
      </c>
      <c r="D3124" s="22" t="inlineStr">
        <is>
          <t>H</t>
        </is>
      </c>
      <c r="E3124" s="63">
        <f>L3124*FATOR</f>
        <v/>
      </c>
      <c r="F3124" s="64">
        <f>'COMPOSICOES AUXILIARES'!G505</f>
        <v/>
      </c>
      <c r="G3124" s="64">
        <f>ROUND(ROUND(E3124,8)*F3124,2)</f>
        <v/>
      </c>
      <c r="L3124" t="n">
        <v>0.365</v>
      </c>
      <c r="M3124" t="n">
        <v>25.22</v>
      </c>
      <c r="N3124">
        <f>(M3124-F3124)</f>
        <v/>
      </c>
    </row>
    <row r="3125" ht="15" customHeight="1">
      <c r="A3125" s="22" t="inlineStr">
        <is>
          <t>88264</t>
        </is>
      </c>
      <c r="B3125" s="23" t="inlineStr">
        <is>
          <t>ELETRICISTA COM ENCARGOS COMPLEMENTARES</t>
        </is>
      </c>
      <c r="C3125" s="22" t="inlineStr">
        <is>
          <t>SINAPI</t>
        </is>
      </c>
      <c r="D3125" s="22" t="inlineStr">
        <is>
          <t>H</t>
        </is>
      </c>
      <c r="E3125" s="63">
        <f>L3125*FATOR</f>
        <v/>
      </c>
      <c r="F3125" s="64">
        <f>'COMPOSICOES AUXILIARES'!G505</f>
        <v/>
      </c>
      <c r="G3125" s="64">
        <f>ROUND(ROUND(E3125,8)*F3125,2)</f>
        <v/>
      </c>
      <c r="L3125" t="n">
        <v>0.365</v>
      </c>
      <c r="M3125" t="n">
        <v>30.96</v>
      </c>
      <c r="N3125">
        <f>(M3125-F3125)</f>
        <v/>
      </c>
    </row>
    <row r="3126" ht="18" customHeight="1">
      <c r="A3126" s="2" t="inlineStr"/>
      <c r="B3126" s="2" t="inlineStr"/>
      <c r="C3126" s="2" t="inlineStr"/>
      <c r="D3126" s="2" t="inlineStr"/>
      <c r="E3126" s="26" t="inlineStr">
        <is>
          <t>TOTAL Mão de Obra com Encargos Complementares:</t>
        </is>
      </c>
      <c r="F3126" s="56" t="n"/>
      <c r="G3126" s="65">
        <f>SUM(G3124:G3125)</f>
        <v/>
      </c>
    </row>
    <row r="3127" ht="15" customHeight="1">
      <c r="A3127" s="2" t="inlineStr"/>
      <c r="B3127" s="2" t="inlineStr"/>
      <c r="C3127" s="2" t="inlineStr"/>
      <c r="D3127" s="2" t="inlineStr"/>
      <c r="E3127" s="28" t="inlineStr">
        <is>
          <t>VALOR:</t>
        </is>
      </c>
      <c r="F3127" s="56" t="n"/>
      <c r="G3127" s="66">
        <f>SUM(G3122,G3126)</f>
        <v/>
      </c>
    </row>
    <row r="3128" ht="15" customHeight="1">
      <c r="A3128" s="2" t="inlineStr"/>
      <c r="B3128" s="2" t="inlineStr"/>
      <c r="C3128" s="2" t="inlineStr"/>
      <c r="D3128" s="2" t="inlineStr"/>
      <c r="E3128" s="28" t="inlineStr">
        <is>
          <t>VALOR BDI (23.08%):</t>
        </is>
      </c>
      <c r="F3128" s="56" t="n"/>
      <c r="G3128" s="66">
        <f>ROUNDDOWN(G3127*BDI,2)</f>
        <v/>
      </c>
    </row>
    <row r="3129" ht="15" customHeight="1">
      <c r="A3129" s="2" t="inlineStr"/>
      <c r="B3129" s="2" t="inlineStr"/>
      <c r="C3129" s="2" t="inlineStr"/>
      <c r="D3129" s="2" t="inlineStr"/>
      <c r="E3129" s="28" t="inlineStr">
        <is>
          <t>VALOR COM BDI:</t>
        </is>
      </c>
      <c r="F3129" s="56" t="n"/>
      <c r="G3129" s="66">
        <f>G3128 + G3127</f>
        <v/>
      </c>
    </row>
    <row r="3130" ht="10" customHeight="1">
      <c r="A3130" s="2" t="inlineStr"/>
      <c r="B3130" s="2" t="inlineStr"/>
      <c r="C3130" s="2" t="inlineStr"/>
      <c r="D3130" s="2" t="inlineStr"/>
      <c r="E3130" s="18" t="inlineStr"/>
    </row>
    <row r="3131" ht="20" customHeight="1">
      <c r="A3131" s="19" t="inlineStr">
        <is>
          <t>9.4.3.1. ​91882​ LUVA PARA ELETRODUTO, PVC, ROSCÁVEL, DN 20 MM (1/2"), PARA CIRCUITOS TERMINAIS, INSTALADA EM PAREDE - FORNECIMENTO E INSTALAÇÃO.AF_03/2023​ (UN)</t>
        </is>
      </c>
      <c r="B3131" s="55" t="n"/>
      <c r="C3131" s="55" t="n"/>
      <c r="D3131" s="55" t="n"/>
      <c r="E3131" s="55" t="n"/>
      <c r="F3131" s="55" t="n"/>
      <c r="G3131" s="56" t="n"/>
    </row>
    <row r="3132" ht="15" customHeight="1">
      <c r="A3132" s="20" t="inlineStr">
        <is>
          <t>Material</t>
        </is>
      </c>
      <c r="B3132" s="56" t="n"/>
      <c r="C3132" s="21" t="inlineStr">
        <is>
          <t>FONTE</t>
        </is>
      </c>
      <c r="D3132" s="21" t="inlineStr">
        <is>
          <t>UNID</t>
        </is>
      </c>
      <c r="E3132" s="21" t="inlineStr">
        <is>
          <t>COEFICIENTE</t>
        </is>
      </c>
      <c r="F3132" s="21" t="inlineStr">
        <is>
          <t>PREÇO UNITÁRIO</t>
        </is>
      </c>
      <c r="G3132" s="21" t="inlineStr">
        <is>
          <t>TOTAL</t>
        </is>
      </c>
    </row>
    <row r="3133" ht="21" customHeight="1">
      <c r="A3133" s="22" t="inlineStr">
        <is>
          <t>00001901</t>
        </is>
      </c>
      <c r="B3133" s="23" t="inlineStr">
        <is>
          <t>LUVA EM PVC RIGIDO ROSCAVEL, DE 1/2", PARA ELETRODUTO</t>
        </is>
      </c>
      <c r="C3133" s="22" t="inlineStr">
        <is>
          <t>SINAPI</t>
        </is>
      </c>
      <c r="D3133" s="22" t="inlineStr">
        <is>
          <t>UN</t>
        </is>
      </c>
      <c r="E3133" s="63" t="n">
        <v>1</v>
      </c>
      <c r="F3133" s="64">
        <f>ROUND(M3133*FATOR, 2)</f>
        <v/>
      </c>
      <c r="G3133" s="64">
        <f>TRUNC(TRUNC(E3133,8)*F3133,2)</f>
        <v/>
      </c>
      <c r="L3133" t="n">
        <v>1</v>
      </c>
      <c r="M3133" t="n">
        <v>0.6</v>
      </c>
      <c r="N3133">
        <f>(M3133-F3133)</f>
        <v/>
      </c>
    </row>
    <row r="3134" ht="15" customHeight="1">
      <c r="A3134" s="2" t="inlineStr"/>
      <c r="B3134" s="2" t="inlineStr"/>
      <c r="C3134" s="2" t="inlineStr"/>
      <c r="D3134" s="2" t="inlineStr"/>
      <c r="E3134" s="26" t="inlineStr">
        <is>
          <t>TOTAL Material:</t>
        </is>
      </c>
      <c r="F3134" s="56" t="n"/>
      <c r="G3134" s="65">
        <f>SUM(G3133:G3133)</f>
        <v/>
      </c>
    </row>
    <row r="3135" ht="15" customHeight="1">
      <c r="A3135" s="20" t="inlineStr">
        <is>
          <t>Mão de Obra com Encargos Complementares</t>
        </is>
      </c>
      <c r="B3135" s="56" t="n"/>
      <c r="C3135" s="21" t="inlineStr">
        <is>
          <t>FONTE</t>
        </is>
      </c>
      <c r="D3135" s="21" t="inlineStr">
        <is>
          <t>UNID</t>
        </is>
      </c>
      <c r="E3135" s="21" t="inlineStr">
        <is>
          <t>COEFICIENTE</t>
        </is>
      </c>
      <c r="F3135" s="21" t="inlineStr">
        <is>
          <t>PREÇO UNITÁRIO</t>
        </is>
      </c>
      <c r="G3135" s="21" t="inlineStr">
        <is>
          <t>TOTAL</t>
        </is>
      </c>
    </row>
    <row r="3136" ht="21" customHeight="1">
      <c r="A3136" s="22" t="inlineStr">
        <is>
          <t>88247</t>
        </is>
      </c>
      <c r="B3136" s="23" t="inlineStr">
        <is>
          <t>AUXILIAR DE ELETRICISTA COM ENCARGOS COMPLEMENTARES</t>
        </is>
      </c>
      <c r="C3136" s="22" t="inlineStr">
        <is>
          <t>SINAPI</t>
        </is>
      </c>
      <c r="D3136" s="22" t="inlineStr">
        <is>
          <t>H</t>
        </is>
      </c>
      <c r="E3136" s="63">
        <f>L3136*FATOR</f>
        <v/>
      </c>
      <c r="F3136" s="64">
        <f>'COMPOSICOES AUXILIARES'!G505</f>
        <v/>
      </c>
      <c r="G3136" s="64">
        <f>TRUNC(TRUNC(E3136,8)*F3136,2)</f>
        <v/>
      </c>
      <c r="L3136" t="n">
        <v>0.181</v>
      </c>
      <c r="M3136" t="n">
        <v>25.22</v>
      </c>
      <c r="N3136">
        <f>(M3136-F3136)</f>
        <v/>
      </c>
    </row>
    <row r="3137" ht="15" customHeight="1">
      <c r="A3137" s="22" t="inlineStr">
        <is>
          <t>88264</t>
        </is>
      </c>
      <c r="B3137" s="23" t="inlineStr">
        <is>
          <t>ELETRICISTA COM ENCARGOS COMPLEMENTARES</t>
        </is>
      </c>
      <c r="C3137" s="22" t="inlineStr">
        <is>
          <t>SINAPI</t>
        </is>
      </c>
      <c r="D3137" s="22" t="inlineStr">
        <is>
          <t>H</t>
        </is>
      </c>
      <c r="E3137" s="63">
        <f>L3137*FATOR</f>
        <v/>
      </c>
      <c r="F3137" s="64">
        <f>'COMPOSICOES AUXILIARES'!G505</f>
        <v/>
      </c>
      <c r="G3137" s="64">
        <f>TRUNC(TRUNC(E3137,8)*F3137,2)</f>
        <v/>
      </c>
      <c r="L3137" t="n">
        <v>0.181</v>
      </c>
      <c r="M3137" t="n">
        <v>30.96</v>
      </c>
      <c r="N3137">
        <f>(M3137-F3137)</f>
        <v/>
      </c>
    </row>
    <row r="3138" ht="18" customHeight="1">
      <c r="A3138" s="2" t="inlineStr"/>
      <c r="B3138" s="2" t="inlineStr"/>
      <c r="C3138" s="2" t="inlineStr"/>
      <c r="D3138" s="2" t="inlineStr"/>
      <c r="E3138" s="26" t="inlineStr">
        <is>
          <t>TOTAL Mão de Obra com Encargos Complementares:</t>
        </is>
      </c>
      <c r="F3138" s="56" t="n"/>
      <c r="G3138" s="65">
        <f>SUM(G3136:G3137)</f>
        <v/>
      </c>
    </row>
    <row r="3139" ht="15" customHeight="1">
      <c r="A3139" s="2" t="inlineStr"/>
      <c r="B3139" s="2" t="inlineStr"/>
      <c r="C3139" s="2" t="inlineStr"/>
      <c r="D3139" s="2" t="inlineStr"/>
      <c r="E3139" s="28" t="inlineStr">
        <is>
          <t>VALOR:</t>
        </is>
      </c>
      <c r="F3139" s="56" t="n"/>
      <c r="G3139" s="66">
        <f>SUM(G3138,G3134)</f>
        <v/>
      </c>
    </row>
    <row r="3140" ht="15" customHeight="1">
      <c r="A3140" s="2" t="inlineStr"/>
      <c r="B3140" s="2" t="inlineStr"/>
      <c r="C3140" s="2" t="inlineStr"/>
      <c r="D3140" s="2" t="inlineStr"/>
      <c r="E3140" s="28" t="inlineStr">
        <is>
          <t>VALOR BDI (23.08%):</t>
        </is>
      </c>
      <c r="F3140" s="56" t="n"/>
      <c r="G3140" s="66">
        <f>ROUNDDOWN(G3139*BDI,2)</f>
        <v/>
      </c>
    </row>
    <row r="3141" ht="15" customHeight="1">
      <c r="A3141" s="2" t="inlineStr"/>
      <c r="B3141" s="2" t="inlineStr"/>
      <c r="C3141" s="2" t="inlineStr"/>
      <c r="D3141" s="2" t="inlineStr"/>
      <c r="E3141" s="28" t="inlineStr">
        <is>
          <t>VALOR COM BDI:</t>
        </is>
      </c>
      <c r="F3141" s="56" t="n"/>
      <c r="G3141" s="66">
        <f>G3140 + G3139</f>
        <v/>
      </c>
    </row>
    <row r="3142" ht="10" customHeight="1">
      <c r="A3142" s="2" t="inlineStr"/>
      <c r="B3142" s="2" t="inlineStr"/>
      <c r="C3142" s="2" t="inlineStr"/>
      <c r="D3142" s="2" t="inlineStr"/>
      <c r="E3142" s="18" t="inlineStr"/>
    </row>
    <row r="3143" ht="20" customHeight="1">
      <c r="A3143" s="19" t="inlineStr">
        <is>
          <t>9.4.3.2. ​91886​ LUVA PARA ELETRODUTO, PVC, ROSCÁVEL, DN 40 MM (1 1/4"), PARA CIRCUITOS TERMINAIS, INSTALADA EM PAREDE - FORNECIMENTO E INSTALAÇÃO.AF_03/2023​ (UN)</t>
        </is>
      </c>
      <c r="B3143" s="55" t="n"/>
      <c r="C3143" s="55" t="n"/>
      <c r="D3143" s="55" t="n"/>
      <c r="E3143" s="55" t="n"/>
      <c r="F3143" s="55" t="n"/>
      <c r="G3143" s="56" t="n"/>
    </row>
    <row r="3144" ht="15" customHeight="1">
      <c r="A3144" s="20" t="inlineStr">
        <is>
          <t>Material</t>
        </is>
      </c>
      <c r="B3144" s="56" t="n"/>
      <c r="C3144" s="21" t="inlineStr">
        <is>
          <t>FONTE</t>
        </is>
      </c>
      <c r="D3144" s="21" t="inlineStr">
        <is>
          <t>UNID</t>
        </is>
      </c>
      <c r="E3144" s="21" t="inlineStr">
        <is>
          <t>COEFICIENTE</t>
        </is>
      </c>
      <c r="F3144" s="21" t="inlineStr">
        <is>
          <t>PREÇO UNITÁRIO</t>
        </is>
      </c>
      <c r="G3144" s="21" t="inlineStr">
        <is>
          <t>TOTAL</t>
        </is>
      </c>
    </row>
    <row r="3145" ht="21" customHeight="1">
      <c r="A3145" s="22" t="inlineStr">
        <is>
          <t>00001902</t>
        </is>
      </c>
      <c r="B3145" s="23" t="inlineStr">
        <is>
          <t>LUVA EM PVC RIGIDO ROSCAVEL, DE 1 1/4", PARA ELETRODUTO</t>
        </is>
      </c>
      <c r="C3145" s="22" t="inlineStr">
        <is>
          <t>SINAPI</t>
        </is>
      </c>
      <c r="D3145" s="22" t="inlineStr">
        <is>
          <t>UN</t>
        </is>
      </c>
      <c r="E3145" s="63" t="n">
        <v>1</v>
      </c>
      <c r="F3145" s="64">
        <f>ROUND(M3145*FATOR, 2)</f>
        <v/>
      </c>
      <c r="G3145" s="64">
        <f>TRUNC(TRUNC(E3145,8)*F3145,2)</f>
        <v/>
      </c>
      <c r="L3145" t="n">
        <v>1</v>
      </c>
      <c r="M3145" t="n">
        <v>1.94</v>
      </c>
      <c r="N3145">
        <f>(M3145-F3145)</f>
        <v/>
      </c>
    </row>
    <row r="3146" ht="15" customHeight="1">
      <c r="A3146" s="2" t="inlineStr"/>
      <c r="B3146" s="2" t="inlineStr"/>
      <c r="C3146" s="2" t="inlineStr"/>
      <c r="D3146" s="2" t="inlineStr"/>
      <c r="E3146" s="26" t="inlineStr">
        <is>
          <t>TOTAL Material:</t>
        </is>
      </c>
      <c r="F3146" s="56" t="n"/>
      <c r="G3146" s="65">
        <f>SUM(G3145:G3145)</f>
        <v/>
      </c>
    </row>
    <row r="3147" ht="15" customHeight="1">
      <c r="A3147" s="20" t="inlineStr">
        <is>
          <t>Mão de Obra com Encargos Complementares</t>
        </is>
      </c>
      <c r="B3147" s="56" t="n"/>
      <c r="C3147" s="21" t="inlineStr">
        <is>
          <t>FONTE</t>
        </is>
      </c>
      <c r="D3147" s="21" t="inlineStr">
        <is>
          <t>UNID</t>
        </is>
      </c>
      <c r="E3147" s="21" t="inlineStr">
        <is>
          <t>COEFICIENTE</t>
        </is>
      </c>
      <c r="F3147" s="21" t="inlineStr">
        <is>
          <t>PREÇO UNITÁRIO</t>
        </is>
      </c>
      <c r="G3147" s="21" t="inlineStr">
        <is>
          <t>TOTAL</t>
        </is>
      </c>
    </row>
    <row r="3148" ht="21" customHeight="1">
      <c r="A3148" s="22" t="inlineStr">
        <is>
          <t>88247</t>
        </is>
      </c>
      <c r="B3148" s="23" t="inlineStr">
        <is>
          <t>AUXILIAR DE ELETRICISTA COM ENCARGOS COMPLEMENTARES</t>
        </is>
      </c>
      <c r="C3148" s="22" t="inlineStr">
        <is>
          <t>SINAPI</t>
        </is>
      </c>
      <c r="D3148" s="22" t="inlineStr">
        <is>
          <t>H</t>
        </is>
      </c>
      <c r="E3148" s="63">
        <f>L3148*FATOR</f>
        <v/>
      </c>
      <c r="F3148" s="64">
        <f>'COMPOSICOES AUXILIARES'!G505</f>
        <v/>
      </c>
      <c r="G3148" s="64">
        <f>TRUNC(TRUNC(E3148,8)*F3148,2)</f>
        <v/>
      </c>
      <c r="L3148" t="n">
        <v>0.244</v>
      </c>
      <c r="M3148" t="n">
        <v>25.22</v>
      </c>
      <c r="N3148">
        <f>(M3148-F3148)</f>
        <v/>
      </c>
    </row>
    <row r="3149" ht="15" customHeight="1">
      <c r="A3149" s="22" t="inlineStr">
        <is>
          <t>88264</t>
        </is>
      </c>
      <c r="B3149" s="23" t="inlineStr">
        <is>
          <t>ELETRICISTA COM ENCARGOS COMPLEMENTARES</t>
        </is>
      </c>
      <c r="C3149" s="22" t="inlineStr">
        <is>
          <t>SINAPI</t>
        </is>
      </c>
      <c r="D3149" s="22" t="inlineStr">
        <is>
          <t>H</t>
        </is>
      </c>
      <c r="E3149" s="63">
        <f>L3149*FATOR</f>
        <v/>
      </c>
      <c r="F3149" s="64">
        <f>'COMPOSICOES AUXILIARES'!G505</f>
        <v/>
      </c>
      <c r="G3149" s="64">
        <f>TRUNC(TRUNC(E3149,8)*F3149,2)</f>
        <v/>
      </c>
      <c r="L3149" t="n">
        <v>0.244</v>
      </c>
      <c r="M3149" t="n">
        <v>30.96</v>
      </c>
      <c r="N3149">
        <f>(M3149-F3149)</f>
        <v/>
      </c>
    </row>
    <row r="3150" ht="18" customHeight="1">
      <c r="A3150" s="2" t="inlineStr"/>
      <c r="B3150" s="2" t="inlineStr"/>
      <c r="C3150" s="2" t="inlineStr"/>
      <c r="D3150" s="2" t="inlineStr"/>
      <c r="E3150" s="26" t="inlineStr">
        <is>
          <t>TOTAL Mão de Obra com Encargos Complementares:</t>
        </is>
      </c>
      <c r="F3150" s="56" t="n"/>
      <c r="G3150" s="65">
        <f>SUM(G3148:G3149)</f>
        <v/>
      </c>
    </row>
    <row r="3151" ht="15" customHeight="1">
      <c r="A3151" s="2" t="inlineStr"/>
      <c r="B3151" s="2" t="inlineStr"/>
      <c r="C3151" s="2" t="inlineStr"/>
      <c r="D3151" s="2" t="inlineStr"/>
      <c r="E3151" s="28" t="inlineStr">
        <is>
          <t>VALOR:</t>
        </is>
      </c>
      <c r="F3151" s="56" t="n"/>
      <c r="G3151" s="66">
        <f>SUM(G3146,G3150)</f>
        <v/>
      </c>
    </row>
    <row r="3152" ht="15" customHeight="1">
      <c r="A3152" s="2" t="inlineStr"/>
      <c r="B3152" s="2" t="inlineStr"/>
      <c r="C3152" s="2" t="inlineStr"/>
      <c r="D3152" s="2" t="inlineStr"/>
      <c r="E3152" s="28" t="inlineStr">
        <is>
          <t>VALOR BDI (23.08%):</t>
        </is>
      </c>
      <c r="F3152" s="56" t="n"/>
      <c r="G3152" s="66">
        <f>ROUNDDOWN(G3151*BDI,2)</f>
        <v/>
      </c>
    </row>
    <row r="3153" ht="15" customHeight="1">
      <c r="A3153" s="2" t="inlineStr"/>
      <c r="B3153" s="2" t="inlineStr"/>
      <c r="C3153" s="2" t="inlineStr"/>
      <c r="D3153" s="2" t="inlineStr"/>
      <c r="E3153" s="28" t="inlineStr">
        <is>
          <t>VALOR COM BDI:</t>
        </is>
      </c>
      <c r="F3153" s="56" t="n"/>
      <c r="G3153" s="66">
        <f>G3152 + G3151</f>
        <v/>
      </c>
    </row>
    <row r="3154" ht="10" customHeight="1">
      <c r="A3154" s="2" t="inlineStr"/>
      <c r="B3154" s="2" t="inlineStr"/>
      <c r="C3154" s="2" t="inlineStr"/>
      <c r="D3154" s="2" t="inlineStr"/>
      <c r="E3154" s="18" t="inlineStr"/>
    </row>
    <row r="3155" ht="20" customHeight="1">
      <c r="A3155" s="19" t="inlineStr">
        <is>
          <t>9.5.1.1. ​388 PRÓPRIO​ ELETRODUTO DE AÇO GALVANIZADO LEVE, INCLUSIVE CONEXÕES, SUPORTES EFIXAÇÃO DN 20 (3/4")​ (M)</t>
        </is>
      </c>
      <c r="B3155" s="55" t="n"/>
      <c r="C3155" s="55" t="n"/>
      <c r="D3155" s="55" t="n"/>
      <c r="E3155" s="55" t="n"/>
      <c r="F3155" s="55" t="n"/>
      <c r="G3155" s="56" t="n"/>
    </row>
    <row r="3156" ht="15" customHeight="1">
      <c r="A3156" s="20" t="inlineStr">
        <is>
          <t>Material</t>
        </is>
      </c>
      <c r="B3156" s="56" t="n"/>
      <c r="C3156" s="21" t="inlineStr">
        <is>
          <t>FONTE</t>
        </is>
      </c>
      <c r="D3156" s="21" t="inlineStr">
        <is>
          <t>UNID</t>
        </is>
      </c>
      <c r="E3156" s="21" t="inlineStr">
        <is>
          <t>COEFICIENTE</t>
        </is>
      </c>
      <c r="F3156" s="21" t="inlineStr">
        <is>
          <t>PREÇO UNITÁRIO</t>
        </is>
      </c>
      <c r="G3156" s="21" t="inlineStr">
        <is>
          <t>TOTAL</t>
        </is>
      </c>
    </row>
    <row r="3157" ht="21" customHeight="1">
      <c r="A3157" s="22" t="inlineStr">
        <is>
          <t>00021128</t>
        </is>
      </c>
      <c r="B3157" s="23" t="inlineStr">
        <is>
          <t>ELETRODUTO EM ACO GALVANIZADO ELETROLITICO, LEVE, DIAMETRO 3/4", PAREDE DE 0,90 MM</t>
        </is>
      </c>
      <c r="C3157" s="22" t="inlineStr">
        <is>
          <t>SINAPI</t>
        </is>
      </c>
      <c r="D3157" s="22" t="inlineStr">
        <is>
          <t>M</t>
        </is>
      </c>
      <c r="E3157" s="63" t="n">
        <v>1.1</v>
      </c>
      <c r="F3157" s="64">
        <f>ROUND(M3157*FATOR, 2)</f>
        <v/>
      </c>
      <c r="G3157" s="64">
        <f>ROUND(ROUND(E3157,8)*F3157,2)</f>
        <v/>
      </c>
      <c r="L3157" t="n">
        <v>1.1</v>
      </c>
      <c r="M3157" t="n">
        <v>8.24</v>
      </c>
      <c r="N3157">
        <f>(M3157-F3157)</f>
        <v/>
      </c>
    </row>
    <row r="3158" ht="15" customHeight="1">
      <c r="A3158" s="2" t="inlineStr"/>
      <c r="B3158" s="2" t="inlineStr"/>
      <c r="C3158" s="2" t="inlineStr"/>
      <c r="D3158" s="2" t="inlineStr"/>
      <c r="E3158" s="26" t="inlineStr">
        <is>
          <t>TOTAL Material:</t>
        </is>
      </c>
      <c r="F3158" s="56" t="n"/>
      <c r="G3158" s="65">
        <f>SUM(G3157:G3157)</f>
        <v/>
      </c>
    </row>
    <row r="3159" ht="15" customHeight="1">
      <c r="A3159" s="20" t="inlineStr">
        <is>
          <t>Mão de Obra com Encargos Complementares</t>
        </is>
      </c>
      <c r="B3159" s="56" t="n"/>
      <c r="C3159" s="21" t="inlineStr">
        <is>
          <t>FONTE</t>
        </is>
      </c>
      <c r="D3159" s="21" t="inlineStr">
        <is>
          <t>UNID</t>
        </is>
      </c>
      <c r="E3159" s="21" t="inlineStr">
        <is>
          <t>COEFICIENTE</t>
        </is>
      </c>
      <c r="F3159" s="21" t="inlineStr">
        <is>
          <t>PREÇO UNITÁRIO</t>
        </is>
      </c>
      <c r="G3159" s="21" t="inlineStr">
        <is>
          <t>TOTAL</t>
        </is>
      </c>
    </row>
    <row r="3160" ht="21" customHeight="1">
      <c r="A3160" s="22" t="inlineStr">
        <is>
          <t>88243</t>
        </is>
      </c>
      <c r="B3160" s="23" t="inlineStr">
        <is>
          <t>AJUDANTE ESPECIALIZADO COM ENCARGOS COMPLEMENTARES</t>
        </is>
      </c>
      <c r="C3160" s="22" t="inlineStr">
        <is>
          <t>SINAPI</t>
        </is>
      </c>
      <c r="D3160" s="22" t="inlineStr">
        <is>
          <t>H</t>
        </is>
      </c>
      <c r="E3160" s="63">
        <f>L3160*FATOR</f>
        <v/>
      </c>
      <c r="F3160" s="64">
        <f>'COMPOSICOES AUXILIARES'!G106</f>
        <v/>
      </c>
      <c r="G3160" s="64">
        <f>ROUND(ROUND(E3160,8)*F3160,2)</f>
        <v/>
      </c>
      <c r="L3160" t="n">
        <v>0.3</v>
      </c>
      <c r="M3160" t="n">
        <v>23.76</v>
      </c>
      <c r="N3160">
        <f>(M3160-F3160)</f>
        <v/>
      </c>
    </row>
    <row r="3161" ht="15" customHeight="1">
      <c r="A3161" s="22" t="inlineStr">
        <is>
          <t>88264</t>
        </is>
      </c>
      <c r="B3161" s="23" t="inlineStr">
        <is>
          <t>ELETRICISTA COM ENCARGOS COMPLEMENTARES</t>
        </is>
      </c>
      <c r="C3161" s="22" t="inlineStr">
        <is>
          <t>SINAPI</t>
        </is>
      </c>
      <c r="D3161" s="22" t="inlineStr">
        <is>
          <t>H</t>
        </is>
      </c>
      <c r="E3161" s="63">
        <f>L3161*FATOR</f>
        <v/>
      </c>
      <c r="F3161" s="64">
        <f>'COMPOSICOES AUXILIARES'!G505</f>
        <v/>
      </c>
      <c r="G3161" s="64">
        <f>ROUND(ROUND(E3161,8)*F3161,2)</f>
        <v/>
      </c>
      <c r="L3161" t="n">
        <v>0.3</v>
      </c>
      <c r="M3161" t="n">
        <v>30.96</v>
      </c>
      <c r="N3161">
        <f>(M3161-F3161)</f>
        <v/>
      </c>
    </row>
    <row r="3162" ht="18" customHeight="1">
      <c r="A3162" s="2" t="inlineStr"/>
      <c r="B3162" s="2" t="inlineStr"/>
      <c r="C3162" s="2" t="inlineStr"/>
      <c r="D3162" s="2" t="inlineStr"/>
      <c r="E3162" s="26" t="inlineStr">
        <is>
          <t>TOTAL Mão de Obra com Encargos Complementares:</t>
        </is>
      </c>
      <c r="F3162" s="56" t="n"/>
      <c r="G3162" s="65">
        <f>SUM(G3160:G3161)</f>
        <v/>
      </c>
    </row>
    <row r="3163" ht="15" customHeight="1">
      <c r="A3163" s="2" t="inlineStr"/>
      <c r="B3163" s="2" t="inlineStr"/>
      <c r="C3163" s="2" t="inlineStr"/>
      <c r="D3163" s="2" t="inlineStr"/>
      <c r="E3163" s="28" t="inlineStr">
        <is>
          <t>VALOR:</t>
        </is>
      </c>
      <c r="F3163" s="56" t="n"/>
      <c r="G3163" s="66">
        <f>SUM(G3162,G3158)</f>
        <v/>
      </c>
    </row>
    <row r="3164" ht="15" customHeight="1">
      <c r="A3164" s="2" t="inlineStr"/>
      <c r="B3164" s="2" t="inlineStr"/>
      <c r="C3164" s="2" t="inlineStr"/>
      <c r="D3164" s="2" t="inlineStr"/>
      <c r="E3164" s="28" t="inlineStr">
        <is>
          <t>VALOR BDI (23.08%):</t>
        </is>
      </c>
      <c r="F3164" s="56" t="n"/>
      <c r="G3164" s="66">
        <f>ROUNDDOWN(G3163*BDI,2)</f>
        <v/>
      </c>
    </row>
    <row r="3165" ht="15" customHeight="1">
      <c r="A3165" s="2" t="inlineStr"/>
      <c r="B3165" s="2" t="inlineStr"/>
      <c r="C3165" s="2" t="inlineStr"/>
      <c r="D3165" s="2" t="inlineStr"/>
      <c r="E3165" s="28" t="inlineStr">
        <is>
          <t>VALOR COM BDI:</t>
        </is>
      </c>
      <c r="F3165" s="56" t="n"/>
      <c r="G3165" s="66">
        <f>G3164 + G3163</f>
        <v/>
      </c>
    </row>
    <row r="3166" ht="10" customHeight="1">
      <c r="A3166" s="2" t="inlineStr"/>
      <c r="B3166" s="2" t="inlineStr"/>
      <c r="C3166" s="2" t="inlineStr"/>
      <c r="D3166" s="2" t="inlineStr"/>
      <c r="E3166" s="18" t="inlineStr"/>
    </row>
    <row r="3167" ht="20" customHeight="1">
      <c r="A3167" s="19" t="inlineStr">
        <is>
          <t>9.5.1.2. ​389 PRÓPRIO​ ELETRODUTO DE AÇO GALVANIZADO LEVE, INCLUSIVE CONEXÕES, SUPORTES EFIXAÇÃO DN 25 (1")​ (M)</t>
        </is>
      </c>
      <c r="B3167" s="55" t="n"/>
      <c r="C3167" s="55" t="n"/>
      <c r="D3167" s="55" t="n"/>
      <c r="E3167" s="55" t="n"/>
      <c r="F3167" s="55" t="n"/>
      <c r="G3167" s="56" t="n"/>
    </row>
    <row r="3168" ht="15" customHeight="1">
      <c r="A3168" s="20" t="inlineStr">
        <is>
          <t>Material</t>
        </is>
      </c>
      <c r="B3168" s="56" t="n"/>
      <c r="C3168" s="21" t="inlineStr">
        <is>
          <t>FONTE</t>
        </is>
      </c>
      <c r="D3168" s="21" t="inlineStr">
        <is>
          <t>UNID</t>
        </is>
      </c>
      <c r="E3168" s="21" t="inlineStr">
        <is>
          <t>COEFICIENTE</t>
        </is>
      </c>
      <c r="F3168" s="21" t="inlineStr">
        <is>
          <t>PREÇO UNITÁRIO</t>
        </is>
      </c>
      <c r="G3168" s="21" t="inlineStr">
        <is>
          <t>TOTAL</t>
        </is>
      </c>
    </row>
    <row r="3169" ht="21" customHeight="1">
      <c r="A3169" s="22" t="inlineStr">
        <is>
          <t>00021136..</t>
        </is>
      </c>
      <c r="B3169" s="23" t="inlineStr">
        <is>
          <t>ELETRODUTO EM ACO GALVANIZADO ELETROLITICO, LEVE, DIAMETRO 1", PAREDE DE 0,90 MM</t>
        </is>
      </c>
      <c r="C3169" s="22" t="inlineStr">
        <is>
          <t xml:space="preserve">Composições </t>
        </is>
      </c>
      <c r="D3169" s="22" t="inlineStr">
        <is>
          <t>M</t>
        </is>
      </c>
      <c r="E3169" s="63" t="n">
        <v>1.1</v>
      </c>
      <c r="F3169" s="64">
        <f>ROUND(M3169*FATOR, 2)</f>
        <v/>
      </c>
      <c r="G3169" s="64">
        <f>ROUND(ROUND(E3169,8)*F3169,2)</f>
        <v/>
      </c>
      <c r="L3169" t="n">
        <v>1.1</v>
      </c>
      <c r="M3169" t="n">
        <v>13.72</v>
      </c>
      <c r="N3169">
        <f>(M3169-F3169)</f>
        <v/>
      </c>
    </row>
    <row r="3170" ht="15" customHeight="1">
      <c r="A3170" s="2" t="inlineStr"/>
      <c r="B3170" s="2" t="inlineStr"/>
      <c r="C3170" s="2" t="inlineStr"/>
      <c r="D3170" s="2" t="inlineStr"/>
      <c r="E3170" s="26" t="inlineStr">
        <is>
          <t>TOTAL Material:</t>
        </is>
      </c>
      <c r="F3170" s="56" t="n"/>
      <c r="G3170" s="65">
        <f>SUM(G3169:G3169)</f>
        <v/>
      </c>
    </row>
    <row r="3171" ht="15" customHeight="1">
      <c r="A3171" s="20" t="inlineStr">
        <is>
          <t>Mão de Obra com Encargos Complementares</t>
        </is>
      </c>
      <c r="B3171" s="56" t="n"/>
      <c r="C3171" s="21" t="inlineStr">
        <is>
          <t>FONTE</t>
        </is>
      </c>
      <c r="D3171" s="21" t="inlineStr">
        <is>
          <t>UNID</t>
        </is>
      </c>
      <c r="E3171" s="21" t="inlineStr">
        <is>
          <t>COEFICIENTE</t>
        </is>
      </c>
      <c r="F3171" s="21" t="inlineStr">
        <is>
          <t>PREÇO UNITÁRIO</t>
        </is>
      </c>
      <c r="G3171" s="21" t="inlineStr">
        <is>
          <t>TOTAL</t>
        </is>
      </c>
    </row>
    <row r="3172" ht="21" customHeight="1">
      <c r="A3172" s="22" t="inlineStr">
        <is>
          <t>88243</t>
        </is>
      </c>
      <c r="B3172" s="23" t="inlineStr">
        <is>
          <t>AJUDANTE ESPECIALIZADO COM ENCARGOS COMPLEMENTARES</t>
        </is>
      </c>
      <c r="C3172" s="22" t="inlineStr">
        <is>
          <t>SINAPI</t>
        </is>
      </c>
      <c r="D3172" s="22" t="inlineStr">
        <is>
          <t>H</t>
        </is>
      </c>
      <c r="E3172" s="63">
        <f>L3172*FATOR</f>
        <v/>
      </c>
      <c r="F3172" s="64">
        <f>'COMPOSICOES AUXILIARES'!G106</f>
        <v/>
      </c>
      <c r="G3172" s="64">
        <f>ROUND(ROUND(E3172,8)*F3172,2)</f>
        <v/>
      </c>
      <c r="L3172" t="n">
        <v>0.4</v>
      </c>
      <c r="M3172" t="n">
        <v>23.76</v>
      </c>
      <c r="N3172">
        <f>(M3172-F3172)</f>
        <v/>
      </c>
    </row>
    <row r="3173" ht="15" customHeight="1">
      <c r="A3173" s="22" t="inlineStr">
        <is>
          <t>88264</t>
        </is>
      </c>
      <c r="B3173" s="23" t="inlineStr">
        <is>
          <t>ELETRICISTA COM ENCARGOS COMPLEMENTARES</t>
        </is>
      </c>
      <c r="C3173" s="22" t="inlineStr">
        <is>
          <t>SINAPI</t>
        </is>
      </c>
      <c r="D3173" s="22" t="inlineStr">
        <is>
          <t>H</t>
        </is>
      </c>
      <c r="E3173" s="63">
        <f>L3173*FATOR</f>
        <v/>
      </c>
      <c r="F3173" s="64">
        <f>'COMPOSICOES AUXILIARES'!G505</f>
        <v/>
      </c>
      <c r="G3173" s="64">
        <f>ROUND(ROUND(E3173,8)*F3173,2)</f>
        <v/>
      </c>
      <c r="L3173" t="n">
        <v>0.4</v>
      </c>
      <c r="M3173" t="n">
        <v>30.96</v>
      </c>
      <c r="N3173">
        <f>(M3173-F3173)</f>
        <v/>
      </c>
    </row>
    <row r="3174" ht="18" customHeight="1">
      <c r="A3174" s="2" t="inlineStr"/>
      <c r="B3174" s="2" t="inlineStr"/>
      <c r="C3174" s="2" t="inlineStr"/>
      <c r="D3174" s="2" t="inlineStr"/>
      <c r="E3174" s="26" t="inlineStr">
        <is>
          <t>TOTAL Mão de Obra com Encargos Complementares:</t>
        </is>
      </c>
      <c r="F3174" s="56" t="n"/>
      <c r="G3174" s="65">
        <f>SUM(G3172:G3173)</f>
        <v/>
      </c>
    </row>
    <row r="3175" ht="15" customHeight="1">
      <c r="A3175" s="2" t="inlineStr"/>
      <c r="B3175" s="2" t="inlineStr"/>
      <c r="C3175" s="2" t="inlineStr"/>
      <c r="D3175" s="2" t="inlineStr"/>
      <c r="E3175" s="28" t="inlineStr">
        <is>
          <t>VALOR:</t>
        </is>
      </c>
      <c r="F3175" s="56" t="n"/>
      <c r="G3175" s="66">
        <f>SUM(G3170,G3174)</f>
        <v/>
      </c>
    </row>
    <row r="3176" ht="15" customHeight="1">
      <c r="A3176" s="2" t="inlineStr"/>
      <c r="B3176" s="2" t="inlineStr"/>
      <c r="C3176" s="2" t="inlineStr"/>
      <c r="D3176" s="2" t="inlineStr"/>
      <c r="E3176" s="28" t="inlineStr">
        <is>
          <t>VALOR BDI (23.08%):</t>
        </is>
      </c>
      <c r="F3176" s="56" t="n"/>
      <c r="G3176" s="66">
        <f>ROUNDDOWN(G3175*BDI,2)</f>
        <v/>
      </c>
    </row>
    <row r="3177" ht="15" customHeight="1">
      <c r="A3177" s="2" t="inlineStr"/>
      <c r="B3177" s="2" t="inlineStr"/>
      <c r="C3177" s="2" t="inlineStr"/>
      <c r="D3177" s="2" t="inlineStr"/>
      <c r="E3177" s="28" t="inlineStr">
        <is>
          <t>VALOR COM BDI:</t>
        </is>
      </c>
      <c r="F3177" s="56" t="n"/>
      <c r="G3177" s="66">
        <f>G3176 + G3175</f>
        <v/>
      </c>
    </row>
    <row r="3178" ht="10" customHeight="1">
      <c r="A3178" s="2" t="inlineStr"/>
      <c r="B3178" s="2" t="inlineStr"/>
      <c r="C3178" s="2" t="inlineStr"/>
      <c r="D3178" s="2" t="inlineStr"/>
      <c r="E3178" s="18" t="inlineStr"/>
    </row>
    <row r="3179" ht="20" customHeight="1">
      <c r="A3179" s="19" t="inlineStr">
        <is>
          <t>9.5.1.3. ​390 PRÓPRIO​ ELETRODUTO DE AÇO GALVANIZADO MÉDIO, INCLUSIVE CONEXÕES, SUPORTESE FIXAÇÃO DN 32 (1.1/4")​ (M)</t>
        </is>
      </c>
      <c r="B3179" s="55" t="n"/>
      <c r="C3179" s="55" t="n"/>
      <c r="D3179" s="55" t="n"/>
      <c r="E3179" s="55" t="n"/>
      <c r="F3179" s="55" t="n"/>
      <c r="G3179" s="56" t="n"/>
    </row>
    <row r="3180" ht="15" customHeight="1">
      <c r="A3180" s="20" t="inlineStr">
        <is>
          <t>Material</t>
        </is>
      </c>
      <c r="B3180" s="56" t="n"/>
      <c r="C3180" s="21" t="inlineStr">
        <is>
          <t>FONTE</t>
        </is>
      </c>
      <c r="D3180" s="21" t="inlineStr">
        <is>
          <t>UNID</t>
        </is>
      </c>
      <c r="E3180" s="21" t="inlineStr">
        <is>
          <t>COEFICIENTE</t>
        </is>
      </c>
      <c r="F3180" s="21" t="inlineStr">
        <is>
          <t>PREÇO UNITÁRIO</t>
        </is>
      </c>
      <c r="G3180" s="21" t="inlineStr">
        <is>
          <t>TOTAL</t>
        </is>
      </c>
    </row>
    <row r="3181" ht="21" customHeight="1">
      <c r="A3181" s="22" t="inlineStr">
        <is>
          <t>00021135..</t>
        </is>
      </c>
      <c r="B3181" s="23" t="inlineStr">
        <is>
          <t>ELETRODUTO EM ACO GALVANIZADO ELETROLITICO, SEMI-PESADO, DIAMETRO 1 1/4", PAREDE DE 1,20 MM</t>
        </is>
      </c>
      <c r="C3181" s="22" t="inlineStr">
        <is>
          <t xml:space="preserve">Composições </t>
        </is>
      </c>
      <c r="D3181" s="22" t="inlineStr">
        <is>
          <t>M</t>
        </is>
      </c>
      <c r="E3181" s="63" t="n">
        <v>1.1</v>
      </c>
      <c r="F3181" s="64">
        <f>ROUND(M3181*FATOR, 2)</f>
        <v/>
      </c>
      <c r="G3181" s="64">
        <f>ROUND(ROUND(E3181,8)*F3181,2)</f>
        <v/>
      </c>
      <c r="L3181" t="n">
        <v>1.1</v>
      </c>
      <c r="M3181" t="n">
        <v>26.4</v>
      </c>
      <c r="N3181">
        <f>(M3181-F3181)</f>
        <v/>
      </c>
    </row>
    <row r="3182" ht="15" customHeight="1">
      <c r="A3182" s="2" t="inlineStr"/>
      <c r="B3182" s="2" t="inlineStr"/>
      <c r="C3182" s="2" t="inlineStr"/>
      <c r="D3182" s="2" t="inlineStr"/>
      <c r="E3182" s="26" t="inlineStr">
        <is>
          <t>TOTAL Material:</t>
        </is>
      </c>
      <c r="F3182" s="56" t="n"/>
      <c r="G3182" s="65">
        <f>SUM(G3181:G3181)</f>
        <v/>
      </c>
    </row>
    <row r="3183" ht="15" customHeight="1">
      <c r="A3183" s="20" t="inlineStr">
        <is>
          <t>Mão de Obra com Encargos Complementares</t>
        </is>
      </c>
      <c r="B3183" s="56" t="n"/>
      <c r="C3183" s="21" t="inlineStr">
        <is>
          <t>FONTE</t>
        </is>
      </c>
      <c r="D3183" s="21" t="inlineStr">
        <is>
          <t>UNID</t>
        </is>
      </c>
      <c r="E3183" s="21" t="inlineStr">
        <is>
          <t>COEFICIENTE</t>
        </is>
      </c>
      <c r="F3183" s="21" t="inlineStr">
        <is>
          <t>PREÇO UNITÁRIO</t>
        </is>
      </c>
      <c r="G3183" s="21" t="inlineStr">
        <is>
          <t>TOTAL</t>
        </is>
      </c>
    </row>
    <row r="3184" ht="21" customHeight="1">
      <c r="A3184" s="22" t="inlineStr">
        <is>
          <t>88243</t>
        </is>
      </c>
      <c r="B3184" s="23" t="inlineStr">
        <is>
          <t>AJUDANTE ESPECIALIZADO COM ENCARGOS COMPLEMENTARES</t>
        </is>
      </c>
      <c r="C3184" s="22" t="inlineStr">
        <is>
          <t>SINAPI</t>
        </is>
      </c>
      <c r="D3184" s="22" t="inlineStr">
        <is>
          <t>H</t>
        </is>
      </c>
      <c r="E3184" s="63">
        <f>L3184*FATOR</f>
        <v/>
      </c>
      <c r="F3184" s="64">
        <f>'COMPOSICOES AUXILIARES'!G106</f>
        <v/>
      </c>
      <c r="G3184" s="64">
        <f>ROUND(ROUND(E3184,8)*F3184,2)</f>
        <v/>
      </c>
      <c r="L3184" t="n">
        <v>0.5</v>
      </c>
      <c r="M3184" t="n">
        <v>23.76</v>
      </c>
      <c r="N3184">
        <f>(M3184-F3184)</f>
        <v/>
      </c>
    </row>
    <row r="3185" ht="15" customHeight="1">
      <c r="A3185" s="22" t="inlineStr">
        <is>
          <t>88264</t>
        </is>
      </c>
      <c r="B3185" s="23" t="inlineStr">
        <is>
          <t>ELETRICISTA COM ENCARGOS COMPLEMENTARES</t>
        </is>
      </c>
      <c r="C3185" s="22" t="inlineStr">
        <is>
          <t>SINAPI</t>
        </is>
      </c>
      <c r="D3185" s="22" t="inlineStr">
        <is>
          <t>H</t>
        </is>
      </c>
      <c r="E3185" s="63">
        <f>L3185*FATOR</f>
        <v/>
      </c>
      <c r="F3185" s="64">
        <f>'COMPOSICOES AUXILIARES'!G505</f>
        <v/>
      </c>
      <c r="G3185" s="64">
        <f>ROUND(ROUND(E3185,8)*F3185,2)</f>
        <v/>
      </c>
      <c r="L3185" t="n">
        <v>0.5</v>
      </c>
      <c r="M3185" t="n">
        <v>30.96</v>
      </c>
      <c r="N3185">
        <f>(M3185-F3185)</f>
        <v/>
      </c>
    </row>
    <row r="3186" ht="18" customHeight="1">
      <c r="A3186" s="2" t="inlineStr"/>
      <c r="B3186" s="2" t="inlineStr"/>
      <c r="C3186" s="2" t="inlineStr"/>
      <c r="D3186" s="2" t="inlineStr"/>
      <c r="E3186" s="26" t="inlineStr">
        <is>
          <t>TOTAL Mão de Obra com Encargos Complementares:</t>
        </is>
      </c>
      <c r="F3186" s="56" t="n"/>
      <c r="G3186" s="65">
        <f>SUM(G3184:G3185)</f>
        <v/>
      </c>
    </row>
    <row r="3187" ht="15" customHeight="1">
      <c r="A3187" s="2" t="inlineStr"/>
      <c r="B3187" s="2" t="inlineStr"/>
      <c r="C3187" s="2" t="inlineStr"/>
      <c r="D3187" s="2" t="inlineStr"/>
      <c r="E3187" s="28" t="inlineStr">
        <is>
          <t>VALOR:</t>
        </is>
      </c>
      <c r="F3187" s="56" t="n"/>
      <c r="G3187" s="66">
        <f>SUM(G3186,G3182)</f>
        <v/>
      </c>
    </row>
    <row r="3188" ht="15" customHeight="1">
      <c r="A3188" s="2" t="inlineStr"/>
      <c r="B3188" s="2" t="inlineStr"/>
      <c r="C3188" s="2" t="inlineStr"/>
      <c r="D3188" s="2" t="inlineStr"/>
      <c r="E3188" s="28" t="inlineStr">
        <is>
          <t>VALOR BDI (23.08%):</t>
        </is>
      </c>
      <c r="F3188" s="56" t="n"/>
      <c r="G3188" s="66">
        <f>ROUNDDOWN(G3187*BDI,2)</f>
        <v/>
      </c>
    </row>
    <row r="3189" ht="15" customHeight="1">
      <c r="A3189" s="2" t="inlineStr"/>
      <c r="B3189" s="2" t="inlineStr"/>
      <c r="C3189" s="2" t="inlineStr"/>
      <c r="D3189" s="2" t="inlineStr"/>
      <c r="E3189" s="28" t="inlineStr">
        <is>
          <t>VALOR COM BDI:</t>
        </is>
      </c>
      <c r="F3189" s="56" t="n"/>
      <c r="G3189" s="66">
        <f>G3188 + G3187</f>
        <v/>
      </c>
    </row>
    <row r="3190" ht="10" customHeight="1">
      <c r="A3190" s="2" t="inlineStr"/>
      <c r="B3190" s="2" t="inlineStr"/>
      <c r="C3190" s="2" t="inlineStr"/>
      <c r="D3190" s="2" t="inlineStr"/>
      <c r="E3190" s="18" t="inlineStr"/>
    </row>
    <row r="3191" ht="20" customHeight="1">
      <c r="A3191" s="19" t="inlineStr">
        <is>
          <t>9.5.2.1. ​460 PRÓPRIO​ CURVA 90 GRAUS PARA ELETRODUTO AÇO GALVANIZADO DN 20MM (3/4")​ (UN)</t>
        </is>
      </c>
      <c r="B3191" s="55" t="n"/>
      <c r="C3191" s="55" t="n"/>
      <c r="D3191" s="55" t="n"/>
      <c r="E3191" s="55" t="n"/>
      <c r="F3191" s="55" t="n"/>
      <c r="G3191" s="56" t="n"/>
    </row>
    <row r="3192" ht="15" customHeight="1">
      <c r="A3192" s="20" t="inlineStr">
        <is>
          <t>Material</t>
        </is>
      </c>
      <c r="B3192" s="56" t="n"/>
      <c r="C3192" s="21" t="inlineStr">
        <is>
          <t>FONTE</t>
        </is>
      </c>
      <c r="D3192" s="21" t="inlineStr">
        <is>
          <t>UNID</t>
        </is>
      </c>
      <c r="E3192" s="21" t="inlineStr">
        <is>
          <t>COEFICIENTE</t>
        </is>
      </c>
      <c r="F3192" s="21" t="inlineStr">
        <is>
          <t>PREÇO UNITÁRIO</t>
        </is>
      </c>
      <c r="G3192" s="21" t="inlineStr">
        <is>
          <t>TOTAL</t>
        </is>
      </c>
    </row>
    <row r="3193" ht="29" customHeight="1">
      <c r="A3193" s="22" t="inlineStr">
        <is>
          <t>00002633</t>
        </is>
      </c>
      <c r="B3193" s="23" t="inlineStr">
        <is>
          <t>CURVA 90 GRAUS PARA ELETRODUTO, EM ACO GALVANIZADO ELETROLITICO, COM ROSCA, DIAMETRO DE 20 MM (3/4"), ESPESSURA DE 1,50 MM</t>
        </is>
      </c>
      <c r="C3193" s="22" t="inlineStr">
        <is>
          <t>SINAPI</t>
        </is>
      </c>
      <c r="D3193" s="22" t="inlineStr">
        <is>
          <t>UN</t>
        </is>
      </c>
      <c r="E3193" s="63" t="n">
        <v>1</v>
      </c>
      <c r="F3193" s="64">
        <f>ROUND(M3193*FATOR, 2)</f>
        <v/>
      </c>
      <c r="G3193" s="64">
        <f>ROUND(ROUND(E3193,8)*F3193,2)</f>
        <v/>
      </c>
      <c r="L3193" t="n">
        <v>1</v>
      </c>
      <c r="M3193" t="n">
        <v>4.02</v>
      </c>
      <c r="N3193">
        <f>(M3193-F3193)</f>
        <v/>
      </c>
    </row>
    <row r="3194" ht="21" customHeight="1">
      <c r="A3194" s="22" t="inlineStr">
        <is>
          <t>I14415</t>
        </is>
      </c>
      <c r="B3194" s="23" t="inlineStr">
        <is>
          <t>Luva de emenda para eletroduto em aço galvanizado dn 25mm (1")</t>
        </is>
      </c>
      <c r="C3194" s="22" t="inlineStr">
        <is>
          <t>ORSE</t>
        </is>
      </c>
      <c r="D3194" s="22" t="inlineStr">
        <is>
          <t>un</t>
        </is>
      </c>
      <c r="E3194" s="63" t="n">
        <v>2</v>
      </c>
      <c r="F3194" s="64">
        <f>ROUND(M3194*FATOR, 2)</f>
        <v/>
      </c>
      <c r="G3194" s="64">
        <f>ROUND(ROUND(E3194,8)*F3194,2)</f>
        <v/>
      </c>
      <c r="L3194" t="n">
        <v>2</v>
      </c>
      <c r="M3194" t="n">
        <v>4.71</v>
      </c>
      <c r="N3194">
        <f>(M3194-F3194)</f>
        <v/>
      </c>
    </row>
    <row r="3195" ht="15" customHeight="1">
      <c r="A3195" s="2" t="inlineStr"/>
      <c r="B3195" s="2" t="inlineStr"/>
      <c r="C3195" s="2" t="inlineStr"/>
      <c r="D3195" s="2" t="inlineStr"/>
      <c r="E3195" s="26" t="inlineStr">
        <is>
          <t>TOTAL Material:</t>
        </is>
      </c>
      <c r="F3195" s="56" t="n"/>
      <c r="G3195" s="65">
        <f>SUM(G3193:G3194)</f>
        <v/>
      </c>
    </row>
    <row r="3196" ht="15" customHeight="1">
      <c r="A3196" s="20" t="inlineStr">
        <is>
          <t>Mão de Obra com Encargos Complementares</t>
        </is>
      </c>
      <c r="B3196" s="56" t="n"/>
      <c r="C3196" s="21" t="inlineStr">
        <is>
          <t>FONTE</t>
        </is>
      </c>
      <c r="D3196" s="21" t="inlineStr">
        <is>
          <t>UNID</t>
        </is>
      </c>
      <c r="E3196" s="21" t="inlineStr">
        <is>
          <t>COEFICIENTE</t>
        </is>
      </c>
      <c r="F3196" s="21" t="inlineStr">
        <is>
          <t>PREÇO UNITÁRIO</t>
        </is>
      </c>
      <c r="G3196" s="21" t="inlineStr">
        <is>
          <t>TOTAL</t>
        </is>
      </c>
    </row>
    <row r="3197" ht="21" customHeight="1">
      <c r="A3197" s="22" t="inlineStr">
        <is>
          <t>88243</t>
        </is>
      </c>
      <c r="B3197" s="23" t="inlineStr">
        <is>
          <t>AJUDANTE ESPECIALIZADO COM ENCARGOS COMPLEMENTARES</t>
        </is>
      </c>
      <c r="C3197" s="22" t="inlineStr">
        <is>
          <t>SINAPI</t>
        </is>
      </c>
      <c r="D3197" s="22" t="inlineStr">
        <is>
          <t>H</t>
        </is>
      </c>
      <c r="E3197" s="63">
        <f>L3197*FATOR</f>
        <v/>
      </c>
      <c r="F3197" s="64">
        <f>'COMPOSICOES AUXILIARES'!G106</f>
        <v/>
      </c>
      <c r="G3197" s="64">
        <f>ROUND(ROUND(E3197,8)*F3197,2)</f>
        <v/>
      </c>
      <c r="L3197" t="n">
        <v>0.1281</v>
      </c>
      <c r="M3197" t="n">
        <v>23.76</v>
      </c>
      <c r="N3197">
        <f>(M3197-F3197)</f>
        <v/>
      </c>
    </row>
    <row r="3198" ht="15" customHeight="1">
      <c r="A3198" s="22" t="inlineStr">
        <is>
          <t>88264</t>
        </is>
      </c>
      <c r="B3198" s="23" t="inlineStr">
        <is>
          <t>ELETRICISTA COM ENCARGOS COMPLEMENTARES</t>
        </is>
      </c>
      <c r="C3198" s="22" t="inlineStr">
        <is>
          <t>SINAPI</t>
        </is>
      </c>
      <c r="D3198" s="22" t="inlineStr">
        <is>
          <t>H</t>
        </is>
      </c>
      <c r="E3198" s="63">
        <f>L3198*FATOR</f>
        <v/>
      </c>
      <c r="F3198" s="64">
        <f>'COMPOSICOES AUXILIARES'!G505</f>
        <v/>
      </c>
      <c r="G3198" s="64">
        <f>ROUND(ROUND(E3198,8)*F3198,2)</f>
        <v/>
      </c>
      <c r="L3198" t="n">
        <v>0.1281</v>
      </c>
      <c r="M3198" t="n">
        <v>30.96</v>
      </c>
      <c r="N3198">
        <f>(M3198-F3198)</f>
        <v/>
      </c>
    </row>
    <row r="3199" ht="18" customHeight="1">
      <c r="A3199" s="2" t="inlineStr"/>
      <c r="B3199" s="2" t="inlineStr"/>
      <c r="C3199" s="2" t="inlineStr"/>
      <c r="D3199" s="2" t="inlineStr"/>
      <c r="E3199" s="26" t="inlineStr">
        <is>
          <t>TOTAL Mão de Obra com Encargos Complementares:</t>
        </is>
      </c>
      <c r="F3199" s="56" t="n"/>
      <c r="G3199" s="65">
        <f>SUM(G3197:G3198)</f>
        <v/>
      </c>
    </row>
    <row r="3200" ht="15" customHeight="1">
      <c r="A3200" s="2" t="inlineStr"/>
      <c r="B3200" s="2" t="inlineStr"/>
      <c r="C3200" s="2" t="inlineStr"/>
      <c r="D3200" s="2" t="inlineStr"/>
      <c r="E3200" s="28" t="inlineStr">
        <is>
          <t>VALOR:</t>
        </is>
      </c>
      <c r="F3200" s="56" t="n"/>
      <c r="G3200" s="66">
        <f>SUM(G3195,G3199)</f>
        <v/>
      </c>
    </row>
    <row r="3201" ht="15" customHeight="1">
      <c r="A3201" s="2" t="inlineStr"/>
      <c r="B3201" s="2" t="inlineStr"/>
      <c r="C3201" s="2" t="inlineStr"/>
      <c r="D3201" s="2" t="inlineStr"/>
      <c r="E3201" s="28" t="inlineStr">
        <is>
          <t>VALOR BDI (23.08%):</t>
        </is>
      </c>
      <c r="F3201" s="56" t="n"/>
      <c r="G3201" s="66">
        <f>ROUNDDOWN(G3200*BDI,2)</f>
        <v/>
      </c>
    </row>
    <row r="3202" ht="15" customHeight="1">
      <c r="A3202" s="2" t="inlineStr"/>
      <c r="B3202" s="2" t="inlineStr"/>
      <c r="C3202" s="2" t="inlineStr"/>
      <c r="D3202" s="2" t="inlineStr"/>
      <c r="E3202" s="28" t="inlineStr">
        <is>
          <t>VALOR COM BDI:</t>
        </is>
      </c>
      <c r="F3202" s="56" t="n"/>
      <c r="G3202" s="66">
        <f>G3201 + G3200</f>
        <v/>
      </c>
    </row>
    <row r="3203" ht="10" customHeight="1">
      <c r="A3203" s="2" t="inlineStr"/>
      <c r="B3203" s="2" t="inlineStr"/>
      <c r="C3203" s="2" t="inlineStr"/>
      <c r="D3203" s="2" t="inlineStr"/>
      <c r="E3203" s="18" t="inlineStr"/>
    </row>
    <row r="3204" ht="20" customHeight="1">
      <c r="A3204" s="19" t="inlineStr">
        <is>
          <t>9.5.2.2. ​461 PRÓPRIO​ CURVA 90 GRAUS PARA ELETRODUTO AÇO GALVANIZADO DN 25MM (1")​ (UN)</t>
        </is>
      </c>
      <c r="B3204" s="55" t="n"/>
      <c r="C3204" s="55" t="n"/>
      <c r="D3204" s="55" t="n"/>
      <c r="E3204" s="55" t="n"/>
      <c r="F3204" s="55" t="n"/>
      <c r="G3204" s="56" t="n"/>
    </row>
    <row r="3205" ht="15" customHeight="1">
      <c r="A3205" s="20" t="inlineStr">
        <is>
          <t>Material</t>
        </is>
      </c>
      <c r="B3205" s="56" t="n"/>
      <c r="C3205" s="21" t="inlineStr">
        <is>
          <t>FONTE</t>
        </is>
      </c>
      <c r="D3205" s="21" t="inlineStr">
        <is>
          <t>UNID</t>
        </is>
      </c>
      <c r="E3205" s="21" t="inlineStr">
        <is>
          <t>COEFICIENTE</t>
        </is>
      </c>
      <c r="F3205" s="21" t="inlineStr">
        <is>
          <t>PREÇO UNITÁRIO</t>
        </is>
      </c>
      <c r="G3205" s="21" t="inlineStr">
        <is>
          <t>TOTAL</t>
        </is>
      </c>
    </row>
    <row r="3206" ht="29" customHeight="1">
      <c r="A3206" s="22" t="inlineStr">
        <is>
          <t>00002617</t>
        </is>
      </c>
      <c r="B3206" s="23" t="inlineStr">
        <is>
          <t>CURVA 90 GRAUS PARA ELETRODUTO, EM ACO GALVANIZADO ELETROLITICO, COM ROSCA, DIAMETRO DE 25 MM (1"), ESPESSURA DE 1,50 MM</t>
        </is>
      </c>
      <c r="C3206" s="22" t="inlineStr">
        <is>
          <t>SINAPI</t>
        </is>
      </c>
      <c r="D3206" s="22" t="inlineStr">
        <is>
          <t>UN</t>
        </is>
      </c>
      <c r="E3206" s="63" t="n">
        <v>1</v>
      </c>
      <c r="F3206" s="64">
        <f>ROUND(M3206*FATOR, 2)</f>
        <v/>
      </c>
      <c r="G3206" s="64">
        <f>ROUND(ROUND(E3206,8)*F3206,2)</f>
        <v/>
      </c>
      <c r="L3206" t="n">
        <v>1</v>
      </c>
      <c r="M3206" t="n">
        <v>5.47</v>
      </c>
      <c r="N3206">
        <f>(M3206-F3206)</f>
        <v/>
      </c>
    </row>
    <row r="3207" ht="21" customHeight="1">
      <c r="A3207" s="22" t="inlineStr">
        <is>
          <t>I14415</t>
        </is>
      </c>
      <c r="B3207" s="23" t="inlineStr">
        <is>
          <t>Luva de emenda para eletroduto em aço galvanizado dn 25mm (1")</t>
        </is>
      </c>
      <c r="C3207" s="22" t="inlineStr">
        <is>
          <t>ORSE</t>
        </is>
      </c>
      <c r="D3207" s="22" t="inlineStr">
        <is>
          <t>un</t>
        </is>
      </c>
      <c r="E3207" s="63" t="n">
        <v>2</v>
      </c>
      <c r="F3207" s="64">
        <f>ROUND(M3207*FATOR, 2)</f>
        <v/>
      </c>
      <c r="G3207" s="64">
        <f>ROUND(ROUND(E3207,8)*F3207,2)</f>
        <v/>
      </c>
      <c r="L3207" t="n">
        <v>2</v>
      </c>
      <c r="M3207" t="n">
        <v>4.71</v>
      </c>
      <c r="N3207">
        <f>(M3207-F3207)</f>
        <v/>
      </c>
    </row>
    <row r="3208" ht="15" customHeight="1">
      <c r="A3208" s="2" t="inlineStr"/>
      <c r="B3208" s="2" t="inlineStr"/>
      <c r="C3208" s="2" t="inlineStr"/>
      <c r="D3208" s="2" t="inlineStr"/>
      <c r="E3208" s="26" t="inlineStr">
        <is>
          <t>TOTAL Material:</t>
        </is>
      </c>
      <c r="F3208" s="56" t="n"/>
      <c r="G3208" s="65">
        <f>SUM(G3206:G3207)</f>
        <v/>
      </c>
    </row>
    <row r="3209" ht="15" customHeight="1">
      <c r="A3209" s="20" t="inlineStr">
        <is>
          <t>Mão de Obra com Encargos Complementares</t>
        </is>
      </c>
      <c r="B3209" s="56" t="n"/>
      <c r="C3209" s="21" t="inlineStr">
        <is>
          <t>FONTE</t>
        </is>
      </c>
      <c r="D3209" s="21" t="inlineStr">
        <is>
          <t>UNID</t>
        </is>
      </c>
      <c r="E3209" s="21" t="inlineStr">
        <is>
          <t>COEFICIENTE</t>
        </is>
      </c>
      <c r="F3209" s="21" t="inlineStr">
        <is>
          <t>PREÇO UNITÁRIO</t>
        </is>
      </c>
      <c r="G3209" s="21" t="inlineStr">
        <is>
          <t>TOTAL</t>
        </is>
      </c>
    </row>
    <row r="3210" ht="21" customHeight="1">
      <c r="A3210" s="22" t="inlineStr">
        <is>
          <t>88243</t>
        </is>
      </c>
      <c r="B3210" s="23" t="inlineStr">
        <is>
          <t>AJUDANTE ESPECIALIZADO COM ENCARGOS COMPLEMENTARES</t>
        </is>
      </c>
      <c r="C3210" s="22" t="inlineStr">
        <is>
          <t>SINAPI</t>
        </is>
      </c>
      <c r="D3210" s="22" t="inlineStr">
        <is>
          <t>H</t>
        </is>
      </c>
      <c r="E3210" s="63">
        <f>L3210*FATOR</f>
        <v/>
      </c>
      <c r="F3210" s="64">
        <f>'COMPOSICOES AUXILIARES'!G106</f>
        <v/>
      </c>
      <c r="G3210" s="64">
        <f>ROUND(ROUND(E3210,8)*F3210,2)</f>
        <v/>
      </c>
      <c r="L3210" t="n">
        <v>0.2028</v>
      </c>
      <c r="M3210" t="n">
        <v>23.76</v>
      </c>
      <c r="N3210">
        <f>(M3210-F3210)</f>
        <v/>
      </c>
    </row>
    <row r="3211" ht="15" customHeight="1">
      <c r="A3211" s="22" t="inlineStr">
        <is>
          <t>88264</t>
        </is>
      </c>
      <c r="B3211" s="23" t="inlineStr">
        <is>
          <t>ELETRICISTA COM ENCARGOS COMPLEMENTARES</t>
        </is>
      </c>
      <c r="C3211" s="22" t="inlineStr">
        <is>
          <t>SINAPI</t>
        </is>
      </c>
      <c r="D3211" s="22" t="inlineStr">
        <is>
          <t>H</t>
        </is>
      </c>
      <c r="E3211" s="63">
        <f>L3211*FATOR</f>
        <v/>
      </c>
      <c r="F3211" s="64">
        <f>'COMPOSICOES AUXILIARES'!G505</f>
        <v/>
      </c>
      <c r="G3211" s="64">
        <f>ROUND(ROUND(E3211,8)*F3211,2)</f>
        <v/>
      </c>
      <c r="L3211" t="n">
        <v>0.2028</v>
      </c>
      <c r="M3211" t="n">
        <v>30.96</v>
      </c>
      <c r="N3211">
        <f>(M3211-F3211)</f>
        <v/>
      </c>
    </row>
    <row r="3212" ht="18" customHeight="1">
      <c r="A3212" s="2" t="inlineStr"/>
      <c r="B3212" s="2" t="inlineStr"/>
      <c r="C3212" s="2" t="inlineStr"/>
      <c r="D3212" s="2" t="inlineStr"/>
      <c r="E3212" s="26" t="inlineStr">
        <is>
          <t>TOTAL Mão de Obra com Encargos Complementares:</t>
        </is>
      </c>
      <c r="F3212" s="56" t="n"/>
      <c r="G3212" s="65">
        <f>SUM(G3210:G3211)</f>
        <v/>
      </c>
    </row>
    <row r="3213" ht="15" customHeight="1">
      <c r="A3213" s="2" t="inlineStr"/>
      <c r="B3213" s="2" t="inlineStr"/>
      <c r="C3213" s="2" t="inlineStr"/>
      <c r="D3213" s="2" t="inlineStr"/>
      <c r="E3213" s="28" t="inlineStr">
        <is>
          <t>VALOR:</t>
        </is>
      </c>
      <c r="F3213" s="56" t="n"/>
      <c r="G3213" s="66">
        <f>SUM(G3208,G3212)</f>
        <v/>
      </c>
    </row>
    <row r="3214" ht="15" customHeight="1">
      <c r="A3214" s="2" t="inlineStr"/>
      <c r="B3214" s="2" t="inlineStr"/>
      <c r="C3214" s="2" t="inlineStr"/>
      <c r="D3214" s="2" t="inlineStr"/>
      <c r="E3214" s="28" t="inlineStr">
        <is>
          <t>VALOR BDI (23.08%):</t>
        </is>
      </c>
      <c r="F3214" s="56" t="n"/>
      <c r="G3214" s="66">
        <f>ROUNDDOWN(G3213*BDI,2)</f>
        <v/>
      </c>
    </row>
    <row r="3215" ht="15" customHeight="1">
      <c r="A3215" s="2" t="inlineStr"/>
      <c r="B3215" s="2" t="inlineStr"/>
      <c r="C3215" s="2" t="inlineStr"/>
      <c r="D3215" s="2" t="inlineStr"/>
      <c r="E3215" s="28" t="inlineStr">
        <is>
          <t>VALOR COM BDI:</t>
        </is>
      </c>
      <c r="F3215" s="56" t="n"/>
      <c r="G3215" s="66">
        <f>G3214 + G3213</f>
        <v/>
      </c>
    </row>
    <row r="3216" ht="10" customHeight="1">
      <c r="A3216" s="2" t="inlineStr"/>
      <c r="B3216" s="2" t="inlineStr"/>
      <c r="C3216" s="2" t="inlineStr"/>
      <c r="D3216" s="2" t="inlineStr"/>
      <c r="E3216" s="18" t="inlineStr"/>
    </row>
    <row r="3217" ht="20" customHeight="1">
      <c r="A3217" s="19" t="inlineStr">
        <is>
          <t>9.5.2.3. ​462 PRÓPRIO​ CURVA 90 GRAUS PARA ELETRODUTO AÇO GALVANIZADO DN 32MM (1.1/4")​ (UN)</t>
        </is>
      </c>
      <c r="B3217" s="55" t="n"/>
      <c r="C3217" s="55" t="n"/>
      <c r="D3217" s="55" t="n"/>
      <c r="E3217" s="55" t="n"/>
      <c r="F3217" s="55" t="n"/>
      <c r="G3217" s="56" t="n"/>
    </row>
    <row r="3218" ht="15" customHeight="1">
      <c r="A3218" s="20" t="inlineStr">
        <is>
          <t>Material</t>
        </is>
      </c>
      <c r="B3218" s="56" t="n"/>
      <c r="C3218" s="21" t="inlineStr">
        <is>
          <t>FONTE</t>
        </is>
      </c>
      <c r="D3218" s="21" t="inlineStr">
        <is>
          <t>UNID</t>
        </is>
      </c>
      <c r="E3218" s="21" t="inlineStr">
        <is>
          <t>COEFICIENTE</t>
        </is>
      </c>
      <c r="F3218" s="21" t="inlineStr">
        <is>
          <t>PREÇO UNITÁRIO</t>
        </is>
      </c>
      <c r="G3218" s="21" t="inlineStr">
        <is>
          <t>TOTAL</t>
        </is>
      </c>
    </row>
    <row r="3219" ht="29" customHeight="1">
      <c r="A3219" s="22" t="inlineStr">
        <is>
          <t>00002618</t>
        </is>
      </c>
      <c r="B3219" s="23" t="inlineStr">
        <is>
          <t>CURVA 90 GRAUS PARA ELETRODUTO, EM ACO GALVANIZADO ELETROLITICO, COM ROSCA, DIAMETRO DE 32 MM (1 1/4"), ESPESSURA DE 1,50 MM</t>
        </is>
      </c>
      <c r="C3219" s="22" t="inlineStr">
        <is>
          <t>SINAPI</t>
        </is>
      </c>
      <c r="D3219" s="22" t="inlineStr">
        <is>
          <t>UN</t>
        </is>
      </c>
      <c r="E3219" s="63" t="n">
        <v>1</v>
      </c>
      <c r="F3219" s="64">
        <f>ROUND(M3219*FATOR, 2)</f>
        <v/>
      </c>
      <c r="G3219" s="64">
        <f>ROUND(ROUND(E3219,8)*F3219,2)</f>
        <v/>
      </c>
      <c r="L3219" t="n">
        <v>1</v>
      </c>
      <c r="M3219" t="n">
        <v>12.46</v>
      </c>
      <c r="N3219">
        <f>(M3219-F3219)</f>
        <v/>
      </c>
    </row>
    <row r="3220" ht="21" customHeight="1">
      <c r="A3220" s="22" t="inlineStr">
        <is>
          <t>I14415</t>
        </is>
      </c>
      <c r="B3220" s="23" t="inlineStr">
        <is>
          <t>Luva de emenda para eletroduto em aço galvanizado dn 25mm (1")</t>
        </is>
      </c>
      <c r="C3220" s="22" t="inlineStr">
        <is>
          <t>ORSE</t>
        </is>
      </c>
      <c r="D3220" s="22" t="inlineStr">
        <is>
          <t>un</t>
        </is>
      </c>
      <c r="E3220" s="63" t="n">
        <v>2</v>
      </c>
      <c r="F3220" s="64">
        <f>ROUND(M3220*FATOR, 2)</f>
        <v/>
      </c>
      <c r="G3220" s="64">
        <f>ROUND(ROUND(E3220,8)*F3220,2)</f>
        <v/>
      </c>
      <c r="L3220" t="n">
        <v>2</v>
      </c>
      <c r="M3220" t="n">
        <v>4.71</v>
      </c>
      <c r="N3220">
        <f>(M3220-F3220)</f>
        <v/>
      </c>
    </row>
    <row r="3221" ht="15" customHeight="1">
      <c r="A3221" s="2" t="inlineStr"/>
      <c r="B3221" s="2" t="inlineStr"/>
      <c r="C3221" s="2" t="inlineStr"/>
      <c r="D3221" s="2" t="inlineStr"/>
      <c r="E3221" s="26" t="inlineStr">
        <is>
          <t>TOTAL Material:</t>
        </is>
      </c>
      <c r="F3221" s="56" t="n"/>
      <c r="G3221" s="65">
        <f>SUM(G3219:G3220)</f>
        <v/>
      </c>
    </row>
    <row r="3222" ht="15" customHeight="1">
      <c r="A3222" s="20" t="inlineStr">
        <is>
          <t>Mão de Obra com Encargos Complementares</t>
        </is>
      </c>
      <c r="B3222" s="56" t="n"/>
      <c r="C3222" s="21" t="inlineStr">
        <is>
          <t>FONTE</t>
        </is>
      </c>
      <c r="D3222" s="21" t="inlineStr">
        <is>
          <t>UNID</t>
        </is>
      </c>
      <c r="E3222" s="21" t="inlineStr">
        <is>
          <t>COEFICIENTE</t>
        </is>
      </c>
      <c r="F3222" s="21" t="inlineStr">
        <is>
          <t>PREÇO UNITÁRIO</t>
        </is>
      </c>
      <c r="G3222" s="21" t="inlineStr">
        <is>
          <t>TOTAL</t>
        </is>
      </c>
    </row>
    <row r="3223" ht="21" customHeight="1">
      <c r="A3223" s="22" t="inlineStr">
        <is>
          <t>88243</t>
        </is>
      </c>
      <c r="B3223" s="23" t="inlineStr">
        <is>
          <t>AJUDANTE ESPECIALIZADO COM ENCARGOS COMPLEMENTARES</t>
        </is>
      </c>
      <c r="C3223" s="22" t="inlineStr">
        <is>
          <t>SINAPI</t>
        </is>
      </c>
      <c r="D3223" s="22" t="inlineStr">
        <is>
          <t>H</t>
        </is>
      </c>
      <c r="E3223" s="63">
        <f>L3223*FATOR</f>
        <v/>
      </c>
      <c r="F3223" s="64">
        <f>'COMPOSICOES AUXILIARES'!G106</f>
        <v/>
      </c>
      <c r="G3223" s="64">
        <f>ROUND(ROUND(E3223,8)*F3223,2)</f>
        <v/>
      </c>
      <c r="L3223" t="n">
        <v>0.3074</v>
      </c>
      <c r="M3223" t="n">
        <v>23.76</v>
      </c>
      <c r="N3223">
        <f>(M3223-F3223)</f>
        <v/>
      </c>
    </row>
    <row r="3224" ht="15" customHeight="1">
      <c r="A3224" s="22" t="inlineStr">
        <is>
          <t>88264</t>
        </is>
      </c>
      <c r="B3224" s="23" t="inlineStr">
        <is>
          <t>ELETRICISTA COM ENCARGOS COMPLEMENTARES</t>
        </is>
      </c>
      <c r="C3224" s="22" t="inlineStr">
        <is>
          <t>SINAPI</t>
        </is>
      </c>
      <c r="D3224" s="22" t="inlineStr">
        <is>
          <t>H</t>
        </is>
      </c>
      <c r="E3224" s="63">
        <f>L3224*FATOR</f>
        <v/>
      </c>
      <c r="F3224" s="64">
        <f>'COMPOSICOES AUXILIARES'!G505</f>
        <v/>
      </c>
      <c r="G3224" s="64">
        <f>ROUND(ROUND(E3224,8)*F3224,2)</f>
        <v/>
      </c>
      <c r="L3224" t="n">
        <v>0.3074</v>
      </c>
      <c r="M3224" t="n">
        <v>30.96</v>
      </c>
      <c r="N3224">
        <f>(M3224-F3224)</f>
        <v/>
      </c>
    </row>
    <row r="3225" ht="18" customHeight="1">
      <c r="A3225" s="2" t="inlineStr"/>
      <c r="B3225" s="2" t="inlineStr"/>
      <c r="C3225" s="2" t="inlineStr"/>
      <c r="D3225" s="2" t="inlineStr"/>
      <c r="E3225" s="26" t="inlineStr">
        <is>
          <t>TOTAL Mão de Obra com Encargos Complementares:</t>
        </is>
      </c>
      <c r="F3225" s="56" t="n"/>
      <c r="G3225" s="65">
        <f>SUM(G3223:G3224)</f>
        <v/>
      </c>
    </row>
    <row r="3226" ht="15" customHeight="1">
      <c r="A3226" s="2" t="inlineStr"/>
      <c r="B3226" s="2" t="inlineStr"/>
      <c r="C3226" s="2" t="inlineStr"/>
      <c r="D3226" s="2" t="inlineStr"/>
      <c r="E3226" s="28" t="inlineStr">
        <is>
          <t>VALOR:</t>
        </is>
      </c>
      <c r="F3226" s="56" t="n"/>
      <c r="G3226" s="66">
        <f>SUM(G3225,G3221)</f>
        <v/>
      </c>
    </row>
    <row r="3227" ht="15" customHeight="1">
      <c r="A3227" s="2" t="inlineStr"/>
      <c r="B3227" s="2" t="inlineStr"/>
      <c r="C3227" s="2" t="inlineStr"/>
      <c r="D3227" s="2" t="inlineStr"/>
      <c r="E3227" s="28" t="inlineStr">
        <is>
          <t>VALOR BDI (23.08%):</t>
        </is>
      </c>
      <c r="F3227" s="56" t="n"/>
      <c r="G3227" s="66">
        <f>ROUNDDOWN(G3226*BDI,2)</f>
        <v/>
      </c>
    </row>
    <row r="3228" ht="15" customHeight="1">
      <c r="A3228" s="2" t="inlineStr"/>
      <c r="B3228" s="2" t="inlineStr"/>
      <c r="C3228" s="2" t="inlineStr"/>
      <c r="D3228" s="2" t="inlineStr"/>
      <c r="E3228" s="28" t="inlineStr">
        <is>
          <t>VALOR COM BDI:</t>
        </is>
      </c>
      <c r="F3228" s="56" t="n"/>
      <c r="G3228" s="66">
        <f>G3227 + G3226</f>
        <v/>
      </c>
    </row>
    <row r="3229" ht="10" customHeight="1">
      <c r="A3229" s="2" t="inlineStr"/>
      <c r="B3229" s="2" t="inlineStr"/>
      <c r="C3229" s="2" t="inlineStr"/>
      <c r="D3229" s="2" t="inlineStr"/>
      <c r="E3229" s="18" t="inlineStr"/>
    </row>
    <row r="3230" ht="20" customHeight="1">
      <c r="A3230" s="19" t="inlineStr">
        <is>
          <t>9.5.3.1. ​465 PRÓPRIO​ LUVA DE EMENDA PARA ELETRODUTO, AÇO GALVANIZADO 25MM (1'') -FORNECIMENTO E INSTALAÇÃO​ (UN)</t>
        </is>
      </c>
      <c r="B3230" s="55" t="n"/>
      <c r="C3230" s="55" t="n"/>
      <c r="D3230" s="55" t="n"/>
      <c r="E3230" s="55" t="n"/>
      <c r="F3230" s="55" t="n"/>
      <c r="G3230" s="56" t="n"/>
    </row>
    <row r="3231" ht="15" customHeight="1">
      <c r="A3231" s="20" t="inlineStr">
        <is>
          <t>Material</t>
        </is>
      </c>
      <c r="B3231" s="56" t="n"/>
      <c r="C3231" s="21" t="inlineStr">
        <is>
          <t>FONTE</t>
        </is>
      </c>
      <c r="D3231" s="21" t="inlineStr">
        <is>
          <t>UNID</t>
        </is>
      </c>
      <c r="E3231" s="21" t="inlineStr">
        <is>
          <t>COEFICIENTE</t>
        </is>
      </c>
      <c r="F3231" s="21" t="inlineStr">
        <is>
          <t>PREÇO UNITÁRIO</t>
        </is>
      </c>
      <c r="G3231" s="21" t="inlineStr">
        <is>
          <t>TOTAL</t>
        </is>
      </c>
    </row>
    <row r="3232" ht="21" customHeight="1">
      <c r="A3232" s="22" t="inlineStr">
        <is>
          <t>00002638</t>
        </is>
      </c>
      <c r="B3232" s="23" t="inlineStr">
        <is>
          <t>LUVA PARA ELETRODUTO, EM ACO GALVANIZADO ELETROLITICO, COM ROSCA, DIAMETRO DE 25 MM (1")</t>
        </is>
      </c>
      <c r="C3232" s="22" t="inlineStr">
        <is>
          <t>SINAPI</t>
        </is>
      </c>
      <c r="D3232" s="22" t="inlineStr">
        <is>
          <t>UN</t>
        </is>
      </c>
      <c r="E3232" s="63" t="n">
        <v>1</v>
      </c>
      <c r="F3232" s="64">
        <f>ROUND(M3232*FATOR, 2)</f>
        <v/>
      </c>
      <c r="G3232" s="64">
        <f>ROUND(ROUND(E3232,8)*F3232,2)</f>
        <v/>
      </c>
      <c r="L3232" t="n">
        <v>1</v>
      </c>
      <c r="M3232" t="n">
        <v>1.76</v>
      </c>
      <c r="N3232">
        <f>(M3232-F3232)</f>
        <v/>
      </c>
    </row>
    <row r="3233" ht="15" customHeight="1">
      <c r="A3233" s="2" t="inlineStr"/>
      <c r="B3233" s="2" t="inlineStr"/>
      <c r="C3233" s="2" t="inlineStr"/>
      <c r="D3233" s="2" t="inlineStr"/>
      <c r="E3233" s="26" t="inlineStr">
        <is>
          <t>TOTAL Material:</t>
        </is>
      </c>
      <c r="F3233" s="56" t="n"/>
      <c r="G3233" s="65">
        <f>SUM(G3232:G3232)</f>
        <v/>
      </c>
    </row>
    <row r="3234" ht="15" customHeight="1">
      <c r="A3234" s="20" t="inlineStr">
        <is>
          <t>Mão de Obra com Encargos Complementares</t>
        </is>
      </c>
      <c r="B3234" s="56" t="n"/>
      <c r="C3234" s="21" t="inlineStr">
        <is>
          <t>FONTE</t>
        </is>
      </c>
      <c r="D3234" s="21" t="inlineStr">
        <is>
          <t>UNID</t>
        </is>
      </c>
      <c r="E3234" s="21" t="inlineStr">
        <is>
          <t>COEFICIENTE</t>
        </is>
      </c>
      <c r="F3234" s="21" t="inlineStr">
        <is>
          <t>PREÇO UNITÁRIO</t>
        </is>
      </c>
      <c r="G3234" s="21" t="inlineStr">
        <is>
          <t>TOTAL</t>
        </is>
      </c>
    </row>
    <row r="3235" ht="21" customHeight="1">
      <c r="A3235" s="22" t="inlineStr">
        <is>
          <t>88243</t>
        </is>
      </c>
      <c r="B3235" s="23" t="inlineStr">
        <is>
          <t>AJUDANTE ESPECIALIZADO COM ENCARGOS COMPLEMENTARES</t>
        </is>
      </c>
      <c r="C3235" s="22" t="inlineStr">
        <is>
          <t>SINAPI</t>
        </is>
      </c>
      <c r="D3235" s="22" t="inlineStr">
        <is>
          <t>H</t>
        </is>
      </c>
      <c r="E3235" s="63">
        <f>L3235*FATOR</f>
        <v/>
      </c>
      <c r="F3235" s="64">
        <f>'COMPOSICOES AUXILIARES'!G106</f>
        <v/>
      </c>
      <c r="G3235" s="64">
        <f>ROUND(ROUND(E3235,8)*F3235,2)</f>
        <v/>
      </c>
      <c r="L3235" t="n">
        <v>0.2033</v>
      </c>
      <c r="M3235" t="n">
        <v>23.76</v>
      </c>
      <c r="N3235">
        <f>(M3235-F3235)</f>
        <v/>
      </c>
    </row>
    <row r="3236" ht="15" customHeight="1">
      <c r="A3236" s="22" t="inlineStr">
        <is>
          <t>88264</t>
        </is>
      </c>
      <c r="B3236" s="23" t="inlineStr">
        <is>
          <t>ELETRICISTA COM ENCARGOS COMPLEMENTARES</t>
        </is>
      </c>
      <c r="C3236" s="22" t="inlineStr">
        <is>
          <t>SINAPI</t>
        </is>
      </c>
      <c r="D3236" s="22" t="inlineStr">
        <is>
          <t>H</t>
        </is>
      </c>
      <c r="E3236" s="63">
        <f>L3236*FATOR</f>
        <v/>
      </c>
      <c r="F3236" s="64">
        <f>'COMPOSICOES AUXILIARES'!G505</f>
        <v/>
      </c>
      <c r="G3236" s="64">
        <f>ROUND(ROUND(E3236,8)*F3236,2)</f>
        <v/>
      </c>
      <c r="L3236" t="n">
        <v>0.2033</v>
      </c>
      <c r="M3236" t="n">
        <v>30.96</v>
      </c>
      <c r="N3236">
        <f>(M3236-F3236)</f>
        <v/>
      </c>
    </row>
    <row r="3237" ht="18" customHeight="1">
      <c r="A3237" s="2" t="inlineStr"/>
      <c r="B3237" s="2" t="inlineStr"/>
      <c r="C3237" s="2" t="inlineStr"/>
      <c r="D3237" s="2" t="inlineStr"/>
      <c r="E3237" s="26" t="inlineStr">
        <is>
          <t>TOTAL Mão de Obra com Encargos Complementares:</t>
        </is>
      </c>
      <c r="F3237" s="56" t="n"/>
      <c r="G3237" s="65">
        <f>SUM(G3235:G3236)</f>
        <v/>
      </c>
    </row>
    <row r="3238" ht="15" customHeight="1">
      <c r="A3238" s="2" t="inlineStr"/>
      <c r="B3238" s="2" t="inlineStr"/>
      <c r="C3238" s="2" t="inlineStr"/>
      <c r="D3238" s="2" t="inlineStr"/>
      <c r="E3238" s="28" t="inlineStr">
        <is>
          <t>VALOR:</t>
        </is>
      </c>
      <c r="F3238" s="56" t="n"/>
      <c r="G3238" s="66">
        <f>SUM(G3233,G3237)</f>
        <v/>
      </c>
    </row>
    <row r="3239" ht="15" customHeight="1">
      <c r="A3239" s="2" t="inlineStr"/>
      <c r="B3239" s="2" t="inlineStr"/>
      <c r="C3239" s="2" t="inlineStr"/>
      <c r="D3239" s="2" t="inlineStr"/>
      <c r="E3239" s="28" t="inlineStr">
        <is>
          <t>VALOR BDI (23.08%):</t>
        </is>
      </c>
      <c r="F3239" s="56" t="n"/>
      <c r="G3239" s="66">
        <f>ROUNDDOWN(G3238*BDI,2)</f>
        <v/>
      </c>
    </row>
    <row r="3240" ht="15" customHeight="1">
      <c r="A3240" s="2" t="inlineStr"/>
      <c r="B3240" s="2" t="inlineStr"/>
      <c r="C3240" s="2" t="inlineStr"/>
      <c r="D3240" s="2" t="inlineStr"/>
      <c r="E3240" s="28" t="inlineStr">
        <is>
          <t>VALOR COM BDI:</t>
        </is>
      </c>
      <c r="F3240" s="56" t="n"/>
      <c r="G3240" s="66">
        <f>G3239 + G3238</f>
        <v/>
      </c>
    </row>
    <row r="3241" ht="10" customHeight="1">
      <c r="A3241" s="2" t="inlineStr"/>
      <c r="B3241" s="2" t="inlineStr"/>
      <c r="C3241" s="2" t="inlineStr"/>
      <c r="D3241" s="2" t="inlineStr"/>
      <c r="E3241" s="18" t="inlineStr"/>
    </row>
    <row r="3242" ht="20" customHeight="1">
      <c r="A3242" s="19" t="inlineStr">
        <is>
          <t>9.5.3.2. ​466 PRÓPRIO​ LUVA DE EMENDA PARA ELETRODUTO, AÇO GALVANIZADO 32MM (1 1/4'') -FORNECIMENTO E INSTALAÇÃO​ (UN)</t>
        </is>
      </c>
      <c r="B3242" s="55" t="n"/>
      <c r="C3242" s="55" t="n"/>
      <c r="D3242" s="55" t="n"/>
      <c r="E3242" s="55" t="n"/>
      <c r="F3242" s="55" t="n"/>
      <c r="G3242" s="56" t="n"/>
    </row>
    <row r="3243" ht="15" customHeight="1">
      <c r="A3243" s="20" t="inlineStr">
        <is>
          <t>Material</t>
        </is>
      </c>
      <c r="B3243" s="56" t="n"/>
      <c r="C3243" s="21" t="inlineStr">
        <is>
          <t>FONTE</t>
        </is>
      </c>
      <c r="D3243" s="21" t="inlineStr">
        <is>
          <t>UNID</t>
        </is>
      </c>
      <c r="E3243" s="21" t="inlineStr">
        <is>
          <t>COEFICIENTE</t>
        </is>
      </c>
      <c r="F3243" s="21" t="inlineStr">
        <is>
          <t>PREÇO UNITÁRIO</t>
        </is>
      </c>
      <c r="G3243" s="21" t="inlineStr">
        <is>
          <t>TOTAL</t>
        </is>
      </c>
    </row>
    <row r="3244" ht="21" customHeight="1">
      <c r="A3244" s="22" t="inlineStr">
        <is>
          <t>00002639</t>
        </is>
      </c>
      <c r="B3244" s="23" t="inlineStr">
        <is>
          <t>LUVA PARA ELETRODUTO, EM ACO GALVANIZADO ELETROLITICO, COM ROSCA, DIAMETRO DE 32 MM (1 1/4")</t>
        </is>
      </c>
      <c r="C3244" s="22" t="inlineStr">
        <is>
          <t>SINAPI</t>
        </is>
      </c>
      <c r="D3244" s="22" t="inlineStr">
        <is>
          <t>UN</t>
        </is>
      </c>
      <c r="E3244" s="63" t="n">
        <v>1</v>
      </c>
      <c r="F3244" s="64">
        <f>ROUND(M3244*FATOR, 2)</f>
        <v/>
      </c>
      <c r="G3244" s="64">
        <f>ROUND(ROUND(E3244,8)*F3244,2)</f>
        <v/>
      </c>
      <c r="L3244" t="n">
        <v>1</v>
      </c>
      <c r="M3244" t="n">
        <v>3.13</v>
      </c>
      <c r="N3244">
        <f>(M3244-F3244)</f>
        <v/>
      </c>
    </row>
    <row r="3245" ht="15" customHeight="1">
      <c r="A3245" s="2" t="inlineStr"/>
      <c r="B3245" s="2" t="inlineStr"/>
      <c r="C3245" s="2" t="inlineStr"/>
      <c r="D3245" s="2" t="inlineStr"/>
      <c r="E3245" s="26" t="inlineStr">
        <is>
          <t>TOTAL Material:</t>
        </is>
      </c>
      <c r="F3245" s="56" t="n"/>
      <c r="G3245" s="65">
        <f>SUM(G3244:G3244)</f>
        <v/>
      </c>
    </row>
    <row r="3246" ht="15" customHeight="1">
      <c r="A3246" s="20" t="inlineStr">
        <is>
          <t>Mão de Obra com Encargos Complementares</t>
        </is>
      </c>
      <c r="B3246" s="56" t="n"/>
      <c r="C3246" s="21" t="inlineStr">
        <is>
          <t>FONTE</t>
        </is>
      </c>
      <c r="D3246" s="21" t="inlineStr">
        <is>
          <t>UNID</t>
        </is>
      </c>
      <c r="E3246" s="21" t="inlineStr">
        <is>
          <t>COEFICIENTE</t>
        </is>
      </c>
      <c r="F3246" s="21" t="inlineStr">
        <is>
          <t>PREÇO UNITÁRIO</t>
        </is>
      </c>
      <c r="G3246" s="21" t="inlineStr">
        <is>
          <t>TOTAL</t>
        </is>
      </c>
    </row>
    <row r="3247" ht="21" customHeight="1">
      <c r="A3247" s="22" t="inlineStr">
        <is>
          <t>88243</t>
        </is>
      </c>
      <c r="B3247" s="23" t="inlineStr">
        <is>
          <t>AJUDANTE ESPECIALIZADO COM ENCARGOS COMPLEMENTARES</t>
        </is>
      </c>
      <c r="C3247" s="22" t="inlineStr">
        <is>
          <t>SINAPI</t>
        </is>
      </c>
      <c r="D3247" s="22" t="inlineStr">
        <is>
          <t>H</t>
        </is>
      </c>
      <c r="E3247" s="63">
        <f>L3247*FATOR</f>
        <v/>
      </c>
      <c r="F3247" s="64">
        <f>'COMPOSICOES AUXILIARES'!G106</f>
        <v/>
      </c>
      <c r="G3247" s="64">
        <f>ROUND(ROUND(E3247,8)*F3247,2)</f>
        <v/>
      </c>
      <c r="L3247" t="n">
        <v>0.2322</v>
      </c>
      <c r="M3247" t="n">
        <v>23.76</v>
      </c>
      <c r="N3247">
        <f>(M3247-F3247)</f>
        <v/>
      </c>
    </row>
    <row r="3248" ht="15" customHeight="1">
      <c r="A3248" s="22" t="inlineStr">
        <is>
          <t>88264</t>
        </is>
      </c>
      <c r="B3248" s="23" t="inlineStr">
        <is>
          <t>ELETRICISTA COM ENCARGOS COMPLEMENTARES</t>
        </is>
      </c>
      <c r="C3248" s="22" t="inlineStr">
        <is>
          <t>SINAPI</t>
        </is>
      </c>
      <c r="D3248" s="22" t="inlineStr">
        <is>
          <t>H</t>
        </is>
      </c>
      <c r="E3248" s="63">
        <f>L3248*FATOR</f>
        <v/>
      </c>
      <c r="F3248" s="64">
        <f>'COMPOSICOES AUXILIARES'!G505</f>
        <v/>
      </c>
      <c r="G3248" s="64">
        <f>ROUND(ROUND(E3248,8)*F3248,2)</f>
        <v/>
      </c>
      <c r="L3248" t="n">
        <v>0.2322</v>
      </c>
      <c r="M3248" t="n">
        <v>30.96</v>
      </c>
      <c r="N3248">
        <f>(M3248-F3248)</f>
        <v/>
      </c>
    </row>
    <row r="3249" ht="18" customHeight="1">
      <c r="A3249" s="2" t="inlineStr"/>
      <c r="B3249" s="2" t="inlineStr"/>
      <c r="C3249" s="2" t="inlineStr"/>
      <c r="D3249" s="2" t="inlineStr"/>
      <c r="E3249" s="26" t="inlineStr">
        <is>
          <t>TOTAL Mão de Obra com Encargos Complementares:</t>
        </is>
      </c>
      <c r="F3249" s="56" t="n"/>
      <c r="G3249" s="65">
        <f>SUM(G3247:G3248)</f>
        <v/>
      </c>
    </row>
    <row r="3250" ht="15" customHeight="1">
      <c r="A3250" s="2" t="inlineStr"/>
      <c r="B3250" s="2" t="inlineStr"/>
      <c r="C3250" s="2" t="inlineStr"/>
      <c r="D3250" s="2" t="inlineStr"/>
      <c r="E3250" s="28" t="inlineStr">
        <is>
          <t>VALOR:</t>
        </is>
      </c>
      <c r="F3250" s="56" t="n"/>
      <c r="G3250" s="66">
        <f>SUM(G3249,G3245)</f>
        <v/>
      </c>
    </row>
    <row r="3251" ht="15" customHeight="1">
      <c r="A3251" s="2" t="inlineStr"/>
      <c r="B3251" s="2" t="inlineStr"/>
      <c r="C3251" s="2" t="inlineStr"/>
      <c r="D3251" s="2" t="inlineStr"/>
      <c r="E3251" s="28" t="inlineStr">
        <is>
          <t>VALOR BDI (23.08%):</t>
        </is>
      </c>
      <c r="F3251" s="56" t="n"/>
      <c r="G3251" s="66">
        <f>ROUNDDOWN(G3250*BDI,2)</f>
        <v/>
      </c>
    </row>
    <row r="3252" ht="15" customHeight="1">
      <c r="A3252" s="2" t="inlineStr"/>
      <c r="B3252" s="2" t="inlineStr"/>
      <c r="C3252" s="2" t="inlineStr"/>
      <c r="D3252" s="2" t="inlineStr"/>
      <c r="E3252" s="28" t="inlineStr">
        <is>
          <t>VALOR COM BDI:</t>
        </is>
      </c>
      <c r="F3252" s="56" t="n"/>
      <c r="G3252" s="66">
        <f>G3251 + G3250</f>
        <v/>
      </c>
    </row>
    <row r="3253" ht="10" customHeight="1">
      <c r="A3253" s="2" t="inlineStr"/>
      <c r="B3253" s="2" t="inlineStr"/>
      <c r="C3253" s="2" t="inlineStr"/>
      <c r="D3253" s="2" t="inlineStr"/>
      <c r="E3253" s="18" t="inlineStr"/>
    </row>
    <row r="3254" ht="20" customHeight="1">
      <c r="A3254" s="19" t="inlineStr">
        <is>
          <t>9.5.3.3. ​467 PRÓPRIO​ LUVA DE EMENDA PARA ELETRODUTO, AÇO GALVANIZADO 40MM (1 1/2'') -FORNECIMENTO E INSTALAÇÃO​ (UN)</t>
        </is>
      </c>
      <c r="B3254" s="55" t="n"/>
      <c r="C3254" s="55" t="n"/>
      <c r="D3254" s="55" t="n"/>
      <c r="E3254" s="55" t="n"/>
      <c r="F3254" s="55" t="n"/>
      <c r="G3254" s="56" t="n"/>
    </row>
    <row r="3255" ht="15" customHeight="1">
      <c r="A3255" s="20" t="inlineStr">
        <is>
          <t>Material</t>
        </is>
      </c>
      <c r="B3255" s="56" t="n"/>
      <c r="C3255" s="21" t="inlineStr">
        <is>
          <t>FONTE</t>
        </is>
      </c>
      <c r="D3255" s="21" t="inlineStr">
        <is>
          <t>UNID</t>
        </is>
      </c>
      <c r="E3255" s="21" t="inlineStr">
        <is>
          <t>COEFICIENTE</t>
        </is>
      </c>
      <c r="F3255" s="21" t="inlineStr">
        <is>
          <t>PREÇO UNITÁRIO</t>
        </is>
      </c>
      <c r="G3255" s="21" t="inlineStr">
        <is>
          <t>TOTAL</t>
        </is>
      </c>
    </row>
    <row r="3256" ht="21" customHeight="1">
      <c r="A3256" s="22" t="inlineStr">
        <is>
          <t>00002644</t>
        </is>
      </c>
      <c r="B3256" s="23" t="inlineStr">
        <is>
          <t>LUVA PARA ELETRODUTO, EM ACO GALVANIZADO ELETROLITICO, COM ROSCA, DIAMETRO DE 40 MM (1 1/2")</t>
        </is>
      </c>
      <c r="C3256" s="22" t="inlineStr">
        <is>
          <t>SINAPI</t>
        </is>
      </c>
      <c r="D3256" s="22" t="inlineStr">
        <is>
          <t>UN</t>
        </is>
      </c>
      <c r="E3256" s="63" t="n">
        <v>1</v>
      </c>
      <c r="F3256" s="64">
        <f>ROUND(M3256*FATOR, 2)</f>
        <v/>
      </c>
      <c r="G3256" s="64">
        <f>ROUND(ROUND(E3256,8)*F3256,2)</f>
        <v/>
      </c>
      <c r="L3256" t="n">
        <v>1</v>
      </c>
      <c r="M3256" t="n">
        <v>4.53</v>
      </c>
      <c r="N3256">
        <f>(M3256-F3256)</f>
        <v/>
      </c>
    </row>
    <row r="3257" ht="15" customHeight="1">
      <c r="A3257" s="2" t="inlineStr"/>
      <c r="B3257" s="2" t="inlineStr"/>
      <c r="C3257" s="2" t="inlineStr"/>
      <c r="D3257" s="2" t="inlineStr"/>
      <c r="E3257" s="26" t="inlineStr">
        <is>
          <t>TOTAL Material:</t>
        </is>
      </c>
      <c r="F3257" s="56" t="n"/>
      <c r="G3257" s="65">
        <f>SUM(G3256:G3256)</f>
        <v/>
      </c>
    </row>
    <row r="3258" ht="15" customHeight="1">
      <c r="A3258" s="20" t="inlineStr">
        <is>
          <t>Mão de Obra com Encargos Complementares</t>
        </is>
      </c>
      <c r="B3258" s="56" t="n"/>
      <c r="C3258" s="21" t="inlineStr">
        <is>
          <t>FONTE</t>
        </is>
      </c>
      <c r="D3258" s="21" t="inlineStr">
        <is>
          <t>UNID</t>
        </is>
      </c>
      <c r="E3258" s="21" t="inlineStr">
        <is>
          <t>COEFICIENTE</t>
        </is>
      </c>
      <c r="F3258" s="21" t="inlineStr">
        <is>
          <t>PREÇO UNITÁRIO</t>
        </is>
      </c>
      <c r="G3258" s="21" t="inlineStr">
        <is>
          <t>TOTAL</t>
        </is>
      </c>
    </row>
    <row r="3259" ht="21" customHeight="1">
      <c r="A3259" s="22" t="inlineStr">
        <is>
          <t>88243</t>
        </is>
      </c>
      <c r="B3259" s="23" t="inlineStr">
        <is>
          <t>AJUDANTE ESPECIALIZADO COM ENCARGOS COMPLEMENTARES</t>
        </is>
      </c>
      <c r="C3259" s="22" t="inlineStr">
        <is>
          <t>SINAPI</t>
        </is>
      </c>
      <c r="D3259" s="22" t="inlineStr">
        <is>
          <t>H</t>
        </is>
      </c>
      <c r="E3259" s="63">
        <f>L3259*FATOR</f>
        <v/>
      </c>
      <c r="F3259" s="64">
        <f>'COMPOSICOES AUXILIARES'!G106</f>
        <v/>
      </c>
      <c r="G3259" s="64">
        <f>ROUND(ROUND(E3259,8)*F3259,2)</f>
        <v/>
      </c>
      <c r="L3259" t="n">
        <v>0.2651</v>
      </c>
      <c r="M3259" t="n">
        <v>23.76</v>
      </c>
      <c r="N3259">
        <f>(M3259-F3259)</f>
        <v/>
      </c>
    </row>
    <row r="3260" ht="15" customHeight="1">
      <c r="A3260" s="22" t="inlineStr">
        <is>
          <t>88264</t>
        </is>
      </c>
      <c r="B3260" s="23" t="inlineStr">
        <is>
          <t>ELETRICISTA COM ENCARGOS COMPLEMENTARES</t>
        </is>
      </c>
      <c r="C3260" s="22" t="inlineStr">
        <is>
          <t>SINAPI</t>
        </is>
      </c>
      <c r="D3260" s="22" t="inlineStr">
        <is>
          <t>H</t>
        </is>
      </c>
      <c r="E3260" s="63">
        <f>L3260*FATOR</f>
        <v/>
      </c>
      <c r="F3260" s="64">
        <f>'COMPOSICOES AUXILIARES'!G505</f>
        <v/>
      </c>
      <c r="G3260" s="64">
        <f>ROUND(ROUND(E3260,8)*F3260,2)</f>
        <v/>
      </c>
      <c r="L3260" t="n">
        <v>0.2651</v>
      </c>
      <c r="M3260" t="n">
        <v>30.96</v>
      </c>
      <c r="N3260">
        <f>(M3260-F3260)</f>
        <v/>
      </c>
    </row>
    <row r="3261" ht="18" customHeight="1">
      <c r="A3261" s="2" t="inlineStr"/>
      <c r="B3261" s="2" t="inlineStr"/>
      <c r="C3261" s="2" t="inlineStr"/>
      <c r="D3261" s="2" t="inlineStr"/>
      <c r="E3261" s="26" t="inlineStr">
        <is>
          <t>TOTAL Mão de Obra com Encargos Complementares:</t>
        </is>
      </c>
      <c r="F3261" s="56" t="n"/>
      <c r="G3261" s="65">
        <f>SUM(G3259:G3260)</f>
        <v/>
      </c>
    </row>
    <row r="3262" ht="15" customHeight="1">
      <c r="A3262" s="2" t="inlineStr"/>
      <c r="B3262" s="2" t="inlineStr"/>
      <c r="C3262" s="2" t="inlineStr"/>
      <c r="D3262" s="2" t="inlineStr"/>
      <c r="E3262" s="28" t="inlineStr">
        <is>
          <t>VALOR:</t>
        </is>
      </c>
      <c r="F3262" s="56" t="n"/>
      <c r="G3262" s="66">
        <f>SUM(G3257,G3261)</f>
        <v/>
      </c>
    </row>
    <row r="3263" ht="15" customHeight="1">
      <c r="A3263" s="2" t="inlineStr"/>
      <c r="B3263" s="2" t="inlineStr"/>
      <c r="C3263" s="2" t="inlineStr"/>
      <c r="D3263" s="2" t="inlineStr"/>
      <c r="E3263" s="28" t="inlineStr">
        <is>
          <t>VALOR BDI (23.08%):</t>
        </is>
      </c>
      <c r="F3263" s="56" t="n"/>
      <c r="G3263" s="66">
        <f>ROUNDDOWN(G3262*BDI,2)</f>
        <v/>
      </c>
    </row>
    <row r="3264" ht="15" customHeight="1">
      <c r="A3264" s="2" t="inlineStr"/>
      <c r="B3264" s="2" t="inlineStr"/>
      <c r="C3264" s="2" t="inlineStr"/>
      <c r="D3264" s="2" t="inlineStr"/>
      <c r="E3264" s="28" t="inlineStr">
        <is>
          <t>VALOR COM BDI:</t>
        </is>
      </c>
      <c r="F3264" s="56" t="n"/>
      <c r="G3264" s="66">
        <f>G3263 + G3262</f>
        <v/>
      </c>
    </row>
    <row r="3265" ht="10" customHeight="1">
      <c r="A3265" s="2" t="inlineStr"/>
      <c r="B3265" s="2" t="inlineStr"/>
      <c r="C3265" s="2" t="inlineStr"/>
      <c r="D3265" s="2" t="inlineStr"/>
      <c r="E3265" s="18" t="inlineStr"/>
    </row>
    <row r="3266" ht="20" customHeight="1">
      <c r="A3266" s="19" t="inlineStr">
        <is>
          <t>9.5.4.1. ​104785​ FIXAÇÃO DE ELETRODUTOS, DIÂMETROS MENORES OU IGUAIS A 40 MM, COM ABRAÇADEIRA METÁLICA RÍGIDA TIPO D COM PARAFUSO DE FIXAÇÃO 1 1/4", FIXADA DIRETAMENTE NA LAJE OU PAREDE.AF_09/2023​ (M)</t>
        </is>
      </c>
      <c r="B3266" s="55" t="n"/>
      <c r="C3266" s="55" t="n"/>
      <c r="D3266" s="55" t="n"/>
      <c r="E3266" s="55" t="n"/>
      <c r="F3266" s="55" t="n"/>
      <c r="G3266" s="56" t="n"/>
    </row>
    <row r="3267" ht="15" customHeight="1">
      <c r="A3267" s="20" t="inlineStr">
        <is>
          <t>Material</t>
        </is>
      </c>
      <c r="B3267" s="56" t="n"/>
      <c r="C3267" s="21" t="inlineStr">
        <is>
          <t>FONTE</t>
        </is>
      </c>
      <c r="D3267" s="21" t="inlineStr">
        <is>
          <t>UNID</t>
        </is>
      </c>
      <c r="E3267" s="21" t="inlineStr">
        <is>
          <t>COEFICIENTE</t>
        </is>
      </c>
      <c r="F3267" s="21" t="inlineStr">
        <is>
          <t>PREÇO UNITÁRIO</t>
        </is>
      </c>
      <c r="G3267" s="21" t="inlineStr">
        <is>
          <t>TOTAL</t>
        </is>
      </c>
    </row>
    <row r="3268" ht="29" customHeight="1">
      <c r="A3268" s="22" t="inlineStr">
        <is>
          <t>00000395</t>
        </is>
      </c>
      <c r="B3268" s="23" t="inlineStr">
        <is>
          <t>ABRACADEIRA EM ACO PARA AMARRACAO DE ELETRODUTOS, TIPO D, COM 1 1/4" E PARAFUSO DE FIXACAO</t>
        </is>
      </c>
      <c r="C3268" s="22" t="inlineStr">
        <is>
          <t>SINAPI</t>
        </is>
      </c>
      <c r="D3268" s="22" t="inlineStr">
        <is>
          <t>UN</t>
        </is>
      </c>
      <c r="E3268" s="63" t="n">
        <v>1.25</v>
      </c>
      <c r="F3268" s="64">
        <f>ROUND(M3268*FATOR, 2)</f>
        <v/>
      </c>
      <c r="G3268" s="64">
        <f>TRUNC(TRUNC(E3268,8)*F3268,2)</f>
        <v/>
      </c>
      <c r="L3268" t="n">
        <v>1.25</v>
      </c>
      <c r="M3268" t="n">
        <v>7.21</v>
      </c>
      <c r="N3268">
        <f>(M3268-F3268)</f>
        <v/>
      </c>
    </row>
    <row r="3269" ht="29" customHeight="1">
      <c r="A3269" s="22" t="inlineStr">
        <is>
          <t>00004350</t>
        </is>
      </c>
      <c r="B3269" s="23" t="inlineStr">
        <is>
          <t>BUCHA DE NYLON, DIAMETRO DO FURO 8 MM, COMPRIMENTO 40 MM, COM PARAFUSO DE ROSCA SOBERBA, CABECA CHATA, FENDA SIMPLES, 4,8 X 50 MM</t>
        </is>
      </c>
      <c r="C3269" s="22" t="inlineStr">
        <is>
          <t>SINAPI</t>
        </is>
      </c>
      <c r="D3269" s="22" t="inlineStr">
        <is>
          <t>UN</t>
        </is>
      </c>
      <c r="E3269" s="63" t="n">
        <v>1.3125</v>
      </c>
      <c r="F3269" s="64">
        <f>ROUND(M3269*FATOR, 2)</f>
        <v/>
      </c>
      <c r="G3269" s="64">
        <f>TRUNC(TRUNC(E3269,8)*F3269,2)</f>
        <v/>
      </c>
      <c r="L3269" t="n">
        <v>1.3125</v>
      </c>
      <c r="M3269" t="n">
        <v>0.88</v>
      </c>
      <c r="N3269">
        <f>(M3269-F3269)</f>
        <v/>
      </c>
    </row>
    <row r="3270" ht="15" customHeight="1">
      <c r="A3270" s="2" t="inlineStr"/>
      <c r="B3270" s="2" t="inlineStr"/>
      <c r="C3270" s="2" t="inlineStr"/>
      <c r="D3270" s="2" t="inlineStr"/>
      <c r="E3270" s="26" t="inlineStr">
        <is>
          <t>TOTAL Material:</t>
        </is>
      </c>
      <c r="F3270" s="56" t="n"/>
      <c r="G3270" s="65">
        <f>SUM(G3268:G3269)</f>
        <v/>
      </c>
    </row>
    <row r="3271" ht="15" customHeight="1">
      <c r="A3271" s="20" t="inlineStr">
        <is>
          <t>Mão de Obra com Encargos Complementares</t>
        </is>
      </c>
      <c r="B3271" s="56" t="n"/>
      <c r="C3271" s="21" t="inlineStr">
        <is>
          <t>FONTE</t>
        </is>
      </c>
      <c r="D3271" s="21" t="inlineStr">
        <is>
          <t>UNID</t>
        </is>
      </c>
      <c r="E3271" s="21" t="inlineStr">
        <is>
          <t>COEFICIENTE</t>
        </is>
      </c>
      <c r="F3271" s="21" t="inlineStr">
        <is>
          <t>PREÇO UNITÁRIO</t>
        </is>
      </c>
      <c r="G3271" s="21" t="inlineStr">
        <is>
          <t>TOTAL</t>
        </is>
      </c>
    </row>
    <row r="3272" ht="21" customHeight="1">
      <c r="A3272" s="22" t="inlineStr">
        <is>
          <t>88247</t>
        </is>
      </c>
      <c r="B3272" s="23" t="inlineStr">
        <is>
          <t>AUXILIAR DE ELETRICISTA COM ENCARGOS COMPLEMENTARES</t>
        </is>
      </c>
      <c r="C3272" s="22" t="inlineStr">
        <is>
          <t>SINAPI</t>
        </is>
      </c>
      <c r="D3272" s="22" t="inlineStr">
        <is>
          <t>H</t>
        </is>
      </c>
      <c r="E3272" s="63">
        <f>L3272*FATOR</f>
        <v/>
      </c>
      <c r="F3272" s="64">
        <f>'COMPOSICOES AUXILIARES'!G505</f>
        <v/>
      </c>
      <c r="G3272" s="64">
        <f>TRUNC(TRUNC(E3272,8)*F3272,2)</f>
        <v/>
      </c>
      <c r="L3272" t="n">
        <v>0.0442</v>
      </c>
      <c r="M3272" t="n">
        <v>25.22</v>
      </c>
      <c r="N3272">
        <f>(M3272-F3272)</f>
        <v/>
      </c>
    </row>
    <row r="3273" ht="15" customHeight="1">
      <c r="A3273" s="22" t="inlineStr">
        <is>
          <t>88264</t>
        </is>
      </c>
      <c r="B3273" s="23" t="inlineStr">
        <is>
          <t>ELETRICISTA COM ENCARGOS COMPLEMENTARES</t>
        </is>
      </c>
      <c r="C3273" s="22" t="inlineStr">
        <is>
          <t>SINAPI</t>
        </is>
      </c>
      <c r="D3273" s="22" t="inlineStr">
        <is>
          <t>H</t>
        </is>
      </c>
      <c r="E3273" s="63">
        <f>L3273*FATOR</f>
        <v/>
      </c>
      <c r="F3273" s="64">
        <f>'COMPOSICOES AUXILIARES'!G505</f>
        <v/>
      </c>
      <c r="G3273" s="64">
        <f>TRUNC(TRUNC(E3273,8)*F3273,2)</f>
        <v/>
      </c>
      <c r="L3273" t="n">
        <v>0.1946</v>
      </c>
      <c r="M3273" t="n">
        <v>30.96</v>
      </c>
      <c r="N3273">
        <f>(M3273-F3273)</f>
        <v/>
      </c>
    </row>
    <row r="3274" ht="18" customHeight="1">
      <c r="A3274" s="2" t="inlineStr"/>
      <c r="B3274" s="2" t="inlineStr"/>
      <c r="C3274" s="2" t="inlineStr"/>
      <c r="D3274" s="2" t="inlineStr"/>
      <c r="E3274" s="26" t="inlineStr">
        <is>
          <t>TOTAL Mão de Obra com Encargos Complementares:</t>
        </is>
      </c>
      <c r="F3274" s="56" t="n"/>
      <c r="G3274" s="65">
        <f>SUM(G3272:G3273)</f>
        <v/>
      </c>
    </row>
    <row r="3275" ht="15" customHeight="1">
      <c r="A3275" s="2" t="inlineStr"/>
      <c r="B3275" s="2" t="inlineStr"/>
      <c r="C3275" s="2" t="inlineStr"/>
      <c r="D3275" s="2" t="inlineStr"/>
      <c r="E3275" s="28" t="inlineStr">
        <is>
          <t>VALOR:</t>
        </is>
      </c>
      <c r="F3275" s="56" t="n"/>
      <c r="G3275" s="66">
        <f>SUM(G3274,G3270)</f>
        <v/>
      </c>
    </row>
    <row r="3276" ht="15" customHeight="1">
      <c r="A3276" s="2" t="inlineStr"/>
      <c r="B3276" s="2" t="inlineStr"/>
      <c r="C3276" s="2" t="inlineStr"/>
      <c r="D3276" s="2" t="inlineStr"/>
      <c r="E3276" s="28" t="inlineStr">
        <is>
          <t>VALOR BDI (23.08%):</t>
        </is>
      </c>
      <c r="F3276" s="56" t="n"/>
      <c r="G3276" s="66">
        <f>ROUNDDOWN(G3275*BDI,2)</f>
        <v/>
      </c>
    </row>
    <row r="3277" ht="15" customHeight="1">
      <c r="A3277" s="2" t="inlineStr"/>
      <c r="B3277" s="2" t="inlineStr"/>
      <c r="C3277" s="2" t="inlineStr"/>
      <c r="D3277" s="2" t="inlineStr"/>
      <c r="E3277" s="28" t="inlineStr">
        <is>
          <t>VALOR COM BDI:</t>
        </is>
      </c>
      <c r="F3277" s="56" t="n"/>
      <c r="G3277" s="66">
        <f>G3276 + G3275</f>
        <v/>
      </c>
    </row>
    <row r="3278" ht="10" customHeight="1">
      <c r="A3278" s="2" t="inlineStr"/>
      <c r="B3278" s="2" t="inlineStr"/>
      <c r="C3278" s="2" t="inlineStr"/>
      <c r="D3278" s="2" t="inlineStr"/>
      <c r="E3278" s="18" t="inlineStr"/>
    </row>
    <row r="3279" ht="20" customHeight="1">
      <c r="A3279" s="19" t="inlineStr">
        <is>
          <t>9.6.1.1. ​C1165​ DUTO PERFURADO - PERFILADOS CHAPADE AÇO (38X38)mm​ (M)</t>
        </is>
      </c>
      <c r="B3279" s="55" t="n"/>
      <c r="C3279" s="55" t="n"/>
      <c r="D3279" s="55" t="n"/>
      <c r="E3279" s="55" t="n"/>
      <c r="F3279" s="55" t="n"/>
      <c r="G3279" s="56" t="n"/>
    </row>
    <row r="3280" ht="15" customHeight="1">
      <c r="A3280" s="20" t="inlineStr">
        <is>
          <t>Material</t>
        </is>
      </c>
      <c r="B3280" s="56" t="n"/>
      <c r="C3280" s="21" t="inlineStr">
        <is>
          <t>FONTE</t>
        </is>
      </c>
      <c r="D3280" s="21" t="inlineStr">
        <is>
          <t>UNID</t>
        </is>
      </c>
      <c r="E3280" s="21" t="inlineStr">
        <is>
          <t>COEFICIENTE</t>
        </is>
      </c>
      <c r="F3280" s="21" t="inlineStr">
        <is>
          <t>PREÇO UNITÁRIO</t>
        </is>
      </c>
      <c r="G3280" s="21" t="inlineStr">
        <is>
          <t>TOTAL</t>
        </is>
      </c>
    </row>
    <row r="3281" ht="21" customHeight="1">
      <c r="A3281" s="22" t="inlineStr">
        <is>
          <t>I1056</t>
        </is>
      </c>
      <c r="B3281" s="23" t="inlineStr">
        <is>
          <t>DUTO PERFURADO-PERFILADOS CHAPA DE AÇO (38 X 38)MM</t>
        </is>
      </c>
      <c r="C3281" s="22" t="inlineStr">
        <is>
          <t>SEINFRA</t>
        </is>
      </c>
      <c r="D3281" s="22" t="inlineStr">
        <is>
          <t>M</t>
        </is>
      </c>
      <c r="E3281" s="63" t="n">
        <v>1</v>
      </c>
      <c r="F3281" s="67">
        <f>ROUND(M3281*FATOR, 2)</f>
        <v/>
      </c>
      <c r="G3281" s="67">
        <f>ROUND(ROUND(E3281,8)*F3281,4)</f>
        <v/>
      </c>
      <c r="L3281" t="n">
        <v>1</v>
      </c>
      <c r="M3281" t="n">
        <v>11.74</v>
      </c>
      <c r="N3281">
        <f>(M3281-F3281)</f>
        <v/>
      </c>
    </row>
    <row r="3282" ht="15" customHeight="1">
      <c r="A3282" s="2" t="inlineStr"/>
      <c r="B3282" s="2" t="inlineStr"/>
      <c r="C3282" s="2" t="inlineStr"/>
      <c r="D3282" s="2" t="inlineStr"/>
      <c r="E3282" s="26" t="inlineStr">
        <is>
          <t>TOTAL Material:</t>
        </is>
      </c>
      <c r="F3282" s="56" t="n"/>
      <c r="G3282" s="68">
        <f>SUM(G3281:G3281)</f>
        <v/>
      </c>
    </row>
    <row r="3283" ht="15" customHeight="1">
      <c r="A3283" s="20" t="inlineStr">
        <is>
          <t>Mão de Obra</t>
        </is>
      </c>
      <c r="B3283" s="56" t="n"/>
      <c r="C3283" s="21" t="inlineStr">
        <is>
          <t>FONTE</t>
        </is>
      </c>
      <c r="D3283" s="21" t="inlineStr">
        <is>
          <t>UNID</t>
        </is>
      </c>
      <c r="E3283" s="21" t="inlineStr">
        <is>
          <t>COEFICIENTE</t>
        </is>
      </c>
      <c r="F3283" s="21" t="inlineStr">
        <is>
          <t>PREÇO UNITÁRIO</t>
        </is>
      </c>
      <c r="G3283" s="21" t="inlineStr">
        <is>
          <t>TOTAL</t>
        </is>
      </c>
    </row>
    <row r="3284" ht="15" customHeight="1">
      <c r="A3284" s="22" t="inlineStr">
        <is>
          <t>I0042</t>
        </is>
      </c>
      <c r="B3284" s="23" t="inlineStr">
        <is>
          <t>AJUDANTE DE ELETRICISTA</t>
        </is>
      </c>
      <c r="C3284" s="22" t="inlineStr">
        <is>
          <t>SEINFRA</t>
        </is>
      </c>
      <c r="D3284" s="22" t="inlineStr">
        <is>
          <t>H</t>
        </is>
      </c>
      <c r="E3284" s="63">
        <f>L3284*FATOR</f>
        <v/>
      </c>
      <c r="F3284" s="67" t="n">
        <v>21.1</v>
      </c>
      <c r="G3284" s="67">
        <f>ROUND(ROUND(E3284,8)*F3284,4)</f>
        <v/>
      </c>
      <c r="L3284" t="n">
        <v>0.9</v>
      </c>
      <c r="M3284" t="n">
        <v>21.1</v>
      </c>
      <c r="N3284">
        <f>(M3284-F3284)</f>
        <v/>
      </c>
    </row>
    <row r="3285" ht="15" customHeight="1">
      <c r="A3285" s="22" t="inlineStr">
        <is>
          <t>I2312</t>
        </is>
      </c>
      <c r="B3285" s="23" t="inlineStr">
        <is>
          <t>ELETRICISTA</t>
        </is>
      </c>
      <c r="C3285" s="22" t="inlineStr">
        <is>
          <t>SEINFRA</t>
        </is>
      </c>
      <c r="D3285" s="22" t="inlineStr">
        <is>
          <t>H</t>
        </is>
      </c>
      <c r="E3285" s="63">
        <f>L3285*FATOR</f>
        <v/>
      </c>
      <c r="F3285" s="67" t="n">
        <v>26.85</v>
      </c>
      <c r="G3285" s="67">
        <f>ROUND(ROUND(E3285,8)*F3285,4)</f>
        <v/>
      </c>
      <c r="L3285" t="n">
        <v>0.9</v>
      </c>
      <c r="M3285" t="n">
        <v>26.85</v>
      </c>
      <c r="N3285">
        <f>(M3285-F3285)</f>
        <v/>
      </c>
    </row>
    <row r="3286" ht="15" customHeight="1">
      <c r="A3286" s="2" t="inlineStr"/>
      <c r="B3286" s="2" t="inlineStr"/>
      <c r="C3286" s="2" t="inlineStr"/>
      <c r="D3286" s="2" t="inlineStr"/>
      <c r="E3286" s="26" t="inlineStr">
        <is>
          <t>TOTAL Mão de Obra:</t>
        </is>
      </c>
      <c r="F3286" s="56" t="n"/>
      <c r="G3286" s="68">
        <f>SUM(G3284:G3285)</f>
        <v/>
      </c>
    </row>
    <row r="3287" ht="15" customHeight="1">
      <c r="A3287" s="2" t="inlineStr"/>
      <c r="B3287" s="2" t="inlineStr"/>
      <c r="C3287" s="2" t="inlineStr"/>
      <c r="D3287" s="2" t="inlineStr"/>
      <c r="E3287" s="28" t="inlineStr">
        <is>
          <t>VALOR:</t>
        </is>
      </c>
      <c r="F3287" s="56" t="n"/>
      <c r="G3287" s="66">
        <f>SUM(G3282,G3286)</f>
        <v/>
      </c>
    </row>
    <row r="3288" ht="15" customHeight="1">
      <c r="A3288" s="2" t="inlineStr"/>
      <c r="B3288" s="2" t="inlineStr"/>
      <c r="C3288" s="2" t="inlineStr"/>
      <c r="D3288" s="2" t="inlineStr"/>
      <c r="E3288" s="28" t="inlineStr">
        <is>
          <t>VALOR BDI (23.08%):</t>
        </is>
      </c>
      <c r="F3288" s="56" t="n"/>
      <c r="G3288" s="66">
        <f>ROUNDDOWN(G3287*BDI,2)</f>
        <v/>
      </c>
    </row>
    <row r="3289" ht="15" customHeight="1">
      <c r="A3289" s="2" t="inlineStr"/>
      <c r="B3289" s="2" t="inlineStr"/>
      <c r="C3289" s="2" t="inlineStr"/>
      <c r="D3289" s="2" t="inlineStr"/>
      <c r="E3289" s="28" t="inlineStr">
        <is>
          <t>VALOR COM BDI:</t>
        </is>
      </c>
      <c r="F3289" s="56" t="n"/>
      <c r="G3289" s="66">
        <f>G3288 + G3287</f>
        <v/>
      </c>
    </row>
    <row r="3290" ht="10" customHeight="1">
      <c r="A3290" s="2" t="inlineStr"/>
      <c r="B3290" s="2" t="inlineStr"/>
      <c r="C3290" s="2" t="inlineStr"/>
      <c r="D3290" s="2" t="inlineStr"/>
      <c r="E3290" s="18" t="inlineStr"/>
    </row>
    <row r="3291" ht="20" customHeight="1">
      <c r="A3291" s="19" t="inlineStr">
        <is>
          <t>9.6.1.2. ​SOP0204​ SISTEMA DE FIXAÇÃO PARA PERFILADO​ (UN)</t>
        </is>
      </c>
      <c r="B3291" s="55" t="n"/>
      <c r="C3291" s="55" t="n"/>
      <c r="D3291" s="55" t="n"/>
      <c r="E3291" s="55" t="n"/>
      <c r="F3291" s="55" t="n"/>
      <c r="G3291" s="56" t="n"/>
    </row>
    <row r="3292" ht="15" customHeight="1">
      <c r="A3292" s="20" t="inlineStr">
        <is>
          <t>Material</t>
        </is>
      </c>
      <c r="B3292" s="56" t="n"/>
      <c r="C3292" s="21" t="inlineStr">
        <is>
          <t>FONTE</t>
        </is>
      </c>
      <c r="D3292" s="21" t="inlineStr">
        <is>
          <t>UNID</t>
        </is>
      </c>
      <c r="E3292" s="21" t="inlineStr">
        <is>
          <t>COEFICIENTE</t>
        </is>
      </c>
      <c r="F3292" s="21" t="inlineStr">
        <is>
          <t>PREÇO UNITÁRIO</t>
        </is>
      </c>
      <c r="G3292" s="21" t="inlineStr">
        <is>
          <t>TOTAL</t>
        </is>
      </c>
    </row>
    <row r="3293" ht="15" customHeight="1">
      <c r="A3293" s="22" t="inlineStr">
        <is>
          <t>I7396</t>
        </is>
      </c>
      <c r="B3293" s="23" t="inlineStr">
        <is>
          <t>ARRUELA LISA EM AÇO INOX 3/8"</t>
        </is>
      </c>
      <c r="C3293" s="22" t="inlineStr">
        <is>
          <t>SEINFRA</t>
        </is>
      </c>
      <c r="D3293" s="22" t="inlineStr">
        <is>
          <t>UN</t>
        </is>
      </c>
      <c r="E3293" s="63" t="n">
        <v>2</v>
      </c>
      <c r="F3293" s="64">
        <f>ROUND(M3293*FATOR, 2)</f>
        <v/>
      </c>
      <c r="G3293" s="64">
        <f>ROUND(ROUND(E3293,8)*F3293,2)</f>
        <v/>
      </c>
      <c r="L3293" t="n">
        <v>2</v>
      </c>
      <c r="M3293" t="n">
        <v>0.6</v>
      </c>
      <c r="N3293">
        <f>(M3293-F3293)</f>
        <v/>
      </c>
    </row>
    <row r="3294" ht="15" customHeight="1">
      <c r="A3294" s="22" t="inlineStr">
        <is>
          <t>I03625</t>
        </is>
      </c>
      <c r="B3294" s="23" t="inlineStr">
        <is>
          <t>Gancho curto para perfilado, ref. Mopa ou similar</t>
        </is>
      </c>
      <c r="C3294" s="22" t="inlineStr">
        <is>
          <t>ORSE</t>
        </is>
      </c>
      <c r="D3294" s="22" t="inlineStr">
        <is>
          <t>un</t>
        </is>
      </c>
      <c r="E3294" s="63" t="n">
        <v>1</v>
      </c>
      <c r="F3294" s="64">
        <f>ROUND(M3294*FATOR, 2)</f>
        <v/>
      </c>
      <c r="G3294" s="64">
        <f>ROUND(ROUND(E3294,8)*F3294,2)</f>
        <v/>
      </c>
      <c r="L3294" t="n">
        <v>1</v>
      </c>
      <c r="M3294" t="n">
        <v>2.95</v>
      </c>
      <c r="N3294">
        <f>(M3294-F3294)</f>
        <v/>
      </c>
    </row>
    <row r="3295" ht="15" customHeight="1">
      <c r="A3295" s="22" t="inlineStr">
        <is>
          <t>I1694</t>
        </is>
      </c>
      <c r="B3295" s="23" t="inlineStr">
        <is>
          <t>PORCA SEXTAVADA 1/4'</t>
        </is>
      </c>
      <c r="C3295" s="22" t="inlineStr">
        <is>
          <t>SEINFRA</t>
        </is>
      </c>
      <c r="D3295" s="22" t="inlineStr">
        <is>
          <t>UN</t>
        </is>
      </c>
      <c r="E3295" s="63" t="n">
        <v>2</v>
      </c>
      <c r="F3295" s="64">
        <f>ROUND(M3295*FATOR, 2)</f>
        <v/>
      </c>
      <c r="G3295" s="64">
        <f>ROUND(ROUND(E3295,8)*F3295,2)</f>
        <v/>
      </c>
      <c r="L3295" t="n">
        <v>2</v>
      </c>
      <c r="M3295" t="n">
        <v>0.32</v>
      </c>
      <c r="N3295">
        <f>(M3295-F3295)</f>
        <v/>
      </c>
    </row>
    <row r="3296" ht="15" customHeight="1">
      <c r="A3296" s="22" t="inlineStr">
        <is>
          <t>I6037</t>
        </is>
      </c>
      <c r="B3296" s="23" t="inlineStr">
        <is>
          <t>VERGALHÃO ROSCA TOTAL DE 3/8"</t>
        </is>
      </c>
      <c r="C3296" s="22" t="inlineStr">
        <is>
          <t>SEINFRA</t>
        </is>
      </c>
      <c r="D3296" s="22" t="inlineStr">
        <is>
          <t>M</t>
        </is>
      </c>
      <c r="E3296" s="63" t="n">
        <v>1</v>
      </c>
      <c r="F3296" s="64">
        <f>ROUND(M3296*FATOR, 2)</f>
        <v/>
      </c>
      <c r="G3296" s="64">
        <f>ROUND(ROUND(E3296,8)*F3296,2)</f>
        <v/>
      </c>
      <c r="L3296" t="n">
        <v>1</v>
      </c>
      <c r="M3296" t="n">
        <v>4.51</v>
      </c>
      <c r="N3296">
        <f>(M3296-F3296)</f>
        <v/>
      </c>
    </row>
    <row r="3297" ht="15" customHeight="1">
      <c r="A3297" s="2" t="inlineStr"/>
      <c r="B3297" s="2" t="inlineStr"/>
      <c r="C3297" s="2" t="inlineStr"/>
      <c r="D3297" s="2" t="inlineStr"/>
      <c r="E3297" s="26" t="inlineStr">
        <is>
          <t>TOTAL Material:</t>
        </is>
      </c>
      <c r="F3297" s="56" t="n"/>
      <c r="G3297" s="65">
        <f>SUM(G3293:G3296)</f>
        <v/>
      </c>
    </row>
    <row r="3298" ht="15" customHeight="1">
      <c r="A3298" s="20" t="inlineStr">
        <is>
          <t>Mão de Obra</t>
        </is>
      </c>
      <c r="B3298" s="56" t="n"/>
      <c r="C3298" s="21" t="inlineStr">
        <is>
          <t>FONTE</t>
        </is>
      </c>
      <c r="D3298" s="21" t="inlineStr">
        <is>
          <t>UNID</t>
        </is>
      </c>
      <c r="E3298" s="21" t="inlineStr">
        <is>
          <t>COEFICIENTE</t>
        </is>
      </c>
      <c r="F3298" s="21" t="inlineStr">
        <is>
          <t>PREÇO UNITÁRIO</t>
        </is>
      </c>
      <c r="G3298" s="21" t="inlineStr">
        <is>
          <t>TOTAL</t>
        </is>
      </c>
    </row>
    <row r="3299" ht="15" customHeight="1">
      <c r="A3299" s="22" t="inlineStr">
        <is>
          <t>I0042</t>
        </is>
      </c>
      <c r="B3299" s="23" t="inlineStr">
        <is>
          <t>AJUDANTE DE ELETRICISTA</t>
        </is>
      </c>
      <c r="C3299" s="22" t="inlineStr">
        <is>
          <t>SEINFRA</t>
        </is>
      </c>
      <c r="D3299" s="22" t="inlineStr">
        <is>
          <t>H</t>
        </is>
      </c>
      <c r="E3299" s="63">
        <f>L3299*FATOR</f>
        <v/>
      </c>
      <c r="F3299" s="64" t="n">
        <v>21.1</v>
      </c>
      <c r="G3299" s="64">
        <f>ROUND(ROUND(E3299,8)*F3299,2)</f>
        <v/>
      </c>
      <c r="L3299" t="n">
        <v>0.3</v>
      </c>
      <c r="M3299" t="n">
        <v>21.1</v>
      </c>
      <c r="N3299">
        <f>(M3299-F3299)</f>
        <v/>
      </c>
    </row>
    <row r="3300" ht="15" customHeight="1">
      <c r="A3300" s="22" t="inlineStr">
        <is>
          <t>I2312</t>
        </is>
      </c>
      <c r="B3300" s="23" t="inlineStr">
        <is>
          <t>ELETRICISTA</t>
        </is>
      </c>
      <c r="C3300" s="22" t="inlineStr">
        <is>
          <t>SEINFRA</t>
        </is>
      </c>
      <c r="D3300" s="22" t="inlineStr">
        <is>
          <t>H</t>
        </is>
      </c>
      <c r="E3300" s="63">
        <f>L3300*FATOR</f>
        <v/>
      </c>
      <c r="F3300" s="64" t="n">
        <v>26.85</v>
      </c>
      <c r="G3300" s="64">
        <f>ROUND(ROUND(E3300,8)*F3300,2)</f>
        <v/>
      </c>
      <c r="L3300" t="n">
        <v>0.3</v>
      </c>
      <c r="M3300" t="n">
        <v>26.85</v>
      </c>
      <c r="N3300">
        <f>(M3300-F3300)</f>
        <v/>
      </c>
    </row>
    <row r="3301" ht="15" customHeight="1">
      <c r="A3301" s="2" t="inlineStr"/>
      <c r="B3301" s="2" t="inlineStr"/>
      <c r="C3301" s="2" t="inlineStr"/>
      <c r="D3301" s="2" t="inlineStr"/>
      <c r="E3301" s="26" t="inlineStr">
        <is>
          <t>TOTAL Mão de Obra:</t>
        </is>
      </c>
      <c r="F3301" s="56" t="n"/>
      <c r="G3301" s="65">
        <f>SUM(G3299:G3300)</f>
        <v/>
      </c>
    </row>
    <row r="3302" ht="15" customHeight="1">
      <c r="A3302" s="2" t="inlineStr"/>
      <c r="B3302" s="2" t="inlineStr"/>
      <c r="C3302" s="2" t="inlineStr"/>
      <c r="D3302" s="2" t="inlineStr"/>
      <c r="E3302" s="28" t="inlineStr">
        <is>
          <t>VALOR:</t>
        </is>
      </c>
      <c r="F3302" s="56" t="n"/>
      <c r="G3302" s="66">
        <f>SUM(G3297,G3301)</f>
        <v/>
      </c>
    </row>
    <row r="3303" ht="15" customHeight="1">
      <c r="A3303" s="2" t="inlineStr"/>
      <c r="B3303" s="2" t="inlineStr"/>
      <c r="C3303" s="2" t="inlineStr"/>
      <c r="D3303" s="2" t="inlineStr"/>
      <c r="E3303" s="28" t="inlineStr">
        <is>
          <t>VALOR BDI (23.08%):</t>
        </is>
      </c>
      <c r="F3303" s="56" t="n"/>
      <c r="G3303" s="66">
        <f>ROUNDDOWN(G3302*BDI,2)</f>
        <v/>
      </c>
    </row>
    <row r="3304" ht="15" customHeight="1">
      <c r="A3304" s="2" t="inlineStr"/>
      <c r="B3304" s="2" t="inlineStr"/>
      <c r="C3304" s="2" t="inlineStr"/>
      <c r="D3304" s="2" t="inlineStr"/>
      <c r="E3304" s="28" t="inlineStr">
        <is>
          <t>VALOR COM BDI:</t>
        </is>
      </c>
      <c r="F3304" s="56" t="n"/>
      <c r="G3304" s="66">
        <f>G3303 + G3302</f>
        <v/>
      </c>
    </row>
    <row r="3305" ht="10" customHeight="1">
      <c r="A3305" s="2" t="inlineStr"/>
      <c r="B3305" s="2" t="inlineStr"/>
      <c r="C3305" s="2" t="inlineStr"/>
      <c r="D3305" s="2" t="inlineStr"/>
      <c r="E3305" s="18" t="inlineStr"/>
    </row>
    <row r="3306" ht="20" customHeight="1">
      <c r="A3306" s="19" t="inlineStr">
        <is>
          <t>9.6.1.3. ​SOP2754​ JUNÇÃO INTERNA TIPO "T" PARA PERFILADO (REF.: MOPA OU SIMILAR)​ (UN)</t>
        </is>
      </c>
      <c r="B3306" s="55" t="n"/>
      <c r="C3306" s="55" t="n"/>
      <c r="D3306" s="55" t="n"/>
      <c r="E3306" s="55" t="n"/>
      <c r="F3306" s="55" t="n"/>
      <c r="G3306" s="56" t="n"/>
    </row>
    <row r="3307" ht="15" customHeight="1">
      <c r="A3307" s="20" t="inlineStr">
        <is>
          <t>Material</t>
        </is>
      </c>
      <c r="B3307" s="56" t="n"/>
      <c r="C3307" s="21" t="inlineStr">
        <is>
          <t>FONTE</t>
        </is>
      </c>
      <c r="D3307" s="21" t="inlineStr">
        <is>
          <t>UNID</t>
        </is>
      </c>
      <c r="E3307" s="21" t="inlineStr">
        <is>
          <t>COEFICIENTE</t>
        </is>
      </c>
      <c r="F3307" s="21" t="inlineStr">
        <is>
          <t>PREÇO UNITÁRIO</t>
        </is>
      </c>
      <c r="G3307" s="21" t="inlineStr">
        <is>
          <t>TOTAL</t>
        </is>
      </c>
    </row>
    <row r="3308" ht="15" customHeight="1">
      <c r="A3308" s="22" t="inlineStr">
        <is>
          <t>I03628</t>
        </is>
      </c>
      <c r="B3308" s="23" t="inlineStr">
        <is>
          <t>Junção interna tipo "T" para perfilado, ref. Mopa ou simila</t>
        </is>
      </c>
      <c r="C3308" s="22" t="inlineStr">
        <is>
          <t>ORSE</t>
        </is>
      </c>
      <c r="D3308" s="22" t="inlineStr">
        <is>
          <t>un</t>
        </is>
      </c>
      <c r="E3308" s="63" t="n">
        <v>1</v>
      </c>
      <c r="F3308" s="64">
        <f>ROUND(M3308*FATOR, 2)</f>
        <v/>
      </c>
      <c r="G3308" s="64">
        <f>ROUND(ROUND(E3308,8)*F3308,2)</f>
        <v/>
      </c>
      <c r="L3308" t="n">
        <v>1</v>
      </c>
      <c r="M3308" t="n">
        <v>6.9</v>
      </c>
      <c r="N3308">
        <f>(M3308-F3308)</f>
        <v/>
      </c>
    </row>
    <row r="3309" ht="15" customHeight="1">
      <c r="A3309" s="2" t="inlineStr"/>
      <c r="B3309" s="2" t="inlineStr"/>
      <c r="C3309" s="2" t="inlineStr"/>
      <c r="D3309" s="2" t="inlineStr"/>
      <c r="E3309" s="26" t="inlineStr">
        <is>
          <t>TOTAL Material:</t>
        </is>
      </c>
      <c r="F3309" s="56" t="n"/>
      <c r="G3309" s="65">
        <f>SUM(G3308:G3308)</f>
        <v/>
      </c>
    </row>
    <row r="3310" ht="15" customHeight="1">
      <c r="A3310" s="20" t="inlineStr">
        <is>
          <t>Mão de Obra</t>
        </is>
      </c>
      <c r="B3310" s="56" t="n"/>
      <c r="C3310" s="21" t="inlineStr">
        <is>
          <t>FONTE</t>
        </is>
      </c>
      <c r="D3310" s="21" t="inlineStr">
        <is>
          <t>UNID</t>
        </is>
      </c>
      <c r="E3310" s="21" t="inlineStr">
        <is>
          <t>COEFICIENTE</t>
        </is>
      </c>
      <c r="F3310" s="21" t="inlineStr">
        <is>
          <t>PREÇO UNITÁRIO</t>
        </is>
      </c>
      <c r="G3310" s="21" t="inlineStr">
        <is>
          <t>TOTAL</t>
        </is>
      </c>
    </row>
    <row r="3311" ht="15" customHeight="1">
      <c r="A3311" s="22" t="inlineStr">
        <is>
          <t>I2312</t>
        </is>
      </c>
      <c r="B3311" s="23" t="inlineStr">
        <is>
          <t>ELETRICISTA</t>
        </is>
      </c>
      <c r="C3311" s="22" t="inlineStr">
        <is>
          <t>SEINFRA</t>
        </is>
      </c>
      <c r="D3311" s="22" t="inlineStr">
        <is>
          <t>H</t>
        </is>
      </c>
      <c r="E3311" s="63">
        <f>L3311*FATOR</f>
        <v/>
      </c>
      <c r="F3311" s="64" t="n">
        <v>26.85</v>
      </c>
      <c r="G3311" s="64">
        <f>ROUND(ROUND(E3311,8)*F3311,2)</f>
        <v/>
      </c>
      <c r="L3311" t="n">
        <v>0.2</v>
      </c>
      <c r="M3311" t="n">
        <v>26.85</v>
      </c>
      <c r="N3311">
        <f>(M3311-F3311)</f>
        <v/>
      </c>
    </row>
    <row r="3312" ht="15" customHeight="1">
      <c r="A3312" s="22" t="inlineStr">
        <is>
          <t>I2543</t>
        </is>
      </c>
      <c r="B3312" s="23" t="inlineStr">
        <is>
          <t>SERVENTE</t>
        </is>
      </c>
      <c r="C3312" s="22" t="inlineStr">
        <is>
          <t>SEINFRA</t>
        </is>
      </c>
      <c r="D3312" s="22" t="inlineStr">
        <is>
          <t>H</t>
        </is>
      </c>
      <c r="E3312" s="63">
        <f>L3312*FATOR</f>
        <v/>
      </c>
      <c r="F3312" s="64" t="n">
        <v>20.26</v>
      </c>
      <c r="G3312" s="64">
        <f>ROUND(ROUND(E3312,8)*F3312,2)</f>
        <v/>
      </c>
      <c r="L3312" t="n">
        <v>0.2</v>
      </c>
      <c r="M3312" t="n">
        <v>20.26</v>
      </c>
      <c r="N3312">
        <f>(M3312-F3312)</f>
        <v/>
      </c>
    </row>
    <row r="3313" ht="15" customHeight="1">
      <c r="A3313" s="2" t="inlineStr"/>
      <c r="B3313" s="2" t="inlineStr"/>
      <c r="C3313" s="2" t="inlineStr"/>
      <c r="D3313" s="2" t="inlineStr"/>
      <c r="E3313" s="26" t="inlineStr">
        <is>
          <t>TOTAL Mão de Obra:</t>
        </is>
      </c>
      <c r="F3313" s="56" t="n"/>
      <c r="G3313" s="65">
        <f>SUM(G3311:G3312)</f>
        <v/>
      </c>
    </row>
    <row r="3314" ht="15" customHeight="1">
      <c r="A3314" s="2" t="inlineStr"/>
      <c r="B3314" s="2" t="inlineStr"/>
      <c r="C3314" s="2" t="inlineStr"/>
      <c r="D3314" s="2" t="inlineStr"/>
      <c r="E3314" s="28" t="inlineStr">
        <is>
          <t>VALOR:</t>
        </is>
      </c>
      <c r="F3314" s="56" t="n"/>
      <c r="G3314" s="66">
        <f>SUM(G3313,G3309)</f>
        <v/>
      </c>
    </row>
    <row r="3315" ht="15" customHeight="1">
      <c r="A3315" s="2" t="inlineStr"/>
      <c r="B3315" s="2" t="inlineStr"/>
      <c r="C3315" s="2" t="inlineStr"/>
      <c r="D3315" s="2" t="inlineStr"/>
      <c r="E3315" s="28" t="inlineStr">
        <is>
          <t>VALOR BDI (23.08%):</t>
        </is>
      </c>
      <c r="F3315" s="56" t="n"/>
      <c r="G3315" s="66">
        <f>ROUNDDOWN(G3314*BDI,2)</f>
        <v/>
      </c>
    </row>
    <row r="3316" ht="15" customHeight="1">
      <c r="A3316" s="2" t="inlineStr"/>
      <c r="B3316" s="2" t="inlineStr"/>
      <c r="C3316" s="2" t="inlineStr"/>
      <c r="D3316" s="2" t="inlineStr"/>
      <c r="E3316" s="28" t="inlineStr">
        <is>
          <t>VALOR COM BDI:</t>
        </is>
      </c>
      <c r="F3316" s="56" t="n"/>
      <c r="G3316" s="66">
        <f>G3315 + G3314</f>
        <v/>
      </c>
    </row>
    <row r="3317" ht="10" customHeight="1">
      <c r="A3317" s="2" t="inlineStr"/>
      <c r="B3317" s="2" t="inlineStr"/>
      <c r="C3317" s="2" t="inlineStr"/>
      <c r="D3317" s="2" t="inlineStr"/>
      <c r="E3317" s="18" t="inlineStr"/>
    </row>
    <row r="3318" ht="20" customHeight="1">
      <c r="A3318" s="19" t="inlineStr">
        <is>
          <t>9.6.1.4. ​SOP2753​ JUNÇÃO INTERNA TIPO "L" PARA PERFILADO (REF.: MOPA OU SIMILAR)​ (UN)</t>
        </is>
      </c>
      <c r="B3318" s="55" t="n"/>
      <c r="C3318" s="55" t="n"/>
      <c r="D3318" s="55" t="n"/>
      <c r="E3318" s="55" t="n"/>
      <c r="F3318" s="55" t="n"/>
      <c r="G3318" s="56" t="n"/>
    </row>
    <row r="3319" ht="15" customHeight="1">
      <c r="A3319" s="20" t="inlineStr">
        <is>
          <t>Material</t>
        </is>
      </c>
      <c r="B3319" s="56" t="n"/>
      <c r="C3319" s="21" t="inlineStr">
        <is>
          <t>FONTE</t>
        </is>
      </c>
      <c r="D3319" s="21" t="inlineStr">
        <is>
          <t>UNID</t>
        </is>
      </c>
      <c r="E3319" s="21" t="inlineStr">
        <is>
          <t>COEFICIENTE</t>
        </is>
      </c>
      <c r="F3319" s="21" t="inlineStr">
        <is>
          <t>PREÇO UNITÁRIO</t>
        </is>
      </c>
      <c r="G3319" s="21" t="inlineStr">
        <is>
          <t>TOTAL</t>
        </is>
      </c>
    </row>
    <row r="3320" ht="15" customHeight="1">
      <c r="A3320" s="22" t="inlineStr">
        <is>
          <t>I03630</t>
        </is>
      </c>
      <c r="B3320" s="23" t="inlineStr">
        <is>
          <t>Junção interna tipo "L" para perfilado, ref. Mopa ou similar</t>
        </is>
      </c>
      <c r="C3320" s="22" t="inlineStr">
        <is>
          <t>ORSE</t>
        </is>
      </c>
      <c r="D3320" s="22" t="inlineStr">
        <is>
          <t>un</t>
        </is>
      </c>
      <c r="E3320" s="63" t="n">
        <v>1</v>
      </c>
      <c r="F3320" s="64">
        <f>ROUND(M3320*FATOR, 2)</f>
        <v/>
      </c>
      <c r="G3320" s="64">
        <f>ROUND(ROUND(E3320,8)*F3320,2)</f>
        <v/>
      </c>
      <c r="L3320" t="n">
        <v>1</v>
      </c>
      <c r="M3320" t="n">
        <v>5.57</v>
      </c>
      <c r="N3320">
        <f>(M3320-F3320)</f>
        <v/>
      </c>
    </row>
    <row r="3321" ht="15" customHeight="1">
      <c r="A3321" s="2" t="inlineStr"/>
      <c r="B3321" s="2" t="inlineStr"/>
      <c r="C3321" s="2" t="inlineStr"/>
      <c r="D3321" s="2" t="inlineStr"/>
      <c r="E3321" s="26" t="inlineStr">
        <is>
          <t>TOTAL Material:</t>
        </is>
      </c>
      <c r="F3321" s="56" t="n"/>
      <c r="G3321" s="65">
        <f>SUM(G3320:G3320)</f>
        <v/>
      </c>
    </row>
    <row r="3322" ht="15" customHeight="1">
      <c r="A3322" s="20" t="inlineStr">
        <is>
          <t>Mão de Obra</t>
        </is>
      </c>
      <c r="B3322" s="56" t="n"/>
      <c r="C3322" s="21" t="inlineStr">
        <is>
          <t>FONTE</t>
        </is>
      </c>
      <c r="D3322" s="21" t="inlineStr">
        <is>
          <t>UNID</t>
        </is>
      </c>
      <c r="E3322" s="21" t="inlineStr">
        <is>
          <t>COEFICIENTE</t>
        </is>
      </c>
      <c r="F3322" s="21" t="inlineStr">
        <is>
          <t>PREÇO UNITÁRIO</t>
        </is>
      </c>
      <c r="G3322" s="21" t="inlineStr">
        <is>
          <t>TOTAL</t>
        </is>
      </c>
    </row>
    <row r="3323" ht="15" customHeight="1">
      <c r="A3323" s="22" t="inlineStr">
        <is>
          <t>I2312</t>
        </is>
      </c>
      <c r="B3323" s="23" t="inlineStr">
        <is>
          <t>ELETRICISTA</t>
        </is>
      </c>
      <c r="C3323" s="22" t="inlineStr">
        <is>
          <t>SEINFRA</t>
        </is>
      </c>
      <c r="D3323" s="22" t="inlineStr">
        <is>
          <t>H</t>
        </is>
      </c>
      <c r="E3323" s="63">
        <f>L3323*FATOR</f>
        <v/>
      </c>
      <c r="F3323" s="64" t="n">
        <v>26.85</v>
      </c>
      <c r="G3323" s="64">
        <f>ROUND(ROUND(E3323,8)*F3323,2)</f>
        <v/>
      </c>
      <c r="L3323" t="n">
        <v>0.2</v>
      </c>
      <c r="M3323" t="n">
        <v>26.85</v>
      </c>
      <c r="N3323">
        <f>(M3323-F3323)</f>
        <v/>
      </c>
    </row>
    <row r="3324" ht="15" customHeight="1">
      <c r="A3324" s="22" t="inlineStr">
        <is>
          <t>I2543</t>
        </is>
      </c>
      <c r="B3324" s="23" t="inlineStr">
        <is>
          <t>SERVENTE</t>
        </is>
      </c>
      <c r="C3324" s="22" t="inlineStr">
        <is>
          <t>SEINFRA</t>
        </is>
      </c>
      <c r="D3324" s="22" t="inlineStr">
        <is>
          <t>H</t>
        </is>
      </c>
      <c r="E3324" s="63">
        <f>L3324*FATOR</f>
        <v/>
      </c>
      <c r="F3324" s="64" t="n">
        <v>20.26</v>
      </c>
      <c r="G3324" s="64">
        <f>ROUND(ROUND(E3324,8)*F3324,2)</f>
        <v/>
      </c>
      <c r="L3324" t="n">
        <v>0.2</v>
      </c>
      <c r="M3324" t="n">
        <v>20.26</v>
      </c>
      <c r="N3324">
        <f>(M3324-F3324)</f>
        <v/>
      </c>
    </row>
    <row r="3325" ht="15" customHeight="1">
      <c r="A3325" s="2" t="inlineStr"/>
      <c r="B3325" s="2" t="inlineStr"/>
      <c r="C3325" s="2" t="inlineStr"/>
      <c r="D3325" s="2" t="inlineStr"/>
      <c r="E3325" s="26" t="inlineStr">
        <is>
          <t>TOTAL Mão de Obra:</t>
        </is>
      </c>
      <c r="F3325" s="56" t="n"/>
      <c r="G3325" s="65">
        <f>SUM(G3323:G3324)</f>
        <v/>
      </c>
    </row>
    <row r="3326" ht="15" customHeight="1">
      <c r="A3326" s="2" t="inlineStr"/>
      <c r="B3326" s="2" t="inlineStr"/>
      <c r="C3326" s="2" t="inlineStr"/>
      <c r="D3326" s="2" t="inlineStr"/>
      <c r="E3326" s="28" t="inlineStr">
        <is>
          <t>VALOR:</t>
        </is>
      </c>
      <c r="F3326" s="56" t="n"/>
      <c r="G3326" s="66">
        <f>SUM(G3321,G3325)</f>
        <v/>
      </c>
    </row>
    <row r="3327" ht="15" customHeight="1">
      <c r="A3327" s="2" t="inlineStr"/>
      <c r="B3327" s="2" t="inlineStr"/>
      <c r="C3327" s="2" t="inlineStr"/>
      <c r="D3327" s="2" t="inlineStr"/>
      <c r="E3327" s="28" t="inlineStr">
        <is>
          <t>VALOR BDI (23.08%):</t>
        </is>
      </c>
      <c r="F3327" s="56" t="n"/>
      <c r="G3327" s="66">
        <f>ROUNDDOWN(G3326*BDI,2)</f>
        <v/>
      </c>
    </row>
    <row r="3328" ht="15" customHeight="1">
      <c r="A3328" s="2" t="inlineStr"/>
      <c r="B3328" s="2" t="inlineStr"/>
      <c r="C3328" s="2" t="inlineStr"/>
      <c r="D3328" s="2" t="inlineStr"/>
      <c r="E3328" s="28" t="inlineStr">
        <is>
          <t>VALOR COM BDI:</t>
        </is>
      </c>
      <c r="F3328" s="56" t="n"/>
      <c r="G3328" s="66">
        <f>G3327 + G3326</f>
        <v/>
      </c>
    </row>
    <row r="3329" ht="10" customHeight="1">
      <c r="A3329" s="2" t="inlineStr"/>
      <c r="B3329" s="2" t="inlineStr"/>
      <c r="C3329" s="2" t="inlineStr"/>
      <c r="D3329" s="2" t="inlineStr"/>
      <c r="E3329" s="18" t="inlineStr"/>
    </row>
    <row r="3330" ht="20" customHeight="1">
      <c r="A3330" s="19" t="inlineStr">
        <is>
          <t>9.7.1.1. ​91939​ CAIXA RETANGULAR 4" X 2" ALTA (2,00 M DO PISO), PVC, INSTALADA EM PAREDE - FORNECIMENTO E INSTALAÇÃO.AF_03/2023​ (UN)</t>
        </is>
      </c>
      <c r="B3330" s="55" t="n"/>
      <c r="C3330" s="55" t="n"/>
      <c r="D3330" s="55" t="n"/>
      <c r="E3330" s="55" t="n"/>
      <c r="F3330" s="55" t="n"/>
      <c r="G3330" s="56" t="n"/>
    </row>
    <row r="3331" ht="15" customHeight="1">
      <c r="A3331" s="20" t="inlineStr">
        <is>
          <t>Material</t>
        </is>
      </c>
      <c r="B3331" s="56" t="n"/>
      <c r="C3331" s="21" t="inlineStr">
        <is>
          <t>FONTE</t>
        </is>
      </c>
      <c r="D3331" s="21" t="inlineStr">
        <is>
          <t>UNID</t>
        </is>
      </c>
      <c r="E3331" s="21" t="inlineStr">
        <is>
          <t>COEFICIENTE</t>
        </is>
      </c>
      <c r="F3331" s="21" t="inlineStr">
        <is>
          <t>PREÇO UNITÁRIO</t>
        </is>
      </c>
      <c r="G3331" s="21" t="inlineStr">
        <is>
          <t>TOTAL</t>
        </is>
      </c>
    </row>
    <row r="3332" ht="21" customHeight="1">
      <c r="A3332" s="22" t="inlineStr">
        <is>
          <t>00001872</t>
        </is>
      </c>
      <c r="B3332" s="23" t="inlineStr">
        <is>
          <t>CAIXA DE PASSAGEM, EM PVC, DE 4" X 2", PARA ELETRODUTO FLEXIVEL CORRUGADO</t>
        </is>
      </c>
      <c r="C3332" s="22" t="inlineStr">
        <is>
          <t>SINAPI</t>
        </is>
      </c>
      <c r="D3332" s="22" t="inlineStr">
        <is>
          <t>UN</t>
        </is>
      </c>
      <c r="E3332" s="63" t="n">
        <v>1</v>
      </c>
      <c r="F3332" s="64">
        <f>ROUND(M3332*FATOR, 2)</f>
        <v/>
      </c>
      <c r="G3332" s="64">
        <f>TRUNC(TRUNC(E3332,8)*F3332,2)</f>
        <v/>
      </c>
      <c r="L3332" t="n">
        <v>1</v>
      </c>
      <c r="M3332" t="n">
        <v>1.78</v>
      </c>
      <c r="N3332">
        <f>(M3332-F3332)</f>
        <v/>
      </c>
    </row>
    <row r="3333" ht="15" customHeight="1">
      <c r="A3333" s="2" t="inlineStr"/>
      <c r="B3333" s="2" t="inlineStr"/>
      <c r="C3333" s="2" t="inlineStr"/>
      <c r="D3333" s="2" t="inlineStr"/>
      <c r="E3333" s="26" t="inlineStr">
        <is>
          <t>TOTAL Material:</t>
        </is>
      </c>
      <c r="F3333" s="56" t="n"/>
      <c r="G3333" s="65">
        <f>SUM(G3332:G3332)</f>
        <v/>
      </c>
    </row>
    <row r="3334" ht="15" customHeight="1">
      <c r="A3334" s="20" t="inlineStr">
        <is>
          <t>Mão de Obra com Encargos Complementares</t>
        </is>
      </c>
      <c r="B3334" s="56" t="n"/>
      <c r="C3334" s="21" t="inlineStr">
        <is>
          <t>FONTE</t>
        </is>
      </c>
      <c r="D3334" s="21" t="inlineStr">
        <is>
          <t>UNID</t>
        </is>
      </c>
      <c r="E3334" s="21" t="inlineStr">
        <is>
          <t>COEFICIENTE</t>
        </is>
      </c>
      <c r="F3334" s="21" t="inlineStr">
        <is>
          <t>PREÇO UNITÁRIO</t>
        </is>
      </c>
      <c r="G3334" s="21" t="inlineStr">
        <is>
          <t>TOTAL</t>
        </is>
      </c>
    </row>
    <row r="3335" ht="21" customHeight="1">
      <c r="A3335" s="22" t="inlineStr">
        <is>
          <t>88247</t>
        </is>
      </c>
      <c r="B3335" s="23" t="inlineStr">
        <is>
          <t>AUXILIAR DE ELETRICISTA COM ENCARGOS COMPLEMENTARES</t>
        </is>
      </c>
      <c r="C3335" s="22" t="inlineStr">
        <is>
          <t>SINAPI</t>
        </is>
      </c>
      <c r="D3335" s="22" t="inlineStr">
        <is>
          <t>H</t>
        </is>
      </c>
      <c r="E3335" s="63">
        <f>L3335*FATOR</f>
        <v/>
      </c>
      <c r="F3335" s="64">
        <f>'COMPOSICOES AUXILIARES'!G505</f>
        <v/>
      </c>
      <c r="G3335" s="64">
        <f>TRUNC(TRUNC(E3335,8)*F3335,2)</f>
        <v/>
      </c>
      <c r="L3335" t="n">
        <v>0.55</v>
      </c>
      <c r="M3335" t="n">
        <v>25.22</v>
      </c>
      <c r="N3335">
        <f>(M3335-F3335)</f>
        <v/>
      </c>
    </row>
    <row r="3336" ht="15" customHeight="1">
      <c r="A3336" s="22" t="inlineStr">
        <is>
          <t>88264</t>
        </is>
      </c>
      <c r="B3336" s="23" t="inlineStr">
        <is>
          <t>ELETRICISTA COM ENCARGOS COMPLEMENTARES</t>
        </is>
      </c>
      <c r="C3336" s="22" t="inlineStr">
        <is>
          <t>SINAPI</t>
        </is>
      </c>
      <c r="D3336" s="22" t="inlineStr">
        <is>
          <t>H</t>
        </is>
      </c>
      <c r="E3336" s="63">
        <f>L3336*FATOR</f>
        <v/>
      </c>
      <c r="F3336" s="64">
        <f>'COMPOSICOES AUXILIARES'!G505</f>
        <v/>
      </c>
      <c r="G3336" s="64">
        <f>TRUNC(TRUNC(E3336,8)*F3336,2)</f>
        <v/>
      </c>
      <c r="L3336" t="n">
        <v>0.55</v>
      </c>
      <c r="M3336" t="n">
        <v>30.96</v>
      </c>
      <c r="N3336">
        <f>(M3336-F3336)</f>
        <v/>
      </c>
    </row>
    <row r="3337" ht="18" customHeight="1">
      <c r="A3337" s="2" t="inlineStr"/>
      <c r="B3337" s="2" t="inlineStr"/>
      <c r="C3337" s="2" t="inlineStr"/>
      <c r="D3337" s="2" t="inlineStr"/>
      <c r="E3337" s="26" t="inlineStr">
        <is>
          <t>TOTAL Mão de Obra com Encargos Complementares:</t>
        </is>
      </c>
      <c r="F3337" s="56" t="n"/>
      <c r="G3337" s="65">
        <f>SUM(G3335:G3336)</f>
        <v/>
      </c>
    </row>
    <row r="3338" ht="15" customHeight="1">
      <c r="A3338" s="20" t="inlineStr">
        <is>
          <t>Serviço</t>
        </is>
      </c>
      <c r="B3338" s="56" t="n"/>
      <c r="C3338" s="21" t="inlineStr">
        <is>
          <t>FONTE</t>
        </is>
      </c>
      <c r="D3338" s="21" t="inlineStr">
        <is>
          <t>UNID</t>
        </is>
      </c>
      <c r="E3338" s="21" t="inlineStr">
        <is>
          <t>COEFICIENTE</t>
        </is>
      </c>
      <c r="F3338" s="21" t="inlineStr">
        <is>
          <t>PREÇO UNITÁRIO</t>
        </is>
      </c>
      <c r="G3338" s="21" t="inlineStr">
        <is>
          <t>TOTAL</t>
        </is>
      </c>
    </row>
    <row r="3339" ht="21" customHeight="1">
      <c r="A3339" s="22" t="inlineStr">
        <is>
          <t>88629</t>
        </is>
      </c>
      <c r="B3339" s="23" t="inlineStr">
        <is>
          <t>ARGAMASSA TRAÇO 1:3 (EM VOLUME DE CIMENTO E AREIA MÉDIA ÚMIDA), PREPARO MANUAL. AF_08/2019</t>
        </is>
      </c>
      <c r="C3339" s="22" t="inlineStr">
        <is>
          <t>SINAPI</t>
        </is>
      </c>
      <c r="D3339" s="22" t="inlineStr">
        <is>
          <t>M3</t>
        </is>
      </c>
      <c r="E3339" s="63" t="n">
        <v>0.0009</v>
      </c>
      <c r="F3339" s="64">
        <f>'COMPOSICOES AUXILIARES'!G308</f>
        <v/>
      </c>
      <c r="G3339" s="64">
        <f>TRUNC(TRUNC(E3339,8)*F3339,2)</f>
        <v/>
      </c>
      <c r="L3339" t="n">
        <v>0.0009</v>
      </c>
      <c r="M3339" t="n">
        <v>698.39</v>
      </c>
      <c r="N3339">
        <f>(M3339-F3339)</f>
        <v/>
      </c>
    </row>
    <row r="3340" ht="15" customHeight="1">
      <c r="A3340" s="2" t="inlineStr"/>
      <c r="B3340" s="2" t="inlineStr"/>
      <c r="C3340" s="2" t="inlineStr"/>
      <c r="D3340" s="2" t="inlineStr"/>
      <c r="E3340" s="26" t="inlineStr">
        <is>
          <t>TOTAL Serviço:</t>
        </is>
      </c>
      <c r="F3340" s="56" t="n"/>
      <c r="G3340" s="65">
        <f>SUM(G3339:G3339)</f>
        <v/>
      </c>
    </row>
    <row r="3341" ht="15" customHeight="1">
      <c r="A3341" s="2" t="inlineStr"/>
      <c r="B3341" s="2" t="inlineStr"/>
      <c r="C3341" s="2" t="inlineStr"/>
      <c r="D3341" s="2" t="inlineStr"/>
      <c r="E3341" s="28" t="inlineStr">
        <is>
          <t>VALOR:</t>
        </is>
      </c>
      <c r="F3341" s="56" t="n"/>
      <c r="G3341" s="66">
        <f>SUM(G3337,G3340,G3333)</f>
        <v/>
      </c>
    </row>
    <row r="3342" ht="15" customHeight="1">
      <c r="A3342" s="2" t="inlineStr"/>
      <c r="B3342" s="2" t="inlineStr"/>
      <c r="C3342" s="2" t="inlineStr"/>
      <c r="D3342" s="2" t="inlineStr"/>
      <c r="E3342" s="28" t="inlineStr">
        <is>
          <t>VALOR BDI (23.08%):</t>
        </is>
      </c>
      <c r="F3342" s="56" t="n"/>
      <c r="G3342" s="66">
        <f>ROUNDDOWN(G3341*BDI,2)</f>
        <v/>
      </c>
    </row>
    <row r="3343" ht="15" customHeight="1">
      <c r="A3343" s="2" t="inlineStr"/>
      <c r="B3343" s="2" t="inlineStr"/>
      <c r="C3343" s="2" t="inlineStr"/>
      <c r="D3343" s="2" t="inlineStr"/>
      <c r="E3343" s="28" t="inlineStr">
        <is>
          <t>VALOR COM BDI:</t>
        </is>
      </c>
      <c r="F3343" s="56" t="n"/>
      <c r="G3343" s="66">
        <f>G3342 + G3341</f>
        <v/>
      </c>
    </row>
    <row r="3344" ht="10" customHeight="1">
      <c r="A3344" s="2" t="inlineStr"/>
      <c r="B3344" s="2" t="inlineStr"/>
      <c r="C3344" s="2" t="inlineStr"/>
      <c r="D3344" s="2" t="inlineStr"/>
      <c r="E3344" s="18" t="inlineStr"/>
    </row>
    <row r="3345" ht="20" customHeight="1">
      <c r="A3345" s="19" t="inlineStr">
        <is>
          <t>9.7.1.2. ​91940​ CAIXA RETANGULAR 4" X 2" MÉDIA (1,30 M DO PISO), PVC, INSTALADA EM PAREDE - FORNECIMENTO E INSTALAÇÃO.AF_03/2023​ (UN)</t>
        </is>
      </c>
      <c r="B3345" s="55" t="n"/>
      <c r="C3345" s="55" t="n"/>
      <c r="D3345" s="55" t="n"/>
      <c r="E3345" s="55" t="n"/>
      <c r="F3345" s="55" t="n"/>
      <c r="G3345" s="56" t="n"/>
    </row>
    <row r="3346" ht="15" customHeight="1">
      <c r="A3346" s="20" t="inlineStr">
        <is>
          <t>Material</t>
        </is>
      </c>
      <c r="B3346" s="56" t="n"/>
      <c r="C3346" s="21" t="inlineStr">
        <is>
          <t>FONTE</t>
        </is>
      </c>
      <c r="D3346" s="21" t="inlineStr">
        <is>
          <t>UNID</t>
        </is>
      </c>
      <c r="E3346" s="21" t="inlineStr">
        <is>
          <t>COEFICIENTE</t>
        </is>
      </c>
      <c r="F3346" s="21" t="inlineStr">
        <is>
          <t>PREÇO UNITÁRIO</t>
        </is>
      </c>
      <c r="G3346" s="21" t="inlineStr">
        <is>
          <t>TOTAL</t>
        </is>
      </c>
    </row>
    <row r="3347" ht="21" customHeight="1">
      <c r="A3347" s="22" t="inlineStr">
        <is>
          <t>00001872</t>
        </is>
      </c>
      <c r="B3347" s="23" t="inlineStr">
        <is>
          <t>CAIXA DE PASSAGEM, EM PVC, DE 4" X 2", PARA ELETRODUTO FLEXIVEL CORRUGADO</t>
        </is>
      </c>
      <c r="C3347" s="22" t="inlineStr">
        <is>
          <t>SINAPI</t>
        </is>
      </c>
      <c r="D3347" s="22" t="inlineStr">
        <is>
          <t>UN</t>
        </is>
      </c>
      <c r="E3347" s="63" t="n">
        <v>1</v>
      </c>
      <c r="F3347" s="64">
        <f>ROUND(M3347*FATOR, 2)</f>
        <v/>
      </c>
      <c r="G3347" s="64">
        <f>TRUNC(TRUNC(E3347,8)*F3347,2)</f>
        <v/>
      </c>
      <c r="L3347" t="n">
        <v>1</v>
      </c>
      <c r="M3347" t="n">
        <v>1.78</v>
      </c>
      <c r="N3347">
        <f>(M3347-F3347)</f>
        <v/>
      </c>
    </row>
    <row r="3348" ht="15" customHeight="1">
      <c r="A3348" s="2" t="inlineStr"/>
      <c r="B3348" s="2" t="inlineStr"/>
      <c r="C3348" s="2" t="inlineStr"/>
      <c r="D3348" s="2" t="inlineStr"/>
      <c r="E3348" s="26" t="inlineStr">
        <is>
          <t>TOTAL Material:</t>
        </is>
      </c>
      <c r="F3348" s="56" t="n"/>
      <c r="G3348" s="65">
        <f>SUM(G3347:G3347)</f>
        <v/>
      </c>
    </row>
    <row r="3349" ht="15" customHeight="1">
      <c r="A3349" s="20" t="inlineStr">
        <is>
          <t>Mão de Obra com Encargos Complementares</t>
        </is>
      </c>
      <c r="B3349" s="56" t="n"/>
      <c r="C3349" s="21" t="inlineStr">
        <is>
          <t>FONTE</t>
        </is>
      </c>
      <c r="D3349" s="21" t="inlineStr">
        <is>
          <t>UNID</t>
        </is>
      </c>
      <c r="E3349" s="21" t="inlineStr">
        <is>
          <t>COEFICIENTE</t>
        </is>
      </c>
      <c r="F3349" s="21" t="inlineStr">
        <is>
          <t>PREÇO UNITÁRIO</t>
        </is>
      </c>
      <c r="G3349" s="21" t="inlineStr">
        <is>
          <t>TOTAL</t>
        </is>
      </c>
    </row>
    <row r="3350" ht="21" customHeight="1">
      <c r="A3350" s="22" t="inlineStr">
        <is>
          <t>88247</t>
        </is>
      </c>
      <c r="B3350" s="23" t="inlineStr">
        <is>
          <t>AUXILIAR DE ELETRICISTA COM ENCARGOS COMPLEMENTARES</t>
        </is>
      </c>
      <c r="C3350" s="22" t="inlineStr">
        <is>
          <t>SINAPI</t>
        </is>
      </c>
      <c r="D3350" s="22" t="inlineStr">
        <is>
          <t>H</t>
        </is>
      </c>
      <c r="E3350" s="63">
        <f>L3350*FATOR</f>
        <v/>
      </c>
      <c r="F3350" s="64">
        <f>'COMPOSICOES AUXILIARES'!G505</f>
        <v/>
      </c>
      <c r="G3350" s="64">
        <f>TRUNC(TRUNC(E3350,8)*F3350,2)</f>
        <v/>
      </c>
      <c r="L3350" t="n">
        <v>0.291</v>
      </c>
      <c r="M3350" t="n">
        <v>25.22</v>
      </c>
      <c r="N3350">
        <f>(M3350-F3350)</f>
        <v/>
      </c>
    </row>
    <row r="3351" ht="15" customHeight="1">
      <c r="A3351" s="22" t="inlineStr">
        <is>
          <t>88264</t>
        </is>
      </c>
      <c r="B3351" s="23" t="inlineStr">
        <is>
          <t>ELETRICISTA COM ENCARGOS COMPLEMENTARES</t>
        </is>
      </c>
      <c r="C3351" s="22" t="inlineStr">
        <is>
          <t>SINAPI</t>
        </is>
      </c>
      <c r="D3351" s="22" t="inlineStr">
        <is>
          <t>H</t>
        </is>
      </c>
      <c r="E3351" s="63">
        <f>L3351*FATOR</f>
        <v/>
      </c>
      <c r="F3351" s="64">
        <f>'COMPOSICOES AUXILIARES'!G505</f>
        <v/>
      </c>
      <c r="G3351" s="64">
        <f>TRUNC(TRUNC(E3351,8)*F3351,2)</f>
        <v/>
      </c>
      <c r="L3351" t="n">
        <v>0.291</v>
      </c>
      <c r="M3351" t="n">
        <v>30.96</v>
      </c>
      <c r="N3351">
        <f>(M3351-F3351)</f>
        <v/>
      </c>
    </row>
    <row r="3352" ht="18" customHeight="1">
      <c r="A3352" s="2" t="inlineStr"/>
      <c r="B3352" s="2" t="inlineStr"/>
      <c r="C3352" s="2" t="inlineStr"/>
      <c r="D3352" s="2" t="inlineStr"/>
      <c r="E3352" s="26" t="inlineStr">
        <is>
          <t>TOTAL Mão de Obra com Encargos Complementares:</t>
        </is>
      </c>
      <c r="F3352" s="56" t="n"/>
      <c r="G3352" s="65">
        <f>SUM(G3350:G3351)</f>
        <v/>
      </c>
    </row>
    <row r="3353" ht="15" customHeight="1">
      <c r="A3353" s="20" t="inlineStr">
        <is>
          <t>Serviço</t>
        </is>
      </c>
      <c r="B3353" s="56" t="n"/>
      <c r="C3353" s="21" t="inlineStr">
        <is>
          <t>FONTE</t>
        </is>
      </c>
      <c r="D3353" s="21" t="inlineStr">
        <is>
          <t>UNID</t>
        </is>
      </c>
      <c r="E3353" s="21" t="inlineStr">
        <is>
          <t>COEFICIENTE</t>
        </is>
      </c>
      <c r="F3353" s="21" t="inlineStr">
        <is>
          <t>PREÇO UNITÁRIO</t>
        </is>
      </c>
      <c r="G3353" s="21" t="inlineStr">
        <is>
          <t>TOTAL</t>
        </is>
      </c>
    </row>
    <row r="3354" ht="21" customHeight="1">
      <c r="A3354" s="22" t="inlineStr">
        <is>
          <t>88629</t>
        </is>
      </c>
      <c r="B3354" s="23" t="inlineStr">
        <is>
          <t>ARGAMASSA TRAÇO 1:3 (EM VOLUME DE CIMENTO E AREIA MÉDIA ÚMIDA), PREPARO MANUAL. AF_08/2019</t>
        </is>
      </c>
      <c r="C3354" s="22" t="inlineStr">
        <is>
          <t>SINAPI</t>
        </is>
      </c>
      <c r="D3354" s="22" t="inlineStr">
        <is>
          <t>M3</t>
        </is>
      </c>
      <c r="E3354" s="63" t="n">
        <v>0.0009</v>
      </c>
      <c r="F3354" s="64">
        <f>'COMPOSICOES AUXILIARES'!G308</f>
        <v/>
      </c>
      <c r="G3354" s="64">
        <f>TRUNC(TRUNC(E3354,8)*F3354,2)</f>
        <v/>
      </c>
      <c r="L3354" t="n">
        <v>0.0009</v>
      </c>
      <c r="M3354" t="n">
        <v>698.39</v>
      </c>
      <c r="N3354">
        <f>(M3354-F3354)</f>
        <v/>
      </c>
    </row>
    <row r="3355" ht="15" customHeight="1">
      <c r="A3355" s="2" t="inlineStr"/>
      <c r="B3355" s="2" t="inlineStr"/>
      <c r="C3355" s="2" t="inlineStr"/>
      <c r="D3355" s="2" t="inlineStr"/>
      <c r="E3355" s="26" t="inlineStr">
        <is>
          <t>TOTAL Serviço:</t>
        </is>
      </c>
      <c r="F3355" s="56" t="n"/>
      <c r="G3355" s="65">
        <f>SUM(G3354:G3354)</f>
        <v/>
      </c>
    </row>
    <row r="3356" ht="15" customHeight="1">
      <c r="A3356" s="2" t="inlineStr"/>
      <c r="B3356" s="2" t="inlineStr"/>
      <c r="C3356" s="2" t="inlineStr"/>
      <c r="D3356" s="2" t="inlineStr"/>
      <c r="E3356" s="28" t="inlineStr">
        <is>
          <t>VALOR:</t>
        </is>
      </c>
      <c r="F3356" s="56" t="n"/>
      <c r="G3356" s="66">
        <f>SUM(G3352,G3355,G3348)</f>
        <v/>
      </c>
    </row>
    <row r="3357" ht="15" customHeight="1">
      <c r="A3357" s="2" t="inlineStr"/>
      <c r="B3357" s="2" t="inlineStr"/>
      <c r="C3357" s="2" t="inlineStr"/>
      <c r="D3357" s="2" t="inlineStr"/>
      <c r="E3357" s="28" t="inlineStr">
        <is>
          <t>VALOR BDI (23.08%):</t>
        </is>
      </c>
      <c r="F3357" s="56" t="n"/>
      <c r="G3357" s="66">
        <f>ROUNDDOWN(G3356*BDI,2)</f>
        <v/>
      </c>
    </row>
    <row r="3358" ht="15" customHeight="1">
      <c r="A3358" s="2" t="inlineStr"/>
      <c r="B3358" s="2" t="inlineStr"/>
      <c r="C3358" s="2" t="inlineStr"/>
      <c r="D3358" s="2" t="inlineStr"/>
      <c r="E3358" s="28" t="inlineStr">
        <is>
          <t>VALOR COM BDI:</t>
        </is>
      </c>
      <c r="F3358" s="56" t="n"/>
      <c r="G3358" s="66">
        <f>G3357 + G3356</f>
        <v/>
      </c>
    </row>
    <row r="3359" ht="10" customHeight="1">
      <c r="A3359" s="2" t="inlineStr"/>
      <c r="B3359" s="2" t="inlineStr"/>
      <c r="C3359" s="2" t="inlineStr"/>
      <c r="D3359" s="2" t="inlineStr"/>
      <c r="E3359" s="18" t="inlineStr"/>
    </row>
    <row r="3360" ht="20" customHeight="1">
      <c r="A3360" s="19" t="inlineStr">
        <is>
          <t>9.7.1.3. ​91941​ CAIXA RETANGULAR 4" X 2" BAIXA (0,30 M DO PISO), PVC, INSTALADA EM PAREDE - FORNECIMENTO E INSTALAÇÃO.AF_03/2023​ (UN)</t>
        </is>
      </c>
      <c r="B3360" s="55" t="n"/>
      <c r="C3360" s="55" t="n"/>
      <c r="D3360" s="55" t="n"/>
      <c r="E3360" s="55" t="n"/>
      <c r="F3360" s="55" t="n"/>
      <c r="G3360" s="56" t="n"/>
    </row>
    <row r="3361" ht="15" customHeight="1">
      <c r="A3361" s="20" t="inlineStr">
        <is>
          <t>Material</t>
        </is>
      </c>
      <c r="B3361" s="56" t="n"/>
      <c r="C3361" s="21" t="inlineStr">
        <is>
          <t>FONTE</t>
        </is>
      </c>
      <c r="D3361" s="21" t="inlineStr">
        <is>
          <t>UNID</t>
        </is>
      </c>
      <c r="E3361" s="21" t="inlineStr">
        <is>
          <t>COEFICIENTE</t>
        </is>
      </c>
      <c r="F3361" s="21" t="inlineStr">
        <is>
          <t>PREÇO UNITÁRIO</t>
        </is>
      </c>
      <c r="G3361" s="21" t="inlineStr">
        <is>
          <t>TOTAL</t>
        </is>
      </c>
    </row>
    <row r="3362" ht="21" customHeight="1">
      <c r="A3362" s="22" t="inlineStr">
        <is>
          <t>00001872</t>
        </is>
      </c>
      <c r="B3362" s="23" t="inlineStr">
        <is>
          <t>CAIXA DE PASSAGEM, EM PVC, DE 4" X 2", PARA ELETRODUTO FLEXIVEL CORRUGADO</t>
        </is>
      </c>
      <c r="C3362" s="22" t="inlineStr">
        <is>
          <t>SINAPI</t>
        </is>
      </c>
      <c r="D3362" s="22" t="inlineStr">
        <is>
          <t>UN</t>
        </is>
      </c>
      <c r="E3362" s="63" t="n">
        <v>1</v>
      </c>
      <c r="F3362" s="64">
        <f>ROUND(M3362*FATOR, 2)</f>
        <v/>
      </c>
      <c r="G3362" s="64">
        <f>TRUNC(TRUNC(E3362,8)*F3362,2)</f>
        <v/>
      </c>
      <c r="L3362" t="n">
        <v>1</v>
      </c>
      <c r="M3362" t="n">
        <v>1.78</v>
      </c>
      <c r="N3362">
        <f>(M3362-F3362)</f>
        <v/>
      </c>
    </row>
    <row r="3363" ht="15" customHeight="1">
      <c r="A3363" s="2" t="inlineStr"/>
      <c r="B3363" s="2" t="inlineStr"/>
      <c r="C3363" s="2" t="inlineStr"/>
      <c r="D3363" s="2" t="inlineStr"/>
      <c r="E3363" s="26" t="inlineStr">
        <is>
          <t>TOTAL Material:</t>
        </is>
      </c>
      <c r="F3363" s="56" t="n"/>
      <c r="G3363" s="65">
        <f>SUM(G3362:G3362)</f>
        <v/>
      </c>
    </row>
    <row r="3364" ht="15" customHeight="1">
      <c r="A3364" s="20" t="inlineStr">
        <is>
          <t>Mão de Obra com Encargos Complementares</t>
        </is>
      </c>
      <c r="B3364" s="56" t="n"/>
      <c r="C3364" s="21" t="inlineStr">
        <is>
          <t>FONTE</t>
        </is>
      </c>
      <c r="D3364" s="21" t="inlineStr">
        <is>
          <t>UNID</t>
        </is>
      </c>
      <c r="E3364" s="21" t="inlineStr">
        <is>
          <t>COEFICIENTE</t>
        </is>
      </c>
      <c r="F3364" s="21" t="inlineStr">
        <is>
          <t>PREÇO UNITÁRIO</t>
        </is>
      </c>
      <c r="G3364" s="21" t="inlineStr">
        <is>
          <t>TOTAL</t>
        </is>
      </c>
    </row>
    <row r="3365" ht="21" customHeight="1">
      <c r="A3365" s="22" t="inlineStr">
        <is>
          <t>88247</t>
        </is>
      </c>
      <c r="B3365" s="23" t="inlineStr">
        <is>
          <t>AUXILIAR DE ELETRICISTA COM ENCARGOS COMPLEMENTARES</t>
        </is>
      </c>
      <c r="C3365" s="22" t="inlineStr">
        <is>
          <t>SINAPI</t>
        </is>
      </c>
      <c r="D3365" s="22" t="inlineStr">
        <is>
          <t>H</t>
        </is>
      </c>
      <c r="E3365" s="63">
        <f>L3365*FATOR</f>
        <v/>
      </c>
      <c r="F3365" s="64">
        <f>'COMPOSICOES AUXILIARES'!G505</f>
        <v/>
      </c>
      <c r="G3365" s="64">
        <f>TRUNC(TRUNC(E3365,8)*F3365,2)</f>
        <v/>
      </c>
      <c r="L3365" t="n">
        <v>0.164</v>
      </c>
      <c r="M3365" t="n">
        <v>25.22</v>
      </c>
      <c r="N3365">
        <f>(M3365-F3365)</f>
        <v/>
      </c>
    </row>
    <row r="3366" ht="15" customHeight="1">
      <c r="A3366" s="22" t="inlineStr">
        <is>
          <t>88264</t>
        </is>
      </c>
      <c r="B3366" s="23" t="inlineStr">
        <is>
          <t>ELETRICISTA COM ENCARGOS COMPLEMENTARES</t>
        </is>
      </c>
      <c r="C3366" s="22" t="inlineStr">
        <is>
          <t>SINAPI</t>
        </is>
      </c>
      <c r="D3366" s="22" t="inlineStr">
        <is>
          <t>H</t>
        </is>
      </c>
      <c r="E3366" s="63">
        <f>L3366*FATOR</f>
        <v/>
      </c>
      <c r="F3366" s="64">
        <f>'COMPOSICOES AUXILIARES'!G505</f>
        <v/>
      </c>
      <c r="G3366" s="64">
        <f>TRUNC(TRUNC(E3366,8)*F3366,2)</f>
        <v/>
      </c>
      <c r="L3366" t="n">
        <v>0.164</v>
      </c>
      <c r="M3366" t="n">
        <v>30.96</v>
      </c>
      <c r="N3366">
        <f>(M3366-F3366)</f>
        <v/>
      </c>
    </row>
    <row r="3367" ht="18" customHeight="1">
      <c r="A3367" s="2" t="inlineStr"/>
      <c r="B3367" s="2" t="inlineStr"/>
      <c r="C3367" s="2" t="inlineStr"/>
      <c r="D3367" s="2" t="inlineStr"/>
      <c r="E3367" s="26" t="inlineStr">
        <is>
          <t>TOTAL Mão de Obra com Encargos Complementares:</t>
        </is>
      </c>
      <c r="F3367" s="56" t="n"/>
      <c r="G3367" s="65">
        <f>SUM(G3365:G3366)</f>
        <v/>
      </c>
    </row>
    <row r="3368" ht="15" customHeight="1">
      <c r="A3368" s="20" t="inlineStr">
        <is>
          <t>Serviço</t>
        </is>
      </c>
      <c r="B3368" s="56" t="n"/>
      <c r="C3368" s="21" t="inlineStr">
        <is>
          <t>FONTE</t>
        </is>
      </c>
      <c r="D3368" s="21" t="inlineStr">
        <is>
          <t>UNID</t>
        </is>
      </c>
      <c r="E3368" s="21" t="inlineStr">
        <is>
          <t>COEFICIENTE</t>
        </is>
      </c>
      <c r="F3368" s="21" t="inlineStr">
        <is>
          <t>PREÇO UNITÁRIO</t>
        </is>
      </c>
      <c r="G3368" s="21" t="inlineStr">
        <is>
          <t>TOTAL</t>
        </is>
      </c>
    </row>
    <row r="3369" ht="21" customHeight="1">
      <c r="A3369" s="22" t="inlineStr">
        <is>
          <t>88629</t>
        </is>
      </c>
      <c r="B3369" s="23" t="inlineStr">
        <is>
          <t>ARGAMASSA TRAÇO 1:3 (EM VOLUME DE CIMENTO E AREIA MÉDIA ÚMIDA), PREPARO MANUAL. AF_08/2019</t>
        </is>
      </c>
      <c r="C3369" s="22" t="inlineStr">
        <is>
          <t>SINAPI</t>
        </is>
      </c>
      <c r="D3369" s="22" t="inlineStr">
        <is>
          <t>M3</t>
        </is>
      </c>
      <c r="E3369" s="63" t="n">
        <v>0.0009</v>
      </c>
      <c r="F3369" s="64">
        <f>'COMPOSICOES AUXILIARES'!G308</f>
        <v/>
      </c>
      <c r="G3369" s="64">
        <f>TRUNC(TRUNC(E3369,8)*F3369,2)</f>
        <v/>
      </c>
      <c r="L3369" t="n">
        <v>0.0009</v>
      </c>
      <c r="M3369" t="n">
        <v>698.39</v>
      </c>
      <c r="N3369">
        <f>(M3369-F3369)</f>
        <v/>
      </c>
    </row>
    <row r="3370" ht="15" customHeight="1">
      <c r="A3370" s="2" t="inlineStr"/>
      <c r="B3370" s="2" t="inlineStr"/>
      <c r="C3370" s="2" t="inlineStr"/>
      <c r="D3370" s="2" t="inlineStr"/>
      <c r="E3370" s="26" t="inlineStr">
        <is>
          <t>TOTAL Serviço:</t>
        </is>
      </c>
      <c r="F3370" s="56" t="n"/>
      <c r="G3370" s="65">
        <f>SUM(G3369:G3369)</f>
        <v/>
      </c>
    </row>
    <row r="3371" ht="15" customHeight="1">
      <c r="A3371" s="2" t="inlineStr"/>
      <c r="B3371" s="2" t="inlineStr"/>
      <c r="C3371" s="2" t="inlineStr"/>
      <c r="D3371" s="2" t="inlineStr"/>
      <c r="E3371" s="28" t="inlineStr">
        <is>
          <t>VALOR:</t>
        </is>
      </c>
      <c r="F3371" s="56" t="n"/>
      <c r="G3371" s="66">
        <f>SUM(G3370,G3363,G3367)</f>
        <v/>
      </c>
    </row>
    <row r="3372" ht="15" customHeight="1">
      <c r="A3372" s="2" t="inlineStr"/>
      <c r="B3372" s="2" t="inlineStr"/>
      <c r="C3372" s="2" t="inlineStr"/>
      <c r="D3372" s="2" t="inlineStr"/>
      <c r="E3372" s="28" t="inlineStr">
        <is>
          <t>VALOR BDI (23.08%):</t>
        </is>
      </c>
      <c r="F3372" s="56" t="n"/>
      <c r="G3372" s="66">
        <f>ROUNDDOWN(G3371*BDI,2)</f>
        <v/>
      </c>
    </row>
    <row r="3373" ht="15" customHeight="1">
      <c r="A3373" s="2" t="inlineStr"/>
      <c r="B3373" s="2" t="inlineStr"/>
      <c r="C3373" s="2" t="inlineStr"/>
      <c r="D3373" s="2" t="inlineStr"/>
      <c r="E3373" s="28" t="inlineStr">
        <is>
          <t>VALOR COM BDI:</t>
        </is>
      </c>
      <c r="F3373" s="56" t="n"/>
      <c r="G3373" s="66">
        <f>G3372 + G3371</f>
        <v/>
      </c>
    </row>
    <row r="3374" ht="10" customHeight="1">
      <c r="A3374" s="2" t="inlineStr"/>
      <c r="B3374" s="2" t="inlineStr"/>
      <c r="C3374" s="2" t="inlineStr"/>
      <c r="D3374" s="2" t="inlineStr"/>
      <c r="E3374" s="18" t="inlineStr"/>
    </row>
    <row r="3375" ht="20" customHeight="1">
      <c r="A3375" s="19" t="inlineStr">
        <is>
          <t>9.7.1.4. ​91943​ CAIXA RETANGULAR 4" X 4" MÉDIA (1,30 M DO PISO), PVC, INSTALADA EM PAREDE - FORNECIMENTO E INSTALAÇÃO.AF_03/2023​ (UN)</t>
        </is>
      </c>
      <c r="B3375" s="55" t="n"/>
      <c r="C3375" s="55" t="n"/>
      <c r="D3375" s="55" t="n"/>
      <c r="E3375" s="55" t="n"/>
      <c r="F3375" s="55" t="n"/>
      <c r="G3375" s="56" t="n"/>
    </row>
    <row r="3376" ht="15" customHeight="1">
      <c r="A3376" s="20" t="inlineStr">
        <is>
          <t>Material</t>
        </is>
      </c>
      <c r="B3376" s="56" t="n"/>
      <c r="C3376" s="21" t="inlineStr">
        <is>
          <t>FONTE</t>
        </is>
      </c>
      <c r="D3376" s="21" t="inlineStr">
        <is>
          <t>UNID</t>
        </is>
      </c>
      <c r="E3376" s="21" t="inlineStr">
        <is>
          <t>COEFICIENTE</t>
        </is>
      </c>
      <c r="F3376" s="21" t="inlineStr">
        <is>
          <t>PREÇO UNITÁRIO</t>
        </is>
      </c>
      <c r="G3376" s="21" t="inlineStr">
        <is>
          <t>TOTAL</t>
        </is>
      </c>
    </row>
    <row r="3377" ht="21" customHeight="1">
      <c r="A3377" s="22" t="inlineStr">
        <is>
          <t>00001873</t>
        </is>
      </c>
      <c r="B3377" s="23" t="inlineStr">
        <is>
          <t>CAIXA DE PASSAGEM, EM PVC, DE 4" X 4", PARA ELETRODUTO FLEXIVEL CORRUGADO</t>
        </is>
      </c>
      <c r="C3377" s="22" t="inlineStr">
        <is>
          <t>SINAPI</t>
        </is>
      </c>
      <c r="D3377" s="22" t="inlineStr">
        <is>
          <t>UN</t>
        </is>
      </c>
      <c r="E3377" s="63" t="n">
        <v>1</v>
      </c>
      <c r="F3377" s="64">
        <f>ROUND(M3377*FATOR, 2)</f>
        <v/>
      </c>
      <c r="G3377" s="64">
        <f>TRUNC(TRUNC(E3377,8)*F3377,2)</f>
        <v/>
      </c>
      <c r="L3377" t="n">
        <v>1</v>
      </c>
      <c r="M3377" t="n">
        <v>3.54</v>
      </c>
      <c r="N3377">
        <f>(M3377-F3377)</f>
        <v/>
      </c>
    </row>
    <row r="3378" ht="15" customHeight="1">
      <c r="A3378" s="2" t="inlineStr"/>
      <c r="B3378" s="2" t="inlineStr"/>
      <c r="C3378" s="2" t="inlineStr"/>
      <c r="D3378" s="2" t="inlineStr"/>
      <c r="E3378" s="26" t="inlineStr">
        <is>
          <t>TOTAL Material:</t>
        </is>
      </c>
      <c r="F3378" s="56" t="n"/>
      <c r="G3378" s="65">
        <f>SUM(G3377:G3377)</f>
        <v/>
      </c>
    </row>
    <row r="3379" ht="15" customHeight="1">
      <c r="A3379" s="20" t="inlineStr">
        <is>
          <t>Mão de Obra com Encargos Complementares</t>
        </is>
      </c>
      <c r="B3379" s="56" t="n"/>
      <c r="C3379" s="21" t="inlineStr">
        <is>
          <t>FONTE</t>
        </is>
      </c>
      <c r="D3379" s="21" t="inlineStr">
        <is>
          <t>UNID</t>
        </is>
      </c>
      <c r="E3379" s="21" t="inlineStr">
        <is>
          <t>COEFICIENTE</t>
        </is>
      </c>
      <c r="F3379" s="21" t="inlineStr">
        <is>
          <t>PREÇO UNITÁRIO</t>
        </is>
      </c>
      <c r="G3379" s="21" t="inlineStr">
        <is>
          <t>TOTAL</t>
        </is>
      </c>
    </row>
    <row r="3380" ht="21" customHeight="1">
      <c r="A3380" s="22" t="inlineStr">
        <is>
          <t>88247</t>
        </is>
      </c>
      <c r="B3380" s="23" t="inlineStr">
        <is>
          <t>AUXILIAR DE ELETRICISTA COM ENCARGOS COMPLEMENTARES</t>
        </is>
      </c>
      <c r="C3380" s="22" t="inlineStr">
        <is>
          <t>SINAPI</t>
        </is>
      </c>
      <c r="D3380" s="22" t="inlineStr">
        <is>
          <t>H</t>
        </is>
      </c>
      <c r="E3380" s="63">
        <f>L3380*FATOR</f>
        <v/>
      </c>
      <c r="F3380" s="64">
        <f>'COMPOSICOES AUXILIARES'!G505</f>
        <v/>
      </c>
      <c r="G3380" s="64">
        <f>TRUNC(TRUNC(E3380,8)*F3380,2)</f>
        <v/>
      </c>
      <c r="L3380" t="n">
        <v>0.301</v>
      </c>
      <c r="M3380" t="n">
        <v>25.22</v>
      </c>
      <c r="N3380">
        <f>(M3380-F3380)</f>
        <v/>
      </c>
    </row>
    <row r="3381" ht="15" customHeight="1">
      <c r="A3381" s="22" t="inlineStr">
        <is>
          <t>88264</t>
        </is>
      </c>
      <c r="B3381" s="23" t="inlineStr">
        <is>
          <t>ELETRICISTA COM ENCARGOS COMPLEMENTARES</t>
        </is>
      </c>
      <c r="C3381" s="22" t="inlineStr">
        <is>
          <t>SINAPI</t>
        </is>
      </c>
      <c r="D3381" s="22" t="inlineStr">
        <is>
          <t>H</t>
        </is>
      </c>
      <c r="E3381" s="63">
        <f>L3381*FATOR</f>
        <v/>
      </c>
      <c r="F3381" s="64">
        <f>'COMPOSICOES AUXILIARES'!G505</f>
        <v/>
      </c>
      <c r="G3381" s="64">
        <f>TRUNC(TRUNC(E3381,8)*F3381,2)</f>
        <v/>
      </c>
      <c r="L3381" t="n">
        <v>0.301</v>
      </c>
      <c r="M3381" t="n">
        <v>30.96</v>
      </c>
      <c r="N3381">
        <f>(M3381-F3381)</f>
        <v/>
      </c>
    </row>
    <row r="3382" ht="18" customHeight="1">
      <c r="A3382" s="2" t="inlineStr"/>
      <c r="B3382" s="2" t="inlineStr"/>
      <c r="C3382" s="2" t="inlineStr"/>
      <c r="D3382" s="2" t="inlineStr"/>
      <c r="E3382" s="26" t="inlineStr">
        <is>
          <t>TOTAL Mão de Obra com Encargos Complementares:</t>
        </is>
      </c>
      <c r="F3382" s="56" t="n"/>
      <c r="G3382" s="65">
        <f>SUM(G3380:G3381)</f>
        <v/>
      </c>
    </row>
    <row r="3383" ht="15" customHeight="1">
      <c r="A3383" s="20" t="inlineStr">
        <is>
          <t>Serviço</t>
        </is>
      </c>
      <c r="B3383" s="56" t="n"/>
      <c r="C3383" s="21" t="inlineStr">
        <is>
          <t>FONTE</t>
        </is>
      </c>
      <c r="D3383" s="21" t="inlineStr">
        <is>
          <t>UNID</t>
        </is>
      </c>
      <c r="E3383" s="21" t="inlineStr">
        <is>
          <t>COEFICIENTE</t>
        </is>
      </c>
      <c r="F3383" s="21" t="inlineStr">
        <is>
          <t>PREÇO UNITÁRIO</t>
        </is>
      </c>
      <c r="G3383" s="21" t="inlineStr">
        <is>
          <t>TOTAL</t>
        </is>
      </c>
    </row>
    <row r="3384" ht="21" customHeight="1">
      <c r="A3384" s="22" t="inlineStr">
        <is>
          <t>88629</t>
        </is>
      </c>
      <c r="B3384" s="23" t="inlineStr">
        <is>
          <t>ARGAMASSA TRAÇO 1:3 (EM VOLUME DE CIMENTO E AREIA MÉDIA ÚMIDA), PREPARO MANUAL. AF_08/2019</t>
        </is>
      </c>
      <c r="C3384" s="22" t="inlineStr">
        <is>
          <t>SINAPI</t>
        </is>
      </c>
      <c r="D3384" s="22" t="inlineStr">
        <is>
          <t>M3</t>
        </is>
      </c>
      <c r="E3384" s="63" t="n">
        <v>0.0012</v>
      </c>
      <c r="F3384" s="64">
        <f>'COMPOSICOES AUXILIARES'!G308</f>
        <v/>
      </c>
      <c r="G3384" s="64">
        <f>TRUNC(TRUNC(E3384,8)*F3384,2)</f>
        <v/>
      </c>
      <c r="L3384" t="n">
        <v>0.0012</v>
      </c>
      <c r="M3384" t="n">
        <v>698.39</v>
      </c>
      <c r="N3384">
        <f>(M3384-F3384)</f>
        <v/>
      </c>
    </row>
    <row r="3385" ht="15" customHeight="1">
      <c r="A3385" s="2" t="inlineStr"/>
      <c r="B3385" s="2" t="inlineStr"/>
      <c r="C3385" s="2" t="inlineStr"/>
      <c r="D3385" s="2" t="inlineStr"/>
      <c r="E3385" s="26" t="inlineStr">
        <is>
          <t>TOTAL Serviço:</t>
        </is>
      </c>
      <c r="F3385" s="56" t="n"/>
      <c r="G3385" s="65">
        <f>SUM(G3384:G3384)</f>
        <v/>
      </c>
    </row>
    <row r="3386" ht="15" customHeight="1">
      <c r="A3386" s="2" t="inlineStr"/>
      <c r="B3386" s="2" t="inlineStr"/>
      <c r="C3386" s="2" t="inlineStr"/>
      <c r="D3386" s="2" t="inlineStr"/>
      <c r="E3386" s="28" t="inlineStr">
        <is>
          <t>VALOR:</t>
        </is>
      </c>
      <c r="F3386" s="56" t="n"/>
      <c r="G3386" s="66">
        <f>SUM(G3385,G3378,G3382)</f>
        <v/>
      </c>
    </row>
    <row r="3387" ht="15" customHeight="1">
      <c r="A3387" s="2" t="inlineStr"/>
      <c r="B3387" s="2" t="inlineStr"/>
      <c r="C3387" s="2" t="inlineStr"/>
      <c r="D3387" s="2" t="inlineStr"/>
      <c r="E3387" s="28" t="inlineStr">
        <is>
          <t>VALOR BDI (23.08%):</t>
        </is>
      </c>
      <c r="F3387" s="56" t="n"/>
      <c r="G3387" s="66">
        <f>ROUNDDOWN(G3386*BDI,2)</f>
        <v/>
      </c>
    </row>
    <row r="3388" ht="15" customHeight="1">
      <c r="A3388" s="2" t="inlineStr"/>
      <c r="B3388" s="2" t="inlineStr"/>
      <c r="C3388" s="2" t="inlineStr"/>
      <c r="D3388" s="2" t="inlineStr"/>
      <c r="E3388" s="28" t="inlineStr">
        <is>
          <t>VALOR COM BDI:</t>
        </is>
      </c>
      <c r="F3388" s="56" t="n"/>
      <c r="G3388" s="66">
        <f>G3387 + G3386</f>
        <v/>
      </c>
    </row>
    <row r="3389" ht="10" customHeight="1">
      <c r="A3389" s="2" t="inlineStr"/>
      <c r="B3389" s="2" t="inlineStr"/>
      <c r="C3389" s="2" t="inlineStr"/>
      <c r="D3389" s="2" t="inlineStr"/>
      <c r="E3389" s="18" t="inlineStr"/>
    </row>
    <row r="3390" ht="20" customHeight="1">
      <c r="A3390" s="19" t="inlineStr">
        <is>
          <t>9.7.1.5. ​91936​ CAIXA OCTOGONAL 4" X 4", PVC, INSTALADA EM LAJE - FORNECIMENTO EINSTALAÇÃO. AF_03/2023​ (UN)</t>
        </is>
      </c>
      <c r="B3390" s="55" t="n"/>
      <c r="C3390" s="55" t="n"/>
      <c r="D3390" s="55" t="n"/>
      <c r="E3390" s="55" t="n"/>
      <c r="F3390" s="55" t="n"/>
      <c r="G3390" s="56" t="n"/>
    </row>
    <row r="3391" ht="15" customHeight="1">
      <c r="A3391" s="20" t="inlineStr">
        <is>
          <t>Material</t>
        </is>
      </c>
      <c r="B3391" s="56" t="n"/>
      <c r="C3391" s="21" t="inlineStr">
        <is>
          <t>FONTE</t>
        </is>
      </c>
      <c r="D3391" s="21" t="inlineStr">
        <is>
          <t>UNID</t>
        </is>
      </c>
      <c r="E3391" s="21" t="inlineStr">
        <is>
          <t>COEFICIENTE</t>
        </is>
      </c>
      <c r="F3391" s="21" t="inlineStr">
        <is>
          <t>PREÇO UNITÁRIO</t>
        </is>
      </c>
      <c r="G3391" s="21" t="inlineStr">
        <is>
          <t>TOTAL</t>
        </is>
      </c>
    </row>
    <row r="3392" ht="21" customHeight="1">
      <c r="A3392" s="22" t="inlineStr">
        <is>
          <t>00012001</t>
        </is>
      </c>
      <c r="B3392" s="23" t="inlineStr">
        <is>
          <t>CAIXA OCTOGONAL DE FUNDO MOVEL, EM PVC, DE 4" X 4", PARA ELETRODUTO FLEXIVEL CORRUGADO</t>
        </is>
      </c>
      <c r="C3392" s="22" t="inlineStr">
        <is>
          <t>SINAPI</t>
        </is>
      </c>
      <c r="D3392" s="22" t="inlineStr">
        <is>
          <t>UN</t>
        </is>
      </c>
      <c r="E3392" s="63" t="n">
        <v>1</v>
      </c>
      <c r="F3392" s="64">
        <f>ROUND(M3392*FATOR, 2)</f>
        <v/>
      </c>
      <c r="G3392" s="64">
        <f>TRUNC(TRUNC(E3392,8)*F3392,2)</f>
        <v/>
      </c>
      <c r="L3392" t="n">
        <v>1</v>
      </c>
      <c r="M3392" t="n">
        <v>4.61</v>
      </c>
      <c r="N3392">
        <f>(M3392-F3392)</f>
        <v/>
      </c>
    </row>
    <row r="3393" ht="15" customHeight="1">
      <c r="A3393" s="2" t="inlineStr"/>
      <c r="B3393" s="2" t="inlineStr"/>
      <c r="C3393" s="2" t="inlineStr"/>
      <c r="D3393" s="2" t="inlineStr"/>
      <c r="E3393" s="26" t="inlineStr">
        <is>
          <t>TOTAL Material:</t>
        </is>
      </c>
      <c r="F3393" s="56" t="n"/>
      <c r="G3393" s="65">
        <f>SUM(G3392:G3392)</f>
        <v/>
      </c>
    </row>
    <row r="3394" ht="15" customHeight="1">
      <c r="A3394" s="20" t="inlineStr">
        <is>
          <t>Mão de Obra com Encargos Complementares</t>
        </is>
      </c>
      <c r="B3394" s="56" t="n"/>
      <c r="C3394" s="21" t="inlineStr">
        <is>
          <t>FONTE</t>
        </is>
      </c>
      <c r="D3394" s="21" t="inlineStr">
        <is>
          <t>UNID</t>
        </is>
      </c>
      <c r="E3394" s="21" t="inlineStr">
        <is>
          <t>COEFICIENTE</t>
        </is>
      </c>
      <c r="F3394" s="21" t="inlineStr">
        <is>
          <t>PREÇO UNITÁRIO</t>
        </is>
      </c>
      <c r="G3394" s="21" t="inlineStr">
        <is>
          <t>TOTAL</t>
        </is>
      </c>
    </row>
    <row r="3395" ht="21" customHeight="1">
      <c r="A3395" s="22" t="inlineStr">
        <is>
          <t>88247</t>
        </is>
      </c>
      <c r="B3395" s="23" t="inlineStr">
        <is>
          <t>AUXILIAR DE ELETRICISTA COM ENCARGOS COMPLEMENTARES</t>
        </is>
      </c>
      <c r="C3395" s="22" t="inlineStr">
        <is>
          <t>SINAPI</t>
        </is>
      </c>
      <c r="D3395" s="22" t="inlineStr">
        <is>
          <t>H</t>
        </is>
      </c>
      <c r="E3395" s="63">
        <f>L3395*FATOR</f>
        <v/>
      </c>
      <c r="F3395" s="64">
        <f>'COMPOSICOES AUXILIARES'!G505</f>
        <v/>
      </c>
      <c r="G3395" s="64">
        <f>TRUNC(TRUNC(E3395,8)*F3395,2)</f>
        <v/>
      </c>
      <c r="L3395" t="n">
        <v>0.222</v>
      </c>
      <c r="M3395" t="n">
        <v>25.22</v>
      </c>
      <c r="N3395">
        <f>(M3395-F3395)</f>
        <v/>
      </c>
    </row>
    <row r="3396" ht="15" customHeight="1">
      <c r="A3396" s="22" t="inlineStr">
        <is>
          <t>88264</t>
        </is>
      </c>
      <c r="B3396" s="23" t="inlineStr">
        <is>
          <t>ELETRICISTA COM ENCARGOS COMPLEMENTARES</t>
        </is>
      </c>
      <c r="C3396" s="22" t="inlineStr">
        <is>
          <t>SINAPI</t>
        </is>
      </c>
      <c r="D3396" s="22" t="inlineStr">
        <is>
          <t>H</t>
        </is>
      </c>
      <c r="E3396" s="63">
        <f>L3396*FATOR</f>
        <v/>
      </c>
      <c r="F3396" s="64">
        <f>'COMPOSICOES AUXILIARES'!G505</f>
        <v/>
      </c>
      <c r="G3396" s="64">
        <f>TRUNC(TRUNC(E3396,8)*F3396,2)</f>
        <v/>
      </c>
      <c r="L3396" t="n">
        <v>0.222</v>
      </c>
      <c r="M3396" t="n">
        <v>30.96</v>
      </c>
      <c r="N3396">
        <f>(M3396-F3396)</f>
        <v/>
      </c>
    </row>
    <row r="3397" ht="18" customHeight="1">
      <c r="A3397" s="2" t="inlineStr"/>
      <c r="B3397" s="2" t="inlineStr"/>
      <c r="C3397" s="2" t="inlineStr"/>
      <c r="D3397" s="2" t="inlineStr"/>
      <c r="E3397" s="26" t="inlineStr">
        <is>
          <t>TOTAL Mão de Obra com Encargos Complementares:</t>
        </is>
      </c>
      <c r="F3397" s="56" t="n"/>
      <c r="G3397" s="65">
        <f>SUM(G3395:G3396)</f>
        <v/>
      </c>
    </row>
    <row r="3398" ht="15" customHeight="1">
      <c r="A3398" s="2" t="inlineStr"/>
      <c r="B3398" s="2" t="inlineStr"/>
      <c r="C3398" s="2" t="inlineStr"/>
      <c r="D3398" s="2" t="inlineStr"/>
      <c r="E3398" s="28" t="inlineStr">
        <is>
          <t>VALOR:</t>
        </is>
      </c>
      <c r="F3398" s="56" t="n"/>
      <c r="G3398" s="66">
        <f>SUM(G3393,G3397)</f>
        <v/>
      </c>
    </row>
    <row r="3399" ht="15" customHeight="1">
      <c r="A3399" s="2" t="inlineStr"/>
      <c r="B3399" s="2" t="inlineStr"/>
      <c r="C3399" s="2" t="inlineStr"/>
      <c r="D3399" s="2" t="inlineStr"/>
      <c r="E3399" s="28" t="inlineStr">
        <is>
          <t>VALOR BDI (23.08%):</t>
        </is>
      </c>
      <c r="F3399" s="56" t="n"/>
      <c r="G3399" s="66">
        <f>ROUNDDOWN(G3398*BDI,2)</f>
        <v/>
      </c>
    </row>
    <row r="3400" ht="15" customHeight="1">
      <c r="A3400" s="2" t="inlineStr"/>
      <c r="B3400" s="2" t="inlineStr"/>
      <c r="C3400" s="2" t="inlineStr"/>
      <c r="D3400" s="2" t="inlineStr"/>
      <c r="E3400" s="28" t="inlineStr">
        <is>
          <t>VALOR COM BDI:</t>
        </is>
      </c>
      <c r="F3400" s="56" t="n"/>
      <c r="G3400" s="66">
        <f>G3399 + G3398</f>
        <v/>
      </c>
    </row>
    <row r="3401" ht="10" customHeight="1">
      <c r="A3401" s="2" t="inlineStr"/>
      <c r="B3401" s="2" t="inlineStr"/>
      <c r="C3401" s="2" t="inlineStr"/>
      <c r="D3401" s="2" t="inlineStr"/>
      <c r="E3401" s="18" t="inlineStr"/>
    </row>
    <row r="3402" ht="20" customHeight="1">
      <c r="A3402" s="19" t="inlineStr">
        <is>
          <t>9.7.1.6. ​62446 SBC​ TOMADA COM TAMPA 10A 250V PARA PISO​ (UN)</t>
        </is>
      </c>
      <c r="B3402" s="55" t="n"/>
      <c r="C3402" s="55" t="n"/>
      <c r="D3402" s="55" t="n"/>
      <c r="E3402" s="55" t="n"/>
      <c r="F3402" s="55" t="n"/>
      <c r="G3402" s="56" t="n"/>
    </row>
    <row r="3403" ht="15" customHeight="1">
      <c r="A3403" s="20" t="inlineStr">
        <is>
          <t>Material</t>
        </is>
      </c>
      <c r="B3403" s="56" t="n"/>
      <c r="C3403" s="21" t="inlineStr">
        <is>
          <t>FONTE</t>
        </is>
      </c>
      <c r="D3403" s="21" t="inlineStr">
        <is>
          <t>UNID</t>
        </is>
      </c>
      <c r="E3403" s="21" t="inlineStr">
        <is>
          <t>COEFICIENTE</t>
        </is>
      </c>
      <c r="F3403" s="21" t="inlineStr">
        <is>
          <t>PREÇO UNITÁRIO</t>
        </is>
      </c>
      <c r="G3403" s="21" t="inlineStr">
        <is>
          <t>TOTAL</t>
        </is>
      </c>
    </row>
    <row r="3404" ht="21" customHeight="1">
      <c r="A3404" s="22" t="inlineStr">
        <is>
          <t>001912 SBC</t>
        </is>
      </c>
      <c r="B3404" s="23" t="inlineStr">
        <is>
          <t>TOMADA PARA PISO 4X2 2P UNIVERSAL 10A-250V COM PLACA STAMPLAC</t>
        </is>
      </c>
      <c r="C3404" s="22" t="inlineStr">
        <is>
          <t xml:space="preserve">Composições </t>
        </is>
      </c>
      <c r="D3404" s="22" t="inlineStr">
        <is>
          <t>UN</t>
        </is>
      </c>
      <c r="E3404" s="63" t="n">
        <v>1</v>
      </c>
      <c r="F3404" s="64">
        <f>ROUND(M3404*FATOR, 2)</f>
        <v/>
      </c>
      <c r="G3404" s="64">
        <f>ROUND(ROUND(E3404,8)*F3404,2)</f>
        <v/>
      </c>
      <c r="L3404" t="n">
        <v>1</v>
      </c>
      <c r="M3404" t="n">
        <v>16.42</v>
      </c>
      <c r="N3404">
        <f>(M3404-F3404)</f>
        <v/>
      </c>
    </row>
    <row r="3405" ht="15" customHeight="1">
      <c r="A3405" s="2" t="inlineStr"/>
      <c r="B3405" s="2" t="inlineStr"/>
      <c r="C3405" s="2" t="inlineStr"/>
      <c r="D3405" s="2" t="inlineStr"/>
      <c r="E3405" s="26" t="inlineStr">
        <is>
          <t>TOTAL Material:</t>
        </is>
      </c>
      <c r="F3405" s="56" t="n"/>
      <c r="G3405" s="65">
        <f>SUM(G3404:G3404)</f>
        <v/>
      </c>
    </row>
    <row r="3406" ht="15" customHeight="1">
      <c r="A3406" s="20" t="inlineStr">
        <is>
          <t>Mão de Obra</t>
        </is>
      </c>
      <c r="B3406" s="56" t="n"/>
      <c r="C3406" s="21" t="inlineStr">
        <is>
          <t>FONTE</t>
        </is>
      </c>
      <c r="D3406" s="21" t="inlineStr">
        <is>
          <t>UNID</t>
        </is>
      </c>
      <c r="E3406" s="21" t="inlineStr">
        <is>
          <t>COEFICIENTE</t>
        </is>
      </c>
      <c r="F3406" s="21" t="inlineStr">
        <is>
          <t>PREÇO UNITÁRIO</t>
        </is>
      </c>
      <c r="G3406" s="21" t="inlineStr">
        <is>
          <t>TOTAL</t>
        </is>
      </c>
    </row>
    <row r="3407" ht="15" customHeight="1">
      <c r="A3407" s="22" t="inlineStr">
        <is>
          <t>99806 SBC</t>
        </is>
      </c>
      <c r="B3407" s="23" t="inlineStr">
        <is>
          <t>AJUDANTE DE ELETRICISTA</t>
        </is>
      </c>
      <c r="C3407" s="22" t="inlineStr">
        <is>
          <t xml:space="preserve">Composições </t>
        </is>
      </c>
      <c r="D3407" s="22" t="inlineStr">
        <is>
          <t>H</t>
        </is>
      </c>
      <c r="E3407" s="63">
        <f>L3407*FATOR</f>
        <v/>
      </c>
      <c r="F3407" s="64" t="n">
        <v>19.2</v>
      </c>
      <c r="G3407" s="64">
        <f>ROUND(ROUND(E3407,8)*F3407,2)</f>
        <v/>
      </c>
      <c r="L3407" t="n">
        <v>0.426</v>
      </c>
      <c r="M3407" t="n">
        <v>19.2</v>
      </c>
      <c r="N3407">
        <f>(M3407-F3407)</f>
        <v/>
      </c>
    </row>
    <row r="3408" ht="15" customHeight="1">
      <c r="A3408" s="22" t="inlineStr">
        <is>
          <t>099250 SBC</t>
        </is>
      </c>
      <c r="B3408" s="23" t="inlineStr">
        <is>
          <t>ELETRICISTA</t>
        </is>
      </c>
      <c r="C3408" s="22" t="inlineStr">
        <is>
          <t xml:space="preserve">Composições </t>
        </is>
      </c>
      <c r="D3408" s="22" t="inlineStr">
        <is>
          <t>H</t>
        </is>
      </c>
      <c r="E3408" s="63">
        <f>L3408*FATOR</f>
        <v/>
      </c>
      <c r="F3408" s="64" t="n">
        <v>19.4</v>
      </c>
      <c r="G3408" s="64">
        <f>ROUND(ROUND(E3408,8)*F3408,2)</f>
        <v/>
      </c>
      <c r="L3408" t="n">
        <v>0.426</v>
      </c>
      <c r="M3408" t="n">
        <v>19.4</v>
      </c>
      <c r="N3408">
        <f>(M3408-F3408)</f>
        <v/>
      </c>
    </row>
    <row r="3409" ht="15" customHeight="1">
      <c r="A3409" s="2" t="inlineStr"/>
      <c r="B3409" s="2" t="inlineStr"/>
      <c r="C3409" s="2" t="inlineStr"/>
      <c r="D3409" s="2" t="inlineStr"/>
      <c r="E3409" s="26" t="inlineStr">
        <is>
          <t>TOTAL Mão de Obra:</t>
        </is>
      </c>
      <c r="F3409" s="56" t="n"/>
      <c r="G3409" s="65">
        <f>SUM(G3407:G3408)</f>
        <v/>
      </c>
    </row>
    <row r="3410" ht="15" customHeight="1">
      <c r="A3410" s="2" t="inlineStr"/>
      <c r="B3410" s="2" t="inlineStr"/>
      <c r="C3410" s="2" t="inlineStr"/>
      <c r="D3410" s="2" t="inlineStr"/>
      <c r="E3410" s="28" t="inlineStr">
        <is>
          <t>VALOR:</t>
        </is>
      </c>
      <c r="F3410" s="56" t="n"/>
      <c r="G3410" s="66">
        <f>SUM(G3409,G3405)</f>
        <v/>
      </c>
    </row>
    <row r="3411" ht="15" customHeight="1">
      <c r="A3411" s="2" t="inlineStr"/>
      <c r="B3411" s="2" t="inlineStr"/>
      <c r="C3411" s="2" t="inlineStr"/>
      <c r="D3411" s="2" t="inlineStr"/>
      <c r="E3411" s="28" t="inlineStr">
        <is>
          <t>VALOR BDI (23.08%):</t>
        </is>
      </c>
      <c r="F3411" s="56" t="n"/>
      <c r="G3411" s="66">
        <f>ROUNDDOWN(G3410*BDI,2)</f>
        <v/>
      </c>
    </row>
    <row r="3412" ht="15" customHeight="1">
      <c r="A3412" s="2" t="inlineStr"/>
      <c r="B3412" s="2" t="inlineStr"/>
      <c r="C3412" s="2" t="inlineStr"/>
      <c r="D3412" s="2" t="inlineStr"/>
      <c r="E3412" s="28" t="inlineStr">
        <is>
          <t>VALOR COM BDI:</t>
        </is>
      </c>
      <c r="F3412" s="56" t="n"/>
      <c r="G3412" s="66">
        <f>G3411 + G3410</f>
        <v/>
      </c>
    </row>
    <row r="3413" ht="10" customHeight="1">
      <c r="A3413" s="2" t="inlineStr"/>
      <c r="B3413" s="2" t="inlineStr"/>
      <c r="C3413" s="2" t="inlineStr"/>
      <c r="D3413" s="2" t="inlineStr"/>
      <c r="E3413" s="18" t="inlineStr"/>
    </row>
    <row r="3414" ht="20" customHeight="1">
      <c r="A3414" s="19" t="inlineStr">
        <is>
          <t>9.7.2.1. ​95778​ CONDULETE DE ALUMÍNIO, TIPO C, PARA ELETRODUTO DE AÇO GALVANIZADO DN 20 MM (3/4''), APARENTE - FORNECIMENTO EINSTALAÇÃO. AF_10/2022​ (UN)</t>
        </is>
      </c>
      <c r="B3414" s="55" t="n"/>
      <c r="C3414" s="55" t="n"/>
      <c r="D3414" s="55" t="n"/>
      <c r="E3414" s="55" t="n"/>
      <c r="F3414" s="55" t="n"/>
      <c r="G3414" s="56" t="n"/>
    </row>
    <row r="3415" ht="15" customHeight="1">
      <c r="A3415" s="20" t="inlineStr">
        <is>
          <t>Material</t>
        </is>
      </c>
      <c r="B3415" s="56" t="n"/>
      <c r="C3415" s="21" t="inlineStr">
        <is>
          <t>FONTE</t>
        </is>
      </c>
      <c r="D3415" s="21" t="inlineStr">
        <is>
          <t>UNID</t>
        </is>
      </c>
      <c r="E3415" s="21" t="inlineStr">
        <is>
          <t>COEFICIENTE</t>
        </is>
      </c>
      <c r="F3415" s="21" t="inlineStr">
        <is>
          <t>PREÇO UNITÁRIO</t>
        </is>
      </c>
      <c r="G3415" s="21" t="inlineStr">
        <is>
          <t>TOTAL</t>
        </is>
      </c>
    </row>
    <row r="3416" ht="29" customHeight="1">
      <c r="A3416" s="22" t="inlineStr">
        <is>
          <t>00011950</t>
        </is>
      </c>
      <c r="B3416" s="23" t="inlineStr">
        <is>
          <t>BUCHA DE NYLON SEM ABA S6, COM PARAFUSO DE 4,20 X 40 MM EM ACO ZINCADO COM ROSCA SOBERBA, CABECA CHATA E FENDA PHILLIPS</t>
        </is>
      </c>
      <c r="C3416" s="22" t="inlineStr">
        <is>
          <t>SINAPI</t>
        </is>
      </c>
      <c r="D3416" s="22" t="inlineStr">
        <is>
          <t>UN</t>
        </is>
      </c>
      <c r="E3416" s="63" t="n">
        <v>2</v>
      </c>
      <c r="F3416" s="64">
        <f>ROUND(M3416*FATOR, 2)</f>
        <v/>
      </c>
      <c r="G3416" s="64">
        <f>TRUNC(TRUNC(E3416,8)*F3416,2)</f>
        <v/>
      </c>
      <c r="L3416" t="n">
        <v>2</v>
      </c>
      <c r="M3416" t="n">
        <v>0.28</v>
      </c>
      <c r="N3416">
        <f>(M3416-F3416)</f>
        <v/>
      </c>
    </row>
    <row r="3417" ht="21" customHeight="1">
      <c r="A3417" s="22" t="inlineStr">
        <is>
          <t>00002559</t>
        </is>
      </c>
      <c r="B3417" s="23" t="inlineStr">
        <is>
          <t>CONDULETE DE ALUMINIO TIPO C, PARA ELETRODUTO ROSCAVEL DE 3/4", COM TAMPA CEGA</t>
        </is>
      </c>
      <c r="C3417" s="22" t="inlineStr">
        <is>
          <t>SINAPI</t>
        </is>
      </c>
      <c r="D3417" s="22" t="inlineStr">
        <is>
          <t>UN</t>
        </is>
      </c>
      <c r="E3417" s="63" t="n">
        <v>1</v>
      </c>
      <c r="F3417" s="64">
        <f>ROUND(M3417*FATOR, 2)</f>
        <v/>
      </c>
      <c r="G3417" s="64">
        <f>TRUNC(TRUNC(E3417,8)*F3417,2)</f>
        <v/>
      </c>
      <c r="L3417" t="n">
        <v>1</v>
      </c>
      <c r="M3417" t="n">
        <v>15.3</v>
      </c>
      <c r="N3417">
        <f>(M3417-F3417)</f>
        <v/>
      </c>
    </row>
    <row r="3418" ht="15" customHeight="1">
      <c r="A3418" s="2" t="inlineStr"/>
      <c r="B3418" s="2" t="inlineStr"/>
      <c r="C3418" s="2" t="inlineStr"/>
      <c r="D3418" s="2" t="inlineStr"/>
      <c r="E3418" s="26" t="inlineStr">
        <is>
          <t>TOTAL Material:</t>
        </is>
      </c>
      <c r="F3418" s="56" t="n"/>
      <c r="G3418" s="65">
        <f>SUM(G3416:G3417)</f>
        <v/>
      </c>
    </row>
    <row r="3419" ht="15" customHeight="1">
      <c r="A3419" s="20" t="inlineStr">
        <is>
          <t>Mão de Obra com Encargos Complementares</t>
        </is>
      </c>
      <c r="B3419" s="56" t="n"/>
      <c r="C3419" s="21" t="inlineStr">
        <is>
          <t>FONTE</t>
        </is>
      </c>
      <c r="D3419" s="21" t="inlineStr">
        <is>
          <t>UNID</t>
        </is>
      </c>
      <c r="E3419" s="21" t="inlineStr">
        <is>
          <t>COEFICIENTE</t>
        </is>
      </c>
      <c r="F3419" s="21" t="inlineStr">
        <is>
          <t>PREÇO UNITÁRIO</t>
        </is>
      </c>
      <c r="G3419" s="21" t="inlineStr">
        <is>
          <t>TOTAL</t>
        </is>
      </c>
    </row>
    <row r="3420" ht="21" customHeight="1">
      <c r="A3420" s="22" t="inlineStr">
        <is>
          <t>88247</t>
        </is>
      </c>
      <c r="B3420" s="23" t="inlineStr">
        <is>
          <t>AUXILIAR DE ELETRICISTA COM ENCARGOS COMPLEMENTARES</t>
        </is>
      </c>
      <c r="C3420" s="22" t="inlineStr">
        <is>
          <t>SINAPI</t>
        </is>
      </c>
      <c r="D3420" s="22" t="inlineStr">
        <is>
          <t>H</t>
        </is>
      </c>
      <c r="E3420" s="63">
        <f>L3420*FATOR</f>
        <v/>
      </c>
      <c r="F3420" s="64">
        <f>'COMPOSICOES AUXILIARES'!G505</f>
        <v/>
      </c>
      <c r="G3420" s="64">
        <f>TRUNC(TRUNC(E3420,8)*F3420,2)</f>
        <v/>
      </c>
      <c r="L3420" t="n">
        <v>0.2727</v>
      </c>
      <c r="M3420" t="n">
        <v>25.22</v>
      </c>
      <c r="N3420">
        <f>(M3420-F3420)</f>
        <v/>
      </c>
    </row>
    <row r="3421" ht="15" customHeight="1">
      <c r="A3421" s="22" t="inlineStr">
        <is>
          <t>88264</t>
        </is>
      </c>
      <c r="B3421" s="23" t="inlineStr">
        <is>
          <t>ELETRICISTA COM ENCARGOS COMPLEMENTARES</t>
        </is>
      </c>
      <c r="C3421" s="22" t="inlineStr">
        <is>
          <t>SINAPI</t>
        </is>
      </c>
      <c r="D3421" s="22" t="inlineStr">
        <is>
          <t>H</t>
        </is>
      </c>
      <c r="E3421" s="63">
        <f>L3421*FATOR</f>
        <v/>
      </c>
      <c r="F3421" s="64">
        <f>'COMPOSICOES AUXILIARES'!G505</f>
        <v/>
      </c>
      <c r="G3421" s="64">
        <f>TRUNC(TRUNC(E3421,8)*F3421,2)</f>
        <v/>
      </c>
      <c r="L3421" t="n">
        <v>0.2727</v>
      </c>
      <c r="M3421" t="n">
        <v>30.96</v>
      </c>
      <c r="N3421">
        <f>(M3421-F3421)</f>
        <v/>
      </c>
    </row>
    <row r="3422" ht="18" customHeight="1">
      <c r="A3422" s="2" t="inlineStr"/>
      <c r="B3422" s="2" t="inlineStr"/>
      <c r="C3422" s="2" t="inlineStr"/>
      <c r="D3422" s="2" t="inlineStr"/>
      <c r="E3422" s="26" t="inlineStr">
        <is>
          <t>TOTAL Mão de Obra com Encargos Complementares:</t>
        </is>
      </c>
      <c r="F3422" s="56" t="n"/>
      <c r="G3422" s="65">
        <f>SUM(G3420:G3421)</f>
        <v/>
      </c>
    </row>
    <row r="3423" ht="15" customHeight="1">
      <c r="A3423" s="2" t="inlineStr"/>
      <c r="B3423" s="2" t="inlineStr"/>
      <c r="C3423" s="2" t="inlineStr"/>
      <c r="D3423" s="2" t="inlineStr"/>
      <c r="E3423" s="28" t="inlineStr">
        <is>
          <t>VALOR:</t>
        </is>
      </c>
      <c r="F3423" s="56" t="n"/>
      <c r="G3423" s="66">
        <f>SUM(G3418,G3422)</f>
        <v/>
      </c>
    </row>
    <row r="3424" ht="15" customHeight="1">
      <c r="A3424" s="2" t="inlineStr"/>
      <c r="B3424" s="2" t="inlineStr"/>
      <c r="C3424" s="2" t="inlineStr"/>
      <c r="D3424" s="2" t="inlineStr"/>
      <c r="E3424" s="28" t="inlineStr">
        <is>
          <t>VALOR BDI (23.08%):</t>
        </is>
      </c>
      <c r="F3424" s="56" t="n"/>
      <c r="G3424" s="66">
        <f>ROUNDDOWN(G3423*BDI,2)</f>
        <v/>
      </c>
    </row>
    <row r="3425" ht="15" customHeight="1">
      <c r="A3425" s="2" t="inlineStr"/>
      <c r="B3425" s="2" t="inlineStr"/>
      <c r="C3425" s="2" t="inlineStr"/>
      <c r="D3425" s="2" t="inlineStr"/>
      <c r="E3425" s="28" t="inlineStr">
        <is>
          <t>VALOR COM BDI:</t>
        </is>
      </c>
      <c r="F3425" s="56" t="n"/>
      <c r="G3425" s="66">
        <f>G3424 + G3423</f>
        <v/>
      </c>
    </row>
    <row r="3426" ht="10" customHeight="1">
      <c r="A3426" s="2" t="inlineStr"/>
      <c r="B3426" s="2" t="inlineStr"/>
      <c r="C3426" s="2" t="inlineStr"/>
      <c r="D3426" s="2" t="inlineStr"/>
      <c r="E3426" s="18" t="inlineStr"/>
    </row>
    <row r="3427" ht="20" customHeight="1">
      <c r="A3427" s="19" t="inlineStr">
        <is>
          <t>9.7.2.2. ​95779​ CONDULETE DE ALUMÍNIO, TIPO E, PARA ELETRODUTO DE AÇO GALVANIZADO DN 20 MM (3/4''), APARENTE - FORNECIMENTO EINSTALAÇÃO. AF_10/2022​ (UN)</t>
        </is>
      </c>
      <c r="B3427" s="55" t="n"/>
      <c r="C3427" s="55" t="n"/>
      <c r="D3427" s="55" t="n"/>
      <c r="E3427" s="55" t="n"/>
      <c r="F3427" s="55" t="n"/>
      <c r="G3427" s="56" t="n"/>
    </row>
    <row r="3428" ht="15" customHeight="1">
      <c r="A3428" s="20" t="inlineStr">
        <is>
          <t>Material</t>
        </is>
      </c>
      <c r="B3428" s="56" t="n"/>
      <c r="C3428" s="21" t="inlineStr">
        <is>
          <t>FONTE</t>
        </is>
      </c>
      <c r="D3428" s="21" t="inlineStr">
        <is>
          <t>UNID</t>
        </is>
      </c>
      <c r="E3428" s="21" t="inlineStr">
        <is>
          <t>COEFICIENTE</t>
        </is>
      </c>
      <c r="F3428" s="21" t="inlineStr">
        <is>
          <t>PREÇO UNITÁRIO</t>
        </is>
      </c>
      <c r="G3428" s="21" t="inlineStr">
        <is>
          <t>TOTAL</t>
        </is>
      </c>
    </row>
    <row r="3429" ht="29" customHeight="1">
      <c r="A3429" s="22" t="inlineStr">
        <is>
          <t>00011950</t>
        </is>
      </c>
      <c r="B3429" s="23" t="inlineStr">
        <is>
          <t>BUCHA DE NYLON SEM ABA S6, COM PARAFUSO DE 4,20 X 40 MM EM ACO ZINCADO COM ROSCA SOBERBA, CABECA CHATA E FENDA PHILLIPS</t>
        </is>
      </c>
      <c r="C3429" s="22" t="inlineStr">
        <is>
          <t>SINAPI</t>
        </is>
      </c>
      <c r="D3429" s="22" t="inlineStr">
        <is>
          <t>UN</t>
        </is>
      </c>
      <c r="E3429" s="63" t="n">
        <v>2</v>
      </c>
      <c r="F3429" s="64">
        <f>ROUND(M3429*FATOR, 2)</f>
        <v/>
      </c>
      <c r="G3429" s="64">
        <f>TRUNC(TRUNC(E3429,8)*F3429,2)</f>
        <v/>
      </c>
      <c r="L3429" t="n">
        <v>2</v>
      </c>
      <c r="M3429" t="n">
        <v>0.28</v>
      </c>
      <c r="N3429">
        <f>(M3429-F3429)</f>
        <v/>
      </c>
    </row>
    <row r="3430" ht="21" customHeight="1">
      <c r="A3430" s="22" t="inlineStr">
        <is>
          <t>00002565</t>
        </is>
      </c>
      <c r="B3430" s="23" t="inlineStr">
        <is>
          <t>CONDULETE DE ALUMINIO TIPO E, PARA ELETRODUTO ROSCAVEL DE 3/4", COM TAMPA CEGA</t>
        </is>
      </c>
      <c r="C3430" s="22" t="inlineStr">
        <is>
          <t>SINAPI</t>
        </is>
      </c>
      <c r="D3430" s="22" t="inlineStr">
        <is>
          <t>UN</t>
        </is>
      </c>
      <c r="E3430" s="63" t="n">
        <v>1</v>
      </c>
      <c r="F3430" s="64">
        <f>ROUND(M3430*FATOR, 2)</f>
        <v/>
      </c>
      <c r="G3430" s="64">
        <f>TRUNC(TRUNC(E3430,8)*F3430,2)</f>
        <v/>
      </c>
      <c r="L3430" t="n">
        <v>1</v>
      </c>
      <c r="M3430" t="n">
        <v>12.39</v>
      </c>
      <c r="N3430">
        <f>(M3430-F3430)</f>
        <v/>
      </c>
    </row>
    <row r="3431" ht="15" customHeight="1">
      <c r="A3431" s="2" t="inlineStr"/>
      <c r="B3431" s="2" t="inlineStr"/>
      <c r="C3431" s="2" t="inlineStr"/>
      <c r="D3431" s="2" t="inlineStr"/>
      <c r="E3431" s="26" t="inlineStr">
        <is>
          <t>TOTAL Material:</t>
        </is>
      </c>
      <c r="F3431" s="56" t="n"/>
      <c r="G3431" s="65">
        <f>SUM(G3429:G3430)</f>
        <v/>
      </c>
    </row>
    <row r="3432" ht="15" customHeight="1">
      <c r="A3432" s="20" t="inlineStr">
        <is>
          <t>Mão de Obra com Encargos Complementares</t>
        </is>
      </c>
      <c r="B3432" s="56" t="n"/>
      <c r="C3432" s="21" t="inlineStr">
        <is>
          <t>FONTE</t>
        </is>
      </c>
      <c r="D3432" s="21" t="inlineStr">
        <is>
          <t>UNID</t>
        </is>
      </c>
      <c r="E3432" s="21" t="inlineStr">
        <is>
          <t>COEFICIENTE</t>
        </is>
      </c>
      <c r="F3432" s="21" t="inlineStr">
        <is>
          <t>PREÇO UNITÁRIO</t>
        </is>
      </c>
      <c r="G3432" s="21" t="inlineStr">
        <is>
          <t>TOTAL</t>
        </is>
      </c>
    </row>
    <row r="3433" ht="21" customHeight="1">
      <c r="A3433" s="22" t="inlineStr">
        <is>
          <t>88247</t>
        </is>
      </c>
      <c r="B3433" s="23" t="inlineStr">
        <is>
          <t>AUXILIAR DE ELETRICISTA COM ENCARGOS COMPLEMENTARES</t>
        </is>
      </c>
      <c r="C3433" s="22" t="inlineStr">
        <is>
          <t>SINAPI</t>
        </is>
      </c>
      <c r="D3433" s="22" t="inlineStr">
        <is>
          <t>H</t>
        </is>
      </c>
      <c r="E3433" s="63">
        <f>L3433*FATOR</f>
        <v/>
      </c>
      <c r="F3433" s="64">
        <f>'COMPOSICOES AUXILIARES'!G505</f>
        <v/>
      </c>
      <c r="G3433" s="64">
        <f>TRUNC(TRUNC(E3433,8)*F3433,2)</f>
        <v/>
      </c>
      <c r="L3433" t="n">
        <v>0.2301</v>
      </c>
      <c r="M3433" t="n">
        <v>25.22</v>
      </c>
      <c r="N3433">
        <f>(M3433-F3433)</f>
        <v/>
      </c>
    </row>
    <row r="3434" ht="15" customHeight="1">
      <c r="A3434" s="22" t="inlineStr">
        <is>
          <t>88264</t>
        </is>
      </c>
      <c r="B3434" s="23" t="inlineStr">
        <is>
          <t>ELETRICISTA COM ENCARGOS COMPLEMENTARES</t>
        </is>
      </c>
      <c r="C3434" s="22" t="inlineStr">
        <is>
          <t>SINAPI</t>
        </is>
      </c>
      <c r="D3434" s="22" t="inlineStr">
        <is>
          <t>H</t>
        </is>
      </c>
      <c r="E3434" s="63">
        <f>L3434*FATOR</f>
        <v/>
      </c>
      <c r="F3434" s="64">
        <f>'COMPOSICOES AUXILIARES'!G505</f>
        <v/>
      </c>
      <c r="G3434" s="64">
        <f>TRUNC(TRUNC(E3434,8)*F3434,2)</f>
        <v/>
      </c>
      <c r="L3434" t="n">
        <v>0.2301</v>
      </c>
      <c r="M3434" t="n">
        <v>30.96</v>
      </c>
      <c r="N3434">
        <f>(M3434-F3434)</f>
        <v/>
      </c>
    </row>
    <row r="3435" ht="18" customHeight="1">
      <c r="A3435" s="2" t="inlineStr"/>
      <c r="B3435" s="2" t="inlineStr"/>
      <c r="C3435" s="2" t="inlineStr"/>
      <c r="D3435" s="2" t="inlineStr"/>
      <c r="E3435" s="26" t="inlineStr">
        <is>
          <t>TOTAL Mão de Obra com Encargos Complementares:</t>
        </is>
      </c>
      <c r="F3435" s="56" t="n"/>
      <c r="G3435" s="65">
        <f>SUM(G3433:G3434)</f>
        <v/>
      </c>
    </row>
    <row r="3436" ht="15" customHeight="1">
      <c r="A3436" s="2" t="inlineStr"/>
      <c r="B3436" s="2" t="inlineStr"/>
      <c r="C3436" s="2" t="inlineStr"/>
      <c r="D3436" s="2" t="inlineStr"/>
      <c r="E3436" s="28" t="inlineStr">
        <is>
          <t>VALOR:</t>
        </is>
      </c>
      <c r="F3436" s="56" t="n"/>
      <c r="G3436" s="66">
        <f>SUM(G3435,G3431)</f>
        <v/>
      </c>
    </row>
    <row r="3437" ht="15" customHeight="1">
      <c r="A3437" s="2" t="inlineStr"/>
      <c r="B3437" s="2" t="inlineStr"/>
      <c r="C3437" s="2" t="inlineStr"/>
      <c r="D3437" s="2" t="inlineStr"/>
      <c r="E3437" s="28" t="inlineStr">
        <is>
          <t>VALOR BDI (23.08%):</t>
        </is>
      </c>
      <c r="F3437" s="56" t="n"/>
      <c r="G3437" s="66">
        <f>ROUNDDOWN(G3436*BDI,2)</f>
        <v/>
      </c>
    </row>
    <row r="3438" ht="15" customHeight="1">
      <c r="A3438" s="2" t="inlineStr"/>
      <c r="B3438" s="2" t="inlineStr"/>
      <c r="C3438" s="2" t="inlineStr"/>
      <c r="D3438" s="2" t="inlineStr"/>
      <c r="E3438" s="28" t="inlineStr">
        <is>
          <t>VALOR COM BDI:</t>
        </is>
      </c>
      <c r="F3438" s="56" t="n"/>
      <c r="G3438" s="66">
        <f>G3437 + G3436</f>
        <v/>
      </c>
    </row>
    <row r="3439" ht="10" customHeight="1">
      <c r="A3439" s="2" t="inlineStr"/>
      <c r="B3439" s="2" t="inlineStr"/>
      <c r="C3439" s="2" t="inlineStr"/>
      <c r="D3439" s="2" t="inlineStr"/>
      <c r="E3439" s="18" t="inlineStr"/>
    </row>
    <row r="3440" ht="20" customHeight="1">
      <c r="A3440" s="19" t="inlineStr">
        <is>
          <t>9.7.2.3. ​458 PRÓPRIO​ CONDULETE DE ALUMÍNIO, TIPO LL, PARA ELETRODUTO DE AÇO GALVANIZADO DN 20MM (3/4''), APARENTE - FORNECIMENTO EINSTALAÇÃO​ (UN)</t>
        </is>
      </c>
      <c r="B3440" s="55" t="n"/>
      <c r="C3440" s="55" t="n"/>
      <c r="D3440" s="55" t="n"/>
      <c r="E3440" s="55" t="n"/>
      <c r="F3440" s="55" t="n"/>
      <c r="G3440" s="56" t="n"/>
    </row>
    <row r="3441" ht="15" customHeight="1">
      <c r="A3441" s="20" t="inlineStr">
        <is>
          <t>Material</t>
        </is>
      </c>
      <c r="B3441" s="56" t="n"/>
      <c r="C3441" s="21" t="inlineStr">
        <is>
          <t>FONTE</t>
        </is>
      </c>
      <c r="D3441" s="21" t="inlineStr">
        <is>
          <t>UNID</t>
        </is>
      </c>
      <c r="E3441" s="21" t="inlineStr">
        <is>
          <t>COEFICIENTE</t>
        </is>
      </c>
      <c r="F3441" s="21" t="inlineStr">
        <is>
          <t>PREÇO UNITÁRIO</t>
        </is>
      </c>
      <c r="G3441" s="21" t="inlineStr">
        <is>
          <t>TOTAL</t>
        </is>
      </c>
    </row>
    <row r="3442" ht="29" customHeight="1">
      <c r="A3442" s="22" t="inlineStr">
        <is>
          <t>00011950</t>
        </is>
      </c>
      <c r="B3442" s="23" t="inlineStr">
        <is>
          <t>BUCHA DE NYLON SEM ABA S6, COM PARAFUSO DE 4,20 X 40 MM EM ACO ZINCADO COM ROSCA SOBERBA, CABECA CHATA E FENDA PHILLIPS</t>
        </is>
      </c>
      <c r="C3442" s="22" t="inlineStr">
        <is>
          <t>SINAPI</t>
        </is>
      </c>
      <c r="D3442" s="22" t="inlineStr">
        <is>
          <t>UN</t>
        </is>
      </c>
      <c r="E3442" s="63" t="n">
        <v>2</v>
      </c>
      <c r="F3442" s="64">
        <f>ROUND(M3442*FATOR, 2)</f>
        <v/>
      </c>
      <c r="G3442" s="64">
        <f>ROUND(ROUND(E3442,8)*F3442,2)</f>
        <v/>
      </c>
      <c r="L3442" t="n">
        <v>2</v>
      </c>
      <c r="M3442" t="n">
        <v>0.28</v>
      </c>
      <c r="N3442">
        <f>(M3442-F3442)</f>
        <v/>
      </c>
    </row>
    <row r="3443" ht="15" customHeight="1">
      <c r="A3443" s="22" t="inlineStr">
        <is>
          <t>031159 SBC</t>
        </is>
      </c>
      <c r="B3443" s="23" t="inlineStr">
        <is>
          <t>CONDULETE ALUMINIO "LL" 3/4" SEM TAMPA WETZEL</t>
        </is>
      </c>
      <c r="C3443" s="22" t="inlineStr">
        <is>
          <t xml:space="preserve">Composições </t>
        </is>
      </c>
      <c r="D3443" s="22" t="inlineStr">
        <is>
          <t>UN</t>
        </is>
      </c>
      <c r="E3443" s="63" t="n">
        <v>1</v>
      </c>
      <c r="F3443" s="64">
        <f>ROUND(M3443*FATOR, 2)</f>
        <v/>
      </c>
      <c r="G3443" s="64">
        <f>ROUND(ROUND(E3443,8)*F3443,2)</f>
        <v/>
      </c>
      <c r="L3443" t="n">
        <v>1</v>
      </c>
      <c r="M3443" t="n">
        <v>15.44</v>
      </c>
      <c r="N3443">
        <f>(M3443-F3443)</f>
        <v/>
      </c>
    </row>
    <row r="3444" ht="15" customHeight="1">
      <c r="A3444" s="2" t="inlineStr"/>
      <c r="B3444" s="2" t="inlineStr"/>
      <c r="C3444" s="2" t="inlineStr"/>
      <c r="D3444" s="2" t="inlineStr"/>
      <c r="E3444" s="26" t="inlineStr">
        <is>
          <t>TOTAL Material:</t>
        </is>
      </c>
      <c r="F3444" s="56" t="n"/>
      <c r="G3444" s="65">
        <f>SUM(G3442:G3443)</f>
        <v/>
      </c>
    </row>
    <row r="3445" ht="15" customHeight="1">
      <c r="A3445" s="20" t="inlineStr">
        <is>
          <t>Mão de Obra com Encargos Complementares</t>
        </is>
      </c>
      <c r="B3445" s="56" t="n"/>
      <c r="C3445" s="21" t="inlineStr">
        <is>
          <t>FONTE</t>
        </is>
      </c>
      <c r="D3445" s="21" t="inlineStr">
        <is>
          <t>UNID</t>
        </is>
      </c>
      <c r="E3445" s="21" t="inlineStr">
        <is>
          <t>COEFICIENTE</t>
        </is>
      </c>
      <c r="F3445" s="21" t="inlineStr">
        <is>
          <t>PREÇO UNITÁRIO</t>
        </is>
      </c>
      <c r="G3445" s="21" t="inlineStr">
        <is>
          <t>TOTAL</t>
        </is>
      </c>
    </row>
    <row r="3446" ht="21" customHeight="1">
      <c r="A3446" s="22" t="inlineStr">
        <is>
          <t>88247</t>
        </is>
      </c>
      <c r="B3446" s="23" t="inlineStr">
        <is>
          <t>AUXILIAR DE ELETRICISTA COM ENCARGOS COMPLEMENTARES</t>
        </is>
      </c>
      <c r="C3446" s="22" t="inlineStr">
        <is>
          <t>SINAPI</t>
        </is>
      </c>
      <c r="D3446" s="22" t="inlineStr">
        <is>
          <t>H</t>
        </is>
      </c>
      <c r="E3446" s="63">
        <f>L3446*FATOR</f>
        <v/>
      </c>
      <c r="F3446" s="64">
        <f>'COMPOSICOES AUXILIARES'!G505</f>
        <v/>
      </c>
      <c r="G3446" s="64">
        <f>ROUND(ROUND(E3446,8)*F3446,2)</f>
        <v/>
      </c>
      <c r="L3446" t="n">
        <v>0.3154</v>
      </c>
      <c r="M3446" t="n">
        <v>25.22</v>
      </c>
      <c r="N3446">
        <f>(M3446-F3446)</f>
        <v/>
      </c>
    </row>
    <row r="3447" ht="15" customHeight="1">
      <c r="A3447" s="22" t="inlineStr">
        <is>
          <t>88264</t>
        </is>
      </c>
      <c r="B3447" s="23" t="inlineStr">
        <is>
          <t>ELETRICISTA COM ENCARGOS COMPLEMENTARES</t>
        </is>
      </c>
      <c r="C3447" s="22" t="inlineStr">
        <is>
          <t>SINAPI</t>
        </is>
      </c>
      <c r="D3447" s="22" t="inlineStr">
        <is>
          <t>H</t>
        </is>
      </c>
      <c r="E3447" s="63">
        <f>L3447*FATOR</f>
        <v/>
      </c>
      <c r="F3447" s="64">
        <f>'COMPOSICOES AUXILIARES'!G505</f>
        <v/>
      </c>
      <c r="G3447" s="64">
        <f>ROUND(ROUND(E3447,8)*F3447,2)</f>
        <v/>
      </c>
      <c r="L3447" t="n">
        <v>0.3154</v>
      </c>
      <c r="M3447" t="n">
        <v>30.96</v>
      </c>
      <c r="N3447">
        <f>(M3447-F3447)</f>
        <v/>
      </c>
    </row>
    <row r="3448" ht="18" customHeight="1">
      <c r="A3448" s="2" t="inlineStr"/>
      <c r="B3448" s="2" t="inlineStr"/>
      <c r="C3448" s="2" t="inlineStr"/>
      <c r="D3448" s="2" t="inlineStr"/>
      <c r="E3448" s="26" t="inlineStr">
        <is>
          <t>TOTAL Mão de Obra com Encargos Complementares:</t>
        </is>
      </c>
      <c r="F3448" s="56" t="n"/>
      <c r="G3448" s="65">
        <f>SUM(G3446:G3447)</f>
        <v/>
      </c>
    </row>
    <row r="3449" ht="15" customHeight="1">
      <c r="A3449" s="2" t="inlineStr"/>
      <c r="B3449" s="2" t="inlineStr"/>
      <c r="C3449" s="2" t="inlineStr"/>
      <c r="D3449" s="2" t="inlineStr"/>
      <c r="E3449" s="28" t="inlineStr">
        <is>
          <t>VALOR:</t>
        </is>
      </c>
      <c r="F3449" s="56" t="n"/>
      <c r="G3449" s="66">
        <f>SUM(G3448,G3444)</f>
        <v/>
      </c>
    </row>
    <row r="3450" ht="15" customHeight="1">
      <c r="A3450" s="2" t="inlineStr"/>
      <c r="B3450" s="2" t="inlineStr"/>
      <c r="C3450" s="2" t="inlineStr"/>
      <c r="D3450" s="2" t="inlineStr"/>
      <c r="E3450" s="28" t="inlineStr">
        <is>
          <t>VALOR BDI (23.08%):</t>
        </is>
      </c>
      <c r="F3450" s="56" t="n"/>
      <c r="G3450" s="66">
        <f>ROUNDDOWN(G3449*BDI,2)</f>
        <v/>
      </c>
    </row>
    <row r="3451" ht="15" customHeight="1">
      <c r="A3451" s="2" t="inlineStr"/>
      <c r="B3451" s="2" t="inlineStr"/>
      <c r="C3451" s="2" t="inlineStr"/>
      <c r="D3451" s="2" t="inlineStr"/>
      <c r="E3451" s="28" t="inlineStr">
        <is>
          <t>VALOR COM BDI:</t>
        </is>
      </c>
      <c r="F3451" s="56" t="n"/>
      <c r="G3451" s="66">
        <f>G3450 + G3449</f>
        <v/>
      </c>
    </row>
    <row r="3452" ht="10" customHeight="1">
      <c r="A3452" s="2" t="inlineStr"/>
      <c r="B3452" s="2" t="inlineStr"/>
      <c r="C3452" s="2" t="inlineStr"/>
      <c r="D3452" s="2" t="inlineStr"/>
      <c r="E3452" s="18" t="inlineStr"/>
    </row>
    <row r="3453" ht="20" customHeight="1">
      <c r="A3453" s="19" t="inlineStr">
        <is>
          <t>9.7.2.4. ​95787​ CONDULETE DE ALUMÍNIO, TIPO LR, PARA ELETRODUTO DE AÇO GALVANIZADO DN 20 MM (3/4''), APARENTE - FORNECIMENTO EINSTALAÇÃO. AF_10/2022​ (UN)</t>
        </is>
      </c>
      <c r="B3453" s="55" t="n"/>
      <c r="C3453" s="55" t="n"/>
      <c r="D3453" s="55" t="n"/>
      <c r="E3453" s="55" t="n"/>
      <c r="F3453" s="55" t="n"/>
      <c r="G3453" s="56" t="n"/>
    </row>
    <row r="3454" ht="15" customHeight="1">
      <c r="A3454" s="20" t="inlineStr">
        <is>
          <t>Material</t>
        </is>
      </c>
      <c r="B3454" s="56" t="n"/>
      <c r="C3454" s="21" t="inlineStr">
        <is>
          <t>FONTE</t>
        </is>
      </c>
      <c r="D3454" s="21" t="inlineStr">
        <is>
          <t>UNID</t>
        </is>
      </c>
      <c r="E3454" s="21" t="inlineStr">
        <is>
          <t>COEFICIENTE</t>
        </is>
      </c>
      <c r="F3454" s="21" t="inlineStr">
        <is>
          <t>PREÇO UNITÁRIO</t>
        </is>
      </c>
      <c r="G3454" s="21" t="inlineStr">
        <is>
          <t>TOTAL</t>
        </is>
      </c>
    </row>
    <row r="3455" ht="29" customHeight="1">
      <c r="A3455" s="22" t="inlineStr">
        <is>
          <t>00011950</t>
        </is>
      </c>
      <c r="B3455" s="23" t="inlineStr">
        <is>
          <t>BUCHA DE NYLON SEM ABA S6, COM PARAFUSO DE 4,20 X 40 MM EM ACO ZINCADO COM ROSCA SOBERBA, CABECA CHATA E FENDA PHILLIPS</t>
        </is>
      </c>
      <c r="C3455" s="22" t="inlineStr">
        <is>
          <t>SINAPI</t>
        </is>
      </c>
      <c r="D3455" s="22" t="inlineStr">
        <is>
          <t>UN</t>
        </is>
      </c>
      <c r="E3455" s="63" t="n">
        <v>2</v>
      </c>
      <c r="F3455" s="64">
        <f>ROUND(M3455*FATOR, 2)</f>
        <v/>
      </c>
      <c r="G3455" s="64">
        <f>TRUNC(TRUNC(E3455,8)*F3455,2)</f>
        <v/>
      </c>
      <c r="L3455" t="n">
        <v>2</v>
      </c>
      <c r="M3455" t="n">
        <v>0.28</v>
      </c>
      <c r="N3455">
        <f>(M3455-F3455)</f>
        <v/>
      </c>
    </row>
    <row r="3456" ht="21" customHeight="1">
      <c r="A3456" s="22" t="inlineStr">
        <is>
          <t>00002593</t>
        </is>
      </c>
      <c r="B3456" s="23" t="inlineStr">
        <is>
          <t>CONDULETE DE ALUMINIO TIPO LR, PARA ELETRODUTO ROSCAVEL DE 3/4", COM TAMPA CEGA</t>
        </is>
      </c>
      <c r="C3456" s="22" t="inlineStr">
        <is>
          <t>SINAPI</t>
        </is>
      </c>
      <c r="D3456" s="22" t="inlineStr">
        <is>
          <t>UN</t>
        </is>
      </c>
      <c r="E3456" s="63" t="n">
        <v>1</v>
      </c>
      <c r="F3456" s="64">
        <f>ROUND(M3456*FATOR, 2)</f>
        <v/>
      </c>
      <c r="G3456" s="64">
        <f>TRUNC(TRUNC(E3456,8)*F3456,2)</f>
        <v/>
      </c>
      <c r="L3456" t="n">
        <v>1</v>
      </c>
      <c r="M3456" t="n">
        <v>12.8</v>
      </c>
      <c r="N3456">
        <f>(M3456-F3456)</f>
        <v/>
      </c>
    </row>
    <row r="3457" ht="15" customHeight="1">
      <c r="A3457" s="2" t="inlineStr"/>
      <c r="B3457" s="2" t="inlineStr"/>
      <c r="C3457" s="2" t="inlineStr"/>
      <c r="D3457" s="2" t="inlineStr"/>
      <c r="E3457" s="26" t="inlineStr">
        <is>
          <t>TOTAL Material:</t>
        </is>
      </c>
      <c r="F3457" s="56" t="n"/>
      <c r="G3457" s="65">
        <f>SUM(G3455:G3456)</f>
        <v/>
      </c>
    </row>
    <row r="3458" ht="15" customHeight="1">
      <c r="A3458" s="20" t="inlineStr">
        <is>
          <t>Mão de Obra com Encargos Complementares</t>
        </is>
      </c>
      <c r="B3458" s="56" t="n"/>
      <c r="C3458" s="21" t="inlineStr">
        <is>
          <t>FONTE</t>
        </is>
      </c>
      <c r="D3458" s="21" t="inlineStr">
        <is>
          <t>UNID</t>
        </is>
      </c>
      <c r="E3458" s="21" t="inlineStr">
        <is>
          <t>COEFICIENTE</t>
        </is>
      </c>
      <c r="F3458" s="21" t="inlineStr">
        <is>
          <t>PREÇO UNITÁRIO</t>
        </is>
      </c>
      <c r="G3458" s="21" t="inlineStr">
        <is>
          <t>TOTAL</t>
        </is>
      </c>
    </row>
    <row r="3459" ht="21" customHeight="1">
      <c r="A3459" s="22" t="inlineStr">
        <is>
          <t>88247</t>
        </is>
      </c>
      <c r="B3459" s="23" t="inlineStr">
        <is>
          <t>AUXILIAR DE ELETRICISTA COM ENCARGOS COMPLEMENTARES</t>
        </is>
      </c>
      <c r="C3459" s="22" t="inlineStr">
        <is>
          <t>SINAPI</t>
        </is>
      </c>
      <c r="D3459" s="22" t="inlineStr">
        <is>
          <t>H</t>
        </is>
      </c>
      <c r="E3459" s="63">
        <f>L3459*FATOR</f>
        <v/>
      </c>
      <c r="F3459" s="64">
        <f>'COMPOSICOES AUXILIARES'!G505</f>
        <v/>
      </c>
      <c r="G3459" s="64">
        <f>TRUNC(TRUNC(E3459,8)*F3459,2)</f>
        <v/>
      </c>
      <c r="L3459" t="n">
        <v>0.3154</v>
      </c>
      <c r="M3459" t="n">
        <v>25.22</v>
      </c>
      <c r="N3459">
        <f>(M3459-F3459)</f>
        <v/>
      </c>
    </row>
    <row r="3460" ht="15" customHeight="1">
      <c r="A3460" s="22" t="inlineStr">
        <is>
          <t>88264</t>
        </is>
      </c>
      <c r="B3460" s="23" t="inlineStr">
        <is>
          <t>ELETRICISTA COM ENCARGOS COMPLEMENTARES</t>
        </is>
      </c>
      <c r="C3460" s="22" t="inlineStr">
        <is>
          <t>SINAPI</t>
        </is>
      </c>
      <c r="D3460" s="22" t="inlineStr">
        <is>
          <t>H</t>
        </is>
      </c>
      <c r="E3460" s="63">
        <f>L3460*FATOR</f>
        <v/>
      </c>
      <c r="F3460" s="64">
        <f>'COMPOSICOES AUXILIARES'!G505</f>
        <v/>
      </c>
      <c r="G3460" s="64">
        <f>TRUNC(TRUNC(E3460,8)*F3460,2)</f>
        <v/>
      </c>
      <c r="L3460" t="n">
        <v>0.3154</v>
      </c>
      <c r="M3460" t="n">
        <v>30.96</v>
      </c>
      <c r="N3460">
        <f>(M3460-F3460)</f>
        <v/>
      </c>
    </row>
    <row r="3461" ht="18" customHeight="1">
      <c r="A3461" s="2" t="inlineStr"/>
      <c r="B3461" s="2" t="inlineStr"/>
      <c r="C3461" s="2" t="inlineStr"/>
      <c r="D3461" s="2" t="inlineStr"/>
      <c r="E3461" s="26" t="inlineStr">
        <is>
          <t>TOTAL Mão de Obra com Encargos Complementares:</t>
        </is>
      </c>
      <c r="F3461" s="56" t="n"/>
      <c r="G3461" s="65">
        <f>SUM(G3459:G3460)</f>
        <v/>
      </c>
    </row>
    <row r="3462" ht="15" customHeight="1">
      <c r="A3462" s="2" t="inlineStr"/>
      <c r="B3462" s="2" t="inlineStr"/>
      <c r="C3462" s="2" t="inlineStr"/>
      <c r="D3462" s="2" t="inlineStr"/>
      <c r="E3462" s="28" t="inlineStr">
        <is>
          <t>VALOR:</t>
        </is>
      </c>
      <c r="F3462" s="56" t="n"/>
      <c r="G3462" s="66">
        <f>SUM(G3457,G3461)</f>
        <v/>
      </c>
    </row>
    <row r="3463" ht="15" customHeight="1">
      <c r="A3463" s="2" t="inlineStr"/>
      <c r="B3463" s="2" t="inlineStr"/>
      <c r="C3463" s="2" t="inlineStr"/>
      <c r="D3463" s="2" t="inlineStr"/>
      <c r="E3463" s="28" t="inlineStr">
        <is>
          <t>VALOR BDI (23.08%):</t>
        </is>
      </c>
      <c r="F3463" s="56" t="n"/>
      <c r="G3463" s="66">
        <f>ROUNDDOWN(G3462*BDI,2)</f>
        <v/>
      </c>
    </row>
    <row r="3464" ht="15" customHeight="1">
      <c r="A3464" s="2" t="inlineStr"/>
      <c r="B3464" s="2" t="inlineStr"/>
      <c r="C3464" s="2" t="inlineStr"/>
      <c r="D3464" s="2" t="inlineStr"/>
      <c r="E3464" s="28" t="inlineStr">
        <is>
          <t>VALOR COM BDI:</t>
        </is>
      </c>
      <c r="F3464" s="56" t="n"/>
      <c r="G3464" s="66">
        <f>G3463 + G3462</f>
        <v/>
      </c>
    </row>
    <row r="3465" ht="10" customHeight="1">
      <c r="A3465" s="2" t="inlineStr"/>
      <c r="B3465" s="2" t="inlineStr"/>
      <c r="C3465" s="2" t="inlineStr"/>
      <c r="D3465" s="2" t="inlineStr"/>
      <c r="E3465" s="18" t="inlineStr"/>
    </row>
    <row r="3466" ht="20" customHeight="1">
      <c r="A3466" s="19" t="inlineStr">
        <is>
          <t>9.7.2.5. ​95781​ CONDULETE DE ALUMÍNIO, TIPO C, PARA ELETRODUTO DE AÇO GALVANIZADO DN 25 MM (1''), APARENTE - FORNECIMENTO EINSTALAÇÃO. AF_10/2022​ (UN)</t>
        </is>
      </c>
      <c r="B3466" s="55" t="n"/>
      <c r="C3466" s="55" t="n"/>
      <c r="D3466" s="55" t="n"/>
      <c r="E3466" s="55" t="n"/>
      <c r="F3466" s="55" t="n"/>
      <c r="G3466" s="56" t="n"/>
    </row>
    <row r="3467" ht="15" customHeight="1">
      <c r="A3467" s="20" t="inlineStr">
        <is>
          <t>Material</t>
        </is>
      </c>
      <c r="B3467" s="56" t="n"/>
      <c r="C3467" s="21" t="inlineStr">
        <is>
          <t>FONTE</t>
        </is>
      </c>
      <c r="D3467" s="21" t="inlineStr">
        <is>
          <t>UNID</t>
        </is>
      </c>
      <c r="E3467" s="21" t="inlineStr">
        <is>
          <t>COEFICIENTE</t>
        </is>
      </c>
      <c r="F3467" s="21" t="inlineStr">
        <is>
          <t>PREÇO UNITÁRIO</t>
        </is>
      </c>
      <c r="G3467" s="21" t="inlineStr">
        <is>
          <t>TOTAL</t>
        </is>
      </c>
    </row>
    <row r="3468" ht="29" customHeight="1">
      <c r="A3468" s="22" t="inlineStr">
        <is>
          <t>00011950</t>
        </is>
      </c>
      <c r="B3468" s="23" t="inlineStr">
        <is>
          <t>BUCHA DE NYLON SEM ABA S6, COM PARAFUSO DE 4,20 X 40 MM EM ACO ZINCADO COM ROSCA SOBERBA, CABECA CHATA E FENDA PHILLIPS</t>
        </is>
      </c>
      <c r="C3468" s="22" t="inlineStr">
        <is>
          <t>SINAPI</t>
        </is>
      </c>
      <c r="D3468" s="22" t="inlineStr">
        <is>
          <t>UN</t>
        </is>
      </c>
      <c r="E3468" s="63" t="n">
        <v>2</v>
      </c>
      <c r="F3468" s="64">
        <f>ROUND(M3468*FATOR, 2)</f>
        <v/>
      </c>
      <c r="G3468" s="64">
        <f>TRUNC(TRUNC(E3468,8)*F3468,2)</f>
        <v/>
      </c>
      <c r="L3468" t="n">
        <v>2</v>
      </c>
      <c r="M3468" t="n">
        <v>0.28</v>
      </c>
      <c r="N3468">
        <f>(M3468-F3468)</f>
        <v/>
      </c>
    </row>
    <row r="3469" ht="21" customHeight="1">
      <c r="A3469" s="22" t="inlineStr">
        <is>
          <t>00002560</t>
        </is>
      </c>
      <c r="B3469" s="23" t="inlineStr">
        <is>
          <t>CONDULETE DE ALUMINIO TIPO C, PARA ELETRODUTO ROSCAVEL DE 1", COM TAMPA CEGA</t>
        </is>
      </c>
      <c r="C3469" s="22" t="inlineStr">
        <is>
          <t>SINAPI</t>
        </is>
      </c>
      <c r="D3469" s="22" t="inlineStr">
        <is>
          <t>UN</t>
        </is>
      </c>
      <c r="E3469" s="63" t="n">
        <v>1</v>
      </c>
      <c r="F3469" s="64">
        <f>ROUND(M3469*FATOR, 2)</f>
        <v/>
      </c>
      <c r="G3469" s="64">
        <f>TRUNC(TRUNC(E3469,8)*F3469,2)</f>
        <v/>
      </c>
      <c r="L3469" t="n">
        <v>1</v>
      </c>
      <c r="M3469" t="n">
        <v>19.13</v>
      </c>
      <c r="N3469">
        <f>(M3469-F3469)</f>
        <v/>
      </c>
    </row>
    <row r="3470" ht="15" customHeight="1">
      <c r="A3470" s="2" t="inlineStr"/>
      <c r="B3470" s="2" t="inlineStr"/>
      <c r="C3470" s="2" t="inlineStr"/>
      <c r="D3470" s="2" t="inlineStr"/>
      <c r="E3470" s="26" t="inlineStr">
        <is>
          <t>TOTAL Material:</t>
        </is>
      </c>
      <c r="F3470" s="56" t="n"/>
      <c r="G3470" s="65">
        <f>SUM(G3468:G3469)</f>
        <v/>
      </c>
    </row>
    <row r="3471" ht="15" customHeight="1">
      <c r="A3471" s="20" t="inlineStr">
        <is>
          <t>Mão de Obra com Encargos Complementares</t>
        </is>
      </c>
      <c r="B3471" s="56" t="n"/>
      <c r="C3471" s="21" t="inlineStr">
        <is>
          <t>FONTE</t>
        </is>
      </c>
      <c r="D3471" s="21" t="inlineStr">
        <is>
          <t>UNID</t>
        </is>
      </c>
      <c r="E3471" s="21" t="inlineStr">
        <is>
          <t>COEFICIENTE</t>
        </is>
      </c>
      <c r="F3471" s="21" t="inlineStr">
        <is>
          <t>PREÇO UNITÁRIO</t>
        </is>
      </c>
      <c r="G3471" s="21" t="inlineStr">
        <is>
          <t>TOTAL</t>
        </is>
      </c>
    </row>
    <row r="3472" ht="21" customHeight="1">
      <c r="A3472" s="22" t="inlineStr">
        <is>
          <t>88247</t>
        </is>
      </c>
      <c r="B3472" s="23" t="inlineStr">
        <is>
          <t>AUXILIAR DE ELETRICISTA COM ENCARGOS COMPLEMENTARES</t>
        </is>
      </c>
      <c r="C3472" s="22" t="inlineStr">
        <is>
          <t>SINAPI</t>
        </is>
      </c>
      <c r="D3472" s="22" t="inlineStr">
        <is>
          <t>H</t>
        </is>
      </c>
      <c r="E3472" s="63">
        <f>L3472*FATOR</f>
        <v/>
      </c>
      <c r="F3472" s="64">
        <f>'COMPOSICOES AUXILIARES'!G505</f>
        <v/>
      </c>
      <c r="G3472" s="64">
        <f>TRUNC(TRUNC(E3472,8)*F3472,2)</f>
        <v/>
      </c>
      <c r="L3472" t="n">
        <v>0.3226</v>
      </c>
      <c r="M3472" t="n">
        <v>25.22</v>
      </c>
      <c r="N3472">
        <f>(M3472-F3472)</f>
        <v/>
      </c>
    </row>
    <row r="3473" ht="15" customHeight="1">
      <c r="A3473" s="22" t="inlineStr">
        <is>
          <t>88264</t>
        </is>
      </c>
      <c r="B3473" s="23" t="inlineStr">
        <is>
          <t>ELETRICISTA COM ENCARGOS COMPLEMENTARES</t>
        </is>
      </c>
      <c r="C3473" s="22" t="inlineStr">
        <is>
          <t>SINAPI</t>
        </is>
      </c>
      <c r="D3473" s="22" t="inlineStr">
        <is>
          <t>H</t>
        </is>
      </c>
      <c r="E3473" s="63">
        <f>L3473*FATOR</f>
        <v/>
      </c>
      <c r="F3473" s="64">
        <f>'COMPOSICOES AUXILIARES'!G505</f>
        <v/>
      </c>
      <c r="G3473" s="64">
        <f>TRUNC(TRUNC(E3473,8)*F3473,2)</f>
        <v/>
      </c>
      <c r="L3473" t="n">
        <v>0.3226</v>
      </c>
      <c r="M3473" t="n">
        <v>30.96</v>
      </c>
      <c r="N3473">
        <f>(M3473-F3473)</f>
        <v/>
      </c>
    </row>
    <row r="3474" ht="18" customHeight="1">
      <c r="A3474" s="2" t="inlineStr"/>
      <c r="B3474" s="2" t="inlineStr"/>
      <c r="C3474" s="2" t="inlineStr"/>
      <c r="D3474" s="2" t="inlineStr"/>
      <c r="E3474" s="26" t="inlineStr">
        <is>
          <t>TOTAL Mão de Obra com Encargos Complementares:</t>
        </is>
      </c>
      <c r="F3474" s="56" t="n"/>
      <c r="G3474" s="65">
        <f>SUM(G3472:G3473)</f>
        <v/>
      </c>
    </row>
    <row r="3475" ht="15" customHeight="1">
      <c r="A3475" s="2" t="inlineStr"/>
      <c r="B3475" s="2" t="inlineStr"/>
      <c r="C3475" s="2" t="inlineStr"/>
      <c r="D3475" s="2" t="inlineStr"/>
      <c r="E3475" s="28" t="inlineStr">
        <is>
          <t>VALOR:</t>
        </is>
      </c>
      <c r="F3475" s="56" t="n"/>
      <c r="G3475" s="66">
        <f>SUM(G3474,G3470)</f>
        <v/>
      </c>
    </row>
    <row r="3476" ht="15" customHeight="1">
      <c r="A3476" s="2" t="inlineStr"/>
      <c r="B3476" s="2" t="inlineStr"/>
      <c r="C3476" s="2" t="inlineStr"/>
      <c r="D3476" s="2" t="inlineStr"/>
      <c r="E3476" s="28" t="inlineStr">
        <is>
          <t>VALOR BDI (23.08%):</t>
        </is>
      </c>
      <c r="F3476" s="56" t="n"/>
      <c r="G3476" s="66">
        <f>ROUNDDOWN(G3475*BDI,2)</f>
        <v/>
      </c>
    </row>
    <row r="3477" ht="15" customHeight="1">
      <c r="A3477" s="2" t="inlineStr"/>
      <c r="B3477" s="2" t="inlineStr"/>
      <c r="C3477" s="2" t="inlineStr"/>
      <c r="D3477" s="2" t="inlineStr"/>
      <c r="E3477" s="28" t="inlineStr">
        <is>
          <t>VALOR COM BDI:</t>
        </is>
      </c>
      <c r="F3477" s="56" t="n"/>
      <c r="G3477" s="66">
        <f>G3476 + G3475</f>
        <v/>
      </c>
    </row>
    <row r="3478" ht="10" customHeight="1">
      <c r="A3478" s="2" t="inlineStr"/>
      <c r="B3478" s="2" t="inlineStr"/>
      <c r="C3478" s="2" t="inlineStr"/>
      <c r="D3478" s="2" t="inlineStr"/>
      <c r="E3478" s="18" t="inlineStr"/>
    </row>
    <row r="3479" ht="20" customHeight="1">
      <c r="A3479" s="19" t="inlineStr">
        <is>
          <t>9.7.2.6. ​95782​ CONDULETE DE ALUMÍNIO, TIPO E, ELETRODUTO DE AÇO GALVANIZADO DN 25 MM (1''), APARENTE - FORNECIMENTO EINSTALAÇÃO. AF_10/2022​ (UN)</t>
        </is>
      </c>
      <c r="B3479" s="55" t="n"/>
      <c r="C3479" s="55" t="n"/>
      <c r="D3479" s="55" t="n"/>
      <c r="E3479" s="55" t="n"/>
      <c r="F3479" s="55" t="n"/>
      <c r="G3479" s="56" t="n"/>
    </row>
    <row r="3480" ht="15" customHeight="1">
      <c r="A3480" s="20" t="inlineStr">
        <is>
          <t>Material</t>
        </is>
      </c>
      <c r="B3480" s="56" t="n"/>
      <c r="C3480" s="21" t="inlineStr">
        <is>
          <t>FONTE</t>
        </is>
      </c>
      <c r="D3480" s="21" t="inlineStr">
        <is>
          <t>UNID</t>
        </is>
      </c>
      <c r="E3480" s="21" t="inlineStr">
        <is>
          <t>COEFICIENTE</t>
        </is>
      </c>
      <c r="F3480" s="21" t="inlineStr">
        <is>
          <t>PREÇO UNITÁRIO</t>
        </is>
      </c>
      <c r="G3480" s="21" t="inlineStr">
        <is>
          <t>TOTAL</t>
        </is>
      </c>
    </row>
    <row r="3481" ht="29" customHeight="1">
      <c r="A3481" s="22" t="inlineStr">
        <is>
          <t>00011950</t>
        </is>
      </c>
      <c r="B3481" s="23" t="inlineStr">
        <is>
          <t>BUCHA DE NYLON SEM ABA S6, COM PARAFUSO DE 4,20 X 40 MM EM ACO ZINCADO COM ROSCA SOBERBA, CABECA CHATA E FENDA PHILLIPS</t>
        </is>
      </c>
      <c r="C3481" s="22" t="inlineStr">
        <is>
          <t>SINAPI</t>
        </is>
      </c>
      <c r="D3481" s="22" t="inlineStr">
        <is>
          <t>UN</t>
        </is>
      </c>
      <c r="E3481" s="63" t="n">
        <v>2</v>
      </c>
      <c r="F3481" s="64">
        <f>ROUND(M3481*FATOR, 2)</f>
        <v/>
      </c>
      <c r="G3481" s="64">
        <f>TRUNC(TRUNC(E3481,8)*F3481,2)</f>
        <v/>
      </c>
      <c r="L3481" t="n">
        <v>2</v>
      </c>
      <c r="M3481" t="n">
        <v>0.28</v>
      </c>
      <c r="N3481">
        <f>(M3481-F3481)</f>
        <v/>
      </c>
    </row>
    <row r="3482" ht="21" customHeight="1">
      <c r="A3482" s="22" t="inlineStr">
        <is>
          <t>00002590</t>
        </is>
      </c>
      <c r="B3482" s="23" t="inlineStr">
        <is>
          <t>CONDULETE DE ALUMINIO TIPO E, PARA ELETRODUTO ROSCAVEL DE 1", COM TAMPA CEGA</t>
        </is>
      </c>
      <c r="C3482" s="22" t="inlineStr">
        <is>
          <t>SINAPI</t>
        </is>
      </c>
      <c r="D3482" s="22" t="inlineStr">
        <is>
          <t>UN</t>
        </is>
      </c>
      <c r="E3482" s="63" t="n">
        <v>1</v>
      </c>
      <c r="F3482" s="64">
        <f>ROUND(M3482*FATOR, 2)</f>
        <v/>
      </c>
      <c r="G3482" s="64">
        <f>TRUNC(TRUNC(E3482,8)*F3482,2)</f>
        <v/>
      </c>
      <c r="L3482" t="n">
        <v>1</v>
      </c>
      <c r="M3482" t="n">
        <v>20.82</v>
      </c>
      <c r="N3482">
        <f>(M3482-F3482)</f>
        <v/>
      </c>
    </row>
    <row r="3483" ht="15" customHeight="1">
      <c r="A3483" s="2" t="inlineStr"/>
      <c r="B3483" s="2" t="inlineStr"/>
      <c r="C3483" s="2" t="inlineStr"/>
      <c r="D3483" s="2" t="inlineStr"/>
      <c r="E3483" s="26" t="inlineStr">
        <is>
          <t>TOTAL Material:</t>
        </is>
      </c>
      <c r="F3483" s="56" t="n"/>
      <c r="G3483" s="65">
        <f>SUM(G3481:G3482)</f>
        <v/>
      </c>
    </row>
    <row r="3484" ht="15" customHeight="1">
      <c r="A3484" s="20" t="inlineStr">
        <is>
          <t>Mão de Obra com Encargos Complementares</t>
        </is>
      </c>
      <c r="B3484" s="56" t="n"/>
      <c r="C3484" s="21" t="inlineStr">
        <is>
          <t>FONTE</t>
        </is>
      </c>
      <c r="D3484" s="21" t="inlineStr">
        <is>
          <t>UNID</t>
        </is>
      </c>
      <c r="E3484" s="21" t="inlineStr">
        <is>
          <t>COEFICIENTE</t>
        </is>
      </c>
      <c r="F3484" s="21" t="inlineStr">
        <is>
          <t>PREÇO UNITÁRIO</t>
        </is>
      </c>
      <c r="G3484" s="21" t="inlineStr">
        <is>
          <t>TOTAL</t>
        </is>
      </c>
    </row>
    <row r="3485" ht="21" customHeight="1">
      <c r="A3485" s="22" t="inlineStr">
        <is>
          <t>88247</t>
        </is>
      </c>
      <c r="B3485" s="23" t="inlineStr">
        <is>
          <t>AUXILIAR DE ELETRICISTA COM ENCARGOS COMPLEMENTARES</t>
        </is>
      </c>
      <c r="C3485" s="22" t="inlineStr">
        <is>
          <t>SINAPI</t>
        </is>
      </c>
      <c r="D3485" s="22" t="inlineStr">
        <is>
          <t>H</t>
        </is>
      </c>
      <c r="E3485" s="63">
        <f>L3485*FATOR</f>
        <v/>
      </c>
      <c r="F3485" s="64">
        <f>'COMPOSICOES AUXILIARES'!G505</f>
        <v/>
      </c>
      <c r="G3485" s="64">
        <f>TRUNC(TRUNC(E3485,8)*F3485,2)</f>
        <v/>
      </c>
      <c r="L3485" t="n">
        <v>0.255</v>
      </c>
      <c r="M3485" t="n">
        <v>25.22</v>
      </c>
      <c r="N3485">
        <f>(M3485-F3485)</f>
        <v/>
      </c>
    </row>
    <row r="3486" ht="15" customHeight="1">
      <c r="A3486" s="22" t="inlineStr">
        <is>
          <t>88264</t>
        </is>
      </c>
      <c r="B3486" s="23" t="inlineStr">
        <is>
          <t>ELETRICISTA COM ENCARGOS COMPLEMENTARES</t>
        </is>
      </c>
      <c r="C3486" s="22" t="inlineStr">
        <is>
          <t>SINAPI</t>
        </is>
      </c>
      <c r="D3486" s="22" t="inlineStr">
        <is>
          <t>H</t>
        </is>
      </c>
      <c r="E3486" s="63">
        <f>L3486*FATOR</f>
        <v/>
      </c>
      <c r="F3486" s="64">
        <f>'COMPOSICOES AUXILIARES'!G505</f>
        <v/>
      </c>
      <c r="G3486" s="64">
        <f>TRUNC(TRUNC(E3486,8)*F3486,2)</f>
        <v/>
      </c>
      <c r="L3486" t="n">
        <v>0.255</v>
      </c>
      <c r="M3486" t="n">
        <v>30.96</v>
      </c>
      <c r="N3486">
        <f>(M3486-F3486)</f>
        <v/>
      </c>
    </row>
    <row r="3487" ht="18" customHeight="1">
      <c r="A3487" s="2" t="inlineStr"/>
      <c r="B3487" s="2" t="inlineStr"/>
      <c r="C3487" s="2" t="inlineStr"/>
      <c r="D3487" s="2" t="inlineStr"/>
      <c r="E3487" s="26" t="inlineStr">
        <is>
          <t>TOTAL Mão de Obra com Encargos Complementares:</t>
        </is>
      </c>
      <c r="F3487" s="56" t="n"/>
      <c r="G3487" s="65">
        <f>SUM(G3485:G3486)</f>
        <v/>
      </c>
    </row>
    <row r="3488" ht="15" customHeight="1">
      <c r="A3488" s="2" t="inlineStr"/>
      <c r="B3488" s="2" t="inlineStr"/>
      <c r="C3488" s="2" t="inlineStr"/>
      <c r="D3488" s="2" t="inlineStr"/>
      <c r="E3488" s="28" t="inlineStr">
        <is>
          <t>VALOR:</t>
        </is>
      </c>
      <c r="F3488" s="56" t="n"/>
      <c r="G3488" s="66">
        <f>SUM(G3483,G3487)</f>
        <v/>
      </c>
    </row>
    <row r="3489" ht="15" customHeight="1">
      <c r="A3489" s="2" t="inlineStr"/>
      <c r="B3489" s="2" t="inlineStr"/>
      <c r="C3489" s="2" t="inlineStr"/>
      <c r="D3489" s="2" t="inlineStr"/>
      <c r="E3489" s="28" t="inlineStr">
        <is>
          <t>VALOR BDI (23.08%):</t>
        </is>
      </c>
      <c r="F3489" s="56" t="n"/>
      <c r="G3489" s="66">
        <f>ROUNDDOWN(G3488*BDI,2)</f>
        <v/>
      </c>
    </row>
    <row r="3490" ht="15" customHeight="1">
      <c r="A3490" s="2" t="inlineStr"/>
      <c r="B3490" s="2" t="inlineStr"/>
      <c r="C3490" s="2" t="inlineStr"/>
      <c r="D3490" s="2" t="inlineStr"/>
      <c r="E3490" s="28" t="inlineStr">
        <is>
          <t>VALOR COM BDI:</t>
        </is>
      </c>
      <c r="F3490" s="56" t="n"/>
      <c r="G3490" s="66">
        <f>G3489 + G3488</f>
        <v/>
      </c>
    </row>
    <row r="3491" ht="10" customHeight="1">
      <c r="A3491" s="2" t="inlineStr"/>
      <c r="B3491" s="2" t="inlineStr"/>
      <c r="C3491" s="2" t="inlineStr"/>
      <c r="D3491" s="2" t="inlineStr"/>
      <c r="E3491" s="18" t="inlineStr"/>
    </row>
    <row r="3492" ht="20" customHeight="1">
      <c r="A3492" s="19" t="inlineStr">
        <is>
          <t>9.7.2.7. ​457 PRÓPRIO​ CONDULETE DE ALUMÍNIO, TIPO LL, PARA ELETRODUTO DE AÇO GALVANIZADO DN 25MM (1''), APARENTE - FORNECIMENTO EINSTALAÇÃO​ (UN)</t>
        </is>
      </c>
      <c r="B3492" s="55" t="n"/>
      <c r="C3492" s="55" t="n"/>
      <c r="D3492" s="55" t="n"/>
      <c r="E3492" s="55" t="n"/>
      <c r="F3492" s="55" t="n"/>
      <c r="G3492" s="56" t="n"/>
    </row>
    <row r="3493" ht="15" customHeight="1">
      <c r="A3493" s="20" t="inlineStr">
        <is>
          <t>Material</t>
        </is>
      </c>
      <c r="B3493" s="56" t="n"/>
      <c r="C3493" s="21" t="inlineStr">
        <is>
          <t>FONTE</t>
        </is>
      </c>
      <c r="D3493" s="21" t="inlineStr">
        <is>
          <t>UNID</t>
        </is>
      </c>
      <c r="E3493" s="21" t="inlineStr">
        <is>
          <t>COEFICIENTE</t>
        </is>
      </c>
      <c r="F3493" s="21" t="inlineStr">
        <is>
          <t>PREÇO UNITÁRIO</t>
        </is>
      </c>
      <c r="G3493" s="21" t="inlineStr">
        <is>
          <t>TOTAL</t>
        </is>
      </c>
    </row>
    <row r="3494" ht="29" customHeight="1">
      <c r="A3494" s="22" t="inlineStr">
        <is>
          <t>00011950</t>
        </is>
      </c>
      <c r="B3494" s="23" t="inlineStr">
        <is>
          <t>BUCHA DE NYLON SEM ABA S6, COM PARAFUSO DE 4,20 X 40 MM EM ACO ZINCADO COM ROSCA SOBERBA, CABECA CHATA E FENDA PHILLIPS</t>
        </is>
      </c>
      <c r="C3494" s="22" t="inlineStr">
        <is>
          <t>SINAPI</t>
        </is>
      </c>
      <c r="D3494" s="22" t="inlineStr">
        <is>
          <t>UN</t>
        </is>
      </c>
      <c r="E3494" s="63" t="n">
        <v>2</v>
      </c>
      <c r="F3494" s="64">
        <f>ROUND(M3494*FATOR, 2)</f>
        <v/>
      </c>
      <c r="G3494" s="64">
        <f>ROUND(ROUND(E3494,8)*F3494,2)</f>
        <v/>
      </c>
      <c r="L3494" t="n">
        <v>2</v>
      </c>
      <c r="M3494" t="n">
        <v>0.28</v>
      </c>
      <c r="N3494">
        <f>(M3494-F3494)</f>
        <v/>
      </c>
    </row>
    <row r="3495" ht="15" customHeight="1">
      <c r="A3495" s="22" t="inlineStr">
        <is>
          <t>047602 SBC</t>
        </is>
      </c>
      <c r="B3495" s="23" t="inlineStr">
        <is>
          <t>CONDULETE ALUMINIO "LL" 1" COM TAMPA WETZEL</t>
        </is>
      </c>
      <c r="C3495" s="22" t="inlineStr">
        <is>
          <t xml:space="preserve">Composições </t>
        </is>
      </c>
      <c r="D3495" s="22" t="inlineStr">
        <is>
          <t>UN</t>
        </is>
      </c>
      <c r="E3495" s="63" t="n">
        <v>1</v>
      </c>
      <c r="F3495" s="64">
        <f>ROUND(M3495*FATOR, 2)</f>
        <v/>
      </c>
      <c r="G3495" s="64">
        <f>ROUND(ROUND(E3495,8)*F3495,2)</f>
        <v/>
      </c>
      <c r="L3495" t="n">
        <v>1</v>
      </c>
      <c r="M3495" t="n">
        <v>20.99</v>
      </c>
      <c r="N3495">
        <f>(M3495-F3495)</f>
        <v/>
      </c>
    </row>
    <row r="3496" ht="15" customHeight="1">
      <c r="A3496" s="2" t="inlineStr"/>
      <c r="B3496" s="2" t="inlineStr"/>
      <c r="C3496" s="2" t="inlineStr"/>
      <c r="D3496" s="2" t="inlineStr"/>
      <c r="E3496" s="26" t="inlineStr">
        <is>
          <t>TOTAL Material:</t>
        </is>
      </c>
      <c r="F3496" s="56" t="n"/>
      <c r="G3496" s="65">
        <f>SUM(G3494:G3495)</f>
        <v/>
      </c>
    </row>
    <row r="3497" ht="15" customHeight="1">
      <c r="A3497" s="20" t="inlineStr">
        <is>
          <t>Mão de Obra com Encargos Complementares</t>
        </is>
      </c>
      <c r="B3497" s="56" t="n"/>
      <c r="C3497" s="21" t="inlineStr">
        <is>
          <t>FONTE</t>
        </is>
      </c>
      <c r="D3497" s="21" t="inlineStr">
        <is>
          <t>UNID</t>
        </is>
      </c>
      <c r="E3497" s="21" t="inlineStr">
        <is>
          <t>COEFICIENTE</t>
        </is>
      </c>
      <c r="F3497" s="21" t="inlineStr">
        <is>
          <t>PREÇO UNITÁRIO</t>
        </is>
      </c>
      <c r="G3497" s="21" t="inlineStr">
        <is>
          <t>TOTAL</t>
        </is>
      </c>
    </row>
    <row r="3498" ht="21" customHeight="1">
      <c r="A3498" s="22" t="inlineStr">
        <is>
          <t>88247</t>
        </is>
      </c>
      <c r="B3498" s="23" t="inlineStr">
        <is>
          <t>AUXILIAR DE ELETRICISTA COM ENCARGOS COMPLEMENTARES</t>
        </is>
      </c>
      <c r="C3498" s="22" t="inlineStr">
        <is>
          <t>SINAPI</t>
        </is>
      </c>
      <c r="D3498" s="22" t="inlineStr">
        <is>
          <t>H</t>
        </is>
      </c>
      <c r="E3498" s="63">
        <f>L3498*FATOR</f>
        <v/>
      </c>
      <c r="F3498" s="64">
        <f>'COMPOSICOES AUXILIARES'!G505</f>
        <v/>
      </c>
      <c r="G3498" s="64">
        <f>ROUND(ROUND(E3498,8)*F3498,2)</f>
        <v/>
      </c>
      <c r="L3498" t="n">
        <v>0.3902</v>
      </c>
      <c r="M3498" t="n">
        <v>25.22</v>
      </c>
      <c r="N3498">
        <f>(M3498-F3498)</f>
        <v/>
      </c>
    </row>
    <row r="3499" ht="15" customHeight="1">
      <c r="A3499" s="22" t="inlineStr">
        <is>
          <t>88264</t>
        </is>
      </c>
      <c r="B3499" s="23" t="inlineStr">
        <is>
          <t>ELETRICISTA COM ENCARGOS COMPLEMENTARES</t>
        </is>
      </c>
      <c r="C3499" s="22" t="inlineStr">
        <is>
          <t>SINAPI</t>
        </is>
      </c>
      <c r="D3499" s="22" t="inlineStr">
        <is>
          <t>H</t>
        </is>
      </c>
      <c r="E3499" s="63">
        <f>L3499*FATOR</f>
        <v/>
      </c>
      <c r="F3499" s="64">
        <f>'COMPOSICOES AUXILIARES'!G505</f>
        <v/>
      </c>
      <c r="G3499" s="64">
        <f>ROUND(ROUND(E3499,8)*F3499,2)</f>
        <v/>
      </c>
      <c r="L3499" t="n">
        <v>0.3902</v>
      </c>
      <c r="M3499" t="n">
        <v>30.96</v>
      </c>
      <c r="N3499">
        <f>(M3499-F3499)</f>
        <v/>
      </c>
    </row>
    <row r="3500" ht="18" customHeight="1">
      <c r="A3500" s="2" t="inlineStr"/>
      <c r="B3500" s="2" t="inlineStr"/>
      <c r="C3500" s="2" t="inlineStr"/>
      <c r="D3500" s="2" t="inlineStr"/>
      <c r="E3500" s="26" t="inlineStr">
        <is>
          <t>TOTAL Mão de Obra com Encargos Complementares:</t>
        </is>
      </c>
      <c r="F3500" s="56" t="n"/>
      <c r="G3500" s="65">
        <f>SUM(G3498:G3499)</f>
        <v/>
      </c>
    </row>
    <row r="3501" ht="15" customHeight="1">
      <c r="A3501" s="2" t="inlineStr"/>
      <c r="B3501" s="2" t="inlineStr"/>
      <c r="C3501" s="2" t="inlineStr"/>
      <c r="D3501" s="2" t="inlineStr"/>
      <c r="E3501" s="28" t="inlineStr">
        <is>
          <t>VALOR:</t>
        </is>
      </c>
      <c r="F3501" s="56" t="n"/>
      <c r="G3501" s="66">
        <f>SUM(G3496,G3500)</f>
        <v/>
      </c>
    </row>
    <row r="3502" ht="15" customHeight="1">
      <c r="A3502" s="2" t="inlineStr"/>
      <c r="B3502" s="2" t="inlineStr"/>
      <c r="C3502" s="2" t="inlineStr"/>
      <c r="D3502" s="2" t="inlineStr"/>
      <c r="E3502" s="28" t="inlineStr">
        <is>
          <t>VALOR BDI (23.08%):</t>
        </is>
      </c>
      <c r="F3502" s="56" t="n"/>
      <c r="G3502" s="66">
        <f>ROUNDDOWN(G3501*BDI,2)</f>
        <v/>
      </c>
    </row>
    <row r="3503" ht="15" customHeight="1">
      <c r="A3503" s="2" t="inlineStr"/>
      <c r="B3503" s="2" t="inlineStr"/>
      <c r="C3503" s="2" t="inlineStr"/>
      <c r="D3503" s="2" t="inlineStr"/>
      <c r="E3503" s="28" t="inlineStr">
        <is>
          <t>VALOR COM BDI:</t>
        </is>
      </c>
      <c r="F3503" s="56" t="n"/>
      <c r="G3503" s="66">
        <f>G3502 + G3501</f>
        <v/>
      </c>
    </row>
    <row r="3504" ht="10" customHeight="1">
      <c r="A3504" s="2" t="inlineStr"/>
      <c r="B3504" s="2" t="inlineStr"/>
      <c r="C3504" s="2" t="inlineStr"/>
      <c r="D3504" s="2" t="inlineStr"/>
      <c r="E3504" s="18" t="inlineStr"/>
    </row>
    <row r="3505" ht="20" customHeight="1">
      <c r="A3505" s="19" t="inlineStr">
        <is>
          <t>9.7.3.1. ​393 PRÓPRIO​ CAIXA DE PASSAGEM EM CHAPA DE AÇO - EMBUTIR - 20 X 20 X 12CM​ (UN)</t>
        </is>
      </c>
      <c r="B3505" s="55" t="n"/>
      <c r="C3505" s="55" t="n"/>
      <c r="D3505" s="55" t="n"/>
      <c r="E3505" s="55" t="n"/>
      <c r="F3505" s="55" t="n"/>
      <c r="G3505" s="56" t="n"/>
    </row>
    <row r="3506" ht="15" customHeight="1">
      <c r="A3506" s="20" t="inlineStr">
        <is>
          <t>Material</t>
        </is>
      </c>
      <c r="B3506" s="56" t="n"/>
      <c r="C3506" s="21" t="inlineStr">
        <is>
          <t>FONTE</t>
        </is>
      </c>
      <c r="D3506" s="21" t="inlineStr">
        <is>
          <t>UNID</t>
        </is>
      </c>
      <c r="E3506" s="21" t="inlineStr">
        <is>
          <t>COEFICIENTE</t>
        </is>
      </c>
      <c r="F3506" s="21" t="inlineStr">
        <is>
          <t>PREÇO UNITÁRIO</t>
        </is>
      </c>
      <c r="G3506" s="21" t="inlineStr">
        <is>
          <t>TOTAL</t>
        </is>
      </c>
    </row>
    <row r="3507" ht="29" customHeight="1">
      <c r="A3507" s="22" t="inlineStr">
        <is>
          <t>00011250</t>
        </is>
      </c>
      <c r="B3507" s="23" t="inlineStr">
        <is>
          <t>CAIXA DE PASSAGEM/ LUZ / TELEFONIA, DE EMBUTIR, EM CHAPA DE ACO GALVANIZADO, DIMENSOES 20 X 20 X *12* CM (PADRAO CONCESSIONARIA LOCAL)</t>
        </is>
      </c>
      <c r="C3507" s="22" t="inlineStr">
        <is>
          <t>SINAPI</t>
        </is>
      </c>
      <c r="D3507" s="22" t="inlineStr">
        <is>
          <t>UN</t>
        </is>
      </c>
      <c r="E3507" s="63" t="n">
        <v>1</v>
      </c>
      <c r="F3507" s="64">
        <f>ROUND(M3507*FATOR, 2)</f>
        <v/>
      </c>
      <c r="G3507" s="64">
        <f>ROUND(ROUND(E3507,8)*F3507,2)</f>
        <v/>
      </c>
      <c r="L3507" t="n">
        <v>1</v>
      </c>
      <c r="M3507" t="n">
        <v>50.75</v>
      </c>
      <c r="N3507">
        <f>(M3507-F3507)</f>
        <v/>
      </c>
    </row>
    <row r="3508" ht="15" customHeight="1">
      <c r="A3508" s="2" t="inlineStr"/>
      <c r="B3508" s="2" t="inlineStr"/>
      <c r="C3508" s="2" t="inlineStr"/>
      <c r="D3508" s="2" t="inlineStr"/>
      <c r="E3508" s="26" t="inlineStr">
        <is>
          <t>TOTAL Material:</t>
        </is>
      </c>
      <c r="F3508" s="56" t="n"/>
      <c r="G3508" s="65">
        <f>SUM(G3507:G3507)</f>
        <v/>
      </c>
    </row>
    <row r="3509" ht="15" customHeight="1">
      <c r="A3509" s="20" t="inlineStr">
        <is>
          <t>Mão de Obra com Encargos Complementares</t>
        </is>
      </c>
      <c r="B3509" s="56" t="n"/>
      <c r="C3509" s="21" t="inlineStr">
        <is>
          <t>FONTE</t>
        </is>
      </c>
      <c r="D3509" s="21" t="inlineStr">
        <is>
          <t>UNID</t>
        </is>
      </c>
      <c r="E3509" s="21" t="inlineStr">
        <is>
          <t>COEFICIENTE</t>
        </is>
      </c>
      <c r="F3509" s="21" t="inlineStr">
        <is>
          <t>PREÇO UNITÁRIO</t>
        </is>
      </c>
      <c r="G3509" s="21" t="inlineStr">
        <is>
          <t>TOTAL</t>
        </is>
      </c>
    </row>
    <row r="3510" ht="15" customHeight="1">
      <c r="A3510" s="22" t="inlineStr">
        <is>
          <t>88264</t>
        </is>
      </c>
      <c r="B3510" s="23" t="inlineStr">
        <is>
          <t>ELETRICISTA COM ENCARGOS COMPLEMENTARES</t>
        </is>
      </c>
      <c r="C3510" s="22" t="inlineStr">
        <is>
          <t>SINAPI</t>
        </is>
      </c>
      <c r="D3510" s="22" t="inlineStr">
        <is>
          <t>H</t>
        </is>
      </c>
      <c r="E3510" s="63">
        <f>L3510*FATOR</f>
        <v/>
      </c>
      <c r="F3510" s="64">
        <f>'COMPOSICOES AUXILIARES'!G505</f>
        <v/>
      </c>
      <c r="G3510" s="64">
        <f>ROUND(ROUND(E3510,8)*F3510,2)</f>
        <v/>
      </c>
      <c r="L3510" t="n">
        <v>0.7</v>
      </c>
      <c r="M3510" t="n">
        <v>30.96</v>
      </c>
      <c r="N3510">
        <f>(M3510-F3510)</f>
        <v/>
      </c>
    </row>
    <row r="3511" ht="15" customHeight="1">
      <c r="A3511" s="22" t="inlineStr">
        <is>
          <t>88316</t>
        </is>
      </c>
      <c r="B3511" s="23" t="inlineStr">
        <is>
          <t>SERVENTE COM ENCARGOS COMPLEMENTARES</t>
        </is>
      </c>
      <c r="C3511" s="22" t="inlineStr">
        <is>
          <t>SINAPI</t>
        </is>
      </c>
      <c r="D3511" s="22" t="inlineStr">
        <is>
          <t>H</t>
        </is>
      </c>
      <c r="E3511" s="63">
        <f>L3511*FATOR</f>
        <v/>
      </c>
      <c r="F3511" s="64">
        <f>'COMPOSICOES AUXILIARES'!G3390</f>
        <v/>
      </c>
      <c r="G3511" s="64">
        <f>ROUND(ROUND(E3511,8)*F3511,2)</f>
        <v/>
      </c>
      <c r="L3511" t="n">
        <v>0.7</v>
      </c>
      <c r="M3511" t="n">
        <v>23.56</v>
      </c>
      <c r="N3511">
        <f>(M3511-F3511)</f>
        <v/>
      </c>
    </row>
    <row r="3512" ht="18" customHeight="1">
      <c r="A3512" s="2" t="inlineStr"/>
      <c r="B3512" s="2" t="inlineStr"/>
      <c r="C3512" s="2" t="inlineStr"/>
      <c r="D3512" s="2" t="inlineStr"/>
      <c r="E3512" s="26" t="inlineStr">
        <is>
          <t>TOTAL Mão de Obra com Encargos Complementares:</t>
        </is>
      </c>
      <c r="F3512" s="56" t="n"/>
      <c r="G3512" s="65">
        <f>SUM(G3510:G3511)</f>
        <v/>
      </c>
    </row>
    <row r="3513" ht="15" customHeight="1">
      <c r="A3513" s="2" t="inlineStr"/>
      <c r="B3513" s="2" t="inlineStr"/>
      <c r="C3513" s="2" t="inlineStr"/>
      <c r="D3513" s="2" t="inlineStr"/>
      <c r="E3513" s="28" t="inlineStr">
        <is>
          <t>VALOR:</t>
        </is>
      </c>
      <c r="F3513" s="56" t="n"/>
      <c r="G3513" s="66">
        <f>SUM(G3512,G3508)</f>
        <v/>
      </c>
    </row>
    <row r="3514" ht="15" customHeight="1">
      <c r="A3514" s="2" t="inlineStr"/>
      <c r="B3514" s="2" t="inlineStr"/>
      <c r="C3514" s="2" t="inlineStr"/>
      <c r="D3514" s="2" t="inlineStr"/>
      <c r="E3514" s="28" t="inlineStr">
        <is>
          <t>VALOR BDI (23.08%):</t>
        </is>
      </c>
      <c r="F3514" s="56" t="n"/>
      <c r="G3514" s="66">
        <f>ROUNDDOWN(G3513*BDI,2)</f>
        <v/>
      </c>
    </row>
    <row r="3515" ht="15" customHeight="1">
      <c r="A3515" s="2" t="inlineStr"/>
      <c r="B3515" s="2" t="inlineStr"/>
      <c r="C3515" s="2" t="inlineStr"/>
      <c r="D3515" s="2" t="inlineStr"/>
      <c r="E3515" s="28" t="inlineStr">
        <is>
          <t>VALOR COM BDI:</t>
        </is>
      </c>
      <c r="F3515" s="56" t="n"/>
      <c r="G3515" s="66">
        <f>G3514 + G3513</f>
        <v/>
      </c>
    </row>
    <row r="3516" ht="10" customHeight="1">
      <c r="A3516" s="2" t="inlineStr"/>
      <c r="B3516" s="2" t="inlineStr"/>
      <c r="C3516" s="2" t="inlineStr"/>
      <c r="D3516" s="2" t="inlineStr"/>
      <c r="E3516" s="18" t="inlineStr"/>
    </row>
    <row r="3517" ht="20" customHeight="1">
      <c r="A3517" s="19" t="inlineStr">
        <is>
          <t>9.7.4.1. ​453 PRÓPRIO​ CAIXA DE PASSAGEM/INSPEÇÃO ELÉTRICA- 30 X 30 X 30CM - ENTERRADA - ALVENARIA (TIJOLO MACIÇO) COM FUNDO DE BRITA E TAMPA DE FERRO FUNDIDO​ (UN)</t>
        </is>
      </c>
      <c r="B3517" s="55" t="n"/>
      <c r="C3517" s="55" t="n"/>
      <c r="D3517" s="55" t="n"/>
      <c r="E3517" s="55" t="n"/>
      <c r="F3517" s="55" t="n"/>
      <c r="G3517" s="56" t="n"/>
    </row>
    <row r="3518" ht="15" customHeight="1">
      <c r="A3518" s="20" t="inlineStr">
        <is>
          <t>Material</t>
        </is>
      </c>
      <c r="B3518" s="56" t="n"/>
      <c r="C3518" s="21" t="inlineStr">
        <is>
          <t>FONTE</t>
        </is>
      </c>
      <c r="D3518" s="21" t="inlineStr">
        <is>
          <t>UNID</t>
        </is>
      </c>
      <c r="E3518" s="21" t="inlineStr">
        <is>
          <t>COEFICIENTE</t>
        </is>
      </c>
      <c r="F3518" s="21" t="inlineStr">
        <is>
          <t>PREÇO UNITÁRIO</t>
        </is>
      </c>
      <c r="G3518" s="21" t="inlineStr">
        <is>
          <t>TOTAL</t>
        </is>
      </c>
    </row>
    <row r="3519" ht="21" customHeight="1">
      <c r="A3519" s="22" t="inlineStr">
        <is>
          <t>00007258</t>
        </is>
      </c>
      <c r="B3519" s="23" t="inlineStr">
        <is>
          <t>TIJOLO CERAMICO MACICO COMUM DE *5 X 10 X 20* CM (L X A X C)</t>
        </is>
      </c>
      <c r="C3519" s="22" t="inlineStr">
        <is>
          <t>SINAPI</t>
        </is>
      </c>
      <c r="D3519" s="22" t="inlineStr">
        <is>
          <t>UN</t>
        </is>
      </c>
      <c r="E3519" s="63" t="n">
        <v>38.691</v>
      </c>
      <c r="F3519" s="64">
        <f>ROUND(M3519*FATOR, 2)</f>
        <v/>
      </c>
      <c r="G3519" s="64">
        <f>ROUND(ROUND(E3519,8)*F3519,2)</f>
        <v/>
      </c>
      <c r="L3519" t="n">
        <v>38.691</v>
      </c>
      <c r="M3519" t="n">
        <v>0.6</v>
      </c>
      <c r="N3519">
        <f>(M3519-F3519)</f>
        <v/>
      </c>
    </row>
    <row r="3520" ht="15" customHeight="1">
      <c r="A3520" s="2" t="inlineStr"/>
      <c r="B3520" s="2" t="inlineStr"/>
      <c r="C3520" s="2" t="inlineStr"/>
      <c r="D3520" s="2" t="inlineStr"/>
      <c r="E3520" s="26" t="inlineStr">
        <is>
          <t>TOTAL Material:</t>
        </is>
      </c>
      <c r="F3520" s="56" t="n"/>
      <c r="G3520" s="65">
        <f>SUM(G3519:G3519)</f>
        <v/>
      </c>
    </row>
    <row r="3521" ht="15" customHeight="1">
      <c r="A3521" s="20" t="inlineStr">
        <is>
          <t>Mão de Obra com Encargos Complementares</t>
        </is>
      </c>
      <c r="B3521" s="56" t="n"/>
      <c r="C3521" s="21" t="inlineStr">
        <is>
          <t>FONTE</t>
        </is>
      </c>
      <c r="D3521" s="21" t="inlineStr">
        <is>
          <t>UNID</t>
        </is>
      </c>
      <c r="E3521" s="21" t="inlineStr">
        <is>
          <t>COEFICIENTE</t>
        </is>
      </c>
      <c r="F3521" s="21" t="inlineStr">
        <is>
          <t>PREÇO UNITÁRIO</t>
        </is>
      </c>
      <c r="G3521" s="21" t="inlineStr">
        <is>
          <t>TOTAL</t>
        </is>
      </c>
    </row>
    <row r="3522" ht="15" customHeight="1">
      <c r="A3522" s="22" t="inlineStr">
        <is>
          <t>88309</t>
        </is>
      </c>
      <c r="B3522" s="23" t="inlineStr">
        <is>
          <t>PEDREIRO COM ENCARGOS COMPLEMENTARES</t>
        </is>
      </c>
      <c r="C3522" s="22" t="inlineStr">
        <is>
          <t>SINAPI</t>
        </is>
      </c>
      <c r="D3522" s="22" t="inlineStr">
        <is>
          <t>H</t>
        </is>
      </c>
      <c r="E3522" s="63">
        <f>L3522*FATOR</f>
        <v/>
      </c>
      <c r="F3522" s="64">
        <f>'COMPOSICOES AUXILIARES'!G2887</f>
        <v/>
      </c>
      <c r="G3522" s="64">
        <f>ROUND(ROUND(E3522,8)*F3522,2)</f>
        <v/>
      </c>
      <c r="L3522" t="n">
        <v>1.2686</v>
      </c>
      <c r="M3522" t="n">
        <v>30.58</v>
      </c>
      <c r="N3522">
        <f>(M3522-F3522)</f>
        <v/>
      </c>
    </row>
    <row r="3523" ht="15" customHeight="1">
      <c r="A3523" s="22" t="inlineStr">
        <is>
          <t>88316</t>
        </is>
      </c>
      <c r="B3523" s="23" t="inlineStr">
        <is>
          <t>SERVENTE COM ENCARGOS COMPLEMENTARES</t>
        </is>
      </c>
      <c r="C3523" s="22" t="inlineStr">
        <is>
          <t>SINAPI</t>
        </is>
      </c>
      <c r="D3523" s="22" t="inlineStr">
        <is>
          <t>H</t>
        </is>
      </c>
      <c r="E3523" s="63">
        <f>L3523*FATOR</f>
        <v/>
      </c>
      <c r="F3523" s="64">
        <f>'COMPOSICOES AUXILIARES'!G3390</f>
        <v/>
      </c>
      <c r="G3523" s="64">
        <f>ROUND(ROUND(E3523,8)*F3523,2)</f>
        <v/>
      </c>
      <c r="L3523" t="n">
        <v>0.9967</v>
      </c>
      <c r="M3523" t="n">
        <v>23.56</v>
      </c>
      <c r="N3523">
        <f>(M3523-F3523)</f>
        <v/>
      </c>
    </row>
    <row r="3524" ht="18" customHeight="1">
      <c r="A3524" s="2" t="inlineStr"/>
      <c r="B3524" s="2" t="inlineStr"/>
      <c r="C3524" s="2" t="inlineStr"/>
      <c r="D3524" s="2" t="inlineStr"/>
      <c r="E3524" s="26" t="inlineStr">
        <is>
          <t>TOTAL Mão de Obra com Encargos Complementares:</t>
        </is>
      </c>
      <c r="F3524" s="56" t="n"/>
      <c r="G3524" s="65">
        <f>SUM(G3522:G3523)</f>
        <v/>
      </c>
    </row>
    <row r="3525" ht="15" customHeight="1">
      <c r="A3525" s="20" t="inlineStr">
        <is>
          <t>Serviço</t>
        </is>
      </c>
      <c r="B3525" s="56" t="n"/>
      <c r="C3525" s="21" t="inlineStr">
        <is>
          <t>FONTE</t>
        </is>
      </c>
      <c r="D3525" s="21" t="inlineStr">
        <is>
          <t>UNID</t>
        </is>
      </c>
      <c r="E3525" s="21" t="inlineStr">
        <is>
          <t>COEFICIENTE</t>
        </is>
      </c>
      <c r="F3525" s="21" t="inlineStr">
        <is>
          <t>PREÇO UNITÁRIO</t>
        </is>
      </c>
      <c r="G3525" s="21" t="inlineStr">
        <is>
          <t>TOTAL</t>
        </is>
      </c>
    </row>
    <row r="3526" ht="29" customHeight="1">
      <c r="A3526" s="22" t="inlineStr">
        <is>
          <t>100475</t>
        </is>
      </c>
      <c r="B3526" s="23" t="inlineStr">
        <is>
          <t>ARGAMASSA TRAÇO 1:3 (EM VOLUME DE CIMENTO E AREIA MÉDIA ÚMIDA) COM ADIÇÃO DE IMPERMEABILIZANTE, PREPARO MECÂNICO COM BETONEIRA 400 L. AF_08/2019</t>
        </is>
      </c>
      <c r="C3526" s="22" t="inlineStr">
        <is>
          <t>SINAPI</t>
        </is>
      </c>
      <c r="D3526" s="22" t="inlineStr">
        <is>
          <t>M3</t>
        </is>
      </c>
      <c r="E3526" s="63" t="n">
        <v>0.0278</v>
      </c>
      <c r="F3526" s="64">
        <f>'COMPOSICOES AUXILIARES'!G268</f>
        <v/>
      </c>
      <c r="G3526" s="64">
        <f>ROUND(ROUND(E3526,8)*F3526,2)</f>
        <v/>
      </c>
      <c r="L3526" t="n">
        <v>0.0278</v>
      </c>
      <c r="M3526" t="n">
        <v>776.4</v>
      </c>
      <c r="N3526">
        <f>(M3526-F3526)</f>
        <v/>
      </c>
    </row>
    <row r="3527" ht="29" customHeight="1">
      <c r="A3527" s="22" t="inlineStr">
        <is>
          <t>87316</t>
        </is>
      </c>
      <c r="B3527" s="23" t="inlineStr">
        <is>
          <t>ARGAMASSA TRAÇO 1:4 (EM VOLUME DE CIMENTO E AREIA GROSSA ÚMIDA) PARA CHAPISCO CONVENCIONAL, PREPARO MECÂNICO COM BETONEIRA 400 L. AF_08/2019</t>
        </is>
      </c>
      <c r="C3527" s="22" t="inlineStr">
        <is>
          <t>SINAPI</t>
        </is>
      </c>
      <c r="D3527" s="22" t="inlineStr">
        <is>
          <t>M3</t>
        </is>
      </c>
      <c r="E3527" s="63" t="n">
        <v>0.0039</v>
      </c>
      <c r="F3527" s="64">
        <f>'COMPOSICOES AUXILIARES'!G340</f>
        <v/>
      </c>
      <c r="G3527" s="64">
        <f>ROUND(ROUND(E3527,8)*F3527,2)</f>
        <v/>
      </c>
      <c r="L3527" t="n">
        <v>0.0039</v>
      </c>
      <c r="M3527" t="n">
        <v>528.67</v>
      </c>
      <c r="N3527">
        <f>(M3527-F3527)</f>
        <v/>
      </c>
    </row>
    <row r="3528" ht="29" customHeight="1">
      <c r="A3528" s="22" t="inlineStr">
        <is>
          <t>97734</t>
        </is>
      </c>
      <c r="B3528" s="23" t="inlineStr">
        <is>
          <t>PEÇA RETANGULAR PRÉ-MOLDADA, VOLUME DE CONCRETO DE 10 A 30 LITROS, TAXA DE AÇO APROXIMADA DE 30KG/M³. AF_03/2024</t>
        </is>
      </c>
      <c r="C3528" s="22" t="inlineStr">
        <is>
          <t>SINAPI</t>
        </is>
      </c>
      <c r="D3528" s="22" t="inlineStr">
        <is>
          <t>M3</t>
        </is>
      </c>
      <c r="E3528" s="63" t="n">
        <v>0.0175</v>
      </c>
      <c r="F3528" s="64">
        <f>'COMPOSICOES AUXILIARES'!G3001</f>
        <v/>
      </c>
      <c r="G3528" s="64">
        <f>ROUND(ROUND(E3528,8)*F3528,2)</f>
        <v/>
      </c>
      <c r="L3528" t="n">
        <v>0.0175</v>
      </c>
      <c r="M3528" t="n">
        <v>3154.8</v>
      </c>
      <c r="N3528">
        <f>(M3528-F3528)</f>
        <v/>
      </c>
    </row>
    <row r="3529" ht="29" customHeight="1">
      <c r="A3529" s="22" t="inlineStr">
        <is>
          <t>101619</t>
        </is>
      </c>
      <c r="B3529" s="23" t="inlineStr">
        <is>
          <t>PREPARO DE FUNDO DE VALA COM LARGURA MENOR QUE 1,5 M, COM CAMADA DE BRITA, LANÇAMENTO MANUAL. AF_08/2020</t>
        </is>
      </c>
      <c r="C3529" s="22" t="inlineStr">
        <is>
          <t>SINAPI</t>
        </is>
      </c>
      <c r="D3529" s="22" t="inlineStr">
        <is>
          <t>M3</t>
        </is>
      </c>
      <c r="E3529" s="63" t="n">
        <v>0.036</v>
      </c>
      <c r="F3529" s="64">
        <f>'COMPOSICOES AUXILIARES'!G3236</f>
        <v/>
      </c>
      <c r="G3529" s="64">
        <f>ROUND(ROUND(E3529,8)*F3529,2)</f>
        <v/>
      </c>
      <c r="L3529" t="n">
        <v>0.036</v>
      </c>
      <c r="M3529" t="n">
        <v>310.99</v>
      </c>
      <c r="N3529">
        <f>(M3529-F3529)</f>
        <v/>
      </c>
    </row>
    <row r="3530" ht="21" customHeight="1">
      <c r="A3530" s="22" t="inlineStr">
        <is>
          <t>456 PRÓPRIO</t>
        </is>
      </c>
      <c r="B3530" s="23" t="inlineStr">
        <is>
          <t>TAMPA DE FERRO FUNDIDO PARA CAIXAS INSPEÇÃO/ GORDURA/ PASSAGEM 30X30cm</t>
        </is>
      </c>
      <c r="C3530" s="22" t="inlineStr">
        <is>
          <t xml:space="preserve">Composições </t>
        </is>
      </c>
      <c r="D3530" s="22" t="inlineStr">
        <is>
          <t>UN</t>
        </is>
      </c>
      <c r="E3530" s="63" t="n">
        <v>1</v>
      </c>
      <c r="F3530" s="64" t="n">
        <v>381.02</v>
      </c>
      <c r="G3530" s="64">
        <f>ROUND(ROUND(E3530,8)*F3530,2)</f>
        <v/>
      </c>
      <c r="L3530" t="n">
        <v>1</v>
      </c>
      <c r="M3530" t="n">
        <v>381.02</v>
      </c>
      <c r="N3530">
        <f>(M3530-F3530)</f>
        <v/>
      </c>
    </row>
    <row r="3531" ht="15" customHeight="1">
      <c r="A3531" s="2" t="inlineStr"/>
      <c r="B3531" s="2" t="inlineStr"/>
      <c r="C3531" s="2" t="inlineStr"/>
      <c r="D3531" s="2" t="inlineStr"/>
      <c r="E3531" s="26" t="inlineStr">
        <is>
          <t>TOTAL Serviço:</t>
        </is>
      </c>
      <c r="F3531" s="56" t="n"/>
      <c r="G3531" s="65">
        <f>SUM(G3526:G3530)</f>
        <v/>
      </c>
    </row>
    <row r="3532" ht="15" customHeight="1">
      <c r="A3532" s="2" t="inlineStr"/>
      <c r="B3532" s="2" t="inlineStr"/>
      <c r="C3532" s="2" t="inlineStr"/>
      <c r="D3532" s="2" t="inlineStr"/>
      <c r="E3532" s="28" t="inlineStr">
        <is>
          <t>VALOR:</t>
        </is>
      </c>
      <c r="F3532" s="56" t="n"/>
      <c r="G3532" s="66">
        <f>SUM(G3520,G3531,G3524)</f>
        <v/>
      </c>
    </row>
    <row r="3533" ht="15" customHeight="1">
      <c r="A3533" s="2" t="inlineStr"/>
      <c r="B3533" s="2" t="inlineStr"/>
      <c r="C3533" s="2" t="inlineStr"/>
      <c r="D3533" s="2" t="inlineStr"/>
      <c r="E3533" s="28" t="inlineStr">
        <is>
          <t>VALOR BDI (23.08%):</t>
        </is>
      </c>
      <c r="F3533" s="56" t="n"/>
      <c r="G3533" s="66">
        <f>ROUNDDOWN(G3532*BDI,2)</f>
        <v/>
      </c>
    </row>
    <row r="3534" ht="15" customHeight="1">
      <c r="A3534" s="2" t="inlineStr"/>
      <c r="B3534" s="2" t="inlineStr"/>
      <c r="C3534" s="2" t="inlineStr"/>
      <c r="D3534" s="2" t="inlineStr"/>
      <c r="E3534" s="28" t="inlineStr">
        <is>
          <t>VALOR COM BDI:</t>
        </is>
      </c>
      <c r="F3534" s="56" t="n"/>
      <c r="G3534" s="66">
        <f>G3533 + G3532</f>
        <v/>
      </c>
    </row>
    <row r="3535" ht="10" customHeight="1">
      <c r="A3535" s="2" t="inlineStr"/>
      <c r="B3535" s="2" t="inlineStr"/>
      <c r="C3535" s="2" t="inlineStr"/>
      <c r="D3535" s="2" t="inlineStr"/>
      <c r="E3535" s="18" t="inlineStr"/>
    </row>
    <row r="3536" ht="20" customHeight="1">
      <c r="A3536" s="19" t="inlineStr">
        <is>
          <t>9.7.4.2. ​468 PRÓPRIO​ CAIXA DE ALUMÍNIO 4" X 4" PARA TOMADA DE PISO - SEM PLACA​ (UN)</t>
        </is>
      </c>
      <c r="B3536" s="55" t="n"/>
      <c r="C3536" s="55" t="n"/>
      <c r="D3536" s="55" t="n"/>
      <c r="E3536" s="55" t="n"/>
      <c r="F3536" s="55" t="n"/>
      <c r="G3536" s="56" t="n"/>
    </row>
    <row r="3537" ht="15" customHeight="1">
      <c r="A3537" s="20" t="inlineStr">
        <is>
          <t>Material</t>
        </is>
      </c>
      <c r="B3537" s="56" t="n"/>
      <c r="C3537" s="21" t="inlineStr">
        <is>
          <t>FONTE</t>
        </is>
      </c>
      <c r="D3537" s="21" t="inlineStr">
        <is>
          <t>UNID</t>
        </is>
      </c>
      <c r="E3537" s="21" t="inlineStr">
        <is>
          <t>COEFICIENTE</t>
        </is>
      </c>
      <c r="F3537" s="21" t="inlineStr">
        <is>
          <t>PREÇO UNITÁRIO</t>
        </is>
      </c>
      <c r="G3537" s="21" t="inlineStr">
        <is>
          <t>TOTAL</t>
        </is>
      </c>
    </row>
    <row r="3538" ht="21" customHeight="1">
      <c r="A3538" s="22" t="inlineStr">
        <is>
          <t>056235 SBC</t>
        </is>
      </c>
      <c r="B3538" s="23" t="inlineStr">
        <is>
          <t>ANEL DE REGULAGEM ALIMINIO PARA CAIXA 4X2 AN42- STAMPLAC</t>
        </is>
      </c>
      <c r="C3538" s="22" t="inlineStr">
        <is>
          <t xml:space="preserve">Composições </t>
        </is>
      </c>
      <c r="D3538" s="22" t="inlineStr">
        <is>
          <t>UN</t>
        </is>
      </c>
      <c r="E3538" s="63" t="n">
        <v>1</v>
      </c>
      <c r="F3538" s="64">
        <f>ROUND(M3538*FATOR, 2)</f>
        <v/>
      </c>
      <c r="G3538" s="64">
        <f>ROUND(ROUND(E3538,8)*F3538,2)</f>
        <v/>
      </c>
      <c r="L3538" t="n">
        <v>1</v>
      </c>
      <c r="M3538" t="n">
        <v>7.9</v>
      </c>
      <c r="N3538">
        <f>(M3538-F3538)</f>
        <v/>
      </c>
    </row>
    <row r="3539" ht="21" customHeight="1">
      <c r="A3539" s="22" t="inlineStr">
        <is>
          <t>031139 SBC</t>
        </is>
      </c>
      <c r="B3539" s="23" t="inlineStr">
        <is>
          <t>CAIXA DE ALUMINIO DUPLA 4"X2" 3/4" PARA PISO TRAMONTINA</t>
        </is>
      </c>
      <c r="C3539" s="22" t="inlineStr">
        <is>
          <t xml:space="preserve">Composições </t>
        </is>
      </c>
      <c r="D3539" s="22" t="inlineStr">
        <is>
          <t>UN</t>
        </is>
      </c>
      <c r="E3539" s="63" t="n">
        <v>1</v>
      </c>
      <c r="F3539" s="64">
        <f>ROUND(M3539*FATOR, 2)</f>
        <v/>
      </c>
      <c r="G3539" s="64">
        <f>ROUND(ROUND(E3539,8)*F3539,2)</f>
        <v/>
      </c>
      <c r="L3539" t="n">
        <v>1</v>
      </c>
      <c r="M3539" t="n">
        <v>29.99</v>
      </c>
      <c r="N3539">
        <f>(M3539-F3539)</f>
        <v/>
      </c>
    </row>
    <row r="3540" ht="15" customHeight="1">
      <c r="A3540" s="2" t="inlineStr"/>
      <c r="B3540" s="2" t="inlineStr"/>
      <c r="C3540" s="2" t="inlineStr"/>
      <c r="D3540" s="2" t="inlineStr"/>
      <c r="E3540" s="26" t="inlineStr">
        <is>
          <t>TOTAL Material:</t>
        </is>
      </c>
      <c r="F3540" s="56" t="n"/>
      <c r="G3540" s="65">
        <f>SUM(G3538:G3539)</f>
        <v/>
      </c>
    </row>
    <row r="3541" ht="15" customHeight="1">
      <c r="A3541" s="20" t="inlineStr">
        <is>
          <t>Mão de Obra com Encargos Complementares</t>
        </is>
      </c>
      <c r="B3541" s="56" t="n"/>
      <c r="C3541" s="21" t="inlineStr">
        <is>
          <t>FONTE</t>
        </is>
      </c>
      <c r="D3541" s="21" t="inlineStr">
        <is>
          <t>UNID</t>
        </is>
      </c>
      <c r="E3541" s="21" t="inlineStr">
        <is>
          <t>COEFICIENTE</t>
        </is>
      </c>
      <c r="F3541" s="21" t="inlineStr">
        <is>
          <t>PREÇO UNITÁRIO</t>
        </is>
      </c>
      <c r="G3541" s="21" t="inlineStr">
        <is>
          <t>TOTAL</t>
        </is>
      </c>
    </row>
    <row r="3542" ht="21" customHeight="1">
      <c r="A3542" s="22" t="inlineStr">
        <is>
          <t>88243</t>
        </is>
      </c>
      <c r="B3542" s="23" t="inlineStr">
        <is>
          <t>AJUDANTE ESPECIALIZADO COM ENCARGOS COMPLEMENTARES</t>
        </is>
      </c>
      <c r="C3542" s="22" t="inlineStr">
        <is>
          <t>SINAPI</t>
        </is>
      </c>
      <c r="D3542" s="22" t="inlineStr">
        <is>
          <t>H</t>
        </is>
      </c>
      <c r="E3542" s="63">
        <f>L3542*FATOR</f>
        <v/>
      </c>
      <c r="F3542" s="64">
        <f>'COMPOSICOES AUXILIARES'!G106</f>
        <v/>
      </c>
      <c r="G3542" s="64">
        <f>ROUND(ROUND(E3542,8)*F3542,2)</f>
        <v/>
      </c>
      <c r="L3542" t="n">
        <v>0.8</v>
      </c>
      <c r="M3542" t="n">
        <v>23.76</v>
      </c>
      <c r="N3542">
        <f>(M3542-F3542)</f>
        <v/>
      </c>
    </row>
    <row r="3543" ht="15" customHeight="1">
      <c r="A3543" s="22" t="inlineStr">
        <is>
          <t>88264</t>
        </is>
      </c>
      <c r="B3543" s="23" t="inlineStr">
        <is>
          <t>ELETRICISTA COM ENCARGOS COMPLEMENTARES</t>
        </is>
      </c>
      <c r="C3543" s="22" t="inlineStr">
        <is>
          <t>SINAPI</t>
        </is>
      </c>
      <c r="D3543" s="22" t="inlineStr">
        <is>
          <t>H</t>
        </is>
      </c>
      <c r="E3543" s="63">
        <f>L3543*FATOR</f>
        <v/>
      </c>
      <c r="F3543" s="64">
        <f>'COMPOSICOES AUXILIARES'!G505</f>
        <v/>
      </c>
      <c r="G3543" s="64">
        <f>ROUND(ROUND(E3543,8)*F3543,2)</f>
        <v/>
      </c>
      <c r="L3543" t="n">
        <v>0.8</v>
      </c>
      <c r="M3543" t="n">
        <v>30.96</v>
      </c>
      <c r="N3543">
        <f>(M3543-F3543)</f>
        <v/>
      </c>
    </row>
    <row r="3544" ht="18" customHeight="1">
      <c r="A3544" s="2" t="inlineStr"/>
      <c r="B3544" s="2" t="inlineStr"/>
      <c r="C3544" s="2" t="inlineStr"/>
      <c r="D3544" s="2" t="inlineStr"/>
      <c r="E3544" s="26" t="inlineStr">
        <is>
          <t>TOTAL Mão de Obra com Encargos Complementares:</t>
        </is>
      </c>
      <c r="F3544" s="56" t="n"/>
      <c r="G3544" s="65">
        <f>SUM(G3542:G3543)</f>
        <v/>
      </c>
    </row>
    <row r="3545" ht="15" customHeight="1">
      <c r="A3545" s="2" t="inlineStr"/>
      <c r="B3545" s="2" t="inlineStr"/>
      <c r="C3545" s="2" t="inlineStr"/>
      <c r="D3545" s="2" t="inlineStr"/>
      <c r="E3545" s="28" t="inlineStr">
        <is>
          <t>VALOR:</t>
        </is>
      </c>
      <c r="F3545" s="56" t="n"/>
      <c r="G3545" s="66">
        <f>SUM(G3544,G3540)</f>
        <v/>
      </c>
    </row>
    <row r="3546" ht="15" customHeight="1">
      <c r="A3546" s="2" t="inlineStr"/>
      <c r="B3546" s="2" t="inlineStr"/>
      <c r="C3546" s="2" t="inlineStr"/>
      <c r="D3546" s="2" t="inlineStr"/>
      <c r="E3546" s="28" t="inlineStr">
        <is>
          <t>VALOR BDI (23.08%):</t>
        </is>
      </c>
      <c r="F3546" s="56" t="n"/>
      <c r="G3546" s="66">
        <f>ROUNDDOWN(G3545*BDI,2)</f>
        <v/>
      </c>
    </row>
    <row r="3547" ht="15" customHeight="1">
      <c r="A3547" s="2" t="inlineStr"/>
      <c r="B3547" s="2" t="inlineStr"/>
      <c r="C3547" s="2" t="inlineStr"/>
      <c r="D3547" s="2" t="inlineStr"/>
      <c r="E3547" s="28" t="inlineStr">
        <is>
          <t>VALOR COM BDI:</t>
        </is>
      </c>
      <c r="F3547" s="56" t="n"/>
      <c r="G3547" s="66">
        <f>G3546 + G3545</f>
        <v/>
      </c>
    </row>
    <row r="3548" ht="10" customHeight="1">
      <c r="A3548" s="2" t="inlineStr"/>
      <c r="B3548" s="2" t="inlineStr"/>
      <c r="C3548" s="2" t="inlineStr"/>
      <c r="D3548" s="2" t="inlineStr"/>
      <c r="E3548" s="18" t="inlineStr"/>
    </row>
    <row r="3549" ht="20" customHeight="1">
      <c r="A3549" s="19" t="inlineStr">
        <is>
          <t>9.7.4.3. ​SOP2752​ CAIXA DE PASSAGEM EM ALVENARIA DETIJOLOS MACIÇOS ESP.= 0,12M, DIM. INT.=0.50 X 0.50 X 0.50M​ (UN)</t>
        </is>
      </c>
      <c r="B3549" s="55" t="n"/>
      <c r="C3549" s="55" t="n"/>
      <c r="D3549" s="55" t="n"/>
      <c r="E3549" s="55" t="n"/>
      <c r="F3549" s="55" t="n"/>
      <c r="G3549" s="56" t="n"/>
    </row>
    <row r="3550" ht="15" customHeight="1">
      <c r="A3550" s="20" t="inlineStr">
        <is>
          <t>Material</t>
        </is>
      </c>
      <c r="B3550" s="56" t="n"/>
      <c r="C3550" s="21" t="inlineStr">
        <is>
          <t>FONTE</t>
        </is>
      </c>
      <c r="D3550" s="21" t="inlineStr">
        <is>
          <t>UNID</t>
        </is>
      </c>
      <c r="E3550" s="21" t="inlineStr">
        <is>
          <t>COEFICIENTE</t>
        </is>
      </c>
      <c r="F3550" s="21" t="inlineStr">
        <is>
          <t>PREÇO UNITÁRIO</t>
        </is>
      </c>
      <c r="G3550" s="21" t="inlineStr">
        <is>
          <t>TOTAL</t>
        </is>
      </c>
    </row>
    <row r="3551" ht="15" customHeight="1">
      <c r="A3551" s="22" t="inlineStr">
        <is>
          <t>I00081</t>
        </is>
      </c>
      <c r="B3551" s="23" t="inlineStr">
        <is>
          <t>Aço ca-50 6,3 a 12,5 mm</t>
        </is>
      </c>
      <c r="C3551" s="22" t="inlineStr">
        <is>
          <t>ORSE</t>
        </is>
      </c>
      <c r="D3551" s="22" t="inlineStr">
        <is>
          <t>kg</t>
        </is>
      </c>
      <c r="E3551" s="63" t="n">
        <v>2.8</v>
      </c>
      <c r="F3551" s="64">
        <f>ROUND(M3551*FATOR, 2)</f>
        <v/>
      </c>
      <c r="G3551" s="64">
        <f>ROUND(ROUND(E3551,8)*F3551,2)</f>
        <v/>
      </c>
      <c r="L3551" t="n">
        <v>2.8</v>
      </c>
      <c r="M3551" t="n">
        <v>8.539999999999999</v>
      </c>
      <c r="N3551">
        <f>(M3551-F3551)</f>
        <v/>
      </c>
    </row>
    <row r="3552" ht="21" customHeight="1">
      <c r="A3552" s="22" t="inlineStr">
        <is>
          <t>00043130</t>
        </is>
      </c>
      <c r="B3552" s="23" t="inlineStr">
        <is>
          <t>ARAME GALVANIZADO 12 BWG, D = 2,76 MM (0,048 KG/M) OU 14 BWG, D = 2,11 MM (0,026 KG/M)</t>
        </is>
      </c>
      <c r="C3552" s="22" t="inlineStr">
        <is>
          <t>SINAPI</t>
        </is>
      </c>
      <c r="D3552" s="22" t="inlineStr">
        <is>
          <t>KG</t>
        </is>
      </c>
      <c r="E3552" s="63" t="n">
        <v>0.09</v>
      </c>
      <c r="F3552" s="64">
        <f>ROUND(M3552*FATOR, 2)</f>
        <v/>
      </c>
      <c r="G3552" s="64">
        <f>ROUND(ROUND(E3552,8)*F3552,2)</f>
        <v/>
      </c>
      <c r="L3552" t="n">
        <v>0.09</v>
      </c>
      <c r="M3552" t="n">
        <v>15.67</v>
      </c>
      <c r="N3552">
        <f>(M3552-F3552)</f>
        <v/>
      </c>
    </row>
    <row r="3553" ht="21" customHeight="1">
      <c r="A3553" s="22" t="inlineStr">
        <is>
          <t>00043132</t>
        </is>
      </c>
      <c r="B3553" s="23" t="inlineStr">
        <is>
          <t>ARAME RECOZIDO 16 BWG, D = 1,65 MM (0,016 KG/M) OU 18 BWG, D = 1,25 MM (0,01 KG/M)</t>
        </is>
      </c>
      <c r="C3553" s="22" t="inlineStr">
        <is>
          <t>SINAPI</t>
        </is>
      </c>
      <c r="D3553" s="22" t="inlineStr">
        <is>
          <t>KG</t>
        </is>
      </c>
      <c r="E3553" s="63" t="n">
        <v>0.056</v>
      </c>
      <c r="F3553" s="64">
        <f>ROUND(M3553*FATOR, 2)</f>
        <v/>
      </c>
      <c r="G3553" s="64">
        <f>ROUND(ROUND(E3553,8)*F3553,2)</f>
        <v/>
      </c>
      <c r="L3553" t="n">
        <v>0.056</v>
      </c>
      <c r="M3553" t="n">
        <v>15.67</v>
      </c>
      <c r="N3553">
        <f>(M3553-F3553)</f>
        <v/>
      </c>
    </row>
    <row r="3554" ht="15" customHeight="1">
      <c r="A3554" s="22" t="inlineStr">
        <is>
          <t>I0108</t>
        </is>
      </c>
      <c r="B3554" s="23" t="inlineStr">
        <is>
          <t>AREIA GROSSA</t>
        </is>
      </c>
      <c r="C3554" s="22" t="inlineStr">
        <is>
          <t>SEINFRA</t>
        </is>
      </c>
      <c r="D3554" s="22" t="inlineStr">
        <is>
          <t>M3</t>
        </is>
      </c>
      <c r="E3554" s="63" t="n">
        <v>0.1426</v>
      </c>
      <c r="F3554" s="64">
        <f>ROUND(M3554*FATOR, 2)</f>
        <v/>
      </c>
      <c r="G3554" s="64">
        <f>ROUND(ROUND(E3554,8)*F3554,2)</f>
        <v/>
      </c>
      <c r="L3554" t="n">
        <v>0.1426</v>
      </c>
      <c r="M3554" t="n">
        <v>119.58</v>
      </c>
      <c r="N3554">
        <f>(M3554-F3554)</f>
        <v/>
      </c>
    </row>
    <row r="3555" ht="15" customHeight="1">
      <c r="A3555" s="22" t="inlineStr">
        <is>
          <t>I0109</t>
        </is>
      </c>
      <c r="B3555" s="23" t="inlineStr">
        <is>
          <t>AREIA MEDIA</t>
        </is>
      </c>
      <c r="C3555" s="22" t="inlineStr">
        <is>
          <t>SEINFRA</t>
        </is>
      </c>
      <c r="D3555" s="22" t="inlineStr">
        <is>
          <t>M3</t>
        </is>
      </c>
      <c r="E3555" s="63" t="n">
        <v>0.0054</v>
      </c>
      <c r="F3555" s="64">
        <f>ROUND(M3555*FATOR, 2)</f>
        <v/>
      </c>
      <c r="G3555" s="64">
        <f>ROUND(ROUND(E3555,8)*F3555,2)</f>
        <v/>
      </c>
      <c r="L3555" t="n">
        <v>0.0054</v>
      </c>
      <c r="M3555" t="n">
        <v>83.58</v>
      </c>
      <c r="N3555">
        <f>(M3555-F3555)</f>
        <v/>
      </c>
    </row>
    <row r="3556" ht="15" customHeight="1">
      <c r="A3556" s="22" t="inlineStr">
        <is>
          <t>I0441</t>
        </is>
      </c>
      <c r="B3556" s="23" t="inlineStr">
        <is>
          <t>CAL HIDRATADA</t>
        </is>
      </c>
      <c r="C3556" s="22" t="inlineStr">
        <is>
          <t>SEINFRA</t>
        </is>
      </c>
      <c r="D3556" s="22" t="inlineStr">
        <is>
          <t>KG</t>
        </is>
      </c>
      <c r="E3556" s="63" t="n">
        <v>10.6288</v>
      </c>
      <c r="F3556" s="64">
        <f>ROUND(M3556*FATOR, 2)</f>
        <v/>
      </c>
      <c r="G3556" s="64">
        <f>ROUND(ROUND(E3556,8)*F3556,2)</f>
        <v/>
      </c>
      <c r="L3556" t="n">
        <v>10.6288</v>
      </c>
      <c r="M3556" t="n">
        <v>0.96</v>
      </c>
      <c r="N3556">
        <f>(M3556-F3556)</f>
        <v/>
      </c>
    </row>
    <row r="3557" ht="15" customHeight="1">
      <c r="A3557" s="22" t="inlineStr">
        <is>
          <t>I0805</t>
        </is>
      </c>
      <c r="B3557" s="23" t="inlineStr">
        <is>
          <t>CIMENTO PORTLAND</t>
        </is>
      </c>
      <c r="C3557" s="22" t="inlineStr">
        <is>
          <t>SEINFRA</t>
        </is>
      </c>
      <c r="D3557" s="22" t="inlineStr">
        <is>
          <t>KG</t>
        </is>
      </c>
      <c r="E3557" s="63" t="n">
        <v>35.861</v>
      </c>
      <c r="F3557" s="64">
        <f>ROUND(M3557*FATOR, 2)</f>
        <v/>
      </c>
      <c r="G3557" s="64">
        <f>ROUND(ROUND(E3557,8)*F3557,2)</f>
        <v/>
      </c>
      <c r="L3557" t="n">
        <v>35.861</v>
      </c>
      <c r="M3557" t="n">
        <v>0.71</v>
      </c>
      <c r="N3557">
        <f>(M3557-F3557)</f>
        <v/>
      </c>
    </row>
    <row r="3558" ht="15" customHeight="1">
      <c r="A3558" s="22" t="inlineStr">
        <is>
          <t>I00630</t>
        </is>
      </c>
      <c r="B3558" s="23" t="inlineStr">
        <is>
          <t>Compensado resinado 12mm - Madeirit ou similar</t>
        </is>
      </c>
      <c r="C3558" s="22" t="inlineStr">
        <is>
          <t>ORSE</t>
        </is>
      </c>
      <c r="D3558" s="22" t="inlineStr">
        <is>
          <t>m2</t>
        </is>
      </c>
      <c r="E3558" s="63" t="n">
        <v>0.222</v>
      </c>
      <c r="F3558" s="64">
        <f>ROUND(M3558*FATOR, 2)</f>
        <v/>
      </c>
      <c r="G3558" s="64">
        <f>ROUND(ROUND(E3558,8)*F3558,2)</f>
        <v/>
      </c>
      <c r="L3558" t="n">
        <v>0.222</v>
      </c>
      <c r="M3558" t="n">
        <v>44.17</v>
      </c>
      <c r="N3558">
        <f>(M3558-F3558)</f>
        <v/>
      </c>
    </row>
    <row r="3559" ht="29" customHeight="1">
      <c r="A3559" s="22" t="inlineStr">
        <is>
          <t>00039017</t>
        </is>
      </c>
      <c r="B3559" s="23" t="inlineStr">
        <is>
          <t>ESPACADOR / DISTANCIADOR CIRCULAR COM ENTRADA LATERAL, EM PLASTICO, PARA VERGALHAO *4,2 A 12,5* MM, COBRIMENTO 20 MM</t>
        </is>
      </c>
      <c r="C3559" s="22" t="inlineStr">
        <is>
          <t>SINAPI</t>
        </is>
      </c>
      <c r="D3559" s="22" t="inlineStr">
        <is>
          <t>UN</t>
        </is>
      </c>
      <c r="E3559" s="63" t="n">
        <v>1.12</v>
      </c>
      <c r="F3559" s="64">
        <f>ROUND(M3559*FATOR, 2)</f>
        <v/>
      </c>
      <c r="G3559" s="64">
        <f>ROUND(ROUND(E3559,8)*F3559,2)</f>
        <v/>
      </c>
      <c r="L3559" t="n">
        <v>1.12</v>
      </c>
      <c r="M3559" t="n">
        <v>0.22</v>
      </c>
      <c r="N3559">
        <f>(M3559-F3559)</f>
        <v/>
      </c>
    </row>
    <row r="3560" ht="29" customHeight="1">
      <c r="A3560" s="22" t="inlineStr">
        <is>
          <t>00039315</t>
        </is>
      </c>
      <c r="B3560" s="23" t="inlineStr">
        <is>
          <t>ESPACADOR / DISTANCIADOR TIPO GARRA DUPLA, EM PLASTICO, COBRIMENTO *20* MM, PARA FERRAGENS DE LAJES E FUNDO DE VIGAS</t>
        </is>
      </c>
      <c r="C3560" s="22" t="inlineStr">
        <is>
          <t>SINAPI</t>
        </is>
      </c>
      <c r="D3560" s="22" t="inlineStr">
        <is>
          <t>UN</t>
        </is>
      </c>
      <c r="E3560" s="63" t="n">
        <v>1.12</v>
      </c>
      <c r="F3560" s="64">
        <f>ROUND(M3560*FATOR, 2)</f>
        <v/>
      </c>
      <c r="G3560" s="64">
        <f>ROUND(ROUND(E3560,8)*F3560,2)</f>
        <v/>
      </c>
      <c r="L3560" t="n">
        <v>1.12</v>
      </c>
      <c r="M3560" t="n">
        <v>0.36</v>
      </c>
      <c r="N3560">
        <f>(M3560-F3560)</f>
        <v/>
      </c>
    </row>
    <row r="3561" ht="21" customHeight="1">
      <c r="A3561" s="22" t="inlineStr">
        <is>
          <t>I01569</t>
        </is>
      </c>
      <c r="B3561" s="23" t="inlineStr">
        <is>
          <t>Madeira mista serrada (barrote) 6 x 6cm - 0,0036 m3/m (angelim, louro)</t>
        </is>
      </c>
      <c r="C3561" s="22" t="inlineStr">
        <is>
          <t>ORSE</t>
        </is>
      </c>
      <c r="D3561" s="22" t="inlineStr">
        <is>
          <t>m</t>
        </is>
      </c>
      <c r="E3561" s="63" t="n">
        <v>0.198</v>
      </c>
      <c r="F3561" s="64">
        <f>ROUND(M3561*FATOR, 2)</f>
        <v/>
      </c>
      <c r="G3561" s="64">
        <f>ROUND(ROUND(E3561,8)*F3561,2)</f>
        <v/>
      </c>
      <c r="L3561" t="n">
        <v>0.198</v>
      </c>
      <c r="M3561" t="n">
        <v>6.69</v>
      </c>
      <c r="N3561">
        <f>(M3561-F3561)</f>
        <v/>
      </c>
    </row>
    <row r="3562" ht="21" customHeight="1">
      <c r="A3562" s="22" t="inlineStr">
        <is>
          <t>00004721</t>
        </is>
      </c>
      <c r="B3562" s="23" t="inlineStr">
        <is>
          <t>PEDRA BRITADA N. 1 (9,5 A 19 MM) POSTO PEDREIRA/FORNECEDOR, SEM FRETE</t>
        </is>
      </c>
      <c r="C3562" s="22" t="inlineStr">
        <is>
          <t>SINAPI</t>
        </is>
      </c>
      <c r="D3562" s="22" t="inlineStr">
        <is>
          <t>M3</t>
        </is>
      </c>
      <c r="E3562" s="63" t="n">
        <v>0.0164</v>
      </c>
      <c r="F3562" s="64">
        <f>ROUND(M3562*FATOR, 2)</f>
        <v/>
      </c>
      <c r="G3562" s="64">
        <f>ROUND(ROUND(E3562,8)*F3562,2)</f>
        <v/>
      </c>
      <c r="L3562" t="n">
        <v>0.0164</v>
      </c>
      <c r="M3562" t="n">
        <v>111.01</v>
      </c>
      <c r="N3562">
        <f>(M3562-F3562)</f>
        <v/>
      </c>
    </row>
    <row r="3563" ht="21" customHeight="1">
      <c r="A3563" s="22" t="inlineStr">
        <is>
          <t>00004718</t>
        </is>
      </c>
      <c r="B3563" s="23" t="inlineStr">
        <is>
          <t>PEDRA BRITADA N. 2 (19 A 38 MM) POSTO PEDREIRA/FORNECEDOR, SEM FRETE</t>
        </is>
      </c>
      <c r="C3563" s="22" t="inlineStr">
        <is>
          <t>SINAPI</t>
        </is>
      </c>
      <c r="D3563" s="22" t="inlineStr">
        <is>
          <t>M3</t>
        </is>
      </c>
      <c r="E3563" s="63" t="n">
        <v>0.0492</v>
      </c>
      <c r="F3563" s="64">
        <f>ROUND(M3563*FATOR, 2)</f>
        <v/>
      </c>
      <c r="G3563" s="64">
        <f>ROUND(ROUND(E3563,8)*F3563,2)</f>
        <v/>
      </c>
      <c r="L3563" t="n">
        <v>0.0492</v>
      </c>
      <c r="M3563" t="n">
        <v>111.6</v>
      </c>
      <c r="N3563">
        <f>(M3563-F3563)</f>
        <v/>
      </c>
    </row>
    <row r="3564" ht="15" customHeight="1">
      <c r="A3564" s="22" t="inlineStr">
        <is>
          <t>00005067</t>
        </is>
      </c>
      <c r="B3564" s="23" t="inlineStr">
        <is>
          <t>PREGO DE ACO POLIDO COM CABECA 16 X 24 (2 1/4 X 12)</t>
        </is>
      </c>
      <c r="C3564" s="22" t="inlineStr">
        <is>
          <t>SINAPI</t>
        </is>
      </c>
      <c r="D3564" s="22" t="inlineStr">
        <is>
          <t>KG</t>
        </is>
      </c>
      <c r="E3564" s="63" t="n">
        <v>0.18</v>
      </c>
      <c r="F3564" s="64">
        <f>ROUND(M3564*FATOR, 2)</f>
        <v/>
      </c>
      <c r="G3564" s="64">
        <f>ROUND(ROUND(E3564,8)*F3564,2)</f>
        <v/>
      </c>
      <c r="L3564" t="n">
        <v>0.18</v>
      </c>
      <c r="M3564" t="n">
        <v>15.12</v>
      </c>
      <c r="N3564">
        <f>(M3564-F3564)</f>
        <v/>
      </c>
    </row>
    <row r="3565" ht="21" customHeight="1">
      <c r="A3565" s="22" t="inlineStr">
        <is>
          <t>00004509</t>
        </is>
      </c>
      <c r="B3565" s="23" t="inlineStr">
        <is>
          <t>SARRAFO *2,5 X 10* CM EM PINUS, MISTA OU EQUIVALENTE DA REGIAO - BRUTA</t>
        </is>
      </c>
      <c r="C3565" s="22" t="inlineStr">
        <is>
          <t>SINAPI</t>
        </is>
      </c>
      <c r="D3565" s="22" t="inlineStr">
        <is>
          <t>M</t>
        </is>
      </c>
      <c r="E3565" s="63" t="n">
        <v>0.798</v>
      </c>
      <c r="F3565" s="64">
        <f>ROUND(M3565*FATOR, 2)</f>
        <v/>
      </c>
      <c r="G3565" s="64">
        <f>ROUND(ROUND(E3565,8)*F3565,2)</f>
        <v/>
      </c>
      <c r="L3565" t="n">
        <v>0.798</v>
      </c>
      <c r="M3565" t="n">
        <v>5.61</v>
      </c>
      <c r="N3565">
        <f>(M3565-F3565)</f>
        <v/>
      </c>
    </row>
    <row r="3566" ht="15" customHeight="1">
      <c r="A3566" s="22" t="inlineStr">
        <is>
          <t>I02212</t>
        </is>
      </c>
      <c r="B3566" s="23" t="inlineStr">
        <is>
          <t>Tijolo cerâmico maciço 5 x 9 x 19cm</t>
        </is>
      </c>
      <c r="C3566" s="22" t="inlineStr">
        <is>
          <t>ORSE</t>
        </is>
      </c>
      <c r="D3566" s="22" t="inlineStr">
        <is>
          <t>un</t>
        </is>
      </c>
      <c r="E3566" s="63" t="n">
        <v>81.59999999999999</v>
      </c>
      <c r="F3566" s="64">
        <f>ROUND(M3566*FATOR, 2)</f>
        <v/>
      </c>
      <c r="G3566" s="64">
        <f>ROUND(ROUND(E3566,8)*F3566,2)</f>
        <v/>
      </c>
      <c r="L3566" t="n">
        <v>81.59999999999999</v>
      </c>
      <c r="M3566" t="n">
        <v>0.7</v>
      </c>
      <c r="N3566">
        <f>(M3566-F3566)</f>
        <v/>
      </c>
    </row>
    <row r="3567" ht="15" customHeight="1">
      <c r="A3567" s="2" t="inlineStr"/>
      <c r="B3567" s="2" t="inlineStr"/>
      <c r="C3567" s="2" t="inlineStr"/>
      <c r="D3567" s="2" t="inlineStr"/>
      <c r="E3567" s="26" t="inlineStr">
        <is>
          <t>TOTAL Material:</t>
        </is>
      </c>
      <c r="F3567" s="56" t="n"/>
      <c r="G3567" s="65">
        <f>SUM(G3551:G3566)</f>
        <v/>
      </c>
    </row>
    <row r="3568" ht="15" customHeight="1">
      <c r="A3568" s="20" t="inlineStr">
        <is>
          <t>Mão de Obra</t>
        </is>
      </c>
      <c r="B3568" s="56" t="n"/>
      <c r="C3568" s="21" t="inlineStr">
        <is>
          <t>FONTE</t>
        </is>
      </c>
      <c r="D3568" s="21" t="inlineStr">
        <is>
          <t>UNID</t>
        </is>
      </c>
      <c r="E3568" s="21" t="inlineStr">
        <is>
          <t>COEFICIENTE</t>
        </is>
      </c>
      <c r="F3568" s="21" t="inlineStr">
        <is>
          <t>PREÇO UNITÁRIO</t>
        </is>
      </c>
      <c r="G3568" s="21" t="inlineStr">
        <is>
          <t>TOTAL</t>
        </is>
      </c>
    </row>
    <row r="3569" ht="15" customHeight="1">
      <c r="A3569" s="22" t="inlineStr">
        <is>
          <t>I0121</t>
        </is>
      </c>
      <c r="B3569" s="23" t="inlineStr">
        <is>
          <t>ARMADOR/FERREIRO</t>
        </is>
      </c>
      <c r="C3569" s="22" t="inlineStr">
        <is>
          <t>SEINFRA</t>
        </is>
      </c>
      <c r="D3569" s="22" t="inlineStr">
        <is>
          <t>H</t>
        </is>
      </c>
      <c r="E3569" s="63">
        <f>L3569*FATOR</f>
        <v/>
      </c>
      <c r="F3569" s="64" t="n">
        <v>26.86</v>
      </c>
      <c r="G3569" s="64">
        <f>ROUND(ROUND(E3569,8)*F3569,2)</f>
        <v/>
      </c>
      <c r="L3569" t="n">
        <v>0.2381</v>
      </c>
      <c r="M3569" t="n">
        <v>26.86</v>
      </c>
      <c r="N3569">
        <f>(M3569-F3569)</f>
        <v/>
      </c>
    </row>
    <row r="3570" ht="15" customHeight="1">
      <c r="A3570" s="22" t="inlineStr">
        <is>
          <t>I0498</t>
        </is>
      </c>
      <c r="B3570" s="23" t="inlineStr">
        <is>
          <t>CARPINTEIRO</t>
        </is>
      </c>
      <c r="C3570" s="22" t="inlineStr">
        <is>
          <t>SEINFRA</t>
        </is>
      </c>
      <c r="D3570" s="22" t="inlineStr">
        <is>
          <t>H</t>
        </is>
      </c>
      <c r="E3570" s="63">
        <f>L3570*FATOR</f>
        <v/>
      </c>
      <c r="F3570" s="64" t="n">
        <v>26.86</v>
      </c>
      <c r="G3570" s="64">
        <f>ROUND(ROUND(E3570,8)*F3570,2)</f>
        <v/>
      </c>
      <c r="L3570" t="n">
        <v>0.8682</v>
      </c>
      <c r="M3570" t="n">
        <v>26.86</v>
      </c>
      <c r="N3570">
        <f>(M3570-F3570)</f>
        <v/>
      </c>
    </row>
    <row r="3571" ht="15" customHeight="1">
      <c r="A3571" s="22" t="inlineStr">
        <is>
          <t>I2391</t>
        </is>
      </c>
      <c r="B3571" s="23" t="inlineStr">
        <is>
          <t>PEDREIRO</t>
        </is>
      </c>
      <c r="C3571" s="22" t="inlineStr">
        <is>
          <t>SEINFRA</t>
        </is>
      </c>
      <c r="D3571" s="22" t="inlineStr">
        <is>
          <t>H</t>
        </is>
      </c>
      <c r="E3571" s="63">
        <f>L3571*FATOR</f>
        <v/>
      </c>
      <c r="F3571" s="64" t="n">
        <v>26.86</v>
      </c>
      <c r="G3571" s="64">
        <f>ROUND(ROUND(E3571,8)*F3571,2)</f>
        <v/>
      </c>
      <c r="L3571" t="n">
        <v>2.5522</v>
      </c>
      <c r="M3571" t="n">
        <v>26.86</v>
      </c>
      <c r="N3571">
        <f>(M3571-F3571)</f>
        <v/>
      </c>
    </row>
    <row r="3572" ht="15" customHeight="1">
      <c r="A3572" s="22" t="inlineStr">
        <is>
          <t>I2543</t>
        </is>
      </c>
      <c r="B3572" s="23" t="inlineStr">
        <is>
          <t>SERVENTE</t>
        </is>
      </c>
      <c r="C3572" s="22" t="inlineStr">
        <is>
          <t>SEINFRA</t>
        </is>
      </c>
      <c r="D3572" s="22" t="inlineStr">
        <is>
          <t>H</t>
        </is>
      </c>
      <c r="E3572" s="63">
        <f>L3572*FATOR</f>
        <v/>
      </c>
      <c r="F3572" s="64" t="n">
        <v>20.26</v>
      </c>
      <c r="G3572" s="64">
        <f>ROUND(ROUND(E3572,8)*F3572,2)</f>
        <v/>
      </c>
      <c r="L3572" t="n">
        <v>4.517</v>
      </c>
      <c r="M3572" t="n">
        <v>20.26</v>
      </c>
      <c r="N3572">
        <f>(M3572-F3572)</f>
        <v/>
      </c>
    </row>
    <row r="3573" ht="15" customHeight="1">
      <c r="A3573" s="2" t="inlineStr"/>
      <c r="B3573" s="2" t="inlineStr"/>
      <c r="C3573" s="2" t="inlineStr"/>
      <c r="D3573" s="2" t="inlineStr"/>
      <c r="E3573" s="26" t="inlineStr">
        <is>
          <t>TOTAL Mão de Obra:</t>
        </is>
      </c>
      <c r="F3573" s="56" t="n"/>
      <c r="G3573" s="65">
        <f>SUM(G3569:G3572)</f>
        <v/>
      </c>
    </row>
    <row r="3574" ht="15" customHeight="1">
      <c r="A3574" s="2" t="inlineStr"/>
      <c r="B3574" s="2" t="inlineStr"/>
      <c r="C3574" s="2" t="inlineStr"/>
      <c r="D3574" s="2" t="inlineStr"/>
      <c r="E3574" s="28" t="inlineStr">
        <is>
          <t>VALOR:</t>
        </is>
      </c>
      <c r="F3574" s="56" t="n"/>
      <c r="G3574" s="66">
        <f>SUM(G3573,G3567)</f>
        <v/>
      </c>
    </row>
    <row r="3575" ht="15" customHeight="1">
      <c r="A3575" s="2" t="inlineStr"/>
      <c r="B3575" s="2" t="inlineStr"/>
      <c r="C3575" s="2" t="inlineStr"/>
      <c r="D3575" s="2" t="inlineStr"/>
      <c r="E3575" s="28" t="inlineStr">
        <is>
          <t>VALOR BDI (23.08%):</t>
        </is>
      </c>
      <c r="F3575" s="56" t="n"/>
      <c r="G3575" s="66">
        <f>ROUNDDOWN(G3574*BDI,2)</f>
        <v/>
      </c>
    </row>
    <row r="3576" ht="15" customHeight="1">
      <c r="A3576" s="2" t="inlineStr"/>
      <c r="B3576" s="2" t="inlineStr"/>
      <c r="C3576" s="2" t="inlineStr"/>
      <c r="D3576" s="2" t="inlineStr"/>
      <c r="E3576" s="28" t="inlineStr">
        <is>
          <t>VALOR COM BDI:</t>
        </is>
      </c>
      <c r="F3576" s="56" t="n"/>
      <c r="G3576" s="66">
        <f>G3575 + G3574</f>
        <v/>
      </c>
    </row>
    <row r="3577" ht="10" customHeight="1">
      <c r="A3577" s="2" t="inlineStr"/>
      <c r="B3577" s="2" t="inlineStr"/>
      <c r="C3577" s="2" t="inlineStr"/>
      <c r="D3577" s="2" t="inlineStr"/>
      <c r="E3577" s="18" t="inlineStr"/>
    </row>
    <row r="3578" ht="20" customHeight="1">
      <c r="A3578" s="19" t="inlineStr">
        <is>
          <t>9.7.4.4. ​SOP0334​ TAMPA ARTICULADA DE FERRO FUNDIDO 60 X 60CM, INCLUSIVE INSTALAÇÃO​ (UN)</t>
        </is>
      </c>
      <c r="B3578" s="55" t="n"/>
      <c r="C3578" s="55" t="n"/>
      <c r="D3578" s="55" t="n"/>
      <c r="E3578" s="55" t="n"/>
      <c r="F3578" s="55" t="n"/>
      <c r="G3578" s="56" t="n"/>
    </row>
    <row r="3579" ht="15" customHeight="1">
      <c r="A3579" s="20" t="inlineStr">
        <is>
          <t>Material</t>
        </is>
      </c>
      <c r="B3579" s="56" t="n"/>
      <c r="C3579" s="21" t="inlineStr">
        <is>
          <t>FONTE</t>
        </is>
      </c>
      <c r="D3579" s="21" t="inlineStr">
        <is>
          <t>UNID</t>
        </is>
      </c>
      <c r="E3579" s="21" t="inlineStr">
        <is>
          <t>COEFICIENTE</t>
        </is>
      </c>
      <c r="F3579" s="21" t="inlineStr">
        <is>
          <t>PREÇO UNITÁRIO</t>
        </is>
      </c>
      <c r="G3579" s="21" t="inlineStr">
        <is>
          <t>TOTAL</t>
        </is>
      </c>
    </row>
    <row r="3580" ht="21" customHeight="1">
      <c r="A3580" s="22" t="inlineStr">
        <is>
          <t>I02069</t>
        </is>
      </c>
      <c r="B3580" s="23" t="inlineStr">
        <is>
          <t>Tampa de ferro fundido quadrada (600x600mm), carga max. 2000kg p/cx.inspeção</t>
        </is>
      </c>
      <c r="C3580" s="22" t="inlineStr">
        <is>
          <t>ORSE</t>
        </is>
      </c>
      <c r="D3580" s="22" t="inlineStr">
        <is>
          <t>un</t>
        </is>
      </c>
      <c r="E3580" s="63" t="n">
        <v>1</v>
      </c>
      <c r="F3580" s="64">
        <f>ROUND(M3580*FATOR, 2)</f>
        <v/>
      </c>
      <c r="G3580" s="64">
        <f>ROUND(ROUND(E3580,8)*F3580,2)</f>
        <v/>
      </c>
      <c r="L3580" t="n">
        <v>1</v>
      </c>
      <c r="M3580" t="n">
        <v>1660.41</v>
      </c>
      <c r="N3580">
        <f>(M3580-F3580)</f>
        <v/>
      </c>
    </row>
    <row r="3581" ht="15" customHeight="1">
      <c r="A3581" s="2" t="inlineStr"/>
      <c r="B3581" s="2" t="inlineStr"/>
      <c r="C3581" s="2" t="inlineStr"/>
      <c r="D3581" s="2" t="inlineStr"/>
      <c r="E3581" s="26" t="inlineStr">
        <is>
          <t>TOTAL Material:</t>
        </is>
      </c>
      <c r="F3581" s="56" t="n"/>
      <c r="G3581" s="65">
        <f>SUM(G3580:G3580)</f>
        <v/>
      </c>
    </row>
    <row r="3582" ht="15" customHeight="1">
      <c r="A3582" s="20" t="inlineStr">
        <is>
          <t>Mão de Obra</t>
        </is>
      </c>
      <c r="B3582" s="56" t="n"/>
      <c r="C3582" s="21" t="inlineStr">
        <is>
          <t>FONTE</t>
        </is>
      </c>
      <c r="D3582" s="21" t="inlineStr">
        <is>
          <t>UNID</t>
        </is>
      </c>
      <c r="E3582" s="21" t="inlineStr">
        <is>
          <t>COEFICIENTE</t>
        </is>
      </c>
      <c r="F3582" s="21" t="inlineStr">
        <is>
          <t>PREÇO UNITÁRIO</t>
        </is>
      </c>
      <c r="G3582" s="21" t="inlineStr">
        <is>
          <t>TOTAL</t>
        </is>
      </c>
    </row>
    <row r="3583" ht="15" customHeight="1">
      <c r="A3583" s="22" t="inlineStr">
        <is>
          <t>I2312</t>
        </is>
      </c>
      <c r="B3583" s="23" t="inlineStr">
        <is>
          <t>ELETRICISTA</t>
        </is>
      </c>
      <c r="C3583" s="22" t="inlineStr">
        <is>
          <t>SEINFRA</t>
        </is>
      </c>
      <c r="D3583" s="22" t="inlineStr">
        <is>
          <t>H</t>
        </is>
      </c>
      <c r="E3583" s="63">
        <f>L3583*FATOR</f>
        <v/>
      </c>
      <c r="F3583" s="64" t="n">
        <v>26.85</v>
      </c>
      <c r="G3583" s="64">
        <f>ROUND(ROUND(E3583,8)*F3583,2)</f>
        <v/>
      </c>
      <c r="L3583" t="n">
        <v>2</v>
      </c>
      <c r="M3583" t="n">
        <v>26.85</v>
      </c>
      <c r="N3583">
        <f>(M3583-F3583)</f>
        <v/>
      </c>
    </row>
    <row r="3584" ht="15" customHeight="1">
      <c r="A3584" s="22" t="inlineStr">
        <is>
          <t>I2543</t>
        </is>
      </c>
      <c r="B3584" s="23" t="inlineStr">
        <is>
          <t>SERVENTE</t>
        </is>
      </c>
      <c r="C3584" s="22" t="inlineStr">
        <is>
          <t>SEINFRA</t>
        </is>
      </c>
      <c r="D3584" s="22" t="inlineStr">
        <is>
          <t>H</t>
        </is>
      </c>
      <c r="E3584" s="63">
        <f>L3584*FATOR</f>
        <v/>
      </c>
      <c r="F3584" s="64" t="n">
        <v>20.26</v>
      </c>
      <c r="G3584" s="64">
        <f>ROUND(ROUND(E3584,8)*F3584,2)</f>
        <v/>
      </c>
      <c r="L3584" t="n">
        <v>2</v>
      </c>
      <c r="M3584" t="n">
        <v>20.26</v>
      </c>
      <c r="N3584">
        <f>(M3584-F3584)</f>
        <v/>
      </c>
    </row>
    <row r="3585" ht="15" customHeight="1">
      <c r="A3585" s="2" t="inlineStr"/>
      <c r="B3585" s="2" t="inlineStr"/>
      <c r="C3585" s="2" t="inlineStr"/>
      <c r="D3585" s="2" t="inlineStr"/>
      <c r="E3585" s="26" t="inlineStr">
        <is>
          <t>TOTAL Mão de Obra:</t>
        </is>
      </c>
      <c r="F3585" s="56" t="n"/>
      <c r="G3585" s="65">
        <f>SUM(G3583:G3584)</f>
        <v/>
      </c>
    </row>
    <row r="3586" ht="15" customHeight="1">
      <c r="A3586" s="2" t="inlineStr"/>
      <c r="B3586" s="2" t="inlineStr"/>
      <c r="C3586" s="2" t="inlineStr"/>
      <c r="D3586" s="2" t="inlineStr"/>
      <c r="E3586" s="28" t="inlineStr">
        <is>
          <t>VALOR:</t>
        </is>
      </c>
      <c r="F3586" s="56" t="n"/>
      <c r="G3586" s="66">
        <f>SUM(G3585,G3581)</f>
        <v/>
      </c>
    </row>
    <row r="3587" ht="15" customHeight="1">
      <c r="A3587" s="2" t="inlineStr"/>
      <c r="B3587" s="2" t="inlineStr"/>
      <c r="C3587" s="2" t="inlineStr"/>
      <c r="D3587" s="2" t="inlineStr"/>
      <c r="E3587" s="28" t="inlineStr">
        <is>
          <t>VALOR BDI (23.08%):</t>
        </is>
      </c>
      <c r="F3587" s="56" t="n"/>
      <c r="G3587" s="66">
        <f>ROUNDDOWN(G3586*BDI,2)</f>
        <v/>
      </c>
    </row>
    <row r="3588" ht="15" customHeight="1">
      <c r="A3588" s="2" t="inlineStr"/>
      <c r="B3588" s="2" t="inlineStr"/>
      <c r="C3588" s="2" t="inlineStr"/>
      <c r="D3588" s="2" t="inlineStr"/>
      <c r="E3588" s="28" t="inlineStr">
        <is>
          <t>VALOR COM BDI:</t>
        </is>
      </c>
      <c r="F3588" s="56" t="n"/>
      <c r="G3588" s="66">
        <f>G3587 + G3586</f>
        <v/>
      </c>
    </row>
    <row r="3589" ht="10" customHeight="1">
      <c r="A3589" s="2" t="inlineStr"/>
      <c r="B3589" s="2" t="inlineStr"/>
      <c r="C3589" s="2" t="inlineStr"/>
      <c r="D3589" s="2" t="inlineStr"/>
      <c r="E3589" s="18" t="inlineStr"/>
    </row>
    <row r="3590" ht="20" customHeight="1">
      <c r="A3590" s="19" t="inlineStr">
        <is>
          <t>9.7.5.1. ​419 PRÓPRIO​ CAIXA DE TOMADA (10A) EM PVC PARA INSTALAÇÃO EM PERFILADO 38 X 38MM​ (UN)</t>
        </is>
      </c>
      <c r="B3590" s="55" t="n"/>
      <c r="C3590" s="55" t="n"/>
      <c r="D3590" s="55" t="n"/>
      <c r="E3590" s="55" t="n"/>
      <c r="F3590" s="55" t="n"/>
      <c r="G3590" s="56" t="n"/>
    </row>
    <row r="3591" ht="15" customHeight="1">
      <c r="A3591" s="20" t="inlineStr">
        <is>
          <t>Material</t>
        </is>
      </c>
      <c r="B3591" s="56" t="n"/>
      <c r="C3591" s="21" t="inlineStr">
        <is>
          <t>FONTE</t>
        </is>
      </c>
      <c r="D3591" s="21" t="inlineStr">
        <is>
          <t>UNID</t>
        </is>
      </c>
      <c r="E3591" s="21" t="inlineStr">
        <is>
          <t>COEFICIENTE</t>
        </is>
      </c>
      <c r="F3591" s="21" t="inlineStr">
        <is>
          <t>PREÇO UNITÁRIO</t>
        </is>
      </c>
      <c r="G3591" s="21" t="inlineStr">
        <is>
          <t>TOTAL</t>
        </is>
      </c>
    </row>
    <row r="3592" ht="21" customHeight="1">
      <c r="A3592" s="22" t="inlineStr">
        <is>
          <t>040490 SBC</t>
        </is>
      </c>
      <c r="B3592" s="23" t="inlineStr">
        <is>
          <t>PERFILADO - CAIXA DE PVC COM TOMADA 10A PARA PERFILADO 38X38MM</t>
        </is>
      </c>
      <c r="C3592" s="22" t="inlineStr">
        <is>
          <t xml:space="preserve">Composições </t>
        </is>
      </c>
      <c r="D3592" s="22" t="inlineStr">
        <is>
          <t>UN</t>
        </is>
      </c>
      <c r="E3592" s="63" t="n">
        <v>1</v>
      </c>
      <c r="F3592" s="64">
        <f>ROUND(M3592*FATOR, 2)</f>
        <v/>
      </c>
      <c r="G3592" s="64">
        <f>ROUND(ROUND(E3592,8)*F3592,2)</f>
        <v/>
      </c>
      <c r="L3592" t="n">
        <v>1</v>
      </c>
      <c r="M3592" t="n">
        <v>11.6</v>
      </c>
      <c r="N3592">
        <f>(M3592-F3592)</f>
        <v/>
      </c>
    </row>
    <row r="3593" ht="15" customHeight="1">
      <c r="A3593" s="2" t="inlineStr"/>
      <c r="B3593" s="2" t="inlineStr"/>
      <c r="C3593" s="2" t="inlineStr"/>
      <c r="D3593" s="2" t="inlineStr"/>
      <c r="E3593" s="26" t="inlineStr">
        <is>
          <t>TOTAL Material:</t>
        </is>
      </c>
      <c r="F3593" s="56" t="n"/>
      <c r="G3593" s="65">
        <f>SUM(G3592:G3592)</f>
        <v/>
      </c>
    </row>
    <row r="3594" ht="15" customHeight="1">
      <c r="A3594" s="20" t="inlineStr">
        <is>
          <t>Mão de Obra com Encargos Complementares</t>
        </is>
      </c>
      <c r="B3594" s="56" t="n"/>
      <c r="C3594" s="21" t="inlineStr">
        <is>
          <t>FONTE</t>
        </is>
      </c>
      <c r="D3594" s="21" t="inlineStr">
        <is>
          <t>UNID</t>
        </is>
      </c>
      <c r="E3594" s="21" t="inlineStr">
        <is>
          <t>COEFICIENTE</t>
        </is>
      </c>
      <c r="F3594" s="21" t="inlineStr">
        <is>
          <t>PREÇO UNITÁRIO</t>
        </is>
      </c>
      <c r="G3594" s="21" t="inlineStr">
        <is>
          <t>TOTAL</t>
        </is>
      </c>
    </row>
    <row r="3595" ht="21" customHeight="1">
      <c r="A3595" s="22" t="inlineStr">
        <is>
          <t>88247</t>
        </is>
      </c>
      <c r="B3595" s="23" t="inlineStr">
        <is>
          <t>AUXILIAR DE ELETRICISTA COM ENCARGOS COMPLEMENTARES</t>
        </is>
      </c>
      <c r="C3595" s="22" t="inlineStr">
        <is>
          <t>SINAPI</t>
        </is>
      </c>
      <c r="D3595" s="22" t="inlineStr">
        <is>
          <t>H</t>
        </is>
      </c>
      <c r="E3595" s="63">
        <f>L3595*FATOR</f>
        <v/>
      </c>
      <c r="F3595" s="64">
        <f>'COMPOSICOES AUXILIARES'!G505</f>
        <v/>
      </c>
      <c r="G3595" s="64">
        <f>ROUND(ROUND(E3595,8)*F3595,2)</f>
        <v/>
      </c>
      <c r="L3595" t="n">
        <v>0.32</v>
      </c>
      <c r="M3595" t="n">
        <v>25.22</v>
      </c>
      <c r="N3595">
        <f>(M3595-F3595)</f>
        <v/>
      </c>
    </row>
    <row r="3596" ht="15" customHeight="1">
      <c r="A3596" s="22" t="inlineStr">
        <is>
          <t>88264</t>
        </is>
      </c>
      <c r="B3596" s="23" t="inlineStr">
        <is>
          <t>ELETRICISTA COM ENCARGOS COMPLEMENTARES</t>
        </is>
      </c>
      <c r="C3596" s="22" t="inlineStr">
        <is>
          <t>SINAPI</t>
        </is>
      </c>
      <c r="D3596" s="22" t="inlineStr">
        <is>
          <t>H</t>
        </is>
      </c>
      <c r="E3596" s="63">
        <f>L3596*FATOR</f>
        <v/>
      </c>
      <c r="F3596" s="64">
        <f>'COMPOSICOES AUXILIARES'!G505</f>
        <v/>
      </c>
      <c r="G3596" s="64">
        <f>ROUND(ROUND(E3596,8)*F3596,2)</f>
        <v/>
      </c>
      <c r="L3596" t="n">
        <v>0.32</v>
      </c>
      <c r="M3596" t="n">
        <v>30.96</v>
      </c>
      <c r="N3596">
        <f>(M3596-F3596)</f>
        <v/>
      </c>
    </row>
    <row r="3597" ht="18" customHeight="1">
      <c r="A3597" s="2" t="inlineStr"/>
      <c r="B3597" s="2" t="inlineStr"/>
      <c r="C3597" s="2" t="inlineStr"/>
      <c r="D3597" s="2" t="inlineStr"/>
      <c r="E3597" s="26" t="inlineStr">
        <is>
          <t>TOTAL Mão de Obra com Encargos Complementares:</t>
        </is>
      </c>
      <c r="F3597" s="56" t="n"/>
      <c r="G3597" s="65">
        <f>SUM(G3595:G3596)</f>
        <v/>
      </c>
    </row>
    <row r="3598" ht="15" customHeight="1">
      <c r="A3598" s="2" t="inlineStr"/>
      <c r="B3598" s="2" t="inlineStr"/>
      <c r="C3598" s="2" t="inlineStr"/>
      <c r="D3598" s="2" t="inlineStr"/>
      <c r="E3598" s="28" t="inlineStr">
        <is>
          <t>VALOR:</t>
        </is>
      </c>
      <c r="F3598" s="56" t="n"/>
      <c r="G3598" s="66">
        <f>SUM(G3593,G3597)</f>
        <v/>
      </c>
    </row>
    <row r="3599" ht="15" customHeight="1">
      <c r="A3599" s="2" t="inlineStr"/>
      <c r="B3599" s="2" t="inlineStr"/>
      <c r="C3599" s="2" t="inlineStr"/>
      <c r="D3599" s="2" t="inlineStr"/>
      <c r="E3599" s="28" t="inlineStr">
        <is>
          <t>VALOR BDI (23.08%):</t>
        </is>
      </c>
      <c r="F3599" s="56" t="n"/>
      <c r="G3599" s="66">
        <f>ROUNDDOWN(G3598*BDI,2)</f>
        <v/>
      </c>
    </row>
    <row r="3600" ht="15" customHeight="1">
      <c r="A3600" s="2" t="inlineStr"/>
      <c r="B3600" s="2" t="inlineStr"/>
      <c r="C3600" s="2" t="inlineStr"/>
      <c r="D3600" s="2" t="inlineStr"/>
      <c r="E3600" s="28" t="inlineStr">
        <is>
          <t>VALOR COM BDI:</t>
        </is>
      </c>
      <c r="F3600" s="56" t="n"/>
      <c r="G3600" s="66">
        <f>G3599 + G3598</f>
        <v/>
      </c>
    </row>
    <row r="3601" ht="10" customHeight="1">
      <c r="A3601" s="2" t="inlineStr"/>
      <c r="B3601" s="2" t="inlineStr"/>
      <c r="C3601" s="2" t="inlineStr"/>
      <c r="D3601" s="2" t="inlineStr"/>
      <c r="E3601" s="18" t="inlineStr"/>
    </row>
    <row r="3602" ht="20" customHeight="1">
      <c r="A3602" s="19" t="inlineStr">
        <is>
          <t>9.8.1.1. ​91926​ CABO DE COBRE FLEXÍVEL ISOLADO, 2,5 MM², ANTI-CHAMA 450/750 V, PARA CIRCUITOS TERMINAIS - FORNECIMENTO EINSTALAÇÃO. AF_03/2023​ (M)</t>
        </is>
      </c>
      <c r="B3602" s="55" t="n"/>
      <c r="C3602" s="55" t="n"/>
      <c r="D3602" s="55" t="n"/>
      <c r="E3602" s="55" t="n"/>
      <c r="F3602" s="55" t="n"/>
      <c r="G3602" s="56" t="n"/>
    </row>
    <row r="3603" ht="15" customHeight="1">
      <c r="A3603" s="20" t="inlineStr">
        <is>
          <t>Material</t>
        </is>
      </c>
      <c r="B3603" s="56" t="n"/>
      <c r="C3603" s="21" t="inlineStr">
        <is>
          <t>FONTE</t>
        </is>
      </c>
      <c r="D3603" s="21" t="inlineStr">
        <is>
          <t>UNID</t>
        </is>
      </c>
      <c r="E3603" s="21" t="inlineStr">
        <is>
          <t>COEFICIENTE</t>
        </is>
      </c>
      <c r="F3603" s="21" t="inlineStr">
        <is>
          <t>PREÇO UNITÁRIO</t>
        </is>
      </c>
      <c r="G3603" s="21" t="inlineStr">
        <is>
          <t>TOTAL</t>
        </is>
      </c>
    </row>
    <row r="3604" ht="29" customHeight="1">
      <c r="A3604" s="22" t="inlineStr">
        <is>
          <t>00001014</t>
        </is>
      </c>
      <c r="B3604" s="23" t="inlineStr">
        <is>
          <t>CABO DE COBRE, FLEXIVEL, CLASSE 4 OU 5, ISOLACAO EM PVC/A, ANTICHAMA BWF-B, 1 CONDUTOR, 450/750 V, SECAO NOMINAL 2,5 MM2</t>
        </is>
      </c>
      <c r="C3604" s="22" t="inlineStr">
        <is>
          <t>SINAPI</t>
        </is>
      </c>
      <c r="D3604" s="22" t="inlineStr">
        <is>
          <t>M</t>
        </is>
      </c>
      <c r="E3604" s="63" t="n">
        <v>1.2434</v>
      </c>
      <c r="F3604" s="64">
        <f>ROUND(M3604*FATOR, 2)</f>
        <v/>
      </c>
      <c r="G3604" s="64">
        <f>TRUNC(TRUNC(E3604,8)*F3604,2)</f>
        <v/>
      </c>
      <c r="L3604" t="n">
        <v>1.2434</v>
      </c>
      <c r="M3604" t="n">
        <v>2.49</v>
      </c>
      <c r="N3604">
        <f>(M3604-F3604)</f>
        <v/>
      </c>
    </row>
    <row r="3605" ht="21" customHeight="1">
      <c r="A3605" s="22" t="inlineStr">
        <is>
          <t>00021127</t>
        </is>
      </c>
      <c r="B3605" s="23" t="inlineStr">
        <is>
          <t>FITA ISOLANTE ADESIVA ANTICHAMA, USO ATE 750 V, EM ROLO DE 19 MM X 5 M</t>
        </is>
      </c>
      <c r="C3605" s="22" t="inlineStr">
        <is>
          <t>SINAPI</t>
        </is>
      </c>
      <c r="D3605" s="22" t="inlineStr">
        <is>
          <t>UN</t>
        </is>
      </c>
      <c r="E3605" s="63" t="n">
        <v>0.0094</v>
      </c>
      <c r="F3605" s="64">
        <f>ROUND(M3605*FATOR, 2)</f>
        <v/>
      </c>
      <c r="G3605" s="64">
        <f>TRUNC(TRUNC(E3605,8)*F3605,2)</f>
        <v/>
      </c>
      <c r="L3605" t="n">
        <v>0.0094</v>
      </c>
      <c r="M3605" t="n">
        <v>3.78</v>
      </c>
      <c r="N3605">
        <f>(M3605-F3605)</f>
        <v/>
      </c>
    </row>
    <row r="3606" ht="15" customHeight="1">
      <c r="A3606" s="2" t="inlineStr"/>
      <c r="B3606" s="2" t="inlineStr"/>
      <c r="C3606" s="2" t="inlineStr"/>
      <c r="D3606" s="2" t="inlineStr"/>
      <c r="E3606" s="26" t="inlineStr">
        <is>
          <t>TOTAL Material:</t>
        </is>
      </c>
      <c r="F3606" s="56" t="n"/>
      <c r="G3606" s="65">
        <f>SUM(G3604:G3605)</f>
        <v/>
      </c>
    </row>
    <row r="3607" ht="15" customHeight="1">
      <c r="A3607" s="20" t="inlineStr">
        <is>
          <t>Mão de Obra com Encargos Complementares</t>
        </is>
      </c>
      <c r="B3607" s="56" t="n"/>
      <c r="C3607" s="21" t="inlineStr">
        <is>
          <t>FONTE</t>
        </is>
      </c>
      <c r="D3607" s="21" t="inlineStr">
        <is>
          <t>UNID</t>
        </is>
      </c>
      <c r="E3607" s="21" t="inlineStr">
        <is>
          <t>COEFICIENTE</t>
        </is>
      </c>
      <c r="F3607" s="21" t="inlineStr">
        <is>
          <t>PREÇO UNITÁRIO</t>
        </is>
      </c>
      <c r="G3607" s="21" t="inlineStr">
        <is>
          <t>TOTAL</t>
        </is>
      </c>
    </row>
    <row r="3608" ht="21" customHeight="1">
      <c r="A3608" s="22" t="inlineStr">
        <is>
          <t>88247</t>
        </is>
      </c>
      <c r="B3608" s="23" t="inlineStr">
        <is>
          <t>AUXILIAR DE ELETRICISTA COM ENCARGOS COMPLEMENTARES</t>
        </is>
      </c>
      <c r="C3608" s="22" t="inlineStr">
        <is>
          <t>SINAPI</t>
        </is>
      </c>
      <c r="D3608" s="22" t="inlineStr">
        <is>
          <t>H</t>
        </is>
      </c>
      <c r="E3608" s="63">
        <f>L3608*FATOR</f>
        <v/>
      </c>
      <c r="F3608" s="64">
        <f>'COMPOSICOES AUXILIARES'!G505</f>
        <v/>
      </c>
      <c r="G3608" s="64">
        <f>TRUNC(TRUNC(E3608,8)*F3608,2)</f>
        <v/>
      </c>
      <c r="L3608" t="n">
        <v>0.029</v>
      </c>
      <c r="M3608" t="n">
        <v>25.22</v>
      </c>
      <c r="N3608">
        <f>(M3608-F3608)</f>
        <v/>
      </c>
    </row>
    <row r="3609" ht="15" customHeight="1">
      <c r="A3609" s="22" t="inlineStr">
        <is>
          <t>88264</t>
        </is>
      </c>
      <c r="B3609" s="23" t="inlineStr">
        <is>
          <t>ELETRICISTA COM ENCARGOS COMPLEMENTARES</t>
        </is>
      </c>
      <c r="C3609" s="22" t="inlineStr">
        <is>
          <t>SINAPI</t>
        </is>
      </c>
      <c r="D3609" s="22" t="inlineStr">
        <is>
          <t>H</t>
        </is>
      </c>
      <c r="E3609" s="63">
        <f>L3609*FATOR</f>
        <v/>
      </c>
      <c r="F3609" s="64">
        <f>'COMPOSICOES AUXILIARES'!G505</f>
        <v/>
      </c>
      <c r="G3609" s="64">
        <f>TRUNC(TRUNC(E3609,8)*F3609,2)</f>
        <v/>
      </c>
      <c r="L3609" t="n">
        <v>0.029</v>
      </c>
      <c r="M3609" t="n">
        <v>30.96</v>
      </c>
      <c r="N3609">
        <f>(M3609-F3609)</f>
        <v/>
      </c>
    </row>
    <row r="3610" ht="18" customHeight="1">
      <c r="A3610" s="2" t="inlineStr"/>
      <c r="B3610" s="2" t="inlineStr"/>
      <c r="C3610" s="2" t="inlineStr"/>
      <c r="D3610" s="2" t="inlineStr"/>
      <c r="E3610" s="26" t="inlineStr">
        <is>
          <t>TOTAL Mão de Obra com Encargos Complementares:</t>
        </is>
      </c>
      <c r="F3610" s="56" t="n"/>
      <c r="G3610" s="65">
        <f>SUM(G3608:G3609)</f>
        <v/>
      </c>
    </row>
    <row r="3611" ht="15" customHeight="1">
      <c r="A3611" s="2" t="inlineStr"/>
      <c r="B3611" s="2" t="inlineStr"/>
      <c r="C3611" s="2" t="inlineStr"/>
      <c r="D3611" s="2" t="inlineStr"/>
      <c r="E3611" s="28" t="inlineStr">
        <is>
          <t>VALOR:</t>
        </is>
      </c>
      <c r="F3611" s="56" t="n"/>
      <c r="G3611" s="66">
        <f>SUM(G3610,G3606)</f>
        <v/>
      </c>
    </row>
    <row r="3612" ht="15" customHeight="1">
      <c r="A3612" s="2" t="inlineStr"/>
      <c r="B3612" s="2" t="inlineStr"/>
      <c r="C3612" s="2" t="inlineStr"/>
      <c r="D3612" s="2" t="inlineStr"/>
      <c r="E3612" s="28" t="inlineStr">
        <is>
          <t>VALOR BDI (23.08%):</t>
        </is>
      </c>
      <c r="F3612" s="56" t="n"/>
      <c r="G3612" s="66">
        <f>ROUNDDOWN(G3611*BDI,2)</f>
        <v/>
      </c>
    </row>
    <row r="3613" ht="15" customHeight="1">
      <c r="A3613" s="2" t="inlineStr"/>
      <c r="B3613" s="2" t="inlineStr"/>
      <c r="C3613" s="2" t="inlineStr"/>
      <c r="D3613" s="2" t="inlineStr"/>
      <c r="E3613" s="28" t="inlineStr">
        <is>
          <t>VALOR COM BDI:</t>
        </is>
      </c>
      <c r="F3613" s="56" t="n"/>
      <c r="G3613" s="66">
        <f>G3612 + G3611</f>
        <v/>
      </c>
    </row>
    <row r="3614" ht="10" customHeight="1">
      <c r="A3614" s="2" t="inlineStr"/>
      <c r="B3614" s="2" t="inlineStr"/>
      <c r="C3614" s="2" t="inlineStr"/>
      <c r="D3614" s="2" t="inlineStr"/>
      <c r="E3614" s="18" t="inlineStr"/>
    </row>
    <row r="3615" ht="20" customHeight="1">
      <c r="A3615" s="19" t="inlineStr">
        <is>
          <t>9.8.1.2. ​91928​ CABO DE COBRE FLEXÍVEL ISOLADO, 4 MM², ANTI-CHAMA 450/750 V, PARA CIRCUITOS TERMINAIS - FORNECIMENTO EINSTALAÇÃO. AF_03/2023​ (M)</t>
        </is>
      </c>
      <c r="B3615" s="55" t="n"/>
      <c r="C3615" s="55" t="n"/>
      <c r="D3615" s="55" t="n"/>
      <c r="E3615" s="55" t="n"/>
      <c r="F3615" s="55" t="n"/>
      <c r="G3615" s="56" t="n"/>
    </row>
    <row r="3616" ht="15" customHeight="1">
      <c r="A3616" s="20" t="inlineStr">
        <is>
          <t>Material</t>
        </is>
      </c>
      <c r="B3616" s="56" t="n"/>
      <c r="C3616" s="21" t="inlineStr">
        <is>
          <t>FONTE</t>
        </is>
      </c>
      <c r="D3616" s="21" t="inlineStr">
        <is>
          <t>UNID</t>
        </is>
      </c>
      <c r="E3616" s="21" t="inlineStr">
        <is>
          <t>COEFICIENTE</t>
        </is>
      </c>
      <c r="F3616" s="21" t="inlineStr">
        <is>
          <t>PREÇO UNITÁRIO</t>
        </is>
      </c>
      <c r="G3616" s="21" t="inlineStr">
        <is>
          <t>TOTAL</t>
        </is>
      </c>
    </row>
    <row r="3617" ht="29" customHeight="1">
      <c r="A3617" s="22" t="inlineStr">
        <is>
          <t>00000981</t>
        </is>
      </c>
      <c r="B3617" s="23" t="inlineStr">
        <is>
          <t>CABO DE COBRE, FLEXIVEL, CLASSE 4 OU 5, ISOLACAO EM PVC/A, ANTICHAMA BWF-B, 1 CONDUTOR, 450/750 V, SECAO NOMINAL 4 MM2</t>
        </is>
      </c>
      <c r="C3617" s="22" t="inlineStr">
        <is>
          <t>SINAPI</t>
        </is>
      </c>
      <c r="D3617" s="22" t="inlineStr">
        <is>
          <t>M</t>
        </is>
      </c>
      <c r="E3617" s="63" t="n">
        <v>1.2434</v>
      </c>
      <c r="F3617" s="64">
        <f>ROUND(M3617*FATOR, 2)</f>
        <v/>
      </c>
      <c r="G3617" s="64">
        <f>TRUNC(TRUNC(E3617,8)*F3617,2)</f>
        <v/>
      </c>
      <c r="L3617" t="n">
        <v>1.2434</v>
      </c>
      <c r="M3617" t="n">
        <v>4.13</v>
      </c>
      <c r="N3617">
        <f>(M3617-F3617)</f>
        <v/>
      </c>
    </row>
    <row r="3618" ht="21" customHeight="1">
      <c r="A3618" s="22" t="inlineStr">
        <is>
          <t>00021127</t>
        </is>
      </c>
      <c r="B3618" s="23" t="inlineStr">
        <is>
          <t>FITA ISOLANTE ADESIVA ANTICHAMA, USO ATE 750 V, EM ROLO DE 19 MM X 5 M</t>
        </is>
      </c>
      <c r="C3618" s="22" t="inlineStr">
        <is>
          <t>SINAPI</t>
        </is>
      </c>
      <c r="D3618" s="22" t="inlineStr">
        <is>
          <t>UN</t>
        </is>
      </c>
      <c r="E3618" s="63" t="n">
        <v>0.0094</v>
      </c>
      <c r="F3618" s="64">
        <f>ROUND(M3618*FATOR, 2)</f>
        <v/>
      </c>
      <c r="G3618" s="64">
        <f>TRUNC(TRUNC(E3618,8)*F3618,2)</f>
        <v/>
      </c>
      <c r="L3618" t="n">
        <v>0.0094</v>
      </c>
      <c r="M3618" t="n">
        <v>3.78</v>
      </c>
      <c r="N3618">
        <f>(M3618-F3618)</f>
        <v/>
      </c>
    </row>
    <row r="3619" ht="15" customHeight="1">
      <c r="A3619" s="2" t="inlineStr"/>
      <c r="B3619" s="2" t="inlineStr"/>
      <c r="C3619" s="2" t="inlineStr"/>
      <c r="D3619" s="2" t="inlineStr"/>
      <c r="E3619" s="26" t="inlineStr">
        <is>
          <t>TOTAL Material:</t>
        </is>
      </c>
      <c r="F3619" s="56" t="n"/>
      <c r="G3619" s="65">
        <f>SUM(G3617:G3618)</f>
        <v/>
      </c>
    </row>
    <row r="3620" ht="15" customHeight="1">
      <c r="A3620" s="20" t="inlineStr">
        <is>
          <t>Mão de Obra com Encargos Complementares</t>
        </is>
      </c>
      <c r="B3620" s="56" t="n"/>
      <c r="C3620" s="21" t="inlineStr">
        <is>
          <t>FONTE</t>
        </is>
      </c>
      <c r="D3620" s="21" t="inlineStr">
        <is>
          <t>UNID</t>
        </is>
      </c>
      <c r="E3620" s="21" t="inlineStr">
        <is>
          <t>COEFICIENTE</t>
        </is>
      </c>
      <c r="F3620" s="21" t="inlineStr">
        <is>
          <t>PREÇO UNITÁRIO</t>
        </is>
      </c>
      <c r="G3620" s="21" t="inlineStr">
        <is>
          <t>TOTAL</t>
        </is>
      </c>
    </row>
    <row r="3621" ht="21" customHeight="1">
      <c r="A3621" s="22" t="inlineStr">
        <is>
          <t>88247</t>
        </is>
      </c>
      <c r="B3621" s="23" t="inlineStr">
        <is>
          <t>AUXILIAR DE ELETRICISTA COM ENCARGOS COMPLEMENTARES</t>
        </is>
      </c>
      <c r="C3621" s="22" t="inlineStr">
        <is>
          <t>SINAPI</t>
        </is>
      </c>
      <c r="D3621" s="22" t="inlineStr">
        <is>
          <t>H</t>
        </is>
      </c>
      <c r="E3621" s="63">
        <f>L3621*FATOR</f>
        <v/>
      </c>
      <c r="F3621" s="64">
        <f>'COMPOSICOES AUXILIARES'!G505</f>
        <v/>
      </c>
      <c r="G3621" s="64">
        <f>TRUNC(TRUNC(E3621,8)*F3621,2)</f>
        <v/>
      </c>
      <c r="L3621" t="n">
        <v>0.039</v>
      </c>
      <c r="M3621" t="n">
        <v>25.22</v>
      </c>
      <c r="N3621">
        <f>(M3621-F3621)</f>
        <v/>
      </c>
    </row>
    <row r="3622" ht="15" customHeight="1">
      <c r="A3622" s="22" t="inlineStr">
        <is>
          <t>88264</t>
        </is>
      </c>
      <c r="B3622" s="23" t="inlineStr">
        <is>
          <t>ELETRICISTA COM ENCARGOS COMPLEMENTARES</t>
        </is>
      </c>
      <c r="C3622" s="22" t="inlineStr">
        <is>
          <t>SINAPI</t>
        </is>
      </c>
      <c r="D3622" s="22" t="inlineStr">
        <is>
          <t>H</t>
        </is>
      </c>
      <c r="E3622" s="63">
        <f>L3622*FATOR</f>
        <v/>
      </c>
      <c r="F3622" s="64">
        <f>'COMPOSICOES AUXILIARES'!G505</f>
        <v/>
      </c>
      <c r="G3622" s="64">
        <f>TRUNC(TRUNC(E3622,8)*F3622,2)</f>
        <v/>
      </c>
      <c r="L3622" t="n">
        <v>0.039</v>
      </c>
      <c r="M3622" t="n">
        <v>30.96</v>
      </c>
      <c r="N3622">
        <f>(M3622-F3622)</f>
        <v/>
      </c>
    </row>
    <row r="3623" ht="18" customHeight="1">
      <c r="A3623" s="2" t="inlineStr"/>
      <c r="B3623" s="2" t="inlineStr"/>
      <c r="C3623" s="2" t="inlineStr"/>
      <c r="D3623" s="2" t="inlineStr"/>
      <c r="E3623" s="26" t="inlineStr">
        <is>
          <t>TOTAL Mão de Obra com Encargos Complementares:</t>
        </is>
      </c>
      <c r="F3623" s="56" t="n"/>
      <c r="G3623" s="65">
        <f>SUM(G3621:G3622)</f>
        <v/>
      </c>
    </row>
    <row r="3624" ht="15" customHeight="1">
      <c r="A3624" s="2" t="inlineStr"/>
      <c r="B3624" s="2" t="inlineStr"/>
      <c r="C3624" s="2" t="inlineStr"/>
      <c r="D3624" s="2" t="inlineStr"/>
      <c r="E3624" s="28" t="inlineStr">
        <is>
          <t>VALOR:</t>
        </is>
      </c>
      <c r="F3624" s="56" t="n"/>
      <c r="G3624" s="66">
        <f>SUM(G3619,G3623)</f>
        <v/>
      </c>
    </row>
    <row r="3625" ht="15" customHeight="1">
      <c r="A3625" s="2" t="inlineStr"/>
      <c r="B3625" s="2" t="inlineStr"/>
      <c r="C3625" s="2" t="inlineStr"/>
      <c r="D3625" s="2" t="inlineStr"/>
      <c r="E3625" s="28" t="inlineStr">
        <is>
          <t>VALOR BDI (23.08%):</t>
        </is>
      </c>
      <c r="F3625" s="56" t="n"/>
      <c r="G3625" s="66">
        <f>ROUNDDOWN(G3624*BDI,2)</f>
        <v/>
      </c>
    </row>
    <row r="3626" ht="15" customHeight="1">
      <c r="A3626" s="2" t="inlineStr"/>
      <c r="B3626" s="2" t="inlineStr"/>
      <c r="C3626" s="2" t="inlineStr"/>
      <c r="D3626" s="2" t="inlineStr"/>
      <c r="E3626" s="28" t="inlineStr">
        <is>
          <t>VALOR COM BDI:</t>
        </is>
      </c>
      <c r="F3626" s="56" t="n"/>
      <c r="G3626" s="66">
        <f>G3625 + G3624</f>
        <v/>
      </c>
    </row>
    <row r="3627" ht="10" customHeight="1">
      <c r="A3627" s="2" t="inlineStr"/>
      <c r="B3627" s="2" t="inlineStr"/>
      <c r="C3627" s="2" t="inlineStr"/>
      <c r="D3627" s="2" t="inlineStr"/>
      <c r="E3627" s="18" t="inlineStr"/>
    </row>
    <row r="3628" ht="20" customHeight="1">
      <c r="A3628" s="19" t="inlineStr">
        <is>
          <t>9.8.1.3. ​91930​ CABO DE COBRE FLEXÍVEL ISOLADO, 6 MM², ANTI-CHAMA 450/750 V, PARA CIRCUITOS TERMINAIS - FORNECIMENTO EINSTALAÇÃO. AF_03/2023​ (M)</t>
        </is>
      </c>
      <c r="B3628" s="55" t="n"/>
      <c r="C3628" s="55" t="n"/>
      <c r="D3628" s="55" t="n"/>
      <c r="E3628" s="55" t="n"/>
      <c r="F3628" s="55" t="n"/>
      <c r="G3628" s="56" t="n"/>
    </row>
    <row r="3629" ht="15" customHeight="1">
      <c r="A3629" s="20" t="inlineStr">
        <is>
          <t>Material</t>
        </is>
      </c>
      <c r="B3629" s="56" t="n"/>
      <c r="C3629" s="21" t="inlineStr">
        <is>
          <t>FONTE</t>
        </is>
      </c>
      <c r="D3629" s="21" t="inlineStr">
        <is>
          <t>UNID</t>
        </is>
      </c>
      <c r="E3629" s="21" t="inlineStr">
        <is>
          <t>COEFICIENTE</t>
        </is>
      </c>
      <c r="F3629" s="21" t="inlineStr">
        <is>
          <t>PREÇO UNITÁRIO</t>
        </is>
      </c>
      <c r="G3629" s="21" t="inlineStr">
        <is>
          <t>TOTAL</t>
        </is>
      </c>
    </row>
    <row r="3630" ht="29" customHeight="1">
      <c r="A3630" s="22" t="inlineStr">
        <is>
          <t>00000982</t>
        </is>
      </c>
      <c r="B3630" s="23" t="inlineStr">
        <is>
          <t>CABO DE COBRE, FLEXIVEL, CLASSE 4 OU 5, ISOLACAO EM PVC/A, ANTICHAMA BWF-B, 1 CONDUTOR, 450/750 V, SECAO NOMINAL 6 MM2</t>
        </is>
      </c>
      <c r="C3630" s="22" t="inlineStr">
        <is>
          <t>SINAPI</t>
        </is>
      </c>
      <c r="D3630" s="22" t="inlineStr">
        <is>
          <t>M</t>
        </is>
      </c>
      <c r="E3630" s="63" t="n">
        <v>1.2434</v>
      </c>
      <c r="F3630" s="64">
        <f>ROUND(M3630*FATOR, 2)</f>
        <v/>
      </c>
      <c r="G3630" s="64">
        <f>TRUNC(TRUNC(E3630,8)*F3630,2)</f>
        <v/>
      </c>
      <c r="L3630" t="n">
        <v>1.2434</v>
      </c>
      <c r="M3630" t="n">
        <v>5.94</v>
      </c>
      <c r="N3630">
        <f>(M3630-F3630)</f>
        <v/>
      </c>
    </row>
    <row r="3631" ht="21" customHeight="1">
      <c r="A3631" s="22" t="inlineStr">
        <is>
          <t>00021127</t>
        </is>
      </c>
      <c r="B3631" s="23" t="inlineStr">
        <is>
          <t>FITA ISOLANTE ADESIVA ANTICHAMA, USO ATE 750 V, EM ROLO DE 19 MM X 5 M</t>
        </is>
      </c>
      <c r="C3631" s="22" t="inlineStr">
        <is>
          <t>SINAPI</t>
        </is>
      </c>
      <c r="D3631" s="22" t="inlineStr">
        <is>
          <t>UN</t>
        </is>
      </c>
      <c r="E3631" s="63" t="n">
        <v>0.0094</v>
      </c>
      <c r="F3631" s="64">
        <f>ROUND(M3631*FATOR, 2)</f>
        <v/>
      </c>
      <c r="G3631" s="64">
        <f>TRUNC(TRUNC(E3631,8)*F3631,2)</f>
        <v/>
      </c>
      <c r="L3631" t="n">
        <v>0.0094</v>
      </c>
      <c r="M3631" t="n">
        <v>3.78</v>
      </c>
      <c r="N3631">
        <f>(M3631-F3631)</f>
        <v/>
      </c>
    </row>
    <row r="3632" ht="15" customHeight="1">
      <c r="A3632" s="2" t="inlineStr"/>
      <c r="B3632" s="2" t="inlineStr"/>
      <c r="C3632" s="2" t="inlineStr"/>
      <c r="D3632" s="2" t="inlineStr"/>
      <c r="E3632" s="26" t="inlineStr">
        <is>
          <t>TOTAL Material:</t>
        </is>
      </c>
      <c r="F3632" s="56" t="n"/>
      <c r="G3632" s="65">
        <f>SUM(G3630:G3631)</f>
        <v/>
      </c>
    </row>
    <row r="3633" ht="15" customHeight="1">
      <c r="A3633" s="20" t="inlineStr">
        <is>
          <t>Mão de Obra com Encargos Complementares</t>
        </is>
      </c>
      <c r="B3633" s="56" t="n"/>
      <c r="C3633" s="21" t="inlineStr">
        <is>
          <t>FONTE</t>
        </is>
      </c>
      <c r="D3633" s="21" t="inlineStr">
        <is>
          <t>UNID</t>
        </is>
      </c>
      <c r="E3633" s="21" t="inlineStr">
        <is>
          <t>COEFICIENTE</t>
        </is>
      </c>
      <c r="F3633" s="21" t="inlineStr">
        <is>
          <t>PREÇO UNITÁRIO</t>
        </is>
      </c>
      <c r="G3633" s="21" t="inlineStr">
        <is>
          <t>TOTAL</t>
        </is>
      </c>
    </row>
    <row r="3634" ht="21" customHeight="1">
      <c r="A3634" s="22" t="inlineStr">
        <is>
          <t>88247</t>
        </is>
      </c>
      <c r="B3634" s="23" t="inlineStr">
        <is>
          <t>AUXILIAR DE ELETRICISTA COM ENCARGOS COMPLEMENTARES</t>
        </is>
      </c>
      <c r="C3634" s="22" t="inlineStr">
        <is>
          <t>SINAPI</t>
        </is>
      </c>
      <c r="D3634" s="22" t="inlineStr">
        <is>
          <t>H</t>
        </is>
      </c>
      <c r="E3634" s="63">
        <f>L3634*FATOR</f>
        <v/>
      </c>
      <c r="F3634" s="64">
        <f>'COMPOSICOES AUXILIARES'!G505</f>
        <v/>
      </c>
      <c r="G3634" s="64">
        <f>TRUNC(TRUNC(E3634,8)*F3634,2)</f>
        <v/>
      </c>
      <c r="L3634" t="n">
        <v>0.051</v>
      </c>
      <c r="M3634" t="n">
        <v>25.22</v>
      </c>
      <c r="N3634">
        <f>(M3634-F3634)</f>
        <v/>
      </c>
    </row>
    <row r="3635" ht="15" customHeight="1">
      <c r="A3635" s="22" t="inlineStr">
        <is>
          <t>88264</t>
        </is>
      </c>
      <c r="B3635" s="23" t="inlineStr">
        <is>
          <t>ELETRICISTA COM ENCARGOS COMPLEMENTARES</t>
        </is>
      </c>
      <c r="C3635" s="22" t="inlineStr">
        <is>
          <t>SINAPI</t>
        </is>
      </c>
      <c r="D3635" s="22" t="inlineStr">
        <is>
          <t>H</t>
        </is>
      </c>
      <c r="E3635" s="63">
        <f>L3635*FATOR</f>
        <v/>
      </c>
      <c r="F3635" s="64">
        <f>'COMPOSICOES AUXILIARES'!G505</f>
        <v/>
      </c>
      <c r="G3635" s="64">
        <f>TRUNC(TRUNC(E3635,8)*F3635,2)</f>
        <v/>
      </c>
      <c r="L3635" t="n">
        <v>0.051</v>
      </c>
      <c r="M3635" t="n">
        <v>30.96</v>
      </c>
      <c r="N3635">
        <f>(M3635-F3635)</f>
        <v/>
      </c>
    </row>
    <row r="3636" ht="18" customHeight="1">
      <c r="A3636" s="2" t="inlineStr"/>
      <c r="B3636" s="2" t="inlineStr"/>
      <c r="C3636" s="2" t="inlineStr"/>
      <c r="D3636" s="2" t="inlineStr"/>
      <c r="E3636" s="26" t="inlineStr">
        <is>
          <t>TOTAL Mão de Obra com Encargos Complementares:</t>
        </is>
      </c>
      <c r="F3636" s="56" t="n"/>
      <c r="G3636" s="65">
        <f>SUM(G3634:G3635)</f>
        <v/>
      </c>
    </row>
    <row r="3637" ht="15" customHeight="1">
      <c r="A3637" s="2" t="inlineStr"/>
      <c r="B3637" s="2" t="inlineStr"/>
      <c r="C3637" s="2" t="inlineStr"/>
      <c r="D3637" s="2" t="inlineStr"/>
      <c r="E3637" s="28" t="inlineStr">
        <is>
          <t>VALOR:</t>
        </is>
      </c>
      <c r="F3637" s="56" t="n"/>
      <c r="G3637" s="66">
        <f>SUM(G3632,G3636)</f>
        <v/>
      </c>
    </row>
    <row r="3638" ht="15" customHeight="1">
      <c r="A3638" s="2" t="inlineStr"/>
      <c r="B3638" s="2" t="inlineStr"/>
      <c r="C3638" s="2" t="inlineStr"/>
      <c r="D3638" s="2" t="inlineStr"/>
      <c r="E3638" s="28" t="inlineStr">
        <is>
          <t>VALOR BDI (23.08%):</t>
        </is>
      </c>
      <c r="F3638" s="56" t="n"/>
      <c r="G3638" s="66">
        <f>ROUNDDOWN(G3637*BDI,2)</f>
        <v/>
      </c>
    </row>
    <row r="3639" ht="15" customHeight="1">
      <c r="A3639" s="2" t="inlineStr"/>
      <c r="B3639" s="2" t="inlineStr"/>
      <c r="C3639" s="2" t="inlineStr"/>
      <c r="D3639" s="2" t="inlineStr"/>
      <c r="E3639" s="28" t="inlineStr">
        <is>
          <t>VALOR COM BDI:</t>
        </is>
      </c>
      <c r="F3639" s="56" t="n"/>
      <c r="G3639" s="66">
        <f>G3638 + G3637</f>
        <v/>
      </c>
    </row>
    <row r="3640" ht="10" customHeight="1">
      <c r="A3640" s="2" t="inlineStr"/>
      <c r="B3640" s="2" t="inlineStr"/>
      <c r="C3640" s="2" t="inlineStr"/>
      <c r="D3640" s="2" t="inlineStr"/>
      <c r="E3640" s="18" t="inlineStr"/>
    </row>
    <row r="3641" ht="20" customHeight="1">
      <c r="A3641" s="19" t="inlineStr">
        <is>
          <t>9.8.1.4. ​92986​ CABO DE COBRE FLEXÍVEL ISOLADO, 35 MM², ANTI-CHAMA 0,6/1,0 KV, PARA REDE ENTERRADA DE DISTRIBUIÇÃO DE ENERGIA ELÉTRICA - FORNECIMENTO EINSTALAÇÃO. AF_12/2021​ (M)</t>
        </is>
      </c>
      <c r="B3641" s="55" t="n"/>
      <c r="C3641" s="55" t="n"/>
      <c r="D3641" s="55" t="n"/>
      <c r="E3641" s="55" t="n"/>
      <c r="F3641" s="55" t="n"/>
      <c r="G3641" s="56" t="n"/>
    </row>
    <row r="3642" ht="15" customHeight="1">
      <c r="A3642" s="20" t="inlineStr">
        <is>
          <t>Material</t>
        </is>
      </c>
      <c r="B3642" s="56" t="n"/>
      <c r="C3642" s="21" t="inlineStr">
        <is>
          <t>FONTE</t>
        </is>
      </c>
      <c r="D3642" s="21" t="inlineStr">
        <is>
          <t>UNID</t>
        </is>
      </c>
      <c r="E3642" s="21" t="inlineStr">
        <is>
          <t>COEFICIENTE</t>
        </is>
      </c>
      <c r="F3642" s="21" t="inlineStr">
        <is>
          <t>PREÇO UNITÁRIO</t>
        </is>
      </c>
      <c r="G3642" s="21" t="inlineStr">
        <is>
          <t>TOTAL</t>
        </is>
      </c>
    </row>
    <row r="3643" ht="38" customHeight="1">
      <c r="A3643" s="22" t="inlineStr">
        <is>
          <t>00001019</t>
        </is>
      </c>
      <c r="B3643" s="23" t="inlineStr">
        <is>
          <t>CABO DE COBRE, FLEXIVEL, CLASSE 4 OU 5, ISOLACAO EM PVC/A, ANTICHAMA BWF-B, COBERTURA PVC-ST1, ANTICHAMA BWF-B, 1 CONDUTOR, 0,6/1 KV, SECAO NOMINAL 35 MM2</t>
        </is>
      </c>
      <c r="C3643" s="22" t="inlineStr">
        <is>
          <t>SINAPI</t>
        </is>
      </c>
      <c r="D3643" s="22" t="inlineStr">
        <is>
          <t>M</t>
        </is>
      </c>
      <c r="E3643" s="63" t="n">
        <v>1.015</v>
      </c>
      <c r="F3643" s="64">
        <f>ROUND(M3643*FATOR, 2)</f>
        <v/>
      </c>
      <c r="G3643" s="64">
        <f>TRUNC(TRUNC(E3643,8)*F3643,2)</f>
        <v/>
      </c>
      <c r="L3643" t="n">
        <v>1.015</v>
      </c>
      <c r="M3643" t="n">
        <v>37.75</v>
      </c>
      <c r="N3643">
        <f>(M3643-F3643)</f>
        <v/>
      </c>
    </row>
    <row r="3644" ht="21" customHeight="1">
      <c r="A3644" s="22" t="inlineStr">
        <is>
          <t>00021127</t>
        </is>
      </c>
      <c r="B3644" s="23" t="inlineStr">
        <is>
          <t>FITA ISOLANTE ADESIVA ANTICHAMA, USO ATE 750 V, EM ROLO DE 19 MM X 5 M</t>
        </is>
      </c>
      <c r="C3644" s="22" t="inlineStr">
        <is>
          <t>SINAPI</t>
        </is>
      </c>
      <c r="D3644" s="22" t="inlineStr">
        <is>
          <t>UN</t>
        </is>
      </c>
      <c r="E3644" s="63" t="n">
        <v>0.008999999999999999</v>
      </c>
      <c r="F3644" s="64">
        <f>ROUND(M3644*FATOR, 2)</f>
        <v/>
      </c>
      <c r="G3644" s="64">
        <f>TRUNC(TRUNC(E3644,8)*F3644,2)</f>
        <v/>
      </c>
      <c r="L3644" t="n">
        <v>0.008999999999999999</v>
      </c>
      <c r="M3644" t="n">
        <v>3.78</v>
      </c>
      <c r="N3644">
        <f>(M3644-F3644)</f>
        <v/>
      </c>
    </row>
    <row r="3645" ht="15" customHeight="1">
      <c r="A3645" s="2" t="inlineStr"/>
      <c r="B3645" s="2" t="inlineStr"/>
      <c r="C3645" s="2" t="inlineStr"/>
      <c r="D3645" s="2" t="inlineStr"/>
      <c r="E3645" s="26" t="inlineStr">
        <is>
          <t>TOTAL Material:</t>
        </is>
      </c>
      <c r="F3645" s="56" t="n"/>
      <c r="G3645" s="65">
        <f>SUM(G3643:G3644)</f>
        <v/>
      </c>
    </row>
    <row r="3646" ht="15" customHeight="1">
      <c r="A3646" s="20" t="inlineStr">
        <is>
          <t>Mão de Obra com Encargos Complementares</t>
        </is>
      </c>
      <c r="B3646" s="56" t="n"/>
      <c r="C3646" s="21" t="inlineStr">
        <is>
          <t>FONTE</t>
        </is>
      </c>
      <c r="D3646" s="21" t="inlineStr">
        <is>
          <t>UNID</t>
        </is>
      </c>
      <c r="E3646" s="21" t="inlineStr">
        <is>
          <t>COEFICIENTE</t>
        </is>
      </c>
      <c r="F3646" s="21" t="inlineStr">
        <is>
          <t>PREÇO UNITÁRIO</t>
        </is>
      </c>
      <c r="G3646" s="21" t="inlineStr">
        <is>
          <t>TOTAL</t>
        </is>
      </c>
    </row>
    <row r="3647" ht="21" customHeight="1">
      <c r="A3647" s="22" t="inlineStr">
        <is>
          <t>88247</t>
        </is>
      </c>
      <c r="B3647" s="23" t="inlineStr">
        <is>
          <t>AUXILIAR DE ELETRICISTA COM ENCARGOS COMPLEMENTARES</t>
        </is>
      </c>
      <c r="C3647" s="22" t="inlineStr">
        <is>
          <t>SINAPI</t>
        </is>
      </c>
      <c r="D3647" s="22" t="inlineStr">
        <is>
          <t>H</t>
        </is>
      </c>
      <c r="E3647" s="63">
        <f>L3647*FATOR</f>
        <v/>
      </c>
      <c r="F3647" s="64">
        <f>'COMPOSICOES AUXILIARES'!G505</f>
        <v/>
      </c>
      <c r="G3647" s="64">
        <f>TRUNC(TRUNC(E3647,8)*F3647,2)</f>
        <v/>
      </c>
      <c r="L3647" t="n">
        <v>0.0697</v>
      </c>
      <c r="M3647" t="n">
        <v>25.22</v>
      </c>
      <c r="N3647">
        <f>(M3647-F3647)</f>
        <v/>
      </c>
    </row>
    <row r="3648" ht="15" customHeight="1">
      <c r="A3648" s="22" t="inlineStr">
        <is>
          <t>88264</t>
        </is>
      </c>
      <c r="B3648" s="23" t="inlineStr">
        <is>
          <t>ELETRICISTA COM ENCARGOS COMPLEMENTARES</t>
        </is>
      </c>
      <c r="C3648" s="22" t="inlineStr">
        <is>
          <t>SINAPI</t>
        </is>
      </c>
      <c r="D3648" s="22" t="inlineStr">
        <is>
          <t>H</t>
        </is>
      </c>
      <c r="E3648" s="63">
        <f>L3648*FATOR</f>
        <v/>
      </c>
      <c r="F3648" s="64">
        <f>'COMPOSICOES AUXILIARES'!G505</f>
        <v/>
      </c>
      <c r="G3648" s="64">
        <f>TRUNC(TRUNC(E3648,8)*F3648,2)</f>
        <v/>
      </c>
      <c r="L3648" t="n">
        <v>0.0697</v>
      </c>
      <c r="M3648" t="n">
        <v>30.96</v>
      </c>
      <c r="N3648">
        <f>(M3648-F3648)</f>
        <v/>
      </c>
    </row>
    <row r="3649" ht="18" customHeight="1">
      <c r="A3649" s="2" t="inlineStr"/>
      <c r="B3649" s="2" t="inlineStr"/>
      <c r="C3649" s="2" t="inlineStr"/>
      <c r="D3649" s="2" t="inlineStr"/>
      <c r="E3649" s="26" t="inlineStr">
        <is>
          <t>TOTAL Mão de Obra com Encargos Complementares:</t>
        </is>
      </c>
      <c r="F3649" s="56" t="n"/>
      <c r="G3649" s="65">
        <f>SUM(G3647:G3648)</f>
        <v/>
      </c>
    </row>
    <row r="3650" ht="15" customHeight="1">
      <c r="A3650" s="2" t="inlineStr"/>
      <c r="B3650" s="2" t="inlineStr"/>
      <c r="C3650" s="2" t="inlineStr"/>
      <c r="D3650" s="2" t="inlineStr"/>
      <c r="E3650" s="28" t="inlineStr">
        <is>
          <t>VALOR:</t>
        </is>
      </c>
      <c r="F3650" s="56" t="n"/>
      <c r="G3650" s="66">
        <f>SUM(G3649,G3645)</f>
        <v/>
      </c>
    </row>
    <row r="3651" ht="15" customHeight="1">
      <c r="A3651" s="2" t="inlineStr"/>
      <c r="B3651" s="2" t="inlineStr"/>
      <c r="C3651" s="2" t="inlineStr"/>
      <c r="D3651" s="2" t="inlineStr"/>
      <c r="E3651" s="28" t="inlineStr">
        <is>
          <t>VALOR BDI (23.08%):</t>
        </is>
      </c>
      <c r="F3651" s="56" t="n"/>
      <c r="G3651" s="66">
        <f>ROUNDDOWN(G3650*BDI,2)</f>
        <v/>
      </c>
    </row>
    <row r="3652" ht="15" customHeight="1">
      <c r="A3652" s="2" t="inlineStr"/>
      <c r="B3652" s="2" t="inlineStr"/>
      <c r="C3652" s="2" t="inlineStr"/>
      <c r="D3652" s="2" t="inlineStr"/>
      <c r="E3652" s="28" t="inlineStr">
        <is>
          <t>VALOR COM BDI:</t>
        </is>
      </c>
      <c r="F3652" s="56" t="n"/>
      <c r="G3652" s="66">
        <f>G3651 + G3650</f>
        <v/>
      </c>
    </row>
    <row r="3653" ht="10" customHeight="1">
      <c r="A3653" s="2" t="inlineStr"/>
      <c r="B3653" s="2" t="inlineStr"/>
      <c r="C3653" s="2" t="inlineStr"/>
      <c r="D3653" s="2" t="inlineStr"/>
      <c r="E3653" s="18" t="inlineStr"/>
    </row>
    <row r="3654" ht="20" customHeight="1">
      <c r="A3654" s="19" t="inlineStr">
        <is>
          <t>9.8.2.1. ​98281​ CABO TELEFÔNICO CCI-50 2 PARES, SEM BLINDAGEM, INSTALADO EM DISTRIBUIÇÃO DE EDIFICAÇÃO RESIDENCIAL - FORNECIMENTO E INSTALAÇÃO.AF_08/2025​ (M)</t>
        </is>
      </c>
      <c r="B3654" s="55" t="n"/>
      <c r="C3654" s="55" t="n"/>
      <c r="D3654" s="55" t="n"/>
      <c r="E3654" s="55" t="n"/>
      <c r="F3654" s="55" t="n"/>
      <c r="G3654" s="56" t="n"/>
    </row>
    <row r="3655" ht="15" customHeight="1">
      <c r="A3655" s="20" t="inlineStr">
        <is>
          <t>Material</t>
        </is>
      </c>
      <c r="B3655" s="56" t="n"/>
      <c r="C3655" s="21" t="inlineStr">
        <is>
          <t>FONTE</t>
        </is>
      </c>
      <c r="D3655" s="21" t="inlineStr">
        <is>
          <t>UNID</t>
        </is>
      </c>
      <c r="E3655" s="21" t="inlineStr">
        <is>
          <t>COEFICIENTE</t>
        </is>
      </c>
      <c r="F3655" s="21" t="inlineStr">
        <is>
          <t>PREÇO UNITÁRIO</t>
        </is>
      </c>
      <c r="G3655" s="21" t="inlineStr">
        <is>
          <t>TOTAL</t>
        </is>
      </c>
    </row>
    <row r="3656" ht="21" customHeight="1">
      <c r="A3656" s="22" t="inlineStr">
        <is>
          <t>00011902</t>
        </is>
      </c>
      <c r="B3656" s="23" t="inlineStr">
        <is>
          <t>CABO TELEFONICO CCI 50, 2 PARES, USO INTERNO, SEM BLINDAGEM</t>
        </is>
      </c>
      <c r="C3656" s="22" t="inlineStr">
        <is>
          <t>SINAPI</t>
        </is>
      </c>
      <c r="D3656" s="22" t="inlineStr">
        <is>
          <t>M</t>
        </is>
      </c>
      <c r="E3656" s="63" t="n">
        <v>1.05</v>
      </c>
      <c r="F3656" s="64">
        <f>ROUND(M3656*FATOR, 2)</f>
        <v/>
      </c>
      <c r="G3656" s="64">
        <f>TRUNC(TRUNC(E3656,8)*F3656,2)</f>
        <v/>
      </c>
      <c r="L3656" t="n">
        <v>1.05</v>
      </c>
      <c r="M3656" t="n">
        <v>1.23</v>
      </c>
      <c r="N3656">
        <f>(M3656-F3656)</f>
        <v/>
      </c>
    </row>
    <row r="3657" ht="15" customHeight="1">
      <c r="A3657" s="2" t="inlineStr"/>
      <c r="B3657" s="2" t="inlineStr"/>
      <c r="C3657" s="2" t="inlineStr"/>
      <c r="D3657" s="2" t="inlineStr"/>
      <c r="E3657" s="26" t="inlineStr">
        <is>
          <t>TOTAL Material:</t>
        </is>
      </c>
      <c r="F3657" s="56" t="n"/>
      <c r="G3657" s="65">
        <f>SUM(G3656:G3656)</f>
        <v/>
      </c>
    </row>
    <row r="3658" ht="15" customHeight="1">
      <c r="A3658" s="20" t="inlineStr">
        <is>
          <t>Mão de Obra com Encargos Complementares</t>
        </is>
      </c>
      <c r="B3658" s="56" t="n"/>
      <c r="C3658" s="21" t="inlineStr">
        <is>
          <t>FONTE</t>
        </is>
      </c>
      <c r="D3658" s="21" t="inlineStr">
        <is>
          <t>UNID</t>
        </is>
      </c>
      <c r="E3658" s="21" t="inlineStr">
        <is>
          <t>COEFICIENTE</t>
        </is>
      </c>
      <c r="F3658" s="21" t="inlineStr">
        <is>
          <t>PREÇO UNITÁRIO</t>
        </is>
      </c>
      <c r="G3658" s="21" t="inlineStr">
        <is>
          <t>TOTAL</t>
        </is>
      </c>
    </row>
    <row r="3659" ht="21" customHeight="1">
      <c r="A3659" s="22" t="inlineStr">
        <is>
          <t>88247</t>
        </is>
      </c>
      <c r="B3659" s="23" t="inlineStr">
        <is>
          <t>AUXILIAR DE ELETRICISTA COM ENCARGOS COMPLEMENTARES</t>
        </is>
      </c>
      <c r="C3659" s="22" t="inlineStr">
        <is>
          <t>SINAPI</t>
        </is>
      </c>
      <c r="D3659" s="22" t="inlineStr">
        <is>
          <t>H</t>
        </is>
      </c>
      <c r="E3659" s="63">
        <f>L3659*FATOR</f>
        <v/>
      </c>
      <c r="F3659" s="64">
        <f>'COMPOSICOES AUXILIARES'!G505</f>
        <v/>
      </c>
      <c r="G3659" s="64">
        <f>TRUNC(TRUNC(E3659,8)*F3659,2)</f>
        <v/>
      </c>
      <c r="L3659" t="n">
        <v>0.094425</v>
      </c>
      <c r="M3659" t="n">
        <v>25.22</v>
      </c>
      <c r="N3659">
        <f>(M3659-F3659)</f>
        <v/>
      </c>
    </row>
    <row r="3660" ht="15" customHeight="1">
      <c r="A3660" s="22" t="inlineStr">
        <is>
          <t>88264</t>
        </is>
      </c>
      <c r="B3660" s="23" t="inlineStr">
        <is>
          <t>ELETRICISTA COM ENCARGOS COMPLEMENTARES</t>
        </is>
      </c>
      <c r="C3660" s="22" t="inlineStr">
        <is>
          <t>SINAPI</t>
        </is>
      </c>
      <c r="D3660" s="22" t="inlineStr">
        <is>
          <t>H</t>
        </is>
      </c>
      <c r="E3660" s="63">
        <f>L3660*FATOR</f>
        <v/>
      </c>
      <c r="F3660" s="64">
        <f>'COMPOSICOES AUXILIARES'!G505</f>
        <v/>
      </c>
      <c r="G3660" s="64">
        <f>TRUNC(TRUNC(E3660,8)*F3660,2)</f>
        <v/>
      </c>
      <c r="L3660" t="n">
        <v>0.1259</v>
      </c>
      <c r="M3660" t="n">
        <v>30.96</v>
      </c>
      <c r="N3660">
        <f>(M3660-F3660)</f>
        <v/>
      </c>
    </row>
    <row r="3661" ht="18" customHeight="1">
      <c r="A3661" s="2" t="inlineStr"/>
      <c r="B3661" s="2" t="inlineStr"/>
      <c r="C3661" s="2" t="inlineStr"/>
      <c r="D3661" s="2" t="inlineStr"/>
      <c r="E3661" s="26" t="inlineStr">
        <is>
          <t>TOTAL Mão de Obra com Encargos Complementares:</t>
        </is>
      </c>
      <c r="F3661" s="56" t="n"/>
      <c r="G3661" s="65">
        <f>SUM(G3659:G3660)</f>
        <v/>
      </c>
    </row>
    <row r="3662" ht="15" customHeight="1">
      <c r="A3662" s="2" t="inlineStr"/>
      <c r="B3662" s="2" t="inlineStr"/>
      <c r="C3662" s="2" t="inlineStr"/>
      <c r="D3662" s="2" t="inlineStr"/>
      <c r="E3662" s="28" t="inlineStr">
        <is>
          <t>VALOR:</t>
        </is>
      </c>
      <c r="F3662" s="56" t="n"/>
      <c r="G3662" s="66">
        <f>SUM(G3657,G3661)</f>
        <v/>
      </c>
    </row>
    <row r="3663" ht="15" customHeight="1">
      <c r="A3663" s="2" t="inlineStr"/>
      <c r="B3663" s="2" t="inlineStr"/>
      <c r="C3663" s="2" t="inlineStr"/>
      <c r="D3663" s="2" t="inlineStr"/>
      <c r="E3663" s="28" t="inlineStr">
        <is>
          <t>VALOR BDI (23.08%):</t>
        </is>
      </c>
      <c r="F3663" s="56" t="n"/>
      <c r="G3663" s="66">
        <f>ROUNDDOWN(G3662*BDI,2)</f>
        <v/>
      </c>
    </row>
    <row r="3664" ht="15" customHeight="1">
      <c r="A3664" s="2" t="inlineStr"/>
      <c r="B3664" s="2" t="inlineStr"/>
      <c r="C3664" s="2" t="inlineStr"/>
      <c r="D3664" s="2" t="inlineStr"/>
      <c r="E3664" s="28" t="inlineStr">
        <is>
          <t>VALOR COM BDI:</t>
        </is>
      </c>
      <c r="F3664" s="56" t="n"/>
      <c r="G3664" s="66">
        <f>G3663 + G3662</f>
        <v/>
      </c>
    </row>
    <row r="3665" ht="10" customHeight="1">
      <c r="A3665" s="2" t="inlineStr"/>
      <c r="B3665" s="2" t="inlineStr"/>
      <c r="C3665" s="2" t="inlineStr"/>
      <c r="D3665" s="2" t="inlineStr"/>
      <c r="E3665" s="18" t="inlineStr"/>
    </row>
    <row r="3666" ht="20" customHeight="1">
      <c r="A3666" s="19" t="inlineStr">
        <is>
          <t>9.8.3.1. ​98295​ CABO ELETRÔNICO CATEGORIA 5E, INSTALADO EM EDIFICAÇÃO INSTITUCIONAL - FORNECIMENTO EINSTALAÇÃO. AF_08/2025​ (M)</t>
        </is>
      </c>
      <c r="B3666" s="55" t="n"/>
      <c r="C3666" s="55" t="n"/>
      <c r="D3666" s="55" t="n"/>
      <c r="E3666" s="55" t="n"/>
      <c r="F3666" s="55" t="n"/>
      <c r="G3666" s="56" t="n"/>
    </row>
    <row r="3667" ht="15" customHeight="1">
      <c r="A3667" s="20" t="inlineStr">
        <is>
          <t>Material</t>
        </is>
      </c>
      <c r="B3667" s="56" t="n"/>
      <c r="C3667" s="21" t="inlineStr">
        <is>
          <t>FONTE</t>
        </is>
      </c>
      <c r="D3667" s="21" t="inlineStr">
        <is>
          <t>UNID</t>
        </is>
      </c>
      <c r="E3667" s="21" t="inlineStr">
        <is>
          <t>COEFICIENTE</t>
        </is>
      </c>
      <c r="F3667" s="21" t="inlineStr">
        <is>
          <t>PREÇO UNITÁRIO</t>
        </is>
      </c>
      <c r="G3667" s="21" t="inlineStr">
        <is>
          <t>TOTAL</t>
        </is>
      </c>
    </row>
    <row r="3668" ht="21" customHeight="1">
      <c r="A3668" s="22" t="inlineStr">
        <is>
          <t>00039598</t>
        </is>
      </c>
      <c r="B3668" s="23" t="inlineStr">
        <is>
          <t>CABO DE REDE, PAR TRANCADO U/UTP, 4 PARES, CATEGORIA 5E (CAT 5E), ISOLAMENTO PVC (LSZH)</t>
        </is>
      </c>
      <c r="C3668" s="22" t="inlineStr">
        <is>
          <t>SINAPI</t>
        </is>
      </c>
      <c r="D3668" s="22" t="inlineStr">
        <is>
          <t>M</t>
        </is>
      </c>
      <c r="E3668" s="63" t="n">
        <v>1.05</v>
      </c>
      <c r="F3668" s="64">
        <f>ROUND(M3668*FATOR, 2)</f>
        <v/>
      </c>
      <c r="G3668" s="64">
        <f>TRUNC(TRUNC(E3668,8)*F3668,2)</f>
        <v/>
      </c>
      <c r="L3668" t="n">
        <v>1.05</v>
      </c>
      <c r="M3668" t="n">
        <v>4.97</v>
      </c>
      <c r="N3668">
        <f>(M3668-F3668)</f>
        <v/>
      </c>
    </row>
    <row r="3669" ht="15" customHeight="1">
      <c r="A3669" s="2" t="inlineStr"/>
      <c r="B3669" s="2" t="inlineStr"/>
      <c r="C3669" s="2" t="inlineStr"/>
      <c r="D3669" s="2" t="inlineStr"/>
      <c r="E3669" s="26" t="inlineStr">
        <is>
          <t>TOTAL Material:</t>
        </is>
      </c>
      <c r="F3669" s="56" t="n"/>
      <c r="G3669" s="65">
        <f>SUM(G3668:G3668)</f>
        <v/>
      </c>
    </row>
    <row r="3670" ht="15" customHeight="1">
      <c r="A3670" s="20" t="inlineStr">
        <is>
          <t>Mão de Obra com Encargos Complementares</t>
        </is>
      </c>
      <c r="B3670" s="56" t="n"/>
      <c r="C3670" s="21" t="inlineStr">
        <is>
          <t>FONTE</t>
        </is>
      </c>
      <c r="D3670" s="21" t="inlineStr">
        <is>
          <t>UNID</t>
        </is>
      </c>
      <c r="E3670" s="21" t="inlineStr">
        <is>
          <t>COEFICIENTE</t>
        </is>
      </c>
      <c r="F3670" s="21" t="inlineStr">
        <is>
          <t>PREÇO UNITÁRIO</t>
        </is>
      </c>
      <c r="G3670" s="21" t="inlineStr">
        <is>
          <t>TOTAL</t>
        </is>
      </c>
    </row>
    <row r="3671" ht="21" customHeight="1">
      <c r="A3671" s="22" t="inlineStr">
        <is>
          <t>88247</t>
        </is>
      </c>
      <c r="B3671" s="23" t="inlineStr">
        <is>
          <t>AUXILIAR DE ELETRICISTA COM ENCARGOS COMPLEMENTARES</t>
        </is>
      </c>
      <c r="C3671" s="22" t="inlineStr">
        <is>
          <t>SINAPI</t>
        </is>
      </c>
      <c r="D3671" s="22" t="inlineStr">
        <is>
          <t>H</t>
        </is>
      </c>
      <c r="E3671" s="63">
        <f>L3671*FATOR</f>
        <v/>
      </c>
      <c r="F3671" s="64">
        <f>'COMPOSICOES AUXILIARES'!G505</f>
        <v/>
      </c>
      <c r="G3671" s="64">
        <f>TRUNC(TRUNC(E3671,8)*F3671,2)</f>
        <v/>
      </c>
      <c r="L3671" t="n">
        <v>0.0070997</v>
      </c>
      <c r="M3671" t="n">
        <v>25.22</v>
      </c>
      <c r="N3671">
        <f>(M3671-F3671)</f>
        <v/>
      </c>
    </row>
    <row r="3672" ht="15" customHeight="1">
      <c r="A3672" s="22" t="inlineStr">
        <is>
          <t>88264</t>
        </is>
      </c>
      <c r="B3672" s="23" t="inlineStr">
        <is>
          <t>ELETRICISTA COM ENCARGOS COMPLEMENTARES</t>
        </is>
      </c>
      <c r="C3672" s="22" t="inlineStr">
        <is>
          <t>SINAPI</t>
        </is>
      </c>
      <c r="D3672" s="22" t="inlineStr">
        <is>
          <t>H</t>
        </is>
      </c>
      <c r="E3672" s="63">
        <f>L3672*FATOR</f>
        <v/>
      </c>
      <c r="F3672" s="64">
        <f>'COMPOSICOES AUXILIARES'!G505</f>
        <v/>
      </c>
      <c r="G3672" s="64">
        <f>TRUNC(TRUNC(E3672,8)*F3672,2)</f>
        <v/>
      </c>
      <c r="L3672" t="n">
        <v>0.0094663</v>
      </c>
      <c r="M3672" t="n">
        <v>30.96</v>
      </c>
      <c r="N3672">
        <f>(M3672-F3672)</f>
        <v/>
      </c>
    </row>
    <row r="3673" ht="18" customHeight="1">
      <c r="A3673" s="2" t="inlineStr"/>
      <c r="B3673" s="2" t="inlineStr"/>
      <c r="C3673" s="2" t="inlineStr"/>
      <c r="D3673" s="2" t="inlineStr"/>
      <c r="E3673" s="26" t="inlineStr">
        <is>
          <t>TOTAL Mão de Obra com Encargos Complementares:</t>
        </is>
      </c>
      <c r="F3673" s="56" t="n"/>
      <c r="G3673" s="65">
        <f>SUM(G3671:G3672)</f>
        <v/>
      </c>
    </row>
    <row r="3674" ht="15" customHeight="1">
      <c r="A3674" s="2" t="inlineStr"/>
      <c r="B3674" s="2" t="inlineStr"/>
      <c r="C3674" s="2" t="inlineStr"/>
      <c r="D3674" s="2" t="inlineStr"/>
      <c r="E3674" s="28" t="inlineStr">
        <is>
          <t>VALOR:</t>
        </is>
      </c>
      <c r="F3674" s="56" t="n"/>
      <c r="G3674" s="66">
        <f>SUM(G3673,G3669)</f>
        <v/>
      </c>
    </row>
    <row r="3675" ht="15" customHeight="1">
      <c r="A3675" s="2" t="inlineStr"/>
      <c r="B3675" s="2" t="inlineStr"/>
      <c r="C3675" s="2" t="inlineStr"/>
      <c r="D3675" s="2" t="inlineStr"/>
      <c r="E3675" s="28" t="inlineStr">
        <is>
          <t>VALOR BDI (23.08%):</t>
        </is>
      </c>
      <c r="F3675" s="56" t="n"/>
      <c r="G3675" s="66">
        <f>ROUNDDOWN(G3674*BDI,2)</f>
        <v/>
      </c>
    </row>
    <row r="3676" ht="15" customHeight="1">
      <c r="A3676" s="2" t="inlineStr"/>
      <c r="B3676" s="2" t="inlineStr"/>
      <c r="C3676" s="2" t="inlineStr"/>
      <c r="D3676" s="2" t="inlineStr"/>
      <c r="E3676" s="28" t="inlineStr">
        <is>
          <t>VALOR COM BDI:</t>
        </is>
      </c>
      <c r="F3676" s="56" t="n"/>
      <c r="G3676" s="66">
        <f>G3675 + G3674</f>
        <v/>
      </c>
    </row>
    <row r="3677" ht="10" customHeight="1">
      <c r="A3677" s="2" t="inlineStr"/>
      <c r="B3677" s="2" t="inlineStr"/>
      <c r="C3677" s="2" t="inlineStr"/>
      <c r="D3677" s="2" t="inlineStr"/>
      <c r="E3677" s="18" t="inlineStr"/>
    </row>
    <row r="3678" ht="20" customHeight="1">
      <c r="A3678" s="19" t="inlineStr">
        <is>
          <t>10.1.1.1. ​97327​ TUBO EM COBRE FLEXÍVEL, DN 1/4", COM ISOLAMENTO, INSTALADO EM RAMAL DE ALIMENTAÇÃO DE AR-CONDICIONADO - FORNECIMENTO E INSTALAÇÃO.AF_07/2025​ (M)</t>
        </is>
      </c>
      <c r="B3678" s="55" t="n"/>
      <c r="C3678" s="55" t="n"/>
      <c r="D3678" s="55" t="n"/>
      <c r="E3678" s="55" t="n"/>
      <c r="F3678" s="55" t="n"/>
      <c r="G3678" s="56" t="n"/>
    </row>
    <row r="3679" ht="15" customHeight="1">
      <c r="A3679" s="20" t="inlineStr">
        <is>
          <t>Material</t>
        </is>
      </c>
      <c r="B3679" s="56" t="n"/>
      <c r="C3679" s="21" t="inlineStr">
        <is>
          <t>FONTE</t>
        </is>
      </c>
      <c r="D3679" s="21" t="inlineStr">
        <is>
          <t>UNID</t>
        </is>
      </c>
      <c r="E3679" s="21" t="inlineStr">
        <is>
          <t>COEFICIENTE</t>
        </is>
      </c>
      <c r="F3679" s="21" t="inlineStr">
        <is>
          <t>PREÇO UNITÁRIO</t>
        </is>
      </c>
      <c r="G3679" s="21" t="inlineStr">
        <is>
          <t>TOTAL</t>
        </is>
      </c>
    </row>
    <row r="3680" ht="38" customHeight="1">
      <c r="A3680" s="22" t="inlineStr">
        <is>
          <t>00039738</t>
        </is>
      </c>
      <c r="B3680" s="23" t="inlineStr">
        <is>
          <t>TUBO DE BORRACHA ELASTOMERICA FLEXIVEL, PRETA, PARA ISOLAMENTO TERMICO DE TUBULACAO, DN 1/4" (6 MM), E= 9 MM, COEFICIENTE DE CONDUTIVIDADE TERMICA 0,036W/MK, VAPOR DE AGUA MAIOR OU IGUAL A 10.000</t>
        </is>
      </c>
      <c r="C3680" s="22" t="inlineStr">
        <is>
          <t>SINAPI</t>
        </is>
      </c>
      <c r="D3680" s="22" t="inlineStr">
        <is>
          <t>M</t>
        </is>
      </c>
      <c r="E3680" s="63" t="n">
        <v>1.022727</v>
      </c>
      <c r="F3680" s="64">
        <f>ROUND(M3680*FATOR, 2)</f>
        <v/>
      </c>
      <c r="G3680" s="64">
        <f>TRUNC(TRUNC(E3680,8)*F3680,2)</f>
        <v/>
      </c>
      <c r="L3680" t="n">
        <v>1.022727</v>
      </c>
      <c r="M3680" t="n">
        <v>4</v>
      </c>
      <c r="N3680">
        <f>(M3680-F3680)</f>
        <v/>
      </c>
    </row>
    <row r="3681" ht="29" customHeight="1">
      <c r="A3681" s="22" t="inlineStr">
        <is>
          <t>00039662</t>
        </is>
      </c>
      <c r="B3681" s="23" t="inlineStr">
        <is>
          <t>TUBO DE COBRE FLEXIVEL, D = 1/4", E = 0,79 MM, PARA AR-CONDICIONADO/ INSTALACOES GAS RESIDENCIAIS E COMERCIAIS</t>
        </is>
      </c>
      <c r="C3681" s="22" t="inlineStr">
        <is>
          <t>SINAPI</t>
        </is>
      </c>
      <c r="D3681" s="22" t="inlineStr">
        <is>
          <t>M</t>
        </is>
      </c>
      <c r="E3681" s="63" t="n">
        <v>1.022727</v>
      </c>
      <c r="F3681" s="64">
        <f>ROUND(M3681*FATOR, 2)</f>
        <v/>
      </c>
      <c r="G3681" s="64">
        <f>TRUNC(TRUNC(E3681,8)*F3681,2)</f>
        <v/>
      </c>
      <c r="L3681" t="n">
        <v>1.022727</v>
      </c>
      <c r="M3681" t="n">
        <v>20.61</v>
      </c>
      <c r="N3681">
        <f>(M3681-F3681)</f>
        <v/>
      </c>
    </row>
    <row r="3682" ht="15" customHeight="1">
      <c r="A3682" s="2" t="inlineStr"/>
      <c r="B3682" s="2" t="inlineStr"/>
      <c r="C3682" s="2" t="inlineStr"/>
      <c r="D3682" s="2" t="inlineStr"/>
      <c r="E3682" s="26" t="inlineStr">
        <is>
          <t>TOTAL Material:</t>
        </is>
      </c>
      <c r="F3682" s="56" t="n"/>
      <c r="G3682" s="65">
        <f>SUM(G3680:G3681)</f>
        <v/>
      </c>
    </row>
    <row r="3683" ht="15" customHeight="1">
      <c r="A3683" s="20" t="inlineStr">
        <is>
          <t>Mão de Obra com Encargos Complementares</t>
        </is>
      </c>
      <c r="B3683" s="56" t="n"/>
      <c r="C3683" s="21" t="inlineStr">
        <is>
          <t>FONTE</t>
        </is>
      </c>
      <c r="D3683" s="21" t="inlineStr">
        <is>
          <t>UNID</t>
        </is>
      </c>
      <c r="E3683" s="21" t="inlineStr">
        <is>
          <t>COEFICIENTE</t>
        </is>
      </c>
      <c r="F3683" s="21" t="inlineStr">
        <is>
          <t>PREÇO UNITÁRIO</t>
        </is>
      </c>
      <c r="G3683" s="21" t="inlineStr">
        <is>
          <t>TOTAL</t>
        </is>
      </c>
    </row>
    <row r="3684" ht="21" customHeight="1">
      <c r="A3684" s="22" t="inlineStr">
        <is>
          <t>88243</t>
        </is>
      </c>
      <c r="B3684" s="23" t="inlineStr">
        <is>
          <t>AJUDANTE ESPECIALIZADO COM ENCARGOS COMPLEMENTARES</t>
        </is>
      </c>
      <c r="C3684" s="22" t="inlineStr">
        <is>
          <t>SINAPI</t>
        </is>
      </c>
      <c r="D3684" s="22" t="inlineStr">
        <is>
          <t>H</t>
        </is>
      </c>
      <c r="E3684" s="63">
        <f>L3684*FATOR</f>
        <v/>
      </c>
      <c r="F3684" s="64">
        <f>'COMPOSICOES AUXILIARES'!G106</f>
        <v/>
      </c>
      <c r="G3684" s="64">
        <f>TRUNC(TRUNC(E3684,8)*F3684,2)</f>
        <v/>
      </c>
      <c r="L3684" t="n">
        <v>0.044526</v>
      </c>
      <c r="M3684" t="n">
        <v>23.76</v>
      </c>
      <c r="N3684">
        <f>(M3684-F3684)</f>
        <v/>
      </c>
    </row>
    <row r="3685" ht="21" customHeight="1">
      <c r="A3685" s="22" t="inlineStr">
        <is>
          <t>100308</t>
        </is>
      </c>
      <c r="B3685" s="23" t="inlineStr">
        <is>
          <t>MECÂNICO DE REFRIGERAÇÃO COM ENCARGOS COMPLEMENTARES</t>
        </is>
      </c>
      <c r="C3685" s="22" t="inlineStr">
        <is>
          <t>SINAPI</t>
        </is>
      </c>
      <c r="D3685" s="22" t="inlineStr">
        <is>
          <t>H</t>
        </is>
      </c>
      <c r="E3685" s="63">
        <f>L3685*FATOR</f>
        <v/>
      </c>
      <c r="F3685" s="64">
        <f>'COMPOSICOES AUXILIARES'!G2499</f>
        <v/>
      </c>
      <c r="G3685" s="64">
        <f>TRUNC(TRUNC(E3685,8)*F3685,2)</f>
        <v/>
      </c>
      <c r="L3685" t="n">
        <v>0.044526</v>
      </c>
      <c r="M3685" t="n">
        <v>30.46</v>
      </c>
      <c r="N3685">
        <f>(M3685-F3685)</f>
        <v/>
      </c>
    </row>
    <row r="3686" ht="18" customHeight="1">
      <c r="A3686" s="2" t="inlineStr"/>
      <c r="B3686" s="2" t="inlineStr"/>
      <c r="C3686" s="2" t="inlineStr"/>
      <c r="D3686" s="2" t="inlineStr"/>
      <c r="E3686" s="26" t="inlineStr">
        <is>
          <t>TOTAL Mão de Obra com Encargos Complementares:</t>
        </is>
      </c>
      <c r="F3686" s="56" t="n"/>
      <c r="G3686" s="65">
        <f>SUM(G3684:G3685)</f>
        <v/>
      </c>
    </row>
    <row r="3687" ht="15" customHeight="1">
      <c r="A3687" s="2" t="inlineStr"/>
      <c r="B3687" s="2" t="inlineStr"/>
      <c r="C3687" s="2" t="inlineStr"/>
      <c r="D3687" s="2" t="inlineStr"/>
      <c r="E3687" s="28" t="inlineStr">
        <is>
          <t>VALOR:</t>
        </is>
      </c>
      <c r="F3687" s="56" t="n"/>
      <c r="G3687" s="66">
        <f>SUM(G3682,G3686)</f>
        <v/>
      </c>
    </row>
    <row r="3688" ht="15" customHeight="1">
      <c r="A3688" s="2" t="inlineStr"/>
      <c r="B3688" s="2" t="inlineStr"/>
      <c r="C3688" s="2" t="inlineStr"/>
      <c r="D3688" s="2" t="inlineStr"/>
      <c r="E3688" s="28" t="inlineStr">
        <is>
          <t>VALOR BDI (23.08%):</t>
        </is>
      </c>
      <c r="F3688" s="56" t="n"/>
      <c r="G3688" s="66">
        <f>ROUNDDOWN(G3687*BDI,2)</f>
        <v/>
      </c>
    </row>
    <row r="3689" ht="15" customHeight="1">
      <c r="A3689" s="2" t="inlineStr"/>
      <c r="B3689" s="2" t="inlineStr"/>
      <c r="C3689" s="2" t="inlineStr"/>
      <c r="D3689" s="2" t="inlineStr"/>
      <c r="E3689" s="28" t="inlineStr">
        <is>
          <t>VALOR COM BDI:</t>
        </is>
      </c>
      <c r="F3689" s="56" t="n"/>
      <c r="G3689" s="66">
        <f>G3688 + G3687</f>
        <v/>
      </c>
    </row>
    <row r="3690" ht="10" customHeight="1">
      <c r="A3690" s="2" t="inlineStr"/>
      <c r="B3690" s="2" t="inlineStr"/>
      <c r="C3690" s="2" t="inlineStr"/>
      <c r="D3690" s="2" t="inlineStr"/>
      <c r="E3690" s="18" t="inlineStr"/>
    </row>
    <row r="3691" ht="20" customHeight="1">
      <c r="A3691" s="19" t="inlineStr">
        <is>
          <t>10.1.1.2. ​97328​ TUBO EM COBRE FLEXÍVEL, DN 3/8", COM ISOLAMENTO, INSTALADO EM RAMAL DE ALIMENTAÇÃO DE AR-CONDICIONADO - FORNECIMENTO E INSTALAÇÃO.AF_07/2025​ (M)</t>
        </is>
      </c>
      <c r="B3691" s="55" t="n"/>
      <c r="C3691" s="55" t="n"/>
      <c r="D3691" s="55" t="n"/>
      <c r="E3691" s="55" t="n"/>
      <c r="F3691" s="55" t="n"/>
      <c r="G3691" s="56" t="n"/>
    </row>
    <row r="3692" ht="15" customHeight="1">
      <c r="A3692" s="20" t="inlineStr">
        <is>
          <t>Material</t>
        </is>
      </c>
      <c r="B3692" s="56" t="n"/>
      <c r="C3692" s="21" t="inlineStr">
        <is>
          <t>FONTE</t>
        </is>
      </c>
      <c r="D3692" s="21" t="inlineStr">
        <is>
          <t>UNID</t>
        </is>
      </c>
      <c r="E3692" s="21" t="inlineStr">
        <is>
          <t>COEFICIENTE</t>
        </is>
      </c>
      <c r="F3692" s="21" t="inlineStr">
        <is>
          <t>PREÇO UNITÁRIO</t>
        </is>
      </c>
      <c r="G3692" s="21" t="inlineStr">
        <is>
          <t>TOTAL</t>
        </is>
      </c>
    </row>
    <row r="3693" ht="46" customHeight="1">
      <c r="A3693" s="22" t="inlineStr">
        <is>
          <t>00039741</t>
        </is>
      </c>
      <c r="B3693" s="23" t="inlineStr">
        <is>
          <t>TUBO DE BORRACHA ELASTOMERICA FLEXIVEL, PRETA, PARA ISOLAMENTO TERMICO DE TUBULACAO, DN 3/8" (10 MM), E= 19 MM, COEFICIENTE DE CONDUTIVIDADE TERMICA 0,036W/MK, VAPOR DE AGUA MAIOR OU IGUAL A 10.000</t>
        </is>
      </c>
      <c r="C3693" s="22" t="inlineStr">
        <is>
          <t>SINAPI</t>
        </is>
      </c>
      <c r="D3693" s="22" t="inlineStr">
        <is>
          <t>M</t>
        </is>
      </c>
      <c r="E3693" s="63" t="n">
        <v>1.022727</v>
      </c>
      <c r="F3693" s="64">
        <f>ROUND(M3693*FATOR, 2)</f>
        <v/>
      </c>
      <c r="G3693" s="64">
        <f>TRUNC(TRUNC(E3693,8)*F3693,2)</f>
        <v/>
      </c>
      <c r="L3693" t="n">
        <v>1.022727</v>
      </c>
      <c r="M3693" t="n">
        <v>10.07</v>
      </c>
      <c r="N3693">
        <f>(M3693-F3693)</f>
        <v/>
      </c>
    </row>
    <row r="3694" ht="29" customHeight="1">
      <c r="A3694" s="22" t="inlineStr">
        <is>
          <t>00039664</t>
        </is>
      </c>
      <c r="B3694" s="23" t="inlineStr">
        <is>
          <t>TUBO DE COBRE FLEXIVEL, D = 3/8", E = 0,79 MM, PARA AR-CONDICIONADO/ INSTALACOES GAS RESIDENCIAIS E COMERCIAIS</t>
        </is>
      </c>
      <c r="C3694" s="22" t="inlineStr">
        <is>
          <t>SINAPI</t>
        </is>
      </c>
      <c r="D3694" s="22" t="inlineStr">
        <is>
          <t>M</t>
        </is>
      </c>
      <c r="E3694" s="63" t="n">
        <v>1.022727</v>
      </c>
      <c r="F3694" s="64">
        <f>ROUND(M3694*FATOR, 2)</f>
        <v/>
      </c>
      <c r="G3694" s="64">
        <f>TRUNC(TRUNC(E3694,8)*F3694,2)</f>
        <v/>
      </c>
      <c r="L3694" t="n">
        <v>1.022727</v>
      </c>
      <c r="M3694" t="n">
        <v>31.7</v>
      </c>
      <c r="N3694">
        <f>(M3694-F3694)</f>
        <v/>
      </c>
    </row>
    <row r="3695" ht="15" customHeight="1">
      <c r="A3695" s="2" t="inlineStr"/>
      <c r="B3695" s="2" t="inlineStr"/>
      <c r="C3695" s="2" t="inlineStr"/>
      <c r="D3695" s="2" t="inlineStr"/>
      <c r="E3695" s="26" t="inlineStr">
        <is>
          <t>TOTAL Material:</t>
        </is>
      </c>
      <c r="F3695" s="56" t="n"/>
      <c r="G3695" s="65">
        <f>SUM(G3693:G3694)</f>
        <v/>
      </c>
    </row>
    <row r="3696" ht="15" customHeight="1">
      <c r="A3696" s="20" t="inlineStr">
        <is>
          <t>Mão de Obra com Encargos Complementares</t>
        </is>
      </c>
      <c r="B3696" s="56" t="n"/>
      <c r="C3696" s="21" t="inlineStr">
        <is>
          <t>FONTE</t>
        </is>
      </c>
      <c r="D3696" s="21" t="inlineStr">
        <is>
          <t>UNID</t>
        </is>
      </c>
      <c r="E3696" s="21" t="inlineStr">
        <is>
          <t>COEFICIENTE</t>
        </is>
      </c>
      <c r="F3696" s="21" t="inlineStr">
        <is>
          <t>PREÇO UNITÁRIO</t>
        </is>
      </c>
      <c r="G3696" s="21" t="inlineStr">
        <is>
          <t>TOTAL</t>
        </is>
      </c>
    </row>
    <row r="3697" ht="21" customHeight="1">
      <c r="A3697" s="22" t="inlineStr">
        <is>
          <t>88243</t>
        </is>
      </c>
      <c r="B3697" s="23" t="inlineStr">
        <is>
          <t>AJUDANTE ESPECIALIZADO COM ENCARGOS COMPLEMENTARES</t>
        </is>
      </c>
      <c r="C3697" s="22" t="inlineStr">
        <is>
          <t>SINAPI</t>
        </is>
      </c>
      <c r="D3697" s="22" t="inlineStr">
        <is>
          <t>H</t>
        </is>
      </c>
      <c r="E3697" s="63">
        <f>L3697*FATOR</f>
        <v/>
      </c>
      <c r="F3697" s="64">
        <f>'COMPOSICOES AUXILIARES'!G106</f>
        <v/>
      </c>
      <c r="G3697" s="64">
        <f>TRUNC(TRUNC(E3697,8)*F3697,2)</f>
        <v/>
      </c>
      <c r="L3697" t="n">
        <v>0.053612</v>
      </c>
      <c r="M3697" t="n">
        <v>23.76</v>
      </c>
      <c r="N3697">
        <f>(M3697-F3697)</f>
        <v/>
      </c>
    </row>
    <row r="3698" ht="21" customHeight="1">
      <c r="A3698" s="22" t="inlineStr">
        <is>
          <t>100308</t>
        </is>
      </c>
      <c r="B3698" s="23" t="inlineStr">
        <is>
          <t>MECÂNICO DE REFRIGERAÇÃO COM ENCARGOS COMPLEMENTARES</t>
        </is>
      </c>
      <c r="C3698" s="22" t="inlineStr">
        <is>
          <t>SINAPI</t>
        </is>
      </c>
      <c r="D3698" s="22" t="inlineStr">
        <is>
          <t>H</t>
        </is>
      </c>
      <c r="E3698" s="63">
        <f>L3698*FATOR</f>
        <v/>
      </c>
      <c r="F3698" s="64">
        <f>'COMPOSICOES AUXILIARES'!G2499</f>
        <v/>
      </c>
      <c r="G3698" s="64">
        <f>TRUNC(TRUNC(E3698,8)*F3698,2)</f>
        <v/>
      </c>
      <c r="L3698" t="n">
        <v>0.053612</v>
      </c>
      <c r="M3698" t="n">
        <v>30.46</v>
      </c>
      <c r="N3698">
        <f>(M3698-F3698)</f>
        <v/>
      </c>
    </row>
    <row r="3699" ht="18" customHeight="1">
      <c r="A3699" s="2" t="inlineStr"/>
      <c r="B3699" s="2" t="inlineStr"/>
      <c r="C3699" s="2" t="inlineStr"/>
      <c r="D3699" s="2" t="inlineStr"/>
      <c r="E3699" s="26" t="inlineStr">
        <is>
          <t>TOTAL Mão de Obra com Encargos Complementares:</t>
        </is>
      </c>
      <c r="F3699" s="56" t="n"/>
      <c r="G3699" s="65">
        <f>SUM(G3697:G3698)</f>
        <v/>
      </c>
    </row>
    <row r="3700" ht="15" customHeight="1">
      <c r="A3700" s="2" t="inlineStr"/>
      <c r="B3700" s="2" t="inlineStr"/>
      <c r="C3700" s="2" t="inlineStr"/>
      <c r="D3700" s="2" t="inlineStr"/>
      <c r="E3700" s="28" t="inlineStr">
        <is>
          <t>VALOR:</t>
        </is>
      </c>
      <c r="F3700" s="56" t="n"/>
      <c r="G3700" s="66">
        <f>SUM(G3699,G3695)</f>
        <v/>
      </c>
    </row>
    <row r="3701" ht="15" customHeight="1">
      <c r="A3701" s="2" t="inlineStr"/>
      <c r="B3701" s="2" t="inlineStr"/>
      <c r="C3701" s="2" t="inlineStr"/>
      <c r="D3701" s="2" t="inlineStr"/>
      <c r="E3701" s="28" t="inlineStr">
        <is>
          <t>VALOR BDI (23.08%):</t>
        </is>
      </c>
      <c r="F3701" s="56" t="n"/>
      <c r="G3701" s="66">
        <f>ROUNDDOWN(G3700*BDI,2)</f>
        <v/>
      </c>
    </row>
    <row r="3702" ht="15" customHeight="1">
      <c r="A3702" s="2" t="inlineStr"/>
      <c r="B3702" s="2" t="inlineStr"/>
      <c r="C3702" s="2" t="inlineStr"/>
      <c r="D3702" s="2" t="inlineStr"/>
      <c r="E3702" s="28" t="inlineStr">
        <is>
          <t>VALOR COM BDI:</t>
        </is>
      </c>
      <c r="F3702" s="56" t="n"/>
      <c r="G3702" s="66">
        <f>G3701 + G3700</f>
        <v/>
      </c>
    </row>
    <row r="3703" ht="10" customHeight="1">
      <c r="A3703" s="2" t="inlineStr"/>
      <c r="B3703" s="2" t="inlineStr"/>
      <c r="C3703" s="2" t="inlineStr"/>
      <c r="D3703" s="2" t="inlineStr"/>
      <c r="E3703" s="18" t="inlineStr"/>
    </row>
    <row r="3704" ht="20" customHeight="1">
      <c r="A3704" s="19" t="inlineStr">
        <is>
          <t>10.1.1.3. ​97329​ TUBO EM COBRE FLEXÍVEL, DN 1/2", COM ISOLAMENTO, INSTALADO EM RAMAL DE ALIMENTAÇÃO DE AR-CONDICIONADO - FORNECIMENTO E INSTALAÇÃO.AF_07/2025​ (M)</t>
        </is>
      </c>
      <c r="B3704" s="55" t="n"/>
      <c r="C3704" s="55" t="n"/>
      <c r="D3704" s="55" t="n"/>
      <c r="E3704" s="55" t="n"/>
      <c r="F3704" s="55" t="n"/>
      <c r="G3704" s="56" t="n"/>
    </row>
    <row r="3705" ht="15" customHeight="1">
      <c r="A3705" s="20" t="inlineStr">
        <is>
          <t>Material</t>
        </is>
      </c>
      <c r="B3705" s="56" t="n"/>
      <c r="C3705" s="21" t="inlineStr">
        <is>
          <t>FONTE</t>
        </is>
      </c>
      <c r="D3705" s="21" t="inlineStr">
        <is>
          <t>UNID</t>
        </is>
      </c>
      <c r="E3705" s="21" t="inlineStr">
        <is>
          <t>COEFICIENTE</t>
        </is>
      </c>
      <c r="F3705" s="21" t="inlineStr">
        <is>
          <t>PREÇO UNITÁRIO</t>
        </is>
      </c>
      <c r="G3705" s="21" t="inlineStr">
        <is>
          <t>TOTAL</t>
        </is>
      </c>
    </row>
    <row r="3706" ht="46" customHeight="1">
      <c r="A3706" s="22" t="inlineStr">
        <is>
          <t>00039737</t>
        </is>
      </c>
      <c r="B3706" s="23" t="inlineStr">
        <is>
          <t>TUBO DE BORRACHA ELASTOMERICA FLEXIVEL, PRETA, PARA ISOLAMENTO TERMICO DE TUBULACAO, DN 1/2" (12 MM), E= 19 MM, COEFICIENTE DE CONDUTIVIDADE TERMICA 0,036W/MK, VAPOR DE AGUA MAIOR OU IGUAL A 10.000</t>
        </is>
      </c>
      <c r="C3706" s="22" t="inlineStr">
        <is>
          <t>SINAPI</t>
        </is>
      </c>
      <c r="D3706" s="22" t="inlineStr">
        <is>
          <t>M</t>
        </is>
      </c>
      <c r="E3706" s="63" t="n">
        <v>1.022727</v>
      </c>
      <c r="F3706" s="64">
        <f>ROUND(M3706*FATOR, 2)</f>
        <v/>
      </c>
      <c r="G3706" s="64">
        <f>TRUNC(TRUNC(E3706,8)*F3706,2)</f>
        <v/>
      </c>
      <c r="L3706" t="n">
        <v>1.022727</v>
      </c>
      <c r="M3706" t="n">
        <v>11.07</v>
      </c>
      <c r="N3706">
        <f>(M3706-F3706)</f>
        <v/>
      </c>
    </row>
    <row r="3707" ht="29" customHeight="1">
      <c r="A3707" s="22" t="inlineStr">
        <is>
          <t>00039660</t>
        </is>
      </c>
      <c r="B3707" s="23" t="inlineStr">
        <is>
          <t>TUBO DE COBRE FLEXIVEL, D = 1/2", E = 0,79 MM, PARA AR-CONDICIONADO/ INSTALACOES GAS RESIDENCIAIS E COMERCIAIS</t>
        </is>
      </c>
      <c r="C3707" s="22" t="inlineStr">
        <is>
          <t>SINAPI</t>
        </is>
      </c>
      <c r="D3707" s="22" t="inlineStr">
        <is>
          <t>M</t>
        </is>
      </c>
      <c r="E3707" s="63" t="n">
        <v>1.022727</v>
      </c>
      <c r="F3707" s="64">
        <f>ROUND(M3707*FATOR, 2)</f>
        <v/>
      </c>
      <c r="G3707" s="64">
        <f>TRUNC(TRUNC(E3707,8)*F3707,2)</f>
        <v/>
      </c>
      <c r="L3707" t="n">
        <v>1.022727</v>
      </c>
      <c r="M3707" t="n">
        <v>43</v>
      </c>
      <c r="N3707">
        <f>(M3707-F3707)</f>
        <v/>
      </c>
    </row>
    <row r="3708" ht="15" customHeight="1">
      <c r="A3708" s="2" t="inlineStr"/>
      <c r="B3708" s="2" t="inlineStr"/>
      <c r="C3708" s="2" t="inlineStr"/>
      <c r="D3708" s="2" t="inlineStr"/>
      <c r="E3708" s="26" t="inlineStr">
        <is>
          <t>TOTAL Material:</t>
        </is>
      </c>
      <c r="F3708" s="56" t="n"/>
      <c r="G3708" s="65">
        <f>SUM(G3706:G3707)</f>
        <v/>
      </c>
    </row>
    <row r="3709" ht="15" customHeight="1">
      <c r="A3709" s="20" t="inlineStr">
        <is>
          <t>Mão de Obra com Encargos Complementares</t>
        </is>
      </c>
      <c r="B3709" s="56" t="n"/>
      <c r="C3709" s="21" t="inlineStr">
        <is>
          <t>FONTE</t>
        </is>
      </c>
      <c r="D3709" s="21" t="inlineStr">
        <is>
          <t>UNID</t>
        </is>
      </c>
      <c r="E3709" s="21" t="inlineStr">
        <is>
          <t>COEFICIENTE</t>
        </is>
      </c>
      <c r="F3709" s="21" t="inlineStr">
        <is>
          <t>PREÇO UNITÁRIO</t>
        </is>
      </c>
      <c r="G3709" s="21" t="inlineStr">
        <is>
          <t>TOTAL</t>
        </is>
      </c>
    </row>
    <row r="3710" ht="21" customHeight="1">
      <c r="A3710" s="22" t="inlineStr">
        <is>
          <t>88243</t>
        </is>
      </c>
      <c r="B3710" s="23" t="inlineStr">
        <is>
          <t>AJUDANTE ESPECIALIZADO COM ENCARGOS COMPLEMENTARES</t>
        </is>
      </c>
      <c r="C3710" s="22" t="inlineStr">
        <is>
          <t>SINAPI</t>
        </is>
      </c>
      <c r="D3710" s="22" t="inlineStr">
        <is>
          <t>H</t>
        </is>
      </c>
      <c r="E3710" s="63">
        <f>L3710*FATOR</f>
        <v/>
      </c>
      <c r="F3710" s="64">
        <f>'COMPOSICOES AUXILIARES'!G106</f>
        <v/>
      </c>
      <c r="G3710" s="64">
        <f>TRUNC(TRUNC(E3710,8)*F3710,2)</f>
        <v/>
      </c>
      <c r="L3710" t="n">
        <v>0.06272800000000001</v>
      </c>
      <c r="M3710" t="n">
        <v>23.76</v>
      </c>
      <c r="N3710">
        <f>(M3710-F3710)</f>
        <v/>
      </c>
    </row>
    <row r="3711" ht="21" customHeight="1">
      <c r="A3711" s="22" t="inlineStr">
        <is>
          <t>100308</t>
        </is>
      </c>
      <c r="B3711" s="23" t="inlineStr">
        <is>
          <t>MECÂNICO DE REFRIGERAÇÃO COM ENCARGOS COMPLEMENTARES</t>
        </is>
      </c>
      <c r="C3711" s="22" t="inlineStr">
        <is>
          <t>SINAPI</t>
        </is>
      </c>
      <c r="D3711" s="22" t="inlineStr">
        <is>
          <t>H</t>
        </is>
      </c>
      <c r="E3711" s="63">
        <f>L3711*FATOR</f>
        <v/>
      </c>
      <c r="F3711" s="64">
        <f>'COMPOSICOES AUXILIARES'!G2499</f>
        <v/>
      </c>
      <c r="G3711" s="64">
        <f>TRUNC(TRUNC(E3711,8)*F3711,2)</f>
        <v/>
      </c>
      <c r="L3711" t="n">
        <v>0.06272800000000001</v>
      </c>
      <c r="M3711" t="n">
        <v>30.46</v>
      </c>
      <c r="N3711">
        <f>(M3711-F3711)</f>
        <v/>
      </c>
    </row>
    <row r="3712" ht="18" customHeight="1">
      <c r="A3712" s="2" t="inlineStr"/>
      <c r="B3712" s="2" t="inlineStr"/>
      <c r="C3712" s="2" t="inlineStr"/>
      <c r="D3712" s="2" t="inlineStr"/>
      <c r="E3712" s="26" t="inlineStr">
        <is>
          <t>TOTAL Mão de Obra com Encargos Complementares:</t>
        </is>
      </c>
      <c r="F3712" s="56" t="n"/>
      <c r="G3712" s="65">
        <f>SUM(G3710:G3711)</f>
        <v/>
      </c>
    </row>
    <row r="3713" ht="15" customHeight="1">
      <c r="A3713" s="2" t="inlineStr"/>
      <c r="B3713" s="2" t="inlineStr"/>
      <c r="C3713" s="2" t="inlineStr"/>
      <c r="D3713" s="2" t="inlineStr"/>
      <c r="E3713" s="28" t="inlineStr">
        <is>
          <t>VALOR:</t>
        </is>
      </c>
      <c r="F3713" s="56" t="n"/>
      <c r="G3713" s="66">
        <f>SUM(G3712,G3708)</f>
        <v/>
      </c>
    </row>
    <row r="3714" ht="15" customHeight="1">
      <c r="A3714" s="2" t="inlineStr"/>
      <c r="B3714" s="2" t="inlineStr"/>
      <c r="C3714" s="2" t="inlineStr"/>
      <c r="D3714" s="2" t="inlineStr"/>
      <c r="E3714" s="28" t="inlineStr">
        <is>
          <t>VALOR BDI (23.08%):</t>
        </is>
      </c>
      <c r="F3714" s="56" t="n"/>
      <c r="G3714" s="66">
        <f>ROUNDDOWN(G3713*BDI,2)</f>
        <v/>
      </c>
    </row>
    <row r="3715" ht="15" customHeight="1">
      <c r="A3715" s="2" t="inlineStr"/>
      <c r="B3715" s="2" t="inlineStr"/>
      <c r="C3715" s="2" t="inlineStr"/>
      <c r="D3715" s="2" t="inlineStr"/>
      <c r="E3715" s="28" t="inlineStr">
        <is>
          <t>VALOR COM BDI:</t>
        </is>
      </c>
      <c r="F3715" s="56" t="n"/>
      <c r="G3715" s="66">
        <f>G3714 + G3713</f>
        <v/>
      </c>
    </row>
    <row r="3716" ht="10" customHeight="1">
      <c r="A3716" s="2" t="inlineStr"/>
      <c r="B3716" s="2" t="inlineStr"/>
      <c r="C3716" s="2" t="inlineStr"/>
      <c r="D3716" s="2" t="inlineStr"/>
      <c r="E3716" s="18" t="inlineStr"/>
    </row>
    <row r="3717" ht="20" customHeight="1">
      <c r="A3717" s="19" t="inlineStr">
        <is>
          <t>10.1.1.4. ​97330​ TUBO EM COBRE FLEXÍVEL, DN 5/8", COM ISOLAMENTO, INSTALADO EM RAMAL DE ALIMENTAÇÃO DE AR-CONDICIONADO - FORNECIMENTO E INSTALAÇÃO.AF_07/2025​ (M)</t>
        </is>
      </c>
      <c r="B3717" s="55" t="n"/>
      <c r="C3717" s="55" t="n"/>
      <c r="D3717" s="55" t="n"/>
      <c r="E3717" s="55" t="n"/>
      <c r="F3717" s="55" t="n"/>
      <c r="G3717" s="56" t="n"/>
    </row>
    <row r="3718" ht="15" customHeight="1">
      <c r="A3718" s="20" t="inlineStr">
        <is>
          <t>Material</t>
        </is>
      </c>
      <c r="B3718" s="56" t="n"/>
      <c r="C3718" s="21" t="inlineStr">
        <is>
          <t>FONTE</t>
        </is>
      </c>
      <c r="D3718" s="21" t="inlineStr">
        <is>
          <t>UNID</t>
        </is>
      </c>
      <c r="E3718" s="21" t="inlineStr">
        <is>
          <t>COEFICIENTE</t>
        </is>
      </c>
      <c r="F3718" s="21" t="inlineStr">
        <is>
          <t>PREÇO UNITÁRIO</t>
        </is>
      </c>
      <c r="G3718" s="21" t="inlineStr">
        <is>
          <t>TOTAL</t>
        </is>
      </c>
    </row>
    <row r="3719" ht="46" customHeight="1">
      <c r="A3719" s="22" t="inlineStr">
        <is>
          <t>00039853</t>
        </is>
      </c>
      <c r="B3719" s="23" t="inlineStr">
        <is>
          <t>TUBO DE BORRACHA ELASTOMERICA FLEXIVEL, PRETA, PARA ISOLAMENTO TERMICO DE TUBULACAO, DN 5/8" (15 MM), E= 19 MM, COEFICIENTE DE CONDUTIVIDADE TERMICA 0,036W/MK, VAPOR DE AGUA MAIOR OU IGUAL A 10.000</t>
        </is>
      </c>
      <c r="C3719" s="22" t="inlineStr">
        <is>
          <t>SINAPI</t>
        </is>
      </c>
      <c r="D3719" s="22" t="inlineStr">
        <is>
          <t>M</t>
        </is>
      </c>
      <c r="E3719" s="63" t="n">
        <v>1.022727</v>
      </c>
      <c r="F3719" s="64">
        <f>ROUND(M3719*FATOR, 2)</f>
        <v/>
      </c>
      <c r="G3719" s="64">
        <f>TRUNC(TRUNC(E3719,8)*F3719,2)</f>
        <v/>
      </c>
      <c r="L3719" t="n">
        <v>1.022727</v>
      </c>
      <c r="M3719" t="n">
        <v>13.23</v>
      </c>
      <c r="N3719">
        <f>(M3719-F3719)</f>
        <v/>
      </c>
    </row>
    <row r="3720" ht="29" customHeight="1">
      <c r="A3720" s="22" t="inlineStr">
        <is>
          <t>00039665</t>
        </is>
      </c>
      <c r="B3720" s="23" t="inlineStr">
        <is>
          <t>TUBO DE COBRE FLEXIVEL, D = 5/8", E = 0,79 MM, PARA AR-CONDICIONADO/ INSTALACOES GAS RESIDENCIAIS E COMERCIAIS</t>
        </is>
      </c>
      <c r="C3720" s="22" t="inlineStr">
        <is>
          <t>SINAPI</t>
        </is>
      </c>
      <c r="D3720" s="22" t="inlineStr">
        <is>
          <t>M</t>
        </is>
      </c>
      <c r="E3720" s="63" t="n">
        <v>1.022727</v>
      </c>
      <c r="F3720" s="64">
        <f>ROUND(M3720*FATOR, 2)</f>
        <v/>
      </c>
      <c r="G3720" s="64">
        <f>TRUNC(TRUNC(E3720,8)*F3720,2)</f>
        <v/>
      </c>
      <c r="L3720" t="n">
        <v>1.022727</v>
      </c>
      <c r="M3720" t="n">
        <v>53.49</v>
      </c>
      <c r="N3720">
        <f>(M3720-F3720)</f>
        <v/>
      </c>
    </row>
    <row r="3721" ht="15" customHeight="1">
      <c r="A3721" s="2" t="inlineStr"/>
      <c r="B3721" s="2" t="inlineStr"/>
      <c r="C3721" s="2" t="inlineStr"/>
      <c r="D3721" s="2" t="inlineStr"/>
      <c r="E3721" s="26" t="inlineStr">
        <is>
          <t>TOTAL Material:</t>
        </is>
      </c>
      <c r="F3721" s="56" t="n"/>
      <c r="G3721" s="65">
        <f>SUM(G3719:G3720)</f>
        <v/>
      </c>
    </row>
    <row r="3722" ht="15" customHeight="1">
      <c r="A3722" s="20" t="inlineStr">
        <is>
          <t>Mão de Obra com Encargos Complementares</t>
        </is>
      </c>
      <c r="B3722" s="56" t="n"/>
      <c r="C3722" s="21" t="inlineStr">
        <is>
          <t>FONTE</t>
        </is>
      </c>
      <c r="D3722" s="21" t="inlineStr">
        <is>
          <t>UNID</t>
        </is>
      </c>
      <c r="E3722" s="21" t="inlineStr">
        <is>
          <t>COEFICIENTE</t>
        </is>
      </c>
      <c r="F3722" s="21" t="inlineStr">
        <is>
          <t>PREÇO UNITÁRIO</t>
        </is>
      </c>
      <c r="G3722" s="21" t="inlineStr">
        <is>
          <t>TOTAL</t>
        </is>
      </c>
    </row>
    <row r="3723" ht="21" customHeight="1">
      <c r="A3723" s="22" t="inlineStr">
        <is>
          <t>88243</t>
        </is>
      </c>
      <c r="B3723" s="23" t="inlineStr">
        <is>
          <t>AJUDANTE ESPECIALIZADO COM ENCARGOS COMPLEMENTARES</t>
        </is>
      </c>
      <c r="C3723" s="22" t="inlineStr">
        <is>
          <t>SINAPI</t>
        </is>
      </c>
      <c r="D3723" s="22" t="inlineStr">
        <is>
          <t>H</t>
        </is>
      </c>
      <c r="E3723" s="63">
        <f>L3723*FATOR</f>
        <v/>
      </c>
      <c r="F3723" s="64">
        <f>'COMPOSICOES AUXILIARES'!G106</f>
        <v/>
      </c>
      <c r="G3723" s="64">
        <f>TRUNC(TRUNC(E3723,8)*F3723,2)</f>
        <v/>
      </c>
      <c r="L3723" t="n">
        <v>0.071814</v>
      </c>
      <c r="M3723" t="n">
        <v>23.76</v>
      </c>
      <c r="N3723">
        <f>(M3723-F3723)</f>
        <v/>
      </c>
    </row>
    <row r="3724" ht="21" customHeight="1">
      <c r="A3724" s="22" t="inlineStr">
        <is>
          <t>100308</t>
        </is>
      </c>
      <c r="B3724" s="23" t="inlineStr">
        <is>
          <t>MECÂNICO DE REFRIGERAÇÃO COM ENCARGOS COMPLEMENTARES</t>
        </is>
      </c>
      <c r="C3724" s="22" t="inlineStr">
        <is>
          <t>SINAPI</t>
        </is>
      </c>
      <c r="D3724" s="22" t="inlineStr">
        <is>
          <t>H</t>
        </is>
      </c>
      <c r="E3724" s="63">
        <f>L3724*FATOR</f>
        <v/>
      </c>
      <c r="F3724" s="64">
        <f>'COMPOSICOES AUXILIARES'!G2499</f>
        <v/>
      </c>
      <c r="G3724" s="64">
        <f>TRUNC(TRUNC(E3724,8)*F3724,2)</f>
        <v/>
      </c>
      <c r="L3724" t="n">
        <v>0.071814</v>
      </c>
      <c r="M3724" t="n">
        <v>30.46</v>
      </c>
      <c r="N3724">
        <f>(M3724-F3724)</f>
        <v/>
      </c>
    </row>
    <row r="3725" ht="18" customHeight="1">
      <c r="A3725" s="2" t="inlineStr"/>
      <c r="B3725" s="2" t="inlineStr"/>
      <c r="C3725" s="2" t="inlineStr"/>
      <c r="D3725" s="2" t="inlineStr"/>
      <c r="E3725" s="26" t="inlineStr">
        <is>
          <t>TOTAL Mão de Obra com Encargos Complementares:</t>
        </is>
      </c>
      <c r="F3725" s="56" t="n"/>
      <c r="G3725" s="65">
        <f>SUM(G3723:G3724)</f>
        <v/>
      </c>
    </row>
    <row r="3726" ht="15" customHeight="1">
      <c r="A3726" s="2" t="inlineStr"/>
      <c r="B3726" s="2" t="inlineStr"/>
      <c r="C3726" s="2" t="inlineStr"/>
      <c r="D3726" s="2" t="inlineStr"/>
      <c r="E3726" s="28" t="inlineStr">
        <is>
          <t>VALOR:</t>
        </is>
      </c>
      <c r="F3726" s="56" t="n"/>
      <c r="G3726" s="66">
        <f>SUM(G3721,G3725)</f>
        <v/>
      </c>
    </row>
    <row r="3727" ht="15" customHeight="1">
      <c r="A3727" s="2" t="inlineStr"/>
      <c r="B3727" s="2" t="inlineStr"/>
      <c r="C3727" s="2" t="inlineStr"/>
      <c r="D3727" s="2" t="inlineStr"/>
      <c r="E3727" s="28" t="inlineStr">
        <is>
          <t>VALOR BDI (23.08%):</t>
        </is>
      </c>
      <c r="F3727" s="56" t="n"/>
      <c r="G3727" s="66">
        <f>ROUNDDOWN(G3726*BDI,2)</f>
        <v/>
      </c>
    </row>
    <row r="3728" ht="15" customHeight="1">
      <c r="A3728" s="2" t="inlineStr"/>
      <c r="B3728" s="2" t="inlineStr"/>
      <c r="C3728" s="2" t="inlineStr"/>
      <c r="D3728" s="2" t="inlineStr"/>
      <c r="E3728" s="28" t="inlineStr">
        <is>
          <t>VALOR COM BDI:</t>
        </is>
      </c>
      <c r="F3728" s="56" t="n"/>
      <c r="G3728" s="66">
        <f>G3727 + G3726</f>
        <v/>
      </c>
    </row>
    <row r="3729" ht="10" customHeight="1">
      <c r="A3729" s="2" t="inlineStr"/>
      <c r="B3729" s="2" t="inlineStr"/>
      <c r="C3729" s="2" t="inlineStr"/>
      <c r="D3729" s="2" t="inlineStr"/>
      <c r="E3729" s="18" t="inlineStr"/>
    </row>
    <row r="3730" ht="20" customHeight="1">
      <c r="A3730" s="19" t="inlineStr">
        <is>
          <t>10.1.2.1. ​376 PRÓPRIO​ CABO PP 2 X 2.5MM² - 450/750V​ (M)</t>
        </is>
      </c>
      <c r="B3730" s="55" t="n"/>
      <c r="C3730" s="55" t="n"/>
      <c r="D3730" s="55" t="n"/>
      <c r="E3730" s="55" t="n"/>
      <c r="F3730" s="55" t="n"/>
      <c r="G3730" s="56" t="n"/>
    </row>
    <row r="3731" ht="15" customHeight="1">
      <c r="A3731" s="20" t="inlineStr">
        <is>
          <t>Material</t>
        </is>
      </c>
      <c r="B3731" s="56" t="n"/>
      <c r="C3731" s="21" t="inlineStr">
        <is>
          <t>FONTE</t>
        </is>
      </c>
      <c r="D3731" s="21" t="inlineStr">
        <is>
          <t>UNID</t>
        </is>
      </c>
      <c r="E3731" s="21" t="inlineStr">
        <is>
          <t>COEFICIENTE</t>
        </is>
      </c>
      <c r="F3731" s="21" t="inlineStr">
        <is>
          <t>PREÇO UNITÁRIO</t>
        </is>
      </c>
      <c r="G3731" s="21" t="inlineStr">
        <is>
          <t>TOTAL</t>
        </is>
      </c>
    </row>
    <row r="3732" ht="29" customHeight="1">
      <c r="A3732" s="22" t="inlineStr">
        <is>
          <t>00039258</t>
        </is>
      </c>
      <c r="B3732" s="23" t="inlineStr">
        <is>
          <t>CABO MULTIPOLAR DE COBRE, FLEXIVEL, CLASSE 4 OU 5, ISOLACAO EM HEPR, COBERTURA EM PVC-ST2, ANTICHAMA BWF-B, 0,6/1 KV, 3 CONDUTORES DE 2,5 MM2</t>
        </is>
      </c>
      <c r="C3732" s="22" t="inlineStr">
        <is>
          <t>SINAPI</t>
        </is>
      </c>
      <c r="D3732" s="22" t="inlineStr">
        <is>
          <t>M</t>
        </is>
      </c>
      <c r="E3732" s="63" t="n">
        <v>1</v>
      </c>
      <c r="F3732" s="64">
        <f>ROUND(M3732*FATOR, 2)</f>
        <v/>
      </c>
      <c r="G3732" s="64">
        <f>ROUND(ROUND(E3732,8)*F3732,2)</f>
        <v/>
      </c>
      <c r="L3732" t="n">
        <v>1</v>
      </c>
      <c r="M3732" t="n">
        <v>9.449999999999999</v>
      </c>
      <c r="N3732">
        <f>(M3732-F3732)</f>
        <v/>
      </c>
    </row>
    <row r="3733" ht="15" customHeight="1">
      <c r="A3733" s="2" t="inlineStr"/>
      <c r="B3733" s="2" t="inlineStr"/>
      <c r="C3733" s="2" t="inlineStr"/>
      <c r="D3733" s="2" t="inlineStr"/>
      <c r="E3733" s="26" t="inlineStr">
        <is>
          <t>TOTAL Material:</t>
        </is>
      </c>
      <c r="F3733" s="56" t="n"/>
      <c r="G3733" s="65">
        <f>SUM(G3732:G3732)</f>
        <v/>
      </c>
    </row>
    <row r="3734" ht="15" customHeight="1">
      <c r="A3734" s="20" t="inlineStr">
        <is>
          <t>Mão de Obra com Encargos Complementares</t>
        </is>
      </c>
      <c r="B3734" s="56" t="n"/>
      <c r="C3734" s="21" t="inlineStr">
        <is>
          <t>FONTE</t>
        </is>
      </c>
      <c r="D3734" s="21" t="inlineStr">
        <is>
          <t>UNID</t>
        </is>
      </c>
      <c r="E3734" s="21" t="inlineStr">
        <is>
          <t>COEFICIENTE</t>
        </is>
      </c>
      <c r="F3734" s="21" t="inlineStr">
        <is>
          <t>PREÇO UNITÁRIO</t>
        </is>
      </c>
      <c r="G3734" s="21" t="inlineStr">
        <is>
          <t>TOTAL</t>
        </is>
      </c>
    </row>
    <row r="3735" ht="15" customHeight="1">
      <c r="A3735" s="22" t="inlineStr">
        <is>
          <t>88264</t>
        </is>
      </c>
      <c r="B3735" s="23" t="inlineStr">
        <is>
          <t>ELETRICISTA COM ENCARGOS COMPLEMENTARES</t>
        </is>
      </c>
      <c r="C3735" s="22" t="inlineStr">
        <is>
          <t>SINAPI</t>
        </is>
      </c>
      <c r="D3735" s="22" t="inlineStr">
        <is>
          <t>H</t>
        </is>
      </c>
      <c r="E3735" s="63">
        <f>L3735*FATOR</f>
        <v/>
      </c>
      <c r="F3735" s="64">
        <f>'COMPOSICOES AUXILIARES'!G505</f>
        <v/>
      </c>
      <c r="G3735" s="64">
        <f>ROUND(ROUND(E3735,8)*F3735,2)</f>
        <v/>
      </c>
      <c r="L3735" t="n">
        <v>0.12</v>
      </c>
      <c r="M3735" t="n">
        <v>30.96</v>
      </c>
      <c r="N3735">
        <f>(M3735-F3735)</f>
        <v/>
      </c>
    </row>
    <row r="3736" ht="15" customHeight="1">
      <c r="A3736" s="22" t="inlineStr">
        <is>
          <t>88316</t>
        </is>
      </c>
      <c r="B3736" s="23" t="inlineStr">
        <is>
          <t>SERVENTE COM ENCARGOS COMPLEMENTARES</t>
        </is>
      </c>
      <c r="C3736" s="22" t="inlineStr">
        <is>
          <t>SINAPI</t>
        </is>
      </c>
      <c r="D3736" s="22" t="inlineStr">
        <is>
          <t>H</t>
        </is>
      </c>
      <c r="E3736" s="63">
        <f>L3736*FATOR</f>
        <v/>
      </c>
      <c r="F3736" s="64">
        <f>'COMPOSICOES AUXILIARES'!G3390</f>
        <v/>
      </c>
      <c r="G3736" s="64">
        <f>ROUND(ROUND(E3736,8)*F3736,2)</f>
        <v/>
      </c>
      <c r="L3736" t="n">
        <v>0.12</v>
      </c>
      <c r="M3736" t="n">
        <v>23.56</v>
      </c>
      <c r="N3736">
        <f>(M3736-F3736)</f>
        <v/>
      </c>
    </row>
    <row r="3737" ht="18" customHeight="1">
      <c r="A3737" s="2" t="inlineStr"/>
      <c r="B3737" s="2" t="inlineStr"/>
      <c r="C3737" s="2" t="inlineStr"/>
      <c r="D3737" s="2" t="inlineStr"/>
      <c r="E3737" s="26" t="inlineStr">
        <is>
          <t>TOTAL Mão de Obra com Encargos Complementares:</t>
        </is>
      </c>
      <c r="F3737" s="56" t="n"/>
      <c r="G3737" s="65">
        <f>SUM(G3735:G3736)</f>
        <v/>
      </c>
    </row>
    <row r="3738" ht="15" customHeight="1">
      <c r="A3738" s="2" t="inlineStr"/>
      <c r="B3738" s="2" t="inlineStr"/>
      <c r="C3738" s="2" t="inlineStr"/>
      <c r="D3738" s="2" t="inlineStr"/>
      <c r="E3738" s="28" t="inlineStr">
        <is>
          <t>VALOR:</t>
        </is>
      </c>
      <c r="F3738" s="56" t="n"/>
      <c r="G3738" s="66">
        <f>SUM(G3737,G3733)</f>
        <v/>
      </c>
    </row>
    <row r="3739" ht="15" customHeight="1">
      <c r="A3739" s="2" t="inlineStr"/>
      <c r="B3739" s="2" t="inlineStr"/>
      <c r="C3739" s="2" t="inlineStr"/>
      <c r="D3739" s="2" t="inlineStr"/>
      <c r="E3739" s="28" t="inlineStr">
        <is>
          <t>VALOR BDI (23.08%):</t>
        </is>
      </c>
      <c r="F3739" s="56" t="n"/>
      <c r="G3739" s="66">
        <f>ROUNDDOWN(G3738*BDI,2)</f>
        <v/>
      </c>
    </row>
    <row r="3740" ht="15" customHeight="1">
      <c r="A3740" s="2" t="inlineStr"/>
      <c r="B3740" s="2" t="inlineStr"/>
      <c r="C3740" s="2" t="inlineStr"/>
      <c r="D3740" s="2" t="inlineStr"/>
      <c r="E3740" s="28" t="inlineStr">
        <is>
          <t>VALOR COM BDI:</t>
        </is>
      </c>
      <c r="F3740" s="56" t="n"/>
      <c r="G3740" s="66">
        <f>G3739 + G3738</f>
        <v/>
      </c>
    </row>
    <row r="3741" ht="10" customHeight="1">
      <c r="A3741" s="2" t="inlineStr"/>
      <c r="B3741" s="2" t="inlineStr"/>
      <c r="C3741" s="2" t="inlineStr"/>
      <c r="D3741" s="2" t="inlineStr"/>
      <c r="E3741" s="18" t="inlineStr"/>
    </row>
    <row r="3742" ht="20" customHeight="1">
      <c r="A3742" s="19" t="inlineStr">
        <is>
          <t>10.1.3.1. ​89865​ TUBO, PVC, SOLDÁVEL, DE 25MM, INSTALADO EM DRENO DE AR-CONDICIONADO - FORNECIMENTO EINSTALAÇÃO. AF_08/2022​ (M)</t>
        </is>
      </c>
      <c r="B3742" s="55" t="n"/>
      <c r="C3742" s="55" t="n"/>
      <c r="D3742" s="55" t="n"/>
      <c r="E3742" s="55" t="n"/>
      <c r="F3742" s="55" t="n"/>
      <c r="G3742" s="56" t="n"/>
    </row>
    <row r="3743" ht="15" customHeight="1">
      <c r="A3743" s="20" t="inlineStr">
        <is>
          <t>Material</t>
        </is>
      </c>
      <c r="B3743" s="56" t="n"/>
      <c r="C3743" s="21" t="inlineStr">
        <is>
          <t>FONTE</t>
        </is>
      </c>
      <c r="D3743" s="21" t="inlineStr">
        <is>
          <t>UNID</t>
        </is>
      </c>
      <c r="E3743" s="21" t="inlineStr">
        <is>
          <t>COEFICIENTE</t>
        </is>
      </c>
      <c r="F3743" s="21" t="inlineStr">
        <is>
          <t>PREÇO UNITÁRIO</t>
        </is>
      </c>
      <c r="G3743" s="21" t="inlineStr">
        <is>
          <t>TOTAL</t>
        </is>
      </c>
    </row>
    <row r="3744" ht="15" customHeight="1">
      <c r="A3744" s="22" t="inlineStr">
        <is>
          <t>00038383</t>
        </is>
      </c>
      <c r="B3744" s="23" t="inlineStr">
        <is>
          <t>LIXA D'AGUA EM FOLHA, COR PRETA, GRAO 100</t>
        </is>
      </c>
      <c r="C3744" s="22" t="inlineStr">
        <is>
          <t>SINAPI</t>
        </is>
      </c>
      <c r="D3744" s="22" t="inlineStr">
        <is>
          <t>UN</t>
        </is>
      </c>
      <c r="E3744" s="63" t="n">
        <v>0.0142</v>
      </c>
      <c r="F3744" s="64">
        <f>ROUND(M3744*FATOR, 2)</f>
        <v/>
      </c>
      <c r="G3744" s="64">
        <f>TRUNC(TRUNC(E3744,8)*F3744,2)</f>
        <v/>
      </c>
      <c r="L3744" t="n">
        <v>0.0142</v>
      </c>
      <c r="M3744" t="n">
        <v>1.65</v>
      </c>
      <c r="N3744">
        <f>(M3744-F3744)</f>
        <v/>
      </c>
    </row>
    <row r="3745" ht="15" customHeight="1">
      <c r="A3745" s="22" t="inlineStr">
        <is>
          <t>00009868</t>
        </is>
      </c>
      <c r="B3745" s="23" t="inlineStr">
        <is>
          <t>TUBO PVC, SOLDAVEL, DE 25 MM, AGUA FRIA (NBR-5648)</t>
        </is>
      </c>
      <c r="C3745" s="22" t="inlineStr">
        <is>
          <t>SINAPI</t>
        </is>
      </c>
      <c r="D3745" s="22" t="inlineStr">
        <is>
          <t>M</t>
        </is>
      </c>
      <c r="E3745" s="63" t="n">
        <v>1.0549</v>
      </c>
      <c r="F3745" s="64">
        <f>ROUND(M3745*FATOR, 2)</f>
        <v/>
      </c>
      <c r="G3745" s="64">
        <f>TRUNC(TRUNC(E3745,8)*F3745,2)</f>
        <v/>
      </c>
      <c r="L3745" t="n">
        <v>1.0549</v>
      </c>
      <c r="M3745" t="n">
        <v>4.32</v>
      </c>
      <c r="N3745">
        <f>(M3745-F3745)</f>
        <v/>
      </c>
    </row>
    <row r="3746" ht="15" customHeight="1">
      <c r="A3746" s="2" t="inlineStr"/>
      <c r="B3746" s="2" t="inlineStr"/>
      <c r="C3746" s="2" t="inlineStr"/>
      <c r="D3746" s="2" t="inlineStr"/>
      <c r="E3746" s="26" t="inlineStr">
        <is>
          <t>TOTAL Material:</t>
        </is>
      </c>
      <c r="F3746" s="56" t="n"/>
      <c r="G3746" s="65">
        <f>SUM(G3744:G3745)</f>
        <v/>
      </c>
    </row>
    <row r="3747" ht="15" customHeight="1">
      <c r="A3747" s="20" t="inlineStr">
        <is>
          <t>Mão de Obra com Encargos Complementares</t>
        </is>
      </c>
      <c r="B3747" s="56" t="n"/>
      <c r="C3747" s="21" t="inlineStr">
        <is>
          <t>FONTE</t>
        </is>
      </c>
      <c r="D3747" s="21" t="inlineStr">
        <is>
          <t>UNID</t>
        </is>
      </c>
      <c r="E3747" s="21" t="inlineStr">
        <is>
          <t>COEFICIENTE</t>
        </is>
      </c>
      <c r="F3747" s="21" t="inlineStr">
        <is>
          <t>PREÇO UNITÁRIO</t>
        </is>
      </c>
      <c r="G3747" s="21" t="inlineStr">
        <is>
          <t>TOTAL</t>
        </is>
      </c>
    </row>
    <row r="3748" ht="21" customHeight="1">
      <c r="A3748" s="22" t="inlineStr">
        <is>
          <t>88248</t>
        </is>
      </c>
      <c r="B3748" s="23" t="inlineStr">
        <is>
          <t>AUXILIAR DE ENCANADOR OU BOMBEIRO HIDRÁULICO COM ENCARGOS COMPLEMENTARES</t>
        </is>
      </c>
      <c r="C3748" s="22" t="inlineStr">
        <is>
          <t>SINAPI</t>
        </is>
      </c>
      <c r="D3748" s="22" t="inlineStr">
        <is>
          <t>H</t>
        </is>
      </c>
      <c r="E3748" s="63">
        <f>L3748*FATOR</f>
        <v/>
      </c>
      <c r="F3748" s="64">
        <f>'COMPOSICOES AUXILIARES'!G524</f>
        <v/>
      </c>
      <c r="G3748" s="64">
        <f>TRUNC(TRUNC(E3748,8)*F3748,2)</f>
        <v/>
      </c>
      <c r="L3748" t="n">
        <v>0.2552</v>
      </c>
      <c r="M3748" t="n">
        <v>24.23</v>
      </c>
      <c r="N3748">
        <f>(M3748-F3748)</f>
        <v/>
      </c>
    </row>
    <row r="3749" ht="21" customHeight="1">
      <c r="A3749" s="22" t="inlineStr">
        <is>
          <t>88267</t>
        </is>
      </c>
      <c r="B3749" s="23" t="inlineStr">
        <is>
          <t>ENCANADOR OU BOMBEIRO HIDRÁULICO COM ENCARGOS COMPLEMENTARES</t>
        </is>
      </c>
      <c r="C3749" s="22" t="inlineStr">
        <is>
          <t>SINAPI</t>
        </is>
      </c>
      <c r="D3749" s="22" t="inlineStr">
        <is>
          <t>H</t>
        </is>
      </c>
      <c r="E3749" s="63">
        <f>L3749*FATOR</f>
        <v/>
      </c>
      <c r="F3749" s="64">
        <f>'COMPOSICOES AUXILIARES'!G524</f>
        <v/>
      </c>
      <c r="G3749" s="64">
        <f>TRUNC(TRUNC(E3749,8)*F3749,2)</f>
        <v/>
      </c>
      <c r="L3749" t="n">
        <v>0.2552</v>
      </c>
      <c r="M3749" t="n">
        <v>29.86</v>
      </c>
      <c r="N3749">
        <f>(M3749-F3749)</f>
        <v/>
      </c>
    </row>
    <row r="3750" ht="18" customHeight="1">
      <c r="A3750" s="2" t="inlineStr"/>
      <c r="B3750" s="2" t="inlineStr"/>
      <c r="C3750" s="2" t="inlineStr"/>
      <c r="D3750" s="2" t="inlineStr"/>
      <c r="E3750" s="26" t="inlineStr">
        <is>
          <t>TOTAL Mão de Obra com Encargos Complementares:</t>
        </is>
      </c>
      <c r="F3750" s="56" t="n"/>
      <c r="G3750" s="65">
        <f>SUM(G3748:G3749)</f>
        <v/>
      </c>
    </row>
    <row r="3751" ht="15" customHeight="1">
      <c r="A3751" s="2" t="inlineStr"/>
      <c r="B3751" s="2" t="inlineStr"/>
      <c r="C3751" s="2" t="inlineStr"/>
      <c r="D3751" s="2" t="inlineStr"/>
      <c r="E3751" s="28" t="inlineStr">
        <is>
          <t>VALOR:</t>
        </is>
      </c>
      <c r="F3751" s="56" t="n"/>
      <c r="G3751" s="66">
        <f>SUM(G3746,G3750)</f>
        <v/>
      </c>
    </row>
    <row r="3752" ht="15" customHeight="1">
      <c r="A3752" s="2" t="inlineStr"/>
      <c r="B3752" s="2" t="inlineStr"/>
      <c r="C3752" s="2" t="inlineStr"/>
      <c r="D3752" s="2" t="inlineStr"/>
      <c r="E3752" s="28" t="inlineStr">
        <is>
          <t>VALOR BDI (23.08%):</t>
        </is>
      </c>
      <c r="F3752" s="56" t="n"/>
      <c r="G3752" s="66">
        <f>ROUNDDOWN(G3751*BDI,2)</f>
        <v/>
      </c>
    </row>
    <row r="3753" ht="15" customHeight="1">
      <c r="A3753" s="2" t="inlineStr"/>
      <c r="B3753" s="2" t="inlineStr"/>
      <c r="C3753" s="2" t="inlineStr"/>
      <c r="D3753" s="2" t="inlineStr"/>
      <c r="E3753" s="28" t="inlineStr">
        <is>
          <t>VALOR COM BDI:</t>
        </is>
      </c>
      <c r="F3753" s="56" t="n"/>
      <c r="G3753" s="66">
        <f>G3752 + G3751</f>
        <v/>
      </c>
    </row>
    <row r="3754" ht="10" customHeight="1">
      <c r="A3754" s="2" t="inlineStr"/>
      <c r="B3754" s="2" t="inlineStr"/>
      <c r="C3754" s="2" t="inlineStr"/>
      <c r="D3754" s="2" t="inlineStr"/>
      <c r="E3754" s="18" t="inlineStr"/>
    </row>
    <row r="3755" ht="20" customHeight="1">
      <c r="A3755" s="19" t="inlineStr">
        <is>
          <t>10.1.3.2. ​89866​ JOELHO 90 GRAUS, PVC, SOLDÁVEL, DN 25MM, INSTALADO EM DRENO DE AR-CONDICIONADO - FORNECIMENTO EINSTALAÇÃO. AF_08/2022​ (UN)</t>
        </is>
      </c>
      <c r="B3755" s="55" t="n"/>
      <c r="C3755" s="55" t="n"/>
      <c r="D3755" s="55" t="n"/>
      <c r="E3755" s="55" t="n"/>
      <c r="F3755" s="55" t="n"/>
      <c r="G3755" s="56" t="n"/>
    </row>
    <row r="3756" ht="15" customHeight="1">
      <c r="A3756" s="20" t="inlineStr">
        <is>
          <t>Material</t>
        </is>
      </c>
      <c r="B3756" s="56" t="n"/>
      <c r="C3756" s="21" t="inlineStr">
        <is>
          <t>FONTE</t>
        </is>
      </c>
      <c r="D3756" s="21" t="inlineStr">
        <is>
          <t>UNID</t>
        </is>
      </c>
      <c r="E3756" s="21" t="inlineStr">
        <is>
          <t>COEFICIENTE</t>
        </is>
      </c>
      <c r="F3756" s="21" t="inlineStr">
        <is>
          <t>PREÇO UNITÁRIO</t>
        </is>
      </c>
      <c r="G3756" s="21" t="inlineStr">
        <is>
          <t>TOTAL</t>
        </is>
      </c>
    </row>
    <row r="3757" ht="15" customHeight="1">
      <c r="A3757" s="22" t="inlineStr">
        <is>
          <t>00000122</t>
        </is>
      </c>
      <c r="B3757" s="23" t="inlineStr">
        <is>
          <t>ADESIVO PLASTICO PARA PVC, FRASCO COM *850* GR</t>
        </is>
      </c>
      <c r="C3757" s="22" t="inlineStr">
        <is>
          <t>SINAPI</t>
        </is>
      </c>
      <c r="D3757" s="22" t="inlineStr">
        <is>
          <t>UN</t>
        </is>
      </c>
      <c r="E3757" s="63" t="n">
        <v>0.0071</v>
      </c>
      <c r="F3757" s="64">
        <f>ROUND(M3757*FATOR, 2)</f>
        <v/>
      </c>
      <c r="G3757" s="64">
        <f>TRUNC(TRUNC(E3757,8)*F3757,2)</f>
        <v/>
      </c>
      <c r="L3757" t="n">
        <v>0.0071</v>
      </c>
      <c r="M3757" t="n">
        <v>61.86</v>
      </c>
      <c r="N3757">
        <f>(M3757-F3757)</f>
        <v/>
      </c>
    </row>
    <row r="3758" ht="21" customHeight="1">
      <c r="A3758" s="22" t="inlineStr">
        <is>
          <t>00003529</t>
        </is>
      </c>
      <c r="B3758" s="23" t="inlineStr">
        <is>
          <t>JOELHO PVC, SOLDAVEL, 90 GRAUS, 25 MM, COR MARROM, PARA AGUA FRIA PREDIAL</t>
        </is>
      </c>
      <c r="C3758" s="22" t="inlineStr">
        <is>
          <t>SINAPI</t>
        </is>
      </c>
      <c r="D3758" s="22" t="inlineStr">
        <is>
          <t>UN</t>
        </is>
      </c>
      <c r="E3758" s="63" t="n">
        <v>1</v>
      </c>
      <c r="F3758" s="64">
        <f>ROUND(M3758*FATOR, 2)</f>
        <v/>
      </c>
      <c r="G3758" s="64">
        <f>TRUNC(TRUNC(E3758,8)*F3758,2)</f>
        <v/>
      </c>
      <c r="L3758" t="n">
        <v>1</v>
      </c>
      <c r="M3758" t="n">
        <v>0.76</v>
      </c>
      <c r="N3758">
        <f>(M3758-F3758)</f>
        <v/>
      </c>
    </row>
    <row r="3759" ht="15" customHeight="1">
      <c r="A3759" s="22" t="inlineStr">
        <is>
          <t>00038383</t>
        </is>
      </c>
      <c r="B3759" s="23" t="inlineStr">
        <is>
          <t>LIXA D'AGUA EM FOLHA, COR PRETA, GRAO 100</t>
        </is>
      </c>
      <c r="C3759" s="22" t="inlineStr">
        <is>
          <t>SINAPI</t>
        </is>
      </c>
      <c r="D3759" s="22" t="inlineStr">
        <is>
          <t>UN</t>
        </is>
      </c>
      <c r="E3759" s="63" t="n">
        <v>0.0061</v>
      </c>
      <c r="F3759" s="64">
        <f>ROUND(M3759*FATOR, 2)</f>
        <v/>
      </c>
      <c r="G3759" s="64">
        <f>TRUNC(TRUNC(E3759,8)*F3759,2)</f>
        <v/>
      </c>
      <c r="L3759" t="n">
        <v>0.0061</v>
      </c>
      <c r="M3759" t="n">
        <v>1.65</v>
      </c>
      <c r="N3759">
        <f>(M3759-F3759)</f>
        <v/>
      </c>
    </row>
    <row r="3760" ht="21" customHeight="1">
      <c r="A3760" s="22" t="inlineStr">
        <is>
          <t>00020083</t>
        </is>
      </c>
      <c r="B3760" s="23" t="inlineStr">
        <is>
          <t>SOLUCAO PREPARADORA / LIMPADORA PARA PVC, FRASCO COM 1000 CM3</t>
        </is>
      </c>
      <c r="C3760" s="22" t="inlineStr">
        <is>
          <t>SINAPI</t>
        </is>
      </c>
      <c r="D3760" s="22" t="inlineStr">
        <is>
          <t>UN</t>
        </is>
      </c>
      <c r="E3760" s="63" t="n">
        <v>0.008</v>
      </c>
      <c r="F3760" s="64">
        <f>ROUND(M3760*FATOR, 2)</f>
        <v/>
      </c>
      <c r="G3760" s="64">
        <f>TRUNC(TRUNC(E3760,8)*F3760,2)</f>
        <v/>
      </c>
      <c r="L3760" t="n">
        <v>0.008</v>
      </c>
      <c r="M3760" t="n">
        <v>70.08</v>
      </c>
      <c r="N3760">
        <f>(M3760-F3760)</f>
        <v/>
      </c>
    </row>
    <row r="3761" ht="15" customHeight="1">
      <c r="A3761" s="2" t="inlineStr"/>
      <c r="B3761" s="2" t="inlineStr"/>
      <c r="C3761" s="2" t="inlineStr"/>
      <c r="D3761" s="2" t="inlineStr"/>
      <c r="E3761" s="26" t="inlineStr">
        <is>
          <t>TOTAL Material:</t>
        </is>
      </c>
      <c r="F3761" s="56" t="n"/>
      <c r="G3761" s="65">
        <f>SUM(G3757:G3760)</f>
        <v/>
      </c>
    </row>
    <row r="3762" ht="15" customHeight="1">
      <c r="A3762" s="20" t="inlineStr">
        <is>
          <t>Mão de Obra com Encargos Complementares</t>
        </is>
      </c>
      <c r="B3762" s="56" t="n"/>
      <c r="C3762" s="21" t="inlineStr">
        <is>
          <t>FONTE</t>
        </is>
      </c>
      <c r="D3762" s="21" t="inlineStr">
        <is>
          <t>UNID</t>
        </is>
      </c>
      <c r="E3762" s="21" t="inlineStr">
        <is>
          <t>COEFICIENTE</t>
        </is>
      </c>
      <c r="F3762" s="21" t="inlineStr">
        <is>
          <t>PREÇO UNITÁRIO</t>
        </is>
      </c>
      <c r="G3762" s="21" t="inlineStr">
        <is>
          <t>TOTAL</t>
        </is>
      </c>
    </row>
    <row r="3763" ht="21" customHeight="1">
      <c r="A3763" s="22" t="inlineStr">
        <is>
          <t>88248</t>
        </is>
      </c>
      <c r="B3763" s="23" t="inlineStr">
        <is>
          <t>AUXILIAR DE ENCANADOR OU BOMBEIRO HIDRÁULICO COM ENCARGOS COMPLEMENTARES</t>
        </is>
      </c>
      <c r="C3763" s="22" t="inlineStr">
        <is>
          <t>SINAPI</t>
        </is>
      </c>
      <c r="D3763" s="22" t="inlineStr">
        <is>
          <t>H</t>
        </is>
      </c>
      <c r="E3763" s="63">
        <f>L3763*FATOR</f>
        <v/>
      </c>
      <c r="F3763" s="64">
        <f>'COMPOSICOES AUXILIARES'!G524</f>
        <v/>
      </c>
      <c r="G3763" s="64">
        <f>TRUNC(TRUNC(E3763,8)*F3763,2)</f>
        <v/>
      </c>
      <c r="L3763" t="n">
        <v>0.1106</v>
      </c>
      <c r="M3763" t="n">
        <v>24.23</v>
      </c>
      <c r="N3763">
        <f>(M3763-F3763)</f>
        <v/>
      </c>
    </row>
    <row r="3764" ht="21" customHeight="1">
      <c r="A3764" s="22" t="inlineStr">
        <is>
          <t>88267</t>
        </is>
      </c>
      <c r="B3764" s="23" t="inlineStr">
        <is>
          <t>ENCANADOR OU BOMBEIRO HIDRÁULICO COM ENCARGOS COMPLEMENTARES</t>
        </is>
      </c>
      <c r="C3764" s="22" t="inlineStr">
        <is>
          <t>SINAPI</t>
        </is>
      </c>
      <c r="D3764" s="22" t="inlineStr">
        <is>
          <t>H</t>
        </is>
      </c>
      <c r="E3764" s="63">
        <f>L3764*FATOR</f>
        <v/>
      </c>
      <c r="F3764" s="64">
        <f>'COMPOSICOES AUXILIARES'!G524</f>
        <v/>
      </c>
      <c r="G3764" s="64">
        <f>TRUNC(TRUNC(E3764,8)*F3764,2)</f>
        <v/>
      </c>
      <c r="L3764" t="n">
        <v>0.1106</v>
      </c>
      <c r="M3764" t="n">
        <v>29.86</v>
      </c>
      <c r="N3764">
        <f>(M3764-F3764)</f>
        <v/>
      </c>
    </row>
    <row r="3765" ht="18" customHeight="1">
      <c r="A3765" s="2" t="inlineStr"/>
      <c r="B3765" s="2" t="inlineStr"/>
      <c r="C3765" s="2" t="inlineStr"/>
      <c r="D3765" s="2" t="inlineStr"/>
      <c r="E3765" s="26" t="inlineStr">
        <is>
          <t>TOTAL Mão de Obra com Encargos Complementares:</t>
        </is>
      </c>
      <c r="F3765" s="56" t="n"/>
      <c r="G3765" s="65">
        <f>SUM(G3763:G3764)</f>
        <v/>
      </c>
    </row>
    <row r="3766" ht="15" customHeight="1">
      <c r="A3766" s="2" t="inlineStr"/>
      <c r="B3766" s="2" t="inlineStr"/>
      <c r="C3766" s="2" t="inlineStr"/>
      <c r="D3766" s="2" t="inlineStr"/>
      <c r="E3766" s="28" t="inlineStr">
        <is>
          <t>VALOR:</t>
        </is>
      </c>
      <c r="F3766" s="56" t="n"/>
      <c r="G3766" s="66">
        <f>SUM(G3761,G3765)</f>
        <v/>
      </c>
    </row>
    <row r="3767" ht="15" customHeight="1">
      <c r="A3767" s="2" t="inlineStr"/>
      <c r="B3767" s="2" t="inlineStr"/>
      <c r="C3767" s="2" t="inlineStr"/>
      <c r="D3767" s="2" t="inlineStr"/>
      <c r="E3767" s="28" t="inlineStr">
        <is>
          <t>VALOR BDI (23.08%):</t>
        </is>
      </c>
      <c r="F3767" s="56" t="n"/>
      <c r="G3767" s="66">
        <f>ROUNDDOWN(G3766*BDI,2)</f>
        <v/>
      </c>
    </row>
    <row r="3768" ht="15" customHeight="1">
      <c r="A3768" s="2" t="inlineStr"/>
      <c r="B3768" s="2" t="inlineStr"/>
      <c r="C3768" s="2" t="inlineStr"/>
      <c r="D3768" s="2" t="inlineStr"/>
      <c r="E3768" s="28" t="inlineStr">
        <is>
          <t>VALOR COM BDI:</t>
        </is>
      </c>
      <c r="F3768" s="56" t="n"/>
      <c r="G3768" s="66">
        <f>G3767 + G3766</f>
        <v/>
      </c>
    </row>
    <row r="3769" ht="10" customHeight="1">
      <c r="A3769" s="2" t="inlineStr"/>
      <c r="B3769" s="2" t="inlineStr"/>
      <c r="C3769" s="2" t="inlineStr"/>
      <c r="D3769" s="2" t="inlineStr"/>
      <c r="E3769" s="18" t="inlineStr"/>
    </row>
    <row r="3770" ht="20" customHeight="1">
      <c r="A3770" s="19" t="inlineStr">
        <is>
          <t>10.1.3.3. ​89869​ TE, PVC, SOLDÁVEL, DN 25MM, INSTALADO EM DRENO DE AR-CONDICIONADO - FORNECIMENTO E INSTALAÇÃO.AF_08/2022​ (UN)</t>
        </is>
      </c>
      <c r="B3770" s="55" t="n"/>
      <c r="C3770" s="55" t="n"/>
      <c r="D3770" s="55" t="n"/>
      <c r="E3770" s="55" t="n"/>
      <c r="F3770" s="55" t="n"/>
      <c r="G3770" s="56" t="n"/>
    </row>
    <row r="3771" ht="15" customHeight="1">
      <c r="A3771" s="20" t="inlineStr">
        <is>
          <t>Material</t>
        </is>
      </c>
      <c r="B3771" s="56" t="n"/>
      <c r="C3771" s="21" t="inlineStr">
        <is>
          <t>FONTE</t>
        </is>
      </c>
      <c r="D3771" s="21" t="inlineStr">
        <is>
          <t>UNID</t>
        </is>
      </c>
      <c r="E3771" s="21" t="inlineStr">
        <is>
          <t>COEFICIENTE</t>
        </is>
      </c>
      <c r="F3771" s="21" t="inlineStr">
        <is>
          <t>PREÇO UNITÁRIO</t>
        </is>
      </c>
      <c r="G3771" s="21" t="inlineStr">
        <is>
          <t>TOTAL</t>
        </is>
      </c>
    </row>
    <row r="3772" ht="15" customHeight="1">
      <c r="A3772" s="22" t="inlineStr">
        <is>
          <t>00000122</t>
        </is>
      </c>
      <c r="B3772" s="23" t="inlineStr">
        <is>
          <t>ADESIVO PLASTICO PARA PVC, FRASCO COM *850* GR</t>
        </is>
      </c>
      <c r="C3772" s="22" t="inlineStr">
        <is>
          <t>SINAPI</t>
        </is>
      </c>
      <c r="D3772" s="22" t="inlineStr">
        <is>
          <t>UN</t>
        </is>
      </c>
      <c r="E3772" s="63" t="n">
        <v>0.0106</v>
      </c>
      <c r="F3772" s="64">
        <f>ROUND(M3772*FATOR, 2)</f>
        <v/>
      </c>
      <c r="G3772" s="64">
        <f>TRUNC(TRUNC(E3772,8)*F3772,2)</f>
        <v/>
      </c>
      <c r="L3772" t="n">
        <v>0.0106</v>
      </c>
      <c r="M3772" t="n">
        <v>61.86</v>
      </c>
      <c r="N3772">
        <f>(M3772-F3772)</f>
        <v/>
      </c>
    </row>
    <row r="3773" ht="15" customHeight="1">
      <c r="A3773" s="22" t="inlineStr">
        <is>
          <t>00038383</t>
        </is>
      </c>
      <c r="B3773" s="23" t="inlineStr">
        <is>
          <t>LIXA D'AGUA EM FOLHA, COR PRETA, GRAO 100</t>
        </is>
      </c>
      <c r="C3773" s="22" t="inlineStr">
        <is>
          <t>SINAPI</t>
        </is>
      </c>
      <c r="D3773" s="22" t="inlineStr">
        <is>
          <t>UN</t>
        </is>
      </c>
      <c r="E3773" s="63" t="n">
        <v>0.0092</v>
      </c>
      <c r="F3773" s="64">
        <f>ROUND(M3773*FATOR, 2)</f>
        <v/>
      </c>
      <c r="G3773" s="64">
        <f>TRUNC(TRUNC(E3773,8)*F3773,2)</f>
        <v/>
      </c>
      <c r="L3773" t="n">
        <v>0.0092</v>
      </c>
      <c r="M3773" t="n">
        <v>1.65</v>
      </c>
      <c r="N3773">
        <f>(M3773-F3773)</f>
        <v/>
      </c>
    </row>
    <row r="3774" ht="21" customHeight="1">
      <c r="A3774" s="22" t="inlineStr">
        <is>
          <t>00020083</t>
        </is>
      </c>
      <c r="B3774" s="23" t="inlineStr">
        <is>
          <t>SOLUCAO PREPARADORA / LIMPADORA PARA PVC, FRASCO COM 1000 CM3</t>
        </is>
      </c>
      <c r="C3774" s="22" t="inlineStr">
        <is>
          <t>SINAPI</t>
        </is>
      </c>
      <c r="D3774" s="22" t="inlineStr">
        <is>
          <t>UN</t>
        </is>
      </c>
      <c r="E3774" s="63" t="n">
        <v>0.012</v>
      </c>
      <c r="F3774" s="64">
        <f>ROUND(M3774*FATOR, 2)</f>
        <v/>
      </c>
      <c r="G3774" s="64">
        <f>TRUNC(TRUNC(E3774,8)*F3774,2)</f>
        <v/>
      </c>
      <c r="L3774" t="n">
        <v>0.012</v>
      </c>
      <c r="M3774" t="n">
        <v>70.08</v>
      </c>
      <c r="N3774">
        <f>(M3774-F3774)</f>
        <v/>
      </c>
    </row>
    <row r="3775" ht="21" customHeight="1">
      <c r="A3775" s="22" t="inlineStr">
        <is>
          <t>00007139</t>
        </is>
      </c>
      <c r="B3775" s="23" t="inlineStr">
        <is>
          <t>TE SOLDAVEL, PVC, 90 GRAUS, 25 MM, PARA AGUA FRIA PREDIAL (NBR 5648)</t>
        </is>
      </c>
      <c r="C3775" s="22" t="inlineStr">
        <is>
          <t>SINAPI</t>
        </is>
      </c>
      <c r="D3775" s="22" t="inlineStr">
        <is>
          <t>UN</t>
        </is>
      </c>
      <c r="E3775" s="63" t="n">
        <v>1</v>
      </c>
      <c r="F3775" s="64">
        <f>ROUND(M3775*FATOR, 2)</f>
        <v/>
      </c>
      <c r="G3775" s="64">
        <f>TRUNC(TRUNC(E3775,8)*F3775,2)</f>
        <v/>
      </c>
      <c r="L3775" t="n">
        <v>1</v>
      </c>
      <c r="M3775" t="n">
        <v>1.25</v>
      </c>
      <c r="N3775">
        <f>(M3775-F3775)</f>
        <v/>
      </c>
    </row>
    <row r="3776" ht="15" customHeight="1">
      <c r="A3776" s="2" t="inlineStr"/>
      <c r="B3776" s="2" t="inlineStr"/>
      <c r="C3776" s="2" t="inlineStr"/>
      <c r="D3776" s="2" t="inlineStr"/>
      <c r="E3776" s="26" t="inlineStr">
        <is>
          <t>TOTAL Material:</t>
        </is>
      </c>
      <c r="F3776" s="56" t="n"/>
      <c r="G3776" s="65">
        <f>SUM(G3772:G3775)</f>
        <v/>
      </c>
    </row>
    <row r="3777" ht="15" customHeight="1">
      <c r="A3777" s="20" t="inlineStr">
        <is>
          <t>Mão de Obra com Encargos Complementares</t>
        </is>
      </c>
      <c r="B3777" s="56" t="n"/>
      <c r="C3777" s="21" t="inlineStr">
        <is>
          <t>FONTE</t>
        </is>
      </c>
      <c r="D3777" s="21" t="inlineStr">
        <is>
          <t>UNID</t>
        </is>
      </c>
      <c r="E3777" s="21" t="inlineStr">
        <is>
          <t>COEFICIENTE</t>
        </is>
      </c>
      <c r="F3777" s="21" t="inlineStr">
        <is>
          <t>PREÇO UNITÁRIO</t>
        </is>
      </c>
      <c r="G3777" s="21" t="inlineStr">
        <is>
          <t>TOTAL</t>
        </is>
      </c>
    </row>
    <row r="3778" ht="21" customHeight="1">
      <c r="A3778" s="22" t="inlineStr">
        <is>
          <t>88248</t>
        </is>
      </c>
      <c r="B3778" s="23" t="inlineStr">
        <is>
          <t>AUXILIAR DE ENCANADOR OU BOMBEIRO HIDRÁULICO COM ENCARGOS COMPLEMENTARES</t>
        </is>
      </c>
      <c r="C3778" s="22" t="inlineStr">
        <is>
          <t>SINAPI</t>
        </is>
      </c>
      <c r="D3778" s="22" t="inlineStr">
        <is>
          <t>H</t>
        </is>
      </c>
      <c r="E3778" s="63">
        <f>L3778*FATOR</f>
        <v/>
      </c>
      <c r="F3778" s="64">
        <f>'COMPOSICOES AUXILIARES'!G524</f>
        <v/>
      </c>
      <c r="G3778" s="64">
        <f>TRUNC(TRUNC(E3778,8)*F3778,2)</f>
        <v/>
      </c>
      <c r="L3778" t="n">
        <v>0.1474</v>
      </c>
      <c r="M3778" t="n">
        <v>24.23</v>
      </c>
      <c r="N3778">
        <f>(M3778-F3778)</f>
        <v/>
      </c>
    </row>
    <row r="3779" ht="21" customHeight="1">
      <c r="A3779" s="22" t="inlineStr">
        <is>
          <t>88267</t>
        </is>
      </c>
      <c r="B3779" s="23" t="inlineStr">
        <is>
          <t>ENCANADOR OU BOMBEIRO HIDRÁULICO COM ENCARGOS COMPLEMENTARES</t>
        </is>
      </c>
      <c r="C3779" s="22" t="inlineStr">
        <is>
          <t>SINAPI</t>
        </is>
      </c>
      <c r="D3779" s="22" t="inlineStr">
        <is>
          <t>H</t>
        </is>
      </c>
      <c r="E3779" s="63">
        <f>L3779*FATOR</f>
        <v/>
      </c>
      <c r="F3779" s="64">
        <f>'COMPOSICOES AUXILIARES'!G524</f>
        <v/>
      </c>
      <c r="G3779" s="64">
        <f>TRUNC(TRUNC(E3779,8)*F3779,2)</f>
        <v/>
      </c>
      <c r="L3779" t="n">
        <v>0.1474</v>
      </c>
      <c r="M3779" t="n">
        <v>29.86</v>
      </c>
      <c r="N3779">
        <f>(M3779-F3779)</f>
        <v/>
      </c>
    </row>
    <row r="3780" ht="18" customHeight="1">
      <c r="A3780" s="2" t="inlineStr"/>
      <c r="B3780" s="2" t="inlineStr"/>
      <c r="C3780" s="2" t="inlineStr"/>
      <c r="D3780" s="2" t="inlineStr"/>
      <c r="E3780" s="26" t="inlineStr">
        <is>
          <t>TOTAL Mão de Obra com Encargos Complementares:</t>
        </is>
      </c>
      <c r="F3780" s="56" t="n"/>
      <c r="G3780" s="65">
        <f>SUM(G3778:G3779)</f>
        <v/>
      </c>
    </row>
    <row r="3781" ht="15" customHeight="1">
      <c r="A3781" s="2" t="inlineStr"/>
      <c r="B3781" s="2" t="inlineStr"/>
      <c r="C3781" s="2" t="inlineStr"/>
      <c r="D3781" s="2" t="inlineStr"/>
      <c r="E3781" s="28" t="inlineStr">
        <is>
          <t>VALOR:</t>
        </is>
      </c>
      <c r="F3781" s="56" t="n"/>
      <c r="G3781" s="66">
        <f>SUM(G3776,G3780)</f>
        <v/>
      </c>
    </row>
    <row r="3782" ht="15" customHeight="1">
      <c r="A3782" s="2" t="inlineStr"/>
      <c r="B3782" s="2" t="inlineStr"/>
      <c r="C3782" s="2" t="inlineStr"/>
      <c r="D3782" s="2" t="inlineStr"/>
      <c r="E3782" s="28" t="inlineStr">
        <is>
          <t>VALOR BDI (23.08%):</t>
        </is>
      </c>
      <c r="F3782" s="56" t="n"/>
      <c r="G3782" s="66">
        <f>ROUNDDOWN(G3781*BDI,2)</f>
        <v/>
      </c>
    </row>
    <row r="3783" ht="15" customHeight="1">
      <c r="A3783" s="2" t="inlineStr"/>
      <c r="B3783" s="2" t="inlineStr"/>
      <c r="C3783" s="2" t="inlineStr"/>
      <c r="D3783" s="2" t="inlineStr"/>
      <c r="E3783" s="28" t="inlineStr">
        <is>
          <t>VALOR COM BDI:</t>
        </is>
      </c>
      <c r="F3783" s="56" t="n"/>
      <c r="G3783" s="66">
        <f>G3782 + G3781</f>
        <v/>
      </c>
    </row>
    <row r="3784" ht="10" customHeight="1">
      <c r="A3784" s="2" t="inlineStr"/>
      <c r="B3784" s="2" t="inlineStr"/>
      <c r="C3784" s="2" t="inlineStr"/>
      <c r="D3784" s="2" t="inlineStr"/>
      <c r="E3784" s="18" t="inlineStr"/>
    </row>
    <row r="3785" ht="20" customHeight="1">
      <c r="A3785" s="19" t="inlineStr">
        <is>
          <t>10.1.3.4. ​382 próprio​ ISOLAMENTO EM BORRACHA ESPONJOSA, PARA TUBO DE 25MM COR BRANCA, ISENTA DE HALOGÊNIOS, ESPESSURA DO ISOLAMENTO 19MM - FORNECIMENTO EINSTALAÇÃO​ (M)</t>
        </is>
      </c>
      <c r="B3785" s="55" t="n"/>
      <c r="C3785" s="55" t="n"/>
      <c r="D3785" s="55" t="n"/>
      <c r="E3785" s="55" t="n"/>
      <c r="F3785" s="55" t="n"/>
      <c r="G3785" s="56" t="n"/>
    </row>
    <row r="3786" ht="15" customHeight="1">
      <c r="A3786" s="20" t="inlineStr">
        <is>
          <t>Mão de Obra com Encargos Complementares</t>
        </is>
      </c>
      <c r="B3786" s="56" t="n"/>
      <c r="C3786" s="21" t="inlineStr">
        <is>
          <t>FONTE</t>
        </is>
      </c>
      <c r="D3786" s="21" t="inlineStr">
        <is>
          <t>UNID</t>
        </is>
      </c>
      <c r="E3786" s="21" t="inlineStr">
        <is>
          <t>COEFICIENTE</t>
        </is>
      </c>
      <c r="F3786" s="21" t="inlineStr">
        <is>
          <t>PREÇO UNITÁRIO</t>
        </is>
      </c>
      <c r="G3786" s="21" t="inlineStr">
        <is>
          <t>TOTAL</t>
        </is>
      </c>
    </row>
    <row r="3787" ht="21" customHeight="1">
      <c r="A3787" s="22" t="inlineStr">
        <is>
          <t>88243</t>
        </is>
      </c>
      <c r="B3787" s="23" t="inlineStr">
        <is>
          <t>AJUDANTE ESPECIALIZADO COM ENCARGOS COMPLEMENTARES</t>
        </is>
      </c>
      <c r="C3787" s="22" t="inlineStr">
        <is>
          <t>SINAPI</t>
        </is>
      </c>
      <c r="D3787" s="22" t="inlineStr">
        <is>
          <t>H</t>
        </is>
      </c>
      <c r="E3787" s="63">
        <f>L3787*FATOR</f>
        <v/>
      </c>
      <c r="F3787" s="64">
        <f>'COMPOSICOES AUXILIARES'!G106</f>
        <v/>
      </c>
      <c r="G3787" s="64">
        <f>ROUND(ROUND(E3787,8)*F3787,2)</f>
        <v/>
      </c>
      <c r="L3787" t="n">
        <v>0.3</v>
      </c>
      <c r="M3787" t="n">
        <v>23.76</v>
      </c>
      <c r="N3787">
        <f>(M3787-F3787)</f>
        <v/>
      </c>
    </row>
    <row r="3788" ht="21" customHeight="1">
      <c r="A3788" s="22" t="inlineStr">
        <is>
          <t>100308</t>
        </is>
      </c>
      <c r="B3788" s="23" t="inlineStr">
        <is>
          <t>MECÂNICO DE REFRIGERAÇÃO COM ENCARGOS COMPLEMENTARES</t>
        </is>
      </c>
      <c r="C3788" s="22" t="inlineStr">
        <is>
          <t>SINAPI</t>
        </is>
      </c>
      <c r="D3788" s="22" t="inlineStr">
        <is>
          <t>H</t>
        </is>
      </c>
      <c r="E3788" s="63">
        <f>L3788*FATOR</f>
        <v/>
      </c>
      <c r="F3788" s="64">
        <f>'COMPOSICOES AUXILIARES'!G2499</f>
        <v/>
      </c>
      <c r="G3788" s="64">
        <f>ROUND(ROUND(E3788,8)*F3788,2)</f>
        <v/>
      </c>
      <c r="L3788" t="n">
        <v>0.3</v>
      </c>
      <c r="M3788" t="n">
        <v>30.46</v>
      </c>
      <c r="N3788">
        <f>(M3788-F3788)</f>
        <v/>
      </c>
    </row>
    <row r="3789" ht="18" customHeight="1">
      <c r="A3789" s="2" t="inlineStr"/>
      <c r="B3789" s="2" t="inlineStr"/>
      <c r="C3789" s="2" t="inlineStr"/>
      <c r="D3789" s="2" t="inlineStr"/>
      <c r="E3789" s="26" t="inlineStr">
        <is>
          <t>TOTAL Mão de Obra com Encargos Complementares:</t>
        </is>
      </c>
      <c r="F3789" s="56" t="n"/>
      <c r="G3789" s="65">
        <f>SUM(G3787:G3788)</f>
        <v/>
      </c>
    </row>
    <row r="3790" ht="15" customHeight="1">
      <c r="A3790" s="2" t="inlineStr"/>
      <c r="B3790" s="2" t="inlineStr"/>
      <c r="C3790" s="2" t="inlineStr"/>
      <c r="D3790" s="2" t="inlineStr"/>
      <c r="E3790" s="28" t="inlineStr">
        <is>
          <t>VALOR:</t>
        </is>
      </c>
      <c r="F3790" s="56" t="n"/>
      <c r="G3790" s="66">
        <f>SUM(G3789)</f>
        <v/>
      </c>
    </row>
    <row r="3791" ht="15" customHeight="1">
      <c r="A3791" s="2" t="inlineStr"/>
      <c r="B3791" s="2" t="inlineStr"/>
      <c r="C3791" s="2" t="inlineStr"/>
      <c r="D3791" s="2" t="inlineStr"/>
      <c r="E3791" s="28" t="inlineStr">
        <is>
          <t>VALOR BDI (23.08%):</t>
        </is>
      </c>
      <c r="F3791" s="56" t="n"/>
      <c r="G3791" s="66">
        <f>ROUNDDOWN(G3790*BDI,2)</f>
        <v/>
      </c>
    </row>
    <row r="3792" ht="15" customHeight="1">
      <c r="A3792" s="2" t="inlineStr"/>
      <c r="B3792" s="2" t="inlineStr"/>
      <c r="C3792" s="2" t="inlineStr"/>
      <c r="D3792" s="2" t="inlineStr"/>
      <c r="E3792" s="28" t="inlineStr">
        <is>
          <t>VALOR COM BDI:</t>
        </is>
      </c>
      <c r="F3792" s="56" t="n"/>
      <c r="G3792" s="66">
        <f>G3791 + G3790</f>
        <v/>
      </c>
    </row>
    <row r="3793" ht="10" customHeight="1">
      <c r="A3793" s="2" t="inlineStr"/>
      <c r="B3793" s="2" t="inlineStr"/>
      <c r="C3793" s="2" t="inlineStr"/>
      <c r="D3793" s="2" t="inlineStr"/>
      <c r="E3793" s="18" t="inlineStr"/>
    </row>
    <row r="3794" ht="20" customHeight="1">
      <c r="A3794" s="19" t="inlineStr">
        <is>
          <t>10.1.4.1. ​103244​ AR CONDICIONADO SPLIT INVERTER, HI-WALL (PAREDE), 9000 BTU/H, CICLO FRIO - FORNECIMENTO E INSTALAÇÃO.AF_11/2021_PE​ (UN)</t>
        </is>
      </c>
      <c r="B3794" s="55" t="n"/>
      <c r="C3794" s="55" t="n"/>
      <c r="D3794" s="55" t="n"/>
      <c r="E3794" s="55" t="n"/>
      <c r="F3794" s="55" t="n"/>
      <c r="G3794" s="56" t="n"/>
    </row>
    <row r="3795" ht="15" customHeight="1">
      <c r="A3795" s="20" t="inlineStr">
        <is>
          <t>Equipamento</t>
        </is>
      </c>
      <c r="B3795" s="56" t="n"/>
      <c r="C3795" s="21" t="inlineStr">
        <is>
          <t>FONTE</t>
        </is>
      </c>
      <c r="D3795" s="21" t="inlineStr">
        <is>
          <t>UNID</t>
        </is>
      </c>
      <c r="E3795" s="21" t="inlineStr">
        <is>
          <t>COEFICIENTE</t>
        </is>
      </c>
      <c r="F3795" s="21" t="inlineStr">
        <is>
          <t>PREÇO UNITÁRIO</t>
        </is>
      </c>
      <c r="G3795" s="21" t="inlineStr">
        <is>
          <t>TOTAL</t>
        </is>
      </c>
    </row>
    <row r="3796" ht="29" customHeight="1">
      <c r="A3796" s="22" t="inlineStr">
        <is>
          <t>00042424</t>
        </is>
      </c>
      <c r="B3796" s="23" t="inlineStr">
        <is>
          <t>AR CONDICIONADO SPLIT INVERTER, HI-WALL (PAREDE), 9000 BTU/H, CICLO FRIO, 60HZ, CLASSIFICACAO A (SELO PROCEL), GAS HFC, CONTROLE S/FIO</t>
        </is>
      </c>
      <c r="C3796" s="22" t="inlineStr">
        <is>
          <t>SINAPI</t>
        </is>
      </c>
      <c r="D3796" s="22" t="inlineStr">
        <is>
          <t>UN</t>
        </is>
      </c>
      <c r="E3796" s="63" t="n">
        <v>1</v>
      </c>
      <c r="F3796" s="64">
        <f>ROUND(M3796*FATOR, 2)</f>
        <v/>
      </c>
      <c r="G3796" s="64">
        <f>TRUNC(TRUNC(E3796,8)*F3796,2)</f>
        <v/>
      </c>
      <c r="L3796" t="n">
        <v>1</v>
      </c>
      <c r="M3796" t="n">
        <v>2110.99</v>
      </c>
      <c r="N3796">
        <f>(M3796-F3796)</f>
        <v/>
      </c>
    </row>
    <row r="3797" ht="15" customHeight="1">
      <c r="A3797" s="2" t="inlineStr"/>
      <c r="B3797" s="2" t="inlineStr"/>
      <c r="C3797" s="2" t="inlineStr"/>
      <c r="D3797" s="2" t="inlineStr"/>
      <c r="E3797" s="26" t="inlineStr">
        <is>
          <t>TOTAL Equipamento:</t>
        </is>
      </c>
      <c r="F3797" s="56" t="n"/>
      <c r="G3797" s="65">
        <f>SUM(G3796:G3796)</f>
        <v/>
      </c>
    </row>
    <row r="3798" ht="15" customHeight="1">
      <c r="A3798" s="20" t="inlineStr">
        <is>
          <t>Material</t>
        </is>
      </c>
      <c r="B3798" s="56" t="n"/>
      <c r="C3798" s="21" t="inlineStr">
        <is>
          <t>FONTE</t>
        </is>
      </c>
      <c r="D3798" s="21" t="inlineStr">
        <is>
          <t>UNID</t>
        </is>
      </c>
      <c r="E3798" s="21" t="inlineStr">
        <is>
          <t>COEFICIENTE</t>
        </is>
      </c>
      <c r="F3798" s="21" t="inlineStr">
        <is>
          <t>PREÇO UNITÁRIO</t>
        </is>
      </c>
      <c r="G3798" s="21" t="inlineStr">
        <is>
          <t>TOTAL</t>
        </is>
      </c>
    </row>
    <row r="3799" ht="29" customHeight="1">
      <c r="A3799" s="22" t="inlineStr">
        <is>
          <t>00007568</t>
        </is>
      </c>
      <c r="B3799" s="23" t="inlineStr">
        <is>
          <t>BUCHA DE NYLON SEM ABA S10, COM PARAFUSO DE 6,10 X 65 MM EM ACO ZINCADO COM ROSCA SOBERBA, CABECA CHATA E FENDA PHILLIPS</t>
        </is>
      </c>
      <c r="C3799" s="22" t="inlineStr">
        <is>
          <t>SINAPI</t>
        </is>
      </c>
      <c r="D3799" s="22" t="inlineStr">
        <is>
          <t>UN</t>
        </is>
      </c>
      <c r="E3799" s="63" t="n">
        <v>9</v>
      </c>
      <c r="F3799" s="64">
        <f>ROUND(M3799*FATOR, 2)</f>
        <v/>
      </c>
      <c r="G3799" s="64">
        <f>TRUNC(TRUNC(E3799,8)*F3799,2)</f>
        <v/>
      </c>
      <c r="L3799" t="n">
        <v>9</v>
      </c>
      <c r="M3799" t="n">
        <v>0.86</v>
      </c>
      <c r="N3799">
        <f>(M3799-F3799)</f>
        <v/>
      </c>
    </row>
    <row r="3800" ht="21" customHeight="1">
      <c r="A3800" s="22" t="inlineStr">
        <is>
          <t>00011976</t>
        </is>
      </c>
      <c r="B3800" s="23" t="inlineStr">
        <is>
          <t>CHUMBADOR DE ACO ZINCADO, DIAMETRO 1/4" COM PARAFUSO 1/4" X 40 MM</t>
        </is>
      </c>
      <c r="C3800" s="22" t="inlineStr">
        <is>
          <t>SINAPI</t>
        </is>
      </c>
      <c r="D3800" s="22" t="inlineStr">
        <is>
          <t>UN</t>
        </is>
      </c>
      <c r="E3800" s="63" t="n">
        <v>6</v>
      </c>
      <c r="F3800" s="64">
        <f>ROUND(M3800*FATOR, 2)</f>
        <v/>
      </c>
      <c r="G3800" s="64">
        <f>TRUNC(TRUNC(E3800,8)*F3800,2)</f>
        <v/>
      </c>
      <c r="L3800" t="n">
        <v>6</v>
      </c>
      <c r="M3800" t="n">
        <v>1.66</v>
      </c>
      <c r="N3800">
        <f>(M3800-F3800)</f>
        <v/>
      </c>
    </row>
    <row r="3801" ht="29" customHeight="1">
      <c r="A3801" s="22" t="inlineStr">
        <is>
          <t>00013246</t>
        </is>
      </c>
      <c r="B3801" s="23" t="inlineStr">
        <is>
          <t>PARAFUSO DE ACO ZINCADO, SEXTAVADO, COM ROSCA INTEIRA, DIAMETRO 5/16", COMPRIMENTO 3/4", COM PORCA E ARRUELA LISA LEVE</t>
        </is>
      </c>
      <c r="C3801" s="22" t="inlineStr">
        <is>
          <t>SINAPI</t>
        </is>
      </c>
      <c r="D3801" s="22" t="inlineStr">
        <is>
          <t>UN</t>
        </is>
      </c>
      <c r="E3801" s="63" t="n">
        <v>4</v>
      </c>
      <c r="F3801" s="64">
        <f>ROUND(M3801*FATOR, 2)</f>
        <v/>
      </c>
      <c r="G3801" s="64">
        <f>TRUNC(TRUNC(E3801,8)*F3801,2)</f>
        <v/>
      </c>
      <c r="L3801" t="n">
        <v>4</v>
      </c>
      <c r="M3801" t="n">
        <v>0.62</v>
      </c>
      <c r="N3801">
        <f>(M3801-F3801)</f>
        <v/>
      </c>
    </row>
    <row r="3802" ht="21" customHeight="1">
      <c r="A3802" s="22" t="inlineStr">
        <is>
          <t>00037591</t>
        </is>
      </c>
      <c r="B3802" s="23" t="inlineStr">
        <is>
          <t>SUPORTE MAO-FRANCESA EM ACO, ABAS IGUAIS 40 CM, CAPACIDADE MINIMA 70 KG, BRANCO</t>
        </is>
      </c>
      <c r="C3802" s="22" t="inlineStr">
        <is>
          <t>SINAPI</t>
        </is>
      </c>
      <c r="D3802" s="22" t="inlineStr">
        <is>
          <t>UN</t>
        </is>
      </c>
      <c r="E3802" s="63" t="n">
        <v>2</v>
      </c>
      <c r="F3802" s="64">
        <f>ROUND(M3802*FATOR, 2)</f>
        <v/>
      </c>
      <c r="G3802" s="64">
        <f>TRUNC(TRUNC(E3802,8)*F3802,2)</f>
        <v/>
      </c>
      <c r="L3802" t="n">
        <v>2</v>
      </c>
      <c r="M3802" t="n">
        <v>20.27</v>
      </c>
      <c r="N3802">
        <f>(M3802-F3802)</f>
        <v/>
      </c>
    </row>
    <row r="3803" ht="29" customHeight="1">
      <c r="A3803" s="22" t="inlineStr">
        <is>
          <t>00001570</t>
        </is>
      </c>
      <c r="B3803" s="23" t="inlineStr">
        <is>
          <t>TERMINAL A COMPRESSAO EM COBRE ESTANHADO PARA CABO 2,5 MM2, 1 FURO E 1 COMPRESSAO, PARA PARAFUSO DE FIXACAO M5</t>
        </is>
      </c>
      <c r="C3803" s="22" t="inlineStr">
        <is>
          <t>SINAPI</t>
        </is>
      </c>
      <c r="D3803" s="22" t="inlineStr">
        <is>
          <t>UN</t>
        </is>
      </c>
      <c r="E3803" s="63" t="n">
        <v>10</v>
      </c>
      <c r="F3803" s="64">
        <f>ROUND(M3803*FATOR, 2)</f>
        <v/>
      </c>
      <c r="G3803" s="64">
        <f>TRUNC(TRUNC(E3803,8)*F3803,2)</f>
        <v/>
      </c>
      <c r="L3803" t="n">
        <v>10</v>
      </c>
      <c r="M3803" t="n">
        <v>1.05</v>
      </c>
      <c r="N3803">
        <f>(M3803-F3803)</f>
        <v/>
      </c>
    </row>
    <row r="3804" ht="15" customHeight="1">
      <c r="A3804" s="2" t="inlineStr"/>
      <c r="B3804" s="2" t="inlineStr"/>
      <c r="C3804" s="2" t="inlineStr"/>
      <c r="D3804" s="2" t="inlineStr"/>
      <c r="E3804" s="26" t="inlineStr">
        <is>
          <t>TOTAL Material:</t>
        </is>
      </c>
      <c r="F3804" s="56" t="n"/>
      <c r="G3804" s="65">
        <f>SUM(G3799:G3803)</f>
        <v/>
      </c>
    </row>
    <row r="3805" ht="15" customHeight="1">
      <c r="A3805" s="20" t="inlineStr">
        <is>
          <t>Mão de Obra com Encargos Complementares</t>
        </is>
      </c>
      <c r="B3805" s="56" t="n"/>
      <c r="C3805" s="21" t="inlineStr">
        <is>
          <t>FONTE</t>
        </is>
      </c>
      <c r="D3805" s="21" t="inlineStr">
        <is>
          <t>UNID</t>
        </is>
      </c>
      <c r="E3805" s="21" t="inlineStr">
        <is>
          <t>COEFICIENTE</t>
        </is>
      </c>
      <c r="F3805" s="21" t="inlineStr">
        <is>
          <t>PREÇO UNITÁRIO</t>
        </is>
      </c>
      <c r="G3805" s="21" t="inlineStr">
        <is>
          <t>TOTAL</t>
        </is>
      </c>
    </row>
    <row r="3806" ht="21" customHeight="1">
      <c r="A3806" s="22" t="inlineStr">
        <is>
          <t>88243</t>
        </is>
      </c>
      <c r="B3806" s="23" t="inlineStr">
        <is>
          <t>AJUDANTE ESPECIALIZADO COM ENCARGOS COMPLEMENTARES</t>
        </is>
      </c>
      <c r="C3806" s="22" t="inlineStr">
        <is>
          <t>SINAPI</t>
        </is>
      </c>
      <c r="D3806" s="22" t="inlineStr">
        <is>
          <t>H</t>
        </is>
      </c>
      <c r="E3806" s="63">
        <f>L3806*FATOR</f>
        <v/>
      </c>
      <c r="F3806" s="64">
        <f>'COMPOSICOES AUXILIARES'!G106</f>
        <v/>
      </c>
      <c r="G3806" s="64">
        <f>TRUNC(TRUNC(E3806,8)*F3806,2)</f>
        <v/>
      </c>
      <c r="L3806" t="n">
        <v>2.3334</v>
      </c>
      <c r="M3806" t="n">
        <v>23.76</v>
      </c>
      <c r="N3806">
        <f>(M3806-F3806)</f>
        <v/>
      </c>
    </row>
    <row r="3807" ht="21" customHeight="1">
      <c r="A3807" s="22" t="inlineStr">
        <is>
          <t>100308</t>
        </is>
      </c>
      <c r="B3807" s="23" t="inlineStr">
        <is>
          <t>MECÂNICO DE REFRIGERAÇÃO COM ENCARGOS COMPLEMENTARES</t>
        </is>
      </c>
      <c r="C3807" s="22" t="inlineStr">
        <is>
          <t>SINAPI</t>
        </is>
      </c>
      <c r="D3807" s="22" t="inlineStr">
        <is>
          <t>H</t>
        </is>
      </c>
      <c r="E3807" s="63">
        <f>L3807*FATOR</f>
        <v/>
      </c>
      <c r="F3807" s="64">
        <f>'COMPOSICOES AUXILIARES'!G2499</f>
        <v/>
      </c>
      <c r="G3807" s="64">
        <f>TRUNC(TRUNC(E3807,8)*F3807,2)</f>
        <v/>
      </c>
      <c r="L3807" t="n">
        <v>2.3334</v>
      </c>
      <c r="M3807" t="n">
        <v>30.46</v>
      </c>
      <c r="N3807">
        <f>(M3807-F3807)</f>
        <v/>
      </c>
    </row>
    <row r="3808" ht="18" customHeight="1">
      <c r="A3808" s="2" t="inlineStr"/>
      <c r="B3808" s="2" t="inlineStr"/>
      <c r="C3808" s="2" t="inlineStr"/>
      <c r="D3808" s="2" t="inlineStr"/>
      <c r="E3808" s="26" t="inlineStr">
        <is>
          <t>TOTAL Mão de Obra com Encargos Complementares:</t>
        </is>
      </c>
      <c r="F3808" s="56" t="n"/>
      <c r="G3808" s="65">
        <f>SUM(G3806:G3807)</f>
        <v/>
      </c>
    </row>
    <row r="3809" ht="15" customHeight="1">
      <c r="A3809" s="2" t="inlineStr"/>
      <c r="B3809" s="2" t="inlineStr"/>
      <c r="C3809" s="2" t="inlineStr"/>
      <c r="D3809" s="2" t="inlineStr"/>
      <c r="E3809" s="28" t="inlineStr">
        <is>
          <t>VALOR:</t>
        </is>
      </c>
      <c r="F3809" s="56" t="n"/>
      <c r="G3809" s="66">
        <f>SUM(G3808,G3804,G3797)</f>
        <v/>
      </c>
    </row>
    <row r="3810" ht="15" customHeight="1">
      <c r="A3810" s="2" t="inlineStr"/>
      <c r="B3810" s="2" t="inlineStr"/>
      <c r="C3810" s="2" t="inlineStr"/>
      <c r="D3810" s="2" t="inlineStr"/>
      <c r="E3810" s="28" t="inlineStr">
        <is>
          <t>VALOR BDI (23.08%):</t>
        </is>
      </c>
      <c r="F3810" s="56" t="n"/>
      <c r="G3810" s="66">
        <f>ROUNDDOWN(G3809*BDI,2)</f>
        <v/>
      </c>
    </row>
    <row r="3811" ht="15" customHeight="1">
      <c r="A3811" s="2" t="inlineStr"/>
      <c r="B3811" s="2" t="inlineStr"/>
      <c r="C3811" s="2" t="inlineStr"/>
      <c r="D3811" s="2" t="inlineStr"/>
      <c r="E3811" s="28" t="inlineStr">
        <is>
          <t>VALOR COM BDI:</t>
        </is>
      </c>
      <c r="F3811" s="56" t="n"/>
      <c r="G3811" s="66">
        <f>G3810 + G3809</f>
        <v/>
      </c>
    </row>
    <row r="3812" ht="10" customHeight="1">
      <c r="A3812" s="2" t="inlineStr"/>
      <c r="B3812" s="2" t="inlineStr"/>
      <c r="C3812" s="2" t="inlineStr"/>
      <c r="D3812" s="2" t="inlineStr"/>
      <c r="E3812" s="18" t="inlineStr"/>
    </row>
    <row r="3813" ht="20" customHeight="1">
      <c r="A3813" s="19" t="inlineStr">
        <is>
          <t>10.1.4.2. ​103247​ AR CONDICIONADO SPLIT INVERTER, HI-WALL (PAREDE), 12000 BTU/H, CICLO FRIO - FORNECIMENTO E INSTALAÇÃO.AF_11/2021_PE​ (UN)</t>
        </is>
      </c>
      <c r="B3813" s="55" t="n"/>
      <c r="C3813" s="55" t="n"/>
      <c r="D3813" s="55" t="n"/>
      <c r="E3813" s="55" t="n"/>
      <c r="F3813" s="55" t="n"/>
      <c r="G3813" s="56" t="n"/>
    </row>
    <row r="3814" ht="15" customHeight="1">
      <c r="A3814" s="20" t="inlineStr">
        <is>
          <t>Equipamento</t>
        </is>
      </c>
      <c r="B3814" s="56" t="n"/>
      <c r="C3814" s="21" t="inlineStr">
        <is>
          <t>FONTE</t>
        </is>
      </c>
      <c r="D3814" s="21" t="inlineStr">
        <is>
          <t>UNID</t>
        </is>
      </c>
      <c r="E3814" s="21" t="inlineStr">
        <is>
          <t>COEFICIENTE</t>
        </is>
      </c>
      <c r="F3814" s="21" t="inlineStr">
        <is>
          <t>PREÇO UNITÁRIO</t>
        </is>
      </c>
      <c r="G3814" s="21" t="inlineStr">
        <is>
          <t>TOTAL</t>
        </is>
      </c>
    </row>
    <row r="3815" ht="29" customHeight="1">
      <c r="A3815" s="22" t="inlineStr">
        <is>
          <t>00042425</t>
        </is>
      </c>
      <c r="B3815" s="23" t="inlineStr">
        <is>
          <t>AR CONDICIONADO SPLIT INVERTER, HI-WALL (PAREDE), 12000 BTU/H, CICLO FRIO, 60HZ, CLASSIFICACAO A (SELO PROCEL), GAS HFC, CONTROLE S/FIO</t>
        </is>
      </c>
      <c r="C3815" s="22" t="inlineStr">
        <is>
          <t>SINAPI</t>
        </is>
      </c>
      <c r="D3815" s="22" t="inlineStr">
        <is>
          <t>UN</t>
        </is>
      </c>
      <c r="E3815" s="63" t="n">
        <v>1</v>
      </c>
      <c r="F3815" s="64">
        <f>ROUND(M3815*FATOR, 2)</f>
        <v/>
      </c>
      <c r="G3815" s="64">
        <f>TRUNC(TRUNC(E3815,8)*F3815,2)</f>
        <v/>
      </c>
      <c r="L3815" t="n">
        <v>1</v>
      </c>
      <c r="M3815" t="n">
        <v>2363.7</v>
      </c>
      <c r="N3815">
        <f>(M3815-F3815)</f>
        <v/>
      </c>
    </row>
    <row r="3816" ht="15" customHeight="1">
      <c r="A3816" s="2" t="inlineStr"/>
      <c r="B3816" s="2" t="inlineStr"/>
      <c r="C3816" s="2" t="inlineStr"/>
      <c r="D3816" s="2" t="inlineStr"/>
      <c r="E3816" s="26" t="inlineStr">
        <is>
          <t>TOTAL Equipamento:</t>
        </is>
      </c>
      <c r="F3816" s="56" t="n"/>
      <c r="G3816" s="65">
        <f>SUM(G3815:G3815)</f>
        <v/>
      </c>
    </row>
    <row r="3817" ht="15" customHeight="1">
      <c r="A3817" s="20" t="inlineStr">
        <is>
          <t>Material</t>
        </is>
      </c>
      <c r="B3817" s="56" t="n"/>
      <c r="C3817" s="21" t="inlineStr">
        <is>
          <t>FONTE</t>
        </is>
      </c>
      <c r="D3817" s="21" t="inlineStr">
        <is>
          <t>UNID</t>
        </is>
      </c>
      <c r="E3817" s="21" t="inlineStr">
        <is>
          <t>COEFICIENTE</t>
        </is>
      </c>
      <c r="F3817" s="21" t="inlineStr">
        <is>
          <t>PREÇO UNITÁRIO</t>
        </is>
      </c>
      <c r="G3817" s="21" t="inlineStr">
        <is>
          <t>TOTAL</t>
        </is>
      </c>
    </row>
    <row r="3818" ht="29" customHeight="1">
      <c r="A3818" s="22" t="inlineStr">
        <is>
          <t>00007568</t>
        </is>
      </c>
      <c r="B3818" s="23" t="inlineStr">
        <is>
          <t>BUCHA DE NYLON SEM ABA S10, COM PARAFUSO DE 6,10 X 65 MM EM ACO ZINCADO COM ROSCA SOBERBA, CABECA CHATA E FENDA PHILLIPS</t>
        </is>
      </c>
      <c r="C3818" s="22" t="inlineStr">
        <is>
          <t>SINAPI</t>
        </is>
      </c>
      <c r="D3818" s="22" t="inlineStr">
        <is>
          <t>UN</t>
        </is>
      </c>
      <c r="E3818" s="63" t="n">
        <v>9</v>
      </c>
      <c r="F3818" s="64">
        <f>ROUND(M3818*FATOR, 2)</f>
        <v/>
      </c>
      <c r="G3818" s="64">
        <f>TRUNC(TRUNC(E3818,8)*F3818,2)</f>
        <v/>
      </c>
      <c r="L3818" t="n">
        <v>9</v>
      </c>
      <c r="M3818" t="n">
        <v>0.86</v>
      </c>
      <c r="N3818">
        <f>(M3818-F3818)</f>
        <v/>
      </c>
    </row>
    <row r="3819" ht="21" customHeight="1">
      <c r="A3819" s="22" t="inlineStr">
        <is>
          <t>00011976</t>
        </is>
      </c>
      <c r="B3819" s="23" t="inlineStr">
        <is>
          <t>CHUMBADOR DE ACO ZINCADO, DIAMETRO 1/4" COM PARAFUSO 1/4" X 40 MM</t>
        </is>
      </c>
      <c r="C3819" s="22" t="inlineStr">
        <is>
          <t>SINAPI</t>
        </is>
      </c>
      <c r="D3819" s="22" t="inlineStr">
        <is>
          <t>UN</t>
        </is>
      </c>
      <c r="E3819" s="63" t="n">
        <v>6</v>
      </c>
      <c r="F3819" s="64">
        <f>ROUND(M3819*FATOR, 2)</f>
        <v/>
      </c>
      <c r="G3819" s="64">
        <f>TRUNC(TRUNC(E3819,8)*F3819,2)</f>
        <v/>
      </c>
      <c r="L3819" t="n">
        <v>6</v>
      </c>
      <c r="M3819" t="n">
        <v>1.66</v>
      </c>
      <c r="N3819">
        <f>(M3819-F3819)</f>
        <v/>
      </c>
    </row>
    <row r="3820" ht="29" customHeight="1">
      <c r="A3820" s="22" t="inlineStr">
        <is>
          <t>00013246</t>
        </is>
      </c>
      <c r="B3820" s="23" t="inlineStr">
        <is>
          <t>PARAFUSO DE ACO ZINCADO, SEXTAVADO, COM ROSCA INTEIRA, DIAMETRO 5/16", COMPRIMENTO 3/4", COM PORCA E ARRUELA LISA LEVE</t>
        </is>
      </c>
      <c r="C3820" s="22" t="inlineStr">
        <is>
          <t>SINAPI</t>
        </is>
      </c>
      <c r="D3820" s="22" t="inlineStr">
        <is>
          <t>UN</t>
        </is>
      </c>
      <c r="E3820" s="63" t="n">
        <v>4</v>
      </c>
      <c r="F3820" s="64">
        <f>ROUND(M3820*FATOR, 2)</f>
        <v/>
      </c>
      <c r="G3820" s="64">
        <f>TRUNC(TRUNC(E3820,8)*F3820,2)</f>
        <v/>
      </c>
      <c r="L3820" t="n">
        <v>4</v>
      </c>
      <c r="M3820" t="n">
        <v>0.62</v>
      </c>
      <c r="N3820">
        <f>(M3820-F3820)</f>
        <v/>
      </c>
    </row>
    <row r="3821" ht="21" customHeight="1">
      <c r="A3821" s="22" t="inlineStr">
        <is>
          <t>00037591</t>
        </is>
      </c>
      <c r="B3821" s="23" t="inlineStr">
        <is>
          <t>SUPORTE MAO-FRANCESA EM ACO, ABAS IGUAIS 40 CM, CAPACIDADE MINIMA 70 KG, BRANCO</t>
        </is>
      </c>
      <c r="C3821" s="22" t="inlineStr">
        <is>
          <t>SINAPI</t>
        </is>
      </c>
      <c r="D3821" s="22" t="inlineStr">
        <is>
          <t>UN</t>
        </is>
      </c>
      <c r="E3821" s="63" t="n">
        <v>2</v>
      </c>
      <c r="F3821" s="64">
        <f>ROUND(M3821*FATOR, 2)</f>
        <v/>
      </c>
      <c r="G3821" s="64">
        <f>TRUNC(TRUNC(E3821,8)*F3821,2)</f>
        <v/>
      </c>
      <c r="L3821" t="n">
        <v>2</v>
      </c>
      <c r="M3821" t="n">
        <v>20.27</v>
      </c>
      <c r="N3821">
        <f>(M3821-F3821)</f>
        <v/>
      </c>
    </row>
    <row r="3822" ht="29" customHeight="1">
      <c r="A3822" s="22" t="inlineStr">
        <is>
          <t>00001570</t>
        </is>
      </c>
      <c r="B3822" s="23" t="inlineStr">
        <is>
          <t>TERMINAL A COMPRESSAO EM COBRE ESTANHADO PARA CABO 2,5 MM2, 1 FURO E 1 COMPRESSAO, PARA PARAFUSO DE FIXACAO M5</t>
        </is>
      </c>
      <c r="C3822" s="22" t="inlineStr">
        <is>
          <t>SINAPI</t>
        </is>
      </c>
      <c r="D3822" s="22" t="inlineStr">
        <is>
          <t>UN</t>
        </is>
      </c>
      <c r="E3822" s="63" t="n">
        <v>10</v>
      </c>
      <c r="F3822" s="64">
        <f>ROUND(M3822*FATOR, 2)</f>
        <v/>
      </c>
      <c r="G3822" s="64">
        <f>TRUNC(TRUNC(E3822,8)*F3822,2)</f>
        <v/>
      </c>
      <c r="L3822" t="n">
        <v>10</v>
      </c>
      <c r="M3822" t="n">
        <v>1.05</v>
      </c>
      <c r="N3822">
        <f>(M3822-F3822)</f>
        <v/>
      </c>
    </row>
    <row r="3823" ht="15" customHeight="1">
      <c r="A3823" s="2" t="inlineStr"/>
      <c r="B3823" s="2" t="inlineStr"/>
      <c r="C3823" s="2" t="inlineStr"/>
      <c r="D3823" s="2" t="inlineStr"/>
      <c r="E3823" s="26" t="inlineStr">
        <is>
          <t>TOTAL Material:</t>
        </is>
      </c>
      <c r="F3823" s="56" t="n"/>
      <c r="G3823" s="65">
        <f>SUM(G3818:G3822)</f>
        <v/>
      </c>
    </row>
    <row r="3824" ht="15" customHeight="1">
      <c r="A3824" s="20" t="inlineStr">
        <is>
          <t>Mão de Obra com Encargos Complementares</t>
        </is>
      </c>
      <c r="B3824" s="56" t="n"/>
      <c r="C3824" s="21" t="inlineStr">
        <is>
          <t>FONTE</t>
        </is>
      </c>
      <c r="D3824" s="21" t="inlineStr">
        <is>
          <t>UNID</t>
        </is>
      </c>
      <c r="E3824" s="21" t="inlineStr">
        <is>
          <t>COEFICIENTE</t>
        </is>
      </c>
      <c r="F3824" s="21" t="inlineStr">
        <is>
          <t>PREÇO UNITÁRIO</t>
        </is>
      </c>
      <c r="G3824" s="21" t="inlineStr">
        <is>
          <t>TOTAL</t>
        </is>
      </c>
    </row>
    <row r="3825" ht="21" customHeight="1">
      <c r="A3825" s="22" t="inlineStr">
        <is>
          <t>88243</t>
        </is>
      </c>
      <c r="B3825" s="23" t="inlineStr">
        <is>
          <t>AJUDANTE ESPECIALIZADO COM ENCARGOS COMPLEMENTARES</t>
        </is>
      </c>
      <c r="C3825" s="22" t="inlineStr">
        <is>
          <t>SINAPI</t>
        </is>
      </c>
      <c r="D3825" s="22" t="inlineStr">
        <is>
          <t>H</t>
        </is>
      </c>
      <c r="E3825" s="63">
        <f>L3825*FATOR</f>
        <v/>
      </c>
      <c r="F3825" s="64">
        <f>'COMPOSICOES AUXILIARES'!G106</f>
        <v/>
      </c>
      <c r="G3825" s="64">
        <f>TRUNC(TRUNC(E3825,8)*F3825,2)</f>
        <v/>
      </c>
      <c r="L3825" t="n">
        <v>2.3334</v>
      </c>
      <c r="M3825" t="n">
        <v>23.76</v>
      </c>
      <c r="N3825">
        <f>(M3825-F3825)</f>
        <v/>
      </c>
    </row>
    <row r="3826" ht="21" customHeight="1">
      <c r="A3826" s="22" t="inlineStr">
        <is>
          <t>100308</t>
        </is>
      </c>
      <c r="B3826" s="23" t="inlineStr">
        <is>
          <t>MECÂNICO DE REFRIGERAÇÃO COM ENCARGOS COMPLEMENTARES</t>
        </is>
      </c>
      <c r="C3826" s="22" t="inlineStr">
        <is>
          <t>SINAPI</t>
        </is>
      </c>
      <c r="D3826" s="22" t="inlineStr">
        <is>
          <t>H</t>
        </is>
      </c>
      <c r="E3826" s="63">
        <f>L3826*FATOR</f>
        <v/>
      </c>
      <c r="F3826" s="64">
        <f>'COMPOSICOES AUXILIARES'!G2499</f>
        <v/>
      </c>
      <c r="G3826" s="64">
        <f>TRUNC(TRUNC(E3826,8)*F3826,2)</f>
        <v/>
      </c>
      <c r="L3826" t="n">
        <v>2.3334</v>
      </c>
      <c r="M3826" t="n">
        <v>30.46</v>
      </c>
      <c r="N3826">
        <f>(M3826-F3826)</f>
        <v/>
      </c>
    </row>
    <row r="3827" ht="18" customHeight="1">
      <c r="A3827" s="2" t="inlineStr"/>
      <c r="B3827" s="2" t="inlineStr"/>
      <c r="C3827" s="2" t="inlineStr"/>
      <c r="D3827" s="2" t="inlineStr"/>
      <c r="E3827" s="26" t="inlineStr">
        <is>
          <t>TOTAL Mão de Obra com Encargos Complementares:</t>
        </is>
      </c>
      <c r="F3827" s="56" t="n"/>
      <c r="G3827" s="65">
        <f>SUM(G3825:G3826)</f>
        <v/>
      </c>
    </row>
    <row r="3828" ht="15" customHeight="1">
      <c r="A3828" s="2" t="inlineStr"/>
      <c r="B3828" s="2" t="inlineStr"/>
      <c r="C3828" s="2" t="inlineStr"/>
      <c r="D3828" s="2" t="inlineStr"/>
      <c r="E3828" s="28" t="inlineStr">
        <is>
          <t>VALOR:</t>
        </is>
      </c>
      <c r="F3828" s="56" t="n"/>
      <c r="G3828" s="66">
        <f>SUM(G3816,G3827,G3823)</f>
        <v/>
      </c>
    </row>
    <row r="3829" ht="15" customHeight="1">
      <c r="A3829" s="2" t="inlineStr"/>
      <c r="B3829" s="2" t="inlineStr"/>
      <c r="C3829" s="2" t="inlineStr"/>
      <c r="D3829" s="2" t="inlineStr"/>
      <c r="E3829" s="28" t="inlineStr">
        <is>
          <t>VALOR BDI (23.08%):</t>
        </is>
      </c>
      <c r="F3829" s="56" t="n"/>
      <c r="G3829" s="66">
        <f>ROUNDDOWN(G3828*BDI,2)</f>
        <v/>
      </c>
    </row>
    <row r="3830" ht="15" customHeight="1">
      <c r="A3830" s="2" t="inlineStr"/>
      <c r="B3830" s="2" t="inlineStr"/>
      <c r="C3830" s="2" t="inlineStr"/>
      <c r="D3830" s="2" t="inlineStr"/>
      <c r="E3830" s="28" t="inlineStr">
        <is>
          <t>VALOR COM BDI:</t>
        </is>
      </c>
      <c r="F3830" s="56" t="n"/>
      <c r="G3830" s="66">
        <f>G3829 + G3828</f>
        <v/>
      </c>
    </row>
    <row r="3831" ht="10" customHeight="1">
      <c r="A3831" s="2" t="inlineStr"/>
      <c r="B3831" s="2" t="inlineStr"/>
      <c r="C3831" s="2" t="inlineStr"/>
      <c r="D3831" s="2" t="inlineStr"/>
      <c r="E3831" s="18" t="inlineStr"/>
    </row>
    <row r="3832" ht="20" customHeight="1">
      <c r="A3832" s="19" t="inlineStr">
        <is>
          <t>10.1.4.3. ​103250​ AR CONDICIONADO SPLIT INVERTER, HI-WALL (PAREDE), 18000 BTU/H, CICLO FRIO - FORNECIMENTO E INSTALAÇÃO.AF_11/2021_PE​ (UN)</t>
        </is>
      </c>
      <c r="B3832" s="55" t="n"/>
      <c r="C3832" s="55" t="n"/>
      <c r="D3832" s="55" t="n"/>
      <c r="E3832" s="55" t="n"/>
      <c r="F3832" s="55" t="n"/>
      <c r="G3832" s="56" t="n"/>
    </row>
    <row r="3833" ht="15" customHeight="1">
      <c r="A3833" s="20" t="inlineStr">
        <is>
          <t>Equipamento</t>
        </is>
      </c>
      <c r="B3833" s="56" t="n"/>
      <c r="C3833" s="21" t="inlineStr">
        <is>
          <t>FONTE</t>
        </is>
      </c>
      <c r="D3833" s="21" t="inlineStr">
        <is>
          <t>UNID</t>
        </is>
      </c>
      <c r="E3833" s="21" t="inlineStr">
        <is>
          <t>COEFICIENTE</t>
        </is>
      </c>
      <c r="F3833" s="21" t="inlineStr">
        <is>
          <t>PREÇO UNITÁRIO</t>
        </is>
      </c>
      <c r="G3833" s="21" t="inlineStr">
        <is>
          <t>TOTAL</t>
        </is>
      </c>
    </row>
    <row r="3834" ht="29" customHeight="1">
      <c r="A3834" s="22" t="inlineStr">
        <is>
          <t>00042422</t>
        </is>
      </c>
      <c r="B3834" s="23" t="inlineStr">
        <is>
          <t>AR CONDICIONADO SPLIT INVERTER, HI-WALL (PAREDE), 18000 BTU/H, CICLO FRIO, 60HZ, CLASSIFICACAO A (SELO PROCEL), GAS HFC, CONTROLE S/FIO</t>
        </is>
      </c>
      <c r="C3834" s="22" t="inlineStr">
        <is>
          <t>SINAPI</t>
        </is>
      </c>
      <c r="D3834" s="22" t="inlineStr">
        <is>
          <t>UN</t>
        </is>
      </c>
      <c r="E3834" s="63" t="n">
        <v>1</v>
      </c>
      <c r="F3834" s="64">
        <f>ROUND(M3834*FATOR, 2)</f>
        <v/>
      </c>
      <c r="G3834" s="64">
        <f>TRUNC(TRUNC(E3834,8)*F3834,2)</f>
        <v/>
      </c>
      <c r="L3834" t="n">
        <v>1</v>
      </c>
      <c r="M3834" t="n">
        <v>3509</v>
      </c>
      <c r="N3834">
        <f>(M3834-F3834)</f>
        <v/>
      </c>
    </row>
    <row r="3835" ht="15" customHeight="1">
      <c r="A3835" s="2" t="inlineStr"/>
      <c r="B3835" s="2" t="inlineStr"/>
      <c r="C3835" s="2" t="inlineStr"/>
      <c r="D3835" s="2" t="inlineStr"/>
      <c r="E3835" s="26" t="inlineStr">
        <is>
          <t>TOTAL Equipamento:</t>
        </is>
      </c>
      <c r="F3835" s="56" t="n"/>
      <c r="G3835" s="65">
        <f>SUM(G3834:G3834)</f>
        <v/>
      </c>
    </row>
    <row r="3836" ht="15" customHeight="1">
      <c r="A3836" s="20" t="inlineStr">
        <is>
          <t>Material</t>
        </is>
      </c>
      <c r="B3836" s="56" t="n"/>
      <c r="C3836" s="21" t="inlineStr">
        <is>
          <t>FONTE</t>
        </is>
      </c>
      <c r="D3836" s="21" t="inlineStr">
        <is>
          <t>UNID</t>
        </is>
      </c>
      <c r="E3836" s="21" t="inlineStr">
        <is>
          <t>COEFICIENTE</t>
        </is>
      </c>
      <c r="F3836" s="21" t="inlineStr">
        <is>
          <t>PREÇO UNITÁRIO</t>
        </is>
      </c>
      <c r="G3836" s="21" t="inlineStr">
        <is>
          <t>TOTAL</t>
        </is>
      </c>
    </row>
    <row r="3837" ht="29" customHeight="1">
      <c r="A3837" s="22" t="inlineStr">
        <is>
          <t>00007568</t>
        </is>
      </c>
      <c r="B3837" s="23" t="inlineStr">
        <is>
          <t>BUCHA DE NYLON SEM ABA S10, COM PARAFUSO DE 6,10 X 65 MM EM ACO ZINCADO COM ROSCA SOBERBA, CABECA CHATA E FENDA PHILLIPS</t>
        </is>
      </c>
      <c r="C3837" s="22" t="inlineStr">
        <is>
          <t>SINAPI</t>
        </is>
      </c>
      <c r="D3837" s="22" t="inlineStr">
        <is>
          <t>UN</t>
        </is>
      </c>
      <c r="E3837" s="63" t="n">
        <v>9</v>
      </c>
      <c r="F3837" s="64">
        <f>ROUND(M3837*FATOR, 2)</f>
        <v/>
      </c>
      <c r="G3837" s="64">
        <f>TRUNC(TRUNC(E3837,8)*F3837,2)</f>
        <v/>
      </c>
      <c r="L3837" t="n">
        <v>9</v>
      </c>
      <c r="M3837" t="n">
        <v>0.86</v>
      </c>
      <c r="N3837">
        <f>(M3837-F3837)</f>
        <v/>
      </c>
    </row>
    <row r="3838" ht="21" customHeight="1">
      <c r="A3838" s="22" t="inlineStr">
        <is>
          <t>00011976</t>
        </is>
      </c>
      <c r="B3838" s="23" t="inlineStr">
        <is>
          <t>CHUMBADOR DE ACO ZINCADO, DIAMETRO 1/4" COM PARAFUSO 1/4" X 40 MM</t>
        </is>
      </c>
      <c r="C3838" s="22" t="inlineStr">
        <is>
          <t>SINAPI</t>
        </is>
      </c>
      <c r="D3838" s="22" t="inlineStr">
        <is>
          <t>UN</t>
        </is>
      </c>
      <c r="E3838" s="63" t="n">
        <v>6</v>
      </c>
      <c r="F3838" s="64">
        <f>ROUND(M3838*FATOR, 2)</f>
        <v/>
      </c>
      <c r="G3838" s="64">
        <f>TRUNC(TRUNC(E3838,8)*F3838,2)</f>
        <v/>
      </c>
      <c r="L3838" t="n">
        <v>6</v>
      </c>
      <c r="M3838" t="n">
        <v>1.66</v>
      </c>
      <c r="N3838">
        <f>(M3838-F3838)</f>
        <v/>
      </c>
    </row>
    <row r="3839" ht="29" customHeight="1">
      <c r="A3839" s="22" t="inlineStr">
        <is>
          <t>00013246</t>
        </is>
      </c>
      <c r="B3839" s="23" t="inlineStr">
        <is>
          <t>PARAFUSO DE ACO ZINCADO, SEXTAVADO, COM ROSCA INTEIRA, DIAMETRO 5/16", COMPRIMENTO 3/4", COM PORCA E ARRUELA LISA LEVE</t>
        </is>
      </c>
      <c r="C3839" s="22" t="inlineStr">
        <is>
          <t>SINAPI</t>
        </is>
      </c>
      <c r="D3839" s="22" t="inlineStr">
        <is>
          <t>UN</t>
        </is>
      </c>
      <c r="E3839" s="63" t="n">
        <v>4</v>
      </c>
      <c r="F3839" s="64">
        <f>ROUND(M3839*FATOR, 2)</f>
        <v/>
      </c>
      <c r="G3839" s="64">
        <f>TRUNC(TRUNC(E3839,8)*F3839,2)</f>
        <v/>
      </c>
      <c r="L3839" t="n">
        <v>4</v>
      </c>
      <c r="M3839" t="n">
        <v>0.62</v>
      </c>
      <c r="N3839">
        <f>(M3839-F3839)</f>
        <v/>
      </c>
    </row>
    <row r="3840" ht="21" customHeight="1">
      <c r="A3840" s="22" t="inlineStr">
        <is>
          <t>00037591</t>
        </is>
      </c>
      <c r="B3840" s="23" t="inlineStr">
        <is>
          <t>SUPORTE MAO-FRANCESA EM ACO, ABAS IGUAIS 40 CM, CAPACIDADE MINIMA 70 KG, BRANCO</t>
        </is>
      </c>
      <c r="C3840" s="22" t="inlineStr">
        <is>
          <t>SINAPI</t>
        </is>
      </c>
      <c r="D3840" s="22" t="inlineStr">
        <is>
          <t>UN</t>
        </is>
      </c>
      <c r="E3840" s="63" t="n">
        <v>2</v>
      </c>
      <c r="F3840" s="64">
        <f>ROUND(M3840*FATOR, 2)</f>
        <v/>
      </c>
      <c r="G3840" s="64">
        <f>TRUNC(TRUNC(E3840,8)*F3840,2)</f>
        <v/>
      </c>
      <c r="L3840" t="n">
        <v>2</v>
      </c>
      <c r="M3840" t="n">
        <v>20.27</v>
      </c>
      <c r="N3840">
        <f>(M3840-F3840)</f>
        <v/>
      </c>
    </row>
    <row r="3841" ht="29" customHeight="1">
      <c r="A3841" s="22" t="inlineStr">
        <is>
          <t>00001570</t>
        </is>
      </c>
      <c r="B3841" s="23" t="inlineStr">
        <is>
          <t>TERMINAL A COMPRESSAO EM COBRE ESTANHADO PARA CABO 2,5 MM2, 1 FURO E 1 COMPRESSAO, PARA PARAFUSO DE FIXACAO M5</t>
        </is>
      </c>
      <c r="C3841" s="22" t="inlineStr">
        <is>
          <t>SINAPI</t>
        </is>
      </c>
      <c r="D3841" s="22" t="inlineStr">
        <is>
          <t>UN</t>
        </is>
      </c>
      <c r="E3841" s="63" t="n">
        <v>10</v>
      </c>
      <c r="F3841" s="64">
        <f>ROUND(M3841*FATOR, 2)</f>
        <v/>
      </c>
      <c r="G3841" s="64">
        <f>TRUNC(TRUNC(E3841,8)*F3841,2)</f>
        <v/>
      </c>
      <c r="L3841" t="n">
        <v>10</v>
      </c>
      <c r="M3841" t="n">
        <v>1.05</v>
      </c>
      <c r="N3841">
        <f>(M3841-F3841)</f>
        <v/>
      </c>
    </row>
    <row r="3842" ht="15" customHeight="1">
      <c r="A3842" s="2" t="inlineStr"/>
      <c r="B3842" s="2" t="inlineStr"/>
      <c r="C3842" s="2" t="inlineStr"/>
      <c r="D3842" s="2" t="inlineStr"/>
      <c r="E3842" s="26" t="inlineStr">
        <is>
          <t>TOTAL Material:</t>
        </is>
      </c>
      <c r="F3842" s="56" t="n"/>
      <c r="G3842" s="65">
        <f>SUM(G3837:G3841)</f>
        <v/>
      </c>
    </row>
    <row r="3843" ht="15" customHeight="1">
      <c r="A3843" s="20" t="inlineStr">
        <is>
          <t>Mão de Obra com Encargos Complementares</t>
        </is>
      </c>
      <c r="B3843" s="56" t="n"/>
      <c r="C3843" s="21" t="inlineStr">
        <is>
          <t>FONTE</t>
        </is>
      </c>
      <c r="D3843" s="21" t="inlineStr">
        <is>
          <t>UNID</t>
        </is>
      </c>
      <c r="E3843" s="21" t="inlineStr">
        <is>
          <t>COEFICIENTE</t>
        </is>
      </c>
      <c r="F3843" s="21" t="inlineStr">
        <is>
          <t>PREÇO UNITÁRIO</t>
        </is>
      </c>
      <c r="G3843" s="21" t="inlineStr">
        <is>
          <t>TOTAL</t>
        </is>
      </c>
    </row>
    <row r="3844" ht="21" customHeight="1">
      <c r="A3844" s="22" t="inlineStr">
        <is>
          <t>88243</t>
        </is>
      </c>
      <c r="B3844" s="23" t="inlineStr">
        <is>
          <t>AJUDANTE ESPECIALIZADO COM ENCARGOS COMPLEMENTARES</t>
        </is>
      </c>
      <c r="C3844" s="22" t="inlineStr">
        <is>
          <t>SINAPI</t>
        </is>
      </c>
      <c r="D3844" s="22" t="inlineStr">
        <is>
          <t>H</t>
        </is>
      </c>
      <c r="E3844" s="63">
        <f>L3844*FATOR</f>
        <v/>
      </c>
      <c r="F3844" s="64">
        <f>'COMPOSICOES AUXILIARES'!G106</f>
        <v/>
      </c>
      <c r="G3844" s="64">
        <f>TRUNC(TRUNC(E3844,8)*F3844,2)</f>
        <v/>
      </c>
      <c r="L3844" t="n">
        <v>2.523</v>
      </c>
      <c r="M3844" t="n">
        <v>23.76</v>
      </c>
      <c r="N3844">
        <f>(M3844-F3844)</f>
        <v/>
      </c>
    </row>
    <row r="3845" ht="21" customHeight="1">
      <c r="A3845" s="22" t="inlineStr">
        <is>
          <t>100308</t>
        </is>
      </c>
      <c r="B3845" s="23" t="inlineStr">
        <is>
          <t>MECÂNICO DE REFRIGERAÇÃO COM ENCARGOS COMPLEMENTARES</t>
        </is>
      </c>
      <c r="C3845" s="22" t="inlineStr">
        <is>
          <t>SINAPI</t>
        </is>
      </c>
      <c r="D3845" s="22" t="inlineStr">
        <is>
          <t>H</t>
        </is>
      </c>
      <c r="E3845" s="63">
        <f>L3845*FATOR</f>
        <v/>
      </c>
      <c r="F3845" s="64">
        <f>'COMPOSICOES AUXILIARES'!G2499</f>
        <v/>
      </c>
      <c r="G3845" s="64">
        <f>TRUNC(TRUNC(E3845,8)*F3845,2)</f>
        <v/>
      </c>
      <c r="L3845" t="n">
        <v>2.523</v>
      </c>
      <c r="M3845" t="n">
        <v>30.46</v>
      </c>
      <c r="N3845">
        <f>(M3845-F3845)</f>
        <v/>
      </c>
    </row>
    <row r="3846" ht="18" customHeight="1">
      <c r="A3846" s="2" t="inlineStr"/>
      <c r="B3846" s="2" t="inlineStr"/>
      <c r="C3846" s="2" t="inlineStr"/>
      <c r="D3846" s="2" t="inlineStr"/>
      <c r="E3846" s="26" t="inlineStr">
        <is>
          <t>TOTAL Mão de Obra com Encargos Complementares:</t>
        </is>
      </c>
      <c r="F3846" s="56" t="n"/>
      <c r="G3846" s="65">
        <f>SUM(G3844:G3845)</f>
        <v/>
      </c>
    </row>
    <row r="3847" ht="15" customHeight="1">
      <c r="A3847" s="2" t="inlineStr"/>
      <c r="B3847" s="2" t="inlineStr"/>
      <c r="C3847" s="2" t="inlineStr"/>
      <c r="D3847" s="2" t="inlineStr"/>
      <c r="E3847" s="28" t="inlineStr">
        <is>
          <t>VALOR:</t>
        </is>
      </c>
      <c r="F3847" s="56" t="n"/>
      <c r="G3847" s="66">
        <f>SUM(G3842,G3835,G3846)</f>
        <v/>
      </c>
    </row>
    <row r="3848" ht="15" customHeight="1">
      <c r="A3848" s="2" t="inlineStr"/>
      <c r="B3848" s="2" t="inlineStr"/>
      <c r="C3848" s="2" t="inlineStr"/>
      <c r="D3848" s="2" t="inlineStr"/>
      <c r="E3848" s="28" t="inlineStr">
        <is>
          <t>VALOR BDI (23.08%):</t>
        </is>
      </c>
      <c r="F3848" s="56" t="n"/>
      <c r="G3848" s="66">
        <f>ROUNDDOWN(G3847*BDI,2)</f>
        <v/>
      </c>
    </row>
    <row r="3849" ht="15" customHeight="1">
      <c r="A3849" s="2" t="inlineStr"/>
      <c r="B3849" s="2" t="inlineStr"/>
      <c r="C3849" s="2" t="inlineStr"/>
      <c r="D3849" s="2" t="inlineStr"/>
      <c r="E3849" s="28" t="inlineStr">
        <is>
          <t>VALOR COM BDI:</t>
        </is>
      </c>
      <c r="F3849" s="56" t="n"/>
      <c r="G3849" s="66">
        <f>G3848 + G3847</f>
        <v/>
      </c>
    </row>
    <row r="3850" ht="10" customHeight="1">
      <c r="A3850" s="2" t="inlineStr"/>
      <c r="B3850" s="2" t="inlineStr"/>
      <c r="C3850" s="2" t="inlineStr"/>
      <c r="D3850" s="2" t="inlineStr"/>
      <c r="E3850" s="18" t="inlineStr"/>
    </row>
    <row r="3851" ht="20" customHeight="1">
      <c r="A3851" s="19" t="inlineStr">
        <is>
          <t>10.1.4.4. ​103253​ AR CONDICIONADO SPLIT INVERTER, HI-WALL (PAREDE), 24000 BTU/H, CICLO FRIO - FORNECIMENTO E INSTALAÇÃO.AF_11/2021_PE​ (UN)</t>
        </is>
      </c>
      <c r="B3851" s="55" t="n"/>
      <c r="C3851" s="55" t="n"/>
      <c r="D3851" s="55" t="n"/>
      <c r="E3851" s="55" t="n"/>
      <c r="F3851" s="55" t="n"/>
      <c r="G3851" s="56" t="n"/>
    </row>
    <row r="3852" ht="15" customHeight="1">
      <c r="A3852" s="20" t="inlineStr">
        <is>
          <t>Equipamento</t>
        </is>
      </c>
      <c r="B3852" s="56" t="n"/>
      <c r="C3852" s="21" t="inlineStr">
        <is>
          <t>FONTE</t>
        </is>
      </c>
      <c r="D3852" s="21" t="inlineStr">
        <is>
          <t>UNID</t>
        </is>
      </c>
      <c r="E3852" s="21" t="inlineStr">
        <is>
          <t>COEFICIENTE</t>
        </is>
      </c>
      <c r="F3852" s="21" t="inlineStr">
        <is>
          <t>PREÇO UNITÁRIO</t>
        </is>
      </c>
      <c r="G3852" s="21" t="inlineStr">
        <is>
          <t>TOTAL</t>
        </is>
      </c>
    </row>
    <row r="3853" ht="29" customHeight="1">
      <c r="A3853" s="22" t="inlineStr">
        <is>
          <t>00043184</t>
        </is>
      </c>
      <c r="B3853" s="23" t="inlineStr">
        <is>
          <t>AR CONDICIONADO SPLIT INVERTER, HI-WALL (PAREDE), 24000 BTU/H, CICLO FRIO, 60HZ, CLASSIFICACAO A (SELO PROCEL), GAS HFC, CONTROLE S/FIO</t>
        </is>
      </c>
      <c r="C3853" s="22" t="inlineStr">
        <is>
          <t>SINAPI</t>
        </is>
      </c>
      <c r="D3853" s="22" t="inlineStr">
        <is>
          <t>UN</t>
        </is>
      </c>
      <c r="E3853" s="63" t="n">
        <v>1</v>
      </c>
      <c r="F3853" s="64">
        <f>ROUND(M3853*FATOR, 2)</f>
        <v/>
      </c>
      <c r="G3853" s="64">
        <f>TRUNC(TRUNC(E3853,8)*F3853,2)</f>
        <v/>
      </c>
      <c r="L3853" t="n">
        <v>1</v>
      </c>
      <c r="M3853" t="n">
        <v>4849.77</v>
      </c>
      <c r="N3853">
        <f>(M3853-F3853)</f>
        <v/>
      </c>
    </row>
    <row r="3854" ht="15" customHeight="1">
      <c r="A3854" s="2" t="inlineStr"/>
      <c r="B3854" s="2" t="inlineStr"/>
      <c r="C3854" s="2" t="inlineStr"/>
      <c r="D3854" s="2" t="inlineStr"/>
      <c r="E3854" s="26" t="inlineStr">
        <is>
          <t>TOTAL Equipamento:</t>
        </is>
      </c>
      <c r="F3854" s="56" t="n"/>
      <c r="G3854" s="65">
        <f>SUM(G3853:G3853)</f>
        <v/>
      </c>
    </row>
    <row r="3855" ht="15" customHeight="1">
      <c r="A3855" s="20" t="inlineStr">
        <is>
          <t>Material</t>
        </is>
      </c>
      <c r="B3855" s="56" t="n"/>
      <c r="C3855" s="21" t="inlineStr">
        <is>
          <t>FONTE</t>
        </is>
      </c>
      <c r="D3855" s="21" t="inlineStr">
        <is>
          <t>UNID</t>
        </is>
      </c>
      <c r="E3855" s="21" t="inlineStr">
        <is>
          <t>COEFICIENTE</t>
        </is>
      </c>
      <c r="F3855" s="21" t="inlineStr">
        <is>
          <t>PREÇO UNITÁRIO</t>
        </is>
      </c>
      <c r="G3855" s="21" t="inlineStr">
        <is>
          <t>TOTAL</t>
        </is>
      </c>
    </row>
    <row r="3856" ht="29" customHeight="1">
      <c r="A3856" s="22" t="inlineStr">
        <is>
          <t>00007568</t>
        </is>
      </c>
      <c r="B3856" s="23" t="inlineStr">
        <is>
          <t>BUCHA DE NYLON SEM ABA S10, COM PARAFUSO DE 6,10 X 65 MM EM ACO ZINCADO COM ROSCA SOBERBA, CABECA CHATA E FENDA PHILLIPS</t>
        </is>
      </c>
      <c r="C3856" s="22" t="inlineStr">
        <is>
          <t>SINAPI</t>
        </is>
      </c>
      <c r="D3856" s="22" t="inlineStr">
        <is>
          <t>UN</t>
        </is>
      </c>
      <c r="E3856" s="63" t="n">
        <v>9</v>
      </c>
      <c r="F3856" s="64">
        <f>ROUND(M3856*FATOR, 2)</f>
        <v/>
      </c>
      <c r="G3856" s="64">
        <f>TRUNC(TRUNC(E3856,8)*F3856,2)</f>
        <v/>
      </c>
      <c r="L3856" t="n">
        <v>9</v>
      </c>
      <c r="M3856" t="n">
        <v>0.86</v>
      </c>
      <c r="N3856">
        <f>(M3856-F3856)</f>
        <v/>
      </c>
    </row>
    <row r="3857" ht="21" customHeight="1">
      <c r="A3857" s="22" t="inlineStr">
        <is>
          <t>00011976</t>
        </is>
      </c>
      <c r="B3857" s="23" t="inlineStr">
        <is>
          <t>CHUMBADOR DE ACO ZINCADO, DIAMETRO 1/4" COM PARAFUSO 1/4" X 40 MM</t>
        </is>
      </c>
      <c r="C3857" s="22" t="inlineStr">
        <is>
          <t>SINAPI</t>
        </is>
      </c>
      <c r="D3857" s="22" t="inlineStr">
        <is>
          <t>UN</t>
        </is>
      </c>
      <c r="E3857" s="63" t="n">
        <v>6</v>
      </c>
      <c r="F3857" s="64">
        <f>ROUND(M3857*FATOR, 2)</f>
        <v/>
      </c>
      <c r="G3857" s="64">
        <f>TRUNC(TRUNC(E3857,8)*F3857,2)</f>
        <v/>
      </c>
      <c r="L3857" t="n">
        <v>6</v>
      </c>
      <c r="M3857" t="n">
        <v>1.66</v>
      </c>
      <c r="N3857">
        <f>(M3857-F3857)</f>
        <v/>
      </c>
    </row>
    <row r="3858" ht="29" customHeight="1">
      <c r="A3858" s="22" t="inlineStr">
        <is>
          <t>00013246</t>
        </is>
      </c>
      <c r="B3858" s="23" t="inlineStr">
        <is>
          <t>PARAFUSO DE ACO ZINCADO, SEXTAVADO, COM ROSCA INTEIRA, DIAMETRO 5/16", COMPRIMENTO 3/4", COM PORCA E ARRUELA LISA LEVE</t>
        </is>
      </c>
      <c r="C3858" s="22" t="inlineStr">
        <is>
          <t>SINAPI</t>
        </is>
      </c>
      <c r="D3858" s="22" t="inlineStr">
        <is>
          <t>UN</t>
        </is>
      </c>
      <c r="E3858" s="63" t="n">
        <v>4</v>
      </c>
      <c r="F3858" s="64">
        <f>ROUND(M3858*FATOR, 2)</f>
        <v/>
      </c>
      <c r="G3858" s="64">
        <f>TRUNC(TRUNC(E3858,8)*F3858,2)</f>
        <v/>
      </c>
      <c r="L3858" t="n">
        <v>4</v>
      </c>
      <c r="M3858" t="n">
        <v>0.62</v>
      </c>
      <c r="N3858">
        <f>(M3858-F3858)</f>
        <v/>
      </c>
    </row>
    <row r="3859" ht="21" customHeight="1">
      <c r="A3859" s="22" t="inlineStr">
        <is>
          <t>00037591</t>
        </is>
      </c>
      <c r="B3859" s="23" t="inlineStr">
        <is>
          <t>SUPORTE MAO-FRANCESA EM ACO, ABAS IGUAIS 40 CM, CAPACIDADE MINIMA 70 KG, BRANCO</t>
        </is>
      </c>
      <c r="C3859" s="22" t="inlineStr">
        <is>
          <t>SINAPI</t>
        </is>
      </c>
      <c r="D3859" s="22" t="inlineStr">
        <is>
          <t>UN</t>
        </is>
      </c>
      <c r="E3859" s="63" t="n">
        <v>2</v>
      </c>
      <c r="F3859" s="64">
        <f>ROUND(M3859*FATOR, 2)</f>
        <v/>
      </c>
      <c r="G3859" s="64">
        <f>TRUNC(TRUNC(E3859,8)*F3859,2)</f>
        <v/>
      </c>
      <c r="L3859" t="n">
        <v>2</v>
      </c>
      <c r="M3859" t="n">
        <v>20.27</v>
      </c>
      <c r="N3859">
        <f>(M3859-F3859)</f>
        <v/>
      </c>
    </row>
    <row r="3860" ht="29" customHeight="1">
      <c r="A3860" s="22" t="inlineStr">
        <is>
          <t>00001570</t>
        </is>
      </c>
      <c r="B3860" s="23" t="inlineStr">
        <is>
          <t>TERMINAL A COMPRESSAO EM COBRE ESTANHADO PARA CABO 2,5 MM2, 1 FURO E 1 COMPRESSAO, PARA PARAFUSO DE FIXACAO M5</t>
        </is>
      </c>
      <c r="C3860" s="22" t="inlineStr">
        <is>
          <t>SINAPI</t>
        </is>
      </c>
      <c r="D3860" s="22" t="inlineStr">
        <is>
          <t>UN</t>
        </is>
      </c>
      <c r="E3860" s="63" t="n">
        <v>10</v>
      </c>
      <c r="F3860" s="64">
        <f>ROUND(M3860*FATOR, 2)</f>
        <v/>
      </c>
      <c r="G3860" s="64">
        <f>TRUNC(TRUNC(E3860,8)*F3860,2)</f>
        <v/>
      </c>
      <c r="L3860" t="n">
        <v>10</v>
      </c>
      <c r="M3860" t="n">
        <v>1.05</v>
      </c>
      <c r="N3860">
        <f>(M3860-F3860)</f>
        <v/>
      </c>
    </row>
    <row r="3861" ht="15" customHeight="1">
      <c r="A3861" s="2" t="inlineStr"/>
      <c r="B3861" s="2" t="inlineStr"/>
      <c r="C3861" s="2" t="inlineStr"/>
      <c r="D3861" s="2" t="inlineStr"/>
      <c r="E3861" s="26" t="inlineStr">
        <is>
          <t>TOTAL Material:</t>
        </is>
      </c>
      <c r="F3861" s="56" t="n"/>
      <c r="G3861" s="65">
        <f>SUM(G3856:G3860)</f>
        <v/>
      </c>
    </row>
    <row r="3862" ht="15" customHeight="1">
      <c r="A3862" s="20" t="inlineStr">
        <is>
          <t>Mão de Obra com Encargos Complementares</t>
        </is>
      </c>
      <c r="B3862" s="56" t="n"/>
      <c r="C3862" s="21" t="inlineStr">
        <is>
          <t>FONTE</t>
        </is>
      </c>
      <c r="D3862" s="21" t="inlineStr">
        <is>
          <t>UNID</t>
        </is>
      </c>
      <c r="E3862" s="21" t="inlineStr">
        <is>
          <t>COEFICIENTE</t>
        </is>
      </c>
      <c r="F3862" s="21" t="inlineStr">
        <is>
          <t>PREÇO UNITÁRIO</t>
        </is>
      </c>
      <c r="G3862" s="21" t="inlineStr">
        <is>
          <t>TOTAL</t>
        </is>
      </c>
    </row>
    <row r="3863" ht="21" customHeight="1">
      <c r="A3863" s="22" t="inlineStr">
        <is>
          <t>88243</t>
        </is>
      </c>
      <c r="B3863" s="23" t="inlineStr">
        <is>
          <t>AJUDANTE ESPECIALIZADO COM ENCARGOS COMPLEMENTARES</t>
        </is>
      </c>
      <c r="C3863" s="22" t="inlineStr">
        <is>
          <t>SINAPI</t>
        </is>
      </c>
      <c r="D3863" s="22" t="inlineStr">
        <is>
          <t>H</t>
        </is>
      </c>
      <c r="E3863" s="63">
        <f>L3863*FATOR</f>
        <v/>
      </c>
      <c r="F3863" s="64">
        <f>'COMPOSICOES AUXILIARES'!G106</f>
        <v/>
      </c>
      <c r="G3863" s="64">
        <f>TRUNC(TRUNC(E3863,8)*F3863,2)</f>
        <v/>
      </c>
      <c r="L3863" t="n">
        <v>2.6335</v>
      </c>
      <c r="M3863" t="n">
        <v>23.76</v>
      </c>
      <c r="N3863">
        <f>(M3863-F3863)</f>
        <v/>
      </c>
    </row>
    <row r="3864" ht="21" customHeight="1">
      <c r="A3864" s="22" t="inlineStr">
        <is>
          <t>100308</t>
        </is>
      </c>
      <c r="B3864" s="23" t="inlineStr">
        <is>
          <t>MECÂNICO DE REFRIGERAÇÃO COM ENCARGOS COMPLEMENTARES</t>
        </is>
      </c>
      <c r="C3864" s="22" t="inlineStr">
        <is>
          <t>SINAPI</t>
        </is>
      </c>
      <c r="D3864" s="22" t="inlineStr">
        <is>
          <t>H</t>
        </is>
      </c>
      <c r="E3864" s="63">
        <f>L3864*FATOR</f>
        <v/>
      </c>
      <c r="F3864" s="64">
        <f>'COMPOSICOES AUXILIARES'!G2499</f>
        <v/>
      </c>
      <c r="G3864" s="64">
        <f>TRUNC(TRUNC(E3864,8)*F3864,2)</f>
        <v/>
      </c>
      <c r="L3864" t="n">
        <v>2.6335</v>
      </c>
      <c r="M3864" t="n">
        <v>30.46</v>
      </c>
      <c r="N3864">
        <f>(M3864-F3864)</f>
        <v/>
      </c>
    </row>
    <row r="3865" ht="18" customHeight="1">
      <c r="A3865" s="2" t="inlineStr"/>
      <c r="B3865" s="2" t="inlineStr"/>
      <c r="C3865" s="2" t="inlineStr"/>
      <c r="D3865" s="2" t="inlineStr"/>
      <c r="E3865" s="26" t="inlineStr">
        <is>
          <t>TOTAL Mão de Obra com Encargos Complementares:</t>
        </is>
      </c>
      <c r="F3865" s="56" t="n"/>
      <c r="G3865" s="65">
        <f>SUM(G3863:G3864)</f>
        <v/>
      </c>
    </row>
    <row r="3866" ht="15" customHeight="1">
      <c r="A3866" s="2" t="inlineStr"/>
      <c r="B3866" s="2" t="inlineStr"/>
      <c r="C3866" s="2" t="inlineStr"/>
      <c r="D3866" s="2" t="inlineStr"/>
      <c r="E3866" s="28" t="inlineStr">
        <is>
          <t>VALOR:</t>
        </is>
      </c>
      <c r="F3866" s="56" t="n"/>
      <c r="G3866" s="66">
        <f>SUM(G3865,G3861,G3854)</f>
        <v/>
      </c>
    </row>
    <row r="3867" ht="15" customHeight="1">
      <c r="A3867" s="2" t="inlineStr"/>
      <c r="B3867" s="2" t="inlineStr"/>
      <c r="C3867" s="2" t="inlineStr"/>
      <c r="D3867" s="2" t="inlineStr"/>
      <c r="E3867" s="28" t="inlineStr">
        <is>
          <t>VALOR BDI (23.08%):</t>
        </is>
      </c>
      <c r="F3867" s="56" t="n"/>
      <c r="G3867" s="66">
        <f>ROUNDDOWN(G3866*BDI,2)</f>
        <v/>
      </c>
    </row>
    <row r="3868" ht="15" customHeight="1">
      <c r="A3868" s="2" t="inlineStr"/>
      <c r="B3868" s="2" t="inlineStr"/>
      <c r="C3868" s="2" t="inlineStr"/>
      <c r="D3868" s="2" t="inlineStr"/>
      <c r="E3868" s="28" t="inlineStr">
        <is>
          <t>VALOR COM BDI:</t>
        </is>
      </c>
      <c r="F3868" s="56" t="n"/>
      <c r="G3868" s="66">
        <f>G3867 + G3866</f>
        <v/>
      </c>
    </row>
    <row r="3869" ht="10" customHeight="1">
      <c r="A3869" s="2" t="inlineStr"/>
      <c r="B3869" s="2" t="inlineStr"/>
      <c r="C3869" s="2" t="inlineStr"/>
      <c r="D3869" s="2" t="inlineStr"/>
      <c r="E3869" s="18" t="inlineStr"/>
    </row>
    <row r="3870" ht="20" customHeight="1">
      <c r="A3870" s="19" t="inlineStr">
        <is>
          <t>10.1.5.1. ​378 PRÓPRIO​ CAIXA DE FILTRAGEM COM FILTRO G4+M5 FILBOX RED 150 - FORNECIMENTO EINSTALAÇÃO​ (UN)</t>
        </is>
      </c>
      <c r="B3870" s="55" t="n"/>
      <c r="C3870" s="55" t="n"/>
      <c r="D3870" s="55" t="n"/>
      <c r="E3870" s="55" t="n"/>
      <c r="F3870" s="55" t="n"/>
      <c r="G3870" s="56" t="n"/>
    </row>
    <row r="3871" ht="15" customHeight="1">
      <c r="A3871" s="20" t="inlineStr">
        <is>
          <t>Material</t>
        </is>
      </c>
      <c r="B3871" s="56" t="n"/>
      <c r="C3871" s="21" t="inlineStr">
        <is>
          <t>FONTE</t>
        </is>
      </c>
      <c r="D3871" s="21" t="inlineStr">
        <is>
          <t>UNID</t>
        </is>
      </c>
      <c r="E3871" s="21" t="inlineStr">
        <is>
          <t>COEFICIENTE</t>
        </is>
      </c>
      <c r="F3871" s="21" t="inlineStr">
        <is>
          <t>PREÇO UNITÁRIO</t>
        </is>
      </c>
      <c r="G3871" s="21" t="inlineStr">
        <is>
          <t>TOTAL</t>
        </is>
      </c>
    </row>
    <row r="3872" ht="21" customHeight="1">
      <c r="A3872" s="22" t="inlineStr">
        <is>
          <t>002837 SBC</t>
        </is>
      </c>
      <c r="B3872" s="23" t="inlineStr">
        <is>
          <t>CAIXA DE FILTRAGEM NOVABOX-125 (FILTRO G4+N5)+GRELHAS+DUTO.</t>
        </is>
      </c>
      <c r="C3872" s="22" t="inlineStr">
        <is>
          <t xml:space="preserve">Composições </t>
        </is>
      </c>
      <c r="D3872" s="22" t="inlineStr">
        <is>
          <t>UN</t>
        </is>
      </c>
      <c r="E3872" s="63" t="n">
        <v>1</v>
      </c>
      <c r="F3872" s="64">
        <f>ROUND(M3872*FATOR, 2)</f>
        <v/>
      </c>
      <c r="G3872" s="64">
        <f>ROUND(ROUND(E3872,8)*F3872,2)</f>
        <v/>
      </c>
      <c r="L3872" t="n">
        <v>1</v>
      </c>
      <c r="M3872" t="n">
        <v>989.09</v>
      </c>
      <c r="N3872">
        <f>(M3872-F3872)</f>
        <v/>
      </c>
    </row>
    <row r="3873" ht="15" customHeight="1">
      <c r="A3873" s="2" t="inlineStr"/>
      <c r="B3873" s="2" t="inlineStr"/>
      <c r="C3873" s="2" t="inlineStr"/>
      <c r="D3873" s="2" t="inlineStr"/>
      <c r="E3873" s="26" t="inlineStr">
        <is>
          <t>TOTAL Material:</t>
        </is>
      </c>
      <c r="F3873" s="56" t="n"/>
      <c r="G3873" s="65">
        <f>SUM(G3872:G3872)</f>
        <v/>
      </c>
    </row>
    <row r="3874" ht="15" customHeight="1">
      <c r="A3874" s="20" t="inlineStr">
        <is>
          <t>Mão de Obra com Encargos Complementares</t>
        </is>
      </c>
      <c r="B3874" s="56" t="n"/>
      <c r="C3874" s="21" t="inlineStr">
        <is>
          <t>FONTE</t>
        </is>
      </c>
      <c r="D3874" s="21" t="inlineStr">
        <is>
          <t>UNID</t>
        </is>
      </c>
      <c r="E3874" s="21" t="inlineStr">
        <is>
          <t>COEFICIENTE</t>
        </is>
      </c>
      <c r="F3874" s="21" t="inlineStr">
        <is>
          <t>PREÇO UNITÁRIO</t>
        </is>
      </c>
      <c r="G3874" s="21" t="inlineStr">
        <is>
          <t>TOTAL</t>
        </is>
      </c>
    </row>
    <row r="3875" ht="21" customHeight="1">
      <c r="A3875" s="22" t="inlineStr">
        <is>
          <t>88243</t>
        </is>
      </c>
      <c r="B3875" s="23" t="inlineStr">
        <is>
          <t>AJUDANTE ESPECIALIZADO COM ENCARGOS COMPLEMENTARES</t>
        </is>
      </c>
      <c r="C3875" s="22" t="inlineStr">
        <is>
          <t>SINAPI</t>
        </is>
      </c>
      <c r="D3875" s="22" t="inlineStr">
        <is>
          <t>H</t>
        </is>
      </c>
      <c r="E3875" s="63">
        <f>L3875*FATOR</f>
        <v/>
      </c>
      <c r="F3875" s="64">
        <f>'COMPOSICOES AUXILIARES'!G106</f>
        <v/>
      </c>
      <c r="G3875" s="64">
        <f>ROUND(ROUND(E3875,8)*F3875,2)</f>
        <v/>
      </c>
      <c r="L3875" t="n">
        <v>1.279</v>
      </c>
      <c r="M3875" t="n">
        <v>23.76</v>
      </c>
      <c r="N3875">
        <f>(M3875-F3875)</f>
        <v/>
      </c>
    </row>
    <row r="3876" ht="21" customHeight="1">
      <c r="A3876" s="22" t="inlineStr">
        <is>
          <t>100308</t>
        </is>
      </c>
      <c r="B3876" s="23" t="inlineStr">
        <is>
          <t>MECÂNICO DE REFRIGERAÇÃO COM ENCARGOS COMPLEMENTARES</t>
        </is>
      </c>
      <c r="C3876" s="22" t="inlineStr">
        <is>
          <t>SINAPI</t>
        </is>
      </c>
      <c r="D3876" s="22" t="inlineStr">
        <is>
          <t>H</t>
        </is>
      </c>
      <c r="E3876" s="63">
        <f>L3876*FATOR</f>
        <v/>
      </c>
      <c r="F3876" s="64">
        <f>'COMPOSICOES AUXILIARES'!G2499</f>
        <v/>
      </c>
      <c r="G3876" s="64">
        <f>ROUND(ROUND(E3876,8)*F3876,2)</f>
        <v/>
      </c>
      <c r="L3876" t="n">
        <v>1.279</v>
      </c>
      <c r="M3876" t="n">
        <v>30.46</v>
      </c>
      <c r="N3876">
        <f>(M3876-F3876)</f>
        <v/>
      </c>
    </row>
    <row r="3877" ht="18" customHeight="1">
      <c r="A3877" s="2" t="inlineStr"/>
      <c r="B3877" s="2" t="inlineStr"/>
      <c r="C3877" s="2" t="inlineStr"/>
      <c r="D3877" s="2" t="inlineStr"/>
      <c r="E3877" s="26" t="inlineStr">
        <is>
          <t>TOTAL Mão de Obra com Encargos Complementares:</t>
        </is>
      </c>
      <c r="F3877" s="56" t="n"/>
      <c r="G3877" s="65">
        <f>SUM(G3875:G3876)</f>
        <v/>
      </c>
    </row>
    <row r="3878" ht="15" customHeight="1">
      <c r="A3878" s="2" t="inlineStr"/>
      <c r="B3878" s="2" t="inlineStr"/>
      <c r="C3878" s="2" t="inlineStr"/>
      <c r="D3878" s="2" t="inlineStr"/>
      <c r="E3878" s="28" t="inlineStr">
        <is>
          <t>VALOR:</t>
        </is>
      </c>
      <c r="F3878" s="56" t="n"/>
      <c r="G3878" s="66">
        <f>SUM(G3873,G3877)</f>
        <v/>
      </c>
    </row>
    <row r="3879" ht="15" customHeight="1">
      <c r="A3879" s="2" t="inlineStr"/>
      <c r="B3879" s="2" t="inlineStr"/>
      <c r="C3879" s="2" t="inlineStr"/>
      <c r="D3879" s="2" t="inlineStr"/>
      <c r="E3879" s="28" t="inlineStr">
        <is>
          <t>VALOR BDI (23.08%):</t>
        </is>
      </c>
      <c r="F3879" s="56" t="n"/>
      <c r="G3879" s="66">
        <f>ROUNDDOWN(G3878*BDI,2)</f>
        <v/>
      </c>
    </row>
    <row r="3880" ht="15" customHeight="1">
      <c r="A3880" s="2" t="inlineStr"/>
      <c r="B3880" s="2" t="inlineStr"/>
      <c r="C3880" s="2" t="inlineStr"/>
      <c r="D3880" s="2" t="inlineStr"/>
      <c r="E3880" s="28" t="inlineStr">
        <is>
          <t>VALOR COM BDI:</t>
        </is>
      </c>
      <c r="F3880" s="56" t="n"/>
      <c r="G3880" s="66">
        <f>G3879 + G3878</f>
        <v/>
      </c>
    </row>
    <row r="3881" ht="10" customHeight="1">
      <c r="A3881" s="2" t="inlineStr"/>
      <c r="B3881" s="2" t="inlineStr"/>
      <c r="C3881" s="2" t="inlineStr"/>
      <c r="D3881" s="2" t="inlineStr"/>
      <c r="E3881" s="18" t="inlineStr"/>
    </row>
    <row r="3882" ht="20" customHeight="1">
      <c r="A3882" s="19" t="inlineStr">
        <is>
          <t>10.1.6.1. ​380 PRÓPRIO​ GRELHA DE EXAUSTÃO E/OU INSUFLAMENTO E/OU VENTILAÇÃO 225 X125 - FORNECIMENTO E INSTALAÇÃO​ (UN)</t>
        </is>
      </c>
      <c r="B3882" s="55" t="n"/>
      <c r="C3882" s="55" t="n"/>
      <c r="D3882" s="55" t="n"/>
      <c r="E3882" s="55" t="n"/>
      <c r="F3882" s="55" t="n"/>
      <c r="G3882" s="56" t="n"/>
    </row>
    <row r="3883" ht="15" customHeight="1">
      <c r="A3883" s="20" t="inlineStr">
        <is>
          <t>Mão de Obra com Encargos Complementares</t>
        </is>
      </c>
      <c r="B3883" s="56" t="n"/>
      <c r="C3883" s="21" t="inlineStr">
        <is>
          <t>FONTE</t>
        </is>
      </c>
      <c r="D3883" s="21" t="inlineStr">
        <is>
          <t>UNID</t>
        </is>
      </c>
      <c r="E3883" s="21" t="inlineStr">
        <is>
          <t>COEFICIENTE</t>
        </is>
      </c>
      <c r="F3883" s="21" t="inlineStr">
        <is>
          <t>PREÇO UNITÁRIO</t>
        </is>
      </c>
      <c r="G3883" s="21" t="inlineStr">
        <is>
          <t>TOTAL</t>
        </is>
      </c>
    </row>
    <row r="3884" ht="21" customHeight="1">
      <c r="A3884" s="22" t="inlineStr">
        <is>
          <t>88275</t>
        </is>
      </c>
      <c r="B3884" s="23" t="inlineStr">
        <is>
          <t>MECÃNICO DE EQUIPAMENTOS PESADOS COM ENCARGOS COMPLEMENTARES</t>
        </is>
      </c>
      <c r="C3884" s="22" t="inlineStr">
        <is>
          <t>SINAPI</t>
        </is>
      </c>
      <c r="D3884" s="22" t="inlineStr">
        <is>
          <t>H</t>
        </is>
      </c>
      <c r="E3884" s="63">
        <f>L3884*FATOR</f>
        <v/>
      </c>
      <c r="F3884" s="64">
        <f>'COMPOSICOES AUXILIARES'!G2518</f>
        <v/>
      </c>
      <c r="G3884" s="64">
        <f>ROUND(ROUND(E3884,8)*F3884,2)</f>
        <v/>
      </c>
      <c r="L3884" t="n">
        <v>0.2</v>
      </c>
      <c r="M3884" t="n">
        <v>40.73</v>
      </c>
      <c r="N3884">
        <f>(M3884-F3884)</f>
        <v/>
      </c>
    </row>
    <row r="3885" ht="18" customHeight="1">
      <c r="A3885" s="2" t="inlineStr"/>
      <c r="B3885" s="2" t="inlineStr"/>
      <c r="C3885" s="2" t="inlineStr"/>
      <c r="D3885" s="2" t="inlineStr"/>
      <c r="E3885" s="26" t="inlineStr">
        <is>
          <t>TOTAL Mão de Obra com Encargos Complementares:</t>
        </is>
      </c>
      <c r="F3885" s="56" t="n"/>
      <c r="G3885" s="65">
        <f>SUM(G3884:G3884)</f>
        <v/>
      </c>
    </row>
    <row r="3886" ht="15" customHeight="1">
      <c r="A3886" s="2" t="inlineStr"/>
      <c r="B3886" s="2" t="inlineStr"/>
      <c r="C3886" s="2" t="inlineStr"/>
      <c r="D3886" s="2" t="inlineStr"/>
      <c r="E3886" s="28" t="inlineStr">
        <is>
          <t>VALOR:</t>
        </is>
      </c>
      <c r="F3886" s="56" t="n"/>
      <c r="G3886" s="66">
        <f>SUM(G3885)</f>
        <v/>
      </c>
    </row>
    <row r="3887" ht="15" customHeight="1">
      <c r="A3887" s="2" t="inlineStr"/>
      <c r="B3887" s="2" t="inlineStr"/>
      <c r="C3887" s="2" t="inlineStr"/>
      <c r="D3887" s="2" t="inlineStr"/>
      <c r="E3887" s="28" t="inlineStr">
        <is>
          <t>VALOR BDI (23.08%):</t>
        </is>
      </c>
      <c r="F3887" s="56" t="n"/>
      <c r="G3887" s="66">
        <f>ROUNDDOWN(G3886*BDI,2)</f>
        <v/>
      </c>
    </row>
    <row r="3888" ht="15" customHeight="1">
      <c r="A3888" s="2" t="inlineStr"/>
      <c r="B3888" s="2" t="inlineStr"/>
      <c r="C3888" s="2" t="inlineStr"/>
      <c r="D3888" s="2" t="inlineStr"/>
      <c r="E3888" s="28" t="inlineStr">
        <is>
          <t>VALOR COM BDI:</t>
        </is>
      </c>
      <c r="F3888" s="56" t="n"/>
      <c r="G3888" s="66">
        <f>G3887 + G3886</f>
        <v/>
      </c>
    </row>
    <row r="3889" ht="10" customHeight="1">
      <c r="A3889" s="2" t="inlineStr"/>
      <c r="B3889" s="2" t="inlineStr"/>
      <c r="C3889" s="2" t="inlineStr"/>
      <c r="D3889" s="2" t="inlineStr"/>
      <c r="E3889" s="18" t="inlineStr"/>
    </row>
    <row r="3890" ht="20" customHeight="1">
      <c r="A3890" s="19" t="inlineStr">
        <is>
          <t>10.1.6.2. ​381 PRÓPRIO​ GRELHA DE EXAUSTÃO E/OU INSUFLAMENTO E/OU VENTILAÇÃO 325 X125 - FORNECIMENTO E INSTALAÇÃO​ (UN)</t>
        </is>
      </c>
      <c r="B3890" s="55" t="n"/>
      <c r="C3890" s="55" t="n"/>
      <c r="D3890" s="55" t="n"/>
      <c r="E3890" s="55" t="n"/>
      <c r="F3890" s="55" t="n"/>
      <c r="G3890" s="56" t="n"/>
    </row>
    <row r="3891" ht="15" customHeight="1">
      <c r="A3891" s="20" t="inlineStr">
        <is>
          <t>Mão de Obra com Encargos Complementares</t>
        </is>
      </c>
      <c r="B3891" s="56" t="n"/>
      <c r="C3891" s="21" t="inlineStr">
        <is>
          <t>FONTE</t>
        </is>
      </c>
      <c r="D3891" s="21" t="inlineStr">
        <is>
          <t>UNID</t>
        </is>
      </c>
      <c r="E3891" s="21" t="inlineStr">
        <is>
          <t>COEFICIENTE</t>
        </is>
      </c>
      <c r="F3891" s="21" t="inlineStr">
        <is>
          <t>PREÇO UNITÁRIO</t>
        </is>
      </c>
      <c r="G3891" s="21" t="inlineStr">
        <is>
          <t>TOTAL</t>
        </is>
      </c>
    </row>
    <row r="3892" ht="21" customHeight="1">
      <c r="A3892" s="22" t="inlineStr">
        <is>
          <t>88243</t>
        </is>
      </c>
      <c r="B3892" s="23" t="inlineStr">
        <is>
          <t>AJUDANTE ESPECIALIZADO COM ENCARGOS COMPLEMENTARES</t>
        </is>
      </c>
      <c r="C3892" s="22" t="inlineStr">
        <is>
          <t>SINAPI</t>
        </is>
      </c>
      <c r="D3892" s="22" t="inlineStr">
        <is>
          <t>H</t>
        </is>
      </c>
      <c r="E3892" s="63">
        <f>L3892*FATOR</f>
        <v/>
      </c>
      <c r="F3892" s="64">
        <f>'COMPOSICOES AUXILIARES'!G106</f>
        <v/>
      </c>
      <c r="G3892" s="64">
        <f>ROUND(ROUND(E3892,8)*F3892,2)</f>
        <v/>
      </c>
      <c r="L3892" t="n">
        <v>1.5</v>
      </c>
      <c r="M3892" t="n">
        <v>23.76</v>
      </c>
      <c r="N3892">
        <f>(M3892-F3892)</f>
        <v/>
      </c>
    </row>
    <row r="3893" ht="21" customHeight="1">
      <c r="A3893" s="22" t="inlineStr">
        <is>
          <t>88275</t>
        </is>
      </c>
      <c r="B3893" s="23" t="inlineStr">
        <is>
          <t>MECÃNICO DE EQUIPAMENTOS PESADOS COM ENCARGOS COMPLEMENTARES</t>
        </is>
      </c>
      <c r="C3893" s="22" t="inlineStr">
        <is>
          <t>SINAPI</t>
        </is>
      </c>
      <c r="D3893" s="22" t="inlineStr">
        <is>
          <t>H</t>
        </is>
      </c>
      <c r="E3893" s="63">
        <f>L3893*FATOR</f>
        <v/>
      </c>
      <c r="F3893" s="64">
        <f>'COMPOSICOES AUXILIARES'!G2518</f>
        <v/>
      </c>
      <c r="G3893" s="64">
        <f>ROUND(ROUND(E3893,8)*F3893,2)</f>
        <v/>
      </c>
      <c r="L3893" t="n">
        <v>1.5</v>
      </c>
      <c r="M3893" t="n">
        <v>40.73</v>
      </c>
      <c r="N3893">
        <f>(M3893-F3893)</f>
        <v/>
      </c>
    </row>
    <row r="3894" ht="18" customHeight="1">
      <c r="A3894" s="2" t="inlineStr"/>
      <c r="B3894" s="2" t="inlineStr"/>
      <c r="C3894" s="2" t="inlineStr"/>
      <c r="D3894" s="2" t="inlineStr"/>
      <c r="E3894" s="26" t="inlineStr">
        <is>
          <t>TOTAL Mão de Obra com Encargos Complementares:</t>
        </is>
      </c>
      <c r="F3894" s="56" t="n"/>
      <c r="G3894" s="65">
        <f>SUM(G3892:G3893)</f>
        <v/>
      </c>
    </row>
    <row r="3895" ht="15" customHeight="1">
      <c r="A3895" s="2" t="inlineStr"/>
      <c r="B3895" s="2" t="inlineStr"/>
      <c r="C3895" s="2" t="inlineStr"/>
      <c r="D3895" s="2" t="inlineStr"/>
      <c r="E3895" s="28" t="inlineStr">
        <is>
          <t>VALOR:</t>
        </is>
      </c>
      <c r="F3895" s="56" t="n"/>
      <c r="G3895" s="66">
        <f>SUM(G3894)</f>
        <v/>
      </c>
    </row>
    <row r="3896" ht="15" customHeight="1">
      <c r="A3896" s="2" t="inlineStr"/>
      <c r="B3896" s="2" t="inlineStr"/>
      <c r="C3896" s="2" t="inlineStr"/>
      <c r="D3896" s="2" t="inlineStr"/>
      <c r="E3896" s="28" t="inlineStr">
        <is>
          <t>VALOR BDI (23.08%):</t>
        </is>
      </c>
      <c r="F3896" s="56" t="n"/>
      <c r="G3896" s="66">
        <f>ROUNDDOWN(G3895*BDI,2)</f>
        <v/>
      </c>
    </row>
    <row r="3897" ht="15" customHeight="1">
      <c r="A3897" s="2" t="inlineStr"/>
      <c r="B3897" s="2" t="inlineStr"/>
      <c r="C3897" s="2" t="inlineStr"/>
      <c r="D3897" s="2" t="inlineStr"/>
      <c r="E3897" s="28" t="inlineStr">
        <is>
          <t>VALOR COM BDI:</t>
        </is>
      </c>
      <c r="F3897" s="56" t="n"/>
      <c r="G3897" s="66">
        <f>G3896 + G3895</f>
        <v/>
      </c>
    </row>
    <row r="3898" ht="10" customHeight="1">
      <c r="A3898" s="2" t="inlineStr"/>
      <c r="B3898" s="2" t="inlineStr"/>
      <c r="C3898" s="2" t="inlineStr"/>
      <c r="D3898" s="2" t="inlineStr"/>
      <c r="E3898" s="18" t="inlineStr"/>
    </row>
    <row r="3899" ht="20" customHeight="1">
      <c r="A3899" s="19" t="inlineStr">
        <is>
          <t>10.1.6.3. ​421 PRÓPRIO​ GRELHA DE EXAUSTÃO E/OU INSUFLAMENTO E/OU VENTILAÇÃO 525 X125 - FORNECIMENTO E INSTALAÇÃO​ (UN)</t>
        </is>
      </c>
      <c r="B3899" s="55" t="n"/>
      <c r="C3899" s="55" t="n"/>
      <c r="D3899" s="55" t="n"/>
      <c r="E3899" s="55" t="n"/>
      <c r="F3899" s="55" t="n"/>
      <c r="G3899" s="56" t="n"/>
    </row>
    <row r="3900" ht="15" customHeight="1">
      <c r="A3900" s="20" t="inlineStr">
        <is>
          <t>Mão de Obra com Encargos Complementares</t>
        </is>
      </c>
      <c r="B3900" s="56" t="n"/>
      <c r="C3900" s="21" t="inlineStr">
        <is>
          <t>FONTE</t>
        </is>
      </c>
      <c r="D3900" s="21" t="inlineStr">
        <is>
          <t>UNID</t>
        </is>
      </c>
      <c r="E3900" s="21" t="inlineStr">
        <is>
          <t>COEFICIENTE</t>
        </is>
      </c>
      <c r="F3900" s="21" t="inlineStr">
        <is>
          <t>PREÇO UNITÁRIO</t>
        </is>
      </c>
      <c r="G3900" s="21" t="inlineStr">
        <is>
          <t>TOTAL</t>
        </is>
      </c>
    </row>
    <row r="3901" ht="21" customHeight="1">
      <c r="A3901" s="22" t="inlineStr">
        <is>
          <t>88243</t>
        </is>
      </c>
      <c r="B3901" s="23" t="inlineStr">
        <is>
          <t>AJUDANTE ESPECIALIZADO COM ENCARGOS COMPLEMENTARES</t>
        </is>
      </c>
      <c r="C3901" s="22" t="inlineStr">
        <is>
          <t>SINAPI</t>
        </is>
      </c>
      <c r="D3901" s="22" t="inlineStr">
        <is>
          <t>H</t>
        </is>
      </c>
      <c r="E3901" s="63">
        <f>L3901*FATOR</f>
        <v/>
      </c>
      <c r="F3901" s="64">
        <f>'COMPOSICOES AUXILIARES'!G106</f>
        <v/>
      </c>
      <c r="G3901" s="64">
        <f>ROUND(ROUND(E3901,8)*F3901,2)</f>
        <v/>
      </c>
      <c r="L3901" t="n">
        <v>1.5</v>
      </c>
      <c r="M3901" t="n">
        <v>23.76</v>
      </c>
      <c r="N3901">
        <f>(M3901-F3901)</f>
        <v/>
      </c>
    </row>
    <row r="3902" ht="21" customHeight="1">
      <c r="A3902" s="22" t="inlineStr">
        <is>
          <t>88275</t>
        </is>
      </c>
      <c r="B3902" s="23" t="inlineStr">
        <is>
          <t>MECÃNICO DE EQUIPAMENTOS PESADOS COM ENCARGOS COMPLEMENTARES</t>
        </is>
      </c>
      <c r="C3902" s="22" t="inlineStr">
        <is>
          <t>SINAPI</t>
        </is>
      </c>
      <c r="D3902" s="22" t="inlineStr">
        <is>
          <t>H</t>
        </is>
      </c>
      <c r="E3902" s="63">
        <f>L3902*FATOR</f>
        <v/>
      </c>
      <c r="F3902" s="64">
        <f>'COMPOSICOES AUXILIARES'!G2518</f>
        <v/>
      </c>
      <c r="G3902" s="64">
        <f>ROUND(ROUND(E3902,8)*F3902,2)</f>
        <v/>
      </c>
      <c r="L3902" t="n">
        <v>1.5</v>
      </c>
      <c r="M3902" t="n">
        <v>40.73</v>
      </c>
      <c r="N3902">
        <f>(M3902-F3902)</f>
        <v/>
      </c>
    </row>
    <row r="3903" ht="18" customHeight="1">
      <c r="A3903" s="2" t="inlineStr"/>
      <c r="B3903" s="2" t="inlineStr"/>
      <c r="C3903" s="2" t="inlineStr"/>
      <c r="D3903" s="2" t="inlineStr"/>
      <c r="E3903" s="26" t="inlineStr">
        <is>
          <t>TOTAL Mão de Obra com Encargos Complementares:</t>
        </is>
      </c>
      <c r="F3903" s="56" t="n"/>
      <c r="G3903" s="65">
        <f>SUM(G3901:G3902)</f>
        <v/>
      </c>
    </row>
    <row r="3904" ht="15" customHeight="1">
      <c r="A3904" s="2" t="inlineStr"/>
      <c r="B3904" s="2" t="inlineStr"/>
      <c r="C3904" s="2" t="inlineStr"/>
      <c r="D3904" s="2" t="inlineStr"/>
      <c r="E3904" s="28" t="inlineStr">
        <is>
          <t>VALOR:</t>
        </is>
      </c>
      <c r="F3904" s="56" t="n"/>
      <c r="G3904" s="66">
        <f>SUM(G3903)</f>
        <v/>
      </c>
    </row>
    <row r="3905" ht="15" customHeight="1">
      <c r="A3905" s="2" t="inlineStr"/>
      <c r="B3905" s="2" t="inlineStr"/>
      <c r="C3905" s="2" t="inlineStr"/>
      <c r="D3905" s="2" t="inlineStr"/>
      <c r="E3905" s="28" t="inlineStr">
        <is>
          <t>VALOR BDI (23.08%):</t>
        </is>
      </c>
      <c r="F3905" s="56" t="n"/>
      <c r="G3905" s="66">
        <f>ROUNDDOWN(G3904*BDI,2)</f>
        <v/>
      </c>
    </row>
    <row r="3906" ht="15" customHeight="1">
      <c r="A3906" s="2" t="inlineStr"/>
      <c r="B3906" s="2" t="inlineStr"/>
      <c r="C3906" s="2" t="inlineStr"/>
      <c r="D3906" s="2" t="inlineStr"/>
      <c r="E3906" s="28" t="inlineStr">
        <is>
          <t>VALOR COM BDI:</t>
        </is>
      </c>
      <c r="F3906" s="56" t="n"/>
      <c r="G3906" s="66">
        <f>G3905 + G3904</f>
        <v/>
      </c>
    </row>
    <row r="3907" ht="10" customHeight="1">
      <c r="A3907" s="2" t="inlineStr"/>
      <c r="B3907" s="2" t="inlineStr"/>
      <c r="C3907" s="2" t="inlineStr"/>
      <c r="D3907" s="2" t="inlineStr"/>
      <c r="E3907" s="18" t="inlineStr"/>
    </row>
    <row r="3908" ht="20" customHeight="1">
      <c r="A3908" s="19" t="inlineStr">
        <is>
          <t>10.2.1.1. ​104166​ TUBO PVC, SÉRIE R, ÁGUA PLUVIAL, DN 150 MM, FORNECIDO E INSTALADO EM RAMALDE ENCAMINHAMENTO. AF_06/2022​ (M)</t>
        </is>
      </c>
      <c r="B3908" s="55" t="n"/>
      <c r="C3908" s="55" t="n"/>
      <c r="D3908" s="55" t="n"/>
      <c r="E3908" s="55" t="n"/>
      <c r="F3908" s="55" t="n"/>
      <c r="G3908" s="56" t="n"/>
    </row>
    <row r="3909" ht="15" customHeight="1">
      <c r="A3909" s="20" t="inlineStr">
        <is>
          <t>Material</t>
        </is>
      </c>
      <c r="B3909" s="56" t="n"/>
      <c r="C3909" s="21" t="inlineStr">
        <is>
          <t>FONTE</t>
        </is>
      </c>
      <c r="D3909" s="21" t="inlineStr">
        <is>
          <t>UNID</t>
        </is>
      </c>
      <c r="E3909" s="21" t="inlineStr">
        <is>
          <t>COEFICIENTE</t>
        </is>
      </c>
      <c r="F3909" s="21" t="inlineStr">
        <is>
          <t>PREÇO UNITÁRIO</t>
        </is>
      </c>
      <c r="G3909" s="21" t="inlineStr">
        <is>
          <t>TOTAL</t>
        </is>
      </c>
    </row>
    <row r="3910" ht="15" customHeight="1">
      <c r="A3910" s="22" t="inlineStr">
        <is>
          <t>00038383</t>
        </is>
      </c>
      <c r="B3910" s="23" t="inlineStr">
        <is>
          <t>LIXA D'AGUA EM FOLHA, COR PRETA, GRAO 100</t>
        </is>
      </c>
      <c r="C3910" s="22" t="inlineStr">
        <is>
          <t>SINAPI</t>
        </is>
      </c>
      <c r="D3910" s="22" t="inlineStr">
        <is>
          <t>UN</t>
        </is>
      </c>
      <c r="E3910" s="63" t="n">
        <v>0.0141</v>
      </c>
      <c r="F3910" s="64">
        <f>ROUND(M3910*FATOR, 2)</f>
        <v/>
      </c>
      <c r="G3910" s="64">
        <f>TRUNC(TRUNC(E3910,8)*F3910,2)</f>
        <v/>
      </c>
      <c r="L3910" t="n">
        <v>0.0141</v>
      </c>
      <c r="M3910" t="n">
        <v>1.65</v>
      </c>
      <c r="N3910">
        <f>(M3910-F3910)</f>
        <v/>
      </c>
    </row>
    <row r="3911" ht="21" customHeight="1">
      <c r="A3911" s="22" t="inlineStr">
        <is>
          <t>00009840</t>
        </is>
      </c>
      <c r="B3911" s="23" t="inlineStr">
        <is>
          <t>TUBO PVC, SERIE R, DN 150 MM, PARA ESGOTO OU AGUAS PLUVIAIS PREDIAL (NBR 5688)</t>
        </is>
      </c>
      <c r="C3911" s="22" t="inlineStr">
        <is>
          <t>SINAPI</t>
        </is>
      </c>
      <c r="D3911" s="22" t="inlineStr">
        <is>
          <t>M</t>
        </is>
      </c>
      <c r="E3911" s="63" t="n">
        <v>1.0353</v>
      </c>
      <c r="F3911" s="64">
        <f>ROUND(M3911*FATOR, 2)</f>
        <v/>
      </c>
      <c r="G3911" s="64">
        <f>TRUNC(TRUNC(E3911,8)*F3911,2)</f>
        <v/>
      </c>
      <c r="L3911" t="n">
        <v>1.0353</v>
      </c>
      <c r="M3911" t="n">
        <v>59.63</v>
      </c>
      <c r="N3911">
        <f>(M3911-F3911)</f>
        <v/>
      </c>
    </row>
    <row r="3912" ht="15" customHeight="1">
      <c r="A3912" s="2" t="inlineStr"/>
      <c r="B3912" s="2" t="inlineStr"/>
      <c r="C3912" s="2" t="inlineStr"/>
      <c r="D3912" s="2" t="inlineStr"/>
      <c r="E3912" s="26" t="inlineStr">
        <is>
          <t>TOTAL Material:</t>
        </is>
      </c>
      <c r="F3912" s="56" t="n"/>
      <c r="G3912" s="65">
        <f>SUM(G3910:G3911)</f>
        <v/>
      </c>
    </row>
    <row r="3913" ht="15" customHeight="1">
      <c r="A3913" s="20" t="inlineStr">
        <is>
          <t>Mão de Obra com Encargos Complementares</t>
        </is>
      </c>
      <c r="B3913" s="56" t="n"/>
      <c r="C3913" s="21" t="inlineStr">
        <is>
          <t>FONTE</t>
        </is>
      </c>
      <c r="D3913" s="21" t="inlineStr">
        <is>
          <t>UNID</t>
        </is>
      </c>
      <c r="E3913" s="21" t="inlineStr">
        <is>
          <t>COEFICIENTE</t>
        </is>
      </c>
      <c r="F3913" s="21" t="inlineStr">
        <is>
          <t>PREÇO UNITÁRIO</t>
        </is>
      </c>
      <c r="G3913" s="21" t="inlineStr">
        <is>
          <t>TOTAL</t>
        </is>
      </c>
    </row>
    <row r="3914" ht="21" customHeight="1">
      <c r="A3914" s="22" t="inlineStr">
        <is>
          <t>88248</t>
        </is>
      </c>
      <c r="B3914" s="23" t="inlineStr">
        <is>
          <t>AUXILIAR DE ENCANADOR OU BOMBEIRO HIDRÁULICO COM ENCARGOS COMPLEMENTARES</t>
        </is>
      </c>
      <c r="C3914" s="22" t="inlineStr">
        <is>
          <t>SINAPI</t>
        </is>
      </c>
      <c r="D3914" s="22" t="inlineStr">
        <is>
          <t>H</t>
        </is>
      </c>
      <c r="E3914" s="63">
        <f>L3914*FATOR</f>
        <v/>
      </c>
      <c r="F3914" s="64">
        <f>'COMPOSICOES AUXILIARES'!G524</f>
        <v/>
      </c>
      <c r="G3914" s="64">
        <f>TRUNC(TRUNC(E3914,8)*F3914,2)</f>
        <v/>
      </c>
      <c r="L3914" t="n">
        <v>0.2533</v>
      </c>
      <c r="M3914" t="n">
        <v>24.23</v>
      </c>
      <c r="N3914">
        <f>(M3914-F3914)</f>
        <v/>
      </c>
    </row>
    <row r="3915" ht="21" customHeight="1">
      <c r="A3915" s="22" t="inlineStr">
        <is>
          <t>88267</t>
        </is>
      </c>
      <c r="B3915" s="23" t="inlineStr">
        <is>
          <t>ENCANADOR OU BOMBEIRO HIDRÁULICO COM ENCARGOS COMPLEMENTARES</t>
        </is>
      </c>
      <c r="C3915" s="22" t="inlineStr">
        <is>
          <t>SINAPI</t>
        </is>
      </c>
      <c r="D3915" s="22" t="inlineStr">
        <is>
          <t>H</t>
        </is>
      </c>
      <c r="E3915" s="63">
        <f>L3915*FATOR</f>
        <v/>
      </c>
      <c r="F3915" s="64">
        <f>'COMPOSICOES AUXILIARES'!G524</f>
        <v/>
      </c>
      <c r="G3915" s="64">
        <f>TRUNC(TRUNC(E3915,8)*F3915,2)</f>
        <v/>
      </c>
      <c r="L3915" t="n">
        <v>0.2533</v>
      </c>
      <c r="M3915" t="n">
        <v>29.86</v>
      </c>
      <c r="N3915">
        <f>(M3915-F3915)</f>
        <v/>
      </c>
    </row>
    <row r="3916" ht="18" customHeight="1">
      <c r="A3916" s="2" t="inlineStr"/>
      <c r="B3916" s="2" t="inlineStr"/>
      <c r="C3916" s="2" t="inlineStr"/>
      <c r="D3916" s="2" t="inlineStr"/>
      <c r="E3916" s="26" t="inlineStr">
        <is>
          <t>TOTAL Mão de Obra com Encargos Complementares:</t>
        </is>
      </c>
      <c r="F3916" s="56" t="n"/>
      <c r="G3916" s="65">
        <f>SUM(G3914:G3915)</f>
        <v/>
      </c>
    </row>
    <row r="3917" ht="15" customHeight="1">
      <c r="A3917" s="2" t="inlineStr"/>
      <c r="B3917" s="2" t="inlineStr"/>
      <c r="C3917" s="2" t="inlineStr"/>
      <c r="D3917" s="2" t="inlineStr"/>
      <c r="E3917" s="28" t="inlineStr">
        <is>
          <t>VALOR:</t>
        </is>
      </c>
      <c r="F3917" s="56" t="n"/>
      <c r="G3917" s="66">
        <f>SUM(G3912,G3916)</f>
        <v/>
      </c>
    </row>
    <row r="3918" ht="15" customHeight="1">
      <c r="A3918" s="2" t="inlineStr"/>
      <c r="B3918" s="2" t="inlineStr"/>
      <c r="C3918" s="2" t="inlineStr"/>
      <c r="D3918" s="2" t="inlineStr"/>
      <c r="E3918" s="28" t="inlineStr">
        <is>
          <t>VALOR BDI (23.08%):</t>
        </is>
      </c>
      <c r="F3918" s="56" t="n"/>
      <c r="G3918" s="66">
        <f>ROUNDDOWN(G3917*BDI,2)</f>
        <v/>
      </c>
    </row>
    <row r="3919" ht="15" customHeight="1">
      <c r="A3919" s="2" t="inlineStr"/>
      <c r="B3919" s="2" t="inlineStr"/>
      <c r="C3919" s="2" t="inlineStr"/>
      <c r="D3919" s="2" t="inlineStr"/>
      <c r="E3919" s="28" t="inlineStr">
        <is>
          <t>VALOR COM BDI:</t>
        </is>
      </c>
      <c r="F3919" s="56" t="n"/>
      <c r="G3919" s="66">
        <f>G3918 + G3917</f>
        <v/>
      </c>
    </row>
    <row r="3920" ht="10" customHeight="1">
      <c r="A3920" s="2" t="inlineStr"/>
      <c r="B3920" s="2" t="inlineStr"/>
      <c r="C3920" s="2" t="inlineStr"/>
      <c r="D3920" s="2" t="inlineStr"/>
      <c r="E3920" s="18" t="inlineStr"/>
    </row>
    <row r="3921" ht="20" customHeight="1">
      <c r="A3921" s="19" t="inlineStr">
        <is>
          <t>10.2.1.2. ​89590​ JOELHO 90 GRAUS, PVC, SERIE R, ÁGUA PLUVIAL, DN 150 MM, JUNTA ELÁSTICA, FORNECIDO E INSTALADO EM CONDUTORES VERTICAIS DE ÁGUASPLUVIAIS. AF_06/2022​ (UN)</t>
        </is>
      </c>
      <c r="B3921" s="55" t="n"/>
      <c r="C3921" s="55" t="n"/>
      <c r="D3921" s="55" t="n"/>
      <c r="E3921" s="55" t="n"/>
      <c r="F3921" s="55" t="n"/>
      <c r="G3921" s="56" t="n"/>
    </row>
    <row r="3922" ht="15" customHeight="1">
      <c r="A3922" s="20" t="inlineStr">
        <is>
          <t>Material</t>
        </is>
      </c>
      <c r="B3922" s="56" t="n"/>
      <c r="C3922" s="21" t="inlineStr">
        <is>
          <t>FONTE</t>
        </is>
      </c>
      <c r="D3922" s="21" t="inlineStr">
        <is>
          <t>UNID</t>
        </is>
      </c>
      <c r="E3922" s="21" t="inlineStr">
        <is>
          <t>COEFICIENTE</t>
        </is>
      </c>
      <c r="F3922" s="21" t="inlineStr">
        <is>
          <t>PREÇO UNITÁRIO</t>
        </is>
      </c>
      <c r="G3922" s="21" t="inlineStr">
        <is>
          <t>TOTAL</t>
        </is>
      </c>
    </row>
    <row r="3923" ht="21" customHeight="1">
      <c r="A3923" s="22" t="inlineStr">
        <is>
          <t>00000300</t>
        </is>
      </c>
      <c r="B3923" s="23" t="inlineStr">
        <is>
          <t>ANEL BORRACHA, DN 150 MM, PARA TUBO SERIE REFORCADA ESGOTO PREDIAL</t>
        </is>
      </c>
      <c r="C3923" s="22" t="inlineStr">
        <is>
          <t>SINAPI</t>
        </is>
      </c>
      <c r="D3923" s="22" t="inlineStr">
        <is>
          <t>UN</t>
        </is>
      </c>
      <c r="E3923" s="63" t="n">
        <v>2</v>
      </c>
      <c r="F3923" s="64">
        <f>ROUND(M3923*FATOR, 2)</f>
        <v/>
      </c>
      <c r="G3923" s="64">
        <f>TRUNC(TRUNC(E3923,8)*F3923,2)</f>
        <v/>
      </c>
      <c r="L3923" t="n">
        <v>2</v>
      </c>
      <c r="M3923" t="n">
        <v>17.41</v>
      </c>
      <c r="N3923">
        <f>(M3923-F3923)</f>
        <v/>
      </c>
    </row>
    <row r="3924" ht="21" customHeight="1">
      <c r="A3924" s="22" t="inlineStr">
        <is>
          <t>00020158</t>
        </is>
      </c>
      <c r="B3924" s="23" t="inlineStr">
        <is>
          <t>JOELHO, PVC SERIE R, 90 GRAUS, DN 150 MM, PARA ESGOTO PREDIAL</t>
        </is>
      </c>
      <c r="C3924" s="22" t="inlineStr">
        <is>
          <t>SINAPI</t>
        </is>
      </c>
      <c r="D3924" s="22" t="inlineStr">
        <is>
          <t>UN</t>
        </is>
      </c>
      <c r="E3924" s="63" t="n">
        <v>1</v>
      </c>
      <c r="F3924" s="64">
        <f>ROUND(M3924*FATOR, 2)</f>
        <v/>
      </c>
      <c r="G3924" s="64">
        <f>TRUNC(TRUNC(E3924,8)*F3924,2)</f>
        <v/>
      </c>
      <c r="L3924" t="n">
        <v>1</v>
      </c>
      <c r="M3924" t="n">
        <v>77.52</v>
      </c>
      <c r="N3924">
        <f>(M3924-F3924)</f>
        <v/>
      </c>
    </row>
    <row r="3925" ht="29" customHeight="1">
      <c r="A3925" s="22" t="inlineStr">
        <is>
          <t>00020078</t>
        </is>
      </c>
      <c r="B3925" s="23" t="inlineStr">
        <is>
          <t>PASTA LUBRIFICANTE PARA TUBOS E CONEXOES COM JUNTA ELASTICA, EMBALAGEM DE *400* GR (USO EM PVC, ACO, POLIETILENO E OUTROS)</t>
        </is>
      </c>
      <c r="C3925" s="22" t="inlineStr">
        <is>
          <t>SINAPI</t>
        </is>
      </c>
      <c r="D3925" s="22" t="inlineStr">
        <is>
          <t>UN</t>
        </is>
      </c>
      <c r="E3925" s="63" t="n">
        <v>0.175</v>
      </c>
      <c r="F3925" s="64">
        <f>ROUND(M3925*FATOR, 2)</f>
        <v/>
      </c>
      <c r="G3925" s="64">
        <f>TRUNC(TRUNC(E3925,8)*F3925,2)</f>
        <v/>
      </c>
      <c r="L3925" t="n">
        <v>0.175</v>
      </c>
      <c r="M3925" t="n">
        <v>25.53</v>
      </c>
      <c r="N3925">
        <f>(M3925-F3925)</f>
        <v/>
      </c>
    </row>
    <row r="3926" ht="15" customHeight="1">
      <c r="A3926" s="2" t="inlineStr"/>
      <c r="B3926" s="2" t="inlineStr"/>
      <c r="C3926" s="2" t="inlineStr"/>
      <c r="D3926" s="2" t="inlineStr"/>
      <c r="E3926" s="26" t="inlineStr">
        <is>
          <t>TOTAL Material:</t>
        </is>
      </c>
      <c r="F3926" s="56" t="n"/>
      <c r="G3926" s="65">
        <f>SUM(G3923:G3925)</f>
        <v/>
      </c>
    </row>
    <row r="3927" ht="15" customHeight="1">
      <c r="A3927" s="20" t="inlineStr">
        <is>
          <t>Mão de Obra com Encargos Complementares</t>
        </is>
      </c>
      <c r="B3927" s="56" t="n"/>
      <c r="C3927" s="21" t="inlineStr">
        <is>
          <t>FONTE</t>
        </is>
      </c>
      <c r="D3927" s="21" t="inlineStr">
        <is>
          <t>UNID</t>
        </is>
      </c>
      <c r="E3927" s="21" t="inlineStr">
        <is>
          <t>COEFICIENTE</t>
        </is>
      </c>
      <c r="F3927" s="21" t="inlineStr">
        <is>
          <t>PREÇO UNITÁRIO</t>
        </is>
      </c>
      <c r="G3927" s="21" t="inlineStr">
        <is>
          <t>TOTAL</t>
        </is>
      </c>
    </row>
    <row r="3928" ht="21" customHeight="1">
      <c r="A3928" s="22" t="inlineStr">
        <is>
          <t>88248</t>
        </is>
      </c>
      <c r="B3928" s="23" t="inlineStr">
        <is>
          <t>AUXILIAR DE ENCANADOR OU BOMBEIRO HIDRÁULICO COM ENCARGOS COMPLEMENTARES</t>
        </is>
      </c>
      <c r="C3928" s="22" t="inlineStr">
        <is>
          <t>SINAPI</t>
        </is>
      </c>
      <c r="D3928" s="22" t="inlineStr">
        <is>
          <t>H</t>
        </is>
      </c>
      <c r="E3928" s="63">
        <f>L3928*FATOR</f>
        <v/>
      </c>
      <c r="F3928" s="64">
        <f>'COMPOSICOES AUXILIARES'!G524</f>
        <v/>
      </c>
      <c r="G3928" s="64">
        <f>TRUNC(TRUNC(E3928,8)*F3928,2)</f>
        <v/>
      </c>
      <c r="L3928" t="n">
        <v>0.4713</v>
      </c>
      <c r="M3928" t="n">
        <v>24.23</v>
      </c>
      <c r="N3928">
        <f>(M3928-F3928)</f>
        <v/>
      </c>
    </row>
    <row r="3929" ht="21" customHeight="1">
      <c r="A3929" s="22" t="inlineStr">
        <is>
          <t>88267</t>
        </is>
      </c>
      <c r="B3929" s="23" t="inlineStr">
        <is>
          <t>ENCANADOR OU BOMBEIRO HIDRÁULICO COM ENCARGOS COMPLEMENTARES</t>
        </is>
      </c>
      <c r="C3929" s="22" t="inlineStr">
        <is>
          <t>SINAPI</t>
        </is>
      </c>
      <c r="D3929" s="22" t="inlineStr">
        <is>
          <t>H</t>
        </is>
      </c>
      <c r="E3929" s="63">
        <f>L3929*FATOR</f>
        <v/>
      </c>
      <c r="F3929" s="64">
        <f>'COMPOSICOES AUXILIARES'!G524</f>
        <v/>
      </c>
      <c r="G3929" s="64">
        <f>TRUNC(TRUNC(E3929,8)*F3929,2)</f>
        <v/>
      </c>
      <c r="L3929" t="n">
        <v>0.4713</v>
      </c>
      <c r="M3929" t="n">
        <v>29.86</v>
      </c>
      <c r="N3929">
        <f>(M3929-F3929)</f>
        <v/>
      </c>
    </row>
    <row r="3930" ht="18" customHeight="1">
      <c r="A3930" s="2" t="inlineStr"/>
      <c r="B3930" s="2" t="inlineStr"/>
      <c r="C3930" s="2" t="inlineStr"/>
      <c r="D3930" s="2" t="inlineStr"/>
      <c r="E3930" s="26" t="inlineStr">
        <is>
          <t>TOTAL Mão de Obra com Encargos Complementares:</t>
        </is>
      </c>
      <c r="F3930" s="56" t="n"/>
      <c r="G3930" s="65">
        <f>SUM(G3928:G3929)</f>
        <v/>
      </c>
    </row>
    <row r="3931" ht="15" customHeight="1">
      <c r="A3931" s="2" t="inlineStr"/>
      <c r="B3931" s="2" t="inlineStr"/>
      <c r="C3931" s="2" t="inlineStr"/>
      <c r="D3931" s="2" t="inlineStr"/>
      <c r="E3931" s="28" t="inlineStr">
        <is>
          <t>VALOR:</t>
        </is>
      </c>
      <c r="F3931" s="56" t="n"/>
      <c r="G3931" s="66">
        <f>SUM(G3930,G3926)</f>
        <v/>
      </c>
    </row>
    <row r="3932" ht="15" customHeight="1">
      <c r="A3932" s="2" t="inlineStr"/>
      <c r="B3932" s="2" t="inlineStr"/>
      <c r="C3932" s="2" t="inlineStr"/>
      <c r="D3932" s="2" t="inlineStr"/>
      <c r="E3932" s="28" t="inlineStr">
        <is>
          <t>VALOR BDI (23.08%):</t>
        </is>
      </c>
      <c r="F3932" s="56" t="n"/>
      <c r="G3932" s="66">
        <f>ROUNDDOWN(G3931*BDI,2)</f>
        <v/>
      </c>
    </row>
    <row r="3933" ht="15" customHeight="1">
      <c r="A3933" s="2" t="inlineStr"/>
      <c r="B3933" s="2" t="inlineStr"/>
      <c r="C3933" s="2" t="inlineStr"/>
      <c r="D3933" s="2" t="inlineStr"/>
      <c r="E3933" s="28" t="inlineStr">
        <is>
          <t>VALOR COM BDI:</t>
        </is>
      </c>
      <c r="F3933" s="56" t="n"/>
      <c r="G3933" s="66">
        <f>G3932 + G3931</f>
        <v/>
      </c>
    </row>
    <row r="3934" ht="10" customHeight="1">
      <c r="A3934" s="2" t="inlineStr"/>
      <c r="B3934" s="2" t="inlineStr"/>
      <c r="C3934" s="2" t="inlineStr"/>
      <c r="D3934" s="2" t="inlineStr"/>
      <c r="E3934" s="18" t="inlineStr"/>
    </row>
    <row r="3935" ht="20" customHeight="1">
      <c r="A3935" s="19" t="inlineStr">
        <is>
          <t>10.2.1.3. ​89591​ JOELHO 45 GRAUS, PVC, SERIE R, ÁGUA PLUVIAL, DN 150 MM, JUNTA ELÁSTICA, FORNECIDO E INSTALADO EM CONDUTORES VERTICAIS DE ÁGUASPLUVIAIS. AF_06/2022​ (UN)</t>
        </is>
      </c>
      <c r="B3935" s="55" t="n"/>
      <c r="C3935" s="55" t="n"/>
      <c r="D3935" s="55" t="n"/>
      <c r="E3935" s="55" t="n"/>
      <c r="F3935" s="55" t="n"/>
      <c r="G3935" s="56" t="n"/>
    </row>
    <row r="3936" ht="15" customHeight="1">
      <c r="A3936" s="20" t="inlineStr">
        <is>
          <t>Material</t>
        </is>
      </c>
      <c r="B3936" s="56" t="n"/>
      <c r="C3936" s="21" t="inlineStr">
        <is>
          <t>FONTE</t>
        </is>
      </c>
      <c r="D3936" s="21" t="inlineStr">
        <is>
          <t>UNID</t>
        </is>
      </c>
      <c r="E3936" s="21" t="inlineStr">
        <is>
          <t>COEFICIENTE</t>
        </is>
      </c>
      <c r="F3936" s="21" t="inlineStr">
        <is>
          <t>PREÇO UNITÁRIO</t>
        </is>
      </c>
      <c r="G3936" s="21" t="inlineStr">
        <is>
          <t>TOTAL</t>
        </is>
      </c>
    </row>
    <row r="3937" ht="21" customHeight="1">
      <c r="A3937" s="22" t="inlineStr">
        <is>
          <t>00000300</t>
        </is>
      </c>
      <c r="B3937" s="23" t="inlineStr">
        <is>
          <t>ANEL BORRACHA, DN 150 MM, PARA TUBO SERIE REFORCADA ESGOTO PREDIAL</t>
        </is>
      </c>
      <c r="C3937" s="22" t="inlineStr">
        <is>
          <t>SINAPI</t>
        </is>
      </c>
      <c r="D3937" s="22" t="inlineStr">
        <is>
          <t>UN</t>
        </is>
      </c>
      <c r="E3937" s="63" t="n">
        <v>2</v>
      </c>
      <c r="F3937" s="64">
        <f>ROUND(M3937*FATOR, 2)</f>
        <v/>
      </c>
      <c r="G3937" s="64">
        <f>TRUNC(TRUNC(E3937,8)*F3937,2)</f>
        <v/>
      </c>
      <c r="L3937" t="n">
        <v>2</v>
      </c>
      <c r="M3937" t="n">
        <v>17.41</v>
      </c>
      <c r="N3937">
        <f>(M3937-F3937)</f>
        <v/>
      </c>
    </row>
    <row r="3938" ht="21" customHeight="1">
      <c r="A3938" s="22" t="inlineStr">
        <is>
          <t>00020152</t>
        </is>
      </c>
      <c r="B3938" s="23" t="inlineStr">
        <is>
          <t>JOELHO, PVC SERIE R, 45 GRAUS, DN 150 MM, PARA ESGOTO PREDIAL</t>
        </is>
      </c>
      <c r="C3938" s="22" t="inlineStr">
        <is>
          <t>SINAPI</t>
        </is>
      </c>
      <c r="D3938" s="22" t="inlineStr">
        <is>
          <t>UN</t>
        </is>
      </c>
      <c r="E3938" s="63" t="n">
        <v>1</v>
      </c>
      <c r="F3938" s="64">
        <f>ROUND(M3938*FATOR, 2)</f>
        <v/>
      </c>
      <c r="G3938" s="64">
        <f>TRUNC(TRUNC(E3938,8)*F3938,2)</f>
        <v/>
      </c>
      <c r="L3938" t="n">
        <v>1</v>
      </c>
      <c r="M3938" t="n">
        <v>74.36</v>
      </c>
      <c r="N3938">
        <f>(M3938-F3938)</f>
        <v/>
      </c>
    </row>
    <row r="3939" ht="29" customHeight="1">
      <c r="A3939" s="22" t="inlineStr">
        <is>
          <t>00020078</t>
        </is>
      </c>
      <c r="B3939" s="23" t="inlineStr">
        <is>
          <t>PASTA LUBRIFICANTE PARA TUBOS E CONEXOES COM JUNTA ELASTICA, EMBALAGEM DE *400* GR (USO EM PVC, ACO, POLIETILENO E OUTROS)</t>
        </is>
      </c>
      <c r="C3939" s="22" t="inlineStr">
        <is>
          <t>SINAPI</t>
        </is>
      </c>
      <c r="D3939" s="22" t="inlineStr">
        <is>
          <t>UN</t>
        </is>
      </c>
      <c r="E3939" s="63" t="n">
        <v>0.175</v>
      </c>
      <c r="F3939" s="64">
        <f>ROUND(M3939*FATOR, 2)</f>
        <v/>
      </c>
      <c r="G3939" s="64">
        <f>TRUNC(TRUNC(E3939,8)*F3939,2)</f>
        <v/>
      </c>
      <c r="L3939" t="n">
        <v>0.175</v>
      </c>
      <c r="M3939" t="n">
        <v>25.53</v>
      </c>
      <c r="N3939">
        <f>(M3939-F3939)</f>
        <v/>
      </c>
    </row>
    <row r="3940" ht="15" customHeight="1">
      <c r="A3940" s="2" t="inlineStr"/>
      <c r="B3940" s="2" t="inlineStr"/>
      <c r="C3940" s="2" t="inlineStr"/>
      <c r="D3940" s="2" t="inlineStr"/>
      <c r="E3940" s="26" t="inlineStr">
        <is>
          <t>TOTAL Material:</t>
        </is>
      </c>
      <c r="F3940" s="56" t="n"/>
      <c r="G3940" s="65">
        <f>SUM(G3937:G3939)</f>
        <v/>
      </c>
    </row>
    <row r="3941" ht="15" customHeight="1">
      <c r="A3941" s="20" t="inlineStr">
        <is>
          <t>Mão de Obra com Encargos Complementares</t>
        </is>
      </c>
      <c r="B3941" s="56" t="n"/>
      <c r="C3941" s="21" t="inlineStr">
        <is>
          <t>FONTE</t>
        </is>
      </c>
      <c r="D3941" s="21" t="inlineStr">
        <is>
          <t>UNID</t>
        </is>
      </c>
      <c r="E3941" s="21" t="inlineStr">
        <is>
          <t>COEFICIENTE</t>
        </is>
      </c>
      <c r="F3941" s="21" t="inlineStr">
        <is>
          <t>PREÇO UNITÁRIO</t>
        </is>
      </c>
      <c r="G3941" s="21" t="inlineStr">
        <is>
          <t>TOTAL</t>
        </is>
      </c>
    </row>
    <row r="3942" ht="21" customHeight="1">
      <c r="A3942" s="22" t="inlineStr">
        <is>
          <t>88248</t>
        </is>
      </c>
      <c r="B3942" s="23" t="inlineStr">
        <is>
          <t>AUXILIAR DE ENCANADOR OU BOMBEIRO HIDRÁULICO COM ENCARGOS COMPLEMENTARES</t>
        </is>
      </c>
      <c r="C3942" s="22" t="inlineStr">
        <is>
          <t>SINAPI</t>
        </is>
      </c>
      <c r="D3942" s="22" t="inlineStr">
        <is>
          <t>H</t>
        </is>
      </c>
      <c r="E3942" s="63">
        <f>L3942*FATOR</f>
        <v/>
      </c>
      <c r="F3942" s="64">
        <f>'COMPOSICOES AUXILIARES'!G524</f>
        <v/>
      </c>
      <c r="G3942" s="64">
        <f>TRUNC(TRUNC(E3942,8)*F3942,2)</f>
        <v/>
      </c>
      <c r="L3942" t="n">
        <v>0.4713</v>
      </c>
      <c r="M3942" t="n">
        <v>24.23</v>
      </c>
      <c r="N3942">
        <f>(M3942-F3942)</f>
        <v/>
      </c>
    </row>
    <row r="3943" ht="21" customHeight="1">
      <c r="A3943" s="22" t="inlineStr">
        <is>
          <t>88267</t>
        </is>
      </c>
      <c r="B3943" s="23" t="inlineStr">
        <is>
          <t>ENCANADOR OU BOMBEIRO HIDRÁULICO COM ENCARGOS COMPLEMENTARES</t>
        </is>
      </c>
      <c r="C3943" s="22" t="inlineStr">
        <is>
          <t>SINAPI</t>
        </is>
      </c>
      <c r="D3943" s="22" t="inlineStr">
        <is>
          <t>H</t>
        </is>
      </c>
      <c r="E3943" s="63">
        <f>L3943*FATOR</f>
        <v/>
      </c>
      <c r="F3943" s="64">
        <f>'COMPOSICOES AUXILIARES'!G524</f>
        <v/>
      </c>
      <c r="G3943" s="64">
        <f>TRUNC(TRUNC(E3943,8)*F3943,2)</f>
        <v/>
      </c>
      <c r="L3943" t="n">
        <v>0.4713</v>
      </c>
      <c r="M3943" t="n">
        <v>29.86</v>
      </c>
      <c r="N3943">
        <f>(M3943-F3943)</f>
        <v/>
      </c>
    </row>
    <row r="3944" ht="18" customHeight="1">
      <c r="A3944" s="2" t="inlineStr"/>
      <c r="B3944" s="2" t="inlineStr"/>
      <c r="C3944" s="2" t="inlineStr"/>
      <c r="D3944" s="2" t="inlineStr"/>
      <c r="E3944" s="26" t="inlineStr">
        <is>
          <t>TOTAL Mão de Obra com Encargos Complementares:</t>
        </is>
      </c>
      <c r="F3944" s="56" t="n"/>
      <c r="G3944" s="65">
        <f>SUM(G3942:G3943)</f>
        <v/>
      </c>
    </row>
    <row r="3945" ht="15" customHeight="1">
      <c r="A3945" s="2" t="inlineStr"/>
      <c r="B3945" s="2" t="inlineStr"/>
      <c r="C3945" s="2" t="inlineStr"/>
      <c r="D3945" s="2" t="inlineStr"/>
      <c r="E3945" s="28" t="inlineStr">
        <is>
          <t>VALOR:</t>
        </is>
      </c>
      <c r="F3945" s="56" t="n"/>
      <c r="G3945" s="66">
        <f>SUM(G3944,G3940)</f>
        <v/>
      </c>
    </row>
    <row r="3946" ht="15" customHeight="1">
      <c r="A3946" s="2" t="inlineStr"/>
      <c r="B3946" s="2" t="inlineStr"/>
      <c r="C3946" s="2" t="inlineStr"/>
      <c r="D3946" s="2" t="inlineStr"/>
      <c r="E3946" s="28" t="inlineStr">
        <is>
          <t>VALOR BDI (23.08%):</t>
        </is>
      </c>
      <c r="F3946" s="56" t="n"/>
      <c r="G3946" s="66">
        <f>ROUNDDOWN(G3945*BDI,2)</f>
        <v/>
      </c>
    </row>
    <row r="3947" ht="15" customHeight="1">
      <c r="A3947" s="2" t="inlineStr"/>
      <c r="B3947" s="2" t="inlineStr"/>
      <c r="C3947" s="2" t="inlineStr"/>
      <c r="D3947" s="2" t="inlineStr"/>
      <c r="E3947" s="28" t="inlineStr">
        <is>
          <t>VALOR COM BDI:</t>
        </is>
      </c>
      <c r="F3947" s="56" t="n"/>
      <c r="G3947" s="66">
        <f>G3946 + G3945</f>
        <v/>
      </c>
    </row>
    <row r="3948" ht="10" customHeight="1">
      <c r="A3948" s="2" t="inlineStr"/>
      <c r="B3948" s="2" t="inlineStr"/>
      <c r="C3948" s="2" t="inlineStr"/>
      <c r="D3948" s="2" t="inlineStr"/>
      <c r="E3948" s="18" t="inlineStr"/>
    </row>
    <row r="3949" ht="20" customHeight="1">
      <c r="A3949" s="19" t="inlineStr">
        <is>
          <t>10.2.1.4. ​89679​ LUVA DE CORRER, PVC, SERIE R, ÁGUA PLUVIAL, DN 150 MM, JUNTA ELÁSTICA, FORNECIDO E INSTALADO EM CONDUTORES VERTICAIS DE ÁGUASPLUVIAIS. AF_06/2022​ (UN)</t>
        </is>
      </c>
      <c r="B3949" s="55" t="n"/>
      <c r="C3949" s="55" t="n"/>
      <c r="D3949" s="55" t="n"/>
      <c r="E3949" s="55" t="n"/>
      <c r="F3949" s="55" t="n"/>
      <c r="G3949" s="56" t="n"/>
    </row>
    <row r="3950" ht="15" customHeight="1">
      <c r="A3950" s="20" t="inlineStr">
        <is>
          <t>Material</t>
        </is>
      </c>
      <c r="B3950" s="56" t="n"/>
      <c r="C3950" s="21" t="inlineStr">
        <is>
          <t>FONTE</t>
        </is>
      </c>
      <c r="D3950" s="21" t="inlineStr">
        <is>
          <t>UNID</t>
        </is>
      </c>
      <c r="E3950" s="21" t="inlineStr">
        <is>
          <t>COEFICIENTE</t>
        </is>
      </c>
      <c r="F3950" s="21" t="inlineStr">
        <is>
          <t>PREÇO UNITÁRIO</t>
        </is>
      </c>
      <c r="G3950" s="21" t="inlineStr">
        <is>
          <t>TOTAL</t>
        </is>
      </c>
    </row>
    <row r="3951" ht="21" customHeight="1">
      <c r="A3951" s="22" t="inlineStr">
        <is>
          <t>00000300</t>
        </is>
      </c>
      <c r="B3951" s="23" t="inlineStr">
        <is>
          <t>ANEL BORRACHA, DN 150 MM, PARA TUBO SERIE REFORCADA ESGOTO PREDIAL</t>
        </is>
      </c>
      <c r="C3951" s="22" t="inlineStr">
        <is>
          <t>SINAPI</t>
        </is>
      </c>
      <c r="D3951" s="22" t="inlineStr">
        <is>
          <t>UN</t>
        </is>
      </c>
      <c r="E3951" s="63" t="n">
        <v>2</v>
      </c>
      <c r="F3951" s="64">
        <f>ROUND(M3951*FATOR, 2)</f>
        <v/>
      </c>
      <c r="G3951" s="64">
        <f>TRUNC(TRUNC(E3951,8)*F3951,2)</f>
        <v/>
      </c>
      <c r="L3951" t="n">
        <v>2</v>
      </c>
      <c r="M3951" t="n">
        <v>17.41</v>
      </c>
      <c r="N3951">
        <f>(M3951-F3951)</f>
        <v/>
      </c>
    </row>
    <row r="3952" ht="21" customHeight="1">
      <c r="A3952" s="22" t="inlineStr">
        <is>
          <t>00020166</t>
        </is>
      </c>
      <c r="B3952" s="23" t="inlineStr">
        <is>
          <t>LUVA DE CORRER, PVC SERIE R, 150 MM, PARA ESGOTO PREDIAL</t>
        </is>
      </c>
      <c r="C3952" s="22" t="inlineStr">
        <is>
          <t>SINAPI</t>
        </is>
      </c>
      <c r="D3952" s="22" t="inlineStr">
        <is>
          <t>UN</t>
        </is>
      </c>
      <c r="E3952" s="63" t="n">
        <v>1</v>
      </c>
      <c r="F3952" s="64">
        <f>ROUND(M3952*FATOR, 2)</f>
        <v/>
      </c>
      <c r="G3952" s="64">
        <f>TRUNC(TRUNC(E3952,8)*F3952,2)</f>
        <v/>
      </c>
      <c r="L3952" t="n">
        <v>1</v>
      </c>
      <c r="M3952" t="n">
        <v>75.27</v>
      </c>
      <c r="N3952">
        <f>(M3952-F3952)</f>
        <v/>
      </c>
    </row>
    <row r="3953" ht="29" customHeight="1">
      <c r="A3953" s="22" t="inlineStr">
        <is>
          <t>00020078</t>
        </is>
      </c>
      <c r="B3953" s="23" t="inlineStr">
        <is>
          <t>PASTA LUBRIFICANTE PARA TUBOS E CONEXOES COM JUNTA ELASTICA, EMBALAGEM DE *400* GR (USO EM PVC, ACO, POLIETILENO E OUTROS)</t>
        </is>
      </c>
      <c r="C3953" s="22" t="inlineStr">
        <is>
          <t>SINAPI</t>
        </is>
      </c>
      <c r="D3953" s="22" t="inlineStr">
        <is>
          <t>UN</t>
        </is>
      </c>
      <c r="E3953" s="63" t="n">
        <v>0.175</v>
      </c>
      <c r="F3953" s="64">
        <f>ROUND(M3953*FATOR, 2)</f>
        <v/>
      </c>
      <c r="G3953" s="64">
        <f>TRUNC(TRUNC(E3953,8)*F3953,2)</f>
        <v/>
      </c>
      <c r="L3953" t="n">
        <v>0.175</v>
      </c>
      <c r="M3953" t="n">
        <v>25.53</v>
      </c>
      <c r="N3953">
        <f>(M3953-F3953)</f>
        <v/>
      </c>
    </row>
    <row r="3954" ht="15" customHeight="1">
      <c r="A3954" s="2" t="inlineStr"/>
      <c r="B3954" s="2" t="inlineStr"/>
      <c r="C3954" s="2" t="inlineStr"/>
      <c r="D3954" s="2" t="inlineStr"/>
      <c r="E3954" s="26" t="inlineStr">
        <is>
          <t>TOTAL Material:</t>
        </is>
      </c>
      <c r="F3954" s="56" t="n"/>
      <c r="G3954" s="65">
        <f>SUM(G3951:G3953)</f>
        <v/>
      </c>
    </row>
    <row r="3955" ht="15" customHeight="1">
      <c r="A3955" s="20" t="inlineStr">
        <is>
          <t>Mão de Obra com Encargos Complementares</t>
        </is>
      </c>
      <c r="B3955" s="56" t="n"/>
      <c r="C3955" s="21" t="inlineStr">
        <is>
          <t>FONTE</t>
        </is>
      </c>
      <c r="D3955" s="21" t="inlineStr">
        <is>
          <t>UNID</t>
        </is>
      </c>
      <c r="E3955" s="21" t="inlineStr">
        <is>
          <t>COEFICIENTE</t>
        </is>
      </c>
      <c r="F3955" s="21" t="inlineStr">
        <is>
          <t>PREÇO UNITÁRIO</t>
        </is>
      </c>
      <c r="G3955" s="21" t="inlineStr">
        <is>
          <t>TOTAL</t>
        </is>
      </c>
    </row>
    <row r="3956" ht="21" customHeight="1">
      <c r="A3956" s="22" t="inlineStr">
        <is>
          <t>88248</t>
        </is>
      </c>
      <c r="B3956" s="23" t="inlineStr">
        <is>
          <t>AUXILIAR DE ENCANADOR OU BOMBEIRO HIDRÁULICO COM ENCARGOS COMPLEMENTARES</t>
        </is>
      </c>
      <c r="C3956" s="22" t="inlineStr">
        <is>
          <t>SINAPI</t>
        </is>
      </c>
      <c r="D3956" s="22" t="inlineStr">
        <is>
          <t>H</t>
        </is>
      </c>
      <c r="E3956" s="63">
        <f>L3956*FATOR</f>
        <v/>
      </c>
      <c r="F3956" s="64">
        <f>'COMPOSICOES AUXILIARES'!G524</f>
        <v/>
      </c>
      <c r="G3956" s="64">
        <f>TRUNC(TRUNC(E3956,8)*F3956,2)</f>
        <v/>
      </c>
      <c r="L3956" t="n">
        <v>0.3142</v>
      </c>
      <c r="M3956" t="n">
        <v>24.23</v>
      </c>
      <c r="N3956">
        <f>(M3956-F3956)</f>
        <v/>
      </c>
    </row>
    <row r="3957" ht="21" customHeight="1">
      <c r="A3957" s="22" t="inlineStr">
        <is>
          <t>88267</t>
        </is>
      </c>
      <c r="B3957" s="23" t="inlineStr">
        <is>
          <t>ENCANADOR OU BOMBEIRO HIDRÁULICO COM ENCARGOS COMPLEMENTARES</t>
        </is>
      </c>
      <c r="C3957" s="22" t="inlineStr">
        <is>
          <t>SINAPI</t>
        </is>
      </c>
      <c r="D3957" s="22" t="inlineStr">
        <is>
          <t>H</t>
        </is>
      </c>
      <c r="E3957" s="63">
        <f>L3957*FATOR</f>
        <v/>
      </c>
      <c r="F3957" s="64">
        <f>'COMPOSICOES AUXILIARES'!G524</f>
        <v/>
      </c>
      <c r="G3957" s="64">
        <f>TRUNC(TRUNC(E3957,8)*F3957,2)</f>
        <v/>
      </c>
      <c r="L3957" t="n">
        <v>0.3142</v>
      </c>
      <c r="M3957" t="n">
        <v>29.86</v>
      </c>
      <c r="N3957">
        <f>(M3957-F3957)</f>
        <v/>
      </c>
    </row>
    <row r="3958" ht="18" customHeight="1">
      <c r="A3958" s="2" t="inlineStr"/>
      <c r="B3958" s="2" t="inlineStr"/>
      <c r="C3958" s="2" t="inlineStr"/>
      <c r="D3958" s="2" t="inlineStr"/>
      <c r="E3958" s="26" t="inlineStr">
        <is>
          <t>TOTAL Mão de Obra com Encargos Complementares:</t>
        </is>
      </c>
      <c r="F3958" s="56" t="n"/>
      <c r="G3958" s="65">
        <f>SUM(G3956:G3957)</f>
        <v/>
      </c>
    </row>
    <row r="3959" ht="15" customHeight="1">
      <c r="A3959" s="2" t="inlineStr"/>
      <c r="B3959" s="2" t="inlineStr"/>
      <c r="C3959" s="2" t="inlineStr"/>
      <c r="D3959" s="2" t="inlineStr"/>
      <c r="E3959" s="28" t="inlineStr">
        <is>
          <t>VALOR:</t>
        </is>
      </c>
      <c r="F3959" s="56" t="n"/>
      <c r="G3959" s="66">
        <f>SUM(G3954,G3958)</f>
        <v/>
      </c>
    </row>
    <row r="3960" ht="15" customHeight="1">
      <c r="A3960" s="2" t="inlineStr"/>
      <c r="B3960" s="2" t="inlineStr"/>
      <c r="C3960" s="2" t="inlineStr"/>
      <c r="D3960" s="2" t="inlineStr"/>
      <c r="E3960" s="28" t="inlineStr">
        <is>
          <t>VALOR BDI (23.08%):</t>
        </is>
      </c>
      <c r="F3960" s="56" t="n"/>
      <c r="G3960" s="66">
        <f>ROUNDDOWN(G3959*BDI,2)</f>
        <v/>
      </c>
    </row>
    <row r="3961" ht="15" customHeight="1">
      <c r="A3961" s="2" t="inlineStr"/>
      <c r="B3961" s="2" t="inlineStr"/>
      <c r="C3961" s="2" t="inlineStr"/>
      <c r="D3961" s="2" t="inlineStr"/>
      <c r="E3961" s="28" t="inlineStr">
        <is>
          <t>VALOR COM BDI:</t>
        </is>
      </c>
      <c r="F3961" s="56" t="n"/>
      <c r="G3961" s="66">
        <f>G3960 + G3959</f>
        <v/>
      </c>
    </row>
    <row r="3962" ht="10" customHeight="1">
      <c r="A3962" s="2" t="inlineStr"/>
      <c r="B3962" s="2" t="inlineStr"/>
      <c r="C3962" s="2" t="inlineStr"/>
      <c r="D3962" s="2" t="inlineStr"/>
      <c r="E3962" s="18" t="inlineStr"/>
    </row>
    <row r="3963" ht="20" customHeight="1">
      <c r="A3963" s="19" t="inlineStr">
        <is>
          <t>10.2.1.5. ​89701​ TÊ, PVC, SERIE R, ÁGUA PLUVIAL, DN 150 X150 MM, JUNTA ELÁSTICA, FORNECIDO E INSTALADO EM CONDUTORES VERTICAIS DE ÁGUAS PLUVIAIS. AF_06/2022​ (UN)</t>
        </is>
      </c>
      <c r="B3963" s="55" t="n"/>
      <c r="C3963" s="55" t="n"/>
      <c r="D3963" s="55" t="n"/>
      <c r="E3963" s="55" t="n"/>
      <c r="F3963" s="55" t="n"/>
      <c r="G3963" s="56" t="n"/>
    </row>
    <row r="3964" ht="15" customHeight="1">
      <c r="A3964" s="20" t="inlineStr">
        <is>
          <t>Material</t>
        </is>
      </c>
      <c r="B3964" s="56" t="n"/>
      <c r="C3964" s="21" t="inlineStr">
        <is>
          <t>FONTE</t>
        </is>
      </c>
      <c r="D3964" s="21" t="inlineStr">
        <is>
          <t>UNID</t>
        </is>
      </c>
      <c r="E3964" s="21" t="inlineStr">
        <is>
          <t>COEFICIENTE</t>
        </is>
      </c>
      <c r="F3964" s="21" t="inlineStr">
        <is>
          <t>PREÇO UNITÁRIO</t>
        </is>
      </c>
      <c r="G3964" s="21" t="inlineStr">
        <is>
          <t>TOTAL</t>
        </is>
      </c>
    </row>
    <row r="3965" ht="21" customHeight="1">
      <c r="A3965" s="22" t="inlineStr">
        <is>
          <t>00000300</t>
        </is>
      </c>
      <c r="B3965" s="23" t="inlineStr">
        <is>
          <t>ANEL BORRACHA, DN 150 MM, PARA TUBO SERIE REFORCADA ESGOTO PREDIAL</t>
        </is>
      </c>
      <c r="C3965" s="22" t="inlineStr">
        <is>
          <t>SINAPI</t>
        </is>
      </c>
      <c r="D3965" s="22" t="inlineStr">
        <is>
          <t>UN</t>
        </is>
      </c>
      <c r="E3965" s="63" t="n">
        <v>3</v>
      </c>
      <c r="F3965" s="64">
        <f>ROUND(M3965*FATOR, 2)</f>
        <v/>
      </c>
      <c r="G3965" s="64">
        <f>TRUNC(TRUNC(E3965,8)*F3965,2)</f>
        <v/>
      </c>
      <c r="L3965" t="n">
        <v>3</v>
      </c>
      <c r="M3965" t="n">
        <v>17.41</v>
      </c>
      <c r="N3965">
        <f>(M3965-F3965)</f>
        <v/>
      </c>
    </row>
    <row r="3966" ht="29" customHeight="1">
      <c r="A3966" s="22" t="inlineStr">
        <is>
          <t>00020078</t>
        </is>
      </c>
      <c r="B3966" s="23" t="inlineStr">
        <is>
          <t>PASTA LUBRIFICANTE PARA TUBOS E CONEXOES COM JUNTA ELASTICA, EMBALAGEM DE *400* GR (USO EM PVC, ACO, POLIETILENO E OUTROS)</t>
        </is>
      </c>
      <c r="C3966" s="22" t="inlineStr">
        <is>
          <t>SINAPI</t>
        </is>
      </c>
      <c r="D3966" s="22" t="inlineStr">
        <is>
          <t>UN</t>
        </is>
      </c>
      <c r="E3966" s="63" t="n">
        <v>0.2625</v>
      </c>
      <c r="F3966" s="64">
        <f>ROUND(M3966*FATOR, 2)</f>
        <v/>
      </c>
      <c r="G3966" s="64">
        <f>TRUNC(TRUNC(E3966,8)*F3966,2)</f>
        <v/>
      </c>
      <c r="L3966" t="n">
        <v>0.2625</v>
      </c>
      <c r="M3966" t="n">
        <v>25.53</v>
      </c>
      <c r="N3966">
        <f>(M3966-F3966)</f>
        <v/>
      </c>
    </row>
    <row r="3967" ht="15" customHeight="1">
      <c r="A3967" s="22" t="inlineStr">
        <is>
          <t>00020181</t>
        </is>
      </c>
      <c r="B3967" s="23" t="inlineStr">
        <is>
          <t>TE, PVC, SERIE R, 150 X 150 MM, PARA ESGOTO PREDIAL</t>
        </is>
      </c>
      <c r="C3967" s="22" t="inlineStr">
        <is>
          <t>SINAPI</t>
        </is>
      </c>
      <c r="D3967" s="22" t="inlineStr">
        <is>
          <t>UN</t>
        </is>
      </c>
      <c r="E3967" s="63" t="n">
        <v>1</v>
      </c>
      <c r="F3967" s="64">
        <f>ROUND(M3967*FATOR, 2)</f>
        <v/>
      </c>
      <c r="G3967" s="64">
        <f>TRUNC(TRUNC(E3967,8)*F3967,2)</f>
        <v/>
      </c>
      <c r="L3967" t="n">
        <v>1</v>
      </c>
      <c r="M3967" t="n">
        <v>116.61</v>
      </c>
      <c r="N3967">
        <f>(M3967-F3967)</f>
        <v/>
      </c>
    </row>
    <row r="3968" ht="15" customHeight="1">
      <c r="A3968" s="2" t="inlineStr"/>
      <c r="B3968" s="2" t="inlineStr"/>
      <c r="C3968" s="2" t="inlineStr"/>
      <c r="D3968" s="2" t="inlineStr"/>
      <c r="E3968" s="26" t="inlineStr">
        <is>
          <t>TOTAL Material:</t>
        </is>
      </c>
      <c r="F3968" s="56" t="n"/>
      <c r="G3968" s="65">
        <f>SUM(G3965:G3967)</f>
        <v/>
      </c>
    </row>
    <row r="3969" ht="15" customHeight="1">
      <c r="A3969" s="20" t="inlineStr">
        <is>
          <t>Mão de Obra com Encargos Complementares</t>
        </is>
      </c>
      <c r="B3969" s="56" t="n"/>
      <c r="C3969" s="21" t="inlineStr">
        <is>
          <t>FONTE</t>
        </is>
      </c>
      <c r="D3969" s="21" t="inlineStr">
        <is>
          <t>UNID</t>
        </is>
      </c>
      <c r="E3969" s="21" t="inlineStr">
        <is>
          <t>COEFICIENTE</t>
        </is>
      </c>
      <c r="F3969" s="21" t="inlineStr">
        <is>
          <t>PREÇO UNITÁRIO</t>
        </is>
      </c>
      <c r="G3969" s="21" t="inlineStr">
        <is>
          <t>TOTAL</t>
        </is>
      </c>
    </row>
    <row r="3970" ht="21" customHeight="1">
      <c r="A3970" s="22" t="inlineStr">
        <is>
          <t>88248</t>
        </is>
      </c>
      <c r="B3970" s="23" t="inlineStr">
        <is>
          <t>AUXILIAR DE ENCANADOR OU BOMBEIRO HIDRÁULICO COM ENCARGOS COMPLEMENTARES</t>
        </is>
      </c>
      <c r="C3970" s="22" t="inlineStr">
        <is>
          <t>SINAPI</t>
        </is>
      </c>
      <c r="D3970" s="22" t="inlineStr">
        <is>
          <t>H</t>
        </is>
      </c>
      <c r="E3970" s="63">
        <f>L3970*FATOR</f>
        <v/>
      </c>
      <c r="F3970" s="64">
        <f>'COMPOSICOES AUXILIARES'!G524</f>
        <v/>
      </c>
      <c r="G3970" s="64">
        <f>TRUNC(TRUNC(E3970,8)*F3970,2)</f>
        <v/>
      </c>
      <c r="L3970" t="n">
        <v>0.6284</v>
      </c>
      <c r="M3970" t="n">
        <v>24.23</v>
      </c>
      <c r="N3970">
        <f>(M3970-F3970)</f>
        <v/>
      </c>
    </row>
    <row r="3971" ht="21" customHeight="1">
      <c r="A3971" s="22" t="inlineStr">
        <is>
          <t>88267</t>
        </is>
      </c>
      <c r="B3971" s="23" t="inlineStr">
        <is>
          <t>ENCANADOR OU BOMBEIRO HIDRÁULICO COM ENCARGOS COMPLEMENTARES</t>
        </is>
      </c>
      <c r="C3971" s="22" t="inlineStr">
        <is>
          <t>SINAPI</t>
        </is>
      </c>
      <c r="D3971" s="22" t="inlineStr">
        <is>
          <t>H</t>
        </is>
      </c>
      <c r="E3971" s="63">
        <f>L3971*FATOR</f>
        <v/>
      </c>
      <c r="F3971" s="64">
        <f>'COMPOSICOES AUXILIARES'!G524</f>
        <v/>
      </c>
      <c r="G3971" s="64">
        <f>TRUNC(TRUNC(E3971,8)*F3971,2)</f>
        <v/>
      </c>
      <c r="L3971" t="n">
        <v>0.6284</v>
      </c>
      <c r="M3971" t="n">
        <v>29.86</v>
      </c>
      <c r="N3971">
        <f>(M3971-F3971)</f>
        <v/>
      </c>
    </row>
    <row r="3972" ht="18" customHeight="1">
      <c r="A3972" s="2" t="inlineStr"/>
      <c r="B3972" s="2" t="inlineStr"/>
      <c r="C3972" s="2" t="inlineStr"/>
      <c r="D3972" s="2" t="inlineStr"/>
      <c r="E3972" s="26" t="inlineStr">
        <is>
          <t>TOTAL Mão de Obra com Encargos Complementares:</t>
        </is>
      </c>
      <c r="F3972" s="56" t="n"/>
      <c r="G3972" s="65">
        <f>SUM(G3970:G3971)</f>
        <v/>
      </c>
    </row>
    <row r="3973" ht="15" customHeight="1">
      <c r="A3973" s="2" t="inlineStr"/>
      <c r="B3973" s="2" t="inlineStr"/>
      <c r="C3973" s="2" t="inlineStr"/>
      <c r="D3973" s="2" t="inlineStr"/>
      <c r="E3973" s="28" t="inlineStr">
        <is>
          <t>VALOR:</t>
        </is>
      </c>
      <c r="F3973" s="56" t="n"/>
      <c r="G3973" s="66">
        <f>SUM(G3968,G3972)</f>
        <v/>
      </c>
    </row>
    <row r="3974" ht="15" customHeight="1">
      <c r="A3974" s="2" t="inlineStr"/>
      <c r="B3974" s="2" t="inlineStr"/>
      <c r="C3974" s="2" t="inlineStr"/>
      <c r="D3974" s="2" t="inlineStr"/>
      <c r="E3974" s="28" t="inlineStr">
        <is>
          <t>VALOR BDI (23.08%):</t>
        </is>
      </c>
      <c r="F3974" s="56" t="n"/>
      <c r="G3974" s="66">
        <f>ROUNDDOWN(G3973*BDI,2)</f>
        <v/>
      </c>
    </row>
    <row r="3975" ht="15" customHeight="1">
      <c r="A3975" s="2" t="inlineStr"/>
      <c r="B3975" s="2" t="inlineStr"/>
      <c r="C3975" s="2" t="inlineStr"/>
      <c r="D3975" s="2" t="inlineStr"/>
      <c r="E3975" s="28" t="inlineStr">
        <is>
          <t>VALOR COM BDI:</t>
        </is>
      </c>
      <c r="F3975" s="56" t="n"/>
      <c r="G3975" s="66">
        <f>G3974 + G3973</f>
        <v/>
      </c>
    </row>
    <row r="3976" ht="10" customHeight="1">
      <c r="A3976" s="2" t="inlineStr"/>
      <c r="B3976" s="2" t="inlineStr"/>
      <c r="C3976" s="2" t="inlineStr"/>
      <c r="D3976" s="2" t="inlineStr"/>
      <c r="E3976" s="18" t="inlineStr"/>
    </row>
    <row r="3977" ht="20" customHeight="1">
      <c r="A3977" s="19" t="inlineStr">
        <is>
          <t>10.2.2.1. ​377 PRÓPRIO​ EXAUSTOR PARA BANHEIRO COM ANTI-RETORNO PARA INSTALAÇÃO EM TETO E/OU PAREDE - Ø200MM - FORNECIMENTOE INSTALAÇÃO​ (UN)</t>
        </is>
      </c>
      <c r="B3977" s="55" t="n"/>
      <c r="C3977" s="55" t="n"/>
      <c r="D3977" s="55" t="n"/>
      <c r="E3977" s="55" t="n"/>
      <c r="F3977" s="55" t="n"/>
      <c r="G3977" s="56" t="n"/>
    </row>
    <row r="3978" ht="15" customHeight="1">
      <c r="A3978" s="20" t="inlineStr">
        <is>
          <t>Mão de Obra com Encargos Complementares</t>
        </is>
      </c>
      <c r="B3978" s="56" t="n"/>
      <c r="C3978" s="21" t="inlineStr">
        <is>
          <t>FONTE</t>
        </is>
      </c>
      <c r="D3978" s="21" t="inlineStr">
        <is>
          <t>UNID</t>
        </is>
      </c>
      <c r="E3978" s="21" t="inlineStr">
        <is>
          <t>COEFICIENTE</t>
        </is>
      </c>
      <c r="F3978" s="21" t="inlineStr">
        <is>
          <t>PREÇO UNITÁRIO</t>
        </is>
      </c>
      <c r="G3978" s="21" t="inlineStr">
        <is>
          <t>TOTAL</t>
        </is>
      </c>
    </row>
    <row r="3979" ht="15" customHeight="1">
      <c r="A3979" s="22" t="inlineStr">
        <is>
          <t>88264</t>
        </is>
      </c>
      <c r="B3979" s="23" t="inlineStr">
        <is>
          <t>ELETRICISTA COM ENCARGOS COMPLEMENTARES</t>
        </is>
      </c>
      <c r="C3979" s="22" t="inlineStr">
        <is>
          <t>SINAPI</t>
        </is>
      </c>
      <c r="D3979" s="22" t="inlineStr">
        <is>
          <t>H</t>
        </is>
      </c>
      <c r="E3979" s="63">
        <f>L3979*FATOR</f>
        <v/>
      </c>
      <c r="F3979" s="64">
        <f>'COMPOSICOES AUXILIARES'!G505</f>
        <v/>
      </c>
      <c r="G3979" s="64">
        <f>ROUND(ROUND(E3979,8)*F3979,2)</f>
        <v/>
      </c>
      <c r="L3979" t="n">
        <v>1</v>
      </c>
      <c r="M3979" t="n">
        <v>30.96</v>
      </c>
      <c r="N3979">
        <f>(M3979-F3979)</f>
        <v/>
      </c>
    </row>
    <row r="3980" ht="15" customHeight="1">
      <c r="A3980" s="22" t="inlineStr">
        <is>
          <t>88316</t>
        </is>
      </c>
      <c r="B3980" s="23" t="inlineStr">
        <is>
          <t>SERVENTE COM ENCARGOS COMPLEMENTARES</t>
        </is>
      </c>
      <c r="C3980" s="22" t="inlineStr">
        <is>
          <t>SINAPI</t>
        </is>
      </c>
      <c r="D3980" s="22" t="inlineStr">
        <is>
          <t>H</t>
        </is>
      </c>
      <c r="E3980" s="63">
        <f>L3980*FATOR</f>
        <v/>
      </c>
      <c r="F3980" s="64">
        <f>'COMPOSICOES AUXILIARES'!G3390</f>
        <v/>
      </c>
      <c r="G3980" s="64">
        <f>ROUND(ROUND(E3980,8)*F3980,2)</f>
        <v/>
      </c>
      <c r="L3980" t="n">
        <v>1</v>
      </c>
      <c r="M3980" t="n">
        <v>23.56</v>
      </c>
      <c r="N3980">
        <f>(M3980-F3980)</f>
        <v/>
      </c>
    </row>
    <row r="3981" ht="18" customHeight="1">
      <c r="A3981" s="2" t="inlineStr"/>
      <c r="B3981" s="2" t="inlineStr"/>
      <c r="C3981" s="2" t="inlineStr"/>
      <c r="D3981" s="2" t="inlineStr"/>
      <c r="E3981" s="26" t="inlineStr">
        <is>
          <t>TOTAL Mão de Obra com Encargos Complementares:</t>
        </is>
      </c>
      <c r="F3981" s="56" t="n"/>
      <c r="G3981" s="65">
        <f>SUM(G3979:G3980)</f>
        <v/>
      </c>
    </row>
    <row r="3982" ht="15" customHeight="1">
      <c r="A3982" s="2" t="inlineStr"/>
      <c r="B3982" s="2" t="inlineStr"/>
      <c r="C3982" s="2" t="inlineStr"/>
      <c r="D3982" s="2" t="inlineStr"/>
      <c r="E3982" s="28" t="inlineStr">
        <is>
          <t>VALOR:</t>
        </is>
      </c>
      <c r="F3982" s="56" t="n"/>
      <c r="G3982" s="66">
        <f>SUM(G3981)</f>
        <v/>
      </c>
    </row>
    <row r="3983" ht="15" customHeight="1">
      <c r="A3983" s="2" t="inlineStr"/>
      <c r="B3983" s="2" t="inlineStr"/>
      <c r="C3983" s="2" t="inlineStr"/>
      <c r="D3983" s="2" t="inlineStr"/>
      <c r="E3983" s="28" t="inlineStr">
        <is>
          <t>VALOR BDI (23.08%):</t>
        </is>
      </c>
      <c r="F3983" s="56" t="n"/>
      <c r="G3983" s="66">
        <f>ROUNDDOWN(G3982*BDI,2)</f>
        <v/>
      </c>
    </row>
    <row r="3984" ht="15" customHeight="1">
      <c r="A3984" s="2" t="inlineStr"/>
      <c r="B3984" s="2" t="inlineStr"/>
      <c r="C3984" s="2" t="inlineStr"/>
      <c r="D3984" s="2" t="inlineStr"/>
      <c r="E3984" s="28" t="inlineStr">
        <is>
          <t>VALOR COM BDI:</t>
        </is>
      </c>
      <c r="F3984" s="56" t="n"/>
      <c r="G3984" s="66">
        <f>G3983 + G3982</f>
        <v/>
      </c>
    </row>
    <row r="3985" ht="10" customHeight="1">
      <c r="A3985" s="2" t="inlineStr"/>
      <c r="B3985" s="2" t="inlineStr"/>
      <c r="C3985" s="2" t="inlineStr"/>
      <c r="D3985" s="2" t="inlineStr"/>
      <c r="E3985" s="18" t="inlineStr"/>
    </row>
    <row r="3986" ht="20" customHeight="1">
      <c r="A3986" s="19" t="inlineStr">
        <is>
          <t>10.2.2.2. ​423 próprio​ EXAUSTOR CIRCULAR PARA AMBIENTE - Ø200MM - FORNECIMENTO E INSTALAÇÃO​ (UN)</t>
        </is>
      </c>
      <c r="B3986" s="55" t="n"/>
      <c r="C3986" s="55" t="n"/>
      <c r="D3986" s="55" t="n"/>
      <c r="E3986" s="55" t="n"/>
      <c r="F3986" s="55" t="n"/>
      <c r="G3986" s="56" t="n"/>
    </row>
    <row r="3987" ht="15" customHeight="1">
      <c r="A3987" s="20" t="inlineStr">
        <is>
          <t>Mão de Obra com Encargos Complementares</t>
        </is>
      </c>
      <c r="B3987" s="56" t="n"/>
      <c r="C3987" s="21" t="inlineStr">
        <is>
          <t>FONTE</t>
        </is>
      </c>
      <c r="D3987" s="21" t="inlineStr">
        <is>
          <t>UNID</t>
        </is>
      </c>
      <c r="E3987" s="21" t="inlineStr">
        <is>
          <t>COEFICIENTE</t>
        </is>
      </c>
      <c r="F3987" s="21" t="inlineStr">
        <is>
          <t>PREÇO UNITÁRIO</t>
        </is>
      </c>
      <c r="G3987" s="21" t="inlineStr">
        <is>
          <t>TOTAL</t>
        </is>
      </c>
    </row>
    <row r="3988" ht="15" customHeight="1">
      <c r="A3988" s="22" t="inlineStr">
        <is>
          <t>88264</t>
        </is>
      </c>
      <c r="B3988" s="23" t="inlineStr">
        <is>
          <t>ELETRICISTA COM ENCARGOS COMPLEMENTARES</t>
        </is>
      </c>
      <c r="C3988" s="22" t="inlineStr">
        <is>
          <t>SINAPI</t>
        </is>
      </c>
      <c r="D3988" s="22" t="inlineStr">
        <is>
          <t>H</t>
        </is>
      </c>
      <c r="E3988" s="63">
        <f>L3988*FATOR</f>
        <v/>
      </c>
      <c r="F3988" s="64">
        <f>'COMPOSICOES AUXILIARES'!G505</f>
        <v/>
      </c>
      <c r="G3988" s="64">
        <f>ROUND(ROUND(E3988,8)*F3988,2)</f>
        <v/>
      </c>
      <c r="L3988" t="n">
        <v>1</v>
      </c>
      <c r="M3988" t="n">
        <v>30.96</v>
      </c>
      <c r="N3988">
        <f>(M3988-F3988)</f>
        <v/>
      </c>
    </row>
    <row r="3989" ht="15" customHeight="1">
      <c r="A3989" s="22" t="inlineStr">
        <is>
          <t>88316</t>
        </is>
      </c>
      <c r="B3989" s="23" t="inlineStr">
        <is>
          <t>SERVENTE COM ENCARGOS COMPLEMENTARES</t>
        </is>
      </c>
      <c r="C3989" s="22" t="inlineStr">
        <is>
          <t>SINAPI</t>
        </is>
      </c>
      <c r="D3989" s="22" t="inlineStr">
        <is>
          <t>H</t>
        </is>
      </c>
      <c r="E3989" s="63">
        <f>L3989*FATOR</f>
        <v/>
      </c>
      <c r="F3989" s="64">
        <f>'COMPOSICOES AUXILIARES'!G3390</f>
        <v/>
      </c>
      <c r="G3989" s="64">
        <f>ROUND(ROUND(E3989,8)*F3989,2)</f>
        <v/>
      </c>
      <c r="L3989" t="n">
        <v>1</v>
      </c>
      <c r="M3989" t="n">
        <v>23.56</v>
      </c>
      <c r="N3989">
        <f>(M3989-F3989)</f>
        <v/>
      </c>
    </row>
    <row r="3990" ht="18" customHeight="1">
      <c r="A3990" s="2" t="inlineStr"/>
      <c r="B3990" s="2" t="inlineStr"/>
      <c r="C3990" s="2" t="inlineStr"/>
      <c r="D3990" s="2" t="inlineStr"/>
      <c r="E3990" s="26" t="inlineStr">
        <is>
          <t>TOTAL Mão de Obra com Encargos Complementares:</t>
        </is>
      </c>
      <c r="F3990" s="56" t="n"/>
      <c r="G3990" s="65">
        <f>SUM(G3988:G3989)</f>
        <v/>
      </c>
    </row>
    <row r="3991" ht="15" customHeight="1">
      <c r="A3991" s="2" t="inlineStr"/>
      <c r="B3991" s="2" t="inlineStr"/>
      <c r="C3991" s="2" t="inlineStr"/>
      <c r="D3991" s="2" t="inlineStr"/>
      <c r="E3991" s="28" t="inlineStr">
        <is>
          <t>VALOR:</t>
        </is>
      </c>
      <c r="F3991" s="56" t="n"/>
      <c r="G3991" s="66">
        <f>SUM(G3990)</f>
        <v/>
      </c>
    </row>
    <row r="3992" ht="15" customHeight="1">
      <c r="A3992" s="2" t="inlineStr"/>
      <c r="B3992" s="2" t="inlineStr"/>
      <c r="C3992" s="2" t="inlineStr"/>
      <c r="D3992" s="2" t="inlineStr"/>
      <c r="E3992" s="28" t="inlineStr">
        <is>
          <t>VALOR BDI (23.08%):</t>
        </is>
      </c>
      <c r="F3992" s="56" t="n"/>
      <c r="G3992" s="66">
        <f>ROUNDDOWN(G3991*BDI,2)</f>
        <v/>
      </c>
    </row>
    <row r="3993" ht="15" customHeight="1">
      <c r="A3993" s="2" t="inlineStr"/>
      <c r="B3993" s="2" t="inlineStr"/>
      <c r="C3993" s="2" t="inlineStr"/>
      <c r="D3993" s="2" t="inlineStr"/>
      <c r="E3993" s="28" t="inlineStr">
        <is>
          <t>VALOR COM BDI:</t>
        </is>
      </c>
      <c r="F3993" s="56" t="n"/>
      <c r="G3993" s="66">
        <f>G3992 + G3991</f>
        <v/>
      </c>
    </row>
    <row r="3994" ht="10" customHeight="1">
      <c r="A3994" s="2" t="inlineStr"/>
      <c r="B3994" s="2" t="inlineStr"/>
      <c r="C3994" s="2" t="inlineStr"/>
      <c r="D3994" s="2" t="inlineStr"/>
      <c r="E3994" s="18" t="inlineStr"/>
    </row>
    <row r="3995" ht="20" customHeight="1">
      <c r="A3995" s="19" t="inlineStr">
        <is>
          <t>11.1.1.1. ​87879​ CHAPISCO APLICADO EM ALVENARIAS E ESTRUTURAS DE CONCRETO INTERNAS, COM COLHER DE PEDREIRO. ARGAMASSA TRAÇO 1:3 COM PREPARO EM BETONEIRA400L. AF_10/2022​ (M2)</t>
        </is>
      </c>
      <c r="B3995" s="55" t="n"/>
      <c r="C3995" s="55" t="n"/>
      <c r="D3995" s="55" t="n"/>
      <c r="E3995" s="55" t="n"/>
      <c r="F3995" s="55" t="n"/>
      <c r="G3995" s="56" t="n"/>
    </row>
    <row r="3996" ht="15" customHeight="1">
      <c r="A3996" s="20" t="inlineStr">
        <is>
          <t>Mão de Obra com Encargos Complementares</t>
        </is>
      </c>
      <c r="B3996" s="56" t="n"/>
      <c r="C3996" s="21" t="inlineStr">
        <is>
          <t>FONTE</t>
        </is>
      </c>
      <c r="D3996" s="21" t="inlineStr">
        <is>
          <t>UNID</t>
        </is>
      </c>
      <c r="E3996" s="21" t="inlineStr">
        <is>
          <t>COEFICIENTE</t>
        </is>
      </c>
      <c r="F3996" s="21" t="inlineStr">
        <is>
          <t>PREÇO UNITÁRIO</t>
        </is>
      </c>
      <c r="G3996" s="21" t="inlineStr">
        <is>
          <t>TOTAL</t>
        </is>
      </c>
    </row>
    <row r="3997" ht="15" customHeight="1">
      <c r="A3997" s="22" t="inlineStr">
        <is>
          <t>88309</t>
        </is>
      </c>
      <c r="B3997" s="23" t="inlineStr">
        <is>
          <t>PEDREIRO COM ENCARGOS COMPLEMENTARES</t>
        </is>
      </c>
      <c r="C3997" s="22" t="inlineStr">
        <is>
          <t>SINAPI</t>
        </is>
      </c>
      <c r="D3997" s="22" t="inlineStr">
        <is>
          <t>H</t>
        </is>
      </c>
      <c r="E3997" s="63">
        <f>L3997*FATOR</f>
        <v/>
      </c>
      <c r="F3997" s="64">
        <f>'COMPOSICOES AUXILIARES'!G2887</f>
        <v/>
      </c>
      <c r="G3997" s="64">
        <f>TRUNC(TRUNC(E3997,8)*F3997,2)</f>
        <v/>
      </c>
      <c r="L3997" t="n">
        <v>0.06809999999999999</v>
      </c>
      <c r="M3997" t="n">
        <v>30.58</v>
      </c>
      <c r="N3997">
        <f>(M3997-F3997)</f>
        <v/>
      </c>
    </row>
    <row r="3998" ht="15" customHeight="1">
      <c r="A3998" s="22" t="inlineStr">
        <is>
          <t>88316</t>
        </is>
      </c>
      <c r="B3998" s="23" t="inlineStr">
        <is>
          <t>SERVENTE COM ENCARGOS COMPLEMENTARES</t>
        </is>
      </c>
      <c r="C3998" s="22" t="inlineStr">
        <is>
          <t>SINAPI</t>
        </is>
      </c>
      <c r="D3998" s="22" t="inlineStr">
        <is>
          <t>H</t>
        </is>
      </c>
      <c r="E3998" s="63">
        <f>L3998*FATOR</f>
        <v/>
      </c>
      <c r="F3998" s="64">
        <f>'COMPOSICOES AUXILIARES'!G3390</f>
        <v/>
      </c>
      <c r="G3998" s="64">
        <f>TRUNC(TRUNC(E3998,8)*F3998,2)</f>
        <v/>
      </c>
      <c r="L3998" t="n">
        <v>0.0255</v>
      </c>
      <c r="M3998" t="n">
        <v>23.56</v>
      </c>
      <c r="N3998">
        <f>(M3998-F3998)</f>
        <v/>
      </c>
    </row>
    <row r="3999" ht="18" customHeight="1">
      <c r="A3999" s="2" t="inlineStr"/>
      <c r="B3999" s="2" t="inlineStr"/>
      <c r="C3999" s="2" t="inlineStr"/>
      <c r="D3999" s="2" t="inlineStr"/>
      <c r="E3999" s="26" t="inlineStr">
        <is>
          <t>TOTAL Mão de Obra com Encargos Complementares:</t>
        </is>
      </c>
      <c r="F3999" s="56" t="n"/>
      <c r="G3999" s="65">
        <f>SUM(G3997:G3998)</f>
        <v/>
      </c>
    </row>
    <row r="4000" ht="15" customHeight="1">
      <c r="A4000" s="20" t="inlineStr">
        <is>
          <t>Serviço</t>
        </is>
      </c>
      <c r="B4000" s="56" t="n"/>
      <c r="C4000" s="21" t="inlineStr">
        <is>
          <t>FONTE</t>
        </is>
      </c>
      <c r="D4000" s="21" t="inlineStr">
        <is>
          <t>UNID</t>
        </is>
      </c>
      <c r="E4000" s="21" t="inlineStr">
        <is>
          <t>COEFICIENTE</t>
        </is>
      </c>
      <c r="F4000" s="21" t="inlineStr">
        <is>
          <t>PREÇO UNITÁRIO</t>
        </is>
      </c>
      <c r="G4000" s="21" t="inlineStr">
        <is>
          <t>TOTAL</t>
        </is>
      </c>
    </row>
    <row r="4001" ht="29" customHeight="1">
      <c r="A4001" s="22" t="inlineStr">
        <is>
          <t>87313</t>
        </is>
      </c>
      <c r="B4001" s="23" t="inlineStr">
        <is>
          <t>ARGAMASSA TRAÇO 1:3 (EM VOLUME DE CIMENTO E AREIA GROSSA ÚMIDA) PARA CHAPISCO CONVENCIONAL, PREPARO MECÂNICO COM BETONEIRA 400 L. AF_08/2019</t>
        </is>
      </c>
      <c r="C4001" s="22" t="inlineStr">
        <is>
          <t>SINAPI</t>
        </is>
      </c>
      <c r="D4001" s="22" t="inlineStr">
        <is>
          <t>M3</t>
        </is>
      </c>
      <c r="E4001" s="63" t="n">
        <v>0.0037</v>
      </c>
      <c r="F4001" s="64">
        <f>'COMPOSICOES AUXILIARES'!G251</f>
        <v/>
      </c>
      <c r="G4001" s="64">
        <f>TRUNC(TRUNC(E4001,8)*F4001,2)</f>
        <v/>
      </c>
      <c r="L4001" t="n">
        <v>0.0037</v>
      </c>
      <c r="M4001" t="n">
        <v>571.1900000000001</v>
      </c>
      <c r="N4001">
        <f>(M4001-F4001)</f>
        <v/>
      </c>
    </row>
    <row r="4002" ht="15" customHeight="1">
      <c r="A4002" s="2" t="inlineStr"/>
      <c r="B4002" s="2" t="inlineStr"/>
      <c r="C4002" s="2" t="inlineStr"/>
      <c r="D4002" s="2" t="inlineStr"/>
      <c r="E4002" s="26" t="inlineStr">
        <is>
          <t>TOTAL Serviço:</t>
        </is>
      </c>
      <c r="F4002" s="56" t="n"/>
      <c r="G4002" s="65">
        <f>SUM(G4001:G4001)</f>
        <v/>
      </c>
    </row>
    <row r="4003" ht="15" customHeight="1">
      <c r="A4003" s="2" t="inlineStr"/>
      <c r="B4003" s="2" t="inlineStr"/>
      <c r="C4003" s="2" t="inlineStr"/>
      <c r="D4003" s="2" t="inlineStr"/>
      <c r="E4003" s="28" t="inlineStr">
        <is>
          <t>VALOR:</t>
        </is>
      </c>
      <c r="F4003" s="56" t="n"/>
      <c r="G4003" s="66">
        <f>SUM(G4002,G3999)</f>
        <v/>
      </c>
    </row>
    <row r="4004" ht="15" customHeight="1">
      <c r="A4004" s="2" t="inlineStr"/>
      <c r="B4004" s="2" t="inlineStr"/>
      <c r="C4004" s="2" t="inlineStr"/>
      <c r="D4004" s="2" t="inlineStr"/>
      <c r="E4004" s="28" t="inlineStr">
        <is>
          <t>VALOR BDI (23.08%):</t>
        </is>
      </c>
      <c r="F4004" s="56" t="n"/>
      <c r="G4004" s="66">
        <f>ROUNDDOWN(G4003*BDI,2)</f>
        <v/>
      </c>
    </row>
    <row r="4005" ht="15" customHeight="1">
      <c r="A4005" s="2" t="inlineStr"/>
      <c r="B4005" s="2" t="inlineStr"/>
      <c r="C4005" s="2" t="inlineStr"/>
      <c r="D4005" s="2" t="inlineStr"/>
      <c r="E4005" s="28" t="inlineStr">
        <is>
          <t>VALOR COM BDI:</t>
        </is>
      </c>
      <c r="F4005" s="56" t="n"/>
      <c r="G4005" s="66">
        <f>G4004 + G4003</f>
        <v/>
      </c>
    </row>
    <row r="4006" ht="10" customHeight="1">
      <c r="A4006" s="2" t="inlineStr"/>
      <c r="B4006" s="2" t="inlineStr"/>
      <c r="C4006" s="2" t="inlineStr"/>
      <c r="D4006" s="2" t="inlineStr"/>
      <c r="E4006" s="18" t="inlineStr"/>
    </row>
    <row r="4007" ht="20" customHeight="1">
      <c r="A4007" s="19" t="inlineStr">
        <is>
          <t>11.1.2.1. ​87529​ MASSA ÚNICA, EM ARGAMASSA TRAÇO 1:2:8, PREPARO MECÂNICO, APLICADA MANUALMENTE EM PAREDES INTERNAS DE AMBIENTES COM ÁREA ENTRE 5M² E 10M², E = 17,5MM, COM TALISCAS.AF_03/2024​ (M2)</t>
        </is>
      </c>
      <c r="B4007" s="55" t="n"/>
      <c r="C4007" s="55" t="n"/>
      <c r="D4007" s="55" t="n"/>
      <c r="E4007" s="55" t="n"/>
      <c r="F4007" s="55" t="n"/>
      <c r="G4007" s="56" t="n"/>
    </row>
    <row r="4008" ht="15" customHeight="1">
      <c r="A4008" s="20" t="inlineStr">
        <is>
          <t>Mão de Obra com Encargos Complementares</t>
        </is>
      </c>
      <c r="B4008" s="56" t="n"/>
      <c r="C4008" s="21" t="inlineStr">
        <is>
          <t>FONTE</t>
        </is>
      </c>
      <c r="D4008" s="21" t="inlineStr">
        <is>
          <t>UNID</t>
        </is>
      </c>
      <c r="E4008" s="21" t="inlineStr">
        <is>
          <t>COEFICIENTE</t>
        </is>
      </c>
      <c r="F4008" s="21" t="inlineStr">
        <is>
          <t>PREÇO UNITÁRIO</t>
        </is>
      </c>
      <c r="G4008" s="21" t="inlineStr">
        <is>
          <t>TOTAL</t>
        </is>
      </c>
    </row>
    <row r="4009" ht="15" customHeight="1">
      <c r="A4009" s="22" t="inlineStr">
        <is>
          <t>88309</t>
        </is>
      </c>
      <c r="B4009" s="23" t="inlineStr">
        <is>
          <t>PEDREIRO COM ENCARGOS COMPLEMENTARES</t>
        </is>
      </c>
      <c r="C4009" s="22" t="inlineStr">
        <is>
          <t>SINAPI</t>
        </is>
      </c>
      <c r="D4009" s="22" t="inlineStr">
        <is>
          <t>H</t>
        </is>
      </c>
      <c r="E4009" s="63">
        <f>L4009*FATOR</f>
        <v/>
      </c>
      <c r="F4009" s="64">
        <f>'COMPOSICOES AUXILIARES'!G2887</f>
        <v/>
      </c>
      <c r="G4009" s="64">
        <f>TRUNC(TRUNC(E4009,8)*F4009,2)</f>
        <v/>
      </c>
      <c r="L4009" t="n">
        <v>0.4724</v>
      </c>
      <c r="M4009" t="n">
        <v>30.58</v>
      </c>
      <c r="N4009">
        <f>(M4009-F4009)</f>
        <v/>
      </c>
    </row>
    <row r="4010" ht="15" customHeight="1">
      <c r="A4010" s="22" t="inlineStr">
        <is>
          <t>88316</t>
        </is>
      </c>
      <c r="B4010" s="23" t="inlineStr">
        <is>
          <t>SERVENTE COM ENCARGOS COMPLEMENTARES</t>
        </is>
      </c>
      <c r="C4010" s="22" t="inlineStr">
        <is>
          <t>SINAPI</t>
        </is>
      </c>
      <c r="D4010" s="22" t="inlineStr">
        <is>
          <t>H</t>
        </is>
      </c>
      <c r="E4010" s="63">
        <f>L4010*FATOR</f>
        <v/>
      </c>
      <c r="F4010" s="64">
        <f>'COMPOSICOES AUXILIARES'!G3390</f>
        <v/>
      </c>
      <c r="G4010" s="64">
        <f>TRUNC(TRUNC(E4010,8)*F4010,2)</f>
        <v/>
      </c>
      <c r="L4010" t="n">
        <v>0.2362</v>
      </c>
      <c r="M4010" t="n">
        <v>23.56</v>
      </c>
      <c r="N4010">
        <f>(M4010-F4010)</f>
        <v/>
      </c>
    </row>
    <row r="4011" ht="18" customHeight="1">
      <c r="A4011" s="2" t="inlineStr"/>
      <c r="B4011" s="2" t="inlineStr"/>
      <c r="C4011" s="2" t="inlineStr"/>
      <c r="D4011" s="2" t="inlineStr"/>
      <c r="E4011" s="26" t="inlineStr">
        <is>
          <t>TOTAL Mão de Obra com Encargos Complementares:</t>
        </is>
      </c>
      <c r="F4011" s="56" t="n"/>
      <c r="G4011" s="65">
        <f>SUM(G4009:G4010)</f>
        <v/>
      </c>
    </row>
    <row r="4012" ht="15" customHeight="1">
      <c r="A4012" s="20" t="inlineStr">
        <is>
          <t>Serviço</t>
        </is>
      </c>
      <c r="B4012" s="56" t="n"/>
      <c r="C4012" s="21" t="inlineStr">
        <is>
          <t>FONTE</t>
        </is>
      </c>
      <c r="D4012" s="21" t="inlineStr">
        <is>
          <t>UNID</t>
        </is>
      </c>
      <c r="E4012" s="21" t="inlineStr">
        <is>
          <t>COEFICIENTE</t>
        </is>
      </c>
      <c r="F4012" s="21" t="inlineStr">
        <is>
          <t>PREÇO UNITÁRIO</t>
        </is>
      </c>
      <c r="G4012" s="21" t="inlineStr">
        <is>
          <t>TOTAL</t>
        </is>
      </c>
    </row>
    <row r="4013" ht="38" customHeight="1">
      <c r="A4013" s="22" t="inlineStr">
        <is>
          <t>87292</t>
        </is>
      </c>
      <c r="B4013" s="23" t="inlineStr">
        <is>
          <t>ARGAMASSA TRAÇO 1:2:8 (EM VOLUME DE CIMENTO, CAL E AREIA MÉDIA ÚMIDA) PARA EMBOÇO/MASSA ÚNICA/ASSENTAMENTO DE ALVENARIA DE VEDAÇÃO, PREPARO MECÂNICO COM BETONEIRA 400 L. AF_08/2019</t>
        </is>
      </c>
      <c r="C4013" s="22" t="inlineStr">
        <is>
          <t>SINAPI</t>
        </is>
      </c>
      <c r="D4013" s="22" t="inlineStr">
        <is>
          <t>M3</t>
        </is>
      </c>
      <c r="E4013" s="63" t="n">
        <v>0.0304</v>
      </c>
      <c r="F4013" s="64">
        <f>'COMPOSICOES AUXILIARES'!G217</f>
        <v/>
      </c>
      <c r="G4013" s="64">
        <f>TRUNC(TRUNC(E4013,8)*F4013,2)</f>
        <v/>
      </c>
      <c r="L4013" t="n">
        <v>0.0304</v>
      </c>
      <c r="M4013" t="n">
        <v>654.5</v>
      </c>
      <c r="N4013">
        <f>(M4013-F4013)</f>
        <v/>
      </c>
    </row>
    <row r="4014" ht="15" customHeight="1">
      <c r="A4014" s="2" t="inlineStr"/>
      <c r="B4014" s="2" t="inlineStr"/>
      <c r="C4014" s="2" t="inlineStr"/>
      <c r="D4014" s="2" t="inlineStr"/>
      <c r="E4014" s="26" t="inlineStr">
        <is>
          <t>TOTAL Serviço:</t>
        </is>
      </c>
      <c r="F4014" s="56" t="n"/>
      <c r="G4014" s="65">
        <f>SUM(G4013:G4013)</f>
        <v/>
      </c>
    </row>
    <row r="4015" ht="15" customHeight="1">
      <c r="A4015" s="2" t="inlineStr"/>
      <c r="B4015" s="2" t="inlineStr"/>
      <c r="C4015" s="2" t="inlineStr"/>
      <c r="D4015" s="2" t="inlineStr"/>
      <c r="E4015" s="28" t="inlineStr">
        <is>
          <t>VALOR:</t>
        </is>
      </c>
      <c r="F4015" s="56" t="n"/>
      <c r="G4015" s="66">
        <f>SUM(G4011,G4014)</f>
        <v/>
      </c>
    </row>
    <row r="4016" ht="15" customHeight="1">
      <c r="A4016" s="2" t="inlineStr"/>
      <c r="B4016" s="2" t="inlineStr"/>
      <c r="C4016" s="2" t="inlineStr"/>
      <c r="D4016" s="2" t="inlineStr"/>
      <c r="E4016" s="28" t="inlineStr">
        <is>
          <t>VALOR BDI (23.08%):</t>
        </is>
      </c>
      <c r="F4016" s="56" t="n"/>
      <c r="G4016" s="66">
        <f>ROUNDDOWN(G4015*BDI,2)</f>
        <v/>
      </c>
    </row>
    <row r="4017" ht="15" customHeight="1">
      <c r="A4017" s="2" t="inlineStr"/>
      <c r="B4017" s="2" t="inlineStr"/>
      <c r="C4017" s="2" t="inlineStr"/>
      <c r="D4017" s="2" t="inlineStr"/>
      <c r="E4017" s="28" t="inlineStr">
        <is>
          <t>VALOR COM BDI:</t>
        </is>
      </c>
      <c r="F4017" s="56" t="n"/>
      <c r="G4017" s="66">
        <f>G4016 + G4015</f>
        <v/>
      </c>
    </row>
    <row r="4018" ht="10" customHeight="1">
      <c r="A4018" s="2" t="inlineStr"/>
      <c r="B4018" s="2" t="inlineStr"/>
      <c r="C4018" s="2" t="inlineStr"/>
      <c r="D4018" s="2" t="inlineStr"/>
      <c r="E4018" s="18" t="inlineStr"/>
    </row>
    <row r="4019" ht="20" customHeight="1">
      <c r="A4019" s="19" t="inlineStr">
        <is>
          <t>11.1.2.2. ​87794​ EMBOÇO OU MASSA ÚNICA EM ARGAMASSA TRAÇO 1:2:8, PREPARO MANUAL, APLICADA MANUALMENTE EM PANOS CEGOS DE FACHADA (SEM PRESENÇA DE VÃOS), ESPESSURA DE 25MM. AF_09/2022​ (M2)</t>
        </is>
      </c>
      <c r="B4019" s="55" t="n"/>
      <c r="C4019" s="55" t="n"/>
      <c r="D4019" s="55" t="n"/>
      <c r="E4019" s="55" t="n"/>
      <c r="F4019" s="55" t="n"/>
      <c r="G4019" s="56" t="n"/>
    </row>
    <row r="4020" ht="15" customHeight="1">
      <c r="A4020" s="20" t="inlineStr">
        <is>
          <t>Material</t>
        </is>
      </c>
      <c r="B4020" s="56" t="n"/>
      <c r="C4020" s="21" t="inlineStr">
        <is>
          <t>FONTE</t>
        </is>
      </c>
      <c r="D4020" s="21" t="inlineStr">
        <is>
          <t>UNID</t>
        </is>
      </c>
      <c r="E4020" s="21" t="inlineStr">
        <is>
          <t>COEFICIENTE</t>
        </is>
      </c>
      <c r="F4020" s="21" t="inlineStr">
        <is>
          <t>PREÇO UNITÁRIO</t>
        </is>
      </c>
      <c r="G4020" s="21" t="inlineStr">
        <is>
          <t>TOTAL</t>
        </is>
      </c>
    </row>
    <row r="4021" ht="21" customHeight="1">
      <c r="A4021" s="22" t="inlineStr">
        <is>
          <t>00037411</t>
        </is>
      </c>
      <c r="B4021" s="23" t="inlineStr">
        <is>
          <t>TELA DE ACO SOLDADA GALVANIZADA/ZINCADA PARA ALVENARIA, FIO D = *1,24 MM, MALHA 25 X 25 MM</t>
        </is>
      </c>
      <c r="C4021" s="22" t="inlineStr">
        <is>
          <t>SINAPI</t>
        </is>
      </c>
      <c r="D4021" s="22" t="inlineStr">
        <is>
          <t>M2</t>
        </is>
      </c>
      <c r="E4021" s="63" t="n">
        <v>0.1581</v>
      </c>
      <c r="F4021" s="64">
        <f>ROUND(M4021*FATOR, 2)</f>
        <v/>
      </c>
      <c r="G4021" s="64">
        <f>TRUNC(TRUNC(E4021,8)*F4021,2)</f>
        <v/>
      </c>
      <c r="L4021" t="n">
        <v>0.1581</v>
      </c>
      <c r="M4021" t="n">
        <v>15.07</v>
      </c>
      <c r="N4021">
        <f>(M4021-F4021)</f>
        <v/>
      </c>
    </row>
    <row r="4022" ht="15" customHeight="1">
      <c r="A4022" s="2" t="inlineStr"/>
      <c r="B4022" s="2" t="inlineStr"/>
      <c r="C4022" s="2" t="inlineStr"/>
      <c r="D4022" s="2" t="inlineStr"/>
      <c r="E4022" s="26" t="inlineStr">
        <is>
          <t>TOTAL Material:</t>
        </is>
      </c>
      <c r="F4022" s="56" t="n"/>
      <c r="G4022" s="65">
        <f>SUM(G4021:G4021)</f>
        <v/>
      </c>
    </row>
    <row r="4023" ht="15" customHeight="1">
      <c r="A4023" s="20" t="inlineStr">
        <is>
          <t>Mão de Obra com Encargos Complementares</t>
        </is>
      </c>
      <c r="B4023" s="56" t="n"/>
      <c r="C4023" s="21" t="inlineStr">
        <is>
          <t>FONTE</t>
        </is>
      </c>
      <c r="D4023" s="21" t="inlineStr">
        <is>
          <t>UNID</t>
        </is>
      </c>
      <c r="E4023" s="21" t="inlineStr">
        <is>
          <t>COEFICIENTE</t>
        </is>
      </c>
      <c r="F4023" s="21" t="inlineStr">
        <is>
          <t>PREÇO UNITÁRIO</t>
        </is>
      </c>
      <c r="G4023" s="21" t="inlineStr">
        <is>
          <t>TOTAL</t>
        </is>
      </c>
    </row>
    <row r="4024" ht="15" customHeight="1">
      <c r="A4024" s="22" t="inlineStr">
        <is>
          <t>88309</t>
        </is>
      </c>
      <c r="B4024" s="23" t="inlineStr">
        <is>
          <t>PEDREIRO COM ENCARGOS COMPLEMENTARES</t>
        </is>
      </c>
      <c r="C4024" s="22" t="inlineStr">
        <is>
          <t>SINAPI</t>
        </is>
      </c>
      <c r="D4024" s="22" t="inlineStr">
        <is>
          <t>H</t>
        </is>
      </c>
      <c r="E4024" s="63">
        <f>L4024*FATOR</f>
        <v/>
      </c>
      <c r="F4024" s="64">
        <f>'COMPOSICOES AUXILIARES'!G2887</f>
        <v/>
      </c>
      <c r="G4024" s="64">
        <f>TRUNC(TRUNC(E4024,8)*F4024,2)</f>
        <v/>
      </c>
      <c r="L4024" t="n">
        <v>0.409</v>
      </c>
      <c r="M4024" t="n">
        <v>30.58</v>
      </c>
      <c r="N4024">
        <f>(M4024-F4024)</f>
        <v/>
      </c>
    </row>
    <row r="4025" ht="15" customHeight="1">
      <c r="A4025" s="22" t="inlineStr">
        <is>
          <t>88316</t>
        </is>
      </c>
      <c r="B4025" s="23" t="inlineStr">
        <is>
          <t>SERVENTE COM ENCARGOS COMPLEMENTARES</t>
        </is>
      </c>
      <c r="C4025" s="22" t="inlineStr">
        <is>
          <t>SINAPI</t>
        </is>
      </c>
      <c r="D4025" s="22" t="inlineStr">
        <is>
          <t>H</t>
        </is>
      </c>
      <c r="E4025" s="63">
        <f>L4025*FATOR</f>
        <v/>
      </c>
      <c r="F4025" s="64">
        <f>'COMPOSICOES AUXILIARES'!G3390</f>
        <v/>
      </c>
      <c r="G4025" s="64">
        <f>TRUNC(TRUNC(E4025,8)*F4025,2)</f>
        <v/>
      </c>
      <c r="L4025" t="n">
        <v>0.409</v>
      </c>
      <c r="M4025" t="n">
        <v>23.56</v>
      </c>
      <c r="N4025">
        <f>(M4025-F4025)</f>
        <v/>
      </c>
    </row>
    <row r="4026" ht="18" customHeight="1">
      <c r="A4026" s="2" t="inlineStr"/>
      <c r="B4026" s="2" t="inlineStr"/>
      <c r="C4026" s="2" t="inlineStr"/>
      <c r="D4026" s="2" t="inlineStr"/>
      <c r="E4026" s="26" t="inlineStr">
        <is>
          <t>TOTAL Mão de Obra com Encargos Complementares:</t>
        </is>
      </c>
      <c r="F4026" s="56" t="n"/>
      <c r="G4026" s="65">
        <f>SUM(G4024:G4025)</f>
        <v/>
      </c>
    </row>
    <row r="4027" ht="15" customHeight="1">
      <c r="A4027" s="20" t="inlineStr">
        <is>
          <t>Serviço</t>
        </is>
      </c>
      <c r="B4027" s="56" t="n"/>
      <c r="C4027" s="21" t="inlineStr">
        <is>
          <t>FONTE</t>
        </is>
      </c>
      <c r="D4027" s="21" t="inlineStr">
        <is>
          <t>UNID</t>
        </is>
      </c>
      <c r="E4027" s="21" t="inlineStr">
        <is>
          <t>COEFICIENTE</t>
        </is>
      </c>
      <c r="F4027" s="21" t="inlineStr">
        <is>
          <t>PREÇO UNITÁRIO</t>
        </is>
      </c>
      <c r="G4027" s="21" t="inlineStr">
        <is>
          <t>TOTAL</t>
        </is>
      </c>
    </row>
    <row r="4028" ht="38" customHeight="1">
      <c r="A4028" s="22" t="inlineStr">
        <is>
          <t>87369</t>
        </is>
      </c>
      <c r="B4028" s="23" t="inlineStr">
        <is>
          <t>ARGAMASSA TRAÇO 1:2:8 (EM VOLUME DE CIMENTO, CAL E AREIA MÉDIA ÚMIDA) PARA EMBOÇO/MASSA ÚNICA/ASSENTAMENTO DE ALVENARIA DE VEDAÇÃO, PREPARO MANUAL. AF_08/2019</t>
        </is>
      </c>
      <c r="C4028" s="22" t="inlineStr">
        <is>
          <t>SINAPI</t>
        </is>
      </c>
      <c r="D4028" s="22" t="inlineStr">
        <is>
          <t>M3</t>
        </is>
      </c>
      <c r="E4028" s="63" t="n">
        <v>0.0293</v>
      </c>
      <c r="F4028" s="64">
        <f>'COMPOSICOES AUXILIARES'!G200</f>
        <v/>
      </c>
      <c r="G4028" s="64">
        <f>TRUNC(TRUNC(E4028,8)*F4028,2)</f>
        <v/>
      </c>
      <c r="L4028" t="n">
        <v>0.0293</v>
      </c>
      <c r="M4028" t="n">
        <v>771.21</v>
      </c>
      <c r="N4028">
        <f>(M4028-F4028)</f>
        <v/>
      </c>
    </row>
    <row r="4029" ht="15" customHeight="1">
      <c r="A4029" s="2" t="inlineStr"/>
      <c r="B4029" s="2" t="inlineStr"/>
      <c r="C4029" s="2" t="inlineStr"/>
      <c r="D4029" s="2" t="inlineStr"/>
      <c r="E4029" s="26" t="inlineStr">
        <is>
          <t>TOTAL Serviço:</t>
        </is>
      </c>
      <c r="F4029" s="56" t="n"/>
      <c r="G4029" s="65">
        <f>SUM(G4028:G4028)</f>
        <v/>
      </c>
    </row>
    <row r="4030" ht="15" customHeight="1">
      <c r="A4030" s="2" t="inlineStr"/>
      <c r="B4030" s="2" t="inlineStr"/>
      <c r="C4030" s="2" t="inlineStr"/>
      <c r="D4030" s="2" t="inlineStr"/>
      <c r="E4030" s="28" t="inlineStr">
        <is>
          <t>VALOR:</t>
        </is>
      </c>
      <c r="F4030" s="56" t="n"/>
      <c r="G4030" s="66">
        <f>SUM(G4026,G4029,G4022)</f>
        <v/>
      </c>
    </row>
    <row r="4031" ht="15" customHeight="1">
      <c r="A4031" s="2" t="inlineStr"/>
      <c r="B4031" s="2" t="inlineStr"/>
      <c r="C4031" s="2" t="inlineStr"/>
      <c r="D4031" s="2" t="inlineStr"/>
      <c r="E4031" s="28" t="inlineStr">
        <is>
          <t>VALOR BDI (23.08%):</t>
        </is>
      </c>
      <c r="F4031" s="56" t="n"/>
      <c r="G4031" s="66">
        <f>ROUNDDOWN(G4030*BDI,2)</f>
        <v/>
      </c>
    </row>
    <row r="4032" ht="15" customHeight="1">
      <c r="A4032" s="2" t="inlineStr"/>
      <c r="B4032" s="2" t="inlineStr"/>
      <c r="C4032" s="2" t="inlineStr"/>
      <c r="D4032" s="2" t="inlineStr"/>
      <c r="E4032" s="28" t="inlineStr">
        <is>
          <t>VALOR COM BDI:</t>
        </is>
      </c>
      <c r="F4032" s="56" t="n"/>
      <c r="G4032" s="66">
        <f>G4031 + G4030</f>
        <v/>
      </c>
    </row>
    <row r="4033" ht="10" customHeight="1">
      <c r="A4033" s="2" t="inlineStr"/>
      <c r="B4033" s="2" t="inlineStr"/>
      <c r="C4033" s="2" t="inlineStr"/>
      <c r="D4033" s="2" t="inlineStr"/>
      <c r="E4033" s="18" t="inlineStr"/>
    </row>
    <row r="4034" ht="20" customHeight="1">
      <c r="A4034" s="19" t="inlineStr">
        <is>
          <t>11.2.1.1. ​87692​ CONTRAPISO EM ARGAMASSA TRAÇO 1:4 (CIMENTO E AREIA), PREPARO MANUAL, APLICADO EM ÁREAS SECAS SOBRE LAJE, NÃO ADERIDO, ACABAMENTO NÃO REFORÇADO, ESPESSURA 5CM.AF_07/2021​ (M2)</t>
        </is>
      </c>
      <c r="B4034" s="55" t="n"/>
      <c r="C4034" s="55" t="n"/>
      <c r="D4034" s="55" t="n"/>
      <c r="E4034" s="55" t="n"/>
      <c r="F4034" s="55" t="n"/>
      <c r="G4034" s="56" t="n"/>
    </row>
    <row r="4035" ht="15" customHeight="1">
      <c r="A4035" s="20" t="inlineStr">
        <is>
          <t>Mão de Obra com Encargos Complementares</t>
        </is>
      </c>
      <c r="B4035" s="56" t="n"/>
      <c r="C4035" s="21" t="inlineStr">
        <is>
          <t>FONTE</t>
        </is>
      </c>
      <c r="D4035" s="21" t="inlineStr">
        <is>
          <t>UNID</t>
        </is>
      </c>
      <c r="E4035" s="21" t="inlineStr">
        <is>
          <t>COEFICIENTE</t>
        </is>
      </c>
      <c r="F4035" s="21" t="inlineStr">
        <is>
          <t>PREÇO UNITÁRIO</t>
        </is>
      </c>
      <c r="G4035" s="21" t="inlineStr">
        <is>
          <t>TOTAL</t>
        </is>
      </c>
    </row>
    <row r="4036" ht="15" customHeight="1">
      <c r="A4036" s="22" t="inlineStr">
        <is>
          <t>88309</t>
        </is>
      </c>
      <c r="B4036" s="23" t="inlineStr">
        <is>
          <t>PEDREIRO COM ENCARGOS COMPLEMENTARES</t>
        </is>
      </c>
      <c r="C4036" s="22" t="inlineStr">
        <is>
          <t>SINAPI</t>
        </is>
      </c>
      <c r="D4036" s="22" t="inlineStr">
        <is>
          <t>H</t>
        </is>
      </c>
      <c r="E4036" s="63">
        <f>L4036*FATOR</f>
        <v/>
      </c>
      <c r="F4036" s="64">
        <f>'COMPOSICOES AUXILIARES'!G2887</f>
        <v/>
      </c>
      <c r="G4036" s="64">
        <f>TRUNC(TRUNC(E4036,8)*F4036,2)</f>
        <v/>
      </c>
      <c r="L4036" t="n">
        <v>0.285</v>
      </c>
      <c r="M4036" t="n">
        <v>30.58</v>
      </c>
      <c r="N4036">
        <f>(M4036-F4036)</f>
        <v/>
      </c>
    </row>
    <row r="4037" ht="15" customHeight="1">
      <c r="A4037" s="22" t="inlineStr">
        <is>
          <t>88316</t>
        </is>
      </c>
      <c r="B4037" s="23" t="inlineStr">
        <is>
          <t>SERVENTE COM ENCARGOS COMPLEMENTARES</t>
        </is>
      </c>
      <c r="C4037" s="22" t="inlineStr">
        <is>
          <t>SINAPI</t>
        </is>
      </c>
      <c r="D4037" s="22" t="inlineStr">
        <is>
          <t>H</t>
        </is>
      </c>
      <c r="E4037" s="63">
        <f>L4037*FATOR</f>
        <v/>
      </c>
      <c r="F4037" s="64">
        <f>'COMPOSICOES AUXILIARES'!G3390</f>
        <v/>
      </c>
      <c r="G4037" s="64">
        <f>TRUNC(TRUNC(E4037,8)*F4037,2)</f>
        <v/>
      </c>
      <c r="L4037" t="n">
        <v>0.142</v>
      </c>
      <c r="M4037" t="n">
        <v>23.56</v>
      </c>
      <c r="N4037">
        <f>(M4037-F4037)</f>
        <v/>
      </c>
    </row>
    <row r="4038" ht="18" customHeight="1">
      <c r="A4038" s="2" t="inlineStr"/>
      <c r="B4038" s="2" t="inlineStr"/>
      <c r="C4038" s="2" t="inlineStr"/>
      <c r="D4038" s="2" t="inlineStr"/>
      <c r="E4038" s="26" t="inlineStr">
        <is>
          <t>TOTAL Mão de Obra com Encargos Complementares:</t>
        </is>
      </c>
      <c r="F4038" s="56" t="n"/>
      <c r="G4038" s="65">
        <f>SUM(G4036:G4037)</f>
        <v/>
      </c>
    </row>
    <row r="4039" ht="15" customHeight="1">
      <c r="A4039" s="20" t="inlineStr">
        <is>
          <t>Serviço</t>
        </is>
      </c>
      <c r="B4039" s="56" t="n"/>
      <c r="C4039" s="21" t="inlineStr">
        <is>
          <t>FONTE</t>
        </is>
      </c>
      <c r="D4039" s="21" t="inlineStr">
        <is>
          <t>UNID</t>
        </is>
      </c>
      <c r="E4039" s="21" t="inlineStr">
        <is>
          <t>COEFICIENTE</t>
        </is>
      </c>
      <c r="F4039" s="21" t="inlineStr">
        <is>
          <t>PREÇO UNITÁRIO</t>
        </is>
      </c>
      <c r="G4039" s="21" t="inlineStr">
        <is>
          <t>TOTAL</t>
        </is>
      </c>
    </row>
    <row r="4040" ht="29" customHeight="1">
      <c r="A4040" s="22" t="inlineStr">
        <is>
          <t>87373</t>
        </is>
      </c>
      <c r="B4040" s="23" t="inlineStr">
        <is>
          <t>ARGAMASSA TRAÇO 1:4 (EM VOLUME DE CIMENTO E AREIA MÉDIA ÚMIDA) PARA CONTRAPISO, PREPARO MANUAL. AF_08/2019</t>
        </is>
      </c>
      <c r="C4040" s="22" t="inlineStr">
        <is>
          <t>SINAPI</t>
        </is>
      </c>
      <c r="D4040" s="22" t="inlineStr">
        <is>
          <t>M3</t>
        </is>
      </c>
      <c r="E4040" s="63" t="n">
        <v>0.0607</v>
      </c>
      <c r="F4040" s="64">
        <f>'COMPOSICOES AUXILIARES'!G352</f>
        <v/>
      </c>
      <c r="G4040" s="64">
        <f>TRUNC(TRUNC(E4040,8)*F4040,2)</f>
        <v/>
      </c>
      <c r="L4040" t="n">
        <v>0.0607</v>
      </c>
      <c r="M4040" t="n">
        <v>771.51</v>
      </c>
      <c r="N4040">
        <f>(M4040-F4040)</f>
        <v/>
      </c>
    </row>
    <row r="4041" ht="15" customHeight="1">
      <c r="A4041" s="2" t="inlineStr"/>
      <c r="B4041" s="2" t="inlineStr"/>
      <c r="C4041" s="2" t="inlineStr"/>
      <c r="D4041" s="2" t="inlineStr"/>
      <c r="E4041" s="26" t="inlineStr">
        <is>
          <t>TOTAL Serviço:</t>
        </is>
      </c>
      <c r="F4041" s="56" t="n"/>
      <c r="G4041" s="65">
        <f>SUM(G4040:G4040)</f>
        <v/>
      </c>
    </row>
    <row r="4042" ht="15" customHeight="1">
      <c r="A4042" s="2" t="inlineStr"/>
      <c r="B4042" s="2" t="inlineStr"/>
      <c r="C4042" s="2" t="inlineStr"/>
      <c r="D4042" s="2" t="inlineStr"/>
      <c r="E4042" s="28" t="inlineStr">
        <is>
          <t>VALOR:</t>
        </is>
      </c>
      <c r="F4042" s="56" t="n"/>
      <c r="G4042" s="66">
        <f>SUM(G4041,G4038)</f>
        <v/>
      </c>
    </row>
    <row r="4043" ht="15" customHeight="1">
      <c r="A4043" s="2" t="inlineStr"/>
      <c r="B4043" s="2" t="inlineStr"/>
      <c r="C4043" s="2" t="inlineStr"/>
      <c r="D4043" s="2" t="inlineStr"/>
      <c r="E4043" s="28" t="inlineStr">
        <is>
          <t>VALOR BDI (23.08%):</t>
        </is>
      </c>
      <c r="F4043" s="56" t="n"/>
      <c r="G4043" s="66">
        <f>ROUNDDOWN(G4042*BDI,2)</f>
        <v/>
      </c>
    </row>
    <row r="4044" ht="15" customHeight="1">
      <c r="A4044" s="2" t="inlineStr"/>
      <c r="B4044" s="2" t="inlineStr"/>
      <c r="C4044" s="2" t="inlineStr"/>
      <c r="D4044" s="2" t="inlineStr"/>
      <c r="E4044" s="28" t="inlineStr">
        <is>
          <t>VALOR COM BDI:</t>
        </is>
      </c>
      <c r="F4044" s="56" t="n"/>
      <c r="G4044" s="66">
        <f>G4043 + G4042</f>
        <v/>
      </c>
    </row>
    <row r="4045" ht="10" customHeight="1">
      <c r="A4045" s="2" t="inlineStr"/>
      <c r="B4045" s="2" t="inlineStr"/>
      <c r="C4045" s="2" t="inlineStr"/>
      <c r="D4045" s="2" t="inlineStr"/>
      <c r="E4045" s="18" t="inlineStr"/>
    </row>
    <row r="4046" ht="20" customHeight="1">
      <c r="A4046" s="19" t="inlineStr">
        <is>
          <t>11.2.1.2. ​87768​ CONTRAPISO EM ARGAMASSA PRONTA, PREPARO MECÂNICO COM MISTURADOR 300 KG, APLICADO EM ÁREAS MOLHADAS SOBRE IMPERMEABILIZAÇÃO, ACABAMENTO NÃO REFORÇADO,ESPESSURA 4CM. AF_07/2021​ (M2)</t>
        </is>
      </c>
      <c r="B4046" s="55" t="n"/>
      <c r="C4046" s="55" t="n"/>
      <c r="D4046" s="55" t="n"/>
      <c r="E4046" s="55" t="n"/>
      <c r="F4046" s="55" t="n"/>
      <c r="G4046" s="56" t="n"/>
    </row>
    <row r="4047" ht="15" customHeight="1">
      <c r="A4047" s="20" t="inlineStr">
        <is>
          <t>Material</t>
        </is>
      </c>
      <c r="B4047" s="56" t="n"/>
      <c r="C4047" s="21" t="inlineStr">
        <is>
          <t>FONTE</t>
        </is>
      </c>
      <c r="D4047" s="21" t="inlineStr">
        <is>
          <t>UNID</t>
        </is>
      </c>
      <c r="E4047" s="21" t="inlineStr">
        <is>
          <t>COEFICIENTE</t>
        </is>
      </c>
      <c r="F4047" s="21" t="inlineStr">
        <is>
          <t>PREÇO UNITÁRIO</t>
        </is>
      </c>
      <c r="G4047" s="21" t="inlineStr">
        <is>
          <t>TOTAL</t>
        </is>
      </c>
    </row>
    <row r="4048" ht="15" customHeight="1">
      <c r="A4048" s="22" t="inlineStr">
        <is>
          <t>00001379</t>
        </is>
      </c>
      <c r="B4048" s="23" t="inlineStr">
        <is>
          <t>CIMENTO PORTLAND COMPOSTO CP II-32</t>
        </is>
      </c>
      <c r="C4048" s="22" t="inlineStr">
        <is>
          <t>SINAPI</t>
        </is>
      </c>
      <c r="D4048" s="22" t="inlineStr">
        <is>
          <t>KG</t>
        </is>
      </c>
      <c r="E4048" s="63" t="n">
        <v>0.5</v>
      </c>
      <c r="F4048" s="64">
        <f>ROUND(M4048*FATOR, 2)</f>
        <v/>
      </c>
      <c r="G4048" s="64">
        <f>TRUNC(TRUNC(E4048,8)*F4048,2)</f>
        <v/>
      </c>
      <c r="L4048" t="n">
        <v>0.5</v>
      </c>
      <c r="M4048" t="n">
        <v>0.74</v>
      </c>
      <c r="N4048">
        <f>(M4048-F4048)</f>
        <v/>
      </c>
    </row>
    <row r="4049" ht="15" customHeight="1">
      <c r="A4049" s="2" t="inlineStr"/>
      <c r="B4049" s="2" t="inlineStr"/>
      <c r="C4049" s="2" t="inlineStr"/>
      <c r="D4049" s="2" t="inlineStr"/>
      <c r="E4049" s="26" t="inlineStr">
        <is>
          <t>TOTAL Material:</t>
        </is>
      </c>
      <c r="F4049" s="56" t="n"/>
      <c r="G4049" s="65">
        <f>SUM(G4048:G4048)</f>
        <v/>
      </c>
    </row>
    <row r="4050" ht="15" customHeight="1">
      <c r="A4050" s="20" t="inlineStr">
        <is>
          <t>Mão de Obra com Encargos Complementares</t>
        </is>
      </c>
      <c r="B4050" s="56" t="n"/>
      <c r="C4050" s="21" t="inlineStr">
        <is>
          <t>FONTE</t>
        </is>
      </c>
      <c r="D4050" s="21" t="inlineStr">
        <is>
          <t>UNID</t>
        </is>
      </c>
      <c r="E4050" s="21" t="inlineStr">
        <is>
          <t>COEFICIENTE</t>
        </is>
      </c>
      <c r="F4050" s="21" t="inlineStr">
        <is>
          <t>PREÇO UNITÁRIO</t>
        </is>
      </c>
      <c r="G4050" s="21" t="inlineStr">
        <is>
          <t>TOTAL</t>
        </is>
      </c>
    </row>
    <row r="4051" ht="15" customHeight="1">
      <c r="A4051" s="22" t="inlineStr">
        <is>
          <t>88309</t>
        </is>
      </c>
      <c r="B4051" s="23" t="inlineStr">
        <is>
          <t>PEDREIRO COM ENCARGOS COMPLEMENTARES</t>
        </is>
      </c>
      <c r="C4051" s="22" t="inlineStr">
        <is>
          <t>SINAPI</t>
        </is>
      </c>
      <c r="D4051" s="22" t="inlineStr">
        <is>
          <t>H</t>
        </is>
      </c>
      <c r="E4051" s="63">
        <f>L4051*FATOR</f>
        <v/>
      </c>
      <c r="F4051" s="64">
        <f>'COMPOSICOES AUXILIARES'!G2887</f>
        <v/>
      </c>
      <c r="G4051" s="64">
        <f>TRUNC(TRUNC(E4051,8)*F4051,2)</f>
        <v/>
      </c>
      <c r="L4051" t="n">
        <v>0.616</v>
      </c>
      <c r="M4051" t="n">
        <v>30.58</v>
      </c>
      <c r="N4051">
        <f>(M4051-F4051)</f>
        <v/>
      </c>
    </row>
    <row r="4052" ht="15" customHeight="1">
      <c r="A4052" s="22" t="inlineStr">
        <is>
          <t>88316</t>
        </is>
      </c>
      <c r="B4052" s="23" t="inlineStr">
        <is>
          <t>SERVENTE COM ENCARGOS COMPLEMENTARES</t>
        </is>
      </c>
      <c r="C4052" s="22" t="inlineStr">
        <is>
          <t>SINAPI</t>
        </is>
      </c>
      <c r="D4052" s="22" t="inlineStr">
        <is>
          <t>H</t>
        </is>
      </c>
      <c r="E4052" s="63">
        <f>L4052*FATOR</f>
        <v/>
      </c>
      <c r="F4052" s="64">
        <f>'COMPOSICOES AUXILIARES'!G3390</f>
        <v/>
      </c>
      <c r="G4052" s="64">
        <f>TRUNC(TRUNC(E4052,8)*F4052,2)</f>
        <v/>
      </c>
      <c r="L4052" t="n">
        <v>0.308</v>
      </c>
      <c r="M4052" t="n">
        <v>23.56</v>
      </c>
      <c r="N4052">
        <f>(M4052-F4052)</f>
        <v/>
      </c>
    </row>
    <row r="4053" ht="18" customHeight="1">
      <c r="A4053" s="2" t="inlineStr"/>
      <c r="B4053" s="2" t="inlineStr"/>
      <c r="C4053" s="2" t="inlineStr"/>
      <c r="D4053" s="2" t="inlineStr"/>
      <c r="E4053" s="26" t="inlineStr">
        <is>
          <t>TOTAL Mão de Obra com Encargos Complementares:</t>
        </is>
      </c>
      <c r="F4053" s="56" t="n"/>
      <c r="G4053" s="65">
        <f>SUM(G4051:G4052)</f>
        <v/>
      </c>
    </row>
    <row r="4054" ht="15" customHeight="1">
      <c r="A4054" s="20" t="inlineStr">
        <is>
          <t>Serviço</t>
        </is>
      </c>
      <c r="B4054" s="56" t="n"/>
      <c r="C4054" s="21" t="inlineStr">
        <is>
          <t>FONTE</t>
        </is>
      </c>
      <c r="D4054" s="21" t="inlineStr">
        <is>
          <t>UNID</t>
        </is>
      </c>
      <c r="E4054" s="21" t="inlineStr">
        <is>
          <t>COEFICIENTE</t>
        </is>
      </c>
      <c r="F4054" s="21" t="inlineStr">
        <is>
          <t>PREÇO UNITÁRIO</t>
        </is>
      </c>
      <c r="G4054" s="21" t="inlineStr">
        <is>
          <t>TOTAL</t>
        </is>
      </c>
    </row>
    <row r="4055" ht="29" customHeight="1">
      <c r="A4055" s="22" t="inlineStr">
        <is>
          <t>87386</t>
        </is>
      </c>
      <c r="B4055" s="23" t="inlineStr">
        <is>
          <t>ARGAMASSA PRONTA PARA CONTRAPISO, PREPARO COM MISTURADOR DE EIXO HORIZONTAL DE 300 KG. AF_08/2019</t>
        </is>
      </c>
      <c r="C4055" s="22" t="inlineStr">
        <is>
          <t>SINAPI</t>
        </is>
      </c>
      <c r="D4055" s="22" t="inlineStr">
        <is>
          <t>M3</t>
        </is>
      </c>
      <c r="E4055" s="63" t="n">
        <v>0.053</v>
      </c>
      <c r="F4055" s="64">
        <f>'COMPOSICOES AUXILIARES'!G150</f>
        <v/>
      </c>
      <c r="G4055" s="64">
        <f>TRUNC(TRUNC(E4055,8)*F4055,2)</f>
        <v/>
      </c>
      <c r="L4055" t="n">
        <v>0.053</v>
      </c>
      <c r="M4055" t="n">
        <v>2880.52</v>
      </c>
      <c r="N4055">
        <f>(M4055-F4055)</f>
        <v/>
      </c>
    </row>
    <row r="4056" ht="15" customHeight="1">
      <c r="A4056" s="2" t="inlineStr"/>
      <c r="B4056" s="2" t="inlineStr"/>
      <c r="C4056" s="2" t="inlineStr"/>
      <c r="D4056" s="2" t="inlineStr"/>
      <c r="E4056" s="26" t="inlineStr">
        <is>
          <t>TOTAL Serviço:</t>
        </is>
      </c>
      <c r="F4056" s="56" t="n"/>
      <c r="G4056" s="65">
        <f>SUM(G4055:G4055)</f>
        <v/>
      </c>
    </row>
    <row r="4057" ht="15" customHeight="1">
      <c r="A4057" s="2" t="inlineStr"/>
      <c r="B4057" s="2" t="inlineStr"/>
      <c r="C4057" s="2" t="inlineStr"/>
      <c r="D4057" s="2" t="inlineStr"/>
      <c r="E4057" s="28" t="inlineStr">
        <is>
          <t>VALOR:</t>
        </is>
      </c>
      <c r="F4057" s="56" t="n"/>
      <c r="G4057" s="66">
        <f>SUM(G4056,G4049,G4053)</f>
        <v/>
      </c>
    </row>
    <row r="4058" ht="15" customHeight="1">
      <c r="A4058" s="2" t="inlineStr"/>
      <c r="B4058" s="2" t="inlineStr"/>
      <c r="C4058" s="2" t="inlineStr"/>
      <c r="D4058" s="2" t="inlineStr"/>
      <c r="E4058" s="28" t="inlineStr">
        <is>
          <t>VALOR BDI (23.08%):</t>
        </is>
      </c>
      <c r="F4058" s="56" t="n"/>
      <c r="G4058" s="66">
        <f>ROUNDDOWN(G4057*BDI,2)</f>
        <v/>
      </c>
    </row>
    <row r="4059" ht="15" customHeight="1">
      <c r="A4059" s="2" t="inlineStr"/>
      <c r="B4059" s="2" t="inlineStr"/>
      <c r="C4059" s="2" t="inlineStr"/>
      <c r="D4059" s="2" t="inlineStr"/>
      <c r="E4059" s="28" t="inlineStr">
        <is>
          <t>VALOR COM BDI:</t>
        </is>
      </c>
      <c r="F4059" s="56" t="n"/>
      <c r="G4059" s="66">
        <f>G4058 + G4057</f>
        <v/>
      </c>
    </row>
    <row r="4060" ht="10" customHeight="1">
      <c r="A4060" s="2" t="inlineStr"/>
      <c r="B4060" s="2" t="inlineStr"/>
      <c r="C4060" s="2" t="inlineStr"/>
      <c r="D4060" s="2" t="inlineStr"/>
      <c r="E4060" s="18" t="inlineStr"/>
    </row>
    <row r="4061" ht="20" customHeight="1">
      <c r="A4061" s="19" t="inlineStr">
        <is>
          <t>12.1.1.1. ​87265​ REVESTIMENTO CERÂMICO PARA PAREDES INTERNAS COM PLACAS TIPO ESMALTADA DE DIMENSÕES 20X20 CM APLICADAS NA ALTURA INTEIRA DASPAREDES. AF_02/2023_PE​ (M2)</t>
        </is>
      </c>
      <c r="B4061" s="55" t="n"/>
      <c r="C4061" s="55" t="n"/>
      <c r="D4061" s="55" t="n"/>
      <c r="E4061" s="55" t="n"/>
      <c r="F4061" s="55" t="n"/>
      <c r="G4061" s="56" t="n"/>
    </row>
    <row r="4062" ht="15" customHeight="1">
      <c r="A4062" s="20" t="inlineStr">
        <is>
          <t>Material</t>
        </is>
      </c>
      <c r="B4062" s="56" t="n"/>
      <c r="C4062" s="21" t="inlineStr">
        <is>
          <t>FONTE</t>
        </is>
      </c>
      <c r="D4062" s="21" t="inlineStr">
        <is>
          <t>UNID</t>
        </is>
      </c>
      <c r="E4062" s="21" t="inlineStr">
        <is>
          <t>COEFICIENTE</t>
        </is>
      </c>
      <c r="F4062" s="21" t="inlineStr">
        <is>
          <t>PREÇO UNITÁRIO</t>
        </is>
      </c>
      <c r="G4062" s="21" t="inlineStr">
        <is>
          <t>TOTAL</t>
        </is>
      </c>
    </row>
    <row r="4063" ht="15" customHeight="1">
      <c r="A4063" s="22" t="inlineStr">
        <is>
          <t>00001381</t>
        </is>
      </c>
      <c r="B4063" s="23" t="inlineStr">
        <is>
          <t>ARGAMASSA COLANTE AC I PARA CERAMICAS</t>
        </is>
      </c>
      <c r="C4063" s="22" t="inlineStr">
        <is>
          <t>SINAPI</t>
        </is>
      </c>
      <c r="D4063" s="22" t="inlineStr">
        <is>
          <t>KG</t>
        </is>
      </c>
      <c r="E4063" s="63" t="n">
        <v>4.91</v>
      </c>
      <c r="F4063" s="64">
        <f>ROUND(M4063*FATOR, 2)</f>
        <v/>
      </c>
      <c r="G4063" s="64">
        <f>TRUNC(TRUNC(E4063,8)*F4063,2)</f>
        <v/>
      </c>
      <c r="L4063" t="n">
        <v>4.91</v>
      </c>
      <c r="M4063" t="n">
        <v>1.17</v>
      </c>
      <c r="N4063">
        <f>(M4063-F4063)</f>
        <v/>
      </c>
    </row>
    <row r="4064" ht="15" customHeight="1">
      <c r="A4064" s="22" t="inlineStr">
        <is>
          <t>00034357</t>
        </is>
      </c>
      <c r="B4064" s="23" t="inlineStr">
        <is>
          <t>REJUNTE CIMENTICIO, QUALQUER COR</t>
        </is>
      </c>
      <c r="C4064" s="22" t="inlineStr">
        <is>
          <t>SINAPI</t>
        </is>
      </c>
      <c r="D4064" s="22" t="inlineStr">
        <is>
          <t>KG</t>
        </is>
      </c>
      <c r="E4064" s="63" t="n">
        <v>0.422</v>
      </c>
      <c r="F4064" s="64">
        <f>ROUND(M4064*FATOR, 2)</f>
        <v/>
      </c>
      <c r="G4064" s="64">
        <f>TRUNC(TRUNC(E4064,8)*F4064,2)</f>
        <v/>
      </c>
      <c r="L4064" t="n">
        <v>0.422</v>
      </c>
      <c r="M4064" t="n">
        <v>6.87</v>
      </c>
      <c r="N4064">
        <f>(M4064-F4064)</f>
        <v/>
      </c>
    </row>
    <row r="4065" ht="21" customHeight="1">
      <c r="A4065" s="22" t="inlineStr">
        <is>
          <t>00000536</t>
        </is>
      </c>
      <c r="B4065" s="23" t="inlineStr">
        <is>
          <t>REVESTIMENTO PARA PAREDE, EM CERAMICA ESMALTADA, FORMATO MENOR OU IGUAL A 2025 CM2</t>
        </is>
      </c>
      <c r="C4065" s="22" t="inlineStr">
        <is>
          <t>SINAPI</t>
        </is>
      </c>
      <c r="D4065" s="22" t="inlineStr">
        <is>
          <t>M2</t>
        </is>
      </c>
      <c r="E4065" s="63" t="n">
        <v>1.0553</v>
      </c>
      <c r="F4065" s="64">
        <f>ROUND(M4065*FATOR, 2)</f>
        <v/>
      </c>
      <c r="G4065" s="64">
        <f>TRUNC(TRUNC(E4065,8)*F4065,2)</f>
        <v/>
      </c>
      <c r="L4065" t="n">
        <v>1.0553</v>
      </c>
      <c r="M4065" t="n">
        <v>34.03</v>
      </c>
      <c r="N4065">
        <f>(M4065-F4065)</f>
        <v/>
      </c>
    </row>
    <row r="4066" ht="15" customHeight="1">
      <c r="A4066" s="2" t="inlineStr"/>
      <c r="B4066" s="2" t="inlineStr"/>
      <c r="C4066" s="2" t="inlineStr"/>
      <c r="D4066" s="2" t="inlineStr"/>
      <c r="E4066" s="26" t="inlineStr">
        <is>
          <t>TOTAL Material:</t>
        </is>
      </c>
      <c r="F4066" s="56" t="n"/>
      <c r="G4066" s="65">
        <f>SUM(G4063:G4065)</f>
        <v/>
      </c>
    </row>
    <row r="4067" ht="15" customHeight="1">
      <c r="A4067" s="20" t="inlineStr">
        <is>
          <t>Mão de Obra com Encargos Complementares</t>
        </is>
      </c>
      <c r="B4067" s="56" t="n"/>
      <c r="C4067" s="21" t="inlineStr">
        <is>
          <t>FONTE</t>
        </is>
      </c>
      <c r="D4067" s="21" t="inlineStr">
        <is>
          <t>UNID</t>
        </is>
      </c>
      <c r="E4067" s="21" t="inlineStr">
        <is>
          <t>COEFICIENTE</t>
        </is>
      </c>
      <c r="F4067" s="21" t="inlineStr">
        <is>
          <t>PREÇO UNITÁRIO</t>
        </is>
      </c>
      <c r="G4067" s="21" t="inlineStr">
        <is>
          <t>TOTAL</t>
        </is>
      </c>
    </row>
    <row r="4068" ht="21" customHeight="1">
      <c r="A4068" s="22" t="inlineStr">
        <is>
          <t>88256</t>
        </is>
      </c>
      <c r="B4068" s="23" t="inlineStr">
        <is>
          <t>AZULEJISTA OU LADRILHEIRO COM ENCARGOS COMPLEMENTARES</t>
        </is>
      </c>
      <c r="C4068" s="22" t="inlineStr">
        <is>
          <t>SINAPI</t>
        </is>
      </c>
      <c r="D4068" s="22" t="inlineStr">
        <is>
          <t>H</t>
        </is>
      </c>
      <c r="E4068" s="63">
        <f>L4068*FATOR</f>
        <v/>
      </c>
      <c r="F4068" s="64">
        <f>'COMPOSICOES AUXILIARES'!G562</f>
        <v/>
      </c>
      <c r="G4068" s="64">
        <f>TRUNC(TRUNC(E4068,8)*F4068,2)</f>
        <v/>
      </c>
      <c r="L4068" t="n">
        <v>0.5341</v>
      </c>
      <c r="M4068" t="n">
        <v>30.44</v>
      </c>
      <c r="N4068">
        <f>(M4068-F4068)</f>
        <v/>
      </c>
    </row>
    <row r="4069" ht="15" customHeight="1">
      <c r="A4069" s="22" t="inlineStr">
        <is>
          <t>88316</t>
        </is>
      </c>
      <c r="B4069" s="23" t="inlineStr">
        <is>
          <t>SERVENTE COM ENCARGOS COMPLEMENTARES</t>
        </is>
      </c>
      <c r="C4069" s="22" t="inlineStr">
        <is>
          <t>SINAPI</t>
        </is>
      </c>
      <c r="D4069" s="22" t="inlineStr">
        <is>
          <t>H</t>
        </is>
      </c>
      <c r="E4069" s="63">
        <f>L4069*FATOR</f>
        <v/>
      </c>
      <c r="F4069" s="64">
        <f>'COMPOSICOES AUXILIARES'!G3390</f>
        <v/>
      </c>
      <c r="G4069" s="64">
        <f>TRUNC(TRUNC(E4069,8)*F4069,2)</f>
        <v/>
      </c>
      <c r="L4069" t="n">
        <v>0.2686</v>
      </c>
      <c r="M4069" t="n">
        <v>23.56</v>
      </c>
      <c r="N4069">
        <f>(M4069-F4069)</f>
        <v/>
      </c>
    </row>
    <row r="4070" ht="18" customHeight="1">
      <c r="A4070" s="2" t="inlineStr"/>
      <c r="B4070" s="2" t="inlineStr"/>
      <c r="C4070" s="2" t="inlineStr"/>
      <c r="D4070" s="2" t="inlineStr"/>
      <c r="E4070" s="26" t="inlineStr">
        <is>
          <t>TOTAL Mão de Obra com Encargos Complementares:</t>
        </is>
      </c>
      <c r="F4070" s="56" t="n"/>
      <c r="G4070" s="65">
        <f>SUM(G4068:G4069)</f>
        <v/>
      </c>
    </row>
    <row r="4071" ht="15" customHeight="1">
      <c r="A4071" s="2" t="inlineStr"/>
      <c r="B4071" s="2" t="inlineStr"/>
      <c r="C4071" s="2" t="inlineStr"/>
      <c r="D4071" s="2" t="inlineStr"/>
      <c r="E4071" s="28" t="inlineStr">
        <is>
          <t>VALOR:</t>
        </is>
      </c>
      <c r="F4071" s="56" t="n"/>
      <c r="G4071" s="66">
        <f>SUM(G4066,G4070)</f>
        <v/>
      </c>
    </row>
    <row r="4072" ht="15" customHeight="1">
      <c r="A4072" s="2" t="inlineStr"/>
      <c r="B4072" s="2" t="inlineStr"/>
      <c r="C4072" s="2" t="inlineStr"/>
      <c r="D4072" s="2" t="inlineStr"/>
      <c r="E4072" s="28" t="inlineStr">
        <is>
          <t>VALOR BDI (23.08%):</t>
        </is>
      </c>
      <c r="F4072" s="56" t="n"/>
      <c r="G4072" s="66">
        <f>ROUNDDOWN(G4071*BDI,2)</f>
        <v/>
      </c>
    </row>
    <row r="4073" ht="15" customHeight="1">
      <c r="A4073" s="2" t="inlineStr"/>
      <c r="B4073" s="2" t="inlineStr"/>
      <c r="C4073" s="2" t="inlineStr"/>
      <c r="D4073" s="2" t="inlineStr"/>
      <c r="E4073" s="28" t="inlineStr">
        <is>
          <t>VALOR COM BDI:</t>
        </is>
      </c>
      <c r="F4073" s="56" t="n"/>
      <c r="G4073" s="66">
        <f>G4072 + G4071</f>
        <v/>
      </c>
    </row>
    <row r="4074" ht="10" customHeight="1">
      <c r="A4074" s="2" t="inlineStr"/>
      <c r="B4074" s="2" t="inlineStr"/>
      <c r="C4074" s="2" t="inlineStr"/>
      <c r="D4074" s="2" t="inlineStr"/>
      <c r="E4074" s="18" t="inlineStr"/>
    </row>
    <row r="4075" ht="20" customHeight="1">
      <c r="A4075" s="19" t="inlineStr">
        <is>
          <t>12.1.2.1. ​400 PRÓPRIO​ ALVENARIA DE VEDAÇÃO DE TIJOLO CERÂMICO MACIÇO DE 5 X 10 X 20CM CORTADO AO MEIO (ESPESSURA DA PAREDE 5CM) - ASSENTAMENTOARGAMASSA CIMENTO:CAL:AREIA (1:2:8)​ (M²)</t>
        </is>
      </c>
      <c r="B4075" s="55" t="n"/>
      <c r="C4075" s="55" t="n"/>
      <c r="D4075" s="55" t="n"/>
      <c r="E4075" s="55" t="n"/>
      <c r="F4075" s="55" t="n"/>
      <c r="G4075" s="56" t="n"/>
    </row>
    <row r="4076" ht="15" customHeight="1">
      <c r="A4076" s="20" t="inlineStr">
        <is>
          <t>Material</t>
        </is>
      </c>
      <c r="B4076" s="56" t="n"/>
      <c r="C4076" s="21" t="inlineStr">
        <is>
          <t>FONTE</t>
        </is>
      </c>
      <c r="D4076" s="21" t="inlineStr">
        <is>
          <t>UNID</t>
        </is>
      </c>
      <c r="E4076" s="21" t="inlineStr">
        <is>
          <t>COEFICIENTE</t>
        </is>
      </c>
      <c r="F4076" s="21" t="inlineStr">
        <is>
          <t>PREÇO UNITÁRIO</t>
        </is>
      </c>
      <c r="G4076" s="21" t="inlineStr">
        <is>
          <t>TOTAL</t>
        </is>
      </c>
    </row>
    <row r="4077" ht="21" customHeight="1">
      <c r="A4077" s="22" t="inlineStr">
        <is>
          <t>00007258</t>
        </is>
      </c>
      <c r="B4077" s="23" t="inlineStr">
        <is>
          <t>TIJOLO CERAMICO MACICO COMUM DE *5 X 10 X 20* CM (L X A X C)</t>
        </is>
      </c>
      <c r="C4077" s="22" t="inlineStr">
        <is>
          <t>SINAPI</t>
        </is>
      </c>
      <c r="D4077" s="22" t="inlineStr">
        <is>
          <t>UN</t>
        </is>
      </c>
      <c r="E4077" s="63" t="n">
        <v>52</v>
      </c>
      <c r="F4077" s="64">
        <f>ROUND(M4077*FATOR, 2)</f>
        <v/>
      </c>
      <c r="G4077" s="64">
        <f>ROUND(ROUND(E4077,8)*F4077,2)</f>
        <v/>
      </c>
      <c r="L4077" t="n">
        <v>52</v>
      </c>
      <c r="M4077" t="n">
        <v>0.6</v>
      </c>
      <c r="N4077">
        <f>(M4077-F4077)</f>
        <v/>
      </c>
    </row>
    <row r="4078" ht="15" customHeight="1">
      <c r="A4078" s="2" t="inlineStr"/>
      <c r="B4078" s="2" t="inlineStr"/>
      <c r="C4078" s="2" t="inlineStr"/>
      <c r="D4078" s="2" t="inlineStr"/>
      <c r="E4078" s="26" t="inlineStr">
        <is>
          <t>TOTAL Material:</t>
        </is>
      </c>
      <c r="F4078" s="56" t="n"/>
      <c r="G4078" s="65">
        <f>SUM(G4077:G4077)</f>
        <v/>
      </c>
    </row>
    <row r="4079" ht="15" customHeight="1">
      <c r="A4079" s="20" t="inlineStr">
        <is>
          <t>Mão de Obra com Encargos Complementares</t>
        </is>
      </c>
      <c r="B4079" s="56" t="n"/>
      <c r="C4079" s="21" t="inlineStr">
        <is>
          <t>FONTE</t>
        </is>
      </c>
      <c r="D4079" s="21" t="inlineStr">
        <is>
          <t>UNID</t>
        </is>
      </c>
      <c r="E4079" s="21" t="inlineStr">
        <is>
          <t>COEFICIENTE</t>
        </is>
      </c>
      <c r="F4079" s="21" t="inlineStr">
        <is>
          <t>PREÇO UNITÁRIO</t>
        </is>
      </c>
      <c r="G4079" s="21" t="inlineStr">
        <is>
          <t>TOTAL</t>
        </is>
      </c>
    </row>
    <row r="4080" ht="15" customHeight="1">
      <c r="A4080" s="22" t="inlineStr">
        <is>
          <t>88309</t>
        </is>
      </c>
      <c r="B4080" s="23" t="inlineStr">
        <is>
          <t>PEDREIRO COM ENCARGOS COMPLEMENTARES</t>
        </is>
      </c>
      <c r="C4080" s="22" t="inlineStr">
        <is>
          <t>SINAPI</t>
        </is>
      </c>
      <c r="D4080" s="22" t="inlineStr">
        <is>
          <t>H</t>
        </is>
      </c>
      <c r="E4080" s="63">
        <f>L4080*FATOR</f>
        <v/>
      </c>
      <c r="F4080" s="64">
        <f>'COMPOSICOES AUXILIARES'!G2887</f>
        <v/>
      </c>
      <c r="G4080" s="64">
        <f>ROUND(ROUND(E4080,8)*F4080,2)</f>
        <v/>
      </c>
      <c r="L4080" t="n">
        <v>1.939</v>
      </c>
      <c r="M4080" t="n">
        <v>30.58</v>
      </c>
      <c r="N4080">
        <f>(M4080-F4080)</f>
        <v/>
      </c>
    </row>
    <row r="4081" ht="15" customHeight="1">
      <c r="A4081" s="22" t="inlineStr">
        <is>
          <t>88316</t>
        </is>
      </c>
      <c r="B4081" s="23" t="inlineStr">
        <is>
          <t>SERVENTE COM ENCARGOS COMPLEMENTARES</t>
        </is>
      </c>
      <c r="C4081" s="22" t="inlineStr">
        <is>
          <t>SINAPI</t>
        </is>
      </c>
      <c r="D4081" s="22" t="inlineStr">
        <is>
          <t>H</t>
        </is>
      </c>
      <c r="E4081" s="63">
        <f>L4081*FATOR</f>
        <v/>
      </c>
      <c r="F4081" s="64">
        <f>'COMPOSICOES AUXILIARES'!G3390</f>
        <v/>
      </c>
      <c r="G4081" s="64">
        <f>ROUND(ROUND(E4081,8)*F4081,2)</f>
        <v/>
      </c>
      <c r="L4081" t="n">
        <v>0.97</v>
      </c>
      <c r="M4081" t="n">
        <v>23.56</v>
      </c>
      <c r="N4081">
        <f>(M4081-F4081)</f>
        <v/>
      </c>
    </row>
    <row r="4082" ht="18" customHeight="1">
      <c r="A4082" s="2" t="inlineStr"/>
      <c r="B4082" s="2" t="inlineStr"/>
      <c r="C4082" s="2" t="inlineStr"/>
      <c r="D4082" s="2" t="inlineStr"/>
      <c r="E4082" s="26" t="inlineStr">
        <is>
          <t>TOTAL Mão de Obra com Encargos Complementares:</t>
        </is>
      </c>
      <c r="F4082" s="56" t="n"/>
      <c r="G4082" s="65">
        <f>SUM(G4080:G4081)</f>
        <v/>
      </c>
    </row>
    <row r="4083" ht="15" customHeight="1">
      <c r="A4083" s="20" t="inlineStr">
        <is>
          <t>Serviço</t>
        </is>
      </c>
      <c r="B4083" s="56" t="n"/>
      <c r="C4083" s="21" t="inlineStr">
        <is>
          <t>FONTE</t>
        </is>
      </c>
      <c r="D4083" s="21" t="inlineStr">
        <is>
          <t>UNID</t>
        </is>
      </c>
      <c r="E4083" s="21" t="inlineStr">
        <is>
          <t>COEFICIENTE</t>
        </is>
      </c>
      <c r="F4083" s="21" t="inlineStr">
        <is>
          <t>PREÇO UNITÁRIO</t>
        </is>
      </c>
      <c r="G4083" s="21" t="inlineStr">
        <is>
          <t>TOTAL</t>
        </is>
      </c>
    </row>
    <row r="4084" ht="38" customHeight="1">
      <c r="A4084" s="22" t="inlineStr">
        <is>
          <t>87292</t>
        </is>
      </c>
      <c r="B4084" s="23" t="inlineStr">
        <is>
          <t>ARGAMASSA TRAÇO 1:2:8 (EM VOLUME DE CIMENTO, CAL E AREIA MÉDIA ÚMIDA) PARA EMBOÇO/MASSA ÚNICA/ASSENTAMENTO DE ALVENARIA DE VEDAÇÃO, PREPARO MECÂNICO COM BETONEIRA 400 L. AF_08/2019</t>
        </is>
      </c>
      <c r="C4084" s="22" t="inlineStr">
        <is>
          <t>SINAPI</t>
        </is>
      </c>
      <c r="D4084" s="22" t="inlineStr">
        <is>
          <t>M3</t>
        </is>
      </c>
      <c r="E4084" s="63" t="n">
        <v>0.028</v>
      </c>
      <c r="F4084" s="64">
        <f>'COMPOSICOES AUXILIARES'!G217</f>
        <v/>
      </c>
      <c r="G4084" s="64">
        <f>ROUND(ROUND(E4084,8)*F4084,2)</f>
        <v/>
      </c>
      <c r="L4084" t="n">
        <v>0.028</v>
      </c>
      <c r="M4084" t="n">
        <v>654.5</v>
      </c>
      <c r="N4084">
        <f>(M4084-F4084)</f>
        <v/>
      </c>
    </row>
    <row r="4085" ht="15" customHeight="1">
      <c r="A4085" s="2" t="inlineStr"/>
      <c r="B4085" s="2" t="inlineStr"/>
      <c r="C4085" s="2" t="inlineStr"/>
      <c r="D4085" s="2" t="inlineStr"/>
      <c r="E4085" s="26" t="inlineStr">
        <is>
          <t>TOTAL Serviço:</t>
        </is>
      </c>
      <c r="F4085" s="56" t="n"/>
      <c r="G4085" s="65">
        <f>SUM(G4084:G4084)</f>
        <v/>
      </c>
    </row>
    <row r="4086" ht="15" customHeight="1">
      <c r="A4086" s="2" t="inlineStr"/>
      <c r="B4086" s="2" t="inlineStr"/>
      <c r="C4086" s="2" t="inlineStr"/>
      <c r="D4086" s="2" t="inlineStr"/>
      <c r="E4086" s="28" t="inlineStr">
        <is>
          <t>VALOR:</t>
        </is>
      </c>
      <c r="F4086" s="56" t="n"/>
      <c r="G4086" s="66">
        <f>SUM(G4082,G4085,G4078)</f>
        <v/>
      </c>
    </row>
    <row r="4087" ht="15" customHeight="1">
      <c r="A4087" s="2" t="inlineStr"/>
      <c r="B4087" s="2" t="inlineStr"/>
      <c r="C4087" s="2" t="inlineStr"/>
      <c r="D4087" s="2" t="inlineStr"/>
      <c r="E4087" s="28" t="inlineStr">
        <is>
          <t>VALOR BDI (23.08%):</t>
        </is>
      </c>
      <c r="F4087" s="56" t="n"/>
      <c r="G4087" s="66">
        <f>ROUNDDOWN(G4086*BDI,2)</f>
        <v/>
      </c>
    </row>
    <row r="4088" ht="15" customHeight="1">
      <c r="A4088" s="2" t="inlineStr"/>
      <c r="B4088" s="2" t="inlineStr"/>
      <c r="C4088" s="2" t="inlineStr"/>
      <c r="D4088" s="2" t="inlineStr"/>
      <c r="E4088" s="28" t="inlineStr">
        <is>
          <t>VALOR COM BDI:</t>
        </is>
      </c>
      <c r="F4088" s="56" t="n"/>
      <c r="G4088" s="66">
        <f>G4087 + G4086</f>
        <v/>
      </c>
    </row>
    <row r="4089" ht="10" customHeight="1">
      <c r="A4089" s="2" t="inlineStr"/>
      <c r="B4089" s="2" t="inlineStr"/>
      <c r="C4089" s="2" t="inlineStr"/>
      <c r="D4089" s="2" t="inlineStr"/>
      <c r="E4089" s="18" t="inlineStr"/>
    </row>
    <row r="4090" ht="20" customHeight="1">
      <c r="A4090" s="19" t="inlineStr">
        <is>
          <t>12.1.3.1. ​102257​ DIVISORIA SANITÁRIA, TIPO CABINE, EM PAINEL DE GRANILITE, ESP = 3CM, ASSENTADO COM ARGAMASSA COLANTE AC III-E, EXCLUSIVE FERRAGENS.AF_01/2021​ (M2)</t>
        </is>
      </c>
      <c r="B4090" s="55" t="n"/>
      <c r="C4090" s="55" t="n"/>
      <c r="D4090" s="55" t="n"/>
      <c r="E4090" s="55" t="n"/>
      <c r="F4090" s="55" t="n"/>
      <c r="G4090" s="56" t="n"/>
    </row>
    <row r="4091" ht="15" customHeight="1">
      <c r="A4091" s="20" t="inlineStr">
        <is>
          <t>Equipamento Custo Horário</t>
        </is>
      </c>
      <c r="B4091" s="56" t="n"/>
      <c r="C4091" s="21" t="inlineStr">
        <is>
          <t>FONTE</t>
        </is>
      </c>
      <c r="D4091" s="21" t="inlineStr">
        <is>
          <t>UNID</t>
        </is>
      </c>
      <c r="E4091" s="21" t="inlineStr">
        <is>
          <t>COEFICIENTE</t>
        </is>
      </c>
      <c r="F4091" s="21" t="inlineStr">
        <is>
          <t>PREÇO UNITÁRIO</t>
        </is>
      </c>
      <c r="G4091" s="21" t="inlineStr">
        <is>
          <t>TOTAL</t>
        </is>
      </c>
    </row>
    <row r="4092" ht="29" customHeight="1">
      <c r="A4092" s="22" t="inlineStr">
        <is>
          <t>91693</t>
        </is>
      </c>
      <c r="B4092" s="23" t="inlineStr">
        <is>
          <t>SERRA CIRCULAR DE BANCADA COM MOTOR ELÉTRICO POTÊNCIA DE 5HP, COM COIFA PARA DISCO 10" - CHI DIURNO. AF_08/2015</t>
        </is>
      </c>
      <c r="C4092" s="22" t="inlineStr">
        <is>
          <t>SINAPI</t>
        </is>
      </c>
      <c r="D4092" s="22" t="inlineStr">
        <is>
          <t>CHI</t>
        </is>
      </c>
      <c r="E4092" s="63" t="n">
        <v>1.223</v>
      </c>
      <c r="F4092" s="64">
        <f>'COMPOSICOES AUXILIARES'!G3306</f>
        <v/>
      </c>
      <c r="G4092" s="64">
        <f>TRUNC(TRUNC(E4092,8)*F4092,2)</f>
        <v/>
      </c>
      <c r="L4092" t="n">
        <v>1.223</v>
      </c>
      <c r="M4092" t="n">
        <v>35.72</v>
      </c>
      <c r="N4092">
        <f>(M4092-F4092)</f>
        <v/>
      </c>
    </row>
    <row r="4093" ht="29" customHeight="1">
      <c r="A4093" s="22" t="inlineStr">
        <is>
          <t>91692</t>
        </is>
      </c>
      <c r="B4093" s="23" t="inlineStr">
        <is>
          <t>SERRA CIRCULAR DE BANCADA COM MOTOR ELÉTRICO POTÊNCIA DE 5HP, COM COIFA PARA DISCO 10" - CHP DIURNO. AF_08/2015</t>
        </is>
      </c>
      <c r="C4093" s="22" t="inlineStr">
        <is>
          <t>SINAPI</t>
        </is>
      </c>
      <c r="D4093" s="22" t="inlineStr">
        <is>
          <t>CHP</t>
        </is>
      </c>
      <c r="E4093" s="63" t="n">
        <v>0.042</v>
      </c>
      <c r="F4093" s="64">
        <f>'COMPOSICOES AUXILIARES'!G3320</f>
        <v/>
      </c>
      <c r="G4093" s="64">
        <f>TRUNC(TRUNC(E4093,8)*F4093,2)</f>
        <v/>
      </c>
      <c r="L4093" t="n">
        <v>0.042</v>
      </c>
      <c r="M4093" t="n">
        <v>37.16</v>
      </c>
      <c r="N4093">
        <f>(M4093-F4093)</f>
        <v/>
      </c>
    </row>
    <row r="4094" ht="18" customHeight="1">
      <c r="A4094" s="2" t="inlineStr"/>
      <c r="B4094" s="2" t="inlineStr"/>
      <c r="C4094" s="2" t="inlineStr"/>
      <c r="D4094" s="2" t="inlineStr"/>
      <c r="E4094" s="26" t="inlineStr">
        <is>
          <t>TOTAL Equipamento Custo Horário:</t>
        </is>
      </c>
      <c r="F4094" s="56" t="n"/>
      <c r="G4094" s="65">
        <f>SUM(G4092:G4093)</f>
        <v/>
      </c>
    </row>
    <row r="4095" ht="15" customHeight="1">
      <c r="A4095" s="20" t="inlineStr">
        <is>
          <t>Material</t>
        </is>
      </c>
      <c r="B4095" s="56" t="n"/>
      <c r="C4095" s="21" t="inlineStr">
        <is>
          <t>FONTE</t>
        </is>
      </c>
      <c r="D4095" s="21" t="inlineStr">
        <is>
          <t>UNID</t>
        </is>
      </c>
      <c r="E4095" s="21" t="inlineStr">
        <is>
          <t>COEFICIENTE</t>
        </is>
      </c>
      <c r="F4095" s="21" t="inlineStr">
        <is>
          <t>PREÇO UNITÁRIO</t>
        </is>
      </c>
      <c r="G4095" s="21" t="inlineStr">
        <is>
          <t>TOTAL</t>
        </is>
      </c>
    </row>
    <row r="4096" ht="21" customHeight="1">
      <c r="A4096" s="22" t="inlineStr">
        <is>
          <t>00000131</t>
        </is>
      </c>
      <c r="B4096" s="23" t="inlineStr">
        <is>
          <t>ADESIVO ESTRUTURAL A BASE DE RESINA EPOXI, BICOMPONENTE, PASTOSO (TIXOTROPICO)</t>
        </is>
      </c>
      <c r="C4096" s="22" t="inlineStr">
        <is>
          <t>SINAPI</t>
        </is>
      </c>
      <c r="D4096" s="22" t="inlineStr">
        <is>
          <t>KG</t>
        </is>
      </c>
      <c r="E4096" s="63" t="n">
        <v>0.53</v>
      </c>
      <c r="F4096" s="64">
        <f>ROUND(M4096*FATOR, 2)</f>
        <v/>
      </c>
      <c r="G4096" s="64">
        <f>TRUNC(TRUNC(E4096,8)*F4096,2)</f>
        <v/>
      </c>
      <c r="L4096" t="n">
        <v>0.53</v>
      </c>
      <c r="M4096" t="n">
        <v>53.18</v>
      </c>
      <c r="N4096">
        <f>(M4096-F4096)</f>
        <v/>
      </c>
    </row>
    <row r="4097" ht="15" customHeight="1">
      <c r="A4097" s="22" t="inlineStr">
        <is>
          <t>00037596</t>
        </is>
      </c>
      <c r="B4097" s="23" t="inlineStr">
        <is>
          <t>ARGAMASSA COLANTE TIPO AC III E</t>
        </is>
      </c>
      <c r="C4097" s="22" t="inlineStr">
        <is>
          <t>SINAPI</t>
        </is>
      </c>
      <c r="D4097" s="22" t="inlineStr">
        <is>
          <t>KG</t>
        </is>
      </c>
      <c r="E4097" s="63" t="n">
        <v>0.97</v>
      </c>
      <c r="F4097" s="64">
        <f>ROUND(M4097*FATOR, 2)</f>
        <v/>
      </c>
      <c r="G4097" s="64">
        <f>TRUNC(TRUNC(E4097,8)*F4097,2)</f>
        <v/>
      </c>
      <c r="L4097" t="n">
        <v>0.97</v>
      </c>
      <c r="M4097" t="n">
        <v>4.12</v>
      </c>
      <c r="N4097">
        <f>(M4097-F4097)</f>
        <v/>
      </c>
    </row>
    <row r="4098" ht="21" customHeight="1">
      <c r="A4098" s="22" t="inlineStr">
        <is>
          <t>00010698</t>
        </is>
      </c>
      <c r="B4098" s="23" t="inlineStr">
        <is>
          <t>DIVISORIA, PLACA PRE-MOLDADA EM GRANILITE, MARMORITE OU GRANITINA, E = *3 CM</t>
        </is>
      </c>
      <c r="C4098" s="22" t="inlineStr">
        <is>
          <t>SINAPI</t>
        </is>
      </c>
      <c r="D4098" s="22" t="inlineStr">
        <is>
          <t>M2</t>
        </is>
      </c>
      <c r="E4098" s="63" t="n">
        <v>1.05</v>
      </c>
      <c r="F4098" s="64">
        <f>ROUND(M4098*FATOR, 2)</f>
        <v/>
      </c>
      <c r="G4098" s="64">
        <f>TRUNC(TRUNC(E4098,8)*F4098,2)</f>
        <v/>
      </c>
      <c r="L4098" t="n">
        <v>1.05</v>
      </c>
      <c r="M4098" t="n">
        <v>226.69</v>
      </c>
      <c r="N4098">
        <f>(M4098-F4098)</f>
        <v/>
      </c>
    </row>
    <row r="4099" ht="15" customHeight="1">
      <c r="A4099" s="2" t="inlineStr"/>
      <c r="B4099" s="2" t="inlineStr"/>
      <c r="C4099" s="2" t="inlineStr"/>
      <c r="D4099" s="2" t="inlineStr"/>
      <c r="E4099" s="26" t="inlineStr">
        <is>
          <t>TOTAL Material:</t>
        </is>
      </c>
      <c r="F4099" s="56" t="n"/>
      <c r="G4099" s="65">
        <f>SUM(G4096:G4098)</f>
        <v/>
      </c>
    </row>
    <row r="4100" ht="15" customHeight="1">
      <c r="A4100" s="20" t="inlineStr">
        <is>
          <t>Mão de Obra com Encargos Complementares</t>
        </is>
      </c>
      <c r="B4100" s="56" t="n"/>
      <c r="C4100" s="21" t="inlineStr">
        <is>
          <t>FONTE</t>
        </is>
      </c>
      <c r="D4100" s="21" t="inlineStr">
        <is>
          <t>UNID</t>
        </is>
      </c>
      <c r="E4100" s="21" t="inlineStr">
        <is>
          <t>COEFICIENTE</t>
        </is>
      </c>
      <c r="F4100" s="21" t="inlineStr">
        <is>
          <t>PREÇO UNITÁRIO</t>
        </is>
      </c>
      <c r="G4100" s="21" t="inlineStr">
        <is>
          <t>TOTAL</t>
        </is>
      </c>
    </row>
    <row r="4101" ht="21" customHeight="1">
      <c r="A4101" s="22" t="inlineStr">
        <is>
          <t>88274</t>
        </is>
      </c>
      <c r="B4101" s="23" t="inlineStr">
        <is>
          <t>MARMORISTA/GRANITEIRO COM ENCARGOS COMPLEMENTARES</t>
        </is>
      </c>
      <c r="C4101" s="22" t="inlineStr">
        <is>
          <t>SINAPI</t>
        </is>
      </c>
      <c r="D4101" s="22" t="inlineStr">
        <is>
          <t>H</t>
        </is>
      </c>
      <c r="E4101" s="63">
        <f>L4101*FATOR</f>
        <v/>
      </c>
      <c r="F4101" s="64">
        <f>'COMPOSICOES AUXILIARES'!G2424</f>
        <v/>
      </c>
      <c r="G4101" s="64">
        <f>TRUNC(TRUNC(E4101,8)*F4101,2)</f>
        <v/>
      </c>
      <c r="L4101" t="n">
        <v>1.265</v>
      </c>
      <c r="M4101" t="n">
        <v>29.93</v>
      </c>
      <c r="N4101">
        <f>(M4101-F4101)</f>
        <v/>
      </c>
    </row>
    <row r="4102" ht="15" customHeight="1">
      <c r="A4102" s="22" t="inlineStr">
        <is>
          <t>88316</t>
        </is>
      </c>
      <c r="B4102" s="23" t="inlineStr">
        <is>
          <t>SERVENTE COM ENCARGOS COMPLEMENTARES</t>
        </is>
      </c>
      <c r="C4102" s="22" t="inlineStr">
        <is>
          <t>SINAPI</t>
        </is>
      </c>
      <c r="D4102" s="22" t="inlineStr">
        <is>
          <t>H</t>
        </is>
      </c>
      <c r="E4102" s="63">
        <f>L4102*FATOR</f>
        <v/>
      </c>
      <c r="F4102" s="64">
        <f>'COMPOSICOES AUXILIARES'!G3390</f>
        <v/>
      </c>
      <c r="G4102" s="64">
        <f>TRUNC(TRUNC(E4102,8)*F4102,2)</f>
        <v/>
      </c>
      <c r="L4102" t="n">
        <v>0.633</v>
      </c>
      <c r="M4102" t="n">
        <v>23.56</v>
      </c>
      <c r="N4102">
        <f>(M4102-F4102)</f>
        <v/>
      </c>
    </row>
    <row r="4103" ht="18" customHeight="1">
      <c r="A4103" s="2" t="inlineStr"/>
      <c r="B4103" s="2" t="inlineStr"/>
      <c r="C4103" s="2" t="inlineStr"/>
      <c r="D4103" s="2" t="inlineStr"/>
      <c r="E4103" s="26" t="inlineStr">
        <is>
          <t>TOTAL Mão de Obra com Encargos Complementares:</t>
        </is>
      </c>
      <c r="F4103" s="56" t="n"/>
      <c r="G4103" s="65">
        <f>SUM(G4101:G4102)</f>
        <v/>
      </c>
    </row>
    <row r="4104" ht="15" customHeight="1">
      <c r="A4104" s="2" t="inlineStr"/>
      <c r="B4104" s="2" t="inlineStr"/>
      <c r="C4104" s="2" t="inlineStr"/>
      <c r="D4104" s="2" t="inlineStr"/>
      <c r="E4104" s="28" t="inlineStr">
        <is>
          <t>VALOR:</t>
        </is>
      </c>
      <c r="F4104" s="56" t="n"/>
      <c r="G4104" s="66">
        <f>SUM(G4099,G4094,G4103)</f>
        <v/>
      </c>
    </row>
    <row r="4105" ht="15" customHeight="1">
      <c r="A4105" s="2" t="inlineStr"/>
      <c r="B4105" s="2" t="inlineStr"/>
      <c r="C4105" s="2" t="inlineStr"/>
      <c r="D4105" s="2" t="inlineStr"/>
      <c r="E4105" s="28" t="inlineStr">
        <is>
          <t>VALOR BDI (23.08%):</t>
        </is>
      </c>
      <c r="F4105" s="56" t="n"/>
      <c r="G4105" s="66">
        <f>ROUNDDOWN(G4104*BDI,2)</f>
        <v/>
      </c>
    </row>
    <row r="4106" ht="15" customHeight="1">
      <c r="A4106" s="2" t="inlineStr"/>
      <c r="B4106" s="2" t="inlineStr"/>
      <c r="C4106" s="2" t="inlineStr"/>
      <c r="D4106" s="2" t="inlineStr"/>
      <c r="E4106" s="28" t="inlineStr">
        <is>
          <t>VALOR COM BDI:</t>
        </is>
      </c>
      <c r="F4106" s="56" t="n"/>
      <c r="G4106" s="66">
        <f>G4105 + G4104</f>
        <v/>
      </c>
    </row>
    <row r="4107" ht="10" customHeight="1">
      <c r="A4107" s="2" t="inlineStr"/>
      <c r="B4107" s="2" t="inlineStr"/>
      <c r="C4107" s="2" t="inlineStr"/>
      <c r="D4107" s="2" t="inlineStr"/>
      <c r="E4107" s="18" t="inlineStr"/>
    </row>
    <row r="4108" ht="20" customHeight="1">
      <c r="A4108" s="19" t="inlineStr">
        <is>
          <t>12.1.4.1. ​430 PRÓPRIO​ CHAPIM SOBRE MUROS/PAREDES LINEARES, EM PRÉ MOLDADO DE CONCRETO, COMPRIMENTO MAIOR QUE 6M, ASSENTADO COM ARGAMASSA 1:6COM ADITIVO​ (M)</t>
        </is>
      </c>
      <c r="B4108" s="55" t="n"/>
      <c r="C4108" s="55" t="n"/>
      <c r="D4108" s="55" t="n"/>
      <c r="E4108" s="55" t="n"/>
      <c r="F4108" s="55" t="n"/>
      <c r="G4108" s="56" t="n"/>
    </row>
    <row r="4109" ht="15" customHeight="1">
      <c r="A4109" s="20" t="inlineStr">
        <is>
          <t>Equipamento Custo Horário</t>
        </is>
      </c>
      <c r="B4109" s="56" t="n"/>
      <c r="C4109" s="21" t="inlineStr">
        <is>
          <t>FONTE</t>
        </is>
      </c>
      <c r="D4109" s="21" t="inlineStr">
        <is>
          <t>UNID</t>
        </is>
      </c>
      <c r="E4109" s="21" t="inlineStr">
        <is>
          <t>COEFICIENTE</t>
        </is>
      </c>
      <c r="F4109" s="21" t="inlineStr">
        <is>
          <t>PREÇO UNITÁRIO</t>
        </is>
      </c>
      <c r="G4109" s="21" t="inlineStr">
        <is>
          <t>TOTAL</t>
        </is>
      </c>
    </row>
    <row r="4110" ht="29" customHeight="1">
      <c r="A4110" s="22" t="inlineStr">
        <is>
          <t>91693</t>
        </is>
      </c>
      <c r="B4110" s="23" t="inlineStr">
        <is>
          <t>SERRA CIRCULAR DE BANCADA COM MOTOR ELÉTRICO POTÊNCIA DE 5HP, COM COIFA PARA DISCO 10" - CHI DIURNO. AF_08/2015</t>
        </is>
      </c>
      <c r="C4110" s="22" t="inlineStr">
        <is>
          <t>SINAPI</t>
        </is>
      </c>
      <c r="D4110" s="22" t="inlineStr">
        <is>
          <t>CHI</t>
        </is>
      </c>
      <c r="E4110" s="63" t="n">
        <v>0.373</v>
      </c>
      <c r="F4110" s="64">
        <f>'COMPOSICOES AUXILIARES'!G3306</f>
        <v/>
      </c>
      <c r="G4110" s="64">
        <f>ROUND(ROUND(E4110,8)*F4110,2)</f>
        <v/>
      </c>
      <c r="L4110" t="n">
        <v>0.373</v>
      </c>
      <c r="M4110" t="n">
        <v>35.72</v>
      </c>
      <c r="N4110">
        <f>(M4110-F4110)</f>
        <v/>
      </c>
    </row>
    <row r="4111" ht="29" customHeight="1">
      <c r="A4111" s="22" t="inlineStr">
        <is>
          <t>91692</t>
        </is>
      </c>
      <c r="B4111" s="23" t="inlineStr">
        <is>
          <t>SERRA CIRCULAR DE BANCADA COM MOTOR ELÉTRICO POTÊNCIA DE 5HP, COM COIFA PARA DISCO 10" - CHP DIURNO. AF_08/2015</t>
        </is>
      </c>
      <c r="C4111" s="22" t="inlineStr">
        <is>
          <t>SINAPI</t>
        </is>
      </c>
      <c r="D4111" s="22" t="inlineStr">
        <is>
          <t>CHP</t>
        </is>
      </c>
      <c r="E4111" s="63" t="n">
        <v>0.02</v>
      </c>
      <c r="F4111" s="64">
        <f>'COMPOSICOES AUXILIARES'!G3320</f>
        <v/>
      </c>
      <c r="G4111" s="64">
        <f>ROUND(ROUND(E4111,8)*F4111,2)</f>
        <v/>
      </c>
      <c r="L4111" t="n">
        <v>0.02</v>
      </c>
      <c r="M4111" t="n">
        <v>37.16</v>
      </c>
      <c r="N4111">
        <f>(M4111-F4111)</f>
        <v/>
      </c>
    </row>
    <row r="4112" ht="18" customHeight="1">
      <c r="A4112" s="2" t="inlineStr"/>
      <c r="B4112" s="2" t="inlineStr"/>
      <c r="C4112" s="2" t="inlineStr"/>
      <c r="D4112" s="2" t="inlineStr"/>
      <c r="E4112" s="26" t="inlineStr">
        <is>
          <t>TOTAL Equipamento Custo Horário:</t>
        </is>
      </c>
      <c r="F4112" s="56" t="n"/>
      <c r="G4112" s="65">
        <f>SUM(G4110:G4111)</f>
        <v/>
      </c>
    </row>
    <row r="4113" ht="15" customHeight="1">
      <c r="A4113" s="20" t="inlineStr">
        <is>
          <t>Material</t>
        </is>
      </c>
      <c r="B4113" s="56" t="n"/>
      <c r="C4113" s="21" t="inlineStr">
        <is>
          <t>FONTE</t>
        </is>
      </c>
      <c r="D4113" s="21" t="inlineStr">
        <is>
          <t>UNID</t>
        </is>
      </c>
      <c r="E4113" s="21" t="inlineStr">
        <is>
          <t>COEFICIENTE</t>
        </is>
      </c>
      <c r="F4113" s="21" t="inlineStr">
        <is>
          <t>PREÇO UNITÁRIO</t>
        </is>
      </c>
      <c r="G4113" s="21" t="inlineStr">
        <is>
          <t>TOTAL</t>
        </is>
      </c>
    </row>
    <row r="4114" ht="21" customHeight="1">
      <c r="A4114" s="22" t="inlineStr">
        <is>
          <t>009005 SBC</t>
        </is>
      </c>
      <c r="B4114" s="23" t="inlineStr">
        <is>
          <t>CAPA DE MURO/CIMALHA/PINGADEIRA PARA MURO EM PLACA PREMOLDADA 30X80X5CM</t>
        </is>
      </c>
      <c r="C4114" s="22" t="inlineStr">
        <is>
          <t xml:space="preserve">Composições </t>
        </is>
      </c>
      <c r="D4114" s="22" t="inlineStr">
        <is>
          <t>UN</t>
        </is>
      </c>
      <c r="E4114" s="63" t="n">
        <v>1.5</v>
      </c>
      <c r="F4114" s="64">
        <f>ROUND(M4114*FATOR, 2)</f>
        <v/>
      </c>
      <c r="G4114" s="64">
        <f>ROUND(ROUND(E4114,8)*F4114,2)</f>
        <v/>
      </c>
      <c r="L4114" t="n">
        <v>1.5</v>
      </c>
      <c r="M4114" t="n">
        <v>33.9</v>
      </c>
      <c r="N4114">
        <f>(M4114-F4114)</f>
        <v/>
      </c>
    </row>
    <row r="4115" ht="15" customHeight="1">
      <c r="A4115" s="2" t="inlineStr"/>
      <c r="B4115" s="2" t="inlineStr"/>
      <c r="C4115" s="2" t="inlineStr"/>
      <c r="D4115" s="2" t="inlineStr"/>
      <c r="E4115" s="26" t="inlineStr">
        <is>
          <t>TOTAL Material:</t>
        </is>
      </c>
      <c r="F4115" s="56" t="n"/>
      <c r="G4115" s="65">
        <f>SUM(G4114:G4114)</f>
        <v/>
      </c>
    </row>
    <row r="4116" ht="15" customHeight="1">
      <c r="A4116" s="20" t="inlineStr">
        <is>
          <t>Mão de Obra com Encargos Complementares</t>
        </is>
      </c>
      <c r="B4116" s="56" t="n"/>
      <c r="C4116" s="21" t="inlineStr">
        <is>
          <t>FONTE</t>
        </is>
      </c>
      <c r="D4116" s="21" t="inlineStr">
        <is>
          <t>UNID</t>
        </is>
      </c>
      <c r="E4116" s="21" t="inlineStr">
        <is>
          <t>COEFICIENTE</t>
        </is>
      </c>
      <c r="F4116" s="21" t="inlineStr">
        <is>
          <t>PREÇO UNITÁRIO</t>
        </is>
      </c>
      <c r="G4116" s="21" t="inlineStr">
        <is>
          <t>TOTAL</t>
        </is>
      </c>
    </row>
    <row r="4117" ht="15" customHeight="1">
      <c r="A4117" s="22" t="inlineStr">
        <is>
          <t>88309</t>
        </is>
      </c>
      <c r="B4117" s="23" t="inlineStr">
        <is>
          <t>PEDREIRO COM ENCARGOS COMPLEMENTARES</t>
        </is>
      </c>
      <c r="C4117" s="22" t="inlineStr">
        <is>
          <t>SINAPI</t>
        </is>
      </c>
      <c r="D4117" s="22" t="inlineStr">
        <is>
          <t>H</t>
        </is>
      </c>
      <c r="E4117" s="63">
        <f>L4117*FATOR</f>
        <v/>
      </c>
      <c r="F4117" s="64">
        <f>'COMPOSICOES AUXILIARES'!G2887</f>
        <v/>
      </c>
      <c r="G4117" s="64">
        <f>ROUND(ROUND(E4117,8)*F4117,2)</f>
        <v/>
      </c>
      <c r="L4117" t="n">
        <v>0.392</v>
      </c>
      <c r="M4117" t="n">
        <v>30.58</v>
      </c>
      <c r="N4117">
        <f>(M4117-F4117)</f>
        <v/>
      </c>
    </row>
    <row r="4118" ht="15" customHeight="1">
      <c r="A4118" s="22" t="inlineStr">
        <is>
          <t>88316</t>
        </is>
      </c>
      <c r="B4118" s="23" t="inlineStr">
        <is>
          <t>SERVENTE COM ENCARGOS COMPLEMENTARES</t>
        </is>
      </c>
      <c r="C4118" s="22" t="inlineStr">
        <is>
          <t>SINAPI</t>
        </is>
      </c>
      <c r="D4118" s="22" t="inlineStr">
        <is>
          <t>H</t>
        </is>
      </c>
      <c r="E4118" s="63">
        <f>L4118*FATOR</f>
        <v/>
      </c>
      <c r="F4118" s="64">
        <f>'COMPOSICOES AUXILIARES'!G3390</f>
        <v/>
      </c>
      <c r="G4118" s="64">
        <f>ROUND(ROUND(E4118,8)*F4118,2)</f>
        <v/>
      </c>
      <c r="L4118" t="n">
        <v>0.196</v>
      </c>
      <c r="M4118" t="n">
        <v>23.56</v>
      </c>
      <c r="N4118">
        <f>(M4118-F4118)</f>
        <v/>
      </c>
    </row>
    <row r="4119" ht="18" customHeight="1">
      <c r="A4119" s="2" t="inlineStr"/>
      <c r="B4119" s="2" t="inlineStr"/>
      <c r="C4119" s="2" t="inlineStr"/>
      <c r="D4119" s="2" t="inlineStr"/>
      <c r="E4119" s="26" t="inlineStr">
        <is>
          <t>TOTAL Mão de Obra com Encargos Complementares:</t>
        </is>
      </c>
      <c r="F4119" s="56" t="n"/>
      <c r="G4119" s="65">
        <f>SUM(G4117:G4118)</f>
        <v/>
      </c>
    </row>
    <row r="4120" ht="15" customHeight="1">
      <c r="A4120" s="20" t="inlineStr">
        <is>
          <t>Serviço</t>
        </is>
      </c>
      <c r="B4120" s="56" t="n"/>
      <c r="C4120" s="21" t="inlineStr">
        <is>
          <t>FONTE</t>
        </is>
      </c>
      <c r="D4120" s="21" t="inlineStr">
        <is>
          <t>UNID</t>
        </is>
      </c>
      <c r="E4120" s="21" t="inlineStr">
        <is>
          <t>COEFICIENTE</t>
        </is>
      </c>
      <c r="F4120" s="21" t="inlineStr">
        <is>
          <t>PREÇO UNITÁRIO</t>
        </is>
      </c>
      <c r="G4120" s="21" t="inlineStr">
        <is>
          <t>TOTAL</t>
        </is>
      </c>
    </row>
    <row r="4121" ht="46" customHeight="1">
      <c r="A4121" s="22" t="inlineStr">
        <is>
          <t>87283</t>
        </is>
      </c>
      <c r="B4121" s="23" t="inlineStr">
        <is>
          <t>ARGAMASSA TRAÇO 1:6 (EM VOLUME DE CIMENTO E AREIA MÉDIA ÚMIDA) COM ADIÇÃO DE PLASTIFICANTE PARA EMBOÇO/MASSA ÚNICA/ASSENTAMENTO DE ALVENARIA DE VEDAÇÃO, PREPARO MECÂNICO COM BETONEIRA 400 L. AF_08/2019</t>
        </is>
      </c>
      <c r="C4121" s="22" t="inlineStr">
        <is>
          <t>SINAPI</t>
        </is>
      </c>
      <c r="D4121" s="22" t="inlineStr">
        <is>
          <t>M3</t>
        </is>
      </c>
      <c r="E4121" s="63" t="n">
        <v>0.006</v>
      </c>
      <c r="F4121" s="64">
        <f>'COMPOSICOES AUXILIARES'!G369</f>
        <v/>
      </c>
      <c r="G4121" s="64">
        <f>ROUND(ROUND(E4121,8)*F4121,2)</f>
        <v/>
      </c>
      <c r="L4121" t="n">
        <v>0.006</v>
      </c>
      <c r="M4121" t="n">
        <v>508.57</v>
      </c>
      <c r="N4121">
        <f>(M4121-F4121)</f>
        <v/>
      </c>
    </row>
    <row r="4122" ht="15" customHeight="1">
      <c r="A4122" s="2" t="inlineStr"/>
      <c r="B4122" s="2" t="inlineStr"/>
      <c r="C4122" s="2" t="inlineStr"/>
      <c r="D4122" s="2" t="inlineStr"/>
      <c r="E4122" s="26" t="inlineStr">
        <is>
          <t>TOTAL Serviço:</t>
        </is>
      </c>
      <c r="F4122" s="56" t="n"/>
      <c r="G4122" s="65">
        <f>SUM(G4121:G4121)</f>
        <v/>
      </c>
    </row>
    <row r="4123" ht="15" customHeight="1">
      <c r="A4123" s="2" t="inlineStr"/>
      <c r="B4123" s="2" t="inlineStr"/>
      <c r="C4123" s="2" t="inlineStr"/>
      <c r="D4123" s="2" t="inlineStr"/>
      <c r="E4123" s="28" t="inlineStr">
        <is>
          <t>VALOR:</t>
        </is>
      </c>
      <c r="F4123" s="56" t="n"/>
      <c r="G4123" s="66">
        <f>SUM(G4112,G4122,G4115,G4119)</f>
        <v/>
      </c>
    </row>
    <row r="4124" ht="15" customHeight="1">
      <c r="A4124" s="2" t="inlineStr"/>
      <c r="B4124" s="2" t="inlineStr"/>
      <c r="C4124" s="2" t="inlineStr"/>
      <c r="D4124" s="2" t="inlineStr"/>
      <c r="E4124" s="28" t="inlineStr">
        <is>
          <t>VALOR BDI (23.08%):</t>
        </is>
      </c>
      <c r="F4124" s="56" t="n"/>
      <c r="G4124" s="66">
        <f>ROUNDDOWN(G4123*BDI,2)</f>
        <v/>
      </c>
    </row>
    <row r="4125" ht="15" customHeight="1">
      <c r="A4125" s="2" t="inlineStr"/>
      <c r="B4125" s="2" t="inlineStr"/>
      <c r="C4125" s="2" t="inlineStr"/>
      <c r="D4125" s="2" t="inlineStr"/>
      <c r="E4125" s="28" t="inlineStr">
        <is>
          <t>VALOR COM BDI:</t>
        </is>
      </c>
      <c r="F4125" s="56" t="n"/>
      <c r="G4125" s="66">
        <f>G4124 + G4123</f>
        <v/>
      </c>
    </row>
    <row r="4126" ht="10" customHeight="1">
      <c r="A4126" s="2" t="inlineStr"/>
      <c r="B4126" s="2" t="inlineStr"/>
      <c r="C4126" s="2" t="inlineStr"/>
      <c r="D4126" s="2" t="inlineStr"/>
      <c r="E4126" s="18" t="inlineStr"/>
    </row>
    <row r="4127" ht="20" customHeight="1">
      <c r="A4127" s="19" t="inlineStr">
        <is>
          <t>12.2.1.1. ​104598​ REVESTIMENTO CERÂMICO PARA PISO COM PLACAS TIPO PORCELANATO DE DIMENSÕES 80X80 CM APLICADA EM AMBIENTES DE ÁREA MAIOR QUE 10 M².AF_02/2023_PE​ (M2)</t>
        </is>
      </c>
      <c r="B4127" s="55" t="n"/>
      <c r="C4127" s="55" t="n"/>
      <c r="D4127" s="55" t="n"/>
      <c r="E4127" s="55" t="n"/>
      <c r="F4127" s="55" t="n"/>
      <c r="G4127" s="56" t="n"/>
    </row>
    <row r="4128" ht="15" customHeight="1">
      <c r="A4128" s="20" t="inlineStr">
        <is>
          <t>Material</t>
        </is>
      </c>
      <c r="B4128" s="56" t="n"/>
      <c r="C4128" s="21" t="inlineStr">
        <is>
          <t>FONTE</t>
        </is>
      </c>
      <c r="D4128" s="21" t="inlineStr">
        <is>
          <t>UNID</t>
        </is>
      </c>
      <c r="E4128" s="21" t="inlineStr">
        <is>
          <t>COEFICIENTE</t>
        </is>
      </c>
      <c r="F4128" s="21" t="inlineStr">
        <is>
          <t>PREÇO UNITÁRIO</t>
        </is>
      </c>
      <c r="G4128" s="21" t="inlineStr">
        <is>
          <t>TOTAL</t>
        </is>
      </c>
    </row>
    <row r="4129" ht="15" customHeight="1">
      <c r="A4129" s="22" t="inlineStr">
        <is>
          <t>00037595</t>
        </is>
      </c>
      <c r="B4129" s="23" t="inlineStr">
        <is>
          <t>ARGAMASSA COLANTE TIPO AC III</t>
        </is>
      </c>
      <c r="C4129" s="22" t="inlineStr">
        <is>
          <t>SINAPI</t>
        </is>
      </c>
      <c r="D4129" s="22" t="inlineStr">
        <is>
          <t>KG</t>
        </is>
      </c>
      <c r="E4129" s="63" t="n">
        <v>9.130000000000001</v>
      </c>
      <c r="F4129" s="64">
        <f>ROUND(M4129*FATOR, 2)</f>
        <v/>
      </c>
      <c r="G4129" s="64">
        <f>TRUNC(TRUNC(E4129,8)*F4129,2)</f>
        <v/>
      </c>
      <c r="L4129" t="n">
        <v>9.130000000000001</v>
      </c>
      <c r="M4129" t="n">
        <v>3.59</v>
      </c>
      <c r="N4129">
        <f>(M4129-F4129)</f>
        <v/>
      </c>
    </row>
    <row r="4130" ht="29" customHeight="1">
      <c r="A4130" s="22" t="inlineStr">
        <is>
          <t>00045190</t>
        </is>
      </c>
      <c r="B4130" s="23" t="inlineStr">
        <is>
          <t>PISO EM PORCELANATO, RETIFICADO, LISO, MONOCOLOR, ACETINADO OU POLIDO, FORMATO MAIOR QUE 2500 ATE 6400 CM2</t>
        </is>
      </c>
      <c r="C4130" s="22" t="inlineStr">
        <is>
          <t>SINAPI</t>
        </is>
      </c>
      <c r="D4130" s="22" t="inlineStr">
        <is>
          <t>M2</t>
        </is>
      </c>
      <c r="E4130" s="63" t="n">
        <v>1.0728</v>
      </c>
      <c r="F4130" s="64">
        <f>ROUND(M4130*FATOR, 2)</f>
        <v/>
      </c>
      <c r="G4130" s="64">
        <f>TRUNC(TRUNC(E4130,8)*F4130,2)</f>
        <v/>
      </c>
      <c r="L4130" t="n">
        <v>1.0728</v>
      </c>
      <c r="M4130" t="n">
        <v>75.45</v>
      </c>
      <c r="N4130">
        <f>(M4130-F4130)</f>
        <v/>
      </c>
    </row>
    <row r="4131" ht="15" customHeight="1">
      <c r="A4131" s="22" t="inlineStr">
        <is>
          <t>00034357</t>
        </is>
      </c>
      <c r="B4131" s="23" t="inlineStr">
        <is>
          <t>REJUNTE CIMENTICIO, QUALQUER COR</t>
        </is>
      </c>
      <c r="C4131" s="22" t="inlineStr">
        <is>
          <t>SINAPI</t>
        </is>
      </c>
      <c r="D4131" s="22" t="inlineStr">
        <is>
          <t>KG</t>
        </is>
      </c>
      <c r="E4131" s="63" t="n">
        <v>0.106</v>
      </c>
      <c r="F4131" s="64">
        <f>ROUND(M4131*FATOR, 2)</f>
        <v/>
      </c>
      <c r="G4131" s="64">
        <f>TRUNC(TRUNC(E4131,8)*F4131,2)</f>
        <v/>
      </c>
      <c r="L4131" t="n">
        <v>0.106</v>
      </c>
      <c r="M4131" t="n">
        <v>6.87</v>
      </c>
      <c r="N4131">
        <f>(M4131-F4131)</f>
        <v/>
      </c>
    </row>
    <row r="4132" ht="15" customHeight="1">
      <c r="A4132" s="2" t="inlineStr"/>
      <c r="B4132" s="2" t="inlineStr"/>
      <c r="C4132" s="2" t="inlineStr"/>
      <c r="D4132" s="2" t="inlineStr"/>
      <c r="E4132" s="26" t="inlineStr">
        <is>
          <t>TOTAL Material:</t>
        </is>
      </c>
      <c r="F4132" s="56" t="n"/>
      <c r="G4132" s="65">
        <f>SUM(G4129:G4131)</f>
        <v/>
      </c>
    </row>
    <row r="4133" ht="15" customHeight="1">
      <c r="A4133" s="20" t="inlineStr">
        <is>
          <t>Mão de Obra com Encargos Complementares</t>
        </is>
      </c>
      <c r="B4133" s="56" t="n"/>
      <c r="C4133" s="21" t="inlineStr">
        <is>
          <t>FONTE</t>
        </is>
      </c>
      <c r="D4133" s="21" t="inlineStr">
        <is>
          <t>UNID</t>
        </is>
      </c>
      <c r="E4133" s="21" t="inlineStr">
        <is>
          <t>COEFICIENTE</t>
        </is>
      </c>
      <c r="F4133" s="21" t="inlineStr">
        <is>
          <t>PREÇO UNITÁRIO</t>
        </is>
      </c>
      <c r="G4133" s="21" t="inlineStr">
        <is>
          <t>TOTAL</t>
        </is>
      </c>
    </row>
    <row r="4134" ht="21" customHeight="1">
      <c r="A4134" s="22" t="inlineStr">
        <is>
          <t>88256</t>
        </is>
      </c>
      <c r="B4134" s="23" t="inlineStr">
        <is>
          <t>AZULEJISTA OU LADRILHEIRO COM ENCARGOS COMPLEMENTARES</t>
        </is>
      </c>
      <c r="C4134" s="22" t="inlineStr">
        <is>
          <t>SINAPI</t>
        </is>
      </c>
      <c r="D4134" s="22" t="inlineStr">
        <is>
          <t>H</t>
        </is>
      </c>
      <c r="E4134" s="63">
        <f>L4134*FATOR</f>
        <v/>
      </c>
      <c r="F4134" s="64">
        <f>'COMPOSICOES AUXILIARES'!G562</f>
        <v/>
      </c>
      <c r="G4134" s="64">
        <f>TRUNC(TRUNC(E4134,8)*F4134,2)</f>
        <v/>
      </c>
      <c r="L4134" t="n">
        <v>0.5348000000000001</v>
      </c>
      <c r="M4134" t="n">
        <v>30.44</v>
      </c>
      <c r="N4134">
        <f>(M4134-F4134)</f>
        <v/>
      </c>
    </row>
    <row r="4135" ht="15" customHeight="1">
      <c r="A4135" s="22" t="inlineStr">
        <is>
          <t>88316</t>
        </is>
      </c>
      <c r="B4135" s="23" t="inlineStr">
        <is>
          <t>SERVENTE COM ENCARGOS COMPLEMENTARES</t>
        </is>
      </c>
      <c r="C4135" s="22" t="inlineStr">
        <is>
          <t>SINAPI</t>
        </is>
      </c>
      <c r="D4135" s="22" t="inlineStr">
        <is>
          <t>H</t>
        </is>
      </c>
      <c r="E4135" s="63">
        <f>L4135*FATOR</f>
        <v/>
      </c>
      <c r="F4135" s="64">
        <f>'COMPOSICOES AUXILIARES'!G3390</f>
        <v/>
      </c>
      <c r="G4135" s="64">
        <f>TRUNC(TRUNC(E4135,8)*F4135,2)</f>
        <v/>
      </c>
      <c r="L4135" t="n">
        <v>0.1694</v>
      </c>
      <c r="M4135" t="n">
        <v>23.56</v>
      </c>
      <c r="N4135">
        <f>(M4135-F4135)</f>
        <v/>
      </c>
    </row>
    <row r="4136" ht="18" customHeight="1">
      <c r="A4136" s="2" t="inlineStr"/>
      <c r="B4136" s="2" t="inlineStr"/>
      <c r="C4136" s="2" t="inlineStr"/>
      <c r="D4136" s="2" t="inlineStr"/>
      <c r="E4136" s="26" t="inlineStr">
        <is>
          <t>TOTAL Mão de Obra com Encargos Complementares:</t>
        </is>
      </c>
      <c r="F4136" s="56" t="n"/>
      <c r="G4136" s="65">
        <f>SUM(G4134:G4135)</f>
        <v/>
      </c>
    </row>
    <row r="4137" ht="15" customHeight="1">
      <c r="A4137" s="2" t="inlineStr"/>
      <c r="B4137" s="2" t="inlineStr"/>
      <c r="C4137" s="2" t="inlineStr"/>
      <c r="D4137" s="2" t="inlineStr"/>
      <c r="E4137" s="28" t="inlineStr">
        <is>
          <t>VALOR:</t>
        </is>
      </c>
      <c r="F4137" s="56" t="n"/>
      <c r="G4137" s="66">
        <f>SUM(G4136,G4132)</f>
        <v/>
      </c>
    </row>
    <row r="4138" ht="15" customHeight="1">
      <c r="A4138" s="2" t="inlineStr"/>
      <c r="B4138" s="2" t="inlineStr"/>
      <c r="C4138" s="2" t="inlineStr"/>
      <c r="D4138" s="2" t="inlineStr"/>
      <c r="E4138" s="28" t="inlineStr">
        <is>
          <t>VALOR BDI (23.08%):</t>
        </is>
      </c>
      <c r="F4138" s="56" t="n"/>
      <c r="G4138" s="66">
        <f>ROUNDDOWN(G4137*BDI,2)</f>
        <v/>
      </c>
    </row>
    <row r="4139" ht="15" customHeight="1">
      <c r="A4139" s="2" t="inlineStr"/>
      <c r="B4139" s="2" t="inlineStr"/>
      <c r="C4139" s="2" t="inlineStr"/>
      <c r="D4139" s="2" t="inlineStr"/>
      <c r="E4139" s="28" t="inlineStr">
        <is>
          <t>VALOR COM BDI:</t>
        </is>
      </c>
      <c r="F4139" s="56" t="n"/>
      <c r="G4139" s="66">
        <f>G4138 + G4137</f>
        <v/>
      </c>
    </row>
    <row r="4140" ht="10" customHeight="1">
      <c r="A4140" s="2" t="inlineStr"/>
      <c r="B4140" s="2" t="inlineStr"/>
      <c r="C4140" s="2" t="inlineStr"/>
      <c r="D4140" s="2" t="inlineStr"/>
      <c r="E4140" s="18" t="inlineStr"/>
    </row>
    <row r="4141" ht="27" customHeight="1">
      <c r="A4141" s="19" t="inlineStr">
        <is>
          <t>12.2.2.1. ​104162​ PISO EM GRANILITE, MARMORITE OU GRANITINA EM AMBIENTES INTERNOS, COM ESPESSURA DE 8 MM, INCLUSO MISTURA EM BETONEIRA, COLOCAÇÃO DAS JUNTAS, APLICAÇÃO DO PISO, 4 POLIMENTOS COM POLITRIZ, ESTUCAMENTO, SELADOR E CERA.AF_06/2022​ (M2)</t>
        </is>
      </c>
      <c r="B4141" s="55" t="n"/>
      <c r="C4141" s="55" t="n"/>
      <c r="D4141" s="55" t="n"/>
      <c r="E4141" s="55" t="n"/>
      <c r="F4141" s="55" t="n"/>
      <c r="G4141" s="56" t="n"/>
    </row>
    <row r="4142" ht="15" customHeight="1">
      <c r="A4142" s="20" t="inlineStr">
        <is>
          <t>Equipamento Custo Horário</t>
        </is>
      </c>
      <c r="B4142" s="56" t="n"/>
      <c r="C4142" s="21" t="inlineStr">
        <is>
          <t>FONTE</t>
        </is>
      </c>
      <c r="D4142" s="21" t="inlineStr">
        <is>
          <t>UNID</t>
        </is>
      </c>
      <c r="E4142" s="21" t="inlineStr">
        <is>
          <t>COEFICIENTE</t>
        </is>
      </c>
      <c r="F4142" s="21" t="inlineStr">
        <is>
          <t>PREÇO UNITÁRIO</t>
        </is>
      </c>
      <c r="G4142" s="21" t="inlineStr">
        <is>
          <t>TOTAL</t>
        </is>
      </c>
    </row>
    <row r="4143" ht="38" customHeight="1">
      <c r="A4143" s="22" t="inlineStr">
        <is>
          <t>89226</t>
        </is>
      </c>
      <c r="B4143" s="23" t="inlineStr">
        <is>
          <t>BETONEIRA CAPACIDADE NOMINAL DE 600 L, CAPACIDADE DE MISTURA 360 L, MOTOR ELÉTRICO TRIFÁSICO POTÊNCIA DE 4 CV, SEM CARREGADOR - CHI DIURNO. AF_05/2023</t>
        </is>
      </c>
      <c r="C4143" s="22" t="inlineStr">
        <is>
          <t>SINAPI</t>
        </is>
      </c>
      <c r="D4143" s="22" t="inlineStr">
        <is>
          <t>CHI</t>
        </is>
      </c>
      <c r="E4143" s="63" t="n">
        <v>0.0759</v>
      </c>
      <c r="F4143" s="64">
        <f>'COMPOSICOES AUXILIARES'!G623</f>
        <v/>
      </c>
      <c r="G4143" s="64">
        <f>TRUNC(TRUNC(E4143,8)*F4143,2)</f>
        <v/>
      </c>
      <c r="L4143" t="n">
        <v>0.0759</v>
      </c>
      <c r="M4143" t="n">
        <v>1.68</v>
      </c>
      <c r="N4143">
        <f>(M4143-F4143)</f>
        <v/>
      </c>
    </row>
    <row r="4144" ht="38" customHeight="1">
      <c r="A4144" s="22" t="inlineStr">
        <is>
          <t>89225</t>
        </is>
      </c>
      <c r="B4144" s="23" t="inlineStr">
        <is>
          <t>BETONEIRA CAPACIDADE NOMINAL DE 600 L, CAPACIDADE DE MISTURA 360 L, MOTOR ELÉTRICO TRIFÁSICO POTÊNCIA DE 4 CV, SEM CARREGADOR - CHP DIURNO. AF_05/2023</t>
        </is>
      </c>
      <c r="C4144" s="22" t="inlineStr">
        <is>
          <t>SINAPI</t>
        </is>
      </c>
      <c r="D4144" s="22" t="inlineStr">
        <is>
          <t>CHP</t>
        </is>
      </c>
      <c r="E4144" s="63" t="n">
        <v>0.0254</v>
      </c>
      <c r="F4144" s="64">
        <f>'COMPOSICOES AUXILIARES'!G634</f>
        <v/>
      </c>
      <c r="G4144" s="64">
        <f>TRUNC(TRUNC(E4144,8)*F4144,2)</f>
        <v/>
      </c>
      <c r="L4144" t="n">
        <v>0.0254</v>
      </c>
      <c r="M4144" t="n">
        <v>5.7</v>
      </c>
      <c r="N4144">
        <f>(M4144-F4144)</f>
        <v/>
      </c>
    </row>
    <row r="4145" ht="29" customHeight="1">
      <c r="A4145" s="22" t="inlineStr">
        <is>
          <t>95277</t>
        </is>
      </c>
      <c r="B4145" s="23" t="inlineStr">
        <is>
          <t>POLIDORA DE PISO (POLITRIZ), PESO DE 100KG, DIÂMETRO 450 MM, MOTOR ELÉTRICO, POTÊNCIA 4 HP - CHI DIURNO. AF_05/2023</t>
        </is>
      </c>
      <c r="C4145" s="22" t="inlineStr">
        <is>
          <t>SINAPI</t>
        </is>
      </c>
      <c r="D4145" s="22" t="inlineStr">
        <is>
          <t>CHI</t>
        </is>
      </c>
      <c r="E4145" s="63" t="n">
        <v>0.2164</v>
      </c>
      <c r="F4145" s="64">
        <f>'COMPOSICOES AUXILIARES'!G3130</f>
        <v/>
      </c>
      <c r="G4145" s="64">
        <f>TRUNC(TRUNC(E4145,8)*F4145,2)</f>
        <v/>
      </c>
      <c r="L4145" t="n">
        <v>0.2164</v>
      </c>
      <c r="M4145" t="n">
        <v>0.72</v>
      </c>
      <c r="N4145">
        <f>(M4145-F4145)</f>
        <v/>
      </c>
    </row>
    <row r="4146" ht="29" customHeight="1">
      <c r="A4146" s="22" t="inlineStr">
        <is>
          <t>95276</t>
        </is>
      </c>
      <c r="B4146" s="23" t="inlineStr">
        <is>
          <t>POLIDORA DE PISO (POLITRIZ), PESO DE 100KG, DIÂMETRO 450 MM, MOTOR ELÉTRICO, POTÊNCIA 4 HP - CHP DIURNO. AF_05/2023</t>
        </is>
      </c>
      <c r="C4146" s="22" t="inlineStr">
        <is>
          <t>SINAPI</t>
        </is>
      </c>
      <c r="D4146" s="22" t="inlineStr">
        <is>
          <t>CHP</t>
        </is>
      </c>
      <c r="E4146" s="63" t="n">
        <v>0.09030000000000001</v>
      </c>
      <c r="F4146" s="64">
        <f>'COMPOSICOES AUXILIARES'!G3141</f>
        <v/>
      </c>
      <c r="G4146" s="64">
        <f>TRUNC(TRUNC(E4146,8)*F4146,2)</f>
        <v/>
      </c>
      <c r="L4146" t="n">
        <v>0.09030000000000001</v>
      </c>
      <c r="M4146" t="n">
        <v>3.74</v>
      </c>
      <c r="N4146">
        <f>(M4146-F4146)</f>
        <v/>
      </c>
    </row>
    <row r="4147" ht="18" customHeight="1">
      <c r="A4147" s="2" t="inlineStr"/>
      <c r="B4147" s="2" t="inlineStr"/>
      <c r="C4147" s="2" t="inlineStr"/>
      <c r="D4147" s="2" t="inlineStr"/>
      <c r="E4147" s="26" t="inlineStr">
        <is>
          <t>TOTAL Equipamento Custo Horário:</t>
        </is>
      </c>
      <c r="F4147" s="56" t="n"/>
      <c r="G4147" s="65">
        <f>SUM(G4143:G4146)</f>
        <v/>
      </c>
    </row>
    <row r="4148" ht="15" customHeight="1">
      <c r="A4148" s="20" t="inlineStr">
        <is>
          <t>Material</t>
        </is>
      </c>
      <c r="B4148" s="56" t="n"/>
      <c r="C4148" s="21" t="inlineStr">
        <is>
          <t>FONTE</t>
        </is>
      </c>
      <c r="D4148" s="21" t="inlineStr">
        <is>
          <t>UNID</t>
        </is>
      </c>
      <c r="E4148" s="21" t="inlineStr">
        <is>
          <t>COEFICIENTE</t>
        </is>
      </c>
      <c r="F4148" s="21" t="inlineStr">
        <is>
          <t>PREÇO UNITÁRIO</t>
        </is>
      </c>
      <c r="G4148" s="21" t="inlineStr">
        <is>
          <t>TOTAL</t>
        </is>
      </c>
    </row>
    <row r="4149" ht="15" customHeight="1">
      <c r="A4149" s="22" t="inlineStr">
        <is>
          <t>00041967</t>
        </is>
      </c>
      <c r="B4149" s="23" t="inlineStr">
        <is>
          <t>CERA LIQUIDA INCOLOR MULTIPISO</t>
        </is>
      </c>
      <c r="C4149" s="22" t="inlineStr">
        <is>
          <t>SINAPI</t>
        </is>
      </c>
      <c r="D4149" s="22" t="inlineStr">
        <is>
          <t>L</t>
        </is>
      </c>
      <c r="E4149" s="63" t="n">
        <v>0.0125</v>
      </c>
      <c r="F4149" s="64">
        <f>ROUND(M4149*FATOR, 2)</f>
        <v/>
      </c>
      <c r="G4149" s="64">
        <f>TRUNC(TRUNC(E4149,8)*F4149,2)</f>
        <v/>
      </c>
      <c r="L4149" t="n">
        <v>0.0125</v>
      </c>
      <c r="M4149" t="n">
        <v>25.03</v>
      </c>
      <c r="N4149">
        <f>(M4149-F4149)</f>
        <v/>
      </c>
    </row>
    <row r="4150" ht="21" customHeight="1">
      <c r="A4150" s="22" t="inlineStr">
        <is>
          <t>00044528</t>
        </is>
      </c>
      <c r="B4150" s="23" t="inlineStr">
        <is>
          <t>CIMENTO PORTLAND ESTRUTURAL BRANCO CPB - 32 OU CPB - 40</t>
        </is>
      </c>
      <c r="C4150" s="22" t="inlineStr">
        <is>
          <t>SINAPI</t>
        </is>
      </c>
      <c r="D4150" s="22" t="inlineStr">
        <is>
          <t>KG</t>
        </is>
      </c>
      <c r="E4150" s="63" t="n">
        <v>10</v>
      </c>
      <c r="F4150" s="64">
        <f>ROUND(M4150*FATOR, 2)</f>
        <v/>
      </c>
      <c r="G4150" s="64">
        <f>TRUNC(TRUNC(E4150,8)*F4150,2)</f>
        <v/>
      </c>
      <c r="L4150" t="n">
        <v>10</v>
      </c>
      <c r="M4150" t="n">
        <v>3.94</v>
      </c>
      <c r="N4150">
        <f>(M4150-F4150)</f>
        <v/>
      </c>
    </row>
    <row r="4151" ht="29" customHeight="1">
      <c r="A4151" s="22" t="inlineStr">
        <is>
          <t>00004824</t>
        </is>
      </c>
      <c r="B4151" s="23" t="inlineStr">
        <is>
          <t>GRANILHA/ GRANA/ PEDRISCO OU AGREGADO EM MARMORE/ GRANITO/ QUARTZO E CALCARIO, PRETO, CINZA, PALHA OU BRANCO</t>
        </is>
      </c>
      <c r="C4151" s="22" t="inlineStr">
        <is>
          <t>SINAPI</t>
        </is>
      </c>
      <c r="D4151" s="22" t="inlineStr">
        <is>
          <t>KG</t>
        </is>
      </c>
      <c r="E4151" s="63" t="n">
        <v>20</v>
      </c>
      <c r="F4151" s="64">
        <f>ROUND(M4151*FATOR, 2)</f>
        <v/>
      </c>
      <c r="G4151" s="64">
        <f>TRUNC(TRUNC(E4151,8)*F4151,2)</f>
        <v/>
      </c>
      <c r="L4151" t="n">
        <v>20</v>
      </c>
      <c r="M4151" t="n">
        <v>0.75</v>
      </c>
      <c r="N4151">
        <f>(M4151-F4151)</f>
        <v/>
      </c>
    </row>
    <row r="4152" ht="21" customHeight="1">
      <c r="A4152" s="22" t="inlineStr">
        <is>
          <t>00003671</t>
        </is>
      </c>
      <c r="B4152" s="23" t="inlineStr">
        <is>
          <t>JUNTA PLASTICA DE DILATACAO PARA PISOS, COR CINZA, 17 X 3 MM (ALTURA X ESPESSURA)</t>
        </is>
      </c>
      <c r="C4152" s="22" t="inlineStr">
        <is>
          <t>SINAPI</t>
        </is>
      </c>
      <c r="D4152" s="22" t="inlineStr">
        <is>
          <t>M</t>
        </is>
      </c>
      <c r="E4152" s="63" t="n">
        <v>1.67</v>
      </c>
      <c r="F4152" s="64">
        <f>ROUND(M4152*FATOR, 2)</f>
        <v/>
      </c>
      <c r="G4152" s="64">
        <f>TRUNC(TRUNC(E4152,8)*F4152,2)</f>
        <v/>
      </c>
      <c r="L4152" t="n">
        <v>1.67</v>
      </c>
      <c r="M4152" t="n">
        <v>1.37</v>
      </c>
      <c r="N4152">
        <f>(M4152-F4152)</f>
        <v/>
      </c>
    </row>
    <row r="4153" ht="15" customHeight="1">
      <c r="A4153" s="22" t="inlineStr">
        <is>
          <t>00006085</t>
        </is>
      </c>
      <c r="B4153" s="23" t="inlineStr">
        <is>
          <t>SELADOR ACRILICO OPACO PREMIUM INTERIOR/EXTERIOR</t>
        </is>
      </c>
      <c r="C4153" s="22" t="inlineStr">
        <is>
          <t>SINAPI</t>
        </is>
      </c>
      <c r="D4153" s="22" t="inlineStr">
        <is>
          <t>L</t>
        </is>
      </c>
      <c r="E4153" s="63" t="n">
        <v>0.04</v>
      </c>
      <c r="F4153" s="64">
        <f>ROUND(M4153*FATOR, 2)</f>
        <v/>
      </c>
      <c r="G4153" s="64">
        <f>TRUNC(TRUNC(E4153,8)*F4153,2)</f>
        <v/>
      </c>
      <c r="L4153" t="n">
        <v>0.04</v>
      </c>
      <c r="M4153" t="n">
        <v>12.23</v>
      </c>
      <c r="N4153">
        <f>(M4153-F4153)</f>
        <v/>
      </c>
    </row>
    <row r="4154" ht="15" customHeight="1">
      <c r="A4154" s="2" t="inlineStr"/>
      <c r="B4154" s="2" t="inlineStr"/>
      <c r="C4154" s="2" t="inlineStr"/>
      <c r="D4154" s="2" t="inlineStr"/>
      <c r="E4154" s="26" t="inlineStr">
        <is>
          <t>TOTAL Material:</t>
        </is>
      </c>
      <c r="F4154" s="56" t="n"/>
      <c r="G4154" s="65">
        <f>SUM(G4149:G4153)</f>
        <v/>
      </c>
    </row>
    <row r="4155" ht="15" customHeight="1">
      <c r="A4155" s="20" t="inlineStr">
        <is>
          <t>Mão de Obra com Encargos Complementares</t>
        </is>
      </c>
      <c r="B4155" s="56" t="n"/>
      <c r="C4155" s="21" t="inlineStr">
        <is>
          <t>FONTE</t>
        </is>
      </c>
      <c r="D4155" s="21" t="inlineStr">
        <is>
          <t>UNID</t>
        </is>
      </c>
      <c r="E4155" s="21" t="inlineStr">
        <is>
          <t>COEFICIENTE</t>
        </is>
      </c>
      <c r="F4155" s="21" t="inlineStr">
        <is>
          <t>PREÇO UNITÁRIO</t>
        </is>
      </c>
      <c r="G4155" s="21" t="inlineStr">
        <is>
          <t>TOTAL</t>
        </is>
      </c>
    </row>
    <row r="4156" ht="21" customHeight="1">
      <c r="A4156" s="22" t="inlineStr">
        <is>
          <t>88274</t>
        </is>
      </c>
      <c r="B4156" s="23" t="inlineStr">
        <is>
          <t>MARMORISTA/GRANITEIRO COM ENCARGOS COMPLEMENTARES</t>
        </is>
      </c>
      <c r="C4156" s="22" t="inlineStr">
        <is>
          <t>SINAPI</t>
        </is>
      </c>
      <c r="D4156" s="22" t="inlineStr">
        <is>
          <t>H</t>
        </is>
      </c>
      <c r="E4156" s="63">
        <f>L4156*FATOR</f>
        <v/>
      </c>
      <c r="F4156" s="64">
        <f>'COMPOSICOES AUXILIARES'!G2424</f>
        <v/>
      </c>
      <c r="G4156" s="64">
        <f>TRUNC(TRUNC(E4156,8)*F4156,2)</f>
        <v/>
      </c>
      <c r="L4156" t="n">
        <v>1.0956</v>
      </c>
      <c r="M4156" t="n">
        <v>29.93</v>
      </c>
      <c r="N4156">
        <f>(M4156-F4156)</f>
        <v/>
      </c>
    </row>
    <row r="4157" ht="15" customHeight="1">
      <c r="A4157" s="22" t="inlineStr">
        <is>
          <t>88316</t>
        </is>
      </c>
      <c r="B4157" s="23" t="inlineStr">
        <is>
          <t>SERVENTE COM ENCARGOS COMPLEMENTARES</t>
        </is>
      </c>
      <c r="C4157" s="22" t="inlineStr">
        <is>
          <t>SINAPI</t>
        </is>
      </c>
      <c r="D4157" s="22" t="inlineStr">
        <is>
          <t>H</t>
        </is>
      </c>
      <c r="E4157" s="63">
        <f>L4157*FATOR</f>
        <v/>
      </c>
      <c r="F4157" s="64">
        <f>'COMPOSICOES AUXILIARES'!G3390</f>
        <v/>
      </c>
      <c r="G4157" s="64">
        <f>TRUNC(TRUNC(E4157,8)*F4157,2)</f>
        <v/>
      </c>
      <c r="L4157" t="n">
        <v>0.4972</v>
      </c>
      <c r="M4157" t="n">
        <v>23.56</v>
      </c>
      <c r="N4157">
        <f>(M4157-F4157)</f>
        <v/>
      </c>
    </row>
    <row r="4158" ht="18" customHeight="1">
      <c r="A4158" s="2" t="inlineStr"/>
      <c r="B4158" s="2" t="inlineStr"/>
      <c r="C4158" s="2" t="inlineStr"/>
      <c r="D4158" s="2" t="inlineStr"/>
      <c r="E4158" s="26" t="inlineStr">
        <is>
          <t>TOTAL Mão de Obra com Encargos Complementares:</t>
        </is>
      </c>
      <c r="F4158" s="56" t="n"/>
      <c r="G4158" s="65">
        <f>SUM(G4156:G4157)</f>
        <v/>
      </c>
    </row>
    <row r="4159" ht="15" customHeight="1">
      <c r="A4159" s="2" t="inlineStr"/>
      <c r="B4159" s="2" t="inlineStr"/>
      <c r="C4159" s="2" t="inlineStr"/>
      <c r="D4159" s="2" t="inlineStr"/>
      <c r="E4159" s="28" t="inlineStr">
        <is>
          <t>VALOR:</t>
        </is>
      </c>
      <c r="F4159" s="56" t="n"/>
      <c r="G4159" s="66">
        <f>SUM(G4154,G4147,G4158)</f>
        <v/>
      </c>
    </row>
    <row r="4160" ht="15" customHeight="1">
      <c r="A4160" s="2" t="inlineStr"/>
      <c r="B4160" s="2" t="inlineStr"/>
      <c r="C4160" s="2" t="inlineStr"/>
      <c r="D4160" s="2" t="inlineStr"/>
      <c r="E4160" s="28" t="inlineStr">
        <is>
          <t>VALOR BDI (23.08%):</t>
        </is>
      </c>
      <c r="F4160" s="56" t="n"/>
      <c r="G4160" s="66">
        <f>ROUNDDOWN(G4159*BDI,2)</f>
        <v/>
      </c>
    </row>
    <row r="4161" ht="15" customHeight="1">
      <c r="A4161" s="2" t="inlineStr"/>
      <c r="B4161" s="2" t="inlineStr"/>
      <c r="C4161" s="2" t="inlineStr"/>
      <c r="D4161" s="2" t="inlineStr"/>
      <c r="E4161" s="28" t="inlineStr">
        <is>
          <t>VALOR COM BDI:</t>
        </is>
      </c>
      <c r="F4161" s="56" t="n"/>
      <c r="G4161" s="66">
        <f>G4160 + G4159</f>
        <v/>
      </c>
    </row>
    <row r="4162" ht="10" customHeight="1">
      <c r="A4162" s="2" t="inlineStr"/>
      <c r="B4162" s="2" t="inlineStr"/>
      <c r="C4162" s="2" t="inlineStr"/>
      <c r="D4162" s="2" t="inlineStr"/>
      <c r="E4162" s="18" t="inlineStr"/>
    </row>
    <row r="4163" ht="20" customHeight="1">
      <c r="A4163" s="19" t="inlineStr">
        <is>
          <t>12.2.2.2. ​413 PRÓPRIO​ GRELHA DE FECHAMENTO DA CANALETA EM PLACA DE CONCRETO ARAMADO REVESTIDO COM GRANITINA CINZA (L=67.50CM - P= 58.90CM - H= 7CM)​ (UN)</t>
        </is>
      </c>
      <c r="B4163" s="55" t="n"/>
      <c r="C4163" s="55" t="n"/>
      <c r="D4163" s="55" t="n"/>
      <c r="E4163" s="55" t="n"/>
      <c r="F4163" s="55" t="n"/>
      <c r="G4163" s="56" t="n"/>
    </row>
    <row r="4164" ht="15" customHeight="1">
      <c r="A4164" s="20" t="inlineStr">
        <is>
          <t>Serviço</t>
        </is>
      </c>
      <c r="B4164" s="56" t="n"/>
      <c r="C4164" s="21" t="inlineStr">
        <is>
          <t>FONTE</t>
        </is>
      </c>
      <c r="D4164" s="21" t="inlineStr">
        <is>
          <t>UNID</t>
        </is>
      </c>
      <c r="E4164" s="21" t="inlineStr">
        <is>
          <t>COEFICIENTE</t>
        </is>
      </c>
      <c r="F4164" s="21" t="inlineStr">
        <is>
          <t>PREÇO UNITÁRIO</t>
        </is>
      </c>
      <c r="G4164" s="21" t="inlineStr">
        <is>
          <t>TOTAL</t>
        </is>
      </c>
    </row>
    <row r="4165" ht="29" customHeight="1">
      <c r="A4165" s="22" t="inlineStr">
        <is>
          <t>92768</t>
        </is>
      </c>
      <c r="B4165" s="23" t="inlineStr">
        <is>
          <t>ARMAÇÃO DE LAJE DE ESTRUTURA CONVENCIONAL DE CONCRETO ARMADO UTILIZANDO AÇO CA-60 DE 5,0 MM - MONTAGEM. AF_06/2022</t>
        </is>
      </c>
      <c r="C4165" s="22" t="inlineStr">
        <is>
          <t>SINAPI</t>
        </is>
      </c>
      <c r="D4165" s="22" t="inlineStr">
        <is>
          <t>KG</t>
        </is>
      </c>
      <c r="E4165" s="63" t="n">
        <v>2</v>
      </c>
      <c r="F4165" s="64">
        <f>'COMPOSICOES AUXILIARES'!G461</f>
        <v/>
      </c>
      <c r="G4165" s="64">
        <f>ROUND(ROUND(E4165,8)*F4165,2)</f>
        <v/>
      </c>
      <c r="L4165" t="n">
        <v>2</v>
      </c>
      <c r="M4165" t="n">
        <v>13.2</v>
      </c>
      <c r="N4165">
        <f>(M4165-F4165)</f>
        <v/>
      </c>
    </row>
    <row r="4166" ht="38" customHeight="1">
      <c r="A4166" s="22" t="inlineStr">
        <is>
          <t>103682</t>
        </is>
      </c>
      <c r="B4166" s="23" t="inlineStr">
        <is>
          <t>CONCRETAGEM DE VIGAS E LAJES, FCK=25 MPA, PARA QUALQUER TIPO DE LAJE COM BALDES EM EDIFICAÇÃO TÉRREA - LANÇAMENTO, ADENSAMENTO E ACABAMENTO. AF_02/2022</t>
        </is>
      </c>
      <c r="C4166" s="22" t="inlineStr">
        <is>
          <t>SINAPI</t>
        </is>
      </c>
      <c r="D4166" s="22" t="inlineStr">
        <is>
          <t>M3</t>
        </is>
      </c>
      <c r="E4166" s="63" t="n">
        <v>0.0253</v>
      </c>
      <c r="F4166" s="64">
        <f>'COMPOSICOES AUXILIARES'!G1129</f>
        <v/>
      </c>
      <c r="G4166" s="64">
        <f>ROUND(ROUND(E4166,8)*F4166,2)</f>
        <v/>
      </c>
      <c r="L4166" t="n">
        <v>0.0253</v>
      </c>
      <c r="M4166" t="n">
        <v>970.35</v>
      </c>
      <c r="N4166">
        <f>(M4166-F4166)</f>
        <v/>
      </c>
    </row>
    <row r="4167" ht="38" customHeight="1">
      <c r="A4167" s="22" t="inlineStr">
        <is>
          <t>87624</t>
        </is>
      </c>
      <c r="B4167" s="23" t="inlineStr">
        <is>
          <t>CONTRAPISO EM ARGAMASSA PRONTA, PREPARO MANUAL, APLICADO EM ÁREAS SECAS SOBRE LAJE, ADERIDO, ACABAMENTO NÃO REFORÇADO, ESPESSURA 2CM. AF_07/2021</t>
        </is>
      </c>
      <c r="C4167" s="22" t="inlineStr">
        <is>
          <t>SINAPI</t>
        </is>
      </c>
      <c r="D4167" s="22" t="inlineStr">
        <is>
          <t>M2</t>
        </is>
      </c>
      <c r="E4167" s="63" t="n">
        <v>0.4</v>
      </c>
      <c r="F4167" s="64">
        <f>'COMPOSICOES AUXILIARES'!G1320</f>
        <v/>
      </c>
      <c r="G4167" s="64">
        <f>ROUND(ROUND(E4167,8)*F4167,2)</f>
        <v/>
      </c>
      <c r="L4167" t="n">
        <v>0.4</v>
      </c>
      <c r="M4167" t="n">
        <v>108.97</v>
      </c>
      <c r="N4167">
        <f>(M4167-F4167)</f>
        <v/>
      </c>
    </row>
    <row r="4168" ht="29" customHeight="1">
      <c r="A4168" s="22" t="inlineStr">
        <is>
          <t>92268</t>
        </is>
      </c>
      <c r="B4168" s="23" t="inlineStr">
        <is>
          <t>FABRICAÇÃO DE FÔRMA PARA LAJES, EM CHAPA DE MADEIRA COMPENSADA PLASTIFICADA, E = 18 MM. AF_09/2020</t>
        </is>
      </c>
      <c r="C4168" s="22" t="inlineStr">
        <is>
          <t>SINAPI</t>
        </is>
      </c>
      <c r="D4168" s="22" t="inlineStr">
        <is>
          <t>M2</t>
        </is>
      </c>
      <c r="E4168" s="63" t="n">
        <v>0.28</v>
      </c>
      <c r="F4168" s="64">
        <f>'COMPOSICOES AUXILIARES'!G2087</f>
        <v/>
      </c>
      <c r="G4168" s="64">
        <f>ROUND(ROUND(E4168,8)*F4168,2)</f>
        <v/>
      </c>
      <c r="L4168" t="n">
        <v>0.28</v>
      </c>
      <c r="M4168" t="n">
        <v>103.84</v>
      </c>
      <c r="N4168">
        <f>(M4168-F4168)</f>
        <v/>
      </c>
    </row>
    <row r="4169" ht="46" customHeight="1">
      <c r="A4169" s="22" t="inlineStr">
        <is>
          <t>104162</t>
        </is>
      </c>
      <c r="B4169" s="23" t="inlineStr">
        <is>
          <t>PISO EM GRANILITE, MARMORITE OU GRANITINA EM AMBIENTES INTERNOS, COM ESPESSURA DE 8 MM, INCLUSO MISTURA EM BETONEIRA, COLOCAÇÃO DAS JUNTAS, APLICAÇÃO DO PISO, 4 POLIMENTOS COM POLITRIZ, ESTUCAMENTO, SELADOR E CERA. AF_06/2022</t>
        </is>
      </c>
      <c r="C4169" s="22" t="inlineStr">
        <is>
          <t>SINAPI</t>
        </is>
      </c>
      <c r="D4169" s="22" t="inlineStr">
        <is>
          <t>M2</t>
        </is>
      </c>
      <c r="E4169" s="63" t="n">
        <v>0.4</v>
      </c>
      <c r="F4169" s="64">
        <f>'COMPOSICOES AUXILIARES'!G3121</f>
        <v/>
      </c>
      <c r="G4169" s="64">
        <f>ROUND(ROUND(E4169,8)*F4169,2)</f>
        <v/>
      </c>
      <c r="L4169" t="n">
        <v>0.4</v>
      </c>
      <c r="M4169" t="n">
        <v>102.71</v>
      </c>
      <c r="N4169">
        <f>(M4169-F4169)</f>
        <v/>
      </c>
    </row>
    <row r="4170" ht="29" customHeight="1">
      <c r="A4170" s="22" t="inlineStr">
        <is>
          <t>89355</t>
        </is>
      </c>
      <c r="B4170" s="23" t="inlineStr">
        <is>
          <t>TUBO, PVC, SOLDÁVEL, DE 20MM, INSTALADO EM RAMAL OU SUB-RAMAL DE ÁGUA - FORNECIMENTO E INSTALAÇÃO. AF_06/2022</t>
        </is>
      </c>
      <c r="C4170" s="22" t="inlineStr">
        <is>
          <t>SINAPI</t>
        </is>
      </c>
      <c r="D4170" s="22" t="inlineStr">
        <is>
          <t>M</t>
        </is>
      </c>
      <c r="E4170" s="63" t="n">
        <v>12</v>
      </c>
      <c r="F4170" s="64">
        <f>'COMPOSICOES AUXILIARES'!G3693</f>
        <v/>
      </c>
      <c r="G4170" s="64">
        <f>ROUND(ROUND(E4170,8)*F4170,2)</f>
        <v/>
      </c>
      <c r="L4170" t="n">
        <v>12</v>
      </c>
      <c r="M4170" t="n">
        <v>21.86</v>
      </c>
      <c r="N4170">
        <f>(M4170-F4170)</f>
        <v/>
      </c>
    </row>
    <row r="4171" ht="15" customHeight="1">
      <c r="A4171" s="2" t="inlineStr"/>
      <c r="B4171" s="2" t="inlineStr"/>
      <c r="C4171" s="2" t="inlineStr"/>
      <c r="D4171" s="2" t="inlineStr"/>
      <c r="E4171" s="26" t="inlineStr">
        <is>
          <t>TOTAL Serviço:</t>
        </is>
      </c>
      <c r="F4171" s="56" t="n"/>
      <c r="G4171" s="65">
        <f>SUM(G4165:G4170)</f>
        <v/>
      </c>
    </row>
    <row r="4172" ht="15" customHeight="1">
      <c r="A4172" s="2" t="inlineStr"/>
      <c r="B4172" s="2" t="inlineStr"/>
      <c r="C4172" s="2" t="inlineStr"/>
      <c r="D4172" s="2" t="inlineStr"/>
      <c r="E4172" s="28" t="inlineStr">
        <is>
          <t>VALOR:</t>
        </is>
      </c>
      <c r="F4172" s="56" t="n"/>
      <c r="G4172" s="66">
        <f>SUM(G4171)</f>
        <v/>
      </c>
    </row>
    <row r="4173" ht="15" customHeight="1">
      <c r="A4173" s="2" t="inlineStr"/>
      <c r="B4173" s="2" t="inlineStr"/>
      <c r="C4173" s="2" t="inlineStr"/>
      <c r="D4173" s="2" t="inlineStr"/>
      <c r="E4173" s="28" t="inlineStr">
        <is>
          <t>VALOR BDI (23.08%):</t>
        </is>
      </c>
      <c r="F4173" s="56" t="n"/>
      <c r="G4173" s="66">
        <f>ROUNDDOWN(G4172*BDI,2)</f>
        <v/>
      </c>
    </row>
    <row r="4174" ht="15" customHeight="1">
      <c r="A4174" s="2" t="inlineStr"/>
      <c r="B4174" s="2" t="inlineStr"/>
      <c r="C4174" s="2" t="inlineStr"/>
      <c r="D4174" s="2" t="inlineStr"/>
      <c r="E4174" s="28" t="inlineStr">
        <is>
          <t>VALOR COM BDI:</t>
        </is>
      </c>
      <c r="F4174" s="56" t="n"/>
      <c r="G4174" s="66">
        <f>G4173 + G4172</f>
        <v/>
      </c>
    </row>
    <row r="4175" ht="10" customHeight="1">
      <c r="A4175" s="2" t="inlineStr"/>
      <c r="B4175" s="2" t="inlineStr"/>
      <c r="C4175" s="2" t="inlineStr"/>
      <c r="D4175" s="2" t="inlineStr"/>
      <c r="E4175" s="18" t="inlineStr"/>
    </row>
    <row r="4176" ht="20" customHeight="1">
      <c r="A4176" s="19" t="inlineStr">
        <is>
          <t>12.2.3.1. ​474 PRÓPRIO​ PISO TÁTIL DIRECIONAL / ALERTA - PLACA 25 X 25CM - VÁRIAS CORES​ (UN)</t>
        </is>
      </c>
      <c r="B4176" s="55" t="n"/>
      <c r="C4176" s="55" t="n"/>
      <c r="D4176" s="55" t="n"/>
      <c r="E4176" s="55" t="n"/>
      <c r="F4176" s="55" t="n"/>
      <c r="G4176" s="56" t="n"/>
    </row>
    <row r="4177" ht="15" customHeight="1">
      <c r="A4177" s="20" t="inlineStr">
        <is>
          <t>Material</t>
        </is>
      </c>
      <c r="B4177" s="56" t="n"/>
      <c r="C4177" s="21" t="inlineStr">
        <is>
          <t>FONTE</t>
        </is>
      </c>
      <c r="D4177" s="21" t="inlineStr">
        <is>
          <t>UNID</t>
        </is>
      </c>
      <c r="E4177" s="21" t="inlineStr">
        <is>
          <t>COEFICIENTE</t>
        </is>
      </c>
      <c r="F4177" s="21" t="inlineStr">
        <is>
          <t>PREÇO UNITÁRIO</t>
        </is>
      </c>
      <c r="G4177" s="21" t="inlineStr">
        <is>
          <t>TOTAL</t>
        </is>
      </c>
    </row>
    <row r="4178" ht="21" customHeight="1">
      <c r="A4178" s="22" t="inlineStr">
        <is>
          <t>038458 SBC</t>
        </is>
      </c>
      <c r="B4178" s="23" t="inlineStr">
        <is>
          <t>ACESSIBILIDADE - PLACA PISO TATIL DIRECIONAL 25X25CM AMARELO.</t>
        </is>
      </c>
      <c r="C4178" s="22" t="inlineStr">
        <is>
          <t xml:space="preserve">Composições </t>
        </is>
      </c>
      <c r="D4178" s="22" t="inlineStr">
        <is>
          <t>UN</t>
        </is>
      </c>
      <c r="E4178" s="63" t="n">
        <v>1</v>
      </c>
      <c r="F4178" s="64">
        <f>ROUND(M4178*FATOR, 2)</f>
        <v/>
      </c>
      <c r="G4178" s="64">
        <f>ROUND(ROUND(E4178,8)*F4178,2)</f>
        <v/>
      </c>
      <c r="L4178" t="n">
        <v>1</v>
      </c>
      <c r="M4178" t="n">
        <v>15.18</v>
      </c>
      <c r="N4178">
        <f>(M4178-F4178)</f>
        <v/>
      </c>
    </row>
    <row r="4179" ht="15" customHeight="1">
      <c r="A4179" s="22" t="inlineStr">
        <is>
          <t>00004791</t>
        </is>
      </c>
      <c r="B4179" s="23" t="inlineStr">
        <is>
          <t>ADESIVO ACRILICO DE BASE AQUOSA / COLA DE CONTATO</t>
        </is>
      </c>
      <c r="C4179" s="22" t="inlineStr">
        <is>
          <t>SINAPI</t>
        </is>
      </c>
      <c r="D4179" s="22" t="inlineStr">
        <is>
          <t>KG</t>
        </is>
      </c>
      <c r="E4179" s="63" t="n">
        <v>0.125</v>
      </c>
      <c r="F4179" s="64">
        <f>ROUND(M4179*FATOR, 2)</f>
        <v/>
      </c>
      <c r="G4179" s="64">
        <f>ROUND(ROUND(E4179,8)*F4179,2)</f>
        <v/>
      </c>
      <c r="L4179" t="n">
        <v>0.125</v>
      </c>
      <c r="M4179" t="n">
        <v>52.69</v>
      </c>
      <c r="N4179">
        <f>(M4179-F4179)</f>
        <v/>
      </c>
    </row>
    <row r="4180" ht="15" customHeight="1">
      <c r="A4180" s="2" t="inlineStr"/>
      <c r="B4180" s="2" t="inlineStr"/>
      <c r="C4180" s="2" t="inlineStr"/>
      <c r="D4180" s="2" t="inlineStr"/>
      <c r="E4180" s="26" t="inlineStr">
        <is>
          <t>TOTAL Material:</t>
        </is>
      </c>
      <c r="F4180" s="56" t="n"/>
      <c r="G4180" s="65">
        <f>SUM(G4178:G4179)</f>
        <v/>
      </c>
    </row>
    <row r="4181" ht="15" customHeight="1">
      <c r="A4181" s="20" t="inlineStr">
        <is>
          <t>Mão de Obra com Encargos Complementares</t>
        </is>
      </c>
      <c r="B4181" s="56" t="n"/>
      <c r="C4181" s="21" t="inlineStr">
        <is>
          <t>FONTE</t>
        </is>
      </c>
      <c r="D4181" s="21" t="inlineStr">
        <is>
          <t>UNID</t>
        </is>
      </c>
      <c r="E4181" s="21" t="inlineStr">
        <is>
          <t>COEFICIENTE</t>
        </is>
      </c>
      <c r="F4181" s="21" t="inlineStr">
        <is>
          <t>PREÇO UNITÁRIO</t>
        </is>
      </c>
      <c r="G4181" s="21" t="inlineStr">
        <is>
          <t>TOTAL</t>
        </is>
      </c>
    </row>
    <row r="4182" ht="15" customHeight="1">
      <c r="A4182" s="22" t="inlineStr">
        <is>
          <t>88309</t>
        </is>
      </c>
      <c r="B4182" s="23" t="inlineStr">
        <is>
          <t>PEDREIRO COM ENCARGOS COMPLEMENTARES</t>
        </is>
      </c>
      <c r="C4182" s="22" t="inlineStr">
        <is>
          <t>SINAPI</t>
        </is>
      </c>
      <c r="D4182" s="22" t="inlineStr">
        <is>
          <t>H</t>
        </is>
      </c>
      <c r="E4182" s="63">
        <f>L4182*FATOR</f>
        <v/>
      </c>
      <c r="F4182" s="64">
        <f>'COMPOSICOES AUXILIARES'!G2887</f>
        <v/>
      </c>
      <c r="G4182" s="64">
        <f>ROUND(ROUND(E4182,8)*F4182,2)</f>
        <v/>
      </c>
      <c r="L4182" t="n">
        <v>0.22</v>
      </c>
      <c r="M4182" t="n">
        <v>30.58</v>
      </c>
      <c r="N4182">
        <f>(M4182-F4182)</f>
        <v/>
      </c>
    </row>
    <row r="4183" ht="18" customHeight="1">
      <c r="A4183" s="2" t="inlineStr"/>
      <c r="B4183" s="2" t="inlineStr"/>
      <c r="C4183" s="2" t="inlineStr"/>
      <c r="D4183" s="2" t="inlineStr"/>
      <c r="E4183" s="26" t="inlineStr">
        <is>
          <t>TOTAL Mão de Obra com Encargos Complementares:</t>
        </is>
      </c>
      <c r="F4183" s="56" t="n"/>
      <c r="G4183" s="65">
        <f>SUM(G4182:G4182)</f>
        <v/>
      </c>
    </row>
    <row r="4184" ht="15" customHeight="1">
      <c r="A4184" s="2" t="inlineStr"/>
      <c r="B4184" s="2" t="inlineStr"/>
      <c r="C4184" s="2" t="inlineStr"/>
      <c r="D4184" s="2" t="inlineStr"/>
      <c r="E4184" s="28" t="inlineStr">
        <is>
          <t>VALOR:</t>
        </is>
      </c>
      <c r="F4184" s="56" t="n"/>
      <c r="G4184" s="66">
        <f>SUM(G4180,G4183)</f>
        <v/>
      </c>
    </row>
    <row r="4185" ht="15" customHeight="1">
      <c r="A4185" s="2" t="inlineStr"/>
      <c r="B4185" s="2" t="inlineStr"/>
      <c r="C4185" s="2" t="inlineStr"/>
      <c r="D4185" s="2" t="inlineStr"/>
      <c r="E4185" s="28" t="inlineStr">
        <is>
          <t>VALOR BDI (23.08%):</t>
        </is>
      </c>
      <c r="F4185" s="56" t="n"/>
      <c r="G4185" s="66">
        <f>ROUNDDOWN(G4184*BDI,2)</f>
        <v/>
      </c>
    </row>
    <row r="4186" ht="15" customHeight="1">
      <c r="A4186" s="2" t="inlineStr"/>
      <c r="B4186" s="2" t="inlineStr"/>
      <c r="C4186" s="2" t="inlineStr"/>
      <c r="D4186" s="2" t="inlineStr"/>
      <c r="E4186" s="28" t="inlineStr">
        <is>
          <t>VALOR COM BDI:</t>
        </is>
      </c>
      <c r="F4186" s="56" t="n"/>
      <c r="G4186" s="66">
        <f>G4185 + G4184</f>
        <v/>
      </c>
    </row>
    <row r="4187" ht="10" customHeight="1">
      <c r="A4187" s="2" t="inlineStr"/>
      <c r="B4187" s="2" t="inlineStr"/>
      <c r="C4187" s="2" t="inlineStr"/>
      <c r="D4187" s="2" t="inlineStr"/>
      <c r="E4187" s="18" t="inlineStr"/>
    </row>
    <row r="4188" ht="20" customHeight="1">
      <c r="A4188" s="19" t="inlineStr">
        <is>
          <t>13.1.1.1. ​211 PRÓPRIO​ BANCADA PARA LAVATÓRIO EM GRANITO - FUROS (CUBA + TORNEIRA) - COM ESPELHO - ACABAMENTO TIPO SAIA (10CM)- COR: BRANCO SIENA​ (M²)</t>
        </is>
      </c>
      <c r="B4188" s="55" t="n"/>
      <c r="C4188" s="55" t="n"/>
      <c r="D4188" s="55" t="n"/>
      <c r="E4188" s="55" t="n"/>
      <c r="F4188" s="55" t="n"/>
      <c r="G4188" s="56" t="n"/>
    </row>
    <row r="4189" ht="15" customHeight="1">
      <c r="A4189" s="20" t="inlineStr">
        <is>
          <t>Material</t>
        </is>
      </c>
      <c r="B4189" s="56" t="n"/>
      <c r="C4189" s="21" t="inlineStr">
        <is>
          <t>FONTE</t>
        </is>
      </c>
      <c r="D4189" s="21" t="inlineStr">
        <is>
          <t>UNID</t>
        </is>
      </c>
      <c r="E4189" s="21" t="inlineStr">
        <is>
          <t>COEFICIENTE</t>
        </is>
      </c>
      <c r="F4189" s="21" t="inlineStr">
        <is>
          <t>PREÇO UNITÁRIO</t>
        </is>
      </c>
      <c r="G4189" s="21" t="inlineStr">
        <is>
          <t>TOTAL</t>
        </is>
      </c>
    </row>
    <row r="4190" ht="29" customHeight="1">
      <c r="A4190" s="22" t="inlineStr">
        <is>
          <t>00007568</t>
        </is>
      </c>
      <c r="B4190" s="23" t="inlineStr">
        <is>
          <t>BUCHA DE NYLON SEM ABA S10, COM PARAFUSO DE 6,10 X 65 MM EM ACO ZINCADO COM ROSCA SOBERBA, CABECA CHATA E FENDA PHILLIPS</t>
        </is>
      </c>
      <c r="C4190" s="22" t="inlineStr">
        <is>
          <t>SINAPI</t>
        </is>
      </c>
      <c r="D4190" s="22" t="inlineStr">
        <is>
          <t>UN</t>
        </is>
      </c>
      <c r="E4190" s="63" t="n">
        <v>6</v>
      </c>
      <c r="F4190" s="64">
        <f>ROUND(M4190*FATOR, 2)</f>
        <v/>
      </c>
      <c r="G4190" s="64">
        <f>ROUND(ROUND(E4190,8)*F4190,2)</f>
        <v/>
      </c>
      <c r="L4190" t="n">
        <v>6</v>
      </c>
      <c r="M4190" t="n">
        <v>0.86</v>
      </c>
      <c r="N4190">
        <f>(M4190-F4190)</f>
        <v/>
      </c>
    </row>
    <row r="4191" ht="15" customHeight="1">
      <c r="A4191" s="22" t="inlineStr">
        <is>
          <t>00004823</t>
        </is>
      </c>
      <c r="B4191" s="23" t="inlineStr">
        <is>
          <t>MASSA PLASTICA PARA MARMORE/GRANITO</t>
        </is>
      </c>
      <c r="C4191" s="22" t="inlineStr">
        <is>
          <t>SINAPI</t>
        </is>
      </c>
      <c r="D4191" s="22" t="inlineStr">
        <is>
          <t>KG</t>
        </is>
      </c>
      <c r="E4191" s="63" t="n">
        <v>0.1</v>
      </c>
      <c r="F4191" s="64">
        <f>ROUND(M4191*FATOR, 2)</f>
        <v/>
      </c>
      <c r="G4191" s="64">
        <f>ROUND(ROUND(E4191,8)*F4191,2)</f>
        <v/>
      </c>
      <c r="L4191" t="n">
        <v>0.1</v>
      </c>
      <c r="M4191" t="n">
        <v>38.31</v>
      </c>
      <c r="N4191">
        <f>(M4191-F4191)</f>
        <v/>
      </c>
    </row>
    <row r="4192" ht="15" customHeight="1">
      <c r="A4192" s="22" t="inlineStr">
        <is>
          <t>00037329</t>
        </is>
      </c>
      <c r="B4192" s="23" t="inlineStr">
        <is>
          <t>REJUNTE EPOXI, QUALQUER COR</t>
        </is>
      </c>
      <c r="C4192" s="22" t="inlineStr">
        <is>
          <t>SINAPI</t>
        </is>
      </c>
      <c r="D4192" s="22" t="inlineStr">
        <is>
          <t>KG</t>
        </is>
      </c>
      <c r="E4192" s="63" t="n">
        <v>0.0211</v>
      </c>
      <c r="F4192" s="64">
        <f>ROUND(M4192*FATOR, 2)</f>
        <v/>
      </c>
      <c r="G4192" s="64">
        <f>ROUND(ROUND(E4192,8)*F4192,2)</f>
        <v/>
      </c>
      <c r="L4192" t="n">
        <v>0.0211</v>
      </c>
      <c r="M4192" t="n">
        <v>144.69</v>
      </c>
      <c r="N4192">
        <f>(M4192-F4192)</f>
        <v/>
      </c>
    </row>
    <row r="4193" ht="21" customHeight="1">
      <c r="A4193" s="22" t="inlineStr">
        <is>
          <t>00037591</t>
        </is>
      </c>
      <c r="B4193" s="23" t="inlineStr">
        <is>
          <t>SUPORTE MAO-FRANCESA EM ACO, ABAS IGUAIS 40 CM, CAPACIDADE MINIMA 70 KG, BRANCO</t>
        </is>
      </c>
      <c r="C4193" s="22" t="inlineStr">
        <is>
          <t>SINAPI</t>
        </is>
      </c>
      <c r="D4193" s="22" t="inlineStr">
        <is>
          <t>UN</t>
        </is>
      </c>
      <c r="E4193" s="63" t="n">
        <v>2</v>
      </c>
      <c r="F4193" s="64">
        <f>ROUND(M4193*FATOR, 2)</f>
        <v/>
      </c>
      <c r="G4193" s="64">
        <f>ROUND(ROUND(E4193,8)*F4193,2)</f>
        <v/>
      </c>
      <c r="L4193" t="n">
        <v>2</v>
      </c>
      <c r="M4193" t="n">
        <v>20.27</v>
      </c>
      <c r="N4193">
        <f>(M4193-F4193)</f>
        <v/>
      </c>
    </row>
    <row r="4194" ht="15" customHeight="1">
      <c r="A4194" s="2" t="inlineStr"/>
      <c r="B4194" s="2" t="inlineStr"/>
      <c r="C4194" s="2" t="inlineStr"/>
      <c r="D4194" s="2" t="inlineStr"/>
      <c r="E4194" s="26" t="inlineStr">
        <is>
          <t>TOTAL Material:</t>
        </is>
      </c>
      <c r="F4194" s="56" t="n"/>
      <c r="G4194" s="65">
        <f>SUM(G4190:G4193)</f>
        <v/>
      </c>
    </row>
    <row r="4195" ht="15" customHeight="1">
      <c r="A4195" s="20" t="inlineStr">
        <is>
          <t>Mão de Obra com Encargos Complementares</t>
        </is>
      </c>
      <c r="B4195" s="56" t="n"/>
      <c r="C4195" s="21" t="inlineStr">
        <is>
          <t>FONTE</t>
        </is>
      </c>
      <c r="D4195" s="21" t="inlineStr">
        <is>
          <t>UNID</t>
        </is>
      </c>
      <c r="E4195" s="21" t="inlineStr">
        <is>
          <t>COEFICIENTE</t>
        </is>
      </c>
      <c r="F4195" s="21" t="inlineStr">
        <is>
          <t>PREÇO UNITÁRIO</t>
        </is>
      </c>
      <c r="G4195" s="21" t="inlineStr">
        <is>
          <t>TOTAL</t>
        </is>
      </c>
    </row>
    <row r="4196" ht="21" customHeight="1">
      <c r="A4196" s="22" t="inlineStr">
        <is>
          <t>88274</t>
        </is>
      </c>
      <c r="B4196" s="23" t="inlineStr">
        <is>
          <t>MARMORISTA/GRANITEIRO COM ENCARGOS COMPLEMENTARES</t>
        </is>
      </c>
      <c r="C4196" s="22" t="inlineStr">
        <is>
          <t>SINAPI</t>
        </is>
      </c>
      <c r="D4196" s="22" t="inlineStr">
        <is>
          <t>H</t>
        </is>
      </c>
      <c r="E4196" s="63">
        <f>L4196*FATOR</f>
        <v/>
      </c>
      <c r="F4196" s="64">
        <f>'COMPOSICOES AUXILIARES'!G2424</f>
        <v/>
      </c>
      <c r="G4196" s="64">
        <f>ROUND(ROUND(E4196,8)*F4196,2)</f>
        <v/>
      </c>
      <c r="L4196" t="n">
        <v>1.5</v>
      </c>
      <c r="M4196" t="n">
        <v>29.93</v>
      </c>
      <c r="N4196">
        <f>(M4196-F4196)</f>
        <v/>
      </c>
    </row>
    <row r="4197" ht="15" customHeight="1">
      <c r="A4197" s="22" t="inlineStr">
        <is>
          <t>88316</t>
        </is>
      </c>
      <c r="B4197" s="23" t="inlineStr">
        <is>
          <t>SERVENTE COM ENCARGOS COMPLEMENTARES</t>
        </is>
      </c>
      <c r="C4197" s="22" t="inlineStr">
        <is>
          <t>SINAPI</t>
        </is>
      </c>
      <c r="D4197" s="22" t="inlineStr">
        <is>
          <t>H</t>
        </is>
      </c>
      <c r="E4197" s="63">
        <f>L4197*FATOR</f>
        <v/>
      </c>
      <c r="F4197" s="64">
        <f>'COMPOSICOES AUXILIARES'!G3390</f>
        <v/>
      </c>
      <c r="G4197" s="64">
        <f>ROUND(ROUND(E4197,8)*F4197,2)</f>
        <v/>
      </c>
      <c r="L4197" t="n">
        <v>1.5</v>
      </c>
      <c r="M4197" t="n">
        <v>23.56</v>
      </c>
      <c r="N4197">
        <f>(M4197-F4197)</f>
        <v/>
      </c>
    </row>
    <row r="4198" ht="18" customHeight="1">
      <c r="A4198" s="2" t="inlineStr"/>
      <c r="B4198" s="2" t="inlineStr"/>
      <c r="C4198" s="2" t="inlineStr"/>
      <c r="D4198" s="2" t="inlineStr"/>
      <c r="E4198" s="26" t="inlineStr">
        <is>
          <t>TOTAL Mão de Obra com Encargos Complementares:</t>
        </is>
      </c>
      <c r="F4198" s="56" t="n"/>
      <c r="G4198" s="65">
        <f>SUM(G4196:G4197)</f>
        <v/>
      </c>
    </row>
    <row r="4199" ht="15" customHeight="1">
      <c r="A4199" s="2" t="inlineStr"/>
      <c r="B4199" s="2" t="inlineStr"/>
      <c r="C4199" s="2" t="inlineStr"/>
      <c r="D4199" s="2" t="inlineStr"/>
      <c r="E4199" s="28" t="inlineStr">
        <is>
          <t>VALOR:</t>
        </is>
      </c>
      <c r="F4199" s="56" t="n"/>
      <c r="G4199" s="66">
        <f>SUM(G4194,G4198)</f>
        <v/>
      </c>
    </row>
    <row r="4200" ht="15" customHeight="1">
      <c r="A4200" s="2" t="inlineStr"/>
      <c r="B4200" s="2" t="inlineStr"/>
      <c r="C4200" s="2" t="inlineStr"/>
      <c r="D4200" s="2" t="inlineStr"/>
      <c r="E4200" s="28" t="inlineStr">
        <is>
          <t>VALOR BDI (23.08%):</t>
        </is>
      </c>
      <c r="F4200" s="56" t="n"/>
      <c r="G4200" s="66">
        <f>ROUNDDOWN(G4199*BDI,2)</f>
        <v/>
      </c>
    </row>
    <row r="4201" ht="15" customHeight="1">
      <c r="A4201" s="2" t="inlineStr"/>
      <c r="B4201" s="2" t="inlineStr"/>
      <c r="C4201" s="2" t="inlineStr"/>
      <c r="D4201" s="2" t="inlineStr"/>
      <c r="E4201" s="28" t="inlineStr">
        <is>
          <t>VALOR COM BDI:</t>
        </is>
      </c>
      <c r="F4201" s="56" t="n"/>
      <c r="G4201" s="66">
        <f>G4200 + G4199</f>
        <v/>
      </c>
    </row>
    <row r="4202" ht="10" customHeight="1">
      <c r="A4202" s="2" t="inlineStr"/>
      <c r="B4202" s="2" t="inlineStr"/>
      <c r="C4202" s="2" t="inlineStr"/>
      <c r="D4202" s="2" t="inlineStr"/>
      <c r="E4202" s="18" t="inlineStr"/>
    </row>
    <row r="4203" ht="20" customHeight="1">
      <c r="A4203" s="19" t="inlineStr">
        <is>
          <t>13.1.1.2. ​401 PRÓPRIO​ BANCADA PARA COZINHA/ÁREA DE SERVIÇO EM GRANITO - SECA - SEM FURO- SEM ESPELHO - ACABAMENTO DUPLORETO (COR: BRANCO SIENA)​ (M²)</t>
        </is>
      </c>
      <c r="B4203" s="55" t="n"/>
      <c r="C4203" s="55" t="n"/>
      <c r="D4203" s="55" t="n"/>
      <c r="E4203" s="55" t="n"/>
      <c r="F4203" s="55" t="n"/>
      <c r="G4203" s="56" t="n"/>
    </row>
    <row r="4204" ht="15" customHeight="1">
      <c r="A4204" s="20" t="inlineStr">
        <is>
          <t>Material</t>
        </is>
      </c>
      <c r="B4204" s="56" t="n"/>
      <c r="C4204" s="21" t="inlineStr">
        <is>
          <t>FONTE</t>
        </is>
      </c>
      <c r="D4204" s="21" t="inlineStr">
        <is>
          <t>UNID</t>
        </is>
      </c>
      <c r="E4204" s="21" t="inlineStr">
        <is>
          <t>COEFICIENTE</t>
        </is>
      </c>
      <c r="F4204" s="21" t="inlineStr">
        <is>
          <t>PREÇO UNITÁRIO</t>
        </is>
      </c>
      <c r="G4204" s="21" t="inlineStr">
        <is>
          <t>TOTAL</t>
        </is>
      </c>
    </row>
    <row r="4205" ht="29" customHeight="1">
      <c r="A4205" s="22" t="inlineStr">
        <is>
          <t>00007568</t>
        </is>
      </c>
      <c r="B4205" s="23" t="inlineStr">
        <is>
          <t>BUCHA DE NYLON SEM ABA S10, COM PARAFUSO DE 6,10 X 65 MM EM ACO ZINCADO COM ROSCA SOBERBA, CABECA CHATA E FENDA PHILLIPS</t>
        </is>
      </c>
      <c r="C4205" s="22" t="inlineStr">
        <is>
          <t>SINAPI</t>
        </is>
      </c>
      <c r="D4205" s="22" t="inlineStr">
        <is>
          <t>UN</t>
        </is>
      </c>
      <c r="E4205" s="63" t="n">
        <v>6</v>
      </c>
      <c r="F4205" s="64">
        <f>ROUND(M4205*FATOR, 2)</f>
        <v/>
      </c>
      <c r="G4205" s="64">
        <f>ROUND(ROUND(E4205,8)*F4205,2)</f>
        <v/>
      </c>
      <c r="L4205" t="n">
        <v>6</v>
      </c>
      <c r="M4205" t="n">
        <v>0.86</v>
      </c>
      <c r="N4205">
        <f>(M4205-F4205)</f>
        <v/>
      </c>
    </row>
    <row r="4206" ht="15" customHeight="1">
      <c r="A4206" s="22" t="inlineStr">
        <is>
          <t>00004823</t>
        </is>
      </c>
      <c r="B4206" s="23" t="inlineStr">
        <is>
          <t>MASSA PLASTICA PARA MARMORE/GRANITO</t>
        </is>
      </c>
      <c r="C4206" s="22" t="inlineStr">
        <is>
          <t>SINAPI</t>
        </is>
      </c>
      <c r="D4206" s="22" t="inlineStr">
        <is>
          <t>KG</t>
        </is>
      </c>
      <c r="E4206" s="63" t="n">
        <v>0.1</v>
      </c>
      <c r="F4206" s="64">
        <f>ROUND(M4206*FATOR, 2)</f>
        <v/>
      </c>
      <c r="G4206" s="64">
        <f>ROUND(ROUND(E4206,8)*F4206,2)</f>
        <v/>
      </c>
      <c r="L4206" t="n">
        <v>0.1</v>
      </c>
      <c r="M4206" t="n">
        <v>38.31</v>
      </c>
      <c r="N4206">
        <f>(M4206-F4206)</f>
        <v/>
      </c>
    </row>
    <row r="4207" ht="15" customHeight="1">
      <c r="A4207" s="22" t="inlineStr">
        <is>
          <t>00037329</t>
        </is>
      </c>
      <c r="B4207" s="23" t="inlineStr">
        <is>
          <t>REJUNTE EPOXI, QUALQUER COR</t>
        </is>
      </c>
      <c r="C4207" s="22" t="inlineStr">
        <is>
          <t>SINAPI</t>
        </is>
      </c>
      <c r="D4207" s="22" t="inlineStr">
        <is>
          <t>KG</t>
        </is>
      </c>
      <c r="E4207" s="63" t="n">
        <v>0.0211</v>
      </c>
      <c r="F4207" s="64">
        <f>ROUND(M4207*FATOR, 2)</f>
        <v/>
      </c>
      <c r="G4207" s="64">
        <f>ROUND(ROUND(E4207,8)*F4207,2)</f>
        <v/>
      </c>
      <c r="L4207" t="n">
        <v>0.0211</v>
      </c>
      <c r="M4207" t="n">
        <v>144.69</v>
      </c>
      <c r="N4207">
        <f>(M4207-F4207)</f>
        <v/>
      </c>
    </row>
    <row r="4208" ht="21" customHeight="1">
      <c r="A4208" s="22" t="inlineStr">
        <is>
          <t>00037591</t>
        </is>
      </c>
      <c r="B4208" s="23" t="inlineStr">
        <is>
          <t>SUPORTE MAO-FRANCESA EM ACO, ABAS IGUAIS 40 CM, CAPACIDADE MINIMA 70 KG, BRANCO</t>
        </is>
      </c>
      <c r="C4208" s="22" t="inlineStr">
        <is>
          <t>SINAPI</t>
        </is>
      </c>
      <c r="D4208" s="22" t="inlineStr">
        <is>
          <t>UN</t>
        </is>
      </c>
      <c r="E4208" s="63" t="n">
        <v>2</v>
      </c>
      <c r="F4208" s="64">
        <f>ROUND(M4208*FATOR, 2)</f>
        <v/>
      </c>
      <c r="G4208" s="64">
        <f>ROUND(ROUND(E4208,8)*F4208,2)</f>
        <v/>
      </c>
      <c r="L4208" t="n">
        <v>2</v>
      </c>
      <c r="M4208" t="n">
        <v>20.27</v>
      </c>
      <c r="N4208">
        <f>(M4208-F4208)</f>
        <v/>
      </c>
    </row>
    <row r="4209" ht="15" customHeight="1">
      <c r="A4209" s="2" t="inlineStr"/>
      <c r="B4209" s="2" t="inlineStr"/>
      <c r="C4209" s="2" t="inlineStr"/>
      <c r="D4209" s="2" t="inlineStr"/>
      <c r="E4209" s="26" t="inlineStr">
        <is>
          <t>TOTAL Material:</t>
        </is>
      </c>
      <c r="F4209" s="56" t="n"/>
      <c r="G4209" s="65">
        <f>SUM(G4205:G4208)</f>
        <v/>
      </c>
    </row>
    <row r="4210" ht="15" customHeight="1">
      <c r="A4210" s="20" t="inlineStr">
        <is>
          <t>Mão de Obra com Encargos Complementares</t>
        </is>
      </c>
      <c r="B4210" s="56" t="n"/>
      <c r="C4210" s="21" t="inlineStr">
        <is>
          <t>FONTE</t>
        </is>
      </c>
      <c r="D4210" s="21" t="inlineStr">
        <is>
          <t>UNID</t>
        </is>
      </c>
      <c r="E4210" s="21" t="inlineStr">
        <is>
          <t>COEFICIENTE</t>
        </is>
      </c>
      <c r="F4210" s="21" t="inlineStr">
        <is>
          <t>PREÇO UNITÁRIO</t>
        </is>
      </c>
      <c r="G4210" s="21" t="inlineStr">
        <is>
          <t>TOTAL</t>
        </is>
      </c>
    </row>
    <row r="4211" ht="21" customHeight="1">
      <c r="A4211" s="22" t="inlineStr">
        <is>
          <t>88274</t>
        </is>
      </c>
      <c r="B4211" s="23" t="inlineStr">
        <is>
          <t>MARMORISTA/GRANITEIRO COM ENCARGOS COMPLEMENTARES</t>
        </is>
      </c>
      <c r="C4211" s="22" t="inlineStr">
        <is>
          <t>SINAPI</t>
        </is>
      </c>
      <c r="D4211" s="22" t="inlineStr">
        <is>
          <t>H</t>
        </is>
      </c>
      <c r="E4211" s="63">
        <f>L4211*FATOR</f>
        <v/>
      </c>
      <c r="F4211" s="64">
        <f>'COMPOSICOES AUXILIARES'!G2424</f>
        <v/>
      </c>
      <c r="G4211" s="64">
        <f>ROUND(ROUND(E4211,8)*F4211,2)</f>
        <v/>
      </c>
      <c r="L4211" t="n">
        <v>1.5</v>
      </c>
      <c r="M4211" t="n">
        <v>29.93</v>
      </c>
      <c r="N4211">
        <f>(M4211-F4211)</f>
        <v/>
      </c>
    </row>
    <row r="4212" ht="15" customHeight="1">
      <c r="A4212" s="22" t="inlineStr">
        <is>
          <t>88316</t>
        </is>
      </c>
      <c r="B4212" s="23" t="inlineStr">
        <is>
          <t>SERVENTE COM ENCARGOS COMPLEMENTARES</t>
        </is>
      </c>
      <c r="C4212" s="22" t="inlineStr">
        <is>
          <t>SINAPI</t>
        </is>
      </c>
      <c r="D4212" s="22" t="inlineStr">
        <is>
          <t>H</t>
        </is>
      </c>
      <c r="E4212" s="63">
        <f>L4212*FATOR</f>
        <v/>
      </c>
      <c r="F4212" s="64">
        <f>'COMPOSICOES AUXILIARES'!G3390</f>
        <v/>
      </c>
      <c r="G4212" s="64">
        <f>ROUND(ROUND(E4212,8)*F4212,2)</f>
        <v/>
      </c>
      <c r="L4212" t="n">
        <v>1.5</v>
      </c>
      <c r="M4212" t="n">
        <v>23.56</v>
      </c>
      <c r="N4212">
        <f>(M4212-F4212)</f>
        <v/>
      </c>
    </row>
    <row r="4213" ht="18" customHeight="1">
      <c r="A4213" s="2" t="inlineStr"/>
      <c r="B4213" s="2" t="inlineStr"/>
      <c r="C4213" s="2" t="inlineStr"/>
      <c r="D4213" s="2" t="inlineStr"/>
      <c r="E4213" s="26" t="inlineStr">
        <is>
          <t>TOTAL Mão de Obra com Encargos Complementares:</t>
        </is>
      </c>
      <c r="F4213" s="56" t="n"/>
      <c r="G4213" s="65">
        <f>SUM(G4211:G4212)</f>
        <v/>
      </c>
    </row>
    <row r="4214" ht="15" customHeight="1">
      <c r="A4214" s="2" t="inlineStr"/>
      <c r="B4214" s="2" t="inlineStr"/>
      <c r="C4214" s="2" t="inlineStr"/>
      <c r="D4214" s="2" t="inlineStr"/>
      <c r="E4214" s="28" t="inlineStr">
        <is>
          <t>VALOR:</t>
        </is>
      </c>
      <c r="F4214" s="56" t="n"/>
      <c r="G4214" s="66">
        <f>SUM(G4209,G4213)</f>
        <v/>
      </c>
    </row>
    <row r="4215" ht="15" customHeight="1">
      <c r="A4215" s="2" t="inlineStr"/>
      <c r="B4215" s="2" t="inlineStr"/>
      <c r="C4215" s="2" t="inlineStr"/>
      <c r="D4215" s="2" t="inlineStr"/>
      <c r="E4215" s="28" t="inlineStr">
        <is>
          <t>VALOR BDI (23.08%):</t>
        </is>
      </c>
      <c r="F4215" s="56" t="n"/>
      <c r="G4215" s="66">
        <f>ROUNDDOWN(G4214*BDI,2)</f>
        <v/>
      </c>
    </row>
    <row r="4216" ht="15" customHeight="1">
      <c r="A4216" s="2" t="inlineStr"/>
      <c r="B4216" s="2" t="inlineStr"/>
      <c r="C4216" s="2" t="inlineStr"/>
      <c r="D4216" s="2" t="inlineStr"/>
      <c r="E4216" s="28" t="inlineStr">
        <is>
          <t>VALOR COM BDI:</t>
        </is>
      </c>
      <c r="F4216" s="56" t="n"/>
      <c r="G4216" s="66">
        <f>G4215 + G4214</f>
        <v/>
      </c>
    </row>
    <row r="4217" ht="10" customHeight="1">
      <c r="A4217" s="2" t="inlineStr"/>
      <c r="B4217" s="2" t="inlineStr"/>
      <c r="C4217" s="2" t="inlineStr"/>
      <c r="D4217" s="2" t="inlineStr"/>
      <c r="E4217" s="18" t="inlineStr"/>
    </row>
    <row r="4218" ht="20" customHeight="1">
      <c r="A4218" s="19" t="inlineStr">
        <is>
          <t>13.1.1.3. ​402 PRÓPRIO​ BANCADA PARA COZINHA/ÁREA SERVIÇO EM GRANITO - ÁREA MOLHADA - FUROS (CUBA + COOKTOP + TORNEIRA) - COM ESPELHO - ACABAMENTO DUPLO RETO(COR: BRANCO SIENA)​ (M²)</t>
        </is>
      </c>
      <c r="B4218" s="55" t="n"/>
      <c r="C4218" s="55" t="n"/>
      <c r="D4218" s="55" t="n"/>
      <c r="E4218" s="55" t="n"/>
      <c r="F4218" s="55" t="n"/>
      <c r="G4218" s="56" t="n"/>
    </row>
    <row r="4219" ht="15" customHeight="1">
      <c r="A4219" s="20" t="inlineStr">
        <is>
          <t>Material</t>
        </is>
      </c>
      <c r="B4219" s="56" t="n"/>
      <c r="C4219" s="21" t="inlineStr">
        <is>
          <t>FONTE</t>
        </is>
      </c>
      <c r="D4219" s="21" t="inlineStr">
        <is>
          <t>UNID</t>
        </is>
      </c>
      <c r="E4219" s="21" t="inlineStr">
        <is>
          <t>COEFICIENTE</t>
        </is>
      </c>
      <c r="F4219" s="21" t="inlineStr">
        <is>
          <t>PREÇO UNITÁRIO</t>
        </is>
      </c>
      <c r="G4219" s="21" t="inlineStr">
        <is>
          <t>TOTAL</t>
        </is>
      </c>
    </row>
    <row r="4220" ht="29" customHeight="1">
      <c r="A4220" s="22" t="inlineStr">
        <is>
          <t>00007568</t>
        </is>
      </c>
      <c r="B4220" s="23" t="inlineStr">
        <is>
          <t>BUCHA DE NYLON SEM ABA S10, COM PARAFUSO DE 6,10 X 65 MM EM ACO ZINCADO COM ROSCA SOBERBA, CABECA CHATA E FENDA PHILLIPS</t>
        </is>
      </c>
      <c r="C4220" s="22" t="inlineStr">
        <is>
          <t>SINAPI</t>
        </is>
      </c>
      <c r="D4220" s="22" t="inlineStr">
        <is>
          <t>UN</t>
        </is>
      </c>
      <c r="E4220" s="63" t="n">
        <v>6</v>
      </c>
      <c r="F4220" s="64">
        <f>ROUND(M4220*FATOR, 2)</f>
        <v/>
      </c>
      <c r="G4220" s="64">
        <f>ROUND(ROUND(E4220,8)*F4220,2)</f>
        <v/>
      </c>
      <c r="L4220" t="n">
        <v>6</v>
      </c>
      <c r="M4220" t="n">
        <v>0.86</v>
      </c>
      <c r="N4220">
        <f>(M4220-F4220)</f>
        <v/>
      </c>
    </row>
    <row r="4221" ht="15" customHeight="1">
      <c r="A4221" s="22" t="inlineStr">
        <is>
          <t>00004823</t>
        </is>
      </c>
      <c r="B4221" s="23" t="inlineStr">
        <is>
          <t>MASSA PLASTICA PARA MARMORE/GRANITO</t>
        </is>
      </c>
      <c r="C4221" s="22" t="inlineStr">
        <is>
          <t>SINAPI</t>
        </is>
      </c>
      <c r="D4221" s="22" t="inlineStr">
        <is>
          <t>KG</t>
        </is>
      </c>
      <c r="E4221" s="63" t="n">
        <v>0.5228</v>
      </c>
      <c r="F4221" s="64">
        <f>ROUND(M4221*FATOR, 2)</f>
        <v/>
      </c>
      <c r="G4221" s="64">
        <f>ROUND(ROUND(E4221,8)*F4221,2)</f>
        <v/>
      </c>
      <c r="L4221" t="n">
        <v>0.5228</v>
      </c>
      <c r="M4221" t="n">
        <v>38.31</v>
      </c>
      <c r="N4221">
        <f>(M4221-F4221)</f>
        <v/>
      </c>
    </row>
    <row r="4222" ht="15" customHeight="1">
      <c r="A4222" s="22" t="inlineStr">
        <is>
          <t>00037329</t>
        </is>
      </c>
      <c r="B4222" s="23" t="inlineStr">
        <is>
          <t>REJUNTE EPOXI, QUALQUER COR</t>
        </is>
      </c>
      <c r="C4222" s="22" t="inlineStr">
        <is>
          <t>SINAPI</t>
        </is>
      </c>
      <c r="D4222" s="22" t="inlineStr">
        <is>
          <t>KG</t>
        </is>
      </c>
      <c r="E4222" s="63" t="n">
        <v>0.0211</v>
      </c>
      <c r="F4222" s="64">
        <f>ROUND(M4222*FATOR, 2)</f>
        <v/>
      </c>
      <c r="G4222" s="64">
        <f>ROUND(ROUND(E4222,8)*F4222,2)</f>
        <v/>
      </c>
      <c r="L4222" t="n">
        <v>0.0211</v>
      </c>
      <c r="M4222" t="n">
        <v>144.69</v>
      </c>
      <c r="N4222">
        <f>(M4222-F4222)</f>
        <v/>
      </c>
    </row>
    <row r="4223" ht="21" customHeight="1">
      <c r="A4223" s="22" t="inlineStr">
        <is>
          <t>00037591</t>
        </is>
      </c>
      <c r="B4223" s="23" t="inlineStr">
        <is>
          <t>SUPORTE MAO-FRANCESA EM ACO, ABAS IGUAIS 40 CM, CAPACIDADE MINIMA 70 KG, BRANCO</t>
        </is>
      </c>
      <c r="C4223" s="22" t="inlineStr">
        <is>
          <t>SINAPI</t>
        </is>
      </c>
      <c r="D4223" s="22" t="inlineStr">
        <is>
          <t>UN</t>
        </is>
      </c>
      <c r="E4223" s="63" t="n">
        <v>2</v>
      </c>
      <c r="F4223" s="64">
        <f>ROUND(M4223*FATOR, 2)</f>
        <v/>
      </c>
      <c r="G4223" s="64">
        <f>ROUND(ROUND(E4223,8)*F4223,2)</f>
        <v/>
      </c>
      <c r="L4223" t="n">
        <v>2</v>
      </c>
      <c r="M4223" t="n">
        <v>20.27</v>
      </c>
      <c r="N4223">
        <f>(M4223-F4223)</f>
        <v/>
      </c>
    </row>
    <row r="4224" ht="15" customHeight="1">
      <c r="A4224" s="2" t="inlineStr"/>
      <c r="B4224" s="2" t="inlineStr"/>
      <c r="C4224" s="2" t="inlineStr"/>
      <c r="D4224" s="2" t="inlineStr"/>
      <c r="E4224" s="26" t="inlineStr">
        <is>
          <t>TOTAL Material:</t>
        </is>
      </c>
      <c r="F4224" s="56" t="n"/>
      <c r="G4224" s="65">
        <f>SUM(G4220:G4223)</f>
        <v/>
      </c>
    </row>
    <row r="4225" ht="15" customHeight="1">
      <c r="A4225" s="20" t="inlineStr">
        <is>
          <t>Mão de Obra com Encargos Complementares</t>
        </is>
      </c>
      <c r="B4225" s="56" t="n"/>
      <c r="C4225" s="21" t="inlineStr">
        <is>
          <t>FONTE</t>
        </is>
      </c>
      <c r="D4225" s="21" t="inlineStr">
        <is>
          <t>UNID</t>
        </is>
      </c>
      <c r="E4225" s="21" t="inlineStr">
        <is>
          <t>COEFICIENTE</t>
        </is>
      </c>
      <c r="F4225" s="21" t="inlineStr">
        <is>
          <t>PREÇO UNITÁRIO</t>
        </is>
      </c>
      <c r="G4225" s="21" t="inlineStr">
        <is>
          <t>TOTAL</t>
        </is>
      </c>
    </row>
    <row r="4226" ht="21" customHeight="1">
      <c r="A4226" s="22" t="inlineStr">
        <is>
          <t>88274</t>
        </is>
      </c>
      <c r="B4226" s="23" t="inlineStr">
        <is>
          <t>MARMORISTA/GRANITEIRO COM ENCARGOS COMPLEMENTARES</t>
        </is>
      </c>
      <c r="C4226" s="22" t="inlineStr">
        <is>
          <t>SINAPI</t>
        </is>
      </c>
      <c r="D4226" s="22" t="inlineStr">
        <is>
          <t>H</t>
        </is>
      </c>
      <c r="E4226" s="63">
        <f>L4226*FATOR</f>
        <v/>
      </c>
      <c r="F4226" s="64">
        <f>'COMPOSICOES AUXILIARES'!G2424</f>
        <v/>
      </c>
      <c r="G4226" s="64">
        <f>ROUND(ROUND(E4226,8)*F4226,2)</f>
        <v/>
      </c>
      <c r="L4226" t="n">
        <v>1.5</v>
      </c>
      <c r="M4226" t="n">
        <v>29.93</v>
      </c>
      <c r="N4226">
        <f>(M4226-F4226)</f>
        <v/>
      </c>
    </row>
    <row r="4227" ht="15" customHeight="1">
      <c r="A4227" s="22" t="inlineStr">
        <is>
          <t>88316</t>
        </is>
      </c>
      <c r="B4227" s="23" t="inlineStr">
        <is>
          <t>SERVENTE COM ENCARGOS COMPLEMENTARES</t>
        </is>
      </c>
      <c r="C4227" s="22" t="inlineStr">
        <is>
          <t>SINAPI</t>
        </is>
      </c>
      <c r="D4227" s="22" t="inlineStr">
        <is>
          <t>H</t>
        </is>
      </c>
      <c r="E4227" s="63">
        <f>L4227*FATOR</f>
        <v/>
      </c>
      <c r="F4227" s="64">
        <f>'COMPOSICOES AUXILIARES'!G3390</f>
        <v/>
      </c>
      <c r="G4227" s="64">
        <f>ROUND(ROUND(E4227,8)*F4227,2)</f>
        <v/>
      </c>
      <c r="L4227" t="n">
        <v>1.5</v>
      </c>
      <c r="M4227" t="n">
        <v>23.56</v>
      </c>
      <c r="N4227">
        <f>(M4227-F4227)</f>
        <v/>
      </c>
    </row>
    <row r="4228" ht="18" customHeight="1">
      <c r="A4228" s="2" t="inlineStr"/>
      <c r="B4228" s="2" t="inlineStr"/>
      <c r="C4228" s="2" t="inlineStr"/>
      <c r="D4228" s="2" t="inlineStr"/>
      <c r="E4228" s="26" t="inlineStr">
        <is>
          <t>TOTAL Mão de Obra com Encargos Complementares:</t>
        </is>
      </c>
      <c r="F4228" s="56" t="n"/>
      <c r="G4228" s="65">
        <f>SUM(G4226:G4227)</f>
        <v/>
      </c>
    </row>
    <row r="4229" ht="15" customHeight="1">
      <c r="A4229" s="2" t="inlineStr"/>
      <c r="B4229" s="2" t="inlineStr"/>
      <c r="C4229" s="2" t="inlineStr"/>
      <c r="D4229" s="2" t="inlineStr"/>
      <c r="E4229" s="28" t="inlineStr">
        <is>
          <t>VALOR:</t>
        </is>
      </c>
      <c r="F4229" s="56" t="n"/>
      <c r="G4229" s="66">
        <f>SUM(G4224,G4228)</f>
        <v/>
      </c>
    </row>
    <row r="4230" ht="15" customHeight="1">
      <c r="A4230" s="2" t="inlineStr"/>
      <c r="B4230" s="2" t="inlineStr"/>
      <c r="C4230" s="2" t="inlineStr"/>
      <c r="D4230" s="2" t="inlineStr"/>
      <c r="E4230" s="28" t="inlineStr">
        <is>
          <t>VALOR BDI (23.08%):</t>
        </is>
      </c>
      <c r="F4230" s="56" t="n"/>
      <c r="G4230" s="66">
        <f>ROUNDDOWN(G4229*BDI,2)</f>
        <v/>
      </c>
    </row>
    <row r="4231" ht="15" customHeight="1">
      <c r="A4231" s="2" t="inlineStr"/>
      <c r="B4231" s="2" t="inlineStr"/>
      <c r="C4231" s="2" t="inlineStr"/>
      <c r="D4231" s="2" t="inlineStr"/>
      <c r="E4231" s="28" t="inlineStr">
        <is>
          <t>VALOR COM BDI:</t>
        </is>
      </c>
      <c r="F4231" s="56" t="n"/>
      <c r="G4231" s="66">
        <f>G4230 + G4229</f>
        <v/>
      </c>
    </row>
    <row r="4232" ht="10" customHeight="1">
      <c r="A4232" s="2" t="inlineStr"/>
      <c r="B4232" s="2" t="inlineStr"/>
      <c r="C4232" s="2" t="inlineStr"/>
      <c r="D4232" s="2" t="inlineStr"/>
      <c r="E4232" s="18" t="inlineStr"/>
    </row>
    <row r="4233" ht="20" customHeight="1">
      <c r="A4233" s="19" t="inlineStr">
        <is>
          <t>13.2.1.1. ​414 PRÓPRIO​ CUBA DE LOUÇA, SEMI-ENCAIXE BRANCA (INCLUI SIFÃO, ENGATE, VÁLVULA - NÃOINCLUI TORNEIRA)​ (UN)</t>
        </is>
      </c>
      <c r="B4233" s="55" t="n"/>
      <c r="C4233" s="55" t="n"/>
      <c r="D4233" s="55" t="n"/>
      <c r="E4233" s="55" t="n"/>
      <c r="F4233" s="55" t="n"/>
      <c r="G4233" s="56" t="n"/>
    </row>
    <row r="4234" ht="15" customHeight="1">
      <c r="A4234" s="20" t="inlineStr">
        <is>
          <t>Material</t>
        </is>
      </c>
      <c r="B4234" s="56" t="n"/>
      <c r="C4234" s="21" t="inlineStr">
        <is>
          <t>FONTE</t>
        </is>
      </c>
      <c r="D4234" s="21" t="inlineStr">
        <is>
          <t>UNID</t>
        </is>
      </c>
      <c r="E4234" s="21" t="inlineStr">
        <is>
          <t>COEFICIENTE</t>
        </is>
      </c>
      <c r="F4234" s="21" t="inlineStr">
        <is>
          <t>PREÇO UNITÁRIO</t>
        </is>
      </c>
      <c r="G4234" s="21" t="inlineStr">
        <is>
          <t>TOTAL</t>
        </is>
      </c>
    </row>
    <row r="4235" ht="21" customHeight="1">
      <c r="A4235" s="22" t="inlineStr">
        <is>
          <t>I07286</t>
        </is>
      </c>
      <c r="B4235" s="23" t="inlineStr">
        <is>
          <t>Cuba de semi-encaixe, dim. 49 x 40cm, INCEPA, linha ocean pacific, ref. 63027 ou siimilar</t>
        </is>
      </c>
      <c r="C4235" s="22" t="inlineStr">
        <is>
          <t>ORSE</t>
        </is>
      </c>
      <c r="D4235" s="22" t="inlineStr">
        <is>
          <t>un</t>
        </is>
      </c>
      <c r="E4235" s="63" t="n">
        <v>1</v>
      </c>
      <c r="F4235" s="64">
        <f>ROUND(M4235*FATOR, 2)</f>
        <v/>
      </c>
      <c r="G4235" s="64">
        <f>ROUND(ROUND(E4235,8)*F4235,2)</f>
        <v/>
      </c>
      <c r="L4235" t="n">
        <v>1</v>
      </c>
      <c r="M4235" t="n">
        <v>659.9</v>
      </c>
      <c r="N4235">
        <f>(M4235-F4235)</f>
        <v/>
      </c>
    </row>
    <row r="4236" ht="15" customHeight="1">
      <c r="A4236" s="2" t="inlineStr"/>
      <c r="B4236" s="2" t="inlineStr"/>
      <c r="C4236" s="2" t="inlineStr"/>
      <c r="D4236" s="2" t="inlineStr"/>
      <c r="E4236" s="26" t="inlineStr">
        <is>
          <t>TOTAL Material:</t>
        </is>
      </c>
      <c r="F4236" s="56" t="n"/>
      <c r="G4236" s="65">
        <f>SUM(G4235:G4235)</f>
        <v/>
      </c>
    </row>
    <row r="4237" ht="15" customHeight="1">
      <c r="A4237" s="20" t="inlineStr">
        <is>
          <t>Mão de Obra com Encargos Complementares</t>
        </is>
      </c>
      <c r="B4237" s="56" t="n"/>
      <c r="C4237" s="21" t="inlineStr">
        <is>
          <t>FONTE</t>
        </is>
      </c>
      <c r="D4237" s="21" t="inlineStr">
        <is>
          <t>UNID</t>
        </is>
      </c>
      <c r="E4237" s="21" t="inlineStr">
        <is>
          <t>COEFICIENTE</t>
        </is>
      </c>
      <c r="F4237" s="21" t="inlineStr">
        <is>
          <t>PREÇO UNITÁRIO</t>
        </is>
      </c>
      <c r="G4237" s="21" t="inlineStr">
        <is>
          <t>TOTAL</t>
        </is>
      </c>
    </row>
    <row r="4238" ht="21" customHeight="1">
      <c r="A4238" s="22" t="inlineStr">
        <is>
          <t>88267</t>
        </is>
      </c>
      <c r="B4238" s="23" t="inlineStr">
        <is>
          <t>ENCANADOR OU BOMBEIRO HIDRÁULICO COM ENCARGOS COMPLEMENTARES</t>
        </is>
      </c>
      <c r="C4238" s="22" t="inlineStr">
        <is>
          <t>SINAPI</t>
        </is>
      </c>
      <c r="D4238" s="22" t="inlineStr">
        <is>
          <t>H</t>
        </is>
      </c>
      <c r="E4238" s="63">
        <f>L4238*FATOR</f>
        <v/>
      </c>
      <c r="F4238" s="64">
        <f>'COMPOSICOES AUXILIARES'!G524</f>
        <v/>
      </c>
      <c r="G4238" s="64">
        <f>ROUND(ROUND(E4238,8)*F4238,2)</f>
        <v/>
      </c>
      <c r="L4238" t="n">
        <v>1</v>
      </c>
      <c r="M4238" t="n">
        <v>29.86</v>
      </c>
      <c r="N4238">
        <f>(M4238-F4238)</f>
        <v/>
      </c>
    </row>
    <row r="4239" ht="15" customHeight="1">
      <c r="A4239" s="22" t="inlineStr">
        <is>
          <t>88316</t>
        </is>
      </c>
      <c r="B4239" s="23" t="inlineStr">
        <is>
          <t>SERVENTE COM ENCARGOS COMPLEMENTARES</t>
        </is>
      </c>
      <c r="C4239" s="22" t="inlineStr">
        <is>
          <t>SINAPI</t>
        </is>
      </c>
      <c r="D4239" s="22" t="inlineStr">
        <is>
          <t>H</t>
        </is>
      </c>
      <c r="E4239" s="63">
        <f>L4239*FATOR</f>
        <v/>
      </c>
      <c r="F4239" s="64">
        <f>'COMPOSICOES AUXILIARES'!G3390</f>
        <v/>
      </c>
      <c r="G4239" s="64">
        <f>ROUND(ROUND(E4239,8)*F4239,2)</f>
        <v/>
      </c>
      <c r="L4239" t="n">
        <v>1</v>
      </c>
      <c r="M4239" t="n">
        <v>23.56</v>
      </c>
      <c r="N4239">
        <f>(M4239-F4239)</f>
        <v/>
      </c>
    </row>
    <row r="4240" ht="18" customHeight="1">
      <c r="A4240" s="2" t="inlineStr"/>
      <c r="B4240" s="2" t="inlineStr"/>
      <c r="C4240" s="2" t="inlineStr"/>
      <c r="D4240" s="2" t="inlineStr"/>
      <c r="E4240" s="26" t="inlineStr">
        <is>
          <t>TOTAL Mão de Obra com Encargos Complementares:</t>
        </is>
      </c>
      <c r="F4240" s="56" t="n"/>
      <c r="G4240" s="65">
        <f>SUM(G4238:G4239)</f>
        <v/>
      </c>
    </row>
    <row r="4241" ht="15" customHeight="1">
      <c r="A4241" s="20" t="inlineStr">
        <is>
          <t>Serviço</t>
        </is>
      </c>
      <c r="B4241" s="56" t="n"/>
      <c r="C4241" s="21" t="inlineStr">
        <is>
          <t>FONTE</t>
        </is>
      </c>
      <c r="D4241" s="21" t="inlineStr">
        <is>
          <t>UNID</t>
        </is>
      </c>
      <c r="E4241" s="21" t="inlineStr">
        <is>
          <t>COEFICIENTE</t>
        </is>
      </c>
      <c r="F4241" s="21" t="inlineStr">
        <is>
          <t>PREÇO UNITÁRIO</t>
        </is>
      </c>
      <c r="G4241" s="21" t="inlineStr">
        <is>
          <t>TOTAL</t>
        </is>
      </c>
    </row>
    <row r="4242" ht="21" customHeight="1">
      <c r="A4242" s="22" t="inlineStr">
        <is>
          <t>86887</t>
        </is>
      </c>
      <c r="B4242" s="23" t="inlineStr">
        <is>
          <t>ENGATE FLEXÍVEL EM INOX, 1/2 X 40CM - FORNECIMENTO E INSTALAÇÃO. AF_01/2020</t>
        </is>
      </c>
      <c r="C4242" s="22" t="inlineStr">
        <is>
          <t>SINAPI</t>
        </is>
      </c>
      <c r="D4242" s="22" t="inlineStr">
        <is>
          <t>UN</t>
        </is>
      </c>
      <c r="E4242" s="63" t="n">
        <v>1</v>
      </c>
      <c r="F4242" s="64">
        <f>'COMPOSICOES AUXILIARES'!G1931</f>
        <v/>
      </c>
      <c r="G4242" s="64">
        <f>ROUND(ROUND(E4242,8)*F4242,2)</f>
        <v/>
      </c>
      <c r="L4242" t="n">
        <v>1</v>
      </c>
      <c r="M4242" t="n">
        <v>64.72</v>
      </c>
      <c r="N4242">
        <f>(M4242-F4242)</f>
        <v/>
      </c>
    </row>
    <row r="4243" ht="21" customHeight="1">
      <c r="A4243" s="22" t="inlineStr">
        <is>
          <t>86881</t>
        </is>
      </c>
      <c r="B4243" s="23" t="inlineStr">
        <is>
          <t>SIFÃO DO TIPO GARRAFA EM METAL CROMADO 1 X 1.1/2" - FORNECIMENTO E INSTALAÇÃO. AF_01/2020</t>
        </is>
      </c>
      <c r="C4243" s="22" t="inlineStr">
        <is>
          <t>SINAPI</t>
        </is>
      </c>
      <c r="D4243" s="22" t="inlineStr">
        <is>
          <t>UN</t>
        </is>
      </c>
      <c r="E4243" s="63" t="n">
        <v>1</v>
      </c>
      <c r="F4243" s="64">
        <f>'COMPOSICOES AUXILIARES'!G3403</f>
        <v/>
      </c>
      <c r="G4243" s="64">
        <f>ROUND(ROUND(E4243,8)*F4243,2)</f>
        <v/>
      </c>
      <c r="L4243" t="n">
        <v>1</v>
      </c>
      <c r="M4243" t="n">
        <v>245.22</v>
      </c>
      <c r="N4243">
        <f>(M4243-F4243)</f>
        <v/>
      </c>
    </row>
    <row r="4244" ht="29" customHeight="1">
      <c r="A4244" s="22" t="inlineStr">
        <is>
          <t>86877</t>
        </is>
      </c>
      <c r="B4244" s="23" t="inlineStr">
        <is>
          <t>VÁLVULA EM METAL CROMADO 1.1/2" X 1.1/2" PARA TANQUE OU LAVATÓRIO, COM OU SEM LADRÃO - FORNECIMENTO E INSTALAÇÃO. AF_01/2020</t>
        </is>
      </c>
      <c r="C4244" s="22" t="inlineStr">
        <is>
          <t>SINAPI</t>
        </is>
      </c>
      <c r="D4244" s="22" t="inlineStr">
        <is>
          <t>UN</t>
        </is>
      </c>
      <c r="E4244" s="63" t="n">
        <v>1</v>
      </c>
      <c r="F4244" s="64">
        <f>'COMPOSICOES AUXILIARES'!G3800</f>
        <v/>
      </c>
      <c r="G4244" s="64">
        <f>ROUND(ROUND(E4244,8)*F4244,2)</f>
        <v/>
      </c>
      <c r="L4244" t="n">
        <v>1</v>
      </c>
      <c r="M4244" t="n">
        <v>80.56</v>
      </c>
      <c r="N4244">
        <f>(M4244-F4244)</f>
        <v/>
      </c>
    </row>
    <row r="4245" ht="15" customHeight="1">
      <c r="A4245" s="2" t="inlineStr"/>
      <c r="B4245" s="2" t="inlineStr"/>
      <c r="C4245" s="2" t="inlineStr"/>
      <c r="D4245" s="2" t="inlineStr"/>
      <c r="E4245" s="26" t="inlineStr">
        <is>
          <t>TOTAL Serviço:</t>
        </is>
      </c>
      <c r="F4245" s="56" t="n"/>
      <c r="G4245" s="65">
        <f>SUM(G4242:G4244)</f>
        <v/>
      </c>
    </row>
    <row r="4246" ht="15" customHeight="1">
      <c r="A4246" s="2" t="inlineStr"/>
      <c r="B4246" s="2" t="inlineStr"/>
      <c r="C4246" s="2" t="inlineStr"/>
      <c r="D4246" s="2" t="inlineStr"/>
      <c r="E4246" s="28" t="inlineStr">
        <is>
          <t>VALOR:</t>
        </is>
      </c>
      <c r="F4246" s="56" t="n"/>
      <c r="G4246" s="66">
        <f>SUM(G4240,G4236,G4245)</f>
        <v/>
      </c>
    </row>
    <row r="4247" ht="15" customHeight="1">
      <c r="A4247" s="2" t="inlineStr"/>
      <c r="B4247" s="2" t="inlineStr"/>
      <c r="C4247" s="2" t="inlineStr"/>
      <c r="D4247" s="2" t="inlineStr"/>
      <c r="E4247" s="28" t="inlineStr">
        <is>
          <t>VALOR BDI (23.08%):</t>
        </is>
      </c>
      <c r="F4247" s="56" t="n"/>
      <c r="G4247" s="66">
        <f>ROUNDDOWN(G4246*BDI,2)</f>
        <v/>
      </c>
    </row>
    <row r="4248" ht="15" customHeight="1">
      <c r="A4248" s="2" t="inlineStr"/>
      <c r="B4248" s="2" t="inlineStr"/>
      <c r="C4248" s="2" t="inlineStr"/>
      <c r="D4248" s="2" t="inlineStr"/>
      <c r="E4248" s="28" t="inlineStr">
        <is>
          <t>VALOR COM BDI:</t>
        </is>
      </c>
      <c r="F4248" s="56" t="n"/>
      <c r="G4248" s="66">
        <f>G4247 + G4246</f>
        <v/>
      </c>
    </row>
    <row r="4249" ht="10" customHeight="1">
      <c r="A4249" s="2" t="inlineStr"/>
      <c r="B4249" s="2" t="inlineStr"/>
      <c r="C4249" s="2" t="inlineStr"/>
      <c r="D4249" s="2" t="inlineStr"/>
      <c r="E4249" s="18" t="inlineStr"/>
    </row>
    <row r="4250" ht="20" customHeight="1">
      <c r="A4250" s="19" t="inlineStr">
        <is>
          <t>13.2.2.1. ​100852​ CUBA DE EMBUTIR RETANGULAR DE AÇO INOXIDÁVEL, 56 X 33 X 12 CM - FORNECIMENTO E INSTALAÇÃO.AF_01/2020​ (UN)</t>
        </is>
      </c>
      <c r="B4250" s="55" t="n"/>
      <c r="C4250" s="55" t="n"/>
      <c r="D4250" s="55" t="n"/>
      <c r="E4250" s="55" t="n"/>
      <c r="F4250" s="55" t="n"/>
      <c r="G4250" s="56" t="n"/>
    </row>
    <row r="4251" ht="15" customHeight="1">
      <c r="A4251" s="20" t="inlineStr">
        <is>
          <t>Material</t>
        </is>
      </c>
      <c r="B4251" s="56" t="n"/>
      <c r="C4251" s="21" t="inlineStr">
        <is>
          <t>FONTE</t>
        </is>
      </c>
      <c r="D4251" s="21" t="inlineStr">
        <is>
          <t>UNID</t>
        </is>
      </c>
      <c r="E4251" s="21" t="inlineStr">
        <is>
          <t>COEFICIENTE</t>
        </is>
      </c>
      <c r="F4251" s="21" t="inlineStr">
        <is>
          <t>PREÇO UNITÁRIO</t>
        </is>
      </c>
      <c r="G4251" s="21" t="inlineStr">
        <is>
          <t>TOTAL</t>
        </is>
      </c>
    </row>
    <row r="4252" ht="21" customHeight="1">
      <c r="A4252" s="22" t="inlineStr">
        <is>
          <t>00001747</t>
        </is>
      </c>
      <c r="B4252" s="23" t="inlineStr">
        <is>
          <t>CUBA ACO INOX (AISI 304) DE EMBUTIR COM VALVULA DE 3 1/2", DE *56 X 33 X 12* CM</t>
        </is>
      </c>
      <c r="C4252" s="22" t="inlineStr">
        <is>
          <t>SINAPI</t>
        </is>
      </c>
      <c r="D4252" s="22" t="inlineStr">
        <is>
          <t>UN</t>
        </is>
      </c>
      <c r="E4252" s="63" t="n">
        <v>1</v>
      </c>
      <c r="F4252" s="64">
        <f>ROUND(M4252*FATOR, 2)</f>
        <v/>
      </c>
      <c r="G4252" s="64">
        <f>TRUNC(TRUNC(E4252,8)*F4252,2)</f>
        <v/>
      </c>
      <c r="L4252" t="n">
        <v>1</v>
      </c>
      <c r="M4252" t="n">
        <v>170.62</v>
      </c>
      <c r="N4252">
        <f>(M4252-F4252)</f>
        <v/>
      </c>
    </row>
    <row r="4253" ht="15" customHeight="1">
      <c r="A4253" s="22" t="inlineStr">
        <is>
          <t>00004823</t>
        </is>
      </c>
      <c r="B4253" s="23" t="inlineStr">
        <is>
          <t>MASSA PLASTICA PARA MARMORE/GRANITO</t>
        </is>
      </c>
      <c r="C4253" s="22" t="inlineStr">
        <is>
          <t>SINAPI</t>
        </is>
      </c>
      <c r="D4253" s="22" t="inlineStr">
        <is>
          <t>KG</t>
        </is>
      </c>
      <c r="E4253" s="63" t="n">
        <v>0.346</v>
      </c>
      <c r="F4253" s="64">
        <f>ROUND(M4253*FATOR, 2)</f>
        <v/>
      </c>
      <c r="G4253" s="64">
        <f>TRUNC(TRUNC(E4253,8)*F4253,2)</f>
        <v/>
      </c>
      <c r="L4253" t="n">
        <v>0.346</v>
      </c>
      <c r="M4253" t="n">
        <v>38.31</v>
      </c>
      <c r="N4253">
        <f>(M4253-F4253)</f>
        <v/>
      </c>
    </row>
    <row r="4254" ht="15" customHeight="1">
      <c r="A4254" s="2" t="inlineStr"/>
      <c r="B4254" s="2" t="inlineStr"/>
      <c r="C4254" s="2" t="inlineStr"/>
      <c r="D4254" s="2" t="inlineStr"/>
      <c r="E4254" s="26" t="inlineStr">
        <is>
          <t>TOTAL Material:</t>
        </is>
      </c>
      <c r="F4254" s="56" t="n"/>
      <c r="G4254" s="65">
        <f>SUM(G4252:G4253)</f>
        <v/>
      </c>
    </row>
    <row r="4255" ht="15" customHeight="1">
      <c r="A4255" s="20" t="inlineStr">
        <is>
          <t>Mão de Obra com Encargos Complementares</t>
        </is>
      </c>
      <c r="B4255" s="56" t="n"/>
      <c r="C4255" s="21" t="inlineStr">
        <is>
          <t>FONTE</t>
        </is>
      </c>
      <c r="D4255" s="21" t="inlineStr">
        <is>
          <t>UNID</t>
        </is>
      </c>
      <c r="E4255" s="21" t="inlineStr">
        <is>
          <t>COEFICIENTE</t>
        </is>
      </c>
      <c r="F4255" s="21" t="inlineStr">
        <is>
          <t>PREÇO UNITÁRIO</t>
        </is>
      </c>
      <c r="G4255" s="21" t="inlineStr">
        <is>
          <t>TOTAL</t>
        </is>
      </c>
    </row>
    <row r="4256" ht="21" customHeight="1">
      <c r="A4256" s="22" t="inlineStr">
        <is>
          <t>88274</t>
        </is>
      </c>
      <c r="B4256" s="23" t="inlineStr">
        <is>
          <t>MARMORISTA/GRANITEIRO COM ENCARGOS COMPLEMENTARES</t>
        </is>
      </c>
      <c r="C4256" s="22" t="inlineStr">
        <is>
          <t>SINAPI</t>
        </is>
      </c>
      <c r="D4256" s="22" t="inlineStr">
        <is>
          <t>H</t>
        </is>
      </c>
      <c r="E4256" s="63">
        <f>L4256*FATOR</f>
        <v/>
      </c>
      <c r="F4256" s="64">
        <f>'COMPOSICOES AUXILIARES'!G2424</f>
        <v/>
      </c>
      <c r="G4256" s="64">
        <f>TRUNC(TRUNC(E4256,8)*F4256,2)</f>
        <v/>
      </c>
      <c r="L4256" t="n">
        <v>0.4774</v>
      </c>
      <c r="M4256" t="n">
        <v>29.93</v>
      </c>
      <c r="N4256">
        <f>(M4256-F4256)</f>
        <v/>
      </c>
    </row>
    <row r="4257" ht="15" customHeight="1">
      <c r="A4257" s="22" t="inlineStr">
        <is>
          <t>88316</t>
        </is>
      </c>
      <c r="B4257" s="23" t="inlineStr">
        <is>
          <t>SERVENTE COM ENCARGOS COMPLEMENTARES</t>
        </is>
      </c>
      <c r="C4257" s="22" t="inlineStr">
        <is>
          <t>SINAPI</t>
        </is>
      </c>
      <c r="D4257" s="22" t="inlineStr">
        <is>
          <t>H</t>
        </is>
      </c>
      <c r="E4257" s="63">
        <f>L4257*FATOR</f>
        <v/>
      </c>
      <c r="F4257" s="64">
        <f>'COMPOSICOES AUXILIARES'!G3390</f>
        <v/>
      </c>
      <c r="G4257" s="64">
        <f>TRUNC(TRUNC(E4257,8)*F4257,2)</f>
        <v/>
      </c>
      <c r="L4257" t="n">
        <v>0.1504</v>
      </c>
      <c r="M4257" t="n">
        <v>23.56</v>
      </c>
      <c r="N4257">
        <f>(M4257-F4257)</f>
        <v/>
      </c>
    </row>
    <row r="4258" ht="18" customHeight="1">
      <c r="A4258" s="2" t="inlineStr"/>
      <c r="B4258" s="2" t="inlineStr"/>
      <c r="C4258" s="2" t="inlineStr"/>
      <c r="D4258" s="2" t="inlineStr"/>
      <c r="E4258" s="26" t="inlineStr">
        <is>
          <t>TOTAL Mão de Obra com Encargos Complementares:</t>
        </is>
      </c>
      <c r="F4258" s="56" t="n"/>
      <c r="G4258" s="65">
        <f>SUM(G4256:G4257)</f>
        <v/>
      </c>
    </row>
    <row r="4259" ht="15" customHeight="1">
      <c r="A4259" s="2" t="inlineStr"/>
      <c r="B4259" s="2" t="inlineStr"/>
      <c r="C4259" s="2" t="inlineStr"/>
      <c r="D4259" s="2" t="inlineStr"/>
      <c r="E4259" s="28" t="inlineStr">
        <is>
          <t>VALOR:</t>
        </is>
      </c>
      <c r="F4259" s="56" t="n"/>
      <c r="G4259" s="66">
        <f>SUM(G4258,G4254)</f>
        <v/>
      </c>
    </row>
    <row r="4260" ht="15" customHeight="1">
      <c r="A4260" s="2" t="inlineStr"/>
      <c r="B4260" s="2" t="inlineStr"/>
      <c r="C4260" s="2" t="inlineStr"/>
      <c r="D4260" s="2" t="inlineStr"/>
      <c r="E4260" s="28" t="inlineStr">
        <is>
          <t>VALOR BDI (23.08%):</t>
        </is>
      </c>
      <c r="F4260" s="56" t="n"/>
      <c r="G4260" s="66">
        <f>ROUNDDOWN(G4259*BDI,2)</f>
        <v/>
      </c>
    </row>
    <row r="4261" ht="15" customHeight="1">
      <c r="A4261" s="2" t="inlineStr"/>
      <c r="B4261" s="2" t="inlineStr"/>
      <c r="C4261" s="2" t="inlineStr"/>
      <c r="D4261" s="2" t="inlineStr"/>
      <c r="E4261" s="28" t="inlineStr">
        <is>
          <t>VALOR COM BDI:</t>
        </is>
      </c>
      <c r="F4261" s="56" t="n"/>
      <c r="G4261" s="66">
        <f>G4260 + G4259</f>
        <v/>
      </c>
    </row>
    <row r="4262" ht="10" customHeight="1">
      <c r="A4262" s="2" t="inlineStr"/>
      <c r="B4262" s="2" t="inlineStr"/>
      <c r="C4262" s="2" t="inlineStr"/>
      <c r="D4262" s="2" t="inlineStr"/>
      <c r="E4262" s="18" t="inlineStr"/>
    </row>
    <row r="4263" ht="20" customHeight="1">
      <c r="A4263" s="19" t="inlineStr">
        <is>
          <t>13.2.3.1. ​153 PRÓPRIO​ TANQUE METÁLICO DE SOBREPOR COM VÁLVULA E SIFÃO - FORNECIMENTO E INSTALAÇÃO (FABR: MEKAL - CÓDIGO:CT-50 - 50 X 40 X 23CM - COR: CROMADO)​ (UN)</t>
        </is>
      </c>
      <c r="B4263" s="55" t="n"/>
      <c r="C4263" s="55" t="n"/>
      <c r="D4263" s="55" t="n"/>
      <c r="E4263" s="55" t="n"/>
      <c r="F4263" s="55" t="n"/>
      <c r="G4263" s="56" t="n"/>
    </row>
    <row r="4264" ht="15" customHeight="1">
      <c r="A4264" s="20" t="inlineStr">
        <is>
          <t>Material</t>
        </is>
      </c>
      <c r="B4264" s="56" t="n"/>
      <c r="C4264" s="21" t="inlineStr">
        <is>
          <t>FONTE</t>
        </is>
      </c>
      <c r="D4264" s="21" t="inlineStr">
        <is>
          <t>UNID</t>
        </is>
      </c>
      <c r="E4264" s="21" t="inlineStr">
        <is>
          <t>COEFICIENTE</t>
        </is>
      </c>
      <c r="F4264" s="21" t="inlineStr">
        <is>
          <t>PREÇO UNITÁRIO</t>
        </is>
      </c>
      <c r="G4264" s="21" t="inlineStr">
        <is>
          <t>TOTAL</t>
        </is>
      </c>
    </row>
    <row r="4265" ht="21" customHeight="1">
      <c r="A4265" s="22" t="inlineStr">
        <is>
          <t>00003146</t>
        </is>
      </c>
      <c r="B4265" s="23" t="inlineStr">
        <is>
          <t>FITA VEDA ROSCA, EM PTFE, ROLO DE 18 MM X 10 M (L X C)</t>
        </is>
      </c>
      <c r="C4265" s="22" t="inlineStr">
        <is>
          <t>SINAPI</t>
        </is>
      </c>
      <c r="D4265" s="22" t="inlineStr">
        <is>
          <t>UN</t>
        </is>
      </c>
      <c r="E4265" s="63" t="n">
        <v>0.05</v>
      </c>
      <c r="F4265" s="64">
        <f>ROUND(M4265*FATOR, 2)</f>
        <v/>
      </c>
      <c r="G4265" s="64">
        <f>ROUND(ROUND(E4265,8)*F4265,2)</f>
        <v/>
      </c>
      <c r="L4265" t="n">
        <v>0.05</v>
      </c>
      <c r="M4265" t="n">
        <v>4</v>
      </c>
      <c r="N4265">
        <f>(M4265-F4265)</f>
        <v/>
      </c>
    </row>
    <row r="4266" ht="15" customHeight="1">
      <c r="A4266" s="22" t="inlineStr">
        <is>
          <t>00037329</t>
        </is>
      </c>
      <c r="B4266" s="23" t="inlineStr">
        <is>
          <t>REJUNTE EPOXI, QUALQUER COR</t>
        </is>
      </c>
      <c r="C4266" s="22" t="inlineStr">
        <is>
          <t>SINAPI</t>
        </is>
      </c>
      <c r="D4266" s="22" t="inlineStr">
        <is>
          <t>KG</t>
        </is>
      </c>
      <c r="E4266" s="63" t="n">
        <v>0.08</v>
      </c>
      <c r="F4266" s="64">
        <f>ROUND(M4266*FATOR, 2)</f>
        <v/>
      </c>
      <c r="G4266" s="64">
        <f>ROUND(ROUND(E4266,8)*F4266,2)</f>
        <v/>
      </c>
      <c r="L4266" t="n">
        <v>0.08</v>
      </c>
      <c r="M4266" t="n">
        <v>144.69</v>
      </c>
      <c r="N4266">
        <f>(M4266-F4266)</f>
        <v/>
      </c>
    </row>
    <row r="4267" ht="15" customHeight="1">
      <c r="A4267" s="2" t="inlineStr"/>
      <c r="B4267" s="2" t="inlineStr"/>
      <c r="C4267" s="2" t="inlineStr"/>
      <c r="D4267" s="2" t="inlineStr"/>
      <c r="E4267" s="26" t="inlineStr">
        <is>
          <t>TOTAL Material:</t>
        </is>
      </c>
      <c r="F4267" s="56" t="n"/>
      <c r="G4267" s="65">
        <f>SUM(G4265:G4266)</f>
        <v/>
      </c>
    </row>
    <row r="4268" ht="15" customHeight="1">
      <c r="A4268" s="20" t="inlineStr">
        <is>
          <t>Mão de Obra com Encargos Complementares</t>
        </is>
      </c>
      <c r="B4268" s="56" t="n"/>
      <c r="C4268" s="21" t="inlineStr">
        <is>
          <t>FONTE</t>
        </is>
      </c>
      <c r="D4268" s="21" t="inlineStr">
        <is>
          <t>UNID</t>
        </is>
      </c>
      <c r="E4268" s="21" t="inlineStr">
        <is>
          <t>COEFICIENTE</t>
        </is>
      </c>
      <c r="F4268" s="21" t="inlineStr">
        <is>
          <t>PREÇO UNITÁRIO</t>
        </is>
      </c>
      <c r="G4268" s="21" t="inlineStr">
        <is>
          <t>TOTAL</t>
        </is>
      </c>
    </row>
    <row r="4269" ht="21" customHeight="1">
      <c r="A4269" s="22" t="inlineStr">
        <is>
          <t>88248</t>
        </is>
      </c>
      <c r="B4269" s="23" t="inlineStr">
        <is>
          <t>AUXILIAR DE ENCANADOR OU BOMBEIRO HIDRÁULICO COM ENCARGOS COMPLEMENTARES</t>
        </is>
      </c>
      <c r="C4269" s="22" t="inlineStr">
        <is>
          <t>SINAPI</t>
        </is>
      </c>
      <c r="D4269" s="22" t="inlineStr">
        <is>
          <t>H</t>
        </is>
      </c>
      <c r="E4269" s="63">
        <f>L4269*FATOR</f>
        <v/>
      </c>
      <c r="F4269" s="64">
        <f>'COMPOSICOES AUXILIARES'!G524</f>
        <v/>
      </c>
      <c r="G4269" s="64">
        <f>ROUND(ROUND(E4269,8)*F4269,2)</f>
        <v/>
      </c>
      <c r="L4269" t="n">
        <v>1.05</v>
      </c>
      <c r="M4269" t="n">
        <v>24.23</v>
      </c>
      <c r="N4269">
        <f>(M4269-F4269)</f>
        <v/>
      </c>
    </row>
    <row r="4270" ht="21" customHeight="1">
      <c r="A4270" s="22" t="inlineStr">
        <is>
          <t>88267</t>
        </is>
      </c>
      <c r="B4270" s="23" t="inlineStr">
        <is>
          <t>ENCANADOR OU BOMBEIRO HIDRÁULICO COM ENCARGOS COMPLEMENTARES</t>
        </is>
      </c>
      <c r="C4270" s="22" t="inlineStr">
        <is>
          <t>SINAPI</t>
        </is>
      </c>
      <c r="D4270" s="22" t="inlineStr">
        <is>
          <t>H</t>
        </is>
      </c>
      <c r="E4270" s="63">
        <f>L4270*FATOR</f>
        <v/>
      </c>
      <c r="F4270" s="64">
        <f>'COMPOSICOES AUXILIARES'!G524</f>
        <v/>
      </c>
      <c r="G4270" s="64">
        <f>ROUND(ROUND(E4270,8)*F4270,2)</f>
        <v/>
      </c>
      <c r="L4270" t="n">
        <v>2.1</v>
      </c>
      <c r="M4270" t="n">
        <v>29.86</v>
      </c>
      <c r="N4270">
        <f>(M4270-F4270)</f>
        <v/>
      </c>
    </row>
    <row r="4271" ht="18" customHeight="1">
      <c r="A4271" s="2" t="inlineStr"/>
      <c r="B4271" s="2" t="inlineStr"/>
      <c r="C4271" s="2" t="inlineStr"/>
      <c r="D4271" s="2" t="inlineStr"/>
      <c r="E4271" s="26" t="inlineStr">
        <is>
          <t>TOTAL Mão de Obra com Encargos Complementares:</t>
        </is>
      </c>
      <c r="F4271" s="56" t="n"/>
      <c r="G4271" s="65">
        <f>SUM(G4269:G4270)</f>
        <v/>
      </c>
    </row>
    <row r="4272" ht="15" customHeight="1">
      <c r="A4272" s="2" t="inlineStr"/>
      <c r="B4272" s="2" t="inlineStr"/>
      <c r="C4272" s="2" t="inlineStr"/>
      <c r="D4272" s="2" t="inlineStr"/>
      <c r="E4272" s="28" t="inlineStr">
        <is>
          <t>VALOR:</t>
        </is>
      </c>
      <c r="F4272" s="56" t="n"/>
      <c r="G4272" s="66">
        <f>SUM(G4267,G4271)</f>
        <v/>
      </c>
    </row>
    <row r="4273" ht="15" customHeight="1">
      <c r="A4273" s="2" t="inlineStr"/>
      <c r="B4273" s="2" t="inlineStr"/>
      <c r="C4273" s="2" t="inlineStr"/>
      <c r="D4273" s="2" t="inlineStr"/>
      <c r="E4273" s="28" t="inlineStr">
        <is>
          <t>VALOR BDI (23.08%):</t>
        </is>
      </c>
      <c r="F4273" s="56" t="n"/>
      <c r="G4273" s="66">
        <f>ROUNDDOWN(G4272*BDI,2)</f>
        <v/>
      </c>
    </row>
    <row r="4274" ht="15" customHeight="1">
      <c r="A4274" s="2" t="inlineStr"/>
      <c r="B4274" s="2" t="inlineStr"/>
      <c r="C4274" s="2" t="inlineStr"/>
      <c r="D4274" s="2" t="inlineStr"/>
      <c r="E4274" s="28" t="inlineStr">
        <is>
          <t>VALOR COM BDI:</t>
        </is>
      </c>
      <c r="F4274" s="56" t="n"/>
      <c r="G4274" s="66">
        <f>G4273 + G4272</f>
        <v/>
      </c>
    </row>
    <row r="4275" ht="10" customHeight="1">
      <c r="A4275" s="2" t="inlineStr"/>
      <c r="B4275" s="2" t="inlineStr"/>
      <c r="C4275" s="2" t="inlineStr"/>
      <c r="D4275" s="2" t="inlineStr"/>
      <c r="E4275" s="18" t="inlineStr"/>
    </row>
    <row r="4276" ht="27" customHeight="1">
      <c r="A4276" s="19" t="inlineStr">
        <is>
          <t>13.2.4.1. ​86941​ LAVATÓRIO LOUÇA BRANCA COM COLUNA,45 X 55CM OU EQUIVALENTE, PADRÃO MÉDIO, INCLUSO SIFÃO TIPO GARRAFA, VÁLVULA E ENGATE FLEXÍVEL DE 40CM EM METAL CROMADO, COM TORNEIRA CROMADA DE MESA, PADRÃO MÉDIO - FORNECIMENTO E INSTALAÇÃO. AF_01/2020​ (UN)</t>
        </is>
      </c>
      <c r="B4276" s="55" t="n"/>
      <c r="C4276" s="55" t="n"/>
      <c r="D4276" s="55" t="n"/>
      <c r="E4276" s="55" t="n"/>
      <c r="F4276" s="55" t="n"/>
      <c r="G4276" s="56" t="n"/>
    </row>
    <row r="4277" ht="15" customHeight="1">
      <c r="A4277" s="20" t="inlineStr">
        <is>
          <t>Serviço</t>
        </is>
      </c>
      <c r="B4277" s="56" t="n"/>
      <c r="C4277" s="21" t="inlineStr">
        <is>
          <t>FONTE</t>
        </is>
      </c>
      <c r="D4277" s="21" t="inlineStr">
        <is>
          <t>UNID</t>
        </is>
      </c>
      <c r="E4277" s="21" t="inlineStr">
        <is>
          <t>COEFICIENTE</t>
        </is>
      </c>
      <c r="F4277" s="21" t="inlineStr">
        <is>
          <t>PREÇO UNITÁRIO</t>
        </is>
      </c>
      <c r="G4277" s="21" t="inlineStr">
        <is>
          <t>TOTAL</t>
        </is>
      </c>
    </row>
    <row r="4278" ht="21" customHeight="1">
      <c r="A4278" s="22" t="inlineStr">
        <is>
          <t>86887</t>
        </is>
      </c>
      <c r="B4278" s="23" t="inlineStr">
        <is>
          <t>ENGATE FLEXÍVEL EM INOX, 1/2 X 40CM - FORNECIMENTO E INSTALAÇÃO. AF_01/2020</t>
        </is>
      </c>
      <c r="C4278" s="22" t="inlineStr">
        <is>
          <t>SINAPI</t>
        </is>
      </c>
      <c r="D4278" s="22" t="inlineStr">
        <is>
          <t>UN</t>
        </is>
      </c>
      <c r="E4278" s="63" t="n">
        <v>1</v>
      </c>
      <c r="F4278" s="64">
        <f>'COMPOSICOES AUXILIARES'!G1931</f>
        <v/>
      </c>
      <c r="G4278" s="64">
        <f>TRUNC(TRUNC(E4278,8)*F4278,2)</f>
        <v/>
      </c>
      <c r="L4278" t="n">
        <v>1</v>
      </c>
      <c r="M4278" t="n">
        <v>64.72</v>
      </c>
      <c r="N4278">
        <f>(M4278-F4278)</f>
        <v/>
      </c>
    </row>
    <row r="4279" ht="29" customHeight="1">
      <c r="A4279" s="22" t="inlineStr">
        <is>
          <t>86903</t>
        </is>
      </c>
      <c r="B4279" s="23" t="inlineStr">
        <is>
          <t>LAVATÓRIO LOUÇA BRANCA COM COLUNA, 45 X 55CM OU EQUIVALENTE, PADRÃO MÉDIO - FORNECIMENTO E INSTALAÇÃO. AF_01/2020</t>
        </is>
      </c>
      <c r="C4279" s="22" t="inlineStr">
        <is>
          <t>SINAPI</t>
        </is>
      </c>
      <c r="D4279" s="22" t="inlineStr">
        <is>
          <t>UN</t>
        </is>
      </c>
      <c r="E4279" s="63" t="n">
        <v>1</v>
      </c>
      <c r="F4279" s="64">
        <f>'COMPOSICOES AUXILIARES'!G2397</f>
        <v/>
      </c>
      <c r="G4279" s="64">
        <f>TRUNC(TRUNC(E4279,8)*F4279,2)</f>
        <v/>
      </c>
      <c r="L4279" t="n">
        <v>1</v>
      </c>
      <c r="M4279" t="n">
        <v>406.66</v>
      </c>
      <c r="N4279">
        <f>(M4279-F4279)</f>
        <v/>
      </c>
    </row>
    <row r="4280" ht="21" customHeight="1">
      <c r="A4280" s="22" t="inlineStr">
        <is>
          <t>86881</t>
        </is>
      </c>
      <c r="B4280" s="23" t="inlineStr">
        <is>
          <t>SIFÃO DO TIPO GARRAFA EM METAL CROMADO 1 X 1.1/2" - FORNECIMENTO E INSTALAÇÃO. AF_01/2020</t>
        </is>
      </c>
      <c r="C4280" s="22" t="inlineStr">
        <is>
          <t>SINAPI</t>
        </is>
      </c>
      <c r="D4280" s="22" t="inlineStr">
        <is>
          <t>UN</t>
        </is>
      </c>
      <c r="E4280" s="63" t="n">
        <v>1</v>
      </c>
      <c r="F4280" s="64">
        <f>'COMPOSICOES AUXILIARES'!G3403</f>
        <v/>
      </c>
      <c r="G4280" s="64">
        <f>TRUNC(TRUNC(E4280,8)*F4280,2)</f>
        <v/>
      </c>
      <c r="L4280" t="n">
        <v>1</v>
      </c>
      <c r="M4280" t="n">
        <v>245.22</v>
      </c>
      <c r="N4280">
        <f>(M4280-F4280)</f>
        <v/>
      </c>
    </row>
    <row r="4281" ht="29" customHeight="1">
      <c r="A4281" s="22" t="inlineStr">
        <is>
          <t>86915</t>
        </is>
      </c>
      <c r="B4281" s="23" t="inlineStr">
        <is>
          <t>TORNEIRA CROMADA DE MESA, 1/2" OU 3/4", PARA LAVATÓRIO, PADRÃO MÉDIO - FORNECIMENTO E INSTALAÇÃO. AF_01/2020</t>
        </is>
      </c>
      <c r="C4281" s="22" t="inlineStr">
        <is>
          <t>SINAPI</t>
        </is>
      </c>
      <c r="D4281" s="22" t="inlineStr">
        <is>
          <t>UN</t>
        </is>
      </c>
      <c r="E4281" s="63" t="n">
        <v>1</v>
      </c>
      <c r="F4281" s="64">
        <f>'COMPOSICOES AUXILIARES'!G3566</f>
        <v/>
      </c>
      <c r="G4281" s="64">
        <f>TRUNC(TRUNC(E4281,8)*F4281,2)</f>
        <v/>
      </c>
      <c r="L4281" t="n">
        <v>1</v>
      </c>
      <c r="M4281" t="n">
        <v>148.28</v>
      </c>
      <c r="N4281">
        <f>(M4281-F4281)</f>
        <v/>
      </c>
    </row>
    <row r="4282" ht="29" customHeight="1">
      <c r="A4282" s="22" t="inlineStr">
        <is>
          <t>86877</t>
        </is>
      </c>
      <c r="B4282" s="23" t="inlineStr">
        <is>
          <t>VÁLVULA EM METAL CROMADO 1.1/2" X 1.1/2" PARA TANQUE OU LAVATÓRIO, COM OU SEM LADRÃO - FORNECIMENTO E INSTALAÇÃO. AF_01/2020</t>
        </is>
      </c>
      <c r="C4282" s="22" t="inlineStr">
        <is>
          <t>SINAPI</t>
        </is>
      </c>
      <c r="D4282" s="22" t="inlineStr">
        <is>
          <t>UN</t>
        </is>
      </c>
      <c r="E4282" s="63" t="n">
        <v>1</v>
      </c>
      <c r="F4282" s="64">
        <f>'COMPOSICOES AUXILIARES'!G3800</f>
        <v/>
      </c>
      <c r="G4282" s="64">
        <f>TRUNC(TRUNC(E4282,8)*F4282,2)</f>
        <v/>
      </c>
      <c r="L4282" t="n">
        <v>1</v>
      </c>
      <c r="M4282" t="n">
        <v>80.56</v>
      </c>
      <c r="N4282">
        <f>(M4282-F4282)</f>
        <v/>
      </c>
    </row>
    <row r="4283" ht="15" customHeight="1">
      <c r="A4283" s="2" t="inlineStr"/>
      <c r="B4283" s="2" t="inlineStr"/>
      <c r="C4283" s="2" t="inlineStr"/>
      <c r="D4283" s="2" t="inlineStr"/>
      <c r="E4283" s="26" t="inlineStr">
        <is>
          <t>TOTAL Serviço:</t>
        </is>
      </c>
      <c r="F4283" s="56" t="n"/>
      <c r="G4283" s="65">
        <f>SUM(G4278:G4282)</f>
        <v/>
      </c>
    </row>
    <row r="4284" ht="15" customHeight="1">
      <c r="A4284" s="2" t="inlineStr"/>
      <c r="B4284" s="2" t="inlineStr"/>
      <c r="C4284" s="2" t="inlineStr"/>
      <c r="D4284" s="2" t="inlineStr"/>
      <c r="E4284" s="28" t="inlineStr">
        <is>
          <t>VALOR:</t>
        </is>
      </c>
      <c r="F4284" s="56" t="n"/>
      <c r="G4284" s="66">
        <f>SUM(G4283)</f>
        <v/>
      </c>
    </row>
    <row r="4285" ht="15" customHeight="1">
      <c r="A4285" s="2" t="inlineStr"/>
      <c r="B4285" s="2" t="inlineStr"/>
      <c r="C4285" s="2" t="inlineStr"/>
      <c r="D4285" s="2" t="inlineStr"/>
      <c r="E4285" s="28" t="inlineStr">
        <is>
          <t>VALOR BDI (23.08%):</t>
        </is>
      </c>
      <c r="F4285" s="56" t="n"/>
      <c r="G4285" s="66">
        <f>ROUNDDOWN(G4284*BDI,2)</f>
        <v/>
      </c>
    </row>
    <row r="4286" ht="15" customHeight="1">
      <c r="A4286" s="2" t="inlineStr"/>
      <c r="B4286" s="2" t="inlineStr"/>
      <c r="C4286" s="2" t="inlineStr"/>
      <c r="D4286" s="2" t="inlineStr"/>
      <c r="E4286" s="28" t="inlineStr">
        <is>
          <t>VALOR COM BDI:</t>
        </is>
      </c>
      <c r="F4286" s="56" t="n"/>
      <c r="G4286" s="66">
        <f>G4285 + G4284</f>
        <v/>
      </c>
    </row>
    <row r="4287" ht="10" customHeight="1">
      <c r="A4287" s="2" t="inlineStr"/>
      <c r="B4287" s="2" t="inlineStr"/>
      <c r="C4287" s="2" t="inlineStr"/>
      <c r="D4287" s="2" t="inlineStr"/>
      <c r="E4287" s="18" t="inlineStr"/>
    </row>
    <row r="4288" ht="20" customHeight="1">
      <c r="A4288" s="19" t="inlineStr">
        <is>
          <t>13.3.1.1. ​365 PRÓPRIO​ TORNEIRA CROMADA DE MESA PARA LAVATÓRIO TEMPORIZADA POR PRESSÃO COM FECHAMENTO AUTOMÁTICO, BICABAIXA​ (UN)</t>
        </is>
      </c>
      <c r="B4288" s="55" t="n"/>
      <c r="C4288" s="55" t="n"/>
      <c r="D4288" s="55" t="n"/>
      <c r="E4288" s="55" t="n"/>
      <c r="F4288" s="55" t="n"/>
      <c r="G4288" s="56" t="n"/>
    </row>
    <row r="4289" ht="15" customHeight="1">
      <c r="A4289" s="20" t="inlineStr">
        <is>
          <t>Material</t>
        </is>
      </c>
      <c r="B4289" s="56" t="n"/>
      <c r="C4289" s="21" t="inlineStr">
        <is>
          <t>FONTE</t>
        </is>
      </c>
      <c r="D4289" s="21" t="inlineStr">
        <is>
          <t>UNID</t>
        </is>
      </c>
      <c r="E4289" s="21" t="inlineStr">
        <is>
          <t>COEFICIENTE</t>
        </is>
      </c>
      <c r="F4289" s="21" t="inlineStr">
        <is>
          <t>PREÇO UNITÁRIO</t>
        </is>
      </c>
      <c r="G4289" s="21" t="inlineStr">
        <is>
          <t>TOTAL</t>
        </is>
      </c>
    </row>
    <row r="4290" ht="21" customHeight="1">
      <c r="A4290" s="22" t="inlineStr">
        <is>
          <t>00003146</t>
        </is>
      </c>
      <c r="B4290" s="23" t="inlineStr">
        <is>
          <t>FITA VEDA ROSCA, EM PTFE, ROLO DE 18 MM X 10 M (L X C)</t>
        </is>
      </c>
      <c r="C4290" s="22" t="inlineStr">
        <is>
          <t>SINAPI</t>
        </is>
      </c>
      <c r="D4290" s="22" t="inlineStr">
        <is>
          <t>UN</t>
        </is>
      </c>
      <c r="E4290" s="63" t="n">
        <v>0.021</v>
      </c>
      <c r="F4290" s="64">
        <f>ROUND(M4290*FATOR, 2)</f>
        <v/>
      </c>
      <c r="G4290" s="64">
        <f>ROUND(ROUND(E4290,8)*F4290,2)</f>
        <v/>
      </c>
      <c r="L4290" t="n">
        <v>0.021</v>
      </c>
      <c r="M4290" t="n">
        <v>4</v>
      </c>
      <c r="N4290">
        <f>(M4290-F4290)</f>
        <v/>
      </c>
    </row>
    <row r="4291" ht="29" customHeight="1">
      <c r="A4291" s="22" t="inlineStr">
        <is>
          <t>00036796</t>
        </is>
      </c>
      <c r="B4291" s="23" t="inlineStr">
        <is>
          <t>TORNEIRA METALICA CROMADA DE MESA, PARA LAVATORIO, TEMPORIZADA PRESSAO FECHAMENTO AUTOMATICO, BICA BAIXA</t>
        </is>
      </c>
      <c r="C4291" s="22" t="inlineStr">
        <is>
          <t>SINAPI</t>
        </is>
      </c>
      <c r="D4291" s="22" t="inlineStr">
        <is>
          <t>UN</t>
        </is>
      </c>
      <c r="E4291" s="63" t="n">
        <v>1</v>
      </c>
      <c r="F4291" s="64">
        <f>ROUND(M4291*FATOR, 2)</f>
        <v/>
      </c>
      <c r="G4291" s="64">
        <f>ROUND(ROUND(E4291,8)*F4291,2)</f>
        <v/>
      </c>
      <c r="L4291" t="n">
        <v>1</v>
      </c>
      <c r="M4291" t="n">
        <v>151.96</v>
      </c>
      <c r="N4291">
        <f>(M4291-F4291)</f>
        <v/>
      </c>
    </row>
    <row r="4292" ht="15" customHeight="1">
      <c r="A4292" s="2" t="inlineStr"/>
      <c r="B4292" s="2" t="inlineStr"/>
      <c r="C4292" s="2" t="inlineStr"/>
      <c r="D4292" s="2" t="inlineStr"/>
      <c r="E4292" s="26" t="inlineStr">
        <is>
          <t>TOTAL Material:</t>
        </is>
      </c>
      <c r="F4292" s="56" t="n"/>
      <c r="G4292" s="65">
        <f>SUM(G4290:G4291)</f>
        <v/>
      </c>
    </row>
    <row r="4293" ht="15" customHeight="1">
      <c r="A4293" s="20" t="inlineStr">
        <is>
          <t>Mão de Obra com Encargos Complementares</t>
        </is>
      </c>
      <c r="B4293" s="56" t="n"/>
      <c r="C4293" s="21" t="inlineStr">
        <is>
          <t>FONTE</t>
        </is>
      </c>
      <c r="D4293" s="21" t="inlineStr">
        <is>
          <t>UNID</t>
        </is>
      </c>
      <c r="E4293" s="21" t="inlineStr">
        <is>
          <t>COEFICIENTE</t>
        </is>
      </c>
      <c r="F4293" s="21" t="inlineStr">
        <is>
          <t>PREÇO UNITÁRIO</t>
        </is>
      </c>
      <c r="G4293" s="21" t="inlineStr">
        <is>
          <t>TOTAL</t>
        </is>
      </c>
    </row>
    <row r="4294" ht="21" customHeight="1">
      <c r="A4294" s="22" t="inlineStr">
        <is>
          <t>88267</t>
        </is>
      </c>
      <c r="B4294" s="23" t="inlineStr">
        <is>
          <t>ENCANADOR OU BOMBEIRO HIDRÁULICO COM ENCARGOS COMPLEMENTARES</t>
        </is>
      </c>
      <c r="C4294" s="22" t="inlineStr">
        <is>
          <t>SINAPI</t>
        </is>
      </c>
      <c r="D4294" s="22" t="inlineStr">
        <is>
          <t>H</t>
        </is>
      </c>
      <c r="E4294" s="63">
        <f>L4294*FATOR</f>
        <v/>
      </c>
      <c r="F4294" s="64">
        <f>'COMPOSICOES AUXILIARES'!G524</f>
        <v/>
      </c>
      <c r="G4294" s="64">
        <f>ROUND(ROUND(E4294,8)*F4294,2)</f>
        <v/>
      </c>
      <c r="L4294" t="n">
        <v>0.6453</v>
      </c>
      <c r="M4294" t="n">
        <v>29.86</v>
      </c>
      <c r="N4294">
        <f>(M4294-F4294)</f>
        <v/>
      </c>
    </row>
    <row r="4295" ht="15" customHeight="1">
      <c r="A4295" s="22" t="inlineStr">
        <is>
          <t>88316</t>
        </is>
      </c>
      <c r="B4295" s="23" t="inlineStr">
        <is>
          <t>SERVENTE COM ENCARGOS COMPLEMENTARES</t>
        </is>
      </c>
      <c r="C4295" s="22" t="inlineStr">
        <is>
          <t>SINAPI</t>
        </is>
      </c>
      <c r="D4295" s="22" t="inlineStr">
        <is>
          <t>H</t>
        </is>
      </c>
      <c r="E4295" s="63">
        <f>L4295*FATOR</f>
        <v/>
      </c>
      <c r="F4295" s="64">
        <f>'COMPOSICOES AUXILIARES'!G3390</f>
        <v/>
      </c>
      <c r="G4295" s="64">
        <f>ROUND(ROUND(E4295,8)*F4295,2)</f>
        <v/>
      </c>
      <c r="L4295" t="n">
        <v>0.2033</v>
      </c>
      <c r="M4295" t="n">
        <v>23.56</v>
      </c>
      <c r="N4295">
        <f>(M4295-F4295)</f>
        <v/>
      </c>
    </row>
    <row r="4296" ht="18" customHeight="1">
      <c r="A4296" s="2" t="inlineStr"/>
      <c r="B4296" s="2" t="inlineStr"/>
      <c r="C4296" s="2" t="inlineStr"/>
      <c r="D4296" s="2" t="inlineStr"/>
      <c r="E4296" s="26" t="inlineStr">
        <is>
          <t>TOTAL Mão de Obra com Encargos Complementares:</t>
        </is>
      </c>
      <c r="F4296" s="56" t="n"/>
      <c r="G4296" s="65">
        <f>SUM(G4294:G4295)</f>
        <v/>
      </c>
    </row>
    <row r="4297" ht="15" customHeight="1">
      <c r="A4297" s="2" t="inlineStr"/>
      <c r="B4297" s="2" t="inlineStr"/>
      <c r="C4297" s="2" t="inlineStr"/>
      <c r="D4297" s="2" t="inlineStr"/>
      <c r="E4297" s="28" t="inlineStr">
        <is>
          <t>VALOR:</t>
        </is>
      </c>
      <c r="F4297" s="56" t="n"/>
      <c r="G4297" s="66">
        <f>SUM(G4296,G4292)</f>
        <v/>
      </c>
    </row>
    <row r="4298" ht="15" customHeight="1">
      <c r="A4298" s="2" t="inlineStr"/>
      <c r="B4298" s="2" t="inlineStr"/>
      <c r="C4298" s="2" t="inlineStr"/>
      <c r="D4298" s="2" t="inlineStr"/>
      <c r="E4298" s="28" t="inlineStr">
        <is>
          <t>VALOR BDI (23.08%):</t>
        </is>
      </c>
      <c r="F4298" s="56" t="n"/>
      <c r="G4298" s="66">
        <f>ROUNDDOWN(G4297*BDI,2)</f>
        <v/>
      </c>
    </row>
    <row r="4299" ht="15" customHeight="1">
      <c r="A4299" s="2" t="inlineStr"/>
      <c r="B4299" s="2" t="inlineStr"/>
      <c r="C4299" s="2" t="inlineStr"/>
      <c r="D4299" s="2" t="inlineStr"/>
      <c r="E4299" s="28" t="inlineStr">
        <is>
          <t>VALOR COM BDI:</t>
        </is>
      </c>
      <c r="F4299" s="56" t="n"/>
      <c r="G4299" s="66">
        <f>G4298 + G4297</f>
        <v/>
      </c>
    </row>
    <row r="4300" ht="10" customHeight="1">
      <c r="A4300" s="2" t="inlineStr"/>
      <c r="B4300" s="2" t="inlineStr"/>
      <c r="C4300" s="2" t="inlineStr"/>
      <c r="D4300" s="2" t="inlineStr"/>
      <c r="E4300" s="18" t="inlineStr"/>
    </row>
    <row r="4301" ht="20" customHeight="1">
      <c r="A4301" s="19" t="inlineStr">
        <is>
          <t>13.3.2.1. ​86910​ TORNEIRA CROMADA TUBO MÓVEL, DE PAREDE, 1/2" OU 3/4", PARA PIA DE COZINHA, PADRÃO MÉDIO - FORNECIMENTO E INSTALAÇÃO.AF_01/2020​ (UN)</t>
        </is>
      </c>
      <c r="B4301" s="55" t="n"/>
      <c r="C4301" s="55" t="n"/>
      <c r="D4301" s="55" t="n"/>
      <c r="E4301" s="55" t="n"/>
      <c r="F4301" s="55" t="n"/>
      <c r="G4301" s="56" t="n"/>
    </row>
    <row r="4302" ht="15" customHeight="1">
      <c r="A4302" s="20" t="inlineStr">
        <is>
          <t>Material</t>
        </is>
      </c>
      <c r="B4302" s="56" t="n"/>
      <c r="C4302" s="21" t="inlineStr">
        <is>
          <t>FONTE</t>
        </is>
      </c>
      <c r="D4302" s="21" t="inlineStr">
        <is>
          <t>UNID</t>
        </is>
      </c>
      <c r="E4302" s="21" t="inlineStr">
        <is>
          <t>COEFICIENTE</t>
        </is>
      </c>
      <c r="F4302" s="21" t="inlineStr">
        <is>
          <t>PREÇO UNITÁRIO</t>
        </is>
      </c>
      <c r="G4302" s="21" t="inlineStr">
        <is>
          <t>TOTAL</t>
        </is>
      </c>
    </row>
    <row r="4303" ht="21" customHeight="1">
      <c r="A4303" s="22" t="inlineStr">
        <is>
          <t>00003146</t>
        </is>
      </c>
      <c r="B4303" s="23" t="inlineStr">
        <is>
          <t>FITA VEDA ROSCA, EM PTFE, ROLO DE 18 MM X 10 M (L X C)</t>
        </is>
      </c>
      <c r="C4303" s="22" t="inlineStr">
        <is>
          <t>SINAPI</t>
        </is>
      </c>
      <c r="D4303" s="22" t="inlineStr">
        <is>
          <t>UN</t>
        </is>
      </c>
      <c r="E4303" s="63" t="n">
        <v>0.021</v>
      </c>
      <c r="F4303" s="64">
        <f>ROUND(M4303*FATOR, 2)</f>
        <v/>
      </c>
      <c r="G4303" s="64">
        <f>TRUNC(TRUNC(E4303,8)*F4303,2)</f>
        <v/>
      </c>
      <c r="L4303" t="n">
        <v>0.021</v>
      </c>
      <c r="M4303" t="n">
        <v>4</v>
      </c>
      <c r="N4303">
        <f>(M4303-F4303)</f>
        <v/>
      </c>
    </row>
    <row r="4304" ht="21" customHeight="1">
      <c r="A4304" s="22" t="inlineStr">
        <is>
          <t>00011773</t>
        </is>
      </c>
      <c r="B4304" s="23" t="inlineStr">
        <is>
          <t>TORNEIRA METALICA CROMADA DE PAREDE, PARA COZINHA, BICA MOVEL, COM AREJADOR, 1/2" OU 3/4"</t>
        </is>
      </c>
      <c r="C4304" s="22" t="inlineStr">
        <is>
          <t>SINAPI</t>
        </is>
      </c>
      <c r="D4304" s="22" t="inlineStr">
        <is>
          <t>UN</t>
        </is>
      </c>
      <c r="E4304" s="63" t="n">
        <v>1</v>
      </c>
      <c r="F4304" s="64">
        <f>ROUND(M4304*FATOR, 2)</f>
        <v/>
      </c>
      <c r="G4304" s="64">
        <f>TRUNC(TRUNC(E4304,8)*F4304,2)</f>
        <v/>
      </c>
      <c r="L4304" t="n">
        <v>1</v>
      </c>
      <c r="M4304" t="n">
        <v>128.14</v>
      </c>
      <c r="N4304">
        <f>(M4304-F4304)</f>
        <v/>
      </c>
    </row>
    <row r="4305" ht="15" customHeight="1">
      <c r="A4305" s="2" t="inlineStr"/>
      <c r="B4305" s="2" t="inlineStr"/>
      <c r="C4305" s="2" t="inlineStr"/>
      <c r="D4305" s="2" t="inlineStr"/>
      <c r="E4305" s="26" t="inlineStr">
        <is>
          <t>TOTAL Material:</t>
        </is>
      </c>
      <c r="F4305" s="56" t="n"/>
      <c r="G4305" s="65">
        <f>SUM(G4303:G4304)</f>
        <v/>
      </c>
    </row>
    <row r="4306" ht="15" customHeight="1">
      <c r="A4306" s="20" t="inlineStr">
        <is>
          <t>Mão de Obra com Encargos Complementares</t>
        </is>
      </c>
      <c r="B4306" s="56" t="n"/>
      <c r="C4306" s="21" t="inlineStr">
        <is>
          <t>FONTE</t>
        </is>
      </c>
      <c r="D4306" s="21" t="inlineStr">
        <is>
          <t>UNID</t>
        </is>
      </c>
      <c r="E4306" s="21" t="inlineStr">
        <is>
          <t>COEFICIENTE</t>
        </is>
      </c>
      <c r="F4306" s="21" t="inlineStr">
        <is>
          <t>PREÇO UNITÁRIO</t>
        </is>
      </c>
      <c r="G4306" s="21" t="inlineStr">
        <is>
          <t>TOTAL</t>
        </is>
      </c>
    </row>
    <row r="4307" ht="21" customHeight="1">
      <c r="A4307" s="22" t="inlineStr">
        <is>
          <t>88267</t>
        </is>
      </c>
      <c r="B4307" s="23" t="inlineStr">
        <is>
          <t>ENCANADOR OU BOMBEIRO HIDRÁULICO COM ENCARGOS COMPLEMENTARES</t>
        </is>
      </c>
      <c r="C4307" s="22" t="inlineStr">
        <is>
          <t>SINAPI</t>
        </is>
      </c>
      <c r="D4307" s="22" t="inlineStr">
        <is>
          <t>H</t>
        </is>
      </c>
      <c r="E4307" s="63">
        <f>L4307*FATOR</f>
        <v/>
      </c>
      <c r="F4307" s="64">
        <f>'COMPOSICOES AUXILIARES'!G524</f>
        <v/>
      </c>
      <c r="G4307" s="64">
        <f>TRUNC(TRUNC(E4307,8)*F4307,2)</f>
        <v/>
      </c>
      <c r="L4307" t="n">
        <v>0.1164</v>
      </c>
      <c r="M4307" t="n">
        <v>29.86</v>
      </c>
      <c r="N4307">
        <f>(M4307-F4307)</f>
        <v/>
      </c>
    </row>
    <row r="4308" ht="15" customHeight="1">
      <c r="A4308" s="22" t="inlineStr">
        <is>
          <t>88316</t>
        </is>
      </c>
      <c r="B4308" s="23" t="inlineStr">
        <is>
          <t>SERVENTE COM ENCARGOS COMPLEMENTARES</t>
        </is>
      </c>
      <c r="C4308" s="22" t="inlineStr">
        <is>
          <t>SINAPI</t>
        </is>
      </c>
      <c r="D4308" s="22" t="inlineStr">
        <is>
          <t>H</t>
        </is>
      </c>
      <c r="E4308" s="63">
        <f>L4308*FATOR</f>
        <v/>
      </c>
      <c r="F4308" s="64">
        <f>'COMPOSICOES AUXILIARES'!G3390</f>
        <v/>
      </c>
      <c r="G4308" s="64">
        <f>TRUNC(TRUNC(E4308,8)*F4308,2)</f>
        <v/>
      </c>
      <c r="L4308" t="n">
        <v>0.0367</v>
      </c>
      <c r="M4308" t="n">
        <v>23.56</v>
      </c>
      <c r="N4308">
        <f>(M4308-F4308)</f>
        <v/>
      </c>
    </row>
    <row r="4309" ht="18" customHeight="1">
      <c r="A4309" s="2" t="inlineStr"/>
      <c r="B4309" s="2" t="inlineStr"/>
      <c r="C4309" s="2" t="inlineStr"/>
      <c r="D4309" s="2" t="inlineStr"/>
      <c r="E4309" s="26" t="inlineStr">
        <is>
          <t>TOTAL Mão de Obra com Encargos Complementares:</t>
        </is>
      </c>
      <c r="F4309" s="56" t="n"/>
      <c r="G4309" s="65">
        <f>SUM(G4307:G4308)</f>
        <v/>
      </c>
    </row>
    <row r="4310" ht="15" customHeight="1">
      <c r="A4310" s="2" t="inlineStr"/>
      <c r="B4310" s="2" t="inlineStr"/>
      <c r="C4310" s="2" t="inlineStr"/>
      <c r="D4310" s="2" t="inlineStr"/>
      <c r="E4310" s="28" t="inlineStr">
        <is>
          <t>VALOR:</t>
        </is>
      </c>
      <c r="F4310" s="56" t="n"/>
      <c r="G4310" s="66">
        <f>SUM(G4305,G4309)</f>
        <v/>
      </c>
    </row>
    <row r="4311" ht="15" customHeight="1">
      <c r="A4311" s="2" t="inlineStr"/>
      <c r="B4311" s="2" t="inlineStr"/>
      <c r="C4311" s="2" t="inlineStr"/>
      <c r="D4311" s="2" t="inlineStr"/>
      <c r="E4311" s="28" t="inlineStr">
        <is>
          <t>VALOR BDI (23.08%):</t>
        </is>
      </c>
      <c r="F4311" s="56" t="n"/>
      <c r="G4311" s="66">
        <f>ROUNDDOWN(G4310*BDI,2)</f>
        <v/>
      </c>
    </row>
    <row r="4312" ht="15" customHeight="1">
      <c r="A4312" s="2" t="inlineStr"/>
      <c r="B4312" s="2" t="inlineStr"/>
      <c r="C4312" s="2" t="inlineStr"/>
      <c r="D4312" s="2" t="inlineStr"/>
      <c r="E4312" s="28" t="inlineStr">
        <is>
          <t>VALOR COM BDI:</t>
        </is>
      </c>
      <c r="F4312" s="56" t="n"/>
      <c r="G4312" s="66">
        <f>G4311 + G4310</f>
        <v/>
      </c>
    </row>
    <row r="4313" ht="10" customHeight="1">
      <c r="A4313" s="2" t="inlineStr"/>
      <c r="B4313" s="2" t="inlineStr"/>
      <c r="C4313" s="2" t="inlineStr"/>
      <c r="D4313" s="2" t="inlineStr"/>
      <c r="E4313" s="18" t="inlineStr"/>
    </row>
    <row r="4314" ht="20" customHeight="1">
      <c r="A4314" s="19" t="inlineStr">
        <is>
          <t>13.3.3.1. ​86914​ TORNEIRA CROMADA 1/2" OU 3/4" PARA TANQUE, PADRÃO MÉDIO - FORNECIMENTO E INSTALAÇÃO.AF_01/2020​ (UN)</t>
        </is>
      </c>
      <c r="B4314" s="55" t="n"/>
      <c r="C4314" s="55" t="n"/>
      <c r="D4314" s="55" t="n"/>
      <c r="E4314" s="55" t="n"/>
      <c r="F4314" s="55" t="n"/>
      <c r="G4314" s="56" t="n"/>
    </row>
    <row r="4315" ht="15" customHeight="1">
      <c r="A4315" s="20" t="inlineStr">
        <is>
          <t>Material</t>
        </is>
      </c>
      <c r="B4315" s="56" t="n"/>
      <c r="C4315" s="21" t="inlineStr">
        <is>
          <t>FONTE</t>
        </is>
      </c>
      <c r="D4315" s="21" t="inlineStr">
        <is>
          <t>UNID</t>
        </is>
      </c>
      <c r="E4315" s="21" t="inlineStr">
        <is>
          <t>COEFICIENTE</t>
        </is>
      </c>
      <c r="F4315" s="21" t="inlineStr">
        <is>
          <t>PREÇO UNITÁRIO</t>
        </is>
      </c>
      <c r="G4315" s="21" t="inlineStr">
        <is>
          <t>TOTAL</t>
        </is>
      </c>
    </row>
    <row r="4316" ht="21" customHeight="1">
      <c r="A4316" s="22" t="inlineStr">
        <is>
          <t>00003146</t>
        </is>
      </c>
      <c r="B4316" s="23" t="inlineStr">
        <is>
          <t>FITA VEDA ROSCA, EM PTFE, ROLO DE 18 MM X 10 M (L X C)</t>
        </is>
      </c>
      <c r="C4316" s="22" t="inlineStr">
        <is>
          <t>SINAPI</t>
        </is>
      </c>
      <c r="D4316" s="22" t="inlineStr">
        <is>
          <t>UN</t>
        </is>
      </c>
      <c r="E4316" s="63" t="n">
        <v>0.021</v>
      </c>
      <c r="F4316" s="64">
        <f>ROUND(M4316*FATOR, 2)</f>
        <v/>
      </c>
      <c r="G4316" s="64">
        <f>TRUNC(TRUNC(E4316,8)*F4316,2)</f>
        <v/>
      </c>
      <c r="L4316" t="n">
        <v>0.021</v>
      </c>
      <c r="M4316" t="n">
        <v>4</v>
      </c>
      <c r="N4316">
        <f>(M4316-F4316)</f>
        <v/>
      </c>
    </row>
    <row r="4317" ht="29" customHeight="1">
      <c r="A4317" s="22" t="inlineStr">
        <is>
          <t>00013417</t>
        </is>
      </c>
      <c r="B4317" s="23" t="inlineStr">
        <is>
          <t>TORNEIRA METALICA CROMADA CANO CURTO, SEM BICO, SEM AREJADOR, DE PAREDE, PARA TANQUE E USO GERAL, 1/2" OU 3/4"</t>
        </is>
      </c>
      <c r="C4317" s="22" t="inlineStr">
        <is>
          <t>SINAPI</t>
        </is>
      </c>
      <c r="D4317" s="22" t="inlineStr">
        <is>
          <t>UN</t>
        </is>
      </c>
      <c r="E4317" s="63" t="n">
        <v>1</v>
      </c>
      <c r="F4317" s="64">
        <f>ROUND(M4317*FATOR, 2)</f>
        <v/>
      </c>
      <c r="G4317" s="64">
        <f>TRUNC(TRUNC(E4317,8)*F4317,2)</f>
        <v/>
      </c>
      <c r="L4317" t="n">
        <v>1</v>
      </c>
      <c r="M4317" t="n">
        <v>96.36</v>
      </c>
      <c r="N4317">
        <f>(M4317-F4317)</f>
        <v/>
      </c>
    </row>
    <row r="4318" ht="15" customHeight="1">
      <c r="A4318" s="2" t="inlineStr"/>
      <c r="B4318" s="2" t="inlineStr"/>
      <c r="C4318" s="2" t="inlineStr"/>
      <c r="D4318" s="2" t="inlineStr"/>
      <c r="E4318" s="26" t="inlineStr">
        <is>
          <t>TOTAL Material:</t>
        </is>
      </c>
      <c r="F4318" s="56" t="n"/>
      <c r="G4318" s="65">
        <f>SUM(G4316:G4317)</f>
        <v/>
      </c>
    </row>
    <row r="4319" ht="15" customHeight="1">
      <c r="A4319" s="20" t="inlineStr">
        <is>
          <t>Mão de Obra com Encargos Complementares</t>
        </is>
      </c>
      <c r="B4319" s="56" t="n"/>
      <c r="C4319" s="21" t="inlineStr">
        <is>
          <t>FONTE</t>
        </is>
      </c>
      <c r="D4319" s="21" t="inlineStr">
        <is>
          <t>UNID</t>
        </is>
      </c>
      <c r="E4319" s="21" t="inlineStr">
        <is>
          <t>COEFICIENTE</t>
        </is>
      </c>
      <c r="F4319" s="21" t="inlineStr">
        <is>
          <t>PREÇO UNITÁRIO</t>
        </is>
      </c>
      <c r="G4319" s="21" t="inlineStr">
        <is>
          <t>TOTAL</t>
        </is>
      </c>
    </row>
    <row r="4320" ht="21" customHeight="1">
      <c r="A4320" s="22" t="inlineStr">
        <is>
          <t>88267</t>
        </is>
      </c>
      <c r="B4320" s="23" t="inlineStr">
        <is>
          <t>ENCANADOR OU BOMBEIRO HIDRÁULICO COM ENCARGOS COMPLEMENTARES</t>
        </is>
      </c>
      <c r="C4320" s="22" t="inlineStr">
        <is>
          <t>SINAPI</t>
        </is>
      </c>
      <c r="D4320" s="22" t="inlineStr">
        <is>
          <t>H</t>
        </is>
      </c>
      <c r="E4320" s="63">
        <f>L4320*FATOR</f>
        <v/>
      </c>
      <c r="F4320" s="64">
        <f>'COMPOSICOES AUXILIARES'!G524</f>
        <v/>
      </c>
      <c r="G4320" s="64">
        <f>TRUNC(TRUNC(E4320,8)*F4320,2)</f>
        <v/>
      </c>
      <c r="L4320" t="n">
        <v>0.1525</v>
      </c>
      <c r="M4320" t="n">
        <v>29.86</v>
      </c>
      <c r="N4320">
        <f>(M4320-F4320)</f>
        <v/>
      </c>
    </row>
    <row r="4321" ht="15" customHeight="1">
      <c r="A4321" s="22" t="inlineStr">
        <is>
          <t>88316</t>
        </is>
      </c>
      <c r="B4321" s="23" t="inlineStr">
        <is>
          <t>SERVENTE COM ENCARGOS COMPLEMENTARES</t>
        </is>
      </c>
      <c r="C4321" s="22" t="inlineStr">
        <is>
          <t>SINAPI</t>
        </is>
      </c>
      <c r="D4321" s="22" t="inlineStr">
        <is>
          <t>H</t>
        </is>
      </c>
      <c r="E4321" s="63">
        <f>L4321*FATOR</f>
        <v/>
      </c>
      <c r="F4321" s="64">
        <f>'COMPOSICOES AUXILIARES'!G3390</f>
        <v/>
      </c>
      <c r="G4321" s="64">
        <f>TRUNC(TRUNC(E4321,8)*F4321,2)</f>
        <v/>
      </c>
      <c r="L4321" t="n">
        <v>0.0481</v>
      </c>
      <c r="M4321" t="n">
        <v>23.56</v>
      </c>
      <c r="N4321">
        <f>(M4321-F4321)</f>
        <v/>
      </c>
    </row>
    <row r="4322" ht="18" customHeight="1">
      <c r="A4322" s="2" t="inlineStr"/>
      <c r="B4322" s="2" t="inlineStr"/>
      <c r="C4322" s="2" t="inlineStr"/>
      <c r="D4322" s="2" t="inlineStr"/>
      <c r="E4322" s="26" t="inlineStr">
        <is>
          <t>TOTAL Mão de Obra com Encargos Complementares:</t>
        </is>
      </c>
      <c r="F4322" s="56" t="n"/>
      <c r="G4322" s="65">
        <f>SUM(G4320:G4321)</f>
        <v/>
      </c>
    </row>
    <row r="4323" ht="15" customHeight="1">
      <c r="A4323" s="2" t="inlineStr"/>
      <c r="B4323" s="2" t="inlineStr"/>
      <c r="C4323" s="2" t="inlineStr"/>
      <c r="D4323" s="2" t="inlineStr"/>
      <c r="E4323" s="28" t="inlineStr">
        <is>
          <t>VALOR:</t>
        </is>
      </c>
      <c r="F4323" s="56" t="n"/>
      <c r="G4323" s="66">
        <f>SUM(G4322,G4318)</f>
        <v/>
      </c>
    </row>
    <row r="4324" ht="15" customHeight="1">
      <c r="A4324" s="2" t="inlineStr"/>
      <c r="B4324" s="2" t="inlineStr"/>
      <c r="C4324" s="2" t="inlineStr"/>
      <c r="D4324" s="2" t="inlineStr"/>
      <c r="E4324" s="28" t="inlineStr">
        <is>
          <t>VALOR BDI (23.08%):</t>
        </is>
      </c>
      <c r="F4324" s="56" t="n"/>
      <c r="G4324" s="66">
        <f>ROUNDDOWN(G4323*BDI,2)</f>
        <v/>
      </c>
    </row>
    <row r="4325" ht="15" customHeight="1">
      <c r="A4325" s="2" t="inlineStr"/>
      <c r="B4325" s="2" t="inlineStr"/>
      <c r="C4325" s="2" t="inlineStr"/>
      <c r="D4325" s="2" t="inlineStr"/>
      <c r="E4325" s="28" t="inlineStr">
        <is>
          <t>VALOR COM BDI:</t>
        </is>
      </c>
      <c r="F4325" s="56" t="n"/>
      <c r="G4325" s="66">
        <f>G4324 + G4323</f>
        <v/>
      </c>
    </row>
    <row r="4326" ht="10" customHeight="1">
      <c r="A4326" s="2" t="inlineStr"/>
      <c r="B4326" s="2" t="inlineStr"/>
      <c r="C4326" s="2" t="inlineStr"/>
      <c r="D4326" s="2" t="inlineStr"/>
      <c r="E4326" s="18" t="inlineStr"/>
    </row>
    <row r="4327" ht="20" customHeight="1">
      <c r="A4327" s="19" t="inlineStr">
        <is>
          <t>13.4.1.1. ​100849​ ASSENTO SANITÁRIO CONVENCIONAL - FORNECIMENTO E INSTALACAO.AF_01/2020​ (UN)</t>
        </is>
      </c>
      <c r="B4327" s="55" t="n"/>
      <c r="C4327" s="55" t="n"/>
      <c r="D4327" s="55" t="n"/>
      <c r="E4327" s="55" t="n"/>
      <c r="F4327" s="55" t="n"/>
      <c r="G4327" s="56" t="n"/>
    </row>
    <row r="4328" ht="15" customHeight="1">
      <c r="A4328" s="20" t="inlineStr">
        <is>
          <t>Material</t>
        </is>
      </c>
      <c r="B4328" s="56" t="n"/>
      <c r="C4328" s="21" t="inlineStr">
        <is>
          <t>FONTE</t>
        </is>
      </c>
      <c r="D4328" s="21" t="inlineStr">
        <is>
          <t>UNID</t>
        </is>
      </c>
      <c r="E4328" s="21" t="inlineStr">
        <is>
          <t>COEFICIENTE</t>
        </is>
      </c>
      <c r="F4328" s="21" t="inlineStr">
        <is>
          <t>PREÇO UNITÁRIO</t>
        </is>
      </c>
      <c r="G4328" s="21" t="inlineStr">
        <is>
          <t>TOTAL</t>
        </is>
      </c>
    </row>
    <row r="4329" ht="15" customHeight="1">
      <c r="A4329" s="22" t="inlineStr">
        <is>
          <t>00000377</t>
        </is>
      </c>
      <c r="B4329" s="23" t="inlineStr">
        <is>
          <t>ASSENTO SANITARIO DE PLASTICO, TIPO CONVENCIONAL</t>
        </is>
      </c>
      <c r="C4329" s="22" t="inlineStr">
        <is>
          <t>SINAPI</t>
        </is>
      </c>
      <c r="D4329" s="22" t="inlineStr">
        <is>
          <t>UN</t>
        </is>
      </c>
      <c r="E4329" s="63" t="n">
        <v>1</v>
      </c>
      <c r="F4329" s="64">
        <f>ROUND(M4329*FATOR, 2)</f>
        <v/>
      </c>
      <c r="G4329" s="64">
        <f>TRUNC(TRUNC(E4329,8)*F4329,2)</f>
        <v/>
      </c>
      <c r="L4329" t="n">
        <v>1</v>
      </c>
      <c r="M4329" t="n">
        <v>39.95</v>
      </c>
      <c r="N4329">
        <f>(M4329-F4329)</f>
        <v/>
      </c>
    </row>
    <row r="4330" ht="15" customHeight="1">
      <c r="A4330" s="2" t="inlineStr"/>
      <c r="B4330" s="2" t="inlineStr"/>
      <c r="C4330" s="2" t="inlineStr"/>
      <c r="D4330" s="2" t="inlineStr"/>
      <c r="E4330" s="26" t="inlineStr">
        <is>
          <t>TOTAL Material:</t>
        </is>
      </c>
      <c r="F4330" s="56" t="n"/>
      <c r="G4330" s="65">
        <f>SUM(G4329:G4329)</f>
        <v/>
      </c>
    </row>
    <row r="4331" ht="15" customHeight="1">
      <c r="A4331" s="20" t="inlineStr">
        <is>
          <t>Mão de Obra com Encargos Complementares</t>
        </is>
      </c>
      <c r="B4331" s="56" t="n"/>
      <c r="C4331" s="21" t="inlineStr">
        <is>
          <t>FONTE</t>
        </is>
      </c>
      <c r="D4331" s="21" t="inlineStr">
        <is>
          <t>UNID</t>
        </is>
      </c>
      <c r="E4331" s="21" t="inlineStr">
        <is>
          <t>COEFICIENTE</t>
        </is>
      </c>
      <c r="F4331" s="21" t="inlineStr">
        <is>
          <t>PREÇO UNITÁRIO</t>
        </is>
      </c>
      <c r="G4331" s="21" t="inlineStr">
        <is>
          <t>TOTAL</t>
        </is>
      </c>
    </row>
    <row r="4332" ht="21" customHeight="1">
      <c r="A4332" s="22" t="inlineStr">
        <is>
          <t>88267</t>
        </is>
      </c>
      <c r="B4332" s="23" t="inlineStr">
        <is>
          <t>ENCANADOR OU BOMBEIRO HIDRÁULICO COM ENCARGOS COMPLEMENTARES</t>
        </is>
      </c>
      <c r="C4332" s="22" t="inlineStr">
        <is>
          <t>SINAPI</t>
        </is>
      </c>
      <c r="D4332" s="22" t="inlineStr">
        <is>
          <t>H</t>
        </is>
      </c>
      <c r="E4332" s="63">
        <f>L4332*FATOR</f>
        <v/>
      </c>
      <c r="F4332" s="64">
        <f>'COMPOSICOES AUXILIARES'!G524</f>
        <v/>
      </c>
      <c r="G4332" s="64">
        <f>TRUNC(TRUNC(E4332,8)*F4332,2)</f>
        <v/>
      </c>
      <c r="L4332" t="n">
        <v>0.1536</v>
      </c>
      <c r="M4332" t="n">
        <v>29.86</v>
      </c>
      <c r="N4332">
        <f>(M4332-F4332)</f>
        <v/>
      </c>
    </row>
    <row r="4333" ht="15" customHeight="1">
      <c r="A4333" s="22" t="inlineStr">
        <is>
          <t>88316</t>
        </is>
      </c>
      <c r="B4333" s="23" t="inlineStr">
        <is>
          <t>SERVENTE COM ENCARGOS COMPLEMENTARES</t>
        </is>
      </c>
      <c r="C4333" s="22" t="inlineStr">
        <is>
          <t>SINAPI</t>
        </is>
      </c>
      <c r="D4333" s="22" t="inlineStr">
        <is>
          <t>H</t>
        </is>
      </c>
      <c r="E4333" s="63">
        <f>L4333*FATOR</f>
        <v/>
      </c>
      <c r="F4333" s="64">
        <f>'COMPOSICOES AUXILIARES'!G3390</f>
        <v/>
      </c>
      <c r="G4333" s="64">
        <f>TRUNC(TRUNC(E4333,8)*F4333,2)</f>
        <v/>
      </c>
      <c r="L4333" t="n">
        <v>0.0484</v>
      </c>
      <c r="M4333" t="n">
        <v>23.56</v>
      </c>
      <c r="N4333">
        <f>(M4333-F4333)</f>
        <v/>
      </c>
    </row>
    <row r="4334" ht="18" customHeight="1">
      <c r="A4334" s="2" t="inlineStr"/>
      <c r="B4334" s="2" t="inlineStr"/>
      <c r="C4334" s="2" t="inlineStr"/>
      <c r="D4334" s="2" t="inlineStr"/>
      <c r="E4334" s="26" t="inlineStr">
        <is>
          <t>TOTAL Mão de Obra com Encargos Complementares:</t>
        </is>
      </c>
      <c r="F4334" s="56" t="n"/>
      <c r="G4334" s="65">
        <f>SUM(G4332:G4333)</f>
        <v/>
      </c>
    </row>
    <row r="4335" ht="15" customHeight="1">
      <c r="A4335" s="2" t="inlineStr"/>
      <c r="B4335" s="2" t="inlineStr"/>
      <c r="C4335" s="2" t="inlineStr"/>
      <c r="D4335" s="2" t="inlineStr"/>
      <c r="E4335" s="28" t="inlineStr">
        <is>
          <t>VALOR:</t>
        </is>
      </c>
      <c r="F4335" s="56" t="n"/>
      <c r="G4335" s="66">
        <f>SUM(G4330,G4334)</f>
        <v/>
      </c>
    </row>
    <row r="4336" ht="15" customHeight="1">
      <c r="A4336" s="2" t="inlineStr"/>
      <c r="B4336" s="2" t="inlineStr"/>
      <c r="C4336" s="2" t="inlineStr"/>
      <c r="D4336" s="2" t="inlineStr"/>
      <c r="E4336" s="28" t="inlineStr">
        <is>
          <t>VALOR BDI (23.08%):</t>
        </is>
      </c>
      <c r="F4336" s="56" t="n"/>
      <c r="G4336" s="66">
        <f>ROUNDDOWN(G4335*BDI,2)</f>
        <v/>
      </c>
    </row>
    <row r="4337" ht="15" customHeight="1">
      <c r="A4337" s="2" t="inlineStr"/>
      <c r="B4337" s="2" t="inlineStr"/>
      <c r="C4337" s="2" t="inlineStr"/>
      <c r="D4337" s="2" t="inlineStr"/>
      <c r="E4337" s="28" t="inlineStr">
        <is>
          <t>VALOR COM BDI:</t>
        </is>
      </c>
      <c r="F4337" s="56" t="n"/>
      <c r="G4337" s="66">
        <f>G4336 + G4335</f>
        <v/>
      </c>
    </row>
    <row r="4338" ht="10" customHeight="1">
      <c r="A4338" s="2" t="inlineStr"/>
      <c r="B4338" s="2" t="inlineStr"/>
      <c r="C4338" s="2" t="inlineStr"/>
      <c r="D4338" s="2" t="inlineStr"/>
      <c r="E4338" s="18" t="inlineStr"/>
    </row>
    <row r="4339" ht="20" customHeight="1">
      <c r="A4339" s="19" t="inlineStr">
        <is>
          <t>13.4.1.2. ​86932​ VASO SANITÁRIO SIFONADO COM CAIXA ACOPLADA LOUÇA BRANCA - PADRÃO MÉDIO, INCLUSO ENGATE FLEXÍVEL EM METAL CROMADO, 1/2 X 40CM - FORNECIMENTO E INSTALAÇÃO.AF_01/2020​ (UN)</t>
        </is>
      </c>
      <c r="B4339" s="55" t="n"/>
      <c r="C4339" s="55" t="n"/>
      <c r="D4339" s="55" t="n"/>
      <c r="E4339" s="55" t="n"/>
      <c r="F4339" s="55" t="n"/>
      <c r="G4339" s="56" t="n"/>
    </row>
    <row r="4340" ht="15" customHeight="1">
      <c r="A4340" s="20" t="inlineStr">
        <is>
          <t>Serviço</t>
        </is>
      </c>
      <c r="B4340" s="56" t="n"/>
      <c r="C4340" s="21" t="inlineStr">
        <is>
          <t>FONTE</t>
        </is>
      </c>
      <c r="D4340" s="21" t="inlineStr">
        <is>
          <t>UNID</t>
        </is>
      </c>
      <c r="E4340" s="21" t="inlineStr">
        <is>
          <t>COEFICIENTE</t>
        </is>
      </c>
      <c r="F4340" s="21" t="inlineStr">
        <is>
          <t>PREÇO UNITÁRIO</t>
        </is>
      </c>
      <c r="G4340" s="21" t="inlineStr">
        <is>
          <t>TOTAL</t>
        </is>
      </c>
    </row>
    <row r="4341" ht="21" customHeight="1">
      <c r="A4341" s="22" t="inlineStr">
        <is>
          <t>86887</t>
        </is>
      </c>
      <c r="B4341" s="23" t="inlineStr">
        <is>
          <t>ENGATE FLEXÍVEL EM INOX, 1/2 X 40CM - FORNECIMENTO E INSTALAÇÃO. AF_01/2020</t>
        </is>
      </c>
      <c r="C4341" s="22" t="inlineStr">
        <is>
          <t>SINAPI</t>
        </is>
      </c>
      <c r="D4341" s="22" t="inlineStr">
        <is>
          <t>UN</t>
        </is>
      </c>
      <c r="E4341" s="63" t="n">
        <v>1</v>
      </c>
      <c r="F4341" s="64">
        <f>'COMPOSICOES AUXILIARES'!G1931</f>
        <v/>
      </c>
      <c r="G4341" s="64">
        <f>TRUNC(TRUNC(E4341,8)*F4341,2)</f>
        <v/>
      </c>
      <c r="L4341" t="n">
        <v>1</v>
      </c>
      <c r="M4341" t="n">
        <v>64.72</v>
      </c>
      <c r="N4341">
        <f>(M4341-F4341)</f>
        <v/>
      </c>
    </row>
    <row r="4342" ht="21" customHeight="1">
      <c r="A4342" s="22" t="inlineStr">
        <is>
          <t>86888</t>
        </is>
      </c>
      <c r="B4342" s="23" t="inlineStr">
        <is>
          <t>VASO SANITÁRIO SIFONADO COM CAIXA ACOPLADA LOUÇA BRANCA - FORNECIMENTO E INSTALAÇÃO. AF_01/2020</t>
        </is>
      </c>
      <c r="C4342" s="22" t="inlineStr">
        <is>
          <t>SINAPI</t>
        </is>
      </c>
      <c r="D4342" s="22" t="inlineStr">
        <is>
          <t>UN</t>
        </is>
      </c>
      <c r="E4342" s="63" t="n">
        <v>1</v>
      </c>
      <c r="F4342" s="64">
        <f>'COMPOSICOES AUXILIARES'!G3716</f>
        <v/>
      </c>
      <c r="G4342" s="64">
        <f>TRUNC(TRUNC(E4342,8)*F4342,2)</f>
        <v/>
      </c>
      <c r="L4342" t="n">
        <v>1</v>
      </c>
      <c r="M4342" t="n">
        <v>534.12</v>
      </c>
      <c r="N4342">
        <f>(M4342-F4342)</f>
        <v/>
      </c>
    </row>
    <row r="4343" ht="15" customHeight="1">
      <c r="A4343" s="2" t="inlineStr"/>
      <c r="B4343" s="2" t="inlineStr"/>
      <c r="C4343" s="2" t="inlineStr"/>
      <c r="D4343" s="2" t="inlineStr"/>
      <c r="E4343" s="26" t="inlineStr">
        <is>
          <t>TOTAL Serviço:</t>
        </is>
      </c>
      <c r="F4343" s="56" t="n"/>
      <c r="G4343" s="65">
        <f>SUM(G4341:G4342)</f>
        <v/>
      </c>
    </row>
    <row r="4344" ht="15" customHeight="1">
      <c r="A4344" s="2" t="inlineStr"/>
      <c r="B4344" s="2" t="inlineStr"/>
      <c r="C4344" s="2" t="inlineStr"/>
      <c r="D4344" s="2" t="inlineStr"/>
      <c r="E4344" s="28" t="inlineStr">
        <is>
          <t>VALOR:</t>
        </is>
      </c>
      <c r="F4344" s="56" t="n"/>
      <c r="G4344" s="66">
        <f>SUM(G4343)</f>
        <v/>
      </c>
    </row>
    <row r="4345" ht="15" customHeight="1">
      <c r="A4345" s="2" t="inlineStr"/>
      <c r="B4345" s="2" t="inlineStr"/>
      <c r="C4345" s="2" t="inlineStr"/>
      <c r="D4345" s="2" t="inlineStr"/>
      <c r="E4345" s="28" t="inlineStr">
        <is>
          <t>VALOR BDI (23.08%):</t>
        </is>
      </c>
      <c r="F4345" s="56" t="n"/>
      <c r="G4345" s="66">
        <f>ROUNDDOWN(G4344*BDI,2)</f>
        <v/>
      </c>
    </row>
    <row r="4346" ht="15" customHeight="1">
      <c r="A4346" s="2" t="inlineStr"/>
      <c r="B4346" s="2" t="inlineStr"/>
      <c r="C4346" s="2" t="inlineStr"/>
      <c r="D4346" s="2" t="inlineStr"/>
      <c r="E4346" s="28" t="inlineStr">
        <is>
          <t>VALOR COM BDI:</t>
        </is>
      </c>
      <c r="F4346" s="56" t="n"/>
      <c r="G4346" s="66">
        <f>G4345 + G4344</f>
        <v/>
      </c>
    </row>
    <row r="4347" ht="10" customHeight="1">
      <c r="A4347" s="2" t="inlineStr"/>
      <c r="B4347" s="2" t="inlineStr"/>
      <c r="C4347" s="2" t="inlineStr"/>
      <c r="D4347" s="2" t="inlineStr"/>
      <c r="E4347" s="18" t="inlineStr"/>
    </row>
    <row r="4348" ht="20" customHeight="1">
      <c r="A4348" s="19" t="inlineStr">
        <is>
          <t>13.4.1.3. ​404 PRÓPRIO​ VASO SANITÁRIO SIFONADO COM CAIXA ACOPLADA PARA PCD - INCLUSO KIT FIXAÇÃO, ENGATE FLEXÍVEL METÁLICO E ASSENTO - FORNECIMENTO EINSTALAÇÃO​ (UN)</t>
        </is>
      </c>
      <c r="B4348" s="55" t="n"/>
      <c r="C4348" s="55" t="n"/>
      <c r="D4348" s="55" t="n"/>
      <c r="E4348" s="55" t="n"/>
      <c r="F4348" s="55" t="n"/>
      <c r="G4348" s="56" t="n"/>
    </row>
    <row r="4349" ht="15" customHeight="1">
      <c r="A4349" s="20" t="inlineStr">
        <is>
          <t>Material</t>
        </is>
      </c>
      <c r="B4349" s="56" t="n"/>
      <c r="C4349" s="21" t="inlineStr">
        <is>
          <t>FONTE</t>
        </is>
      </c>
      <c r="D4349" s="21" t="inlineStr">
        <is>
          <t>UNID</t>
        </is>
      </c>
      <c r="E4349" s="21" t="inlineStr">
        <is>
          <t>COEFICIENTE</t>
        </is>
      </c>
      <c r="F4349" s="21" t="inlineStr">
        <is>
          <t>PREÇO UNITÁRIO</t>
        </is>
      </c>
      <c r="G4349" s="21" t="inlineStr">
        <is>
          <t>TOTAL</t>
        </is>
      </c>
    </row>
    <row r="4350" ht="21" customHeight="1">
      <c r="A4350" s="22" t="inlineStr">
        <is>
          <t>00006138</t>
        </is>
      </c>
      <c r="B4350" s="23" t="inlineStr">
        <is>
          <t>ANEL DE VEDACAO, PVC FLEXIVEL, 100 MM, PARA SAIDA DE BACIA / VASO SANITARIO</t>
        </is>
      </c>
      <c r="C4350" s="22" t="inlineStr">
        <is>
          <t>SINAPI</t>
        </is>
      </c>
      <c r="D4350" s="22" t="inlineStr">
        <is>
          <t>UN</t>
        </is>
      </c>
      <c r="E4350" s="63" t="n">
        <v>1</v>
      </c>
      <c r="F4350" s="64">
        <f>ROUND(M4350*FATOR, 2)</f>
        <v/>
      </c>
      <c r="G4350" s="64">
        <f>ROUND(ROUND(E4350,8)*F4350,2)</f>
        <v/>
      </c>
      <c r="L4350" t="n">
        <v>1</v>
      </c>
      <c r="M4350" t="n">
        <v>14.24</v>
      </c>
      <c r="N4350">
        <f>(M4350-F4350)</f>
        <v/>
      </c>
    </row>
    <row r="4351" ht="29" customHeight="1">
      <c r="A4351" s="22" t="inlineStr">
        <is>
          <t>00004384</t>
        </is>
      </c>
      <c r="B4351" s="23" t="inlineStr">
        <is>
          <t>PARAFUSO NIQUELADO COM ACABAMENTO CROMADO PARA FIXAR PECA SANITARIA, INCLUI PORCA CEGA, ARRUELA E BUCHA DE NYLON TAMANHO S-10</t>
        </is>
      </c>
      <c r="C4351" s="22" t="inlineStr">
        <is>
          <t>SINAPI</t>
        </is>
      </c>
      <c r="D4351" s="22" t="inlineStr">
        <is>
          <t>UN</t>
        </is>
      </c>
      <c r="E4351" s="63" t="n">
        <v>2</v>
      </c>
      <c r="F4351" s="64">
        <f>ROUND(M4351*FATOR, 2)</f>
        <v/>
      </c>
      <c r="G4351" s="64">
        <f>ROUND(ROUND(E4351,8)*F4351,2)</f>
        <v/>
      </c>
      <c r="L4351" t="n">
        <v>2</v>
      </c>
      <c r="M4351" t="n">
        <v>31.17</v>
      </c>
      <c r="N4351">
        <f>(M4351-F4351)</f>
        <v/>
      </c>
    </row>
    <row r="4352" ht="15" customHeight="1">
      <c r="A4352" s="22" t="inlineStr">
        <is>
          <t>00037329</t>
        </is>
      </c>
      <c r="B4352" s="23" t="inlineStr">
        <is>
          <t>REJUNTE EPOXI, QUALQUER COR</t>
        </is>
      </c>
      <c r="C4352" s="22" t="inlineStr">
        <is>
          <t>SINAPI</t>
        </is>
      </c>
      <c r="D4352" s="22" t="inlineStr">
        <is>
          <t>KG</t>
        </is>
      </c>
      <c r="E4352" s="63" t="n">
        <v>0.0881</v>
      </c>
      <c r="F4352" s="64">
        <f>ROUND(M4352*FATOR, 2)</f>
        <v/>
      </c>
      <c r="G4352" s="64">
        <f>ROUND(ROUND(E4352,8)*F4352,2)</f>
        <v/>
      </c>
      <c r="L4352" t="n">
        <v>0.0881</v>
      </c>
      <c r="M4352" t="n">
        <v>144.69</v>
      </c>
      <c r="N4352">
        <f>(M4352-F4352)</f>
        <v/>
      </c>
    </row>
    <row r="4353" ht="21" customHeight="1">
      <c r="A4353" s="22" t="inlineStr">
        <is>
          <t>H712</t>
        </is>
      </c>
      <c r="B4353" s="23" t="inlineStr">
        <is>
          <t>VASO SANITÁRIO PARA PcD COM CAIXA ACOPLADA COM DUPLO ACIONAMENTO</t>
        </is>
      </c>
      <c r="C4353" s="22" t="inlineStr">
        <is>
          <t>GOINFRA CIVIL</t>
        </is>
      </c>
      <c r="D4353" s="22" t="inlineStr">
        <is>
          <t>un</t>
        </is>
      </c>
      <c r="E4353" s="63" t="n">
        <v>1</v>
      </c>
      <c r="F4353" s="64">
        <f>ROUND(M4353*FATOR, 2)</f>
        <v/>
      </c>
      <c r="G4353" s="64">
        <f>ROUND(ROUND(E4353,8)*F4353,2)</f>
        <v/>
      </c>
      <c r="L4353" t="n">
        <v>1</v>
      </c>
      <c r="M4353" t="n">
        <v>1154.9</v>
      </c>
      <c r="N4353">
        <f>(M4353-F4353)</f>
        <v/>
      </c>
    </row>
    <row r="4354" ht="15" customHeight="1">
      <c r="A4354" s="2" t="inlineStr"/>
      <c r="B4354" s="2" t="inlineStr"/>
      <c r="C4354" s="2" t="inlineStr"/>
      <c r="D4354" s="2" t="inlineStr"/>
      <c r="E4354" s="26" t="inlineStr">
        <is>
          <t>TOTAL Material:</t>
        </is>
      </c>
      <c r="F4354" s="56" t="n"/>
      <c r="G4354" s="65">
        <f>SUM(G4350:G4353)</f>
        <v/>
      </c>
    </row>
    <row r="4355" ht="15" customHeight="1">
      <c r="A4355" s="20" t="inlineStr">
        <is>
          <t>Mão de Obra com Encargos Complementares</t>
        </is>
      </c>
      <c r="B4355" s="56" t="n"/>
      <c r="C4355" s="21" t="inlineStr">
        <is>
          <t>FONTE</t>
        </is>
      </c>
      <c r="D4355" s="21" t="inlineStr">
        <is>
          <t>UNID</t>
        </is>
      </c>
      <c r="E4355" s="21" t="inlineStr">
        <is>
          <t>COEFICIENTE</t>
        </is>
      </c>
      <c r="F4355" s="21" t="inlineStr">
        <is>
          <t>PREÇO UNITÁRIO</t>
        </is>
      </c>
      <c r="G4355" s="21" t="inlineStr">
        <is>
          <t>TOTAL</t>
        </is>
      </c>
    </row>
    <row r="4356" ht="21" customHeight="1">
      <c r="A4356" s="22" t="inlineStr">
        <is>
          <t>88267</t>
        </is>
      </c>
      <c r="B4356" s="23" t="inlineStr">
        <is>
          <t>ENCANADOR OU BOMBEIRO HIDRÁULICO COM ENCARGOS COMPLEMENTARES</t>
        </is>
      </c>
      <c r="C4356" s="22" t="inlineStr">
        <is>
          <t>SINAPI</t>
        </is>
      </c>
      <c r="D4356" s="22" t="inlineStr">
        <is>
          <t>H</t>
        </is>
      </c>
      <c r="E4356" s="63">
        <f>L4356*FATOR</f>
        <v/>
      </c>
      <c r="F4356" s="64">
        <f>'COMPOSICOES AUXILIARES'!G524</f>
        <v/>
      </c>
      <c r="G4356" s="64">
        <f>ROUND(ROUND(E4356,8)*F4356,2)</f>
        <v/>
      </c>
      <c r="L4356" t="n">
        <v>1.3121</v>
      </c>
      <c r="M4356" t="n">
        <v>29.86</v>
      </c>
      <c r="N4356">
        <f>(M4356-F4356)</f>
        <v/>
      </c>
    </row>
    <row r="4357" ht="15" customHeight="1">
      <c r="A4357" s="22" t="inlineStr">
        <is>
          <t>88316</t>
        </is>
      </c>
      <c r="B4357" s="23" t="inlineStr">
        <is>
          <t>SERVENTE COM ENCARGOS COMPLEMENTARES</t>
        </is>
      </c>
      <c r="C4357" s="22" t="inlineStr">
        <is>
          <t>SINAPI</t>
        </is>
      </c>
      <c r="D4357" s="22" t="inlineStr">
        <is>
          <t>H</t>
        </is>
      </c>
      <c r="E4357" s="63">
        <f>L4357*FATOR</f>
        <v/>
      </c>
      <c r="F4357" s="64">
        <f>'COMPOSICOES AUXILIARES'!G3390</f>
        <v/>
      </c>
      <c r="G4357" s="64">
        <f>ROUND(ROUND(E4357,8)*F4357,2)</f>
        <v/>
      </c>
      <c r="L4357" t="n">
        <v>0.6063</v>
      </c>
      <c r="M4357" t="n">
        <v>23.56</v>
      </c>
      <c r="N4357">
        <f>(M4357-F4357)</f>
        <v/>
      </c>
    </row>
    <row r="4358" ht="18" customHeight="1">
      <c r="A4358" s="2" t="inlineStr"/>
      <c r="B4358" s="2" t="inlineStr"/>
      <c r="C4358" s="2" t="inlineStr"/>
      <c r="D4358" s="2" t="inlineStr"/>
      <c r="E4358" s="26" t="inlineStr">
        <is>
          <t>TOTAL Mão de Obra com Encargos Complementares:</t>
        </is>
      </c>
      <c r="F4358" s="56" t="n"/>
      <c r="G4358" s="65">
        <f>SUM(G4356:G4357)</f>
        <v/>
      </c>
    </row>
    <row r="4359" ht="15" customHeight="1">
      <c r="A4359" s="20" t="inlineStr">
        <is>
          <t>Serviço</t>
        </is>
      </c>
      <c r="B4359" s="56" t="n"/>
      <c r="C4359" s="21" t="inlineStr">
        <is>
          <t>FONTE</t>
        </is>
      </c>
      <c r="D4359" s="21" t="inlineStr">
        <is>
          <t>UNID</t>
        </is>
      </c>
      <c r="E4359" s="21" t="inlineStr">
        <is>
          <t>COEFICIENTE</t>
        </is>
      </c>
      <c r="F4359" s="21" t="inlineStr">
        <is>
          <t>PREÇO UNITÁRIO</t>
        </is>
      </c>
      <c r="G4359" s="21" t="inlineStr">
        <is>
          <t>TOTAL</t>
        </is>
      </c>
    </row>
    <row r="4360" ht="21" customHeight="1">
      <c r="A4360" s="22" t="inlineStr">
        <is>
          <t>100849</t>
        </is>
      </c>
      <c r="B4360" s="23" t="inlineStr">
        <is>
          <t>ASSENTO SANITÁRIO CONVENCIONAL - FORNECIMENTO E INSTALACAO. AF_01/2020</t>
        </is>
      </c>
      <c r="C4360" s="22" t="inlineStr">
        <is>
          <t>SINAPI</t>
        </is>
      </c>
      <c r="D4360" s="22" t="inlineStr">
        <is>
          <t>UN</t>
        </is>
      </c>
      <c r="E4360" s="63" t="n">
        <v>1</v>
      </c>
      <c r="F4360" s="64">
        <f>'COMPOSICOES AUXILIARES'!G486</f>
        <v/>
      </c>
      <c r="G4360" s="64">
        <f>ROUND(ROUND(E4360,8)*F4360,2)</f>
        <v/>
      </c>
      <c r="L4360" t="n">
        <v>1</v>
      </c>
      <c r="M4360" t="n">
        <v>45.67</v>
      </c>
      <c r="N4360">
        <f>(M4360-F4360)</f>
        <v/>
      </c>
    </row>
    <row r="4361" ht="21" customHeight="1">
      <c r="A4361" s="22" t="inlineStr">
        <is>
          <t>86886</t>
        </is>
      </c>
      <c r="B4361" s="23" t="inlineStr">
        <is>
          <t>ENGATE FLEXÍVEL EM INOX, 1/2 X 30CM - FORNECIMENTO E INSTALAÇÃO. AF_01/2020</t>
        </is>
      </c>
      <c r="C4361" s="22" t="inlineStr">
        <is>
          <t>SINAPI</t>
        </is>
      </c>
      <c r="D4361" s="22" t="inlineStr">
        <is>
          <t>UN</t>
        </is>
      </c>
      <c r="E4361" s="63" t="n">
        <v>1</v>
      </c>
      <c r="F4361" s="64">
        <f>'COMPOSICOES AUXILIARES'!G1918</f>
        <v/>
      </c>
      <c r="G4361" s="64">
        <f>ROUND(ROUND(E4361,8)*F4361,2)</f>
        <v/>
      </c>
      <c r="L4361" t="n">
        <v>1</v>
      </c>
      <c r="M4361" t="n">
        <v>59.63</v>
      </c>
      <c r="N4361">
        <f>(M4361-F4361)</f>
        <v/>
      </c>
    </row>
    <row r="4362" ht="15" customHeight="1">
      <c r="A4362" s="2" t="inlineStr"/>
      <c r="B4362" s="2" t="inlineStr"/>
      <c r="C4362" s="2" t="inlineStr"/>
      <c r="D4362" s="2" t="inlineStr"/>
      <c r="E4362" s="26" t="inlineStr">
        <is>
          <t>TOTAL Serviço:</t>
        </is>
      </c>
      <c r="F4362" s="56" t="n"/>
      <c r="G4362" s="65">
        <f>SUM(G4360:G4361)</f>
        <v/>
      </c>
    </row>
    <row r="4363" ht="15" customHeight="1">
      <c r="A4363" s="2" t="inlineStr"/>
      <c r="B4363" s="2" t="inlineStr"/>
      <c r="C4363" s="2" t="inlineStr"/>
      <c r="D4363" s="2" t="inlineStr"/>
      <c r="E4363" s="28" t="inlineStr">
        <is>
          <t>VALOR:</t>
        </is>
      </c>
      <c r="F4363" s="56" t="n"/>
      <c r="G4363" s="66">
        <f>SUM(G4354,G4362,G4358)</f>
        <v/>
      </c>
    </row>
    <row r="4364" ht="15" customHeight="1">
      <c r="A4364" s="2" t="inlineStr"/>
      <c r="B4364" s="2" t="inlineStr"/>
      <c r="C4364" s="2" t="inlineStr"/>
      <c r="D4364" s="2" t="inlineStr"/>
      <c r="E4364" s="28" t="inlineStr">
        <is>
          <t>VALOR BDI (23.08%):</t>
        </is>
      </c>
      <c r="F4364" s="56" t="n"/>
      <c r="G4364" s="66">
        <f>ROUNDDOWN(G4363*BDI,2)</f>
        <v/>
      </c>
    </row>
    <row r="4365" ht="15" customHeight="1">
      <c r="A4365" s="2" t="inlineStr"/>
      <c r="B4365" s="2" t="inlineStr"/>
      <c r="C4365" s="2" t="inlineStr"/>
      <c r="D4365" s="2" t="inlineStr"/>
      <c r="E4365" s="28" t="inlineStr">
        <is>
          <t>VALOR COM BDI:</t>
        </is>
      </c>
      <c r="F4365" s="56" t="n"/>
      <c r="G4365" s="66">
        <f>G4364 + G4363</f>
        <v/>
      </c>
    </row>
    <row r="4366" ht="10" customHeight="1">
      <c r="A4366" s="2" t="inlineStr"/>
      <c r="B4366" s="2" t="inlineStr"/>
      <c r="C4366" s="2" t="inlineStr"/>
      <c r="D4366" s="2" t="inlineStr"/>
      <c r="E4366" s="18" t="inlineStr"/>
    </row>
    <row r="4367" ht="20" customHeight="1">
      <c r="A4367" s="19" t="inlineStr">
        <is>
          <t>13.5.1.1. ​100858​ MICTÓRIO SIFONADO LOUÇA BRANCA - PADRÃO MÉDIO - FORNECIMENTO EINSTALAÇÃO. AF_01/2020​ (UN)</t>
        </is>
      </c>
      <c r="B4367" s="55" t="n"/>
      <c r="C4367" s="55" t="n"/>
      <c r="D4367" s="55" t="n"/>
      <c r="E4367" s="55" t="n"/>
      <c r="F4367" s="55" t="n"/>
      <c r="G4367" s="56" t="n"/>
    </row>
    <row r="4368" ht="15" customHeight="1">
      <c r="A4368" s="20" t="inlineStr">
        <is>
          <t>Material</t>
        </is>
      </c>
      <c r="B4368" s="56" t="n"/>
      <c r="C4368" s="21" t="inlineStr">
        <is>
          <t>FONTE</t>
        </is>
      </c>
      <c r="D4368" s="21" t="inlineStr">
        <is>
          <t>UNID</t>
        </is>
      </c>
      <c r="E4368" s="21" t="inlineStr">
        <is>
          <t>COEFICIENTE</t>
        </is>
      </c>
      <c r="F4368" s="21" t="inlineStr">
        <is>
          <t>PREÇO UNITÁRIO</t>
        </is>
      </c>
      <c r="G4368" s="21" t="inlineStr">
        <is>
          <t>TOTAL</t>
        </is>
      </c>
    </row>
    <row r="4369" ht="29" customHeight="1">
      <c r="A4369" s="22" t="inlineStr">
        <is>
          <t>00006142</t>
        </is>
      </c>
      <c r="B4369" s="23" t="inlineStr">
        <is>
          <t>CONJUNTO DE LIGACAO AJUSTAVEL, PARA VASO / BACIA SANITARIA, EM PLASTICO BRANCO, COM TUBO, CANOPLA E ESPUDE</t>
        </is>
      </c>
      <c r="C4369" s="22" t="inlineStr">
        <is>
          <t>SINAPI</t>
        </is>
      </c>
      <c r="D4369" s="22" t="inlineStr">
        <is>
          <t>UN</t>
        </is>
      </c>
      <c r="E4369" s="63" t="n">
        <v>1</v>
      </c>
      <c r="F4369" s="64">
        <f>ROUND(M4369*FATOR, 2)</f>
        <v/>
      </c>
      <c r="G4369" s="64">
        <f>TRUNC(TRUNC(E4369,8)*F4369,2)</f>
        <v/>
      </c>
      <c r="L4369" t="n">
        <v>1</v>
      </c>
      <c r="M4369" t="n">
        <v>8.51</v>
      </c>
      <c r="N4369">
        <f>(M4369-F4369)</f>
        <v/>
      </c>
    </row>
    <row r="4370" ht="21" customHeight="1">
      <c r="A4370" s="22" t="inlineStr">
        <is>
          <t>00003146</t>
        </is>
      </c>
      <c r="B4370" s="23" t="inlineStr">
        <is>
          <t>FITA VEDA ROSCA, EM PTFE, ROLO DE 18 MM X 10 M (L X C)</t>
        </is>
      </c>
      <c r="C4370" s="22" t="inlineStr">
        <is>
          <t>SINAPI</t>
        </is>
      </c>
      <c r="D4370" s="22" t="inlineStr">
        <is>
          <t>UN</t>
        </is>
      </c>
      <c r="E4370" s="63" t="n">
        <v>0.0365</v>
      </c>
      <c r="F4370" s="64">
        <f>ROUND(M4370*FATOR, 2)</f>
        <v/>
      </c>
      <c r="G4370" s="64">
        <f>TRUNC(TRUNC(E4370,8)*F4370,2)</f>
        <v/>
      </c>
      <c r="L4370" t="n">
        <v>0.0365</v>
      </c>
      <c r="M4370" t="n">
        <v>4</v>
      </c>
      <c r="N4370">
        <f>(M4370-F4370)</f>
        <v/>
      </c>
    </row>
    <row r="4371" ht="21" customHeight="1">
      <c r="A4371" s="22" t="inlineStr">
        <is>
          <t>00010432</t>
        </is>
      </c>
      <c r="B4371" s="23" t="inlineStr">
        <is>
          <t>MICTORIO INDIVIDUAL, SIFONADO, DE LOUCA BRANCA, SEM COMPLEMENTOS</t>
        </is>
      </c>
      <c r="C4371" s="22" t="inlineStr">
        <is>
          <t>SINAPI</t>
        </is>
      </c>
      <c r="D4371" s="22" t="inlineStr">
        <is>
          <t>UN</t>
        </is>
      </c>
      <c r="E4371" s="63" t="n">
        <v>1</v>
      </c>
      <c r="F4371" s="64">
        <f>ROUND(M4371*FATOR, 2)</f>
        <v/>
      </c>
      <c r="G4371" s="64">
        <f>TRUNC(TRUNC(E4371,8)*F4371,2)</f>
        <v/>
      </c>
      <c r="L4371" t="n">
        <v>1</v>
      </c>
      <c r="M4371" t="n">
        <v>383.03</v>
      </c>
      <c r="N4371">
        <f>(M4371-F4371)</f>
        <v/>
      </c>
    </row>
    <row r="4372" ht="29" customHeight="1">
      <c r="A4372" s="22" t="inlineStr">
        <is>
          <t>00004351</t>
        </is>
      </c>
      <c r="B4372" s="23" t="inlineStr">
        <is>
          <t>PARAFUSO NIQUELADO 3 1/2" COM ACABAMENTO CROMADO PARA FIXAR PECA SANITARIA, INCLUI PORCA CEGA, ARRUELA E BUCHA DE NYLON TAMANHO S-8</t>
        </is>
      </c>
      <c r="C4372" s="22" t="inlineStr">
        <is>
          <t>SINAPI</t>
        </is>
      </c>
      <c r="D4372" s="22" t="inlineStr">
        <is>
          <t>UN</t>
        </is>
      </c>
      <c r="E4372" s="63" t="n">
        <v>2</v>
      </c>
      <c r="F4372" s="64">
        <f>ROUND(M4372*FATOR, 2)</f>
        <v/>
      </c>
      <c r="G4372" s="64">
        <f>TRUNC(TRUNC(E4372,8)*F4372,2)</f>
        <v/>
      </c>
      <c r="L4372" t="n">
        <v>2</v>
      </c>
      <c r="M4372" t="n">
        <v>23.11</v>
      </c>
      <c r="N4372">
        <f>(M4372-F4372)</f>
        <v/>
      </c>
    </row>
    <row r="4373" ht="29" customHeight="1">
      <c r="A4373" s="22" t="inlineStr">
        <is>
          <t>00021112</t>
        </is>
      </c>
      <c r="B4373" s="23" t="inlineStr">
        <is>
          <t>VALVULA DE DESCARGA EM METAL CROMADO PARA MICTORIO COM ACIONAMENTO POR PRESSAO E FECHAMENTO AUTOMATICO</t>
        </is>
      </c>
      <c r="C4373" s="22" t="inlineStr">
        <is>
          <t>SINAPI</t>
        </is>
      </c>
      <c r="D4373" s="22" t="inlineStr">
        <is>
          <t>UN</t>
        </is>
      </c>
      <c r="E4373" s="63" t="n">
        <v>1</v>
      </c>
      <c r="F4373" s="64">
        <f>ROUND(M4373*FATOR, 2)</f>
        <v/>
      </c>
      <c r="G4373" s="64">
        <f>TRUNC(TRUNC(E4373,8)*F4373,2)</f>
        <v/>
      </c>
      <c r="L4373" t="n">
        <v>1</v>
      </c>
      <c r="M4373" t="n">
        <v>408.02</v>
      </c>
      <c r="N4373">
        <f>(M4373-F4373)</f>
        <v/>
      </c>
    </row>
    <row r="4374" ht="15" customHeight="1">
      <c r="A4374" s="2" t="inlineStr"/>
      <c r="B4374" s="2" t="inlineStr"/>
      <c r="C4374" s="2" t="inlineStr"/>
      <c r="D4374" s="2" t="inlineStr"/>
      <c r="E4374" s="26" t="inlineStr">
        <is>
          <t>TOTAL Material:</t>
        </is>
      </c>
      <c r="F4374" s="56" t="n"/>
      <c r="G4374" s="65">
        <f>SUM(G4369:G4373)</f>
        <v/>
      </c>
    </row>
    <row r="4375" ht="15" customHeight="1">
      <c r="A4375" s="20" t="inlineStr">
        <is>
          <t>Mão de Obra com Encargos Complementares</t>
        </is>
      </c>
      <c r="B4375" s="56" t="n"/>
      <c r="C4375" s="21" t="inlineStr">
        <is>
          <t>FONTE</t>
        </is>
      </c>
      <c r="D4375" s="21" t="inlineStr">
        <is>
          <t>UNID</t>
        </is>
      </c>
      <c r="E4375" s="21" t="inlineStr">
        <is>
          <t>COEFICIENTE</t>
        </is>
      </c>
      <c r="F4375" s="21" t="inlineStr">
        <is>
          <t>PREÇO UNITÁRIO</t>
        </is>
      </c>
      <c r="G4375" s="21" t="inlineStr">
        <is>
          <t>TOTAL</t>
        </is>
      </c>
    </row>
    <row r="4376" ht="21" customHeight="1">
      <c r="A4376" s="22" t="inlineStr">
        <is>
          <t>88267</t>
        </is>
      </c>
      <c r="B4376" s="23" t="inlineStr">
        <is>
          <t>ENCANADOR OU BOMBEIRO HIDRÁULICO COM ENCARGOS COMPLEMENTARES</t>
        </is>
      </c>
      <c r="C4376" s="22" t="inlineStr">
        <is>
          <t>SINAPI</t>
        </is>
      </c>
      <c r="D4376" s="22" t="inlineStr">
        <is>
          <t>H</t>
        </is>
      </c>
      <c r="E4376" s="63">
        <f>L4376*FATOR</f>
        <v/>
      </c>
      <c r="F4376" s="64">
        <f>'COMPOSICOES AUXILIARES'!G524</f>
        <v/>
      </c>
      <c r="G4376" s="64">
        <f>TRUNC(TRUNC(E4376,8)*F4376,2)</f>
        <v/>
      </c>
      <c r="L4376" t="n">
        <v>1.009</v>
      </c>
      <c r="M4376" t="n">
        <v>29.86</v>
      </c>
      <c r="N4376">
        <f>(M4376-F4376)</f>
        <v/>
      </c>
    </row>
    <row r="4377" ht="15" customHeight="1">
      <c r="A4377" s="22" t="inlineStr">
        <is>
          <t>88316</t>
        </is>
      </c>
      <c r="B4377" s="23" t="inlineStr">
        <is>
          <t>SERVENTE COM ENCARGOS COMPLEMENTARES</t>
        </is>
      </c>
      <c r="C4377" s="22" t="inlineStr">
        <is>
          <t>SINAPI</t>
        </is>
      </c>
      <c r="D4377" s="22" t="inlineStr">
        <is>
          <t>H</t>
        </is>
      </c>
      <c r="E4377" s="63">
        <f>L4377*FATOR</f>
        <v/>
      </c>
      <c r="F4377" s="64">
        <f>'COMPOSICOES AUXILIARES'!G3390</f>
        <v/>
      </c>
      <c r="G4377" s="64">
        <f>TRUNC(TRUNC(E4377,8)*F4377,2)</f>
        <v/>
      </c>
      <c r="L4377" t="n">
        <v>0.3179</v>
      </c>
      <c r="M4377" t="n">
        <v>23.56</v>
      </c>
      <c r="N4377">
        <f>(M4377-F4377)</f>
        <v/>
      </c>
    </row>
    <row r="4378" ht="18" customHeight="1">
      <c r="A4378" s="2" t="inlineStr"/>
      <c r="B4378" s="2" t="inlineStr"/>
      <c r="C4378" s="2" t="inlineStr"/>
      <c r="D4378" s="2" t="inlineStr"/>
      <c r="E4378" s="26" t="inlineStr">
        <is>
          <t>TOTAL Mão de Obra com Encargos Complementares:</t>
        </is>
      </c>
      <c r="F4378" s="56" t="n"/>
      <c r="G4378" s="65">
        <f>SUM(G4376:G4377)</f>
        <v/>
      </c>
    </row>
    <row r="4379" ht="15" customHeight="1">
      <c r="A4379" s="2" t="inlineStr"/>
      <c r="B4379" s="2" t="inlineStr"/>
      <c r="C4379" s="2" t="inlineStr"/>
      <c r="D4379" s="2" t="inlineStr"/>
      <c r="E4379" s="28" t="inlineStr">
        <is>
          <t>VALOR:</t>
        </is>
      </c>
      <c r="F4379" s="56" t="n"/>
      <c r="G4379" s="66">
        <f>SUM(G4378,G4374)</f>
        <v/>
      </c>
    </row>
    <row r="4380" ht="15" customHeight="1">
      <c r="A4380" s="2" t="inlineStr"/>
      <c r="B4380" s="2" t="inlineStr"/>
      <c r="C4380" s="2" t="inlineStr"/>
      <c r="D4380" s="2" t="inlineStr"/>
      <c r="E4380" s="28" t="inlineStr">
        <is>
          <t>VALOR BDI (23.08%):</t>
        </is>
      </c>
      <c r="F4380" s="56" t="n"/>
      <c r="G4380" s="66">
        <f>ROUNDDOWN(G4379*BDI,2)</f>
        <v/>
      </c>
    </row>
    <row r="4381" ht="15" customHeight="1">
      <c r="A4381" s="2" t="inlineStr"/>
      <c r="B4381" s="2" t="inlineStr"/>
      <c r="C4381" s="2" t="inlineStr"/>
      <c r="D4381" s="2" t="inlineStr"/>
      <c r="E4381" s="28" t="inlineStr">
        <is>
          <t>VALOR COM BDI:</t>
        </is>
      </c>
      <c r="F4381" s="56" t="n"/>
      <c r="G4381" s="66">
        <f>G4380 + G4379</f>
        <v/>
      </c>
    </row>
    <row r="4382" ht="10" customHeight="1">
      <c r="A4382" s="2" t="inlineStr"/>
      <c r="B4382" s="2" t="inlineStr"/>
      <c r="C4382" s="2" t="inlineStr"/>
      <c r="D4382" s="2" t="inlineStr"/>
      <c r="E4382" s="18" t="inlineStr"/>
    </row>
    <row r="4383" ht="20" customHeight="1">
      <c r="A4383" s="19" t="inlineStr">
        <is>
          <t>13.5.1.2. ​102256​ TAPA VISTA DE MICTÓRIO EM MÁRMORE BRANCO POLIDO, ESP = 3CM, ASSENTADO COM ARGAMASSA COLANTE AC III-E .AF_01/2021​ (M2)</t>
        </is>
      </c>
      <c r="B4383" s="55" t="n"/>
      <c r="C4383" s="55" t="n"/>
      <c r="D4383" s="55" t="n"/>
      <c r="E4383" s="55" t="n"/>
      <c r="F4383" s="55" t="n"/>
      <c r="G4383" s="56" t="n"/>
    </row>
    <row r="4384" ht="15" customHeight="1">
      <c r="A4384" s="20" t="inlineStr">
        <is>
          <t>Equipamento Custo Horário</t>
        </is>
      </c>
      <c r="B4384" s="56" t="n"/>
      <c r="C4384" s="21" t="inlineStr">
        <is>
          <t>FONTE</t>
        </is>
      </c>
      <c r="D4384" s="21" t="inlineStr">
        <is>
          <t>UNID</t>
        </is>
      </c>
      <c r="E4384" s="21" t="inlineStr">
        <is>
          <t>COEFICIENTE</t>
        </is>
      </c>
      <c r="F4384" s="21" t="inlineStr">
        <is>
          <t>PREÇO UNITÁRIO</t>
        </is>
      </c>
      <c r="G4384" s="21" t="inlineStr">
        <is>
          <t>TOTAL</t>
        </is>
      </c>
    </row>
    <row r="4385" ht="29" customHeight="1">
      <c r="A4385" s="22" t="inlineStr">
        <is>
          <t>91693</t>
        </is>
      </c>
      <c r="B4385" s="23" t="inlineStr">
        <is>
          <t>SERRA CIRCULAR DE BANCADA COM MOTOR ELÉTRICO POTÊNCIA DE 5HP, COM COIFA PARA DISCO 10" - CHI DIURNO. AF_08/2015</t>
        </is>
      </c>
      <c r="C4385" s="22" t="inlineStr">
        <is>
          <t>SINAPI</t>
        </is>
      </c>
      <c r="D4385" s="22" t="inlineStr">
        <is>
          <t>CHI</t>
        </is>
      </c>
      <c r="E4385" s="63" t="n">
        <v>2.569</v>
      </c>
      <c r="F4385" s="64">
        <f>'COMPOSICOES AUXILIARES'!G3306</f>
        <v/>
      </c>
      <c r="G4385" s="64">
        <f>TRUNC(TRUNC(E4385,8)*F4385,2)</f>
        <v/>
      </c>
      <c r="L4385" t="n">
        <v>2.569</v>
      </c>
      <c r="M4385" t="n">
        <v>35.72</v>
      </c>
      <c r="N4385">
        <f>(M4385-F4385)</f>
        <v/>
      </c>
    </row>
    <row r="4386" ht="29" customHeight="1">
      <c r="A4386" s="22" t="inlineStr">
        <is>
          <t>91692</t>
        </is>
      </c>
      <c r="B4386" s="23" t="inlineStr">
        <is>
          <t>SERRA CIRCULAR DE BANCADA COM MOTOR ELÉTRICO POTÊNCIA DE 5HP, COM COIFA PARA DISCO 10" - CHP DIURNO. AF_08/2015</t>
        </is>
      </c>
      <c r="C4386" s="22" t="inlineStr">
        <is>
          <t>SINAPI</t>
        </is>
      </c>
      <c r="D4386" s="22" t="inlineStr">
        <is>
          <t>CHP</t>
        </is>
      </c>
      <c r="E4386" s="63" t="n">
        <v>0.145</v>
      </c>
      <c r="F4386" s="64">
        <f>'COMPOSICOES AUXILIARES'!G3320</f>
        <v/>
      </c>
      <c r="G4386" s="64">
        <f>TRUNC(TRUNC(E4386,8)*F4386,2)</f>
        <v/>
      </c>
      <c r="L4386" t="n">
        <v>0.145</v>
      </c>
      <c r="M4386" t="n">
        <v>37.16</v>
      </c>
      <c r="N4386">
        <f>(M4386-F4386)</f>
        <v/>
      </c>
    </row>
    <row r="4387" ht="18" customHeight="1">
      <c r="A4387" s="2" t="inlineStr"/>
      <c r="B4387" s="2" t="inlineStr"/>
      <c r="C4387" s="2" t="inlineStr"/>
      <c r="D4387" s="2" t="inlineStr"/>
      <c r="E4387" s="26" t="inlineStr">
        <is>
          <t>TOTAL Equipamento Custo Horário:</t>
        </is>
      </c>
      <c r="F4387" s="56" t="n"/>
      <c r="G4387" s="65">
        <f>SUM(G4385:G4386)</f>
        <v/>
      </c>
    </row>
    <row r="4388" ht="15" customHeight="1">
      <c r="A4388" s="20" t="inlineStr">
        <is>
          <t>Material</t>
        </is>
      </c>
      <c r="B4388" s="56" t="n"/>
      <c r="C4388" s="21" t="inlineStr">
        <is>
          <t>FONTE</t>
        </is>
      </c>
      <c r="D4388" s="21" t="inlineStr">
        <is>
          <t>UNID</t>
        </is>
      </c>
      <c r="E4388" s="21" t="inlineStr">
        <is>
          <t>COEFICIENTE</t>
        </is>
      </c>
      <c r="F4388" s="21" t="inlineStr">
        <is>
          <t>PREÇO UNITÁRIO</t>
        </is>
      </c>
      <c r="G4388" s="21" t="inlineStr">
        <is>
          <t>TOTAL</t>
        </is>
      </c>
    </row>
    <row r="4389" ht="15" customHeight="1">
      <c r="A4389" s="22" t="inlineStr">
        <is>
          <t>00037596</t>
        </is>
      </c>
      <c r="B4389" s="23" t="inlineStr">
        <is>
          <t>ARGAMASSA COLANTE TIPO AC III E</t>
        </is>
      </c>
      <c r="C4389" s="22" t="inlineStr">
        <is>
          <t>SINAPI</t>
        </is>
      </c>
      <c r="D4389" s="22" t="inlineStr">
        <is>
          <t>KG</t>
        </is>
      </c>
      <c r="E4389" s="63" t="n">
        <v>0.97</v>
      </c>
      <c r="F4389" s="64">
        <f>ROUND(M4389*FATOR, 2)</f>
        <v/>
      </c>
      <c r="G4389" s="64">
        <f>TRUNC(TRUNC(E4389,8)*F4389,2)</f>
        <v/>
      </c>
      <c r="L4389" t="n">
        <v>0.97</v>
      </c>
      <c r="M4389" t="n">
        <v>4.12</v>
      </c>
      <c r="N4389">
        <f>(M4389-F4389)</f>
        <v/>
      </c>
    </row>
    <row r="4390" ht="21" customHeight="1">
      <c r="A4390" s="22" t="inlineStr">
        <is>
          <t>00010629</t>
        </is>
      </c>
      <c r="B4390" s="23" t="inlineStr">
        <is>
          <t>DIVISORIA EM MARMORE, COM DUAS FACES POLIDAS, BRANCO COMUM, E= *3,0* CM</t>
        </is>
      </c>
      <c r="C4390" s="22" t="inlineStr">
        <is>
          <t>SINAPI</t>
        </is>
      </c>
      <c r="D4390" s="22" t="inlineStr">
        <is>
          <t>M2</t>
        </is>
      </c>
      <c r="E4390" s="63" t="n">
        <v>1</v>
      </c>
      <c r="F4390" s="64">
        <f>ROUND(M4390*FATOR, 2)</f>
        <v/>
      </c>
      <c r="G4390" s="64">
        <f>TRUNC(TRUNC(E4390,8)*F4390,2)</f>
        <v/>
      </c>
      <c r="L4390" t="n">
        <v>1</v>
      </c>
      <c r="M4390" t="n">
        <v>814.47</v>
      </c>
      <c r="N4390">
        <f>(M4390-F4390)</f>
        <v/>
      </c>
    </row>
    <row r="4391" ht="15" customHeight="1">
      <c r="A4391" s="2" t="inlineStr"/>
      <c r="B4391" s="2" t="inlineStr"/>
      <c r="C4391" s="2" t="inlineStr"/>
      <c r="D4391" s="2" t="inlineStr"/>
      <c r="E4391" s="26" t="inlineStr">
        <is>
          <t>TOTAL Material:</t>
        </is>
      </c>
      <c r="F4391" s="56" t="n"/>
      <c r="G4391" s="65">
        <f>SUM(G4389:G4390)</f>
        <v/>
      </c>
    </row>
    <row r="4392" ht="15" customHeight="1">
      <c r="A4392" s="20" t="inlineStr">
        <is>
          <t>Mão de Obra com Encargos Complementares</t>
        </is>
      </c>
      <c r="B4392" s="56" t="n"/>
      <c r="C4392" s="21" t="inlineStr">
        <is>
          <t>FONTE</t>
        </is>
      </c>
      <c r="D4392" s="21" t="inlineStr">
        <is>
          <t>UNID</t>
        </is>
      </c>
      <c r="E4392" s="21" t="inlineStr">
        <is>
          <t>COEFICIENTE</t>
        </is>
      </c>
      <c r="F4392" s="21" t="inlineStr">
        <is>
          <t>PREÇO UNITÁRIO</t>
        </is>
      </c>
      <c r="G4392" s="21" t="inlineStr">
        <is>
          <t>TOTAL</t>
        </is>
      </c>
    </row>
    <row r="4393" ht="21" customHeight="1">
      <c r="A4393" s="22" t="inlineStr">
        <is>
          <t>88274</t>
        </is>
      </c>
      <c r="B4393" s="23" t="inlineStr">
        <is>
          <t>MARMORISTA/GRANITEIRO COM ENCARGOS COMPLEMENTARES</t>
        </is>
      </c>
      <c r="C4393" s="22" t="inlineStr">
        <is>
          <t>SINAPI</t>
        </is>
      </c>
      <c r="D4393" s="22" t="inlineStr">
        <is>
          <t>H</t>
        </is>
      </c>
      <c r="E4393" s="63">
        <f>L4393*FATOR</f>
        <v/>
      </c>
      <c r="F4393" s="64">
        <f>'COMPOSICOES AUXILIARES'!G2424</f>
        <v/>
      </c>
      <c r="G4393" s="64">
        <f>TRUNC(TRUNC(E4393,8)*F4393,2)</f>
        <v/>
      </c>
      <c r="L4393" t="n">
        <v>2.714</v>
      </c>
      <c r="M4393" t="n">
        <v>29.93</v>
      </c>
      <c r="N4393">
        <f>(M4393-F4393)</f>
        <v/>
      </c>
    </row>
    <row r="4394" ht="15" customHeight="1">
      <c r="A4394" s="22" t="inlineStr">
        <is>
          <t>88316</t>
        </is>
      </c>
      <c r="B4394" s="23" t="inlineStr">
        <is>
          <t>SERVENTE COM ENCARGOS COMPLEMENTARES</t>
        </is>
      </c>
      <c r="C4394" s="22" t="inlineStr">
        <is>
          <t>SINAPI</t>
        </is>
      </c>
      <c r="D4394" s="22" t="inlineStr">
        <is>
          <t>H</t>
        </is>
      </c>
      <c r="E4394" s="63">
        <f>L4394*FATOR</f>
        <v/>
      </c>
      <c r="F4394" s="64">
        <f>'COMPOSICOES AUXILIARES'!G3390</f>
        <v/>
      </c>
      <c r="G4394" s="64">
        <f>TRUNC(TRUNC(E4394,8)*F4394,2)</f>
        <v/>
      </c>
      <c r="L4394" t="n">
        <v>1.357</v>
      </c>
      <c r="M4394" t="n">
        <v>23.56</v>
      </c>
      <c r="N4394">
        <f>(M4394-F4394)</f>
        <v/>
      </c>
    </row>
    <row r="4395" ht="18" customHeight="1">
      <c r="A4395" s="2" t="inlineStr"/>
      <c r="B4395" s="2" t="inlineStr"/>
      <c r="C4395" s="2" t="inlineStr"/>
      <c r="D4395" s="2" t="inlineStr"/>
      <c r="E4395" s="26" t="inlineStr">
        <is>
          <t>TOTAL Mão de Obra com Encargos Complementares:</t>
        </is>
      </c>
      <c r="F4395" s="56" t="n"/>
      <c r="G4395" s="65">
        <f>SUM(G4393:G4394)</f>
        <v/>
      </c>
    </row>
    <row r="4396" ht="15" customHeight="1">
      <c r="A4396" s="2" t="inlineStr"/>
      <c r="B4396" s="2" t="inlineStr"/>
      <c r="C4396" s="2" t="inlineStr"/>
      <c r="D4396" s="2" t="inlineStr"/>
      <c r="E4396" s="28" t="inlineStr">
        <is>
          <t>VALOR:</t>
        </is>
      </c>
      <c r="F4396" s="56" t="n"/>
      <c r="G4396" s="66">
        <f>SUM(G4387,G4395,G4391)</f>
        <v/>
      </c>
    </row>
    <row r="4397" ht="15" customHeight="1">
      <c r="A4397" s="2" t="inlineStr"/>
      <c r="B4397" s="2" t="inlineStr"/>
      <c r="C4397" s="2" t="inlineStr"/>
      <c r="D4397" s="2" t="inlineStr"/>
      <c r="E4397" s="28" t="inlineStr">
        <is>
          <t>VALOR BDI (23.08%):</t>
        </is>
      </c>
      <c r="F4397" s="56" t="n"/>
      <c r="G4397" s="66">
        <f>ROUNDDOWN(G4396*BDI,2)</f>
        <v/>
      </c>
    </row>
    <row r="4398" ht="15" customHeight="1">
      <c r="A4398" s="2" t="inlineStr"/>
      <c r="B4398" s="2" t="inlineStr"/>
      <c r="C4398" s="2" t="inlineStr"/>
      <c r="D4398" s="2" t="inlineStr"/>
      <c r="E4398" s="28" t="inlineStr">
        <is>
          <t>VALOR COM BDI:</t>
        </is>
      </c>
      <c r="F4398" s="56" t="n"/>
      <c r="G4398" s="66">
        <f>G4397 + G4396</f>
        <v/>
      </c>
    </row>
    <row r="4399" ht="10" customHeight="1">
      <c r="A4399" s="2" t="inlineStr"/>
      <c r="B4399" s="2" t="inlineStr"/>
      <c r="C4399" s="2" t="inlineStr"/>
      <c r="D4399" s="2" t="inlineStr"/>
      <c r="E4399" s="18" t="inlineStr"/>
    </row>
    <row r="4400" ht="20" customHeight="1">
      <c r="A4400" s="19" t="inlineStr">
        <is>
          <t>13.6.1.1. ​100860​ CHUVEIRO ELÉTRICO COMUM CORPO PLÁSTICO, TIPO DUCHA - FORNECIMENTOE INSTALAÇÃO. AF_01/2020​ (UN)</t>
        </is>
      </c>
      <c r="B4400" s="55" t="n"/>
      <c r="C4400" s="55" t="n"/>
      <c r="D4400" s="55" t="n"/>
      <c r="E4400" s="55" t="n"/>
      <c r="F4400" s="55" t="n"/>
      <c r="G4400" s="56" t="n"/>
    </row>
    <row r="4401" ht="15" customHeight="1">
      <c r="A4401" s="20" t="inlineStr">
        <is>
          <t>Material</t>
        </is>
      </c>
      <c r="B4401" s="56" t="n"/>
      <c r="C4401" s="21" t="inlineStr">
        <is>
          <t>FONTE</t>
        </is>
      </c>
      <c r="D4401" s="21" t="inlineStr">
        <is>
          <t>UNID</t>
        </is>
      </c>
      <c r="E4401" s="21" t="inlineStr">
        <is>
          <t>COEFICIENTE</t>
        </is>
      </c>
      <c r="F4401" s="21" t="inlineStr">
        <is>
          <t>PREÇO UNITÁRIO</t>
        </is>
      </c>
      <c r="G4401" s="21" t="inlineStr">
        <is>
          <t>TOTAL</t>
        </is>
      </c>
    </row>
    <row r="4402" ht="21" customHeight="1">
      <c r="A4402" s="22" t="inlineStr">
        <is>
          <t>00001368</t>
        </is>
      </c>
      <c r="B4402" s="23" t="inlineStr">
        <is>
          <t>CHUVEIRO COMUM EM PLASTICO BRANCO, COM CANO, 3 TEMPERATURAS, 5500 W (110/220 V)</t>
        </is>
      </c>
      <c r="C4402" s="22" t="inlineStr">
        <is>
          <t>SINAPI</t>
        </is>
      </c>
      <c r="D4402" s="22" t="inlineStr">
        <is>
          <t>UN</t>
        </is>
      </c>
      <c r="E4402" s="63" t="n">
        <v>1</v>
      </c>
      <c r="F4402" s="64">
        <f>ROUND(M4402*FATOR, 2)</f>
        <v/>
      </c>
      <c r="G4402" s="64">
        <f>TRUNC(TRUNC(E4402,8)*F4402,2)</f>
        <v/>
      </c>
      <c r="L4402" t="n">
        <v>1</v>
      </c>
      <c r="M4402" t="n">
        <v>98.90000000000001</v>
      </c>
      <c r="N4402">
        <f>(M4402-F4402)</f>
        <v/>
      </c>
    </row>
    <row r="4403" ht="21" customHeight="1">
      <c r="A4403" s="22" t="inlineStr">
        <is>
          <t>00003146</t>
        </is>
      </c>
      <c r="B4403" s="23" t="inlineStr">
        <is>
          <t>FITA VEDA ROSCA, EM PTFE, ROLO DE 18 MM X 10 M (L X C)</t>
        </is>
      </c>
      <c r="C4403" s="22" t="inlineStr">
        <is>
          <t>SINAPI</t>
        </is>
      </c>
      <c r="D4403" s="22" t="inlineStr">
        <is>
          <t>UN</t>
        </is>
      </c>
      <c r="E4403" s="63" t="n">
        <v>0.021</v>
      </c>
      <c r="F4403" s="64">
        <f>ROUND(M4403*FATOR, 2)</f>
        <v/>
      </c>
      <c r="G4403" s="64">
        <f>TRUNC(TRUNC(E4403,8)*F4403,2)</f>
        <v/>
      </c>
      <c r="L4403" t="n">
        <v>0.021</v>
      </c>
      <c r="M4403" t="n">
        <v>4</v>
      </c>
      <c r="N4403">
        <f>(M4403-F4403)</f>
        <v/>
      </c>
    </row>
    <row r="4404" ht="15" customHeight="1">
      <c r="A4404" s="2" t="inlineStr"/>
      <c r="B4404" s="2" t="inlineStr"/>
      <c r="C4404" s="2" t="inlineStr"/>
      <c r="D4404" s="2" t="inlineStr"/>
      <c r="E4404" s="26" t="inlineStr">
        <is>
          <t>TOTAL Material:</t>
        </is>
      </c>
      <c r="F4404" s="56" t="n"/>
      <c r="G4404" s="65">
        <f>SUM(G4402:G4403)</f>
        <v/>
      </c>
    </row>
    <row r="4405" ht="15" customHeight="1">
      <c r="A4405" s="20" t="inlineStr">
        <is>
          <t>Mão de Obra com Encargos Complementares</t>
        </is>
      </c>
      <c r="B4405" s="56" t="n"/>
      <c r="C4405" s="21" t="inlineStr">
        <is>
          <t>FONTE</t>
        </is>
      </c>
      <c r="D4405" s="21" t="inlineStr">
        <is>
          <t>UNID</t>
        </is>
      </c>
      <c r="E4405" s="21" t="inlineStr">
        <is>
          <t>COEFICIENTE</t>
        </is>
      </c>
      <c r="F4405" s="21" t="inlineStr">
        <is>
          <t>PREÇO UNITÁRIO</t>
        </is>
      </c>
      <c r="G4405" s="21" t="inlineStr">
        <is>
          <t>TOTAL</t>
        </is>
      </c>
    </row>
    <row r="4406" ht="21" customHeight="1">
      <c r="A4406" s="22" t="inlineStr">
        <is>
          <t>88267</t>
        </is>
      </c>
      <c r="B4406" s="23" t="inlineStr">
        <is>
          <t>ENCANADOR OU BOMBEIRO HIDRÁULICO COM ENCARGOS COMPLEMENTARES</t>
        </is>
      </c>
      <c r="C4406" s="22" t="inlineStr">
        <is>
          <t>SINAPI</t>
        </is>
      </c>
      <c r="D4406" s="22" t="inlineStr">
        <is>
          <t>H</t>
        </is>
      </c>
      <c r="E4406" s="63">
        <f>L4406*FATOR</f>
        <v/>
      </c>
      <c r="F4406" s="64">
        <f>'COMPOSICOES AUXILIARES'!G524</f>
        <v/>
      </c>
      <c r="G4406" s="64">
        <f>TRUNC(TRUNC(E4406,8)*F4406,2)</f>
        <v/>
      </c>
      <c r="L4406" t="n">
        <v>0.4467</v>
      </c>
      <c r="M4406" t="n">
        <v>29.86</v>
      </c>
      <c r="N4406">
        <f>(M4406-F4406)</f>
        <v/>
      </c>
    </row>
    <row r="4407" ht="15" customHeight="1">
      <c r="A4407" s="22" t="inlineStr">
        <is>
          <t>88316</t>
        </is>
      </c>
      <c r="B4407" s="23" t="inlineStr">
        <is>
          <t>SERVENTE COM ENCARGOS COMPLEMENTARES</t>
        </is>
      </c>
      <c r="C4407" s="22" t="inlineStr">
        <is>
          <t>SINAPI</t>
        </is>
      </c>
      <c r="D4407" s="22" t="inlineStr">
        <is>
          <t>H</t>
        </is>
      </c>
      <c r="E4407" s="63">
        <f>L4407*FATOR</f>
        <v/>
      </c>
      <c r="F4407" s="64">
        <f>'COMPOSICOES AUXILIARES'!G3390</f>
        <v/>
      </c>
      <c r="G4407" s="64">
        <f>TRUNC(TRUNC(E4407,8)*F4407,2)</f>
        <v/>
      </c>
      <c r="L4407" t="n">
        <v>0.1407</v>
      </c>
      <c r="M4407" t="n">
        <v>23.56</v>
      </c>
      <c r="N4407">
        <f>(M4407-F4407)</f>
        <v/>
      </c>
    </row>
    <row r="4408" ht="18" customHeight="1">
      <c r="A4408" s="2" t="inlineStr"/>
      <c r="B4408" s="2" t="inlineStr"/>
      <c r="C4408" s="2" t="inlineStr"/>
      <c r="D4408" s="2" t="inlineStr"/>
      <c r="E4408" s="26" t="inlineStr">
        <is>
          <t>TOTAL Mão de Obra com Encargos Complementares:</t>
        </is>
      </c>
      <c r="F4408" s="56" t="n"/>
      <c r="G4408" s="65">
        <f>SUM(G4406:G4407)</f>
        <v/>
      </c>
    </row>
    <row r="4409" ht="15" customHeight="1">
      <c r="A4409" s="2" t="inlineStr"/>
      <c r="B4409" s="2" t="inlineStr"/>
      <c r="C4409" s="2" t="inlineStr"/>
      <c r="D4409" s="2" t="inlineStr"/>
      <c r="E4409" s="28" t="inlineStr">
        <is>
          <t>VALOR:</t>
        </is>
      </c>
      <c r="F4409" s="56" t="n"/>
      <c r="G4409" s="66">
        <f>SUM(G4408,G4404)</f>
        <v/>
      </c>
    </row>
    <row r="4410" ht="15" customHeight="1">
      <c r="A4410" s="2" t="inlineStr"/>
      <c r="B4410" s="2" t="inlineStr"/>
      <c r="C4410" s="2" t="inlineStr"/>
      <c r="D4410" s="2" t="inlineStr"/>
      <c r="E4410" s="28" t="inlineStr">
        <is>
          <t>VALOR BDI (23.08%):</t>
        </is>
      </c>
      <c r="F4410" s="56" t="n"/>
      <c r="G4410" s="66">
        <f>ROUNDDOWN(G4409*BDI,2)</f>
        <v/>
      </c>
    </row>
    <row r="4411" ht="15" customHeight="1">
      <c r="A4411" s="2" t="inlineStr"/>
      <c r="B4411" s="2" t="inlineStr"/>
      <c r="C4411" s="2" t="inlineStr"/>
      <c r="D4411" s="2" t="inlineStr"/>
      <c r="E4411" s="28" t="inlineStr">
        <is>
          <t>VALOR COM BDI:</t>
        </is>
      </c>
      <c r="F4411" s="56" t="n"/>
      <c r="G4411" s="66">
        <f>G4410 + G4409</f>
        <v/>
      </c>
    </row>
    <row r="4412" ht="10" customHeight="1">
      <c r="A4412" s="2" t="inlineStr"/>
      <c r="B4412" s="2" t="inlineStr"/>
      <c r="C4412" s="2" t="inlineStr"/>
      <c r="D4412" s="2" t="inlineStr"/>
      <c r="E4412" s="18" t="inlineStr"/>
    </row>
    <row r="4413" ht="20" customHeight="1">
      <c r="A4413" s="19" t="inlineStr">
        <is>
          <t>13.7.1.1. ​86877​ VÁLVULA EM METAL CROMADO 1.1/2" X1.1/2" PARA TANQUE OU LAVATÓRIO, COM OU SEM LADRÃO - FORNECIMENTO E INSTALAÇÃO. AF_01/2020​ (UN)</t>
        </is>
      </c>
      <c r="B4413" s="55" t="n"/>
      <c r="C4413" s="55" t="n"/>
      <c r="D4413" s="55" t="n"/>
      <c r="E4413" s="55" t="n"/>
      <c r="F4413" s="55" t="n"/>
      <c r="G4413" s="56" t="n"/>
    </row>
    <row r="4414" ht="15" customHeight="1">
      <c r="A4414" s="20" t="inlineStr">
        <is>
          <t>Material</t>
        </is>
      </c>
      <c r="B4414" s="56" t="n"/>
      <c r="C4414" s="21" t="inlineStr">
        <is>
          <t>FONTE</t>
        </is>
      </c>
      <c r="D4414" s="21" t="inlineStr">
        <is>
          <t>UNID</t>
        </is>
      </c>
      <c r="E4414" s="21" t="inlineStr">
        <is>
          <t>COEFICIENTE</t>
        </is>
      </c>
      <c r="F4414" s="21" t="inlineStr">
        <is>
          <t>PREÇO UNITÁRIO</t>
        </is>
      </c>
      <c r="G4414" s="21" t="inlineStr">
        <is>
          <t>TOTAL</t>
        </is>
      </c>
    </row>
    <row r="4415" ht="21" customHeight="1">
      <c r="A4415" s="22" t="inlineStr">
        <is>
          <t>00003146</t>
        </is>
      </c>
      <c r="B4415" s="23" t="inlineStr">
        <is>
          <t>FITA VEDA ROSCA, EM PTFE, ROLO DE 18 MM X 10 M (L X C)</t>
        </is>
      </c>
      <c r="C4415" s="22" t="inlineStr">
        <is>
          <t>SINAPI</t>
        </is>
      </c>
      <c r="D4415" s="22" t="inlineStr">
        <is>
          <t>UN</t>
        </is>
      </c>
      <c r="E4415" s="63" t="n">
        <v>0.048</v>
      </c>
      <c r="F4415" s="64">
        <f>ROUND(M4415*FATOR, 2)</f>
        <v/>
      </c>
      <c r="G4415" s="64">
        <f>TRUNC(TRUNC(E4415,8)*F4415,2)</f>
        <v/>
      </c>
      <c r="L4415" t="n">
        <v>0.048</v>
      </c>
      <c r="M4415" t="n">
        <v>4</v>
      </c>
      <c r="N4415">
        <f>(M4415-F4415)</f>
        <v/>
      </c>
    </row>
    <row r="4416" ht="21" customHeight="1">
      <c r="A4416" s="22" t="inlineStr">
        <is>
          <t>00037588</t>
        </is>
      </c>
      <c r="B4416" s="23" t="inlineStr">
        <is>
          <t>VALVULA DE ESCOAMENTO PARA TANQUE, EM METAL CROMADO, 1.1/2", SEM LADRAO, COM TAMPAO PLASTICO</t>
        </is>
      </c>
      <c r="C4416" s="22" t="inlineStr">
        <is>
          <t>SINAPI</t>
        </is>
      </c>
      <c r="D4416" s="22" t="inlineStr">
        <is>
          <t>UN</t>
        </is>
      </c>
      <c r="E4416" s="63" t="n">
        <v>1</v>
      </c>
      <c r="F4416" s="64">
        <f>ROUND(M4416*FATOR, 2)</f>
        <v/>
      </c>
      <c r="G4416" s="64">
        <f>TRUNC(TRUNC(E4416,8)*F4416,2)</f>
        <v/>
      </c>
      <c r="L4416" t="n">
        <v>1</v>
      </c>
      <c r="M4416" t="n">
        <v>73.89</v>
      </c>
      <c r="N4416">
        <f>(M4416-F4416)</f>
        <v/>
      </c>
    </row>
    <row r="4417" ht="15" customHeight="1">
      <c r="A4417" s="2" t="inlineStr"/>
      <c r="B4417" s="2" t="inlineStr"/>
      <c r="C4417" s="2" t="inlineStr"/>
      <c r="D4417" s="2" t="inlineStr"/>
      <c r="E4417" s="26" t="inlineStr">
        <is>
          <t>TOTAL Material:</t>
        </is>
      </c>
      <c r="F4417" s="56" t="n"/>
      <c r="G4417" s="65">
        <f>SUM(G4415:G4416)</f>
        <v/>
      </c>
    </row>
    <row r="4418" ht="15" customHeight="1">
      <c r="A4418" s="20" t="inlineStr">
        <is>
          <t>Mão de Obra com Encargos Complementares</t>
        </is>
      </c>
      <c r="B4418" s="56" t="n"/>
      <c r="C4418" s="21" t="inlineStr">
        <is>
          <t>FONTE</t>
        </is>
      </c>
      <c r="D4418" s="21" t="inlineStr">
        <is>
          <t>UNID</t>
        </is>
      </c>
      <c r="E4418" s="21" t="inlineStr">
        <is>
          <t>COEFICIENTE</t>
        </is>
      </c>
      <c r="F4418" s="21" t="inlineStr">
        <is>
          <t>PREÇO UNITÁRIO</t>
        </is>
      </c>
      <c r="G4418" s="21" t="inlineStr">
        <is>
          <t>TOTAL</t>
        </is>
      </c>
    </row>
    <row r="4419" ht="21" customHeight="1">
      <c r="A4419" s="22" t="inlineStr">
        <is>
          <t>88267</t>
        </is>
      </c>
      <c r="B4419" s="23" t="inlineStr">
        <is>
          <t>ENCANADOR OU BOMBEIRO HIDRÁULICO COM ENCARGOS COMPLEMENTARES</t>
        </is>
      </c>
      <c r="C4419" s="22" t="inlineStr">
        <is>
          <t>SINAPI</t>
        </is>
      </c>
      <c r="D4419" s="22" t="inlineStr">
        <is>
          <t>H</t>
        </is>
      </c>
      <c r="E4419" s="63">
        <f>L4419*FATOR</f>
        <v/>
      </c>
      <c r="F4419" s="64">
        <f>'COMPOSICOES AUXILIARES'!G524</f>
        <v/>
      </c>
      <c r="G4419" s="64">
        <f>TRUNC(TRUNC(E4419,8)*F4419,2)</f>
        <v/>
      </c>
      <c r="L4419" t="n">
        <v>0.174</v>
      </c>
      <c r="M4419" t="n">
        <v>29.86</v>
      </c>
      <c r="N4419">
        <f>(M4419-F4419)</f>
        <v/>
      </c>
    </row>
    <row r="4420" ht="15" customHeight="1">
      <c r="A4420" s="22" t="inlineStr">
        <is>
          <t>88316</t>
        </is>
      </c>
      <c r="B4420" s="23" t="inlineStr">
        <is>
          <t>SERVENTE COM ENCARGOS COMPLEMENTARES</t>
        </is>
      </c>
      <c r="C4420" s="22" t="inlineStr">
        <is>
          <t>SINAPI</t>
        </is>
      </c>
      <c r="D4420" s="22" t="inlineStr">
        <is>
          <t>H</t>
        </is>
      </c>
      <c r="E4420" s="63">
        <f>L4420*FATOR</f>
        <v/>
      </c>
      <c r="F4420" s="64">
        <f>'COMPOSICOES AUXILIARES'!G3390</f>
        <v/>
      </c>
      <c r="G4420" s="64">
        <f>TRUNC(TRUNC(E4420,8)*F4420,2)</f>
        <v/>
      </c>
      <c r="L4420" t="n">
        <v>0.0548</v>
      </c>
      <c r="M4420" t="n">
        <v>23.56</v>
      </c>
      <c r="N4420">
        <f>(M4420-F4420)</f>
        <v/>
      </c>
    </row>
    <row r="4421" ht="18" customHeight="1">
      <c r="A4421" s="2" t="inlineStr"/>
      <c r="B4421" s="2" t="inlineStr"/>
      <c r="C4421" s="2" t="inlineStr"/>
      <c r="D4421" s="2" t="inlineStr"/>
      <c r="E4421" s="26" t="inlineStr">
        <is>
          <t>TOTAL Mão de Obra com Encargos Complementares:</t>
        </is>
      </c>
      <c r="F4421" s="56" t="n"/>
      <c r="G4421" s="65">
        <f>SUM(G4419:G4420)</f>
        <v/>
      </c>
    </row>
    <row r="4422" ht="15" customHeight="1">
      <c r="A4422" s="2" t="inlineStr"/>
      <c r="B4422" s="2" t="inlineStr"/>
      <c r="C4422" s="2" t="inlineStr"/>
      <c r="D4422" s="2" t="inlineStr"/>
      <c r="E4422" s="28" t="inlineStr">
        <is>
          <t>VALOR:</t>
        </is>
      </c>
      <c r="F4422" s="56" t="n"/>
      <c r="G4422" s="66">
        <f>SUM(G4417,G4421)</f>
        <v/>
      </c>
    </row>
    <row r="4423" ht="15" customHeight="1">
      <c r="A4423" s="2" t="inlineStr"/>
      <c r="B4423" s="2" t="inlineStr"/>
      <c r="C4423" s="2" t="inlineStr"/>
      <c r="D4423" s="2" t="inlineStr"/>
      <c r="E4423" s="28" t="inlineStr">
        <is>
          <t>VALOR BDI (23.08%):</t>
        </is>
      </c>
      <c r="F4423" s="56" t="n"/>
      <c r="G4423" s="66">
        <f>ROUNDDOWN(G4422*BDI,2)</f>
        <v/>
      </c>
    </row>
    <row r="4424" ht="15" customHeight="1">
      <c r="A4424" s="2" t="inlineStr"/>
      <c r="B4424" s="2" t="inlineStr"/>
      <c r="C4424" s="2" t="inlineStr"/>
      <c r="D4424" s="2" t="inlineStr"/>
      <c r="E4424" s="28" t="inlineStr">
        <is>
          <t>VALOR COM BDI:</t>
        </is>
      </c>
      <c r="F4424" s="56" t="n"/>
      <c r="G4424" s="66">
        <f>G4423 + G4422</f>
        <v/>
      </c>
    </row>
    <row r="4425" ht="10" customHeight="1">
      <c r="A4425" s="2" t="inlineStr"/>
      <c r="B4425" s="2" t="inlineStr"/>
      <c r="C4425" s="2" t="inlineStr"/>
      <c r="D4425" s="2" t="inlineStr"/>
      <c r="E4425" s="18" t="inlineStr"/>
    </row>
    <row r="4426" ht="20" customHeight="1">
      <c r="A4426" s="19" t="inlineStr">
        <is>
          <t>13.7.1.2. ​86878​ VÁLVULA EM METAL CROMADO TIPO AMERICANA 3.1/2" X 1.1/2" PARA PIA - FORNECIMENTO E INSTALAÇÃO.AF_01/2020​ (UN)</t>
        </is>
      </c>
      <c r="B4426" s="55" t="n"/>
      <c r="C4426" s="55" t="n"/>
      <c r="D4426" s="55" t="n"/>
      <c r="E4426" s="55" t="n"/>
      <c r="F4426" s="55" t="n"/>
      <c r="G4426" s="56" t="n"/>
    </row>
    <row r="4427" ht="15" customHeight="1">
      <c r="A4427" s="20" t="inlineStr">
        <is>
          <t>Material</t>
        </is>
      </c>
      <c r="B4427" s="56" t="n"/>
      <c r="C4427" s="21" t="inlineStr">
        <is>
          <t>FONTE</t>
        </is>
      </c>
      <c r="D4427" s="21" t="inlineStr">
        <is>
          <t>UNID</t>
        </is>
      </c>
      <c r="E4427" s="21" t="inlineStr">
        <is>
          <t>COEFICIENTE</t>
        </is>
      </c>
      <c r="F4427" s="21" t="inlineStr">
        <is>
          <t>PREÇO UNITÁRIO</t>
        </is>
      </c>
      <c r="G4427" s="21" t="inlineStr">
        <is>
          <t>TOTAL</t>
        </is>
      </c>
    </row>
    <row r="4428" ht="21" customHeight="1">
      <c r="A4428" s="22" t="inlineStr">
        <is>
          <t>00003146</t>
        </is>
      </c>
      <c r="B4428" s="23" t="inlineStr">
        <is>
          <t>FITA VEDA ROSCA, EM PTFE, ROLO DE 18 MM X 10 M (L X C)</t>
        </is>
      </c>
      <c r="C4428" s="22" t="inlineStr">
        <is>
          <t>SINAPI</t>
        </is>
      </c>
      <c r="D4428" s="22" t="inlineStr">
        <is>
          <t>UN</t>
        </is>
      </c>
      <c r="E4428" s="63" t="n">
        <v>0.048</v>
      </c>
      <c r="F4428" s="64">
        <f>ROUND(M4428*FATOR, 2)</f>
        <v/>
      </c>
      <c r="G4428" s="64">
        <f>TRUNC(TRUNC(E4428,8)*F4428,2)</f>
        <v/>
      </c>
      <c r="L4428" t="n">
        <v>0.048</v>
      </c>
      <c r="M4428" t="n">
        <v>4</v>
      </c>
      <c r="N4428">
        <f>(M4428-F4428)</f>
        <v/>
      </c>
    </row>
    <row r="4429" ht="21" customHeight="1">
      <c r="A4429" s="22" t="inlineStr">
        <is>
          <t>00006157</t>
        </is>
      </c>
      <c r="B4429" s="23" t="inlineStr">
        <is>
          <t>VALVULA EM METAL CROMADO PARA PIA AMERICANA 3.1/2 X 1.1/2"</t>
        </is>
      </c>
      <c r="C4429" s="22" t="inlineStr">
        <is>
          <t>SINAPI</t>
        </is>
      </c>
      <c r="D4429" s="22" t="inlineStr">
        <is>
          <t>UN</t>
        </is>
      </c>
      <c r="E4429" s="63" t="n">
        <v>1</v>
      </c>
      <c r="F4429" s="64">
        <f>ROUND(M4429*FATOR, 2)</f>
        <v/>
      </c>
      <c r="G4429" s="64">
        <f>TRUNC(TRUNC(E4429,8)*F4429,2)</f>
        <v/>
      </c>
      <c r="L4429" t="n">
        <v>1</v>
      </c>
      <c r="M4429" t="n">
        <v>80.22</v>
      </c>
      <c r="N4429">
        <f>(M4429-F4429)</f>
        <v/>
      </c>
    </row>
    <row r="4430" ht="15" customHeight="1">
      <c r="A4430" s="2" t="inlineStr"/>
      <c r="B4430" s="2" t="inlineStr"/>
      <c r="C4430" s="2" t="inlineStr"/>
      <c r="D4430" s="2" t="inlineStr"/>
      <c r="E4430" s="26" t="inlineStr">
        <is>
          <t>TOTAL Material:</t>
        </is>
      </c>
      <c r="F4430" s="56" t="n"/>
      <c r="G4430" s="65">
        <f>SUM(G4428:G4429)</f>
        <v/>
      </c>
    </row>
    <row r="4431" ht="15" customHeight="1">
      <c r="A4431" s="20" t="inlineStr">
        <is>
          <t>Mão de Obra com Encargos Complementares</t>
        </is>
      </c>
      <c r="B4431" s="56" t="n"/>
      <c r="C4431" s="21" t="inlineStr">
        <is>
          <t>FONTE</t>
        </is>
      </c>
      <c r="D4431" s="21" t="inlineStr">
        <is>
          <t>UNID</t>
        </is>
      </c>
      <c r="E4431" s="21" t="inlineStr">
        <is>
          <t>COEFICIENTE</t>
        </is>
      </c>
      <c r="F4431" s="21" t="inlineStr">
        <is>
          <t>PREÇO UNITÁRIO</t>
        </is>
      </c>
      <c r="G4431" s="21" t="inlineStr">
        <is>
          <t>TOTAL</t>
        </is>
      </c>
    </row>
    <row r="4432" ht="21" customHeight="1">
      <c r="A4432" s="22" t="inlineStr">
        <is>
          <t>88267</t>
        </is>
      </c>
      <c r="B4432" s="23" t="inlineStr">
        <is>
          <t>ENCANADOR OU BOMBEIRO HIDRÁULICO COM ENCARGOS COMPLEMENTARES</t>
        </is>
      </c>
      <c r="C4432" s="22" t="inlineStr">
        <is>
          <t>SINAPI</t>
        </is>
      </c>
      <c r="D4432" s="22" t="inlineStr">
        <is>
          <t>H</t>
        </is>
      </c>
      <c r="E4432" s="63">
        <f>L4432*FATOR</f>
        <v/>
      </c>
      <c r="F4432" s="64">
        <f>'COMPOSICOES AUXILIARES'!G524</f>
        <v/>
      </c>
      <c r="G4432" s="64">
        <f>TRUNC(TRUNC(E4432,8)*F4432,2)</f>
        <v/>
      </c>
      <c r="L4432" t="n">
        <v>0.174</v>
      </c>
      <c r="M4432" t="n">
        <v>29.86</v>
      </c>
      <c r="N4432">
        <f>(M4432-F4432)</f>
        <v/>
      </c>
    </row>
    <row r="4433" ht="15" customHeight="1">
      <c r="A4433" s="22" t="inlineStr">
        <is>
          <t>88316</t>
        </is>
      </c>
      <c r="B4433" s="23" t="inlineStr">
        <is>
          <t>SERVENTE COM ENCARGOS COMPLEMENTARES</t>
        </is>
      </c>
      <c r="C4433" s="22" t="inlineStr">
        <is>
          <t>SINAPI</t>
        </is>
      </c>
      <c r="D4433" s="22" t="inlineStr">
        <is>
          <t>H</t>
        </is>
      </c>
      <c r="E4433" s="63">
        <f>L4433*FATOR</f>
        <v/>
      </c>
      <c r="F4433" s="64">
        <f>'COMPOSICOES AUXILIARES'!G3390</f>
        <v/>
      </c>
      <c r="G4433" s="64">
        <f>TRUNC(TRUNC(E4433,8)*F4433,2)</f>
        <v/>
      </c>
      <c r="L4433" t="n">
        <v>0.0548</v>
      </c>
      <c r="M4433" t="n">
        <v>23.56</v>
      </c>
      <c r="N4433">
        <f>(M4433-F4433)</f>
        <v/>
      </c>
    </row>
    <row r="4434" ht="18" customHeight="1">
      <c r="A4434" s="2" t="inlineStr"/>
      <c r="B4434" s="2" t="inlineStr"/>
      <c r="C4434" s="2" t="inlineStr"/>
      <c r="D4434" s="2" t="inlineStr"/>
      <c r="E4434" s="26" t="inlineStr">
        <is>
          <t>TOTAL Mão de Obra com Encargos Complementares:</t>
        </is>
      </c>
      <c r="F4434" s="56" t="n"/>
      <c r="G4434" s="65">
        <f>SUM(G4432:G4433)</f>
        <v/>
      </c>
    </row>
    <row r="4435" ht="15" customHeight="1">
      <c r="A4435" s="2" t="inlineStr"/>
      <c r="B4435" s="2" t="inlineStr"/>
      <c r="C4435" s="2" t="inlineStr"/>
      <c r="D4435" s="2" t="inlineStr"/>
      <c r="E4435" s="28" t="inlineStr">
        <is>
          <t>VALOR:</t>
        </is>
      </c>
      <c r="F4435" s="56" t="n"/>
      <c r="G4435" s="66">
        <f>SUM(G4434,G4430)</f>
        <v/>
      </c>
    </row>
    <row r="4436" ht="15" customHeight="1">
      <c r="A4436" s="2" t="inlineStr"/>
      <c r="B4436" s="2" t="inlineStr"/>
      <c r="C4436" s="2" t="inlineStr"/>
      <c r="D4436" s="2" t="inlineStr"/>
      <c r="E4436" s="28" t="inlineStr">
        <is>
          <t>VALOR BDI (23.08%):</t>
        </is>
      </c>
      <c r="F4436" s="56" t="n"/>
      <c r="G4436" s="66">
        <f>ROUNDDOWN(G4435*BDI,2)</f>
        <v/>
      </c>
    </row>
    <row r="4437" ht="15" customHeight="1">
      <c r="A4437" s="2" t="inlineStr"/>
      <c r="B4437" s="2" t="inlineStr"/>
      <c r="C4437" s="2" t="inlineStr"/>
      <c r="D4437" s="2" t="inlineStr"/>
      <c r="E4437" s="28" t="inlineStr">
        <is>
          <t>VALOR COM BDI:</t>
        </is>
      </c>
      <c r="F4437" s="56" t="n"/>
      <c r="G4437" s="66">
        <f>G4436 + G4435</f>
        <v/>
      </c>
    </row>
    <row r="4438" ht="10" customHeight="1">
      <c r="A4438" s="2" t="inlineStr"/>
      <c r="B4438" s="2" t="inlineStr"/>
      <c r="C4438" s="2" t="inlineStr"/>
      <c r="D4438" s="2" t="inlineStr"/>
      <c r="E4438" s="18" t="inlineStr"/>
    </row>
    <row r="4439" ht="20" customHeight="1">
      <c r="A4439" s="19" t="inlineStr">
        <is>
          <t>13.7.2.1. ​86881​ SIFÃO DO TIPO GARRAFA EM METAL CROMADO 1 X 1.1/2" - FORNECIMENTO E INSTALAÇÃO. AF_01/2020​ (UN)</t>
        </is>
      </c>
      <c r="B4439" s="55" t="n"/>
      <c r="C4439" s="55" t="n"/>
      <c r="D4439" s="55" t="n"/>
      <c r="E4439" s="55" t="n"/>
      <c r="F4439" s="55" t="n"/>
      <c r="G4439" s="56" t="n"/>
    </row>
    <row r="4440" ht="15" customHeight="1">
      <c r="A4440" s="20" t="inlineStr">
        <is>
          <t>Material</t>
        </is>
      </c>
      <c r="B4440" s="56" t="n"/>
      <c r="C4440" s="21" t="inlineStr">
        <is>
          <t>FONTE</t>
        </is>
      </c>
      <c r="D4440" s="21" t="inlineStr">
        <is>
          <t>UNID</t>
        </is>
      </c>
      <c r="E4440" s="21" t="inlineStr">
        <is>
          <t>COEFICIENTE</t>
        </is>
      </c>
      <c r="F4440" s="21" t="inlineStr">
        <is>
          <t>PREÇO UNITÁRIO</t>
        </is>
      </c>
      <c r="G4440" s="21" t="inlineStr">
        <is>
          <t>TOTAL</t>
        </is>
      </c>
    </row>
    <row r="4441" ht="21" customHeight="1">
      <c r="A4441" s="22" t="inlineStr">
        <is>
          <t>00003146</t>
        </is>
      </c>
      <c r="B4441" s="23" t="inlineStr">
        <is>
          <t>FITA VEDA ROSCA, EM PTFE, ROLO DE 18 MM X 10 M (L X C)</t>
        </is>
      </c>
      <c r="C4441" s="22" t="inlineStr">
        <is>
          <t>SINAPI</t>
        </is>
      </c>
      <c r="D4441" s="22" t="inlineStr">
        <is>
          <t>UN</t>
        </is>
      </c>
      <c r="E4441" s="63" t="n">
        <v>0.0332</v>
      </c>
      <c r="F4441" s="64">
        <f>ROUND(M4441*FATOR, 2)</f>
        <v/>
      </c>
      <c r="G4441" s="64">
        <f>TRUNC(TRUNC(E4441,8)*F4441,2)</f>
        <v/>
      </c>
      <c r="L4441" t="n">
        <v>0.0332</v>
      </c>
      <c r="M4441" t="n">
        <v>4</v>
      </c>
      <c r="N4441">
        <f>(M4441-F4441)</f>
        <v/>
      </c>
    </row>
    <row r="4442" ht="21" customHeight="1">
      <c r="A4442" s="22" t="inlineStr">
        <is>
          <t>00006136</t>
        </is>
      </c>
      <c r="B4442" s="23" t="inlineStr">
        <is>
          <t>SIFAO EM METAL CROMADO PARA PIA OU LAVATORIO, 1 X 1.1/2"</t>
        </is>
      </c>
      <c r="C4442" s="22" t="inlineStr">
        <is>
          <t>SINAPI</t>
        </is>
      </c>
      <c r="D4442" s="22" t="inlineStr">
        <is>
          <t>UN</t>
        </is>
      </c>
      <c r="E4442" s="63" t="n">
        <v>1</v>
      </c>
      <c r="F4442" s="64">
        <f>ROUND(M4442*FATOR, 2)</f>
        <v/>
      </c>
      <c r="G4442" s="64">
        <f>TRUNC(TRUNC(E4442,8)*F4442,2)</f>
        <v/>
      </c>
      <c r="L4442" t="n">
        <v>1</v>
      </c>
      <c r="M4442" t="n">
        <v>234.9</v>
      </c>
      <c r="N4442">
        <f>(M4442-F4442)</f>
        <v/>
      </c>
    </row>
    <row r="4443" ht="15" customHeight="1">
      <c r="A4443" s="2" t="inlineStr"/>
      <c r="B4443" s="2" t="inlineStr"/>
      <c r="C4443" s="2" t="inlineStr"/>
      <c r="D4443" s="2" t="inlineStr"/>
      <c r="E4443" s="26" t="inlineStr">
        <is>
          <t>TOTAL Material:</t>
        </is>
      </c>
      <c r="F4443" s="56" t="n"/>
      <c r="G4443" s="65">
        <f>SUM(G4441:G4442)</f>
        <v/>
      </c>
    </row>
    <row r="4444" ht="15" customHeight="1">
      <c r="A4444" s="20" t="inlineStr">
        <is>
          <t>Mão de Obra com Encargos Complementares</t>
        </is>
      </c>
      <c r="B4444" s="56" t="n"/>
      <c r="C4444" s="21" t="inlineStr">
        <is>
          <t>FONTE</t>
        </is>
      </c>
      <c r="D4444" s="21" t="inlineStr">
        <is>
          <t>UNID</t>
        </is>
      </c>
      <c r="E4444" s="21" t="inlineStr">
        <is>
          <t>COEFICIENTE</t>
        </is>
      </c>
      <c r="F4444" s="21" t="inlineStr">
        <is>
          <t>PREÇO UNITÁRIO</t>
        </is>
      </c>
      <c r="G4444" s="21" t="inlineStr">
        <is>
          <t>TOTAL</t>
        </is>
      </c>
    </row>
    <row r="4445" ht="21" customHeight="1">
      <c r="A4445" s="22" t="inlineStr">
        <is>
          <t>88267</t>
        </is>
      </c>
      <c r="B4445" s="23" t="inlineStr">
        <is>
          <t>ENCANADOR OU BOMBEIRO HIDRÁULICO COM ENCARGOS COMPLEMENTARES</t>
        </is>
      </c>
      <c r="C4445" s="22" t="inlineStr">
        <is>
          <t>SINAPI</t>
        </is>
      </c>
      <c r="D4445" s="22" t="inlineStr">
        <is>
          <t>H</t>
        </is>
      </c>
      <c r="E4445" s="63">
        <f>L4445*FATOR</f>
        <v/>
      </c>
      <c r="F4445" s="64">
        <f>'COMPOSICOES AUXILIARES'!G524</f>
        <v/>
      </c>
      <c r="G4445" s="64">
        <f>TRUNC(TRUNC(E4445,8)*F4445,2)</f>
        <v/>
      </c>
      <c r="L4445" t="n">
        <v>0.2734</v>
      </c>
      <c r="M4445" t="n">
        <v>29.86</v>
      </c>
      <c r="N4445">
        <f>(M4445-F4445)</f>
        <v/>
      </c>
    </row>
    <row r="4446" ht="15" customHeight="1">
      <c r="A4446" s="22" t="inlineStr">
        <is>
          <t>88316</t>
        </is>
      </c>
      <c r="B4446" s="23" t="inlineStr">
        <is>
          <t>SERVENTE COM ENCARGOS COMPLEMENTARES</t>
        </is>
      </c>
      <c r="C4446" s="22" t="inlineStr">
        <is>
          <t>SINAPI</t>
        </is>
      </c>
      <c r="D4446" s="22" t="inlineStr">
        <is>
          <t>H</t>
        </is>
      </c>
      <c r="E4446" s="63">
        <f>L4446*FATOR</f>
        <v/>
      </c>
      <c r="F4446" s="64">
        <f>'COMPOSICOES AUXILIARES'!G3390</f>
        <v/>
      </c>
      <c r="G4446" s="64">
        <f>TRUNC(TRUNC(E4446,8)*F4446,2)</f>
        <v/>
      </c>
      <c r="L4446" t="n">
        <v>0.0862</v>
      </c>
      <c r="M4446" t="n">
        <v>23.56</v>
      </c>
      <c r="N4446">
        <f>(M4446-F4446)</f>
        <v/>
      </c>
    </row>
    <row r="4447" ht="18" customHeight="1">
      <c r="A4447" s="2" t="inlineStr"/>
      <c r="B4447" s="2" t="inlineStr"/>
      <c r="C4447" s="2" t="inlineStr"/>
      <c r="D4447" s="2" t="inlineStr"/>
      <c r="E4447" s="26" t="inlineStr">
        <is>
          <t>TOTAL Mão de Obra com Encargos Complementares:</t>
        </is>
      </c>
      <c r="F4447" s="56" t="n"/>
      <c r="G4447" s="65">
        <f>SUM(G4445:G4446)</f>
        <v/>
      </c>
    </row>
    <row r="4448" ht="15" customHeight="1">
      <c r="A4448" s="2" t="inlineStr"/>
      <c r="B4448" s="2" t="inlineStr"/>
      <c r="C4448" s="2" t="inlineStr"/>
      <c r="D4448" s="2" t="inlineStr"/>
      <c r="E4448" s="28" t="inlineStr">
        <is>
          <t>VALOR:</t>
        </is>
      </c>
      <c r="F4448" s="56" t="n"/>
      <c r="G4448" s="66">
        <f>SUM(G4443,G4447)</f>
        <v/>
      </c>
    </row>
    <row r="4449" ht="15" customHeight="1">
      <c r="A4449" s="2" t="inlineStr"/>
      <c r="B4449" s="2" t="inlineStr"/>
      <c r="C4449" s="2" t="inlineStr"/>
      <c r="D4449" s="2" t="inlineStr"/>
      <c r="E4449" s="28" t="inlineStr">
        <is>
          <t>VALOR BDI (23.08%):</t>
        </is>
      </c>
      <c r="F4449" s="56" t="n"/>
      <c r="G4449" s="66">
        <f>ROUNDDOWN(G4448*BDI,2)</f>
        <v/>
      </c>
    </row>
    <row r="4450" ht="15" customHeight="1">
      <c r="A4450" s="2" t="inlineStr"/>
      <c r="B4450" s="2" t="inlineStr"/>
      <c r="C4450" s="2" t="inlineStr"/>
      <c r="D4450" s="2" t="inlineStr"/>
      <c r="E4450" s="28" t="inlineStr">
        <is>
          <t>VALOR COM BDI:</t>
        </is>
      </c>
      <c r="F4450" s="56" t="n"/>
      <c r="G4450" s="66">
        <f>G4449 + G4448</f>
        <v/>
      </c>
    </row>
    <row r="4451" ht="10" customHeight="1">
      <c r="A4451" s="2" t="inlineStr"/>
      <c r="B4451" s="2" t="inlineStr"/>
      <c r="C4451" s="2" t="inlineStr"/>
      <c r="D4451" s="2" t="inlineStr"/>
      <c r="E4451" s="18" t="inlineStr"/>
    </row>
    <row r="4452" ht="20" customHeight="1">
      <c r="A4452" s="19" t="inlineStr">
        <is>
          <t>13.8.1.1. ​100868​ BARRA DE APOIO RETA, EM ACO INOX POLIDO, COMPRIMENTO 80 CM, FIXADA NA PAREDE - FORNECIMENTO E INSTALAÇÃO. AF_01/2020​ (UN)</t>
        </is>
      </c>
      <c r="B4452" s="55" t="n"/>
      <c r="C4452" s="55" t="n"/>
      <c r="D4452" s="55" t="n"/>
      <c r="E4452" s="55" t="n"/>
      <c r="F4452" s="55" t="n"/>
      <c r="G4452" s="56" t="n"/>
    </row>
    <row r="4453" ht="15" customHeight="1">
      <c r="A4453" s="20" t="inlineStr">
        <is>
          <t>Material</t>
        </is>
      </c>
      <c r="B4453" s="56" t="n"/>
      <c r="C4453" s="21" t="inlineStr">
        <is>
          <t>FONTE</t>
        </is>
      </c>
      <c r="D4453" s="21" t="inlineStr">
        <is>
          <t>UNID</t>
        </is>
      </c>
      <c r="E4453" s="21" t="inlineStr">
        <is>
          <t>COEFICIENTE</t>
        </is>
      </c>
      <c r="F4453" s="21" t="inlineStr">
        <is>
          <t>PREÇO UNITÁRIO</t>
        </is>
      </c>
      <c r="G4453" s="21" t="inlineStr">
        <is>
          <t>TOTAL</t>
        </is>
      </c>
    </row>
    <row r="4454" ht="21" customHeight="1">
      <c r="A4454" s="22" t="inlineStr">
        <is>
          <t>00036081</t>
        </is>
      </c>
      <c r="B4454" s="23" t="inlineStr">
        <is>
          <t>BARRA DE APOIO RETA, EM ACO INOX POLIDO, COMPRIMENTO 80CM, DIAMETRO MINIMO 3 CM</t>
        </is>
      </c>
      <c r="C4454" s="22" t="inlineStr">
        <is>
          <t>SINAPI</t>
        </is>
      </c>
      <c r="D4454" s="22" t="inlineStr">
        <is>
          <t>UN</t>
        </is>
      </c>
      <c r="E4454" s="63" t="n">
        <v>1</v>
      </c>
      <c r="F4454" s="64">
        <f>ROUND(M4454*FATOR, 2)</f>
        <v/>
      </c>
      <c r="G4454" s="64">
        <f>TRUNC(TRUNC(E4454,8)*F4454,2)</f>
        <v/>
      </c>
      <c r="L4454" t="n">
        <v>1</v>
      </c>
      <c r="M4454" t="n">
        <v>338</v>
      </c>
      <c r="N4454">
        <f>(M4454-F4454)</f>
        <v/>
      </c>
    </row>
    <row r="4455" ht="29" customHeight="1">
      <c r="A4455" s="22" t="inlineStr">
        <is>
          <t>00004351</t>
        </is>
      </c>
      <c r="B4455" s="23" t="inlineStr">
        <is>
          <t>PARAFUSO NIQUELADO 3 1/2" COM ACABAMENTO CROMADO PARA FIXAR PECA SANITARIA, INCLUI PORCA CEGA, ARRUELA E BUCHA DE NYLON TAMANHO S-8</t>
        </is>
      </c>
      <c r="C4455" s="22" t="inlineStr">
        <is>
          <t>SINAPI</t>
        </is>
      </c>
      <c r="D4455" s="22" t="inlineStr">
        <is>
          <t>UN</t>
        </is>
      </c>
      <c r="E4455" s="63" t="n">
        <v>6</v>
      </c>
      <c r="F4455" s="64">
        <f>ROUND(M4455*FATOR, 2)</f>
        <v/>
      </c>
      <c r="G4455" s="64">
        <f>TRUNC(TRUNC(E4455,8)*F4455,2)</f>
        <v/>
      </c>
      <c r="L4455" t="n">
        <v>6</v>
      </c>
      <c r="M4455" t="n">
        <v>23.11</v>
      </c>
      <c r="N4455">
        <f>(M4455-F4455)</f>
        <v/>
      </c>
    </row>
    <row r="4456" ht="15" customHeight="1">
      <c r="A4456" s="2" t="inlineStr"/>
      <c r="B4456" s="2" t="inlineStr"/>
      <c r="C4456" s="2" t="inlineStr"/>
      <c r="D4456" s="2" t="inlineStr"/>
      <c r="E4456" s="26" t="inlineStr">
        <is>
          <t>TOTAL Material:</t>
        </is>
      </c>
      <c r="F4456" s="56" t="n"/>
      <c r="G4456" s="65">
        <f>SUM(G4454:G4455)</f>
        <v/>
      </c>
    </row>
    <row r="4457" ht="15" customHeight="1">
      <c r="A4457" s="20" t="inlineStr">
        <is>
          <t>Mão de Obra com Encargos Complementares</t>
        </is>
      </c>
      <c r="B4457" s="56" t="n"/>
      <c r="C4457" s="21" t="inlineStr">
        <is>
          <t>FONTE</t>
        </is>
      </c>
      <c r="D4457" s="21" t="inlineStr">
        <is>
          <t>UNID</t>
        </is>
      </c>
      <c r="E4457" s="21" t="inlineStr">
        <is>
          <t>COEFICIENTE</t>
        </is>
      </c>
      <c r="F4457" s="21" t="inlineStr">
        <is>
          <t>PREÇO UNITÁRIO</t>
        </is>
      </c>
      <c r="G4457" s="21" t="inlineStr">
        <is>
          <t>TOTAL</t>
        </is>
      </c>
    </row>
    <row r="4458" ht="21" customHeight="1">
      <c r="A4458" s="22" t="inlineStr">
        <is>
          <t>88267</t>
        </is>
      </c>
      <c r="B4458" s="23" t="inlineStr">
        <is>
          <t>ENCANADOR OU BOMBEIRO HIDRÁULICO COM ENCARGOS COMPLEMENTARES</t>
        </is>
      </c>
      <c r="C4458" s="22" t="inlineStr">
        <is>
          <t>SINAPI</t>
        </is>
      </c>
      <c r="D4458" s="22" t="inlineStr">
        <is>
          <t>H</t>
        </is>
      </c>
      <c r="E4458" s="63">
        <f>L4458*FATOR</f>
        <v/>
      </c>
      <c r="F4458" s="64">
        <f>'COMPOSICOES AUXILIARES'!G524</f>
        <v/>
      </c>
      <c r="G4458" s="64">
        <f>TRUNC(TRUNC(E4458,8)*F4458,2)</f>
        <v/>
      </c>
      <c r="L4458" t="n">
        <v>0.9485</v>
      </c>
      <c r="M4458" t="n">
        <v>29.86</v>
      </c>
      <c r="N4458">
        <f>(M4458-F4458)</f>
        <v/>
      </c>
    </row>
    <row r="4459" ht="15" customHeight="1">
      <c r="A4459" s="22" t="inlineStr">
        <is>
          <t>88316</t>
        </is>
      </c>
      <c r="B4459" s="23" t="inlineStr">
        <is>
          <t>SERVENTE COM ENCARGOS COMPLEMENTARES</t>
        </is>
      </c>
      <c r="C4459" s="22" t="inlineStr">
        <is>
          <t>SINAPI</t>
        </is>
      </c>
      <c r="D4459" s="22" t="inlineStr">
        <is>
          <t>H</t>
        </is>
      </c>
      <c r="E4459" s="63">
        <f>L4459*FATOR</f>
        <v/>
      </c>
      <c r="F4459" s="64">
        <f>'COMPOSICOES AUXILIARES'!G3390</f>
        <v/>
      </c>
      <c r="G4459" s="64">
        <f>TRUNC(TRUNC(E4459,8)*F4459,2)</f>
        <v/>
      </c>
      <c r="L4459" t="n">
        <v>0.2988</v>
      </c>
      <c r="M4459" t="n">
        <v>23.56</v>
      </c>
      <c r="N4459">
        <f>(M4459-F4459)</f>
        <v/>
      </c>
    </row>
    <row r="4460" ht="18" customHeight="1">
      <c r="A4460" s="2" t="inlineStr"/>
      <c r="B4460" s="2" t="inlineStr"/>
      <c r="C4460" s="2" t="inlineStr"/>
      <c r="D4460" s="2" t="inlineStr"/>
      <c r="E4460" s="26" t="inlineStr">
        <is>
          <t>TOTAL Mão de Obra com Encargos Complementares:</t>
        </is>
      </c>
      <c r="F4460" s="56" t="n"/>
      <c r="G4460" s="65">
        <f>SUM(G4458:G4459)</f>
        <v/>
      </c>
    </row>
    <row r="4461" ht="15" customHeight="1">
      <c r="A4461" s="2" t="inlineStr"/>
      <c r="B4461" s="2" t="inlineStr"/>
      <c r="C4461" s="2" t="inlineStr"/>
      <c r="D4461" s="2" t="inlineStr"/>
      <c r="E4461" s="28" t="inlineStr">
        <is>
          <t>VALOR:</t>
        </is>
      </c>
      <c r="F4461" s="56" t="n"/>
      <c r="G4461" s="66">
        <f>SUM(G4456,G4460)</f>
        <v/>
      </c>
    </row>
    <row r="4462" ht="15" customHeight="1">
      <c r="A4462" s="2" t="inlineStr"/>
      <c r="B4462" s="2" t="inlineStr"/>
      <c r="C4462" s="2" t="inlineStr"/>
      <c r="D4462" s="2" t="inlineStr"/>
      <c r="E4462" s="28" t="inlineStr">
        <is>
          <t>VALOR BDI (23.08%):</t>
        </is>
      </c>
      <c r="F4462" s="56" t="n"/>
      <c r="G4462" s="66">
        <f>ROUNDDOWN(G4461*BDI,2)</f>
        <v/>
      </c>
    </row>
    <row r="4463" ht="15" customHeight="1">
      <c r="A4463" s="2" t="inlineStr"/>
      <c r="B4463" s="2" t="inlineStr"/>
      <c r="C4463" s="2" t="inlineStr"/>
      <c r="D4463" s="2" t="inlineStr"/>
      <c r="E4463" s="28" t="inlineStr">
        <is>
          <t>VALOR COM BDI:</t>
        </is>
      </c>
      <c r="F4463" s="56" t="n"/>
      <c r="G4463" s="66">
        <f>G4462 + G4461</f>
        <v/>
      </c>
    </row>
    <row r="4464" ht="10" customHeight="1">
      <c r="A4464" s="2" t="inlineStr"/>
      <c r="B4464" s="2" t="inlineStr"/>
      <c r="C4464" s="2" t="inlineStr"/>
      <c r="D4464" s="2" t="inlineStr"/>
      <c r="E4464" s="18" t="inlineStr"/>
    </row>
    <row r="4465" ht="20" customHeight="1">
      <c r="A4465" s="19" t="inlineStr">
        <is>
          <t>13.8.2.1. ​100875​ BANCO ARTICULADO, EM ACO INOX, PARA PCD, FIXADO NA PAREDE - FORNECIMENTO E INSTALAÇÃO. AF_01/2020​ (UN)</t>
        </is>
      </c>
      <c r="B4465" s="55" t="n"/>
      <c r="C4465" s="55" t="n"/>
      <c r="D4465" s="55" t="n"/>
      <c r="E4465" s="55" t="n"/>
      <c r="F4465" s="55" t="n"/>
      <c r="G4465" s="56" t="n"/>
    </row>
    <row r="4466" ht="15" customHeight="1">
      <c r="A4466" s="20" t="inlineStr">
        <is>
          <t>Material</t>
        </is>
      </c>
      <c r="B4466" s="56" t="n"/>
      <c r="C4466" s="21" t="inlineStr">
        <is>
          <t>FONTE</t>
        </is>
      </c>
      <c r="D4466" s="21" t="inlineStr">
        <is>
          <t>UNID</t>
        </is>
      </c>
      <c r="E4466" s="21" t="inlineStr">
        <is>
          <t>COEFICIENTE</t>
        </is>
      </c>
      <c r="F4466" s="21" t="inlineStr">
        <is>
          <t>PREÇO UNITÁRIO</t>
        </is>
      </c>
      <c r="G4466" s="21" t="inlineStr">
        <is>
          <t>TOTAL</t>
        </is>
      </c>
    </row>
    <row r="4467" ht="21" customHeight="1">
      <c r="A4467" s="22" t="inlineStr">
        <is>
          <t>00036215</t>
        </is>
      </c>
      <c r="B4467" s="23" t="inlineStr">
        <is>
          <t>BANCO ARTICULADO PARA BANHO, EM ACO INOX POLIDO, 70* CM X 45* CM</t>
        </is>
      </c>
      <c r="C4467" s="22" t="inlineStr">
        <is>
          <t>SINAPI</t>
        </is>
      </c>
      <c r="D4467" s="22" t="inlineStr">
        <is>
          <t>UN</t>
        </is>
      </c>
      <c r="E4467" s="63" t="n">
        <v>1</v>
      </c>
      <c r="F4467" s="64">
        <f>ROUND(M4467*FATOR, 2)</f>
        <v/>
      </c>
      <c r="G4467" s="64">
        <f>TRUNC(TRUNC(E4467,8)*F4467,2)</f>
        <v/>
      </c>
      <c r="L4467" t="n">
        <v>1</v>
      </c>
      <c r="M4467" t="n">
        <v>1463.69</v>
      </c>
      <c r="N4467">
        <f>(M4467-F4467)</f>
        <v/>
      </c>
    </row>
    <row r="4468" ht="29" customHeight="1">
      <c r="A4468" s="22" t="inlineStr">
        <is>
          <t>00004351</t>
        </is>
      </c>
      <c r="B4468" s="23" t="inlineStr">
        <is>
          <t>PARAFUSO NIQUELADO 3 1/2" COM ACABAMENTO CROMADO PARA FIXAR PECA SANITARIA, INCLUI PORCA CEGA, ARRUELA E BUCHA DE NYLON TAMANHO S-8</t>
        </is>
      </c>
      <c r="C4468" s="22" t="inlineStr">
        <is>
          <t>SINAPI</t>
        </is>
      </c>
      <c r="D4468" s="22" t="inlineStr">
        <is>
          <t>UN</t>
        </is>
      </c>
      <c r="E4468" s="63" t="n">
        <v>8</v>
      </c>
      <c r="F4468" s="64">
        <f>ROUND(M4468*FATOR, 2)</f>
        <v/>
      </c>
      <c r="G4468" s="64">
        <f>TRUNC(TRUNC(E4468,8)*F4468,2)</f>
        <v/>
      </c>
      <c r="L4468" t="n">
        <v>8</v>
      </c>
      <c r="M4468" t="n">
        <v>23.11</v>
      </c>
      <c r="N4468">
        <f>(M4468-F4468)</f>
        <v/>
      </c>
    </row>
    <row r="4469" ht="15" customHeight="1">
      <c r="A4469" s="2" t="inlineStr"/>
      <c r="B4469" s="2" t="inlineStr"/>
      <c r="C4469" s="2" t="inlineStr"/>
      <c r="D4469" s="2" t="inlineStr"/>
      <c r="E4469" s="26" t="inlineStr">
        <is>
          <t>TOTAL Material:</t>
        </is>
      </c>
      <c r="F4469" s="56" t="n"/>
      <c r="G4469" s="65">
        <f>SUM(G4467:G4468)</f>
        <v/>
      </c>
    </row>
    <row r="4470" ht="15" customHeight="1">
      <c r="A4470" s="20" t="inlineStr">
        <is>
          <t>Mão de Obra com Encargos Complementares</t>
        </is>
      </c>
      <c r="B4470" s="56" t="n"/>
      <c r="C4470" s="21" t="inlineStr">
        <is>
          <t>FONTE</t>
        </is>
      </c>
      <c r="D4470" s="21" t="inlineStr">
        <is>
          <t>UNID</t>
        </is>
      </c>
      <c r="E4470" s="21" t="inlineStr">
        <is>
          <t>COEFICIENTE</t>
        </is>
      </c>
      <c r="F4470" s="21" t="inlineStr">
        <is>
          <t>PREÇO UNITÁRIO</t>
        </is>
      </c>
      <c r="G4470" s="21" t="inlineStr">
        <is>
          <t>TOTAL</t>
        </is>
      </c>
    </row>
    <row r="4471" ht="21" customHeight="1">
      <c r="A4471" s="22" t="inlineStr">
        <is>
          <t>88267</t>
        </is>
      </c>
      <c r="B4471" s="23" t="inlineStr">
        <is>
          <t>ENCANADOR OU BOMBEIRO HIDRÁULICO COM ENCARGOS COMPLEMENTARES</t>
        </is>
      </c>
      <c r="C4471" s="22" t="inlineStr">
        <is>
          <t>SINAPI</t>
        </is>
      </c>
      <c r="D4471" s="22" t="inlineStr">
        <is>
          <t>H</t>
        </is>
      </c>
      <c r="E4471" s="63">
        <f>L4471*FATOR</f>
        <v/>
      </c>
      <c r="F4471" s="64">
        <f>'COMPOSICOES AUXILIARES'!G524</f>
        <v/>
      </c>
      <c r="G4471" s="64">
        <f>TRUNC(TRUNC(E4471,8)*F4471,2)</f>
        <v/>
      </c>
      <c r="L4471" t="n">
        <v>1.2647</v>
      </c>
      <c r="M4471" t="n">
        <v>29.86</v>
      </c>
      <c r="N4471">
        <f>(M4471-F4471)</f>
        <v/>
      </c>
    </row>
    <row r="4472" ht="15" customHeight="1">
      <c r="A4472" s="22" t="inlineStr">
        <is>
          <t>88316</t>
        </is>
      </c>
      <c r="B4472" s="23" t="inlineStr">
        <is>
          <t>SERVENTE COM ENCARGOS COMPLEMENTARES</t>
        </is>
      </c>
      <c r="C4472" s="22" t="inlineStr">
        <is>
          <t>SINAPI</t>
        </is>
      </c>
      <c r="D4472" s="22" t="inlineStr">
        <is>
          <t>H</t>
        </is>
      </c>
      <c r="E4472" s="63">
        <f>L4472*FATOR</f>
        <v/>
      </c>
      <c r="F4472" s="64">
        <f>'COMPOSICOES AUXILIARES'!G3390</f>
        <v/>
      </c>
      <c r="G4472" s="64">
        <f>TRUNC(TRUNC(E4472,8)*F4472,2)</f>
        <v/>
      </c>
      <c r="L4472" t="n">
        <v>0.3985</v>
      </c>
      <c r="M4472" t="n">
        <v>23.56</v>
      </c>
      <c r="N4472">
        <f>(M4472-F4472)</f>
        <v/>
      </c>
    </row>
    <row r="4473" ht="18" customHeight="1">
      <c r="A4473" s="2" t="inlineStr"/>
      <c r="B4473" s="2" t="inlineStr"/>
      <c r="C4473" s="2" t="inlineStr"/>
      <c r="D4473" s="2" t="inlineStr"/>
      <c r="E4473" s="26" t="inlineStr">
        <is>
          <t>TOTAL Mão de Obra com Encargos Complementares:</t>
        </is>
      </c>
      <c r="F4473" s="56" t="n"/>
      <c r="G4473" s="65">
        <f>SUM(G4471:G4472)</f>
        <v/>
      </c>
    </row>
    <row r="4474" ht="15" customHeight="1">
      <c r="A4474" s="2" t="inlineStr"/>
      <c r="B4474" s="2" t="inlineStr"/>
      <c r="C4474" s="2" t="inlineStr"/>
      <c r="D4474" s="2" t="inlineStr"/>
      <c r="E4474" s="28" t="inlineStr">
        <is>
          <t>VALOR:</t>
        </is>
      </c>
      <c r="F4474" s="56" t="n"/>
      <c r="G4474" s="66">
        <f>SUM(G4473,G4469)</f>
        <v/>
      </c>
    </row>
    <row r="4475" ht="15" customHeight="1">
      <c r="A4475" s="2" t="inlineStr"/>
      <c r="B4475" s="2" t="inlineStr"/>
      <c r="C4475" s="2" t="inlineStr"/>
      <c r="D4475" s="2" t="inlineStr"/>
      <c r="E4475" s="28" t="inlineStr">
        <is>
          <t>VALOR BDI (23.08%):</t>
        </is>
      </c>
      <c r="F4475" s="56" t="n"/>
      <c r="G4475" s="66">
        <f>ROUNDDOWN(G4474*BDI,2)</f>
        <v/>
      </c>
    </row>
    <row r="4476" ht="15" customHeight="1">
      <c r="A4476" s="2" t="inlineStr"/>
      <c r="B4476" s="2" t="inlineStr"/>
      <c r="C4476" s="2" t="inlineStr"/>
      <c r="D4476" s="2" t="inlineStr"/>
      <c r="E4476" s="28" t="inlineStr">
        <is>
          <t>VALOR COM BDI:</t>
        </is>
      </c>
      <c r="F4476" s="56" t="n"/>
      <c r="G4476" s="66">
        <f>G4475 + G4474</f>
        <v/>
      </c>
    </row>
    <row r="4477" ht="10" customHeight="1">
      <c r="A4477" s="2" t="inlineStr"/>
      <c r="B4477" s="2" t="inlineStr"/>
      <c r="C4477" s="2" t="inlineStr"/>
      <c r="D4477" s="2" t="inlineStr"/>
      <c r="E4477" s="18" t="inlineStr"/>
    </row>
    <row r="4478" ht="20" customHeight="1">
      <c r="A4478" s="19" t="inlineStr">
        <is>
          <t>13.9.1.1. ​ED-48180​ DISTRIBUIDOR/DISPENSER PARA PORTA PAPEL TOALHA PARA INTERFOLHAS DE DUAS (2) OU TRÊS (3) DOBRAS, EM AÇO INOX, INCLUSIVE ACESSÓRIOS PARA FIXAÇÃO​ (un)</t>
        </is>
      </c>
      <c r="B4478" s="55" t="n"/>
      <c r="C4478" s="55" t="n"/>
      <c r="D4478" s="55" t="n"/>
      <c r="E4478" s="55" t="n"/>
      <c r="F4478" s="55" t="n"/>
      <c r="G4478" s="56" t="n"/>
    </row>
    <row r="4479" ht="20" customHeight="1">
      <c r="A4479" s="32" t="inlineStr">
        <is>
          <t>MATERIAIS</t>
        </is>
      </c>
      <c r="B4479" s="55" t="n"/>
      <c r="C4479" s="56" t="n"/>
      <c r="D4479" s="4" t="inlineStr">
        <is>
          <t>UNID</t>
        </is>
      </c>
      <c r="E4479" s="4" t="inlineStr">
        <is>
          <t>CONSUMO</t>
        </is>
      </c>
      <c r="F4479" s="4" t="inlineStr">
        <is>
          <t>VALOR UNITÁRIO</t>
        </is>
      </c>
      <c r="G4479" s="4" t="inlineStr">
        <is>
          <t>CUSTO UNITÁRIO</t>
        </is>
      </c>
    </row>
    <row r="4480" ht="16" customHeight="1">
      <c r="A4480" s="8" t="inlineStr">
        <is>
          <t>MATED-12346</t>
        </is>
      </c>
      <c r="B4480" s="7" t="inlineStr">
        <is>
          <t>PORTA PAPEL-TOALHA (INTERFOLHAS: 2 OU 3 DOBRAS|MATERIAL: AÇO INOX|ACESSÓRIOS: INCLUSO)</t>
        </is>
      </c>
      <c r="C4480" s="56" t="n"/>
      <c r="D4480" s="8" t="inlineStr">
        <is>
          <t>un</t>
        </is>
      </c>
      <c r="E4480" s="69" t="n">
        <v>1</v>
      </c>
      <c r="F4480" s="70" t="n">
        <v>124.272</v>
      </c>
      <c r="G4480" s="70">
        <f>ROUND(ROUND(E4480,7)*F4480,4)</f>
        <v/>
      </c>
      <c r="L4480" t="n">
        <v>1</v>
      </c>
      <c r="M4480" t="n">
        <v>124.272</v>
      </c>
      <c r="N4480">
        <f>(M4480-F4480)</f>
        <v/>
      </c>
    </row>
    <row r="4481" ht="15" customHeight="1">
      <c r="A4481" s="1" t="inlineStr"/>
      <c r="B4481" s="1" t="inlineStr"/>
      <c r="C4481" s="1" t="inlineStr"/>
      <c r="D4481" s="1" t="inlineStr"/>
      <c r="E4481" s="35" t="inlineStr">
        <is>
          <t>TOTAL MATERIAIS:</t>
        </is>
      </c>
      <c r="F4481" s="56" t="n"/>
      <c r="G4481" s="71">
        <f>SUM(G4480:G4480)</f>
        <v/>
      </c>
    </row>
    <row r="4482" ht="20" customHeight="1">
      <c r="A4482" s="32" t="inlineStr">
        <is>
          <t>SERVIÇOS</t>
        </is>
      </c>
      <c r="B4482" s="55" t="n"/>
      <c r="C4482" s="56" t="n"/>
      <c r="D4482" s="4" t="inlineStr">
        <is>
          <t>UNID</t>
        </is>
      </c>
      <c r="E4482" s="4" t="inlineStr">
        <is>
          <t>CONSUMO</t>
        </is>
      </c>
      <c r="F4482" s="4" t="inlineStr">
        <is>
          <t>PREÇO UNITÁRIO</t>
        </is>
      </c>
      <c r="G4482" s="4" t="inlineStr">
        <is>
          <t>CUSTO UNITÁRIO</t>
        </is>
      </c>
    </row>
    <row r="4483" ht="15" customHeight="1">
      <c r="A4483" s="8" t="inlineStr">
        <is>
          <t>ED-50363</t>
        </is>
      </c>
      <c r="B4483" s="7" t="inlineStr">
        <is>
          <t>AJUDANTE DE BOMBEIRO/ENCANADOR COM ENCARGOS COMPLEMENTARES</t>
        </is>
      </c>
      <c r="C4483" s="56" t="n"/>
      <c r="D4483" s="8" t="inlineStr">
        <is>
          <t>hora</t>
        </is>
      </c>
      <c r="E4483" s="72" t="n">
        <v>0.4888889</v>
      </c>
      <c r="F4483" s="70">
        <f>'COMPOSICOES AUXILIARES'!G49</f>
        <v/>
      </c>
      <c r="G4483" s="70">
        <f>ROUND(ROUND(E4483,7)*F4483,4)</f>
        <v/>
      </c>
      <c r="L4483" t="n">
        <v>0.4888889</v>
      </c>
      <c r="M4483" t="n">
        <v>24.49</v>
      </c>
      <c r="N4483">
        <f>(M4483-F4483)</f>
        <v/>
      </c>
    </row>
    <row r="4484" ht="15" customHeight="1">
      <c r="A4484" s="8" t="inlineStr">
        <is>
          <t>ED-50374</t>
        </is>
      </c>
      <c r="B4484" s="7" t="inlineStr">
        <is>
          <t>BOMBEIRO/ENCANADOR COM ENCARGOS COMPLEMENTARES</t>
        </is>
      </c>
      <c r="C4484" s="56" t="n"/>
      <c r="D4484" s="8" t="inlineStr">
        <is>
          <t>hora</t>
        </is>
      </c>
      <c r="E4484" s="72" t="n">
        <v>0.4888889</v>
      </c>
      <c r="F4484" s="70">
        <f>'COMPOSICOES AUXILIARES'!G49</f>
        <v/>
      </c>
      <c r="G4484" s="70">
        <f>ROUND(ROUND(E4484,7)*F4484,4)</f>
        <v/>
      </c>
      <c r="L4484" t="n">
        <v>0.4888889</v>
      </c>
      <c r="M4484" t="n">
        <v>30.49</v>
      </c>
      <c r="N4484">
        <f>(M4484-F4484)</f>
        <v/>
      </c>
    </row>
    <row r="4485" ht="15" customHeight="1">
      <c r="A4485" s="1" t="inlineStr"/>
      <c r="B4485" s="1" t="inlineStr"/>
      <c r="C4485" s="1" t="inlineStr"/>
      <c r="D4485" s="1" t="inlineStr"/>
      <c r="E4485" s="35" t="inlineStr">
        <is>
          <t>TOTAL SERVIÇOS:</t>
        </is>
      </c>
      <c r="F4485" s="56" t="n"/>
      <c r="G4485" s="71">
        <f>SUM(G4483:G4484)</f>
        <v/>
      </c>
    </row>
    <row r="4486" ht="15" customHeight="1">
      <c r="A4486" s="2" t="inlineStr"/>
      <c r="B4486" s="2" t="inlineStr"/>
      <c r="C4486" s="2" t="inlineStr"/>
      <c r="D4486" s="2" t="inlineStr"/>
      <c r="E4486" s="28" t="inlineStr">
        <is>
          <t>Custo Direto Total:</t>
        </is>
      </c>
      <c r="F4486" s="56" t="n"/>
      <c r="G4486" s="70">
        <f>SUM(G4481,G4485)</f>
        <v/>
      </c>
    </row>
    <row r="4487" ht="15" customHeight="1">
      <c r="A4487" s="2" t="inlineStr"/>
      <c r="B4487" s="2" t="inlineStr"/>
      <c r="C4487" s="2" t="inlineStr"/>
      <c r="D4487" s="2" t="inlineStr"/>
      <c r="E4487" s="28" t="inlineStr">
        <is>
          <t>VALOR:</t>
        </is>
      </c>
      <c r="F4487" s="56" t="n"/>
      <c r="G4487" s="66">
        <f>SUM(G4481,G4485)</f>
        <v/>
      </c>
    </row>
    <row r="4488" ht="15" customHeight="1">
      <c r="A4488" s="2" t="inlineStr"/>
      <c r="B4488" s="2" t="inlineStr"/>
      <c r="C4488" s="2" t="inlineStr"/>
      <c r="D4488" s="2" t="inlineStr"/>
      <c r="E4488" s="28" t="inlineStr">
        <is>
          <t>VALOR BDI (23.08%):</t>
        </is>
      </c>
      <c r="F4488" s="56" t="n"/>
      <c r="G4488" s="66">
        <f>ROUNDDOWN(G4487*BDI,2)</f>
        <v/>
      </c>
    </row>
    <row r="4489" ht="15" customHeight="1">
      <c r="A4489" s="2" t="inlineStr"/>
      <c r="B4489" s="2" t="inlineStr"/>
      <c r="C4489" s="2" t="inlineStr"/>
      <c r="D4489" s="2" t="inlineStr"/>
      <c r="E4489" s="28" t="inlineStr">
        <is>
          <t>VALOR COM BDI:</t>
        </is>
      </c>
      <c r="F4489" s="56" t="n"/>
      <c r="G4489" s="66">
        <f>G4488 + G4487</f>
        <v/>
      </c>
    </row>
    <row r="4490" ht="10" customHeight="1">
      <c r="A4490" s="2" t="inlineStr"/>
      <c r="B4490" s="2" t="inlineStr"/>
      <c r="C4490" s="2" t="inlineStr"/>
      <c r="D4490" s="2" t="inlineStr"/>
      <c r="E4490" s="18" t="inlineStr"/>
    </row>
    <row r="4491" ht="20" customHeight="1">
      <c r="A4491" s="19" t="inlineStr">
        <is>
          <t>13.9.1.2. ​95544​ PAPELEIRA DE PAREDE EM METAL CROMADO SEM TAMPA, INCLUSO FIXAÇÃO. AF_01/2020​ (UN)</t>
        </is>
      </c>
      <c r="B4491" s="55" t="n"/>
      <c r="C4491" s="55" t="n"/>
      <c r="D4491" s="55" t="n"/>
      <c r="E4491" s="55" t="n"/>
      <c r="F4491" s="55" t="n"/>
      <c r="G4491" s="56" t="n"/>
    </row>
    <row r="4492" ht="15" customHeight="1">
      <c r="A4492" s="20" t="inlineStr">
        <is>
          <t>Material</t>
        </is>
      </c>
      <c r="B4492" s="56" t="n"/>
      <c r="C4492" s="21" t="inlineStr">
        <is>
          <t>FONTE</t>
        </is>
      </c>
      <c r="D4492" s="21" t="inlineStr">
        <is>
          <t>UNID</t>
        </is>
      </c>
      <c r="E4492" s="21" t="inlineStr">
        <is>
          <t>COEFICIENTE</t>
        </is>
      </c>
      <c r="F4492" s="21" t="inlineStr">
        <is>
          <t>PREÇO UNITÁRIO</t>
        </is>
      </c>
      <c r="G4492" s="21" t="inlineStr">
        <is>
          <t>TOTAL</t>
        </is>
      </c>
    </row>
    <row r="4493" ht="15" customHeight="1">
      <c r="A4493" s="22" t="inlineStr">
        <is>
          <t>00011703</t>
        </is>
      </c>
      <c r="B4493" s="23" t="inlineStr">
        <is>
          <t>PAPELEIRA DE PAREDE EM METAL CROMADO SEM TAMPA</t>
        </is>
      </c>
      <c r="C4493" s="22" t="inlineStr">
        <is>
          <t>SINAPI</t>
        </is>
      </c>
      <c r="D4493" s="22" t="inlineStr">
        <is>
          <t>UN</t>
        </is>
      </c>
      <c r="E4493" s="63" t="n">
        <v>1</v>
      </c>
      <c r="F4493" s="64">
        <f>ROUND(M4493*FATOR, 2)</f>
        <v/>
      </c>
      <c r="G4493" s="64">
        <f>TRUNC(TRUNC(E4493,8)*F4493,2)</f>
        <v/>
      </c>
      <c r="L4493" t="n">
        <v>1</v>
      </c>
      <c r="M4493" t="n">
        <v>15.54</v>
      </c>
      <c r="N4493">
        <f>(M4493-F4493)</f>
        <v/>
      </c>
    </row>
    <row r="4494" ht="15" customHeight="1">
      <c r="A4494" s="2" t="inlineStr"/>
      <c r="B4494" s="2" t="inlineStr"/>
      <c r="C4494" s="2" t="inlineStr"/>
      <c r="D4494" s="2" t="inlineStr"/>
      <c r="E4494" s="26" t="inlineStr">
        <is>
          <t>TOTAL Material:</t>
        </is>
      </c>
      <c r="F4494" s="56" t="n"/>
      <c r="G4494" s="65">
        <f>SUM(G4493:G4493)</f>
        <v/>
      </c>
    </row>
    <row r="4495" ht="15" customHeight="1">
      <c r="A4495" s="20" t="inlineStr">
        <is>
          <t>Mão de Obra com Encargos Complementares</t>
        </is>
      </c>
      <c r="B4495" s="56" t="n"/>
      <c r="C4495" s="21" t="inlineStr">
        <is>
          <t>FONTE</t>
        </is>
      </c>
      <c r="D4495" s="21" t="inlineStr">
        <is>
          <t>UNID</t>
        </is>
      </c>
      <c r="E4495" s="21" t="inlineStr">
        <is>
          <t>COEFICIENTE</t>
        </is>
      </c>
      <c r="F4495" s="21" t="inlineStr">
        <is>
          <t>PREÇO UNITÁRIO</t>
        </is>
      </c>
      <c r="G4495" s="21" t="inlineStr">
        <is>
          <t>TOTAL</t>
        </is>
      </c>
    </row>
    <row r="4496" ht="21" customHeight="1">
      <c r="A4496" s="22" t="inlineStr">
        <is>
          <t>88267</t>
        </is>
      </c>
      <c r="B4496" s="23" t="inlineStr">
        <is>
          <t>ENCANADOR OU BOMBEIRO HIDRÁULICO COM ENCARGOS COMPLEMENTARES</t>
        </is>
      </c>
      <c r="C4496" s="22" t="inlineStr">
        <is>
          <t>SINAPI</t>
        </is>
      </c>
      <c r="D4496" s="22" t="inlineStr">
        <is>
          <t>H</t>
        </is>
      </c>
      <c r="E4496" s="63">
        <f>L4496*FATOR</f>
        <v/>
      </c>
      <c r="F4496" s="64">
        <f>'COMPOSICOES AUXILIARES'!G524</f>
        <v/>
      </c>
      <c r="G4496" s="64">
        <f>TRUNC(TRUNC(E4496,8)*F4496,2)</f>
        <v/>
      </c>
      <c r="L4496" t="n">
        <v>0.3162</v>
      </c>
      <c r="M4496" t="n">
        <v>29.86</v>
      </c>
      <c r="N4496">
        <f>(M4496-F4496)</f>
        <v/>
      </c>
    </row>
    <row r="4497" ht="15" customHeight="1">
      <c r="A4497" s="22" t="inlineStr">
        <is>
          <t>88316</t>
        </is>
      </c>
      <c r="B4497" s="23" t="inlineStr">
        <is>
          <t>SERVENTE COM ENCARGOS COMPLEMENTARES</t>
        </is>
      </c>
      <c r="C4497" s="22" t="inlineStr">
        <is>
          <t>SINAPI</t>
        </is>
      </c>
      <c r="D4497" s="22" t="inlineStr">
        <is>
          <t>H</t>
        </is>
      </c>
      <c r="E4497" s="63">
        <f>L4497*FATOR</f>
        <v/>
      </c>
      <c r="F4497" s="64">
        <f>'COMPOSICOES AUXILIARES'!G3390</f>
        <v/>
      </c>
      <c r="G4497" s="64">
        <f>TRUNC(TRUNC(E4497,8)*F4497,2)</f>
        <v/>
      </c>
      <c r="L4497" t="n">
        <v>0.09959999999999999</v>
      </c>
      <c r="M4497" t="n">
        <v>23.56</v>
      </c>
      <c r="N4497">
        <f>(M4497-F4497)</f>
        <v/>
      </c>
    </row>
    <row r="4498" ht="18" customHeight="1">
      <c r="A4498" s="2" t="inlineStr"/>
      <c r="B4498" s="2" t="inlineStr"/>
      <c r="C4498" s="2" t="inlineStr"/>
      <c r="D4498" s="2" t="inlineStr"/>
      <c r="E4498" s="26" t="inlineStr">
        <is>
          <t>TOTAL Mão de Obra com Encargos Complementares:</t>
        </is>
      </c>
      <c r="F4498" s="56" t="n"/>
      <c r="G4498" s="65">
        <f>SUM(G4496:G4497)</f>
        <v/>
      </c>
    </row>
    <row r="4499" ht="15" customHeight="1">
      <c r="A4499" s="2" t="inlineStr"/>
      <c r="B4499" s="2" t="inlineStr"/>
      <c r="C4499" s="2" t="inlineStr"/>
      <c r="D4499" s="2" t="inlineStr"/>
      <c r="E4499" s="28" t="inlineStr">
        <is>
          <t>VALOR:</t>
        </is>
      </c>
      <c r="F4499" s="56" t="n"/>
      <c r="G4499" s="66">
        <f>SUM(G4498,G4494)</f>
        <v/>
      </c>
    </row>
    <row r="4500" ht="15" customHeight="1">
      <c r="A4500" s="2" t="inlineStr"/>
      <c r="B4500" s="2" t="inlineStr"/>
      <c r="C4500" s="2" t="inlineStr"/>
      <c r="D4500" s="2" t="inlineStr"/>
      <c r="E4500" s="28" t="inlineStr">
        <is>
          <t>VALOR BDI (23.08%):</t>
        </is>
      </c>
      <c r="F4500" s="56" t="n"/>
      <c r="G4500" s="66">
        <f>ROUNDDOWN(G4499*BDI,2)</f>
        <v/>
      </c>
    </row>
    <row r="4501" ht="15" customHeight="1">
      <c r="A4501" s="2" t="inlineStr"/>
      <c r="B4501" s="2" t="inlineStr"/>
      <c r="C4501" s="2" t="inlineStr"/>
      <c r="D4501" s="2" t="inlineStr"/>
      <c r="E4501" s="28" t="inlineStr">
        <is>
          <t>VALOR COM BDI:</t>
        </is>
      </c>
      <c r="F4501" s="56" t="n"/>
      <c r="G4501" s="66">
        <f>G4500 + G4499</f>
        <v/>
      </c>
    </row>
    <row r="4502" ht="10" customHeight="1">
      <c r="A4502" s="2" t="inlineStr"/>
      <c r="B4502" s="2" t="inlineStr"/>
      <c r="C4502" s="2" t="inlineStr"/>
      <c r="D4502" s="2" t="inlineStr"/>
      <c r="E4502" s="18" t="inlineStr"/>
    </row>
    <row r="4503" ht="20" customHeight="1">
      <c r="A4503" s="19" t="inlineStr">
        <is>
          <t>13.9.2.1. ​95547​ SABONETEIRA PLASTICA TIPO DISPENSER PARA SABONETE LIQUIDO COM RESERVATORIO 800 A 1500 ML, INCLUSO FIXAÇÃO. AF_01/2020​ (UN)</t>
        </is>
      </c>
      <c r="B4503" s="55" t="n"/>
      <c r="C4503" s="55" t="n"/>
      <c r="D4503" s="55" t="n"/>
      <c r="E4503" s="55" t="n"/>
      <c r="F4503" s="55" t="n"/>
      <c r="G4503" s="56" t="n"/>
    </row>
    <row r="4504" ht="15" customHeight="1">
      <c r="A4504" s="20" t="inlineStr">
        <is>
          <t>Material</t>
        </is>
      </c>
      <c r="B4504" s="56" t="n"/>
      <c r="C4504" s="21" t="inlineStr">
        <is>
          <t>FONTE</t>
        </is>
      </c>
      <c r="D4504" s="21" t="inlineStr">
        <is>
          <t>UNID</t>
        </is>
      </c>
      <c r="E4504" s="21" t="inlineStr">
        <is>
          <t>COEFICIENTE</t>
        </is>
      </c>
      <c r="F4504" s="21" t="inlineStr">
        <is>
          <t>PREÇO UNITÁRIO</t>
        </is>
      </c>
      <c r="G4504" s="21" t="inlineStr">
        <is>
          <t>TOTAL</t>
        </is>
      </c>
    </row>
    <row r="4505" ht="21" customHeight="1">
      <c r="A4505" s="22" t="inlineStr">
        <is>
          <t>00011758</t>
        </is>
      </c>
      <c r="B4505" s="23" t="inlineStr">
        <is>
          <t>SABONETEIRA PLASTICA TIPO DISPENSER PARA SABONETE LIQUIDO COM RESERVATORIO 800 A 1500 ML</t>
        </is>
      </c>
      <c r="C4505" s="22" t="inlineStr">
        <is>
          <t>SINAPI</t>
        </is>
      </c>
      <c r="D4505" s="22" t="inlineStr">
        <is>
          <t>UN</t>
        </is>
      </c>
      <c r="E4505" s="63" t="n">
        <v>1</v>
      </c>
      <c r="F4505" s="64">
        <f>ROUND(M4505*FATOR, 2)</f>
        <v/>
      </c>
      <c r="G4505" s="64">
        <f>TRUNC(TRUNC(E4505,8)*F4505,2)</f>
        <v/>
      </c>
      <c r="L4505" t="n">
        <v>1</v>
      </c>
      <c r="M4505" t="n">
        <v>44.99</v>
      </c>
      <c r="N4505">
        <f>(M4505-F4505)</f>
        <v/>
      </c>
    </row>
    <row r="4506" ht="15" customHeight="1">
      <c r="A4506" s="2" t="inlineStr"/>
      <c r="B4506" s="2" t="inlineStr"/>
      <c r="C4506" s="2" t="inlineStr"/>
      <c r="D4506" s="2" t="inlineStr"/>
      <c r="E4506" s="26" t="inlineStr">
        <is>
          <t>TOTAL Material:</t>
        </is>
      </c>
      <c r="F4506" s="56" t="n"/>
      <c r="G4506" s="65">
        <f>SUM(G4505:G4505)</f>
        <v/>
      </c>
    </row>
    <row r="4507" ht="15" customHeight="1">
      <c r="A4507" s="20" t="inlineStr">
        <is>
          <t>Mão de Obra com Encargos Complementares</t>
        </is>
      </c>
      <c r="B4507" s="56" t="n"/>
      <c r="C4507" s="21" t="inlineStr">
        <is>
          <t>FONTE</t>
        </is>
      </c>
      <c r="D4507" s="21" t="inlineStr">
        <is>
          <t>UNID</t>
        </is>
      </c>
      <c r="E4507" s="21" t="inlineStr">
        <is>
          <t>COEFICIENTE</t>
        </is>
      </c>
      <c r="F4507" s="21" t="inlineStr">
        <is>
          <t>PREÇO UNITÁRIO</t>
        </is>
      </c>
      <c r="G4507" s="21" t="inlineStr">
        <is>
          <t>TOTAL</t>
        </is>
      </c>
    </row>
    <row r="4508" ht="21" customHeight="1">
      <c r="A4508" s="22" t="inlineStr">
        <is>
          <t>88267</t>
        </is>
      </c>
      <c r="B4508" s="23" t="inlineStr">
        <is>
          <t>ENCANADOR OU BOMBEIRO HIDRÁULICO COM ENCARGOS COMPLEMENTARES</t>
        </is>
      </c>
      <c r="C4508" s="22" t="inlineStr">
        <is>
          <t>SINAPI</t>
        </is>
      </c>
      <c r="D4508" s="22" t="inlineStr">
        <is>
          <t>H</t>
        </is>
      </c>
      <c r="E4508" s="63">
        <f>L4508*FATOR</f>
        <v/>
      </c>
      <c r="F4508" s="64">
        <f>'COMPOSICOES AUXILIARES'!G524</f>
        <v/>
      </c>
      <c r="G4508" s="64">
        <f>TRUNC(TRUNC(E4508,8)*F4508,2)</f>
        <v/>
      </c>
      <c r="L4508" t="n">
        <v>0.3162</v>
      </c>
      <c r="M4508" t="n">
        <v>29.86</v>
      </c>
      <c r="N4508">
        <f>(M4508-F4508)</f>
        <v/>
      </c>
    </row>
    <row r="4509" ht="15" customHeight="1">
      <c r="A4509" s="22" t="inlineStr">
        <is>
          <t>88316</t>
        </is>
      </c>
      <c r="B4509" s="23" t="inlineStr">
        <is>
          <t>SERVENTE COM ENCARGOS COMPLEMENTARES</t>
        </is>
      </c>
      <c r="C4509" s="22" t="inlineStr">
        <is>
          <t>SINAPI</t>
        </is>
      </c>
      <c r="D4509" s="22" t="inlineStr">
        <is>
          <t>H</t>
        </is>
      </c>
      <c r="E4509" s="63">
        <f>L4509*FATOR</f>
        <v/>
      </c>
      <c r="F4509" s="64">
        <f>'COMPOSICOES AUXILIARES'!G3390</f>
        <v/>
      </c>
      <c r="G4509" s="64">
        <f>TRUNC(TRUNC(E4509,8)*F4509,2)</f>
        <v/>
      </c>
      <c r="L4509" t="n">
        <v>0.09959999999999999</v>
      </c>
      <c r="M4509" t="n">
        <v>23.56</v>
      </c>
      <c r="N4509">
        <f>(M4509-F4509)</f>
        <v/>
      </c>
    </row>
    <row r="4510" ht="18" customHeight="1">
      <c r="A4510" s="2" t="inlineStr"/>
      <c r="B4510" s="2" t="inlineStr"/>
      <c r="C4510" s="2" t="inlineStr"/>
      <c r="D4510" s="2" t="inlineStr"/>
      <c r="E4510" s="26" t="inlineStr">
        <is>
          <t>TOTAL Mão de Obra com Encargos Complementares:</t>
        </is>
      </c>
      <c r="F4510" s="56" t="n"/>
      <c r="G4510" s="65">
        <f>SUM(G4508:G4509)</f>
        <v/>
      </c>
    </row>
    <row r="4511" ht="15" customHeight="1">
      <c r="A4511" s="2" t="inlineStr"/>
      <c r="B4511" s="2" t="inlineStr"/>
      <c r="C4511" s="2" t="inlineStr"/>
      <c r="D4511" s="2" t="inlineStr"/>
      <c r="E4511" s="28" t="inlineStr">
        <is>
          <t>VALOR:</t>
        </is>
      </c>
      <c r="F4511" s="56" t="n"/>
      <c r="G4511" s="66">
        <f>SUM(G4506,G4510)</f>
        <v/>
      </c>
    </row>
    <row r="4512" ht="15" customHeight="1">
      <c r="A4512" s="2" t="inlineStr"/>
      <c r="B4512" s="2" t="inlineStr"/>
      <c r="C4512" s="2" t="inlineStr"/>
      <c r="D4512" s="2" t="inlineStr"/>
      <c r="E4512" s="28" t="inlineStr">
        <is>
          <t>VALOR BDI (23.08%):</t>
        </is>
      </c>
      <c r="F4512" s="56" t="n"/>
      <c r="G4512" s="66">
        <f>ROUNDDOWN(G4511*BDI,2)</f>
        <v/>
      </c>
    </row>
    <row r="4513" ht="15" customHeight="1">
      <c r="A4513" s="2" t="inlineStr"/>
      <c r="B4513" s="2" t="inlineStr"/>
      <c r="C4513" s="2" t="inlineStr"/>
      <c r="D4513" s="2" t="inlineStr"/>
      <c r="E4513" s="28" t="inlineStr">
        <is>
          <t>VALOR COM BDI:</t>
        </is>
      </c>
      <c r="F4513" s="56" t="n"/>
      <c r="G4513" s="66">
        <f>G4512 + G4511</f>
        <v/>
      </c>
    </row>
    <row r="4514" ht="10" customHeight="1">
      <c r="A4514" s="2" t="inlineStr"/>
      <c r="B4514" s="2" t="inlineStr"/>
      <c r="C4514" s="2" t="inlineStr"/>
      <c r="D4514" s="2" t="inlineStr"/>
      <c r="E4514" s="18" t="inlineStr"/>
    </row>
    <row r="4515" ht="20" customHeight="1">
      <c r="A4515" s="19" t="inlineStr">
        <is>
          <t>14.1.1.1. ​92001​ TOMADA BAIXA DE EMBUTIR (1 MÓDULO), 2P+T 20 A, INCLUINDO SUPORTE E PLACA - FORNECIMENTO E INSTALAÇÃO. AF_03/2023​ (UN)</t>
        </is>
      </c>
      <c r="B4515" s="55" t="n"/>
      <c r="C4515" s="55" t="n"/>
      <c r="D4515" s="55" t="n"/>
      <c r="E4515" s="55" t="n"/>
      <c r="F4515" s="55" t="n"/>
      <c r="G4515" s="56" t="n"/>
    </row>
    <row r="4516" ht="15" customHeight="1">
      <c r="A4516" s="20" t="inlineStr">
        <is>
          <t>Serviço</t>
        </is>
      </c>
      <c r="B4516" s="56" t="n"/>
      <c r="C4516" s="21" t="inlineStr">
        <is>
          <t>FONTE</t>
        </is>
      </c>
      <c r="D4516" s="21" t="inlineStr">
        <is>
          <t>UNID</t>
        </is>
      </c>
      <c r="E4516" s="21" t="inlineStr">
        <is>
          <t>COEFICIENTE</t>
        </is>
      </c>
      <c r="F4516" s="21" t="inlineStr">
        <is>
          <t>PREÇO UNITÁRIO</t>
        </is>
      </c>
      <c r="G4516" s="21" t="inlineStr">
        <is>
          <t>TOTAL</t>
        </is>
      </c>
    </row>
    <row r="4517" ht="29" customHeight="1">
      <c r="A4517" s="22" t="inlineStr">
        <is>
          <t>91946</t>
        </is>
      </c>
      <c r="B4517" s="23" t="inlineStr">
        <is>
          <t>SUPORTE PARAFUSADO COM PLACA DE ENCAIXE 4" X 2" MÉDIO (1,30 M DO PISO) PARA PONTO ELÉTRICO - FORNECIMENTO E INSTALAÇÃO. AF_03/2023</t>
        </is>
      </c>
      <c r="C4517" s="22" t="inlineStr">
        <is>
          <t>SINAPI</t>
        </is>
      </c>
      <c r="D4517" s="22" t="inlineStr">
        <is>
          <t>UN</t>
        </is>
      </c>
      <c r="E4517" s="63" t="n">
        <v>1</v>
      </c>
      <c r="F4517" s="64">
        <f>'COMPOSICOES AUXILIARES'!G3435</f>
        <v/>
      </c>
      <c r="G4517" s="64">
        <f>TRUNC(TRUNC(E4517,8)*F4517,2)</f>
        <v/>
      </c>
      <c r="L4517" t="n">
        <v>1</v>
      </c>
      <c r="M4517" t="n">
        <v>11.55</v>
      </c>
      <c r="N4517">
        <f>(M4517-F4517)</f>
        <v/>
      </c>
    </row>
    <row r="4518" ht="29" customHeight="1">
      <c r="A4518" s="22" t="inlineStr">
        <is>
          <t>91999</t>
        </is>
      </c>
      <c r="B4518" s="23" t="inlineStr">
        <is>
          <t>TOMADA BAIXA DE EMBUTIR (1 MÓDULO), 2P+T 20 A, SEM SUPORTE E SEM PLACA - FORNECIMENTO E INSTALAÇÃO. AF_03/2023</t>
        </is>
      </c>
      <c r="C4518" s="22" t="inlineStr">
        <is>
          <t>SINAPI</t>
        </is>
      </c>
      <c r="D4518" s="22" t="inlineStr">
        <is>
          <t>UN</t>
        </is>
      </c>
      <c r="E4518" s="63" t="n">
        <v>1</v>
      </c>
      <c r="F4518" s="64">
        <f>'COMPOSICOES AUXILIARES'!G3481</f>
        <v/>
      </c>
      <c r="G4518" s="64">
        <f>TRUNC(TRUNC(E4518,8)*F4518,2)</f>
        <v/>
      </c>
      <c r="L4518" t="n">
        <v>1</v>
      </c>
      <c r="M4518" t="n">
        <v>23.5</v>
      </c>
      <c r="N4518">
        <f>(M4518-F4518)</f>
        <v/>
      </c>
    </row>
    <row r="4519" ht="15" customHeight="1">
      <c r="A4519" s="2" t="inlineStr"/>
      <c r="B4519" s="2" t="inlineStr"/>
      <c r="C4519" s="2" t="inlineStr"/>
      <c r="D4519" s="2" t="inlineStr"/>
      <c r="E4519" s="26" t="inlineStr">
        <is>
          <t>TOTAL Serviço:</t>
        </is>
      </c>
      <c r="F4519" s="56" t="n"/>
      <c r="G4519" s="65">
        <f>SUM(G4517:G4518)</f>
        <v/>
      </c>
    </row>
    <row r="4520" ht="15" customHeight="1">
      <c r="A4520" s="2" t="inlineStr"/>
      <c r="B4520" s="2" t="inlineStr"/>
      <c r="C4520" s="2" t="inlineStr"/>
      <c r="D4520" s="2" t="inlineStr"/>
      <c r="E4520" s="28" t="inlineStr">
        <is>
          <t>VALOR:</t>
        </is>
      </c>
      <c r="F4520" s="56" t="n"/>
      <c r="G4520" s="66">
        <f>SUM(G4519)</f>
        <v/>
      </c>
    </row>
    <row r="4521" ht="15" customHeight="1">
      <c r="A4521" s="2" t="inlineStr"/>
      <c r="B4521" s="2" t="inlineStr"/>
      <c r="C4521" s="2" t="inlineStr"/>
      <c r="D4521" s="2" t="inlineStr"/>
      <c r="E4521" s="28" t="inlineStr">
        <is>
          <t>VALOR BDI (23.08%):</t>
        </is>
      </c>
      <c r="F4521" s="56" t="n"/>
      <c r="G4521" s="66">
        <f>ROUNDDOWN(G4520*BDI,2)</f>
        <v/>
      </c>
    </row>
    <row r="4522" ht="15" customHeight="1">
      <c r="A4522" s="2" t="inlineStr"/>
      <c r="B4522" s="2" t="inlineStr"/>
      <c r="C4522" s="2" t="inlineStr"/>
      <c r="D4522" s="2" t="inlineStr"/>
      <c r="E4522" s="28" t="inlineStr">
        <is>
          <t>VALOR COM BDI:</t>
        </is>
      </c>
      <c r="F4522" s="56" t="n"/>
      <c r="G4522" s="66">
        <f>G4521 + G4520</f>
        <v/>
      </c>
    </row>
    <row r="4523" ht="10" customHeight="1">
      <c r="A4523" s="2" t="inlineStr"/>
      <c r="B4523" s="2" t="inlineStr"/>
      <c r="C4523" s="2" t="inlineStr"/>
      <c r="D4523" s="2" t="inlineStr"/>
      <c r="E4523" s="18" t="inlineStr"/>
    </row>
    <row r="4524" ht="20" customHeight="1">
      <c r="A4524" s="19" t="inlineStr">
        <is>
          <t>14.1.1.2. ​92008​ TOMADA BAIXA DE EMBUTIR (2 MÓDULOS), 2P+T 10 A, INCLUINDO SUPORTE E PLACA - FORNECIMENTO E INSTALAÇÃO. AF_03/2023​ (UN)</t>
        </is>
      </c>
      <c r="B4524" s="55" t="n"/>
      <c r="C4524" s="55" t="n"/>
      <c r="D4524" s="55" t="n"/>
      <c r="E4524" s="55" t="n"/>
      <c r="F4524" s="55" t="n"/>
      <c r="G4524" s="56" t="n"/>
    </row>
    <row r="4525" ht="15" customHeight="1">
      <c r="A4525" s="20" t="inlineStr">
        <is>
          <t>Serviço</t>
        </is>
      </c>
      <c r="B4525" s="56" t="n"/>
      <c r="C4525" s="21" t="inlineStr">
        <is>
          <t>FONTE</t>
        </is>
      </c>
      <c r="D4525" s="21" t="inlineStr">
        <is>
          <t>UNID</t>
        </is>
      </c>
      <c r="E4525" s="21" t="inlineStr">
        <is>
          <t>COEFICIENTE</t>
        </is>
      </c>
      <c r="F4525" s="21" t="inlineStr">
        <is>
          <t>PREÇO UNITÁRIO</t>
        </is>
      </c>
      <c r="G4525" s="21" t="inlineStr">
        <is>
          <t>TOTAL</t>
        </is>
      </c>
    </row>
    <row r="4526" ht="29" customHeight="1">
      <c r="A4526" s="22" t="inlineStr">
        <is>
          <t>91946</t>
        </is>
      </c>
      <c r="B4526" s="23" t="inlineStr">
        <is>
          <t>SUPORTE PARAFUSADO COM PLACA DE ENCAIXE 4" X 2" MÉDIO (1,30 M DO PISO) PARA PONTO ELÉTRICO - FORNECIMENTO E INSTALAÇÃO. AF_03/2023</t>
        </is>
      </c>
      <c r="C4526" s="22" t="inlineStr">
        <is>
          <t>SINAPI</t>
        </is>
      </c>
      <c r="D4526" s="22" t="inlineStr">
        <is>
          <t>UN</t>
        </is>
      </c>
      <c r="E4526" s="63" t="n">
        <v>1</v>
      </c>
      <c r="F4526" s="64">
        <f>'COMPOSICOES AUXILIARES'!G3435</f>
        <v/>
      </c>
      <c r="G4526" s="64">
        <f>TRUNC(TRUNC(E4526,8)*F4526,2)</f>
        <v/>
      </c>
      <c r="L4526" t="n">
        <v>1</v>
      </c>
      <c r="M4526" t="n">
        <v>11.55</v>
      </c>
      <c r="N4526">
        <f>(M4526-F4526)</f>
        <v/>
      </c>
    </row>
    <row r="4527" ht="29" customHeight="1">
      <c r="A4527" s="22" t="inlineStr">
        <is>
          <t>92006</t>
        </is>
      </c>
      <c r="B4527" s="23" t="inlineStr">
        <is>
          <t>TOMADA BAIXA DE EMBUTIR (2 MÓDULOS), 2P+T 10 A, SEM SUPORTE E SEM PLACA - FORNECIMENTO E INSTALAÇÃO. AF_03/2023</t>
        </is>
      </c>
      <c r="C4527" s="22" t="inlineStr">
        <is>
          <t>SINAPI</t>
        </is>
      </c>
      <c r="D4527" s="22" t="inlineStr">
        <is>
          <t>UN</t>
        </is>
      </c>
      <c r="E4527" s="63" t="n">
        <v>1</v>
      </c>
      <c r="F4527" s="64">
        <f>'COMPOSICOES AUXILIARES'!G3493</f>
        <v/>
      </c>
      <c r="G4527" s="64">
        <f>TRUNC(TRUNC(E4527,8)*F4527,2)</f>
        <v/>
      </c>
      <c r="L4527" t="n">
        <v>1</v>
      </c>
      <c r="M4527" t="n">
        <v>39.12</v>
      </c>
      <c r="N4527">
        <f>(M4527-F4527)</f>
        <v/>
      </c>
    </row>
    <row r="4528" ht="15" customHeight="1">
      <c r="A4528" s="2" t="inlineStr"/>
      <c r="B4528" s="2" t="inlineStr"/>
      <c r="C4528" s="2" t="inlineStr"/>
      <c r="D4528" s="2" t="inlineStr"/>
      <c r="E4528" s="26" t="inlineStr">
        <is>
          <t>TOTAL Serviço:</t>
        </is>
      </c>
      <c r="F4528" s="56" t="n"/>
      <c r="G4528" s="65">
        <f>SUM(G4526:G4527)</f>
        <v/>
      </c>
    </row>
    <row r="4529" ht="15" customHeight="1">
      <c r="A4529" s="2" t="inlineStr"/>
      <c r="B4529" s="2" t="inlineStr"/>
      <c r="C4529" s="2" t="inlineStr"/>
      <c r="D4529" s="2" t="inlineStr"/>
      <c r="E4529" s="28" t="inlineStr">
        <is>
          <t>VALOR:</t>
        </is>
      </c>
      <c r="F4529" s="56" t="n"/>
      <c r="G4529" s="66">
        <f>SUM(G4528)</f>
        <v/>
      </c>
    </row>
    <row r="4530" ht="15" customHeight="1">
      <c r="A4530" s="2" t="inlineStr"/>
      <c r="B4530" s="2" t="inlineStr"/>
      <c r="C4530" s="2" t="inlineStr"/>
      <c r="D4530" s="2" t="inlineStr"/>
      <c r="E4530" s="28" t="inlineStr">
        <is>
          <t>VALOR BDI (23.08%):</t>
        </is>
      </c>
      <c r="F4530" s="56" t="n"/>
      <c r="G4530" s="66">
        <f>ROUNDDOWN(G4529*BDI,2)</f>
        <v/>
      </c>
    </row>
    <row r="4531" ht="15" customHeight="1">
      <c r="A4531" s="2" t="inlineStr"/>
      <c r="B4531" s="2" t="inlineStr"/>
      <c r="C4531" s="2" t="inlineStr"/>
      <c r="D4531" s="2" t="inlineStr"/>
      <c r="E4531" s="28" t="inlineStr">
        <is>
          <t>VALOR COM BDI:</t>
        </is>
      </c>
      <c r="F4531" s="56" t="n"/>
      <c r="G4531" s="66">
        <f>G4530 + G4529</f>
        <v/>
      </c>
    </row>
    <row r="4532" ht="10" customHeight="1">
      <c r="A4532" s="2" t="inlineStr"/>
      <c r="B4532" s="2" t="inlineStr"/>
      <c r="C4532" s="2" t="inlineStr"/>
      <c r="D4532" s="2" t="inlineStr"/>
      <c r="E4532" s="18" t="inlineStr"/>
    </row>
    <row r="4533" ht="20" customHeight="1">
      <c r="A4533" s="19" t="inlineStr">
        <is>
          <t>14.1.1.3. ​92004​ TOMADA MÉDIA DE EMBUTIR (2 MÓDULOS), 2P+T 10 A, INCLUINDO SUPORTE E PLACA - FORNECIMENTO E INSTALAÇÃO. AF_03/2023​ (UN)</t>
        </is>
      </c>
      <c r="B4533" s="55" t="n"/>
      <c r="C4533" s="55" t="n"/>
      <c r="D4533" s="55" t="n"/>
      <c r="E4533" s="55" t="n"/>
      <c r="F4533" s="55" t="n"/>
      <c r="G4533" s="56" t="n"/>
    </row>
    <row r="4534" ht="15" customHeight="1">
      <c r="A4534" s="20" t="inlineStr">
        <is>
          <t>Serviço</t>
        </is>
      </c>
      <c r="B4534" s="56" t="n"/>
      <c r="C4534" s="21" t="inlineStr">
        <is>
          <t>FONTE</t>
        </is>
      </c>
      <c r="D4534" s="21" t="inlineStr">
        <is>
          <t>UNID</t>
        </is>
      </c>
      <c r="E4534" s="21" t="inlineStr">
        <is>
          <t>COEFICIENTE</t>
        </is>
      </c>
      <c r="F4534" s="21" t="inlineStr">
        <is>
          <t>PREÇO UNITÁRIO</t>
        </is>
      </c>
      <c r="G4534" s="21" t="inlineStr">
        <is>
          <t>TOTAL</t>
        </is>
      </c>
    </row>
    <row r="4535" ht="29" customHeight="1">
      <c r="A4535" s="22" t="inlineStr">
        <is>
          <t>91946</t>
        </is>
      </c>
      <c r="B4535" s="23" t="inlineStr">
        <is>
          <t>SUPORTE PARAFUSADO COM PLACA DE ENCAIXE 4" X 2" MÉDIO (1,30 M DO PISO) PARA PONTO ELÉTRICO - FORNECIMENTO E INSTALAÇÃO. AF_03/2023</t>
        </is>
      </c>
      <c r="C4535" s="22" t="inlineStr">
        <is>
          <t>SINAPI</t>
        </is>
      </c>
      <c r="D4535" s="22" t="inlineStr">
        <is>
          <t>UN</t>
        </is>
      </c>
      <c r="E4535" s="63" t="n">
        <v>1</v>
      </c>
      <c r="F4535" s="64">
        <f>'COMPOSICOES AUXILIARES'!G3435</f>
        <v/>
      </c>
      <c r="G4535" s="64">
        <f>TRUNC(TRUNC(E4535,8)*F4535,2)</f>
        <v/>
      </c>
      <c r="L4535" t="n">
        <v>1</v>
      </c>
      <c r="M4535" t="n">
        <v>11.55</v>
      </c>
      <c r="N4535">
        <f>(M4535-F4535)</f>
        <v/>
      </c>
    </row>
    <row r="4536" ht="29" customHeight="1">
      <c r="A4536" s="22" t="inlineStr">
        <is>
          <t>92002</t>
        </is>
      </c>
      <c r="B4536" s="23" t="inlineStr">
        <is>
          <t>TOMADA MÉDIA DE EMBUTIR (2 MÓDULOS), 2P+T 10 A, SEM SUPORTE E SEM PLACA - FORNECIMENTO E INSTALAÇÃO. AF_03/2023</t>
        </is>
      </c>
      <c r="C4536" s="22" t="inlineStr">
        <is>
          <t>SINAPI</t>
        </is>
      </c>
      <c r="D4536" s="22" t="inlineStr">
        <is>
          <t>UN</t>
        </is>
      </c>
      <c r="E4536" s="63" t="n">
        <v>1</v>
      </c>
      <c r="F4536" s="64">
        <f>'COMPOSICOES AUXILIARES'!G3517</f>
        <v/>
      </c>
      <c r="G4536" s="64">
        <f>TRUNC(TRUNC(E4536,8)*F4536,2)</f>
        <v/>
      </c>
      <c r="L4536" t="n">
        <v>1</v>
      </c>
      <c r="M4536" t="n">
        <v>47.6</v>
      </c>
      <c r="N4536">
        <f>(M4536-F4536)</f>
        <v/>
      </c>
    </row>
    <row r="4537" ht="15" customHeight="1">
      <c r="A4537" s="2" t="inlineStr"/>
      <c r="B4537" s="2" t="inlineStr"/>
      <c r="C4537" s="2" t="inlineStr"/>
      <c r="D4537" s="2" t="inlineStr"/>
      <c r="E4537" s="26" t="inlineStr">
        <is>
          <t>TOTAL Serviço:</t>
        </is>
      </c>
      <c r="F4537" s="56" t="n"/>
      <c r="G4537" s="65">
        <f>SUM(G4535:G4536)</f>
        <v/>
      </c>
    </row>
    <row r="4538" ht="15" customHeight="1">
      <c r="A4538" s="2" t="inlineStr"/>
      <c r="B4538" s="2" t="inlineStr"/>
      <c r="C4538" s="2" t="inlineStr"/>
      <c r="D4538" s="2" t="inlineStr"/>
      <c r="E4538" s="28" t="inlineStr">
        <is>
          <t>VALOR:</t>
        </is>
      </c>
      <c r="F4538" s="56" t="n"/>
      <c r="G4538" s="66">
        <f>SUM(G4537)</f>
        <v/>
      </c>
    </row>
    <row r="4539" ht="15" customHeight="1">
      <c r="A4539" s="2" t="inlineStr"/>
      <c r="B4539" s="2" t="inlineStr"/>
      <c r="C4539" s="2" t="inlineStr"/>
      <c r="D4539" s="2" t="inlineStr"/>
      <c r="E4539" s="28" t="inlineStr">
        <is>
          <t>VALOR BDI (23.08%):</t>
        </is>
      </c>
      <c r="F4539" s="56" t="n"/>
      <c r="G4539" s="66">
        <f>ROUNDDOWN(G4538*BDI,2)</f>
        <v/>
      </c>
    </row>
    <row r="4540" ht="15" customHeight="1">
      <c r="A4540" s="2" t="inlineStr"/>
      <c r="B4540" s="2" t="inlineStr"/>
      <c r="C4540" s="2" t="inlineStr"/>
      <c r="D4540" s="2" t="inlineStr"/>
      <c r="E4540" s="28" t="inlineStr">
        <is>
          <t>VALOR COM BDI:</t>
        </is>
      </c>
      <c r="F4540" s="56" t="n"/>
      <c r="G4540" s="66">
        <f>G4539 + G4538</f>
        <v/>
      </c>
    </row>
    <row r="4541" ht="10" customHeight="1">
      <c r="A4541" s="2" t="inlineStr"/>
      <c r="B4541" s="2" t="inlineStr"/>
      <c r="C4541" s="2" t="inlineStr"/>
      <c r="D4541" s="2" t="inlineStr"/>
      <c r="E4541" s="18" t="inlineStr"/>
    </row>
    <row r="4542" ht="20" customHeight="1">
      <c r="A4542" s="19" t="inlineStr">
        <is>
          <t>14.1.1.4. ​91993​ TOMADA ALTA DE EMBUTIR (1 MÓDULO), 2P+T 20 A, INCLUINDO SUPORTE E PLACA - FORNECIMENTO E INSTALAÇÃO. AF_03/2023​ (UN)</t>
        </is>
      </c>
      <c r="B4542" s="55" t="n"/>
      <c r="C4542" s="55" t="n"/>
      <c r="D4542" s="55" t="n"/>
      <c r="E4542" s="55" t="n"/>
      <c r="F4542" s="55" t="n"/>
      <c r="G4542" s="56" t="n"/>
    </row>
    <row r="4543" ht="15" customHeight="1">
      <c r="A4543" s="20" t="inlineStr">
        <is>
          <t>Serviço</t>
        </is>
      </c>
      <c r="B4543" s="56" t="n"/>
      <c r="C4543" s="21" t="inlineStr">
        <is>
          <t>FONTE</t>
        </is>
      </c>
      <c r="D4543" s="21" t="inlineStr">
        <is>
          <t>UNID</t>
        </is>
      </c>
      <c r="E4543" s="21" t="inlineStr">
        <is>
          <t>COEFICIENTE</t>
        </is>
      </c>
      <c r="F4543" s="21" t="inlineStr">
        <is>
          <t>PREÇO UNITÁRIO</t>
        </is>
      </c>
      <c r="G4543" s="21" t="inlineStr">
        <is>
          <t>TOTAL</t>
        </is>
      </c>
    </row>
    <row r="4544" ht="29" customHeight="1">
      <c r="A4544" s="22" t="inlineStr">
        <is>
          <t>91946</t>
        </is>
      </c>
      <c r="B4544" s="23" t="inlineStr">
        <is>
          <t>SUPORTE PARAFUSADO COM PLACA DE ENCAIXE 4" X 2" MÉDIO (1,30 M DO PISO) PARA PONTO ELÉTRICO - FORNECIMENTO E INSTALAÇÃO. AF_03/2023</t>
        </is>
      </c>
      <c r="C4544" s="22" t="inlineStr">
        <is>
          <t>SINAPI</t>
        </is>
      </c>
      <c r="D4544" s="22" t="inlineStr">
        <is>
          <t>UN</t>
        </is>
      </c>
      <c r="E4544" s="63" t="n">
        <v>1</v>
      </c>
      <c r="F4544" s="64">
        <f>'COMPOSICOES AUXILIARES'!G3435</f>
        <v/>
      </c>
      <c r="G4544" s="64">
        <f>TRUNC(TRUNC(E4544,8)*F4544,2)</f>
        <v/>
      </c>
      <c r="L4544" t="n">
        <v>1</v>
      </c>
      <c r="M4544" t="n">
        <v>11.55</v>
      </c>
      <c r="N4544">
        <f>(M4544-F4544)</f>
        <v/>
      </c>
    </row>
    <row r="4545" ht="29" customHeight="1">
      <c r="A4545" s="22" t="inlineStr">
        <is>
          <t>91991</t>
        </is>
      </c>
      <c r="B4545" s="23" t="inlineStr">
        <is>
          <t>TOMADA ALTA DE EMBUTIR (1 MÓDULO), 2P+T 20 A, SEM SUPORTE E SEM PLACA - FORNECIMENTO E INSTALAÇÃO. AF_03/2023</t>
        </is>
      </c>
      <c r="C4545" s="22" t="inlineStr">
        <is>
          <t>SINAPI</t>
        </is>
      </c>
      <c r="D4545" s="22" t="inlineStr">
        <is>
          <t>UN</t>
        </is>
      </c>
      <c r="E4545" s="63" t="n">
        <v>1</v>
      </c>
      <c r="F4545" s="64">
        <f>'COMPOSICOES AUXILIARES'!G3469</f>
        <v/>
      </c>
      <c r="G4545" s="64">
        <f>TRUNC(TRUNC(E4545,8)*F4545,2)</f>
        <v/>
      </c>
      <c r="L4545" t="n">
        <v>1</v>
      </c>
      <c r="M4545" t="n">
        <v>38.61</v>
      </c>
      <c r="N4545">
        <f>(M4545-F4545)</f>
        <v/>
      </c>
    </row>
    <row r="4546" ht="15" customHeight="1">
      <c r="A4546" s="2" t="inlineStr"/>
      <c r="B4546" s="2" t="inlineStr"/>
      <c r="C4546" s="2" t="inlineStr"/>
      <c r="D4546" s="2" t="inlineStr"/>
      <c r="E4546" s="26" t="inlineStr">
        <is>
          <t>TOTAL Serviço:</t>
        </is>
      </c>
      <c r="F4546" s="56" t="n"/>
      <c r="G4546" s="65">
        <f>SUM(G4544:G4545)</f>
        <v/>
      </c>
    </row>
    <row r="4547" ht="15" customHeight="1">
      <c r="A4547" s="2" t="inlineStr"/>
      <c r="B4547" s="2" t="inlineStr"/>
      <c r="C4547" s="2" t="inlineStr"/>
      <c r="D4547" s="2" t="inlineStr"/>
      <c r="E4547" s="28" t="inlineStr">
        <is>
          <t>VALOR:</t>
        </is>
      </c>
      <c r="F4547" s="56" t="n"/>
      <c r="G4547" s="66">
        <f>SUM(G4546)</f>
        <v/>
      </c>
    </row>
    <row r="4548" ht="15" customHeight="1">
      <c r="A4548" s="2" t="inlineStr"/>
      <c r="B4548" s="2" t="inlineStr"/>
      <c r="C4548" s="2" t="inlineStr"/>
      <c r="D4548" s="2" t="inlineStr"/>
      <c r="E4548" s="28" t="inlineStr">
        <is>
          <t>VALOR BDI (23.08%):</t>
        </is>
      </c>
      <c r="F4548" s="56" t="n"/>
      <c r="G4548" s="66">
        <f>ROUNDDOWN(G4547*BDI,2)</f>
        <v/>
      </c>
    </row>
    <row r="4549" ht="15" customHeight="1">
      <c r="A4549" s="2" t="inlineStr"/>
      <c r="B4549" s="2" t="inlineStr"/>
      <c r="C4549" s="2" t="inlineStr"/>
      <c r="D4549" s="2" t="inlineStr"/>
      <c r="E4549" s="28" t="inlineStr">
        <is>
          <t>VALOR COM BDI:</t>
        </is>
      </c>
      <c r="F4549" s="56" t="n"/>
      <c r="G4549" s="66">
        <f>G4548 + G4547</f>
        <v/>
      </c>
    </row>
    <row r="4550" ht="10" customHeight="1">
      <c r="A4550" s="2" t="inlineStr"/>
      <c r="B4550" s="2" t="inlineStr"/>
      <c r="C4550" s="2" t="inlineStr"/>
      <c r="D4550" s="2" t="inlineStr"/>
      <c r="E4550" s="18" t="inlineStr"/>
    </row>
    <row r="4551" ht="20" customHeight="1">
      <c r="A4551" s="19" t="inlineStr">
        <is>
          <t>14.1.1.5. ​92005​ TOMADA MÉDIA DE EMBUTIR (2 MÓDULOS), 2P+T 20 A, INCLUINDO SUPORTE E PLACA - FORNECIMENTO E INSTALAÇÃO. AF_03/2023​ (UN)</t>
        </is>
      </c>
      <c r="B4551" s="55" t="n"/>
      <c r="C4551" s="55" t="n"/>
      <c r="D4551" s="55" t="n"/>
      <c r="E4551" s="55" t="n"/>
      <c r="F4551" s="55" t="n"/>
      <c r="G4551" s="56" t="n"/>
    </row>
    <row r="4552" ht="15" customHeight="1">
      <c r="A4552" s="20" t="inlineStr">
        <is>
          <t>Serviço</t>
        </is>
      </c>
      <c r="B4552" s="56" t="n"/>
      <c r="C4552" s="21" t="inlineStr">
        <is>
          <t>FONTE</t>
        </is>
      </c>
      <c r="D4552" s="21" t="inlineStr">
        <is>
          <t>UNID</t>
        </is>
      </c>
      <c r="E4552" s="21" t="inlineStr">
        <is>
          <t>COEFICIENTE</t>
        </is>
      </c>
      <c r="F4552" s="21" t="inlineStr">
        <is>
          <t>PREÇO UNITÁRIO</t>
        </is>
      </c>
      <c r="G4552" s="21" t="inlineStr">
        <is>
          <t>TOTAL</t>
        </is>
      </c>
    </row>
    <row r="4553" ht="29" customHeight="1">
      <c r="A4553" s="22" t="inlineStr">
        <is>
          <t>91946</t>
        </is>
      </c>
      <c r="B4553" s="23" t="inlineStr">
        <is>
          <t>SUPORTE PARAFUSADO COM PLACA DE ENCAIXE 4" X 2" MÉDIO (1,30 M DO PISO) PARA PONTO ELÉTRICO - FORNECIMENTO E INSTALAÇÃO. AF_03/2023</t>
        </is>
      </c>
      <c r="C4553" s="22" t="inlineStr">
        <is>
          <t>SINAPI</t>
        </is>
      </c>
      <c r="D4553" s="22" t="inlineStr">
        <is>
          <t>UN</t>
        </is>
      </c>
      <c r="E4553" s="63" t="n">
        <v>1</v>
      </c>
      <c r="F4553" s="64">
        <f>'COMPOSICOES AUXILIARES'!G3435</f>
        <v/>
      </c>
      <c r="G4553" s="64">
        <f>TRUNC(TRUNC(E4553,8)*F4553,2)</f>
        <v/>
      </c>
      <c r="L4553" t="n">
        <v>1</v>
      </c>
      <c r="M4553" t="n">
        <v>11.55</v>
      </c>
      <c r="N4553">
        <f>(M4553-F4553)</f>
        <v/>
      </c>
    </row>
    <row r="4554" ht="29" customHeight="1">
      <c r="A4554" s="22" t="inlineStr">
        <is>
          <t>92003</t>
        </is>
      </c>
      <c r="B4554" s="23" t="inlineStr">
        <is>
          <t>TOMADA MÉDIA DE EMBUTIR (2 MÓDULOS), 2P+T 20 A, SEM SUPORTE E SEM PLACA - FORNECIMENTO E INSTALAÇÃO. AF_03/2023</t>
        </is>
      </c>
      <c r="C4554" s="22" t="inlineStr">
        <is>
          <t>SINAPI</t>
        </is>
      </c>
      <c r="D4554" s="22" t="inlineStr">
        <is>
          <t>UN</t>
        </is>
      </c>
      <c r="E4554" s="63" t="n">
        <v>1</v>
      </c>
      <c r="F4554" s="64">
        <f>'COMPOSICOES AUXILIARES'!G3529</f>
        <v/>
      </c>
      <c r="G4554" s="64">
        <f>TRUNC(TRUNC(E4554,8)*F4554,2)</f>
        <v/>
      </c>
      <c r="L4554" t="n">
        <v>1</v>
      </c>
      <c r="M4554" t="n">
        <v>51.94</v>
      </c>
      <c r="N4554">
        <f>(M4554-F4554)</f>
        <v/>
      </c>
    </row>
    <row r="4555" ht="15" customHeight="1">
      <c r="A4555" s="2" t="inlineStr"/>
      <c r="B4555" s="2" t="inlineStr"/>
      <c r="C4555" s="2" t="inlineStr"/>
      <c r="D4555" s="2" t="inlineStr"/>
      <c r="E4555" s="26" t="inlineStr">
        <is>
          <t>TOTAL Serviço:</t>
        </is>
      </c>
      <c r="F4555" s="56" t="n"/>
      <c r="G4555" s="65">
        <f>SUM(G4553:G4554)</f>
        <v/>
      </c>
    </row>
    <row r="4556" ht="15" customHeight="1">
      <c r="A4556" s="2" t="inlineStr"/>
      <c r="B4556" s="2" t="inlineStr"/>
      <c r="C4556" s="2" t="inlineStr"/>
      <c r="D4556" s="2" t="inlineStr"/>
      <c r="E4556" s="28" t="inlineStr">
        <is>
          <t>VALOR:</t>
        </is>
      </c>
      <c r="F4556" s="56" t="n"/>
      <c r="G4556" s="66">
        <f>SUM(G4555)</f>
        <v/>
      </c>
    </row>
    <row r="4557" ht="15" customHeight="1">
      <c r="A4557" s="2" t="inlineStr"/>
      <c r="B4557" s="2" t="inlineStr"/>
      <c r="C4557" s="2" t="inlineStr"/>
      <c r="D4557" s="2" t="inlineStr"/>
      <c r="E4557" s="28" t="inlineStr">
        <is>
          <t>VALOR BDI (23.08%):</t>
        </is>
      </c>
      <c r="F4557" s="56" t="n"/>
      <c r="G4557" s="66">
        <f>ROUNDDOWN(G4556*BDI,2)</f>
        <v/>
      </c>
    </row>
    <row r="4558" ht="15" customHeight="1">
      <c r="A4558" s="2" t="inlineStr"/>
      <c r="B4558" s="2" t="inlineStr"/>
      <c r="C4558" s="2" t="inlineStr"/>
      <c r="D4558" s="2" t="inlineStr"/>
      <c r="E4558" s="28" t="inlineStr">
        <is>
          <t>VALOR COM BDI:</t>
        </is>
      </c>
      <c r="F4558" s="56" t="n"/>
      <c r="G4558" s="66">
        <f>G4557 + G4556</f>
        <v/>
      </c>
    </row>
    <row r="4559" ht="10" customHeight="1">
      <c r="A4559" s="2" t="inlineStr"/>
      <c r="B4559" s="2" t="inlineStr"/>
      <c r="C4559" s="2" t="inlineStr"/>
      <c r="D4559" s="2" t="inlineStr"/>
      <c r="E4559" s="18" t="inlineStr"/>
    </row>
    <row r="4560" ht="20" customHeight="1">
      <c r="A4560" s="19" t="inlineStr">
        <is>
          <t>14.1.1.6. ​91992​ TOMADA ALTA DE EMBUTIR (1 MÓDULO), 2P+T 10 A, INCLUINDO SUPORTE E PLACA - FORNECIMENTO E INSTALAÇÃO. AF_03/2023​ (UN)</t>
        </is>
      </c>
      <c r="B4560" s="55" t="n"/>
      <c r="C4560" s="55" t="n"/>
      <c r="D4560" s="55" t="n"/>
      <c r="E4560" s="55" t="n"/>
      <c r="F4560" s="55" t="n"/>
      <c r="G4560" s="56" t="n"/>
    </row>
    <row r="4561" ht="15" customHeight="1">
      <c r="A4561" s="20" t="inlineStr">
        <is>
          <t>Serviço</t>
        </is>
      </c>
      <c r="B4561" s="56" t="n"/>
      <c r="C4561" s="21" t="inlineStr">
        <is>
          <t>FONTE</t>
        </is>
      </c>
      <c r="D4561" s="21" t="inlineStr">
        <is>
          <t>UNID</t>
        </is>
      </c>
      <c r="E4561" s="21" t="inlineStr">
        <is>
          <t>COEFICIENTE</t>
        </is>
      </c>
      <c r="F4561" s="21" t="inlineStr">
        <is>
          <t>PREÇO UNITÁRIO</t>
        </is>
      </c>
      <c r="G4561" s="21" t="inlineStr">
        <is>
          <t>TOTAL</t>
        </is>
      </c>
    </row>
    <row r="4562" ht="29" customHeight="1">
      <c r="A4562" s="22" t="inlineStr">
        <is>
          <t>91946</t>
        </is>
      </c>
      <c r="B4562" s="23" t="inlineStr">
        <is>
          <t>SUPORTE PARAFUSADO COM PLACA DE ENCAIXE 4" X 2" MÉDIO (1,30 M DO PISO) PARA PONTO ELÉTRICO - FORNECIMENTO E INSTALAÇÃO. AF_03/2023</t>
        </is>
      </c>
      <c r="C4562" s="22" t="inlineStr">
        <is>
          <t>SINAPI</t>
        </is>
      </c>
      <c r="D4562" s="22" t="inlineStr">
        <is>
          <t>UN</t>
        </is>
      </c>
      <c r="E4562" s="63" t="n">
        <v>1</v>
      </c>
      <c r="F4562" s="64">
        <f>'COMPOSICOES AUXILIARES'!G3435</f>
        <v/>
      </c>
      <c r="G4562" s="64">
        <f>TRUNC(TRUNC(E4562,8)*F4562,2)</f>
        <v/>
      </c>
      <c r="L4562" t="n">
        <v>1</v>
      </c>
      <c r="M4562" t="n">
        <v>11.55</v>
      </c>
      <c r="N4562">
        <f>(M4562-F4562)</f>
        <v/>
      </c>
    </row>
    <row r="4563" ht="29" customHeight="1">
      <c r="A4563" s="22" t="inlineStr">
        <is>
          <t>91990</t>
        </is>
      </c>
      <c r="B4563" s="23" t="inlineStr">
        <is>
          <t>TOMADA ALTA DE EMBUTIR (1 MÓDULO), 2P+T 10 A, SEM SUPORTE E SEM PLACA - FORNECIMENTO E INSTALAÇÃO. AF_03/2023</t>
        </is>
      </c>
      <c r="C4563" s="22" t="inlineStr">
        <is>
          <t>SINAPI</t>
        </is>
      </c>
      <c r="D4563" s="22" t="inlineStr">
        <is>
          <t>UN</t>
        </is>
      </c>
      <c r="E4563" s="63" t="n">
        <v>1</v>
      </c>
      <c r="F4563" s="64">
        <f>'COMPOSICOES AUXILIARES'!G3457</f>
        <v/>
      </c>
      <c r="G4563" s="64">
        <f>TRUNC(TRUNC(E4563,8)*F4563,2)</f>
        <v/>
      </c>
      <c r="L4563" t="n">
        <v>1</v>
      </c>
      <c r="M4563" t="n">
        <v>36.44</v>
      </c>
      <c r="N4563">
        <f>(M4563-F4563)</f>
        <v/>
      </c>
    </row>
    <row r="4564" ht="15" customHeight="1">
      <c r="A4564" s="2" t="inlineStr"/>
      <c r="B4564" s="2" t="inlineStr"/>
      <c r="C4564" s="2" t="inlineStr"/>
      <c r="D4564" s="2" t="inlineStr"/>
      <c r="E4564" s="26" t="inlineStr">
        <is>
          <t>TOTAL Serviço:</t>
        </is>
      </c>
      <c r="F4564" s="56" t="n"/>
      <c r="G4564" s="65">
        <f>SUM(G4562:G4563)</f>
        <v/>
      </c>
    </row>
    <row r="4565" ht="15" customHeight="1">
      <c r="A4565" s="2" t="inlineStr"/>
      <c r="B4565" s="2" t="inlineStr"/>
      <c r="C4565" s="2" t="inlineStr"/>
      <c r="D4565" s="2" t="inlineStr"/>
      <c r="E4565" s="28" t="inlineStr">
        <is>
          <t>VALOR:</t>
        </is>
      </c>
      <c r="F4565" s="56" t="n"/>
      <c r="G4565" s="66">
        <f>SUM(G4564)</f>
        <v/>
      </c>
    </row>
    <row r="4566" ht="15" customHeight="1">
      <c r="A4566" s="2" t="inlineStr"/>
      <c r="B4566" s="2" t="inlineStr"/>
      <c r="C4566" s="2" t="inlineStr"/>
      <c r="D4566" s="2" t="inlineStr"/>
      <c r="E4566" s="28" t="inlineStr">
        <is>
          <t>VALOR BDI (23.08%):</t>
        </is>
      </c>
      <c r="F4566" s="56" t="n"/>
      <c r="G4566" s="66">
        <f>ROUNDDOWN(G4565*BDI,2)</f>
        <v/>
      </c>
    </row>
    <row r="4567" ht="15" customHeight="1">
      <c r="A4567" s="2" t="inlineStr"/>
      <c r="B4567" s="2" t="inlineStr"/>
      <c r="C4567" s="2" t="inlineStr"/>
      <c r="D4567" s="2" t="inlineStr"/>
      <c r="E4567" s="28" t="inlineStr">
        <is>
          <t>VALOR COM BDI:</t>
        </is>
      </c>
      <c r="F4567" s="56" t="n"/>
      <c r="G4567" s="66">
        <f>G4566 + G4565</f>
        <v/>
      </c>
    </row>
    <row r="4568" ht="10" customHeight="1">
      <c r="A4568" s="2" t="inlineStr"/>
      <c r="B4568" s="2" t="inlineStr"/>
      <c r="C4568" s="2" t="inlineStr"/>
      <c r="D4568" s="2" t="inlineStr"/>
      <c r="E4568" s="18" t="inlineStr"/>
    </row>
    <row r="4569" ht="20" customHeight="1">
      <c r="A4569" s="19" t="inlineStr">
        <is>
          <t>14.1.1.7. ​92009​ TOMADA BAIXA DE EMBUTIR (2 MÓDULOS), 2P+T 20 A, INCLUINDO SUPORTE E PLACA - FORNECIMENTO E INSTALAÇÃO. AF_03/2023​ (UN)</t>
        </is>
      </c>
      <c r="B4569" s="55" t="n"/>
      <c r="C4569" s="55" t="n"/>
      <c r="D4569" s="55" t="n"/>
      <c r="E4569" s="55" t="n"/>
      <c r="F4569" s="55" t="n"/>
      <c r="G4569" s="56" t="n"/>
    </row>
    <row r="4570" ht="15" customHeight="1">
      <c r="A4570" s="20" t="inlineStr">
        <is>
          <t>Serviço</t>
        </is>
      </c>
      <c r="B4570" s="56" t="n"/>
      <c r="C4570" s="21" t="inlineStr">
        <is>
          <t>FONTE</t>
        </is>
      </c>
      <c r="D4570" s="21" t="inlineStr">
        <is>
          <t>UNID</t>
        </is>
      </c>
      <c r="E4570" s="21" t="inlineStr">
        <is>
          <t>COEFICIENTE</t>
        </is>
      </c>
      <c r="F4570" s="21" t="inlineStr">
        <is>
          <t>PREÇO UNITÁRIO</t>
        </is>
      </c>
      <c r="G4570" s="21" t="inlineStr">
        <is>
          <t>TOTAL</t>
        </is>
      </c>
    </row>
    <row r="4571" ht="29" customHeight="1">
      <c r="A4571" s="22" t="inlineStr">
        <is>
          <t>91946</t>
        </is>
      </c>
      <c r="B4571" s="23" t="inlineStr">
        <is>
          <t>SUPORTE PARAFUSADO COM PLACA DE ENCAIXE 4" X 2" MÉDIO (1,30 M DO PISO) PARA PONTO ELÉTRICO - FORNECIMENTO E INSTALAÇÃO. AF_03/2023</t>
        </is>
      </c>
      <c r="C4571" s="22" t="inlineStr">
        <is>
          <t>SINAPI</t>
        </is>
      </c>
      <c r="D4571" s="22" t="inlineStr">
        <is>
          <t>UN</t>
        </is>
      </c>
      <c r="E4571" s="63" t="n">
        <v>1</v>
      </c>
      <c r="F4571" s="64">
        <f>'COMPOSICOES AUXILIARES'!G3435</f>
        <v/>
      </c>
      <c r="G4571" s="64">
        <f>TRUNC(TRUNC(E4571,8)*F4571,2)</f>
        <v/>
      </c>
      <c r="L4571" t="n">
        <v>1</v>
      </c>
      <c r="M4571" t="n">
        <v>11.55</v>
      </c>
      <c r="N4571">
        <f>(M4571-F4571)</f>
        <v/>
      </c>
    </row>
    <row r="4572" ht="29" customHeight="1">
      <c r="A4572" s="22" t="inlineStr">
        <is>
          <t>92007</t>
        </is>
      </c>
      <c r="B4572" s="23" t="inlineStr">
        <is>
          <t>TOMADA BAIXA DE EMBUTIR (2 MÓDULOS), 2P+T 20 A, SEM SUPORTE E SEM PLACA - FORNECIMENTO E INSTALAÇÃO. AF_03/2023</t>
        </is>
      </c>
      <c r="C4572" s="22" t="inlineStr">
        <is>
          <t>SINAPI</t>
        </is>
      </c>
      <c r="D4572" s="22" t="inlineStr">
        <is>
          <t>UN</t>
        </is>
      </c>
      <c r="E4572" s="63" t="n">
        <v>1</v>
      </c>
      <c r="F4572" s="64">
        <f>'COMPOSICOES AUXILIARES'!G3481</f>
        <v/>
      </c>
      <c r="G4572" s="64">
        <f>TRUNC(TRUNC(E4572,8)*F4572,2)</f>
        <v/>
      </c>
      <c r="L4572" t="n">
        <v>1</v>
      </c>
      <c r="M4572" t="n">
        <v>43.46</v>
      </c>
      <c r="N4572">
        <f>(M4572-F4572)</f>
        <v/>
      </c>
    </row>
    <row r="4573" ht="15" customHeight="1">
      <c r="A4573" s="2" t="inlineStr"/>
      <c r="B4573" s="2" t="inlineStr"/>
      <c r="C4573" s="2" t="inlineStr"/>
      <c r="D4573" s="2" t="inlineStr"/>
      <c r="E4573" s="26" t="inlineStr">
        <is>
          <t>TOTAL Serviço:</t>
        </is>
      </c>
      <c r="F4573" s="56" t="n"/>
      <c r="G4573" s="65">
        <f>SUM(G4571:G4572)</f>
        <v/>
      </c>
    </row>
    <row r="4574" ht="15" customHeight="1">
      <c r="A4574" s="2" t="inlineStr"/>
      <c r="B4574" s="2" t="inlineStr"/>
      <c r="C4574" s="2" t="inlineStr"/>
      <c r="D4574" s="2" t="inlineStr"/>
      <c r="E4574" s="28" t="inlineStr">
        <is>
          <t>VALOR:</t>
        </is>
      </c>
      <c r="F4574" s="56" t="n"/>
      <c r="G4574" s="66">
        <f>SUM(G4573)</f>
        <v/>
      </c>
    </row>
    <row r="4575" ht="15" customHeight="1">
      <c r="A4575" s="2" t="inlineStr"/>
      <c r="B4575" s="2" t="inlineStr"/>
      <c r="C4575" s="2" t="inlineStr"/>
      <c r="D4575" s="2" t="inlineStr"/>
      <c r="E4575" s="28" t="inlineStr">
        <is>
          <t>VALOR BDI (23.08%):</t>
        </is>
      </c>
      <c r="F4575" s="56" t="n"/>
      <c r="G4575" s="66">
        <f>ROUNDDOWN(G4574*BDI,2)</f>
        <v/>
      </c>
    </row>
    <row r="4576" ht="15" customHeight="1">
      <c r="A4576" s="2" t="inlineStr"/>
      <c r="B4576" s="2" t="inlineStr"/>
      <c r="C4576" s="2" t="inlineStr"/>
      <c r="D4576" s="2" t="inlineStr"/>
      <c r="E4576" s="28" t="inlineStr">
        <is>
          <t>VALOR COM BDI:</t>
        </is>
      </c>
      <c r="F4576" s="56" t="n"/>
      <c r="G4576" s="66">
        <f>G4575 + G4574</f>
        <v/>
      </c>
    </row>
    <row r="4577" ht="10" customHeight="1">
      <c r="A4577" s="2" t="inlineStr"/>
      <c r="B4577" s="2" t="inlineStr"/>
      <c r="C4577" s="2" t="inlineStr"/>
      <c r="D4577" s="2" t="inlineStr"/>
      <c r="E4577" s="18" t="inlineStr"/>
    </row>
    <row r="4578" ht="20" customHeight="1">
      <c r="A4578" s="19" t="inlineStr">
        <is>
          <t>14.1.1.8. ​91997​ TOMADA MÉDIA DE EMBUTIR (1 MÓDULO), 2P+T 20 A, INCLUINDO SUPORTE E PLACA - FORNECIMENTO E INSTALAÇÃO. AF_03/2023​ (UN)</t>
        </is>
      </c>
      <c r="B4578" s="55" t="n"/>
      <c r="C4578" s="55" t="n"/>
      <c r="D4578" s="55" t="n"/>
      <c r="E4578" s="55" t="n"/>
      <c r="F4578" s="55" t="n"/>
      <c r="G4578" s="56" t="n"/>
    </row>
    <row r="4579" ht="15" customHeight="1">
      <c r="A4579" s="20" t="inlineStr">
        <is>
          <t>Serviço</t>
        </is>
      </c>
      <c r="B4579" s="56" t="n"/>
      <c r="C4579" s="21" t="inlineStr">
        <is>
          <t>FONTE</t>
        </is>
      </c>
      <c r="D4579" s="21" t="inlineStr">
        <is>
          <t>UNID</t>
        </is>
      </c>
      <c r="E4579" s="21" t="inlineStr">
        <is>
          <t>COEFICIENTE</t>
        </is>
      </c>
      <c r="F4579" s="21" t="inlineStr">
        <is>
          <t>PREÇO UNITÁRIO</t>
        </is>
      </c>
      <c r="G4579" s="21" t="inlineStr">
        <is>
          <t>TOTAL</t>
        </is>
      </c>
    </row>
    <row r="4580" ht="29" customHeight="1">
      <c r="A4580" s="22" t="inlineStr">
        <is>
          <t>91946</t>
        </is>
      </c>
      <c r="B4580" s="23" t="inlineStr">
        <is>
          <t>SUPORTE PARAFUSADO COM PLACA DE ENCAIXE 4" X 2" MÉDIO (1,30 M DO PISO) PARA PONTO ELÉTRICO - FORNECIMENTO E INSTALAÇÃO. AF_03/2023</t>
        </is>
      </c>
      <c r="C4580" s="22" t="inlineStr">
        <is>
          <t>SINAPI</t>
        </is>
      </c>
      <c r="D4580" s="22" t="inlineStr">
        <is>
          <t>UN</t>
        </is>
      </c>
      <c r="E4580" s="63" t="n">
        <v>1</v>
      </c>
      <c r="F4580" s="64">
        <f>'COMPOSICOES AUXILIARES'!G3435</f>
        <v/>
      </c>
      <c r="G4580" s="64">
        <f>TRUNC(TRUNC(E4580,8)*F4580,2)</f>
        <v/>
      </c>
      <c r="L4580" t="n">
        <v>1</v>
      </c>
      <c r="M4580" t="n">
        <v>11.55</v>
      </c>
      <c r="N4580">
        <f>(M4580-F4580)</f>
        <v/>
      </c>
    </row>
    <row r="4581" ht="29" customHeight="1">
      <c r="A4581" s="22" t="inlineStr">
        <is>
          <t>91995</t>
        </is>
      </c>
      <c r="B4581" s="23" t="inlineStr">
        <is>
          <t>TOMADA MÉDIA DE EMBUTIR (1 MÓDULO), 2P+T 20 A, SEM SUPORTE E SEM PLACA - FORNECIMENTO E INSTALAÇÃO. AF_03/2023</t>
        </is>
      </c>
      <c r="C4581" s="22" t="inlineStr">
        <is>
          <t>SINAPI</t>
        </is>
      </c>
      <c r="D4581" s="22" t="inlineStr">
        <is>
          <t>UN</t>
        </is>
      </c>
      <c r="E4581" s="63" t="n">
        <v>1</v>
      </c>
      <c r="F4581" s="64">
        <f>'COMPOSICOES AUXILIARES'!G3529</f>
        <v/>
      </c>
      <c r="G4581" s="64">
        <f>TRUNC(TRUNC(E4581,8)*F4581,2)</f>
        <v/>
      </c>
      <c r="L4581" t="n">
        <v>1</v>
      </c>
      <c r="M4581" t="n">
        <v>27.71</v>
      </c>
      <c r="N4581">
        <f>(M4581-F4581)</f>
        <v/>
      </c>
    </row>
    <row r="4582" ht="15" customHeight="1">
      <c r="A4582" s="2" t="inlineStr"/>
      <c r="B4582" s="2" t="inlineStr"/>
      <c r="C4582" s="2" t="inlineStr"/>
      <c r="D4582" s="2" t="inlineStr"/>
      <c r="E4582" s="26" t="inlineStr">
        <is>
          <t>TOTAL Serviço:</t>
        </is>
      </c>
      <c r="F4582" s="56" t="n"/>
      <c r="G4582" s="65">
        <f>SUM(G4580:G4581)</f>
        <v/>
      </c>
    </row>
    <row r="4583" ht="15" customHeight="1">
      <c r="A4583" s="2" t="inlineStr"/>
      <c r="B4583" s="2" t="inlineStr"/>
      <c r="C4583" s="2" t="inlineStr"/>
      <c r="D4583" s="2" t="inlineStr"/>
      <c r="E4583" s="28" t="inlineStr">
        <is>
          <t>VALOR:</t>
        </is>
      </c>
      <c r="F4583" s="56" t="n"/>
      <c r="G4583" s="66">
        <f>SUM(G4582)</f>
        <v/>
      </c>
    </row>
    <row r="4584" ht="15" customHeight="1">
      <c r="A4584" s="2" t="inlineStr"/>
      <c r="B4584" s="2" t="inlineStr"/>
      <c r="C4584" s="2" t="inlineStr"/>
      <c r="D4584" s="2" t="inlineStr"/>
      <c r="E4584" s="28" t="inlineStr">
        <is>
          <t>VALOR BDI (23.08%):</t>
        </is>
      </c>
      <c r="F4584" s="56" t="n"/>
      <c r="G4584" s="66">
        <f>ROUNDDOWN(G4583*BDI,2)</f>
        <v/>
      </c>
    </row>
    <row r="4585" ht="15" customHeight="1">
      <c r="A4585" s="2" t="inlineStr"/>
      <c r="B4585" s="2" t="inlineStr"/>
      <c r="C4585" s="2" t="inlineStr"/>
      <c r="D4585" s="2" t="inlineStr"/>
      <c r="E4585" s="28" t="inlineStr">
        <is>
          <t>VALOR COM BDI:</t>
        </is>
      </c>
      <c r="F4585" s="56" t="n"/>
      <c r="G4585" s="66">
        <f>G4584 + G4583</f>
        <v/>
      </c>
    </row>
    <row r="4586" ht="10" customHeight="1">
      <c r="A4586" s="2" t="inlineStr"/>
      <c r="B4586" s="2" t="inlineStr"/>
      <c r="C4586" s="2" t="inlineStr"/>
      <c r="D4586" s="2" t="inlineStr"/>
      <c r="E4586" s="18" t="inlineStr"/>
    </row>
    <row r="4587" ht="20" customHeight="1">
      <c r="A4587" s="19" t="inlineStr">
        <is>
          <t>14.1.1.9. ​91996​ TOMADA MÉDIA DE EMBUTIR (1 MÓDULO), 2P+T 10 A, INCLUINDO SUPORTE E PLACA - FORNECIMENTO E INSTALAÇÃO. AF_03/2023​ (UN)</t>
        </is>
      </c>
      <c r="B4587" s="55" t="n"/>
      <c r="C4587" s="55" t="n"/>
      <c r="D4587" s="55" t="n"/>
      <c r="E4587" s="55" t="n"/>
      <c r="F4587" s="55" t="n"/>
      <c r="G4587" s="56" t="n"/>
    </row>
    <row r="4588" ht="15" customHeight="1">
      <c r="A4588" s="20" t="inlineStr">
        <is>
          <t>Serviço</t>
        </is>
      </c>
      <c r="B4588" s="56" t="n"/>
      <c r="C4588" s="21" t="inlineStr">
        <is>
          <t>FONTE</t>
        </is>
      </c>
      <c r="D4588" s="21" t="inlineStr">
        <is>
          <t>UNID</t>
        </is>
      </c>
      <c r="E4588" s="21" t="inlineStr">
        <is>
          <t>COEFICIENTE</t>
        </is>
      </c>
      <c r="F4588" s="21" t="inlineStr">
        <is>
          <t>PREÇO UNITÁRIO</t>
        </is>
      </c>
      <c r="G4588" s="21" t="inlineStr">
        <is>
          <t>TOTAL</t>
        </is>
      </c>
    </row>
    <row r="4589" ht="29" customHeight="1">
      <c r="A4589" s="22" t="inlineStr">
        <is>
          <t>91946</t>
        </is>
      </c>
      <c r="B4589" s="23" t="inlineStr">
        <is>
          <t>SUPORTE PARAFUSADO COM PLACA DE ENCAIXE 4" X 2" MÉDIO (1,30 M DO PISO) PARA PONTO ELÉTRICO - FORNECIMENTO E INSTALAÇÃO. AF_03/2023</t>
        </is>
      </c>
      <c r="C4589" s="22" t="inlineStr">
        <is>
          <t>SINAPI</t>
        </is>
      </c>
      <c r="D4589" s="22" t="inlineStr">
        <is>
          <t>UN</t>
        </is>
      </c>
      <c r="E4589" s="63" t="n">
        <v>1</v>
      </c>
      <c r="F4589" s="64">
        <f>'COMPOSICOES AUXILIARES'!G3435</f>
        <v/>
      </c>
      <c r="G4589" s="64">
        <f>TRUNC(TRUNC(E4589,8)*F4589,2)</f>
        <v/>
      </c>
      <c r="L4589" t="n">
        <v>1</v>
      </c>
      <c r="M4589" t="n">
        <v>11.55</v>
      </c>
      <c r="N4589">
        <f>(M4589-F4589)</f>
        <v/>
      </c>
    </row>
    <row r="4590" ht="29" customHeight="1">
      <c r="A4590" s="22" t="inlineStr">
        <is>
          <t>91994</t>
        </is>
      </c>
      <c r="B4590" s="23" t="inlineStr">
        <is>
          <t>TOMADA MÉDIA DE EMBUTIR (1 MÓDULO), 2P+T 10 A, SEM SUPORTE E SEM PLACA - FORNECIMENTO E INSTALAÇÃO. AF_03/2023</t>
        </is>
      </c>
      <c r="C4590" s="22" t="inlineStr">
        <is>
          <t>SINAPI</t>
        </is>
      </c>
      <c r="D4590" s="22" t="inlineStr">
        <is>
          <t>UN</t>
        </is>
      </c>
      <c r="E4590" s="63" t="n">
        <v>1</v>
      </c>
      <c r="F4590" s="64">
        <f>'COMPOSICOES AUXILIARES'!G3517</f>
        <v/>
      </c>
      <c r="G4590" s="64">
        <f>TRUNC(TRUNC(E4590,8)*F4590,2)</f>
        <v/>
      </c>
      <c r="L4590" t="n">
        <v>1</v>
      </c>
      <c r="M4590" t="n">
        <v>25.54</v>
      </c>
      <c r="N4590">
        <f>(M4590-F4590)</f>
        <v/>
      </c>
    </row>
    <row r="4591" ht="15" customHeight="1">
      <c r="A4591" s="2" t="inlineStr"/>
      <c r="B4591" s="2" t="inlineStr"/>
      <c r="C4591" s="2" t="inlineStr"/>
      <c r="D4591" s="2" t="inlineStr"/>
      <c r="E4591" s="26" t="inlineStr">
        <is>
          <t>TOTAL Serviço:</t>
        </is>
      </c>
      <c r="F4591" s="56" t="n"/>
      <c r="G4591" s="65">
        <f>SUM(G4589:G4590)</f>
        <v/>
      </c>
    </row>
    <row r="4592" ht="15" customHeight="1">
      <c r="A4592" s="2" t="inlineStr"/>
      <c r="B4592" s="2" t="inlineStr"/>
      <c r="C4592" s="2" t="inlineStr"/>
      <c r="D4592" s="2" t="inlineStr"/>
      <c r="E4592" s="28" t="inlineStr">
        <is>
          <t>VALOR:</t>
        </is>
      </c>
      <c r="F4592" s="56" t="n"/>
      <c r="G4592" s="66">
        <f>SUM(G4591)</f>
        <v/>
      </c>
    </row>
    <row r="4593" ht="15" customHeight="1">
      <c r="A4593" s="2" t="inlineStr"/>
      <c r="B4593" s="2" t="inlineStr"/>
      <c r="C4593" s="2" t="inlineStr"/>
      <c r="D4593" s="2" t="inlineStr"/>
      <c r="E4593" s="28" t="inlineStr">
        <is>
          <t>VALOR BDI (23.08%):</t>
        </is>
      </c>
      <c r="F4593" s="56" t="n"/>
      <c r="G4593" s="66">
        <f>ROUNDDOWN(G4592*BDI,2)</f>
        <v/>
      </c>
    </row>
    <row r="4594" ht="15" customHeight="1">
      <c r="A4594" s="2" t="inlineStr"/>
      <c r="B4594" s="2" t="inlineStr"/>
      <c r="C4594" s="2" t="inlineStr"/>
      <c r="D4594" s="2" t="inlineStr"/>
      <c r="E4594" s="28" t="inlineStr">
        <is>
          <t>VALOR COM BDI:</t>
        </is>
      </c>
      <c r="F4594" s="56" t="n"/>
      <c r="G4594" s="66">
        <f>G4593 + G4592</f>
        <v/>
      </c>
    </row>
    <row r="4595" ht="10" customHeight="1">
      <c r="A4595" s="2" t="inlineStr"/>
      <c r="B4595" s="2" t="inlineStr"/>
      <c r="C4595" s="2" t="inlineStr"/>
      <c r="D4595" s="2" t="inlineStr"/>
      <c r="E4595" s="18" t="inlineStr"/>
    </row>
    <row r="4596" ht="20" customHeight="1">
      <c r="A4596" s="19" t="inlineStr">
        <is>
          <t>14.1.1.10. ​C5176​ CAIXA DE PISO 4"X4", EM ALUMÍNIO​ (UN)</t>
        </is>
      </c>
      <c r="B4596" s="55" t="n"/>
      <c r="C4596" s="55" t="n"/>
      <c r="D4596" s="55" t="n"/>
      <c r="E4596" s="55" t="n"/>
      <c r="F4596" s="55" t="n"/>
      <c r="G4596" s="56" t="n"/>
    </row>
    <row r="4597" ht="15" customHeight="1">
      <c r="A4597" s="20" t="inlineStr">
        <is>
          <t>Material</t>
        </is>
      </c>
      <c r="B4597" s="56" t="n"/>
      <c r="C4597" s="21" t="inlineStr">
        <is>
          <t>FONTE</t>
        </is>
      </c>
      <c r="D4597" s="21" t="inlineStr">
        <is>
          <t>UNID</t>
        </is>
      </c>
      <c r="E4597" s="21" t="inlineStr">
        <is>
          <t>COEFICIENTE</t>
        </is>
      </c>
      <c r="F4597" s="21" t="inlineStr">
        <is>
          <t>PREÇO UNITÁRIO</t>
        </is>
      </c>
      <c r="G4597" s="21" t="inlineStr">
        <is>
          <t>TOTAL</t>
        </is>
      </c>
    </row>
    <row r="4598" ht="15" customHeight="1">
      <c r="A4598" s="22" t="inlineStr">
        <is>
          <t>I10251</t>
        </is>
      </c>
      <c r="B4598" s="23" t="inlineStr">
        <is>
          <t>CAIXA DE PISO 4"X4", EM ALUMÍNIO</t>
        </is>
      </c>
      <c r="C4598" s="22" t="inlineStr">
        <is>
          <t>SEINFRA</t>
        </is>
      </c>
      <c r="D4598" s="22" t="inlineStr">
        <is>
          <t>UN</t>
        </is>
      </c>
      <c r="E4598" s="63" t="n">
        <v>1</v>
      </c>
      <c r="F4598" s="67">
        <f>ROUND(M4598*FATOR, 2)</f>
        <v/>
      </c>
      <c r="G4598" s="67">
        <f>ROUND(ROUND(E4598,8)*F4598,4)</f>
        <v/>
      </c>
      <c r="L4598" t="n">
        <v>1</v>
      </c>
      <c r="M4598" t="n">
        <v>23.96</v>
      </c>
      <c r="N4598">
        <f>(M4598-F4598)</f>
        <v/>
      </c>
    </row>
    <row r="4599" ht="15" customHeight="1">
      <c r="A4599" s="2" t="inlineStr"/>
      <c r="B4599" s="2" t="inlineStr"/>
      <c r="C4599" s="2" t="inlineStr"/>
      <c r="D4599" s="2" t="inlineStr"/>
      <c r="E4599" s="26" t="inlineStr">
        <is>
          <t>TOTAL Material:</t>
        </is>
      </c>
      <c r="F4599" s="56" t="n"/>
      <c r="G4599" s="68">
        <f>SUM(G4598:G4598)</f>
        <v/>
      </c>
    </row>
    <row r="4600" ht="15" customHeight="1">
      <c r="A4600" s="20" t="inlineStr">
        <is>
          <t>Mão de Obra</t>
        </is>
      </c>
      <c r="B4600" s="56" t="n"/>
      <c r="C4600" s="21" t="inlineStr">
        <is>
          <t>FONTE</t>
        </is>
      </c>
      <c r="D4600" s="21" t="inlineStr">
        <is>
          <t>UNID</t>
        </is>
      </c>
      <c r="E4600" s="21" t="inlineStr">
        <is>
          <t>COEFICIENTE</t>
        </is>
      </c>
      <c r="F4600" s="21" t="inlineStr">
        <is>
          <t>PREÇO UNITÁRIO</t>
        </is>
      </c>
      <c r="G4600" s="21" t="inlineStr">
        <is>
          <t>TOTAL</t>
        </is>
      </c>
    </row>
    <row r="4601" ht="15" customHeight="1">
      <c r="A4601" s="22" t="inlineStr">
        <is>
          <t>I0042</t>
        </is>
      </c>
      <c r="B4601" s="23" t="inlineStr">
        <is>
          <t>AJUDANTE DE ELETRICISTA</t>
        </is>
      </c>
      <c r="C4601" s="22" t="inlineStr">
        <is>
          <t>SEINFRA</t>
        </is>
      </c>
      <c r="D4601" s="22" t="inlineStr">
        <is>
          <t>H</t>
        </is>
      </c>
      <c r="E4601" s="63">
        <f>L4601*FATOR</f>
        <v/>
      </c>
      <c r="F4601" s="67" t="n">
        <v>21.1</v>
      </c>
      <c r="G4601" s="67">
        <f>ROUND(ROUND(E4601,8)*F4601,4)</f>
        <v/>
      </c>
      <c r="L4601" t="n">
        <v>0.45</v>
      </c>
      <c r="M4601" t="n">
        <v>21.1</v>
      </c>
      <c r="N4601">
        <f>(M4601-F4601)</f>
        <v/>
      </c>
    </row>
    <row r="4602" ht="15" customHeight="1">
      <c r="A4602" s="22" t="inlineStr">
        <is>
          <t>I2312</t>
        </is>
      </c>
      <c r="B4602" s="23" t="inlineStr">
        <is>
          <t>ELETRICISTA</t>
        </is>
      </c>
      <c r="C4602" s="22" t="inlineStr">
        <is>
          <t>SEINFRA</t>
        </is>
      </c>
      <c r="D4602" s="22" t="inlineStr">
        <is>
          <t>H</t>
        </is>
      </c>
      <c r="E4602" s="63">
        <f>L4602*FATOR</f>
        <v/>
      </c>
      <c r="F4602" s="67" t="n">
        <v>26.85</v>
      </c>
      <c r="G4602" s="67">
        <f>ROUND(ROUND(E4602,8)*F4602,4)</f>
        <v/>
      </c>
      <c r="L4602" t="n">
        <v>0.45</v>
      </c>
      <c r="M4602" t="n">
        <v>26.85</v>
      </c>
      <c r="N4602">
        <f>(M4602-F4602)</f>
        <v/>
      </c>
    </row>
    <row r="4603" ht="15" customHeight="1">
      <c r="A4603" s="2" t="inlineStr"/>
      <c r="B4603" s="2" t="inlineStr"/>
      <c r="C4603" s="2" t="inlineStr"/>
      <c r="D4603" s="2" t="inlineStr"/>
      <c r="E4603" s="26" t="inlineStr">
        <is>
          <t>TOTAL Mão de Obra:</t>
        </is>
      </c>
      <c r="F4603" s="56" t="n"/>
      <c r="G4603" s="68">
        <f>SUM(G4601:G4602)</f>
        <v/>
      </c>
    </row>
    <row r="4604" ht="15" customHeight="1">
      <c r="A4604" s="2" t="inlineStr"/>
      <c r="B4604" s="2" t="inlineStr"/>
      <c r="C4604" s="2" t="inlineStr"/>
      <c r="D4604" s="2" t="inlineStr"/>
      <c r="E4604" s="28" t="inlineStr">
        <is>
          <t>VALOR:</t>
        </is>
      </c>
      <c r="F4604" s="56" t="n"/>
      <c r="G4604" s="66">
        <f>SUM(G4603,G4599)</f>
        <v/>
      </c>
    </row>
    <row r="4605" ht="15" customHeight="1">
      <c r="A4605" s="2" t="inlineStr"/>
      <c r="B4605" s="2" t="inlineStr"/>
      <c r="C4605" s="2" t="inlineStr"/>
      <c r="D4605" s="2" t="inlineStr"/>
      <c r="E4605" s="28" t="inlineStr">
        <is>
          <t>VALOR BDI (23.08%):</t>
        </is>
      </c>
      <c r="F4605" s="56" t="n"/>
      <c r="G4605" s="66">
        <f>ROUNDDOWN(G4604*BDI,2)</f>
        <v/>
      </c>
    </row>
    <row r="4606" ht="15" customHeight="1">
      <c r="A4606" s="2" t="inlineStr"/>
      <c r="B4606" s="2" t="inlineStr"/>
      <c r="C4606" s="2" t="inlineStr"/>
      <c r="D4606" s="2" t="inlineStr"/>
      <c r="E4606" s="28" t="inlineStr">
        <is>
          <t>VALOR COM BDI:</t>
        </is>
      </c>
      <c r="F4606" s="56" t="n"/>
      <c r="G4606" s="66">
        <f>G4605 + G4604</f>
        <v/>
      </c>
    </row>
    <row r="4607" ht="10" customHeight="1">
      <c r="A4607" s="2" t="inlineStr"/>
      <c r="B4607" s="2" t="inlineStr"/>
      <c r="C4607" s="2" t="inlineStr"/>
      <c r="D4607" s="2" t="inlineStr"/>
      <c r="E4607" s="18" t="inlineStr"/>
    </row>
    <row r="4608" ht="20" customHeight="1">
      <c r="A4608" s="19" t="inlineStr">
        <is>
          <t>14.1.1.11. ​C4793​ TOMADA SIMPLES DE PISO 2P+T 20A-250V C/ PLACA EM LATÃO CAIXA 4"X2" (NÃO INCLUI A CAIXA)​ (UN)</t>
        </is>
      </c>
      <c r="B4608" s="55" t="n"/>
      <c r="C4608" s="55" t="n"/>
      <c r="D4608" s="55" t="n"/>
      <c r="E4608" s="55" t="n"/>
      <c r="F4608" s="55" t="n"/>
      <c r="G4608" s="56" t="n"/>
    </row>
    <row r="4609" ht="15" customHeight="1">
      <c r="A4609" s="20" t="inlineStr">
        <is>
          <t>Material</t>
        </is>
      </c>
      <c r="B4609" s="56" t="n"/>
      <c r="C4609" s="21" t="inlineStr">
        <is>
          <t>FONTE</t>
        </is>
      </c>
      <c r="D4609" s="21" t="inlineStr">
        <is>
          <t>UNID</t>
        </is>
      </c>
      <c r="E4609" s="21" t="inlineStr">
        <is>
          <t>COEFICIENTE</t>
        </is>
      </c>
      <c r="F4609" s="21" t="inlineStr">
        <is>
          <t>PREÇO UNITÁRIO</t>
        </is>
      </c>
      <c r="G4609" s="21" t="inlineStr">
        <is>
          <t>TOTAL</t>
        </is>
      </c>
    </row>
    <row r="4610" ht="21" customHeight="1">
      <c r="A4610" s="22" t="inlineStr">
        <is>
          <t>I9412</t>
        </is>
      </c>
      <c r="B4610" s="23" t="inlineStr">
        <is>
          <t>PLACA/TAMPA PARA TOMADA DE PISO 4"X2" EM INOX OU LATÃO</t>
        </is>
      </c>
      <c r="C4610" s="22" t="inlineStr">
        <is>
          <t>SEINFRA</t>
        </is>
      </c>
      <c r="D4610" s="22" t="inlineStr">
        <is>
          <t>UN</t>
        </is>
      </c>
      <c r="E4610" s="63" t="n">
        <v>1</v>
      </c>
      <c r="F4610" s="67">
        <f>ROUND(M4610*FATOR, 2)</f>
        <v/>
      </c>
      <c r="G4610" s="67">
        <f>ROUND(ROUND(E4610,8)*F4610,4)</f>
        <v/>
      </c>
      <c r="L4610" t="n">
        <v>1</v>
      </c>
      <c r="M4610" t="n">
        <v>16.83</v>
      </c>
      <c r="N4610">
        <f>(M4610-F4610)</f>
        <v/>
      </c>
    </row>
    <row r="4611" ht="15" customHeight="1">
      <c r="A4611" s="22" t="inlineStr">
        <is>
          <t>I2107</t>
        </is>
      </c>
      <c r="B4611" s="23" t="inlineStr">
        <is>
          <t>TOMADA 2P+T 20A, 250V (APENAS MÓDULO)</t>
        </is>
      </c>
      <c r="C4611" s="22" t="inlineStr">
        <is>
          <t>SEINFRA</t>
        </is>
      </c>
      <c r="D4611" s="22" t="inlineStr">
        <is>
          <t>UN</t>
        </is>
      </c>
      <c r="E4611" s="63" t="n">
        <v>1</v>
      </c>
      <c r="F4611" s="67">
        <f>ROUND(M4611*FATOR, 2)</f>
        <v/>
      </c>
      <c r="G4611" s="67">
        <f>ROUND(ROUND(E4611,8)*F4611,4)</f>
        <v/>
      </c>
      <c r="L4611" t="n">
        <v>1</v>
      </c>
      <c r="M4611" t="n">
        <v>10.74</v>
      </c>
      <c r="N4611">
        <f>(M4611-F4611)</f>
        <v/>
      </c>
    </row>
    <row r="4612" ht="15" customHeight="1">
      <c r="A4612" s="2" t="inlineStr"/>
      <c r="B4612" s="2" t="inlineStr"/>
      <c r="C4612" s="2" t="inlineStr"/>
      <c r="D4612" s="2" t="inlineStr"/>
      <c r="E4612" s="26" t="inlineStr">
        <is>
          <t>TOTAL Material:</t>
        </is>
      </c>
      <c r="F4612" s="56" t="n"/>
      <c r="G4612" s="68">
        <f>SUM(G4610:G4611)</f>
        <v/>
      </c>
    </row>
    <row r="4613" ht="15" customHeight="1">
      <c r="A4613" s="20" t="inlineStr">
        <is>
          <t>Mão de Obra</t>
        </is>
      </c>
      <c r="B4613" s="56" t="n"/>
      <c r="C4613" s="21" t="inlineStr">
        <is>
          <t>FONTE</t>
        </is>
      </c>
      <c r="D4613" s="21" t="inlineStr">
        <is>
          <t>UNID</t>
        </is>
      </c>
      <c r="E4613" s="21" t="inlineStr">
        <is>
          <t>COEFICIENTE</t>
        </is>
      </c>
      <c r="F4613" s="21" t="inlineStr">
        <is>
          <t>PREÇO UNITÁRIO</t>
        </is>
      </c>
      <c r="G4613" s="21" t="inlineStr">
        <is>
          <t>TOTAL</t>
        </is>
      </c>
    </row>
    <row r="4614" ht="15" customHeight="1">
      <c r="A4614" s="22" t="inlineStr">
        <is>
          <t>I0042</t>
        </is>
      </c>
      <c r="B4614" s="23" t="inlineStr">
        <is>
          <t>AJUDANTE DE ELETRICISTA</t>
        </is>
      </c>
      <c r="C4614" s="22" t="inlineStr">
        <is>
          <t>SEINFRA</t>
        </is>
      </c>
      <c r="D4614" s="22" t="inlineStr">
        <is>
          <t>H</t>
        </is>
      </c>
      <c r="E4614" s="63">
        <f>L4614*FATOR</f>
        <v/>
      </c>
      <c r="F4614" s="67" t="n">
        <v>21.1</v>
      </c>
      <c r="G4614" s="67">
        <f>ROUND(ROUND(E4614,8)*F4614,4)</f>
        <v/>
      </c>
      <c r="L4614" t="n">
        <v>0.75</v>
      </c>
      <c r="M4614" t="n">
        <v>21.1</v>
      </c>
      <c r="N4614">
        <f>(M4614-F4614)</f>
        <v/>
      </c>
    </row>
    <row r="4615" ht="15" customHeight="1">
      <c r="A4615" s="22" t="inlineStr">
        <is>
          <t>I2312</t>
        </is>
      </c>
      <c r="B4615" s="23" t="inlineStr">
        <is>
          <t>ELETRICISTA</t>
        </is>
      </c>
      <c r="C4615" s="22" t="inlineStr">
        <is>
          <t>SEINFRA</t>
        </is>
      </c>
      <c r="D4615" s="22" t="inlineStr">
        <is>
          <t>H</t>
        </is>
      </c>
      <c r="E4615" s="63">
        <f>L4615*FATOR</f>
        <v/>
      </c>
      <c r="F4615" s="67" t="n">
        <v>26.85</v>
      </c>
      <c r="G4615" s="67">
        <f>ROUND(ROUND(E4615,8)*F4615,4)</f>
        <v/>
      </c>
      <c r="L4615" t="n">
        <v>0.75</v>
      </c>
      <c r="M4615" t="n">
        <v>26.85</v>
      </c>
      <c r="N4615">
        <f>(M4615-F4615)</f>
        <v/>
      </c>
    </row>
    <row r="4616" ht="15" customHeight="1">
      <c r="A4616" s="2" t="inlineStr"/>
      <c r="B4616" s="2" t="inlineStr"/>
      <c r="C4616" s="2" t="inlineStr"/>
      <c r="D4616" s="2" t="inlineStr"/>
      <c r="E4616" s="26" t="inlineStr">
        <is>
          <t>TOTAL Mão de Obra:</t>
        </is>
      </c>
      <c r="F4616" s="56" t="n"/>
      <c r="G4616" s="68">
        <f>SUM(G4614:G4615)</f>
        <v/>
      </c>
    </row>
    <row r="4617" ht="15" customHeight="1">
      <c r="A4617" s="2" t="inlineStr"/>
      <c r="B4617" s="2" t="inlineStr"/>
      <c r="C4617" s="2" t="inlineStr"/>
      <c r="D4617" s="2" t="inlineStr"/>
      <c r="E4617" s="28" t="inlineStr">
        <is>
          <t>VALOR:</t>
        </is>
      </c>
      <c r="F4617" s="56" t="n"/>
      <c r="G4617" s="66">
        <f>SUM(G4616,G4612)</f>
        <v/>
      </c>
    </row>
    <row r="4618" ht="15" customHeight="1">
      <c r="A4618" s="2" t="inlineStr"/>
      <c r="B4618" s="2" t="inlineStr"/>
      <c r="C4618" s="2" t="inlineStr"/>
      <c r="D4618" s="2" t="inlineStr"/>
      <c r="E4618" s="28" t="inlineStr">
        <is>
          <t>VALOR BDI (23.08%):</t>
        </is>
      </c>
      <c r="F4618" s="56" t="n"/>
      <c r="G4618" s="66">
        <f>ROUNDDOWN(G4617*BDI,2)</f>
        <v/>
      </c>
    </row>
    <row r="4619" ht="15" customHeight="1">
      <c r="A4619" s="2" t="inlineStr"/>
      <c r="B4619" s="2" t="inlineStr"/>
      <c r="C4619" s="2" t="inlineStr"/>
      <c r="D4619" s="2" t="inlineStr"/>
      <c r="E4619" s="28" t="inlineStr">
        <is>
          <t>VALOR COM BDI:</t>
        </is>
      </c>
      <c r="F4619" s="56" t="n"/>
      <c r="G4619" s="66">
        <f>G4618 + G4617</f>
        <v/>
      </c>
    </row>
    <row r="4620" ht="10" customHeight="1">
      <c r="A4620" s="2" t="inlineStr"/>
      <c r="B4620" s="2" t="inlineStr"/>
      <c r="C4620" s="2" t="inlineStr"/>
      <c r="D4620" s="2" t="inlineStr"/>
      <c r="E4620" s="18" t="inlineStr"/>
    </row>
    <row r="4621" ht="20" customHeight="1">
      <c r="A4621" s="19" t="inlineStr">
        <is>
          <t>14.1.2.1. ​98307​ TOMADA DE REDE RJ45 - FORNECIMENTO E INSTALAÇÃO. AF_08/2025​ (UN)</t>
        </is>
      </c>
      <c r="B4621" s="55" t="n"/>
      <c r="C4621" s="55" t="n"/>
      <c r="D4621" s="55" t="n"/>
      <c r="E4621" s="55" t="n"/>
      <c r="F4621" s="55" t="n"/>
      <c r="G4621" s="56" t="n"/>
    </row>
    <row r="4622" ht="15" customHeight="1">
      <c r="A4622" s="20" t="inlineStr">
        <is>
          <t>Material</t>
        </is>
      </c>
      <c r="B4622" s="56" t="n"/>
      <c r="C4622" s="21" t="inlineStr">
        <is>
          <t>FONTE</t>
        </is>
      </c>
      <c r="D4622" s="21" t="inlineStr">
        <is>
          <t>UNID</t>
        </is>
      </c>
      <c r="E4622" s="21" t="inlineStr">
        <is>
          <t>COEFICIENTE</t>
        </is>
      </c>
      <c r="F4622" s="21" t="inlineStr">
        <is>
          <t>PREÇO UNITÁRIO</t>
        </is>
      </c>
      <c r="G4622" s="21" t="inlineStr">
        <is>
          <t>TOTAL</t>
        </is>
      </c>
    </row>
    <row r="4623" ht="21" customHeight="1">
      <c r="A4623" s="22" t="inlineStr">
        <is>
          <t>00038083</t>
        </is>
      </c>
      <c r="B4623" s="23" t="inlineStr">
        <is>
          <t>TOMADA RJ45, 8 FIOS, CAT 5E, CONJUNTO MONTADO PARA EMBUTIR 4" X 2" (PLACA + SUPORTE + MODULO)</t>
        </is>
      </c>
      <c r="C4623" s="22" t="inlineStr">
        <is>
          <t>SINAPI</t>
        </is>
      </c>
      <c r="D4623" s="22" t="inlineStr">
        <is>
          <t>UN</t>
        </is>
      </c>
      <c r="E4623" s="63" t="n">
        <v>1</v>
      </c>
      <c r="F4623" s="64">
        <f>ROUND(M4623*FATOR, 2)</f>
        <v/>
      </c>
      <c r="G4623" s="64">
        <f>TRUNC(TRUNC(E4623,8)*F4623,2)</f>
        <v/>
      </c>
      <c r="L4623" t="n">
        <v>1</v>
      </c>
      <c r="M4623" t="n">
        <v>35.4</v>
      </c>
      <c r="N4623">
        <f>(M4623-F4623)</f>
        <v/>
      </c>
    </row>
    <row r="4624" ht="15" customHeight="1">
      <c r="A4624" s="2" t="inlineStr"/>
      <c r="B4624" s="2" t="inlineStr"/>
      <c r="C4624" s="2" t="inlineStr"/>
      <c r="D4624" s="2" t="inlineStr"/>
      <c r="E4624" s="26" t="inlineStr">
        <is>
          <t>TOTAL Material:</t>
        </is>
      </c>
      <c r="F4624" s="56" t="n"/>
      <c r="G4624" s="65">
        <f>SUM(G4623:G4623)</f>
        <v/>
      </c>
    </row>
    <row r="4625" ht="15" customHeight="1">
      <c r="A4625" s="20" t="inlineStr">
        <is>
          <t>Mão de Obra com Encargos Complementares</t>
        </is>
      </c>
      <c r="B4625" s="56" t="n"/>
      <c r="C4625" s="21" t="inlineStr">
        <is>
          <t>FONTE</t>
        </is>
      </c>
      <c r="D4625" s="21" t="inlineStr">
        <is>
          <t>UNID</t>
        </is>
      </c>
      <c r="E4625" s="21" t="inlineStr">
        <is>
          <t>COEFICIENTE</t>
        </is>
      </c>
      <c r="F4625" s="21" t="inlineStr">
        <is>
          <t>PREÇO UNITÁRIO</t>
        </is>
      </c>
      <c r="G4625" s="21" t="inlineStr">
        <is>
          <t>TOTAL</t>
        </is>
      </c>
    </row>
    <row r="4626" ht="21" customHeight="1">
      <c r="A4626" s="22" t="inlineStr">
        <is>
          <t>88247</t>
        </is>
      </c>
      <c r="B4626" s="23" t="inlineStr">
        <is>
          <t>AUXILIAR DE ELETRICISTA COM ENCARGOS COMPLEMENTARES</t>
        </is>
      </c>
      <c r="C4626" s="22" t="inlineStr">
        <is>
          <t>SINAPI</t>
        </is>
      </c>
      <c r="D4626" s="22" t="inlineStr">
        <is>
          <t>H</t>
        </is>
      </c>
      <c r="E4626" s="63">
        <f>L4626*FATOR</f>
        <v/>
      </c>
      <c r="F4626" s="64">
        <f>'COMPOSICOES AUXILIARES'!G505</f>
        <v/>
      </c>
      <c r="G4626" s="64">
        <f>TRUNC(TRUNC(E4626,8)*F4626,2)</f>
        <v/>
      </c>
      <c r="L4626" t="n">
        <v>0.3237912</v>
      </c>
      <c r="M4626" t="n">
        <v>25.22</v>
      </c>
      <c r="N4626">
        <f>(M4626-F4626)</f>
        <v/>
      </c>
    </row>
    <row r="4627" ht="15" customHeight="1">
      <c r="A4627" s="22" t="inlineStr">
        <is>
          <t>88264</t>
        </is>
      </c>
      <c r="B4627" s="23" t="inlineStr">
        <is>
          <t>ELETRICISTA COM ENCARGOS COMPLEMENTARES</t>
        </is>
      </c>
      <c r="C4627" s="22" t="inlineStr">
        <is>
          <t>SINAPI</t>
        </is>
      </c>
      <c r="D4627" s="22" t="inlineStr">
        <is>
          <t>H</t>
        </is>
      </c>
      <c r="E4627" s="63">
        <f>L4627*FATOR</f>
        <v/>
      </c>
      <c r="F4627" s="64">
        <f>'COMPOSICOES AUXILIARES'!G505</f>
        <v/>
      </c>
      <c r="G4627" s="64">
        <f>TRUNC(TRUNC(E4627,8)*F4627,2)</f>
        <v/>
      </c>
      <c r="L4627" t="n">
        <v>0.4317216</v>
      </c>
      <c r="M4627" t="n">
        <v>30.96</v>
      </c>
      <c r="N4627">
        <f>(M4627-F4627)</f>
        <v/>
      </c>
    </row>
    <row r="4628" ht="18" customHeight="1">
      <c r="A4628" s="2" t="inlineStr"/>
      <c r="B4628" s="2" t="inlineStr"/>
      <c r="C4628" s="2" t="inlineStr"/>
      <c r="D4628" s="2" t="inlineStr"/>
      <c r="E4628" s="26" t="inlineStr">
        <is>
          <t>TOTAL Mão de Obra com Encargos Complementares:</t>
        </is>
      </c>
      <c r="F4628" s="56" t="n"/>
      <c r="G4628" s="65">
        <f>SUM(G4626:G4627)</f>
        <v/>
      </c>
    </row>
    <row r="4629" ht="15" customHeight="1">
      <c r="A4629" s="2" t="inlineStr"/>
      <c r="B4629" s="2" t="inlineStr"/>
      <c r="C4629" s="2" t="inlineStr"/>
      <c r="D4629" s="2" t="inlineStr"/>
      <c r="E4629" s="28" t="inlineStr">
        <is>
          <t>VALOR:</t>
        </is>
      </c>
      <c r="F4629" s="56" t="n"/>
      <c r="G4629" s="66">
        <f>SUM(G4624,G4628)</f>
        <v/>
      </c>
    </row>
    <row r="4630" ht="15" customHeight="1">
      <c r="A4630" s="2" t="inlineStr"/>
      <c r="B4630" s="2" t="inlineStr"/>
      <c r="C4630" s="2" t="inlineStr"/>
      <c r="D4630" s="2" t="inlineStr"/>
      <c r="E4630" s="28" t="inlineStr">
        <is>
          <t>VALOR BDI (23.08%):</t>
        </is>
      </c>
      <c r="F4630" s="56" t="n"/>
      <c r="G4630" s="66">
        <f>ROUNDDOWN(G4629*BDI,2)</f>
        <v/>
      </c>
    </row>
    <row r="4631" ht="15" customHeight="1">
      <c r="A4631" s="2" t="inlineStr"/>
      <c r="B4631" s="2" t="inlineStr"/>
      <c r="C4631" s="2" t="inlineStr"/>
      <c r="D4631" s="2" t="inlineStr"/>
      <c r="E4631" s="28" t="inlineStr">
        <is>
          <t>VALOR COM BDI:</t>
        </is>
      </c>
      <c r="F4631" s="56" t="n"/>
      <c r="G4631" s="66">
        <f>G4630 + G4629</f>
        <v/>
      </c>
    </row>
    <row r="4632" ht="10" customHeight="1">
      <c r="A4632" s="2" t="inlineStr"/>
      <c r="B4632" s="2" t="inlineStr"/>
      <c r="C4632" s="2" t="inlineStr"/>
      <c r="D4632" s="2" t="inlineStr"/>
      <c r="E4632" s="18" t="inlineStr"/>
    </row>
    <row r="4633" ht="20" customHeight="1">
      <c r="A4633" s="19" t="inlineStr">
        <is>
          <t>14.1.3.1. ​98308​ TOMADA PARA TELEFONE RJ11 - FORNECIMENTO E INSTALAÇÃO. AF_08/2025​ (UN)</t>
        </is>
      </c>
      <c r="B4633" s="55" t="n"/>
      <c r="C4633" s="55" t="n"/>
      <c r="D4633" s="55" t="n"/>
      <c r="E4633" s="55" t="n"/>
      <c r="F4633" s="55" t="n"/>
      <c r="G4633" s="56" t="n"/>
    </row>
    <row r="4634" ht="15" customHeight="1">
      <c r="A4634" s="20" t="inlineStr">
        <is>
          <t>Material</t>
        </is>
      </c>
      <c r="B4634" s="56" t="n"/>
      <c r="C4634" s="21" t="inlineStr">
        <is>
          <t>FONTE</t>
        </is>
      </c>
      <c r="D4634" s="21" t="inlineStr">
        <is>
          <t>UNID</t>
        </is>
      </c>
      <c r="E4634" s="21" t="inlineStr">
        <is>
          <t>COEFICIENTE</t>
        </is>
      </c>
      <c r="F4634" s="21" t="inlineStr">
        <is>
          <t>PREÇO UNITÁRIO</t>
        </is>
      </c>
      <c r="G4634" s="21" t="inlineStr">
        <is>
          <t>TOTAL</t>
        </is>
      </c>
    </row>
    <row r="4635" ht="21" customHeight="1">
      <c r="A4635" s="22" t="inlineStr">
        <is>
          <t>00038082</t>
        </is>
      </c>
      <c r="B4635" s="23" t="inlineStr">
        <is>
          <t>TOMADA RJ11, 2 FIOS, CONJUNTO MONTADO PARA EMBUTIR 4" X 2" (PLACA + SUPORTE + MODULO)</t>
        </is>
      </c>
      <c r="C4635" s="22" t="inlineStr">
        <is>
          <t>SINAPI</t>
        </is>
      </c>
      <c r="D4635" s="22" t="inlineStr">
        <is>
          <t>UN</t>
        </is>
      </c>
      <c r="E4635" s="63" t="n">
        <v>1</v>
      </c>
      <c r="F4635" s="64">
        <f>ROUND(M4635*FATOR, 2)</f>
        <v/>
      </c>
      <c r="G4635" s="64">
        <f>TRUNC(TRUNC(E4635,8)*F4635,2)</f>
        <v/>
      </c>
      <c r="L4635" t="n">
        <v>1</v>
      </c>
      <c r="M4635" t="n">
        <v>20.06</v>
      </c>
      <c r="N4635">
        <f>(M4635-F4635)</f>
        <v/>
      </c>
    </row>
    <row r="4636" ht="15" customHeight="1">
      <c r="A4636" s="2" t="inlineStr"/>
      <c r="B4636" s="2" t="inlineStr"/>
      <c r="C4636" s="2" t="inlineStr"/>
      <c r="D4636" s="2" t="inlineStr"/>
      <c r="E4636" s="26" t="inlineStr">
        <is>
          <t>TOTAL Material:</t>
        </is>
      </c>
      <c r="F4636" s="56" t="n"/>
      <c r="G4636" s="65">
        <f>SUM(G4635:G4635)</f>
        <v/>
      </c>
    </row>
    <row r="4637" ht="15" customHeight="1">
      <c r="A4637" s="20" t="inlineStr">
        <is>
          <t>Mão de Obra com Encargos Complementares</t>
        </is>
      </c>
      <c r="B4637" s="56" t="n"/>
      <c r="C4637" s="21" t="inlineStr">
        <is>
          <t>FONTE</t>
        </is>
      </c>
      <c r="D4637" s="21" t="inlineStr">
        <is>
          <t>UNID</t>
        </is>
      </c>
      <c r="E4637" s="21" t="inlineStr">
        <is>
          <t>COEFICIENTE</t>
        </is>
      </c>
      <c r="F4637" s="21" t="inlineStr">
        <is>
          <t>PREÇO UNITÁRIO</t>
        </is>
      </c>
      <c r="G4637" s="21" t="inlineStr">
        <is>
          <t>TOTAL</t>
        </is>
      </c>
    </row>
    <row r="4638" ht="21" customHeight="1">
      <c r="A4638" s="22" t="inlineStr">
        <is>
          <t>88247</t>
        </is>
      </c>
      <c r="B4638" s="23" t="inlineStr">
        <is>
          <t>AUXILIAR DE ELETRICISTA COM ENCARGOS COMPLEMENTARES</t>
        </is>
      </c>
      <c r="C4638" s="22" t="inlineStr">
        <is>
          <t>SINAPI</t>
        </is>
      </c>
      <c r="D4638" s="22" t="inlineStr">
        <is>
          <t>H</t>
        </is>
      </c>
      <c r="E4638" s="63">
        <f>L4638*FATOR</f>
        <v/>
      </c>
      <c r="F4638" s="64">
        <f>'COMPOSICOES AUXILIARES'!G505</f>
        <v/>
      </c>
      <c r="G4638" s="64">
        <f>TRUNC(TRUNC(E4638,8)*F4638,2)</f>
        <v/>
      </c>
      <c r="L4638" t="n">
        <v>0.3237912</v>
      </c>
      <c r="M4638" t="n">
        <v>25.22</v>
      </c>
      <c r="N4638">
        <f>(M4638-F4638)</f>
        <v/>
      </c>
    </row>
    <row r="4639" ht="15" customHeight="1">
      <c r="A4639" s="22" t="inlineStr">
        <is>
          <t>88264</t>
        </is>
      </c>
      <c r="B4639" s="23" t="inlineStr">
        <is>
          <t>ELETRICISTA COM ENCARGOS COMPLEMENTARES</t>
        </is>
      </c>
      <c r="C4639" s="22" t="inlineStr">
        <is>
          <t>SINAPI</t>
        </is>
      </c>
      <c r="D4639" s="22" t="inlineStr">
        <is>
          <t>H</t>
        </is>
      </c>
      <c r="E4639" s="63">
        <f>L4639*FATOR</f>
        <v/>
      </c>
      <c r="F4639" s="64">
        <f>'COMPOSICOES AUXILIARES'!G505</f>
        <v/>
      </c>
      <c r="G4639" s="64">
        <f>TRUNC(TRUNC(E4639,8)*F4639,2)</f>
        <v/>
      </c>
      <c r="L4639" t="n">
        <v>0.4317216</v>
      </c>
      <c r="M4639" t="n">
        <v>30.96</v>
      </c>
      <c r="N4639">
        <f>(M4639-F4639)</f>
        <v/>
      </c>
    </row>
    <row r="4640" ht="18" customHeight="1">
      <c r="A4640" s="2" t="inlineStr"/>
      <c r="B4640" s="2" t="inlineStr"/>
      <c r="C4640" s="2" t="inlineStr"/>
      <c r="D4640" s="2" t="inlineStr"/>
      <c r="E4640" s="26" t="inlineStr">
        <is>
          <t>TOTAL Mão de Obra com Encargos Complementares:</t>
        </is>
      </c>
      <c r="F4640" s="56" t="n"/>
      <c r="G4640" s="65">
        <f>SUM(G4638:G4639)</f>
        <v/>
      </c>
    </row>
    <row r="4641" ht="15" customHeight="1">
      <c r="A4641" s="2" t="inlineStr"/>
      <c r="B4641" s="2" t="inlineStr"/>
      <c r="C4641" s="2" t="inlineStr"/>
      <c r="D4641" s="2" t="inlineStr"/>
      <c r="E4641" s="28" t="inlineStr">
        <is>
          <t>VALOR:</t>
        </is>
      </c>
      <c r="F4641" s="56" t="n"/>
      <c r="G4641" s="66">
        <f>SUM(G4640,G4636)</f>
        <v/>
      </c>
    </row>
    <row r="4642" ht="15" customHeight="1">
      <c r="A4642" s="2" t="inlineStr"/>
      <c r="B4642" s="2" t="inlineStr"/>
      <c r="C4642" s="2" t="inlineStr"/>
      <c r="D4642" s="2" t="inlineStr"/>
      <c r="E4642" s="28" t="inlineStr">
        <is>
          <t>VALOR BDI (23.08%):</t>
        </is>
      </c>
      <c r="F4642" s="56" t="n"/>
      <c r="G4642" s="66">
        <f>ROUNDDOWN(G4641*BDI,2)</f>
        <v/>
      </c>
    </row>
    <row r="4643" ht="15" customHeight="1">
      <c r="A4643" s="2" t="inlineStr"/>
      <c r="B4643" s="2" t="inlineStr"/>
      <c r="C4643" s="2" t="inlineStr"/>
      <c r="D4643" s="2" t="inlineStr"/>
      <c r="E4643" s="28" t="inlineStr">
        <is>
          <t>VALOR COM BDI:</t>
        </is>
      </c>
      <c r="F4643" s="56" t="n"/>
      <c r="G4643" s="66">
        <f>G4642 + G4641</f>
        <v/>
      </c>
    </row>
    <row r="4644" ht="10" customHeight="1">
      <c r="A4644" s="2" t="inlineStr"/>
      <c r="B4644" s="2" t="inlineStr"/>
      <c r="C4644" s="2" t="inlineStr"/>
      <c r="D4644" s="2" t="inlineStr"/>
      <c r="E4644" s="18" t="inlineStr"/>
    </row>
    <row r="4645" ht="20" customHeight="1">
      <c r="A4645" s="19" t="inlineStr">
        <is>
          <t>14.2.1.1. ​91953​ INTERRUPTOR SIMPLES (1 MÓDULO), 10A/250V, INCLUINDO SUPORTE E PLACA - FORNECIMENTO E INSTALAÇÃO. AF_03/2023​ (UN)</t>
        </is>
      </c>
      <c r="B4645" s="55" t="n"/>
      <c r="C4645" s="55" t="n"/>
      <c r="D4645" s="55" t="n"/>
      <c r="E4645" s="55" t="n"/>
      <c r="F4645" s="55" t="n"/>
      <c r="G4645" s="56" t="n"/>
    </row>
    <row r="4646" ht="15" customHeight="1">
      <c r="A4646" s="20" t="inlineStr">
        <is>
          <t>Serviço</t>
        </is>
      </c>
      <c r="B4646" s="56" t="n"/>
      <c r="C4646" s="21" t="inlineStr">
        <is>
          <t>FONTE</t>
        </is>
      </c>
      <c r="D4646" s="21" t="inlineStr">
        <is>
          <t>UNID</t>
        </is>
      </c>
      <c r="E4646" s="21" t="inlineStr">
        <is>
          <t>COEFICIENTE</t>
        </is>
      </c>
      <c r="F4646" s="21" t="inlineStr">
        <is>
          <t>PREÇO UNITÁRIO</t>
        </is>
      </c>
      <c r="G4646" s="21" t="inlineStr">
        <is>
          <t>TOTAL</t>
        </is>
      </c>
    </row>
    <row r="4647" ht="29" customHeight="1">
      <c r="A4647" s="22" t="inlineStr">
        <is>
          <t>91952</t>
        </is>
      </c>
      <c r="B4647" s="23" t="inlineStr">
        <is>
          <t>INTERRUPTOR SIMPLES (1 MÓDULO), 10A/250V, SEM SUPORTE E SEM PLACA - FORNECIMENTO E INSTALAÇÃO. AF_03/2023</t>
        </is>
      </c>
      <c r="C4647" s="22" t="inlineStr">
        <is>
          <t>SINAPI</t>
        </is>
      </c>
      <c r="D4647" s="22" t="inlineStr">
        <is>
          <t>UN</t>
        </is>
      </c>
      <c r="E4647" s="63" t="n">
        <v>1</v>
      </c>
      <c r="F4647" s="64">
        <f>'COMPOSICOES AUXILIARES'!G2301</f>
        <v/>
      </c>
      <c r="G4647" s="64">
        <f>TRUNC(TRUNC(E4647,8)*F4647,2)</f>
        <v/>
      </c>
      <c r="L4647" t="n">
        <v>1</v>
      </c>
      <c r="M4647" t="n">
        <v>19.83</v>
      </c>
      <c r="N4647">
        <f>(M4647-F4647)</f>
        <v/>
      </c>
    </row>
    <row r="4648" ht="29" customHeight="1">
      <c r="A4648" s="22" t="inlineStr">
        <is>
          <t>91946</t>
        </is>
      </c>
      <c r="B4648" s="23" t="inlineStr">
        <is>
          <t>SUPORTE PARAFUSADO COM PLACA DE ENCAIXE 4" X 2" MÉDIO (1,30 M DO PISO) PARA PONTO ELÉTRICO - FORNECIMENTO E INSTALAÇÃO. AF_03/2023</t>
        </is>
      </c>
      <c r="C4648" s="22" t="inlineStr">
        <is>
          <t>SINAPI</t>
        </is>
      </c>
      <c r="D4648" s="22" t="inlineStr">
        <is>
          <t>UN</t>
        </is>
      </c>
      <c r="E4648" s="63" t="n">
        <v>1</v>
      </c>
      <c r="F4648" s="64">
        <f>'COMPOSICOES AUXILIARES'!G3435</f>
        <v/>
      </c>
      <c r="G4648" s="64">
        <f>TRUNC(TRUNC(E4648,8)*F4648,2)</f>
        <v/>
      </c>
      <c r="L4648" t="n">
        <v>1</v>
      </c>
      <c r="M4648" t="n">
        <v>11.55</v>
      </c>
      <c r="N4648">
        <f>(M4648-F4648)</f>
        <v/>
      </c>
    </row>
    <row r="4649" ht="15" customHeight="1">
      <c r="A4649" s="2" t="inlineStr"/>
      <c r="B4649" s="2" t="inlineStr"/>
      <c r="C4649" s="2" t="inlineStr"/>
      <c r="D4649" s="2" t="inlineStr"/>
      <c r="E4649" s="26" t="inlineStr">
        <is>
          <t>TOTAL Serviço:</t>
        </is>
      </c>
      <c r="F4649" s="56" t="n"/>
      <c r="G4649" s="65">
        <f>SUM(G4647:G4648)</f>
        <v/>
      </c>
    </row>
    <row r="4650" ht="15" customHeight="1">
      <c r="A4650" s="2" t="inlineStr"/>
      <c r="B4650" s="2" t="inlineStr"/>
      <c r="C4650" s="2" t="inlineStr"/>
      <c r="D4650" s="2" t="inlineStr"/>
      <c r="E4650" s="28" t="inlineStr">
        <is>
          <t>VALOR:</t>
        </is>
      </c>
      <c r="F4650" s="56" t="n"/>
      <c r="G4650" s="66">
        <f>SUM(G4649)</f>
        <v/>
      </c>
    </row>
    <row r="4651" ht="15" customHeight="1">
      <c r="A4651" s="2" t="inlineStr"/>
      <c r="B4651" s="2" t="inlineStr"/>
      <c r="C4651" s="2" t="inlineStr"/>
      <c r="D4651" s="2" t="inlineStr"/>
      <c r="E4651" s="28" t="inlineStr">
        <is>
          <t>VALOR BDI (23.08%):</t>
        </is>
      </c>
      <c r="F4651" s="56" t="n"/>
      <c r="G4651" s="66">
        <f>ROUNDDOWN(G4650*BDI,2)</f>
        <v/>
      </c>
    </row>
    <row r="4652" ht="15" customHeight="1">
      <c r="A4652" s="2" t="inlineStr"/>
      <c r="B4652" s="2" t="inlineStr"/>
      <c r="C4652" s="2" t="inlineStr"/>
      <c r="D4652" s="2" t="inlineStr"/>
      <c r="E4652" s="28" t="inlineStr">
        <is>
          <t>VALOR COM BDI:</t>
        </is>
      </c>
      <c r="F4652" s="56" t="n"/>
      <c r="G4652" s="66">
        <f>G4651 + G4650</f>
        <v/>
      </c>
    </row>
    <row r="4653" ht="10" customHeight="1">
      <c r="A4653" s="2" t="inlineStr"/>
      <c r="B4653" s="2" t="inlineStr"/>
      <c r="C4653" s="2" t="inlineStr"/>
      <c r="D4653" s="2" t="inlineStr"/>
      <c r="E4653" s="18" t="inlineStr"/>
    </row>
    <row r="4654" ht="20" customHeight="1">
      <c r="A4654" s="19" t="inlineStr">
        <is>
          <t>14.2.2.1. ​91959​ INTERRUPTOR SIMPLES (2 MÓDULOS), 10A/250V, INCLUINDO SUPORTE E PLACA - FORNECIMENTO E INSTALAÇÃO. AF_03/2023​ (UN)</t>
        </is>
      </c>
      <c r="B4654" s="55" t="n"/>
      <c r="C4654" s="55" t="n"/>
      <c r="D4654" s="55" t="n"/>
      <c r="E4654" s="55" t="n"/>
      <c r="F4654" s="55" t="n"/>
      <c r="G4654" s="56" t="n"/>
    </row>
    <row r="4655" ht="15" customHeight="1">
      <c r="A4655" s="20" t="inlineStr">
        <is>
          <t>Serviço</t>
        </is>
      </c>
      <c r="B4655" s="56" t="n"/>
      <c r="C4655" s="21" t="inlineStr">
        <is>
          <t>FONTE</t>
        </is>
      </c>
      <c r="D4655" s="21" t="inlineStr">
        <is>
          <t>UNID</t>
        </is>
      </c>
      <c r="E4655" s="21" t="inlineStr">
        <is>
          <t>COEFICIENTE</t>
        </is>
      </c>
      <c r="F4655" s="21" t="inlineStr">
        <is>
          <t>PREÇO UNITÁRIO</t>
        </is>
      </c>
      <c r="G4655" s="21" t="inlineStr">
        <is>
          <t>TOTAL</t>
        </is>
      </c>
    </row>
    <row r="4656" ht="29" customHeight="1">
      <c r="A4656" s="22" t="inlineStr">
        <is>
          <t>91958</t>
        </is>
      </c>
      <c r="B4656" s="23" t="inlineStr">
        <is>
          <t>INTERRUPTOR SIMPLES (2 MÓDULOS), 10A/250V, SEM SUPORTE E SEM PLACA - FORNECIMENTO E INSTALAÇÃO. AF_03/2023</t>
        </is>
      </c>
      <c r="C4656" s="22" t="inlineStr">
        <is>
          <t>SINAPI</t>
        </is>
      </c>
      <c r="D4656" s="22" t="inlineStr">
        <is>
          <t>UN</t>
        </is>
      </c>
      <c r="E4656" s="63" t="n">
        <v>1</v>
      </c>
      <c r="F4656" s="64">
        <f>'COMPOSICOES AUXILIARES'!G2301</f>
        <v/>
      </c>
      <c r="G4656" s="64">
        <f>TRUNC(TRUNC(E4656,8)*F4656,2)</f>
        <v/>
      </c>
      <c r="L4656" t="n">
        <v>1</v>
      </c>
      <c r="M4656" t="n">
        <v>36.17</v>
      </c>
      <c r="N4656">
        <f>(M4656-F4656)</f>
        <v/>
      </c>
    </row>
    <row r="4657" ht="29" customHeight="1">
      <c r="A4657" s="22" t="inlineStr">
        <is>
          <t>91946</t>
        </is>
      </c>
      <c r="B4657" s="23" t="inlineStr">
        <is>
          <t>SUPORTE PARAFUSADO COM PLACA DE ENCAIXE 4" X 2" MÉDIO (1,30 M DO PISO) PARA PONTO ELÉTRICO - FORNECIMENTO E INSTALAÇÃO. AF_03/2023</t>
        </is>
      </c>
      <c r="C4657" s="22" t="inlineStr">
        <is>
          <t>SINAPI</t>
        </is>
      </c>
      <c r="D4657" s="22" t="inlineStr">
        <is>
          <t>UN</t>
        </is>
      </c>
      <c r="E4657" s="63" t="n">
        <v>1</v>
      </c>
      <c r="F4657" s="64">
        <f>'COMPOSICOES AUXILIARES'!G3435</f>
        <v/>
      </c>
      <c r="G4657" s="64">
        <f>TRUNC(TRUNC(E4657,8)*F4657,2)</f>
        <v/>
      </c>
      <c r="L4657" t="n">
        <v>1</v>
      </c>
      <c r="M4657" t="n">
        <v>11.55</v>
      </c>
      <c r="N4657">
        <f>(M4657-F4657)</f>
        <v/>
      </c>
    </row>
    <row r="4658" ht="15" customHeight="1">
      <c r="A4658" s="2" t="inlineStr"/>
      <c r="B4658" s="2" t="inlineStr"/>
      <c r="C4658" s="2" t="inlineStr"/>
      <c r="D4658" s="2" t="inlineStr"/>
      <c r="E4658" s="26" t="inlineStr">
        <is>
          <t>TOTAL Serviço:</t>
        </is>
      </c>
      <c r="F4658" s="56" t="n"/>
      <c r="G4658" s="65">
        <f>SUM(G4656:G4657)</f>
        <v/>
      </c>
    </row>
    <row r="4659" ht="15" customHeight="1">
      <c r="A4659" s="2" t="inlineStr"/>
      <c r="B4659" s="2" t="inlineStr"/>
      <c r="C4659" s="2" t="inlineStr"/>
      <c r="D4659" s="2" t="inlineStr"/>
      <c r="E4659" s="28" t="inlineStr">
        <is>
          <t>VALOR:</t>
        </is>
      </c>
      <c r="F4659" s="56" t="n"/>
      <c r="G4659" s="66">
        <f>SUM(G4658)</f>
        <v/>
      </c>
    </row>
    <row r="4660" ht="15" customHeight="1">
      <c r="A4660" s="2" t="inlineStr"/>
      <c r="B4660" s="2" t="inlineStr"/>
      <c r="C4660" s="2" t="inlineStr"/>
      <c r="D4660" s="2" t="inlineStr"/>
      <c r="E4660" s="28" t="inlineStr">
        <is>
          <t>VALOR BDI (23.08%):</t>
        </is>
      </c>
      <c r="F4660" s="56" t="n"/>
      <c r="G4660" s="66">
        <f>ROUNDDOWN(G4659*BDI,2)</f>
        <v/>
      </c>
    </row>
    <row r="4661" ht="15" customHeight="1">
      <c r="A4661" s="2" t="inlineStr"/>
      <c r="B4661" s="2" t="inlineStr"/>
      <c r="C4661" s="2" t="inlineStr"/>
      <c r="D4661" s="2" t="inlineStr"/>
      <c r="E4661" s="28" t="inlineStr">
        <is>
          <t>VALOR COM BDI:</t>
        </is>
      </c>
      <c r="F4661" s="56" t="n"/>
      <c r="G4661" s="66">
        <f>G4660 + G4659</f>
        <v/>
      </c>
    </row>
    <row r="4662" ht="10" customHeight="1">
      <c r="A4662" s="2" t="inlineStr"/>
      <c r="B4662" s="2" t="inlineStr"/>
      <c r="C4662" s="2" t="inlineStr"/>
      <c r="D4662" s="2" t="inlineStr"/>
      <c r="E4662" s="18" t="inlineStr"/>
    </row>
    <row r="4663" ht="20" customHeight="1">
      <c r="A4663" s="19" t="inlineStr">
        <is>
          <t>14.2.3.1. ​91967​ INTERRUPTOR SIMPLES (3 MÓDULOS), 10A/250V, INCLUINDO SUPORTE E PLACA - FORNECIMENTO E INSTALAÇÃO. AF_03/2023​ (UN)</t>
        </is>
      </c>
      <c r="B4663" s="55" t="n"/>
      <c r="C4663" s="55" t="n"/>
      <c r="D4663" s="55" t="n"/>
      <c r="E4663" s="55" t="n"/>
      <c r="F4663" s="55" t="n"/>
      <c r="G4663" s="56" t="n"/>
    </row>
    <row r="4664" ht="15" customHeight="1">
      <c r="A4664" s="20" t="inlineStr">
        <is>
          <t>Serviço</t>
        </is>
      </c>
      <c r="B4664" s="56" t="n"/>
      <c r="C4664" s="21" t="inlineStr">
        <is>
          <t>FONTE</t>
        </is>
      </c>
      <c r="D4664" s="21" t="inlineStr">
        <is>
          <t>UNID</t>
        </is>
      </c>
      <c r="E4664" s="21" t="inlineStr">
        <is>
          <t>COEFICIENTE</t>
        </is>
      </c>
      <c r="F4664" s="21" t="inlineStr">
        <is>
          <t>PREÇO UNITÁRIO</t>
        </is>
      </c>
      <c r="G4664" s="21" t="inlineStr">
        <is>
          <t>TOTAL</t>
        </is>
      </c>
    </row>
    <row r="4665" ht="29" customHeight="1">
      <c r="A4665" s="22" t="inlineStr">
        <is>
          <t>91966</t>
        </is>
      </c>
      <c r="B4665" s="23" t="inlineStr">
        <is>
          <t>INTERRUPTOR SIMPLES (3 MÓDULOS), 10A/250V, SEM SUPORTE E SEM PLACA - FORNECIMENTO E INSTALAÇÃO. AF_03/2023</t>
        </is>
      </c>
      <c r="C4665" s="22" t="inlineStr">
        <is>
          <t>SINAPI</t>
        </is>
      </c>
      <c r="D4665" s="22" t="inlineStr">
        <is>
          <t>UN</t>
        </is>
      </c>
      <c r="E4665" s="63" t="n">
        <v>1</v>
      </c>
      <c r="F4665" s="64">
        <f>'COMPOSICOES AUXILIARES'!G2301</f>
        <v/>
      </c>
      <c r="G4665" s="64">
        <f>TRUNC(TRUNC(E4665,8)*F4665,2)</f>
        <v/>
      </c>
      <c r="L4665" t="n">
        <v>1</v>
      </c>
      <c r="M4665" t="n">
        <v>52.52</v>
      </c>
      <c r="N4665">
        <f>(M4665-F4665)</f>
        <v/>
      </c>
    </row>
    <row r="4666" ht="29" customHeight="1">
      <c r="A4666" s="22" t="inlineStr">
        <is>
          <t>91946</t>
        </is>
      </c>
      <c r="B4666" s="23" t="inlineStr">
        <is>
          <t>SUPORTE PARAFUSADO COM PLACA DE ENCAIXE 4" X 2" MÉDIO (1,30 M DO PISO) PARA PONTO ELÉTRICO - FORNECIMENTO E INSTALAÇÃO. AF_03/2023</t>
        </is>
      </c>
      <c r="C4666" s="22" t="inlineStr">
        <is>
          <t>SINAPI</t>
        </is>
      </c>
      <c r="D4666" s="22" t="inlineStr">
        <is>
          <t>UN</t>
        </is>
      </c>
      <c r="E4666" s="63" t="n">
        <v>1</v>
      </c>
      <c r="F4666" s="64">
        <f>'COMPOSICOES AUXILIARES'!G3435</f>
        <v/>
      </c>
      <c r="G4666" s="64">
        <f>TRUNC(TRUNC(E4666,8)*F4666,2)</f>
        <v/>
      </c>
      <c r="L4666" t="n">
        <v>1</v>
      </c>
      <c r="M4666" t="n">
        <v>11.55</v>
      </c>
      <c r="N4666">
        <f>(M4666-F4666)</f>
        <v/>
      </c>
    </row>
    <row r="4667" ht="15" customHeight="1">
      <c r="A4667" s="2" t="inlineStr"/>
      <c r="B4667" s="2" t="inlineStr"/>
      <c r="C4667" s="2" t="inlineStr"/>
      <c r="D4667" s="2" t="inlineStr"/>
      <c r="E4667" s="26" t="inlineStr">
        <is>
          <t>TOTAL Serviço:</t>
        </is>
      </c>
      <c r="F4667" s="56" t="n"/>
      <c r="G4667" s="65">
        <f>SUM(G4665:G4666)</f>
        <v/>
      </c>
    </row>
    <row r="4668" ht="15" customHeight="1">
      <c r="A4668" s="2" t="inlineStr"/>
      <c r="B4668" s="2" t="inlineStr"/>
      <c r="C4668" s="2" t="inlineStr"/>
      <c r="D4668" s="2" t="inlineStr"/>
      <c r="E4668" s="28" t="inlineStr">
        <is>
          <t>VALOR:</t>
        </is>
      </c>
      <c r="F4668" s="56" t="n"/>
      <c r="G4668" s="66">
        <f>SUM(G4667)</f>
        <v/>
      </c>
    </row>
    <row r="4669" ht="15" customHeight="1">
      <c r="A4669" s="2" t="inlineStr"/>
      <c r="B4669" s="2" t="inlineStr"/>
      <c r="C4669" s="2" t="inlineStr"/>
      <c r="D4669" s="2" t="inlineStr"/>
      <c r="E4669" s="28" t="inlineStr">
        <is>
          <t>VALOR BDI (23.08%):</t>
        </is>
      </c>
      <c r="F4669" s="56" t="n"/>
      <c r="G4669" s="66">
        <f>ROUNDDOWN(G4668*BDI,2)</f>
        <v/>
      </c>
    </row>
    <row r="4670" ht="15" customHeight="1">
      <c r="A4670" s="2" t="inlineStr"/>
      <c r="B4670" s="2" t="inlineStr"/>
      <c r="C4670" s="2" t="inlineStr"/>
      <c r="D4670" s="2" t="inlineStr"/>
      <c r="E4670" s="28" t="inlineStr">
        <is>
          <t>VALOR COM BDI:</t>
        </is>
      </c>
      <c r="F4670" s="56" t="n"/>
      <c r="G4670" s="66">
        <f>G4669 + G4668</f>
        <v/>
      </c>
    </row>
    <row r="4671" ht="10" customHeight="1">
      <c r="A4671" s="2" t="inlineStr"/>
      <c r="B4671" s="2" t="inlineStr"/>
      <c r="C4671" s="2" t="inlineStr"/>
      <c r="D4671" s="2" t="inlineStr"/>
      <c r="E4671" s="18" t="inlineStr"/>
    </row>
    <row r="4672" ht="20" customHeight="1">
      <c r="A4672" s="19" t="inlineStr">
        <is>
          <t>14.3.1.1. ​405 PRÓPRIO​ LUMINÁRIA TIPO CALHA COM 02 LÂMPADAS TUBULARES LED 2 X 18/20W - BIVOLT​ (UN)</t>
        </is>
      </c>
      <c r="B4672" s="55" t="n"/>
      <c r="C4672" s="55" t="n"/>
      <c r="D4672" s="55" t="n"/>
      <c r="E4672" s="55" t="n"/>
      <c r="F4672" s="55" t="n"/>
      <c r="G4672" s="56" t="n"/>
    </row>
    <row r="4673" ht="15" customHeight="1">
      <c r="A4673" s="20" t="inlineStr">
        <is>
          <t>Material</t>
        </is>
      </c>
      <c r="B4673" s="56" t="n"/>
      <c r="C4673" s="21" t="inlineStr">
        <is>
          <t>FONTE</t>
        </is>
      </c>
      <c r="D4673" s="21" t="inlineStr">
        <is>
          <t>UNID</t>
        </is>
      </c>
      <c r="E4673" s="21" t="inlineStr">
        <is>
          <t>COEFICIENTE</t>
        </is>
      </c>
      <c r="F4673" s="21" t="inlineStr">
        <is>
          <t>PREÇO UNITÁRIO</t>
        </is>
      </c>
      <c r="G4673" s="21" t="inlineStr">
        <is>
          <t>TOTAL</t>
        </is>
      </c>
    </row>
    <row r="4674" ht="15" customHeight="1">
      <c r="A4674" s="22" t="inlineStr">
        <is>
          <t>00039387</t>
        </is>
      </c>
      <c r="B4674" s="23" t="inlineStr">
        <is>
          <t>LAMPADA LED TUBULAR BIVOLT 18/20 W, BASE G13</t>
        </is>
      </c>
      <c r="C4674" s="22" t="inlineStr">
        <is>
          <t>SINAPI</t>
        </is>
      </c>
      <c r="D4674" s="22" t="inlineStr">
        <is>
          <t>UN</t>
        </is>
      </c>
      <c r="E4674" s="63" t="n">
        <v>2</v>
      </c>
      <c r="F4674" s="64">
        <f>ROUND(M4674*FATOR, 2)</f>
        <v/>
      </c>
      <c r="G4674" s="64">
        <f>ROUND(ROUND(E4674,8)*F4674,2)</f>
        <v/>
      </c>
      <c r="L4674" t="n">
        <v>2</v>
      </c>
      <c r="M4674" t="n">
        <v>8.24</v>
      </c>
      <c r="N4674">
        <f>(M4674-F4674)</f>
        <v/>
      </c>
    </row>
    <row r="4675" ht="21" customHeight="1">
      <c r="A4675" s="22" t="inlineStr">
        <is>
          <t>I01345</t>
        </is>
      </c>
      <c r="B4675" s="23" t="inlineStr">
        <is>
          <t>Luminária (calha) p/ lampada fluorescente 2 x 40w/tubular LED 18w a 20w</t>
        </is>
      </c>
      <c r="C4675" s="22" t="inlineStr">
        <is>
          <t>ORSE</t>
        </is>
      </c>
      <c r="D4675" s="22" t="inlineStr">
        <is>
          <t>un</t>
        </is>
      </c>
      <c r="E4675" s="63" t="n">
        <v>1</v>
      </c>
      <c r="F4675" s="64">
        <f>ROUND(M4675*FATOR, 2)</f>
        <v/>
      </c>
      <c r="G4675" s="64">
        <f>ROUND(ROUND(E4675,8)*F4675,2)</f>
        <v/>
      </c>
      <c r="L4675" t="n">
        <v>1</v>
      </c>
      <c r="M4675" t="n">
        <v>44.95</v>
      </c>
      <c r="N4675">
        <f>(M4675-F4675)</f>
        <v/>
      </c>
    </row>
    <row r="4676" ht="21" customHeight="1">
      <c r="A4676" s="22" t="inlineStr">
        <is>
          <t>00000406 PRO</t>
        </is>
      </c>
      <c r="B4676" s="23" t="inlineStr">
        <is>
          <t>SUPORTE PARA LAMPADA TUBULAR LED COM ENCAIXE/SOQUETE G5 OU G13.</t>
        </is>
      </c>
      <c r="C4676" s="22" t="inlineStr">
        <is>
          <t xml:space="preserve">Composições </t>
        </is>
      </c>
      <c r="D4676" s="22" t="inlineStr">
        <is>
          <t>UN</t>
        </is>
      </c>
      <c r="E4676" s="63" t="n">
        <v>4</v>
      </c>
      <c r="F4676" s="64">
        <f>ROUND(M4676*FATOR, 2)</f>
        <v/>
      </c>
      <c r="G4676" s="64">
        <f>ROUND(ROUND(E4676,8)*F4676,2)</f>
        <v/>
      </c>
      <c r="L4676" t="n">
        <v>4</v>
      </c>
      <c r="M4676" t="n">
        <v>10.55</v>
      </c>
      <c r="N4676">
        <f>(M4676-F4676)</f>
        <v/>
      </c>
    </row>
    <row r="4677" ht="15" customHeight="1">
      <c r="A4677" s="2" t="inlineStr"/>
      <c r="B4677" s="2" t="inlineStr"/>
      <c r="C4677" s="2" t="inlineStr"/>
      <c r="D4677" s="2" t="inlineStr"/>
      <c r="E4677" s="26" t="inlineStr">
        <is>
          <t>TOTAL Material:</t>
        </is>
      </c>
      <c r="F4677" s="56" t="n"/>
      <c r="G4677" s="65">
        <f>SUM(G4674:G4676)</f>
        <v/>
      </c>
    </row>
    <row r="4678" ht="15" customHeight="1">
      <c r="A4678" s="20" t="inlineStr">
        <is>
          <t>Mão de Obra com Encargos Complementares</t>
        </is>
      </c>
      <c r="B4678" s="56" t="n"/>
      <c r="C4678" s="21" t="inlineStr">
        <is>
          <t>FONTE</t>
        </is>
      </c>
      <c r="D4678" s="21" t="inlineStr">
        <is>
          <t>UNID</t>
        </is>
      </c>
      <c r="E4678" s="21" t="inlineStr">
        <is>
          <t>COEFICIENTE</t>
        </is>
      </c>
      <c r="F4678" s="21" t="inlineStr">
        <is>
          <t>PREÇO UNITÁRIO</t>
        </is>
      </c>
      <c r="G4678" s="21" t="inlineStr">
        <is>
          <t>TOTAL</t>
        </is>
      </c>
    </row>
    <row r="4679" ht="21" customHeight="1">
      <c r="A4679" s="22" t="inlineStr">
        <is>
          <t>88243</t>
        </is>
      </c>
      <c r="B4679" s="23" t="inlineStr">
        <is>
          <t>AJUDANTE ESPECIALIZADO COM ENCARGOS COMPLEMENTARES</t>
        </is>
      </c>
      <c r="C4679" s="22" t="inlineStr">
        <is>
          <t>SINAPI</t>
        </is>
      </c>
      <c r="D4679" s="22" t="inlineStr">
        <is>
          <t>H</t>
        </is>
      </c>
      <c r="E4679" s="63">
        <f>L4679*FATOR</f>
        <v/>
      </c>
      <c r="F4679" s="64">
        <f>'COMPOSICOES AUXILIARES'!G106</f>
        <v/>
      </c>
      <c r="G4679" s="64">
        <f>ROUND(ROUND(E4679,8)*F4679,2)</f>
        <v/>
      </c>
      <c r="L4679" t="n">
        <v>0.5</v>
      </c>
      <c r="M4679" t="n">
        <v>23.76</v>
      </c>
      <c r="N4679">
        <f>(M4679-F4679)</f>
        <v/>
      </c>
    </row>
    <row r="4680" ht="15" customHeight="1">
      <c r="A4680" s="22" t="inlineStr">
        <is>
          <t>88264</t>
        </is>
      </c>
      <c r="B4680" s="23" t="inlineStr">
        <is>
          <t>ELETRICISTA COM ENCARGOS COMPLEMENTARES</t>
        </is>
      </c>
      <c r="C4680" s="22" t="inlineStr">
        <is>
          <t>SINAPI</t>
        </is>
      </c>
      <c r="D4680" s="22" t="inlineStr">
        <is>
          <t>H</t>
        </is>
      </c>
      <c r="E4680" s="63">
        <f>L4680*FATOR</f>
        <v/>
      </c>
      <c r="F4680" s="64">
        <f>'COMPOSICOES AUXILIARES'!G505</f>
        <v/>
      </c>
      <c r="G4680" s="64">
        <f>ROUND(ROUND(E4680,8)*F4680,2)</f>
        <v/>
      </c>
      <c r="L4680" t="n">
        <v>0.5</v>
      </c>
      <c r="M4680" t="n">
        <v>30.96</v>
      </c>
      <c r="N4680">
        <f>(M4680-F4680)</f>
        <v/>
      </c>
    </row>
    <row r="4681" ht="18" customHeight="1">
      <c r="A4681" s="2" t="inlineStr"/>
      <c r="B4681" s="2" t="inlineStr"/>
      <c r="C4681" s="2" t="inlineStr"/>
      <c r="D4681" s="2" t="inlineStr"/>
      <c r="E4681" s="26" t="inlineStr">
        <is>
          <t>TOTAL Mão de Obra com Encargos Complementares:</t>
        </is>
      </c>
      <c r="F4681" s="56" t="n"/>
      <c r="G4681" s="65">
        <f>SUM(G4679:G4680)</f>
        <v/>
      </c>
    </row>
    <row r="4682" ht="15" customHeight="1">
      <c r="A4682" s="2" t="inlineStr"/>
      <c r="B4682" s="2" t="inlineStr"/>
      <c r="C4682" s="2" t="inlineStr"/>
      <c r="D4682" s="2" t="inlineStr"/>
      <c r="E4682" s="28" t="inlineStr">
        <is>
          <t>VALOR:</t>
        </is>
      </c>
      <c r="F4682" s="56" t="n"/>
      <c r="G4682" s="66">
        <f>SUM(G4681,G4677)</f>
        <v/>
      </c>
    </row>
    <row r="4683" ht="15" customHeight="1">
      <c r="A4683" s="2" t="inlineStr"/>
      <c r="B4683" s="2" t="inlineStr"/>
      <c r="C4683" s="2" t="inlineStr"/>
      <c r="D4683" s="2" t="inlineStr"/>
      <c r="E4683" s="28" t="inlineStr">
        <is>
          <t>VALOR BDI (23.08%):</t>
        </is>
      </c>
      <c r="F4683" s="56" t="n"/>
      <c r="G4683" s="66">
        <f>ROUNDDOWN(G4682*BDI,2)</f>
        <v/>
      </c>
    </row>
    <row r="4684" ht="15" customHeight="1">
      <c r="A4684" s="2" t="inlineStr"/>
      <c r="B4684" s="2" t="inlineStr"/>
      <c r="C4684" s="2" t="inlineStr"/>
      <c r="D4684" s="2" t="inlineStr"/>
      <c r="E4684" s="28" t="inlineStr">
        <is>
          <t>VALOR COM BDI:</t>
        </is>
      </c>
      <c r="F4684" s="56" t="n"/>
      <c r="G4684" s="66">
        <f>G4683 + G4682</f>
        <v/>
      </c>
    </row>
    <row r="4685" ht="10" customHeight="1">
      <c r="A4685" s="2" t="inlineStr"/>
      <c r="B4685" s="2" t="inlineStr"/>
      <c r="C4685" s="2" t="inlineStr"/>
      <c r="D4685" s="2" t="inlineStr"/>
      <c r="E4685" s="18" t="inlineStr"/>
    </row>
    <row r="4686" ht="20" customHeight="1">
      <c r="A4686" s="19" t="inlineStr">
        <is>
          <t>14.3.1.2. ​SOP0185​ LUMINÁRIA DE EMBUTIR/SOBREPOR,(TECNOLUX REF.FLP-6478/4X20) TUBLED CORPO/ REFLETOR E ALETAS FABRICADAS EM CHAPA DE AÇO TRATADA E PINTADA EM EPOXI BRANCO, PARA USO DE 2 LAMPADAS TUBLED DE 10W​ (UN)</t>
        </is>
      </c>
      <c r="B4686" s="55" t="n"/>
      <c r="C4686" s="55" t="n"/>
      <c r="D4686" s="55" t="n"/>
      <c r="E4686" s="55" t="n"/>
      <c r="F4686" s="55" t="n"/>
      <c r="G4686" s="56" t="n"/>
    </row>
    <row r="4687" ht="15" customHeight="1">
      <c r="A4687" s="20" t="inlineStr">
        <is>
          <t>Material</t>
        </is>
      </c>
      <c r="B4687" s="56" t="n"/>
      <c r="C4687" s="21" t="inlineStr">
        <is>
          <t>FONTE</t>
        </is>
      </c>
      <c r="D4687" s="21" t="inlineStr">
        <is>
          <t>UNID</t>
        </is>
      </c>
      <c r="E4687" s="21" t="inlineStr">
        <is>
          <t>COEFICIENTE</t>
        </is>
      </c>
      <c r="F4687" s="21" t="inlineStr">
        <is>
          <t>PREÇO UNITÁRIO</t>
        </is>
      </c>
      <c r="G4687" s="21" t="inlineStr">
        <is>
          <t>TOTAL</t>
        </is>
      </c>
    </row>
    <row r="4688" ht="15" customHeight="1">
      <c r="A4688" s="22" t="inlineStr">
        <is>
          <t>00039386</t>
        </is>
      </c>
      <c r="B4688" s="23" t="inlineStr">
        <is>
          <t>LAMPADA LED TUBULAR BIVOLT 9/10 W, BASE G13</t>
        </is>
      </c>
      <c r="C4688" s="22" t="inlineStr">
        <is>
          <t>SINAPI</t>
        </is>
      </c>
      <c r="D4688" s="22" t="inlineStr">
        <is>
          <t>UN</t>
        </is>
      </c>
      <c r="E4688" s="63" t="n">
        <v>2</v>
      </c>
      <c r="F4688" s="64">
        <f>ROUND(M4688*FATOR, 2)</f>
        <v/>
      </c>
      <c r="G4688" s="64">
        <f>ROUND(ROUND(E4688,8)*F4688,2)</f>
        <v/>
      </c>
      <c r="L4688" t="n">
        <v>2</v>
      </c>
      <c r="M4688" t="n">
        <v>5.74</v>
      </c>
      <c r="N4688">
        <f>(M4688-F4688)</f>
        <v/>
      </c>
    </row>
    <row r="4689" ht="38" customHeight="1">
      <c r="A4689" s="22" t="inlineStr">
        <is>
          <t>I13216</t>
        </is>
      </c>
      <c r="B4689" s="23" t="inlineStr">
        <is>
          <t>Luminária de sobrepor, (tecnolux ref.FLP-6478/2x20) Tubled corpo/ refletor e aletas fabricadas em chapa de aço tratada e pintada em epoxi branco, para uso de 2 lampadas tubled de 20w</t>
        </is>
      </c>
      <c r="C4689" s="22" t="inlineStr">
        <is>
          <t>ORSE</t>
        </is>
      </c>
      <c r="D4689" s="22" t="inlineStr">
        <is>
          <t>un</t>
        </is>
      </c>
      <c r="E4689" s="63" t="n">
        <v>1</v>
      </c>
      <c r="F4689" s="64">
        <f>ROUND(M4689*FATOR, 2)</f>
        <v/>
      </c>
      <c r="G4689" s="64">
        <f>ROUND(ROUND(E4689,8)*F4689,2)</f>
        <v/>
      </c>
      <c r="L4689" t="n">
        <v>1</v>
      </c>
      <c r="M4689" t="n">
        <v>172.96</v>
      </c>
      <c r="N4689">
        <f>(M4689-F4689)</f>
        <v/>
      </c>
    </row>
    <row r="4690" ht="15" customHeight="1">
      <c r="A4690" s="2" t="inlineStr"/>
      <c r="B4690" s="2" t="inlineStr"/>
      <c r="C4690" s="2" t="inlineStr"/>
      <c r="D4690" s="2" t="inlineStr"/>
      <c r="E4690" s="26" t="inlineStr">
        <is>
          <t>TOTAL Material:</t>
        </is>
      </c>
      <c r="F4690" s="56" t="n"/>
      <c r="G4690" s="65">
        <f>SUM(G4688:G4689)</f>
        <v/>
      </c>
    </row>
    <row r="4691" ht="15" customHeight="1">
      <c r="A4691" s="20" t="inlineStr">
        <is>
          <t>Mão de Obra</t>
        </is>
      </c>
      <c r="B4691" s="56" t="n"/>
      <c r="C4691" s="21" t="inlineStr">
        <is>
          <t>FONTE</t>
        </is>
      </c>
      <c r="D4691" s="21" t="inlineStr">
        <is>
          <t>UNID</t>
        </is>
      </c>
      <c r="E4691" s="21" t="inlineStr">
        <is>
          <t>COEFICIENTE</t>
        </is>
      </c>
      <c r="F4691" s="21" t="inlineStr">
        <is>
          <t>PREÇO UNITÁRIO</t>
        </is>
      </c>
      <c r="G4691" s="21" t="inlineStr">
        <is>
          <t>TOTAL</t>
        </is>
      </c>
    </row>
    <row r="4692" ht="15" customHeight="1">
      <c r="A4692" s="22" t="inlineStr">
        <is>
          <t>I0042</t>
        </is>
      </c>
      <c r="B4692" s="23" t="inlineStr">
        <is>
          <t>AJUDANTE DE ELETRICISTA</t>
        </is>
      </c>
      <c r="C4692" s="22" t="inlineStr">
        <is>
          <t>SEINFRA</t>
        </is>
      </c>
      <c r="D4692" s="22" t="inlineStr">
        <is>
          <t>H</t>
        </is>
      </c>
      <c r="E4692" s="63">
        <f>L4692*FATOR</f>
        <v/>
      </c>
      <c r="F4692" s="64" t="n">
        <v>21.1</v>
      </c>
      <c r="G4692" s="64">
        <f>ROUND(ROUND(E4692,8)*F4692,2)</f>
        <v/>
      </c>
      <c r="L4692" t="n">
        <v>1.5</v>
      </c>
      <c r="M4692" t="n">
        <v>21.1</v>
      </c>
      <c r="N4692">
        <f>(M4692-F4692)</f>
        <v/>
      </c>
    </row>
    <row r="4693" ht="15" customHeight="1">
      <c r="A4693" s="22" t="inlineStr">
        <is>
          <t>I2312</t>
        </is>
      </c>
      <c r="B4693" s="23" t="inlineStr">
        <is>
          <t>ELETRICISTA</t>
        </is>
      </c>
      <c r="C4693" s="22" t="inlineStr">
        <is>
          <t>SEINFRA</t>
        </is>
      </c>
      <c r="D4693" s="22" t="inlineStr">
        <is>
          <t>H</t>
        </is>
      </c>
      <c r="E4693" s="63">
        <f>L4693*FATOR</f>
        <v/>
      </c>
      <c r="F4693" s="64" t="n">
        <v>26.85</v>
      </c>
      <c r="G4693" s="64">
        <f>ROUND(ROUND(E4693,8)*F4693,2)</f>
        <v/>
      </c>
      <c r="L4693" t="n">
        <v>1.5</v>
      </c>
      <c r="M4693" t="n">
        <v>26.85</v>
      </c>
      <c r="N4693">
        <f>(M4693-F4693)</f>
        <v/>
      </c>
    </row>
    <row r="4694" ht="15" customHeight="1">
      <c r="A4694" s="2" t="inlineStr"/>
      <c r="B4694" s="2" t="inlineStr"/>
      <c r="C4694" s="2" t="inlineStr"/>
      <c r="D4694" s="2" t="inlineStr"/>
      <c r="E4694" s="26" t="inlineStr">
        <is>
          <t>TOTAL Mão de Obra:</t>
        </is>
      </c>
      <c r="F4694" s="56" t="n"/>
      <c r="G4694" s="65">
        <f>SUM(G4692:G4693)</f>
        <v/>
      </c>
    </row>
    <row r="4695" ht="15" customHeight="1">
      <c r="A4695" s="2" t="inlineStr"/>
      <c r="B4695" s="2" t="inlineStr"/>
      <c r="C4695" s="2" t="inlineStr"/>
      <c r="D4695" s="2" t="inlineStr"/>
      <c r="E4695" s="28" t="inlineStr">
        <is>
          <t>VALOR:</t>
        </is>
      </c>
      <c r="F4695" s="56" t="n"/>
      <c r="G4695" s="66">
        <f>SUM(G4690,G4694)</f>
        <v/>
      </c>
    </row>
    <row r="4696" ht="15" customHeight="1">
      <c r="A4696" s="2" t="inlineStr"/>
      <c r="B4696" s="2" t="inlineStr"/>
      <c r="C4696" s="2" t="inlineStr"/>
      <c r="D4696" s="2" t="inlineStr"/>
      <c r="E4696" s="28" t="inlineStr">
        <is>
          <t>VALOR BDI (23.08%):</t>
        </is>
      </c>
      <c r="F4696" s="56" t="n"/>
      <c r="G4696" s="66">
        <f>ROUNDDOWN(G4695*BDI,2)</f>
        <v/>
      </c>
    </row>
    <row r="4697" ht="15" customHeight="1">
      <c r="A4697" s="2" t="inlineStr"/>
      <c r="B4697" s="2" t="inlineStr"/>
      <c r="C4697" s="2" t="inlineStr"/>
      <c r="D4697" s="2" t="inlineStr"/>
      <c r="E4697" s="28" t="inlineStr">
        <is>
          <t>VALOR COM BDI:</t>
        </is>
      </c>
      <c r="F4697" s="56" t="n"/>
      <c r="G4697" s="66">
        <f>G4696 + G4695</f>
        <v/>
      </c>
    </row>
    <row r="4698" ht="10" customHeight="1">
      <c r="A4698" s="2" t="inlineStr"/>
      <c r="B4698" s="2" t="inlineStr"/>
      <c r="C4698" s="2" t="inlineStr"/>
      <c r="D4698" s="2" t="inlineStr"/>
      <c r="E4698" s="18" t="inlineStr"/>
    </row>
    <row r="4699" ht="20" customHeight="1">
      <c r="A4699" s="19" t="inlineStr">
        <is>
          <t>14.3.1.3. ​SOP1154​ LUMINÁRIA DE EMBUTIR ORIENTÁVEL, COM CORPO EM ALUMÍNIO REPUXADO, REF.: ER11-E1AR70, DA LUMIDEC OU SIMILAR, INCLUSIVE LÂMPADA E REATOR​ (UN)</t>
        </is>
      </c>
      <c r="B4699" s="55" t="n"/>
      <c r="C4699" s="55" t="n"/>
      <c r="D4699" s="55" t="n"/>
      <c r="E4699" s="55" t="n"/>
      <c r="F4699" s="55" t="n"/>
      <c r="G4699" s="56" t="n"/>
    </row>
    <row r="4700" ht="15" customHeight="1">
      <c r="A4700" s="20" t="inlineStr">
        <is>
          <t>Material</t>
        </is>
      </c>
      <c r="B4700" s="56" t="n"/>
      <c r="C4700" s="21" t="inlineStr">
        <is>
          <t>FONTE</t>
        </is>
      </c>
      <c r="D4700" s="21" t="inlineStr">
        <is>
          <t>UNID</t>
        </is>
      </c>
      <c r="E4700" s="21" t="inlineStr">
        <is>
          <t>COEFICIENTE</t>
        </is>
      </c>
      <c r="F4700" s="21" t="inlineStr">
        <is>
          <t>PREÇO UNITÁRIO</t>
        </is>
      </c>
      <c r="G4700" s="21" t="inlineStr">
        <is>
          <t>TOTAL</t>
        </is>
      </c>
    </row>
    <row r="4701" ht="21" customHeight="1">
      <c r="A4701" s="22" t="inlineStr">
        <is>
          <t>I09129</t>
        </is>
      </c>
      <c r="B4701" s="23" t="inlineStr">
        <is>
          <t>Lampada AR 70 50W/12V, Halospot 24°, da Osram RELAMP00475 ou similar</t>
        </is>
      </c>
      <c r="C4701" s="22" t="inlineStr">
        <is>
          <t>ORSE</t>
        </is>
      </c>
      <c r="D4701" s="22" t="inlineStr">
        <is>
          <t>un</t>
        </is>
      </c>
      <c r="E4701" s="63" t="n">
        <v>1</v>
      </c>
      <c r="F4701" s="64">
        <f>ROUND(M4701*FATOR, 2)</f>
        <v/>
      </c>
      <c r="G4701" s="64">
        <f>ROUND(ROUND(E4701,8)*F4701,2)</f>
        <v/>
      </c>
      <c r="L4701" t="n">
        <v>1</v>
      </c>
      <c r="M4701" t="n">
        <v>37.1</v>
      </c>
      <c r="N4701">
        <f>(M4701-F4701)</f>
        <v/>
      </c>
    </row>
    <row r="4702" ht="21" customHeight="1">
      <c r="A4702" s="22" t="inlineStr">
        <is>
          <t>I09127</t>
        </is>
      </c>
      <c r="B4702" s="23" t="inlineStr">
        <is>
          <t>Luminária de embutir orientável, com corpo em alumínio repuxado, ref.: ER11-E1AR70, da Lumidec ou similar</t>
        </is>
      </c>
      <c r="C4702" s="22" t="inlineStr">
        <is>
          <t>ORSE</t>
        </is>
      </c>
      <c r="D4702" s="22" t="inlineStr">
        <is>
          <t>un</t>
        </is>
      </c>
      <c r="E4702" s="63" t="n">
        <v>1</v>
      </c>
      <c r="F4702" s="64">
        <f>ROUND(M4702*FATOR, 2)</f>
        <v/>
      </c>
      <c r="G4702" s="64">
        <f>ROUND(ROUND(E4702,8)*F4702,2)</f>
        <v/>
      </c>
      <c r="L4702" t="n">
        <v>1</v>
      </c>
      <c r="M4702" t="n">
        <v>83.15000000000001</v>
      </c>
      <c r="N4702">
        <f>(M4702-F4702)</f>
        <v/>
      </c>
    </row>
    <row r="4703" ht="21" customHeight="1">
      <c r="A4703" s="22" t="inlineStr">
        <is>
          <t>I09128</t>
        </is>
      </c>
      <c r="B4703" s="23" t="inlineStr">
        <is>
          <t>Reator eletrônico 1 X 50 X 220V, Trancil REREATO 1339 ou similar</t>
        </is>
      </c>
      <c r="C4703" s="22" t="inlineStr">
        <is>
          <t>ORSE</t>
        </is>
      </c>
      <c r="D4703" s="22" t="inlineStr">
        <is>
          <t>un</t>
        </is>
      </c>
      <c r="E4703" s="63" t="n">
        <v>1</v>
      </c>
      <c r="F4703" s="64">
        <f>ROUND(M4703*FATOR, 2)</f>
        <v/>
      </c>
      <c r="G4703" s="64">
        <f>ROUND(ROUND(E4703,8)*F4703,2)</f>
        <v/>
      </c>
      <c r="L4703" t="n">
        <v>1</v>
      </c>
      <c r="M4703" t="n">
        <v>42.64</v>
      </c>
      <c r="N4703">
        <f>(M4703-F4703)</f>
        <v/>
      </c>
    </row>
    <row r="4704" ht="15" customHeight="1">
      <c r="A4704" s="2" t="inlineStr"/>
      <c r="B4704" s="2" t="inlineStr"/>
      <c r="C4704" s="2" t="inlineStr"/>
      <c r="D4704" s="2" t="inlineStr"/>
      <c r="E4704" s="26" t="inlineStr">
        <is>
          <t>TOTAL Material:</t>
        </is>
      </c>
      <c r="F4704" s="56" t="n"/>
      <c r="G4704" s="65">
        <f>SUM(G4701:G4703)</f>
        <v/>
      </c>
    </row>
    <row r="4705" ht="15" customHeight="1">
      <c r="A4705" s="20" t="inlineStr">
        <is>
          <t>Mão de Obra</t>
        </is>
      </c>
      <c r="B4705" s="56" t="n"/>
      <c r="C4705" s="21" t="inlineStr">
        <is>
          <t>FONTE</t>
        </is>
      </c>
      <c r="D4705" s="21" t="inlineStr">
        <is>
          <t>UNID</t>
        </is>
      </c>
      <c r="E4705" s="21" t="inlineStr">
        <is>
          <t>COEFICIENTE</t>
        </is>
      </c>
      <c r="F4705" s="21" t="inlineStr">
        <is>
          <t>PREÇO UNITÁRIO</t>
        </is>
      </c>
      <c r="G4705" s="21" t="inlineStr">
        <is>
          <t>TOTAL</t>
        </is>
      </c>
    </row>
    <row r="4706" ht="15" customHeight="1">
      <c r="A4706" s="22" t="inlineStr">
        <is>
          <t>I2312</t>
        </is>
      </c>
      <c r="B4706" s="23" t="inlineStr">
        <is>
          <t>ELETRICISTA</t>
        </is>
      </c>
      <c r="C4706" s="22" t="inlineStr">
        <is>
          <t>SEINFRA</t>
        </is>
      </c>
      <c r="D4706" s="22" t="inlineStr">
        <is>
          <t>H</t>
        </is>
      </c>
      <c r="E4706" s="63">
        <f>L4706*FATOR</f>
        <v/>
      </c>
      <c r="F4706" s="64" t="n">
        <v>26.85</v>
      </c>
      <c r="G4706" s="64">
        <f>ROUND(ROUND(E4706,8)*F4706,2)</f>
        <v/>
      </c>
      <c r="L4706" t="n">
        <v>1</v>
      </c>
      <c r="M4706" t="n">
        <v>26.85</v>
      </c>
      <c r="N4706">
        <f>(M4706-F4706)</f>
        <v/>
      </c>
    </row>
    <row r="4707" ht="15" customHeight="1">
      <c r="A4707" s="22" t="inlineStr">
        <is>
          <t>I2543</t>
        </is>
      </c>
      <c r="B4707" s="23" t="inlineStr">
        <is>
          <t>SERVENTE</t>
        </is>
      </c>
      <c r="C4707" s="22" t="inlineStr">
        <is>
          <t>SEINFRA</t>
        </is>
      </c>
      <c r="D4707" s="22" t="inlineStr">
        <is>
          <t>H</t>
        </is>
      </c>
      <c r="E4707" s="63">
        <f>L4707*FATOR</f>
        <v/>
      </c>
      <c r="F4707" s="64" t="n">
        <v>20.26</v>
      </c>
      <c r="G4707" s="64">
        <f>ROUND(ROUND(E4707,8)*F4707,2)</f>
        <v/>
      </c>
      <c r="L4707" t="n">
        <v>1</v>
      </c>
      <c r="M4707" t="n">
        <v>20.26</v>
      </c>
      <c r="N4707">
        <f>(M4707-F4707)</f>
        <v/>
      </c>
    </row>
    <row r="4708" ht="15" customHeight="1">
      <c r="A4708" s="2" t="inlineStr"/>
      <c r="B4708" s="2" t="inlineStr"/>
      <c r="C4708" s="2" t="inlineStr"/>
      <c r="D4708" s="2" t="inlineStr"/>
      <c r="E4708" s="26" t="inlineStr">
        <is>
          <t>TOTAL Mão de Obra:</t>
        </is>
      </c>
      <c r="F4708" s="56" t="n"/>
      <c r="G4708" s="65">
        <f>SUM(G4706:G4707)</f>
        <v/>
      </c>
    </row>
    <row r="4709" ht="15" customHeight="1">
      <c r="A4709" s="2" t="inlineStr"/>
      <c r="B4709" s="2" t="inlineStr"/>
      <c r="C4709" s="2" t="inlineStr"/>
      <c r="D4709" s="2" t="inlineStr"/>
      <c r="E4709" s="28" t="inlineStr">
        <is>
          <t>VALOR:</t>
        </is>
      </c>
      <c r="F4709" s="56" t="n"/>
      <c r="G4709" s="66">
        <f>SUM(G4704,G4708)</f>
        <v/>
      </c>
    </row>
    <row r="4710" ht="15" customHeight="1">
      <c r="A4710" s="2" t="inlineStr"/>
      <c r="B4710" s="2" t="inlineStr"/>
      <c r="C4710" s="2" t="inlineStr"/>
      <c r="D4710" s="2" t="inlineStr"/>
      <c r="E4710" s="28" t="inlineStr">
        <is>
          <t>VALOR BDI (23.08%):</t>
        </is>
      </c>
      <c r="F4710" s="56" t="n"/>
      <c r="G4710" s="66">
        <f>ROUNDDOWN(G4709*BDI,2)</f>
        <v/>
      </c>
    </row>
    <row r="4711" ht="15" customHeight="1">
      <c r="A4711" s="2" t="inlineStr"/>
      <c r="B4711" s="2" t="inlineStr"/>
      <c r="C4711" s="2" t="inlineStr"/>
      <c r="D4711" s="2" t="inlineStr"/>
      <c r="E4711" s="28" t="inlineStr">
        <is>
          <t>VALOR COM BDI:</t>
        </is>
      </c>
      <c r="F4711" s="56" t="n"/>
      <c r="G4711" s="66">
        <f>G4710 + G4709</f>
        <v/>
      </c>
    </row>
    <row r="4712" ht="10" customHeight="1">
      <c r="A4712" s="2" t="inlineStr"/>
      <c r="B4712" s="2" t="inlineStr"/>
      <c r="C4712" s="2" t="inlineStr"/>
      <c r="D4712" s="2" t="inlineStr"/>
      <c r="E4712" s="18" t="inlineStr"/>
    </row>
    <row r="4713" ht="20" customHeight="1">
      <c r="A4713" s="19" t="inlineStr">
        <is>
          <t>14.3.1.4. ​SOP0104​ REFLETOR SLIM LED 50W DE POTÊNCIA, BRANCO FRIO, 6500K, AUTOVOLT, MARCA G-LIGHT OU SIMILAR​ (UN)</t>
        </is>
      </c>
      <c r="B4713" s="55" t="n"/>
      <c r="C4713" s="55" t="n"/>
      <c r="D4713" s="55" t="n"/>
      <c r="E4713" s="55" t="n"/>
      <c r="F4713" s="55" t="n"/>
      <c r="G4713" s="56" t="n"/>
    </row>
    <row r="4714" ht="15" customHeight="1">
      <c r="A4714" s="20" t="inlineStr">
        <is>
          <t>Material</t>
        </is>
      </c>
      <c r="B4714" s="56" t="n"/>
      <c r="C4714" s="21" t="inlineStr">
        <is>
          <t>FONTE</t>
        </is>
      </c>
      <c r="D4714" s="21" t="inlineStr">
        <is>
          <t>UNID</t>
        </is>
      </c>
      <c r="E4714" s="21" t="inlineStr">
        <is>
          <t>COEFICIENTE</t>
        </is>
      </c>
      <c r="F4714" s="21" t="inlineStr">
        <is>
          <t>PREÇO UNITÁRIO</t>
        </is>
      </c>
      <c r="G4714" s="21" t="inlineStr">
        <is>
          <t>TOTAL</t>
        </is>
      </c>
    </row>
    <row r="4715" ht="15" customHeight="1">
      <c r="A4715" s="22" t="inlineStr">
        <is>
          <t>I01691</t>
        </is>
      </c>
      <c r="B4715" s="23" t="inlineStr">
        <is>
          <t>Parafuso metal 2 1/2" x 12 p/ bucha s-10</t>
        </is>
      </c>
      <c r="C4715" s="22" t="inlineStr">
        <is>
          <t>ORSE</t>
        </is>
      </c>
      <c r="D4715" s="22" t="inlineStr">
        <is>
          <t>un</t>
        </is>
      </c>
      <c r="E4715" s="63" t="n">
        <v>2</v>
      </c>
      <c r="F4715" s="64">
        <f>ROUND(M4715*FATOR, 2)</f>
        <v/>
      </c>
      <c r="G4715" s="64">
        <f>ROUND(ROUND(E4715,8)*F4715,2)</f>
        <v/>
      </c>
      <c r="L4715" t="n">
        <v>2</v>
      </c>
      <c r="M4715" t="n">
        <v>0.86</v>
      </c>
      <c r="N4715">
        <f>(M4715-F4715)</f>
        <v/>
      </c>
    </row>
    <row r="4716" ht="21" customHeight="1">
      <c r="A4716" s="22" t="inlineStr">
        <is>
          <t>I13288</t>
        </is>
      </c>
      <c r="B4716" s="23" t="inlineStr">
        <is>
          <t>Refletor Slim LED 50W de potência, branco Frio, 6500k, Autovolt, marca G-light ou similar</t>
        </is>
      </c>
      <c r="C4716" s="22" t="inlineStr">
        <is>
          <t>ORSE</t>
        </is>
      </c>
      <c r="D4716" s="22" t="inlineStr">
        <is>
          <t>un</t>
        </is>
      </c>
      <c r="E4716" s="63" t="n">
        <v>1</v>
      </c>
      <c r="F4716" s="64">
        <f>ROUND(M4716*FATOR, 2)</f>
        <v/>
      </c>
      <c r="G4716" s="64">
        <f>ROUND(ROUND(E4716,8)*F4716,2)</f>
        <v/>
      </c>
      <c r="L4716" t="n">
        <v>1</v>
      </c>
      <c r="M4716" t="n">
        <v>31.1</v>
      </c>
      <c r="N4716">
        <f>(M4716-F4716)</f>
        <v/>
      </c>
    </row>
    <row r="4717" ht="15" customHeight="1">
      <c r="A4717" s="2" t="inlineStr"/>
      <c r="B4717" s="2" t="inlineStr"/>
      <c r="C4717" s="2" t="inlineStr"/>
      <c r="D4717" s="2" t="inlineStr"/>
      <c r="E4717" s="26" t="inlineStr">
        <is>
          <t>TOTAL Material:</t>
        </is>
      </c>
      <c r="F4717" s="56" t="n"/>
      <c r="G4717" s="65">
        <f>SUM(G4715:G4716)</f>
        <v/>
      </c>
    </row>
    <row r="4718" ht="15" customHeight="1">
      <c r="A4718" s="20" t="inlineStr">
        <is>
          <t>Mão de Obra</t>
        </is>
      </c>
      <c r="B4718" s="56" t="n"/>
      <c r="C4718" s="21" t="inlineStr">
        <is>
          <t>FONTE</t>
        </is>
      </c>
      <c r="D4718" s="21" t="inlineStr">
        <is>
          <t>UNID</t>
        </is>
      </c>
      <c r="E4718" s="21" t="inlineStr">
        <is>
          <t>COEFICIENTE</t>
        </is>
      </c>
      <c r="F4718" s="21" t="inlineStr">
        <is>
          <t>PREÇO UNITÁRIO</t>
        </is>
      </c>
      <c r="G4718" s="21" t="inlineStr">
        <is>
          <t>TOTAL</t>
        </is>
      </c>
    </row>
    <row r="4719" ht="15" customHeight="1">
      <c r="A4719" s="22" t="inlineStr">
        <is>
          <t>I2312</t>
        </is>
      </c>
      <c r="B4719" s="23" t="inlineStr">
        <is>
          <t>ELETRICISTA</t>
        </is>
      </c>
      <c r="C4719" s="22" t="inlineStr">
        <is>
          <t>SEINFRA</t>
        </is>
      </c>
      <c r="D4719" s="22" t="inlineStr">
        <is>
          <t>H</t>
        </is>
      </c>
      <c r="E4719" s="63">
        <f>L4719*FATOR</f>
        <v/>
      </c>
      <c r="F4719" s="64" t="n">
        <v>26.85</v>
      </c>
      <c r="G4719" s="64">
        <f>ROUND(ROUND(E4719,8)*F4719,2)</f>
        <v/>
      </c>
      <c r="L4719" t="n">
        <v>0.5</v>
      </c>
      <c r="M4719" t="n">
        <v>26.85</v>
      </c>
      <c r="N4719">
        <f>(M4719-F4719)</f>
        <v/>
      </c>
    </row>
    <row r="4720" ht="15" customHeight="1">
      <c r="A4720" s="22" t="inlineStr">
        <is>
          <t>I2543</t>
        </is>
      </c>
      <c r="B4720" s="23" t="inlineStr">
        <is>
          <t>SERVENTE</t>
        </is>
      </c>
      <c r="C4720" s="22" t="inlineStr">
        <is>
          <t>SEINFRA</t>
        </is>
      </c>
      <c r="D4720" s="22" t="inlineStr">
        <is>
          <t>H</t>
        </is>
      </c>
      <c r="E4720" s="63">
        <f>L4720*FATOR</f>
        <v/>
      </c>
      <c r="F4720" s="64" t="n">
        <v>20.26</v>
      </c>
      <c r="G4720" s="64">
        <f>ROUND(ROUND(E4720,8)*F4720,2)</f>
        <v/>
      </c>
      <c r="L4720" t="n">
        <v>0.3</v>
      </c>
      <c r="M4720" t="n">
        <v>20.26</v>
      </c>
      <c r="N4720">
        <f>(M4720-F4720)</f>
        <v/>
      </c>
    </row>
    <row r="4721" ht="15" customHeight="1">
      <c r="A4721" s="2" t="inlineStr"/>
      <c r="B4721" s="2" t="inlineStr"/>
      <c r="C4721" s="2" t="inlineStr"/>
      <c r="D4721" s="2" t="inlineStr"/>
      <c r="E4721" s="26" t="inlineStr">
        <is>
          <t>TOTAL Mão de Obra:</t>
        </is>
      </c>
      <c r="F4721" s="56" t="n"/>
      <c r="G4721" s="65">
        <f>SUM(G4719:G4720)</f>
        <v/>
      </c>
    </row>
    <row r="4722" ht="15" customHeight="1">
      <c r="A4722" s="2" t="inlineStr"/>
      <c r="B4722" s="2" t="inlineStr"/>
      <c r="C4722" s="2" t="inlineStr"/>
      <c r="D4722" s="2" t="inlineStr"/>
      <c r="E4722" s="28" t="inlineStr">
        <is>
          <t>VALOR:</t>
        </is>
      </c>
      <c r="F4722" s="56" t="n"/>
      <c r="G4722" s="66">
        <f>SUM(G4721,G4717)</f>
        <v/>
      </c>
    </row>
    <row r="4723" ht="15" customHeight="1">
      <c r="A4723" s="2" t="inlineStr"/>
      <c r="B4723" s="2" t="inlineStr"/>
      <c r="C4723" s="2" t="inlineStr"/>
      <c r="D4723" s="2" t="inlineStr"/>
      <c r="E4723" s="28" t="inlineStr">
        <is>
          <t>VALOR BDI (23.08%):</t>
        </is>
      </c>
      <c r="F4723" s="56" t="n"/>
      <c r="G4723" s="66">
        <f>ROUNDDOWN(G4722*BDI,2)</f>
        <v/>
      </c>
    </row>
    <row r="4724" ht="15" customHeight="1">
      <c r="A4724" s="2" t="inlineStr"/>
      <c r="B4724" s="2" t="inlineStr"/>
      <c r="C4724" s="2" t="inlineStr"/>
      <c r="D4724" s="2" t="inlineStr"/>
      <c r="E4724" s="28" t="inlineStr">
        <is>
          <t>VALOR COM BDI:</t>
        </is>
      </c>
      <c r="F4724" s="56" t="n"/>
      <c r="G4724" s="66">
        <f>G4723 + G4722</f>
        <v/>
      </c>
    </row>
    <row r="4725" ht="10" customHeight="1">
      <c r="A4725" s="2" t="inlineStr"/>
      <c r="B4725" s="2" t="inlineStr"/>
      <c r="C4725" s="2" t="inlineStr"/>
      <c r="D4725" s="2" t="inlineStr"/>
      <c r="E4725" s="18" t="inlineStr"/>
    </row>
    <row r="4726" ht="20" customHeight="1">
      <c r="A4726" s="19" t="inlineStr">
        <is>
          <t>14.3.1.5. ​SOP0074​ REFLETOR TR LED, CORPO EM ALUMINIO, VIDRO TEMPERADO, POTENCIA 20W, BIVOLT, TEMP.COR 3000K, IP-65, DA TASCHIBRA OU SIMILAR​ (UN)</t>
        </is>
      </c>
      <c r="B4726" s="55" t="n"/>
      <c r="C4726" s="55" t="n"/>
      <c r="D4726" s="55" t="n"/>
      <c r="E4726" s="55" t="n"/>
      <c r="F4726" s="55" t="n"/>
      <c r="G4726" s="56" t="n"/>
    </row>
    <row r="4727" ht="15" customHeight="1">
      <c r="A4727" s="20" t="inlineStr">
        <is>
          <t>Material</t>
        </is>
      </c>
      <c r="B4727" s="56" t="n"/>
      <c r="C4727" s="21" t="inlineStr">
        <is>
          <t>FONTE</t>
        </is>
      </c>
      <c r="D4727" s="21" t="inlineStr">
        <is>
          <t>UNID</t>
        </is>
      </c>
      <c r="E4727" s="21" t="inlineStr">
        <is>
          <t>COEFICIENTE</t>
        </is>
      </c>
      <c r="F4727" s="21" t="inlineStr">
        <is>
          <t>PREÇO UNITÁRIO</t>
        </is>
      </c>
      <c r="G4727" s="21" t="inlineStr">
        <is>
          <t>TOTAL</t>
        </is>
      </c>
    </row>
    <row r="4728" ht="29" customHeight="1">
      <c r="A4728" s="22" t="inlineStr">
        <is>
          <t>I11987</t>
        </is>
      </c>
      <c r="B4728" s="23" t="inlineStr">
        <is>
          <t>Refletor TR Led, corpo em aluminio, vidro temperado, potencia 20W, bivolt, temp.cor 3000K, IP-65, da Taschibra ou similar</t>
        </is>
      </c>
      <c r="C4728" s="22" t="inlineStr">
        <is>
          <t>ORSE</t>
        </is>
      </c>
      <c r="D4728" s="22" t="inlineStr">
        <is>
          <t>un</t>
        </is>
      </c>
      <c r="E4728" s="63" t="n">
        <v>1</v>
      </c>
      <c r="F4728" s="64">
        <f>ROUND(M4728*FATOR, 2)</f>
        <v/>
      </c>
      <c r="G4728" s="64">
        <f>ROUND(ROUND(E4728,8)*F4728,2)</f>
        <v/>
      </c>
      <c r="L4728" t="n">
        <v>1</v>
      </c>
      <c r="M4728" t="n">
        <v>17.15</v>
      </c>
      <c r="N4728">
        <f>(M4728-F4728)</f>
        <v/>
      </c>
    </row>
    <row r="4729" ht="15" customHeight="1">
      <c r="A4729" s="2" t="inlineStr"/>
      <c r="B4729" s="2" t="inlineStr"/>
      <c r="C4729" s="2" t="inlineStr"/>
      <c r="D4729" s="2" t="inlineStr"/>
      <c r="E4729" s="26" t="inlineStr">
        <is>
          <t>TOTAL Material:</t>
        </is>
      </c>
      <c r="F4729" s="56" t="n"/>
      <c r="G4729" s="65">
        <f>SUM(G4728:G4728)</f>
        <v/>
      </c>
    </row>
    <row r="4730" ht="15" customHeight="1">
      <c r="A4730" s="20" t="inlineStr">
        <is>
          <t>Mão de Obra</t>
        </is>
      </c>
      <c r="B4730" s="56" t="n"/>
      <c r="C4730" s="21" t="inlineStr">
        <is>
          <t>FONTE</t>
        </is>
      </c>
      <c r="D4730" s="21" t="inlineStr">
        <is>
          <t>UNID</t>
        </is>
      </c>
      <c r="E4730" s="21" t="inlineStr">
        <is>
          <t>COEFICIENTE</t>
        </is>
      </c>
      <c r="F4730" s="21" t="inlineStr">
        <is>
          <t>PREÇO UNITÁRIO</t>
        </is>
      </c>
      <c r="G4730" s="21" t="inlineStr">
        <is>
          <t>TOTAL</t>
        </is>
      </c>
    </row>
    <row r="4731" ht="15" customHeight="1">
      <c r="A4731" s="22" t="inlineStr">
        <is>
          <t>I2312</t>
        </is>
      </c>
      <c r="B4731" s="23" t="inlineStr">
        <is>
          <t>ELETRICISTA</t>
        </is>
      </c>
      <c r="C4731" s="22" t="inlineStr">
        <is>
          <t>SEINFRA</t>
        </is>
      </c>
      <c r="D4731" s="22" t="inlineStr">
        <is>
          <t>H</t>
        </is>
      </c>
      <c r="E4731" s="63">
        <f>L4731*FATOR</f>
        <v/>
      </c>
      <c r="F4731" s="64" t="n">
        <v>26.85</v>
      </c>
      <c r="G4731" s="64">
        <f>ROUND(ROUND(E4731,8)*F4731,2)</f>
        <v/>
      </c>
      <c r="L4731" t="n">
        <v>0.5</v>
      </c>
      <c r="M4731" t="n">
        <v>26.85</v>
      </c>
      <c r="N4731">
        <f>(M4731-F4731)</f>
        <v/>
      </c>
    </row>
    <row r="4732" ht="15" customHeight="1">
      <c r="A4732" s="22" t="inlineStr">
        <is>
          <t>I2543</t>
        </is>
      </c>
      <c r="B4732" s="23" t="inlineStr">
        <is>
          <t>SERVENTE</t>
        </is>
      </c>
      <c r="C4732" s="22" t="inlineStr">
        <is>
          <t>SEINFRA</t>
        </is>
      </c>
      <c r="D4732" s="22" t="inlineStr">
        <is>
          <t>H</t>
        </is>
      </c>
      <c r="E4732" s="63">
        <f>L4732*FATOR</f>
        <v/>
      </c>
      <c r="F4732" s="64" t="n">
        <v>20.26</v>
      </c>
      <c r="G4732" s="64">
        <f>ROUND(ROUND(E4732,8)*F4732,2)</f>
        <v/>
      </c>
      <c r="L4732" t="n">
        <v>0.3</v>
      </c>
      <c r="M4732" t="n">
        <v>20.26</v>
      </c>
      <c r="N4732">
        <f>(M4732-F4732)</f>
        <v/>
      </c>
    </row>
    <row r="4733" ht="15" customHeight="1">
      <c r="A4733" s="2" t="inlineStr"/>
      <c r="B4733" s="2" t="inlineStr"/>
      <c r="C4733" s="2" t="inlineStr"/>
      <c r="D4733" s="2" t="inlineStr"/>
      <c r="E4733" s="26" t="inlineStr">
        <is>
          <t>TOTAL Mão de Obra:</t>
        </is>
      </c>
      <c r="F4733" s="56" t="n"/>
      <c r="G4733" s="65">
        <f>SUM(G4731:G4732)</f>
        <v/>
      </c>
    </row>
    <row r="4734" ht="15" customHeight="1">
      <c r="A4734" s="2" t="inlineStr"/>
      <c r="B4734" s="2" t="inlineStr"/>
      <c r="C4734" s="2" t="inlineStr"/>
      <c r="D4734" s="2" t="inlineStr"/>
      <c r="E4734" s="28" t="inlineStr">
        <is>
          <t>VALOR:</t>
        </is>
      </c>
      <c r="F4734" s="56" t="n"/>
      <c r="G4734" s="66">
        <f>SUM(G4729,G4733)</f>
        <v/>
      </c>
    </row>
    <row r="4735" ht="15" customHeight="1">
      <c r="A4735" s="2" t="inlineStr"/>
      <c r="B4735" s="2" t="inlineStr"/>
      <c r="C4735" s="2" t="inlineStr"/>
      <c r="D4735" s="2" t="inlineStr"/>
      <c r="E4735" s="28" t="inlineStr">
        <is>
          <t>VALOR BDI (23.08%):</t>
        </is>
      </c>
      <c r="F4735" s="56" t="n"/>
      <c r="G4735" s="66">
        <f>ROUNDDOWN(G4734*BDI,2)</f>
        <v/>
      </c>
    </row>
    <row r="4736" ht="15" customHeight="1">
      <c r="A4736" s="2" t="inlineStr"/>
      <c r="B4736" s="2" t="inlineStr"/>
      <c r="C4736" s="2" t="inlineStr"/>
      <c r="D4736" s="2" t="inlineStr"/>
      <c r="E4736" s="28" t="inlineStr">
        <is>
          <t>VALOR COM BDI:</t>
        </is>
      </c>
      <c r="F4736" s="56" t="n"/>
      <c r="G4736" s="66">
        <f>G4735 + G4734</f>
        <v/>
      </c>
    </row>
    <row r="4737" ht="10" customHeight="1">
      <c r="A4737" s="2" t="inlineStr"/>
      <c r="B4737" s="2" t="inlineStr"/>
      <c r="C4737" s="2" t="inlineStr"/>
      <c r="D4737" s="2" t="inlineStr"/>
      <c r="E4737" s="18" t="inlineStr"/>
    </row>
    <row r="4738" ht="20" customHeight="1">
      <c r="A4738" s="19" t="inlineStr">
        <is>
          <t>15.1.1.1. ​88497​ EMASSAMENTO COM MASSA LÁTEX, APLICAÇÃO EM PAREDE, DUAS DEMÃOS, LIXAMENTO MANUAL. AF_04/2023​ (M2)</t>
        </is>
      </c>
      <c r="B4738" s="55" t="n"/>
      <c r="C4738" s="55" t="n"/>
      <c r="D4738" s="55" t="n"/>
      <c r="E4738" s="55" t="n"/>
      <c r="F4738" s="55" t="n"/>
      <c r="G4738" s="56" t="n"/>
    </row>
    <row r="4739" ht="15" customHeight="1">
      <c r="A4739" s="20" t="inlineStr">
        <is>
          <t>Material</t>
        </is>
      </c>
      <c r="B4739" s="56" t="n"/>
      <c r="C4739" s="21" t="inlineStr">
        <is>
          <t>FONTE</t>
        </is>
      </c>
      <c r="D4739" s="21" t="inlineStr">
        <is>
          <t>UNID</t>
        </is>
      </c>
      <c r="E4739" s="21" t="inlineStr">
        <is>
          <t>COEFICIENTE</t>
        </is>
      </c>
      <c r="F4739" s="21" t="inlineStr">
        <is>
          <t>PREÇO UNITÁRIO</t>
        </is>
      </c>
      <c r="G4739" s="21" t="inlineStr">
        <is>
          <t>TOTAL</t>
        </is>
      </c>
    </row>
    <row r="4740" ht="21" customHeight="1">
      <c r="A4740" s="22" t="inlineStr">
        <is>
          <t>00003767</t>
        </is>
      </c>
      <c r="B4740" s="23" t="inlineStr">
        <is>
          <t>LIXA EM FOLHA PARA PAREDE OU MADEIRA, NUMERO 120, COR VERMELHA</t>
        </is>
      </c>
      <c r="C4740" s="22" t="inlineStr">
        <is>
          <t>SINAPI</t>
        </is>
      </c>
      <c r="D4740" s="22" t="inlineStr">
        <is>
          <t>UN</t>
        </is>
      </c>
      <c r="E4740" s="63" t="n">
        <v>0.08019999999999999</v>
      </c>
      <c r="F4740" s="64">
        <f>ROUND(M4740*FATOR, 2)</f>
        <v/>
      </c>
      <c r="G4740" s="64">
        <f>TRUNC(TRUNC(E4740,8)*F4740,2)</f>
        <v/>
      </c>
      <c r="L4740" t="n">
        <v>0.08019999999999999</v>
      </c>
      <c r="M4740" t="n">
        <v>0.79</v>
      </c>
      <c r="N4740">
        <f>(M4740-F4740)</f>
        <v/>
      </c>
    </row>
    <row r="4741" ht="21" customHeight="1">
      <c r="A4741" s="22" t="inlineStr">
        <is>
          <t>00043626</t>
        </is>
      </c>
      <c r="B4741" s="23" t="inlineStr">
        <is>
          <t>MASSA CORRIDA PARA SUPERFICIES DE AMBIENTES INTERNOS</t>
        </is>
      </c>
      <c r="C4741" s="22" t="inlineStr">
        <is>
          <t>SINAPI</t>
        </is>
      </c>
      <c r="D4741" s="22" t="inlineStr">
        <is>
          <t>KG</t>
        </is>
      </c>
      <c r="E4741" s="63" t="n">
        <v>1.3389</v>
      </c>
      <c r="F4741" s="64">
        <f>ROUND(M4741*FATOR, 2)</f>
        <v/>
      </c>
      <c r="G4741" s="64">
        <f>TRUNC(TRUNC(E4741,8)*F4741,2)</f>
        <v/>
      </c>
      <c r="L4741" t="n">
        <v>1.3389</v>
      </c>
      <c r="M4741" t="n">
        <v>2.34</v>
      </c>
      <c r="N4741">
        <f>(M4741-F4741)</f>
        <v/>
      </c>
    </row>
    <row r="4742" ht="15" customHeight="1">
      <c r="A4742" s="2" t="inlineStr"/>
      <c r="B4742" s="2" t="inlineStr"/>
      <c r="C4742" s="2" t="inlineStr"/>
      <c r="D4742" s="2" t="inlineStr"/>
      <c r="E4742" s="26" t="inlineStr">
        <is>
          <t>TOTAL Material:</t>
        </is>
      </c>
      <c r="F4742" s="56" t="n"/>
      <c r="G4742" s="65">
        <f>SUM(G4740:G4741)</f>
        <v/>
      </c>
    </row>
    <row r="4743" ht="15" customHeight="1">
      <c r="A4743" s="20" t="inlineStr">
        <is>
          <t>Mão de Obra com Encargos Complementares</t>
        </is>
      </c>
      <c r="B4743" s="56" t="n"/>
      <c r="C4743" s="21" t="inlineStr">
        <is>
          <t>FONTE</t>
        </is>
      </c>
      <c r="D4743" s="21" t="inlineStr">
        <is>
          <t>UNID</t>
        </is>
      </c>
      <c r="E4743" s="21" t="inlineStr">
        <is>
          <t>COEFICIENTE</t>
        </is>
      </c>
      <c r="F4743" s="21" t="inlineStr">
        <is>
          <t>PREÇO UNITÁRIO</t>
        </is>
      </c>
      <c r="G4743" s="21" t="inlineStr">
        <is>
          <t>TOTAL</t>
        </is>
      </c>
    </row>
    <row r="4744" ht="15" customHeight="1">
      <c r="A4744" s="22" t="inlineStr">
        <is>
          <t>88310</t>
        </is>
      </c>
      <c r="B4744" s="23" t="inlineStr">
        <is>
          <t>PINTOR COM ENCARGOS COMPLEMENTARES</t>
        </is>
      </c>
      <c r="C4744" s="22" t="inlineStr">
        <is>
          <t>SINAPI</t>
        </is>
      </c>
      <c r="D4744" s="22" t="inlineStr">
        <is>
          <t>H</t>
        </is>
      </c>
      <c r="E4744" s="63">
        <f>L4744*FATOR</f>
        <v/>
      </c>
      <c r="F4744" s="64">
        <f>'COMPOSICOES AUXILIARES'!G3047</f>
        <v/>
      </c>
      <c r="G4744" s="64">
        <f>TRUNC(TRUNC(E4744,8)*F4744,2)</f>
        <v/>
      </c>
      <c r="L4744" t="n">
        <v>0.361</v>
      </c>
      <c r="M4744" t="n">
        <v>32.25</v>
      </c>
      <c r="N4744">
        <f>(M4744-F4744)</f>
        <v/>
      </c>
    </row>
    <row r="4745" ht="15" customHeight="1">
      <c r="A4745" s="22" t="inlineStr">
        <is>
          <t>88316</t>
        </is>
      </c>
      <c r="B4745" s="23" t="inlineStr">
        <is>
          <t>SERVENTE COM ENCARGOS COMPLEMENTARES</t>
        </is>
      </c>
      <c r="C4745" s="22" t="inlineStr">
        <is>
          <t>SINAPI</t>
        </is>
      </c>
      <c r="D4745" s="22" t="inlineStr">
        <is>
          <t>H</t>
        </is>
      </c>
      <c r="E4745" s="63">
        <f>L4745*FATOR</f>
        <v/>
      </c>
      <c r="F4745" s="64">
        <f>'COMPOSICOES AUXILIARES'!G3390</f>
        <v/>
      </c>
      <c r="G4745" s="64">
        <f>TRUNC(TRUNC(E4745,8)*F4745,2)</f>
        <v/>
      </c>
      <c r="L4745" t="n">
        <v>0.1203</v>
      </c>
      <c r="M4745" t="n">
        <v>23.56</v>
      </c>
      <c r="N4745">
        <f>(M4745-F4745)</f>
        <v/>
      </c>
    </row>
    <row r="4746" ht="18" customHeight="1">
      <c r="A4746" s="2" t="inlineStr"/>
      <c r="B4746" s="2" t="inlineStr"/>
      <c r="C4746" s="2" t="inlineStr"/>
      <c r="D4746" s="2" t="inlineStr"/>
      <c r="E4746" s="26" t="inlineStr">
        <is>
          <t>TOTAL Mão de Obra com Encargos Complementares:</t>
        </is>
      </c>
      <c r="F4746" s="56" t="n"/>
      <c r="G4746" s="65">
        <f>SUM(G4744:G4745)</f>
        <v/>
      </c>
    </row>
    <row r="4747" ht="15" customHeight="1">
      <c r="A4747" s="2" t="inlineStr"/>
      <c r="B4747" s="2" t="inlineStr"/>
      <c r="C4747" s="2" t="inlineStr"/>
      <c r="D4747" s="2" t="inlineStr"/>
      <c r="E4747" s="28" t="inlineStr">
        <is>
          <t>VALOR:</t>
        </is>
      </c>
      <c r="F4747" s="56" t="n"/>
      <c r="G4747" s="66">
        <f>SUM(G4746,G4742)</f>
        <v/>
      </c>
    </row>
    <row r="4748" ht="15" customHeight="1">
      <c r="A4748" s="2" t="inlineStr"/>
      <c r="B4748" s="2" t="inlineStr"/>
      <c r="C4748" s="2" t="inlineStr"/>
      <c r="D4748" s="2" t="inlineStr"/>
      <c r="E4748" s="28" t="inlineStr">
        <is>
          <t>VALOR BDI (23.08%):</t>
        </is>
      </c>
      <c r="F4748" s="56" t="n"/>
      <c r="G4748" s="66">
        <f>ROUNDDOWN(G4747*BDI,2)</f>
        <v/>
      </c>
    </row>
    <row r="4749" ht="15" customHeight="1">
      <c r="A4749" s="2" t="inlineStr"/>
      <c r="B4749" s="2" t="inlineStr"/>
      <c r="C4749" s="2" t="inlineStr"/>
      <c r="D4749" s="2" t="inlineStr"/>
      <c r="E4749" s="28" t="inlineStr">
        <is>
          <t>VALOR COM BDI:</t>
        </is>
      </c>
      <c r="F4749" s="56" t="n"/>
      <c r="G4749" s="66">
        <f>G4748 + G4747</f>
        <v/>
      </c>
    </row>
    <row r="4750" ht="10" customHeight="1">
      <c r="A4750" s="2" t="inlineStr"/>
      <c r="B4750" s="2" t="inlineStr"/>
      <c r="C4750" s="2" t="inlineStr"/>
      <c r="D4750" s="2" t="inlineStr"/>
      <c r="E4750" s="18" t="inlineStr"/>
    </row>
    <row r="4751" ht="20" customHeight="1">
      <c r="A4751" s="19" t="inlineStr">
        <is>
          <t>15.2.1.1. ​104642​ PINTURA LÁTEX ACRÍLICA STANDARD, APLICAÇÃO MANUAL EM PAREDES, DUAS DEMÃOS. AF_04/2023​ (M2)</t>
        </is>
      </c>
      <c r="B4751" s="55" t="n"/>
      <c r="C4751" s="55" t="n"/>
      <c r="D4751" s="55" t="n"/>
      <c r="E4751" s="55" t="n"/>
      <c r="F4751" s="55" t="n"/>
      <c r="G4751" s="56" t="n"/>
    </row>
    <row r="4752" ht="15" customHeight="1">
      <c r="A4752" s="20" t="inlineStr">
        <is>
          <t>Material</t>
        </is>
      </c>
      <c r="B4752" s="56" t="n"/>
      <c r="C4752" s="21" t="inlineStr">
        <is>
          <t>FONTE</t>
        </is>
      </c>
      <c r="D4752" s="21" t="inlineStr">
        <is>
          <t>UNID</t>
        </is>
      </c>
      <c r="E4752" s="21" t="inlineStr">
        <is>
          <t>COEFICIENTE</t>
        </is>
      </c>
      <c r="F4752" s="21" t="inlineStr">
        <is>
          <t>PREÇO UNITÁRIO</t>
        </is>
      </c>
      <c r="G4752" s="21" t="inlineStr">
        <is>
          <t>TOTAL</t>
        </is>
      </c>
    </row>
    <row r="4753" ht="15" customHeight="1">
      <c r="A4753" s="22" t="inlineStr">
        <is>
          <t>00035692</t>
        </is>
      </c>
      <c r="B4753" s="23" t="inlineStr">
        <is>
          <t>TINTA LATEX ACRILICA STANDARD, COR BRANCA</t>
        </is>
      </c>
      <c r="C4753" s="22" t="inlineStr">
        <is>
          <t>SINAPI</t>
        </is>
      </c>
      <c r="D4753" s="22" t="inlineStr">
        <is>
          <t>L</t>
        </is>
      </c>
      <c r="E4753" s="63" t="n">
        <v>0.2367</v>
      </c>
      <c r="F4753" s="64">
        <f>ROUND(M4753*FATOR, 2)</f>
        <v/>
      </c>
      <c r="G4753" s="64">
        <f>TRUNC(TRUNC(E4753,8)*F4753,2)</f>
        <v/>
      </c>
      <c r="L4753" t="n">
        <v>0.2367</v>
      </c>
      <c r="M4753" t="n">
        <v>20.15</v>
      </c>
      <c r="N4753">
        <f>(M4753-F4753)</f>
        <v/>
      </c>
    </row>
    <row r="4754" ht="15" customHeight="1">
      <c r="A4754" s="2" t="inlineStr"/>
      <c r="B4754" s="2" t="inlineStr"/>
      <c r="C4754" s="2" t="inlineStr"/>
      <c r="D4754" s="2" t="inlineStr"/>
      <c r="E4754" s="26" t="inlineStr">
        <is>
          <t>TOTAL Material:</t>
        </is>
      </c>
      <c r="F4754" s="56" t="n"/>
      <c r="G4754" s="65">
        <f>SUM(G4753:G4753)</f>
        <v/>
      </c>
    </row>
    <row r="4755" ht="15" customHeight="1">
      <c r="A4755" s="20" t="inlineStr">
        <is>
          <t>Mão de Obra com Encargos Complementares</t>
        </is>
      </c>
      <c r="B4755" s="56" t="n"/>
      <c r="C4755" s="21" t="inlineStr">
        <is>
          <t>FONTE</t>
        </is>
      </c>
      <c r="D4755" s="21" t="inlineStr">
        <is>
          <t>UNID</t>
        </is>
      </c>
      <c r="E4755" s="21" t="inlineStr">
        <is>
          <t>COEFICIENTE</t>
        </is>
      </c>
      <c r="F4755" s="21" t="inlineStr">
        <is>
          <t>PREÇO UNITÁRIO</t>
        </is>
      </c>
      <c r="G4755" s="21" t="inlineStr">
        <is>
          <t>TOTAL</t>
        </is>
      </c>
    </row>
    <row r="4756" ht="15" customHeight="1">
      <c r="A4756" s="22" t="inlineStr">
        <is>
          <t>88310</t>
        </is>
      </c>
      <c r="B4756" s="23" t="inlineStr">
        <is>
          <t>PINTOR COM ENCARGOS COMPLEMENTARES</t>
        </is>
      </c>
      <c r="C4756" s="22" t="inlineStr">
        <is>
          <t>SINAPI</t>
        </is>
      </c>
      <c r="D4756" s="22" t="inlineStr">
        <is>
          <t>H</t>
        </is>
      </c>
      <c r="E4756" s="63">
        <f>L4756*FATOR</f>
        <v/>
      </c>
      <c r="F4756" s="64">
        <f>'COMPOSICOES AUXILIARES'!G3047</f>
        <v/>
      </c>
      <c r="G4756" s="64">
        <f>TRUNC(TRUNC(E4756,8)*F4756,2)</f>
        <v/>
      </c>
      <c r="L4756" t="n">
        <v>0.1631</v>
      </c>
      <c r="M4756" t="n">
        <v>32.25</v>
      </c>
      <c r="N4756">
        <f>(M4756-F4756)</f>
        <v/>
      </c>
    </row>
    <row r="4757" ht="15" customHeight="1">
      <c r="A4757" s="22" t="inlineStr">
        <is>
          <t>88316</t>
        </is>
      </c>
      <c r="B4757" s="23" t="inlineStr">
        <is>
          <t>SERVENTE COM ENCARGOS COMPLEMENTARES</t>
        </is>
      </c>
      <c r="C4757" s="22" t="inlineStr">
        <is>
          <t>SINAPI</t>
        </is>
      </c>
      <c r="D4757" s="22" t="inlineStr">
        <is>
          <t>H</t>
        </is>
      </c>
      <c r="E4757" s="63">
        <f>L4757*FATOR</f>
        <v/>
      </c>
      <c r="F4757" s="64">
        <f>'COMPOSICOES AUXILIARES'!G3390</f>
        <v/>
      </c>
      <c r="G4757" s="64">
        <f>TRUNC(TRUNC(E4757,8)*F4757,2)</f>
        <v/>
      </c>
      <c r="L4757" t="n">
        <v>0.0544</v>
      </c>
      <c r="M4757" t="n">
        <v>23.56</v>
      </c>
      <c r="N4757">
        <f>(M4757-F4757)</f>
        <v/>
      </c>
    </row>
    <row r="4758" ht="18" customHeight="1">
      <c r="A4758" s="2" t="inlineStr"/>
      <c r="B4758" s="2" t="inlineStr"/>
      <c r="C4758" s="2" t="inlineStr"/>
      <c r="D4758" s="2" t="inlineStr"/>
      <c r="E4758" s="26" t="inlineStr">
        <is>
          <t>TOTAL Mão de Obra com Encargos Complementares:</t>
        </is>
      </c>
      <c r="F4758" s="56" t="n"/>
      <c r="G4758" s="65">
        <f>SUM(G4756:G4757)</f>
        <v/>
      </c>
    </row>
    <row r="4759" ht="15" customHeight="1">
      <c r="A4759" s="2" t="inlineStr"/>
      <c r="B4759" s="2" t="inlineStr"/>
      <c r="C4759" s="2" t="inlineStr"/>
      <c r="D4759" s="2" t="inlineStr"/>
      <c r="E4759" s="28" t="inlineStr">
        <is>
          <t>VALOR:</t>
        </is>
      </c>
      <c r="F4759" s="56" t="n"/>
      <c r="G4759" s="66">
        <f>SUM(G4754,G4758)</f>
        <v/>
      </c>
    </row>
    <row r="4760" ht="15" customHeight="1">
      <c r="A4760" s="2" t="inlineStr"/>
      <c r="B4760" s="2" t="inlineStr"/>
      <c r="C4760" s="2" t="inlineStr"/>
      <c r="D4760" s="2" t="inlineStr"/>
      <c r="E4760" s="28" t="inlineStr">
        <is>
          <t>VALOR BDI (23.08%):</t>
        </is>
      </c>
      <c r="F4760" s="56" t="n"/>
      <c r="G4760" s="66">
        <f>ROUNDDOWN(G4759*BDI,2)</f>
        <v/>
      </c>
    </row>
    <row r="4761" ht="15" customHeight="1">
      <c r="A4761" s="2" t="inlineStr"/>
      <c r="B4761" s="2" t="inlineStr"/>
      <c r="C4761" s="2" t="inlineStr"/>
      <c r="D4761" s="2" t="inlineStr"/>
      <c r="E4761" s="28" t="inlineStr">
        <is>
          <t>VALOR COM BDI:</t>
        </is>
      </c>
      <c r="F4761" s="56" t="n"/>
      <c r="G4761" s="66">
        <f>G4760 + G4759</f>
        <v/>
      </c>
    </row>
    <row r="4762" ht="10" customHeight="1">
      <c r="A4762" s="2" t="inlineStr"/>
      <c r="B4762" s="2" t="inlineStr"/>
      <c r="C4762" s="2" t="inlineStr"/>
      <c r="D4762" s="2" t="inlineStr"/>
      <c r="E4762" s="18" t="inlineStr"/>
    </row>
    <row r="4763" ht="20" customHeight="1">
      <c r="A4763" s="19" t="inlineStr">
        <is>
          <t>15.2.2.1. ​100749​ PINTURA COM TINTA ALQUÍDICA DE ACABAMENTO (ESMALTE SINTÉTICO FOSCO) PULVERIZADA SOBRE SUPERFÍCIES METÁLICAS (EXCETO PERFIL) EXECUTADO EM OBRA (POR DEMÃO). AF_01/2020_PE​ (M2)</t>
        </is>
      </c>
      <c r="B4763" s="55" t="n"/>
      <c r="C4763" s="55" t="n"/>
      <c r="D4763" s="55" t="n"/>
      <c r="E4763" s="55" t="n"/>
      <c r="F4763" s="55" t="n"/>
      <c r="G4763" s="56" t="n"/>
    </row>
    <row r="4764" ht="15" customHeight="1">
      <c r="A4764" s="20" t="inlineStr">
        <is>
          <t>Material</t>
        </is>
      </c>
      <c r="B4764" s="56" t="n"/>
      <c r="C4764" s="21" t="inlineStr">
        <is>
          <t>FONTE</t>
        </is>
      </c>
      <c r="D4764" s="21" t="inlineStr">
        <is>
          <t>UNID</t>
        </is>
      </c>
      <c r="E4764" s="21" t="inlineStr">
        <is>
          <t>COEFICIENTE</t>
        </is>
      </c>
      <c r="F4764" s="21" t="inlineStr">
        <is>
          <t>PREÇO UNITÁRIO</t>
        </is>
      </c>
      <c r="G4764" s="21" t="inlineStr">
        <is>
          <t>TOTAL</t>
        </is>
      </c>
    </row>
    <row r="4765" ht="15" customHeight="1">
      <c r="A4765" s="22" t="inlineStr">
        <is>
          <t>00005318</t>
        </is>
      </c>
      <c r="B4765" s="23" t="inlineStr">
        <is>
          <t>DILUENTE AGUARRAS</t>
        </is>
      </c>
      <c r="C4765" s="22" t="inlineStr">
        <is>
          <t>SINAPI</t>
        </is>
      </c>
      <c r="D4765" s="22" t="inlineStr">
        <is>
          <t>L</t>
        </is>
      </c>
      <c r="E4765" s="63" t="n">
        <v>0.062</v>
      </c>
      <c r="F4765" s="64">
        <f>ROUND(M4765*FATOR, 2)</f>
        <v/>
      </c>
      <c r="G4765" s="64">
        <f>TRUNC(TRUNC(E4765,8)*F4765,2)</f>
        <v/>
      </c>
      <c r="L4765" t="n">
        <v>0.062</v>
      </c>
      <c r="M4765" t="n">
        <v>23.98</v>
      </c>
      <c r="N4765">
        <f>(M4765-F4765)</f>
        <v/>
      </c>
    </row>
    <row r="4766" ht="15" customHeight="1">
      <c r="A4766" s="22" t="inlineStr">
        <is>
          <t>00007288</t>
        </is>
      </c>
      <c r="B4766" s="23" t="inlineStr">
        <is>
          <t>TINTA ESMALTE SINTETICO PREMIUM FOSCO</t>
        </is>
      </c>
      <c r="C4766" s="22" t="inlineStr">
        <is>
          <t>SINAPI</t>
        </is>
      </c>
      <c r="D4766" s="22" t="inlineStr">
        <is>
          <t>L</t>
        </is>
      </c>
      <c r="E4766" s="63" t="n">
        <v>0.2067</v>
      </c>
      <c r="F4766" s="64">
        <f>ROUND(M4766*FATOR, 2)</f>
        <v/>
      </c>
      <c r="G4766" s="64">
        <f>TRUNC(TRUNC(E4766,8)*F4766,2)</f>
        <v/>
      </c>
      <c r="L4766" t="n">
        <v>0.2067</v>
      </c>
      <c r="M4766" t="n">
        <v>45.75</v>
      </c>
      <c r="N4766">
        <f>(M4766-F4766)</f>
        <v/>
      </c>
    </row>
    <row r="4767" ht="15" customHeight="1">
      <c r="A4767" s="2" t="inlineStr"/>
      <c r="B4767" s="2" t="inlineStr"/>
      <c r="C4767" s="2" t="inlineStr"/>
      <c r="D4767" s="2" t="inlineStr"/>
      <c r="E4767" s="26" t="inlineStr">
        <is>
          <t>TOTAL Material:</t>
        </is>
      </c>
      <c r="F4767" s="56" t="n"/>
      <c r="G4767" s="65">
        <f>SUM(G4765:G4766)</f>
        <v/>
      </c>
    </row>
    <row r="4768" ht="15" customHeight="1">
      <c r="A4768" s="20" t="inlineStr">
        <is>
          <t>Mão de Obra com Encargos Complementares</t>
        </is>
      </c>
      <c r="B4768" s="56" t="n"/>
      <c r="C4768" s="21" t="inlineStr">
        <is>
          <t>FONTE</t>
        </is>
      </c>
      <c r="D4768" s="21" t="inlineStr">
        <is>
          <t>UNID</t>
        </is>
      </c>
      <c r="E4768" s="21" t="inlineStr">
        <is>
          <t>COEFICIENTE</t>
        </is>
      </c>
      <c r="F4768" s="21" t="inlineStr">
        <is>
          <t>PREÇO UNITÁRIO</t>
        </is>
      </c>
      <c r="G4768" s="21" t="inlineStr">
        <is>
          <t>TOTAL</t>
        </is>
      </c>
    </row>
    <row r="4769" ht="15" customHeight="1">
      <c r="A4769" s="22" t="inlineStr">
        <is>
          <t>88310</t>
        </is>
      </c>
      <c r="B4769" s="23" t="inlineStr">
        <is>
          <t>PINTOR COM ENCARGOS COMPLEMENTARES</t>
        </is>
      </c>
      <c r="C4769" s="22" t="inlineStr">
        <is>
          <t>SINAPI</t>
        </is>
      </c>
      <c r="D4769" s="22" t="inlineStr">
        <is>
          <t>H</t>
        </is>
      </c>
      <c r="E4769" s="63">
        <f>L4769*FATOR</f>
        <v/>
      </c>
      <c r="F4769" s="64">
        <f>'COMPOSICOES AUXILIARES'!G3047</f>
        <v/>
      </c>
      <c r="G4769" s="64">
        <f>TRUNC(TRUNC(E4769,8)*F4769,2)</f>
        <v/>
      </c>
      <c r="L4769" t="n">
        <v>0.5266</v>
      </c>
      <c r="M4769" t="n">
        <v>32.25</v>
      </c>
      <c r="N4769">
        <f>(M4769-F4769)</f>
        <v/>
      </c>
    </row>
    <row r="4770" ht="18" customHeight="1">
      <c r="A4770" s="2" t="inlineStr"/>
      <c r="B4770" s="2" t="inlineStr"/>
      <c r="C4770" s="2" t="inlineStr"/>
      <c r="D4770" s="2" t="inlineStr"/>
      <c r="E4770" s="26" t="inlineStr">
        <is>
          <t>TOTAL Mão de Obra com Encargos Complementares:</t>
        </is>
      </c>
      <c r="F4770" s="56" t="n"/>
      <c r="G4770" s="65">
        <f>SUM(G4769:G4769)</f>
        <v/>
      </c>
    </row>
    <row r="4771" ht="15" customHeight="1">
      <c r="A4771" s="2" t="inlineStr"/>
      <c r="B4771" s="2" t="inlineStr"/>
      <c r="C4771" s="2" t="inlineStr"/>
      <c r="D4771" s="2" t="inlineStr"/>
      <c r="E4771" s="28" t="inlineStr">
        <is>
          <t>VALOR:</t>
        </is>
      </c>
      <c r="F4771" s="56" t="n"/>
      <c r="G4771" s="66">
        <f>SUM(G4770,G4767)</f>
        <v/>
      </c>
    </row>
    <row r="4772" ht="15" customHeight="1">
      <c r="A4772" s="2" t="inlineStr"/>
      <c r="B4772" s="2" t="inlineStr"/>
      <c r="C4772" s="2" t="inlineStr"/>
      <c r="D4772" s="2" t="inlineStr"/>
      <c r="E4772" s="28" t="inlineStr">
        <is>
          <t>VALOR BDI (23.08%):</t>
        </is>
      </c>
      <c r="F4772" s="56" t="n"/>
      <c r="G4772" s="66">
        <f>ROUNDDOWN(G4771*BDI,2)</f>
        <v/>
      </c>
    </row>
    <row r="4773" ht="15" customHeight="1">
      <c r="A4773" s="2" t="inlineStr"/>
      <c r="B4773" s="2" t="inlineStr"/>
      <c r="C4773" s="2" t="inlineStr"/>
      <c r="D4773" s="2" t="inlineStr"/>
      <c r="E4773" s="28" t="inlineStr">
        <is>
          <t>VALOR COM BDI:</t>
        </is>
      </c>
      <c r="F4773" s="56" t="n"/>
      <c r="G4773" s="66">
        <f>G4772 + G4771</f>
        <v/>
      </c>
    </row>
    <row r="4774" ht="10" customHeight="1">
      <c r="A4774" s="2" t="inlineStr"/>
      <c r="B4774" s="2" t="inlineStr"/>
      <c r="C4774" s="2" t="inlineStr"/>
      <c r="D4774" s="2" t="inlineStr"/>
      <c r="E4774" s="18" t="inlineStr"/>
    </row>
    <row r="4775" ht="20" customHeight="1">
      <c r="A4775" s="19" t="inlineStr">
        <is>
          <t>15.2.3.1. ​102489​ PINTURA HIDROFUGANTE COM SILICONE, APLICAÇÃO MANUAL, 2 DEMÃOS. AF_05/2021​ (M2)</t>
        </is>
      </c>
      <c r="B4775" s="55" t="n"/>
      <c r="C4775" s="55" t="n"/>
      <c r="D4775" s="55" t="n"/>
      <c r="E4775" s="55" t="n"/>
      <c r="F4775" s="55" t="n"/>
      <c r="G4775" s="56" t="n"/>
    </row>
    <row r="4776" ht="15" customHeight="1">
      <c r="A4776" s="20" t="inlineStr">
        <is>
          <t>Material</t>
        </is>
      </c>
      <c r="B4776" s="56" t="n"/>
      <c r="C4776" s="21" t="inlineStr">
        <is>
          <t>FONTE</t>
        </is>
      </c>
      <c r="D4776" s="21" t="inlineStr">
        <is>
          <t>UNID</t>
        </is>
      </c>
      <c r="E4776" s="21" t="inlineStr">
        <is>
          <t>COEFICIENTE</t>
        </is>
      </c>
      <c r="F4776" s="21" t="inlineStr">
        <is>
          <t>PREÇO UNITÁRIO</t>
        </is>
      </c>
      <c r="G4776" s="21" t="inlineStr">
        <is>
          <t>TOTAL</t>
        </is>
      </c>
    </row>
    <row r="4777" ht="15" customHeight="1">
      <c r="A4777" s="22" t="inlineStr">
        <is>
          <t>00012815</t>
        </is>
      </c>
      <c r="B4777" s="23" t="inlineStr">
        <is>
          <t>FITA CREPE ROLO DE *25* MM X 50 M</t>
        </is>
      </c>
      <c r="C4777" s="22" t="inlineStr">
        <is>
          <t>SINAPI</t>
        </is>
      </c>
      <c r="D4777" s="22" t="inlineStr">
        <is>
          <t>UN</t>
        </is>
      </c>
      <c r="E4777" s="63" t="n">
        <v>0.014</v>
      </c>
      <c r="F4777" s="64">
        <f>ROUND(M4777*FATOR, 2)</f>
        <v/>
      </c>
      <c r="G4777" s="64">
        <f>TRUNC(TRUNC(E4777,8)*F4777,2)</f>
        <v/>
      </c>
      <c r="L4777" t="n">
        <v>0.014</v>
      </c>
      <c r="M4777" t="n">
        <v>9.98</v>
      </c>
      <c r="N4777">
        <f>(M4777-F4777)</f>
        <v/>
      </c>
    </row>
    <row r="4778" ht="29" customHeight="1">
      <c r="A4778" s="22" t="inlineStr">
        <is>
          <t>00000151</t>
        </is>
      </c>
      <c r="B4778" s="23" t="inlineStr">
        <is>
          <t>IMPERMEABILIZANTE INCOLOR, BASE SILICONE, PARA TRATAMENTO DE FACHADAS, TELHAS, PEDRAS E OUTRAS SUPERFICIES</t>
        </is>
      </c>
      <c r="C4778" s="22" t="inlineStr">
        <is>
          <t>SINAPI</t>
        </is>
      </c>
      <c r="D4778" s="22" t="inlineStr">
        <is>
          <t>L</t>
        </is>
      </c>
      <c r="E4778" s="63" t="n">
        <v>0.5</v>
      </c>
      <c r="F4778" s="64">
        <f>ROUND(M4778*FATOR, 2)</f>
        <v/>
      </c>
      <c r="G4778" s="64">
        <f>TRUNC(TRUNC(E4778,8)*F4778,2)</f>
        <v/>
      </c>
      <c r="L4778" t="n">
        <v>0.5</v>
      </c>
      <c r="M4778" t="n">
        <v>32.55</v>
      </c>
      <c r="N4778">
        <f>(M4778-F4778)</f>
        <v/>
      </c>
    </row>
    <row r="4779" ht="15" customHeight="1">
      <c r="A4779" s="2" t="inlineStr"/>
      <c r="B4779" s="2" t="inlineStr"/>
      <c r="C4779" s="2" t="inlineStr"/>
      <c r="D4779" s="2" t="inlineStr"/>
      <c r="E4779" s="26" t="inlineStr">
        <is>
          <t>TOTAL Material:</t>
        </is>
      </c>
      <c r="F4779" s="56" t="n"/>
      <c r="G4779" s="65">
        <f>SUM(G4777:G4778)</f>
        <v/>
      </c>
    </row>
    <row r="4780" ht="15" customHeight="1">
      <c r="A4780" s="20" t="inlineStr">
        <is>
          <t>Mão de Obra com Encargos Complementares</t>
        </is>
      </c>
      <c r="B4780" s="56" t="n"/>
      <c r="C4780" s="21" t="inlineStr">
        <is>
          <t>FONTE</t>
        </is>
      </c>
      <c r="D4780" s="21" t="inlineStr">
        <is>
          <t>UNID</t>
        </is>
      </c>
      <c r="E4780" s="21" t="inlineStr">
        <is>
          <t>COEFICIENTE</t>
        </is>
      </c>
      <c r="F4780" s="21" t="inlineStr">
        <is>
          <t>PREÇO UNITÁRIO</t>
        </is>
      </c>
      <c r="G4780" s="21" t="inlineStr">
        <is>
          <t>TOTAL</t>
        </is>
      </c>
    </row>
    <row r="4781" ht="15" customHeight="1">
      <c r="A4781" s="22" t="inlineStr">
        <is>
          <t>88310</t>
        </is>
      </c>
      <c r="B4781" s="23" t="inlineStr">
        <is>
          <t>PINTOR COM ENCARGOS COMPLEMENTARES</t>
        </is>
      </c>
      <c r="C4781" s="22" t="inlineStr">
        <is>
          <t>SINAPI</t>
        </is>
      </c>
      <c r="D4781" s="22" t="inlineStr">
        <is>
          <t>H</t>
        </is>
      </c>
      <c r="E4781" s="63">
        <f>L4781*FATOR</f>
        <v/>
      </c>
      <c r="F4781" s="64">
        <f>'COMPOSICOES AUXILIARES'!G3047</f>
        <v/>
      </c>
      <c r="G4781" s="64">
        <f>TRUNC(TRUNC(E4781,8)*F4781,2)</f>
        <v/>
      </c>
      <c r="L4781" t="n">
        <v>0.36</v>
      </c>
      <c r="M4781" t="n">
        <v>32.25</v>
      </c>
      <c r="N4781">
        <f>(M4781-F4781)</f>
        <v/>
      </c>
    </row>
    <row r="4782" ht="15" customHeight="1">
      <c r="A4782" s="22" t="inlineStr">
        <is>
          <t>88316</t>
        </is>
      </c>
      <c r="B4782" s="23" t="inlineStr">
        <is>
          <t>SERVENTE COM ENCARGOS COMPLEMENTARES</t>
        </is>
      </c>
      <c r="C4782" s="22" t="inlineStr">
        <is>
          <t>SINAPI</t>
        </is>
      </c>
      <c r="D4782" s="22" t="inlineStr">
        <is>
          <t>H</t>
        </is>
      </c>
      <c r="E4782" s="63">
        <f>L4782*FATOR</f>
        <v/>
      </c>
      <c r="F4782" s="64">
        <f>'COMPOSICOES AUXILIARES'!G3390</f>
        <v/>
      </c>
      <c r="G4782" s="64">
        <f>TRUNC(TRUNC(E4782,8)*F4782,2)</f>
        <v/>
      </c>
      <c r="L4782" t="n">
        <v>0.15</v>
      </c>
      <c r="M4782" t="n">
        <v>23.56</v>
      </c>
      <c r="N4782">
        <f>(M4782-F4782)</f>
        <v/>
      </c>
    </row>
    <row r="4783" ht="18" customHeight="1">
      <c r="A4783" s="2" t="inlineStr"/>
      <c r="B4783" s="2" t="inlineStr"/>
      <c r="C4783" s="2" t="inlineStr"/>
      <c r="D4783" s="2" t="inlineStr"/>
      <c r="E4783" s="26" t="inlineStr">
        <is>
          <t>TOTAL Mão de Obra com Encargos Complementares:</t>
        </is>
      </c>
      <c r="F4783" s="56" t="n"/>
      <c r="G4783" s="65">
        <f>SUM(G4781:G4782)</f>
        <v/>
      </c>
    </row>
    <row r="4784" ht="15" customHeight="1">
      <c r="A4784" s="2" t="inlineStr"/>
      <c r="B4784" s="2" t="inlineStr"/>
      <c r="C4784" s="2" t="inlineStr"/>
      <c r="D4784" s="2" t="inlineStr"/>
      <c r="E4784" s="28" t="inlineStr">
        <is>
          <t>VALOR:</t>
        </is>
      </c>
      <c r="F4784" s="56" t="n"/>
      <c r="G4784" s="66">
        <f>SUM(G4779,G4783)</f>
        <v/>
      </c>
    </row>
    <row r="4785" ht="15" customHeight="1">
      <c r="A4785" s="2" t="inlineStr"/>
      <c r="B4785" s="2" t="inlineStr"/>
      <c r="C4785" s="2" t="inlineStr"/>
      <c r="D4785" s="2" t="inlineStr"/>
      <c r="E4785" s="28" t="inlineStr">
        <is>
          <t>VALOR BDI (23.08%):</t>
        </is>
      </c>
      <c r="F4785" s="56" t="n"/>
      <c r="G4785" s="66">
        <f>ROUNDDOWN(G4784*BDI,2)</f>
        <v/>
      </c>
    </row>
    <row r="4786" ht="15" customHeight="1">
      <c r="A4786" s="2" t="inlineStr"/>
      <c r="B4786" s="2" t="inlineStr"/>
      <c r="C4786" s="2" t="inlineStr"/>
      <c r="D4786" s="2" t="inlineStr"/>
      <c r="E4786" s="28" t="inlineStr">
        <is>
          <t>VALOR COM BDI:</t>
        </is>
      </c>
      <c r="F4786" s="56" t="n"/>
      <c r="G4786" s="66">
        <f>G4785 + G4784</f>
        <v/>
      </c>
    </row>
    <row r="4787" ht="10" customHeight="1">
      <c r="A4787" s="2" t="inlineStr"/>
      <c r="B4787" s="2" t="inlineStr"/>
      <c r="C4787" s="2" t="inlineStr"/>
      <c r="D4787" s="2" t="inlineStr"/>
      <c r="E4787" s="18" t="inlineStr"/>
    </row>
    <row r="4788" ht="20" customHeight="1">
      <c r="A4788" s="19" t="inlineStr">
        <is>
          <t>16.1.1.1. ​98504​ PLANTIO DE GRAMA BATATAIS EM PLACAS. AF_07/2024​ (M2)</t>
        </is>
      </c>
      <c r="B4788" s="55" t="n"/>
      <c r="C4788" s="55" t="n"/>
      <c r="D4788" s="55" t="n"/>
      <c r="E4788" s="55" t="n"/>
      <c r="F4788" s="55" t="n"/>
      <c r="G4788" s="56" t="n"/>
    </row>
    <row r="4789" ht="15" customHeight="1">
      <c r="A4789" s="20" t="inlineStr">
        <is>
          <t>Material</t>
        </is>
      </c>
      <c r="B4789" s="56" t="n"/>
      <c r="C4789" s="21" t="inlineStr">
        <is>
          <t>FONTE</t>
        </is>
      </c>
      <c r="D4789" s="21" t="inlineStr">
        <is>
          <t>UNID</t>
        </is>
      </c>
      <c r="E4789" s="21" t="inlineStr">
        <is>
          <t>COEFICIENTE</t>
        </is>
      </c>
      <c r="F4789" s="21" t="inlineStr">
        <is>
          <t>PREÇO UNITÁRIO</t>
        </is>
      </c>
      <c r="G4789" s="21" t="inlineStr">
        <is>
          <t>TOTAL</t>
        </is>
      </c>
    </row>
    <row r="4790" ht="15" customHeight="1">
      <c r="A4790" s="22" t="inlineStr">
        <is>
          <t>00003324</t>
        </is>
      </c>
      <c r="B4790" s="23" t="inlineStr">
        <is>
          <t>GRAMA BATATAIS EM PLACAS, SEM PLANTIO</t>
        </is>
      </c>
      <c r="C4790" s="22" t="inlineStr">
        <is>
          <t>SINAPI</t>
        </is>
      </c>
      <c r="D4790" s="22" t="inlineStr">
        <is>
          <t>M2</t>
        </is>
      </c>
      <c r="E4790" s="63" t="n">
        <v>1</v>
      </c>
      <c r="F4790" s="64">
        <f>ROUND(M4790*FATOR, 2)</f>
        <v/>
      </c>
      <c r="G4790" s="64">
        <f>TRUNC(TRUNC(E4790,8)*F4790,2)</f>
        <v/>
      </c>
      <c r="L4790" t="n">
        <v>1</v>
      </c>
      <c r="M4790" t="n">
        <v>10.71</v>
      </c>
      <c r="N4790">
        <f>(M4790-F4790)</f>
        <v/>
      </c>
    </row>
    <row r="4791" ht="15" customHeight="1">
      <c r="A4791" s="2" t="inlineStr"/>
      <c r="B4791" s="2" t="inlineStr"/>
      <c r="C4791" s="2" t="inlineStr"/>
      <c r="D4791" s="2" t="inlineStr"/>
      <c r="E4791" s="26" t="inlineStr">
        <is>
          <t>TOTAL Material:</t>
        </is>
      </c>
      <c r="F4791" s="56" t="n"/>
      <c r="G4791" s="65">
        <f>SUM(G4790:G4790)</f>
        <v/>
      </c>
    </row>
    <row r="4792" ht="15" customHeight="1">
      <c r="A4792" s="20" t="inlineStr">
        <is>
          <t>Mão de Obra com Encargos Complementares</t>
        </is>
      </c>
      <c r="B4792" s="56" t="n"/>
      <c r="C4792" s="21" t="inlineStr">
        <is>
          <t>FONTE</t>
        </is>
      </c>
      <c r="D4792" s="21" t="inlineStr">
        <is>
          <t>UNID</t>
        </is>
      </c>
      <c r="E4792" s="21" t="inlineStr">
        <is>
          <t>COEFICIENTE</t>
        </is>
      </c>
      <c r="F4792" s="21" t="inlineStr">
        <is>
          <t>PREÇO UNITÁRIO</t>
        </is>
      </c>
      <c r="G4792" s="21" t="inlineStr">
        <is>
          <t>TOTAL</t>
        </is>
      </c>
    </row>
    <row r="4793" ht="15" customHeight="1">
      <c r="A4793" s="22" t="inlineStr">
        <is>
          <t>88441</t>
        </is>
      </c>
      <c r="B4793" s="23" t="inlineStr">
        <is>
          <t>JARDINEIRO COM ENCARGOS COMPLEMENTARES</t>
        </is>
      </c>
      <c r="C4793" s="22" t="inlineStr">
        <is>
          <t>SINAPI</t>
        </is>
      </c>
      <c r="D4793" s="22" t="inlineStr">
        <is>
          <t>H</t>
        </is>
      </c>
      <c r="E4793" s="63">
        <f>L4793*FATOR</f>
        <v/>
      </c>
      <c r="F4793" s="64">
        <f>'COMPOSICOES AUXILIARES'!G2344</f>
        <v/>
      </c>
      <c r="G4793" s="64">
        <f>TRUNC(TRUNC(E4793,8)*F4793,2)</f>
        <v/>
      </c>
      <c r="L4793" t="n">
        <v>0.0277</v>
      </c>
      <c r="M4793" t="n">
        <v>23.91</v>
      </c>
      <c r="N4793">
        <f>(M4793-F4793)</f>
        <v/>
      </c>
    </row>
    <row r="4794" ht="15" customHeight="1">
      <c r="A4794" s="22" t="inlineStr">
        <is>
          <t>88316</t>
        </is>
      </c>
      <c r="B4794" s="23" t="inlineStr">
        <is>
          <t>SERVENTE COM ENCARGOS COMPLEMENTARES</t>
        </is>
      </c>
      <c r="C4794" s="22" t="inlineStr">
        <is>
          <t>SINAPI</t>
        </is>
      </c>
      <c r="D4794" s="22" t="inlineStr">
        <is>
          <t>H</t>
        </is>
      </c>
      <c r="E4794" s="63">
        <f>L4794*FATOR</f>
        <v/>
      </c>
      <c r="F4794" s="64">
        <f>'COMPOSICOES AUXILIARES'!G3390</f>
        <v/>
      </c>
      <c r="G4794" s="64">
        <f>TRUNC(TRUNC(E4794,8)*F4794,2)</f>
        <v/>
      </c>
      <c r="L4794" t="n">
        <v>0.1386</v>
      </c>
      <c r="M4794" t="n">
        <v>23.56</v>
      </c>
      <c r="N4794">
        <f>(M4794-F4794)</f>
        <v/>
      </c>
    </row>
    <row r="4795" ht="18" customHeight="1">
      <c r="A4795" s="2" t="inlineStr"/>
      <c r="B4795" s="2" t="inlineStr"/>
      <c r="C4795" s="2" t="inlineStr"/>
      <c r="D4795" s="2" t="inlineStr"/>
      <c r="E4795" s="26" t="inlineStr">
        <is>
          <t>TOTAL Mão de Obra com Encargos Complementares:</t>
        </is>
      </c>
      <c r="F4795" s="56" t="n"/>
      <c r="G4795" s="65">
        <f>SUM(G4793:G4794)</f>
        <v/>
      </c>
    </row>
    <row r="4796" ht="15" customHeight="1">
      <c r="A4796" s="2" t="inlineStr"/>
      <c r="B4796" s="2" t="inlineStr"/>
      <c r="C4796" s="2" t="inlineStr"/>
      <c r="D4796" s="2" t="inlineStr"/>
      <c r="E4796" s="28" t="inlineStr">
        <is>
          <t>VALOR:</t>
        </is>
      </c>
      <c r="F4796" s="56" t="n"/>
      <c r="G4796" s="66">
        <f>SUM(G4795,G4791)</f>
        <v/>
      </c>
    </row>
    <row r="4797" ht="15" customHeight="1">
      <c r="A4797" s="2" t="inlineStr"/>
      <c r="B4797" s="2" t="inlineStr"/>
      <c r="C4797" s="2" t="inlineStr"/>
      <c r="D4797" s="2" t="inlineStr"/>
      <c r="E4797" s="28" t="inlineStr">
        <is>
          <t>VALOR BDI (23.08%):</t>
        </is>
      </c>
      <c r="F4797" s="56" t="n"/>
      <c r="G4797" s="66">
        <f>ROUNDDOWN(G4796*BDI,2)</f>
        <v/>
      </c>
    </row>
    <row r="4798" ht="15" customHeight="1">
      <c r="A4798" s="2" t="inlineStr"/>
      <c r="B4798" s="2" t="inlineStr"/>
      <c r="C4798" s="2" t="inlineStr"/>
      <c r="D4798" s="2" t="inlineStr"/>
      <c r="E4798" s="28" t="inlineStr">
        <is>
          <t>VALOR COM BDI:</t>
        </is>
      </c>
      <c r="F4798" s="56" t="n"/>
      <c r="G4798" s="66">
        <f>G4797 + G4796</f>
        <v/>
      </c>
    </row>
    <row r="4799" ht="10" customHeight="1">
      <c r="A4799" s="2" t="inlineStr"/>
      <c r="B4799" s="2" t="inlineStr"/>
      <c r="C4799" s="2" t="inlineStr"/>
      <c r="D4799" s="2" t="inlineStr"/>
      <c r="E4799" s="18" t="inlineStr"/>
    </row>
    <row r="4800" ht="20" customHeight="1">
      <c r="A4800" s="19" t="inlineStr">
        <is>
          <t>16.2.1.1. ​103310​ INSTALAÇÃO DE LIXEIRA METÁLICA DUPLA, CAPACIDADE DE 60 L, EM TUBO DE AÇO CARBONO E CESTOS EM CHAPA DE AÇO COM PINTURA ELETROSTÁTICA, SOBRE SOLO. AF_11/2021​ (UN)</t>
        </is>
      </c>
      <c r="B4800" s="55" t="n"/>
      <c r="C4800" s="55" t="n"/>
      <c r="D4800" s="55" t="n"/>
      <c r="E4800" s="55" t="n"/>
      <c r="F4800" s="55" t="n"/>
      <c r="G4800" s="56" t="n"/>
    </row>
    <row r="4801" ht="15" customHeight="1">
      <c r="A4801" s="20" t="inlineStr">
        <is>
          <t>Material</t>
        </is>
      </c>
      <c r="B4801" s="56" t="n"/>
      <c r="C4801" s="21" t="inlineStr">
        <is>
          <t>FONTE</t>
        </is>
      </c>
      <c r="D4801" s="21" t="inlineStr">
        <is>
          <t>UNID</t>
        </is>
      </c>
      <c r="E4801" s="21" t="inlineStr">
        <is>
          <t>COEFICIENTE</t>
        </is>
      </c>
      <c r="F4801" s="21" t="inlineStr">
        <is>
          <t>PREÇO UNITÁRIO</t>
        </is>
      </c>
      <c r="G4801" s="21" t="inlineStr">
        <is>
          <t>TOTAL</t>
        </is>
      </c>
    </row>
    <row r="4802" ht="46" customHeight="1">
      <c r="A4802" s="22" t="inlineStr">
        <is>
          <t>00042440</t>
        </is>
      </c>
      <c r="B4802" s="23" t="inlineStr">
        <is>
          <t>LIXEIRA DUPLA, COM CAPACIDADE VOLUMETRICA DE 60L*, FABRICADA EM TUBO DE ACO CARBONO, CESTOS EM CHAPA DE ACO E PINTURA NO PROCESSO ELETROSTATICO - PARA ACADEMIA AO AR LIVRE / ACADEMIA DA TERCEIRA IDADE - ATI</t>
        </is>
      </c>
      <c r="C4802" s="22" t="inlineStr">
        <is>
          <t>SINAPI</t>
        </is>
      </c>
      <c r="D4802" s="22" t="inlineStr">
        <is>
          <t>UN</t>
        </is>
      </c>
      <c r="E4802" s="63" t="n">
        <v>1</v>
      </c>
      <c r="F4802" s="64">
        <f>ROUND(M4802*FATOR, 2)</f>
        <v/>
      </c>
      <c r="G4802" s="64">
        <f>TRUNC(TRUNC(E4802,8)*F4802,2)</f>
        <v/>
      </c>
      <c r="L4802" t="n">
        <v>1</v>
      </c>
      <c r="M4802" t="n">
        <v>1235.91</v>
      </c>
      <c r="N4802">
        <f>(M4802-F4802)</f>
        <v/>
      </c>
    </row>
    <row r="4803" ht="21" customHeight="1">
      <c r="A4803" s="22" t="inlineStr">
        <is>
          <t>00004721</t>
        </is>
      </c>
      <c r="B4803" s="23" t="inlineStr">
        <is>
          <t>PEDRA BRITADA N. 1 (9,5 A 19 MM) POSTO PEDREIRA/FORNECEDOR, SEM FRETE</t>
        </is>
      </c>
      <c r="C4803" s="22" t="inlineStr">
        <is>
          <t>SINAPI</t>
        </is>
      </c>
      <c r="D4803" s="22" t="inlineStr">
        <is>
          <t>M3</t>
        </is>
      </c>
      <c r="E4803" s="63" t="n">
        <v>0.0012</v>
      </c>
      <c r="F4803" s="64">
        <f>ROUND(M4803*FATOR, 2)</f>
        <v/>
      </c>
      <c r="G4803" s="64">
        <f>TRUNC(TRUNC(E4803,8)*F4803,2)</f>
        <v/>
      </c>
      <c r="L4803" t="n">
        <v>0.0012</v>
      </c>
      <c r="M4803" t="n">
        <v>111.01</v>
      </c>
      <c r="N4803">
        <f>(M4803-F4803)</f>
        <v/>
      </c>
    </row>
    <row r="4804" ht="15" customHeight="1">
      <c r="A4804" s="2" t="inlineStr"/>
      <c r="B4804" s="2" t="inlineStr"/>
      <c r="C4804" s="2" t="inlineStr"/>
      <c r="D4804" s="2" t="inlineStr"/>
      <c r="E4804" s="26" t="inlineStr">
        <is>
          <t>TOTAL Material:</t>
        </is>
      </c>
      <c r="F4804" s="56" t="n"/>
      <c r="G4804" s="65">
        <f>SUM(G4802:G4803)</f>
        <v/>
      </c>
    </row>
    <row r="4805" ht="15" customHeight="1">
      <c r="A4805" s="20" t="inlineStr">
        <is>
          <t>Mão de Obra com Encargos Complementares</t>
        </is>
      </c>
      <c r="B4805" s="56" t="n"/>
      <c r="C4805" s="21" t="inlineStr">
        <is>
          <t>FONTE</t>
        </is>
      </c>
      <c r="D4805" s="21" t="inlineStr">
        <is>
          <t>UNID</t>
        </is>
      </c>
      <c r="E4805" s="21" t="inlineStr">
        <is>
          <t>COEFICIENTE</t>
        </is>
      </c>
      <c r="F4805" s="21" t="inlineStr">
        <is>
          <t>PREÇO UNITÁRIO</t>
        </is>
      </c>
      <c r="G4805" s="21" t="inlineStr">
        <is>
          <t>TOTAL</t>
        </is>
      </c>
    </row>
    <row r="4806" ht="15" customHeight="1">
      <c r="A4806" s="22" t="inlineStr">
        <is>
          <t>88309</t>
        </is>
      </c>
      <c r="B4806" s="23" t="inlineStr">
        <is>
          <t>PEDREIRO COM ENCARGOS COMPLEMENTARES</t>
        </is>
      </c>
      <c r="C4806" s="22" t="inlineStr">
        <is>
          <t>SINAPI</t>
        </is>
      </c>
      <c r="D4806" s="22" t="inlineStr">
        <is>
          <t>H</t>
        </is>
      </c>
      <c r="E4806" s="63">
        <f>L4806*FATOR</f>
        <v/>
      </c>
      <c r="F4806" s="64">
        <f>'COMPOSICOES AUXILIARES'!G2887</f>
        <v/>
      </c>
      <c r="G4806" s="64">
        <f>TRUNC(TRUNC(E4806,8)*F4806,2)</f>
        <v/>
      </c>
      <c r="L4806" t="n">
        <v>0.8681</v>
      </c>
      <c r="M4806" t="n">
        <v>30.58</v>
      </c>
      <c r="N4806">
        <f>(M4806-F4806)</f>
        <v/>
      </c>
    </row>
    <row r="4807" ht="15" customHeight="1">
      <c r="A4807" s="22" t="inlineStr">
        <is>
          <t>88316</t>
        </is>
      </c>
      <c r="B4807" s="23" t="inlineStr">
        <is>
          <t>SERVENTE COM ENCARGOS COMPLEMENTARES</t>
        </is>
      </c>
      <c r="C4807" s="22" t="inlineStr">
        <is>
          <t>SINAPI</t>
        </is>
      </c>
      <c r="D4807" s="22" t="inlineStr">
        <is>
          <t>H</t>
        </is>
      </c>
      <c r="E4807" s="63">
        <f>L4807*FATOR</f>
        <v/>
      </c>
      <c r="F4807" s="64">
        <f>'COMPOSICOES AUXILIARES'!G3390</f>
        <v/>
      </c>
      <c r="G4807" s="64">
        <f>TRUNC(TRUNC(E4807,8)*F4807,2)</f>
        <v/>
      </c>
      <c r="L4807" t="n">
        <v>0.5787</v>
      </c>
      <c r="M4807" t="n">
        <v>23.56</v>
      </c>
      <c r="N4807">
        <f>(M4807-F4807)</f>
        <v/>
      </c>
    </row>
    <row r="4808" ht="18" customHeight="1">
      <c r="A4808" s="2" t="inlineStr"/>
      <c r="B4808" s="2" t="inlineStr"/>
      <c r="C4808" s="2" t="inlineStr"/>
      <c r="D4808" s="2" t="inlineStr"/>
      <c r="E4808" s="26" t="inlineStr">
        <is>
          <t>TOTAL Mão de Obra com Encargos Complementares:</t>
        </is>
      </c>
      <c r="F4808" s="56" t="n"/>
      <c r="G4808" s="65">
        <f>SUM(G4806:G4807)</f>
        <v/>
      </c>
    </row>
    <row r="4809" ht="15" customHeight="1">
      <c r="A4809" s="20" t="inlineStr">
        <is>
          <t>Serviço</t>
        </is>
      </c>
      <c r="B4809" s="56" t="n"/>
      <c r="C4809" s="21" t="inlineStr">
        <is>
          <t>FONTE</t>
        </is>
      </c>
      <c r="D4809" s="21" t="inlineStr">
        <is>
          <t>UNID</t>
        </is>
      </c>
      <c r="E4809" s="21" t="inlineStr">
        <is>
          <t>COEFICIENTE</t>
        </is>
      </c>
      <c r="F4809" s="21" t="inlineStr">
        <is>
          <t>PREÇO UNITÁRIO</t>
        </is>
      </c>
      <c r="G4809" s="21" t="inlineStr">
        <is>
          <t>TOTAL</t>
        </is>
      </c>
    </row>
    <row r="4810" ht="29" customHeight="1">
      <c r="A4810" s="22" t="inlineStr">
        <is>
          <t>102486</t>
        </is>
      </c>
      <c r="B4810" s="23" t="inlineStr">
        <is>
          <t>CONCRETO FCK = 15MPA, TRAÇO 1:3,4:3,4 (EM MASSA SECA DE CIMENTO/ AREIA MÉDIA/ SEIXO ROLADO) - PREPARO MANUAL. AF_05/2021</t>
        </is>
      </c>
      <c r="C4810" s="22" t="inlineStr">
        <is>
          <t>SINAPI</t>
        </is>
      </c>
      <c r="D4810" s="22" t="inlineStr">
        <is>
          <t>M3</t>
        </is>
      </c>
      <c r="E4810" s="63" t="n">
        <v>0.0222</v>
      </c>
      <c r="F4810" s="64">
        <f>'COMPOSICOES AUXILIARES'!G1142</f>
        <v/>
      </c>
      <c r="G4810" s="64">
        <f>TRUNC(TRUNC(E4810,8)*F4810,2)</f>
        <v/>
      </c>
      <c r="L4810" t="n">
        <v>0.0222</v>
      </c>
      <c r="M4810" t="n">
        <v>682.11</v>
      </c>
      <c r="N4810">
        <f>(M4810-F4810)</f>
        <v/>
      </c>
    </row>
    <row r="4811" ht="15" customHeight="1">
      <c r="A4811" s="2" t="inlineStr"/>
      <c r="B4811" s="2" t="inlineStr"/>
      <c r="C4811" s="2" t="inlineStr"/>
      <c r="D4811" s="2" t="inlineStr"/>
      <c r="E4811" s="26" t="inlineStr">
        <is>
          <t>TOTAL Serviço:</t>
        </is>
      </c>
      <c r="F4811" s="56" t="n"/>
      <c r="G4811" s="65">
        <f>SUM(G4810:G4810)</f>
        <v/>
      </c>
    </row>
    <row r="4812" ht="15" customHeight="1">
      <c r="A4812" s="2" t="inlineStr"/>
      <c r="B4812" s="2" t="inlineStr"/>
      <c r="C4812" s="2" t="inlineStr"/>
      <c r="D4812" s="2" t="inlineStr"/>
      <c r="E4812" s="28" t="inlineStr">
        <is>
          <t>VALOR:</t>
        </is>
      </c>
      <c r="F4812" s="56" t="n"/>
      <c r="G4812" s="66">
        <f>SUM(G4808,G4811,G4804)</f>
        <v/>
      </c>
    </row>
    <row r="4813" ht="15" customHeight="1">
      <c r="A4813" s="2" t="inlineStr"/>
      <c r="B4813" s="2" t="inlineStr"/>
      <c r="C4813" s="2" t="inlineStr"/>
      <c r="D4813" s="2" t="inlineStr"/>
      <c r="E4813" s="28" t="inlineStr">
        <is>
          <t>VALOR BDI (23.08%):</t>
        </is>
      </c>
      <c r="F4813" s="56" t="n"/>
      <c r="G4813" s="66">
        <f>ROUNDDOWN(G4812*BDI,2)</f>
        <v/>
      </c>
    </row>
    <row r="4814" ht="15" customHeight="1">
      <c r="A4814" s="2" t="inlineStr"/>
      <c r="B4814" s="2" t="inlineStr"/>
      <c r="C4814" s="2" t="inlineStr"/>
      <c r="D4814" s="2" t="inlineStr"/>
      <c r="E4814" s="28" t="inlineStr">
        <is>
          <t>VALOR COM BDI:</t>
        </is>
      </c>
      <c r="F4814" s="56" t="n"/>
      <c r="G4814" s="66">
        <f>G4813 + G4812</f>
        <v/>
      </c>
    </row>
    <row r="4815" ht="10" customHeight="1">
      <c r="A4815" s="2" t="inlineStr"/>
      <c r="B4815" s="2" t="inlineStr"/>
      <c r="C4815" s="2" t="inlineStr"/>
      <c r="D4815" s="2" t="inlineStr"/>
      <c r="E4815" s="18" t="inlineStr"/>
    </row>
    <row r="4816" ht="20" customHeight="1">
      <c r="A4816" s="19" t="inlineStr">
        <is>
          <t>16.2.2.1. ​470 PRÓPRIO​ SUPORTE PARA APOIO DE BICICLETA - TUBO DE AÇO GALVANIZADO Ø 2 1/2​ (UN)</t>
        </is>
      </c>
      <c r="B4816" s="55" t="n"/>
      <c r="C4816" s="55" t="n"/>
      <c r="D4816" s="55" t="n"/>
      <c r="E4816" s="55" t="n"/>
      <c r="F4816" s="55" t="n"/>
      <c r="G4816" s="56" t="n"/>
    </row>
    <row r="4817" ht="15" customHeight="1">
      <c r="A4817" s="20" t="inlineStr">
        <is>
          <t>Material</t>
        </is>
      </c>
      <c r="B4817" s="56" t="n"/>
      <c r="C4817" s="21" t="inlineStr">
        <is>
          <t>FONTE</t>
        </is>
      </c>
      <c r="D4817" s="21" t="inlineStr">
        <is>
          <t>UNID</t>
        </is>
      </c>
      <c r="E4817" s="21" t="inlineStr">
        <is>
          <t>COEFICIENTE</t>
        </is>
      </c>
      <c r="F4817" s="21" t="inlineStr">
        <is>
          <t>PREÇO UNITÁRIO</t>
        </is>
      </c>
      <c r="G4817" s="21" t="inlineStr">
        <is>
          <t>TOTAL</t>
        </is>
      </c>
    </row>
    <row r="4818" ht="29" customHeight="1">
      <c r="A4818" s="22" t="inlineStr">
        <is>
          <t>00000592</t>
        </is>
      </c>
      <c r="B4818" s="23" t="inlineStr">
        <is>
          <t>CANTONEIRA EM ALUMINIO, ABAS IGUAIS, LARGURA DE 25,40 MM (1"), ESPESSURA DE 3,17 MM (1/8") E PESO LINEAR DE APROXIMADAMENTE 0,408 KG/M</t>
        </is>
      </c>
      <c r="C4818" s="22" t="inlineStr">
        <is>
          <t>SINAPI</t>
        </is>
      </c>
      <c r="D4818" s="22" t="inlineStr">
        <is>
          <t>KG</t>
        </is>
      </c>
      <c r="E4818" s="63" t="n">
        <v>1</v>
      </c>
      <c r="F4818" s="64">
        <f>ROUND(M4818*FATOR, 2)</f>
        <v/>
      </c>
      <c r="G4818" s="64">
        <f>ROUND(ROUND(E4818,8)*F4818,2)</f>
        <v/>
      </c>
      <c r="L4818" t="n">
        <v>1</v>
      </c>
      <c r="M4818" t="n">
        <v>37</v>
      </c>
      <c r="N4818">
        <f>(M4818-F4818)</f>
        <v/>
      </c>
    </row>
    <row r="4819" ht="21" customHeight="1">
      <c r="A4819" s="22" t="inlineStr">
        <is>
          <t>00021014</t>
        </is>
      </c>
      <c r="B4819" s="23" t="inlineStr">
        <is>
          <t>TUBO ACO GALVANIZADO COM COSTURA, CLASSE LEVE, DN 65 MM (2 1/2"), E = 3,35 MM, * 6,23* KG/M (NBR 5580)</t>
        </is>
      </c>
      <c r="C4819" s="22" t="inlineStr">
        <is>
          <t>SINAPI</t>
        </is>
      </c>
      <c r="D4819" s="22" t="inlineStr">
        <is>
          <t>M</t>
        </is>
      </c>
      <c r="E4819" s="63" t="n">
        <v>3.5</v>
      </c>
      <c r="F4819" s="64">
        <f>ROUND(M4819*FATOR, 2)</f>
        <v/>
      </c>
      <c r="G4819" s="64">
        <f>ROUND(ROUND(E4819,8)*F4819,2)</f>
        <v/>
      </c>
      <c r="L4819" t="n">
        <v>3.5</v>
      </c>
      <c r="M4819" t="n">
        <v>94.02</v>
      </c>
      <c r="N4819">
        <f>(M4819-F4819)</f>
        <v/>
      </c>
    </row>
    <row r="4820" ht="15" customHeight="1">
      <c r="A4820" s="2" t="inlineStr"/>
      <c r="B4820" s="2" t="inlineStr"/>
      <c r="C4820" s="2" t="inlineStr"/>
      <c r="D4820" s="2" t="inlineStr"/>
      <c r="E4820" s="26" t="inlineStr">
        <is>
          <t>TOTAL Material:</t>
        </is>
      </c>
      <c r="F4820" s="56" t="n"/>
      <c r="G4820" s="65">
        <f>SUM(G4818:G4819)</f>
        <v/>
      </c>
    </row>
    <row r="4821" ht="15" customHeight="1">
      <c r="A4821" s="20" t="inlineStr">
        <is>
          <t>Mão de Obra com Encargos Complementares</t>
        </is>
      </c>
      <c r="B4821" s="56" t="n"/>
      <c r="C4821" s="21" t="inlineStr">
        <is>
          <t>FONTE</t>
        </is>
      </c>
      <c r="D4821" s="21" t="inlineStr">
        <is>
          <t>UNID</t>
        </is>
      </c>
      <c r="E4821" s="21" t="inlineStr">
        <is>
          <t>COEFICIENTE</t>
        </is>
      </c>
      <c r="F4821" s="21" t="inlineStr">
        <is>
          <t>PREÇO UNITÁRIO</t>
        </is>
      </c>
      <c r="G4821" s="21" t="inlineStr">
        <is>
          <t>TOTAL</t>
        </is>
      </c>
    </row>
    <row r="4822" ht="21" customHeight="1">
      <c r="A4822" s="22" t="inlineStr">
        <is>
          <t>88251</t>
        </is>
      </c>
      <c r="B4822" s="23" t="inlineStr">
        <is>
          <t>AUXILIAR DE SERRALHEIRO COM ENCARGOS COMPLEMENTARES</t>
        </is>
      </c>
      <c r="C4822" s="22" t="inlineStr">
        <is>
          <t>SINAPI</t>
        </is>
      </c>
      <c r="D4822" s="22" t="inlineStr">
        <is>
          <t>H</t>
        </is>
      </c>
      <c r="E4822" s="63">
        <f>L4822*FATOR</f>
        <v/>
      </c>
      <c r="F4822" s="64">
        <f>'COMPOSICOES AUXILIARES'!G543</f>
        <v/>
      </c>
      <c r="G4822" s="64">
        <f>ROUND(ROUND(E4822,8)*F4822,2)</f>
        <v/>
      </c>
      <c r="L4822" t="n">
        <v>3</v>
      </c>
      <c r="M4822" t="n">
        <v>24.77</v>
      </c>
      <c r="N4822">
        <f>(M4822-F4822)</f>
        <v/>
      </c>
    </row>
    <row r="4823" ht="15" customHeight="1">
      <c r="A4823" s="22" t="inlineStr">
        <is>
          <t>88309</t>
        </is>
      </c>
      <c r="B4823" s="23" t="inlineStr">
        <is>
          <t>PEDREIRO COM ENCARGOS COMPLEMENTARES</t>
        </is>
      </c>
      <c r="C4823" s="22" t="inlineStr">
        <is>
          <t>SINAPI</t>
        </is>
      </c>
      <c r="D4823" s="22" t="inlineStr">
        <is>
          <t>H</t>
        </is>
      </c>
      <c r="E4823" s="63">
        <f>L4823*FATOR</f>
        <v/>
      </c>
      <c r="F4823" s="64">
        <f>'COMPOSICOES AUXILIARES'!G2887</f>
        <v/>
      </c>
      <c r="G4823" s="64">
        <f>ROUND(ROUND(E4823,8)*F4823,2)</f>
        <v/>
      </c>
      <c r="L4823" t="n">
        <v>0.5</v>
      </c>
      <c r="M4823" t="n">
        <v>30.58</v>
      </c>
      <c r="N4823">
        <f>(M4823-F4823)</f>
        <v/>
      </c>
    </row>
    <row r="4824" ht="15" customHeight="1">
      <c r="A4824" s="22" t="inlineStr">
        <is>
          <t>88315</t>
        </is>
      </c>
      <c r="B4824" s="23" t="inlineStr">
        <is>
          <t>SERRALHEIRO COM ENCARGOS COMPLEMENTARES</t>
        </is>
      </c>
      <c r="C4824" s="22" t="inlineStr">
        <is>
          <t>SINAPI</t>
        </is>
      </c>
      <c r="D4824" s="22" t="inlineStr">
        <is>
          <t>H</t>
        </is>
      </c>
      <c r="E4824" s="63">
        <f>L4824*FATOR</f>
        <v/>
      </c>
      <c r="F4824" s="64">
        <f>'COMPOSICOES AUXILIARES'!G543</f>
        <v/>
      </c>
      <c r="G4824" s="64">
        <f>ROUND(ROUND(E4824,8)*F4824,2)</f>
        <v/>
      </c>
      <c r="L4824" t="n">
        <v>3</v>
      </c>
      <c r="M4824" t="n">
        <v>30.37</v>
      </c>
      <c r="N4824">
        <f>(M4824-F4824)</f>
        <v/>
      </c>
    </row>
    <row r="4825" ht="15" customHeight="1">
      <c r="A4825" s="22" t="inlineStr">
        <is>
          <t>88316</t>
        </is>
      </c>
      <c r="B4825" s="23" t="inlineStr">
        <is>
          <t>SERVENTE COM ENCARGOS COMPLEMENTARES</t>
        </is>
      </c>
      <c r="C4825" s="22" t="inlineStr">
        <is>
          <t>SINAPI</t>
        </is>
      </c>
      <c r="D4825" s="22" t="inlineStr">
        <is>
          <t>H</t>
        </is>
      </c>
      <c r="E4825" s="63">
        <f>L4825*FATOR</f>
        <v/>
      </c>
      <c r="F4825" s="64">
        <f>'COMPOSICOES AUXILIARES'!G3390</f>
        <v/>
      </c>
      <c r="G4825" s="64">
        <f>ROUND(ROUND(E4825,8)*F4825,2)</f>
        <v/>
      </c>
      <c r="L4825" t="n">
        <v>0.5</v>
      </c>
      <c r="M4825" t="n">
        <v>23.56</v>
      </c>
      <c r="N4825">
        <f>(M4825-F4825)</f>
        <v/>
      </c>
    </row>
    <row r="4826" ht="18" customHeight="1">
      <c r="A4826" s="2" t="inlineStr"/>
      <c r="B4826" s="2" t="inlineStr"/>
      <c r="C4826" s="2" t="inlineStr"/>
      <c r="D4826" s="2" t="inlineStr"/>
      <c r="E4826" s="26" t="inlineStr">
        <is>
          <t>TOTAL Mão de Obra com Encargos Complementares:</t>
        </is>
      </c>
      <c r="F4826" s="56" t="n"/>
      <c r="G4826" s="65">
        <f>SUM(G4822:G4825)</f>
        <v/>
      </c>
    </row>
    <row r="4827" ht="15" customHeight="1">
      <c r="A4827" s="2" t="inlineStr"/>
      <c r="B4827" s="2" t="inlineStr"/>
      <c r="C4827" s="2" t="inlineStr"/>
      <c r="D4827" s="2" t="inlineStr"/>
      <c r="E4827" s="28" t="inlineStr">
        <is>
          <t>VALOR:</t>
        </is>
      </c>
      <c r="F4827" s="56" t="n"/>
      <c r="G4827" s="66">
        <f>SUM(G4826,G4820)</f>
        <v/>
      </c>
    </row>
    <row r="4828" ht="15" customHeight="1">
      <c r="A4828" s="2" t="inlineStr"/>
      <c r="B4828" s="2" t="inlineStr"/>
      <c r="C4828" s="2" t="inlineStr"/>
      <c r="D4828" s="2" t="inlineStr"/>
      <c r="E4828" s="28" t="inlineStr">
        <is>
          <t>VALOR BDI (23.08%):</t>
        </is>
      </c>
      <c r="F4828" s="56" t="n"/>
      <c r="G4828" s="66">
        <f>ROUNDDOWN(G4827*BDI,2)</f>
        <v/>
      </c>
    </row>
    <row r="4829" ht="15" customHeight="1">
      <c r="A4829" s="2" t="inlineStr"/>
      <c r="B4829" s="2" t="inlineStr"/>
      <c r="C4829" s="2" t="inlineStr"/>
      <c r="D4829" s="2" t="inlineStr"/>
      <c r="E4829" s="28" t="inlineStr">
        <is>
          <t>VALOR COM BDI:</t>
        </is>
      </c>
      <c r="F4829" s="56" t="n"/>
      <c r="G4829" s="66">
        <f>G4828 + G4827</f>
        <v/>
      </c>
    </row>
    <row r="4830" ht="10" customHeight="1">
      <c r="A4830" s="2" t="inlineStr"/>
      <c r="B4830" s="2" t="inlineStr"/>
      <c r="C4830" s="2" t="inlineStr"/>
      <c r="D4830" s="2" t="inlineStr"/>
      <c r="E4830" s="18" t="inlineStr"/>
    </row>
    <row r="4831" ht="20" customHeight="1">
      <c r="A4831" s="19" t="inlineStr">
        <is>
          <t>17.1.1.1. ​97637​ REMOÇÃO DE TAPUME/CHAPAS METÁLICAS E DE MADEIRA, DE FORMA MANUAL, SEM REAPROVEITAMENTO. AF_09/2023​ (M2)</t>
        </is>
      </c>
      <c r="B4831" s="55" t="n"/>
      <c r="C4831" s="55" t="n"/>
      <c r="D4831" s="55" t="n"/>
      <c r="E4831" s="55" t="n"/>
      <c r="F4831" s="55" t="n"/>
      <c r="G4831" s="56" t="n"/>
    </row>
    <row r="4832" ht="15" customHeight="1">
      <c r="A4832" s="20" t="inlineStr">
        <is>
          <t>Mão de Obra com Encargos Complementares</t>
        </is>
      </c>
      <c r="B4832" s="56" t="n"/>
      <c r="C4832" s="21" t="inlineStr">
        <is>
          <t>FONTE</t>
        </is>
      </c>
      <c r="D4832" s="21" t="inlineStr">
        <is>
          <t>UNID</t>
        </is>
      </c>
      <c r="E4832" s="21" t="inlineStr">
        <is>
          <t>COEFICIENTE</t>
        </is>
      </c>
      <c r="F4832" s="21" t="inlineStr">
        <is>
          <t>PREÇO UNITÁRIO</t>
        </is>
      </c>
      <c r="G4832" s="21" t="inlineStr">
        <is>
          <t>TOTAL</t>
        </is>
      </c>
    </row>
    <row r="4833" ht="21" customHeight="1">
      <c r="A4833" s="22" t="inlineStr">
        <is>
          <t>88278</t>
        </is>
      </c>
      <c r="B4833" s="23" t="inlineStr">
        <is>
          <t>MONTADOR DE ESTRUTURAS METÁLICAS COM ENCARGOS COMPLEMENTARES</t>
        </is>
      </c>
      <c r="C4833" s="22" t="inlineStr">
        <is>
          <t>SINAPI</t>
        </is>
      </c>
      <c r="D4833" s="22" t="inlineStr">
        <is>
          <t>H</t>
        </is>
      </c>
      <c r="E4833" s="63">
        <f>L4833*FATOR</f>
        <v/>
      </c>
      <c r="F4833" s="64">
        <f>'COMPOSICOES AUXILIARES'!G2589</f>
        <v/>
      </c>
      <c r="G4833" s="64">
        <f>TRUNC(TRUNC(E4833,8)*F4833,2)</f>
        <v/>
      </c>
      <c r="L4833" t="n">
        <v>0.0337</v>
      </c>
      <c r="M4833" t="n">
        <v>27.54</v>
      </c>
      <c r="N4833">
        <f>(M4833-F4833)</f>
        <v/>
      </c>
    </row>
    <row r="4834" ht="15" customHeight="1">
      <c r="A4834" s="22" t="inlineStr">
        <is>
          <t>88316</t>
        </is>
      </c>
      <c r="B4834" s="23" t="inlineStr">
        <is>
          <t>SERVENTE COM ENCARGOS COMPLEMENTARES</t>
        </is>
      </c>
      <c r="C4834" s="22" t="inlineStr">
        <is>
          <t>SINAPI</t>
        </is>
      </c>
      <c r="D4834" s="22" t="inlineStr">
        <is>
          <t>H</t>
        </is>
      </c>
      <c r="E4834" s="63">
        <f>L4834*FATOR</f>
        <v/>
      </c>
      <c r="F4834" s="64">
        <f>'COMPOSICOES AUXILIARES'!G3390</f>
        <v/>
      </c>
      <c r="G4834" s="64">
        <f>TRUNC(TRUNC(E4834,8)*F4834,2)</f>
        <v/>
      </c>
      <c r="L4834" t="n">
        <v>0.09520000000000001</v>
      </c>
      <c r="M4834" t="n">
        <v>23.56</v>
      </c>
      <c r="N4834">
        <f>(M4834-F4834)</f>
        <v/>
      </c>
    </row>
    <row r="4835" ht="18" customHeight="1">
      <c r="A4835" s="2" t="inlineStr"/>
      <c r="B4835" s="2" t="inlineStr"/>
      <c r="C4835" s="2" t="inlineStr"/>
      <c r="D4835" s="2" t="inlineStr"/>
      <c r="E4835" s="26" t="inlineStr">
        <is>
          <t>TOTAL Mão de Obra com Encargos Complementares:</t>
        </is>
      </c>
      <c r="F4835" s="56" t="n"/>
      <c r="G4835" s="65">
        <f>SUM(G4833:G4834)</f>
        <v/>
      </c>
    </row>
    <row r="4836" ht="15" customHeight="1">
      <c r="A4836" s="2" t="inlineStr"/>
      <c r="B4836" s="2" t="inlineStr"/>
      <c r="C4836" s="2" t="inlineStr"/>
      <c r="D4836" s="2" t="inlineStr"/>
      <c r="E4836" s="28" t="inlineStr">
        <is>
          <t>VALOR:</t>
        </is>
      </c>
      <c r="F4836" s="56" t="n"/>
      <c r="G4836" s="66">
        <f>SUM(G4835)</f>
        <v/>
      </c>
    </row>
    <row r="4837" ht="15" customHeight="1">
      <c r="A4837" s="2" t="inlineStr"/>
      <c r="B4837" s="2" t="inlineStr"/>
      <c r="C4837" s="2" t="inlineStr"/>
      <c r="D4837" s="2" t="inlineStr"/>
      <c r="E4837" s="28" t="inlineStr">
        <is>
          <t>VALOR BDI (23.08%):</t>
        </is>
      </c>
      <c r="F4837" s="56" t="n"/>
      <c r="G4837" s="66">
        <f>ROUNDDOWN(G4836*BDI,2)</f>
        <v/>
      </c>
    </row>
    <row r="4838" ht="15" customHeight="1">
      <c r="A4838" s="2" t="inlineStr"/>
      <c r="B4838" s="2" t="inlineStr"/>
      <c r="C4838" s="2" t="inlineStr"/>
      <c r="D4838" s="2" t="inlineStr"/>
      <c r="E4838" s="28" t="inlineStr">
        <is>
          <t>VALOR COM BDI:</t>
        </is>
      </c>
      <c r="F4838" s="56" t="n"/>
      <c r="G4838" s="66">
        <f>G4837 + G4836</f>
        <v/>
      </c>
    </row>
    <row r="4839" ht="10" customHeight="1">
      <c r="A4839" s="2" t="inlineStr"/>
      <c r="B4839" s="2" t="inlineStr"/>
      <c r="C4839" s="2" t="inlineStr"/>
      <c r="D4839" s="2" t="inlineStr"/>
      <c r="E4839" s="18" t="inlineStr"/>
    </row>
    <row r="4840" ht="20" customHeight="1">
      <c r="A4840" s="19" t="inlineStr">
        <is>
          <t>17.1.2.1. ​471 PRÓPRIO​ DEMOLIÇÃO/DESMONTAGEM DE BARRACÃO E DEMAIS ELEMENTOS - COM REAPROVEITAMENTO PARCIAL​ (M²)</t>
        </is>
      </c>
      <c r="B4840" s="55" t="n"/>
      <c r="C4840" s="55" t="n"/>
      <c r="D4840" s="55" t="n"/>
      <c r="E4840" s="55" t="n"/>
      <c r="F4840" s="55" t="n"/>
      <c r="G4840" s="56" t="n"/>
    </row>
    <row r="4841" ht="15" customHeight="1">
      <c r="A4841" s="20" t="inlineStr">
        <is>
          <t>Material</t>
        </is>
      </c>
      <c r="B4841" s="56" t="n"/>
      <c r="C4841" s="21" t="inlineStr">
        <is>
          <t>FONTE</t>
        </is>
      </c>
      <c r="D4841" s="21" t="inlineStr">
        <is>
          <t>UNID</t>
        </is>
      </c>
      <c r="E4841" s="21" t="inlineStr">
        <is>
          <t>COEFICIENTE</t>
        </is>
      </c>
      <c r="F4841" s="21" t="inlineStr">
        <is>
          <t>PREÇO UNITÁRIO</t>
        </is>
      </c>
      <c r="G4841" s="21" t="inlineStr">
        <is>
          <t>TOTAL</t>
        </is>
      </c>
    </row>
    <row r="4842" ht="21" customHeight="1">
      <c r="A4842" s="22" t="inlineStr">
        <is>
          <t>00000003</t>
        </is>
      </c>
      <c r="B4842" s="23" t="inlineStr">
        <is>
          <t>ACIDO CLORIDRICO / ACIDO MURIATICO, DILUICAO 10% A 12% PARA USO EM LIMPEZA</t>
        </is>
      </c>
      <c r="C4842" s="22" t="inlineStr">
        <is>
          <t>SINAPI</t>
        </is>
      </c>
      <c r="D4842" s="22" t="inlineStr">
        <is>
          <t>L</t>
        </is>
      </c>
      <c r="E4842" s="63" t="n">
        <v>0.0533</v>
      </c>
      <c r="F4842" s="64">
        <f>ROUND(M4842*FATOR, 2)</f>
        <v/>
      </c>
      <c r="G4842" s="64">
        <f>ROUND(ROUND(E4842,8)*F4842,2)</f>
        <v/>
      </c>
      <c r="L4842" t="n">
        <v>0.0533</v>
      </c>
      <c r="M4842" t="n">
        <v>18.21</v>
      </c>
      <c r="N4842">
        <f>(M4842-F4842)</f>
        <v/>
      </c>
    </row>
    <row r="4843" ht="15" customHeight="1">
      <c r="A4843" s="22" t="inlineStr">
        <is>
          <t>00005318</t>
        </is>
      </c>
      <c r="B4843" s="23" t="inlineStr">
        <is>
          <t>DILUENTE AGUARRAS</t>
        </is>
      </c>
      <c r="C4843" s="22" t="inlineStr">
        <is>
          <t>SINAPI</t>
        </is>
      </c>
      <c r="D4843" s="22" t="inlineStr">
        <is>
          <t>L</t>
        </is>
      </c>
      <c r="E4843" s="63" t="n">
        <v>0.04</v>
      </c>
      <c r="F4843" s="64">
        <f>ROUND(M4843*FATOR, 2)</f>
        <v/>
      </c>
      <c r="G4843" s="64">
        <f>ROUND(ROUND(E4843,8)*F4843,2)</f>
        <v/>
      </c>
      <c r="L4843" t="n">
        <v>0.04</v>
      </c>
      <c r="M4843" t="n">
        <v>23.98</v>
      </c>
      <c r="N4843">
        <f>(M4843-F4843)</f>
        <v/>
      </c>
    </row>
    <row r="4844" ht="21" customHeight="1">
      <c r="A4844" s="22" t="inlineStr">
        <is>
          <t>006760 SBC</t>
        </is>
      </c>
      <c r="B4844" s="23" t="inlineStr">
        <is>
          <t>FERRAMENTA - PALHA DE ACO N°. 2 GROSSA 22 GRAMAS WORKER.</t>
        </is>
      </c>
      <c r="C4844" s="22" t="inlineStr">
        <is>
          <t xml:space="preserve">Composições </t>
        </is>
      </c>
      <c r="D4844" s="22" t="inlineStr">
        <is>
          <t>UN</t>
        </is>
      </c>
      <c r="E4844" s="63" t="n">
        <v>0.08</v>
      </c>
      <c r="F4844" s="64">
        <f>ROUND(M4844*FATOR, 2)</f>
        <v/>
      </c>
      <c r="G4844" s="64">
        <f>ROUND(ROUND(E4844,8)*F4844,2)</f>
        <v/>
      </c>
      <c r="L4844" t="n">
        <v>0.08</v>
      </c>
      <c r="M4844" t="n">
        <v>1.49</v>
      </c>
      <c r="N4844">
        <f>(M4844-F4844)</f>
        <v/>
      </c>
    </row>
    <row r="4845" ht="15" customHeight="1">
      <c r="A4845" s="22" t="inlineStr">
        <is>
          <t>00038400</t>
        </is>
      </c>
      <c r="B4845" s="23" t="inlineStr">
        <is>
          <t>VASSOURA 40 CM COM CABO</t>
        </is>
      </c>
      <c r="C4845" s="22" t="inlineStr">
        <is>
          <t>SINAPI</t>
        </is>
      </c>
      <c r="D4845" s="22" t="inlineStr">
        <is>
          <t>UN</t>
        </is>
      </c>
      <c r="E4845" s="63" t="n">
        <v>0.08</v>
      </c>
      <c r="F4845" s="64">
        <f>ROUND(M4845*FATOR, 2)</f>
        <v/>
      </c>
      <c r="G4845" s="64">
        <f>ROUND(ROUND(E4845,8)*F4845,2)</f>
        <v/>
      </c>
      <c r="L4845" t="n">
        <v>0.08</v>
      </c>
      <c r="M4845" t="n">
        <v>33.6</v>
      </c>
      <c r="N4845">
        <f>(M4845-F4845)</f>
        <v/>
      </c>
    </row>
    <row r="4846" ht="15" customHeight="1">
      <c r="A4846" s="2" t="inlineStr"/>
      <c r="B4846" s="2" t="inlineStr"/>
      <c r="C4846" s="2" t="inlineStr"/>
      <c r="D4846" s="2" t="inlineStr"/>
      <c r="E4846" s="26" t="inlineStr">
        <is>
          <t>TOTAL Material:</t>
        </is>
      </c>
      <c r="F4846" s="56" t="n"/>
      <c r="G4846" s="65">
        <f>SUM(G4842:G4845)</f>
        <v/>
      </c>
    </row>
    <row r="4847" ht="15" customHeight="1">
      <c r="A4847" s="20" t="inlineStr">
        <is>
          <t>Mão de Obra com Encargos Complementares</t>
        </is>
      </c>
      <c r="B4847" s="56" t="n"/>
      <c r="C4847" s="21" t="inlineStr">
        <is>
          <t>FONTE</t>
        </is>
      </c>
      <c r="D4847" s="21" t="inlineStr">
        <is>
          <t>UNID</t>
        </is>
      </c>
      <c r="E4847" s="21" t="inlineStr">
        <is>
          <t>COEFICIENTE</t>
        </is>
      </c>
      <c r="F4847" s="21" t="inlineStr">
        <is>
          <t>PREÇO UNITÁRIO</t>
        </is>
      </c>
      <c r="G4847" s="21" t="inlineStr">
        <is>
          <t>TOTAL</t>
        </is>
      </c>
    </row>
    <row r="4848" ht="15" customHeight="1">
      <c r="A4848" s="22" t="inlineStr">
        <is>
          <t>88264</t>
        </is>
      </c>
      <c r="B4848" s="23" t="inlineStr">
        <is>
          <t>ELETRICISTA COM ENCARGOS COMPLEMENTARES</t>
        </is>
      </c>
      <c r="C4848" s="22" t="inlineStr">
        <is>
          <t>SINAPI</t>
        </is>
      </c>
      <c r="D4848" s="22" t="inlineStr">
        <is>
          <t>H</t>
        </is>
      </c>
      <c r="E4848" s="63">
        <f>L4848*FATOR</f>
        <v/>
      </c>
      <c r="F4848" s="64">
        <f>'COMPOSICOES AUXILIARES'!G505</f>
        <v/>
      </c>
      <c r="G4848" s="64">
        <f>ROUND(ROUND(E4848,8)*F4848,2)</f>
        <v/>
      </c>
      <c r="L4848" t="n">
        <v>0.073</v>
      </c>
      <c r="M4848" t="n">
        <v>30.96</v>
      </c>
      <c r="N4848">
        <f>(M4848-F4848)</f>
        <v/>
      </c>
    </row>
    <row r="4849" ht="21" customHeight="1">
      <c r="A4849" s="22" t="inlineStr">
        <is>
          <t>88267</t>
        </is>
      </c>
      <c r="B4849" s="23" t="inlineStr">
        <is>
          <t>ENCANADOR OU BOMBEIRO HIDRÁULICO COM ENCARGOS COMPLEMENTARES</t>
        </is>
      </c>
      <c r="C4849" s="22" t="inlineStr">
        <is>
          <t>SINAPI</t>
        </is>
      </c>
      <c r="D4849" s="22" t="inlineStr">
        <is>
          <t>H</t>
        </is>
      </c>
      <c r="E4849" s="63">
        <f>L4849*FATOR</f>
        <v/>
      </c>
      <c r="F4849" s="64">
        <f>'COMPOSICOES AUXILIARES'!G524</f>
        <v/>
      </c>
      <c r="G4849" s="64">
        <f>ROUND(ROUND(E4849,8)*F4849,2)</f>
        <v/>
      </c>
      <c r="L4849" t="n">
        <v>0.073</v>
      </c>
      <c r="M4849" t="n">
        <v>29.86</v>
      </c>
      <c r="N4849">
        <f>(M4849-F4849)</f>
        <v/>
      </c>
    </row>
    <row r="4850" ht="15" customHeight="1">
      <c r="A4850" s="22" t="inlineStr">
        <is>
          <t>88309</t>
        </is>
      </c>
      <c r="B4850" s="23" t="inlineStr">
        <is>
          <t>PEDREIRO COM ENCARGOS COMPLEMENTARES</t>
        </is>
      </c>
      <c r="C4850" s="22" t="inlineStr">
        <is>
          <t>SINAPI</t>
        </is>
      </c>
      <c r="D4850" s="22" t="inlineStr">
        <is>
          <t>H</t>
        </is>
      </c>
      <c r="E4850" s="63">
        <f>L4850*FATOR</f>
        <v/>
      </c>
      <c r="F4850" s="64">
        <f>'COMPOSICOES AUXILIARES'!G2887</f>
        <v/>
      </c>
      <c r="G4850" s="64">
        <f>ROUND(ROUND(E4850,8)*F4850,2)</f>
        <v/>
      </c>
      <c r="L4850" t="n">
        <v>0.073</v>
      </c>
      <c r="M4850" t="n">
        <v>30.58</v>
      </c>
      <c r="N4850">
        <f>(M4850-F4850)</f>
        <v/>
      </c>
    </row>
    <row r="4851" ht="15" customHeight="1">
      <c r="A4851" s="22" t="inlineStr">
        <is>
          <t>88310</t>
        </is>
      </c>
      <c r="B4851" s="23" t="inlineStr">
        <is>
          <t>PINTOR COM ENCARGOS COMPLEMENTARES</t>
        </is>
      </c>
      <c r="C4851" s="22" t="inlineStr">
        <is>
          <t>SINAPI</t>
        </is>
      </c>
      <c r="D4851" s="22" t="inlineStr">
        <is>
          <t>H</t>
        </is>
      </c>
      <c r="E4851" s="63">
        <f>L4851*FATOR</f>
        <v/>
      </c>
      <c r="F4851" s="64">
        <f>'COMPOSICOES AUXILIARES'!G3047</f>
        <v/>
      </c>
      <c r="G4851" s="64">
        <f>ROUND(ROUND(E4851,8)*F4851,2)</f>
        <v/>
      </c>
      <c r="L4851" t="n">
        <v>0.073</v>
      </c>
      <c r="M4851" t="n">
        <v>32.25</v>
      </c>
      <c r="N4851">
        <f>(M4851-F4851)</f>
        <v/>
      </c>
    </row>
    <row r="4852" ht="15" customHeight="1">
      <c r="A4852" s="22" t="inlineStr">
        <is>
          <t>88316</t>
        </is>
      </c>
      <c r="B4852" s="23" t="inlineStr">
        <is>
          <t>SERVENTE COM ENCARGOS COMPLEMENTARES</t>
        </is>
      </c>
      <c r="C4852" s="22" t="inlineStr">
        <is>
          <t>SINAPI</t>
        </is>
      </c>
      <c r="D4852" s="22" t="inlineStr">
        <is>
          <t>H</t>
        </is>
      </c>
      <c r="E4852" s="63">
        <f>L4852*FATOR</f>
        <v/>
      </c>
      <c r="F4852" s="64">
        <f>'COMPOSICOES AUXILIARES'!G3390</f>
        <v/>
      </c>
      <c r="G4852" s="64">
        <f>ROUND(ROUND(E4852,8)*F4852,2)</f>
        <v/>
      </c>
      <c r="L4852" t="n">
        <v>1.176</v>
      </c>
      <c r="M4852" t="n">
        <v>23.56</v>
      </c>
      <c r="N4852">
        <f>(M4852-F4852)</f>
        <v/>
      </c>
    </row>
    <row r="4853" ht="18" customHeight="1">
      <c r="A4853" s="2" t="inlineStr"/>
      <c r="B4853" s="2" t="inlineStr"/>
      <c r="C4853" s="2" t="inlineStr"/>
      <c r="D4853" s="2" t="inlineStr"/>
      <c r="E4853" s="26" t="inlineStr">
        <is>
          <t>TOTAL Mão de Obra com Encargos Complementares:</t>
        </is>
      </c>
      <c r="F4853" s="56" t="n"/>
      <c r="G4853" s="65">
        <f>SUM(G4848:G4852)</f>
        <v/>
      </c>
    </row>
    <row r="4854" ht="15" customHeight="1">
      <c r="A4854" s="2" t="inlineStr"/>
      <c r="B4854" s="2" t="inlineStr"/>
      <c r="C4854" s="2" t="inlineStr"/>
      <c r="D4854" s="2" t="inlineStr"/>
      <c r="E4854" s="28" t="inlineStr">
        <is>
          <t>VALOR:</t>
        </is>
      </c>
      <c r="F4854" s="56" t="n"/>
      <c r="G4854" s="66">
        <f>SUM(G4853,G4846)</f>
        <v/>
      </c>
    </row>
    <row r="4855" ht="15" customHeight="1">
      <c r="A4855" s="2" t="inlineStr"/>
      <c r="B4855" s="2" t="inlineStr"/>
      <c r="C4855" s="2" t="inlineStr"/>
      <c r="D4855" s="2" t="inlineStr"/>
      <c r="E4855" s="28" t="inlineStr">
        <is>
          <t>VALOR BDI (23.08%):</t>
        </is>
      </c>
      <c r="F4855" s="56" t="n"/>
      <c r="G4855" s="66">
        <f>ROUNDDOWN(G4854*BDI,2)</f>
        <v/>
      </c>
    </row>
    <row r="4856" ht="15" customHeight="1">
      <c r="A4856" s="2" t="inlineStr"/>
      <c r="B4856" s="2" t="inlineStr"/>
      <c r="C4856" s="2" t="inlineStr"/>
      <c r="D4856" s="2" t="inlineStr"/>
      <c r="E4856" s="28" t="inlineStr">
        <is>
          <t>VALOR COM BDI:</t>
        </is>
      </c>
      <c r="F4856" s="56" t="n"/>
      <c r="G4856" s="66">
        <f>G4855 + G4854</f>
        <v/>
      </c>
    </row>
    <row r="4857" ht="10" customHeight="1">
      <c r="A4857" s="2" t="inlineStr"/>
      <c r="B4857" s="2" t="inlineStr"/>
      <c r="C4857" s="2" t="inlineStr"/>
      <c r="D4857" s="2" t="inlineStr"/>
      <c r="E4857" s="18" t="inlineStr"/>
    </row>
    <row r="4858" ht="20" customHeight="1">
      <c r="A4858" s="19" t="inlineStr">
        <is>
          <t>17.2.1.1. ​99821​ LIMPEZA DE JANELA DE VIDRO COM CAIXILHO EM AÇO/ALUMÍNIO/PVC. AF_04/2019​ (M2)</t>
        </is>
      </c>
      <c r="B4858" s="55" t="n"/>
      <c r="C4858" s="55" t="n"/>
      <c r="D4858" s="55" t="n"/>
      <c r="E4858" s="55" t="n"/>
      <c r="F4858" s="55" t="n"/>
      <c r="G4858" s="56" t="n"/>
    </row>
    <row r="4859" ht="15" customHeight="1">
      <c r="A4859" s="20" t="inlineStr">
        <is>
          <t>Material</t>
        </is>
      </c>
      <c r="B4859" s="56" t="n"/>
      <c r="C4859" s="21" t="inlineStr">
        <is>
          <t>FONTE</t>
        </is>
      </c>
      <c r="D4859" s="21" t="inlineStr">
        <is>
          <t>UNID</t>
        </is>
      </c>
      <c r="E4859" s="21" t="inlineStr">
        <is>
          <t>COEFICIENTE</t>
        </is>
      </c>
      <c r="F4859" s="21" t="inlineStr">
        <is>
          <t>PREÇO UNITÁRIO</t>
        </is>
      </c>
      <c r="G4859" s="21" t="inlineStr">
        <is>
          <t>TOTAL</t>
        </is>
      </c>
    </row>
    <row r="4860" ht="15" customHeight="1">
      <c r="A4860" s="22" t="inlineStr">
        <is>
          <t>00044329</t>
        </is>
      </c>
      <c r="B4860" s="23" t="inlineStr">
        <is>
          <t>DETERGENTE NEUTRO USO GERAL, CONCENTRADO</t>
        </is>
      </c>
      <c r="C4860" s="22" t="inlineStr">
        <is>
          <t>SINAPI</t>
        </is>
      </c>
      <c r="D4860" s="22" t="inlineStr">
        <is>
          <t>L</t>
        </is>
      </c>
      <c r="E4860" s="63" t="n">
        <v>0.006</v>
      </c>
      <c r="F4860" s="64">
        <f>ROUND(M4860*FATOR, 2)</f>
        <v/>
      </c>
      <c r="G4860" s="64">
        <f>TRUNC(TRUNC(E4860,8)*F4860,2)</f>
        <v/>
      </c>
      <c r="L4860" t="n">
        <v>0.006</v>
      </c>
      <c r="M4860" t="n">
        <v>14.83</v>
      </c>
      <c r="N4860">
        <f>(M4860-F4860)</f>
        <v/>
      </c>
    </row>
    <row r="4861" ht="15" customHeight="1">
      <c r="A4861" s="22" t="inlineStr">
        <is>
          <t>00005318</t>
        </is>
      </c>
      <c r="B4861" s="23" t="inlineStr">
        <is>
          <t>DILUENTE AGUARRAS</t>
        </is>
      </c>
      <c r="C4861" s="22" t="inlineStr">
        <is>
          <t>SINAPI</t>
        </is>
      </c>
      <c r="D4861" s="22" t="inlineStr">
        <is>
          <t>L</t>
        </is>
      </c>
      <c r="E4861" s="63" t="n">
        <v>0.023</v>
      </c>
      <c r="F4861" s="64">
        <f>ROUND(M4861*FATOR, 2)</f>
        <v/>
      </c>
      <c r="G4861" s="64">
        <f>TRUNC(TRUNC(E4861,8)*F4861,2)</f>
        <v/>
      </c>
      <c r="L4861" t="n">
        <v>0.023</v>
      </c>
      <c r="M4861" t="n">
        <v>23.98</v>
      </c>
      <c r="N4861">
        <f>(M4861-F4861)</f>
        <v/>
      </c>
    </row>
    <row r="4862" ht="15" customHeight="1">
      <c r="A4862" s="22" t="inlineStr">
        <is>
          <t>00044331</t>
        </is>
      </c>
      <c r="B4862" s="23" t="inlineStr">
        <is>
          <t>LIMPA VIDROS COM PULVERIZADOR</t>
        </is>
      </c>
      <c r="C4862" s="22" t="inlineStr">
        <is>
          <t>SINAPI</t>
        </is>
      </c>
      <c r="D4862" s="22" t="inlineStr">
        <is>
          <t>L</t>
        </is>
      </c>
      <c r="E4862" s="63" t="n">
        <v>0.011</v>
      </c>
      <c r="F4862" s="64">
        <f>ROUND(M4862*FATOR, 2)</f>
        <v/>
      </c>
      <c r="G4862" s="64">
        <f>TRUNC(TRUNC(E4862,8)*F4862,2)</f>
        <v/>
      </c>
      <c r="L4862" t="n">
        <v>0.011</v>
      </c>
      <c r="M4862" t="n">
        <v>59.07</v>
      </c>
      <c r="N4862">
        <f>(M4862-F4862)</f>
        <v/>
      </c>
    </row>
    <row r="4863" ht="15" customHeight="1">
      <c r="A4863" s="2" t="inlineStr"/>
      <c r="B4863" s="2" t="inlineStr"/>
      <c r="C4863" s="2" t="inlineStr"/>
      <c r="D4863" s="2" t="inlineStr"/>
      <c r="E4863" s="26" t="inlineStr">
        <is>
          <t>TOTAL Material:</t>
        </is>
      </c>
      <c r="F4863" s="56" t="n"/>
      <c r="G4863" s="65">
        <f>SUM(G4860:G4862)</f>
        <v/>
      </c>
    </row>
    <row r="4864" ht="15" customHeight="1">
      <c r="A4864" s="20" t="inlineStr">
        <is>
          <t>Mão de Obra com Encargos Complementares</t>
        </is>
      </c>
      <c r="B4864" s="56" t="n"/>
      <c r="C4864" s="21" t="inlineStr">
        <is>
          <t>FONTE</t>
        </is>
      </c>
      <c r="D4864" s="21" t="inlineStr">
        <is>
          <t>UNID</t>
        </is>
      </c>
      <c r="E4864" s="21" t="inlineStr">
        <is>
          <t>COEFICIENTE</t>
        </is>
      </c>
      <c r="F4864" s="21" t="inlineStr">
        <is>
          <t>PREÇO UNITÁRIO</t>
        </is>
      </c>
      <c r="G4864" s="21" t="inlineStr">
        <is>
          <t>TOTAL</t>
        </is>
      </c>
    </row>
    <row r="4865" ht="15" customHeight="1">
      <c r="A4865" s="22" t="inlineStr">
        <is>
          <t>88316</t>
        </is>
      </c>
      <c r="B4865" s="23" t="inlineStr">
        <is>
          <t>SERVENTE COM ENCARGOS COMPLEMENTARES</t>
        </is>
      </c>
      <c r="C4865" s="22" t="inlineStr">
        <is>
          <t>SINAPI</t>
        </is>
      </c>
      <c r="D4865" s="22" t="inlineStr">
        <is>
          <t>H</t>
        </is>
      </c>
      <c r="E4865" s="63">
        <f>L4865*FATOR</f>
        <v/>
      </c>
      <c r="F4865" s="64">
        <f>'COMPOSICOES AUXILIARES'!G3390</f>
        <v/>
      </c>
      <c r="G4865" s="64">
        <f>TRUNC(TRUNC(E4865,8)*F4865,2)</f>
        <v/>
      </c>
      <c r="L4865" t="n">
        <v>0.092</v>
      </c>
      <c r="M4865" t="n">
        <v>23.56</v>
      </c>
      <c r="N4865">
        <f>(M4865-F4865)</f>
        <v/>
      </c>
    </row>
    <row r="4866" ht="18" customHeight="1">
      <c r="A4866" s="2" t="inlineStr"/>
      <c r="B4866" s="2" t="inlineStr"/>
      <c r="C4866" s="2" t="inlineStr"/>
      <c r="D4866" s="2" t="inlineStr"/>
      <c r="E4866" s="26" t="inlineStr">
        <is>
          <t>TOTAL Mão de Obra com Encargos Complementares:</t>
        </is>
      </c>
      <c r="F4866" s="56" t="n"/>
      <c r="G4866" s="65">
        <f>SUM(G4865:G4865)</f>
        <v/>
      </c>
    </row>
    <row r="4867" ht="15" customHeight="1">
      <c r="A4867" s="2" t="inlineStr"/>
      <c r="B4867" s="2" t="inlineStr"/>
      <c r="C4867" s="2" t="inlineStr"/>
      <c r="D4867" s="2" t="inlineStr"/>
      <c r="E4867" s="28" t="inlineStr">
        <is>
          <t>VALOR:</t>
        </is>
      </c>
      <c r="F4867" s="56" t="n"/>
      <c r="G4867" s="66">
        <f>SUM(G4866,G4863)</f>
        <v/>
      </c>
    </row>
    <row r="4868" ht="15" customHeight="1">
      <c r="A4868" s="2" t="inlineStr"/>
      <c r="B4868" s="2" t="inlineStr"/>
      <c r="C4868" s="2" t="inlineStr"/>
      <c r="D4868" s="2" t="inlineStr"/>
      <c r="E4868" s="28" t="inlineStr">
        <is>
          <t>VALOR BDI (23.08%):</t>
        </is>
      </c>
      <c r="F4868" s="56" t="n"/>
      <c r="G4868" s="66">
        <f>ROUNDDOWN(G4867*BDI,2)</f>
        <v/>
      </c>
    </row>
    <row r="4869" ht="15" customHeight="1">
      <c r="A4869" s="2" t="inlineStr"/>
      <c r="B4869" s="2" t="inlineStr"/>
      <c r="C4869" s="2" t="inlineStr"/>
      <c r="D4869" s="2" t="inlineStr"/>
      <c r="E4869" s="28" t="inlineStr">
        <is>
          <t>VALOR COM BDI:</t>
        </is>
      </c>
      <c r="F4869" s="56" t="n"/>
      <c r="G4869" s="66">
        <f>G4868 + G4867</f>
        <v/>
      </c>
    </row>
    <row r="4870" ht="10" customHeight="1">
      <c r="A4870" s="2" t="inlineStr"/>
      <c r="B4870" s="2" t="inlineStr"/>
      <c r="C4870" s="2" t="inlineStr"/>
      <c r="D4870" s="2" t="inlineStr"/>
      <c r="E4870" s="18" t="inlineStr"/>
    </row>
    <row r="4871" ht="20" customHeight="1">
      <c r="A4871" s="19" t="inlineStr">
        <is>
          <t>17.2.1.2. ​99825​ LIMPEZA DE PORTA DE VIDRO COM CAIXILHO EM AÇO/ALUMÍNIO/PVC.AF_04/2019​ (M2)</t>
        </is>
      </c>
      <c r="B4871" s="55" t="n"/>
      <c r="C4871" s="55" t="n"/>
      <c r="D4871" s="55" t="n"/>
      <c r="E4871" s="55" t="n"/>
      <c r="F4871" s="55" t="n"/>
      <c r="G4871" s="56" t="n"/>
    </row>
    <row r="4872" ht="15" customHeight="1">
      <c r="A4872" s="20" t="inlineStr">
        <is>
          <t>Material</t>
        </is>
      </c>
      <c r="B4872" s="56" t="n"/>
      <c r="C4872" s="21" t="inlineStr">
        <is>
          <t>FONTE</t>
        </is>
      </c>
      <c r="D4872" s="21" t="inlineStr">
        <is>
          <t>UNID</t>
        </is>
      </c>
      <c r="E4872" s="21" t="inlineStr">
        <is>
          <t>COEFICIENTE</t>
        </is>
      </c>
      <c r="F4872" s="21" t="inlineStr">
        <is>
          <t>PREÇO UNITÁRIO</t>
        </is>
      </c>
      <c r="G4872" s="21" t="inlineStr">
        <is>
          <t>TOTAL</t>
        </is>
      </c>
    </row>
    <row r="4873" ht="15" customHeight="1">
      <c r="A4873" s="22" t="inlineStr">
        <is>
          <t>00044329</t>
        </is>
      </c>
      <c r="B4873" s="23" t="inlineStr">
        <is>
          <t>DETERGENTE NEUTRO USO GERAL, CONCENTRADO</t>
        </is>
      </c>
      <c r="C4873" s="22" t="inlineStr">
        <is>
          <t>SINAPI</t>
        </is>
      </c>
      <c r="D4873" s="22" t="inlineStr">
        <is>
          <t>L</t>
        </is>
      </c>
      <c r="E4873" s="63" t="n">
        <v>0.006</v>
      </c>
      <c r="F4873" s="64">
        <f>ROUND(M4873*FATOR, 2)</f>
        <v/>
      </c>
      <c r="G4873" s="64">
        <f>TRUNC(TRUNC(E4873,8)*F4873,2)</f>
        <v/>
      </c>
      <c r="L4873" t="n">
        <v>0.006</v>
      </c>
      <c r="M4873" t="n">
        <v>14.83</v>
      </c>
      <c r="N4873">
        <f>(M4873-F4873)</f>
        <v/>
      </c>
    </row>
    <row r="4874" ht="15" customHeight="1">
      <c r="A4874" s="22" t="inlineStr">
        <is>
          <t>00005318</t>
        </is>
      </c>
      <c r="B4874" s="23" t="inlineStr">
        <is>
          <t>DILUENTE AGUARRAS</t>
        </is>
      </c>
      <c r="C4874" s="22" t="inlineStr">
        <is>
          <t>SINAPI</t>
        </is>
      </c>
      <c r="D4874" s="22" t="inlineStr">
        <is>
          <t>L</t>
        </is>
      </c>
      <c r="E4874" s="63" t="n">
        <v>0.023</v>
      </c>
      <c r="F4874" s="64">
        <f>ROUND(M4874*FATOR, 2)</f>
        <v/>
      </c>
      <c r="G4874" s="64">
        <f>TRUNC(TRUNC(E4874,8)*F4874,2)</f>
        <v/>
      </c>
      <c r="L4874" t="n">
        <v>0.023</v>
      </c>
      <c r="M4874" t="n">
        <v>23.98</v>
      </c>
      <c r="N4874">
        <f>(M4874-F4874)</f>
        <v/>
      </c>
    </row>
    <row r="4875" ht="15" customHeight="1">
      <c r="A4875" s="22" t="inlineStr">
        <is>
          <t>00044331</t>
        </is>
      </c>
      <c r="B4875" s="23" t="inlineStr">
        <is>
          <t>LIMPA VIDROS COM PULVERIZADOR</t>
        </is>
      </c>
      <c r="C4875" s="22" t="inlineStr">
        <is>
          <t>SINAPI</t>
        </is>
      </c>
      <c r="D4875" s="22" t="inlineStr">
        <is>
          <t>L</t>
        </is>
      </c>
      <c r="E4875" s="63" t="n">
        <v>0.011</v>
      </c>
      <c r="F4875" s="64">
        <f>ROUND(M4875*FATOR, 2)</f>
        <v/>
      </c>
      <c r="G4875" s="64">
        <f>TRUNC(TRUNC(E4875,8)*F4875,2)</f>
        <v/>
      </c>
      <c r="L4875" t="n">
        <v>0.011</v>
      </c>
      <c r="M4875" t="n">
        <v>59.07</v>
      </c>
      <c r="N4875">
        <f>(M4875-F4875)</f>
        <v/>
      </c>
    </row>
    <row r="4876" ht="15" customHeight="1">
      <c r="A4876" s="2" t="inlineStr"/>
      <c r="B4876" s="2" t="inlineStr"/>
      <c r="C4876" s="2" t="inlineStr"/>
      <c r="D4876" s="2" t="inlineStr"/>
      <c r="E4876" s="26" t="inlineStr">
        <is>
          <t>TOTAL Material:</t>
        </is>
      </c>
      <c r="F4876" s="56" t="n"/>
      <c r="G4876" s="65">
        <f>SUM(G4873:G4875)</f>
        <v/>
      </c>
    </row>
    <row r="4877" ht="15" customHeight="1">
      <c r="A4877" s="20" t="inlineStr">
        <is>
          <t>Mão de Obra com Encargos Complementares</t>
        </is>
      </c>
      <c r="B4877" s="56" t="n"/>
      <c r="C4877" s="21" t="inlineStr">
        <is>
          <t>FONTE</t>
        </is>
      </c>
      <c r="D4877" s="21" t="inlineStr">
        <is>
          <t>UNID</t>
        </is>
      </c>
      <c r="E4877" s="21" t="inlineStr">
        <is>
          <t>COEFICIENTE</t>
        </is>
      </c>
      <c r="F4877" s="21" t="inlineStr">
        <is>
          <t>PREÇO UNITÁRIO</t>
        </is>
      </c>
      <c r="G4877" s="21" t="inlineStr">
        <is>
          <t>TOTAL</t>
        </is>
      </c>
    </row>
    <row r="4878" ht="15" customHeight="1">
      <c r="A4878" s="22" t="inlineStr">
        <is>
          <t>88316</t>
        </is>
      </c>
      <c r="B4878" s="23" t="inlineStr">
        <is>
          <t>SERVENTE COM ENCARGOS COMPLEMENTARES</t>
        </is>
      </c>
      <c r="C4878" s="22" t="inlineStr">
        <is>
          <t>SINAPI</t>
        </is>
      </c>
      <c r="D4878" s="22" t="inlineStr">
        <is>
          <t>H</t>
        </is>
      </c>
      <c r="E4878" s="63">
        <f>L4878*FATOR</f>
        <v/>
      </c>
      <c r="F4878" s="64">
        <f>'COMPOSICOES AUXILIARES'!G3390</f>
        <v/>
      </c>
      <c r="G4878" s="64">
        <f>TRUNC(TRUNC(E4878,8)*F4878,2)</f>
        <v/>
      </c>
      <c r="L4878" t="n">
        <v>0.116</v>
      </c>
      <c r="M4878" t="n">
        <v>23.56</v>
      </c>
      <c r="N4878">
        <f>(M4878-F4878)</f>
        <v/>
      </c>
    </row>
    <row r="4879" ht="18" customHeight="1">
      <c r="A4879" s="2" t="inlineStr"/>
      <c r="B4879" s="2" t="inlineStr"/>
      <c r="C4879" s="2" t="inlineStr"/>
      <c r="D4879" s="2" t="inlineStr"/>
      <c r="E4879" s="26" t="inlineStr">
        <is>
          <t>TOTAL Mão de Obra com Encargos Complementares:</t>
        </is>
      </c>
      <c r="F4879" s="56" t="n"/>
      <c r="G4879" s="65">
        <f>SUM(G4878:G4878)</f>
        <v/>
      </c>
    </row>
    <row r="4880" ht="15" customHeight="1">
      <c r="A4880" s="2" t="inlineStr"/>
      <c r="B4880" s="2" t="inlineStr"/>
      <c r="C4880" s="2" t="inlineStr"/>
      <c r="D4880" s="2" t="inlineStr"/>
      <c r="E4880" s="28" t="inlineStr">
        <is>
          <t>VALOR:</t>
        </is>
      </c>
      <c r="F4880" s="56" t="n"/>
      <c r="G4880" s="66">
        <f>SUM(G4876,G4879)</f>
        <v/>
      </c>
    </row>
    <row r="4881" ht="15" customHeight="1">
      <c r="A4881" s="2" t="inlineStr"/>
      <c r="B4881" s="2" t="inlineStr"/>
      <c r="C4881" s="2" t="inlineStr"/>
      <c r="D4881" s="2" t="inlineStr"/>
      <c r="E4881" s="28" t="inlineStr">
        <is>
          <t>VALOR BDI (23.08%):</t>
        </is>
      </c>
      <c r="F4881" s="56" t="n"/>
      <c r="G4881" s="66">
        <f>ROUNDDOWN(G4880*BDI,2)</f>
        <v/>
      </c>
    </row>
    <row r="4882" ht="15" customHeight="1">
      <c r="A4882" s="2" t="inlineStr"/>
      <c r="B4882" s="2" t="inlineStr"/>
      <c r="C4882" s="2" t="inlineStr"/>
      <c r="D4882" s="2" t="inlineStr"/>
      <c r="E4882" s="28" t="inlineStr">
        <is>
          <t>VALOR COM BDI:</t>
        </is>
      </c>
      <c r="F4882" s="56" t="n"/>
      <c r="G4882" s="66">
        <f>G4881 + G4880</f>
        <v/>
      </c>
    </row>
    <row r="4883" ht="10" customHeight="1">
      <c r="A4883" s="2" t="inlineStr"/>
      <c r="B4883" s="2" t="inlineStr"/>
      <c r="C4883" s="2" t="inlineStr"/>
      <c r="D4883" s="2" t="inlineStr"/>
      <c r="E4883" s="18" t="inlineStr"/>
    </row>
    <row r="4884" ht="20" customHeight="1">
      <c r="A4884" s="19" t="inlineStr">
        <is>
          <t>17.2.1.3. ​99822​ LIMPEZA DE PORTA DE MADEIRA. AF_04/2019​ (M2)</t>
        </is>
      </c>
      <c r="B4884" s="55" t="n"/>
      <c r="C4884" s="55" t="n"/>
      <c r="D4884" s="55" t="n"/>
      <c r="E4884" s="55" t="n"/>
      <c r="F4884" s="55" t="n"/>
      <c r="G4884" s="56" t="n"/>
    </row>
    <row r="4885" ht="15" customHeight="1">
      <c r="A4885" s="20" t="inlineStr">
        <is>
          <t>Mão de Obra com Encargos Complementares</t>
        </is>
      </c>
      <c r="B4885" s="56" t="n"/>
      <c r="C4885" s="21" t="inlineStr">
        <is>
          <t>FONTE</t>
        </is>
      </c>
      <c r="D4885" s="21" t="inlineStr">
        <is>
          <t>UNID</t>
        </is>
      </c>
      <c r="E4885" s="21" t="inlineStr">
        <is>
          <t>COEFICIENTE</t>
        </is>
      </c>
      <c r="F4885" s="21" t="inlineStr">
        <is>
          <t>PREÇO UNITÁRIO</t>
        </is>
      </c>
      <c r="G4885" s="21" t="inlineStr">
        <is>
          <t>TOTAL</t>
        </is>
      </c>
    </row>
    <row r="4886" ht="15" customHeight="1">
      <c r="A4886" s="22" t="inlineStr">
        <is>
          <t>88316</t>
        </is>
      </c>
      <c r="B4886" s="23" t="inlineStr">
        <is>
          <t>SERVENTE COM ENCARGOS COMPLEMENTARES</t>
        </is>
      </c>
      <c r="C4886" s="22" t="inlineStr">
        <is>
          <t>SINAPI</t>
        </is>
      </c>
      <c r="D4886" s="22" t="inlineStr">
        <is>
          <t>H</t>
        </is>
      </c>
      <c r="E4886" s="63">
        <f>L4886*FATOR</f>
        <v/>
      </c>
      <c r="F4886" s="64">
        <f>'COMPOSICOES AUXILIARES'!G3390</f>
        <v/>
      </c>
      <c r="G4886" s="64">
        <f>TRUNC(TRUNC(E4886,8)*F4886,2)</f>
        <v/>
      </c>
      <c r="L4886" t="n">
        <v>0.047</v>
      </c>
      <c r="M4886" t="n">
        <v>23.56</v>
      </c>
      <c r="N4886">
        <f>(M4886-F4886)</f>
        <v/>
      </c>
    </row>
    <row r="4887" ht="18" customHeight="1">
      <c r="A4887" s="2" t="inlineStr"/>
      <c r="B4887" s="2" t="inlineStr"/>
      <c r="C4887" s="2" t="inlineStr"/>
      <c r="D4887" s="2" t="inlineStr"/>
      <c r="E4887" s="26" t="inlineStr">
        <is>
          <t>TOTAL Mão de Obra com Encargos Complementares:</t>
        </is>
      </c>
      <c r="F4887" s="56" t="n"/>
      <c r="G4887" s="65">
        <f>SUM(G4886:G4886)</f>
        <v/>
      </c>
    </row>
    <row r="4888" ht="15" customHeight="1">
      <c r="A4888" s="2" t="inlineStr"/>
      <c r="B4888" s="2" t="inlineStr"/>
      <c r="C4888" s="2" t="inlineStr"/>
      <c r="D4888" s="2" t="inlineStr"/>
      <c r="E4888" s="28" t="inlineStr">
        <is>
          <t>VALOR:</t>
        </is>
      </c>
      <c r="F4888" s="56" t="n"/>
      <c r="G4888" s="66">
        <f>SUM(G4887)</f>
        <v/>
      </c>
    </row>
    <row r="4889" ht="15" customHeight="1">
      <c r="A4889" s="2" t="inlineStr"/>
      <c r="B4889" s="2" t="inlineStr"/>
      <c r="C4889" s="2" t="inlineStr"/>
      <c r="D4889" s="2" t="inlineStr"/>
      <c r="E4889" s="28" t="inlineStr">
        <is>
          <t>VALOR BDI (23.08%):</t>
        </is>
      </c>
      <c r="F4889" s="56" t="n"/>
      <c r="G4889" s="66">
        <f>ROUNDDOWN(G4888*BDI,2)</f>
        <v/>
      </c>
    </row>
    <row r="4890" ht="15" customHeight="1">
      <c r="A4890" s="2" t="inlineStr"/>
      <c r="B4890" s="2" t="inlineStr"/>
      <c r="C4890" s="2" t="inlineStr"/>
      <c r="D4890" s="2" t="inlineStr"/>
      <c r="E4890" s="28" t="inlineStr">
        <is>
          <t>VALOR COM BDI:</t>
        </is>
      </c>
      <c r="F4890" s="56" t="n"/>
      <c r="G4890" s="66">
        <f>G4889 + G4888</f>
        <v/>
      </c>
    </row>
    <row r="4891" ht="10" customHeight="1">
      <c r="A4891" s="2" t="inlineStr"/>
      <c r="B4891" s="2" t="inlineStr"/>
      <c r="C4891" s="2" t="inlineStr"/>
      <c r="D4891" s="2" t="inlineStr"/>
      <c r="E4891" s="18" t="inlineStr"/>
    </row>
    <row r="4892" ht="20" customHeight="1">
      <c r="A4892" s="19" t="inlineStr">
        <is>
          <t>17.2.1.4. ​99824​ LIMPEZA DE PORTA EM AÇO/ALUMÍNIO. AF_04/2019​ (M2)</t>
        </is>
      </c>
      <c r="B4892" s="55" t="n"/>
      <c r="C4892" s="55" t="n"/>
      <c r="D4892" s="55" t="n"/>
      <c r="E4892" s="55" t="n"/>
      <c r="F4892" s="55" t="n"/>
      <c r="G4892" s="56" t="n"/>
    </row>
    <row r="4893" ht="15" customHeight="1">
      <c r="A4893" s="20" t="inlineStr">
        <is>
          <t>Material</t>
        </is>
      </c>
      <c r="B4893" s="56" t="n"/>
      <c r="C4893" s="21" t="inlineStr">
        <is>
          <t>FONTE</t>
        </is>
      </c>
      <c r="D4893" s="21" t="inlineStr">
        <is>
          <t>UNID</t>
        </is>
      </c>
      <c r="E4893" s="21" t="inlineStr">
        <is>
          <t>COEFICIENTE</t>
        </is>
      </c>
      <c r="F4893" s="21" t="inlineStr">
        <is>
          <t>PREÇO UNITÁRIO</t>
        </is>
      </c>
      <c r="G4893" s="21" t="inlineStr">
        <is>
          <t>TOTAL</t>
        </is>
      </c>
    </row>
    <row r="4894" ht="15" customHeight="1">
      <c r="A4894" s="22" t="inlineStr">
        <is>
          <t>00044329</t>
        </is>
      </c>
      <c r="B4894" s="23" t="inlineStr">
        <is>
          <t>DETERGENTE NEUTRO USO GERAL, CONCENTRADO</t>
        </is>
      </c>
      <c r="C4894" s="22" t="inlineStr">
        <is>
          <t>SINAPI</t>
        </is>
      </c>
      <c r="D4894" s="22" t="inlineStr">
        <is>
          <t>L</t>
        </is>
      </c>
      <c r="E4894" s="63" t="n">
        <v>0.006</v>
      </c>
      <c r="F4894" s="64">
        <f>ROUND(M4894*FATOR, 2)</f>
        <v/>
      </c>
      <c r="G4894" s="64">
        <f>TRUNC(TRUNC(E4894,8)*F4894,2)</f>
        <v/>
      </c>
      <c r="L4894" t="n">
        <v>0.006</v>
      </c>
      <c r="M4894" t="n">
        <v>14.83</v>
      </c>
      <c r="N4894">
        <f>(M4894-F4894)</f>
        <v/>
      </c>
    </row>
    <row r="4895" ht="15" customHeight="1">
      <c r="A4895" s="22" t="inlineStr">
        <is>
          <t>00005318</t>
        </is>
      </c>
      <c r="B4895" s="23" t="inlineStr">
        <is>
          <t>DILUENTE AGUARRAS</t>
        </is>
      </c>
      <c r="C4895" s="22" t="inlineStr">
        <is>
          <t>SINAPI</t>
        </is>
      </c>
      <c r="D4895" s="22" t="inlineStr">
        <is>
          <t>L</t>
        </is>
      </c>
      <c r="E4895" s="63" t="n">
        <v>0.023</v>
      </c>
      <c r="F4895" s="64">
        <f>ROUND(M4895*FATOR, 2)</f>
        <v/>
      </c>
      <c r="G4895" s="64">
        <f>TRUNC(TRUNC(E4895,8)*F4895,2)</f>
        <v/>
      </c>
      <c r="L4895" t="n">
        <v>0.023</v>
      </c>
      <c r="M4895" t="n">
        <v>23.98</v>
      </c>
      <c r="N4895">
        <f>(M4895-F4895)</f>
        <v/>
      </c>
    </row>
    <row r="4896" ht="15" customHeight="1">
      <c r="A4896" s="2" t="inlineStr"/>
      <c r="B4896" s="2" t="inlineStr"/>
      <c r="C4896" s="2" t="inlineStr"/>
      <c r="D4896" s="2" t="inlineStr"/>
      <c r="E4896" s="26" t="inlineStr">
        <is>
          <t>TOTAL Material:</t>
        </is>
      </c>
      <c r="F4896" s="56" t="n"/>
      <c r="G4896" s="65">
        <f>SUM(G4894:G4895)</f>
        <v/>
      </c>
    </row>
    <row r="4897" ht="15" customHeight="1">
      <c r="A4897" s="20" t="inlineStr">
        <is>
          <t>Mão de Obra com Encargos Complementares</t>
        </is>
      </c>
      <c r="B4897" s="56" t="n"/>
      <c r="C4897" s="21" t="inlineStr">
        <is>
          <t>FONTE</t>
        </is>
      </c>
      <c r="D4897" s="21" t="inlineStr">
        <is>
          <t>UNID</t>
        </is>
      </c>
      <c r="E4897" s="21" t="inlineStr">
        <is>
          <t>COEFICIENTE</t>
        </is>
      </c>
      <c r="F4897" s="21" t="inlineStr">
        <is>
          <t>PREÇO UNITÁRIO</t>
        </is>
      </c>
      <c r="G4897" s="21" t="inlineStr">
        <is>
          <t>TOTAL</t>
        </is>
      </c>
    </row>
    <row r="4898" ht="15" customHeight="1">
      <c r="A4898" s="22" t="inlineStr">
        <is>
          <t>88316</t>
        </is>
      </c>
      <c r="B4898" s="23" t="inlineStr">
        <is>
          <t>SERVENTE COM ENCARGOS COMPLEMENTARES</t>
        </is>
      </c>
      <c r="C4898" s="22" t="inlineStr">
        <is>
          <t>SINAPI</t>
        </is>
      </c>
      <c r="D4898" s="22" t="inlineStr">
        <is>
          <t>H</t>
        </is>
      </c>
      <c r="E4898" s="63">
        <f>L4898*FATOR</f>
        <v/>
      </c>
      <c r="F4898" s="64">
        <f>'COMPOSICOES AUXILIARES'!G3390</f>
        <v/>
      </c>
      <c r="G4898" s="64">
        <f>TRUNC(TRUNC(E4898,8)*F4898,2)</f>
        <v/>
      </c>
      <c r="L4898" t="n">
        <v>0.093</v>
      </c>
      <c r="M4898" t="n">
        <v>23.56</v>
      </c>
      <c r="N4898">
        <f>(M4898-F4898)</f>
        <v/>
      </c>
    </row>
    <row r="4899" ht="18" customHeight="1">
      <c r="A4899" s="2" t="inlineStr"/>
      <c r="B4899" s="2" t="inlineStr"/>
      <c r="C4899" s="2" t="inlineStr"/>
      <c r="D4899" s="2" t="inlineStr"/>
      <c r="E4899" s="26" t="inlineStr">
        <is>
          <t>TOTAL Mão de Obra com Encargos Complementares:</t>
        </is>
      </c>
      <c r="F4899" s="56" t="n"/>
      <c r="G4899" s="65">
        <f>SUM(G4898:G4898)</f>
        <v/>
      </c>
    </row>
    <row r="4900" ht="15" customHeight="1">
      <c r="A4900" s="2" t="inlineStr"/>
      <c r="B4900" s="2" t="inlineStr"/>
      <c r="C4900" s="2" t="inlineStr"/>
      <c r="D4900" s="2" t="inlineStr"/>
      <c r="E4900" s="28" t="inlineStr">
        <is>
          <t>VALOR:</t>
        </is>
      </c>
      <c r="F4900" s="56" t="n"/>
      <c r="G4900" s="66">
        <f>SUM(G4896,G4899)</f>
        <v/>
      </c>
    </row>
    <row r="4901" ht="15" customHeight="1">
      <c r="A4901" s="2" t="inlineStr"/>
      <c r="B4901" s="2" t="inlineStr"/>
      <c r="C4901" s="2" t="inlineStr"/>
      <c r="D4901" s="2" t="inlineStr"/>
      <c r="E4901" s="28" t="inlineStr">
        <is>
          <t>VALOR BDI (23.08%):</t>
        </is>
      </c>
      <c r="F4901" s="56" t="n"/>
      <c r="G4901" s="66">
        <f>ROUNDDOWN(G4900*BDI,2)</f>
        <v/>
      </c>
    </row>
    <row r="4902" ht="15" customHeight="1">
      <c r="A4902" s="2" t="inlineStr"/>
      <c r="B4902" s="2" t="inlineStr"/>
      <c r="C4902" s="2" t="inlineStr"/>
      <c r="D4902" s="2" t="inlineStr"/>
      <c r="E4902" s="28" t="inlineStr">
        <is>
          <t>VALOR COM BDI:</t>
        </is>
      </c>
      <c r="F4902" s="56" t="n"/>
      <c r="G4902" s="66">
        <f>G4901 + G4900</f>
        <v/>
      </c>
    </row>
    <row r="4903" ht="10" customHeight="1">
      <c r="A4903" s="2" t="inlineStr"/>
      <c r="B4903" s="2" t="inlineStr"/>
      <c r="C4903" s="2" t="inlineStr"/>
      <c r="D4903" s="2" t="inlineStr"/>
      <c r="E4903" s="18" t="inlineStr"/>
    </row>
    <row r="4904" ht="20" customHeight="1">
      <c r="A4904" s="19" t="inlineStr">
        <is>
          <t>17.2.1.5. ​99807​ LIMPEZA DE REVESTIMENTO CERÂMICO EM PAREDE UTILIZANDO DETERGENTE NEUTRO E ESCOVAÇÃO MANUAL. AF_04/2019​ (M2)</t>
        </is>
      </c>
      <c r="B4904" s="55" t="n"/>
      <c r="C4904" s="55" t="n"/>
      <c r="D4904" s="55" t="n"/>
      <c r="E4904" s="55" t="n"/>
      <c r="F4904" s="55" t="n"/>
      <c r="G4904" s="56" t="n"/>
    </row>
    <row r="4905" ht="15" customHeight="1">
      <c r="A4905" s="20" t="inlineStr">
        <is>
          <t>Material</t>
        </is>
      </c>
      <c r="B4905" s="56" t="n"/>
      <c r="C4905" s="21" t="inlineStr">
        <is>
          <t>FONTE</t>
        </is>
      </c>
      <c r="D4905" s="21" t="inlineStr">
        <is>
          <t>UNID</t>
        </is>
      </c>
      <c r="E4905" s="21" t="inlineStr">
        <is>
          <t>COEFICIENTE</t>
        </is>
      </c>
      <c r="F4905" s="21" t="inlineStr">
        <is>
          <t>PREÇO UNITÁRIO</t>
        </is>
      </c>
      <c r="G4905" s="21" t="inlineStr">
        <is>
          <t>TOTAL</t>
        </is>
      </c>
    </row>
    <row r="4906" ht="15" customHeight="1">
      <c r="A4906" s="22" t="inlineStr">
        <is>
          <t>00044329</t>
        </is>
      </c>
      <c r="B4906" s="23" t="inlineStr">
        <is>
          <t>DETERGENTE NEUTRO USO GERAL, CONCENTRADO</t>
        </is>
      </c>
      <c r="C4906" s="22" t="inlineStr">
        <is>
          <t>SINAPI</t>
        </is>
      </c>
      <c r="D4906" s="22" t="inlineStr">
        <is>
          <t>L</t>
        </is>
      </c>
      <c r="E4906" s="63" t="n">
        <v>0.006</v>
      </c>
      <c r="F4906" s="64">
        <f>ROUND(M4906*FATOR, 2)</f>
        <v/>
      </c>
      <c r="G4906" s="64">
        <f>TRUNC(TRUNC(E4906,8)*F4906,2)</f>
        <v/>
      </c>
      <c r="L4906" t="n">
        <v>0.006</v>
      </c>
      <c r="M4906" t="n">
        <v>14.83</v>
      </c>
      <c r="N4906">
        <f>(M4906-F4906)</f>
        <v/>
      </c>
    </row>
    <row r="4907" ht="15" customHeight="1">
      <c r="A4907" s="2" t="inlineStr"/>
      <c r="B4907" s="2" t="inlineStr"/>
      <c r="C4907" s="2" t="inlineStr"/>
      <c r="D4907" s="2" t="inlineStr"/>
      <c r="E4907" s="26" t="inlineStr">
        <is>
          <t>TOTAL Material:</t>
        </is>
      </c>
      <c r="F4907" s="56" t="n"/>
      <c r="G4907" s="65">
        <f>SUM(G4906:G4906)</f>
        <v/>
      </c>
    </row>
    <row r="4908" ht="15" customHeight="1">
      <c r="A4908" s="20" t="inlineStr">
        <is>
          <t>Mão de Obra com Encargos Complementares</t>
        </is>
      </c>
      <c r="B4908" s="56" t="n"/>
      <c r="C4908" s="21" t="inlineStr">
        <is>
          <t>FONTE</t>
        </is>
      </c>
      <c r="D4908" s="21" t="inlineStr">
        <is>
          <t>UNID</t>
        </is>
      </c>
      <c r="E4908" s="21" t="inlineStr">
        <is>
          <t>COEFICIENTE</t>
        </is>
      </c>
      <c r="F4908" s="21" t="inlineStr">
        <is>
          <t>PREÇO UNITÁRIO</t>
        </is>
      </c>
      <c r="G4908" s="21" t="inlineStr">
        <is>
          <t>TOTAL</t>
        </is>
      </c>
    </row>
    <row r="4909" ht="15" customHeight="1">
      <c r="A4909" s="22" t="inlineStr">
        <is>
          <t>88316</t>
        </is>
      </c>
      <c r="B4909" s="23" t="inlineStr">
        <is>
          <t>SERVENTE COM ENCARGOS COMPLEMENTARES</t>
        </is>
      </c>
      <c r="C4909" s="22" t="inlineStr">
        <is>
          <t>SINAPI</t>
        </is>
      </c>
      <c r="D4909" s="22" t="inlineStr">
        <is>
          <t>H</t>
        </is>
      </c>
      <c r="E4909" s="63">
        <f>L4909*FATOR</f>
        <v/>
      </c>
      <c r="F4909" s="64">
        <f>'COMPOSICOES AUXILIARES'!G3390</f>
        <v/>
      </c>
      <c r="G4909" s="64">
        <f>TRUNC(TRUNC(E4909,8)*F4909,2)</f>
        <v/>
      </c>
      <c r="L4909" t="n">
        <v>0.073</v>
      </c>
      <c r="M4909" t="n">
        <v>23.56</v>
      </c>
      <c r="N4909">
        <f>(M4909-F4909)</f>
        <v/>
      </c>
    </row>
    <row r="4910" ht="18" customHeight="1">
      <c r="A4910" s="2" t="inlineStr"/>
      <c r="B4910" s="2" t="inlineStr"/>
      <c r="C4910" s="2" t="inlineStr"/>
      <c r="D4910" s="2" t="inlineStr"/>
      <c r="E4910" s="26" t="inlineStr">
        <is>
          <t>TOTAL Mão de Obra com Encargos Complementares:</t>
        </is>
      </c>
      <c r="F4910" s="56" t="n"/>
      <c r="G4910" s="65">
        <f>SUM(G4909:G4909)</f>
        <v/>
      </c>
    </row>
    <row r="4911" ht="15" customHeight="1">
      <c r="A4911" s="2" t="inlineStr"/>
      <c r="B4911" s="2" t="inlineStr"/>
      <c r="C4911" s="2" t="inlineStr"/>
      <c r="D4911" s="2" t="inlineStr"/>
      <c r="E4911" s="28" t="inlineStr">
        <is>
          <t>VALOR:</t>
        </is>
      </c>
      <c r="F4911" s="56" t="n"/>
      <c r="G4911" s="66">
        <f>SUM(G4907,G4910)</f>
        <v/>
      </c>
    </row>
    <row r="4912" ht="15" customHeight="1">
      <c r="A4912" s="2" t="inlineStr"/>
      <c r="B4912" s="2" t="inlineStr"/>
      <c r="C4912" s="2" t="inlineStr"/>
      <c r="D4912" s="2" t="inlineStr"/>
      <c r="E4912" s="28" t="inlineStr">
        <is>
          <t>VALOR BDI (23.08%):</t>
        </is>
      </c>
      <c r="F4912" s="56" t="n"/>
      <c r="G4912" s="66">
        <f>ROUNDDOWN(G4911*BDI,2)</f>
        <v/>
      </c>
    </row>
    <row r="4913" ht="15" customHeight="1">
      <c r="A4913" s="2" t="inlineStr"/>
      <c r="B4913" s="2" t="inlineStr"/>
      <c r="C4913" s="2" t="inlineStr"/>
      <c r="D4913" s="2" t="inlineStr"/>
      <c r="E4913" s="28" t="inlineStr">
        <is>
          <t>VALOR COM BDI:</t>
        </is>
      </c>
      <c r="F4913" s="56" t="n"/>
      <c r="G4913" s="66">
        <f>G4912 + G4911</f>
        <v/>
      </c>
    </row>
    <row r="4914" ht="10" customHeight="1">
      <c r="A4914" s="2" t="inlineStr"/>
      <c r="B4914" s="2" t="inlineStr"/>
      <c r="C4914" s="2" t="inlineStr"/>
      <c r="D4914" s="2" t="inlineStr"/>
      <c r="E4914" s="18" t="inlineStr"/>
    </row>
    <row r="4915" ht="20" customHeight="1">
      <c r="A4915" s="19" t="inlineStr">
        <is>
          <t>17.2.1.6. ​99818​ LIMPEZA DE BACIA SANITÁRIA, BIDÊ OU MICTÓRIO EM LOUÇA, INCLUSIVE METAIS CORRESPONDENTES. AF_04/2019​ (UN)</t>
        </is>
      </c>
      <c r="B4915" s="55" t="n"/>
      <c r="C4915" s="55" t="n"/>
      <c r="D4915" s="55" t="n"/>
      <c r="E4915" s="55" t="n"/>
      <c r="F4915" s="55" t="n"/>
      <c r="G4915" s="56" t="n"/>
    </row>
    <row r="4916" ht="15" customHeight="1">
      <c r="A4916" s="20" t="inlineStr">
        <is>
          <t>Material</t>
        </is>
      </c>
      <c r="B4916" s="56" t="n"/>
      <c r="C4916" s="21" t="inlineStr">
        <is>
          <t>FONTE</t>
        </is>
      </c>
      <c r="D4916" s="21" t="inlineStr">
        <is>
          <t>UNID</t>
        </is>
      </c>
      <c r="E4916" s="21" t="inlineStr">
        <is>
          <t>COEFICIENTE</t>
        </is>
      </c>
      <c r="F4916" s="21" t="inlineStr">
        <is>
          <t>PREÇO UNITÁRIO</t>
        </is>
      </c>
      <c r="G4916" s="21" t="inlineStr">
        <is>
          <t>TOTAL</t>
        </is>
      </c>
    </row>
    <row r="4917" ht="15" customHeight="1">
      <c r="A4917" s="22" t="inlineStr">
        <is>
          <t>00044330</t>
        </is>
      </c>
      <c r="B4917" s="23" t="inlineStr">
        <is>
          <t>DESINFETANTE PRONTO USO</t>
        </is>
      </c>
      <c r="C4917" s="22" t="inlineStr">
        <is>
          <t>SINAPI</t>
        </is>
      </c>
      <c r="D4917" s="22" t="inlineStr">
        <is>
          <t>L</t>
        </is>
      </c>
      <c r="E4917" s="63" t="n">
        <v>0.167</v>
      </c>
      <c r="F4917" s="64">
        <f>ROUND(M4917*FATOR, 2)</f>
        <v/>
      </c>
      <c r="G4917" s="64">
        <f>TRUNC(TRUNC(E4917,8)*F4917,2)</f>
        <v/>
      </c>
      <c r="L4917" t="n">
        <v>0.167</v>
      </c>
      <c r="M4917" t="n">
        <v>11.32</v>
      </c>
      <c r="N4917">
        <f>(M4917-F4917)</f>
        <v/>
      </c>
    </row>
    <row r="4918" ht="15" customHeight="1">
      <c r="A4918" s="22" t="inlineStr">
        <is>
          <t>00044329</t>
        </is>
      </c>
      <c r="B4918" s="23" t="inlineStr">
        <is>
          <t>DETERGENTE NEUTRO USO GERAL, CONCENTRADO</t>
        </is>
      </c>
      <c r="C4918" s="22" t="inlineStr">
        <is>
          <t>SINAPI</t>
        </is>
      </c>
      <c r="D4918" s="22" t="inlineStr">
        <is>
          <t>L</t>
        </is>
      </c>
      <c r="E4918" s="63" t="n">
        <v>0.1</v>
      </c>
      <c r="F4918" s="64">
        <f>ROUND(M4918*FATOR, 2)</f>
        <v/>
      </c>
      <c r="G4918" s="64">
        <f>TRUNC(TRUNC(E4918,8)*F4918,2)</f>
        <v/>
      </c>
      <c r="L4918" t="n">
        <v>0.1</v>
      </c>
      <c r="M4918" t="n">
        <v>14.83</v>
      </c>
      <c r="N4918">
        <f>(M4918-F4918)</f>
        <v/>
      </c>
    </row>
    <row r="4919" ht="15" customHeight="1">
      <c r="A4919" s="2" t="inlineStr"/>
      <c r="B4919" s="2" t="inlineStr"/>
      <c r="C4919" s="2" t="inlineStr"/>
      <c r="D4919" s="2" t="inlineStr"/>
      <c r="E4919" s="26" t="inlineStr">
        <is>
          <t>TOTAL Material:</t>
        </is>
      </c>
      <c r="F4919" s="56" t="n"/>
      <c r="G4919" s="65">
        <f>SUM(G4917:G4918)</f>
        <v/>
      </c>
    </row>
    <row r="4920" ht="15" customHeight="1">
      <c r="A4920" s="20" t="inlineStr">
        <is>
          <t>Mão de Obra com Encargos Complementares</t>
        </is>
      </c>
      <c r="B4920" s="56" t="n"/>
      <c r="C4920" s="21" t="inlineStr">
        <is>
          <t>FONTE</t>
        </is>
      </c>
      <c r="D4920" s="21" t="inlineStr">
        <is>
          <t>UNID</t>
        </is>
      </c>
      <c r="E4920" s="21" t="inlineStr">
        <is>
          <t>COEFICIENTE</t>
        </is>
      </c>
      <c r="F4920" s="21" t="inlineStr">
        <is>
          <t>PREÇO UNITÁRIO</t>
        </is>
      </c>
      <c r="G4920" s="21" t="inlineStr">
        <is>
          <t>TOTAL</t>
        </is>
      </c>
    </row>
    <row r="4921" ht="15" customHeight="1">
      <c r="A4921" s="22" t="inlineStr">
        <is>
          <t>88316</t>
        </is>
      </c>
      <c r="B4921" s="23" t="inlineStr">
        <is>
          <t>SERVENTE COM ENCARGOS COMPLEMENTARES</t>
        </is>
      </c>
      <c r="C4921" s="22" t="inlineStr">
        <is>
          <t>SINAPI</t>
        </is>
      </c>
      <c r="D4921" s="22" t="inlineStr">
        <is>
          <t>H</t>
        </is>
      </c>
      <c r="E4921" s="63">
        <f>L4921*FATOR</f>
        <v/>
      </c>
      <c r="F4921" s="64">
        <f>'COMPOSICOES AUXILIARES'!G3390</f>
        <v/>
      </c>
      <c r="G4921" s="64">
        <f>TRUNC(TRUNC(E4921,8)*F4921,2)</f>
        <v/>
      </c>
      <c r="L4921" t="n">
        <v>0.124</v>
      </c>
      <c r="M4921" t="n">
        <v>23.56</v>
      </c>
      <c r="N4921">
        <f>(M4921-F4921)</f>
        <v/>
      </c>
    </row>
    <row r="4922" ht="18" customHeight="1">
      <c r="A4922" s="2" t="inlineStr"/>
      <c r="B4922" s="2" t="inlineStr"/>
      <c r="C4922" s="2" t="inlineStr"/>
      <c r="D4922" s="2" t="inlineStr"/>
      <c r="E4922" s="26" t="inlineStr">
        <is>
          <t>TOTAL Mão de Obra com Encargos Complementares:</t>
        </is>
      </c>
      <c r="F4922" s="56" t="n"/>
      <c r="G4922" s="65">
        <f>SUM(G4921:G4921)</f>
        <v/>
      </c>
    </row>
    <row r="4923" ht="15" customHeight="1">
      <c r="A4923" s="2" t="inlineStr"/>
      <c r="B4923" s="2" t="inlineStr"/>
      <c r="C4923" s="2" t="inlineStr"/>
      <c r="D4923" s="2" t="inlineStr"/>
      <c r="E4923" s="28" t="inlineStr">
        <is>
          <t>VALOR:</t>
        </is>
      </c>
      <c r="F4923" s="56" t="n"/>
      <c r="G4923" s="66">
        <f>SUM(G4922,G4919)</f>
        <v/>
      </c>
    </row>
    <row r="4924" ht="15" customHeight="1">
      <c r="A4924" s="2" t="inlineStr"/>
      <c r="B4924" s="2" t="inlineStr"/>
      <c r="C4924" s="2" t="inlineStr"/>
      <c r="D4924" s="2" t="inlineStr"/>
      <c r="E4924" s="28" t="inlineStr">
        <is>
          <t>VALOR BDI (23.08%):</t>
        </is>
      </c>
      <c r="F4924" s="56" t="n"/>
      <c r="G4924" s="66">
        <f>ROUNDDOWN(G4923*BDI,2)</f>
        <v/>
      </c>
    </row>
    <row r="4925" ht="15" customHeight="1">
      <c r="A4925" s="2" t="inlineStr"/>
      <c r="B4925" s="2" t="inlineStr"/>
      <c r="C4925" s="2" t="inlineStr"/>
      <c r="D4925" s="2" t="inlineStr"/>
      <c r="E4925" s="28" t="inlineStr">
        <is>
          <t>VALOR COM BDI:</t>
        </is>
      </c>
      <c r="F4925" s="56" t="n"/>
      <c r="G4925" s="66">
        <f>G4924 + G4923</f>
        <v/>
      </c>
    </row>
    <row r="4926" ht="10" customHeight="1">
      <c r="A4926" s="2" t="inlineStr"/>
      <c r="B4926" s="2" t="inlineStr"/>
      <c r="C4926" s="2" t="inlineStr"/>
      <c r="D4926" s="2" t="inlineStr"/>
      <c r="E4926" s="18" t="inlineStr"/>
    </row>
    <row r="4927" ht="20" customHeight="1">
      <c r="A4927" s="19" t="inlineStr">
        <is>
          <t>17.2.1.7. ​99819​ LIMPEZA DE BANCADA DE PEDRA (MÁRMORE OU GRANITO). AF_04/2019​ (M2)</t>
        </is>
      </c>
      <c r="B4927" s="55" t="n"/>
      <c r="C4927" s="55" t="n"/>
      <c r="D4927" s="55" t="n"/>
      <c r="E4927" s="55" t="n"/>
      <c r="F4927" s="55" t="n"/>
      <c r="G4927" s="56" t="n"/>
    </row>
    <row r="4928" ht="15" customHeight="1">
      <c r="A4928" s="20" t="inlineStr">
        <is>
          <t>Material</t>
        </is>
      </c>
      <c r="B4928" s="56" t="n"/>
      <c r="C4928" s="21" t="inlineStr">
        <is>
          <t>FONTE</t>
        </is>
      </c>
      <c r="D4928" s="21" t="inlineStr">
        <is>
          <t>UNID</t>
        </is>
      </c>
      <c r="E4928" s="21" t="inlineStr">
        <is>
          <t>COEFICIENTE</t>
        </is>
      </c>
      <c r="F4928" s="21" t="inlineStr">
        <is>
          <t>PREÇO UNITÁRIO</t>
        </is>
      </c>
      <c r="G4928" s="21" t="inlineStr">
        <is>
          <t>TOTAL</t>
        </is>
      </c>
    </row>
    <row r="4929" ht="15" customHeight="1">
      <c r="A4929" s="22" t="inlineStr">
        <is>
          <t>00044330</t>
        </is>
      </c>
      <c r="B4929" s="23" t="inlineStr">
        <is>
          <t>DESINFETANTE PRONTO USO</t>
        </is>
      </c>
      <c r="C4929" s="22" t="inlineStr">
        <is>
          <t>SINAPI</t>
        </is>
      </c>
      <c r="D4929" s="22" t="inlineStr">
        <is>
          <t>L</t>
        </is>
      </c>
      <c r="E4929" s="63" t="n">
        <v>0.013</v>
      </c>
      <c r="F4929" s="64">
        <f>ROUND(M4929*FATOR, 2)</f>
        <v/>
      </c>
      <c r="G4929" s="64">
        <f>TRUNC(TRUNC(E4929,8)*F4929,2)</f>
        <v/>
      </c>
      <c r="L4929" t="n">
        <v>0.013</v>
      </c>
      <c r="M4929" t="n">
        <v>11.32</v>
      </c>
      <c r="N4929">
        <f>(M4929-F4929)</f>
        <v/>
      </c>
    </row>
    <row r="4930" ht="15" customHeight="1">
      <c r="A4930" s="22" t="inlineStr">
        <is>
          <t>00044329</t>
        </is>
      </c>
      <c r="B4930" s="23" t="inlineStr">
        <is>
          <t>DETERGENTE NEUTRO USO GERAL, CONCENTRADO</t>
        </is>
      </c>
      <c r="C4930" s="22" t="inlineStr">
        <is>
          <t>SINAPI</t>
        </is>
      </c>
      <c r="D4930" s="22" t="inlineStr">
        <is>
          <t>L</t>
        </is>
      </c>
      <c r="E4930" s="63" t="n">
        <v>0.006</v>
      </c>
      <c r="F4930" s="64">
        <f>ROUND(M4930*FATOR, 2)</f>
        <v/>
      </c>
      <c r="G4930" s="64">
        <f>TRUNC(TRUNC(E4930,8)*F4930,2)</f>
        <v/>
      </c>
      <c r="L4930" t="n">
        <v>0.006</v>
      </c>
      <c r="M4930" t="n">
        <v>14.83</v>
      </c>
      <c r="N4930">
        <f>(M4930-F4930)</f>
        <v/>
      </c>
    </row>
    <row r="4931" ht="15" customHeight="1">
      <c r="A4931" s="2" t="inlineStr"/>
      <c r="B4931" s="2" t="inlineStr"/>
      <c r="C4931" s="2" t="inlineStr"/>
      <c r="D4931" s="2" t="inlineStr"/>
      <c r="E4931" s="26" t="inlineStr">
        <is>
          <t>TOTAL Material:</t>
        </is>
      </c>
      <c r="F4931" s="56" t="n"/>
      <c r="G4931" s="65">
        <f>SUM(G4929:G4930)</f>
        <v/>
      </c>
    </row>
    <row r="4932" ht="15" customHeight="1">
      <c r="A4932" s="20" t="inlineStr">
        <is>
          <t>Mão de Obra com Encargos Complementares</t>
        </is>
      </c>
      <c r="B4932" s="56" t="n"/>
      <c r="C4932" s="21" t="inlineStr">
        <is>
          <t>FONTE</t>
        </is>
      </c>
      <c r="D4932" s="21" t="inlineStr">
        <is>
          <t>UNID</t>
        </is>
      </c>
      <c r="E4932" s="21" t="inlineStr">
        <is>
          <t>COEFICIENTE</t>
        </is>
      </c>
      <c r="F4932" s="21" t="inlineStr">
        <is>
          <t>PREÇO UNITÁRIO</t>
        </is>
      </c>
      <c r="G4932" s="21" t="inlineStr">
        <is>
          <t>TOTAL</t>
        </is>
      </c>
    </row>
    <row r="4933" ht="15" customHeight="1">
      <c r="A4933" s="22" t="inlineStr">
        <is>
          <t>88316</t>
        </is>
      </c>
      <c r="B4933" s="23" t="inlineStr">
        <is>
          <t>SERVENTE COM ENCARGOS COMPLEMENTARES</t>
        </is>
      </c>
      <c r="C4933" s="22" t="inlineStr">
        <is>
          <t>SINAPI</t>
        </is>
      </c>
      <c r="D4933" s="22" t="inlineStr">
        <is>
          <t>H</t>
        </is>
      </c>
      <c r="E4933" s="63">
        <f>L4933*FATOR</f>
        <v/>
      </c>
      <c r="F4933" s="64">
        <f>'COMPOSICOES AUXILIARES'!G3390</f>
        <v/>
      </c>
      <c r="G4933" s="64">
        <f>TRUNC(TRUNC(E4933,8)*F4933,2)</f>
        <v/>
      </c>
      <c r="L4933" t="n">
        <v>0.777</v>
      </c>
      <c r="M4933" t="n">
        <v>23.56</v>
      </c>
      <c r="N4933">
        <f>(M4933-F4933)</f>
        <v/>
      </c>
    </row>
    <row r="4934" ht="18" customHeight="1">
      <c r="A4934" s="2" t="inlineStr"/>
      <c r="B4934" s="2" t="inlineStr"/>
      <c r="C4934" s="2" t="inlineStr"/>
      <c r="D4934" s="2" t="inlineStr"/>
      <c r="E4934" s="26" t="inlineStr">
        <is>
          <t>TOTAL Mão de Obra com Encargos Complementares:</t>
        </is>
      </c>
      <c r="F4934" s="56" t="n"/>
      <c r="G4934" s="65">
        <f>SUM(G4933:G4933)</f>
        <v/>
      </c>
    </row>
    <row r="4935" ht="15" customHeight="1">
      <c r="A4935" s="2" t="inlineStr"/>
      <c r="B4935" s="2" t="inlineStr"/>
      <c r="C4935" s="2" t="inlineStr"/>
      <c r="D4935" s="2" t="inlineStr"/>
      <c r="E4935" s="28" t="inlineStr">
        <is>
          <t>VALOR:</t>
        </is>
      </c>
      <c r="F4935" s="56" t="n"/>
      <c r="G4935" s="66">
        <f>SUM(G4931,G4934)</f>
        <v/>
      </c>
    </row>
    <row r="4936" ht="15" customHeight="1">
      <c r="A4936" s="2" t="inlineStr"/>
      <c r="B4936" s="2" t="inlineStr"/>
      <c r="C4936" s="2" t="inlineStr"/>
      <c r="D4936" s="2" t="inlineStr"/>
      <c r="E4936" s="28" t="inlineStr">
        <is>
          <t>VALOR BDI (23.08%):</t>
        </is>
      </c>
      <c r="F4936" s="56" t="n"/>
      <c r="G4936" s="66">
        <f>ROUNDDOWN(G4935*BDI,2)</f>
        <v/>
      </c>
    </row>
    <row r="4937" ht="15" customHeight="1">
      <c r="A4937" s="2" t="inlineStr"/>
      <c r="B4937" s="2" t="inlineStr"/>
      <c r="C4937" s="2" t="inlineStr"/>
      <c r="D4937" s="2" t="inlineStr"/>
      <c r="E4937" s="28" t="inlineStr">
        <is>
          <t>VALOR COM BDI:</t>
        </is>
      </c>
      <c r="F4937" s="56" t="n"/>
      <c r="G4937" s="66">
        <f>G4936 + G4935</f>
        <v/>
      </c>
    </row>
    <row r="4938" ht="10" customHeight="1">
      <c r="A4938" s="2" t="inlineStr"/>
      <c r="B4938" s="2" t="inlineStr"/>
      <c r="C4938" s="2" t="inlineStr"/>
      <c r="D4938" s="2" t="inlineStr"/>
      <c r="E4938" s="18" t="inlineStr"/>
    </row>
    <row r="4939" ht="20" customHeight="1">
      <c r="A4939" s="19" t="inlineStr">
        <is>
          <t>17.2.1.8. ​99815​ LIMPEZA DE PIA INOX COM BANCADA DE PEDRA, INCLUSIVE METAIS CORRESPONDENTES. AF_04/2019​ (UN)</t>
        </is>
      </c>
      <c r="B4939" s="55" t="n"/>
      <c r="C4939" s="55" t="n"/>
      <c r="D4939" s="55" t="n"/>
      <c r="E4939" s="55" t="n"/>
      <c r="F4939" s="55" t="n"/>
      <c r="G4939" s="56" t="n"/>
    </row>
    <row r="4940" ht="15" customHeight="1">
      <c r="A4940" s="20" t="inlineStr">
        <is>
          <t>Material</t>
        </is>
      </c>
      <c r="B4940" s="56" t="n"/>
      <c r="C4940" s="21" t="inlineStr">
        <is>
          <t>FONTE</t>
        </is>
      </c>
      <c r="D4940" s="21" t="inlineStr">
        <is>
          <t>UNID</t>
        </is>
      </c>
      <c r="E4940" s="21" t="inlineStr">
        <is>
          <t>COEFICIENTE</t>
        </is>
      </c>
      <c r="F4940" s="21" t="inlineStr">
        <is>
          <t>PREÇO UNITÁRIO</t>
        </is>
      </c>
      <c r="G4940" s="21" t="inlineStr">
        <is>
          <t>TOTAL</t>
        </is>
      </c>
    </row>
    <row r="4941" ht="15" customHeight="1">
      <c r="A4941" s="22" t="inlineStr">
        <is>
          <t>00044330</t>
        </is>
      </c>
      <c r="B4941" s="23" t="inlineStr">
        <is>
          <t>DESINFETANTE PRONTO USO</t>
        </is>
      </c>
      <c r="C4941" s="22" t="inlineStr">
        <is>
          <t>SINAPI</t>
        </is>
      </c>
      <c r="D4941" s="22" t="inlineStr">
        <is>
          <t>L</t>
        </is>
      </c>
      <c r="E4941" s="63" t="n">
        <v>0.167</v>
      </c>
      <c r="F4941" s="64">
        <f>ROUND(M4941*FATOR, 2)</f>
        <v/>
      </c>
      <c r="G4941" s="64">
        <f>TRUNC(TRUNC(E4941,8)*F4941,2)</f>
        <v/>
      </c>
      <c r="L4941" t="n">
        <v>0.167</v>
      </c>
      <c r="M4941" t="n">
        <v>11.32</v>
      </c>
      <c r="N4941">
        <f>(M4941-F4941)</f>
        <v/>
      </c>
    </row>
    <row r="4942" ht="15" customHeight="1">
      <c r="A4942" s="22" t="inlineStr">
        <is>
          <t>00044329</t>
        </is>
      </c>
      <c r="B4942" s="23" t="inlineStr">
        <is>
          <t>DETERGENTE NEUTRO USO GERAL, CONCENTRADO</t>
        </is>
      </c>
      <c r="C4942" s="22" t="inlineStr">
        <is>
          <t>SINAPI</t>
        </is>
      </c>
      <c r="D4942" s="22" t="inlineStr">
        <is>
          <t>L</t>
        </is>
      </c>
      <c r="E4942" s="63" t="n">
        <v>0.1</v>
      </c>
      <c r="F4942" s="64">
        <f>ROUND(M4942*FATOR, 2)</f>
        <v/>
      </c>
      <c r="G4942" s="64">
        <f>TRUNC(TRUNC(E4942,8)*F4942,2)</f>
        <v/>
      </c>
      <c r="L4942" t="n">
        <v>0.1</v>
      </c>
      <c r="M4942" t="n">
        <v>14.83</v>
      </c>
      <c r="N4942">
        <f>(M4942-F4942)</f>
        <v/>
      </c>
    </row>
    <row r="4943" ht="15" customHeight="1">
      <c r="A4943" s="2" t="inlineStr"/>
      <c r="B4943" s="2" t="inlineStr"/>
      <c r="C4943" s="2" t="inlineStr"/>
      <c r="D4943" s="2" t="inlineStr"/>
      <c r="E4943" s="26" t="inlineStr">
        <is>
          <t>TOTAL Material:</t>
        </is>
      </c>
      <c r="F4943" s="56" t="n"/>
      <c r="G4943" s="65">
        <f>SUM(G4941:G4942)</f>
        <v/>
      </c>
    </row>
    <row r="4944" ht="15" customHeight="1">
      <c r="A4944" s="20" t="inlineStr">
        <is>
          <t>Mão de Obra com Encargos Complementares</t>
        </is>
      </c>
      <c r="B4944" s="56" t="n"/>
      <c r="C4944" s="21" t="inlineStr">
        <is>
          <t>FONTE</t>
        </is>
      </c>
      <c r="D4944" s="21" t="inlineStr">
        <is>
          <t>UNID</t>
        </is>
      </c>
      <c r="E4944" s="21" t="inlineStr">
        <is>
          <t>COEFICIENTE</t>
        </is>
      </c>
      <c r="F4944" s="21" t="inlineStr">
        <is>
          <t>PREÇO UNITÁRIO</t>
        </is>
      </c>
      <c r="G4944" s="21" t="inlineStr">
        <is>
          <t>TOTAL</t>
        </is>
      </c>
    </row>
    <row r="4945" ht="15" customHeight="1">
      <c r="A4945" s="22" t="inlineStr">
        <is>
          <t>88316</t>
        </is>
      </c>
      <c r="B4945" s="23" t="inlineStr">
        <is>
          <t>SERVENTE COM ENCARGOS COMPLEMENTARES</t>
        </is>
      </c>
      <c r="C4945" s="22" t="inlineStr">
        <is>
          <t>SINAPI</t>
        </is>
      </c>
      <c r="D4945" s="22" t="inlineStr">
        <is>
          <t>H</t>
        </is>
      </c>
      <c r="E4945" s="63">
        <f>L4945*FATOR</f>
        <v/>
      </c>
      <c r="F4945" s="64">
        <f>'COMPOSICOES AUXILIARES'!G3390</f>
        <v/>
      </c>
      <c r="G4945" s="64">
        <f>TRUNC(TRUNC(E4945,8)*F4945,2)</f>
        <v/>
      </c>
      <c r="L4945" t="n">
        <v>0.273</v>
      </c>
      <c r="M4945" t="n">
        <v>23.56</v>
      </c>
      <c r="N4945">
        <f>(M4945-F4945)</f>
        <v/>
      </c>
    </row>
    <row r="4946" ht="18" customHeight="1">
      <c r="A4946" s="2" t="inlineStr"/>
      <c r="B4946" s="2" t="inlineStr"/>
      <c r="C4946" s="2" t="inlineStr"/>
      <c r="D4946" s="2" t="inlineStr"/>
      <c r="E4946" s="26" t="inlineStr">
        <is>
          <t>TOTAL Mão de Obra com Encargos Complementares:</t>
        </is>
      </c>
      <c r="F4946" s="56" t="n"/>
      <c r="G4946" s="65">
        <f>SUM(G4945:G4945)</f>
        <v/>
      </c>
    </row>
    <row r="4947" ht="15" customHeight="1">
      <c r="A4947" s="2" t="inlineStr"/>
      <c r="B4947" s="2" t="inlineStr"/>
      <c r="C4947" s="2" t="inlineStr"/>
      <c r="D4947" s="2" t="inlineStr"/>
      <c r="E4947" s="28" t="inlineStr">
        <is>
          <t>VALOR:</t>
        </is>
      </c>
      <c r="F4947" s="56" t="n"/>
      <c r="G4947" s="66">
        <f>SUM(G4946,G4943)</f>
        <v/>
      </c>
    </row>
    <row r="4948" ht="15" customHeight="1">
      <c r="A4948" s="2" t="inlineStr"/>
      <c r="B4948" s="2" t="inlineStr"/>
      <c r="C4948" s="2" t="inlineStr"/>
      <c r="D4948" s="2" t="inlineStr"/>
      <c r="E4948" s="28" t="inlineStr">
        <is>
          <t>VALOR BDI (23.08%):</t>
        </is>
      </c>
      <c r="F4948" s="56" t="n"/>
      <c r="G4948" s="66">
        <f>ROUNDDOWN(G4947*BDI,2)</f>
        <v/>
      </c>
    </row>
    <row r="4949" ht="15" customHeight="1">
      <c r="A4949" s="2" t="inlineStr"/>
      <c r="B4949" s="2" t="inlineStr"/>
      <c r="C4949" s="2" t="inlineStr"/>
      <c r="D4949" s="2" t="inlineStr"/>
      <c r="E4949" s="28" t="inlineStr">
        <is>
          <t>VALOR COM BDI:</t>
        </is>
      </c>
      <c r="F4949" s="56" t="n"/>
      <c r="G4949" s="66">
        <f>G4948 + G4947</f>
        <v/>
      </c>
    </row>
    <row r="4950" ht="10" customHeight="1">
      <c r="A4950" s="2" t="inlineStr"/>
      <c r="B4950" s="2" t="inlineStr"/>
      <c r="C4950" s="2" t="inlineStr"/>
      <c r="D4950" s="2" t="inlineStr"/>
      <c r="E4950" s="18" t="inlineStr"/>
    </row>
    <row r="4951" ht="20" customHeight="1">
      <c r="A4951" s="19" t="inlineStr">
        <is>
          <t>17.2.1.9. ​99817​ LIMPEZA DE LAVATÓRIO DE LOUÇA COM BANCADA DE PEDRA, INCLUSIVE METAIS CORRESPONDENTES. AF_04/2019​ (UN)</t>
        </is>
      </c>
      <c r="B4951" s="55" t="n"/>
      <c r="C4951" s="55" t="n"/>
      <c r="D4951" s="55" t="n"/>
      <c r="E4951" s="55" t="n"/>
      <c r="F4951" s="55" t="n"/>
      <c r="G4951" s="56" t="n"/>
    </row>
    <row r="4952" ht="15" customHeight="1">
      <c r="A4952" s="20" t="inlineStr">
        <is>
          <t>Material</t>
        </is>
      </c>
      <c r="B4952" s="56" t="n"/>
      <c r="C4952" s="21" t="inlineStr">
        <is>
          <t>FONTE</t>
        </is>
      </c>
      <c r="D4952" s="21" t="inlineStr">
        <is>
          <t>UNID</t>
        </is>
      </c>
      <c r="E4952" s="21" t="inlineStr">
        <is>
          <t>COEFICIENTE</t>
        </is>
      </c>
      <c r="F4952" s="21" t="inlineStr">
        <is>
          <t>PREÇO UNITÁRIO</t>
        </is>
      </c>
      <c r="G4952" s="21" t="inlineStr">
        <is>
          <t>TOTAL</t>
        </is>
      </c>
    </row>
    <row r="4953" ht="15" customHeight="1">
      <c r="A4953" s="22" t="inlineStr">
        <is>
          <t>00044330</t>
        </is>
      </c>
      <c r="B4953" s="23" t="inlineStr">
        <is>
          <t>DESINFETANTE PRONTO USO</t>
        </is>
      </c>
      <c r="C4953" s="22" t="inlineStr">
        <is>
          <t>SINAPI</t>
        </is>
      </c>
      <c r="D4953" s="22" t="inlineStr">
        <is>
          <t>L</t>
        </is>
      </c>
      <c r="E4953" s="63" t="n">
        <v>0.167</v>
      </c>
      <c r="F4953" s="64">
        <f>ROUND(M4953*FATOR, 2)</f>
        <v/>
      </c>
      <c r="G4953" s="64">
        <f>TRUNC(TRUNC(E4953,8)*F4953,2)</f>
        <v/>
      </c>
      <c r="L4953" t="n">
        <v>0.167</v>
      </c>
      <c r="M4953" t="n">
        <v>11.32</v>
      </c>
      <c r="N4953">
        <f>(M4953-F4953)</f>
        <v/>
      </c>
    </row>
    <row r="4954" ht="15" customHeight="1">
      <c r="A4954" s="22" t="inlineStr">
        <is>
          <t>00044329</t>
        </is>
      </c>
      <c r="B4954" s="23" t="inlineStr">
        <is>
          <t>DETERGENTE NEUTRO USO GERAL, CONCENTRADO</t>
        </is>
      </c>
      <c r="C4954" s="22" t="inlineStr">
        <is>
          <t>SINAPI</t>
        </is>
      </c>
      <c r="D4954" s="22" t="inlineStr">
        <is>
          <t>L</t>
        </is>
      </c>
      <c r="E4954" s="63" t="n">
        <v>0.1</v>
      </c>
      <c r="F4954" s="64">
        <f>ROUND(M4954*FATOR, 2)</f>
        <v/>
      </c>
      <c r="G4954" s="64">
        <f>TRUNC(TRUNC(E4954,8)*F4954,2)</f>
        <v/>
      </c>
      <c r="L4954" t="n">
        <v>0.1</v>
      </c>
      <c r="M4954" t="n">
        <v>14.83</v>
      </c>
      <c r="N4954">
        <f>(M4954-F4954)</f>
        <v/>
      </c>
    </row>
    <row r="4955" ht="15" customHeight="1">
      <c r="A4955" s="2" t="inlineStr"/>
      <c r="B4955" s="2" t="inlineStr"/>
      <c r="C4955" s="2" t="inlineStr"/>
      <c r="D4955" s="2" t="inlineStr"/>
      <c r="E4955" s="26" t="inlineStr">
        <is>
          <t>TOTAL Material:</t>
        </is>
      </c>
      <c r="F4955" s="56" t="n"/>
      <c r="G4955" s="65">
        <f>SUM(G4953:G4954)</f>
        <v/>
      </c>
    </row>
    <row r="4956" ht="15" customHeight="1">
      <c r="A4956" s="20" t="inlineStr">
        <is>
          <t>Mão de Obra com Encargos Complementares</t>
        </is>
      </c>
      <c r="B4956" s="56" t="n"/>
      <c r="C4956" s="21" t="inlineStr">
        <is>
          <t>FONTE</t>
        </is>
      </c>
      <c r="D4956" s="21" t="inlineStr">
        <is>
          <t>UNID</t>
        </is>
      </c>
      <c r="E4956" s="21" t="inlineStr">
        <is>
          <t>COEFICIENTE</t>
        </is>
      </c>
      <c r="F4956" s="21" t="inlineStr">
        <is>
          <t>PREÇO UNITÁRIO</t>
        </is>
      </c>
      <c r="G4956" s="21" t="inlineStr">
        <is>
          <t>TOTAL</t>
        </is>
      </c>
    </row>
    <row r="4957" ht="15" customHeight="1">
      <c r="A4957" s="22" t="inlineStr">
        <is>
          <t>88316</t>
        </is>
      </c>
      <c r="B4957" s="23" t="inlineStr">
        <is>
          <t>SERVENTE COM ENCARGOS COMPLEMENTARES</t>
        </is>
      </c>
      <c r="C4957" s="22" t="inlineStr">
        <is>
          <t>SINAPI</t>
        </is>
      </c>
      <c r="D4957" s="22" t="inlineStr">
        <is>
          <t>H</t>
        </is>
      </c>
      <c r="E4957" s="63">
        <f>L4957*FATOR</f>
        <v/>
      </c>
      <c r="F4957" s="64">
        <f>'COMPOSICOES AUXILIARES'!G3390</f>
        <v/>
      </c>
      <c r="G4957" s="64">
        <f>TRUNC(TRUNC(E4957,8)*F4957,2)</f>
        <v/>
      </c>
      <c r="L4957" t="n">
        <v>0.124</v>
      </c>
      <c r="M4957" t="n">
        <v>23.56</v>
      </c>
      <c r="N4957">
        <f>(M4957-F4957)</f>
        <v/>
      </c>
    </row>
    <row r="4958" ht="18" customHeight="1">
      <c r="A4958" s="2" t="inlineStr"/>
      <c r="B4958" s="2" t="inlineStr"/>
      <c r="C4958" s="2" t="inlineStr"/>
      <c r="D4958" s="2" t="inlineStr"/>
      <c r="E4958" s="26" t="inlineStr">
        <is>
          <t>TOTAL Mão de Obra com Encargos Complementares:</t>
        </is>
      </c>
      <c r="F4958" s="56" t="n"/>
      <c r="G4958" s="65">
        <f>SUM(G4957:G4957)</f>
        <v/>
      </c>
    </row>
    <row r="4959" ht="15" customHeight="1">
      <c r="A4959" s="2" t="inlineStr"/>
      <c r="B4959" s="2" t="inlineStr"/>
      <c r="C4959" s="2" t="inlineStr"/>
      <c r="D4959" s="2" t="inlineStr"/>
      <c r="E4959" s="28" t="inlineStr">
        <is>
          <t>VALOR:</t>
        </is>
      </c>
      <c r="F4959" s="56" t="n"/>
      <c r="G4959" s="66">
        <f>SUM(G4955,G4958)</f>
        <v/>
      </c>
    </row>
    <row r="4960" ht="15" customHeight="1">
      <c r="A4960" s="2" t="inlineStr"/>
      <c r="B4960" s="2" t="inlineStr"/>
      <c r="C4960" s="2" t="inlineStr"/>
      <c r="D4960" s="2" t="inlineStr"/>
      <c r="E4960" s="28" t="inlineStr">
        <is>
          <t>VALOR BDI (23.08%):</t>
        </is>
      </c>
      <c r="F4960" s="56" t="n"/>
      <c r="G4960" s="66">
        <f>ROUNDDOWN(G4959*BDI,2)</f>
        <v/>
      </c>
    </row>
    <row r="4961" ht="15" customHeight="1">
      <c r="A4961" s="2" t="inlineStr"/>
      <c r="B4961" s="2" t="inlineStr"/>
      <c r="C4961" s="2" t="inlineStr"/>
      <c r="D4961" s="2" t="inlineStr"/>
      <c r="E4961" s="28" t="inlineStr">
        <is>
          <t>VALOR COM BDI:</t>
        </is>
      </c>
      <c r="F4961" s="56" t="n"/>
      <c r="G4961" s="66">
        <f>G4960 + G4959</f>
        <v/>
      </c>
    </row>
    <row r="4962" ht="10" customHeight="1">
      <c r="A4962" s="2" t="inlineStr"/>
      <c r="B4962" s="2" t="inlineStr"/>
      <c r="C4962" s="2" t="inlineStr"/>
      <c r="D4962" s="2" t="inlineStr"/>
      <c r="E4962" s="18" t="inlineStr"/>
    </row>
    <row r="4963" ht="20" customHeight="1">
      <c r="A4963" s="19" t="inlineStr">
        <is>
          <t>17.2.1.10. ​99804​ LIMPEZA DE PISO CERÂMICO OU PORCELANATO UTILIZANDO DETERGENTE NEUTRO E ESCOVAÇÃO MANUAL. AF_04/2019​ (M2)</t>
        </is>
      </c>
      <c r="B4963" s="55" t="n"/>
      <c r="C4963" s="55" t="n"/>
      <c r="D4963" s="55" t="n"/>
      <c r="E4963" s="55" t="n"/>
      <c r="F4963" s="55" t="n"/>
      <c r="G4963" s="56" t="n"/>
    </row>
    <row r="4964" ht="15" customHeight="1">
      <c r="A4964" s="20" t="inlineStr">
        <is>
          <t>Material</t>
        </is>
      </c>
      <c r="B4964" s="56" t="n"/>
      <c r="C4964" s="21" t="inlineStr">
        <is>
          <t>FONTE</t>
        </is>
      </c>
      <c r="D4964" s="21" t="inlineStr">
        <is>
          <t>UNID</t>
        </is>
      </c>
      <c r="E4964" s="21" t="inlineStr">
        <is>
          <t>COEFICIENTE</t>
        </is>
      </c>
      <c r="F4964" s="21" t="inlineStr">
        <is>
          <t>PREÇO UNITÁRIO</t>
        </is>
      </c>
      <c r="G4964" s="21" t="inlineStr">
        <is>
          <t>TOTAL</t>
        </is>
      </c>
    </row>
    <row r="4965" ht="15" customHeight="1">
      <c r="A4965" s="22" t="inlineStr">
        <is>
          <t>00044329</t>
        </is>
      </c>
      <c r="B4965" s="23" t="inlineStr">
        <is>
          <t>DETERGENTE NEUTRO USO GERAL, CONCENTRADO</t>
        </is>
      </c>
      <c r="C4965" s="22" t="inlineStr">
        <is>
          <t>SINAPI</t>
        </is>
      </c>
      <c r="D4965" s="22" t="inlineStr">
        <is>
          <t>L</t>
        </is>
      </c>
      <c r="E4965" s="63" t="n">
        <v>0.006</v>
      </c>
      <c r="F4965" s="64">
        <f>ROUND(M4965*FATOR, 2)</f>
        <v/>
      </c>
      <c r="G4965" s="64">
        <f>TRUNC(TRUNC(E4965,8)*F4965,2)</f>
        <v/>
      </c>
      <c r="L4965" t="n">
        <v>0.006</v>
      </c>
      <c r="M4965" t="n">
        <v>14.83</v>
      </c>
      <c r="N4965">
        <f>(M4965-F4965)</f>
        <v/>
      </c>
    </row>
    <row r="4966" ht="15" customHeight="1">
      <c r="A4966" s="2" t="inlineStr"/>
      <c r="B4966" s="2" t="inlineStr"/>
      <c r="C4966" s="2" t="inlineStr"/>
      <c r="D4966" s="2" t="inlineStr"/>
      <c r="E4966" s="26" t="inlineStr">
        <is>
          <t>TOTAL Material:</t>
        </is>
      </c>
      <c r="F4966" s="56" t="n"/>
      <c r="G4966" s="65">
        <f>SUM(G4965:G4965)</f>
        <v/>
      </c>
    </row>
    <row r="4967" ht="15" customHeight="1">
      <c r="A4967" s="20" t="inlineStr">
        <is>
          <t>Mão de Obra com Encargos Complementares</t>
        </is>
      </c>
      <c r="B4967" s="56" t="n"/>
      <c r="C4967" s="21" t="inlineStr">
        <is>
          <t>FONTE</t>
        </is>
      </c>
      <c r="D4967" s="21" t="inlineStr">
        <is>
          <t>UNID</t>
        </is>
      </c>
      <c r="E4967" s="21" t="inlineStr">
        <is>
          <t>COEFICIENTE</t>
        </is>
      </c>
      <c r="F4967" s="21" t="inlineStr">
        <is>
          <t>PREÇO UNITÁRIO</t>
        </is>
      </c>
      <c r="G4967" s="21" t="inlineStr">
        <is>
          <t>TOTAL</t>
        </is>
      </c>
    </row>
    <row r="4968" ht="15" customHeight="1">
      <c r="A4968" s="22" t="inlineStr">
        <is>
          <t>88316</t>
        </is>
      </c>
      <c r="B4968" s="23" t="inlineStr">
        <is>
          <t>SERVENTE COM ENCARGOS COMPLEMENTARES</t>
        </is>
      </c>
      <c r="C4968" s="22" t="inlineStr">
        <is>
          <t>SINAPI</t>
        </is>
      </c>
      <c r="D4968" s="22" t="inlineStr">
        <is>
          <t>H</t>
        </is>
      </c>
      <c r="E4968" s="63">
        <f>L4968*FATOR</f>
        <v/>
      </c>
      <c r="F4968" s="64">
        <f>'COMPOSICOES AUXILIARES'!G3390</f>
        <v/>
      </c>
      <c r="G4968" s="64">
        <f>TRUNC(TRUNC(E4968,8)*F4968,2)</f>
        <v/>
      </c>
      <c r="L4968" t="n">
        <v>0.248</v>
      </c>
      <c r="M4968" t="n">
        <v>23.56</v>
      </c>
      <c r="N4968">
        <f>(M4968-F4968)</f>
        <v/>
      </c>
    </row>
    <row r="4969" ht="18" customHeight="1">
      <c r="A4969" s="2" t="inlineStr"/>
      <c r="B4969" s="2" t="inlineStr"/>
      <c r="C4969" s="2" t="inlineStr"/>
      <c r="D4969" s="2" t="inlineStr"/>
      <c r="E4969" s="26" t="inlineStr">
        <is>
          <t>TOTAL Mão de Obra com Encargos Complementares:</t>
        </is>
      </c>
      <c r="F4969" s="56" t="n"/>
      <c r="G4969" s="65">
        <f>SUM(G4968:G4968)</f>
        <v/>
      </c>
    </row>
    <row r="4970" ht="15" customHeight="1">
      <c r="A4970" s="2" t="inlineStr"/>
      <c r="B4970" s="2" t="inlineStr"/>
      <c r="C4970" s="2" t="inlineStr"/>
      <c r="D4970" s="2" t="inlineStr"/>
      <c r="E4970" s="28" t="inlineStr">
        <is>
          <t>VALOR:</t>
        </is>
      </c>
      <c r="F4970" s="56" t="n"/>
      <c r="G4970" s="66">
        <f>SUM(G4969,G4966)</f>
        <v/>
      </c>
    </row>
    <row r="4971" ht="15" customHeight="1">
      <c r="A4971" s="2" t="inlineStr"/>
      <c r="B4971" s="2" t="inlineStr"/>
      <c r="C4971" s="2" t="inlineStr"/>
      <c r="D4971" s="2" t="inlineStr"/>
      <c r="E4971" s="28" t="inlineStr">
        <is>
          <t>VALOR BDI (23.08%):</t>
        </is>
      </c>
      <c r="F4971" s="56" t="n"/>
      <c r="G4971" s="66">
        <f>ROUNDDOWN(G4970*BDI,2)</f>
        <v/>
      </c>
    </row>
    <row r="4972" ht="15" customHeight="1">
      <c r="A4972" s="2" t="inlineStr"/>
      <c r="B4972" s="2" t="inlineStr"/>
      <c r="C4972" s="2" t="inlineStr"/>
      <c r="D4972" s="2" t="inlineStr"/>
      <c r="E4972" s="28" t="inlineStr">
        <is>
          <t>VALOR COM BDI:</t>
        </is>
      </c>
      <c r="F4972" s="56" t="n"/>
      <c r="G4972" s="66">
        <f>G4971 + G4970</f>
        <v/>
      </c>
    </row>
    <row r="4973" ht="10" customHeight="1">
      <c r="A4973" s="2" t="inlineStr"/>
      <c r="B4973" s="2" t="inlineStr"/>
      <c r="C4973" s="2" t="inlineStr"/>
      <c r="D4973" s="2" t="inlineStr"/>
      <c r="E4973" s="18" t="inlineStr"/>
    </row>
    <row r="4974" ht="20" customHeight="1">
      <c r="A4974" s="19" t="inlineStr">
        <is>
          <t>17.2.2.1. ​472 PRÓPRIO​ CARGA E TRANSPORTE DE ENTULHO EM CAÇAMBA ESTACIONÁRIA (5M³)​ (M³)</t>
        </is>
      </c>
      <c r="B4974" s="55" t="n"/>
      <c r="C4974" s="55" t="n"/>
      <c r="D4974" s="55" t="n"/>
      <c r="E4974" s="55" t="n"/>
      <c r="F4974" s="55" t="n"/>
      <c r="G4974" s="56" t="n"/>
    </row>
    <row r="4975" ht="15" customHeight="1">
      <c r="A4975" s="20" t="inlineStr">
        <is>
          <t>Material</t>
        </is>
      </c>
      <c r="B4975" s="56" t="n"/>
      <c r="C4975" s="21" t="inlineStr">
        <is>
          <t>FONTE</t>
        </is>
      </c>
      <c r="D4975" s="21" t="inlineStr">
        <is>
          <t>UNID</t>
        </is>
      </c>
      <c r="E4975" s="21" t="inlineStr">
        <is>
          <t>COEFICIENTE</t>
        </is>
      </c>
      <c r="F4975" s="21" t="inlineStr">
        <is>
          <t>PREÇO UNITÁRIO</t>
        </is>
      </c>
      <c r="G4975" s="21" t="inlineStr">
        <is>
          <t>TOTAL</t>
        </is>
      </c>
    </row>
    <row r="4976" ht="29" customHeight="1">
      <c r="A4976" s="22" t="inlineStr">
        <is>
          <t>2691 GOINFRA CIVIL</t>
        </is>
      </c>
      <c r="B4976" s="23" t="inlineStr">
        <is>
          <t>TRANSPORTE DE ENTULHO EM CAÇAMBA ESTACIONARIA</t>
        </is>
      </c>
      <c r="C4976" s="22" t="inlineStr">
        <is>
          <t xml:space="preserve">Composições </t>
        </is>
      </c>
      <c r="D4976" s="22" t="inlineStr">
        <is>
          <t>M3</t>
        </is>
      </c>
      <c r="E4976" s="63" t="n">
        <v>1</v>
      </c>
      <c r="F4976" s="64">
        <f>ROUND(M4976*FATOR, 2)</f>
        <v/>
      </c>
      <c r="G4976" s="64">
        <f>ROUND(ROUND(E4976,8)*F4976,2)</f>
        <v/>
      </c>
      <c r="L4976" t="n">
        <v>1</v>
      </c>
      <c r="M4976" t="n">
        <v>94</v>
      </c>
      <c r="N4976">
        <f>(M4976-F4976)</f>
        <v/>
      </c>
    </row>
    <row r="4977" ht="15" customHeight="1">
      <c r="A4977" s="2" t="inlineStr"/>
      <c r="B4977" s="2" t="inlineStr"/>
      <c r="C4977" s="2" t="inlineStr"/>
      <c r="D4977" s="2" t="inlineStr"/>
      <c r="E4977" s="26" t="inlineStr">
        <is>
          <t>TOTAL Material:</t>
        </is>
      </c>
      <c r="F4977" s="56" t="n"/>
      <c r="G4977" s="65">
        <f>SUM(G4976:G4976)</f>
        <v/>
      </c>
    </row>
    <row r="4978" ht="15" customHeight="1">
      <c r="A4978" s="20" t="inlineStr">
        <is>
          <t>Mão de Obra com Encargos Complementares</t>
        </is>
      </c>
      <c r="B4978" s="56" t="n"/>
      <c r="C4978" s="21" t="inlineStr">
        <is>
          <t>FONTE</t>
        </is>
      </c>
      <c r="D4978" s="21" t="inlineStr">
        <is>
          <t>UNID</t>
        </is>
      </c>
      <c r="E4978" s="21" t="inlineStr">
        <is>
          <t>COEFICIENTE</t>
        </is>
      </c>
      <c r="F4978" s="21" t="inlineStr">
        <is>
          <t>PREÇO UNITÁRIO</t>
        </is>
      </c>
      <c r="G4978" s="21" t="inlineStr">
        <is>
          <t>TOTAL</t>
        </is>
      </c>
    </row>
    <row r="4979" ht="15" customHeight="1">
      <c r="A4979" s="22" t="inlineStr">
        <is>
          <t>88316</t>
        </is>
      </c>
      <c r="B4979" s="23" t="inlineStr">
        <is>
          <t>SERVENTE COM ENCARGOS COMPLEMENTARES</t>
        </is>
      </c>
      <c r="C4979" s="22" t="inlineStr">
        <is>
          <t>SINAPI</t>
        </is>
      </c>
      <c r="D4979" s="22" t="inlineStr">
        <is>
          <t>H</t>
        </is>
      </c>
      <c r="E4979" s="63">
        <f>L4979*FATOR</f>
        <v/>
      </c>
      <c r="F4979" s="64">
        <f>'COMPOSICOES AUXILIARES'!G3390</f>
        <v/>
      </c>
      <c r="G4979" s="64">
        <f>ROUND(ROUND(E4979,8)*F4979,2)</f>
        <v/>
      </c>
      <c r="L4979" t="n">
        <v>0.8</v>
      </c>
      <c r="M4979" t="n">
        <v>23.56</v>
      </c>
      <c r="N4979">
        <f>(M4979-F4979)</f>
        <v/>
      </c>
    </row>
    <row r="4980" ht="18" customHeight="1">
      <c r="A4980" s="2" t="inlineStr"/>
      <c r="B4980" s="2" t="inlineStr"/>
      <c r="C4980" s="2" t="inlineStr"/>
      <c r="D4980" s="2" t="inlineStr"/>
      <c r="E4980" s="26" t="inlineStr">
        <is>
          <t>TOTAL Mão de Obra com Encargos Complementares:</t>
        </is>
      </c>
      <c r="F4980" s="56" t="n"/>
      <c r="G4980" s="65">
        <f>SUM(G4979:G4979)</f>
        <v/>
      </c>
    </row>
    <row r="4981" ht="15" customHeight="1">
      <c r="A4981" s="2" t="inlineStr"/>
      <c r="B4981" s="2" t="inlineStr"/>
      <c r="C4981" s="2" t="inlineStr"/>
      <c r="D4981" s="2" t="inlineStr"/>
      <c r="E4981" s="28" t="inlineStr">
        <is>
          <t>VALOR:</t>
        </is>
      </c>
      <c r="F4981" s="56" t="n"/>
      <c r="G4981" s="66">
        <f>SUM(G4977,G4980)</f>
        <v/>
      </c>
    </row>
    <row r="4982" ht="15" customHeight="1">
      <c r="A4982" s="2" t="inlineStr"/>
      <c r="B4982" s="2" t="inlineStr"/>
      <c r="C4982" s="2" t="inlineStr"/>
      <c r="D4982" s="2" t="inlineStr"/>
      <c r="E4982" s="28" t="inlineStr">
        <is>
          <t>VALOR BDI (23.08%):</t>
        </is>
      </c>
      <c r="F4982" s="56" t="n"/>
      <c r="G4982" s="66">
        <f>ROUNDDOWN(G4981*BDI,2)</f>
        <v/>
      </c>
    </row>
    <row r="4983" ht="15" customHeight="1">
      <c r="A4983" s="2" t="inlineStr"/>
      <c r="B4983" s="2" t="inlineStr"/>
      <c r="C4983" s="2" t="inlineStr"/>
      <c r="D4983" s="2" t="inlineStr"/>
      <c r="E4983" s="28" t="inlineStr">
        <is>
          <t>VALOR COM BDI:</t>
        </is>
      </c>
      <c r="F4983" s="56" t="n"/>
      <c r="G4983" s="66">
        <f>G4982 + G4981</f>
        <v/>
      </c>
    </row>
    <row r="4984" ht="10" customHeight="1">
      <c r="A4984" s="2" t="inlineStr"/>
      <c r="B4984" s="2" t="inlineStr"/>
      <c r="C4984" s="2" t="inlineStr"/>
      <c r="D4984" s="2" t="inlineStr"/>
      <c r="E4984" s="18" t="inlineStr"/>
    </row>
    <row r="4985" ht="20" customHeight="1">
      <c r="A4985" s="19" t="inlineStr">
        <is>
          <t>17.3.1. ​C4991​ DESMOBILIZAÇÃO DE EQUIPAMENTOS EM CAMINHÃO EQUIPADO COM GUINDASTE​ (KM)</t>
        </is>
      </c>
      <c r="B4985" s="55" t="n"/>
      <c r="C4985" s="55" t="n"/>
      <c r="D4985" s="55" t="n"/>
      <c r="E4985" s="55" t="n"/>
      <c r="F4985" s="55" t="n"/>
      <c r="G4985" s="56" t="n"/>
    </row>
    <row r="4986" ht="15" customHeight="1">
      <c r="A4986" s="20" t="inlineStr">
        <is>
          <t>Equipamento Custo Horário</t>
        </is>
      </c>
      <c r="B4986" s="56" t="n"/>
      <c r="C4986" s="21" t="inlineStr">
        <is>
          <t>FONTE</t>
        </is>
      </c>
      <c r="D4986" s="21" t="inlineStr">
        <is>
          <t>UNID</t>
        </is>
      </c>
      <c r="E4986" s="21" t="inlineStr">
        <is>
          <t>COEFICIENTE</t>
        </is>
      </c>
      <c r="F4986" s="21" t="inlineStr">
        <is>
          <t>PREÇO UNITÁRIO</t>
        </is>
      </c>
      <c r="G4986" s="21" t="inlineStr">
        <is>
          <t>TOTAL</t>
        </is>
      </c>
    </row>
    <row r="4987" ht="15" customHeight="1">
      <c r="A4987" s="22" t="inlineStr">
        <is>
          <t>I0705</t>
        </is>
      </c>
      <c r="B4987" s="23" t="inlineStr">
        <is>
          <t>CAMINHÃO COMERC. EQUIP. C/GUINDASTE (CHP)</t>
        </is>
      </c>
      <c r="C4987" s="22" t="inlineStr">
        <is>
          <t>SEINFRA</t>
        </is>
      </c>
      <c r="D4987" s="22" t="inlineStr">
        <is>
          <t>H</t>
        </is>
      </c>
      <c r="E4987" s="63" t="n">
        <v>0.0185</v>
      </c>
      <c r="F4987" s="67">
        <f>'COMPOSICOES AUXILIARES'!G821</f>
        <v/>
      </c>
      <c r="G4987" s="67">
        <f>ROUND(ROUND(E4987,8)*F4987,4)</f>
        <v/>
      </c>
      <c r="L4987" t="n">
        <v>0.0185</v>
      </c>
      <c r="M4987" t="n">
        <v>172.7113</v>
      </c>
      <c r="N4987">
        <f>(M4987-F4987)</f>
        <v/>
      </c>
    </row>
    <row r="4988" ht="18" customHeight="1">
      <c r="A4988" s="2" t="inlineStr"/>
      <c r="B4988" s="2" t="inlineStr"/>
      <c r="C4988" s="2" t="inlineStr"/>
      <c r="D4988" s="2" t="inlineStr"/>
      <c r="E4988" s="26" t="inlineStr">
        <is>
          <t>TOTAL Equipamento Custo Horário:</t>
        </is>
      </c>
      <c r="F4988" s="56" t="n"/>
      <c r="G4988" s="68">
        <f>SUM(G4987:G4987)</f>
        <v/>
      </c>
    </row>
    <row r="4989" ht="15" customHeight="1">
      <c r="A4989" s="2" t="inlineStr"/>
      <c r="B4989" s="2" t="inlineStr"/>
      <c r="C4989" s="2" t="inlineStr"/>
      <c r="D4989" s="2" t="inlineStr"/>
      <c r="E4989" s="28" t="inlineStr">
        <is>
          <t>VALOR:</t>
        </is>
      </c>
      <c r="F4989" s="56" t="n"/>
      <c r="G4989" s="66">
        <f>SUM(G4988)</f>
        <v/>
      </c>
    </row>
    <row r="4990" ht="15" customHeight="1">
      <c r="A4990" s="2" t="inlineStr"/>
      <c r="B4990" s="2" t="inlineStr"/>
      <c r="C4990" s="2" t="inlineStr"/>
      <c r="D4990" s="2" t="inlineStr"/>
      <c r="E4990" s="28" t="inlineStr">
        <is>
          <t>VALOR BDI (23.08%):</t>
        </is>
      </c>
      <c r="F4990" s="56" t="n"/>
      <c r="G4990" s="66">
        <f>ROUNDDOWN(G4989*BDI,2)</f>
        <v/>
      </c>
    </row>
    <row r="4991" ht="15" customHeight="1">
      <c r="A4991" s="2" t="inlineStr"/>
      <c r="B4991" s="2" t="inlineStr"/>
      <c r="C4991" s="2" t="inlineStr"/>
      <c r="D4991" s="2" t="inlineStr"/>
      <c r="E4991" s="28" t="inlineStr">
        <is>
          <t>VALOR COM BDI:</t>
        </is>
      </c>
      <c r="F4991" s="56" t="n"/>
      <c r="G4991" s="66">
        <f>G4990 + G4989</f>
        <v/>
      </c>
    </row>
    <row r="4992" ht="10" customHeight="1">
      <c r="A4992" s="2" t="inlineStr"/>
      <c r="B4992" s="2" t="inlineStr"/>
      <c r="C4992" s="2" t="inlineStr"/>
      <c r="D4992" s="2" t="inlineStr"/>
      <c r="E4992" s="18" t="inlineStr"/>
    </row>
    <row r="4993" ht="20" customHeight="1">
      <c r="A4993" s="19" t="inlineStr">
        <is>
          <t>18.1.1. ​C1267​ ESCAVAÇÃO MECAN. CAMPO ABERTO EM TERRA EXCETO ROCHA ATÉ 2M​ (M3)</t>
        </is>
      </c>
      <c r="B4993" s="55" t="n"/>
      <c r="C4993" s="55" t="n"/>
      <c r="D4993" s="55" t="n"/>
      <c r="E4993" s="55" t="n"/>
      <c r="F4993" s="55" t="n"/>
      <c r="G4993" s="56" t="n"/>
    </row>
    <row r="4994" ht="15" customHeight="1">
      <c r="A4994" s="20" t="inlineStr">
        <is>
          <t>Equipamento Custo Horário</t>
        </is>
      </c>
      <c r="B4994" s="56" t="n"/>
      <c r="C4994" s="21" t="inlineStr">
        <is>
          <t>FONTE</t>
        </is>
      </c>
      <c r="D4994" s="21" t="inlineStr">
        <is>
          <t>UNID</t>
        </is>
      </c>
      <c r="E4994" s="21" t="inlineStr">
        <is>
          <t>COEFICIENTE</t>
        </is>
      </c>
      <c r="F4994" s="21" t="inlineStr">
        <is>
          <t>PREÇO UNITÁRIO</t>
        </is>
      </c>
      <c r="G4994" s="21" t="inlineStr">
        <is>
          <t>TOTAL</t>
        </is>
      </c>
    </row>
    <row r="4995" ht="15" customHeight="1">
      <c r="A4995" s="22" t="inlineStr">
        <is>
          <t>I0779</t>
        </is>
      </c>
      <c r="B4995" s="23" t="inlineStr">
        <is>
          <t>TRATOR DE ESTEIRAS C/LÂMINA E ESC. HP 155 (CHP)</t>
        </is>
      </c>
      <c r="C4995" s="22" t="inlineStr">
        <is>
          <t>SEINFRA</t>
        </is>
      </c>
      <c r="D4995" s="22" t="inlineStr">
        <is>
          <t>H</t>
        </is>
      </c>
      <c r="E4995" s="63" t="n">
        <v>0.01</v>
      </c>
      <c r="F4995" s="67">
        <f>'COMPOSICOES AUXILIARES'!G3603</f>
        <v/>
      </c>
      <c r="G4995" s="67">
        <f>ROUND(ROUND(E4995,8)*F4995,4)</f>
        <v/>
      </c>
      <c r="L4995" t="n">
        <v>0.01</v>
      </c>
      <c r="M4995" t="n">
        <v>281.222</v>
      </c>
      <c r="N4995">
        <f>(M4995-F4995)</f>
        <v/>
      </c>
    </row>
    <row r="4996" ht="18" customHeight="1">
      <c r="A4996" s="2" t="inlineStr"/>
      <c r="B4996" s="2" t="inlineStr"/>
      <c r="C4996" s="2" t="inlineStr"/>
      <c r="D4996" s="2" t="inlineStr"/>
      <c r="E4996" s="26" t="inlineStr">
        <is>
          <t>TOTAL Equipamento Custo Horário:</t>
        </is>
      </c>
      <c r="F4996" s="56" t="n"/>
      <c r="G4996" s="68">
        <f>SUM(G4995:G4995)</f>
        <v/>
      </c>
    </row>
    <row r="4997" ht="15" customHeight="1">
      <c r="A4997" s="2" t="inlineStr"/>
      <c r="B4997" s="2" t="inlineStr"/>
      <c r="C4997" s="2" t="inlineStr"/>
      <c r="D4997" s="2" t="inlineStr"/>
      <c r="E4997" s="28" t="inlineStr">
        <is>
          <t>VALOR:</t>
        </is>
      </c>
      <c r="F4997" s="56" t="n"/>
      <c r="G4997" s="66">
        <f>SUM(G4996)</f>
        <v/>
      </c>
    </row>
    <row r="4998" ht="15" customHeight="1">
      <c r="A4998" s="2" t="inlineStr"/>
      <c r="B4998" s="2" t="inlineStr"/>
      <c r="C4998" s="2" t="inlineStr"/>
      <c r="D4998" s="2" t="inlineStr"/>
      <c r="E4998" s="28" t="inlineStr">
        <is>
          <t>VALOR BDI (23.08%):</t>
        </is>
      </c>
      <c r="F4998" s="56" t="n"/>
      <c r="G4998" s="66">
        <f>ROUNDDOWN(G4997*BDI,2)</f>
        <v/>
      </c>
    </row>
    <row r="4999" ht="15" customHeight="1">
      <c r="A4999" s="2" t="inlineStr"/>
      <c r="B4999" s="2" t="inlineStr"/>
      <c r="C4999" s="2" t="inlineStr"/>
      <c r="D4999" s="2" t="inlineStr"/>
      <c r="E4999" s="28" t="inlineStr">
        <is>
          <t>VALOR COM BDI:</t>
        </is>
      </c>
      <c r="F4999" s="56" t="n"/>
      <c r="G4999" s="66">
        <f>G4998 + G4997</f>
        <v/>
      </c>
    </row>
    <row r="5000" ht="10" customHeight="1">
      <c r="A5000" s="2" t="inlineStr"/>
      <c r="B5000" s="2" t="inlineStr"/>
      <c r="C5000" s="2" t="inlineStr"/>
      <c r="D5000" s="2" t="inlineStr"/>
      <c r="E5000" s="18" t="inlineStr"/>
    </row>
    <row r="5001" ht="20" customHeight="1">
      <c r="A5001" s="19" t="inlineStr">
        <is>
          <t>18.1.2. ​C0328​ ATERRO C/COMPACTAÇÃO MECÂNICA E CONTROLE, MAT. DE AQUISIÇÃO​ (M3)</t>
        </is>
      </c>
      <c r="B5001" s="55" t="n"/>
      <c r="C5001" s="55" t="n"/>
      <c r="D5001" s="55" t="n"/>
      <c r="E5001" s="55" t="n"/>
      <c r="F5001" s="55" t="n"/>
      <c r="G5001" s="56" t="n"/>
    </row>
    <row r="5002" ht="15" customHeight="1">
      <c r="A5002" s="20" t="inlineStr">
        <is>
          <t>Equipamento Custo Horário</t>
        </is>
      </c>
      <c r="B5002" s="56" t="n"/>
      <c r="C5002" s="21" t="inlineStr">
        <is>
          <t>FONTE</t>
        </is>
      </c>
      <c r="D5002" s="21" t="inlineStr">
        <is>
          <t>UNID</t>
        </is>
      </c>
      <c r="E5002" s="21" t="inlineStr">
        <is>
          <t>COEFICIENTE</t>
        </is>
      </c>
      <c r="F5002" s="21" t="inlineStr">
        <is>
          <t>PREÇO UNITÁRIO</t>
        </is>
      </c>
      <c r="G5002" s="21" t="inlineStr">
        <is>
          <t>TOTAL</t>
        </is>
      </c>
    </row>
    <row r="5003" ht="15" customHeight="1">
      <c r="A5003" s="22" t="inlineStr">
        <is>
          <t>I0706</t>
        </is>
      </c>
      <c r="B5003" s="23" t="inlineStr">
        <is>
          <t>CAMINHÃO TANQUE 6.000 l (CHP)</t>
        </is>
      </c>
      <c r="C5003" s="22" t="inlineStr">
        <is>
          <t>SEINFRA</t>
        </is>
      </c>
      <c r="D5003" s="22" t="inlineStr">
        <is>
          <t>H</t>
        </is>
      </c>
      <c r="E5003" s="63" t="n">
        <v>0.035</v>
      </c>
      <c r="F5003" s="67">
        <f>'COMPOSICOES AUXILIARES'!G905</f>
        <v/>
      </c>
      <c r="G5003" s="67">
        <f>ROUND(ROUND(E5003,8)*F5003,4)</f>
        <v/>
      </c>
      <c r="L5003" t="n">
        <v>0.035</v>
      </c>
      <c r="M5003" t="n">
        <v>184.8907</v>
      </c>
      <c r="N5003">
        <f>(M5003-F5003)</f>
        <v/>
      </c>
    </row>
    <row r="5004" ht="15" customHeight="1">
      <c r="A5004" s="22" t="inlineStr">
        <is>
          <t>I0725</t>
        </is>
      </c>
      <c r="B5004" s="23" t="inlineStr">
        <is>
          <t>COMPACTADOR DE PLACA VIBRATÓRIA HP 7 (CHP)</t>
        </is>
      </c>
      <c r="C5004" s="22" t="inlineStr">
        <is>
          <t>SEINFRA</t>
        </is>
      </c>
      <c r="D5004" s="22" t="inlineStr">
        <is>
          <t>H</t>
        </is>
      </c>
      <c r="E5004" s="63" t="n">
        <v>0.035</v>
      </c>
      <c r="F5004" s="67">
        <f>'COMPOSICOES AUXILIARES'!G965</f>
        <v/>
      </c>
      <c r="G5004" s="67">
        <f>ROUND(ROUND(E5004,8)*F5004,4)</f>
        <v/>
      </c>
      <c r="L5004" t="n">
        <v>0.035</v>
      </c>
      <c r="M5004" t="n">
        <v>51.5141</v>
      </c>
      <c r="N5004">
        <f>(M5004-F5004)</f>
        <v/>
      </c>
    </row>
    <row r="5005" ht="18" customHeight="1">
      <c r="A5005" s="2" t="inlineStr"/>
      <c r="B5005" s="2" t="inlineStr"/>
      <c r="C5005" s="2" t="inlineStr"/>
      <c r="D5005" s="2" t="inlineStr"/>
      <c r="E5005" s="26" t="inlineStr">
        <is>
          <t>TOTAL Equipamento Custo Horário:</t>
        </is>
      </c>
      <c r="F5005" s="56" t="n"/>
      <c r="G5005" s="68">
        <f>SUM(G5003:G5004)</f>
        <v/>
      </c>
    </row>
    <row r="5006" ht="15" customHeight="1">
      <c r="A5006" s="20" t="inlineStr">
        <is>
          <t>Material</t>
        </is>
      </c>
      <c r="B5006" s="56" t="n"/>
      <c r="C5006" s="21" t="inlineStr">
        <is>
          <t>FONTE</t>
        </is>
      </c>
      <c r="D5006" s="21" t="inlineStr">
        <is>
          <t>UNID</t>
        </is>
      </c>
      <c r="E5006" s="21" t="inlineStr">
        <is>
          <t>COEFICIENTE</t>
        </is>
      </c>
      <c r="F5006" s="21" t="inlineStr">
        <is>
          <t>PREÇO UNITÁRIO</t>
        </is>
      </c>
      <c r="G5006" s="21" t="inlineStr">
        <is>
          <t>TOTAL</t>
        </is>
      </c>
    </row>
    <row r="5007" ht="15" customHeight="1">
      <c r="A5007" s="22" t="inlineStr">
        <is>
          <t>I0111</t>
        </is>
      </c>
      <c r="B5007" s="23" t="inlineStr">
        <is>
          <t>AREIA VERMELHA</t>
        </is>
      </c>
      <c r="C5007" s="22" t="inlineStr">
        <is>
          <t>SEINFRA</t>
        </is>
      </c>
      <c r="D5007" s="22" t="inlineStr">
        <is>
          <t>M3</t>
        </is>
      </c>
      <c r="E5007" s="63" t="n">
        <v>1.1</v>
      </c>
      <c r="F5007" s="67">
        <f>ROUND(M5007*FATOR, 2)</f>
        <v/>
      </c>
      <c r="G5007" s="67">
        <f>ROUND(ROUND(E5007,8)*F5007,4)</f>
        <v/>
      </c>
      <c r="L5007" t="n">
        <v>1.1</v>
      </c>
      <c r="M5007" t="n">
        <v>70</v>
      </c>
      <c r="N5007">
        <f>(M5007-F5007)</f>
        <v/>
      </c>
    </row>
    <row r="5008" ht="15" customHeight="1">
      <c r="A5008" s="2" t="inlineStr"/>
      <c r="B5008" s="2" t="inlineStr"/>
      <c r="C5008" s="2" t="inlineStr"/>
      <c r="D5008" s="2" t="inlineStr"/>
      <c r="E5008" s="26" t="inlineStr">
        <is>
          <t>TOTAL Material:</t>
        </is>
      </c>
      <c r="F5008" s="56" t="n"/>
      <c r="G5008" s="68">
        <f>SUM(G5007:G5007)</f>
        <v/>
      </c>
    </row>
    <row r="5009" ht="15" customHeight="1">
      <c r="A5009" s="20" t="inlineStr">
        <is>
          <t>Mão de Obra</t>
        </is>
      </c>
      <c r="B5009" s="56" t="n"/>
      <c r="C5009" s="21" t="inlineStr">
        <is>
          <t>FONTE</t>
        </is>
      </c>
      <c r="D5009" s="21" t="inlineStr">
        <is>
          <t>UNID</t>
        </is>
      </c>
      <c r="E5009" s="21" t="inlineStr">
        <is>
          <t>COEFICIENTE</t>
        </is>
      </c>
      <c r="F5009" s="21" t="inlineStr">
        <is>
          <t>PREÇO UNITÁRIO</t>
        </is>
      </c>
      <c r="G5009" s="21" t="inlineStr">
        <is>
          <t>TOTAL</t>
        </is>
      </c>
    </row>
    <row r="5010" ht="15" customHeight="1">
      <c r="A5010" s="22" t="inlineStr">
        <is>
          <t>I2543</t>
        </is>
      </c>
      <c r="B5010" s="23" t="inlineStr">
        <is>
          <t>SERVENTE</t>
        </is>
      </c>
      <c r="C5010" s="22" t="inlineStr">
        <is>
          <t>SEINFRA</t>
        </is>
      </c>
      <c r="D5010" s="22" t="inlineStr">
        <is>
          <t>H</t>
        </is>
      </c>
      <c r="E5010" s="63">
        <f>L5010*FATOR</f>
        <v/>
      </c>
      <c r="F5010" s="67" t="n">
        <v>20.26</v>
      </c>
      <c r="G5010" s="67">
        <f>ROUND(ROUND(E5010,8)*F5010,4)</f>
        <v/>
      </c>
      <c r="L5010" t="n">
        <v>1.05</v>
      </c>
      <c r="M5010" t="n">
        <v>20.26</v>
      </c>
      <c r="N5010">
        <f>(M5010-F5010)</f>
        <v/>
      </c>
    </row>
    <row r="5011" ht="15" customHeight="1">
      <c r="A5011" s="2" t="inlineStr"/>
      <c r="B5011" s="2" t="inlineStr"/>
      <c r="C5011" s="2" t="inlineStr"/>
      <c r="D5011" s="2" t="inlineStr"/>
      <c r="E5011" s="26" t="inlineStr">
        <is>
          <t>TOTAL Mão de Obra:</t>
        </is>
      </c>
      <c r="F5011" s="56" t="n"/>
      <c r="G5011" s="68">
        <f>SUM(G5010:G5010)</f>
        <v/>
      </c>
    </row>
    <row r="5012" ht="15" customHeight="1">
      <c r="A5012" s="2" t="inlineStr"/>
      <c r="B5012" s="2" t="inlineStr"/>
      <c r="C5012" s="2" t="inlineStr"/>
      <c r="D5012" s="2" t="inlineStr"/>
      <c r="E5012" s="28" t="inlineStr">
        <is>
          <t>VALOR:</t>
        </is>
      </c>
      <c r="F5012" s="56" t="n"/>
      <c r="G5012" s="66">
        <f>SUM(G5008,G5011,G5005)</f>
        <v/>
      </c>
    </row>
    <row r="5013" ht="15" customHeight="1">
      <c r="A5013" s="2" t="inlineStr"/>
      <c r="B5013" s="2" t="inlineStr"/>
      <c r="C5013" s="2" t="inlineStr"/>
      <c r="D5013" s="2" t="inlineStr"/>
      <c r="E5013" s="28" t="inlineStr">
        <is>
          <t>VALOR BDI (23.08%):</t>
        </is>
      </c>
      <c r="F5013" s="56" t="n"/>
      <c r="G5013" s="66">
        <f>ROUNDDOWN(G5012*BDI,2)</f>
        <v/>
      </c>
    </row>
    <row r="5014" ht="15" customHeight="1">
      <c r="A5014" s="2" t="inlineStr"/>
      <c r="B5014" s="2" t="inlineStr"/>
      <c r="C5014" s="2" t="inlineStr"/>
      <c r="D5014" s="2" t="inlineStr"/>
      <c r="E5014" s="28" t="inlineStr">
        <is>
          <t>VALOR COM BDI:</t>
        </is>
      </c>
      <c r="F5014" s="56" t="n"/>
      <c r="G5014" s="66">
        <f>G5013 + G5012</f>
        <v/>
      </c>
    </row>
    <row r="5015" ht="10" customHeight="1">
      <c r="A5015" s="2" t="inlineStr"/>
      <c r="B5015" s="2" t="inlineStr"/>
      <c r="C5015" s="2" t="inlineStr"/>
      <c r="D5015" s="2" t="inlineStr"/>
      <c r="E5015" s="18" t="inlineStr"/>
    </row>
    <row r="5016" ht="20" customHeight="1">
      <c r="A5016" s="19" t="inlineStr">
        <is>
          <t>18.1.3. ​C0710​ CARGA MECANIZADA DE TERRA EM CAMINHÃO BASCULANTE​ (M3)</t>
        </is>
      </c>
      <c r="B5016" s="55" t="n"/>
      <c r="C5016" s="55" t="n"/>
      <c r="D5016" s="55" t="n"/>
      <c r="E5016" s="55" t="n"/>
      <c r="F5016" s="55" t="n"/>
      <c r="G5016" s="56" t="n"/>
    </row>
    <row r="5017" ht="15" customHeight="1">
      <c r="A5017" s="20" t="inlineStr">
        <is>
          <t>Equipamento Custo Horário</t>
        </is>
      </c>
      <c r="B5017" s="56" t="n"/>
      <c r="C5017" s="21" t="inlineStr">
        <is>
          <t>FONTE</t>
        </is>
      </c>
      <c r="D5017" s="21" t="inlineStr">
        <is>
          <t>UNID</t>
        </is>
      </c>
      <c r="E5017" s="21" t="inlineStr">
        <is>
          <t>COEFICIENTE</t>
        </is>
      </c>
      <c r="F5017" s="21" t="inlineStr">
        <is>
          <t>PREÇO UNITÁRIO</t>
        </is>
      </c>
      <c r="G5017" s="21" t="inlineStr">
        <is>
          <t>TOTAL</t>
        </is>
      </c>
    </row>
    <row r="5018" ht="15" customHeight="1">
      <c r="A5018" s="22" t="inlineStr">
        <is>
          <t>I0690</t>
        </is>
      </c>
      <c r="B5018" s="23" t="inlineStr">
        <is>
          <t>CAMINHÃO BASCULANTE 6 M3 (CHP)</t>
        </is>
      </c>
      <c r="C5018" s="22" t="inlineStr">
        <is>
          <t>SEINFRA</t>
        </is>
      </c>
      <c r="D5018" s="22" t="inlineStr">
        <is>
          <t>H</t>
        </is>
      </c>
      <c r="E5018" s="63" t="n">
        <v>0.0098</v>
      </c>
      <c r="F5018" s="67">
        <f>'COMPOSICOES AUXILIARES'!G809</f>
        <v/>
      </c>
      <c r="G5018" s="67">
        <f>ROUND(ROUND(E5018,8)*F5018,4)</f>
        <v/>
      </c>
      <c r="L5018" t="n">
        <v>0.0098</v>
      </c>
      <c r="M5018" t="n">
        <v>176.6602</v>
      </c>
      <c r="N5018">
        <f>(M5018-F5018)</f>
        <v/>
      </c>
    </row>
    <row r="5019" ht="15" customHeight="1">
      <c r="A5019" s="22" t="inlineStr">
        <is>
          <t>I0708</t>
        </is>
      </c>
      <c r="B5019" s="23" t="inlineStr">
        <is>
          <t>CARREGADEIRA DE PNEUS HP 111 (CHP)</t>
        </is>
      </c>
      <c r="C5019" s="22" t="inlineStr">
        <is>
          <t>SEINFRA</t>
        </is>
      </c>
      <c r="D5019" s="22" t="inlineStr">
        <is>
          <t>H</t>
        </is>
      </c>
      <c r="E5019" s="63" t="n">
        <v>0.0098</v>
      </c>
      <c r="F5019" s="67">
        <f>'COMPOSICOES AUXILIARES'!G955</f>
        <v/>
      </c>
      <c r="G5019" s="67">
        <f>ROUND(ROUND(E5019,8)*F5019,4)</f>
        <v/>
      </c>
      <c r="L5019" t="n">
        <v>0.0098</v>
      </c>
      <c r="M5019" t="n">
        <v>233.4827</v>
      </c>
      <c r="N5019">
        <f>(M5019-F5019)</f>
        <v/>
      </c>
    </row>
    <row r="5020" ht="18" customHeight="1">
      <c r="A5020" s="2" t="inlineStr"/>
      <c r="B5020" s="2" t="inlineStr"/>
      <c r="C5020" s="2" t="inlineStr"/>
      <c r="D5020" s="2" t="inlineStr"/>
      <c r="E5020" s="26" t="inlineStr">
        <is>
          <t>TOTAL Equipamento Custo Horário:</t>
        </is>
      </c>
      <c r="F5020" s="56" t="n"/>
      <c r="G5020" s="68">
        <f>SUM(G5018:G5019)</f>
        <v/>
      </c>
    </row>
    <row r="5021" ht="15" customHeight="1">
      <c r="A5021" s="20" t="inlineStr">
        <is>
          <t>Mão de Obra</t>
        </is>
      </c>
      <c r="B5021" s="56" t="n"/>
      <c r="C5021" s="21" t="inlineStr">
        <is>
          <t>FONTE</t>
        </is>
      </c>
      <c r="D5021" s="21" t="inlineStr">
        <is>
          <t>UNID</t>
        </is>
      </c>
      <c r="E5021" s="21" t="inlineStr">
        <is>
          <t>COEFICIENTE</t>
        </is>
      </c>
      <c r="F5021" s="21" t="inlineStr">
        <is>
          <t>PREÇO UNITÁRIO</t>
        </is>
      </c>
      <c r="G5021" s="21" t="inlineStr">
        <is>
          <t>TOTAL</t>
        </is>
      </c>
    </row>
    <row r="5022" ht="15" customHeight="1">
      <c r="A5022" s="22" t="inlineStr">
        <is>
          <t>I2543</t>
        </is>
      </c>
      <c r="B5022" s="23" t="inlineStr">
        <is>
          <t>SERVENTE</t>
        </is>
      </c>
      <c r="C5022" s="22" t="inlineStr">
        <is>
          <t>SEINFRA</t>
        </is>
      </c>
      <c r="D5022" s="22" t="inlineStr">
        <is>
          <t>H</t>
        </is>
      </c>
      <c r="E5022" s="63">
        <f>L5022*FATOR</f>
        <v/>
      </c>
      <c r="F5022" s="67" t="n">
        <v>20.26</v>
      </c>
      <c r="G5022" s="67">
        <f>ROUND(ROUND(E5022,8)*F5022,4)</f>
        <v/>
      </c>
      <c r="L5022" t="n">
        <v>0.0196</v>
      </c>
      <c r="M5022" t="n">
        <v>20.26</v>
      </c>
      <c r="N5022">
        <f>(M5022-F5022)</f>
        <v/>
      </c>
    </row>
    <row r="5023" ht="15" customHeight="1">
      <c r="A5023" s="2" t="inlineStr"/>
      <c r="B5023" s="2" t="inlineStr"/>
      <c r="C5023" s="2" t="inlineStr"/>
      <c r="D5023" s="2" t="inlineStr"/>
      <c r="E5023" s="26" t="inlineStr">
        <is>
          <t>TOTAL Mão de Obra:</t>
        </is>
      </c>
      <c r="F5023" s="56" t="n"/>
      <c r="G5023" s="68">
        <f>SUM(G5022:G5022)</f>
        <v/>
      </c>
    </row>
    <row r="5024" ht="15" customHeight="1">
      <c r="A5024" s="2" t="inlineStr"/>
      <c r="B5024" s="2" t="inlineStr"/>
      <c r="C5024" s="2" t="inlineStr"/>
      <c r="D5024" s="2" t="inlineStr"/>
      <c r="E5024" s="28" t="inlineStr">
        <is>
          <t>VALOR:</t>
        </is>
      </c>
      <c r="F5024" s="56" t="n"/>
      <c r="G5024" s="66">
        <f>SUM(G5020,G5023)</f>
        <v/>
      </c>
    </row>
    <row r="5025" ht="15" customHeight="1">
      <c r="A5025" s="2" t="inlineStr"/>
      <c r="B5025" s="2" t="inlineStr"/>
      <c r="C5025" s="2" t="inlineStr"/>
      <c r="D5025" s="2" t="inlineStr"/>
      <c r="E5025" s="28" t="inlineStr">
        <is>
          <t>VALOR BDI (23.08%):</t>
        </is>
      </c>
      <c r="F5025" s="56" t="n"/>
      <c r="G5025" s="66">
        <f>ROUNDDOWN(G5024*BDI,2)</f>
        <v/>
      </c>
    </row>
    <row r="5026" ht="15" customHeight="1">
      <c r="A5026" s="2" t="inlineStr"/>
      <c r="B5026" s="2" t="inlineStr"/>
      <c r="C5026" s="2" t="inlineStr"/>
      <c r="D5026" s="2" t="inlineStr"/>
      <c r="E5026" s="28" t="inlineStr">
        <is>
          <t>VALOR COM BDI:</t>
        </is>
      </c>
      <c r="F5026" s="56" t="n"/>
      <c r="G5026" s="66">
        <f>G5025 + G5024</f>
        <v/>
      </c>
    </row>
    <row r="5027" ht="10" customHeight="1">
      <c r="A5027" s="2" t="inlineStr"/>
      <c r="B5027" s="2" t="inlineStr"/>
      <c r="C5027" s="2" t="inlineStr"/>
      <c r="D5027" s="2" t="inlineStr"/>
      <c r="E5027" s="18" t="inlineStr"/>
    </row>
    <row r="5028" ht="20" customHeight="1">
      <c r="A5028" s="19" t="inlineStr">
        <is>
          <t>18.1.4. ​C2533​ TRANSPORTE DE MATERIAL, EXCETO ROCHA EM CAMINHÃO ATÉ 5 KM​ (M3)</t>
        </is>
      </c>
      <c r="B5028" s="55" t="n"/>
      <c r="C5028" s="55" t="n"/>
      <c r="D5028" s="55" t="n"/>
      <c r="E5028" s="55" t="n"/>
      <c r="F5028" s="55" t="n"/>
      <c r="G5028" s="56" t="n"/>
    </row>
    <row r="5029" ht="15" customHeight="1">
      <c r="A5029" s="20" t="inlineStr">
        <is>
          <t>Equipamento Custo Horário</t>
        </is>
      </c>
      <c r="B5029" s="56" t="n"/>
      <c r="C5029" s="21" t="inlineStr">
        <is>
          <t>FONTE</t>
        </is>
      </c>
      <c r="D5029" s="21" t="inlineStr">
        <is>
          <t>UNID</t>
        </is>
      </c>
      <c r="E5029" s="21" t="inlineStr">
        <is>
          <t>COEFICIENTE</t>
        </is>
      </c>
      <c r="F5029" s="21" t="inlineStr">
        <is>
          <t>PREÇO UNITÁRIO</t>
        </is>
      </c>
      <c r="G5029" s="21" t="inlineStr">
        <is>
          <t>TOTAL</t>
        </is>
      </c>
    </row>
    <row r="5030" ht="15" customHeight="1">
      <c r="A5030" s="22" t="inlineStr">
        <is>
          <t>I0690</t>
        </is>
      </c>
      <c r="B5030" s="23" t="inlineStr">
        <is>
          <t>CAMINHÃO BASCULANTE 6 M3 (CHP)</t>
        </is>
      </c>
      <c r="C5030" s="22" t="inlineStr">
        <is>
          <t>SEINFRA</t>
        </is>
      </c>
      <c r="D5030" s="22" t="inlineStr">
        <is>
          <t>H</t>
        </is>
      </c>
      <c r="E5030" s="63" t="n">
        <v>0.1852</v>
      </c>
      <c r="F5030" s="67">
        <f>'COMPOSICOES AUXILIARES'!G809</f>
        <v/>
      </c>
      <c r="G5030" s="67">
        <f>ROUND(ROUND(E5030,8)*F5030,4)</f>
        <v/>
      </c>
      <c r="L5030" t="n">
        <v>0.1852</v>
      </c>
      <c r="M5030" t="n">
        <v>176.6602</v>
      </c>
      <c r="N5030">
        <f>(M5030-F5030)</f>
        <v/>
      </c>
    </row>
    <row r="5031" ht="18" customHeight="1">
      <c r="A5031" s="2" t="inlineStr"/>
      <c r="B5031" s="2" t="inlineStr"/>
      <c r="C5031" s="2" t="inlineStr"/>
      <c r="D5031" s="2" t="inlineStr"/>
      <c r="E5031" s="26" t="inlineStr">
        <is>
          <t>TOTAL Equipamento Custo Horário:</t>
        </is>
      </c>
      <c r="F5031" s="56" t="n"/>
      <c r="G5031" s="68">
        <f>SUM(G5030:G5030)</f>
        <v/>
      </c>
    </row>
    <row r="5032" ht="15" customHeight="1">
      <c r="A5032" s="2" t="inlineStr"/>
      <c r="B5032" s="2" t="inlineStr"/>
      <c r="C5032" s="2" t="inlineStr"/>
      <c r="D5032" s="2" t="inlineStr"/>
      <c r="E5032" s="28" t="inlineStr">
        <is>
          <t>VALOR:</t>
        </is>
      </c>
      <c r="F5032" s="56" t="n"/>
      <c r="G5032" s="66">
        <f>SUM(G5031)</f>
        <v/>
      </c>
    </row>
    <row r="5033" ht="15" customHeight="1">
      <c r="A5033" s="2" t="inlineStr"/>
      <c r="B5033" s="2" t="inlineStr"/>
      <c r="C5033" s="2" t="inlineStr"/>
      <c r="D5033" s="2" t="inlineStr"/>
      <c r="E5033" s="28" t="inlineStr">
        <is>
          <t>VALOR BDI (23.08%):</t>
        </is>
      </c>
      <c r="F5033" s="56" t="n"/>
      <c r="G5033" s="66">
        <f>ROUNDDOWN(G5032*BDI,2)</f>
        <v/>
      </c>
    </row>
    <row r="5034" ht="15" customHeight="1">
      <c r="A5034" s="2" t="inlineStr"/>
      <c r="B5034" s="2" t="inlineStr"/>
      <c r="C5034" s="2" t="inlineStr"/>
      <c r="D5034" s="2" t="inlineStr"/>
      <c r="E5034" s="28" t="inlineStr">
        <is>
          <t>VALOR COM BDI:</t>
        </is>
      </c>
      <c r="F5034" s="56" t="n"/>
      <c r="G5034" s="66">
        <f>G5033 + G5032</f>
        <v/>
      </c>
    </row>
    <row r="5035" ht="10" customHeight="1">
      <c r="A5035" s="2" t="inlineStr"/>
      <c r="B5035" s="2" t="inlineStr"/>
      <c r="C5035" s="2" t="inlineStr"/>
      <c r="D5035" s="2" t="inlineStr"/>
      <c r="E5035" s="18" t="inlineStr"/>
    </row>
    <row r="5036" ht="20" customHeight="1">
      <c r="A5036" s="19" t="inlineStr">
        <is>
          <t>18.1.5. ​C5185​ DESTINAÇÃO FINAL DO RESÍDUO SOLIDO NÃO SEGREGADO EM TERRENO LICENCIADO - SEM TRANSPORTE​ (M3)</t>
        </is>
      </c>
      <c r="B5036" s="55" t="n"/>
      <c r="C5036" s="55" t="n"/>
      <c r="D5036" s="55" t="n"/>
      <c r="E5036" s="55" t="n"/>
      <c r="F5036" s="55" t="n"/>
      <c r="G5036" s="56" t="n"/>
    </row>
    <row r="5037" ht="15" customHeight="1">
      <c r="A5037" s="20" t="inlineStr">
        <is>
          <t>Material</t>
        </is>
      </c>
      <c r="B5037" s="56" t="n"/>
      <c r="C5037" s="21" t="inlineStr">
        <is>
          <t>FONTE</t>
        </is>
      </c>
      <c r="D5037" s="21" t="inlineStr">
        <is>
          <t>UNID</t>
        </is>
      </c>
      <c r="E5037" s="21" t="inlineStr">
        <is>
          <t>COEFICIENTE</t>
        </is>
      </c>
      <c r="F5037" s="21" t="inlineStr">
        <is>
          <t>PREÇO UNITÁRIO</t>
        </is>
      </c>
      <c r="G5037" s="21" t="inlineStr">
        <is>
          <t>TOTAL</t>
        </is>
      </c>
    </row>
    <row r="5038" ht="15" customHeight="1">
      <c r="A5038" s="22" t="inlineStr">
        <is>
          <t>I10260</t>
        </is>
      </c>
      <c r="B5038" s="23" t="inlineStr">
        <is>
          <t>RECEBIMENTO DE MATERIAL SEGREGADO</t>
        </is>
      </c>
      <c r="C5038" s="22" t="inlineStr">
        <is>
          <t>SEINFRA</t>
        </is>
      </c>
      <c r="D5038" s="22" t="inlineStr">
        <is>
          <t>M3</t>
        </is>
      </c>
      <c r="E5038" s="63" t="n">
        <v>1</v>
      </c>
      <c r="F5038" s="67">
        <f>ROUND(M5038*FATOR, 2)</f>
        <v/>
      </c>
      <c r="G5038" s="67">
        <f>ROUND(ROUND(E5038,8)*F5038,4)</f>
        <v/>
      </c>
      <c r="L5038" t="n">
        <v>1</v>
      </c>
      <c r="M5038" t="n">
        <v>11.2</v>
      </c>
      <c r="N5038">
        <f>(M5038-F5038)</f>
        <v/>
      </c>
    </row>
    <row r="5039" ht="15" customHeight="1">
      <c r="A5039" s="2" t="inlineStr"/>
      <c r="B5039" s="2" t="inlineStr"/>
      <c r="C5039" s="2" t="inlineStr"/>
      <c r="D5039" s="2" t="inlineStr"/>
      <c r="E5039" s="26" t="inlineStr">
        <is>
          <t>TOTAL Material:</t>
        </is>
      </c>
      <c r="F5039" s="56" t="n"/>
      <c r="G5039" s="68">
        <f>SUM(G5038:G5038)</f>
        <v/>
      </c>
    </row>
    <row r="5040" ht="15" customHeight="1">
      <c r="A5040" s="2" t="inlineStr"/>
      <c r="B5040" s="2" t="inlineStr"/>
      <c r="C5040" s="2" t="inlineStr"/>
      <c r="D5040" s="2" t="inlineStr"/>
      <c r="E5040" s="28" t="inlineStr">
        <is>
          <t>VALOR:</t>
        </is>
      </c>
      <c r="F5040" s="56" t="n"/>
      <c r="G5040" s="66">
        <f>SUM(G5039)</f>
        <v/>
      </c>
    </row>
    <row r="5041" ht="15" customHeight="1">
      <c r="A5041" s="2" t="inlineStr"/>
      <c r="B5041" s="2" t="inlineStr"/>
      <c r="C5041" s="2" t="inlineStr"/>
      <c r="D5041" s="2" t="inlineStr"/>
      <c r="E5041" s="28" t="inlineStr">
        <is>
          <t>VALOR BDI (23.08%):</t>
        </is>
      </c>
      <c r="F5041" s="56" t="n"/>
      <c r="G5041" s="66">
        <f>ROUNDDOWN(G5040*BDI,2)</f>
        <v/>
      </c>
    </row>
    <row r="5042" ht="15" customHeight="1">
      <c r="A5042" s="2" t="inlineStr"/>
      <c r="B5042" s="2" t="inlineStr"/>
      <c r="C5042" s="2" t="inlineStr"/>
      <c r="D5042" s="2" t="inlineStr"/>
      <c r="E5042" s="28" t="inlineStr">
        <is>
          <t>VALOR COM BDI:</t>
        </is>
      </c>
      <c r="F5042" s="56" t="n"/>
      <c r="G5042" s="66">
        <f>G5041 + G5040</f>
        <v/>
      </c>
    </row>
    <row r="5043" ht="10" customHeight="1">
      <c r="A5043" s="2" t="inlineStr"/>
      <c r="B5043" s="2" t="inlineStr"/>
      <c r="C5043" s="2" t="inlineStr"/>
      <c r="D5043" s="2" t="inlineStr"/>
      <c r="E5043" s="18" t="inlineStr"/>
    </row>
    <row r="5044" ht="20" customHeight="1">
      <c r="A5044" s="19" t="inlineStr">
        <is>
          <t>18.2.1. ​C4912​ MURO CONTORNO DE ALVENARIA E CONCRETO (PILAR+CINTA), REBOCADO, SEM PINTURA​ (M2)</t>
        </is>
      </c>
      <c r="B5044" s="55" t="n"/>
      <c r="C5044" s="55" t="n"/>
      <c r="D5044" s="55" t="n"/>
      <c r="E5044" s="55" t="n"/>
      <c r="F5044" s="55" t="n"/>
      <c r="G5044" s="56" t="n"/>
    </row>
    <row r="5045" ht="15" customHeight="1">
      <c r="A5045" s="20" t="inlineStr">
        <is>
          <t>Equipamento Custo Horário</t>
        </is>
      </c>
      <c r="B5045" s="56" t="n"/>
      <c r="C5045" s="21" t="inlineStr">
        <is>
          <t>FONTE</t>
        </is>
      </c>
      <c r="D5045" s="21" t="inlineStr">
        <is>
          <t>UNID</t>
        </is>
      </c>
      <c r="E5045" s="21" t="inlineStr">
        <is>
          <t>COEFICIENTE</t>
        </is>
      </c>
      <c r="F5045" s="21" t="inlineStr">
        <is>
          <t>PREÇO UNITÁRIO</t>
        </is>
      </c>
      <c r="G5045" s="21" t="inlineStr">
        <is>
          <t>TOTAL</t>
        </is>
      </c>
    </row>
    <row r="5046" ht="15" customHeight="1">
      <c r="A5046" s="22" t="inlineStr">
        <is>
          <t>I0682</t>
        </is>
      </c>
      <c r="B5046" s="23" t="inlineStr">
        <is>
          <t>BETONEIRA ELÉTRICA 580L (CHP)</t>
        </is>
      </c>
      <c r="C5046" s="22" t="inlineStr">
        <is>
          <t>SEINFRA</t>
        </is>
      </c>
      <c r="D5046" s="22" t="inlineStr">
        <is>
          <t>H</t>
        </is>
      </c>
      <c r="E5046" s="63" t="n">
        <v>0.03</v>
      </c>
      <c r="F5046" s="67">
        <f>'COMPOSICOES AUXILIARES'!G677</f>
        <v/>
      </c>
      <c r="G5046" s="67">
        <f>ROUND(ROUND(E5046,8)*F5046,4)</f>
        <v/>
      </c>
      <c r="L5046" t="n">
        <v>0.03</v>
      </c>
      <c r="M5046" t="n">
        <v>27.597</v>
      </c>
      <c r="N5046">
        <f>(M5046-F5046)</f>
        <v/>
      </c>
    </row>
    <row r="5047" ht="18" customHeight="1">
      <c r="A5047" s="2" t="inlineStr"/>
      <c r="B5047" s="2" t="inlineStr"/>
      <c r="C5047" s="2" t="inlineStr"/>
      <c r="D5047" s="2" t="inlineStr"/>
      <c r="E5047" s="26" t="inlineStr">
        <is>
          <t>TOTAL Equipamento Custo Horário:</t>
        </is>
      </c>
      <c r="F5047" s="56" t="n"/>
      <c r="G5047" s="68">
        <f>SUM(G5046:G5046)</f>
        <v/>
      </c>
    </row>
    <row r="5048" ht="15" customHeight="1">
      <c r="A5048" s="20" t="inlineStr">
        <is>
          <t>Material</t>
        </is>
      </c>
      <c r="B5048" s="56" t="n"/>
      <c r="C5048" s="21" t="inlineStr">
        <is>
          <t>FONTE</t>
        </is>
      </c>
      <c r="D5048" s="21" t="inlineStr">
        <is>
          <t>UNID</t>
        </is>
      </c>
      <c r="E5048" s="21" t="inlineStr">
        <is>
          <t>COEFICIENTE</t>
        </is>
      </c>
      <c r="F5048" s="21" t="inlineStr">
        <is>
          <t>PREÇO UNITÁRIO</t>
        </is>
      </c>
      <c r="G5048" s="21" t="inlineStr">
        <is>
          <t>TOTAL</t>
        </is>
      </c>
    </row>
    <row r="5049" ht="15" customHeight="1">
      <c r="A5049" s="22" t="inlineStr">
        <is>
          <t>I0163</t>
        </is>
      </c>
      <c r="B5049" s="23" t="inlineStr">
        <is>
          <t>AÇO CA-50</t>
        </is>
      </c>
      <c r="C5049" s="22" t="inlineStr">
        <is>
          <t>SEINFRA</t>
        </is>
      </c>
      <c r="D5049" s="22" t="inlineStr">
        <is>
          <t>KG</t>
        </is>
      </c>
      <c r="E5049" s="63" t="n">
        <v>2.18</v>
      </c>
      <c r="F5049" s="67">
        <f>ROUND(M5049*FATOR, 2)</f>
        <v/>
      </c>
      <c r="G5049" s="67">
        <f>ROUND(ROUND(E5049,8)*F5049,4)</f>
        <v/>
      </c>
      <c r="L5049" t="n">
        <v>2.18</v>
      </c>
      <c r="M5049" t="n">
        <v>7.1</v>
      </c>
      <c r="N5049">
        <f>(M5049-F5049)</f>
        <v/>
      </c>
    </row>
    <row r="5050" ht="15" customHeight="1">
      <c r="A5050" s="22" t="inlineStr">
        <is>
          <t>I0103</t>
        </is>
      </c>
      <c r="B5050" s="23" t="inlineStr">
        <is>
          <t>ARAME RECOZIDO N.18 BWG</t>
        </is>
      </c>
      <c r="C5050" s="22" t="inlineStr">
        <is>
          <t>SEINFRA</t>
        </is>
      </c>
      <c r="D5050" s="22" t="inlineStr">
        <is>
          <t>KG</t>
        </is>
      </c>
      <c r="E5050" s="63" t="n">
        <v>0.04</v>
      </c>
      <c r="F5050" s="67">
        <f>ROUND(M5050*FATOR, 2)</f>
        <v/>
      </c>
      <c r="G5050" s="67">
        <f>ROUND(ROUND(E5050,8)*F5050,4)</f>
        <v/>
      </c>
      <c r="L5050" t="n">
        <v>0.04</v>
      </c>
      <c r="M5050" t="n">
        <v>16.53</v>
      </c>
      <c r="N5050">
        <f>(M5050-F5050)</f>
        <v/>
      </c>
    </row>
    <row r="5051" ht="15" customHeight="1">
      <c r="A5051" s="22" t="inlineStr">
        <is>
          <t>I0108</t>
        </is>
      </c>
      <c r="B5051" s="23" t="inlineStr">
        <is>
          <t>AREIA GROSSA</t>
        </is>
      </c>
      <c r="C5051" s="22" t="inlineStr">
        <is>
          <t>SEINFRA</t>
        </is>
      </c>
      <c r="D5051" s="22" t="inlineStr">
        <is>
          <t>M3</t>
        </is>
      </c>
      <c r="E5051" s="63" t="n">
        <v>0.08</v>
      </c>
      <c r="F5051" s="67">
        <f>ROUND(M5051*FATOR, 2)</f>
        <v/>
      </c>
      <c r="G5051" s="67">
        <f>ROUND(ROUND(E5051,8)*F5051,4)</f>
        <v/>
      </c>
      <c r="L5051" t="n">
        <v>0.08</v>
      </c>
      <c r="M5051" t="n">
        <v>119.58</v>
      </c>
      <c r="N5051">
        <f>(M5051-F5051)</f>
        <v/>
      </c>
    </row>
    <row r="5052" ht="15" customHeight="1">
      <c r="A5052" s="22" t="inlineStr">
        <is>
          <t>I0109</t>
        </is>
      </c>
      <c r="B5052" s="23" t="inlineStr">
        <is>
          <t>AREIA MEDIA</t>
        </is>
      </c>
      <c r="C5052" s="22" t="inlineStr">
        <is>
          <t>SEINFRA</t>
        </is>
      </c>
      <c r="D5052" s="22" t="inlineStr">
        <is>
          <t>M3</t>
        </is>
      </c>
      <c r="E5052" s="63" t="n">
        <v>0.08500000000000001</v>
      </c>
      <c r="F5052" s="67">
        <f>ROUND(M5052*FATOR, 2)</f>
        <v/>
      </c>
      <c r="G5052" s="67">
        <f>ROUND(ROUND(E5052,8)*F5052,4)</f>
        <v/>
      </c>
      <c r="L5052" t="n">
        <v>0.08500000000000001</v>
      </c>
      <c r="M5052" t="n">
        <v>83.58</v>
      </c>
      <c r="N5052">
        <f>(M5052-F5052)</f>
        <v/>
      </c>
    </row>
    <row r="5053" ht="15" customHeight="1">
      <c r="A5053" s="22" t="inlineStr">
        <is>
          <t>I0280</t>
        </is>
      </c>
      <c r="B5053" s="23" t="inlineStr">
        <is>
          <t>BRITA</t>
        </is>
      </c>
      <c r="C5053" s="22" t="inlineStr">
        <is>
          <t>SEINFRA</t>
        </is>
      </c>
      <c r="D5053" s="22" t="inlineStr">
        <is>
          <t>M3</t>
        </is>
      </c>
      <c r="E5053" s="63" t="n">
        <v>0.03</v>
      </c>
      <c r="F5053" s="67">
        <f>ROUND(M5053*FATOR, 2)</f>
        <v/>
      </c>
      <c r="G5053" s="67">
        <f>ROUND(ROUND(E5053,8)*F5053,4)</f>
        <v/>
      </c>
      <c r="L5053" t="n">
        <v>0.03</v>
      </c>
      <c r="M5053" t="n">
        <v>100.5</v>
      </c>
      <c r="N5053">
        <f>(M5053-F5053)</f>
        <v/>
      </c>
    </row>
    <row r="5054" ht="15" customHeight="1">
      <c r="A5054" s="22" t="inlineStr">
        <is>
          <t>I0805</t>
        </is>
      </c>
      <c r="B5054" s="23" t="inlineStr">
        <is>
          <t>CIMENTO PORTLAND</t>
        </is>
      </c>
      <c r="C5054" s="22" t="inlineStr">
        <is>
          <t>SEINFRA</t>
        </is>
      </c>
      <c r="D5054" s="22" t="inlineStr">
        <is>
          <t>KG</t>
        </is>
      </c>
      <c r="E5054" s="63" t="n">
        <v>45</v>
      </c>
      <c r="F5054" s="67">
        <f>ROUND(M5054*FATOR, 2)</f>
        <v/>
      </c>
      <c r="G5054" s="67">
        <f>ROUND(ROUND(E5054,8)*F5054,4)</f>
        <v/>
      </c>
      <c r="L5054" t="n">
        <v>45</v>
      </c>
      <c r="M5054" t="n">
        <v>0.71</v>
      </c>
      <c r="N5054">
        <f>(M5054-F5054)</f>
        <v/>
      </c>
    </row>
    <row r="5055" ht="15" customHeight="1">
      <c r="A5055" s="22" t="inlineStr">
        <is>
          <t>I1600</t>
        </is>
      </c>
      <c r="B5055" s="23" t="inlineStr">
        <is>
          <t>PEDRA DE MÃO (RACHÃO)</t>
        </is>
      </c>
      <c r="C5055" s="22" t="inlineStr">
        <is>
          <t>SEINFRA</t>
        </is>
      </c>
      <c r="D5055" s="22" t="inlineStr">
        <is>
          <t>M3</t>
        </is>
      </c>
      <c r="E5055" s="63" t="n">
        <v>0.15</v>
      </c>
      <c r="F5055" s="67">
        <f>ROUND(M5055*FATOR, 2)</f>
        <v/>
      </c>
      <c r="G5055" s="67">
        <f>ROUND(ROUND(E5055,8)*F5055,4)</f>
        <v/>
      </c>
      <c r="L5055" t="n">
        <v>0.15</v>
      </c>
      <c r="M5055" t="n">
        <v>113.25</v>
      </c>
      <c r="N5055">
        <f>(M5055-F5055)</f>
        <v/>
      </c>
    </row>
    <row r="5056" ht="15" customHeight="1">
      <c r="A5056" s="22" t="inlineStr">
        <is>
          <t>I1605</t>
        </is>
      </c>
      <c r="B5056" s="23" t="inlineStr">
        <is>
          <t>PEDRISCO</t>
        </is>
      </c>
      <c r="C5056" s="22" t="inlineStr">
        <is>
          <t>SEINFRA</t>
        </is>
      </c>
      <c r="D5056" s="22" t="inlineStr">
        <is>
          <t>M3</t>
        </is>
      </c>
      <c r="E5056" s="63" t="n">
        <v>0.01</v>
      </c>
      <c r="F5056" s="67">
        <f>ROUND(M5056*FATOR, 2)</f>
        <v/>
      </c>
      <c r="G5056" s="67">
        <f>ROUND(ROUND(E5056,8)*F5056,4)</f>
        <v/>
      </c>
      <c r="L5056" t="n">
        <v>0.01</v>
      </c>
      <c r="M5056" t="n">
        <v>100.5</v>
      </c>
      <c r="N5056">
        <f>(M5056-F5056)</f>
        <v/>
      </c>
    </row>
    <row r="5057" ht="15" customHeight="1">
      <c r="A5057" s="22" t="inlineStr">
        <is>
          <t>I1917</t>
        </is>
      </c>
      <c r="B5057" s="23" t="inlineStr">
        <is>
          <t>TABUA DE 1" - L = 12cm</t>
        </is>
      </c>
      <c r="C5057" s="22" t="inlineStr">
        <is>
          <t>SEINFRA</t>
        </is>
      </c>
      <c r="D5057" s="22" t="inlineStr">
        <is>
          <t>M</t>
        </is>
      </c>
      <c r="E5057" s="63" t="n">
        <v>0.45</v>
      </c>
      <c r="F5057" s="67">
        <f>ROUND(M5057*FATOR, 2)</f>
        <v/>
      </c>
      <c r="G5057" s="67">
        <f>ROUND(ROUND(E5057,8)*F5057,4)</f>
        <v/>
      </c>
      <c r="L5057" t="n">
        <v>0.45</v>
      </c>
      <c r="M5057" t="n">
        <v>7.35</v>
      </c>
      <c r="N5057">
        <f>(M5057-F5057)</f>
        <v/>
      </c>
    </row>
    <row r="5058" ht="15" customHeight="1">
      <c r="A5058" s="22" t="inlineStr">
        <is>
          <t>I2081</t>
        </is>
      </c>
      <c r="B5058" s="23" t="inlineStr">
        <is>
          <t>TIJOLO CERÂMICO FURADO 9X19X19CM</t>
        </is>
      </c>
      <c r="C5058" s="22" t="inlineStr">
        <is>
          <t>SEINFRA</t>
        </is>
      </c>
      <c r="D5058" s="22" t="inlineStr">
        <is>
          <t>UN</t>
        </is>
      </c>
      <c r="E5058" s="63" t="n">
        <v>25</v>
      </c>
      <c r="F5058" s="67">
        <f>ROUND(M5058*FATOR, 2)</f>
        <v/>
      </c>
      <c r="G5058" s="67">
        <f>ROUND(ROUND(E5058,8)*F5058,4)</f>
        <v/>
      </c>
      <c r="L5058" t="n">
        <v>25</v>
      </c>
      <c r="M5058" t="n">
        <v>0.53</v>
      </c>
      <c r="N5058">
        <f>(M5058-F5058)</f>
        <v/>
      </c>
    </row>
    <row r="5059" ht="15" customHeight="1">
      <c r="A5059" s="22" t="inlineStr">
        <is>
          <t>I2082</t>
        </is>
      </c>
      <c r="B5059" s="23" t="inlineStr">
        <is>
          <t>TIJOLO MACIÇO COMUM</t>
        </is>
      </c>
      <c r="C5059" s="22" t="inlineStr">
        <is>
          <t>SEINFRA</t>
        </is>
      </c>
      <c r="D5059" s="22" t="inlineStr">
        <is>
          <t>UN</t>
        </is>
      </c>
      <c r="E5059" s="63" t="n">
        <v>18</v>
      </c>
      <c r="F5059" s="67">
        <f>ROUND(M5059*FATOR, 2)</f>
        <v/>
      </c>
      <c r="G5059" s="67">
        <f>ROUND(ROUND(E5059,8)*F5059,4)</f>
        <v/>
      </c>
      <c r="L5059" t="n">
        <v>18</v>
      </c>
      <c r="M5059" t="n">
        <v>0.47</v>
      </c>
      <c r="N5059">
        <f>(M5059-F5059)</f>
        <v/>
      </c>
    </row>
    <row r="5060" ht="15" customHeight="1">
      <c r="A5060" s="2" t="inlineStr"/>
      <c r="B5060" s="2" t="inlineStr"/>
      <c r="C5060" s="2" t="inlineStr"/>
      <c r="D5060" s="2" t="inlineStr"/>
      <c r="E5060" s="26" t="inlineStr">
        <is>
          <t>TOTAL Material:</t>
        </is>
      </c>
      <c r="F5060" s="56" t="n"/>
      <c r="G5060" s="68">
        <f>SUM(G5049:G5059)</f>
        <v/>
      </c>
    </row>
    <row r="5061" ht="15" customHeight="1">
      <c r="A5061" s="20" t="inlineStr">
        <is>
          <t>Mão de Obra</t>
        </is>
      </c>
      <c r="B5061" s="56" t="n"/>
      <c r="C5061" s="21" t="inlineStr">
        <is>
          <t>FONTE</t>
        </is>
      </c>
      <c r="D5061" s="21" t="inlineStr">
        <is>
          <t>UNID</t>
        </is>
      </c>
      <c r="E5061" s="21" t="inlineStr">
        <is>
          <t>COEFICIENTE</t>
        </is>
      </c>
      <c r="F5061" s="21" t="inlineStr">
        <is>
          <t>PREÇO UNITÁRIO</t>
        </is>
      </c>
      <c r="G5061" s="21" t="inlineStr">
        <is>
          <t>TOTAL</t>
        </is>
      </c>
    </row>
    <row r="5062" ht="15" customHeight="1">
      <c r="A5062" s="22" t="inlineStr">
        <is>
          <t>I0040</t>
        </is>
      </c>
      <c r="B5062" s="23" t="inlineStr">
        <is>
          <t>AJUDANTE DE ARMADOR/FERREIRO</t>
        </is>
      </c>
      <c r="C5062" s="22" t="inlineStr">
        <is>
          <t>SEINFRA</t>
        </is>
      </c>
      <c r="D5062" s="22" t="inlineStr">
        <is>
          <t>H</t>
        </is>
      </c>
      <c r="E5062" s="63">
        <f>L5062*FATOR</f>
        <v/>
      </c>
      <c r="F5062" s="67" t="n">
        <v>21.1</v>
      </c>
      <c r="G5062" s="67">
        <f>ROUND(ROUND(E5062,8)*F5062,4)</f>
        <v/>
      </c>
      <c r="L5062" t="n">
        <v>0.15</v>
      </c>
      <c r="M5062" t="n">
        <v>21.1</v>
      </c>
      <c r="N5062">
        <f>(M5062-F5062)</f>
        <v/>
      </c>
    </row>
    <row r="5063" ht="15" customHeight="1">
      <c r="A5063" s="22" t="inlineStr">
        <is>
          <t>I0121</t>
        </is>
      </c>
      <c r="B5063" s="23" t="inlineStr">
        <is>
          <t>ARMADOR/FERREIRO</t>
        </is>
      </c>
      <c r="C5063" s="22" t="inlineStr">
        <is>
          <t>SEINFRA</t>
        </is>
      </c>
      <c r="D5063" s="22" t="inlineStr">
        <is>
          <t>H</t>
        </is>
      </c>
      <c r="E5063" s="63">
        <f>L5063*FATOR</f>
        <v/>
      </c>
      <c r="F5063" s="67" t="n">
        <v>26.86</v>
      </c>
      <c r="G5063" s="67">
        <f>ROUND(ROUND(E5063,8)*F5063,4)</f>
        <v/>
      </c>
      <c r="L5063" t="n">
        <v>0.15</v>
      </c>
      <c r="M5063" t="n">
        <v>26.86</v>
      </c>
      <c r="N5063">
        <f>(M5063-F5063)</f>
        <v/>
      </c>
    </row>
    <row r="5064" ht="15" customHeight="1">
      <c r="A5064" s="22" t="inlineStr">
        <is>
          <t>I2391</t>
        </is>
      </c>
      <c r="B5064" s="23" t="inlineStr">
        <is>
          <t>PEDREIRO</t>
        </is>
      </c>
      <c r="C5064" s="22" t="inlineStr">
        <is>
          <t>SEINFRA</t>
        </is>
      </c>
      <c r="D5064" s="22" t="inlineStr">
        <is>
          <t>H</t>
        </is>
      </c>
      <c r="E5064" s="63">
        <f>L5064*FATOR</f>
        <v/>
      </c>
      <c r="F5064" s="67" t="n">
        <v>26.86</v>
      </c>
      <c r="G5064" s="67">
        <f>ROUND(ROUND(E5064,8)*F5064,4)</f>
        <v/>
      </c>
      <c r="L5064" t="n">
        <v>3.2</v>
      </c>
      <c r="M5064" t="n">
        <v>26.86</v>
      </c>
      <c r="N5064">
        <f>(M5064-F5064)</f>
        <v/>
      </c>
    </row>
    <row r="5065" ht="15" customHeight="1">
      <c r="A5065" s="22" t="inlineStr">
        <is>
          <t>I2543</t>
        </is>
      </c>
      <c r="B5065" s="23" t="inlineStr">
        <is>
          <t>SERVENTE</t>
        </is>
      </c>
      <c r="C5065" s="22" t="inlineStr">
        <is>
          <t>SEINFRA</t>
        </is>
      </c>
      <c r="D5065" s="22" t="inlineStr">
        <is>
          <t>H</t>
        </is>
      </c>
      <c r="E5065" s="63">
        <f>L5065*FATOR</f>
        <v/>
      </c>
      <c r="F5065" s="67" t="n">
        <v>20.26</v>
      </c>
      <c r="G5065" s="67">
        <f>ROUND(ROUND(E5065,8)*F5065,4)</f>
        <v/>
      </c>
      <c r="L5065" t="n">
        <v>5.2</v>
      </c>
      <c r="M5065" t="n">
        <v>20.26</v>
      </c>
      <c r="N5065">
        <f>(M5065-F5065)</f>
        <v/>
      </c>
    </row>
    <row r="5066" ht="15" customHeight="1">
      <c r="A5066" s="2" t="inlineStr"/>
      <c r="B5066" s="2" t="inlineStr"/>
      <c r="C5066" s="2" t="inlineStr"/>
      <c r="D5066" s="2" t="inlineStr"/>
      <c r="E5066" s="26" t="inlineStr">
        <is>
          <t>TOTAL Mão de Obra:</t>
        </is>
      </c>
      <c r="F5066" s="56" t="n"/>
      <c r="G5066" s="68">
        <f>SUM(G5062:G5065)</f>
        <v/>
      </c>
    </row>
    <row r="5067" ht="15" customHeight="1">
      <c r="A5067" s="2" t="inlineStr"/>
      <c r="B5067" s="2" t="inlineStr"/>
      <c r="C5067" s="2" t="inlineStr"/>
      <c r="D5067" s="2" t="inlineStr"/>
      <c r="E5067" s="28" t="inlineStr">
        <is>
          <t>VALOR:</t>
        </is>
      </c>
      <c r="F5067" s="56" t="n"/>
      <c r="G5067" s="66">
        <f>SUM(G5066,G5060,G5047)</f>
        <v/>
      </c>
    </row>
    <row r="5068" ht="15" customHeight="1">
      <c r="A5068" s="2" t="inlineStr"/>
      <c r="B5068" s="2" t="inlineStr"/>
      <c r="C5068" s="2" t="inlineStr"/>
      <c r="D5068" s="2" t="inlineStr"/>
      <c r="E5068" s="28" t="inlineStr">
        <is>
          <t>VALOR BDI (23.08%):</t>
        </is>
      </c>
      <c r="F5068" s="56" t="n"/>
      <c r="G5068" s="66">
        <f>ROUNDDOWN(G5067*BDI,2)</f>
        <v/>
      </c>
    </row>
    <row r="5069" ht="15" customHeight="1">
      <c r="A5069" s="2" t="inlineStr"/>
      <c r="B5069" s="2" t="inlineStr"/>
      <c r="C5069" s="2" t="inlineStr"/>
      <c r="D5069" s="2" t="inlineStr"/>
      <c r="E5069" s="28" t="inlineStr">
        <is>
          <t>VALOR COM BDI:</t>
        </is>
      </c>
      <c r="F5069" s="56" t="n"/>
      <c r="G5069" s="66">
        <f>G5068 + G5067</f>
        <v/>
      </c>
    </row>
    <row r="5070" ht="10" customHeight="1">
      <c r="A5070" s="2" t="inlineStr"/>
      <c r="B5070" s="2" t="inlineStr"/>
      <c r="C5070" s="2" t="inlineStr"/>
      <c r="D5070" s="2" t="inlineStr"/>
      <c r="E5070" s="18" t="inlineStr"/>
    </row>
    <row r="5071" ht="20" customHeight="1">
      <c r="A5071" s="19" t="inlineStr">
        <is>
          <t>18.2.2. ​C0773​ CHAPIM PRÉ-MOLDADO DE CONCRETO​ (M2)</t>
        </is>
      </c>
      <c r="B5071" s="55" t="n"/>
      <c r="C5071" s="55" t="n"/>
      <c r="D5071" s="55" t="n"/>
      <c r="E5071" s="55" t="n"/>
      <c r="F5071" s="55" t="n"/>
      <c r="G5071" s="56" t="n"/>
    </row>
    <row r="5072" ht="15" customHeight="1">
      <c r="A5072" s="20" t="inlineStr">
        <is>
          <t>Equipamento Custo Horário</t>
        </is>
      </c>
      <c r="B5072" s="56" t="n"/>
      <c r="C5072" s="21" t="inlineStr">
        <is>
          <t>FONTE</t>
        </is>
      </c>
      <c r="D5072" s="21" t="inlineStr">
        <is>
          <t>UNID</t>
        </is>
      </c>
      <c r="E5072" s="21" t="inlineStr">
        <is>
          <t>COEFICIENTE</t>
        </is>
      </c>
      <c r="F5072" s="21" t="inlineStr">
        <is>
          <t>PREÇO UNITÁRIO</t>
        </is>
      </c>
      <c r="G5072" s="21" t="inlineStr">
        <is>
          <t>TOTAL</t>
        </is>
      </c>
    </row>
    <row r="5073" ht="15" customHeight="1">
      <c r="A5073" s="22" t="inlineStr">
        <is>
          <t>I0682</t>
        </is>
      </c>
      <c r="B5073" s="23" t="inlineStr">
        <is>
          <t>BETONEIRA ELÉTRICA 580L (CHP)</t>
        </is>
      </c>
      <c r="C5073" s="22" t="inlineStr">
        <is>
          <t>SEINFRA</t>
        </is>
      </c>
      <c r="D5073" s="22" t="inlineStr">
        <is>
          <t>H</t>
        </is>
      </c>
      <c r="E5073" s="63" t="n">
        <v>0.02</v>
      </c>
      <c r="F5073" s="67">
        <f>'COMPOSICOES AUXILIARES'!G677</f>
        <v/>
      </c>
      <c r="G5073" s="67">
        <f>ROUND(ROUND(E5073,8)*F5073,4)</f>
        <v/>
      </c>
      <c r="L5073" t="n">
        <v>0.02</v>
      </c>
      <c r="M5073" t="n">
        <v>27.597</v>
      </c>
      <c r="N5073">
        <f>(M5073-F5073)</f>
        <v/>
      </c>
    </row>
    <row r="5074" ht="18" customHeight="1">
      <c r="A5074" s="2" t="inlineStr"/>
      <c r="B5074" s="2" t="inlineStr"/>
      <c r="C5074" s="2" t="inlineStr"/>
      <c r="D5074" s="2" t="inlineStr"/>
      <c r="E5074" s="26" t="inlineStr">
        <is>
          <t>TOTAL Equipamento Custo Horário:</t>
        </is>
      </c>
      <c r="F5074" s="56" t="n"/>
      <c r="G5074" s="68">
        <f>SUM(G5073:G5073)</f>
        <v/>
      </c>
    </row>
    <row r="5075" ht="15" customHeight="1">
      <c r="A5075" s="20" t="inlineStr">
        <is>
          <t>Material</t>
        </is>
      </c>
      <c r="B5075" s="56" t="n"/>
      <c r="C5075" s="21" t="inlineStr">
        <is>
          <t>FONTE</t>
        </is>
      </c>
      <c r="D5075" s="21" t="inlineStr">
        <is>
          <t>UNID</t>
        </is>
      </c>
      <c r="E5075" s="21" t="inlineStr">
        <is>
          <t>COEFICIENTE</t>
        </is>
      </c>
      <c r="F5075" s="21" t="inlineStr">
        <is>
          <t>PREÇO UNITÁRIO</t>
        </is>
      </c>
      <c r="G5075" s="21" t="inlineStr">
        <is>
          <t>TOTAL</t>
        </is>
      </c>
    </row>
    <row r="5076" ht="15" customHeight="1">
      <c r="A5076" s="22" t="inlineStr">
        <is>
          <t>I0163</t>
        </is>
      </c>
      <c r="B5076" s="23" t="inlineStr">
        <is>
          <t>AÇO CA-50</t>
        </is>
      </c>
      <c r="C5076" s="22" t="inlineStr">
        <is>
          <t>SEINFRA</t>
        </is>
      </c>
      <c r="D5076" s="22" t="inlineStr">
        <is>
          <t>KG</t>
        </is>
      </c>
      <c r="E5076" s="63" t="n">
        <v>1.35</v>
      </c>
      <c r="F5076" s="67">
        <f>ROUND(M5076*FATOR, 2)</f>
        <v/>
      </c>
      <c r="G5076" s="67">
        <f>ROUND(ROUND(E5076,8)*F5076,4)</f>
        <v/>
      </c>
      <c r="L5076" t="n">
        <v>1.35</v>
      </c>
      <c r="M5076" t="n">
        <v>7.1</v>
      </c>
      <c r="N5076">
        <f>(M5076-F5076)</f>
        <v/>
      </c>
    </row>
    <row r="5077" ht="15" customHeight="1">
      <c r="A5077" s="22" t="inlineStr">
        <is>
          <t>I0103</t>
        </is>
      </c>
      <c r="B5077" s="23" t="inlineStr">
        <is>
          <t>ARAME RECOZIDO N.18 BWG</t>
        </is>
      </c>
      <c r="C5077" s="22" t="inlineStr">
        <is>
          <t>SEINFRA</t>
        </is>
      </c>
      <c r="D5077" s="22" t="inlineStr">
        <is>
          <t>KG</t>
        </is>
      </c>
      <c r="E5077" s="63" t="n">
        <v>0.02</v>
      </c>
      <c r="F5077" s="67">
        <f>ROUND(M5077*FATOR, 2)</f>
        <v/>
      </c>
      <c r="G5077" s="67">
        <f>ROUND(ROUND(E5077,8)*F5077,4)</f>
        <v/>
      </c>
      <c r="L5077" t="n">
        <v>0.02</v>
      </c>
      <c r="M5077" t="n">
        <v>16.53</v>
      </c>
      <c r="N5077">
        <f>(M5077-F5077)</f>
        <v/>
      </c>
    </row>
    <row r="5078" ht="15" customHeight="1">
      <c r="A5078" s="22" t="inlineStr">
        <is>
          <t>I0108</t>
        </is>
      </c>
      <c r="B5078" s="23" t="inlineStr">
        <is>
          <t>AREIA GROSSA</t>
        </is>
      </c>
      <c r="C5078" s="22" t="inlineStr">
        <is>
          <t>SEINFRA</t>
        </is>
      </c>
      <c r="D5078" s="22" t="inlineStr">
        <is>
          <t>M3</t>
        </is>
      </c>
      <c r="E5078" s="63" t="n">
        <v>0.04</v>
      </c>
      <c r="F5078" s="67">
        <f>ROUND(M5078*FATOR, 2)</f>
        <v/>
      </c>
      <c r="G5078" s="67">
        <f>ROUND(ROUND(E5078,8)*F5078,4)</f>
        <v/>
      </c>
      <c r="L5078" t="n">
        <v>0.04</v>
      </c>
      <c r="M5078" t="n">
        <v>119.58</v>
      </c>
      <c r="N5078">
        <f>(M5078-F5078)</f>
        <v/>
      </c>
    </row>
    <row r="5079" ht="15" customHeight="1">
      <c r="A5079" s="22" t="inlineStr">
        <is>
          <t>I0528</t>
        </is>
      </c>
      <c r="B5079" s="23" t="inlineStr">
        <is>
          <t>CHAPA COMPENSADO RESINADO 10MM (1.10 X 2.20M)</t>
        </is>
      </c>
      <c r="C5079" s="22" t="inlineStr">
        <is>
          <t>SEINFRA</t>
        </is>
      </c>
      <c r="D5079" s="22" t="inlineStr">
        <is>
          <t>M2</t>
        </is>
      </c>
      <c r="E5079" s="63" t="n">
        <v>1</v>
      </c>
      <c r="F5079" s="67">
        <f>ROUND(M5079*FATOR, 2)</f>
        <v/>
      </c>
      <c r="G5079" s="67">
        <f>ROUND(ROUND(E5079,8)*F5079,4)</f>
        <v/>
      </c>
      <c r="L5079" t="n">
        <v>1</v>
      </c>
      <c r="M5079" t="n">
        <v>35.95</v>
      </c>
      <c r="N5079">
        <f>(M5079-F5079)</f>
        <v/>
      </c>
    </row>
    <row r="5080" ht="15" customHeight="1">
      <c r="A5080" s="22" t="inlineStr">
        <is>
          <t>I0805</t>
        </is>
      </c>
      <c r="B5080" s="23" t="inlineStr">
        <is>
          <t>CIMENTO PORTLAND</t>
        </is>
      </c>
      <c r="C5080" s="22" t="inlineStr">
        <is>
          <t>SEINFRA</t>
        </is>
      </c>
      <c r="D5080" s="22" t="inlineStr">
        <is>
          <t>KG</t>
        </is>
      </c>
      <c r="E5080" s="63" t="n">
        <v>17.36</v>
      </c>
      <c r="F5080" s="67">
        <f>ROUND(M5080*FATOR, 2)</f>
        <v/>
      </c>
      <c r="G5080" s="67">
        <f>ROUND(ROUND(E5080,8)*F5080,4)</f>
        <v/>
      </c>
      <c r="L5080" t="n">
        <v>17.36</v>
      </c>
      <c r="M5080" t="n">
        <v>0.71</v>
      </c>
      <c r="N5080">
        <f>(M5080-F5080)</f>
        <v/>
      </c>
    </row>
    <row r="5081" ht="15" customHeight="1">
      <c r="A5081" s="22" t="inlineStr">
        <is>
          <t>I1605</t>
        </is>
      </c>
      <c r="B5081" s="23" t="inlineStr">
        <is>
          <t>PEDRISCO</t>
        </is>
      </c>
      <c r="C5081" s="22" t="inlineStr">
        <is>
          <t>SEINFRA</t>
        </is>
      </c>
      <c r="D5081" s="22" t="inlineStr">
        <is>
          <t>M3</t>
        </is>
      </c>
      <c r="E5081" s="63" t="n">
        <v>0.09</v>
      </c>
      <c r="F5081" s="67">
        <f>ROUND(M5081*FATOR, 2)</f>
        <v/>
      </c>
      <c r="G5081" s="67">
        <f>ROUND(ROUND(E5081,8)*F5081,4)</f>
        <v/>
      </c>
      <c r="L5081" t="n">
        <v>0.09</v>
      </c>
      <c r="M5081" t="n">
        <v>100.5</v>
      </c>
      <c r="N5081">
        <f>(M5081-F5081)</f>
        <v/>
      </c>
    </row>
    <row r="5082" ht="15" customHeight="1">
      <c r="A5082" s="22" t="inlineStr">
        <is>
          <t>I1724</t>
        </is>
      </c>
      <c r="B5082" s="23" t="inlineStr">
        <is>
          <t>PREGO</t>
        </is>
      </c>
      <c r="C5082" s="22" t="inlineStr">
        <is>
          <t>SEINFRA</t>
        </is>
      </c>
      <c r="D5082" s="22" t="inlineStr">
        <is>
          <t>KG</t>
        </is>
      </c>
      <c r="E5082" s="63" t="n">
        <v>0.02</v>
      </c>
      <c r="F5082" s="67">
        <f>ROUND(M5082*FATOR, 2)</f>
        <v/>
      </c>
      <c r="G5082" s="67">
        <f>ROUND(ROUND(E5082,8)*F5082,4)</f>
        <v/>
      </c>
      <c r="L5082" t="n">
        <v>0.02</v>
      </c>
      <c r="M5082" t="n">
        <v>17</v>
      </c>
      <c r="N5082">
        <f>(M5082-F5082)</f>
        <v/>
      </c>
    </row>
    <row r="5083" ht="15" customHeight="1">
      <c r="A5083" s="2" t="inlineStr"/>
      <c r="B5083" s="2" t="inlineStr"/>
      <c r="C5083" s="2" t="inlineStr"/>
      <c r="D5083" s="2" t="inlineStr"/>
      <c r="E5083" s="26" t="inlineStr">
        <is>
          <t>TOTAL Material:</t>
        </is>
      </c>
      <c r="F5083" s="56" t="n"/>
      <c r="G5083" s="68">
        <f>SUM(G5076:G5082)</f>
        <v/>
      </c>
    </row>
    <row r="5084" ht="15" customHeight="1">
      <c r="A5084" s="20" t="inlineStr">
        <is>
          <t>Mão de Obra</t>
        </is>
      </c>
      <c r="B5084" s="56" t="n"/>
      <c r="C5084" s="21" t="inlineStr">
        <is>
          <t>FONTE</t>
        </is>
      </c>
      <c r="D5084" s="21" t="inlineStr">
        <is>
          <t>UNID</t>
        </is>
      </c>
      <c r="E5084" s="21" t="inlineStr">
        <is>
          <t>COEFICIENTE</t>
        </is>
      </c>
      <c r="F5084" s="21" t="inlineStr">
        <is>
          <t>PREÇO UNITÁRIO</t>
        </is>
      </c>
      <c r="G5084" s="21" t="inlineStr">
        <is>
          <t>TOTAL</t>
        </is>
      </c>
    </row>
    <row r="5085" ht="15" customHeight="1">
      <c r="A5085" s="22" t="inlineStr">
        <is>
          <t>I0121</t>
        </is>
      </c>
      <c r="B5085" s="23" t="inlineStr">
        <is>
          <t>ARMADOR/FERREIRO</t>
        </is>
      </c>
      <c r="C5085" s="22" t="inlineStr">
        <is>
          <t>SEINFRA</t>
        </is>
      </c>
      <c r="D5085" s="22" t="inlineStr">
        <is>
          <t>H</t>
        </is>
      </c>
      <c r="E5085" s="63">
        <f>L5085*FATOR</f>
        <v/>
      </c>
      <c r="F5085" s="67" t="n">
        <v>26.86</v>
      </c>
      <c r="G5085" s="67">
        <f>ROUND(ROUND(E5085,8)*F5085,4)</f>
        <v/>
      </c>
      <c r="L5085" t="n">
        <v>0.8</v>
      </c>
      <c r="M5085" t="n">
        <v>26.86</v>
      </c>
      <c r="N5085">
        <f>(M5085-F5085)</f>
        <v/>
      </c>
    </row>
    <row r="5086" ht="15" customHeight="1">
      <c r="A5086" s="22" t="inlineStr">
        <is>
          <t>I0498</t>
        </is>
      </c>
      <c r="B5086" s="23" t="inlineStr">
        <is>
          <t>CARPINTEIRO</t>
        </is>
      </c>
      <c r="C5086" s="22" t="inlineStr">
        <is>
          <t>SEINFRA</t>
        </is>
      </c>
      <c r="D5086" s="22" t="inlineStr">
        <is>
          <t>H</t>
        </is>
      </c>
      <c r="E5086" s="63">
        <f>L5086*FATOR</f>
        <v/>
      </c>
      <c r="F5086" s="67" t="n">
        <v>26.86</v>
      </c>
      <c r="G5086" s="67">
        <f>ROUND(ROUND(E5086,8)*F5086,4)</f>
        <v/>
      </c>
      <c r="L5086" t="n">
        <v>0.7</v>
      </c>
      <c r="M5086" t="n">
        <v>26.86</v>
      </c>
      <c r="N5086">
        <f>(M5086-F5086)</f>
        <v/>
      </c>
    </row>
    <row r="5087" ht="15" customHeight="1">
      <c r="A5087" s="22" t="inlineStr">
        <is>
          <t>I2391</t>
        </is>
      </c>
      <c r="B5087" s="23" t="inlineStr">
        <is>
          <t>PEDREIRO</t>
        </is>
      </c>
      <c r="C5087" s="22" t="inlineStr">
        <is>
          <t>SEINFRA</t>
        </is>
      </c>
      <c r="D5087" s="22" t="inlineStr">
        <is>
          <t>H</t>
        </is>
      </c>
      <c r="E5087" s="63">
        <f>L5087*FATOR</f>
        <v/>
      </c>
      <c r="F5087" s="67" t="n">
        <v>26.86</v>
      </c>
      <c r="G5087" s="67">
        <f>ROUND(ROUND(E5087,8)*F5087,4)</f>
        <v/>
      </c>
      <c r="L5087" t="n">
        <v>0.3</v>
      </c>
      <c r="M5087" t="n">
        <v>26.86</v>
      </c>
      <c r="N5087">
        <f>(M5087-F5087)</f>
        <v/>
      </c>
    </row>
    <row r="5088" ht="15" customHeight="1">
      <c r="A5088" s="22" t="inlineStr">
        <is>
          <t>I2543</t>
        </is>
      </c>
      <c r="B5088" s="23" t="inlineStr">
        <is>
          <t>SERVENTE</t>
        </is>
      </c>
      <c r="C5088" s="22" t="inlineStr">
        <is>
          <t>SEINFRA</t>
        </is>
      </c>
      <c r="D5088" s="22" t="inlineStr">
        <is>
          <t>H</t>
        </is>
      </c>
      <c r="E5088" s="63">
        <f>L5088*FATOR</f>
        <v/>
      </c>
      <c r="F5088" s="67" t="n">
        <v>20.26</v>
      </c>
      <c r="G5088" s="67">
        <f>ROUND(ROUND(E5088,8)*F5088,4)</f>
        <v/>
      </c>
      <c r="L5088" t="n">
        <v>1.1</v>
      </c>
      <c r="M5088" t="n">
        <v>20.26</v>
      </c>
      <c r="N5088">
        <f>(M5088-F5088)</f>
        <v/>
      </c>
    </row>
    <row r="5089" ht="15" customHeight="1">
      <c r="A5089" s="2" t="inlineStr"/>
      <c r="B5089" s="2" t="inlineStr"/>
      <c r="C5089" s="2" t="inlineStr"/>
      <c r="D5089" s="2" t="inlineStr"/>
      <c r="E5089" s="26" t="inlineStr">
        <is>
          <t>TOTAL Mão de Obra:</t>
        </is>
      </c>
      <c r="F5089" s="56" t="n"/>
      <c r="G5089" s="68">
        <f>SUM(G5085:G5088)</f>
        <v/>
      </c>
    </row>
    <row r="5090" ht="15" customHeight="1">
      <c r="A5090" s="2" t="inlineStr"/>
      <c r="B5090" s="2" t="inlineStr"/>
      <c r="C5090" s="2" t="inlineStr"/>
      <c r="D5090" s="2" t="inlineStr"/>
      <c r="E5090" s="28" t="inlineStr">
        <is>
          <t>VALOR:</t>
        </is>
      </c>
      <c r="F5090" s="56" t="n"/>
      <c r="G5090" s="66">
        <f>SUM(G5089,G5074,G5083)</f>
        <v/>
      </c>
    </row>
    <row r="5091" ht="15" customHeight="1">
      <c r="A5091" s="2" t="inlineStr"/>
      <c r="B5091" s="2" t="inlineStr"/>
      <c r="C5091" s="2" t="inlineStr"/>
      <c r="D5091" s="2" t="inlineStr"/>
      <c r="E5091" s="28" t="inlineStr">
        <is>
          <t>VALOR BDI (23.08%):</t>
        </is>
      </c>
      <c r="F5091" s="56" t="n"/>
      <c r="G5091" s="66">
        <f>ROUNDDOWN(G5090*BDI,2)</f>
        <v/>
      </c>
    </row>
    <row r="5092" ht="15" customHeight="1">
      <c r="A5092" s="2" t="inlineStr"/>
      <c r="B5092" s="2" t="inlineStr"/>
      <c r="C5092" s="2" t="inlineStr"/>
      <c r="D5092" s="2" t="inlineStr"/>
      <c r="E5092" s="28" t="inlineStr">
        <is>
          <t>VALOR COM BDI:</t>
        </is>
      </c>
      <c r="F5092" s="56" t="n"/>
      <c r="G5092" s="66">
        <f>G5091 + G5090</f>
        <v/>
      </c>
    </row>
    <row r="5093" ht="10" customHeight="1">
      <c r="A5093" s="2" t="inlineStr"/>
      <c r="B5093" s="2" t="inlineStr"/>
      <c r="C5093" s="2" t="inlineStr"/>
      <c r="D5093" s="2" t="inlineStr"/>
      <c r="E5093" s="18" t="inlineStr"/>
    </row>
    <row r="5094" ht="20" customHeight="1">
      <c r="A5094" s="19" t="inlineStr">
        <is>
          <t>18.2.3. ​C2461​ TEXTURA ACRÍLICA 1 DEMÃO EM PAREDES EXTERNAS​ (M2)</t>
        </is>
      </c>
      <c r="B5094" s="55" t="n"/>
      <c r="C5094" s="55" t="n"/>
      <c r="D5094" s="55" t="n"/>
      <c r="E5094" s="55" t="n"/>
      <c r="F5094" s="55" t="n"/>
      <c r="G5094" s="56" t="n"/>
    </row>
    <row r="5095" ht="15" customHeight="1">
      <c r="A5095" s="20" t="inlineStr">
        <is>
          <t>Material</t>
        </is>
      </c>
      <c r="B5095" s="56" t="n"/>
      <c r="C5095" s="21" t="inlineStr">
        <is>
          <t>FONTE</t>
        </is>
      </c>
      <c r="D5095" s="21" t="inlineStr">
        <is>
          <t>UNID</t>
        </is>
      </c>
      <c r="E5095" s="21" t="inlineStr">
        <is>
          <t>COEFICIENTE</t>
        </is>
      </c>
      <c r="F5095" s="21" t="inlineStr">
        <is>
          <t>PREÇO UNITÁRIO</t>
        </is>
      </c>
      <c r="G5095" s="21" t="inlineStr">
        <is>
          <t>TOTAL</t>
        </is>
      </c>
    </row>
    <row r="5096" ht="15" customHeight="1">
      <c r="A5096" s="22" t="inlineStr">
        <is>
          <t>I1856</t>
        </is>
      </c>
      <c r="B5096" s="23" t="inlineStr">
        <is>
          <t>SELADOR ACRÍLICO</t>
        </is>
      </c>
      <c r="C5096" s="22" t="inlineStr">
        <is>
          <t>SEINFRA</t>
        </is>
      </c>
      <c r="D5096" s="22" t="inlineStr">
        <is>
          <t>L</t>
        </is>
      </c>
      <c r="E5096" s="63" t="n">
        <v>0.19</v>
      </c>
      <c r="F5096" s="67">
        <f>ROUND(M5096*FATOR, 2)</f>
        <v/>
      </c>
      <c r="G5096" s="67">
        <f>ROUND(ROUND(E5096,8)*F5096,4)</f>
        <v/>
      </c>
      <c r="L5096" t="n">
        <v>0.19</v>
      </c>
      <c r="M5096" t="n">
        <v>7.14</v>
      </c>
      <c r="N5096">
        <f>(M5096-F5096)</f>
        <v/>
      </c>
    </row>
    <row r="5097" ht="15" customHeight="1">
      <c r="A5097" s="22" t="inlineStr">
        <is>
          <t>I2079</t>
        </is>
      </c>
      <c r="B5097" s="23" t="inlineStr">
        <is>
          <t>TEXTURA ACRÍLICA</t>
        </is>
      </c>
      <c r="C5097" s="22" t="inlineStr">
        <is>
          <t>SEINFRA</t>
        </is>
      </c>
      <c r="D5097" s="22" t="inlineStr">
        <is>
          <t>KG</t>
        </is>
      </c>
      <c r="E5097" s="63" t="n">
        <v>0.31</v>
      </c>
      <c r="F5097" s="67">
        <f>ROUND(M5097*FATOR, 2)</f>
        <v/>
      </c>
      <c r="G5097" s="67">
        <f>ROUND(ROUND(E5097,8)*F5097,4)</f>
        <v/>
      </c>
      <c r="L5097" t="n">
        <v>0.31</v>
      </c>
      <c r="M5097" t="n">
        <v>4.47</v>
      </c>
      <c r="N5097">
        <f>(M5097-F5097)</f>
        <v/>
      </c>
    </row>
    <row r="5098" ht="15" customHeight="1">
      <c r="A5098" s="2" t="inlineStr"/>
      <c r="B5098" s="2" t="inlineStr"/>
      <c r="C5098" s="2" t="inlineStr"/>
      <c r="D5098" s="2" t="inlineStr"/>
      <c r="E5098" s="26" t="inlineStr">
        <is>
          <t>TOTAL Material:</t>
        </is>
      </c>
      <c r="F5098" s="56" t="n"/>
      <c r="G5098" s="68">
        <f>SUM(G5096:G5097)</f>
        <v/>
      </c>
    </row>
    <row r="5099" ht="15" customHeight="1">
      <c r="A5099" s="20" t="inlineStr">
        <is>
          <t>Mão de Obra</t>
        </is>
      </c>
      <c r="B5099" s="56" t="n"/>
      <c r="C5099" s="21" t="inlineStr">
        <is>
          <t>FONTE</t>
        </is>
      </c>
      <c r="D5099" s="21" t="inlineStr">
        <is>
          <t>UNID</t>
        </is>
      </c>
      <c r="E5099" s="21" t="inlineStr">
        <is>
          <t>COEFICIENTE</t>
        </is>
      </c>
      <c r="F5099" s="21" t="inlineStr">
        <is>
          <t>PREÇO UNITÁRIO</t>
        </is>
      </c>
      <c r="G5099" s="21" t="inlineStr">
        <is>
          <t>TOTAL</t>
        </is>
      </c>
    </row>
    <row r="5100" ht="15" customHeight="1">
      <c r="A5100" s="22" t="inlineStr">
        <is>
          <t>I0045</t>
        </is>
      </c>
      <c r="B5100" s="23" t="inlineStr">
        <is>
          <t>AJUDANTE DE PINTOR</t>
        </is>
      </c>
      <c r="C5100" s="22" t="inlineStr">
        <is>
          <t>SEINFRA</t>
        </is>
      </c>
      <c r="D5100" s="22" t="inlineStr">
        <is>
          <t>H</t>
        </is>
      </c>
      <c r="E5100" s="63">
        <f>L5100*FATOR</f>
        <v/>
      </c>
      <c r="F5100" s="67" t="n">
        <v>21.1</v>
      </c>
      <c r="G5100" s="67">
        <f>ROUND(ROUND(E5100,8)*F5100,4)</f>
        <v/>
      </c>
      <c r="L5100" t="n">
        <v>0.2</v>
      </c>
      <c r="M5100" t="n">
        <v>21.1</v>
      </c>
      <c r="N5100">
        <f>(M5100-F5100)</f>
        <v/>
      </c>
    </row>
    <row r="5101" ht="15" customHeight="1">
      <c r="A5101" s="22" t="inlineStr">
        <is>
          <t>I2395</t>
        </is>
      </c>
      <c r="B5101" s="23" t="inlineStr">
        <is>
          <t>PINTOR</t>
        </is>
      </c>
      <c r="C5101" s="22" t="inlineStr">
        <is>
          <t>SEINFRA</t>
        </is>
      </c>
      <c r="D5101" s="22" t="inlineStr">
        <is>
          <t>H</t>
        </is>
      </c>
      <c r="E5101" s="63">
        <f>L5101*FATOR</f>
        <v/>
      </c>
      <c r="F5101" s="67" t="n">
        <v>26.86</v>
      </c>
      <c r="G5101" s="67">
        <f>ROUND(ROUND(E5101,8)*F5101,4)</f>
        <v/>
      </c>
      <c r="L5101" t="n">
        <v>0.3</v>
      </c>
      <c r="M5101" t="n">
        <v>26.86</v>
      </c>
      <c r="N5101">
        <f>(M5101-F5101)</f>
        <v/>
      </c>
    </row>
    <row r="5102" ht="15" customHeight="1">
      <c r="A5102" s="2" t="inlineStr"/>
      <c r="B5102" s="2" t="inlineStr"/>
      <c r="C5102" s="2" t="inlineStr"/>
      <c r="D5102" s="2" t="inlineStr"/>
      <c r="E5102" s="26" t="inlineStr">
        <is>
          <t>TOTAL Mão de Obra:</t>
        </is>
      </c>
      <c r="F5102" s="56" t="n"/>
      <c r="G5102" s="68">
        <f>SUM(G5100:G5101)</f>
        <v/>
      </c>
    </row>
    <row r="5103" ht="15" customHeight="1">
      <c r="A5103" s="2" t="inlineStr"/>
      <c r="B5103" s="2" t="inlineStr"/>
      <c r="C5103" s="2" t="inlineStr"/>
      <c r="D5103" s="2" t="inlineStr"/>
      <c r="E5103" s="28" t="inlineStr">
        <is>
          <t>VALOR:</t>
        </is>
      </c>
      <c r="F5103" s="56" t="n"/>
      <c r="G5103" s="66">
        <f>SUM(G5098,G5102)</f>
        <v/>
      </c>
    </row>
    <row r="5104" ht="15" customHeight="1">
      <c r="A5104" s="2" t="inlineStr"/>
      <c r="B5104" s="2" t="inlineStr"/>
      <c r="C5104" s="2" t="inlineStr"/>
      <c r="D5104" s="2" t="inlineStr"/>
      <c r="E5104" s="28" t="inlineStr">
        <is>
          <t>VALOR BDI (23.08%):</t>
        </is>
      </c>
      <c r="F5104" s="56" t="n"/>
      <c r="G5104" s="66">
        <f>ROUNDDOWN(G5103*BDI,2)</f>
        <v/>
      </c>
    </row>
    <row r="5105" ht="15" customHeight="1">
      <c r="A5105" s="2" t="inlineStr"/>
      <c r="B5105" s="2" t="inlineStr"/>
      <c r="C5105" s="2" t="inlineStr"/>
      <c r="D5105" s="2" t="inlineStr"/>
      <c r="E5105" s="28" t="inlineStr">
        <is>
          <t>VALOR COM BDI:</t>
        </is>
      </c>
      <c r="F5105" s="56" t="n"/>
      <c r="G5105" s="66">
        <f>G5104 + G5103</f>
        <v/>
      </c>
    </row>
    <row r="5106" ht="10" customHeight="1">
      <c r="A5106" s="2" t="inlineStr"/>
      <c r="B5106" s="2" t="inlineStr"/>
      <c r="C5106" s="2" t="inlineStr"/>
      <c r="D5106" s="2" t="inlineStr"/>
      <c r="E5106" s="18" t="inlineStr"/>
    </row>
    <row r="5107" ht="20" customHeight="1">
      <c r="A5107" s="19" t="inlineStr">
        <is>
          <t>18.3.1. ​C4819​ PISO INTERTRAVADO TIPO TIJOLINHO (20X10X6)CM 35MPA, COR CINZA - COMPACTAÇÃO MECANIZADA​ (M2)</t>
        </is>
      </c>
      <c r="B5107" s="55" t="n"/>
      <c r="C5107" s="55" t="n"/>
      <c r="D5107" s="55" t="n"/>
      <c r="E5107" s="55" t="n"/>
      <c r="F5107" s="55" t="n"/>
      <c r="G5107" s="56" t="n"/>
    </row>
    <row r="5108" ht="15" customHeight="1">
      <c r="A5108" s="20" t="inlineStr">
        <is>
          <t>Equipamento Custo Horário</t>
        </is>
      </c>
      <c r="B5108" s="56" t="n"/>
      <c r="C5108" s="21" t="inlineStr">
        <is>
          <t>FONTE</t>
        </is>
      </c>
      <c r="D5108" s="21" t="inlineStr">
        <is>
          <t>UNID</t>
        </is>
      </c>
      <c r="E5108" s="21" t="inlineStr">
        <is>
          <t>COEFICIENTE</t>
        </is>
      </c>
      <c r="F5108" s="21" t="inlineStr">
        <is>
          <t>PREÇO UNITÁRIO</t>
        </is>
      </c>
      <c r="G5108" s="21" t="inlineStr">
        <is>
          <t>TOTAL</t>
        </is>
      </c>
    </row>
    <row r="5109" ht="15" customHeight="1">
      <c r="A5109" s="22" t="inlineStr">
        <is>
          <t>I0612</t>
        </is>
      </c>
      <c r="B5109" s="23" t="inlineStr">
        <is>
          <t>COMPACTADOR DE PLACA VIBRATÓRIA HP 7 (CHI)</t>
        </is>
      </c>
      <c r="C5109" s="22" t="inlineStr">
        <is>
          <t>SEINFRA</t>
        </is>
      </c>
      <c r="D5109" s="22" t="inlineStr">
        <is>
          <t>H</t>
        </is>
      </c>
      <c r="E5109" s="63" t="n">
        <v>0.0757</v>
      </c>
      <c r="F5109" s="67">
        <f>'COMPOSICOES AUXILIARES'!G965</f>
        <v/>
      </c>
      <c r="G5109" s="67">
        <f>ROUND(ROUND(E5109,8)*F5109,4)</f>
        <v/>
      </c>
      <c r="L5109" t="n">
        <v>0.0757</v>
      </c>
      <c r="M5109" t="n">
        <v>34.8011</v>
      </c>
      <c r="N5109">
        <f>(M5109-F5109)</f>
        <v/>
      </c>
    </row>
    <row r="5110" ht="15" customHeight="1">
      <c r="A5110" s="22" t="inlineStr">
        <is>
          <t>I0725</t>
        </is>
      </c>
      <c r="B5110" s="23" t="inlineStr">
        <is>
          <t>COMPACTADOR DE PLACA VIBRATÓRIA HP 7 (CHP)</t>
        </is>
      </c>
      <c r="C5110" s="22" t="inlineStr">
        <is>
          <t>SEINFRA</t>
        </is>
      </c>
      <c r="D5110" s="22" t="inlineStr">
        <is>
          <t>H</t>
        </is>
      </c>
      <c r="E5110" s="63" t="n">
        <v>0.0041</v>
      </c>
      <c r="F5110" s="67">
        <f>'COMPOSICOES AUXILIARES'!G965</f>
        <v/>
      </c>
      <c r="G5110" s="67">
        <f>ROUND(ROUND(E5110,8)*F5110,4)</f>
        <v/>
      </c>
      <c r="L5110" t="n">
        <v>0.0041</v>
      </c>
      <c r="M5110" t="n">
        <v>51.5141</v>
      </c>
      <c r="N5110">
        <f>(M5110-F5110)</f>
        <v/>
      </c>
    </row>
    <row r="5111" ht="18" customHeight="1">
      <c r="A5111" s="2" t="inlineStr"/>
      <c r="B5111" s="2" t="inlineStr"/>
      <c r="C5111" s="2" t="inlineStr"/>
      <c r="D5111" s="2" t="inlineStr"/>
      <c r="E5111" s="26" t="inlineStr">
        <is>
          <t>TOTAL Equipamento Custo Horário:</t>
        </is>
      </c>
      <c r="F5111" s="56" t="n"/>
      <c r="G5111" s="68">
        <f>SUM(G5109:G5110)</f>
        <v/>
      </c>
    </row>
    <row r="5112" ht="15" customHeight="1">
      <c r="A5112" s="20" t="inlineStr">
        <is>
          <t>Material</t>
        </is>
      </c>
      <c r="B5112" s="56" t="n"/>
      <c r="C5112" s="21" t="inlineStr">
        <is>
          <t>FONTE</t>
        </is>
      </c>
      <c r="D5112" s="21" t="inlineStr">
        <is>
          <t>UNID</t>
        </is>
      </c>
      <c r="E5112" s="21" t="inlineStr">
        <is>
          <t>COEFICIENTE</t>
        </is>
      </c>
      <c r="F5112" s="21" t="inlineStr">
        <is>
          <t>PREÇO UNITÁRIO</t>
        </is>
      </c>
      <c r="G5112" s="21" t="inlineStr">
        <is>
          <t>TOTAL</t>
        </is>
      </c>
    </row>
    <row r="5113" ht="15" customHeight="1">
      <c r="A5113" s="22" t="inlineStr">
        <is>
          <t>I0109</t>
        </is>
      </c>
      <c r="B5113" s="23" t="inlineStr">
        <is>
          <t>AREIA MEDIA</t>
        </is>
      </c>
      <c r="C5113" s="22" t="inlineStr">
        <is>
          <t>SEINFRA</t>
        </is>
      </c>
      <c r="D5113" s="22" t="inlineStr">
        <is>
          <t>M3</t>
        </is>
      </c>
      <c r="E5113" s="63" t="n">
        <v>0.0568</v>
      </c>
      <c r="F5113" s="67">
        <f>ROUND(M5113*FATOR, 2)</f>
        <v/>
      </c>
      <c r="G5113" s="67">
        <f>ROUND(ROUND(E5113,8)*F5113,4)</f>
        <v/>
      </c>
      <c r="L5113" t="n">
        <v>0.0568</v>
      </c>
      <c r="M5113" t="n">
        <v>83.58</v>
      </c>
      <c r="N5113">
        <f>(M5113-F5113)</f>
        <v/>
      </c>
    </row>
    <row r="5114" ht="38" customHeight="1">
      <c r="A5114" s="22" t="inlineStr">
        <is>
          <t>I9099</t>
        </is>
      </c>
      <c r="B5114" s="23" t="inlineStr">
        <is>
          <t>BLOQUETE/PISO INTERTRAVADO DE CONCRETO - MODELO RETANGULAR/TIJOLINHO/PAVER/HOLANDES/PARALELEPIPEDO, 20 CM X 10 CM, E = 6 CM, RESISTENCIA DE 35 MPA (NBR 9781), COR NATURAL</t>
        </is>
      </c>
      <c r="C5114" s="22" t="inlineStr">
        <is>
          <t>SEINFRA</t>
        </is>
      </c>
      <c r="D5114" s="22" t="inlineStr">
        <is>
          <t>M2</t>
        </is>
      </c>
      <c r="E5114" s="63" t="n">
        <v>1.0031</v>
      </c>
      <c r="F5114" s="67">
        <f>ROUND(M5114*FATOR, 2)</f>
        <v/>
      </c>
      <c r="G5114" s="67">
        <f>ROUND(ROUND(E5114,8)*F5114,4)</f>
        <v/>
      </c>
      <c r="L5114" t="n">
        <v>1.0031</v>
      </c>
      <c r="M5114" t="n">
        <v>40.73</v>
      </c>
      <c r="N5114">
        <f>(M5114-F5114)</f>
        <v/>
      </c>
    </row>
    <row r="5115" ht="15" customHeight="1">
      <c r="A5115" s="22" t="inlineStr">
        <is>
          <t>I2403</t>
        </is>
      </c>
      <c r="B5115" s="23" t="inlineStr">
        <is>
          <t>PÓ DE PEDRA</t>
        </is>
      </c>
      <c r="C5115" s="22" t="inlineStr">
        <is>
          <t>SEINFRA</t>
        </is>
      </c>
      <c r="D5115" s="22" t="inlineStr">
        <is>
          <t>M3</t>
        </is>
      </c>
      <c r="E5115" s="63" t="n">
        <v>0.0065</v>
      </c>
      <c r="F5115" s="67">
        <f>ROUND(M5115*FATOR, 2)</f>
        <v/>
      </c>
      <c r="G5115" s="67">
        <f>ROUND(ROUND(E5115,8)*F5115,4)</f>
        <v/>
      </c>
      <c r="L5115" t="n">
        <v>0.0065</v>
      </c>
      <c r="M5115" t="n">
        <v>77.13</v>
      </c>
      <c r="N5115">
        <f>(M5115-F5115)</f>
        <v/>
      </c>
    </row>
    <row r="5116" ht="15" customHeight="1">
      <c r="A5116" s="2" t="inlineStr"/>
      <c r="B5116" s="2" t="inlineStr"/>
      <c r="C5116" s="2" t="inlineStr"/>
      <c r="D5116" s="2" t="inlineStr"/>
      <c r="E5116" s="26" t="inlineStr">
        <is>
          <t>TOTAL Material:</t>
        </is>
      </c>
      <c r="F5116" s="56" t="n"/>
      <c r="G5116" s="68">
        <f>SUM(G5113:G5115)</f>
        <v/>
      </c>
    </row>
    <row r="5117" ht="15" customHeight="1">
      <c r="A5117" s="20" t="inlineStr">
        <is>
          <t>Mão de Obra</t>
        </is>
      </c>
      <c r="B5117" s="56" t="n"/>
      <c r="C5117" s="21" t="inlineStr">
        <is>
          <t>FONTE</t>
        </is>
      </c>
      <c r="D5117" s="21" t="inlineStr">
        <is>
          <t>UNID</t>
        </is>
      </c>
      <c r="E5117" s="21" t="inlineStr">
        <is>
          <t>COEFICIENTE</t>
        </is>
      </c>
      <c r="F5117" s="21" t="inlineStr">
        <is>
          <t>PREÇO UNITÁRIO</t>
        </is>
      </c>
      <c r="G5117" s="21" t="inlineStr">
        <is>
          <t>TOTAL</t>
        </is>
      </c>
    </row>
    <row r="5118" ht="15" customHeight="1">
      <c r="A5118" s="22" t="inlineStr">
        <is>
          <t>I0445</t>
        </is>
      </c>
      <c r="B5118" s="23" t="inlineStr">
        <is>
          <t>CALCETEIRO</t>
        </is>
      </c>
      <c r="C5118" s="22" t="inlineStr">
        <is>
          <t>SEINFRA</t>
        </is>
      </c>
      <c r="D5118" s="22" t="inlineStr">
        <is>
          <t>H</t>
        </is>
      </c>
      <c r="E5118" s="63">
        <f>L5118*FATOR</f>
        <v/>
      </c>
      <c r="F5118" s="67" t="n">
        <v>26.86</v>
      </c>
      <c r="G5118" s="67">
        <f>ROUND(ROUND(E5118,8)*F5118,4)</f>
        <v/>
      </c>
      <c r="L5118" t="n">
        <v>0.1595</v>
      </c>
      <c r="M5118" t="n">
        <v>26.86</v>
      </c>
      <c r="N5118">
        <f>(M5118-F5118)</f>
        <v/>
      </c>
    </row>
    <row r="5119" ht="15" customHeight="1">
      <c r="A5119" s="22" t="inlineStr">
        <is>
          <t>I2543</t>
        </is>
      </c>
      <c r="B5119" s="23" t="inlineStr">
        <is>
          <t>SERVENTE</t>
        </is>
      </c>
      <c r="C5119" s="22" t="inlineStr">
        <is>
          <t>SEINFRA</t>
        </is>
      </c>
      <c r="D5119" s="22" t="inlineStr">
        <is>
          <t>H</t>
        </is>
      </c>
      <c r="E5119" s="63">
        <f>L5119*FATOR</f>
        <v/>
      </c>
      <c r="F5119" s="67" t="n">
        <v>20.26</v>
      </c>
      <c r="G5119" s="67">
        <f>ROUND(ROUND(E5119,8)*F5119,4)</f>
        <v/>
      </c>
      <c r="L5119" t="n">
        <v>0.1595</v>
      </c>
      <c r="M5119" t="n">
        <v>20.26</v>
      </c>
      <c r="N5119">
        <f>(M5119-F5119)</f>
        <v/>
      </c>
    </row>
    <row r="5120" ht="15" customHeight="1">
      <c r="A5120" s="2" t="inlineStr"/>
      <c r="B5120" s="2" t="inlineStr"/>
      <c r="C5120" s="2" t="inlineStr"/>
      <c r="D5120" s="2" t="inlineStr"/>
      <c r="E5120" s="26" t="inlineStr">
        <is>
          <t>TOTAL Mão de Obra:</t>
        </is>
      </c>
      <c r="F5120" s="56" t="n"/>
      <c r="G5120" s="68">
        <f>SUM(G5118:G5119)</f>
        <v/>
      </c>
    </row>
    <row r="5121" ht="15" customHeight="1">
      <c r="A5121" s="2" t="inlineStr"/>
      <c r="B5121" s="2" t="inlineStr"/>
      <c r="C5121" s="2" t="inlineStr"/>
      <c r="D5121" s="2" t="inlineStr"/>
      <c r="E5121" s="28" t="inlineStr">
        <is>
          <t>VALOR:</t>
        </is>
      </c>
      <c r="F5121" s="56" t="n"/>
      <c r="G5121" s="66">
        <f>SUM(G5120,G5116,G5111)</f>
        <v/>
      </c>
    </row>
    <row r="5122" ht="15" customHeight="1">
      <c r="A5122" s="2" t="inlineStr"/>
      <c r="B5122" s="2" t="inlineStr"/>
      <c r="C5122" s="2" t="inlineStr"/>
      <c r="D5122" s="2" t="inlineStr"/>
      <c r="E5122" s="28" t="inlineStr">
        <is>
          <t>VALOR BDI (23.08%):</t>
        </is>
      </c>
      <c r="F5122" s="56" t="n"/>
      <c r="G5122" s="66">
        <f>ROUNDDOWN(G5121*BDI,2)</f>
        <v/>
      </c>
    </row>
    <row r="5123" ht="15" customHeight="1">
      <c r="A5123" s="2" t="inlineStr"/>
      <c r="B5123" s="2" t="inlineStr"/>
      <c r="C5123" s="2" t="inlineStr"/>
      <c r="D5123" s="2" t="inlineStr"/>
      <c r="E5123" s="28" t="inlineStr">
        <is>
          <t>VALOR COM BDI:</t>
        </is>
      </c>
      <c r="F5123" s="56" t="n"/>
      <c r="G5123" s="66">
        <f>G5122 + G5121</f>
        <v/>
      </c>
    </row>
    <row r="5124"/>
  </sheetData>
  <mergeCells count="3388">
    <mergeCell ref="E3532:F3532"/>
    <mergeCell ref="A3883:B3883"/>
    <mergeCell ref="E2352:G2352"/>
    <mergeCell ref="E4595:G4595"/>
    <mergeCell ref="A4944:B4944"/>
    <mergeCell ref="A3428:B3428"/>
    <mergeCell ref="E834:F834"/>
    <mergeCell ref="A1221:G1221"/>
    <mergeCell ref="A3123:B3123"/>
    <mergeCell ref="E4005:F4005"/>
    <mergeCell ref="E2946:F2946"/>
    <mergeCell ref="E3288:F3288"/>
    <mergeCell ref="E836:F836"/>
    <mergeCell ref="E2218:F2218"/>
    <mergeCell ref="E2193:F2193"/>
    <mergeCell ref="E1134:F1134"/>
    <mergeCell ref="E3586:F3586"/>
    <mergeCell ref="A4367:G4367"/>
    <mergeCell ref="E4015:F4015"/>
    <mergeCell ref="A5094:G5094"/>
    <mergeCell ref="E2825:G2825"/>
    <mergeCell ref="E3700:F3700"/>
    <mergeCell ref="E2106:F2106"/>
    <mergeCell ref="E5066:F5066"/>
    <mergeCell ref="E4305:F4305"/>
    <mergeCell ref="E3588:F3588"/>
    <mergeCell ref="E3886:F3886"/>
    <mergeCell ref="E3708:F3708"/>
    <mergeCell ref="E3253:G3253"/>
    <mergeCell ref="A3156:B3156"/>
    <mergeCell ref="E3245:F3245"/>
    <mergeCell ref="A2055:B2055"/>
    <mergeCell ref="A1661:B1661"/>
    <mergeCell ref="E2520:F2520"/>
    <mergeCell ref="E2818:F2818"/>
    <mergeCell ref="E1759:F1759"/>
    <mergeCell ref="A4928:B4928"/>
    <mergeCell ref="A1234:B1234"/>
    <mergeCell ref="E3881:G3881"/>
    <mergeCell ref="E2088:F2088"/>
    <mergeCell ref="E1056:F1056"/>
    <mergeCell ref="A3441:B3441"/>
    <mergeCell ref="E1187:F1187"/>
    <mergeCell ref="A3963:G3963"/>
    <mergeCell ref="E847:F847"/>
    <mergeCell ref="E1783:F1783"/>
    <mergeCell ref="E2675:F2675"/>
    <mergeCell ref="A3536:G3536"/>
    <mergeCell ref="E4364:F4364"/>
    <mergeCell ref="E1362:F1362"/>
    <mergeCell ref="E303:F303"/>
    <mergeCell ref="A52:G52"/>
    <mergeCell ref="A4726:G4726"/>
    <mergeCell ref="E3301:F3301"/>
    <mergeCell ref="E417:F417"/>
    <mergeCell ref="A1381:B1381"/>
    <mergeCell ref="E1785:F1785"/>
    <mergeCell ref="E5121:F5121"/>
    <mergeCell ref="E3632:F3632"/>
    <mergeCell ref="E4658:F4658"/>
    <mergeCell ref="E3930:F3930"/>
    <mergeCell ref="E2846:F2846"/>
    <mergeCell ref="E3932:F3932"/>
    <mergeCell ref="E4232:G4232"/>
    <mergeCell ref="A2353:G2353"/>
    <mergeCell ref="A4255:B4255"/>
    <mergeCell ref="A949:B949"/>
    <mergeCell ref="A3171:B3171"/>
    <mergeCell ref="E3746:F3746"/>
    <mergeCell ref="A2139:B2139"/>
    <mergeCell ref="E900:F900"/>
    <mergeCell ref="A1682:B1682"/>
    <mergeCell ref="E1198:F1198"/>
    <mergeCell ref="E443:F443"/>
    <mergeCell ref="A1676:B1676"/>
    <mergeCell ref="A2196:G2196"/>
    <mergeCell ref="A4141:G4141"/>
    <mergeCell ref="A4897:B4897"/>
    <mergeCell ref="A4439:G4439"/>
    <mergeCell ref="E16:F16"/>
    <mergeCell ref="E4684:F4684"/>
    <mergeCell ref="E2599:F2599"/>
    <mergeCell ref="E1206:F1206"/>
    <mergeCell ref="A3678:G3678"/>
    <mergeCell ref="E472:F472"/>
    <mergeCell ref="E18:F18"/>
    <mergeCell ref="E4992:G4992"/>
    <mergeCell ref="E3958:F3958"/>
    <mergeCell ref="E2261:F2261"/>
    <mergeCell ref="E774:G774"/>
    <mergeCell ref="E19:G19"/>
    <mergeCell ref="E772:F772"/>
    <mergeCell ref="A1394:B1394"/>
    <mergeCell ref="E3355:F3355"/>
    <mergeCell ref="E4387:F4387"/>
    <mergeCell ref="E2778:G2778"/>
    <mergeCell ref="E4721:F4721"/>
    <mergeCell ref="E3960:F3960"/>
    <mergeCell ref="E4258:F4258"/>
    <mergeCell ref="A2795:B2795"/>
    <mergeCell ref="A2679:G2679"/>
    <mergeCell ref="A3099:B3099"/>
    <mergeCell ref="E3190:G3190"/>
    <mergeCell ref="A3391:B3391"/>
    <mergeCell ref="A668:B668"/>
    <mergeCell ref="A2884:B2884"/>
    <mergeCell ref="E2763:G2763"/>
    <mergeCell ref="A3704:G3704"/>
    <mergeCell ref="A3978:B3978"/>
    <mergeCell ref="E2166:G2166"/>
    <mergeCell ref="E1856:F1856"/>
    <mergeCell ref="A1308:B1308"/>
    <mergeCell ref="A437:G437"/>
    <mergeCell ref="E919:F919"/>
    <mergeCell ref="E4891:G4891"/>
    <mergeCell ref="E2917:F2917"/>
    <mergeCell ref="E1885:F1885"/>
    <mergeCell ref="E492:F492"/>
    <mergeCell ref="E1428:F1428"/>
    <mergeCell ref="E3373:F3373"/>
    <mergeCell ref="E2612:F2612"/>
    <mergeCell ref="E527:F527"/>
    <mergeCell ref="A2064:B2064"/>
    <mergeCell ref="E1884:F1884"/>
    <mergeCell ref="E3216:G3216"/>
    <mergeCell ref="E3068:F3068"/>
    <mergeCell ref="E2191:F2191"/>
    <mergeCell ref="A3908:G3908"/>
    <mergeCell ref="E4398:F4398"/>
    <mergeCell ref="A4663:G4663"/>
    <mergeCell ref="E4434:F4434"/>
    <mergeCell ref="A4482:C4482"/>
    <mergeCell ref="E3673:F3673"/>
    <mergeCell ref="E4311:F4311"/>
    <mergeCell ref="A1753:B1753"/>
    <mergeCell ref="A696:B696"/>
    <mergeCell ref="E2315:F2315"/>
    <mergeCell ref="A3996:B3996"/>
    <mergeCell ref="A994:B994"/>
    <mergeCell ref="A1174:G1174"/>
    <mergeCell ref="A2385:B2385"/>
    <mergeCell ref="A1448:B1448"/>
    <mergeCell ref="E4004:F4004"/>
    <mergeCell ref="E4006:G4006"/>
    <mergeCell ref="E543:F543"/>
    <mergeCell ref="E1270:F1270"/>
    <mergeCell ref="A2725:G2725"/>
    <mergeCell ref="E4029:F4029"/>
    <mergeCell ref="A4507:B4507"/>
    <mergeCell ref="A3023:G3023"/>
    <mergeCell ref="A4805:B4805"/>
    <mergeCell ref="A2204:B2204"/>
    <mergeCell ref="A4027:B4027"/>
    <mergeCell ref="E843:F843"/>
    <mergeCell ref="E126:F126"/>
    <mergeCell ref="E388:G388"/>
    <mergeCell ref="E3086:F3086"/>
    <mergeCell ref="E2969:F2969"/>
    <mergeCell ref="E1272:F1272"/>
    <mergeCell ref="E2325:F2325"/>
    <mergeCell ref="E240:F240"/>
    <mergeCell ref="E853:F853"/>
    <mergeCell ref="E4031:F4031"/>
    <mergeCell ref="E5090:F5090"/>
    <mergeCell ref="E3303:F3303"/>
    <mergeCell ref="A4079:B4079"/>
    <mergeCell ref="E967:F967"/>
    <mergeCell ref="E4487:F4487"/>
    <mergeCell ref="E4785:F4785"/>
    <mergeCell ref="E3726:F3726"/>
    <mergeCell ref="E4030:F4030"/>
    <mergeCell ref="E3386:F3386"/>
    <mergeCell ref="E540:F540"/>
    <mergeCell ref="A1808:B1808"/>
    <mergeCell ref="E2028:F2028"/>
    <mergeCell ref="E3597:F3597"/>
    <mergeCell ref="E5093:G5093"/>
    <mergeCell ref="E4338:G4338"/>
    <mergeCell ref="E419:G419"/>
    <mergeCell ref="E4032:F4032"/>
    <mergeCell ref="A1161:B1161"/>
    <mergeCell ref="E2423:G2423"/>
    <mergeCell ref="E1899:F1899"/>
    <mergeCell ref="A1766:B1766"/>
    <mergeCell ref="E869:F869"/>
    <mergeCell ref="A321:B321"/>
    <mergeCell ref="E4632:G4632"/>
    <mergeCell ref="A3922:B3922"/>
    <mergeCell ref="E1955:F1955"/>
    <mergeCell ref="E1169:F1169"/>
    <mergeCell ref="E4469:F4469"/>
    <mergeCell ref="E2384:F2384"/>
    <mergeCell ref="A4533:G4533"/>
    <mergeCell ref="A4831:G4831"/>
    <mergeCell ref="A2289:G2289"/>
    <mergeCell ref="A3196:B3196"/>
    <mergeCell ref="A289:B289"/>
    <mergeCell ref="E4042:F4042"/>
    <mergeCell ref="E3287:F3287"/>
    <mergeCell ref="A2733:B2733"/>
    <mergeCell ref="E4200:F4200"/>
    <mergeCell ref="A4678:B4678"/>
    <mergeCell ref="E4498:F4498"/>
    <mergeCell ref="E3166:G3166"/>
    <mergeCell ref="E2982:F2982"/>
    <mergeCell ref="E4629:F4629"/>
    <mergeCell ref="E1075:G1075"/>
    <mergeCell ref="E3018:F3018"/>
    <mergeCell ref="E3289:F3289"/>
    <mergeCell ref="E1204:F1204"/>
    <mergeCell ref="A760:B760"/>
    <mergeCell ref="E3316:F3316"/>
    <mergeCell ref="E2861:G2861"/>
    <mergeCell ref="E470:F470"/>
    <mergeCell ref="E1496:F1496"/>
    <mergeCell ref="E4500:F4500"/>
    <mergeCell ref="E4045:G4045"/>
    <mergeCell ref="E3290:G3290"/>
    <mergeCell ref="E2984:F2984"/>
    <mergeCell ref="E3739:F3739"/>
    <mergeCell ref="E4043:F4043"/>
    <mergeCell ref="E3282:F3282"/>
    <mergeCell ref="E1197:F1197"/>
    <mergeCell ref="E4717:F4717"/>
    <mergeCell ref="E4798:F4798"/>
    <mergeCell ref="A7:B7"/>
    <mergeCell ref="A3191:G3191"/>
    <mergeCell ref="A2275:B2275"/>
    <mergeCell ref="E770:F770"/>
    <mergeCell ref="E5106:G5106"/>
    <mergeCell ref="A3402:G3402"/>
    <mergeCell ref="A2764:G2764"/>
    <mergeCell ref="A1705:G1705"/>
    <mergeCell ref="E1983:F1983"/>
    <mergeCell ref="A2003:G2003"/>
    <mergeCell ref="A1486:G1486"/>
    <mergeCell ref="E3044:F3044"/>
    <mergeCell ref="E1985:F1985"/>
    <mergeCell ref="A3180:B3180"/>
    <mergeCell ref="E1670:F1670"/>
    <mergeCell ref="E3313:F3313"/>
    <mergeCell ref="A1915:G1915"/>
    <mergeCell ref="A3338:B3338"/>
    <mergeCell ref="E1522:F1522"/>
    <mergeCell ref="A1691:B1691"/>
    <mergeCell ref="A2875:B2875"/>
    <mergeCell ref="E925:F925"/>
    <mergeCell ref="A4465:G4465"/>
    <mergeCell ref="A4763:G4763"/>
    <mergeCell ref="A3209:B3209"/>
    <mergeCell ref="E917:F917"/>
    <mergeCell ref="E2285:F2285"/>
    <mergeCell ref="E1970:F1970"/>
    <mergeCell ref="A2448:B2448"/>
    <mergeCell ref="E2583:F2583"/>
    <mergeCell ref="E183:F183"/>
    <mergeCell ref="A1418:B1418"/>
    <mergeCell ref="A3936:B3936"/>
    <mergeCell ref="E1671:F1671"/>
    <mergeCell ref="E1225:F1225"/>
    <mergeCell ref="E3677:G3677"/>
    <mergeCell ref="A1119:B1119"/>
    <mergeCell ref="E3371:F3371"/>
    <mergeCell ref="E4430:F4430"/>
    <mergeCell ref="A475:B475"/>
    <mergeCell ref="E3669:F3669"/>
    <mergeCell ref="A242:G242"/>
    <mergeCell ref="A4908:B4908"/>
    <mergeCell ref="E483:F483"/>
    <mergeCell ref="E1096:F1096"/>
    <mergeCell ref="E3066:F3066"/>
    <mergeCell ref="E920:G920"/>
    <mergeCell ref="E4396:F4396"/>
    <mergeCell ref="A990:B990"/>
    <mergeCell ref="E1525:F1525"/>
    <mergeCell ref="A2472:B2472"/>
    <mergeCell ref="E4275:G4275"/>
    <mergeCell ref="A2694:G2694"/>
    <mergeCell ref="E1429:G1429"/>
    <mergeCell ref="A2901:B2901"/>
    <mergeCell ref="A816:B816"/>
    <mergeCell ref="A2986:G2986"/>
    <mergeCell ref="E2611:F2611"/>
    <mergeCell ref="E59:G59"/>
    <mergeCell ref="A1290:B1290"/>
    <mergeCell ref="A4176:G4176"/>
    <mergeCell ref="A1150:B1150"/>
    <mergeCell ref="E4854:F4854"/>
    <mergeCell ref="A345:B345"/>
    <mergeCell ref="A687:B687"/>
    <mergeCell ref="A3987:B3987"/>
    <mergeCell ref="E2723:F2723"/>
    <mergeCell ref="A1116:B1116"/>
    <mergeCell ref="A4023:B4023"/>
    <mergeCell ref="E936:F936"/>
    <mergeCell ref="A4816:G4816"/>
    <mergeCell ref="E3057:F3057"/>
    <mergeCell ref="E1998:F1998"/>
    <mergeCell ref="E1243:F1243"/>
    <mergeCell ref="A1630:G1630"/>
    <mergeCell ref="E3213:F3213"/>
    <mergeCell ref="A5048:B5048"/>
    <mergeCell ref="E509:F509"/>
    <mergeCell ref="E3809:F3809"/>
    <mergeCell ref="E2970:F2970"/>
    <mergeCell ref="E938:F938"/>
    <mergeCell ref="A4478:G4478"/>
    <mergeCell ref="A1501:G1501"/>
    <mergeCell ref="E2329:F2329"/>
    <mergeCell ref="E3382:F3382"/>
    <mergeCell ref="E1595:F1595"/>
    <mergeCell ref="A1930:G1930"/>
    <mergeCell ref="E511:F511"/>
    <mergeCell ref="E3513:F3513"/>
    <mergeCell ref="E3811:F3811"/>
    <mergeCell ref="A405:B405"/>
    <mergeCell ref="E2024:F2024"/>
    <mergeCell ref="E4758:F4758"/>
    <mergeCell ref="E2331:F2331"/>
    <mergeCell ref="E3690:G3690"/>
    <mergeCell ref="E3812:G3812"/>
    <mergeCell ref="E3682:F3682"/>
    <mergeCell ref="A371:B371"/>
    <mergeCell ref="E1597:F1597"/>
    <mergeCell ref="A5075:B5075"/>
    <mergeCell ref="A102:B102"/>
    <mergeCell ref="A4952:B4952"/>
    <mergeCell ref="E1897:F1897"/>
    <mergeCell ref="E1442:G1442"/>
    <mergeCell ref="E351:F351"/>
    <mergeCell ref="E867:F867"/>
    <mergeCell ref="A4349:B4349"/>
    <mergeCell ref="E3110:F3110"/>
    <mergeCell ref="A4108:G4108"/>
    <mergeCell ref="A4315:B4315"/>
    <mergeCell ref="E1928:F1928"/>
    <mergeCell ref="A4400:G4400"/>
    <mergeCell ref="E2226:F2226"/>
    <mergeCell ref="E4171:F4171"/>
    <mergeCell ref="E2357:F2357"/>
    <mergeCell ref="E3716:G3716"/>
    <mergeCell ref="E3410:F3410"/>
    <mergeCell ref="E1929:G1929"/>
    <mergeCell ref="E870:G870"/>
    <mergeCell ref="E868:F868"/>
    <mergeCell ref="E4923:F4923"/>
    <mergeCell ref="E1921:F1921"/>
    <mergeCell ref="E107:F107"/>
    <mergeCell ref="E4137:F4137"/>
    <mergeCell ref="A3131:G3131"/>
    <mergeCell ref="E3105:F3105"/>
    <mergeCell ref="E2228:F2228"/>
    <mergeCell ref="E2350:F2350"/>
    <mergeCell ref="E4198:F4198"/>
    <mergeCell ref="E441:F441"/>
    <mergeCell ref="E435:F435"/>
    <mergeCell ref="E739:F739"/>
    <mergeCell ref="E4925:F4925"/>
    <mergeCell ref="E2229:G2229"/>
    <mergeCell ref="A1519:B1519"/>
    <mergeCell ref="E100:G100"/>
    <mergeCell ref="A1817:B1817"/>
    <mergeCell ref="A3762:B3762"/>
    <mergeCell ref="A4331:B4331"/>
    <mergeCell ref="E4347:G4347"/>
    <mergeCell ref="E4796:F4796"/>
    <mergeCell ref="A3734:B3734"/>
    <mergeCell ref="E3009:F3009"/>
    <mergeCell ref="E2529:G2529"/>
    <mergeCell ref="E444:G444"/>
    <mergeCell ref="E3438:F3438"/>
    <mergeCell ref="A4062:B4062"/>
    <mergeCell ref="A187:G187"/>
    <mergeCell ref="A2248:B2248"/>
    <mergeCell ref="A3307:B3307"/>
    <mergeCell ref="A485:G485"/>
    <mergeCell ref="A4700:B4700"/>
    <mergeCell ref="A1675:G1675"/>
    <mergeCell ref="E3317:G3317"/>
    <mergeCell ref="E3252:F3252"/>
    <mergeCell ref="E1641:F1641"/>
    <mergeCell ref="E4799:G4799"/>
    <mergeCell ref="E125:F125"/>
    <mergeCell ref="A332:B332"/>
    <mergeCell ref="A4542:G4542"/>
    <mergeCell ref="E283:F283"/>
    <mergeCell ref="E1336:F1336"/>
    <mergeCell ref="E277:F277"/>
    <mergeCell ref="E581:F581"/>
    <mergeCell ref="E575:F575"/>
    <mergeCell ref="E1467:F1467"/>
    <mergeCell ref="E1765:F1765"/>
    <mergeCell ref="A3360:G3360"/>
    <mergeCell ref="A1275:G1275"/>
    <mergeCell ref="E4830:G4830"/>
    <mergeCell ref="E2370:F2370"/>
    <mergeCell ref="E285:F285"/>
    <mergeCell ref="E1644:G1644"/>
    <mergeCell ref="E5120:F5120"/>
    <mergeCell ref="E1636:F1636"/>
    <mergeCell ref="E128:G128"/>
    <mergeCell ref="E881:F881"/>
    <mergeCell ref="E3342:F3342"/>
    <mergeCell ref="E3464:F3464"/>
    <mergeCell ref="A1959:B1959"/>
    <mergeCell ref="E4815:G4815"/>
    <mergeCell ref="E2242:G2242"/>
    <mergeCell ref="A1532:B1532"/>
    <mergeCell ref="A3658:B3658"/>
    <mergeCell ref="E722:F722"/>
    <mergeCell ref="A174:B174"/>
    <mergeCell ref="A2897:B2897"/>
    <mergeCell ref="A3231:B3231"/>
    <mergeCell ref="E457:G457"/>
    <mergeCell ref="E3182:F3182"/>
    <mergeCell ref="A1112:B1112"/>
    <mergeCell ref="E1994:F1994"/>
    <mergeCell ref="E723:F723"/>
    <mergeCell ref="E505:F505"/>
    <mergeCell ref="E2450:F2450"/>
    <mergeCell ref="E1057:F1057"/>
    <mergeCell ref="A2173:B2173"/>
    <mergeCell ref="E2748:F2748"/>
    <mergeCell ref="E3019:F3019"/>
    <mergeCell ref="A3083:G3083"/>
    <mergeCell ref="E4970:F4970"/>
    <mergeCell ref="E2879:F2879"/>
    <mergeCell ref="E3055:F3055"/>
    <mergeCell ref="E970:F970"/>
    <mergeCell ref="E3177:F3177"/>
    <mergeCell ref="E3782:F3782"/>
    <mergeCell ref="A3414:G3414"/>
    <mergeCell ref="E2750:F2750"/>
    <mergeCell ref="E3940:F3940"/>
    <mergeCell ref="E2293:F2293"/>
    <mergeCell ref="A2644:B2644"/>
    <mergeCell ref="E4966:F4966"/>
    <mergeCell ref="E3477:F3477"/>
    <mergeCell ref="A44:B44"/>
    <mergeCell ref="E1568:F1568"/>
    <mergeCell ref="E3058:G3058"/>
    <mergeCell ref="E4449:F4449"/>
    <mergeCell ref="E352:G352"/>
    <mergeCell ref="E3050:F3050"/>
    <mergeCell ref="A832:B832"/>
    <mergeCell ref="E1569:G1569"/>
    <mergeCell ref="A1130:B1130"/>
    <mergeCell ref="A1014:G1014"/>
    <mergeCell ref="A4314:G4314"/>
    <mergeCell ref="E4538:F4538"/>
    <mergeCell ref="A1443:G1443"/>
    <mergeCell ref="A2496:G2496"/>
    <mergeCell ref="A2910:B2910"/>
    <mergeCell ref="E952:F952"/>
    <mergeCell ref="A5072:B5072"/>
    <mergeCell ref="E3195:F3195"/>
    <mergeCell ref="E2136:F2136"/>
    <mergeCell ref="E349:F349"/>
    <mergeCell ref="A711:G711"/>
    <mergeCell ref="E647:F647"/>
    <mergeCell ref="E4677:F4677"/>
    <mergeCell ref="E2013:F2013"/>
    <mergeCell ref="E954:F954"/>
    <mergeCell ref="E1252:F1252"/>
    <mergeCell ref="A4340:B4340"/>
    <mergeCell ref="E955:G955"/>
    <mergeCell ref="E649:F649"/>
    <mergeCell ref="A2672:B2672"/>
    <mergeCell ref="E1702:F1702"/>
    <mergeCell ref="E2892:F2892"/>
    <mergeCell ref="E4896:F4896"/>
    <mergeCell ref="E528:G528"/>
    <mergeCell ref="E650:G650"/>
    <mergeCell ref="E4126:G4126"/>
    <mergeCell ref="E2348:F2348"/>
    <mergeCell ref="E678:F678"/>
    <mergeCell ref="E1255:G1255"/>
    <mergeCell ref="A887:B887"/>
    <mergeCell ref="E4591:F4591"/>
    <mergeCell ref="E4767:F4767"/>
    <mergeCell ref="A727:G727"/>
    <mergeCell ref="E2682:F2682"/>
    <mergeCell ref="A1299:B1299"/>
    <mergeCell ref="A4974:G4974"/>
    <mergeCell ref="A538:B538"/>
    <mergeCell ref="A2974:B2974"/>
    <mergeCell ref="E2794:F2794"/>
    <mergeCell ref="A1367:G1367"/>
    <mergeCell ref="A1143:B1143"/>
    <mergeCell ref="E377:F377"/>
    <mergeCell ref="A1456:G1456"/>
    <mergeCell ref="E3880:F3880"/>
    <mergeCell ref="A3603:B3603"/>
    <mergeCell ref="E1584:G1584"/>
    <mergeCell ref="E1009:F1009"/>
    <mergeCell ref="A2326:B2326"/>
    <mergeCell ref="E4309:F4309"/>
    <mergeCell ref="A3155:G3155"/>
    <mergeCell ref="A3298:B3298"/>
    <mergeCell ref="E3846:F3846"/>
    <mergeCell ref="A2123:G2123"/>
    <mergeCell ref="E2059:F2059"/>
    <mergeCell ref="A3453:G3453"/>
    <mergeCell ref="E4180:F4180"/>
    <mergeCell ref="E3425:F3425"/>
    <mergeCell ref="E1334:F1334"/>
    <mergeCell ref="E241:G241"/>
    <mergeCell ref="E854:G854"/>
    <mergeCell ref="E4907:F4907"/>
    <mergeCell ref="E2822:F2822"/>
    <mergeCell ref="E3848:F3848"/>
    <mergeCell ref="E2061:F2061"/>
    <mergeCell ref="E2972:G2972"/>
    <mergeCell ref="E3130:G3130"/>
    <mergeCell ref="E2824:F2824"/>
    <mergeCell ref="E3877:F3877"/>
    <mergeCell ref="A566:B566"/>
    <mergeCell ref="E3122:F3122"/>
    <mergeCell ref="E5067:F5067"/>
    <mergeCell ref="A864:B864"/>
    <mergeCell ref="E1337:G1337"/>
    <mergeCell ref="E3116:F3116"/>
    <mergeCell ref="E4094:F4094"/>
    <mergeCell ref="E3849:F3849"/>
    <mergeCell ref="A3445:B3445"/>
    <mergeCell ref="E4604:F4604"/>
    <mergeCell ref="A1652:B1652"/>
    <mergeCell ref="A1088:G1088"/>
    <mergeCell ref="A3012:B3012"/>
    <mergeCell ref="A2779:G2779"/>
    <mergeCell ref="A2555:B2555"/>
    <mergeCell ref="E4022:F4022"/>
    <mergeCell ref="A1380:G1380"/>
    <mergeCell ref="E2848:F2848"/>
    <mergeCell ref="E2421:F2421"/>
    <mergeCell ref="E4960:F4960"/>
    <mergeCell ref="E4935:F4935"/>
    <mergeCell ref="E2089:F2089"/>
    <mergeCell ref="E4201:F4201"/>
    <mergeCell ref="E302:F302"/>
    <mergeCell ref="E4539:F4539"/>
    <mergeCell ref="E4839:G4839"/>
    <mergeCell ref="E3140:F3140"/>
    <mergeCell ref="E3262:F3262"/>
    <mergeCell ref="E2721:F2721"/>
    <mergeCell ref="E294:F294"/>
    <mergeCell ref="E1347:F1347"/>
    <mergeCell ref="E4989:F4989"/>
    <mergeCell ref="A1556:B1556"/>
    <mergeCell ref="E3175:F3175"/>
    <mergeCell ref="E3150:F3150"/>
    <mergeCell ref="E2835:F2835"/>
    <mergeCell ref="E3448:F3448"/>
    <mergeCell ref="E1363:F1363"/>
    <mergeCell ref="E2074:F2074"/>
    <mergeCell ref="A2167:G2167"/>
    <mergeCell ref="A3771:B3771"/>
    <mergeCell ref="E4236:F4236"/>
    <mergeCell ref="A367:B367"/>
    <mergeCell ref="E2105:F2105"/>
    <mergeCell ref="A3642:B3642"/>
    <mergeCell ref="A498:B498"/>
    <mergeCell ref="A796:B796"/>
    <mergeCell ref="E2263:F2263"/>
    <mergeCell ref="A3039:B3039"/>
    <mergeCell ref="E1800:F1800"/>
    <mergeCell ref="A4859:B4859"/>
    <mergeCell ref="E320:F320"/>
    <mergeCell ref="A340:G340"/>
    <mergeCell ref="E15:F15"/>
    <mergeCell ref="A4587:G4587"/>
    <mergeCell ref="A4730:B4730"/>
    <mergeCell ref="E4681:F4681"/>
    <mergeCell ref="E918:F918"/>
    <mergeCell ref="A514:B514"/>
    <mergeCell ref="E3947:F3947"/>
    <mergeCell ref="E3186:F3186"/>
    <mergeCell ref="E2431:F2431"/>
    <mergeCell ref="E3835:F3835"/>
    <mergeCell ref="A4755:B4755"/>
    <mergeCell ref="E3651:F3651"/>
    <mergeCell ref="E4247:F4247"/>
    <mergeCell ref="E3188:F3188"/>
    <mergeCell ref="E4887:F4887"/>
    <mergeCell ref="A2093:G2093"/>
    <mergeCell ref="A965:B965"/>
    <mergeCell ref="E2462:F2462"/>
    <mergeCell ref="A3084:B3084"/>
    <mergeCell ref="E3488:F3488"/>
    <mergeCell ref="E4547:F4547"/>
    <mergeCell ref="A3266:G3266"/>
    <mergeCell ref="E671:F671"/>
    <mergeCell ref="A420:G420"/>
    <mergeCell ref="E1217:F1217"/>
    <mergeCell ref="E3090:F3090"/>
    <mergeCell ref="E1303:F1303"/>
    <mergeCell ref="E1434:F1434"/>
    <mergeCell ref="A2513:G2513"/>
    <mergeCell ref="E2487:F2487"/>
    <mergeCell ref="E1094:F1094"/>
    <mergeCell ref="E1732:F1732"/>
    <mergeCell ref="A4872:B4872"/>
    <mergeCell ref="E3975:F3975"/>
    <mergeCell ref="A4453:B4453"/>
    <mergeCell ref="A3995:G3995"/>
    <mergeCell ref="E3214:F3214"/>
    <mergeCell ref="A3383:B3383"/>
    <mergeCell ref="E1305:F1305"/>
    <mergeCell ref="E1427:F1427"/>
    <mergeCell ref="E3250:F3250"/>
    <mergeCell ref="E28:F28"/>
    <mergeCell ref="E666:G666"/>
    <mergeCell ref="E2787:F2787"/>
    <mergeCell ref="E1306:G1306"/>
    <mergeCell ref="E2332:G2332"/>
    <mergeCell ref="E1271:F1271"/>
    <mergeCell ref="E2945:F2945"/>
    <mergeCell ref="E4573:F4573"/>
    <mergeCell ref="E3514:F3514"/>
    <mergeCell ref="E2446:G2446"/>
    <mergeCell ref="E30:F30"/>
    <mergeCell ref="A562:B562"/>
    <mergeCell ref="E4477:G4477"/>
    <mergeCell ref="A2683:B2683"/>
    <mergeCell ref="A598:B598"/>
    <mergeCell ref="E4575:F4575"/>
    <mergeCell ref="E2932:F2932"/>
    <mergeCell ref="A1325:B1325"/>
    <mergeCell ref="A1209:G1209"/>
    <mergeCell ref="A2953:B2953"/>
    <mergeCell ref="E3426:G3426"/>
    <mergeCell ref="A3568:B3568"/>
    <mergeCell ref="A2807:B2807"/>
    <mergeCell ref="A3111:B3111"/>
    <mergeCell ref="A4164:B4164"/>
    <mergeCell ref="E386:F386"/>
    <mergeCell ref="E2635:F2635"/>
    <mergeCell ref="A4985:G4985"/>
    <mergeCell ref="E3688:F3688"/>
    <mergeCell ref="A5107:G5107"/>
    <mergeCell ref="A4686:G4686"/>
    <mergeCell ref="E1447:F1447"/>
    <mergeCell ref="E415:F415"/>
    <mergeCell ref="E686:F686"/>
    <mergeCell ref="E1745:F1745"/>
    <mergeCell ref="A2223:B2223"/>
    <mergeCell ref="E2419:F2419"/>
    <mergeCell ref="A2381:B2381"/>
    <mergeCell ref="A4466:B4466"/>
    <mergeCell ref="E1142:F1142"/>
    <mergeCell ref="E387:F387"/>
    <mergeCell ref="E3146:F3146"/>
    <mergeCell ref="E108:G108"/>
    <mergeCell ref="E4199:F4199"/>
    <mergeCell ref="E2114:F2114"/>
    <mergeCell ref="E715:F715"/>
    <mergeCell ref="A4383:G4383"/>
    <mergeCell ref="A582:B582"/>
    <mergeCell ref="A466:G466"/>
    <mergeCell ref="E4628:F4628"/>
    <mergeCell ref="E2203:F2203"/>
    <mergeCell ref="E4926:G4926"/>
    <mergeCell ref="A4095:B4095"/>
    <mergeCell ref="A2397:B2397"/>
    <mergeCell ref="E105:F105"/>
    <mergeCell ref="A4613:B4613"/>
    <mergeCell ref="E99:F99"/>
    <mergeCell ref="E3439:G3439"/>
    <mergeCell ref="E2678:G2678"/>
    <mergeCell ref="E3917:F3917"/>
    <mergeCell ref="A1033:B1033"/>
    <mergeCell ref="A278:B278"/>
    <mergeCell ref="A3798:B3798"/>
    <mergeCell ref="E4346:F4346"/>
    <mergeCell ref="A4276:G4276"/>
    <mergeCell ref="E2857:F2857"/>
    <mergeCell ref="E1160:F1160"/>
    <mergeCell ref="E1798:F1798"/>
    <mergeCell ref="A4525:B4525"/>
    <mergeCell ref="E4523:G4523"/>
    <mergeCell ref="E1379:G1379"/>
    <mergeCell ref="E1377:F1377"/>
    <mergeCell ref="E3462:F3462"/>
    <mergeCell ref="A1064:B1064"/>
    <mergeCell ref="E2859:F2859"/>
    <mergeCell ref="E3912:F3912"/>
    <mergeCell ref="E1827:F1827"/>
    <mergeCell ref="E434:F434"/>
    <mergeCell ref="E4049:F4049"/>
    <mergeCell ref="E4804:F4804"/>
    <mergeCell ref="A823:G823"/>
    <mergeCell ref="E5102:F5102"/>
    <mergeCell ref="A295:B295"/>
    <mergeCell ref="E2432:F2432"/>
    <mergeCell ref="E400:F400"/>
    <mergeCell ref="A4578:G4578"/>
    <mergeCell ref="E3465:G3465"/>
    <mergeCell ref="E1074:F1074"/>
    <mergeCell ref="E5104:F5104"/>
    <mergeCell ref="E3457:F3457"/>
    <mergeCell ref="A4237:B4237"/>
    <mergeCell ref="A389:G389"/>
    <mergeCell ref="E127:F127"/>
    <mergeCell ref="A3353:B3353"/>
    <mergeCell ref="E4972:F4972"/>
    <mergeCell ref="A1262:B1262"/>
    <mergeCell ref="E4059:F4059"/>
    <mergeCell ref="A3691:G3691"/>
    <mergeCell ref="A1697:B1697"/>
    <mergeCell ref="A3666:G3666"/>
    <mergeCell ref="A1995:B1995"/>
    <mergeCell ref="E433:F433"/>
    <mergeCell ref="A3048:B3048"/>
    <mergeCell ref="A1989:B1989"/>
    <mergeCell ref="E731:F731"/>
    <mergeCell ref="A1873:G1873"/>
    <mergeCell ref="A3722:B3722"/>
    <mergeCell ref="E786:F786"/>
    <mergeCell ref="E1084:F1084"/>
    <mergeCell ref="E3333:F3333"/>
    <mergeCell ref="E2274:F2274"/>
    <mergeCell ref="A4109:B4109"/>
    <mergeCell ref="E1855:F1855"/>
    <mergeCell ref="E1811:F1811"/>
    <mergeCell ref="E3850:G3850"/>
    <mergeCell ref="E1969:F1969"/>
    <mergeCell ref="E1392:G1392"/>
    <mergeCell ref="E1390:F1390"/>
    <mergeCell ref="E1512:F1512"/>
    <mergeCell ref="E3973:F3973"/>
    <mergeCell ref="E5032:F5032"/>
    <mergeCell ref="E4577:G4577"/>
    <mergeCell ref="E4271:F4271"/>
    <mergeCell ref="E3178:G3178"/>
    <mergeCell ref="E2872:F2872"/>
    <mergeCell ref="E787:F787"/>
    <mergeCell ref="E1085:F1085"/>
    <mergeCell ref="A2049:B2049"/>
    <mergeCell ref="E3030:F3030"/>
    <mergeCell ref="E1216:F1216"/>
    <mergeCell ref="E3328:F3328"/>
    <mergeCell ref="E2269:F2269"/>
    <mergeCell ref="E2873:G2873"/>
    <mergeCell ref="E3389:G3389"/>
    <mergeCell ref="E5034:F5034"/>
    <mergeCell ref="E4273:F4273"/>
    <mergeCell ref="A622:B622"/>
    <mergeCell ref="A2768:B2768"/>
    <mergeCell ref="E2300:F2300"/>
    <mergeCell ref="A2463:B2463"/>
    <mergeCell ref="E2598:F2598"/>
    <mergeCell ref="A2230:G2230"/>
    <mergeCell ref="E50:F50"/>
    <mergeCell ref="A3590:G3590"/>
    <mergeCell ref="E357:F357"/>
    <mergeCell ref="A4019:G4019"/>
    <mergeCell ref="A404:G404"/>
    <mergeCell ref="E2600:F2600"/>
    <mergeCell ref="A3291:G3291"/>
    <mergeCell ref="A4251:B4251"/>
    <mergeCell ref="E805:F805"/>
    <mergeCell ref="E4447:F4447"/>
    <mergeCell ref="E3686:F3686"/>
    <mergeCell ref="E2931:F2931"/>
    <mergeCell ref="E3984:F3984"/>
    <mergeCell ref="E815:F815"/>
    <mergeCell ref="E806:G806"/>
    <mergeCell ref="A1007:B1007"/>
    <mergeCell ref="E4711:F4711"/>
    <mergeCell ref="E694:G694"/>
    <mergeCell ref="A3521:B3521"/>
    <mergeCell ref="E4747:F4747"/>
    <mergeCell ref="E2933:F2933"/>
    <mergeCell ref="E4624:F4624"/>
    <mergeCell ref="E560:G560"/>
    <mergeCell ref="A4348:G4348"/>
    <mergeCell ref="E4284:F4284"/>
    <mergeCell ref="E2199:F2199"/>
    <mergeCell ref="E3225:F3225"/>
    <mergeCell ref="E1413:F1413"/>
    <mergeCell ref="E2926:F2926"/>
    <mergeCell ref="E4749:F4749"/>
    <mergeCell ref="E5047:F5047"/>
    <mergeCell ref="A1645:G1645"/>
    <mergeCell ref="A1736:B1736"/>
    <mergeCell ref="E226:F226"/>
    <mergeCell ref="A704:B704"/>
    <mergeCell ref="A2034:B2034"/>
    <mergeCell ref="E4286:F4286"/>
    <mergeCell ref="A2393:B2393"/>
    <mergeCell ref="E4742:F4742"/>
    <mergeCell ref="A4609:B4609"/>
    <mergeCell ref="E3712:F3712"/>
    <mergeCell ref="A2816:B2816"/>
    <mergeCell ref="A3120:B3120"/>
    <mergeCell ref="E526:F526"/>
    <mergeCell ref="E403:G403"/>
    <mergeCell ref="E4773:F4773"/>
    <mergeCell ref="E3714:F3714"/>
    <mergeCell ref="E3399:F3399"/>
    <mergeCell ref="E553:F553"/>
    <mergeCell ref="E1166:F1166"/>
    <mergeCell ref="E3251:F3251"/>
    <mergeCell ref="E851:F851"/>
    <mergeCell ref="E96:F96"/>
    <mergeCell ref="E1124:F1124"/>
    <mergeCell ref="E2339:F2339"/>
    <mergeCell ref="E3585:F3585"/>
    <mergeCell ref="A3217:G3217"/>
    <mergeCell ref="E5098:F5098"/>
    <mergeCell ref="E4014:F4014"/>
    <mergeCell ref="A4821:B4821"/>
    <mergeCell ref="E4337:F4337"/>
    <mergeCell ref="E2944:F2944"/>
    <mergeCell ref="E2227:F2227"/>
    <mergeCell ref="E3286:F3286"/>
    <mergeCell ref="E1912:F1912"/>
    <mergeCell ref="E2525:F2525"/>
    <mergeCell ref="E98:F98"/>
    <mergeCell ref="A3147:B3147"/>
    <mergeCell ref="A3306:G3306"/>
    <mergeCell ref="A4177:B4177"/>
    <mergeCell ref="A1360:B1360"/>
    <mergeCell ref="E2341:F2341"/>
    <mergeCell ref="E4514:G4514"/>
    <mergeCell ref="E2062:G2062"/>
    <mergeCell ref="E4345:F4345"/>
    <mergeCell ref="E4643:F4643"/>
    <mergeCell ref="E740:F740"/>
    <mergeCell ref="E4795:F4795"/>
    <mergeCell ref="E2947:G2947"/>
    <mergeCell ref="A3909:B3909"/>
    <mergeCell ref="E3613:F3613"/>
    <mergeCell ref="E755:F755"/>
    <mergeCell ref="E4217:G4217"/>
    <mergeCell ref="E1482:F1482"/>
    <mergeCell ref="E423:F423"/>
    <mergeCell ref="A3059:G3059"/>
    <mergeCell ref="E3725:F3725"/>
    <mergeCell ref="E1640:F1640"/>
    <mergeCell ref="E757:F757"/>
    <mergeCell ref="A1958:G1958"/>
    <mergeCell ref="E1484:F1484"/>
    <mergeCell ref="E4513:F4513"/>
    <mergeCell ref="E758:G758"/>
    <mergeCell ref="E756:F756"/>
    <mergeCell ref="E4811:F4811"/>
    <mergeCell ref="E3727:F3727"/>
    <mergeCell ref="E1642:F1642"/>
    <mergeCell ref="A4534:B4534"/>
    <mergeCell ref="E1940:F1940"/>
    <mergeCell ref="E3270:F3270"/>
    <mergeCell ref="E1485:G1485"/>
    <mergeCell ref="E1179:F1179"/>
    <mergeCell ref="E1483:F1483"/>
    <mergeCell ref="E2238:F2238"/>
    <mergeCell ref="E4813:F4813"/>
    <mergeCell ref="E4058:F4058"/>
    <mergeCell ref="E1058:G1058"/>
    <mergeCell ref="E5111:F5111"/>
    <mergeCell ref="E1510:F1510"/>
    <mergeCell ref="E2240:F2240"/>
    <mergeCell ref="E453:F453"/>
    <mergeCell ref="E3753:F3753"/>
    <mergeCell ref="A3616:B3616"/>
    <mergeCell ref="E3326:F3326"/>
    <mergeCell ref="A4561:B4561"/>
    <mergeCell ref="A2018:G2018"/>
    <mergeCell ref="E4814:F4814"/>
    <mergeCell ref="E897:F897"/>
    <mergeCell ref="E142:F142"/>
    <mergeCell ref="A529:G529"/>
    <mergeCell ref="A2614:G2614"/>
    <mergeCell ref="A5017:B5017"/>
    <mergeCell ref="E1055:F1055"/>
    <mergeCell ref="A2863:B2863"/>
    <mergeCell ref="E1689:G1689"/>
    <mergeCell ref="E1869:F1869"/>
    <mergeCell ref="A1831:B1831"/>
    <mergeCell ref="E3626:F3626"/>
    <mergeCell ref="A3222:B3222"/>
    <mergeCell ref="E3329:G3329"/>
    <mergeCell ref="E442:F442"/>
    <mergeCell ref="E898:F898"/>
    <mergeCell ref="E2467:F2467"/>
    <mergeCell ref="E3657:F3657"/>
    <mergeCell ref="E1870:F1870"/>
    <mergeCell ref="E173:F173"/>
    <mergeCell ref="E811:F811"/>
    <mergeCell ref="E473:G473"/>
    <mergeCell ref="E471:F471"/>
    <mergeCell ref="E1109:F1109"/>
    <mergeCell ref="E3054:F3054"/>
    <mergeCell ref="E1864:F1864"/>
    <mergeCell ref="E4086:F4086"/>
    <mergeCell ref="E3352:F3352"/>
    <mergeCell ref="E1655:F1655"/>
    <mergeCell ref="E2597:F2597"/>
    <mergeCell ref="E1953:F1953"/>
    <mergeCell ref="E1836:F1836"/>
    <mergeCell ref="A33:B33"/>
    <mergeCell ref="E2470:G2470"/>
    <mergeCell ref="E2164:F2164"/>
    <mergeCell ref="E2468:F2468"/>
    <mergeCell ref="E4115:F4115"/>
    <mergeCell ref="E3652:F3652"/>
    <mergeCell ref="A2189:B2189"/>
    <mergeCell ref="E1829:G1829"/>
    <mergeCell ref="A3817:B3817"/>
    <mergeCell ref="A700:B700"/>
    <mergeCell ref="A855:G855"/>
    <mergeCell ref="E827:F827"/>
    <mergeCell ref="E3985:G3985"/>
    <mergeCell ref="A428:G428"/>
    <mergeCell ref="E2309:F2309"/>
    <mergeCell ref="A129:G129"/>
    <mergeCell ref="A3243:B3243"/>
    <mergeCell ref="E951:F951"/>
    <mergeCell ref="A2488:B2488"/>
    <mergeCell ref="A1191:G1191"/>
    <mergeCell ref="A4491:G4491"/>
    <mergeCell ref="A1089:B1089"/>
    <mergeCell ref="A3730:G3730"/>
    <mergeCell ref="E3370:F3370"/>
    <mergeCell ref="E1285:F1285"/>
    <mergeCell ref="A4034:G4034"/>
    <mergeCell ref="E1583:F1583"/>
    <mergeCell ref="E524:F524"/>
    <mergeCell ref="E1854:F1854"/>
    <mergeCell ref="A886:G886"/>
    <mergeCell ref="A4277:B4277"/>
    <mergeCell ref="E4122:F4122"/>
    <mergeCell ref="E2767:F2767"/>
    <mergeCell ref="E2469:F2469"/>
    <mergeCell ref="E2310:F2310"/>
    <mergeCell ref="E1129:F1129"/>
    <mergeCell ref="E1251:F1251"/>
    <mergeCell ref="E4771:F4771"/>
    <mergeCell ref="E3703:G3703"/>
    <mergeCell ref="E3372:F3372"/>
    <mergeCell ref="A61:B61"/>
    <mergeCell ref="E3976:G3976"/>
    <mergeCell ref="A4479:C4479"/>
    <mergeCell ref="E1883:F1883"/>
    <mergeCell ref="E4099:F4099"/>
    <mergeCell ref="E1122:F1122"/>
    <mergeCell ref="E2014:F2014"/>
    <mergeCell ref="E3067:F3067"/>
    <mergeCell ref="E4422:F4422"/>
    <mergeCell ref="E2610:F2610"/>
    <mergeCell ref="E1551:F1551"/>
    <mergeCell ref="A413:B413"/>
    <mergeCell ref="A2927:B2927"/>
    <mergeCell ref="A720:B720"/>
    <mergeCell ref="A1018:B1018"/>
    <mergeCell ref="E2637:F2637"/>
    <mergeCell ref="E3367:F3367"/>
    <mergeCell ref="E4722:F4722"/>
    <mergeCell ref="E1580:F1580"/>
    <mergeCell ref="A1:G1"/>
    <mergeCell ref="E2814:G2814"/>
    <mergeCell ref="E664:F664"/>
    <mergeCell ref="A3785:G3785"/>
    <mergeCell ref="E4911:F4911"/>
    <mergeCell ref="E237:F237"/>
    <mergeCell ref="E3512:F3512"/>
    <mergeCell ref="E2996:F2996"/>
    <mergeCell ref="E4448:F4448"/>
    <mergeCell ref="E964:F964"/>
    <mergeCell ref="A2501:B2501"/>
    <mergeCell ref="A5084:B5084"/>
    <mergeCell ref="E2968:F2968"/>
    <mergeCell ref="A3330:G3330"/>
    <mergeCell ref="E1298:F1298"/>
    <mergeCell ref="E239:F239"/>
    <mergeCell ref="E2234:F2234"/>
    <mergeCell ref="E537:F537"/>
    <mergeCell ref="E2786:F2786"/>
    <mergeCell ref="E2365:F2365"/>
    <mergeCell ref="E4748:F4748"/>
    <mergeCell ref="E238:F238"/>
    <mergeCell ref="A860:B860"/>
    <mergeCell ref="A143:B143"/>
    <mergeCell ref="E4784:F4784"/>
    <mergeCell ref="E2997:F2997"/>
    <mergeCell ref="E1598:F1598"/>
    <mergeCell ref="E3305:G3305"/>
    <mergeCell ref="A1044:G1044"/>
    <mergeCell ref="E3297:F3297"/>
    <mergeCell ref="A2648:B2648"/>
    <mergeCell ref="E4779:F4779"/>
    <mergeCell ref="A4375:B4375"/>
    <mergeCell ref="A3620:B3620"/>
    <mergeCell ref="A4673:B4673"/>
    <mergeCell ref="A1690:G1690"/>
    <mergeCell ref="A1988:G1988"/>
    <mergeCell ref="E3142:G3142"/>
    <mergeCell ref="E2076:F2076"/>
    <mergeCell ref="E3436:F3436"/>
    <mergeCell ref="A2888:B2888"/>
    <mergeCell ref="A3159:B3159"/>
    <mergeCell ref="E565:F565"/>
    <mergeCell ref="A1256:G1256"/>
    <mergeCell ref="A1372:B1372"/>
    <mergeCell ref="E4924:F4924"/>
    <mergeCell ref="A3770:G3770"/>
    <mergeCell ref="E2254:F2254"/>
    <mergeCell ref="E4837:F4837"/>
    <mergeCell ref="E4082:F4082"/>
    <mergeCell ref="E1957:G1957"/>
    <mergeCell ref="E1651:F1651"/>
    <mergeCell ref="E2981:F2981"/>
    <mergeCell ref="E3348:F3348"/>
    <mergeCell ref="E1949:F1949"/>
    <mergeCell ref="E2841:F2841"/>
    <mergeCell ref="E3139:F3139"/>
    <mergeCell ref="E3437:F3437"/>
    <mergeCell ref="A4:B4"/>
    <mergeCell ref="A4401:B4401"/>
    <mergeCell ref="A4892:G4892"/>
    <mergeCell ref="E1346:F1346"/>
    <mergeCell ref="E591:F591"/>
    <mergeCell ref="E2676:F2676"/>
    <mergeCell ref="E4409:F4409"/>
    <mergeCell ref="A156:B156"/>
    <mergeCell ref="E2895:G2895"/>
    <mergeCell ref="A4858:G4858"/>
    <mergeCell ref="E2407:F2407"/>
    <mergeCell ref="E3737:F3737"/>
    <mergeCell ref="A1099:G1099"/>
    <mergeCell ref="A2572:B2572"/>
    <mergeCell ref="A2914:B2914"/>
    <mergeCell ref="E4411:F4411"/>
    <mergeCell ref="E5015:G5015"/>
    <mergeCell ref="E4709:F4709"/>
    <mergeCell ref="A940:G940"/>
    <mergeCell ref="A4054:B4054"/>
    <mergeCell ref="A2145:B2145"/>
    <mergeCell ref="A358:B358"/>
    <mergeCell ref="A513:G513"/>
    <mergeCell ref="A3633:B3633"/>
    <mergeCell ref="A2458:G2458"/>
    <mergeCell ref="A1846:B1846"/>
    <mergeCell ref="E3341:F3341"/>
    <mergeCell ref="A2973:G2973"/>
    <mergeCell ref="E495:F495"/>
    <mergeCell ref="E2396:F2396"/>
    <mergeCell ref="E2738:F2738"/>
    <mergeCell ref="E154:G154"/>
    <mergeCell ref="A4884:G4884"/>
    <mergeCell ref="E3490:F3490"/>
    <mergeCell ref="E4856:F4856"/>
    <mergeCell ref="E182:F182"/>
    <mergeCell ref="E795:F795"/>
    <mergeCell ref="A4302:B4302"/>
    <mergeCell ref="E480:F480"/>
    <mergeCell ref="A4600:B4600"/>
    <mergeCell ref="E2308:F2308"/>
    <mergeCell ref="E953:F953"/>
    <mergeCell ref="E3038:F3038"/>
    <mergeCell ref="E5008:F5008"/>
    <mergeCell ref="A5029:B5029"/>
    <mergeCell ref="E1207:F1207"/>
    <mergeCell ref="E3790:F3790"/>
    <mergeCell ref="E4124:F4124"/>
    <mergeCell ref="E4395:F4395"/>
    <mergeCell ref="E3363:F3363"/>
    <mergeCell ref="E2908:G2908"/>
    <mergeCell ref="A1029:G1029"/>
    <mergeCell ref="A1103:B1103"/>
    <mergeCell ref="A684:B684"/>
    <mergeCell ref="A2815:G2815"/>
    <mergeCell ref="E2422:F2422"/>
    <mergeCell ref="A1874:B1874"/>
    <mergeCell ref="E4248:F4248"/>
    <mergeCell ref="A3107:G3107"/>
    <mergeCell ref="E4424:F4424"/>
    <mergeCell ref="E4425:G4425"/>
    <mergeCell ref="E3508:F3508"/>
    <mergeCell ref="A5045:B5045"/>
    <mergeCell ref="A3870:G3870"/>
    <mergeCell ref="E662:F662"/>
    <mergeCell ref="E1696:F1696"/>
    <mergeCell ref="E960:F960"/>
    <mergeCell ref="E935:F935"/>
    <mergeCell ref="A4633:G4633"/>
    <mergeCell ref="E3808:F3808"/>
    <mergeCell ref="E3091:F3091"/>
    <mergeCell ref="E3082:G3082"/>
    <mergeCell ref="E2776:F2776"/>
    <mergeCell ref="E937:F937"/>
    <mergeCell ref="E3074:F3074"/>
    <mergeCell ref="A3283:B3283"/>
    <mergeCell ref="A4444:B4444"/>
    <mergeCell ref="E3503:F3503"/>
    <mergeCell ref="E2031:F2031"/>
    <mergeCell ref="E1900:G1900"/>
    <mergeCell ref="E4991:F4991"/>
    <mergeCell ref="A2313:B2313"/>
    <mergeCell ref="E3810:F3810"/>
    <mergeCell ref="E4869:F4869"/>
    <mergeCell ref="E4475:F4475"/>
    <mergeCell ref="E4450:F4450"/>
    <mergeCell ref="E4564:F4564"/>
    <mergeCell ref="E2777:F2777"/>
    <mergeCell ref="E1718:F1718"/>
    <mergeCell ref="A4012:B4012"/>
    <mergeCell ref="A2936:B2936"/>
    <mergeCell ref="E4326:G4326"/>
    <mergeCell ref="E1320:F1320"/>
    <mergeCell ref="E3601:G3601"/>
    <mergeCell ref="A3743:B3743"/>
    <mergeCell ref="E559:F559"/>
    <mergeCell ref="A1037:B1037"/>
    <mergeCell ref="A921:G921"/>
    <mergeCell ref="A2530:G2530"/>
    <mergeCell ref="A3466:G3466"/>
    <mergeCell ref="A3280:B3280"/>
    <mergeCell ref="E350:F350"/>
    <mergeCell ref="A828:B828"/>
    <mergeCell ref="E1286:F1286"/>
    <mergeCell ref="A4646:B4646"/>
    <mergeCell ref="E1322:F1322"/>
    <mergeCell ref="A3794:G3794"/>
    <mergeCell ref="E2810:F2810"/>
    <mergeCell ref="E859:F859"/>
    <mergeCell ref="A311:B311"/>
    <mergeCell ref="E681:F681"/>
    <mergeCell ref="E3102:F3102"/>
    <mergeCell ref="E1017:F1017"/>
    <mergeCell ref="E1744:F1744"/>
    <mergeCell ref="E4922:F4922"/>
    <mergeCell ref="E3865:F3865"/>
    <mergeCell ref="E2349:F2349"/>
    <mergeCell ref="E2647:F2647"/>
    <mergeCell ref="A913:B913"/>
    <mergeCell ref="A1184:B1184"/>
    <mergeCell ref="E4617:F4617"/>
    <mergeCell ref="E3741:G3741"/>
    <mergeCell ref="A879:B879"/>
    <mergeCell ref="E3435:F3435"/>
    <mergeCell ref="E4488:F4488"/>
    <mergeCell ref="E3733:F3733"/>
    <mergeCell ref="E4494:F4494"/>
    <mergeCell ref="E1462:F1462"/>
    <mergeCell ref="A2695:B2695"/>
    <mergeCell ref="E4519:F4519"/>
    <mergeCell ref="A2752:G2752"/>
    <mergeCell ref="E4948:F4948"/>
    <mergeCell ref="E432:F432"/>
    <mergeCell ref="E703:F703"/>
    <mergeCell ref="A3479:G3479"/>
    <mergeCell ref="E1001:F1001"/>
    <mergeCell ref="E4521:F4521"/>
    <mergeCell ref="A3813:G3813"/>
    <mergeCell ref="E3032:F3032"/>
    <mergeCell ref="E1335:F1335"/>
    <mergeCell ref="E3918:F3918"/>
    <mergeCell ref="E3163:F3163"/>
    <mergeCell ref="E4216:F4216"/>
    <mergeCell ref="E2823:F2823"/>
    <mergeCell ref="E3461:F3461"/>
    <mergeCell ref="E1036:F1036"/>
    <mergeCell ref="E4949:F4949"/>
    <mergeCell ref="A3517:G3517"/>
    <mergeCell ref="A5112:B5112"/>
    <mergeCell ref="E4943:F4943"/>
    <mergeCell ref="E2736:F2736"/>
    <mergeCell ref="E4224:F4224"/>
    <mergeCell ref="E3769:G3769"/>
    <mergeCell ref="E3463:F3463"/>
    <mergeCell ref="E4522:F4522"/>
    <mergeCell ref="E3761:F3761"/>
    <mergeCell ref="E2693:G2693"/>
    <mergeCell ref="E2387:F2387"/>
    <mergeCell ref="A1241:B1241"/>
    <mergeCell ref="A926:B926"/>
    <mergeCell ref="E3158:F3158"/>
    <mergeCell ref="A1355:B1355"/>
    <mergeCell ref="A594:B594"/>
    <mergeCell ref="E3754:G3754"/>
    <mergeCell ref="A3955:B3955"/>
    <mergeCell ref="A4570:B4570"/>
    <mergeCell ref="A695:G695"/>
    <mergeCell ref="A1226:B1226"/>
    <mergeCell ref="A2168:B2168"/>
    <mergeCell ref="A2923:B2923"/>
    <mergeCell ref="A4113:B4113"/>
    <mergeCell ref="E4661:F4661"/>
    <mergeCell ref="A4841:B4841"/>
    <mergeCell ref="A1720:G1720"/>
    <mergeCell ref="E1208:G1208"/>
    <mergeCell ref="E939:G939"/>
    <mergeCell ref="E1388:F1388"/>
    <mergeCell ref="E1686:F1686"/>
    <mergeCell ref="E931:F931"/>
    <mergeCell ref="A1409:B1409"/>
    <mergeCell ref="E1984:F1984"/>
    <mergeCell ref="E2121:F2121"/>
    <mergeCell ref="E4961:F4961"/>
    <mergeCell ref="E3174:F3174"/>
    <mergeCell ref="E4358:F4358"/>
    <mergeCell ref="A4927:G4927"/>
    <mergeCell ref="E2571:F2571"/>
    <mergeCell ref="E2747:F2747"/>
    <mergeCell ref="E1688:F1688"/>
    <mergeCell ref="E2878:F2878"/>
    <mergeCell ref="E1231:F1231"/>
    <mergeCell ref="E3931:F3931"/>
    <mergeCell ref="E3176:F3176"/>
    <mergeCell ref="E3474:F3474"/>
    <mergeCell ref="E1389:F1389"/>
    <mergeCell ref="E2144:F2144"/>
    <mergeCell ref="E2442:F2442"/>
    <mergeCell ref="E1687:F1687"/>
    <mergeCell ref="E628:F628"/>
    <mergeCell ref="E1110:G1110"/>
    <mergeCell ref="A522:B522"/>
    <mergeCell ref="E2749:F2749"/>
    <mergeCell ref="E2871:F2871"/>
    <mergeCell ref="E1539:G1539"/>
    <mergeCell ref="A2765:B2765"/>
    <mergeCell ref="E3476:F3476"/>
    <mergeCell ref="E2444:F2444"/>
    <mergeCell ref="A2040:B2040"/>
    <mergeCell ref="A3167:G3167"/>
    <mergeCell ref="A2922:G2922"/>
    <mergeCell ref="E4107:G4107"/>
    <mergeCell ref="E3830:F3830"/>
    <mergeCell ref="A824:B824"/>
    <mergeCell ref="A1006:G1006"/>
    <mergeCell ref="E2589:F2589"/>
    <mergeCell ref="A3705:B3705"/>
    <mergeCell ref="A4764:B4764"/>
    <mergeCell ref="E1828:F1828"/>
    <mergeCell ref="A1280:B1280"/>
    <mergeCell ref="E4870:G4870"/>
    <mergeCell ref="E41:F41"/>
    <mergeCell ref="A4039:B4039"/>
    <mergeCell ref="A2826:G2826"/>
    <mergeCell ref="A1471:G1471"/>
    <mergeCell ref="E2045:F2045"/>
    <mergeCell ref="E348:F348"/>
    <mergeCell ref="E690:F690"/>
    <mergeCell ref="E2162:F2162"/>
    <mergeCell ref="E646:F646"/>
    <mergeCell ref="A2640:B2640"/>
    <mergeCell ref="A4128:B4128"/>
    <mergeCell ref="E2775:F2775"/>
    <mergeCell ref="E944:F944"/>
    <mergeCell ref="E3098:F3098"/>
    <mergeCell ref="E3650:F3650"/>
    <mergeCell ref="E51:G51"/>
    <mergeCell ref="E804:F804"/>
    <mergeCell ref="E2134:F2134"/>
    <mergeCell ref="E1102:F1102"/>
    <mergeCell ref="E2434:G2434"/>
    <mergeCell ref="A3696:B3696"/>
    <mergeCell ref="E3861:F3861"/>
    <mergeCell ref="E4132:F4132"/>
    <mergeCell ref="E1531:F1531"/>
    <mergeCell ref="E4438:G4438"/>
    <mergeCell ref="A4637:B4637"/>
    <mergeCell ref="E648:F648"/>
    <mergeCell ref="E3398:F3398"/>
    <mergeCell ref="E2643:F2643"/>
    <mergeCell ref="E5070:G5070"/>
    <mergeCell ref="E2163:F2163"/>
    <mergeCell ref="E3827:F3827"/>
    <mergeCell ref="E1404:G1404"/>
    <mergeCell ref="E1402:F1402"/>
    <mergeCell ref="A2366:B2366"/>
    <mergeCell ref="E4161:F4161"/>
    <mergeCell ref="E4888:F4888"/>
    <mergeCell ref="E4162:G4162"/>
    <mergeCell ref="E2188:F2188"/>
    <mergeCell ref="A1936:B1936"/>
    <mergeCell ref="A1059:G1059"/>
    <mergeCell ref="A118:B118"/>
    <mergeCell ref="A2025:B2025"/>
    <mergeCell ref="A2699:B2699"/>
    <mergeCell ref="E3545:F3545"/>
    <mergeCell ref="E1758:F1758"/>
    <mergeCell ref="E1733:F1733"/>
    <mergeCell ref="E674:F674"/>
    <mergeCell ref="A2991:B2991"/>
    <mergeCell ref="A4181:B4181"/>
    <mergeCell ref="E1453:F1453"/>
    <mergeCell ref="E4606:F4606"/>
    <mergeCell ref="A4993:G4993"/>
    <mergeCell ref="A2883:G2883"/>
    <mergeCell ref="E2813:F2813"/>
    <mergeCell ref="E2058:F2058"/>
    <mergeCell ref="E4003:F4003"/>
    <mergeCell ref="E1026:F1026"/>
    <mergeCell ref="E4641:F4641"/>
    <mergeCell ref="E3548:G3548"/>
    <mergeCell ref="E3546:F3546"/>
    <mergeCell ref="E3540:F3540"/>
    <mergeCell ref="E3576:F3576"/>
    <mergeCell ref="E2821:F2821"/>
    <mergeCell ref="E4512:F4512"/>
    <mergeCell ref="E2060:F2060"/>
    <mergeCell ref="E2358:F2358"/>
    <mergeCell ref="E3577:G3577"/>
    <mergeCell ref="E3575:F3575"/>
    <mergeCell ref="E2516:F2516"/>
    <mergeCell ref="A3480:B3480"/>
    <mergeCell ref="A3935:G3935"/>
    <mergeCell ref="A894:B894"/>
    <mergeCell ref="E4812:F4812"/>
    <mergeCell ref="A2138:G2138"/>
    <mergeCell ref="E4175:G4175"/>
    <mergeCell ref="A2567:G2567"/>
    <mergeCell ref="E3600:F3600"/>
    <mergeCell ref="E418:F418"/>
    <mergeCell ref="E1183:F1183"/>
    <mergeCell ref="E1359:F1359"/>
    <mergeCell ref="E1481:F1481"/>
    <mergeCell ref="A353:G353"/>
    <mergeCell ref="E4659:F4659"/>
    <mergeCell ref="A2712:B2712"/>
    <mergeCell ref="E2847:F2847"/>
    <mergeCell ref="E1771:F1771"/>
    <mergeCell ref="E1054:F1054"/>
    <mergeCell ref="E2751:G2751"/>
    <mergeCell ref="E3933:F3933"/>
    <mergeCell ref="E4959:F4959"/>
    <mergeCell ref="E3478:G3478"/>
    <mergeCell ref="E747:F747"/>
    <mergeCell ref="E4662:G4662"/>
    <mergeCell ref="E4660:F4660"/>
    <mergeCell ref="E1354:F1354"/>
    <mergeCell ref="E3261:F3261"/>
    <mergeCell ref="E284:F284"/>
    <mergeCell ref="E4988:F4988"/>
    <mergeCell ref="E4531:F4531"/>
    <mergeCell ref="A188:B188"/>
    <mergeCell ref="A1214:B1214"/>
    <mergeCell ref="E4962:G4962"/>
    <mergeCell ref="E592:G592"/>
    <mergeCell ref="E286:F286"/>
    <mergeCell ref="E4683:F4683"/>
    <mergeCell ref="A3493:B3493"/>
    <mergeCell ref="E1499:F1499"/>
    <mergeCell ref="A3036:B3036"/>
    <mergeCell ref="A945:B945"/>
    <mergeCell ref="A1249:B1249"/>
    <mergeCell ref="E3046:G3046"/>
    <mergeCell ref="E1072:F1072"/>
    <mergeCell ref="A3824:B3824"/>
    <mergeCell ref="A3063:B3063"/>
    <mergeCell ref="A3361:B3361"/>
    <mergeCell ref="E773:F773"/>
    <mergeCell ref="E1799:F1799"/>
    <mergeCell ref="A490:B490"/>
    <mergeCell ref="E1196:F1196"/>
    <mergeCell ref="A4885:B4885"/>
    <mergeCell ref="E5014:F5014"/>
    <mergeCell ref="E2587:F2587"/>
    <mergeCell ref="E2107:G2107"/>
    <mergeCell ref="E2466:F2466"/>
    <mergeCell ref="E1073:F1073"/>
    <mergeCell ref="E4682:F4682"/>
    <mergeCell ref="E4980:F4980"/>
    <mergeCell ref="E1825:F1825"/>
    <mergeCell ref="E3946:F3946"/>
    <mergeCell ref="A635:B635"/>
    <mergeCell ref="E2887:F2887"/>
    <mergeCell ref="E3491:G3491"/>
    <mergeCell ref="E1704:G1704"/>
    <mergeCell ref="E2590:G2590"/>
    <mergeCell ref="E4973:G4973"/>
    <mergeCell ref="E4254:F4254"/>
    <mergeCell ref="A2451:B2451"/>
    <mergeCell ref="E4070:F4070"/>
    <mergeCell ref="E4246:F4246"/>
    <mergeCell ref="E3187:F3187"/>
    <mergeCell ref="E1400:F1400"/>
    <mergeCell ref="E370:F370"/>
    <mergeCell ref="A3852:B3852"/>
    <mergeCell ref="A875:B875"/>
    <mergeCell ref="A4905:B4905"/>
    <mergeCell ref="A4579:B4579"/>
    <mergeCell ref="A4877:B4877"/>
    <mergeCell ref="E2790:G2790"/>
    <mergeCell ref="E399:F399"/>
    <mergeCell ref="E1425:F1425"/>
    <mergeCell ref="A2962:B2962"/>
    <mergeCell ref="E4249:G4249"/>
    <mergeCell ref="A1175:B1175"/>
    <mergeCell ref="E3972:F3972"/>
    <mergeCell ref="E2913:F2913"/>
    <mergeCell ref="A2321:B2321"/>
    <mergeCell ref="A2663:B2663"/>
    <mergeCell ref="A4788:G4788"/>
    <mergeCell ref="E1731:F1731"/>
    <mergeCell ref="E1005:G1005"/>
    <mergeCell ref="E699:F699"/>
    <mergeCell ref="E454:F454"/>
    <mergeCell ref="E2029:F2029"/>
    <mergeCell ref="E3974:F3974"/>
    <mergeCell ref="E4729:F4729"/>
    <mergeCell ref="E4272:F4272"/>
    <mergeCell ref="E58:F58"/>
    <mergeCell ref="E788:F788"/>
    <mergeCell ref="E1426:F1426"/>
    <mergeCell ref="E394:F394"/>
    <mergeCell ref="E665:F665"/>
    <mergeCell ref="E971:G971"/>
    <mergeCell ref="E4999:F4999"/>
    <mergeCell ref="A3179:G3179"/>
    <mergeCell ref="E3212:F3212"/>
    <mergeCell ref="E5060:F5060"/>
    <mergeCell ref="E4299:F4299"/>
    <mergeCell ref="E544:G544"/>
    <mergeCell ref="A1015:B1015"/>
    <mergeCell ref="E4903:G4903"/>
    <mergeCell ref="E1734:G1734"/>
    <mergeCell ref="E2032:G2032"/>
    <mergeCell ref="E1726:F1726"/>
    <mergeCell ref="A2375:B2375"/>
    <mergeCell ref="E4300:G4300"/>
    <mergeCell ref="E3239:F3239"/>
    <mergeCell ref="A445:G445"/>
    <mergeCell ref="A743:G743"/>
    <mergeCell ref="A2804:B2804"/>
    <mergeCell ref="E4607:G4607"/>
    <mergeCell ref="E3573:F3573"/>
    <mergeCell ref="E4599:F4599"/>
    <mergeCell ref="E3118:G3118"/>
    <mergeCell ref="E3567:F3567"/>
    <mergeCell ref="A3318:G3318"/>
    <mergeCell ref="A1622:B1622"/>
    <mergeCell ref="E541:F541"/>
    <mergeCell ref="E1871:F1871"/>
    <mergeCell ref="A4203:G4203"/>
    <mergeCell ref="E84:F84"/>
    <mergeCell ref="A1317:B1317"/>
    <mergeCell ref="E3598:F3598"/>
    <mergeCell ref="E3896:F3896"/>
    <mergeCell ref="E114:F114"/>
    <mergeCell ref="E385:F385"/>
    <mergeCell ref="E1566:F1566"/>
    <mergeCell ref="E3687:F3687"/>
    <mergeCell ref="E4325:F4325"/>
    <mergeCell ref="A2378:B2378"/>
    <mergeCell ref="A4503:G4503"/>
    <mergeCell ref="E384:F384"/>
    <mergeCell ref="A4046:G4046"/>
    <mergeCell ref="E2621:F2621"/>
    <mergeCell ref="E3599:F3599"/>
    <mergeCell ref="E4310:F4310"/>
    <mergeCell ref="E2225:F2225"/>
    <mergeCell ref="E3593:F3593"/>
    <mergeCell ref="E4783:F4783"/>
    <mergeCell ref="E1439:F1439"/>
    <mergeCell ref="A4075:G4075"/>
    <mergeCell ref="E2952:F2952"/>
    <mergeCell ref="A2219:B2219"/>
    <mergeCell ref="A2517:B2517"/>
    <mergeCell ref="A1762:B1762"/>
    <mergeCell ref="E1747:G1747"/>
    <mergeCell ref="E3138:F3138"/>
    <mergeCell ref="E5083:F5083"/>
    <mergeCell ref="A1457:B1457"/>
    <mergeCell ref="A3047:G3047"/>
    <mergeCell ref="A1493:B1493"/>
    <mergeCell ref="A3345:G3345"/>
    <mergeCell ref="E2711:F2711"/>
    <mergeCell ref="A732:B732"/>
    <mergeCell ref="A1030:B1030"/>
    <mergeCell ref="E106:F106"/>
    <mergeCell ref="A3795:B3795"/>
    <mergeCell ref="E1497:F1497"/>
    <mergeCell ref="A1859:G1859"/>
    <mergeCell ref="E440:F440"/>
    <mergeCell ref="E3740:F3740"/>
    <mergeCell ref="E4038:F4038"/>
    <mergeCell ref="A4516:B4516"/>
    <mergeCell ref="A2729:B2729"/>
    <mergeCell ref="A1974:B1974"/>
    <mergeCell ref="E1674:G1674"/>
    <mergeCell ref="E852:F852"/>
    <mergeCell ref="E4532:G4532"/>
    <mergeCell ref="A5036:G5036"/>
    <mergeCell ref="E3611:F3611"/>
    <mergeCell ref="E771:F771"/>
    <mergeCell ref="E1797:F1797"/>
    <mergeCell ref="A791:G791"/>
    <mergeCell ref="A3334:B3334"/>
    <mergeCell ref="E10:F10"/>
    <mergeCell ref="E3014:F3014"/>
    <mergeCell ref="E1063:F1063"/>
    <mergeCell ref="E4644:G4644"/>
    <mergeCell ref="E1500:G1500"/>
    <mergeCell ref="E1498:F1498"/>
    <mergeCell ref="E1492:F1492"/>
    <mergeCell ref="E5012:F5012"/>
    <mergeCell ref="A4219:B4219"/>
    <mergeCell ref="E2858:F2858"/>
    <mergeCell ref="E1071:F1071"/>
    <mergeCell ref="E310:F310"/>
    <mergeCell ref="E3314:F3314"/>
    <mergeCell ref="E3614:G3614"/>
    <mergeCell ref="E3612:F3612"/>
    <mergeCell ref="A2602:G2602"/>
    <mergeCell ref="E4041:F4041"/>
    <mergeCell ref="E1195:F1195"/>
    <mergeCell ref="E5013:F5013"/>
    <mergeCell ref="E3920:G3920"/>
    <mergeCell ref="E2853:F2853"/>
    <mergeCell ref="E2698:F2698"/>
    <mergeCell ref="E4998:F4998"/>
    <mergeCell ref="A4148:B4148"/>
    <mergeCell ref="E4397:F4397"/>
    <mergeCell ref="A3205:B3205"/>
    <mergeCell ref="A3843:B3843"/>
    <mergeCell ref="E3663:F3663"/>
    <mergeCell ref="E1205:F1205"/>
    <mergeCell ref="A4751:G4751"/>
    <mergeCell ref="E5023:F5023"/>
    <mergeCell ref="E2481:F2481"/>
    <mergeCell ref="E31:G31"/>
    <mergeCell ref="E906:F906"/>
    <mergeCell ref="E4697:F4697"/>
    <mergeCell ref="E1968:F1968"/>
    <mergeCell ref="E1213:F1213"/>
    <mergeCell ref="E1513:G1513"/>
    <mergeCell ref="E1511:F1511"/>
    <mergeCell ref="E2904:F2904"/>
    <mergeCell ref="E5025:F5025"/>
    <mergeCell ref="E4997:F4997"/>
    <mergeCell ref="E629:G629"/>
    <mergeCell ref="E5024:F5024"/>
    <mergeCell ref="E3327:F3327"/>
    <mergeCell ref="E481:F481"/>
    <mergeCell ref="A1749:B1749"/>
    <mergeCell ref="E510:F510"/>
    <mergeCell ref="E5026:F5026"/>
    <mergeCell ref="A341:B341"/>
    <mergeCell ref="A3836:B3836"/>
    <mergeCell ref="E1087:G1087"/>
    <mergeCell ref="A675:B675"/>
    <mergeCell ref="A3258:B3258"/>
    <mergeCell ref="A973:B973"/>
    <mergeCell ref="E49:F49"/>
    <mergeCell ref="A3717:G3717"/>
    <mergeCell ref="A4588:B4588"/>
    <mergeCell ref="E1537:F1537"/>
    <mergeCell ref="A1802:G1802"/>
    <mergeCell ref="A4916:B4916"/>
    <mergeCell ref="E2624:F2624"/>
    <mergeCell ref="E1896:F1896"/>
    <mergeCell ref="E4867:F4867"/>
    <mergeCell ref="E4112:F4112"/>
    <mergeCell ref="A4319:B4319"/>
    <mergeCell ref="E4139:F4139"/>
    <mergeCell ref="E3080:F3080"/>
    <mergeCell ref="E42:G42"/>
    <mergeCell ref="E4410:F4410"/>
    <mergeCell ref="E3378:F3378"/>
    <mergeCell ref="E1232:G1232"/>
    <mergeCell ref="E2623:F2623"/>
    <mergeCell ref="E3983:F3983"/>
    <mergeCell ref="E1898:F1898"/>
    <mergeCell ref="E4105:F4105"/>
    <mergeCell ref="E411:G411"/>
    <mergeCell ref="E682:G682"/>
    <mergeCell ref="E4710:F4710"/>
    <mergeCell ref="E4868:F4868"/>
    <mergeCell ref="E2802:G2802"/>
    <mergeCell ref="A2819:B2819"/>
    <mergeCell ref="A728:B728"/>
    <mergeCell ref="E4136:F4136"/>
    <mergeCell ref="A155:G155"/>
    <mergeCell ref="A2514:B2514"/>
    <mergeCell ref="A4975:B4975"/>
    <mergeCell ref="E4653:G4653"/>
    <mergeCell ref="A3874:B3874"/>
    <mergeCell ref="A1944:G1944"/>
    <mergeCell ref="E525:F525"/>
    <mergeCell ref="E1926:F1926"/>
    <mergeCell ref="E1611:F1611"/>
    <mergeCell ref="E1882:F1882"/>
    <mergeCell ref="A3786:B3786"/>
    <mergeCell ref="E1156:G1156"/>
    <mergeCell ref="E850:F850"/>
    <mergeCell ref="E4125:F4125"/>
    <mergeCell ref="E1621:F1621"/>
    <mergeCell ref="E1911:F1911"/>
    <mergeCell ref="E2209:F2209"/>
    <mergeCell ref="E124:F124"/>
    <mergeCell ref="E4335:F4335"/>
    <mergeCell ref="A3900:B3900"/>
    <mergeCell ref="A1060:B1060"/>
    <mergeCell ref="E3610:F3610"/>
    <mergeCell ref="A299:B299"/>
    <mergeCell ref="A1352:B1352"/>
    <mergeCell ref="A2244:B2244"/>
    <mergeCell ref="E5092:F5092"/>
    <mergeCell ref="A4986:B4986"/>
    <mergeCell ref="A5117:B5117"/>
    <mergeCell ref="A5001:G5001"/>
    <mergeCell ref="A2115:B2115"/>
    <mergeCell ref="A902:G902"/>
    <mergeCell ref="E121:F121"/>
    <mergeCell ref="A2842:B2842"/>
    <mergeCell ref="E151:F151"/>
    <mergeCell ref="E455:F455"/>
    <mergeCell ref="E878:F878"/>
    <mergeCell ref="A2415:B2415"/>
    <mergeCell ref="A3654:G3654"/>
    <mergeCell ref="E150:F150"/>
    <mergeCell ref="E4520:F4520"/>
    <mergeCell ref="E2689:F2689"/>
    <mergeCell ref="E2:G2"/>
    <mergeCell ref="E573:F573"/>
    <mergeCell ref="E3751:F3751"/>
    <mergeCell ref="E4399:G4399"/>
    <mergeCell ref="E1939:F1939"/>
    <mergeCell ref="E116:G116"/>
    <mergeCell ref="E152:F152"/>
    <mergeCell ref="E4820:F4820"/>
    <mergeCell ref="E450:F450"/>
    <mergeCell ref="E3750:F3750"/>
    <mergeCell ref="A317:B317"/>
    <mergeCell ref="A956:G956"/>
    <mergeCell ref="A1528:B1528"/>
    <mergeCell ref="E1815:G1815"/>
    <mergeCell ref="A2255:B2255"/>
    <mergeCell ref="E3752:F3752"/>
    <mergeCell ref="A3646:B3646"/>
    <mergeCell ref="A2471:G2471"/>
    <mergeCell ref="E3325:F3325"/>
    <mergeCell ref="E589:F589"/>
    <mergeCell ref="E1844:G1844"/>
    <mergeCell ref="E3623:F3623"/>
    <mergeCell ref="E4060:G4060"/>
    <mergeCell ref="E508:F508"/>
    <mergeCell ref="E1316:F1316"/>
    <mergeCell ref="A768:B768"/>
    <mergeCell ref="E4836:F4836"/>
    <mergeCell ref="A2159:B2159"/>
    <mergeCell ref="E501:F501"/>
    <mergeCell ref="A5009:B5009"/>
    <mergeCell ref="A2344:G2344"/>
    <mergeCell ref="A3832:G3832"/>
    <mergeCell ref="E4381:F4381"/>
    <mergeCell ref="A3071:G3071"/>
    <mergeCell ref="E1535:F1535"/>
    <mergeCell ref="E2588:F2588"/>
    <mergeCell ref="E1108:F1108"/>
    <mergeCell ref="E1230:F1230"/>
    <mergeCell ref="E890:F890"/>
    <mergeCell ref="E3649:F3649"/>
    <mergeCell ref="E496:G496"/>
    <mergeCell ref="E3780:F3780"/>
    <mergeCell ref="E803:F803"/>
    <mergeCell ref="E4103:F4103"/>
    <mergeCell ref="E4078:F4078"/>
    <mergeCell ref="E3010:G3010"/>
    <mergeCell ref="A4727:B4727"/>
    <mergeCell ref="A2940:B2940"/>
    <mergeCell ref="E4437:F4437"/>
    <mergeCell ref="A3095:G3095"/>
    <mergeCell ref="E4735:F4735"/>
    <mergeCell ref="E1872:G1872"/>
    <mergeCell ref="E4866:F4866"/>
    <mergeCell ref="A25:B25"/>
    <mergeCell ref="A3667:B3667"/>
    <mergeCell ref="A1615:G1615"/>
    <mergeCell ref="A997:B997"/>
    <mergeCell ref="E2735:F2735"/>
    <mergeCell ref="E5043:G5043"/>
    <mergeCell ref="E948:F948"/>
    <mergeCell ref="A2485:B2485"/>
    <mergeCell ref="E2495:G2495"/>
    <mergeCell ref="E2430:F2430"/>
    <mergeCell ref="E521:F521"/>
    <mergeCell ref="E819:F819"/>
    <mergeCell ref="E2009:F2009"/>
    <mergeCell ref="E1554:G1554"/>
    <mergeCell ref="A3969:B3969"/>
    <mergeCell ref="A2182:B2182"/>
    <mergeCell ref="E821:F821"/>
    <mergeCell ref="A4328:B4328"/>
    <mergeCell ref="E4463:F4463"/>
    <mergeCell ref="E4761:F4761"/>
    <mergeCell ref="E2311:G2311"/>
    <mergeCell ref="E979:F979"/>
    <mergeCell ref="E3702:F3702"/>
    <mergeCell ref="E5068:F5068"/>
    <mergeCell ref="E822:G822"/>
    <mergeCell ref="E1408:F1408"/>
    <mergeCell ref="A2197:B2197"/>
    <mergeCell ref="E3791:F3791"/>
    <mergeCell ref="E3816:F3816"/>
    <mergeCell ref="E4158:F4158"/>
    <mergeCell ref="E2759:F2759"/>
    <mergeCell ref="E3275:F3275"/>
    <mergeCell ref="A4939:G4939"/>
    <mergeCell ref="E4002:F4002"/>
    <mergeCell ref="E1279:F1279"/>
    <mergeCell ref="E2934:G2934"/>
    <mergeCell ref="A1444:B1444"/>
    <mergeCell ref="E4160:F4160"/>
    <mergeCell ref="A2109:B2109"/>
    <mergeCell ref="A534:B534"/>
    <mergeCell ref="A1139:B1139"/>
    <mergeCell ref="E3276:F3276"/>
    <mergeCell ref="A4020:B4020"/>
    <mergeCell ref="A2627:B2627"/>
    <mergeCell ref="E1304:F1304"/>
    <mergeCell ref="E234:F234"/>
    <mergeCell ref="A712:B712"/>
    <mergeCell ref="E4147:F4147"/>
    <mergeCell ref="A4625:B4625"/>
    <mergeCell ref="A1902:B1902"/>
    <mergeCell ref="A2424:G2424"/>
    <mergeCell ref="E663:F663"/>
    <mergeCell ref="A2200:B2200"/>
    <mergeCell ref="A593:G593"/>
    <mergeCell ref="E2151:F2151"/>
    <mergeCell ref="E2210:G2210"/>
    <mergeCell ref="A2411:B2411"/>
    <mergeCell ref="E3878:F3878"/>
    <mergeCell ref="A4840:G4840"/>
    <mergeCell ref="A3143:G3143"/>
    <mergeCell ref="E3117:F3117"/>
    <mergeCell ref="E2660:F2660"/>
    <mergeCell ref="E3713:F3713"/>
    <mergeCell ref="E1628:F1628"/>
    <mergeCell ref="E4605:F4605"/>
    <mergeCell ref="A438:B438"/>
    <mergeCell ref="E1935:F1935"/>
    <mergeCell ref="E1717:F1717"/>
    <mergeCell ref="E658:F658"/>
    <mergeCell ref="E3423:F3423"/>
    <mergeCell ref="E4476:F4476"/>
    <mergeCell ref="E3721:F3721"/>
    <mergeCell ref="E3873:F3873"/>
    <mergeCell ref="A2251:B2251"/>
    <mergeCell ref="A1167:B1167"/>
    <mergeCell ref="E2691:F2691"/>
    <mergeCell ref="A497:G497"/>
    <mergeCell ref="A2740:G2740"/>
    <mergeCell ref="E4173:F4173"/>
    <mergeCell ref="E3418:F3418"/>
    <mergeCell ref="A5099:B5099"/>
    <mergeCell ref="A4067:B4067"/>
    <mergeCell ref="A2435:G2435"/>
    <mergeCell ref="E1348:F1348"/>
    <mergeCell ref="A2124:B2124"/>
    <mergeCell ref="E2075:F2075"/>
    <mergeCell ref="A2851:B2851"/>
    <mergeCell ref="E4318:F4318"/>
    <mergeCell ref="E1612:F1612"/>
    <mergeCell ref="A4035:B4035"/>
    <mergeCell ref="E1770:F1770"/>
    <mergeCell ref="E893:F893"/>
    <mergeCell ref="E4827:F4827"/>
    <mergeCell ref="E4072:F4072"/>
    <mergeCell ref="E588:F588"/>
    <mergeCell ref="E4618:F4618"/>
    <mergeCell ref="A4250:G4250"/>
    <mergeCell ref="E3653:G3653"/>
    <mergeCell ref="E1772:F1772"/>
    <mergeCell ref="E4537:F4537"/>
    <mergeCell ref="E4835:F4835"/>
    <mergeCell ref="E3776:F3776"/>
    <mergeCell ref="E4829:F4829"/>
    <mergeCell ref="E2377:F2377"/>
    <mergeCell ref="E3042:F3042"/>
    <mergeCell ref="E590:F590"/>
    <mergeCell ref="E1643:F1643"/>
    <mergeCell ref="E2833:F2833"/>
    <mergeCell ref="A776:B776"/>
    <mergeCell ref="E4382:G4382"/>
    <mergeCell ref="A1547:B1547"/>
    <mergeCell ref="E4374:F4374"/>
    <mergeCell ref="A3454:B3454"/>
    <mergeCell ref="A784:B784"/>
    <mergeCell ref="A1837:B1837"/>
    <mergeCell ref="A3027:B3027"/>
    <mergeCell ref="E2103:F2103"/>
    <mergeCell ref="A3549:G3549"/>
    <mergeCell ref="A2266:B2266"/>
    <mergeCell ref="E316:F316"/>
    <mergeCell ref="A2033:G2033"/>
    <mergeCell ref="E1027:F1027"/>
    <mergeCell ref="E2401:F2401"/>
    <mergeCell ref="E2760:F2760"/>
    <mergeCell ref="A4452:G4452"/>
    <mergeCell ref="E608:G608"/>
    <mergeCell ref="E606:F606"/>
    <mergeCell ref="A2361:G2361"/>
    <mergeCell ref="E3189:F3189"/>
    <mergeCell ref="E3487:F3487"/>
    <mergeCell ref="E1371:F1371"/>
    <mergeCell ref="E301:F301"/>
    <mergeCell ref="E2762:F2762"/>
    <mergeCell ref="E5005:F5005"/>
    <mergeCell ref="E3358:F3358"/>
    <mergeCell ref="E1273:F1273"/>
    <mergeCell ref="E4548:F4548"/>
    <mergeCell ref="E3489:F3489"/>
    <mergeCell ref="A3851:G3851"/>
    <mergeCell ref="E2755:F2755"/>
    <mergeCell ref="E1247:G1247"/>
    <mergeCell ref="E2000:F2000"/>
    <mergeCell ref="E916:F916"/>
    <mergeCell ref="E4971:F4971"/>
    <mergeCell ref="E601:F601"/>
    <mergeCell ref="E4977:F4977"/>
    <mergeCell ref="E3062:F3062"/>
    <mergeCell ref="A1324:G1324"/>
    <mergeCell ref="E3789:F3789"/>
    <mergeCell ref="E4087:F4087"/>
    <mergeCell ref="A3683:B3683"/>
    <mergeCell ref="E4245:F4245"/>
    <mergeCell ref="A812:B812"/>
    <mergeCell ref="E4762:G4762"/>
    <mergeCell ref="E29:F29"/>
    <mergeCell ref="E2788:F2788"/>
    <mergeCell ref="A2211:G2211"/>
    <mergeCell ref="A378:B378"/>
    <mergeCell ref="A1748:G1748"/>
    <mergeCell ref="E627:F627"/>
    <mergeCell ref="E2475:F2475"/>
    <mergeCell ref="A3075:B3075"/>
    <mergeCell ref="E1003:F1003"/>
    <mergeCell ref="E4576:F4576"/>
    <mergeCell ref="A4963:G4963"/>
    <mergeCell ref="E4899:F4899"/>
    <mergeCell ref="E3202:F3202"/>
    <mergeCell ref="A4739:B4739"/>
    <mergeCell ref="E1730:F1730"/>
    <mergeCell ref="E3500:F3500"/>
    <mergeCell ref="E1415:F1415"/>
    <mergeCell ref="A1893:B1893"/>
    <mergeCell ref="E331:F331"/>
    <mergeCell ref="A2048:G2048"/>
    <mergeCell ref="E996:F996"/>
    <mergeCell ref="E4138:F4138"/>
    <mergeCell ref="E4690:F4690"/>
    <mergeCell ref="E3203:G3203"/>
    <mergeCell ref="E4603:F4603"/>
    <mergeCell ref="E4901:F4901"/>
    <mergeCell ref="E4876:F4876"/>
    <mergeCell ref="E3502:F3502"/>
    <mergeCell ref="E1715:F1715"/>
    <mergeCell ref="E4990:F4990"/>
    <mergeCell ref="E2905:F2905"/>
    <mergeCell ref="A3108:B3108"/>
    <mergeCell ref="A3406:B3406"/>
    <mergeCell ref="A2948:G2948"/>
    <mergeCell ref="E4473:F4473"/>
    <mergeCell ref="A736:B736"/>
    <mergeCell ref="E556:F556"/>
    <mergeCell ref="A518:B518"/>
    <mergeCell ref="E2015:F2015"/>
    <mergeCell ref="A4218:G4218"/>
    <mergeCell ref="A2108:G2108"/>
    <mergeCell ref="E985:F985"/>
    <mergeCell ref="A1192:B1192"/>
    <mergeCell ref="A1463:B1463"/>
    <mergeCell ref="A4492:B4492"/>
    <mergeCell ref="E3228:F3228"/>
    <mergeCell ref="A2680:B2680"/>
    <mergeCell ref="E1441:F1441"/>
    <mergeCell ref="A2978:B2978"/>
    <mergeCell ref="E558:F558"/>
    <mergeCell ref="E680:F680"/>
    <mergeCell ref="E2801:F2801"/>
    <mergeCell ref="E2046:F2046"/>
    <mergeCell ref="E987:F987"/>
    <mergeCell ref="A4792:B4792"/>
    <mergeCell ref="E1145:F1145"/>
    <mergeCell ref="A3921:G3921"/>
    <mergeCell ref="E986:F986"/>
    <mergeCell ref="E709:F709"/>
    <mergeCell ref="E3887:F3887"/>
    <mergeCell ref="E3897:F3897"/>
    <mergeCell ref="E1743:F1743"/>
    <mergeCell ref="A1637:B1637"/>
    <mergeCell ref="A578:B578"/>
    <mergeCell ref="E4011:F4011"/>
    <mergeCell ref="E4485:F4485"/>
    <mergeCell ref="E4616:F4616"/>
    <mergeCell ref="E4958:F4958"/>
    <mergeCell ref="E3888:F3888"/>
    <mergeCell ref="E2829:F2829"/>
    <mergeCell ref="E3127:F3127"/>
    <mergeCell ref="E2043:F2043"/>
    <mergeCell ref="E3129:F3129"/>
    <mergeCell ref="E2099:F2099"/>
    <mergeCell ref="A907:B907"/>
    <mergeCell ref="E4640:F4640"/>
    <mergeCell ref="A630:G630"/>
    <mergeCell ref="E2943:F2943"/>
    <mergeCell ref="E1672:F1672"/>
    <mergeCell ref="E97:F97"/>
    <mergeCell ref="E401:F401"/>
    <mergeCell ref="E4490:G4490"/>
    <mergeCell ref="E693:F693"/>
    <mergeCell ref="E2092:G2092"/>
    <mergeCell ref="A2909:G2909"/>
    <mergeCell ref="E4213:F4213"/>
    <mergeCell ref="A4691:B4691"/>
    <mergeCell ref="A1393:G1393"/>
    <mergeCell ref="A4871:G4871"/>
    <mergeCell ref="E3274:F3274"/>
    <mergeCell ref="E4642:F4642"/>
    <mergeCell ref="A4050:B4050"/>
    <mergeCell ref="A4392:B4392"/>
    <mergeCell ref="E3031:F3031"/>
    <mergeCell ref="E3153:F3153"/>
    <mergeCell ref="E424:F424"/>
    <mergeCell ref="A4608:G4608"/>
    <mergeCell ref="E4215:F4215"/>
    <mergeCell ref="E1375:F1375"/>
    <mergeCell ref="E1673:F1673"/>
    <mergeCell ref="A1779:B1779"/>
    <mergeCell ref="E912:F912"/>
    <mergeCell ref="E3574:F3574"/>
    <mergeCell ref="E186:G186"/>
    <mergeCell ref="E3916:F3916"/>
    <mergeCell ref="E4214:F4214"/>
    <mergeCell ref="E724:F724"/>
    <mergeCell ref="E3034:G3034"/>
    <mergeCell ref="E2728:F2728"/>
    <mergeCell ref="A2079:B2079"/>
    <mergeCell ref="E3026:F3026"/>
    <mergeCell ref="A2744:B2744"/>
    <mergeCell ref="E4996:F4996"/>
    <mergeCell ref="A3051:B3051"/>
    <mergeCell ref="A2935:G2935"/>
    <mergeCell ref="E1812:F1812"/>
    <mergeCell ref="A2019:B2019"/>
    <mergeCell ref="A2290:B2290"/>
    <mergeCell ref="A3349:B3349"/>
    <mergeCell ref="A1562:B1562"/>
    <mergeCell ref="E3359:G3359"/>
    <mergeCell ref="A3805:B3805"/>
    <mergeCell ref="A4076:B4076"/>
    <mergeCell ref="A1266:B1266"/>
    <mergeCell ref="E3926:F3926"/>
    <mergeCell ref="E1086:F1086"/>
    <mergeCell ref="E27:F27"/>
    <mergeCell ref="A3509:B3509"/>
    <mergeCell ref="E325:F325"/>
    <mergeCell ref="E1509:F1509"/>
    <mergeCell ref="E1813:F1813"/>
    <mergeCell ref="E1807:F1807"/>
    <mergeCell ref="E1843:F1843"/>
    <mergeCell ref="E625:F625"/>
    <mergeCell ref="E4267:F4267"/>
    <mergeCell ref="E3208:F3208"/>
    <mergeCell ref="E1538:F1538"/>
    <mergeCell ref="E4574:F4574"/>
    <mergeCell ref="A4621:G4621"/>
    <mergeCell ref="E3079:F3079"/>
    <mergeCell ref="E3070:G3070"/>
    <mergeCell ref="A1276:B1276"/>
    <mergeCell ref="E3954:F3954"/>
    <mergeCell ref="E2870:F2870"/>
    <mergeCell ref="E4567:F4567"/>
    <mergeCell ref="E1083:F1083"/>
    <mergeCell ref="E3535:G3535"/>
    <mergeCell ref="A977:B977"/>
    <mergeCell ref="A1887:G1887"/>
    <mergeCell ref="A2459:B2459"/>
    <mergeCell ref="E4262:G4262"/>
    <mergeCell ref="A4000:B4000"/>
    <mergeCell ref="A4552:B4552"/>
    <mergeCell ref="E38:F38"/>
    <mergeCell ref="E2319:G2319"/>
    <mergeCell ref="E2661:G2661"/>
    <mergeCell ref="E1228:F1228"/>
    <mergeCell ref="A1706:B1706"/>
    <mergeCell ref="A2004:B2004"/>
    <mergeCell ref="A4007:G4007"/>
    <mergeCell ref="E4285:F4285"/>
    <mergeCell ref="E3226:F3226"/>
    <mergeCell ref="A4672:G4672"/>
    <mergeCell ref="E3524:F3524"/>
    <mergeCell ref="A3731:B3731"/>
    <mergeCell ref="A5061:B5061"/>
    <mergeCell ref="E40:F40"/>
    <mergeCell ref="A1577:B1577"/>
    <mergeCell ref="E3315:F3315"/>
    <mergeCell ref="E338:F338"/>
    <mergeCell ref="E2799:F2799"/>
    <mergeCell ref="E5042:F5042"/>
    <mergeCell ref="E4585:F4585"/>
    <mergeCell ref="E2500:F2500"/>
    <mergeCell ref="A2862:G2862"/>
    <mergeCell ref="E2494:F2494"/>
    <mergeCell ref="E1739:F1739"/>
    <mergeCell ref="E2798:F2798"/>
    <mergeCell ref="E2343:G2343"/>
    <mergeCell ref="E707:F707"/>
    <mergeCell ref="E5041:F5041"/>
    <mergeCell ref="E3229:G3229"/>
    <mergeCell ref="E3227:F3227"/>
    <mergeCell ref="E3982:F3982"/>
    <mergeCell ref="E4464:G4464"/>
    <mergeCell ref="E3221:F3221"/>
    <mergeCell ref="A961:B961"/>
    <mergeCell ref="E2047:G2047"/>
    <mergeCell ref="E2800:F2800"/>
    <mergeCell ref="E3106:G3106"/>
    <mergeCell ref="E2039:F2039"/>
    <mergeCell ref="A1295:B1295"/>
    <mergeCell ref="A3:G3"/>
    <mergeCell ref="A656:B656"/>
    <mergeCell ref="A3415:B3415"/>
    <mergeCell ref="A1330:B1330"/>
    <mergeCell ref="A3871:B3871"/>
    <mergeCell ref="A903:B903"/>
    <mergeCell ref="A32:G32"/>
    <mergeCell ref="E2939:F2939"/>
    <mergeCell ref="E3237:F3237"/>
    <mergeCell ref="E1152:F1152"/>
    <mergeCell ref="A1514:G1514"/>
    <mergeCell ref="A759:G759"/>
    <mergeCell ref="A4634:B4634"/>
    <mergeCell ref="A4932:B4932"/>
    <mergeCell ref="E725:F725"/>
    <mergeCell ref="E4936:F4936"/>
    <mergeCell ref="E1154:F1154"/>
    <mergeCell ref="E1452:F1452"/>
    <mergeCell ref="E4456:F4456"/>
    <mergeCell ref="E3397:F3397"/>
    <mergeCell ref="E691:F691"/>
    <mergeCell ref="E3695:F3695"/>
    <mergeCell ref="E2636:F2636"/>
    <mergeCell ref="E576:G576"/>
    <mergeCell ref="E1025:F1025"/>
    <mergeCell ref="E1629:G1629"/>
    <mergeCell ref="E2215:F2215"/>
    <mergeCell ref="E1760:G1760"/>
    <mergeCell ref="E1454:F1454"/>
    <mergeCell ref="E3151:F3151"/>
    <mergeCell ref="E2811:F2811"/>
    <mergeCell ref="E1752:F1752"/>
    <mergeCell ref="E1910:F1910"/>
    <mergeCell ref="E3240:F3240"/>
    <mergeCell ref="A4204:B4204"/>
    <mergeCell ref="E1455:G1455"/>
    <mergeCell ref="E2208:F2208"/>
    <mergeCell ref="E4510:F4510"/>
    <mergeCell ref="E3451:F3451"/>
    <mergeCell ref="A3777:B3777"/>
    <mergeCell ref="A5016:G5016"/>
    <mergeCell ref="E1028:G1028"/>
    <mergeCell ref="E2971:F2971"/>
    <mergeCell ref="E751:F751"/>
    <mergeCell ref="A3891:B3891"/>
    <mergeCell ref="A4504:B4504"/>
    <mergeCell ref="A4189:B4189"/>
    <mergeCell ref="E2239:F2239"/>
    <mergeCell ref="A1045:B1045"/>
    <mergeCell ref="A1343:B1343"/>
    <mergeCell ref="A4263:G4263"/>
    <mergeCell ref="A1417:G1417"/>
    <mergeCell ref="A683:G683"/>
    <mergeCell ref="E1349:F1349"/>
    <mergeCell ref="E2241:F2241"/>
    <mergeCell ref="E1173:G1173"/>
    <mergeCell ref="E2564:F2564"/>
    <mergeCell ref="E112:F112"/>
    <mergeCell ref="A932:B932"/>
    <mergeCell ref="A474:G474"/>
    <mergeCell ref="E1778:F1778"/>
    <mergeCell ref="A1527:G1527"/>
    <mergeCell ref="A4713:G4713"/>
    <mergeCell ref="E1892:F1892"/>
    <mergeCell ref="E3625:F3625"/>
    <mergeCell ref="E4651:F4651"/>
    <mergeCell ref="E456:F456"/>
    <mergeCell ref="E754:F754"/>
    <mergeCell ref="E2409:G2409"/>
    <mergeCell ref="A2130:B2130"/>
    <mergeCell ref="A614:B614"/>
    <mergeCell ref="E3919:F3919"/>
    <mergeCell ref="E1773:G1773"/>
    <mergeCell ref="E3164:F3164"/>
    <mergeCell ref="E4056:F4056"/>
    <mergeCell ref="E4354:F4354"/>
    <mergeCell ref="E4652:F4652"/>
    <mergeCell ref="A643:B643"/>
    <mergeCell ref="E4379:F4379"/>
    <mergeCell ref="E1954:F1954"/>
    <mergeCell ref="A2639:G2639"/>
    <mergeCell ref="E2165:F2165"/>
    <mergeCell ref="A2334:B2334"/>
    <mergeCell ref="A3882:G3882"/>
    <mergeCell ref="A1430:G1430"/>
    <mergeCell ref="A3375:G3375"/>
    <mergeCell ref="A3518:B3518"/>
    <mergeCell ref="E2594:F2594"/>
    <mergeCell ref="E4066:F4066"/>
    <mergeCell ref="E1524:F1524"/>
    <mergeCell ref="E2577:F2577"/>
    <mergeCell ref="E738:F738"/>
    <mergeCell ref="E3767:F3767"/>
    <mergeCell ref="E461:F461"/>
    <mergeCell ref="A4645:G4645"/>
    <mergeCell ref="E3340:F3340"/>
    <mergeCell ref="E4708:F4708"/>
    <mergeCell ref="A4116:B4116"/>
    <mergeCell ref="E469:F469"/>
    <mergeCell ref="E4828:F4828"/>
    <mergeCell ref="E767:F767"/>
    <mergeCell ref="E5039:F5039"/>
    <mergeCell ref="A329:B329"/>
    <mergeCell ref="A4327:G4327"/>
    <mergeCell ref="E339:G339"/>
    <mergeCell ref="A545:G545"/>
    <mergeCell ref="A2354:B2354"/>
    <mergeCell ref="A3246:B3246"/>
    <mergeCell ref="A109:G109"/>
    <mergeCell ref="A2783:B2783"/>
    <mergeCell ref="E3948:G3948"/>
    <mergeCell ref="E4586:G4586"/>
    <mergeCell ref="A2362:B2362"/>
    <mergeCell ref="E1878:F1878"/>
    <mergeCell ref="E1123:F1123"/>
    <mergeCell ref="A1601:B1601"/>
    <mergeCell ref="A117:G117"/>
    <mergeCell ref="E4423:F4423"/>
    <mergeCell ref="E362:F362"/>
    <mergeCell ref="A2333:G2333"/>
    <mergeCell ref="E2307:F2307"/>
    <mergeCell ref="A2476:B2476"/>
    <mergeCell ref="E2613:G2613"/>
    <mergeCell ref="E2605:F2605"/>
    <mergeCell ref="E1850:F1850"/>
    <mergeCell ref="E153:F153"/>
    <mergeCell ref="A4142:B4142"/>
    <mergeCell ref="E818:F818"/>
    <mergeCell ref="E2184:F2184"/>
    <mergeCell ref="E2178:F2178"/>
    <mergeCell ref="E364:F364"/>
    <mergeCell ref="E3393:F3393"/>
    <mergeCell ref="A3755:G3755"/>
    <mergeCell ref="E4723:F4723"/>
    <mergeCell ref="E1581:F1581"/>
    <mergeCell ref="E820:F820"/>
    <mergeCell ref="E2150:F2150"/>
    <mergeCell ref="E365:G365"/>
    <mergeCell ref="E363:F363"/>
    <mergeCell ref="E1118:F1118"/>
    <mergeCell ref="E1416:G1416"/>
    <mergeCell ref="E3991:F3991"/>
    <mergeCell ref="A3742:G3742"/>
    <mergeCell ref="E2179:F2179"/>
    <mergeCell ref="A1775:B1775"/>
    <mergeCell ref="A716:B716"/>
    <mergeCell ref="A871:G871"/>
    <mergeCell ref="E3388:F3388"/>
    <mergeCell ref="A4289:B4289"/>
    <mergeCell ref="E4754:F4754"/>
    <mergeCell ref="E3993:F3993"/>
    <mergeCell ref="E2206:F2206"/>
    <mergeCell ref="A3862:B3862"/>
    <mergeCell ref="E3994:G3994"/>
    <mergeCell ref="A4956:B4956"/>
    <mergeCell ref="A4195:B4195"/>
    <mergeCell ref="E1265:F1265"/>
    <mergeCell ref="A1472:B1472"/>
    <mergeCell ref="E2318:F2318"/>
    <mergeCell ref="A3855:B3855"/>
    <mergeCell ref="E4322:F4322"/>
    <mergeCell ref="E3263:F3263"/>
    <mergeCell ref="A1200:G1200"/>
    <mergeCell ref="E1136:F1136"/>
    <mergeCell ref="E3081:F3081"/>
    <mergeCell ref="E2964:F2964"/>
    <mergeCell ref="E4017:F4017"/>
    <mergeCell ref="E1294:F1294"/>
    <mergeCell ref="E1565:F1565"/>
    <mergeCell ref="A3011:G3011"/>
    <mergeCell ref="E533:F533"/>
    <mergeCell ref="A2070:B2070"/>
    <mergeCell ref="E4324:F4324"/>
    <mergeCell ref="E831:F831"/>
    <mergeCell ref="A3440:G3440"/>
    <mergeCell ref="A856:B856"/>
    <mergeCell ref="A4800:G4800"/>
    <mergeCell ref="E4736:F4736"/>
    <mergeCell ref="E3264:F3264"/>
    <mergeCell ref="E1567:F1567"/>
    <mergeCell ref="A3471:B3471"/>
    <mergeCell ref="A3913:B3913"/>
    <mergeCell ref="A429:B429"/>
    <mergeCell ref="E3898:G3898"/>
    <mergeCell ref="E1050:F1050"/>
    <mergeCell ref="E4018:G4018"/>
    <mergeCell ref="E1350:G1350"/>
    <mergeCell ref="E2995:F2995"/>
    <mergeCell ref="E5105:F5105"/>
    <mergeCell ref="E1596:F1596"/>
    <mergeCell ref="E3249:F3249"/>
    <mergeCell ref="A3458:B3458"/>
    <mergeCell ref="E4984:G4984"/>
    <mergeCell ref="A4940:B4940"/>
    <mergeCell ref="E1043:G1043"/>
    <mergeCell ref="A1158:B1158"/>
    <mergeCell ref="E4950:G4950"/>
    <mergeCell ref="A3183:B3183"/>
    <mergeCell ref="A2428:B2428"/>
    <mergeCell ref="E1189:F1189"/>
    <mergeCell ref="A1667:B1667"/>
    <mergeCell ref="A2726:B2726"/>
    <mergeCell ref="E2677:F2677"/>
    <mergeCell ref="E1366:G1366"/>
    <mergeCell ref="E4159:F4159"/>
    <mergeCell ref="A667:G667"/>
    <mergeCell ref="E2250:F2250"/>
    <mergeCell ref="E2372:F2372"/>
    <mergeCell ref="E463:F463"/>
    <mergeCell ref="A941:B941"/>
    <mergeCell ref="E2985:G2985"/>
    <mergeCell ref="E3738:F3738"/>
    <mergeCell ref="E1032:F1032"/>
    <mergeCell ref="E2977:F2977"/>
    <mergeCell ref="E4704:F4704"/>
    <mergeCell ref="A5028:G5028"/>
    <mergeCell ref="E763:F763"/>
    <mergeCell ref="A4127:G4127"/>
    <mergeCell ref="E5116:F5116"/>
    <mergeCell ref="E3006:F3006"/>
    <mergeCell ref="E3277:F3277"/>
    <mergeCell ref="A3484:B3484"/>
    <mergeCell ref="E2674:F2674"/>
    <mergeCell ref="A2270:B2270"/>
    <mergeCell ref="A4355:B4355"/>
    <mergeCell ref="A2568:B2568"/>
    <mergeCell ref="A659:B659"/>
    <mergeCell ref="E3008:F3008"/>
    <mergeCell ref="E4363:F4363"/>
    <mergeCell ref="A972:G972"/>
    <mergeCell ref="A4864:B4864"/>
    <mergeCell ref="A3331:B3331"/>
    <mergeCell ref="A354:B354"/>
    <mergeCell ref="A4384:B4384"/>
    <mergeCell ref="A3629:B3629"/>
    <mergeCell ref="A652:B652"/>
    <mergeCell ref="E4671:G4671"/>
    <mergeCell ref="E4698:G4698"/>
    <mergeCell ref="E3033:F3033"/>
    <mergeCell ref="E4366:G4366"/>
    <mergeCell ref="A1570:G1570"/>
    <mergeCell ref="E2690:F2690"/>
    <mergeCell ref="E605:F605"/>
    <mergeCell ref="E1658:F1658"/>
    <mergeCell ref="E4694:F4694"/>
    <mergeCell ref="E2609:F2609"/>
    <mergeCell ref="E3662:F3662"/>
    <mergeCell ref="E2907:F2907"/>
    <mergeCell ref="E484:G484"/>
    <mergeCell ref="E178:F178"/>
    <mergeCell ref="E4846:F4846"/>
    <mergeCell ref="E2998:G2998"/>
    <mergeCell ref="E1666:F1666"/>
    <mergeCell ref="E607:F607"/>
    <mergeCell ref="E2692:F2692"/>
    <mergeCell ref="E3357:F3357"/>
    <mergeCell ref="E2264:G2264"/>
    <mergeCell ref="E899:F899"/>
    <mergeCell ref="E4725:G4725"/>
    <mergeCell ref="E3664:F3664"/>
    <mergeCell ref="A1406:B1406"/>
    <mergeCell ref="A4440:B4440"/>
    <mergeCell ref="E4260:F4260"/>
    <mergeCell ref="E4391:F4391"/>
    <mergeCell ref="E3665:G3665"/>
    <mergeCell ref="A382:B382"/>
    <mergeCell ref="E4568:G4568"/>
    <mergeCell ref="E2483:G2483"/>
    <mergeCell ref="E2177:F2177"/>
    <mergeCell ref="A2581:B2581"/>
    <mergeCell ref="A651:G651"/>
    <mergeCell ref="A672:B672"/>
    <mergeCell ref="A3255:B3255"/>
    <mergeCell ref="E1261:F1261"/>
    <mergeCell ref="E1236:F1236"/>
    <mergeCell ref="A4743:B4743"/>
    <mergeCell ref="A2792:B2792"/>
    <mergeCell ref="A980:B980"/>
    <mergeCell ref="E2316:F2316"/>
    <mergeCell ref="E1561:F1561"/>
    <mergeCell ref="E4565:F4565"/>
    <mergeCell ref="E3804:F3804"/>
    <mergeCell ref="A5037:B5037"/>
    <mergeCell ref="E802:F802"/>
    <mergeCell ref="E2195:G2195"/>
    <mergeCell ref="E3201:F3201"/>
    <mergeCell ref="E5074:F5074"/>
    <mergeCell ref="E2622:F2622"/>
    <mergeCell ref="E3675:F3675"/>
    <mergeCell ref="E2774:F2774"/>
    <mergeCell ref="E3078:F3078"/>
    <mergeCell ref="E4104:F4104"/>
    <mergeCell ref="E2317:F2317"/>
    <mergeCell ref="A1127:B1127"/>
    <mergeCell ref="E3501:F3501"/>
    <mergeCell ref="E1137:G1137"/>
    <mergeCell ref="E4412:G4412"/>
    <mergeCell ref="E4106:F4106"/>
    <mergeCell ref="E2625:G2625"/>
    <mergeCell ref="E1287:F1287"/>
    <mergeCell ref="E2617:F2617"/>
    <mergeCell ref="E3103:F3103"/>
    <mergeCell ref="A122:B122"/>
    <mergeCell ref="A395:B395"/>
    <mergeCell ref="A2063:G2063"/>
    <mergeCell ref="A4524:G4524"/>
    <mergeCell ref="A4210:B4210"/>
    <mergeCell ref="E976:F976"/>
    <mergeCell ref="A3035:G3035"/>
    <mergeCell ref="A1338:G1338"/>
    <mergeCell ref="A4061:G4061"/>
    <mergeCell ref="E557:F557"/>
    <mergeCell ref="A306:G306"/>
    <mergeCell ref="A577:G577"/>
    <mergeCell ref="A1555:G1555"/>
    <mergeCell ref="E436:G436"/>
    <mergeCell ref="E969:F969"/>
    <mergeCell ref="E4489:F4489"/>
    <mergeCell ref="E3405:F3405"/>
    <mergeCell ref="A4967:B4967"/>
    <mergeCell ref="E3728:F3728"/>
    <mergeCell ref="A4090:G4090"/>
    <mergeCell ref="E4026:F4026"/>
    <mergeCell ref="E1941:F1941"/>
    <mergeCell ref="E542:F542"/>
    <mergeCell ref="E1155:F1155"/>
    <mergeCell ref="E2030:F2030"/>
    <mergeCell ref="A840:B840"/>
    <mergeCell ref="A1478:B1478"/>
    <mergeCell ref="E3002:F3002"/>
    <mergeCell ref="E4186:F4186"/>
    <mergeCell ref="A1051:B1051"/>
    <mergeCell ref="E3907:G3907"/>
    <mergeCell ref="E2330:F2330"/>
    <mergeCell ref="E1002:F1002"/>
    <mergeCell ref="E4791:F4791"/>
    <mergeCell ref="E4913:F4913"/>
    <mergeCell ref="E5089:F5089"/>
    <mergeCell ref="A752:B752"/>
    <mergeCell ref="E3302:F3302"/>
    <mergeCell ref="E4486:F4486"/>
    <mergeCell ref="E2638:G2638"/>
    <mergeCell ref="E1302:F1302"/>
    <mergeCell ref="A2839:B2839"/>
    <mergeCell ref="A4809:B4809"/>
    <mergeCell ref="E3304:F3304"/>
    <mergeCell ref="E2849:G2849"/>
    <mergeCell ref="E2388:F2388"/>
    <mergeCell ref="A2866:B2866"/>
    <mergeCell ref="A4978:B4978"/>
    <mergeCell ref="E4946:F4946"/>
    <mergeCell ref="E4631:F4631"/>
    <mergeCell ref="E113:F113"/>
    <mergeCell ref="E3449:F3449"/>
    <mergeCell ref="A807:G807"/>
    <mergeCell ref="E2390:F2390"/>
    <mergeCell ref="E2732:F2732"/>
    <mergeCell ref="E1333:F1333"/>
    <mergeCell ref="E1656:F1656"/>
    <mergeCell ref="A1865:B1865"/>
    <mergeCell ref="E4931:F4931"/>
    <mergeCell ref="E115:F115"/>
    <mergeCell ref="A764:B764"/>
    <mergeCell ref="A2592:B2592"/>
    <mergeCell ref="A922:B922"/>
    <mergeCell ref="E1956:F1956"/>
    <mergeCell ref="E5027:G5027"/>
    <mergeCell ref="E3452:G3452"/>
    <mergeCell ref="E3444:F3444"/>
    <mergeCell ref="A11:B11"/>
    <mergeCell ref="E1659:G1659"/>
    <mergeCell ref="A2279:B2279"/>
    <mergeCell ref="E2414:F2414"/>
    <mergeCell ref="A1222:B1222"/>
    <mergeCell ref="A467:B467"/>
    <mergeCell ref="A4714:B4714"/>
    <mergeCell ref="A3655:B3655"/>
    <mergeCell ref="E4230:F4230"/>
    <mergeCell ref="E3475:F3475"/>
    <mergeCell ref="E2443:F2443"/>
    <mergeCell ref="A5006:B5006"/>
    <mergeCell ref="A3192:B3192"/>
    <mergeCell ref="A792:B792"/>
    <mergeCell ref="E3170:F3170"/>
    <mergeCell ref="E2287:F2287"/>
    <mergeCell ref="E4530:F4530"/>
    <mergeCell ref="E2445:F2445"/>
    <mergeCell ref="E2743:F2743"/>
    <mergeCell ref="E2288:G2288"/>
    <mergeCell ref="A1092:B1092"/>
    <mergeCell ref="A179:B179"/>
    <mergeCell ref="E3470:F3470"/>
    <mergeCell ref="A1405:G1405"/>
    <mergeCell ref="E4855:F4855"/>
    <mergeCell ref="E3043:F3043"/>
    <mergeCell ref="E1229:F1229"/>
    <mergeCell ref="E1220:G1220"/>
    <mergeCell ref="E1685:F1685"/>
    <mergeCell ref="E4863:F4863"/>
    <mergeCell ref="E3045:F3045"/>
    <mergeCell ref="A3119:G3119"/>
    <mergeCell ref="E4558:F4558"/>
    <mergeCell ref="E1700:F1700"/>
    <mergeCell ref="E3797:F3797"/>
    <mergeCell ref="A1307:G1307"/>
    <mergeCell ref="A3368:B3368"/>
    <mergeCell ref="E184:F184"/>
    <mergeCell ref="A1721:B1721"/>
    <mergeCell ref="E2129:F2129"/>
    <mergeCell ref="A4427:B4427"/>
    <mergeCell ref="A1879:B1879"/>
    <mergeCell ref="E2921:G2921"/>
    <mergeCell ref="A2606:B2606"/>
    <mergeCell ref="E1245:F1245"/>
    <mergeCell ref="E3215:F3215"/>
    <mergeCell ref="A3279:G3279"/>
    <mergeCell ref="E3828:F3828"/>
    <mergeCell ref="A4752:B4752"/>
    <mergeCell ref="E2158:F2158"/>
    <mergeCell ref="E1403:F1403"/>
    <mergeCell ref="E344:F344"/>
    <mergeCell ref="E4737:G4737"/>
    <mergeCell ref="E642:F642"/>
    <mergeCell ref="E5035:G5035"/>
    <mergeCell ref="E4460:F4460"/>
    <mergeCell ref="E1826:F1826"/>
    <mergeCell ref="E3699:F3699"/>
    <mergeCell ref="E39:F39"/>
    <mergeCell ref="E4889:F4889"/>
    <mergeCell ref="E337:F337"/>
    <mergeCell ref="E3515:F3515"/>
    <mergeCell ref="A4515:G4515"/>
    <mergeCell ref="E1703:F1703"/>
    <mergeCell ref="E4462:F4462"/>
    <mergeCell ref="E4584:F4584"/>
    <mergeCell ref="E4760:F4760"/>
    <mergeCell ref="E3701:F3701"/>
    <mergeCell ref="E3823:F3823"/>
    <mergeCell ref="E4882:F4882"/>
    <mergeCell ref="E3104:F3104"/>
    <mergeCell ref="E2789:F2789"/>
    <mergeCell ref="E1842:F1842"/>
    <mergeCell ref="A3379:B3379"/>
    <mergeCell ref="A235:B235"/>
    <mergeCell ref="E2328:F2328"/>
    <mergeCell ref="A3292:B3292"/>
    <mergeCell ref="A1660:G1660"/>
    <mergeCell ref="A1803:B1803"/>
    <mergeCell ref="A744:B744"/>
    <mergeCell ref="A2850:G2850"/>
    <mergeCell ref="A4780:B4780"/>
    <mergeCell ref="E57:F57"/>
    <mergeCell ref="A1774:G1774"/>
    <mergeCell ref="A1233:G1233"/>
    <mergeCell ref="E3114:F3114"/>
    <mergeCell ref="E2359:F2359"/>
    <mergeCell ref="E3412:F3412"/>
    <mergeCell ref="E572:F572"/>
    <mergeCell ref="E1625:F1625"/>
    <mergeCell ref="E1756:F1756"/>
    <mergeCell ref="E2360:G2360"/>
    <mergeCell ref="E2054:F2054"/>
    <mergeCell ref="A3591:B3591"/>
    <mergeCell ref="E3999:F3999"/>
    <mergeCell ref="E4297:F4297"/>
    <mergeCell ref="E3238:F3238"/>
    <mergeCell ref="E1329:F1329"/>
    <mergeCell ref="E574:F574"/>
    <mergeCell ref="A130:B130"/>
    <mergeCell ref="E1627:F1627"/>
    <mergeCell ref="E2659:F2659"/>
    <mergeCell ref="E4902:F4902"/>
    <mergeCell ref="E1925:F1925"/>
    <mergeCell ref="E866:F866"/>
    <mergeCell ref="E3115:F3115"/>
    <mergeCell ref="E1024:F1024"/>
    <mergeCell ref="A1950:B1950"/>
    <mergeCell ref="E3544:F3544"/>
    <mergeCell ref="A20:G20"/>
    <mergeCell ref="E4089:G4089"/>
    <mergeCell ref="E3842:F3842"/>
    <mergeCell ref="A1487:B1487"/>
    <mergeCell ref="E1927:F1927"/>
    <mergeCell ref="A4920:B4920"/>
    <mergeCell ref="E2391:G2391"/>
    <mergeCell ref="E2356:F2356"/>
    <mergeCell ref="E2960:G2960"/>
    <mergeCell ref="E569:F569"/>
    <mergeCell ref="E1011:F1011"/>
    <mergeCell ref="E2812:F2812"/>
    <mergeCell ref="A1945:B1945"/>
    <mergeCell ref="E4501:F4501"/>
    <mergeCell ref="A5002:B5002"/>
    <mergeCell ref="E1040:F1040"/>
    <mergeCell ref="A4495:B4495"/>
    <mergeCell ref="A2708:B2708"/>
    <mergeCell ref="E1469:F1469"/>
    <mergeCell ref="A1076:G1076"/>
    <mergeCell ref="E708:F708"/>
    <mergeCell ref="A3000:B3000"/>
    <mergeCell ref="E2957:F2957"/>
    <mergeCell ref="E4228:F4228"/>
    <mergeCell ref="A4596:G4596"/>
    <mergeCell ref="E1042:F1042"/>
    <mergeCell ref="E4955:F4955"/>
    <mergeCell ref="E585:F585"/>
    <mergeCell ref="A3949:G3949"/>
    <mergeCell ref="E885:G885"/>
    <mergeCell ref="A4705:B4705"/>
    <mergeCell ref="E1769:F1769"/>
    <mergeCell ref="E2959:F2959"/>
    <mergeCell ref="E4528:F4528"/>
    <mergeCell ref="E3257:F3257"/>
    <mergeCell ref="E4826:F4826"/>
    <mergeCell ref="E4071:F4071"/>
    <mergeCell ref="E1986:F1986"/>
    <mergeCell ref="A1735:G1735"/>
    <mergeCell ref="E1342:F1342"/>
    <mergeCell ref="E2284:F2284"/>
    <mergeCell ref="E4229:F4229"/>
    <mergeCell ref="E2077:G2077"/>
    <mergeCell ref="E3128:F3128"/>
    <mergeCell ref="E3766:F3766"/>
    <mergeCell ref="E4231:F4231"/>
    <mergeCell ref="E1254:F1254"/>
    <mergeCell ref="E1858:G1858"/>
    <mergeCell ref="E4529:F4529"/>
    <mergeCell ref="E4074:G4074"/>
    <mergeCell ref="E3768:F3768"/>
    <mergeCell ref="A3364:B3364"/>
    <mergeCell ref="B4484:C4484"/>
    <mergeCell ref="A3024:B3024"/>
    <mergeCell ref="A1965:B1965"/>
    <mergeCell ref="A486:B486"/>
    <mergeCell ref="A1761:G1761"/>
    <mergeCell ref="A478:B478"/>
    <mergeCell ref="E613:F613"/>
    <mergeCell ref="A3977:G3977"/>
    <mergeCell ref="A4120:B4120"/>
    <mergeCell ref="E2881:F2881"/>
    <mergeCell ref="A4418:B4418"/>
    <mergeCell ref="E4668:F4668"/>
    <mergeCell ref="A4847:B4847"/>
    <mergeCell ref="E1401:F1401"/>
    <mergeCell ref="A3964:B3964"/>
    <mergeCell ref="E2454:F2454"/>
    <mergeCell ref="E4670:F4670"/>
    <mergeCell ref="A4718:B4718"/>
    <mergeCell ref="E2420:F2420"/>
    <mergeCell ref="E335:F335"/>
    <mergeCell ref="E4365:F4365"/>
    <mergeCell ref="E4669:F4669"/>
    <mergeCell ref="E2578:F2578"/>
    <mergeCell ref="E1701:F1701"/>
    <mergeCell ref="A1257:B1257"/>
    <mergeCell ref="E3944:F3944"/>
    <mergeCell ref="E4582:F4582"/>
    <mergeCell ref="E4880:F4880"/>
    <mergeCell ref="E512:G512"/>
    <mergeCell ref="E2457:G2457"/>
    <mergeCell ref="E2455:F2455"/>
    <mergeCell ref="E1396:F1396"/>
    <mergeCell ref="A2961:G2961"/>
    <mergeCell ref="E4540:F4540"/>
    <mergeCell ref="E3639:F3639"/>
    <mergeCell ref="E4969:F4969"/>
    <mergeCell ref="A3390:G3390"/>
    <mergeCell ref="A3087:B3087"/>
    <mergeCell ref="A2772:B2772"/>
    <mergeCell ref="E4550:G4550"/>
    <mergeCell ref="A4776:B4776"/>
    <mergeCell ref="E2002:G2002"/>
    <mergeCell ref="A3899:G3899"/>
    <mergeCell ref="A2345:B2345"/>
    <mergeCell ref="E783:F783"/>
    <mergeCell ref="E2480:F2480"/>
    <mergeCell ref="A506:B506"/>
    <mergeCell ref="A1888:B1888"/>
    <mergeCell ref="E326:F326"/>
    <mergeCell ref="A3833:B3833"/>
    <mergeCell ref="E4696:F4696"/>
    <mergeCell ref="A3072:B3072"/>
    <mergeCell ref="E2017:G2017"/>
    <mergeCell ref="E361:F361"/>
    <mergeCell ref="E3199:F3199"/>
    <mergeCell ref="E2482:F2482"/>
    <mergeCell ref="E55:F55"/>
    <mergeCell ref="A1592:B1592"/>
    <mergeCell ref="E1412:F1412"/>
    <mergeCell ref="E993:F993"/>
    <mergeCell ref="A4133:B4133"/>
    <mergeCell ref="E1841:F1841"/>
    <mergeCell ref="E2894:F2894"/>
    <mergeCell ref="A4431:B4431"/>
    <mergeCell ref="E1107:F1107"/>
    <mergeCell ref="E48:F48"/>
    <mergeCell ref="E2133:F2133"/>
    <mergeCell ref="E3866:F3866"/>
    <mergeCell ref="E1414:F1414"/>
    <mergeCell ref="E1536:F1536"/>
    <mergeCell ref="E2782:F2782"/>
    <mergeCell ref="E4593:F4593"/>
    <mergeCell ref="A3403:B3403"/>
    <mergeCell ref="E4900:F4900"/>
    <mergeCell ref="A1616:B1616"/>
    <mergeCell ref="E3868:F3868"/>
    <mergeCell ref="E3413:G3413"/>
    <mergeCell ref="E3411:F3411"/>
    <mergeCell ref="E988:G988"/>
    <mergeCell ref="A891:B891"/>
    <mergeCell ref="E3869:G3869"/>
    <mergeCell ref="A1311:B1311"/>
    <mergeCell ref="A586:B586"/>
    <mergeCell ref="A1916:B1916"/>
    <mergeCell ref="A4339:G4339"/>
    <mergeCell ref="E1288:G1288"/>
    <mergeCell ref="E835:F835"/>
    <mergeCell ref="A4789:B4789"/>
    <mergeCell ref="E1440:F1440"/>
    <mergeCell ref="E381:F381"/>
    <mergeCell ref="E2493:F2493"/>
    <mergeCell ref="E4774:G4774"/>
    <mergeCell ref="E679:F679"/>
    <mergeCell ref="A2216:B2216"/>
    <mergeCell ref="E837:F837"/>
    <mergeCell ref="E1135:F1135"/>
    <mergeCell ref="E2526:F2526"/>
    <mergeCell ref="E3894:F3894"/>
    <mergeCell ref="E410:F410"/>
    <mergeCell ref="E4323:F4323"/>
    <mergeCell ref="A3615:G3615"/>
    <mergeCell ref="E3587:F3587"/>
    <mergeCell ref="E2528:F2528"/>
    <mergeCell ref="E3581:F3581"/>
    <mergeCell ref="E4194:F4194"/>
    <mergeCell ref="E5069:F5069"/>
    <mergeCell ref="E3547:F3547"/>
    <mergeCell ref="A3756:B3756"/>
    <mergeCell ref="E3889:G3889"/>
    <mergeCell ref="E4187:G4187"/>
    <mergeCell ref="A570:B570"/>
    <mergeCell ref="E2373:G2373"/>
    <mergeCell ref="E2707:F2707"/>
    <mergeCell ref="A4388:B4388"/>
    <mergeCell ref="A1845:G1845"/>
    <mergeCell ref="E4914:G4914"/>
    <mergeCell ref="A4817:B4817"/>
    <mergeCell ref="A4083:B4083"/>
    <mergeCell ref="E1153:F1153"/>
    <mergeCell ref="A1540:G1540"/>
    <mergeCell ref="A1631:B1631"/>
    <mergeCell ref="A2153:G2153"/>
    <mergeCell ref="A3144:B3144"/>
    <mergeCell ref="E1582:F1582"/>
    <mergeCell ref="A2603:B2603"/>
    <mergeCell ref="A60:G60"/>
    <mergeCell ref="E1364:F1364"/>
    <mergeCell ref="E3309:F3309"/>
    <mergeCell ref="E2554:F2554"/>
    <mergeCell ref="A4091:B4091"/>
    <mergeCell ref="E1793:F1793"/>
    <mergeCell ref="E3905:F3905"/>
    <mergeCell ref="A3015:B3015"/>
    <mergeCell ref="E2091:F2091"/>
    <mergeCell ref="E6:F6"/>
    <mergeCell ref="A4569:G4569"/>
    <mergeCell ref="E2389:F2389"/>
    <mergeCell ref="E304:F304"/>
    <mergeCell ref="E4334:F4334"/>
    <mergeCell ref="E1786:G1786"/>
    <mergeCell ref="E3152:F3152"/>
    <mergeCell ref="E1067:F1067"/>
    <mergeCell ref="E3154:G3154"/>
    <mergeCell ref="E3450:F3450"/>
    <mergeCell ref="E1365:F1365"/>
    <mergeCell ref="E5122:F5122"/>
    <mergeCell ref="E1323:G1323"/>
    <mergeCell ref="E4336:F4336"/>
    <mergeCell ref="E2427:F2427"/>
    <mergeCell ref="A3628:G3628"/>
    <mergeCell ref="E3879:F3879"/>
    <mergeCell ref="E1972:G1972"/>
    <mergeCell ref="E4695:F4695"/>
    <mergeCell ref="A1980:B1980"/>
    <mergeCell ref="E4667:F4667"/>
    <mergeCell ref="A957:B957"/>
    <mergeCell ref="E4240:F4240"/>
    <mergeCell ref="A989:G989"/>
    <mergeCell ref="A1111:G1111"/>
    <mergeCell ref="A3927:B3927"/>
    <mergeCell ref="A4225:B4225"/>
    <mergeCell ref="A5044:G5044"/>
    <mergeCell ref="E779:F779"/>
    <mergeCell ref="E24:F24"/>
    <mergeCell ref="A502:B502"/>
    <mergeCell ref="A3506:B3506"/>
    <mergeCell ref="A800:B800"/>
    <mergeCell ref="A1138:G1138"/>
    <mergeCell ref="E2994:F2994"/>
    <mergeCell ref="E17:F17"/>
    <mergeCell ref="E1079:F1079"/>
    <mergeCell ref="E324:F324"/>
    <mergeCell ref="E4541:G4541"/>
    <mergeCell ref="A3986:G3986"/>
    <mergeCell ref="E482:F482"/>
    <mergeCell ref="E2865:F2865"/>
    <mergeCell ref="E1964:F1964"/>
    <mergeCell ref="E2262:F2262"/>
    <mergeCell ref="E3968:F3968"/>
    <mergeCell ref="A3254:G3254"/>
    <mergeCell ref="E327:G327"/>
    <mergeCell ref="E4380:F4380"/>
    <mergeCell ref="E1378:F1378"/>
    <mergeCell ref="E5020:F5020"/>
    <mergeCell ref="E3961:F3961"/>
    <mergeCell ref="E2562:F2562"/>
    <mergeCell ref="E477:F477"/>
    <mergeCell ref="A1397:B1397"/>
    <mergeCell ref="E4566:F4566"/>
    <mergeCell ref="E3534:F3534"/>
    <mergeCell ref="E4724:F4724"/>
    <mergeCell ref="E2893:F2893"/>
    <mergeCell ref="A4155:B4155"/>
    <mergeCell ref="A3096:B3096"/>
    <mergeCell ref="E1219:F1219"/>
    <mergeCell ref="E464:F464"/>
    <mergeCell ref="A2756:B2756"/>
    <mergeCell ref="A3394:B3394"/>
    <mergeCell ref="E4140:G4140"/>
    <mergeCell ref="E4559:G4559"/>
    <mergeCell ref="E4857:G4857"/>
    <mergeCell ref="A1100:B1100"/>
    <mergeCell ref="E1098:G1098"/>
    <mergeCell ref="A101:G101"/>
    <mergeCell ref="A2212:B2212"/>
    <mergeCell ref="E2918:F2918"/>
    <mergeCell ref="A1157:G1157"/>
    <mergeCell ref="E493:F493"/>
    <mergeCell ref="E47:F47"/>
    <mergeCell ref="E3007:F3007"/>
    <mergeCell ref="E1438:F1438"/>
    <mergeCell ref="E2491:F2491"/>
    <mergeCell ref="E4436:F4436"/>
    <mergeCell ref="E5011:F5011"/>
    <mergeCell ref="E4734:F4734"/>
    <mergeCell ref="E2920:F2920"/>
    <mergeCell ref="A4457:B4457"/>
    <mergeCell ref="E2192:F2192"/>
    <mergeCell ref="E1133:F1133"/>
    <mergeCell ref="E4408:F4408"/>
    <mergeCell ref="E2761:F2761"/>
    <mergeCell ref="E4435:F4435"/>
    <mergeCell ref="E3674:F3674"/>
    <mergeCell ref="E2919:F2919"/>
    <mergeCell ref="E4287:G4287"/>
    <mergeCell ref="E3981:F3981"/>
    <mergeCell ref="E1004:F1004"/>
    <mergeCell ref="E5040:F5040"/>
    <mergeCell ref="E2194:F2194"/>
    <mergeCell ref="E2492:F2492"/>
    <mergeCell ref="A2243:G2243"/>
    <mergeCell ref="E3676:F3676"/>
    <mergeCell ref="A243:B243"/>
    <mergeCell ref="A3427:G3427"/>
    <mergeCell ref="A1816:G1816"/>
    <mergeCell ref="A1022:B1022"/>
    <mergeCell ref="A458:G458"/>
    <mergeCell ref="E1149:F1149"/>
    <mergeCell ref="B4480:C4480"/>
    <mergeCell ref="A2999:G2999"/>
    <mergeCell ref="A4699:G4699"/>
    <mergeCell ref="A3267:B3267"/>
    <mergeCell ref="A4597:B4597"/>
    <mergeCell ref="E1906:F1906"/>
    <mergeCell ref="E5091:F5091"/>
    <mergeCell ref="E4330:F4330"/>
    <mergeCell ref="A2085:B2085"/>
    <mergeCell ref="A2265:G2265"/>
    <mergeCell ref="E2176:F2176"/>
    <mergeCell ref="E91:F91"/>
    <mergeCell ref="E2512:G2512"/>
    <mergeCell ref="E427:G427"/>
    <mergeCell ref="E1451:F1451"/>
    <mergeCell ref="E2510:F2510"/>
    <mergeCell ref="E3387:F3387"/>
    <mergeCell ref="E3903:F3903"/>
    <mergeCell ref="E4636:F4636"/>
    <mergeCell ref="E4630:F4630"/>
    <mergeCell ref="E4123:F4123"/>
    <mergeCell ref="A2827:B2827"/>
    <mergeCell ref="E4421:F4421"/>
    <mergeCell ref="E2634:F2634"/>
    <mergeCell ref="E2118:F2118"/>
    <mergeCell ref="E719:F719"/>
    <mergeCell ref="A3135:B3135"/>
    <mergeCell ref="E3606:F3606"/>
    <mergeCell ref="E4938:G4938"/>
    <mergeCell ref="E3904:F3904"/>
    <mergeCell ref="E2207:F2207"/>
    <mergeCell ref="E2845:F2845"/>
    <mergeCell ref="E726:G726"/>
    <mergeCell ref="E416:F416"/>
    <mergeCell ref="E2724:G2724"/>
    <mergeCell ref="E3906:F3906"/>
    <mergeCell ref="A2741:B2741"/>
    <mergeCell ref="A2896:G2896"/>
    <mergeCell ref="E147:F147"/>
    <mergeCell ref="E1477:F1477"/>
    <mergeCell ref="E4506:F4506"/>
    <mergeCell ref="E2990:F2990"/>
    <mergeCell ref="A2830:B2830"/>
    <mergeCell ref="A3230:G3230"/>
    <mergeCell ref="A610:B610"/>
    <mergeCell ref="E1591:F1591"/>
    <mergeCell ref="E874:F874"/>
    <mergeCell ref="A2320:G2320"/>
    <mergeCell ref="A2436:B2436"/>
    <mergeCell ref="E1172:F1172"/>
    <mergeCell ref="A2591:G2591"/>
    <mergeCell ref="E2563:F2563"/>
    <mergeCell ref="A4100:B4100"/>
    <mergeCell ref="E1470:G1470"/>
    <mergeCell ref="A4413:G4413"/>
    <mergeCell ref="A3497:B3497"/>
    <mergeCell ref="E4343:F4343"/>
    <mergeCell ref="E104:F104"/>
    <mergeCell ref="A1068:B1068"/>
    <mergeCell ref="E2565:F2565"/>
    <mergeCell ref="E3624:F3624"/>
    <mergeCell ref="A307:B307"/>
    <mergeCell ref="E2137:G2137"/>
    <mergeCell ref="E4053:F4053"/>
    <mergeCell ref="E4808:F4808"/>
    <mergeCell ref="E3021:F3021"/>
    <mergeCell ref="A4738:G4738"/>
    <mergeCell ref="E2566:G2566"/>
    <mergeCell ref="E2260:F2260"/>
    <mergeCell ref="E1505:F1505"/>
    <mergeCell ref="A2154:B2154"/>
    <mergeCell ref="E710:G710"/>
    <mergeCell ref="A1368:B1368"/>
    <mergeCell ref="E3627:G3627"/>
    <mergeCell ref="E3321:F3321"/>
    <mergeCell ref="E3619:F3619"/>
    <mergeCell ref="A4241:B4241"/>
    <mergeCell ref="A1851:B1851"/>
    <mergeCell ref="A4234:B4234"/>
    <mergeCell ref="A1585:G1585"/>
    <mergeCell ref="E489:F489"/>
    <mergeCell ref="E1857:F1857"/>
    <mergeCell ref="E4073:F4073"/>
    <mergeCell ref="A2312:G2312"/>
    <mergeCell ref="E2286:F2286"/>
    <mergeCell ref="E1971:F1971"/>
    <mergeCell ref="A5071:G5071"/>
    <mergeCell ref="E3337:F3337"/>
    <mergeCell ref="E2278:F2278"/>
    <mergeCell ref="E2891:F2891"/>
    <mergeCell ref="E2882:G2882"/>
    <mergeCell ref="E2576:F2576"/>
    <mergeCell ref="A1210:B1210"/>
    <mergeCell ref="E789:F789"/>
    <mergeCell ref="E1979:F1979"/>
    <mergeCell ref="A4426:G4426"/>
    <mergeCell ref="E3645:F3645"/>
    <mergeCell ref="E1218:F1218"/>
    <mergeCell ref="E2586:F2586"/>
    <mergeCell ref="E799:F799"/>
    <mergeCell ref="E3637:F3637"/>
    <mergeCell ref="E1526:G1526"/>
    <mergeCell ref="E2579:G2579"/>
    <mergeCell ref="A21:B21"/>
    <mergeCell ref="E1518:F1518"/>
    <mergeCell ref="A3541:B3541"/>
    <mergeCell ref="A1727:B1727"/>
    <mergeCell ref="E2122:G2122"/>
    <mergeCell ref="A2780:B2780"/>
    <mergeCell ref="E3945:F3945"/>
    <mergeCell ref="A4293:B4293"/>
    <mergeCell ref="A4268:B4268"/>
    <mergeCell ref="E2152:G2152"/>
    <mergeCell ref="E3094:G3094"/>
    <mergeCell ref="E4733:F4733"/>
    <mergeCell ref="A1422:B1422"/>
    <mergeCell ref="E3640:G3640"/>
    <mergeCell ref="E5031:F5031"/>
    <mergeCell ref="E2304:F2304"/>
    <mergeCell ref="E517:F517"/>
    <mergeCell ref="A1712:B1712"/>
    <mergeCell ref="A2185:B2185"/>
    <mergeCell ref="E1999:F1999"/>
    <mergeCell ref="E1244:F1244"/>
    <mergeCell ref="E5033:F5033"/>
    <mergeCell ref="E3400:F3400"/>
    <mergeCell ref="E1115:F1115"/>
    <mergeCell ref="E56:F56"/>
    <mergeCell ref="A4622:B4622"/>
    <mergeCell ref="E2001:F2001"/>
    <mergeCell ref="E1246:F1246"/>
    <mergeCell ref="A4893:B4893"/>
    <mergeCell ref="E3241:G3241"/>
    <mergeCell ref="E1125:G1125"/>
    <mergeCell ref="E4461:F4461"/>
    <mergeCell ref="E4417:F4417"/>
    <mergeCell ref="E4759:F4759"/>
    <mergeCell ref="E3385:F3385"/>
    <mergeCell ref="E2630:F2630"/>
    <mergeCell ref="A3594:B3594"/>
    <mergeCell ref="E1546:F1546"/>
    <mergeCell ref="A110:B110"/>
    <mergeCell ref="E3990:F3990"/>
    <mergeCell ref="A4655:B4655"/>
    <mergeCell ref="E2930:F2930"/>
    <mergeCell ref="A2410:G2410"/>
    <mergeCell ref="A1351:G1351"/>
    <mergeCell ref="A3579:B3579"/>
    <mergeCell ref="A1740:B1740"/>
    <mergeCell ref="A4008:B4008"/>
    <mergeCell ref="A4306:B4306"/>
    <mergeCell ref="A3467:B3467"/>
    <mergeCell ref="E4746:F4746"/>
    <mergeCell ref="A1435:B1435"/>
    <mergeCell ref="E3265:G3265"/>
    <mergeCell ref="E2657:F2657"/>
    <mergeCell ref="A3168:B3168"/>
    <mergeCell ref="A1794:B1794"/>
    <mergeCell ref="E4172:F4172"/>
    <mergeCell ref="E4443:F4443"/>
    <mergeCell ref="A2521:B2521"/>
    <mergeCell ref="E741:F741"/>
    <mergeCell ref="E2686:F2686"/>
    <mergeCell ref="E4016:F4016"/>
    <mergeCell ref="E838:G838"/>
    <mergeCell ref="E1170:F1170"/>
    <mergeCell ref="A2094:B2094"/>
    <mergeCell ref="E2527:F2527"/>
    <mergeCell ref="E1468:F1468"/>
    <mergeCell ref="E4174:F4174"/>
    <mergeCell ref="A3582:B3582"/>
    <mergeCell ref="E2658:F2658"/>
    <mergeCell ref="E1626:F1626"/>
    <mergeCell ref="E2956:F2956"/>
    <mergeCell ref="E4499:F4499"/>
    <mergeCell ref="A550:B550"/>
    <mergeCell ref="E4474:F4474"/>
    <mergeCell ref="E4797:F4797"/>
    <mergeCell ref="A848:B848"/>
    <mergeCell ref="A1248:G1248"/>
    <mergeCell ref="E2958:F2958"/>
    <mergeCell ref="A4368:B4368"/>
    <mergeCell ref="E4772:F4772"/>
    <mergeCell ref="A3607:B3607"/>
    <mergeCell ref="E1171:F1171"/>
    <mergeCell ref="A5095:B5095"/>
    <mergeCell ref="A421:B421"/>
    <mergeCell ref="E2837:G2837"/>
    <mergeCell ref="A2425:B2425"/>
    <mergeCell ref="E4044:F4044"/>
    <mergeCell ref="E5103:F5103"/>
    <mergeCell ref="E1186:F1186"/>
    <mergeCell ref="A2854:B2854"/>
    <mergeCell ref="A1822:B1822"/>
    <mergeCell ref="A609:G609"/>
    <mergeCell ref="A3310:B3310"/>
    <mergeCell ref="E2247:F2247"/>
    <mergeCell ref="E1188:F1188"/>
    <mergeCell ref="E3431:F3431"/>
    <mergeCell ref="E1942:F1942"/>
    <mergeCell ref="E883:F883"/>
    <mergeCell ref="A4551:G4551"/>
    <mergeCell ref="E2073:F2073"/>
    <mergeCell ref="E426:F426"/>
    <mergeCell ref="E3126:F3126"/>
    <mergeCell ref="E1041:F1041"/>
    <mergeCell ref="E2371:F2371"/>
    <mergeCell ref="E3424:F3424"/>
    <mergeCell ref="E4185:F4185"/>
    <mergeCell ref="E462:F462"/>
    <mergeCell ref="E3343:F3343"/>
    <mergeCell ref="E305:G305"/>
    <mergeCell ref="E3134:F3134"/>
    <mergeCell ref="A4994:B4994"/>
    <mergeCell ref="A1077:B1077"/>
    <mergeCell ref="E2671:F2671"/>
    <mergeCell ref="E1190:G1190"/>
    <mergeCell ref="E884:F884"/>
    <mergeCell ref="E4404:F4404"/>
    <mergeCell ref="E465:G465"/>
    <mergeCell ref="A3537:B3537"/>
    <mergeCell ref="A4047:B4047"/>
    <mergeCell ref="A53:B53"/>
    <mergeCell ref="A2791:G2791"/>
    <mergeCell ref="A3322:B3322"/>
    <mergeCell ref="A1237:B1237"/>
    <mergeCell ref="A4264:B4264"/>
    <mergeCell ref="A366:G366"/>
    <mergeCell ref="E4712:G4712"/>
    <mergeCell ref="A780:B780"/>
    <mergeCell ref="E3934:G3934"/>
    <mergeCell ref="E790:G790"/>
    <mergeCell ref="A2662:G2662"/>
    <mergeCell ref="E4057:F4057"/>
    <mergeCell ref="A1901:G1901"/>
    <mergeCell ref="A5021:B5021"/>
    <mergeCell ref="A3234:B3234"/>
    <mergeCell ref="E298:F298"/>
    <mergeCell ref="A1080:B1080"/>
    <mergeCell ref="E1240:F1240"/>
    <mergeCell ref="E3483:F3483"/>
    <mergeCell ref="E2084:F2084"/>
    <mergeCell ref="E4088:F4088"/>
    <mergeCell ref="E3056:F3056"/>
    <mergeCell ref="E604:F604"/>
    <mergeCell ref="E2601:G2601"/>
    <mergeCell ref="E1657:F1657"/>
    <mergeCell ref="E185:F185"/>
    <mergeCell ref="A1289:G1289"/>
    <mergeCell ref="E3661:F3661"/>
    <mergeCell ref="E1576:F1576"/>
    <mergeCell ref="E3783:F3783"/>
    <mergeCell ref="E2180:G2180"/>
    <mergeCell ref="E1868:F1868"/>
    <mergeCell ref="E597:F597"/>
    <mergeCell ref="E2172:F2172"/>
    <mergeCell ref="A4775:G4775"/>
    <mergeCell ref="E3356:F3356"/>
    <mergeCell ref="E3793:G3793"/>
    <mergeCell ref="E4546:F4546"/>
    <mergeCell ref="E1840:F1840"/>
    <mergeCell ref="E4838:F4838"/>
    <mergeCell ref="A3679:B3679"/>
    <mergeCell ref="E4119:F4119"/>
    <mergeCell ref="A808:B808"/>
    <mergeCell ref="E1719:G1719"/>
    <mergeCell ref="E3962:G3962"/>
    <mergeCell ref="A2497:B2497"/>
    <mergeCell ref="A3550:B3550"/>
    <mergeCell ref="E4085:F4085"/>
    <mergeCell ref="A561:G561"/>
    <mergeCell ref="E4750:G4750"/>
    <mergeCell ref="E655:F655"/>
    <mergeCell ref="A1431:B1431"/>
    <mergeCell ref="A3376:B3376"/>
    <mergeCell ref="A3890:G3890"/>
    <mergeCell ref="E4556:F4556"/>
    <mergeCell ref="E1716:F1716"/>
    <mergeCell ref="A2949:B2949"/>
    <mergeCell ref="A2078:G2078"/>
    <mergeCell ref="A4163:G4163"/>
    <mergeCell ref="A4188:G4188"/>
    <mergeCell ref="E3959:F3959"/>
    <mergeCell ref="E2900:F2900"/>
    <mergeCell ref="E1253:F1253"/>
    <mergeCell ref="E3504:G3504"/>
    <mergeCell ref="A4915:G4915"/>
    <mergeCell ref="A4951:G4951"/>
    <mergeCell ref="E2771:F2771"/>
    <mergeCell ref="E2016:F2016"/>
    <mergeCell ref="E3409:F3409"/>
    <mergeCell ref="E3069:F3069"/>
    <mergeCell ref="E984:F984"/>
    <mergeCell ref="E4259:F4259"/>
    <mergeCell ref="E3200:F3200"/>
    <mergeCell ref="E1553:F1553"/>
    <mergeCell ref="A92:B92"/>
    <mergeCell ref="E1711:F1711"/>
    <mergeCell ref="A2631:B2631"/>
    <mergeCell ref="A546:B546"/>
    <mergeCell ref="E3715:F3715"/>
    <mergeCell ref="A844:B844"/>
    <mergeCell ref="E4313:G4313"/>
    <mergeCell ref="E4261:F4261"/>
    <mergeCell ref="E1284:F1284"/>
    <mergeCell ref="A2965:B2965"/>
    <mergeCell ref="E4620:G4620"/>
    <mergeCell ref="A1922:B1922"/>
    <mergeCell ref="A3692:B3692"/>
    <mergeCell ref="A1607:B1607"/>
    <mergeCell ref="E1801:G1801"/>
    <mergeCell ref="E4770:F4770"/>
    <mergeCell ref="E2983:F2983"/>
    <mergeCell ref="A4664:B4664"/>
    <mergeCell ref="A1180:B1180"/>
    <mergeCell ref="A1973:G1973"/>
    <mergeCell ref="E3854:F3854"/>
    <mergeCell ref="A2668:B2668"/>
    <mergeCell ref="A3578:G3578"/>
    <mergeCell ref="A4359:B4359"/>
    <mergeCell ref="A1907:B1907"/>
    <mergeCell ref="E1010:F1010"/>
    <mergeCell ref="A1146:B1146"/>
    <mergeCell ref="E3589:G3589"/>
    <mergeCell ref="A4964:B4964"/>
    <mergeCell ref="E1913:F1913"/>
    <mergeCell ref="E2069:F2069"/>
    <mergeCell ref="E2044:F2044"/>
    <mergeCell ref="A748:B748"/>
    <mergeCell ref="E1012:F1012"/>
    <mergeCell ref="E2342:F2342"/>
    <mergeCell ref="E1274:G1274"/>
    <mergeCell ref="E968:F968"/>
    <mergeCell ref="E1310:F1310"/>
    <mergeCell ref="A1788:B1788"/>
    <mergeCell ref="E4312:F4312"/>
    <mergeCell ref="E549:F549"/>
    <mergeCell ref="E3278:G3278"/>
    <mergeCell ref="E2456:F2456"/>
    <mergeCell ref="E4033:G4033"/>
    <mergeCell ref="E4786:F4786"/>
    <mergeCell ref="E3885:F3885"/>
    <mergeCell ref="A3492:G3492"/>
    <mergeCell ref="A872:B872"/>
    <mergeCell ref="E2369:F2369"/>
    <mergeCell ref="E4183:F4183"/>
    <mergeCell ref="E3422:F3422"/>
    <mergeCell ref="E2667:F2667"/>
    <mergeCell ref="E4481:F4481"/>
    <mergeCell ref="E4612:F4612"/>
    <mergeCell ref="E1610:F1610"/>
    <mergeCell ref="E4910:F4910"/>
    <mergeCell ref="A451:B451"/>
    <mergeCell ref="E1943:G1943"/>
    <mergeCell ref="E882:F882"/>
    <mergeCell ref="A2447:G2447"/>
    <mergeCell ref="E4912:F4912"/>
    <mergeCell ref="A1506:B1506"/>
    <mergeCell ref="E4184:F4184"/>
    <mergeCell ref="E5000:G5000"/>
    <mergeCell ref="E3729:G3729"/>
    <mergeCell ref="E425:F425"/>
    <mergeCell ref="A148:B148"/>
    <mergeCell ref="A1201:B1201"/>
    <mergeCell ref="A446:B446"/>
    <mergeCell ref="A2294:B2294"/>
    <mergeCell ref="A2531:B2531"/>
    <mergeCell ref="A3204:G3204"/>
    <mergeCell ref="E3867:F3867"/>
    <mergeCell ref="E1782:F1782"/>
    <mergeCell ref="E1757:F1757"/>
    <mergeCell ref="A2235:B2235"/>
    <mergeCell ref="A3319:B3319"/>
    <mergeCell ref="E4209:F4209"/>
    <mergeCell ref="A4687:B4687"/>
    <mergeCell ref="A4801:B4801"/>
    <mergeCell ref="A288:G288"/>
    <mergeCell ref="E2090:F2090"/>
    <mergeCell ref="A5108:B5108"/>
    <mergeCell ref="E1784:F1784"/>
    <mergeCell ref="A4560:G4560"/>
    <mergeCell ref="E3141:F3141"/>
    <mergeCell ref="E2380:F2380"/>
    <mergeCell ref="E2722:F2722"/>
    <mergeCell ref="A4832:B4832"/>
    <mergeCell ref="E2836:F2836"/>
    <mergeCell ref="A4904:G4904"/>
    <mergeCell ref="A1646:B1646"/>
    <mergeCell ref="E3781:F3781"/>
    <mergeCell ref="E4502:G4502"/>
    <mergeCell ref="A3505:G3505"/>
    <mergeCell ref="E4511:F4511"/>
    <mergeCell ref="A4405:B4405"/>
    <mergeCell ref="A3346:B3346"/>
    <mergeCell ref="E901:G901"/>
    <mergeCell ref="A2618:B2618"/>
    <mergeCell ref="E1199:G1199"/>
    <mergeCell ref="E3022:G3022"/>
    <mergeCell ref="E409:F409"/>
    <mergeCell ref="A2584:B2584"/>
    <mergeCell ref="E4685:G4685"/>
    <mergeCell ref="A3950:B3950"/>
    <mergeCell ref="E626:F626"/>
    <mergeCell ref="A4288:G4288"/>
    <mergeCell ref="E2869:F2869"/>
    <mergeCell ref="A3670:B3670"/>
    <mergeCell ref="E2406:F2406"/>
    <mergeCell ref="A459:B459"/>
    <mergeCell ref="E1987:G1987"/>
    <mergeCell ref="E1681:F1681"/>
    <mergeCell ref="A3218:B3218"/>
    <mergeCell ref="E4981:F4981"/>
    <mergeCell ref="E2408:F2408"/>
    <mergeCell ref="E323:F323"/>
    <mergeCell ref="A1860:B1860"/>
    <mergeCell ref="E1376:F1376"/>
    <mergeCell ref="E621:F621"/>
    <mergeCell ref="A2615:B2615"/>
    <mergeCell ref="A2374:G2374"/>
    <mergeCell ref="A2803:G2803"/>
    <mergeCell ref="E1384:F1384"/>
    <mergeCell ref="E3792:F3792"/>
    <mergeCell ref="E4982:F4982"/>
    <mergeCell ref="E4555:F4555"/>
    <mergeCell ref="E3496:F3496"/>
    <mergeCell ref="E494:F494"/>
    <mergeCell ref="E4549:F4549"/>
    <mergeCell ref="E4853:F4853"/>
    <mergeCell ref="E2737:F2737"/>
    <mergeCell ref="E1523:F1523"/>
    <mergeCell ref="E1886:G1886"/>
    <mergeCell ref="A2305:B2305"/>
    <mergeCell ref="E1821:F1821"/>
    <mergeCell ref="A3060:B3060"/>
    <mergeCell ref="E3831:G3831"/>
    <mergeCell ref="E4557:F4557"/>
    <mergeCell ref="E3374:G3374"/>
    <mergeCell ref="A390:B390"/>
    <mergeCell ref="A3271:B3271"/>
    <mergeCell ref="A1787:G1787"/>
    <mergeCell ref="A4301:G4301"/>
    <mergeCell ref="A85:B85"/>
    <mergeCell ref="E1552:F1552"/>
    <mergeCell ref="E3520:F3520"/>
    <mergeCell ref="A2392:G2392"/>
    <mergeCell ref="E3093:F3093"/>
    <mergeCell ref="E4283:F4283"/>
    <mergeCell ref="E1097:F1097"/>
    <mergeCell ref="E1613:F1613"/>
    <mergeCell ref="E1091:F1091"/>
    <mergeCell ref="E336:F336"/>
    <mergeCell ref="E634:F634"/>
    <mergeCell ref="E3401:G3401"/>
    <mergeCell ref="E4154:F4154"/>
    <mergeCell ref="E2340:F2340"/>
    <mergeCell ref="E1614:G1614"/>
    <mergeCell ref="E4583:F4583"/>
    <mergeCell ref="E1606:F1606"/>
    <mergeCell ref="E4883:G4883"/>
    <mergeCell ref="E4881:F4881"/>
    <mergeCell ref="A530:B530"/>
    <mergeCell ref="E1914:G1914"/>
    <mergeCell ref="E1599:G1599"/>
    <mergeCell ref="A1502:B1502"/>
    <mergeCell ref="A3718:B3718"/>
    <mergeCell ref="A3602:G3602"/>
    <mergeCell ref="A1931:B1931"/>
    <mergeCell ref="E4787:G4787"/>
    <mergeCell ref="E692:F692"/>
    <mergeCell ref="E3516:G3516"/>
    <mergeCell ref="A3419:B3419"/>
    <mergeCell ref="E4937:F4937"/>
    <mergeCell ref="A227:B227"/>
    <mergeCell ref="A3747:B3747"/>
    <mergeCell ref="A2100:B2100"/>
    <mergeCell ref="E2508:F2508"/>
    <mergeCell ref="A2231:B2231"/>
    <mergeCell ref="E2806:F2806"/>
    <mergeCell ref="A328:G328"/>
    <mergeCell ref="A2687:B2687"/>
    <mergeCell ref="E3533:F3533"/>
    <mergeCell ref="E1746:F1746"/>
    <mergeCell ref="A1586:B1586"/>
    <mergeCell ref="A4233:G4233"/>
    <mergeCell ref="E1021:F1021"/>
    <mergeCell ref="E2351:F2351"/>
    <mergeCell ref="E4296:F4296"/>
    <mergeCell ref="E1319:F1319"/>
    <mergeCell ref="E4619:F4619"/>
    <mergeCell ref="E4594:F4594"/>
    <mergeCell ref="E2509:F2509"/>
    <mergeCell ref="A2987:B2987"/>
    <mergeCell ref="E4934:F4934"/>
    <mergeCell ref="E2720:F2720"/>
    <mergeCell ref="E4298:F4298"/>
    <mergeCell ref="E1321:F1321"/>
    <mergeCell ref="E2511:F2511"/>
    <mergeCell ref="E4919:F4919"/>
    <mergeCell ref="E2834:F2834"/>
    <mergeCell ref="E4202:G4202"/>
    <mergeCell ref="A3132:B3132"/>
    <mergeCell ref="E3020:F3020"/>
    <mergeCell ref="A1339:B1339"/>
    <mergeCell ref="E3895:F3895"/>
    <mergeCell ref="A1515:B1515"/>
    <mergeCell ref="A775:G775"/>
    <mergeCell ref="E407:F407"/>
    <mergeCell ref="E1466:F1466"/>
    <mergeCell ref="E2104:F2104"/>
    <mergeCell ref="A3003:B3003"/>
    <mergeCell ref="A3432:B3432"/>
    <mergeCell ref="E863:F863"/>
    <mergeCell ref="A2580:G2580"/>
    <mergeCell ref="E1039:F1039"/>
    <mergeCell ref="E3165:F3165"/>
    <mergeCell ref="E742:G742"/>
    <mergeCell ref="E1013:G1013"/>
    <mergeCell ref="A1830:G1830"/>
    <mergeCell ref="A3941:B3941"/>
    <mergeCell ref="A43:G43"/>
    <mergeCell ref="A2402:B2402"/>
    <mergeCell ref="A3641:G3641"/>
    <mergeCell ref="E2222:F2222"/>
    <mergeCell ref="E2860:F2860"/>
    <mergeCell ref="E408:F408"/>
    <mergeCell ref="E402:F402"/>
    <mergeCell ref="E706:F706"/>
    <mergeCell ref="E2135:F2135"/>
    <mergeCell ref="E2739:G2739"/>
    <mergeCell ref="E2433:F2433"/>
    <mergeCell ref="E287:G287"/>
    <mergeCell ref="E4378:F4378"/>
    <mergeCell ref="E4649:F4649"/>
    <mergeCell ref="E4947:F4947"/>
    <mergeCell ref="A4543:B4543"/>
    <mergeCell ref="A1541:B1541"/>
    <mergeCell ref="E3344:G3344"/>
    <mergeCell ref="E2405:F2405"/>
    <mergeCell ref="E4983:F4983"/>
    <mergeCell ref="E735:F735"/>
    <mergeCell ref="A602:B602"/>
    <mergeCell ref="E4344:F4344"/>
    <mergeCell ref="E3765:F3765"/>
    <mergeCell ref="A4414:B4414"/>
    <mergeCell ref="A2484:G2484"/>
    <mergeCell ref="E3162:F3162"/>
    <mergeCell ref="A2301:B2301"/>
    <mergeCell ref="E4650:F4650"/>
    <mergeCell ref="A1126:G1126"/>
    <mergeCell ref="A631:B631"/>
    <mergeCell ref="B4483:C4483"/>
    <mergeCell ref="A2181:G2181"/>
    <mergeCell ref="A2595:B2595"/>
    <mergeCell ref="A2753:B2753"/>
    <mergeCell ref="E1550:F1550"/>
    <mergeCell ref="E2880:F2880"/>
    <mergeCell ref="A3242:G3242"/>
    <mergeCell ref="E2119:F2119"/>
    <mergeCell ref="A1571:B1571"/>
    <mergeCell ref="E5123:F5123"/>
    <mergeCell ref="E1391:F1391"/>
    <mergeCell ref="E4362:F4362"/>
    <mergeCell ref="A3814:B3814"/>
    <mergeCell ref="E2453:F2453"/>
    <mergeCell ref="E2575:F2575"/>
    <mergeCell ref="E1814:F1814"/>
    <mergeCell ref="A1385:B1385"/>
    <mergeCell ref="E1095:F1095"/>
    <mergeCell ref="E3784:G3784"/>
    <mergeCell ref="E2148:F2148"/>
    <mergeCell ref="E3636:F3636"/>
    <mergeCell ref="E4274:F4274"/>
    <mergeCell ref="E2120:F2120"/>
    <mergeCell ref="A1600:G1600"/>
    <mergeCell ref="A2626:G2626"/>
    <mergeCell ref="E4879:F4879"/>
    <mergeCell ref="A839:G839"/>
    <mergeCell ref="E3847:F3847"/>
    <mergeCell ref="E3092:F3092"/>
    <mergeCell ref="E4451:G4451"/>
    <mergeCell ref="E3638:F3638"/>
    <mergeCell ref="A412:G412"/>
    <mergeCell ref="E2149:F2149"/>
    <mergeCell ref="E2906:F2906"/>
    <mergeCell ref="A2010:B2010"/>
    <mergeCell ref="A3525:B3525"/>
    <mergeCell ref="E2479:F2479"/>
    <mergeCell ref="E3992:F3992"/>
    <mergeCell ref="A4470:B4470"/>
    <mergeCell ref="A4768:B4768"/>
    <mergeCell ref="A3709:B3709"/>
    <mergeCell ref="E1121:F1121"/>
    <mergeCell ref="A2838:G2838"/>
    <mergeCell ref="A2874:G2874"/>
    <mergeCell ref="E4292:F4292"/>
    <mergeCell ref="E3233:F3233"/>
    <mergeCell ref="A4654:G4654"/>
    <mergeCell ref="E3531:F3531"/>
    <mergeCell ref="E1421:F1421"/>
    <mergeCell ref="E3829:F3829"/>
    <mergeCell ref="E1106:F1106"/>
    <mergeCell ref="E3689:F3689"/>
    <mergeCell ref="A554:B554"/>
    <mergeCell ref="E4592:F4592"/>
    <mergeCell ref="E4890:F4890"/>
  </mergeCells>
  <pageMargins left="0.5" right="0.5" top="0.5" bottom="0.5" header="0" footer="0"/>
  <pageSetup orientation="portrait" paperSize="9" scale="85"/>
</worksheet>
</file>

<file path=xl/worksheets/sheet4.xml><?xml version="1.0" encoding="utf-8"?>
<worksheet xmlns="http://schemas.openxmlformats.org/spreadsheetml/2006/main">
  <sheetPr>
    <outlinePr summaryBelow="0"/>
    <pageSetUpPr/>
  </sheetPr>
  <dimension ref="A1:N3802"/>
  <sheetViews>
    <sheetView workbookViewId="0">
      <selection activeCell="A1" sqref="A1"/>
    </sheetView>
  </sheetViews>
  <sheetFormatPr baseColWidth="8" defaultRowHeight="15"/>
  <cols>
    <col width="10.333333" customWidth="1" min="1" max="1"/>
    <col width="45.833332" customWidth="1" min="2" max="2"/>
    <col width="15.5" customWidth="1" min="3" max="3"/>
    <col width="6.1666665" customWidth="1" min="4" max="4"/>
    <col width="12.5" customWidth="1" min="5" max="5"/>
    <col width="12.5" customWidth="1" min="6" max="6"/>
    <col width="12.5" customWidth="1" min="7" max="7"/>
  </cols>
  <sheetData>
    <row r="1" ht="122" customHeight="1">
      <c r="A1" s="1" t="inlineStr"/>
      <c r="B1" s="54" t="n"/>
      <c r="C1" s="54" t="n"/>
      <c r="D1" s="54" t="n"/>
      <c r="E1" s="54" t="n"/>
      <c r="F1" s="54" t="n"/>
      <c r="G1" s="54" t="n"/>
    </row>
    <row r="2" ht="10" customHeight="1">
      <c r="A2" s="2" t="inlineStr"/>
      <c r="B2" s="2" t="inlineStr"/>
      <c r="C2" s="2" t="inlineStr"/>
      <c r="D2" s="2" t="inlineStr"/>
      <c r="E2" s="18" t="inlineStr"/>
    </row>
    <row r="3" ht="20" customHeight="1">
      <c r="A3" s="19" t="inlineStr">
        <is>
          <t>​C0034​ ADIÇÃO DE IMPERMEABILIZANTE PARA CONCRETO ESTRUTURAL​ (M3)</t>
        </is>
      </c>
      <c r="B3" s="55" t="n"/>
      <c r="C3" s="55" t="n"/>
      <c r="D3" s="55" t="n"/>
      <c r="E3" s="55" t="n"/>
      <c r="F3" s="55" t="n"/>
      <c r="G3" s="56" t="n"/>
    </row>
    <row r="4" ht="15" customHeight="1">
      <c r="A4" s="20" t="inlineStr">
        <is>
          <t>Material</t>
        </is>
      </c>
      <c r="B4" s="56" t="n"/>
      <c r="C4" s="21" t="inlineStr">
        <is>
          <t>FONTE</t>
        </is>
      </c>
      <c r="D4" s="21" t="inlineStr">
        <is>
          <t>UNID</t>
        </is>
      </c>
      <c r="E4" s="21" t="inlineStr">
        <is>
          <t>COEFICIENTE</t>
        </is>
      </c>
      <c r="F4" s="21" t="inlineStr">
        <is>
          <t>PREÇO UNITÁRIO</t>
        </is>
      </c>
      <c r="G4" s="21" t="inlineStr">
        <is>
          <t>TOTAL</t>
        </is>
      </c>
    </row>
    <row r="5" ht="15" customHeight="1">
      <c r="A5" s="22" t="inlineStr">
        <is>
          <t>I2421</t>
        </is>
      </c>
      <c r="B5" s="23" t="inlineStr">
        <is>
          <t>SIKA 1</t>
        </is>
      </c>
      <c r="C5" s="22" t="inlineStr">
        <is>
          <t>SEINFRA</t>
        </is>
      </c>
      <c r="D5" s="22" t="inlineStr">
        <is>
          <t>KG</t>
        </is>
      </c>
      <c r="E5" s="63" t="n">
        <v>7.92</v>
      </c>
      <c r="F5" s="67">
        <f>ROUND(M5*FATOR, 2)</f>
        <v/>
      </c>
      <c r="G5" s="67">
        <f>ROUND(ROUND(E5,8)*F5,4)</f>
        <v/>
      </c>
      <c r="L5" t="n">
        <v>7.92</v>
      </c>
      <c r="M5" t="n">
        <v>7</v>
      </c>
      <c r="N5">
        <f>(M5-F5)</f>
        <v/>
      </c>
    </row>
    <row r="6" ht="15" customHeight="1">
      <c r="A6" s="2" t="inlineStr"/>
      <c r="B6" s="2" t="inlineStr"/>
      <c r="C6" s="2" t="inlineStr"/>
      <c r="D6" s="2" t="inlineStr"/>
      <c r="E6" s="26" t="inlineStr">
        <is>
          <t>TOTAL Material:</t>
        </is>
      </c>
      <c r="F6" s="56" t="n"/>
      <c r="G6" s="68">
        <f>SUM(G5:G5)</f>
        <v/>
      </c>
    </row>
    <row r="7" ht="15" customHeight="1">
      <c r="A7" s="2" t="inlineStr"/>
      <c r="B7" s="2" t="inlineStr"/>
      <c r="C7" s="2" t="inlineStr"/>
      <c r="D7" s="2" t="inlineStr"/>
      <c r="E7" s="28" t="inlineStr">
        <is>
          <t>VALOR:</t>
        </is>
      </c>
      <c r="F7" s="56" t="n"/>
      <c r="G7" s="66">
        <f>SUM(G6)</f>
        <v/>
      </c>
    </row>
    <row r="8" ht="15" customHeight="1">
      <c r="A8" s="2" t="inlineStr"/>
      <c r="B8" s="2" t="inlineStr"/>
      <c r="C8" s="2" t="inlineStr"/>
      <c r="D8" s="2" t="inlineStr"/>
      <c r="E8" s="28" t="inlineStr">
        <is>
          <t>VALOR BDI (23.08%):</t>
        </is>
      </c>
      <c r="F8" s="56" t="n"/>
      <c r="G8" s="66">
        <f>ROUNDDOWN(G7*BDI,2)</f>
        <v/>
      </c>
    </row>
    <row r="9" ht="15" customHeight="1">
      <c r="A9" s="2" t="inlineStr"/>
      <c r="B9" s="2" t="inlineStr"/>
      <c r="C9" s="2" t="inlineStr"/>
      <c r="D9" s="2" t="inlineStr"/>
      <c r="E9" s="28" t="inlineStr">
        <is>
          <t>VALOR COM BDI:</t>
        </is>
      </c>
      <c r="F9" s="56" t="n"/>
      <c r="G9" s="66">
        <f>G8 + G7</f>
        <v/>
      </c>
    </row>
    <row r="10" ht="10" customHeight="1">
      <c r="A10" s="2" t="inlineStr"/>
      <c r="B10" s="2" t="inlineStr"/>
      <c r="C10" s="2" t="inlineStr"/>
      <c r="D10" s="2" t="inlineStr"/>
      <c r="E10" s="18" t="inlineStr"/>
    </row>
    <row r="11" ht="20" customHeight="1">
      <c r="A11" s="19" t="inlineStr">
        <is>
          <t>​88238​ AJUDANTE DE ARMADOR COM ENCARGOS COMPLEMENTARES​ (H)</t>
        </is>
      </c>
      <c r="B11" s="55" t="n"/>
      <c r="C11" s="55" t="n"/>
      <c r="D11" s="55" t="n"/>
      <c r="E11" s="55" t="n"/>
      <c r="F11" s="55" t="n"/>
      <c r="G11" s="56" t="n"/>
    </row>
    <row r="12" ht="15" customHeight="1">
      <c r="A12" s="20" t="inlineStr">
        <is>
          <t>Encargos Complementares</t>
        </is>
      </c>
      <c r="B12" s="56" t="n"/>
      <c r="C12" s="21" t="inlineStr">
        <is>
          <t>FONTE</t>
        </is>
      </c>
      <c r="D12" s="21" t="inlineStr">
        <is>
          <t>UNID</t>
        </is>
      </c>
      <c r="E12" s="21" t="inlineStr">
        <is>
          <t>COEFICIENTE</t>
        </is>
      </c>
      <c r="F12" s="21" t="inlineStr">
        <is>
          <t>PREÇO UNITÁRIO</t>
        </is>
      </c>
      <c r="G12" s="21" t="inlineStr">
        <is>
          <t>TOTAL</t>
        </is>
      </c>
    </row>
    <row r="13" ht="21" customHeight="1">
      <c r="A13" s="22" t="inlineStr">
        <is>
          <t>00037370</t>
        </is>
      </c>
      <c r="B13" s="23" t="inlineStr">
        <is>
          <t>ALIMENTACAO - HORISTA (COLETADO CAIXA - ENCARGOS COMPLEMENTARES)</t>
        </is>
      </c>
      <c r="C13" s="22" t="inlineStr">
        <is>
          <t>SINAPI</t>
        </is>
      </c>
      <c r="D13" s="22" t="inlineStr">
        <is>
          <t>H</t>
        </is>
      </c>
      <c r="E13" s="63" t="n">
        <v>1</v>
      </c>
      <c r="F13" s="64" t="n">
        <v>3.62</v>
      </c>
      <c r="G13" s="64">
        <f>TRUNC(TRUNC(E13,8)*F13,2)</f>
        <v/>
      </c>
      <c r="L13" t="n">
        <v>1</v>
      </c>
      <c r="M13" t="n">
        <v>3.62</v>
      </c>
      <c r="N13">
        <f>(M13-F13)</f>
        <v/>
      </c>
    </row>
    <row r="14" ht="21" customHeight="1">
      <c r="A14" s="22" t="inlineStr">
        <is>
          <t>00043489</t>
        </is>
      </c>
      <c r="B14" s="23" t="inlineStr">
        <is>
          <t>EPI - FAMILIA PEDREIRO - HORISTA (ENCARGOS COMPLEMENTARES - COLETADO CAIXA)</t>
        </is>
      </c>
      <c r="C14" s="22" t="inlineStr">
        <is>
          <t>SINAPI</t>
        </is>
      </c>
      <c r="D14" s="22" t="inlineStr">
        <is>
          <t>H</t>
        </is>
      </c>
      <c r="E14" s="63" t="n">
        <v>1</v>
      </c>
      <c r="F14" s="64" t="n">
        <v>1.31</v>
      </c>
      <c r="G14" s="64">
        <f>TRUNC(TRUNC(E14,8)*F14,2)</f>
        <v/>
      </c>
      <c r="L14" t="n">
        <v>1</v>
      </c>
      <c r="M14" t="n">
        <v>1.31</v>
      </c>
      <c r="N14">
        <f>(M14-F14)</f>
        <v/>
      </c>
    </row>
    <row r="15" ht="21" customHeight="1">
      <c r="A15" s="22" t="inlineStr">
        <is>
          <t>00037372</t>
        </is>
      </c>
      <c r="B15" s="23" t="inlineStr">
        <is>
          <t>EXAMES - HORISTA (COLETADO CAIXA - ENCARGOS COMPLEMENTARES)</t>
        </is>
      </c>
      <c r="C15" s="22" t="inlineStr">
        <is>
          <t>SINAPI</t>
        </is>
      </c>
      <c r="D15" s="22" t="inlineStr">
        <is>
          <t>H</t>
        </is>
      </c>
      <c r="E15" s="63" t="n">
        <v>1</v>
      </c>
      <c r="F15" s="64" t="n">
        <v>1.43</v>
      </c>
      <c r="G15" s="64">
        <f>TRUNC(TRUNC(E15,8)*F15,2)</f>
        <v/>
      </c>
      <c r="L15" t="n">
        <v>1</v>
      </c>
      <c r="M15" t="n">
        <v>1.43</v>
      </c>
      <c r="N15">
        <f>(M15-F15)</f>
        <v/>
      </c>
    </row>
    <row r="16" ht="21" customHeight="1">
      <c r="A16" s="22" t="inlineStr">
        <is>
          <t>00043465</t>
        </is>
      </c>
      <c r="B16" s="23" t="inlineStr">
        <is>
          <t>FERRAMENTAS - FAMILIA PEDREIRO - HORISTA (ENCARGOS COMPLEMENTARES - COLETADO CAIXA)</t>
        </is>
      </c>
      <c r="C16" s="22" t="inlineStr">
        <is>
          <t>SINAPI</t>
        </is>
      </c>
      <c r="D16" s="22" t="inlineStr">
        <is>
          <t>H</t>
        </is>
      </c>
      <c r="E16" s="63" t="n">
        <v>1</v>
      </c>
      <c r="F16" s="64" t="n">
        <v>0.78</v>
      </c>
      <c r="G16" s="64">
        <f>TRUNC(TRUNC(E16,8)*F16,2)</f>
        <v/>
      </c>
      <c r="L16" t="n">
        <v>1</v>
      </c>
      <c r="M16" t="n">
        <v>0.78</v>
      </c>
      <c r="N16">
        <f>(M16-F16)</f>
        <v/>
      </c>
    </row>
    <row r="17" ht="21" customHeight="1">
      <c r="A17" s="22" t="inlineStr">
        <is>
          <t>00037373</t>
        </is>
      </c>
      <c r="B17" s="23" t="inlineStr">
        <is>
          <t>SEGURO - HORISTA (COLETADO CAIXA - ENCARGOS COMPLEMENTARES)</t>
        </is>
      </c>
      <c r="C17" s="22" t="inlineStr">
        <is>
          <t>SINAPI</t>
        </is>
      </c>
      <c r="D17" s="22" t="inlineStr">
        <is>
          <t>H</t>
        </is>
      </c>
      <c r="E17" s="63" t="n">
        <v>1</v>
      </c>
      <c r="F17" s="64" t="n">
        <v>0.08</v>
      </c>
      <c r="G17" s="64">
        <f>TRUNC(TRUNC(E17,8)*F17,2)</f>
        <v/>
      </c>
      <c r="L17" t="n">
        <v>1</v>
      </c>
      <c r="M17" t="n">
        <v>0.08</v>
      </c>
      <c r="N17">
        <f>(M17-F17)</f>
        <v/>
      </c>
    </row>
    <row r="18" ht="21" customHeight="1">
      <c r="A18" s="22" t="inlineStr">
        <is>
          <t>00037371</t>
        </is>
      </c>
      <c r="B18" s="23" t="inlineStr">
        <is>
          <t>TRANSPORTE - HORISTA (COLETADO CAIXA - ENCARGOS COMPLEMENTARES)</t>
        </is>
      </c>
      <c r="C18" s="22" t="inlineStr">
        <is>
          <t>SINAPI</t>
        </is>
      </c>
      <c r="D18" s="22" t="inlineStr">
        <is>
          <t>H</t>
        </is>
      </c>
      <c r="E18" s="63" t="n">
        <v>1</v>
      </c>
      <c r="F18" s="64" t="n">
        <v>1.09</v>
      </c>
      <c r="G18" s="64">
        <f>TRUNC(TRUNC(E18,8)*F18,2)</f>
        <v/>
      </c>
      <c r="L18" t="n">
        <v>1</v>
      </c>
      <c r="M18" t="n">
        <v>1.09</v>
      </c>
      <c r="N18">
        <f>(M18-F18)</f>
        <v/>
      </c>
    </row>
    <row r="19" ht="15" customHeight="1">
      <c r="A19" s="2" t="inlineStr"/>
      <c r="B19" s="2" t="inlineStr"/>
      <c r="C19" s="2" t="inlineStr"/>
      <c r="D19" s="2" t="inlineStr"/>
      <c r="E19" s="26" t="inlineStr">
        <is>
          <t>TOTAL Encargos Complementares:</t>
        </is>
      </c>
      <c r="F19" s="56" t="n"/>
      <c r="G19" s="65">
        <f>SUM(G13:G18)</f>
        <v/>
      </c>
    </row>
    <row r="20" ht="15" customHeight="1">
      <c r="A20" s="20" t="inlineStr">
        <is>
          <t>Mão de Obra</t>
        </is>
      </c>
      <c r="B20" s="56" t="n"/>
      <c r="C20" s="21" t="inlineStr">
        <is>
          <t>FONTE</t>
        </is>
      </c>
      <c r="D20" s="21" t="inlineStr">
        <is>
          <t>UNID</t>
        </is>
      </c>
      <c r="E20" s="21" t="inlineStr">
        <is>
          <t>COEFICIENTE</t>
        </is>
      </c>
      <c r="F20" s="21" t="inlineStr">
        <is>
          <t>PREÇO UNITÁRIO</t>
        </is>
      </c>
      <c r="G20" s="21" t="inlineStr">
        <is>
          <t>TOTAL</t>
        </is>
      </c>
    </row>
    <row r="21" ht="15" customHeight="1">
      <c r="A21" s="22" t="inlineStr">
        <is>
          <t>00006114</t>
        </is>
      </c>
      <c r="B21" s="23" t="inlineStr">
        <is>
          <t>AJUDANTE DE ARMADOR (HORISTA)</t>
        </is>
      </c>
      <c r="C21" s="22" t="inlineStr">
        <is>
          <t>SINAPI</t>
        </is>
      </c>
      <c r="D21" s="22" t="inlineStr">
        <is>
          <t>H</t>
        </is>
      </c>
      <c r="E21" s="63">
        <f>L21*FATOR</f>
        <v/>
      </c>
      <c r="F21" s="64" t="n">
        <v>16.28</v>
      </c>
      <c r="G21" s="64">
        <f>TRUNC(TRUNC(E21,8)*F21,2)</f>
        <v/>
      </c>
      <c r="L21" t="n">
        <v>1</v>
      </c>
      <c r="M21" t="n">
        <v>16.28</v>
      </c>
      <c r="N21">
        <f>(M21-F21)</f>
        <v/>
      </c>
    </row>
    <row r="22" ht="15" customHeight="1">
      <c r="A22" s="2" t="inlineStr"/>
      <c r="B22" s="2" t="inlineStr"/>
      <c r="C22" s="2" t="inlineStr"/>
      <c r="D22" s="2" t="inlineStr"/>
      <c r="E22" s="26" t="inlineStr">
        <is>
          <t>TOTAL Mão de Obra:</t>
        </is>
      </c>
      <c r="F22" s="56" t="n"/>
      <c r="G22" s="65">
        <f>SUM(G21:G21)</f>
        <v/>
      </c>
    </row>
    <row r="23" ht="15" customHeight="1">
      <c r="A23" s="20" t="inlineStr">
        <is>
          <t>Serviço</t>
        </is>
      </c>
      <c r="B23" s="56" t="n"/>
      <c r="C23" s="21" t="inlineStr">
        <is>
          <t>FONTE</t>
        </is>
      </c>
      <c r="D23" s="21" t="inlineStr">
        <is>
          <t>UNID</t>
        </is>
      </c>
      <c r="E23" s="21" t="inlineStr">
        <is>
          <t>COEFICIENTE</t>
        </is>
      </c>
      <c r="F23" s="21" t="inlineStr">
        <is>
          <t>PREÇO UNITÁRIO</t>
        </is>
      </c>
      <c r="G23" s="21" t="inlineStr">
        <is>
          <t>TOTAL</t>
        </is>
      </c>
    </row>
    <row r="24" ht="21" customHeight="1">
      <c r="A24" s="22" t="inlineStr">
        <is>
          <t>95308</t>
        </is>
      </c>
      <c r="B24" s="23" t="inlineStr">
        <is>
          <t>CURSO DE CAPACITAÇÃO PARA AJUDANTE DE ARMADOR (ENCARGOS COMPLEMENTARES) - HORISTA</t>
        </is>
      </c>
      <c r="C24" s="22" t="inlineStr">
        <is>
          <t>SINAPI</t>
        </is>
      </c>
      <c r="D24" s="22" t="inlineStr">
        <is>
          <t>H</t>
        </is>
      </c>
      <c r="E24" s="63" t="n">
        <v>1</v>
      </c>
      <c r="F24" s="64">
        <f>G1483</f>
        <v/>
      </c>
      <c r="G24" s="64">
        <f>TRUNC(TRUNC(E24,8)*F24,2)</f>
        <v/>
      </c>
      <c r="L24" t="n">
        <v>1</v>
      </c>
      <c r="M24" t="n">
        <v>0.18</v>
      </c>
      <c r="N24">
        <f>(M24-F24)</f>
        <v/>
      </c>
    </row>
    <row r="25" ht="15" customHeight="1">
      <c r="A25" s="2" t="inlineStr"/>
      <c r="B25" s="2" t="inlineStr"/>
      <c r="C25" s="2" t="inlineStr"/>
      <c r="D25" s="2" t="inlineStr"/>
      <c r="E25" s="26" t="inlineStr">
        <is>
          <t>TOTAL Serviço:</t>
        </is>
      </c>
      <c r="F25" s="56" t="n"/>
      <c r="G25" s="65">
        <f>SUM(G24:G24)</f>
        <v/>
      </c>
    </row>
    <row r="26" ht="15" customHeight="1">
      <c r="A26" s="2" t="inlineStr"/>
      <c r="B26" s="2" t="inlineStr"/>
      <c r="C26" s="2" t="inlineStr"/>
      <c r="D26" s="2" t="inlineStr"/>
      <c r="E26" s="28" t="inlineStr">
        <is>
          <t>VALOR:</t>
        </is>
      </c>
      <c r="F26" s="56" t="n"/>
      <c r="G26" s="66">
        <f>SUM(G25,G19,G22)</f>
        <v/>
      </c>
    </row>
    <row r="27" ht="15" customHeight="1">
      <c r="A27" s="2" t="inlineStr"/>
      <c r="B27" s="2" t="inlineStr"/>
      <c r="C27" s="2" t="inlineStr"/>
      <c r="D27" s="2" t="inlineStr"/>
      <c r="E27" s="28" t="inlineStr">
        <is>
          <t>VALOR BDI (23.08%):</t>
        </is>
      </c>
      <c r="F27" s="56" t="n"/>
      <c r="G27" s="66">
        <f>ROUNDDOWN(G26*BDI,2)</f>
        <v/>
      </c>
    </row>
    <row r="28" ht="15" customHeight="1">
      <c r="A28" s="2" t="inlineStr"/>
      <c r="B28" s="2" t="inlineStr"/>
      <c r="C28" s="2" t="inlineStr"/>
      <c r="D28" s="2" t="inlineStr"/>
      <c r="E28" s="28" t="inlineStr">
        <is>
          <t>VALOR COM BDI:</t>
        </is>
      </c>
      <c r="F28" s="56" t="n"/>
      <c r="G28" s="66">
        <f>G27 + G26</f>
        <v/>
      </c>
    </row>
    <row r="29" ht="10" customHeight="1">
      <c r="A29" s="2" t="inlineStr"/>
      <c r="B29" s="2" t="inlineStr"/>
      <c r="C29" s="2" t="inlineStr"/>
      <c r="D29" s="2" t="inlineStr"/>
      <c r="E29" s="18" t="inlineStr"/>
    </row>
    <row r="30" ht="20" customHeight="1">
      <c r="A30" s="19" t="inlineStr">
        <is>
          <t>​ED-50363​ AJUDANTE DE BOMBEIRO/ENCANADOR COM ENCARGOS COMPLEMENTARES​ (hora)</t>
        </is>
      </c>
      <c r="B30" s="55" t="n"/>
      <c r="C30" s="55" t="n"/>
      <c r="D30" s="55" t="n"/>
      <c r="E30" s="55" t="n"/>
      <c r="F30" s="55" t="n"/>
      <c r="G30" s="56" t="n"/>
    </row>
    <row r="31" ht="20" customHeight="1">
      <c r="A31" s="32" t="inlineStr">
        <is>
          <t>MÃO DE OBRA</t>
        </is>
      </c>
      <c r="B31" s="55" t="n"/>
      <c r="C31" s="56" t="n"/>
      <c r="D31" s="4" t="inlineStr">
        <is>
          <t>UNID</t>
        </is>
      </c>
      <c r="E31" s="4" t="inlineStr">
        <is>
          <t>CONSUMO</t>
        </is>
      </c>
      <c r="F31" s="4" t="inlineStr">
        <is>
          <t>SALÁRIO HORA</t>
        </is>
      </c>
      <c r="G31" s="4" t="inlineStr">
        <is>
          <t>CUSTO HORÁRIO</t>
        </is>
      </c>
    </row>
    <row r="32" ht="15" customHeight="1">
      <c r="A32" s="8" t="inlineStr">
        <is>
          <t>MOED-20131</t>
        </is>
      </c>
      <c r="B32" s="38" t="inlineStr">
        <is>
          <t xml:space="preserve">AJUDANTE DE BOMBEIRO/ ENCANADOR (MODALIDADE: HORISTA| ENCARGOS </t>
        </is>
      </c>
      <c r="C32" s="55" t="n"/>
      <c r="D32" s="8" t="inlineStr">
        <is>
          <t>h</t>
        </is>
      </c>
      <c r="E32" s="69">
        <f>L32*FATOR</f>
        <v/>
      </c>
      <c r="F32" s="58" t="n">
        <v>18.232</v>
      </c>
      <c r="G32" s="58">
        <f>ROUND(ROUND(E32,7)*F32,4)</f>
        <v/>
      </c>
      <c r="L32" t="n">
        <v>1</v>
      </c>
      <c r="M32" t="n">
        <v>18.232</v>
      </c>
      <c r="N32">
        <f>(M32-F32)</f>
        <v/>
      </c>
    </row>
    <row r="33" ht="15" customHeight="1">
      <c r="A33" s="1" t="inlineStr"/>
      <c r="B33" s="1" t="inlineStr"/>
      <c r="C33" s="1" t="inlineStr"/>
      <c r="D33" s="1" t="inlineStr"/>
      <c r="E33" s="35" t="inlineStr">
        <is>
          <t>TOTAL MÃO DE OBRA:</t>
        </is>
      </c>
      <c r="F33" s="56" t="n"/>
      <c r="G33" s="66">
        <f>SUM(G32:G32)</f>
        <v/>
      </c>
    </row>
    <row r="34" ht="15" customHeight="1">
      <c r="A34" s="2" t="inlineStr"/>
      <c r="B34" s="2" t="inlineStr"/>
      <c r="C34" s="2" t="inlineStr"/>
      <c r="D34" s="2" t="inlineStr"/>
      <c r="E34" s="28" t="inlineStr">
        <is>
          <t>Custo Horário da Execução:</t>
        </is>
      </c>
      <c r="F34" s="56" t="n"/>
      <c r="G34" s="70">
        <f>G33</f>
        <v/>
      </c>
    </row>
    <row r="35" ht="15" customHeight="1">
      <c r="A35" s="2" t="inlineStr"/>
      <c r="B35" s="2" t="inlineStr"/>
      <c r="C35" s="2" t="inlineStr"/>
      <c r="D35" s="2" t="inlineStr"/>
      <c r="E35" s="28" t="inlineStr">
        <is>
          <t>Produção da Equipe:</t>
        </is>
      </c>
      <c r="F35" s="56" t="n"/>
      <c r="G35" s="73" t="n">
        <v>1</v>
      </c>
    </row>
    <row r="36" ht="15" customHeight="1">
      <c r="A36" s="2" t="inlineStr"/>
      <c r="B36" s="2" t="inlineStr"/>
      <c r="C36" s="2" t="inlineStr"/>
      <c r="D36" s="2" t="inlineStr"/>
      <c r="E36" s="28" t="inlineStr">
        <is>
          <t>Custo Unitário da Execução:</t>
        </is>
      </c>
      <c r="F36" s="56" t="n"/>
      <c r="G36" s="70">
        <f>ROUND(G34/G35, 4)</f>
        <v/>
      </c>
    </row>
    <row r="37" ht="20" customHeight="1">
      <c r="A37" s="32" t="inlineStr">
        <is>
          <t>MATERIAIS</t>
        </is>
      </c>
      <c r="B37" s="55" t="n"/>
      <c r="C37" s="56" t="n"/>
      <c r="D37" s="4" t="inlineStr">
        <is>
          <t>UNID</t>
        </is>
      </c>
      <c r="E37" s="4" t="inlineStr">
        <is>
          <t>CONSUMO</t>
        </is>
      </c>
      <c r="F37" s="4">
        <f>G700</f>
        <v/>
      </c>
      <c r="G37" s="4" t="inlineStr">
        <is>
          <t>CUSTO UNITÁRIO</t>
        </is>
      </c>
    </row>
    <row r="38" ht="15" customHeight="1">
      <c r="A38" s="8" t="inlineStr">
        <is>
          <t>MATED-13096</t>
        </is>
      </c>
      <c r="B38" s="7" t="inlineStr">
        <is>
          <t>CESTA BÁSICA/ALIMENTAÇÃO - HORISTA ( ENCARGOS COMPLEMENTARES)</t>
        </is>
      </c>
      <c r="C38" s="56" t="n"/>
      <c r="D38" s="8" t="inlineStr">
        <is>
          <t>hora</t>
        </is>
      </c>
      <c r="E38" s="69" t="n">
        <v>1</v>
      </c>
      <c r="F38" s="70" t="n">
        <v>2.12</v>
      </c>
      <c r="G38" s="70">
        <f>ROUND(ROUND(E38,7)*F38,4)</f>
        <v/>
      </c>
      <c r="L38" t="n">
        <v>1</v>
      </c>
      <c r="M38" t="n">
        <v>2.12</v>
      </c>
      <c r="N38">
        <f>(M38-F38)</f>
        <v/>
      </c>
    </row>
    <row r="39" ht="15" customHeight="1">
      <c r="A39" s="8" t="inlineStr">
        <is>
          <t>MATED-13099</t>
        </is>
      </c>
      <c r="B39" s="7" t="inlineStr">
        <is>
          <t>EXAMES - HORISTA (ENCARGOS COMPLEMENTARES)</t>
        </is>
      </c>
      <c r="C39" s="56" t="n"/>
      <c r="D39" s="8" t="inlineStr">
        <is>
          <t>hora</t>
        </is>
      </c>
      <c r="E39" s="69" t="n">
        <v>1</v>
      </c>
      <c r="F39" s="70" t="n">
        <v>1.43</v>
      </c>
      <c r="G39" s="70">
        <f>ROUND(ROUND(E39,7)*F39,4)</f>
        <v/>
      </c>
      <c r="L39" t="n">
        <v>1</v>
      </c>
      <c r="M39" t="n">
        <v>1.43</v>
      </c>
      <c r="N39">
        <f>(M39-F39)</f>
        <v/>
      </c>
    </row>
    <row r="40" ht="15" customHeight="1">
      <c r="A40" s="8" t="inlineStr">
        <is>
          <t>MATED-13098</t>
        </is>
      </c>
      <c r="B40" s="7" t="inlineStr">
        <is>
          <t>SEGURO - HORISTA (ENCARGOS COMPLEMENTARES)</t>
        </is>
      </c>
      <c r="C40" s="56" t="n"/>
      <c r="D40" s="8" t="inlineStr">
        <is>
          <t>hora</t>
        </is>
      </c>
      <c r="E40" s="69" t="n">
        <v>1</v>
      </c>
      <c r="F40" s="70" t="n">
        <v>0.08</v>
      </c>
      <c r="G40" s="70">
        <f>ROUND(ROUND(E40,7)*F40,4)</f>
        <v/>
      </c>
      <c r="L40" t="n">
        <v>1</v>
      </c>
      <c r="M40" t="n">
        <v>0.08</v>
      </c>
      <c r="N40">
        <f>(M40-F40)</f>
        <v/>
      </c>
    </row>
    <row r="41" ht="15" customHeight="1">
      <c r="A41" s="8" t="inlineStr">
        <is>
          <t>MATED-13097</t>
        </is>
      </c>
      <c r="B41" s="7" t="inlineStr">
        <is>
          <t>TRANSPORTE - HORISTA (ENCARGOS COMPLEMENTARES)</t>
        </is>
      </c>
      <c r="C41" s="56" t="n"/>
      <c r="D41" s="8" t="inlineStr">
        <is>
          <t>hora</t>
        </is>
      </c>
      <c r="E41" s="69" t="n">
        <v>1</v>
      </c>
      <c r="F41" s="70" t="n">
        <v>0.86</v>
      </c>
      <c r="G41" s="70">
        <f>ROUND(ROUND(E41,7)*F41,4)</f>
        <v/>
      </c>
      <c r="L41" t="n">
        <v>1</v>
      </c>
      <c r="M41" t="n">
        <v>0.86</v>
      </c>
      <c r="N41">
        <f>(M41-F41)</f>
        <v/>
      </c>
    </row>
    <row r="42" ht="15" customHeight="1">
      <c r="A42" s="1" t="inlineStr"/>
      <c r="B42" s="1" t="inlineStr"/>
      <c r="C42" s="1" t="inlineStr"/>
      <c r="D42" s="1" t="inlineStr"/>
      <c r="E42" s="35" t="inlineStr">
        <is>
          <t>TOTAL MATERIAIS:</t>
        </is>
      </c>
      <c r="F42" s="56" t="n"/>
      <c r="G42" s="71">
        <f>SUM(G38:G41)</f>
        <v/>
      </c>
    </row>
    <row r="43" ht="20" customHeight="1">
      <c r="A43" s="32" t="inlineStr">
        <is>
          <t>SERVIÇOS</t>
        </is>
      </c>
      <c r="B43" s="55" t="n"/>
      <c r="C43" s="56" t="n"/>
      <c r="D43" s="4" t="inlineStr">
        <is>
          <t>UNID</t>
        </is>
      </c>
      <c r="E43" s="4" t="inlineStr">
        <is>
          <t>CONSUMO</t>
        </is>
      </c>
      <c r="F43" s="4" t="inlineStr">
        <is>
          <t>PREÇO UNITÁRIO</t>
        </is>
      </c>
      <c r="G43" s="4" t="inlineStr">
        <is>
          <t>CUSTO UNITÁRIO</t>
        </is>
      </c>
    </row>
    <row r="44" ht="16" customHeight="1">
      <c r="A44" s="8" t="inlineStr">
        <is>
          <t>ED-5227</t>
        </is>
      </c>
      <c r="B44" s="7" t="inlineStr">
        <is>
          <t>CURSO DE CAPACITAÇÃO PARA AUXILIAR DE ENCANADOR OU BOMBEIRO HIDRÁULICO ( ENCARGOS COMPLEMENTARES) - HORISTA</t>
        </is>
      </c>
      <c r="C44" s="56" t="n"/>
      <c r="D44" s="8" t="inlineStr">
        <is>
          <t>hora</t>
        </is>
      </c>
      <c r="E44" s="72" t="n">
        <v>1</v>
      </c>
      <c r="F44" s="70" t="n">
        <v>0.33</v>
      </c>
      <c r="G44" s="70">
        <f>ROUND(ROUND(E44,7)*F44,4)</f>
        <v/>
      </c>
      <c r="L44" t="n">
        <v>1</v>
      </c>
      <c r="M44" t="n">
        <v>0.33</v>
      </c>
      <c r="N44">
        <f>(M44-F44)</f>
        <v/>
      </c>
    </row>
    <row r="45" ht="16" customHeight="1">
      <c r="A45" s="8" t="inlineStr">
        <is>
          <t>ED-14645</t>
        </is>
      </c>
      <c r="B45" s="7" t="inlineStr">
        <is>
          <t>EPI PARA AJUDANTE DE BOMBEIRO/ENCANADOR - HORISTA (ENCARGOS COMPLEMENTARES)</t>
        </is>
      </c>
      <c r="C45" s="56" t="n"/>
      <c r="D45" s="8" t="inlineStr">
        <is>
          <t>hora</t>
        </is>
      </c>
      <c r="E45" s="72" t="n">
        <v>1</v>
      </c>
      <c r="F45" s="70">
        <f>G1957</f>
        <v/>
      </c>
      <c r="G45" s="70">
        <f>ROUND(ROUND(E45,7)*F45,4)</f>
        <v/>
      </c>
      <c r="L45" t="n">
        <v>1</v>
      </c>
      <c r="M45" t="n">
        <v>1.13</v>
      </c>
      <c r="N45">
        <f>(M45-F45)</f>
        <v/>
      </c>
    </row>
    <row r="46" ht="16" customHeight="1">
      <c r="A46" s="8" t="inlineStr">
        <is>
          <t>ED-14681</t>
        </is>
      </c>
      <c r="B46" s="7" t="inlineStr">
        <is>
          <t>FERRAMENTAS PARA AJUDANTE DE BOMBEIRO/ ENCANADOR - HORISTA (ENCARGOS COMPLEMENTARES)</t>
        </is>
      </c>
      <c r="C46" s="56" t="n"/>
      <c r="D46" s="8" t="inlineStr">
        <is>
          <t>hora</t>
        </is>
      </c>
      <c r="E46" s="72" t="n">
        <v>1</v>
      </c>
      <c r="F46" s="70">
        <f>G2130</f>
        <v/>
      </c>
      <c r="G46" s="70">
        <f>ROUND(ROUND(E46,7)*F46,4)</f>
        <v/>
      </c>
      <c r="L46" t="n">
        <v>1</v>
      </c>
      <c r="M46" t="n">
        <v>0.31</v>
      </c>
      <c r="N46">
        <f>(M46-F46)</f>
        <v/>
      </c>
    </row>
    <row r="47" ht="15" customHeight="1">
      <c r="A47" s="1" t="inlineStr"/>
      <c r="B47" s="1" t="inlineStr"/>
      <c r="C47" s="1" t="inlineStr"/>
      <c r="D47" s="1" t="inlineStr"/>
      <c r="E47" s="35" t="inlineStr">
        <is>
          <t>TOTAL SERVIÇOS:</t>
        </is>
      </c>
      <c r="F47" s="56" t="n"/>
      <c r="G47" s="71">
        <f>SUM(G44:G46)</f>
        <v/>
      </c>
    </row>
    <row r="48" ht="15" customHeight="1">
      <c r="A48" s="2" t="inlineStr"/>
      <c r="B48" s="2" t="inlineStr"/>
      <c r="C48" s="2" t="inlineStr"/>
      <c r="D48" s="2" t="inlineStr"/>
      <c r="E48" s="28" t="inlineStr">
        <is>
          <t>Custo Direto Total:</t>
        </is>
      </c>
      <c r="F48" s="56" t="n"/>
      <c r="G48" s="70">
        <f>SUM(G36,G42,G47)</f>
        <v/>
      </c>
    </row>
    <row r="49" ht="15" customHeight="1">
      <c r="A49" s="2" t="inlineStr"/>
      <c r="B49" s="2" t="inlineStr"/>
      <c r="C49" s="2" t="inlineStr"/>
      <c r="D49" s="2" t="inlineStr"/>
      <c r="E49" s="28" t="inlineStr">
        <is>
          <t>VALOR:</t>
        </is>
      </c>
      <c r="F49" s="56" t="n"/>
      <c r="G49" s="66">
        <f>SUM(G33,G42,G47)</f>
        <v/>
      </c>
    </row>
    <row r="50" ht="15" customHeight="1">
      <c r="A50" s="2" t="inlineStr"/>
      <c r="B50" s="2" t="inlineStr"/>
      <c r="C50" s="2" t="inlineStr"/>
      <c r="D50" s="2" t="inlineStr"/>
      <c r="E50" s="28" t="inlineStr">
        <is>
          <t>VALOR BDI (23.08%):</t>
        </is>
      </c>
      <c r="F50" s="56" t="n"/>
      <c r="G50" s="66">
        <f>ROUNDDOWN(G49*BDI,2)</f>
        <v/>
      </c>
    </row>
    <row r="51" ht="15" customHeight="1">
      <c r="A51" s="2" t="inlineStr"/>
      <c r="B51" s="2" t="inlineStr"/>
      <c r="C51" s="2" t="inlineStr"/>
      <c r="D51" s="2" t="inlineStr"/>
      <c r="E51" s="28" t="inlineStr">
        <is>
          <t>VALOR COM BDI:</t>
        </is>
      </c>
      <c r="F51" s="56" t="n"/>
      <c r="G51" s="66">
        <f>G50 + G49</f>
        <v/>
      </c>
    </row>
    <row r="52" ht="10" customHeight="1">
      <c r="A52" s="2" t="inlineStr"/>
      <c r="B52" s="2" t="inlineStr"/>
      <c r="C52" s="2" t="inlineStr"/>
      <c r="D52" s="2" t="inlineStr"/>
      <c r="E52" s="18" t="inlineStr"/>
    </row>
    <row r="53" ht="20" customHeight="1">
      <c r="A53" s="19" t="inlineStr">
        <is>
          <t>​88239​ AJUDANTE DE CARPINTEIRO COM ENCARGOS COMPLEMENTARES​ (H)</t>
        </is>
      </c>
      <c r="B53" s="55" t="n"/>
      <c r="C53" s="55" t="n"/>
      <c r="D53" s="55" t="n"/>
      <c r="E53" s="55" t="n"/>
      <c r="F53" s="55" t="n"/>
      <c r="G53" s="56" t="n"/>
    </row>
    <row r="54" ht="15" customHeight="1">
      <c r="A54" s="20" t="inlineStr">
        <is>
          <t>Encargos Complementares</t>
        </is>
      </c>
      <c r="B54" s="56" t="n"/>
      <c r="C54" s="21" t="inlineStr">
        <is>
          <t>FONTE</t>
        </is>
      </c>
      <c r="D54" s="21" t="inlineStr">
        <is>
          <t>UNID</t>
        </is>
      </c>
      <c r="E54" s="21" t="inlineStr">
        <is>
          <t>COEFICIENTE</t>
        </is>
      </c>
      <c r="F54" s="21" t="inlineStr">
        <is>
          <t>PREÇO UNITÁRIO</t>
        </is>
      </c>
      <c r="G54" s="21" t="inlineStr">
        <is>
          <t>TOTAL</t>
        </is>
      </c>
    </row>
    <row r="55" ht="21" customHeight="1">
      <c r="A55" s="22" t="inlineStr">
        <is>
          <t>00037370</t>
        </is>
      </c>
      <c r="B55" s="23" t="inlineStr">
        <is>
          <t>ALIMENTACAO - HORISTA (COLETADO CAIXA - ENCARGOS COMPLEMENTARES)</t>
        </is>
      </c>
      <c r="C55" s="22" t="inlineStr">
        <is>
          <t>SINAPI</t>
        </is>
      </c>
      <c r="D55" s="22" t="inlineStr">
        <is>
          <t>H</t>
        </is>
      </c>
      <c r="E55" s="63" t="n">
        <v>1</v>
      </c>
      <c r="F55" s="64" t="n">
        <v>3.62</v>
      </c>
      <c r="G55" s="64">
        <f>TRUNC(TRUNC(E55,8)*F55,2)</f>
        <v/>
      </c>
      <c r="L55" t="n">
        <v>1</v>
      </c>
      <c r="M55" t="n">
        <v>3.62</v>
      </c>
      <c r="N55">
        <f>(M55-F55)</f>
        <v/>
      </c>
    </row>
    <row r="56" ht="21" customHeight="1">
      <c r="A56" s="22" t="inlineStr">
        <is>
          <t>00043483</t>
        </is>
      </c>
      <c r="B56" s="23" t="inlineStr">
        <is>
          <t>EPI - FAMILIA CARPINTEIRO DE FORMAS - HORISTA (ENCARGOS COMPLEMENTARES - COLETADO CAIXA)</t>
        </is>
      </c>
      <c r="C56" s="22" t="inlineStr">
        <is>
          <t>SINAPI</t>
        </is>
      </c>
      <c r="D56" s="22" t="inlineStr">
        <is>
          <t>H</t>
        </is>
      </c>
      <c r="E56" s="63" t="n">
        <v>1</v>
      </c>
      <c r="F56" s="64" t="n">
        <v>1.43</v>
      </c>
      <c r="G56" s="64">
        <f>TRUNC(TRUNC(E56,8)*F56,2)</f>
        <v/>
      </c>
      <c r="L56" t="n">
        <v>1</v>
      </c>
      <c r="M56" t="n">
        <v>1.43</v>
      </c>
      <c r="N56">
        <f>(M56-F56)</f>
        <v/>
      </c>
    </row>
    <row r="57" ht="21" customHeight="1">
      <c r="A57" s="22" t="inlineStr">
        <is>
          <t>00037372</t>
        </is>
      </c>
      <c r="B57" s="23" t="inlineStr">
        <is>
          <t>EXAMES - HORISTA (COLETADO CAIXA - ENCARGOS COMPLEMENTARES)</t>
        </is>
      </c>
      <c r="C57" s="22" t="inlineStr">
        <is>
          <t>SINAPI</t>
        </is>
      </c>
      <c r="D57" s="22" t="inlineStr">
        <is>
          <t>H</t>
        </is>
      </c>
      <c r="E57" s="63" t="n">
        <v>1</v>
      </c>
      <c r="F57" s="64" t="n">
        <v>1.43</v>
      </c>
      <c r="G57" s="64">
        <f>TRUNC(TRUNC(E57,8)*F57,2)</f>
        <v/>
      </c>
      <c r="L57" t="n">
        <v>1</v>
      </c>
      <c r="M57" t="n">
        <v>1.43</v>
      </c>
      <c r="N57">
        <f>(M57-F57)</f>
        <v/>
      </c>
    </row>
    <row r="58" ht="29" customHeight="1">
      <c r="A58" s="22" t="inlineStr">
        <is>
          <t>00043459</t>
        </is>
      </c>
      <c r="B58" s="23" t="inlineStr">
        <is>
          <t>FERRAMENTAS - FAMILIA CARPINTEIRO DE FORMAS - HORISTA (ENCARGOS COMPLEMENTARES - COLETADO CAIXA)</t>
        </is>
      </c>
      <c r="C58" s="22" t="inlineStr">
        <is>
          <t>SINAPI</t>
        </is>
      </c>
      <c r="D58" s="22" t="inlineStr">
        <is>
          <t>H</t>
        </is>
      </c>
      <c r="E58" s="63" t="n">
        <v>1</v>
      </c>
      <c r="F58" s="64" t="n">
        <v>0.44</v>
      </c>
      <c r="G58" s="64">
        <f>TRUNC(TRUNC(E58,8)*F58,2)</f>
        <v/>
      </c>
      <c r="L58" t="n">
        <v>1</v>
      </c>
      <c r="M58" t="n">
        <v>0.44</v>
      </c>
      <c r="N58">
        <f>(M58-F58)</f>
        <v/>
      </c>
    </row>
    <row r="59" ht="21" customHeight="1">
      <c r="A59" s="22" t="inlineStr">
        <is>
          <t>00037373</t>
        </is>
      </c>
      <c r="B59" s="23" t="inlineStr">
        <is>
          <t>SEGURO - HORISTA (COLETADO CAIXA - ENCARGOS COMPLEMENTARES)</t>
        </is>
      </c>
      <c r="C59" s="22" t="inlineStr">
        <is>
          <t>SINAPI</t>
        </is>
      </c>
      <c r="D59" s="22" t="inlineStr">
        <is>
          <t>H</t>
        </is>
      </c>
      <c r="E59" s="63" t="n">
        <v>1</v>
      </c>
      <c r="F59" s="64" t="n">
        <v>0.08</v>
      </c>
      <c r="G59" s="64">
        <f>TRUNC(TRUNC(E59,8)*F59,2)</f>
        <v/>
      </c>
      <c r="L59" t="n">
        <v>1</v>
      </c>
      <c r="M59" t="n">
        <v>0.08</v>
      </c>
      <c r="N59">
        <f>(M59-F59)</f>
        <v/>
      </c>
    </row>
    <row r="60" ht="21" customHeight="1">
      <c r="A60" s="22" t="inlineStr">
        <is>
          <t>00037371</t>
        </is>
      </c>
      <c r="B60" s="23" t="inlineStr">
        <is>
          <t>TRANSPORTE - HORISTA (COLETADO CAIXA - ENCARGOS COMPLEMENTARES)</t>
        </is>
      </c>
      <c r="C60" s="22" t="inlineStr">
        <is>
          <t>SINAPI</t>
        </is>
      </c>
      <c r="D60" s="22" t="inlineStr">
        <is>
          <t>H</t>
        </is>
      </c>
      <c r="E60" s="63" t="n">
        <v>1</v>
      </c>
      <c r="F60" s="64" t="n">
        <v>1.09</v>
      </c>
      <c r="G60" s="64">
        <f>TRUNC(TRUNC(E60,8)*F60,2)</f>
        <v/>
      </c>
      <c r="L60" t="n">
        <v>1</v>
      </c>
      <c r="M60" t="n">
        <v>1.09</v>
      </c>
      <c r="N60">
        <f>(M60-F60)</f>
        <v/>
      </c>
    </row>
    <row r="61" ht="15" customHeight="1">
      <c r="A61" s="2" t="inlineStr"/>
      <c r="B61" s="2" t="inlineStr"/>
      <c r="C61" s="2" t="inlineStr"/>
      <c r="D61" s="2" t="inlineStr"/>
      <c r="E61" s="26" t="inlineStr">
        <is>
          <t>TOTAL Encargos Complementares:</t>
        </is>
      </c>
      <c r="F61" s="56" t="n"/>
      <c r="G61" s="65">
        <f>SUM(G55:G60)</f>
        <v/>
      </c>
    </row>
    <row r="62" ht="15" customHeight="1">
      <c r="A62" s="20" t="inlineStr">
        <is>
          <t>Mão de Obra</t>
        </is>
      </c>
      <c r="B62" s="56" t="n"/>
      <c r="C62" s="21" t="inlineStr">
        <is>
          <t>FONTE</t>
        </is>
      </c>
      <c r="D62" s="21" t="inlineStr">
        <is>
          <t>UNID</t>
        </is>
      </c>
      <c r="E62" s="21" t="inlineStr">
        <is>
          <t>COEFICIENTE</t>
        </is>
      </c>
      <c r="F62" s="21" t="inlineStr">
        <is>
          <t>PREÇO UNITÁRIO</t>
        </is>
      </c>
      <c r="G62" s="21" t="inlineStr">
        <is>
          <t>TOTAL</t>
        </is>
      </c>
    </row>
    <row r="63" ht="15" customHeight="1">
      <c r="A63" s="22" t="inlineStr">
        <is>
          <t>00006117</t>
        </is>
      </c>
      <c r="B63" s="23" t="inlineStr">
        <is>
          <t>CARPINTEIRO AUXILIAR (HORISTA)</t>
        </is>
      </c>
      <c r="C63" s="22" t="inlineStr">
        <is>
          <t>SINAPI</t>
        </is>
      </c>
      <c r="D63" s="22" t="inlineStr">
        <is>
          <t>H</t>
        </is>
      </c>
      <c r="E63" s="63">
        <f>L63*FATOR</f>
        <v/>
      </c>
      <c r="F63" s="64" t="n">
        <v>16.28</v>
      </c>
      <c r="G63" s="64">
        <f>TRUNC(TRUNC(E63,8)*F63,2)</f>
        <v/>
      </c>
      <c r="L63" t="n">
        <v>1</v>
      </c>
      <c r="M63" t="n">
        <v>16.28</v>
      </c>
      <c r="N63">
        <f>(M63-F63)</f>
        <v/>
      </c>
    </row>
    <row r="64" ht="15" customHeight="1">
      <c r="A64" s="2" t="inlineStr"/>
      <c r="B64" s="2" t="inlineStr"/>
      <c r="C64" s="2" t="inlineStr"/>
      <c r="D64" s="2" t="inlineStr"/>
      <c r="E64" s="26" t="inlineStr">
        <is>
          <t>TOTAL Mão de Obra:</t>
        </is>
      </c>
      <c r="F64" s="56" t="n"/>
      <c r="G64" s="65">
        <f>SUM(G63:G63)</f>
        <v/>
      </c>
    </row>
    <row r="65" ht="15" customHeight="1">
      <c r="A65" s="20" t="inlineStr">
        <is>
          <t>Serviço</t>
        </is>
      </c>
      <c r="B65" s="56" t="n"/>
      <c r="C65" s="21" t="inlineStr">
        <is>
          <t>FONTE</t>
        </is>
      </c>
      <c r="D65" s="21" t="inlineStr">
        <is>
          <t>UNID</t>
        </is>
      </c>
      <c r="E65" s="21" t="inlineStr">
        <is>
          <t>COEFICIENTE</t>
        </is>
      </c>
      <c r="F65" s="21" t="inlineStr">
        <is>
          <t>PREÇO UNITÁRIO</t>
        </is>
      </c>
      <c r="G65" s="21" t="inlineStr">
        <is>
          <t>TOTAL</t>
        </is>
      </c>
    </row>
    <row r="66" ht="21" customHeight="1">
      <c r="A66" s="22" t="inlineStr">
        <is>
          <t>95309</t>
        </is>
      </c>
      <c r="B66" s="23" t="inlineStr">
        <is>
          <t>CURSO DE CAPACITAÇÃO PARA AJUDANTE DE CARPINTEIRO (ENCARGOS COMPLEMENTARES) - HORISTA</t>
        </is>
      </c>
      <c r="C66" s="22" t="inlineStr">
        <is>
          <t>SINAPI</t>
        </is>
      </c>
      <c r="D66" s="22" t="inlineStr">
        <is>
          <t>H</t>
        </is>
      </c>
      <c r="E66" s="63" t="n">
        <v>1</v>
      </c>
      <c r="F66" s="64">
        <f>G1491</f>
        <v/>
      </c>
      <c r="G66" s="64">
        <f>TRUNC(TRUNC(E66,8)*F66,2)</f>
        <v/>
      </c>
      <c r="L66" t="n">
        <v>1</v>
      </c>
      <c r="M66" t="n">
        <v>0.24</v>
      </c>
      <c r="N66">
        <f>(M66-F66)</f>
        <v/>
      </c>
    </row>
    <row r="67" ht="15" customHeight="1">
      <c r="A67" s="2" t="inlineStr"/>
      <c r="B67" s="2" t="inlineStr"/>
      <c r="C67" s="2" t="inlineStr"/>
      <c r="D67" s="2" t="inlineStr"/>
      <c r="E67" s="26" t="inlineStr">
        <is>
          <t>TOTAL Serviço:</t>
        </is>
      </c>
      <c r="F67" s="56" t="n"/>
      <c r="G67" s="65">
        <f>SUM(G66:G66)</f>
        <v/>
      </c>
    </row>
    <row r="68" ht="15" customHeight="1">
      <c r="A68" s="2" t="inlineStr"/>
      <c r="B68" s="2" t="inlineStr"/>
      <c r="C68" s="2" t="inlineStr"/>
      <c r="D68" s="2" t="inlineStr"/>
      <c r="E68" s="28" t="inlineStr">
        <is>
          <t>VALOR:</t>
        </is>
      </c>
      <c r="F68" s="56" t="n"/>
      <c r="G68" s="66">
        <f>SUM(G64,G67,G61)</f>
        <v/>
      </c>
    </row>
    <row r="69" ht="15" customHeight="1">
      <c r="A69" s="2" t="inlineStr"/>
      <c r="B69" s="2" t="inlineStr"/>
      <c r="C69" s="2" t="inlineStr"/>
      <c r="D69" s="2" t="inlineStr"/>
      <c r="E69" s="28" t="inlineStr">
        <is>
          <t>VALOR BDI (23.08%):</t>
        </is>
      </c>
      <c r="F69" s="56" t="n"/>
      <c r="G69" s="66">
        <f>ROUNDDOWN(G68*BDI,2)</f>
        <v/>
      </c>
    </row>
    <row r="70" ht="15" customHeight="1">
      <c r="A70" s="2" t="inlineStr"/>
      <c r="B70" s="2" t="inlineStr"/>
      <c r="C70" s="2" t="inlineStr"/>
      <c r="D70" s="2" t="inlineStr"/>
      <c r="E70" s="28" t="inlineStr">
        <is>
          <t>VALOR COM BDI:</t>
        </is>
      </c>
      <c r="F70" s="56" t="n"/>
      <c r="G70" s="66">
        <f>G69 + G68</f>
        <v/>
      </c>
    </row>
    <row r="71" ht="10" customHeight="1">
      <c r="A71" s="2" t="inlineStr"/>
      <c r="B71" s="2" t="inlineStr"/>
      <c r="C71" s="2" t="inlineStr"/>
      <c r="D71" s="2" t="inlineStr"/>
      <c r="E71" s="18" t="inlineStr"/>
    </row>
    <row r="72" ht="20" customHeight="1">
      <c r="A72" s="19" t="inlineStr">
        <is>
          <t>​88240​ AJUDANTE DE ESTRUTURA METÁLICA COM ENCARGOS COMPLEMENTARES​ (H)</t>
        </is>
      </c>
      <c r="B72" s="55" t="n"/>
      <c r="C72" s="55" t="n"/>
      <c r="D72" s="55" t="n"/>
      <c r="E72" s="55" t="n"/>
      <c r="F72" s="55" t="n"/>
      <c r="G72" s="56" t="n"/>
    </row>
    <row r="73" ht="15" customHeight="1">
      <c r="A73" s="20" t="inlineStr">
        <is>
          <t>Encargos Complementares</t>
        </is>
      </c>
      <c r="B73" s="56" t="n"/>
      <c r="C73" s="21" t="inlineStr">
        <is>
          <t>FONTE</t>
        </is>
      </c>
      <c r="D73" s="21" t="inlineStr">
        <is>
          <t>UNID</t>
        </is>
      </c>
      <c r="E73" s="21" t="inlineStr">
        <is>
          <t>COEFICIENTE</t>
        </is>
      </c>
      <c r="F73" s="21" t="inlineStr">
        <is>
          <t>PREÇO UNITÁRIO</t>
        </is>
      </c>
      <c r="G73" s="21" t="inlineStr">
        <is>
          <t>TOTAL</t>
        </is>
      </c>
    </row>
    <row r="74" ht="21" customHeight="1">
      <c r="A74" s="22" t="inlineStr">
        <is>
          <t>00037370</t>
        </is>
      </c>
      <c r="B74" s="23" t="inlineStr">
        <is>
          <t>ALIMENTACAO - HORISTA (COLETADO CAIXA - ENCARGOS COMPLEMENTARES)</t>
        </is>
      </c>
      <c r="C74" s="22" t="inlineStr">
        <is>
          <t>SINAPI</t>
        </is>
      </c>
      <c r="D74" s="22" t="inlineStr">
        <is>
          <t>H</t>
        </is>
      </c>
      <c r="E74" s="63" t="n">
        <v>1</v>
      </c>
      <c r="F74" s="64" t="n">
        <v>3.62</v>
      </c>
      <c r="G74" s="64">
        <f>TRUNC(TRUNC(E74,8)*F74,2)</f>
        <v/>
      </c>
      <c r="L74" t="n">
        <v>1</v>
      </c>
      <c r="M74" t="n">
        <v>3.62</v>
      </c>
      <c r="N74">
        <f>(M74-F74)</f>
        <v/>
      </c>
    </row>
    <row r="75" ht="21" customHeight="1">
      <c r="A75" s="22" t="inlineStr">
        <is>
          <t>00043488</t>
        </is>
      </c>
      <c r="B75" s="23" t="inlineStr">
        <is>
          <t>EPI - FAMILIA OPERADOR ESCAVADEIRA - HORISTA (ENCARGOS COMPLEMENTARES - COLETADO CAIXA)</t>
        </is>
      </c>
      <c r="C75" s="22" t="inlineStr">
        <is>
          <t>SINAPI</t>
        </is>
      </c>
      <c r="D75" s="22" t="inlineStr">
        <is>
          <t>H</t>
        </is>
      </c>
      <c r="E75" s="63" t="n">
        <v>1</v>
      </c>
      <c r="F75" s="64" t="n">
        <v>0.89</v>
      </c>
      <c r="G75" s="64">
        <f>TRUNC(TRUNC(E75,8)*F75,2)</f>
        <v/>
      </c>
      <c r="L75" t="n">
        <v>1</v>
      </c>
      <c r="M75" t="n">
        <v>0.89</v>
      </c>
      <c r="N75">
        <f>(M75-F75)</f>
        <v/>
      </c>
    </row>
    <row r="76" ht="21" customHeight="1">
      <c r="A76" s="22" t="inlineStr">
        <is>
          <t>00037372</t>
        </is>
      </c>
      <c r="B76" s="23" t="inlineStr">
        <is>
          <t>EXAMES - HORISTA (COLETADO CAIXA - ENCARGOS COMPLEMENTARES)</t>
        </is>
      </c>
      <c r="C76" s="22" t="inlineStr">
        <is>
          <t>SINAPI</t>
        </is>
      </c>
      <c r="D76" s="22" t="inlineStr">
        <is>
          <t>H</t>
        </is>
      </c>
      <c r="E76" s="63" t="n">
        <v>1</v>
      </c>
      <c r="F76" s="64" t="n">
        <v>1.43</v>
      </c>
      <c r="G76" s="64">
        <f>TRUNC(TRUNC(E76,8)*F76,2)</f>
        <v/>
      </c>
      <c r="L76" t="n">
        <v>1</v>
      </c>
      <c r="M76" t="n">
        <v>1.43</v>
      </c>
      <c r="N76">
        <f>(M76-F76)</f>
        <v/>
      </c>
    </row>
    <row r="77" ht="29" customHeight="1">
      <c r="A77" s="22" t="inlineStr">
        <is>
          <t>00043464</t>
        </is>
      </c>
      <c r="B77" s="23" t="inlineStr">
        <is>
          <t>FERRAMENTAS - FAMILIA OPERADOR ESCAVADEIRA - HORISTA (ENCARGOS COMPLEMENTARES - COLETADO CAIXA)</t>
        </is>
      </c>
      <c r="C77" s="22" t="inlineStr">
        <is>
          <t>SINAPI</t>
        </is>
      </c>
      <c r="D77" s="22" t="inlineStr">
        <is>
          <t>H</t>
        </is>
      </c>
      <c r="E77" s="63" t="n">
        <v>1</v>
      </c>
      <c r="F77" s="64" t="n">
        <v>0.01</v>
      </c>
      <c r="G77" s="64">
        <f>TRUNC(TRUNC(E77,8)*F77,2)</f>
        <v/>
      </c>
      <c r="L77" t="n">
        <v>1</v>
      </c>
      <c r="M77" t="n">
        <v>0.01</v>
      </c>
      <c r="N77">
        <f>(M77-F77)</f>
        <v/>
      </c>
    </row>
    <row r="78" ht="21" customHeight="1">
      <c r="A78" s="22" t="inlineStr">
        <is>
          <t>00037373</t>
        </is>
      </c>
      <c r="B78" s="23" t="inlineStr">
        <is>
          <t>SEGURO - HORISTA (COLETADO CAIXA - ENCARGOS COMPLEMENTARES)</t>
        </is>
      </c>
      <c r="C78" s="22" t="inlineStr">
        <is>
          <t>SINAPI</t>
        </is>
      </c>
      <c r="D78" s="22" t="inlineStr">
        <is>
          <t>H</t>
        </is>
      </c>
      <c r="E78" s="63" t="n">
        <v>1</v>
      </c>
      <c r="F78" s="64" t="n">
        <v>0.08</v>
      </c>
      <c r="G78" s="64">
        <f>TRUNC(TRUNC(E78,8)*F78,2)</f>
        <v/>
      </c>
      <c r="L78" t="n">
        <v>1</v>
      </c>
      <c r="M78" t="n">
        <v>0.08</v>
      </c>
      <c r="N78">
        <f>(M78-F78)</f>
        <v/>
      </c>
    </row>
    <row r="79" ht="21" customHeight="1">
      <c r="A79" s="22" t="inlineStr">
        <is>
          <t>00037371</t>
        </is>
      </c>
      <c r="B79" s="23" t="inlineStr">
        <is>
          <t>TRANSPORTE - HORISTA (COLETADO CAIXA - ENCARGOS COMPLEMENTARES)</t>
        </is>
      </c>
      <c r="C79" s="22" t="inlineStr">
        <is>
          <t>SINAPI</t>
        </is>
      </c>
      <c r="D79" s="22" t="inlineStr">
        <is>
          <t>H</t>
        </is>
      </c>
      <c r="E79" s="63" t="n">
        <v>1</v>
      </c>
      <c r="F79" s="64" t="n">
        <v>1.09</v>
      </c>
      <c r="G79" s="64">
        <f>TRUNC(TRUNC(E79,8)*F79,2)</f>
        <v/>
      </c>
      <c r="L79" t="n">
        <v>1</v>
      </c>
      <c r="M79" t="n">
        <v>1.09</v>
      </c>
      <c r="N79">
        <f>(M79-F79)</f>
        <v/>
      </c>
    </row>
    <row r="80" ht="15" customHeight="1">
      <c r="A80" s="2" t="inlineStr"/>
      <c r="B80" s="2" t="inlineStr"/>
      <c r="C80" s="2" t="inlineStr"/>
      <c r="D80" s="2" t="inlineStr"/>
      <c r="E80" s="26" t="inlineStr">
        <is>
          <t>TOTAL Encargos Complementares:</t>
        </is>
      </c>
      <c r="F80" s="56" t="n"/>
      <c r="G80" s="65">
        <f>SUM(G74:G79)</f>
        <v/>
      </c>
    </row>
    <row r="81" ht="15" customHeight="1">
      <c r="A81" s="20" t="inlineStr">
        <is>
          <t>Mão de Obra</t>
        </is>
      </c>
      <c r="B81" s="56" t="n"/>
      <c r="C81" s="21" t="inlineStr">
        <is>
          <t>FONTE</t>
        </is>
      </c>
      <c r="D81" s="21" t="inlineStr">
        <is>
          <t>UNID</t>
        </is>
      </c>
      <c r="E81" s="21" t="inlineStr">
        <is>
          <t>COEFICIENTE</t>
        </is>
      </c>
      <c r="F81" s="21" t="inlineStr">
        <is>
          <t>PREÇO UNITÁRIO</t>
        </is>
      </c>
      <c r="G81" s="21" t="inlineStr">
        <is>
          <t>TOTAL</t>
        </is>
      </c>
    </row>
    <row r="82" ht="15" customHeight="1">
      <c r="A82" s="22" t="inlineStr">
        <is>
          <t>00044499</t>
        </is>
      </c>
      <c r="B82" s="23" t="inlineStr">
        <is>
          <t>AJUDANTE DE ESTRUTURAS METALICAS (HORISTA)</t>
        </is>
      </c>
      <c r="C82" s="22" t="inlineStr">
        <is>
          <t>SINAPI</t>
        </is>
      </c>
      <c r="D82" s="22" t="inlineStr">
        <is>
          <t>H</t>
        </is>
      </c>
      <c r="E82" s="63">
        <f>L82*FATOR</f>
        <v/>
      </c>
      <c r="F82" s="64" t="n">
        <v>16.28</v>
      </c>
      <c r="G82" s="64">
        <f>TRUNC(TRUNC(E82,8)*F82,2)</f>
        <v/>
      </c>
      <c r="L82" t="n">
        <v>1</v>
      </c>
      <c r="M82" t="n">
        <v>16.28</v>
      </c>
      <c r="N82">
        <f>(M82-F82)</f>
        <v/>
      </c>
    </row>
    <row r="83" ht="15" customHeight="1">
      <c r="A83" s="2" t="inlineStr"/>
      <c r="B83" s="2" t="inlineStr"/>
      <c r="C83" s="2" t="inlineStr"/>
      <c r="D83" s="2" t="inlineStr"/>
      <c r="E83" s="26" t="inlineStr">
        <is>
          <t>TOTAL Mão de Obra:</t>
        </is>
      </c>
      <c r="F83" s="56" t="n"/>
      <c r="G83" s="65">
        <f>SUM(G82:G82)</f>
        <v/>
      </c>
    </row>
    <row r="84" ht="15" customHeight="1">
      <c r="A84" s="20" t="inlineStr">
        <is>
          <t>Serviço</t>
        </is>
      </c>
      <c r="B84" s="56" t="n"/>
      <c r="C84" s="21" t="inlineStr">
        <is>
          <t>FONTE</t>
        </is>
      </c>
      <c r="D84" s="21" t="inlineStr">
        <is>
          <t>UNID</t>
        </is>
      </c>
      <c r="E84" s="21" t="inlineStr">
        <is>
          <t>COEFICIENTE</t>
        </is>
      </c>
      <c r="F84" s="21" t="inlineStr">
        <is>
          <t>PREÇO UNITÁRIO</t>
        </is>
      </c>
      <c r="G84" s="21" t="inlineStr">
        <is>
          <t>TOTAL</t>
        </is>
      </c>
    </row>
    <row r="85" ht="21" customHeight="1">
      <c r="A85" s="22" t="inlineStr">
        <is>
          <t>95310</t>
        </is>
      </c>
      <c r="B85" s="23" t="inlineStr">
        <is>
          <t>CURSO DE CAPACITAÇÃO PARA AJUDANTE DE ESTRUTURA METÁLICA (ENCARGOS COMPLEMENTARES) - HORISTA</t>
        </is>
      </c>
      <c r="C85" s="22" t="inlineStr">
        <is>
          <t>SINAPI</t>
        </is>
      </c>
      <c r="D85" s="22" t="inlineStr">
        <is>
          <t>H</t>
        </is>
      </c>
      <c r="E85" s="63" t="n">
        <v>1</v>
      </c>
      <c r="F85" s="64">
        <f>G1499</f>
        <v/>
      </c>
      <c r="G85" s="64">
        <f>TRUNC(TRUNC(E85,8)*F85,2)</f>
        <v/>
      </c>
      <c r="L85" t="n">
        <v>1</v>
      </c>
      <c r="M85" t="n">
        <v>0.18</v>
      </c>
      <c r="N85">
        <f>(M85-F85)</f>
        <v/>
      </c>
    </row>
    <row r="86" ht="15" customHeight="1">
      <c r="A86" s="2" t="inlineStr"/>
      <c r="B86" s="2" t="inlineStr"/>
      <c r="C86" s="2" t="inlineStr"/>
      <c r="D86" s="2" t="inlineStr"/>
      <c r="E86" s="26" t="inlineStr">
        <is>
          <t>TOTAL Serviço:</t>
        </is>
      </c>
      <c r="F86" s="56" t="n"/>
      <c r="G86" s="65">
        <f>SUM(G85:G85)</f>
        <v/>
      </c>
    </row>
    <row r="87" ht="15" customHeight="1">
      <c r="A87" s="2" t="inlineStr"/>
      <c r="B87" s="2" t="inlineStr"/>
      <c r="C87" s="2" t="inlineStr"/>
      <c r="D87" s="2" t="inlineStr"/>
      <c r="E87" s="28" t="inlineStr">
        <is>
          <t>VALOR:</t>
        </is>
      </c>
      <c r="F87" s="56" t="n"/>
      <c r="G87" s="66">
        <f>SUM(G80,G83,G86)</f>
        <v/>
      </c>
    </row>
    <row r="88" ht="15" customHeight="1">
      <c r="A88" s="2" t="inlineStr"/>
      <c r="B88" s="2" t="inlineStr"/>
      <c r="C88" s="2" t="inlineStr"/>
      <c r="D88" s="2" t="inlineStr"/>
      <c r="E88" s="28" t="inlineStr">
        <is>
          <t>VALOR BDI (23.08%):</t>
        </is>
      </c>
      <c r="F88" s="56" t="n"/>
      <c r="G88" s="66">
        <f>ROUNDDOWN(G87*BDI,2)</f>
        <v/>
      </c>
    </row>
    <row r="89" ht="15" customHeight="1">
      <c r="A89" s="2" t="inlineStr"/>
      <c r="B89" s="2" t="inlineStr"/>
      <c r="C89" s="2" t="inlineStr"/>
      <c r="D89" s="2" t="inlineStr"/>
      <c r="E89" s="28" t="inlineStr">
        <is>
          <t>VALOR COM BDI:</t>
        </is>
      </c>
      <c r="F89" s="56" t="n"/>
      <c r="G89" s="66">
        <f>G88 + G87</f>
        <v/>
      </c>
    </row>
    <row r="90" ht="10" customHeight="1">
      <c r="A90" s="2" t="inlineStr"/>
      <c r="B90" s="2" t="inlineStr"/>
      <c r="C90" s="2" t="inlineStr"/>
      <c r="D90" s="2" t="inlineStr"/>
      <c r="E90" s="18" t="inlineStr"/>
    </row>
    <row r="91" ht="20" customHeight="1">
      <c r="A91" s="19" t="inlineStr">
        <is>
          <t>​88243​ AJUDANTE ESPECIALIZADO COM ENCARGOS COMPLEMENTARES​ (H)</t>
        </is>
      </c>
      <c r="B91" s="55" t="n"/>
      <c r="C91" s="55" t="n"/>
      <c r="D91" s="55" t="n"/>
      <c r="E91" s="55" t="n"/>
      <c r="F91" s="55" t="n"/>
      <c r="G91" s="56" t="n"/>
    </row>
    <row r="92" ht="15" customHeight="1">
      <c r="A92" s="20" t="inlineStr">
        <is>
          <t>Encargos Complementares</t>
        </is>
      </c>
      <c r="B92" s="56" t="n"/>
      <c r="C92" s="21" t="inlineStr">
        <is>
          <t>FONTE</t>
        </is>
      </c>
      <c r="D92" s="21" t="inlineStr">
        <is>
          <t>UNID</t>
        </is>
      </c>
      <c r="E92" s="21" t="inlineStr">
        <is>
          <t>COEFICIENTE</t>
        </is>
      </c>
      <c r="F92" s="21" t="inlineStr">
        <is>
          <t>PREÇO UNITÁRIO</t>
        </is>
      </c>
      <c r="G92" s="21" t="inlineStr">
        <is>
          <t>TOTAL</t>
        </is>
      </c>
    </row>
    <row r="93" ht="21" customHeight="1">
      <c r="A93" s="22" t="inlineStr">
        <is>
          <t>00037370</t>
        </is>
      </c>
      <c r="B93" s="23" t="inlineStr">
        <is>
          <t>ALIMENTACAO - HORISTA (COLETADO CAIXA - ENCARGOS COMPLEMENTARES)</t>
        </is>
      </c>
      <c r="C93" s="22" t="inlineStr">
        <is>
          <t>SINAPI</t>
        </is>
      </c>
      <c r="D93" s="22" t="inlineStr">
        <is>
          <t>H</t>
        </is>
      </c>
      <c r="E93" s="63" t="n">
        <v>1</v>
      </c>
      <c r="F93" s="64" t="n">
        <v>3.62</v>
      </c>
      <c r="G93" s="64">
        <f>TRUNC(TRUNC(E93,8)*F93,2)</f>
        <v/>
      </c>
      <c r="L93" t="n">
        <v>1</v>
      </c>
      <c r="M93" t="n">
        <v>3.62</v>
      </c>
      <c r="N93">
        <f>(M93-F93)</f>
        <v/>
      </c>
    </row>
    <row r="94" ht="21" customHeight="1">
      <c r="A94" s="22" t="inlineStr">
        <is>
          <t>00043491</t>
        </is>
      </c>
      <c r="B94" s="23" t="inlineStr">
        <is>
          <t>EPI - FAMILIA SERVENTE - HORISTA (ENCARGOS COMPLEMENTARES - COLETADO CAIXA)</t>
        </is>
      </c>
      <c r="C94" s="22" t="inlineStr">
        <is>
          <t>SINAPI</t>
        </is>
      </c>
      <c r="D94" s="22" t="inlineStr">
        <is>
          <t>H</t>
        </is>
      </c>
      <c r="E94" s="63" t="n">
        <v>1</v>
      </c>
      <c r="F94" s="64" t="n">
        <v>1.39</v>
      </c>
      <c r="G94" s="64">
        <f>TRUNC(TRUNC(E94,8)*F94,2)</f>
        <v/>
      </c>
      <c r="L94" t="n">
        <v>1</v>
      </c>
      <c r="M94" t="n">
        <v>1.39</v>
      </c>
      <c r="N94">
        <f>(M94-F94)</f>
        <v/>
      </c>
    </row>
    <row r="95" ht="21" customHeight="1">
      <c r="A95" s="22" t="inlineStr">
        <is>
          <t>00037372</t>
        </is>
      </c>
      <c r="B95" s="23" t="inlineStr">
        <is>
          <t>EXAMES - HORISTA (COLETADO CAIXA - ENCARGOS COMPLEMENTARES)</t>
        </is>
      </c>
      <c r="C95" s="22" t="inlineStr">
        <is>
          <t>SINAPI</t>
        </is>
      </c>
      <c r="D95" s="22" t="inlineStr">
        <is>
          <t>H</t>
        </is>
      </c>
      <c r="E95" s="63" t="n">
        <v>1</v>
      </c>
      <c r="F95" s="64" t="n">
        <v>1.43</v>
      </c>
      <c r="G95" s="64">
        <f>TRUNC(TRUNC(E95,8)*F95,2)</f>
        <v/>
      </c>
      <c r="L95" t="n">
        <v>1</v>
      </c>
      <c r="M95" t="n">
        <v>1.43</v>
      </c>
      <c r="N95">
        <f>(M95-F95)</f>
        <v/>
      </c>
    </row>
    <row r="96" ht="21" customHeight="1">
      <c r="A96" s="22" t="inlineStr">
        <is>
          <t>00043467</t>
        </is>
      </c>
      <c r="B96" s="23" t="inlineStr">
        <is>
          <t>FERRAMENTAS - FAMILIA SERVENTE - HORISTA (ENCARGOS COMPLEMENTARES - COLETADO CAIXA)</t>
        </is>
      </c>
      <c r="C96" s="22" t="inlineStr">
        <is>
          <t>SINAPI</t>
        </is>
      </c>
      <c r="D96" s="22" t="inlineStr">
        <is>
          <t>H</t>
        </is>
      </c>
      <c r="E96" s="63" t="n">
        <v>1</v>
      </c>
      <c r="F96" s="64" t="n">
        <v>0.61</v>
      </c>
      <c r="G96" s="64">
        <f>TRUNC(TRUNC(E96,8)*F96,2)</f>
        <v/>
      </c>
      <c r="L96" t="n">
        <v>1</v>
      </c>
      <c r="M96" t="n">
        <v>0.61</v>
      </c>
      <c r="N96">
        <f>(M96-F96)</f>
        <v/>
      </c>
    </row>
    <row r="97" ht="21" customHeight="1">
      <c r="A97" s="22" t="inlineStr">
        <is>
          <t>00037373</t>
        </is>
      </c>
      <c r="B97" s="23" t="inlineStr">
        <is>
          <t>SEGURO - HORISTA (COLETADO CAIXA - ENCARGOS COMPLEMENTARES)</t>
        </is>
      </c>
      <c r="C97" s="22" t="inlineStr">
        <is>
          <t>SINAPI</t>
        </is>
      </c>
      <c r="D97" s="22" t="inlineStr">
        <is>
          <t>H</t>
        </is>
      </c>
      <c r="E97" s="63" t="n">
        <v>1</v>
      </c>
      <c r="F97" s="64" t="n">
        <v>0.08</v>
      </c>
      <c r="G97" s="64">
        <f>TRUNC(TRUNC(E97,8)*F97,2)</f>
        <v/>
      </c>
      <c r="L97" t="n">
        <v>1</v>
      </c>
      <c r="M97" t="n">
        <v>0.08</v>
      </c>
      <c r="N97">
        <f>(M97-F97)</f>
        <v/>
      </c>
    </row>
    <row r="98" ht="21" customHeight="1">
      <c r="A98" s="22" t="inlineStr">
        <is>
          <t>00037371</t>
        </is>
      </c>
      <c r="B98" s="23" t="inlineStr">
        <is>
          <t>TRANSPORTE - HORISTA (COLETADO CAIXA - ENCARGOS COMPLEMENTARES)</t>
        </is>
      </c>
      <c r="C98" s="22" t="inlineStr">
        <is>
          <t>SINAPI</t>
        </is>
      </c>
      <c r="D98" s="22" t="inlineStr">
        <is>
          <t>H</t>
        </is>
      </c>
      <c r="E98" s="63" t="n">
        <v>1</v>
      </c>
      <c r="F98" s="64" t="n">
        <v>1.09</v>
      </c>
      <c r="G98" s="64">
        <f>TRUNC(TRUNC(E98,8)*F98,2)</f>
        <v/>
      </c>
      <c r="L98" t="n">
        <v>1</v>
      </c>
      <c r="M98" t="n">
        <v>1.09</v>
      </c>
      <c r="N98">
        <f>(M98-F98)</f>
        <v/>
      </c>
    </row>
    <row r="99" ht="15" customHeight="1">
      <c r="A99" s="2" t="inlineStr"/>
      <c r="B99" s="2" t="inlineStr"/>
      <c r="C99" s="2" t="inlineStr"/>
      <c r="D99" s="2" t="inlineStr"/>
      <c r="E99" s="26" t="inlineStr">
        <is>
          <t>TOTAL Encargos Complementares:</t>
        </is>
      </c>
      <c r="F99" s="56" t="n"/>
      <c r="G99" s="65">
        <f>SUM(G93:G98)</f>
        <v/>
      </c>
    </row>
    <row r="100" ht="15" customHeight="1">
      <c r="A100" s="20" t="inlineStr">
        <is>
          <t>Mão de Obra</t>
        </is>
      </c>
      <c r="B100" s="56" t="n"/>
      <c r="C100" s="21" t="inlineStr">
        <is>
          <t>FONTE</t>
        </is>
      </c>
      <c r="D100" s="21" t="inlineStr">
        <is>
          <t>UNID</t>
        </is>
      </c>
      <c r="E100" s="21" t="inlineStr">
        <is>
          <t>COEFICIENTE</t>
        </is>
      </c>
      <c r="F100" s="21" t="inlineStr">
        <is>
          <t>PREÇO UNITÁRIO</t>
        </is>
      </c>
      <c r="G100" s="21" t="inlineStr">
        <is>
          <t>TOTAL</t>
        </is>
      </c>
    </row>
    <row r="101" ht="15" customHeight="1">
      <c r="A101" s="22" t="inlineStr">
        <is>
          <t>00000242</t>
        </is>
      </c>
      <c r="B101" s="23" t="inlineStr">
        <is>
          <t>AJUDANTE ESPECIALIZADO (HORISTA)</t>
        </is>
      </c>
      <c r="C101" s="22" t="inlineStr">
        <is>
          <t>SINAPI</t>
        </is>
      </c>
      <c r="D101" s="22" t="inlineStr">
        <is>
          <t>H</t>
        </is>
      </c>
      <c r="E101" s="63">
        <f>L101*FATOR</f>
        <v/>
      </c>
      <c r="F101" s="64" t="n">
        <v>15.37</v>
      </c>
      <c r="G101" s="64">
        <f>TRUNC(TRUNC(E101,8)*F101,2)</f>
        <v/>
      </c>
      <c r="L101" t="n">
        <v>1</v>
      </c>
      <c r="M101" t="n">
        <v>15.37</v>
      </c>
      <c r="N101">
        <f>(M101-F101)</f>
        <v/>
      </c>
    </row>
    <row r="102" ht="15" customHeight="1">
      <c r="A102" s="2" t="inlineStr"/>
      <c r="B102" s="2" t="inlineStr"/>
      <c r="C102" s="2" t="inlineStr"/>
      <c r="D102" s="2" t="inlineStr"/>
      <c r="E102" s="26" t="inlineStr">
        <is>
          <t>TOTAL Mão de Obra:</t>
        </is>
      </c>
      <c r="F102" s="56" t="n"/>
      <c r="G102" s="65">
        <f>SUM(G101:G101)</f>
        <v/>
      </c>
    </row>
    <row r="103" ht="15" customHeight="1">
      <c r="A103" s="20" t="inlineStr">
        <is>
          <t>Serviço</t>
        </is>
      </c>
      <c r="B103" s="56" t="n"/>
      <c r="C103" s="21" t="inlineStr">
        <is>
          <t>FONTE</t>
        </is>
      </c>
      <c r="D103" s="21" t="inlineStr">
        <is>
          <t>UNID</t>
        </is>
      </c>
      <c r="E103" s="21" t="inlineStr">
        <is>
          <t>COEFICIENTE</t>
        </is>
      </c>
      <c r="F103" s="21" t="inlineStr">
        <is>
          <t>PREÇO UNITÁRIO</t>
        </is>
      </c>
      <c r="G103" s="21" t="inlineStr">
        <is>
          <t>TOTAL</t>
        </is>
      </c>
    </row>
    <row r="104" ht="21" customHeight="1">
      <c r="A104" s="22" t="inlineStr">
        <is>
          <t>95313</t>
        </is>
      </c>
      <c r="B104" s="23" t="inlineStr">
        <is>
          <t>CURSO DE CAPACITAÇÃO PARA AJUDANTE ESPECIALIZADO (ENCARGOS COMPLEMENTARES) - HORISTA</t>
        </is>
      </c>
      <c r="C104" s="22" t="inlineStr">
        <is>
          <t>SINAPI</t>
        </is>
      </c>
      <c r="D104" s="22" t="inlineStr">
        <is>
          <t>H</t>
        </is>
      </c>
      <c r="E104" s="63" t="n">
        <v>1</v>
      </c>
      <c r="F104" s="64">
        <f>G1507</f>
        <v/>
      </c>
      <c r="G104" s="64">
        <f>TRUNC(TRUNC(E104,8)*F104,2)</f>
        <v/>
      </c>
      <c r="L104" t="n">
        <v>1</v>
      </c>
      <c r="M104" t="n">
        <v>0.17</v>
      </c>
      <c r="N104">
        <f>(M104-F104)</f>
        <v/>
      </c>
    </row>
    <row r="105" ht="15" customHeight="1">
      <c r="A105" s="2" t="inlineStr"/>
      <c r="B105" s="2" t="inlineStr"/>
      <c r="C105" s="2" t="inlineStr"/>
      <c r="D105" s="2" t="inlineStr"/>
      <c r="E105" s="26" t="inlineStr">
        <is>
          <t>TOTAL Serviço:</t>
        </is>
      </c>
      <c r="F105" s="56" t="n"/>
      <c r="G105" s="65">
        <f>SUM(G104:G104)</f>
        <v/>
      </c>
    </row>
    <row r="106" ht="15" customHeight="1">
      <c r="A106" s="2" t="inlineStr"/>
      <c r="B106" s="2" t="inlineStr"/>
      <c r="C106" s="2" t="inlineStr"/>
      <c r="D106" s="2" t="inlineStr"/>
      <c r="E106" s="28" t="inlineStr">
        <is>
          <t>VALOR:</t>
        </is>
      </c>
      <c r="F106" s="56" t="n"/>
      <c r="G106" s="66">
        <f>SUM(G105,G99,G102)</f>
        <v/>
      </c>
    </row>
    <row r="107" ht="15" customHeight="1">
      <c r="A107" s="2" t="inlineStr"/>
      <c r="B107" s="2" t="inlineStr"/>
      <c r="C107" s="2" t="inlineStr"/>
      <c r="D107" s="2" t="inlineStr"/>
      <c r="E107" s="28" t="inlineStr">
        <is>
          <t>VALOR BDI (23.08%):</t>
        </is>
      </c>
      <c r="F107" s="56" t="n"/>
      <c r="G107" s="66">
        <f>ROUNDDOWN(G106*BDI,2)</f>
        <v/>
      </c>
    </row>
    <row r="108" ht="15" customHeight="1">
      <c r="A108" s="2" t="inlineStr"/>
      <c r="B108" s="2" t="inlineStr"/>
      <c r="C108" s="2" t="inlineStr"/>
      <c r="D108" s="2" t="inlineStr"/>
      <c r="E108" s="28" t="inlineStr">
        <is>
          <t>VALOR COM BDI:</t>
        </is>
      </c>
      <c r="F108" s="56" t="n"/>
      <c r="G108" s="66">
        <f>G107 + G106</f>
        <v/>
      </c>
    </row>
    <row r="109" ht="10" customHeight="1">
      <c r="A109" s="2" t="inlineStr"/>
      <c r="B109" s="2" t="inlineStr"/>
      <c r="C109" s="2" t="inlineStr"/>
      <c r="D109" s="2" t="inlineStr"/>
      <c r="E109" s="18" t="inlineStr"/>
    </row>
    <row r="110" ht="20" customHeight="1">
      <c r="A110" s="19" t="inlineStr">
        <is>
          <t>​93563​ ALMOXARIFE COM ENCARGOS COMPLEMENTARES​ (MES)</t>
        </is>
      </c>
      <c r="B110" s="55" t="n"/>
      <c r="C110" s="55" t="n"/>
      <c r="D110" s="55" t="n"/>
      <c r="E110" s="55" t="n"/>
      <c r="F110" s="55" t="n"/>
      <c r="G110" s="56" t="n"/>
    </row>
    <row r="111" ht="15" customHeight="1">
      <c r="A111" s="20" t="inlineStr">
        <is>
          <t>Encargos Complementares</t>
        </is>
      </c>
      <c r="B111" s="56" t="n"/>
      <c r="C111" s="21" t="inlineStr">
        <is>
          <t>FONTE</t>
        </is>
      </c>
      <c r="D111" s="21" t="inlineStr">
        <is>
          <t>UNID</t>
        </is>
      </c>
      <c r="E111" s="21" t="inlineStr">
        <is>
          <t>COEFICIENTE</t>
        </is>
      </c>
      <c r="F111" s="21" t="inlineStr">
        <is>
          <t>PREÇO UNITÁRIO</t>
        </is>
      </c>
      <c r="G111" s="21" t="inlineStr">
        <is>
          <t>TOTAL</t>
        </is>
      </c>
    </row>
    <row r="112" ht="21" customHeight="1">
      <c r="A112" s="22" t="inlineStr">
        <is>
          <t>00043494</t>
        </is>
      </c>
      <c r="B112" s="23" t="inlineStr">
        <is>
          <t>EPI - FAMILIA ALMOXARIFE - MENSALISTA (ENCARGOS COMPLEMENTARES - COLETADO CAIXA)</t>
        </is>
      </c>
      <c r="C112" s="22" t="inlineStr">
        <is>
          <t>SINAPI</t>
        </is>
      </c>
      <c r="D112" s="22" t="inlineStr">
        <is>
          <t>MES</t>
        </is>
      </c>
      <c r="E112" s="63" t="n">
        <v>1</v>
      </c>
      <c r="F112" s="64" t="n">
        <v>153.54</v>
      </c>
      <c r="G112" s="64">
        <f>TRUNC(TRUNC(E112,8)*F112,2)</f>
        <v/>
      </c>
      <c r="L112" t="n">
        <v>1</v>
      </c>
      <c r="M112" t="n">
        <v>153.54</v>
      </c>
      <c r="N112">
        <f>(M112-F112)</f>
        <v/>
      </c>
    </row>
    <row r="113" ht="21" customHeight="1">
      <c r="A113" s="22" t="inlineStr">
        <is>
          <t>00040863</t>
        </is>
      </c>
      <c r="B113" s="23" t="inlineStr">
        <is>
          <t>EXAMES - MENSALISTA (COLETADO CAIXA - ENCARGOS COMPLEMENTARES)</t>
        </is>
      </c>
      <c r="C113" s="22" t="inlineStr">
        <is>
          <t>SINAPI</t>
        </is>
      </c>
      <c r="D113" s="22" t="inlineStr">
        <is>
          <t>MES</t>
        </is>
      </c>
      <c r="E113" s="63" t="n">
        <v>1</v>
      </c>
      <c r="F113" s="64" t="n">
        <v>270.51</v>
      </c>
      <c r="G113" s="64">
        <f>TRUNC(TRUNC(E113,8)*F113,2)</f>
        <v/>
      </c>
      <c r="L113" t="n">
        <v>1</v>
      </c>
      <c r="M113" t="n">
        <v>270.51</v>
      </c>
      <c r="N113">
        <f>(M113-F113)</f>
        <v/>
      </c>
    </row>
    <row r="114" ht="21" customHeight="1">
      <c r="A114" s="22" t="inlineStr">
        <is>
          <t>00043470</t>
        </is>
      </c>
      <c r="B114" s="23" t="inlineStr">
        <is>
          <t>FERRAMENTAS - FAMILIA ALMOXARIFE - MENSALISTA (ENCARGOS COMPLEMENTARES - COLETADO CAIXA)</t>
        </is>
      </c>
      <c r="C114" s="22" t="inlineStr">
        <is>
          <t>SINAPI</t>
        </is>
      </c>
      <c r="D114" s="22" t="inlineStr">
        <is>
          <t>MES</t>
        </is>
      </c>
      <c r="E114" s="63" t="n">
        <v>1</v>
      </c>
      <c r="F114" s="64" t="n">
        <v>11.14</v>
      </c>
      <c r="G114" s="64">
        <f>TRUNC(TRUNC(E114,8)*F114,2)</f>
        <v/>
      </c>
      <c r="L114" t="n">
        <v>1</v>
      </c>
      <c r="M114" t="n">
        <v>11.14</v>
      </c>
      <c r="N114">
        <f>(M114-F114)</f>
        <v/>
      </c>
    </row>
    <row r="115" ht="21" customHeight="1">
      <c r="A115" s="22" t="inlineStr">
        <is>
          <t>00040864</t>
        </is>
      </c>
      <c r="B115" s="23" t="inlineStr">
        <is>
          <t>SEGURO - MENSALISTA (COLETADO CAIXA - ENCARGOS COMPLEMENTARES)</t>
        </is>
      </c>
      <c r="C115" s="22" t="inlineStr">
        <is>
          <t>SINAPI</t>
        </is>
      </c>
      <c r="D115" s="22" t="inlineStr">
        <is>
          <t>MES</t>
        </is>
      </c>
      <c r="E115" s="63" t="n">
        <v>1</v>
      </c>
      <c r="F115" s="64" t="n">
        <v>15.46</v>
      </c>
      <c r="G115" s="64">
        <f>TRUNC(TRUNC(E115,8)*F115,2)</f>
        <v/>
      </c>
      <c r="L115" t="n">
        <v>1</v>
      </c>
      <c r="M115" t="n">
        <v>15.46</v>
      </c>
      <c r="N115">
        <f>(M115-F115)</f>
        <v/>
      </c>
    </row>
    <row r="116" ht="15" customHeight="1">
      <c r="A116" s="2" t="inlineStr"/>
      <c r="B116" s="2" t="inlineStr"/>
      <c r="C116" s="2" t="inlineStr"/>
      <c r="D116" s="2" t="inlineStr"/>
      <c r="E116" s="26" t="inlineStr">
        <is>
          <t>TOTAL Encargos Complementares:</t>
        </is>
      </c>
      <c r="F116" s="56" t="n"/>
      <c r="G116" s="65">
        <f>SUM(G112:G115)</f>
        <v/>
      </c>
    </row>
    <row r="117" ht="15" customHeight="1">
      <c r="A117" s="20" t="inlineStr">
        <is>
          <t>Mão de Obra</t>
        </is>
      </c>
      <c r="B117" s="56" t="n"/>
      <c r="C117" s="21" t="inlineStr">
        <is>
          <t>FONTE</t>
        </is>
      </c>
      <c r="D117" s="21" t="inlineStr">
        <is>
          <t>UNID</t>
        </is>
      </c>
      <c r="E117" s="21" t="inlineStr">
        <is>
          <t>COEFICIENTE</t>
        </is>
      </c>
      <c r="F117" s="21" t="inlineStr">
        <is>
          <t>PREÇO UNITÁRIO</t>
        </is>
      </c>
      <c r="G117" s="21" t="inlineStr">
        <is>
          <t>TOTAL</t>
        </is>
      </c>
    </row>
    <row r="118" ht="15" customHeight="1">
      <c r="A118" s="22" t="inlineStr">
        <is>
          <t>00040809</t>
        </is>
      </c>
      <c r="B118" s="23" t="inlineStr">
        <is>
          <t>ALMOXARIFE (MENSALISTA)</t>
        </is>
      </c>
      <c r="C118" s="22" t="inlineStr">
        <is>
          <t>SINAPI</t>
        </is>
      </c>
      <c r="D118" s="22" t="inlineStr">
        <is>
          <t>MES</t>
        </is>
      </c>
      <c r="E118" s="63">
        <f>L118*FATOR</f>
        <v/>
      </c>
      <c r="F118" s="64" t="n">
        <v>3833.4</v>
      </c>
      <c r="G118" s="64">
        <f>TRUNC(TRUNC(E118,8)*F118,2)</f>
        <v/>
      </c>
      <c r="L118" t="n">
        <v>1</v>
      </c>
      <c r="M118" t="n">
        <v>3833.4</v>
      </c>
      <c r="N118">
        <f>(M118-F118)</f>
        <v/>
      </c>
    </row>
    <row r="119" ht="15" customHeight="1">
      <c r="A119" s="2" t="inlineStr"/>
      <c r="B119" s="2" t="inlineStr"/>
      <c r="C119" s="2" t="inlineStr"/>
      <c r="D119" s="2" t="inlineStr"/>
      <c r="E119" s="26" t="inlineStr">
        <is>
          <t>TOTAL Mão de Obra:</t>
        </is>
      </c>
      <c r="F119" s="56" t="n"/>
      <c r="G119" s="65">
        <f>SUM(G118:G118)</f>
        <v/>
      </c>
    </row>
    <row r="120" ht="15" customHeight="1">
      <c r="A120" s="20" t="inlineStr">
        <is>
          <t>Serviço</t>
        </is>
      </c>
      <c r="B120" s="56" t="n"/>
      <c r="C120" s="21" t="inlineStr">
        <is>
          <t>FONTE</t>
        </is>
      </c>
      <c r="D120" s="21" t="inlineStr">
        <is>
          <t>UNID</t>
        </is>
      </c>
      <c r="E120" s="21" t="inlineStr">
        <is>
          <t>COEFICIENTE</t>
        </is>
      </c>
      <c r="F120" s="21" t="inlineStr">
        <is>
          <t>PREÇO UNITÁRIO</t>
        </is>
      </c>
      <c r="G120" s="21" t="inlineStr">
        <is>
          <t>TOTAL</t>
        </is>
      </c>
    </row>
    <row r="121" ht="21" customHeight="1">
      <c r="A121" s="22" t="inlineStr">
        <is>
          <t>95413</t>
        </is>
      </c>
      <c r="B121" s="23" t="inlineStr">
        <is>
          <t>CURSO DE CAPACITAÇÃO PARA ALMOXARIFE (ENCARGOS COMPLEMENTARES) - MENSALISTA</t>
        </is>
      </c>
      <c r="C121" s="22" t="inlineStr">
        <is>
          <t>SINAPI</t>
        </is>
      </c>
      <c r="D121" s="22" t="inlineStr">
        <is>
          <t>MES</t>
        </is>
      </c>
      <c r="E121" s="63" t="n">
        <v>1</v>
      </c>
      <c r="F121" s="64">
        <f>G1515</f>
        <v/>
      </c>
      <c r="G121" s="64">
        <f>TRUNC(TRUNC(E121,8)*F121,2)</f>
        <v/>
      </c>
      <c r="L121" t="n">
        <v>1</v>
      </c>
      <c r="M121" t="n">
        <v>14.68</v>
      </c>
      <c r="N121">
        <f>(M121-F121)</f>
        <v/>
      </c>
    </row>
    <row r="122" ht="15" customHeight="1">
      <c r="A122" s="2" t="inlineStr"/>
      <c r="B122" s="2" t="inlineStr"/>
      <c r="C122" s="2" t="inlineStr"/>
      <c r="D122" s="2" t="inlineStr"/>
      <c r="E122" s="26" t="inlineStr">
        <is>
          <t>TOTAL Serviço:</t>
        </is>
      </c>
      <c r="F122" s="56" t="n"/>
      <c r="G122" s="65">
        <f>SUM(G121:G121)</f>
        <v/>
      </c>
    </row>
    <row r="123" ht="15" customHeight="1">
      <c r="A123" s="2" t="inlineStr"/>
      <c r="B123" s="2" t="inlineStr"/>
      <c r="C123" s="2" t="inlineStr"/>
      <c r="D123" s="2" t="inlineStr"/>
      <c r="E123" s="28" t="inlineStr">
        <is>
          <t>VALOR:</t>
        </is>
      </c>
      <c r="F123" s="56" t="n"/>
      <c r="G123" s="66">
        <f>SUM(G122,G116,G119)</f>
        <v/>
      </c>
    </row>
    <row r="124" ht="15" customHeight="1">
      <c r="A124" s="2" t="inlineStr"/>
      <c r="B124" s="2" t="inlineStr"/>
      <c r="C124" s="2" t="inlineStr"/>
      <c r="D124" s="2" t="inlineStr"/>
      <c r="E124" s="28" t="inlineStr">
        <is>
          <t>VALOR BDI (23.08%):</t>
        </is>
      </c>
      <c r="F124" s="56" t="n"/>
      <c r="G124" s="66">
        <f>ROUNDDOWN(G123*BDI,2)</f>
        <v/>
      </c>
    </row>
    <row r="125" ht="15" customHeight="1">
      <c r="A125" s="2" t="inlineStr"/>
      <c r="B125" s="2" t="inlineStr"/>
      <c r="C125" s="2" t="inlineStr"/>
      <c r="D125" s="2" t="inlineStr"/>
      <c r="E125" s="28" t="inlineStr">
        <is>
          <t>VALOR COM BDI:</t>
        </is>
      </c>
      <c r="F125" s="56" t="n"/>
      <c r="G125" s="66">
        <f>G124 + G123</f>
        <v/>
      </c>
    </row>
    <row r="126" ht="10" customHeight="1">
      <c r="A126" s="2" t="inlineStr"/>
      <c r="B126" s="2" t="inlineStr"/>
      <c r="C126" s="2" t="inlineStr"/>
      <c r="D126" s="2" t="inlineStr"/>
      <c r="E126" s="18" t="inlineStr"/>
    </row>
    <row r="127" ht="20" customHeight="1">
      <c r="A127" s="19" t="inlineStr">
        <is>
          <t>​C0164​ ARGAMASSA DE CIMENTO E AREIA PEN. TRAÇO 1:3​ (M3)</t>
        </is>
      </c>
      <c r="B127" s="55" t="n"/>
      <c r="C127" s="55" t="n"/>
      <c r="D127" s="55" t="n"/>
      <c r="E127" s="55" t="n"/>
      <c r="F127" s="55" t="n"/>
      <c r="G127" s="56" t="n"/>
    </row>
    <row r="128" ht="15" customHeight="1">
      <c r="A128" s="20" t="inlineStr">
        <is>
          <t>Material</t>
        </is>
      </c>
      <c r="B128" s="56" t="n"/>
      <c r="C128" s="21" t="inlineStr">
        <is>
          <t>FONTE</t>
        </is>
      </c>
      <c r="D128" s="21" t="inlineStr">
        <is>
          <t>UNID</t>
        </is>
      </c>
      <c r="E128" s="21" t="inlineStr">
        <is>
          <t>COEFICIENTE</t>
        </is>
      </c>
      <c r="F128" s="21" t="inlineStr">
        <is>
          <t>PREÇO UNITÁRIO</t>
        </is>
      </c>
      <c r="G128" s="21" t="inlineStr">
        <is>
          <t>TOTAL</t>
        </is>
      </c>
    </row>
    <row r="129" ht="15" customHeight="1">
      <c r="A129" s="22" t="inlineStr">
        <is>
          <t>I0109</t>
        </is>
      </c>
      <c r="B129" s="23" t="inlineStr">
        <is>
          <t>AREIA MEDIA</t>
        </is>
      </c>
      <c r="C129" s="22" t="inlineStr">
        <is>
          <t>SEINFRA</t>
        </is>
      </c>
      <c r="D129" s="22" t="inlineStr">
        <is>
          <t>M3</t>
        </is>
      </c>
      <c r="E129" s="63" t="n">
        <v>1.216</v>
      </c>
      <c r="F129" s="67">
        <f>ROUND(M129*FATOR, 2)</f>
        <v/>
      </c>
      <c r="G129" s="67">
        <f>ROUND(ROUND(E129,8)*F129,4)</f>
        <v/>
      </c>
      <c r="L129" t="n">
        <v>1.216</v>
      </c>
      <c r="M129" t="n">
        <v>83.58</v>
      </c>
      <c r="N129">
        <f>(M129-F129)</f>
        <v/>
      </c>
    </row>
    <row r="130" ht="15" customHeight="1">
      <c r="A130" s="22" t="inlineStr">
        <is>
          <t>I0805</t>
        </is>
      </c>
      <c r="B130" s="23" t="inlineStr">
        <is>
          <t>CIMENTO PORTLAND</t>
        </is>
      </c>
      <c r="C130" s="22" t="inlineStr">
        <is>
          <t>SEINFRA</t>
        </is>
      </c>
      <c r="D130" s="22" t="inlineStr">
        <is>
          <t>KG</t>
        </is>
      </c>
      <c r="E130" s="63" t="n">
        <v>486</v>
      </c>
      <c r="F130" s="67">
        <f>ROUND(M130*FATOR, 2)</f>
        <v/>
      </c>
      <c r="G130" s="67">
        <f>ROUND(ROUND(E130,8)*F130,4)</f>
        <v/>
      </c>
      <c r="L130" t="n">
        <v>486</v>
      </c>
      <c r="M130" t="n">
        <v>0.71</v>
      </c>
      <c r="N130">
        <f>(M130-F130)</f>
        <v/>
      </c>
    </row>
    <row r="131" ht="15" customHeight="1">
      <c r="A131" s="2" t="inlineStr"/>
      <c r="B131" s="2" t="inlineStr"/>
      <c r="C131" s="2" t="inlineStr"/>
      <c r="D131" s="2" t="inlineStr"/>
      <c r="E131" s="26" t="inlineStr">
        <is>
          <t>TOTAL Material:</t>
        </is>
      </c>
      <c r="F131" s="56" t="n"/>
      <c r="G131" s="68">
        <f>SUM(G129:G130)</f>
        <v/>
      </c>
    </row>
    <row r="132" ht="15" customHeight="1">
      <c r="A132" s="20" t="inlineStr">
        <is>
          <t>Mão de Obra</t>
        </is>
      </c>
      <c r="B132" s="56" t="n"/>
      <c r="C132" s="21" t="inlineStr">
        <is>
          <t>FONTE</t>
        </is>
      </c>
      <c r="D132" s="21" t="inlineStr">
        <is>
          <t>UNID</t>
        </is>
      </c>
      <c r="E132" s="21" t="inlineStr">
        <is>
          <t>COEFICIENTE</t>
        </is>
      </c>
      <c r="F132" s="21" t="inlineStr">
        <is>
          <t>PREÇO UNITÁRIO</t>
        </is>
      </c>
      <c r="G132" s="21" t="inlineStr">
        <is>
          <t>TOTAL</t>
        </is>
      </c>
    </row>
    <row r="133" ht="15" customHeight="1">
      <c r="A133" s="22" t="inlineStr">
        <is>
          <t>I2543</t>
        </is>
      </c>
      <c r="B133" s="23" t="inlineStr">
        <is>
          <t>SERVENTE</t>
        </is>
      </c>
      <c r="C133" s="22" t="inlineStr">
        <is>
          <t>SEINFRA</t>
        </is>
      </c>
      <c r="D133" s="22" t="inlineStr">
        <is>
          <t>H</t>
        </is>
      </c>
      <c r="E133" s="63">
        <f>L133*FATOR</f>
        <v/>
      </c>
      <c r="F133" s="67" t="n">
        <v>20.26</v>
      </c>
      <c r="G133" s="67">
        <f>ROUND(ROUND(E133,8)*F133,4)</f>
        <v/>
      </c>
      <c r="L133" t="n">
        <v>32.45</v>
      </c>
      <c r="M133" t="n">
        <v>20.26</v>
      </c>
      <c r="N133">
        <f>(M133-F133)</f>
        <v/>
      </c>
    </row>
    <row r="134" ht="15" customHeight="1">
      <c r="A134" s="2" t="inlineStr"/>
      <c r="B134" s="2" t="inlineStr"/>
      <c r="C134" s="2" t="inlineStr"/>
      <c r="D134" s="2" t="inlineStr"/>
      <c r="E134" s="26" t="inlineStr">
        <is>
          <t>TOTAL Mão de Obra:</t>
        </is>
      </c>
      <c r="F134" s="56" t="n"/>
      <c r="G134" s="68">
        <f>SUM(G133:G133)</f>
        <v/>
      </c>
    </row>
    <row r="135" ht="15" customHeight="1">
      <c r="A135" s="2" t="inlineStr"/>
      <c r="B135" s="2" t="inlineStr"/>
      <c r="C135" s="2" t="inlineStr"/>
      <c r="D135" s="2" t="inlineStr"/>
      <c r="E135" s="28" t="inlineStr">
        <is>
          <t>VALOR:</t>
        </is>
      </c>
      <c r="F135" s="56" t="n"/>
      <c r="G135" s="66">
        <f>SUM(G131,G134)</f>
        <v/>
      </c>
    </row>
    <row r="136" ht="15" customHeight="1">
      <c r="A136" s="2" t="inlineStr"/>
      <c r="B136" s="2" t="inlineStr"/>
      <c r="C136" s="2" t="inlineStr"/>
      <c r="D136" s="2" t="inlineStr"/>
      <c r="E136" s="28" t="inlineStr">
        <is>
          <t>VALOR BDI (23.08%):</t>
        </is>
      </c>
      <c r="F136" s="56" t="n"/>
      <c r="G136" s="66">
        <f>ROUNDDOWN(G135*BDI,2)</f>
        <v/>
      </c>
    </row>
    <row r="137" ht="15" customHeight="1">
      <c r="A137" s="2" t="inlineStr"/>
      <c r="B137" s="2" t="inlineStr"/>
      <c r="C137" s="2" t="inlineStr"/>
      <c r="D137" s="2" t="inlineStr"/>
      <c r="E137" s="28" t="inlineStr">
        <is>
          <t>VALOR COM BDI:</t>
        </is>
      </c>
      <c r="F137" s="56" t="n"/>
      <c r="G137" s="66">
        <f>G136 + G135</f>
        <v/>
      </c>
    </row>
    <row r="138" ht="10" customHeight="1">
      <c r="A138" s="2" t="inlineStr"/>
      <c r="B138" s="2" t="inlineStr"/>
      <c r="C138" s="2" t="inlineStr"/>
      <c r="D138" s="2" t="inlineStr"/>
      <c r="E138" s="18" t="inlineStr"/>
    </row>
    <row r="139" ht="20" customHeight="1">
      <c r="A139" s="19" t="inlineStr">
        <is>
          <t>​87386​ ARGAMASSA PRONTA PARA CONTRAPISO, PREPARO COM MISTURADOR DE EIXO HORIZONTAL DE 300 KG. AF_08/2019​ (M3)</t>
        </is>
      </c>
      <c r="B139" s="55" t="n"/>
      <c r="C139" s="55" t="n"/>
      <c r="D139" s="55" t="n"/>
      <c r="E139" s="55" t="n"/>
      <c r="F139" s="55" t="n"/>
      <c r="G139" s="56" t="n"/>
    </row>
    <row r="140" ht="15" customHeight="1">
      <c r="A140" s="20" t="inlineStr">
        <is>
          <t>Equipamento Custo Horário</t>
        </is>
      </c>
      <c r="B140" s="56" t="n"/>
      <c r="C140" s="21" t="inlineStr">
        <is>
          <t>FONTE</t>
        </is>
      </c>
      <c r="D140" s="21" t="inlineStr">
        <is>
          <t>UNID</t>
        </is>
      </c>
      <c r="E140" s="21" t="inlineStr">
        <is>
          <t>COEFICIENTE</t>
        </is>
      </c>
      <c r="F140" s="21" t="inlineStr">
        <is>
          <t>PREÇO UNITÁRIO</t>
        </is>
      </c>
      <c r="G140" s="21" t="inlineStr">
        <is>
          <t>TOTAL</t>
        </is>
      </c>
    </row>
    <row r="141" ht="29" customHeight="1">
      <c r="A141" s="22" t="inlineStr">
        <is>
          <t>88392</t>
        </is>
      </c>
      <c r="B141" s="23" t="inlineStr">
        <is>
          <t>MISTURADOR DE ARGAMASSA, EIXO HORIZONTAL, CAPACIDADE DE MISTURA 300 KG, MOTOR ELÉTRICO POTÊNCIA 5 CV - CHI DIURNO. AF_05/2023</t>
        </is>
      </c>
      <c r="C141" s="22" t="inlineStr">
        <is>
          <t>SINAPI</t>
        </is>
      </c>
      <c r="D141" s="22" t="inlineStr">
        <is>
          <t>CHI</t>
        </is>
      </c>
      <c r="E141" s="63" t="n">
        <v>3.08</v>
      </c>
      <c r="F141" s="64" t="n">
        <v>1.09</v>
      </c>
      <c r="G141" s="64">
        <f>TRUNC(TRUNC(E141,8)*F141,2)</f>
        <v/>
      </c>
      <c r="L141" t="n">
        <v>3.08</v>
      </c>
      <c r="M141" t="n">
        <v>1.09</v>
      </c>
      <c r="N141">
        <f>(M141-F141)</f>
        <v/>
      </c>
    </row>
    <row r="142" ht="29" customHeight="1">
      <c r="A142" s="22" t="inlineStr">
        <is>
          <t>88386</t>
        </is>
      </c>
      <c r="B142" s="23" t="inlineStr">
        <is>
          <t>MISTURADOR DE ARGAMASSA, EIXO HORIZONTAL, CAPACIDADE DE MISTURA 300 KG, MOTOR ELÉTRICO POTÊNCIA 5 CV - CHP DIURNO. AF_05/2023</t>
        </is>
      </c>
      <c r="C142" s="22" t="inlineStr">
        <is>
          <t>SINAPI</t>
        </is>
      </c>
      <c r="D142" s="22" t="inlineStr">
        <is>
          <t>CHP</t>
        </is>
      </c>
      <c r="E142" s="63" t="n">
        <v>0.9399999999999999</v>
      </c>
      <c r="F142" s="64" t="n">
        <v>5.23</v>
      </c>
      <c r="G142" s="64">
        <f>TRUNC(TRUNC(E142,8)*F142,2)</f>
        <v/>
      </c>
      <c r="L142" t="n">
        <v>0.9399999999999999</v>
      </c>
      <c r="M142" t="n">
        <v>5.23</v>
      </c>
      <c r="N142">
        <f>(M142-F142)</f>
        <v/>
      </c>
    </row>
    <row r="143" ht="18" customHeight="1">
      <c r="A143" s="2" t="inlineStr"/>
      <c r="B143" s="2" t="inlineStr"/>
      <c r="C143" s="2" t="inlineStr"/>
      <c r="D143" s="2" t="inlineStr"/>
      <c r="E143" s="26" t="inlineStr">
        <is>
          <t>TOTAL Equipamento Custo Horário:</t>
        </is>
      </c>
      <c r="F143" s="56" t="n"/>
      <c r="G143" s="65">
        <f>SUM(G141:G142)</f>
        <v/>
      </c>
    </row>
    <row r="144" ht="15" customHeight="1">
      <c r="A144" s="20" t="inlineStr">
        <is>
          <t>Material</t>
        </is>
      </c>
      <c r="B144" s="56" t="n"/>
      <c r="C144" s="21" t="inlineStr">
        <is>
          <t>FONTE</t>
        </is>
      </c>
      <c r="D144" s="21" t="inlineStr">
        <is>
          <t>UNID</t>
        </is>
      </c>
      <c r="E144" s="21" t="inlineStr">
        <is>
          <t>COEFICIENTE</t>
        </is>
      </c>
      <c r="F144" s="21" t="inlineStr">
        <is>
          <t>PREÇO UNITÁRIO</t>
        </is>
      </c>
      <c r="G144" s="21" t="inlineStr">
        <is>
          <t>TOTAL</t>
        </is>
      </c>
    </row>
    <row r="145" ht="15" customHeight="1">
      <c r="A145" s="22" t="inlineStr">
        <is>
          <t>00036886</t>
        </is>
      </c>
      <c r="B145" s="23" t="inlineStr">
        <is>
          <t>ARGAMASSA PRONTA PARA CONTRAPISO</t>
        </is>
      </c>
      <c r="C145" s="22" t="inlineStr">
        <is>
          <t>SINAPI</t>
        </is>
      </c>
      <c r="D145" s="22" t="inlineStr">
        <is>
          <t>KG</t>
        </is>
      </c>
      <c r="E145" s="74" t="n">
        <v>2276</v>
      </c>
      <c r="F145" s="64">
        <f>ROUND(M145*FATOR, 2)</f>
        <v/>
      </c>
      <c r="G145" s="64">
        <f>TRUNC(TRUNC(E145,8)*F145,2)</f>
        <v/>
      </c>
      <c r="L145" t="n">
        <v>2276</v>
      </c>
      <c r="M145" t="n">
        <v>1.21</v>
      </c>
      <c r="N145">
        <f>(M145-F145)</f>
        <v/>
      </c>
    </row>
    <row r="146" ht="15" customHeight="1">
      <c r="A146" s="2" t="inlineStr"/>
      <c r="B146" s="2" t="inlineStr"/>
      <c r="C146" s="2" t="inlineStr"/>
      <c r="D146" s="2" t="inlineStr"/>
      <c r="E146" s="26" t="inlineStr">
        <is>
          <t>TOTAL Material:</t>
        </is>
      </c>
      <c r="F146" s="56" t="n"/>
      <c r="G146" s="65">
        <f>SUM(G145:G145)</f>
        <v/>
      </c>
    </row>
    <row r="147" ht="15" customHeight="1">
      <c r="A147" s="20" t="inlineStr">
        <is>
          <t>Mão de Obra com Encargos Complementares</t>
        </is>
      </c>
      <c r="B147" s="56" t="n"/>
      <c r="C147" s="21" t="inlineStr">
        <is>
          <t>FONTE</t>
        </is>
      </c>
      <c r="D147" s="21" t="inlineStr">
        <is>
          <t>UNID</t>
        </is>
      </c>
      <c r="E147" s="21" t="inlineStr">
        <is>
          <t>COEFICIENTE</t>
        </is>
      </c>
      <c r="F147" s="21" t="inlineStr">
        <is>
          <t>PREÇO UNITÁRIO</t>
        </is>
      </c>
      <c r="G147" s="21" t="inlineStr">
        <is>
          <t>TOTAL</t>
        </is>
      </c>
    </row>
    <row r="148" ht="21" customHeight="1">
      <c r="A148" s="22" t="inlineStr">
        <is>
          <t>88377</t>
        </is>
      </c>
      <c r="B148" s="23" t="inlineStr">
        <is>
          <t>OPERADOR DE BETONEIRA ESTACIONÁRIA/MISTURADOR COM ENCARGOS COMPLEMENTARES</t>
        </is>
      </c>
      <c r="C148" s="22" t="inlineStr">
        <is>
          <t>SINAPI</t>
        </is>
      </c>
      <c r="D148" s="22" t="inlineStr">
        <is>
          <t>H</t>
        </is>
      </c>
      <c r="E148" s="63">
        <f>L148*FATOR</f>
        <v/>
      </c>
      <c r="F148" s="64">
        <f>G2811</f>
        <v/>
      </c>
      <c r="G148" s="64">
        <f>TRUNC(TRUNC(E148,8)*F148,2)</f>
        <v/>
      </c>
      <c r="L148" t="n">
        <v>4.02</v>
      </c>
      <c r="M148" t="n">
        <v>29.43</v>
      </c>
      <c r="N148">
        <f>(M148-F148)</f>
        <v/>
      </c>
    </row>
    <row r="149" ht="18" customHeight="1">
      <c r="A149" s="2" t="inlineStr"/>
      <c r="B149" s="2" t="inlineStr"/>
      <c r="C149" s="2" t="inlineStr"/>
      <c r="D149" s="2" t="inlineStr"/>
      <c r="E149" s="26" t="inlineStr">
        <is>
          <t>TOTAL Mão de Obra com Encargos Complementares:</t>
        </is>
      </c>
      <c r="F149" s="56" t="n"/>
      <c r="G149" s="65">
        <f>SUM(G148:G148)</f>
        <v/>
      </c>
    </row>
    <row r="150" ht="15" customHeight="1">
      <c r="A150" s="2" t="inlineStr"/>
      <c r="B150" s="2" t="inlineStr"/>
      <c r="C150" s="2" t="inlineStr"/>
      <c r="D150" s="2" t="inlineStr"/>
      <c r="E150" s="28" t="inlineStr">
        <is>
          <t>VALOR:</t>
        </is>
      </c>
      <c r="F150" s="56" t="n"/>
      <c r="G150" s="66">
        <f>SUM(G146,G149,G143)</f>
        <v/>
      </c>
    </row>
    <row r="151" ht="15" customHeight="1">
      <c r="A151" s="2" t="inlineStr"/>
      <c r="B151" s="2" t="inlineStr"/>
      <c r="C151" s="2" t="inlineStr"/>
      <c r="D151" s="2" t="inlineStr"/>
      <c r="E151" s="28" t="inlineStr">
        <is>
          <t>VALOR BDI (23.08%):</t>
        </is>
      </c>
      <c r="F151" s="56" t="n"/>
      <c r="G151" s="66">
        <f>ROUNDDOWN(G150*BDI,2)</f>
        <v/>
      </c>
    </row>
    <row r="152" ht="15" customHeight="1">
      <c r="A152" s="2" t="inlineStr"/>
      <c r="B152" s="2" t="inlineStr"/>
      <c r="C152" s="2" t="inlineStr"/>
      <c r="D152" s="2" t="inlineStr"/>
      <c r="E152" s="28" t="inlineStr">
        <is>
          <t>VALOR COM BDI:</t>
        </is>
      </c>
      <c r="F152" s="56" t="n"/>
      <c r="G152" s="66">
        <f>G151 + G150</f>
        <v/>
      </c>
    </row>
    <row r="153" ht="10" customHeight="1">
      <c r="A153" s="2" t="inlineStr"/>
      <c r="B153" s="2" t="inlineStr"/>
      <c r="C153" s="2" t="inlineStr"/>
      <c r="D153" s="2" t="inlineStr"/>
      <c r="E153" s="18" t="inlineStr"/>
    </row>
    <row r="154" ht="20" customHeight="1">
      <c r="A154" s="19" t="inlineStr">
        <is>
          <t>​87399​ ARGAMASSA PRONTA PARA CONTRAPISO, PREPARO MANUAL. AF_08/2019​ (M3)</t>
        </is>
      </c>
      <c r="B154" s="55" t="n"/>
      <c r="C154" s="55" t="n"/>
      <c r="D154" s="55" t="n"/>
      <c r="E154" s="55" t="n"/>
      <c r="F154" s="55" t="n"/>
      <c r="G154" s="56" t="n"/>
    </row>
    <row r="155" ht="15" customHeight="1">
      <c r="A155" s="20" t="inlineStr">
        <is>
          <t>Material</t>
        </is>
      </c>
      <c r="B155" s="56" t="n"/>
      <c r="C155" s="21" t="inlineStr">
        <is>
          <t>FONTE</t>
        </is>
      </c>
      <c r="D155" s="21" t="inlineStr">
        <is>
          <t>UNID</t>
        </is>
      </c>
      <c r="E155" s="21" t="inlineStr">
        <is>
          <t>COEFICIENTE</t>
        </is>
      </c>
      <c r="F155" s="21" t="inlineStr">
        <is>
          <t>PREÇO UNITÁRIO</t>
        </is>
      </c>
      <c r="G155" s="21" t="inlineStr">
        <is>
          <t>TOTAL</t>
        </is>
      </c>
    </row>
    <row r="156" ht="15" customHeight="1">
      <c r="A156" s="22" t="inlineStr">
        <is>
          <t>00036886</t>
        </is>
      </c>
      <c r="B156" s="23" t="inlineStr">
        <is>
          <t>ARGAMASSA PRONTA PARA CONTRAPISO</t>
        </is>
      </c>
      <c r="C156" s="22" t="inlineStr">
        <is>
          <t>SINAPI</t>
        </is>
      </c>
      <c r="D156" s="22" t="inlineStr">
        <is>
          <t>KG</t>
        </is>
      </c>
      <c r="E156" s="74" t="n">
        <v>2310</v>
      </c>
      <c r="F156" s="64">
        <f>ROUND(M156*FATOR, 2)</f>
        <v/>
      </c>
      <c r="G156" s="64">
        <f>TRUNC(TRUNC(E156,8)*F156,2)</f>
        <v/>
      </c>
      <c r="L156" t="n">
        <v>2310</v>
      </c>
      <c r="M156" t="n">
        <v>1.21</v>
      </c>
      <c r="N156">
        <f>(M156-F156)</f>
        <v/>
      </c>
    </row>
    <row r="157" ht="15" customHeight="1">
      <c r="A157" s="2" t="inlineStr"/>
      <c r="B157" s="2" t="inlineStr"/>
      <c r="C157" s="2" t="inlineStr"/>
      <c r="D157" s="2" t="inlineStr"/>
      <c r="E157" s="26" t="inlineStr">
        <is>
          <t>TOTAL Material:</t>
        </is>
      </c>
      <c r="F157" s="56" t="n"/>
      <c r="G157" s="65">
        <f>SUM(G156:G156)</f>
        <v/>
      </c>
    </row>
    <row r="158" ht="15" customHeight="1">
      <c r="A158" s="20" t="inlineStr">
        <is>
          <t>Mão de Obra com Encargos Complementares</t>
        </is>
      </c>
      <c r="B158" s="56" t="n"/>
      <c r="C158" s="21" t="inlineStr">
        <is>
          <t>FONTE</t>
        </is>
      </c>
      <c r="D158" s="21" t="inlineStr">
        <is>
          <t>UNID</t>
        </is>
      </c>
      <c r="E158" s="21" t="inlineStr">
        <is>
          <t>COEFICIENTE</t>
        </is>
      </c>
      <c r="F158" s="21" t="inlineStr">
        <is>
          <t>PREÇO UNITÁRIO</t>
        </is>
      </c>
      <c r="G158" s="21" t="inlineStr">
        <is>
          <t>TOTAL</t>
        </is>
      </c>
    </row>
    <row r="159" ht="15" customHeight="1">
      <c r="A159" s="22" t="inlineStr">
        <is>
          <t>88316</t>
        </is>
      </c>
      <c r="B159" s="23" t="inlineStr">
        <is>
          <t>SERVENTE COM ENCARGOS COMPLEMENTARES</t>
        </is>
      </c>
      <c r="C159" s="22" t="inlineStr">
        <is>
          <t>SINAPI</t>
        </is>
      </c>
      <c r="D159" s="22" t="inlineStr">
        <is>
          <t>H</t>
        </is>
      </c>
      <c r="E159" s="63">
        <f>L159*FATOR</f>
        <v/>
      </c>
      <c r="F159" s="64">
        <f>G3390</f>
        <v/>
      </c>
      <c r="G159" s="64">
        <f>TRUNC(TRUNC(E159,8)*F159,2)</f>
        <v/>
      </c>
      <c r="L159" t="n">
        <v>13.53</v>
      </c>
      <c r="M159" t="n">
        <v>23.56</v>
      </c>
      <c r="N159">
        <f>(M159-F159)</f>
        <v/>
      </c>
    </row>
    <row r="160" ht="18" customHeight="1">
      <c r="A160" s="2" t="inlineStr"/>
      <c r="B160" s="2" t="inlineStr"/>
      <c r="C160" s="2" t="inlineStr"/>
      <c r="D160" s="2" t="inlineStr"/>
      <c r="E160" s="26" t="inlineStr">
        <is>
          <t>TOTAL Mão de Obra com Encargos Complementares:</t>
        </is>
      </c>
      <c r="F160" s="56" t="n"/>
      <c r="G160" s="65">
        <f>SUM(G159:G159)</f>
        <v/>
      </c>
    </row>
    <row r="161" ht="15" customHeight="1">
      <c r="A161" s="2" t="inlineStr"/>
      <c r="B161" s="2" t="inlineStr"/>
      <c r="C161" s="2" t="inlineStr"/>
      <c r="D161" s="2" t="inlineStr"/>
      <c r="E161" s="28" t="inlineStr">
        <is>
          <t>VALOR:</t>
        </is>
      </c>
      <c r="F161" s="56" t="n"/>
      <c r="G161" s="66">
        <f>SUM(G160,G157)</f>
        <v/>
      </c>
    </row>
    <row r="162" ht="15" customHeight="1">
      <c r="A162" s="2" t="inlineStr"/>
      <c r="B162" s="2" t="inlineStr"/>
      <c r="C162" s="2" t="inlineStr"/>
      <c r="D162" s="2" t="inlineStr"/>
      <c r="E162" s="28" t="inlineStr">
        <is>
          <t>VALOR BDI (23.08%):</t>
        </is>
      </c>
      <c r="F162" s="56" t="n"/>
      <c r="G162" s="66">
        <f>ROUNDDOWN(G161*BDI,2)</f>
        <v/>
      </c>
    </row>
    <row r="163" ht="15" customHeight="1">
      <c r="A163" s="2" t="inlineStr"/>
      <c r="B163" s="2" t="inlineStr"/>
      <c r="C163" s="2" t="inlineStr"/>
      <c r="D163" s="2" t="inlineStr"/>
      <c r="E163" s="28" t="inlineStr">
        <is>
          <t>VALOR COM BDI:</t>
        </is>
      </c>
      <c r="F163" s="56" t="n"/>
      <c r="G163" s="66">
        <f>G162 + G161</f>
        <v/>
      </c>
    </row>
    <row r="164" ht="10" customHeight="1">
      <c r="A164" s="2" t="inlineStr"/>
      <c r="B164" s="2" t="inlineStr"/>
      <c r="C164" s="2" t="inlineStr"/>
      <c r="D164" s="2" t="inlineStr"/>
      <c r="E164" s="18" t="inlineStr"/>
    </row>
    <row r="165" ht="20" customHeight="1">
      <c r="A165" s="19" t="inlineStr">
        <is>
          <t>​88627​ ARGAMASSA TRAÇO 1:0,5:4,5 (EM VOLUME DE CIMENTO, CAL E AREIA MÉDIA ÚMIDA) PARA ASSENTAMENTO DE ALVENARIA, PREPARO MANUAL. AF_08/2019​ (M3)</t>
        </is>
      </c>
      <c r="B165" s="55" t="n"/>
      <c r="C165" s="55" t="n"/>
      <c r="D165" s="55" t="n"/>
      <c r="E165" s="55" t="n"/>
      <c r="F165" s="55" t="n"/>
      <c r="G165" s="56" t="n"/>
    </row>
    <row r="166" ht="15" customHeight="1">
      <c r="A166" s="20" t="inlineStr">
        <is>
          <t>Material</t>
        </is>
      </c>
      <c r="B166" s="56" t="n"/>
      <c r="C166" s="21" t="inlineStr">
        <is>
          <t>FONTE</t>
        </is>
      </c>
      <c r="D166" s="21" t="inlineStr">
        <is>
          <t>UNID</t>
        </is>
      </c>
      <c r="E166" s="21" t="inlineStr">
        <is>
          <t>COEFICIENTE</t>
        </is>
      </c>
      <c r="F166" s="21" t="inlineStr">
        <is>
          <t>PREÇO UNITÁRIO</t>
        </is>
      </c>
      <c r="G166" s="21" t="inlineStr">
        <is>
          <t>TOTAL</t>
        </is>
      </c>
    </row>
    <row r="167" ht="21" customHeight="1">
      <c r="A167" s="22" t="inlineStr">
        <is>
          <t>00000370</t>
        </is>
      </c>
      <c r="B167" s="23" t="inlineStr">
        <is>
          <t>AREIA MEDIA - POSTO JAZIDA/FORNECEDOR (RETIRADO NA JAZIDA, SEM TRANSPORTE)</t>
        </is>
      </c>
      <c r="C167" s="22" t="inlineStr">
        <is>
          <t>SINAPI</t>
        </is>
      </c>
      <c r="D167" s="22" t="inlineStr">
        <is>
          <t>M3</t>
        </is>
      </c>
      <c r="E167" s="63" t="n">
        <v>1.13</v>
      </c>
      <c r="F167" s="64">
        <f>ROUND(M167*FATOR, 2)</f>
        <v/>
      </c>
      <c r="G167" s="64">
        <f>TRUNC(TRUNC(E167,8)*F167,2)</f>
        <v/>
      </c>
      <c r="L167" t="n">
        <v>1.13</v>
      </c>
      <c r="M167" t="n">
        <v>130</v>
      </c>
      <c r="N167">
        <f>(M167-F167)</f>
        <v/>
      </c>
    </row>
    <row r="168" ht="15" customHeight="1">
      <c r="A168" s="22" t="inlineStr">
        <is>
          <t>00001106</t>
        </is>
      </c>
      <c r="B168" s="23" t="inlineStr">
        <is>
          <t>CAL HIDRATADA CH-I PARA ARGAMASSAS</t>
        </is>
      </c>
      <c r="C168" s="22" t="inlineStr">
        <is>
          <t>SINAPI</t>
        </is>
      </c>
      <c r="D168" s="22" t="inlineStr">
        <is>
          <t>KG</t>
        </is>
      </c>
      <c r="E168" s="63" t="n">
        <v>75.47</v>
      </c>
      <c r="F168" s="64">
        <f>ROUND(M168*FATOR, 2)</f>
        <v/>
      </c>
      <c r="G168" s="64">
        <f>TRUNC(TRUNC(E168,8)*F168,2)</f>
        <v/>
      </c>
      <c r="L168" t="n">
        <v>75.47</v>
      </c>
      <c r="M168" t="n">
        <v>1.28</v>
      </c>
      <c r="N168">
        <f>(M168-F168)</f>
        <v/>
      </c>
    </row>
    <row r="169" ht="15" customHeight="1">
      <c r="A169" s="22" t="inlineStr">
        <is>
          <t>00001379</t>
        </is>
      </c>
      <c r="B169" s="23" t="inlineStr">
        <is>
          <t>CIMENTO PORTLAND COMPOSTO CP II-32</t>
        </is>
      </c>
      <c r="C169" s="22" t="inlineStr">
        <is>
          <t>SINAPI</t>
        </is>
      </c>
      <c r="D169" s="22" t="inlineStr">
        <is>
          <t>KG</t>
        </is>
      </c>
      <c r="E169" s="63" t="n">
        <v>339.62</v>
      </c>
      <c r="F169" s="64">
        <f>ROUND(M169*FATOR, 2)</f>
        <v/>
      </c>
      <c r="G169" s="64">
        <f>TRUNC(TRUNC(E169,8)*F169,2)</f>
        <v/>
      </c>
      <c r="L169" t="n">
        <v>339.62</v>
      </c>
      <c r="M169" t="n">
        <v>0.74</v>
      </c>
      <c r="N169">
        <f>(M169-F169)</f>
        <v/>
      </c>
    </row>
    <row r="170" ht="15" customHeight="1">
      <c r="A170" s="2" t="inlineStr"/>
      <c r="B170" s="2" t="inlineStr"/>
      <c r="C170" s="2" t="inlineStr"/>
      <c r="D170" s="2" t="inlineStr"/>
      <c r="E170" s="26" t="inlineStr">
        <is>
          <t>TOTAL Material:</t>
        </is>
      </c>
      <c r="F170" s="56" t="n"/>
      <c r="G170" s="65">
        <f>SUM(G167:G169)</f>
        <v/>
      </c>
    </row>
    <row r="171" ht="15" customHeight="1">
      <c r="A171" s="20" t="inlineStr">
        <is>
          <t>Mão de Obra com Encargos Complementares</t>
        </is>
      </c>
      <c r="B171" s="56" t="n"/>
      <c r="C171" s="21" t="inlineStr">
        <is>
          <t>FONTE</t>
        </is>
      </c>
      <c r="D171" s="21" t="inlineStr">
        <is>
          <t>UNID</t>
        </is>
      </c>
      <c r="E171" s="21" t="inlineStr">
        <is>
          <t>COEFICIENTE</t>
        </is>
      </c>
      <c r="F171" s="21" t="inlineStr">
        <is>
          <t>PREÇO UNITÁRIO</t>
        </is>
      </c>
      <c r="G171" s="21" t="inlineStr">
        <is>
          <t>TOTAL</t>
        </is>
      </c>
    </row>
    <row r="172" ht="15" customHeight="1">
      <c r="A172" s="22" t="inlineStr">
        <is>
          <t>88316</t>
        </is>
      </c>
      <c r="B172" s="23" t="inlineStr">
        <is>
          <t>SERVENTE COM ENCARGOS COMPLEMENTARES</t>
        </is>
      </c>
      <c r="C172" s="22" t="inlineStr">
        <is>
          <t>SINAPI</t>
        </is>
      </c>
      <c r="D172" s="22" t="inlineStr">
        <is>
          <t>H</t>
        </is>
      </c>
      <c r="E172" s="63">
        <f>L172*FATOR</f>
        <v/>
      </c>
      <c r="F172" s="64">
        <f>'COMPOSICOES AUXILIARES'!G161</f>
        <v/>
      </c>
      <c r="G172" s="64">
        <f>TRUNC(TRUNC(E172,8)*F172,2)</f>
        <v/>
      </c>
      <c r="L172" t="n">
        <v>8.779999999999999</v>
      </c>
      <c r="M172" t="n">
        <v>23.56</v>
      </c>
      <c r="N172">
        <f>(M172-F172)</f>
        <v/>
      </c>
    </row>
    <row r="173" ht="18" customHeight="1">
      <c r="A173" s="2" t="inlineStr"/>
      <c r="B173" s="2" t="inlineStr"/>
      <c r="C173" s="2" t="inlineStr"/>
      <c r="D173" s="2" t="inlineStr"/>
      <c r="E173" s="26" t="inlineStr">
        <is>
          <t>TOTAL Mão de Obra com Encargos Complementares:</t>
        </is>
      </c>
      <c r="F173" s="56" t="n"/>
      <c r="G173" s="65">
        <f>SUM(G172:G172)</f>
        <v/>
      </c>
    </row>
    <row r="174" ht="15" customHeight="1">
      <c r="A174" s="2" t="inlineStr"/>
      <c r="B174" s="2" t="inlineStr"/>
      <c r="C174" s="2" t="inlineStr"/>
      <c r="D174" s="2" t="inlineStr"/>
      <c r="E174" s="28" t="inlineStr">
        <is>
          <t>VALOR:</t>
        </is>
      </c>
      <c r="F174" s="56" t="n"/>
      <c r="G174" s="66">
        <f>SUM(G170,G173)</f>
        <v/>
      </c>
    </row>
    <row r="175" ht="15" customHeight="1">
      <c r="A175" s="2" t="inlineStr"/>
      <c r="B175" s="2" t="inlineStr"/>
      <c r="C175" s="2" t="inlineStr"/>
      <c r="D175" s="2" t="inlineStr"/>
      <c r="E175" s="28" t="inlineStr">
        <is>
          <t>VALOR BDI (23.08%):</t>
        </is>
      </c>
      <c r="F175" s="56" t="n"/>
      <c r="G175" s="66">
        <f>ROUNDDOWN(G174*BDI,2)</f>
        <v/>
      </c>
    </row>
    <row r="176" ht="15" customHeight="1">
      <c r="A176" s="2" t="inlineStr"/>
      <c r="B176" s="2" t="inlineStr"/>
      <c r="C176" s="2" t="inlineStr"/>
      <c r="D176" s="2" t="inlineStr"/>
      <c r="E176" s="28" t="inlineStr">
        <is>
          <t>VALOR COM BDI:</t>
        </is>
      </c>
      <c r="F176" s="56" t="n"/>
      <c r="G176" s="66">
        <f>G175 + G174</f>
        <v/>
      </c>
    </row>
    <row r="177" ht="10" customHeight="1">
      <c r="A177" s="2" t="inlineStr"/>
      <c r="B177" s="2" t="inlineStr"/>
      <c r="C177" s="2" t="inlineStr"/>
      <c r="D177" s="2" t="inlineStr"/>
      <c r="E177" s="18" t="inlineStr"/>
    </row>
    <row r="178" ht="20" customHeight="1">
      <c r="A178" s="19" t="inlineStr">
        <is>
          <t>​87367​ ARGAMASSA TRAÇO 1:1:6 (EM VOLUME DE CIMENTO, CAL E AREIA MÉDIA ÚMIDA) PARA EMBOÇO/MASSA ÚNICA/ASSENTAMENTO DE ALVENARIA DE VEDAÇÃO, PREPARO MANUAL. AF_08/2019​ (M3)</t>
        </is>
      </c>
      <c r="B178" s="55" t="n"/>
      <c r="C178" s="55" t="n"/>
      <c r="D178" s="55" t="n"/>
      <c r="E178" s="55" t="n"/>
      <c r="F178" s="55" t="n"/>
      <c r="G178" s="56" t="n"/>
    </row>
    <row r="179" ht="15" customHeight="1">
      <c r="A179" s="20" t="inlineStr">
        <is>
          <t>Material</t>
        </is>
      </c>
      <c r="B179" s="56" t="n"/>
      <c r="C179" s="21" t="inlineStr">
        <is>
          <t>FONTE</t>
        </is>
      </c>
      <c r="D179" s="21" t="inlineStr">
        <is>
          <t>UNID</t>
        </is>
      </c>
      <c r="E179" s="21" t="inlineStr">
        <is>
          <t>COEFICIENTE</t>
        </is>
      </c>
      <c r="F179" s="21" t="inlineStr">
        <is>
          <t>PREÇO UNITÁRIO</t>
        </is>
      </c>
      <c r="G179" s="21" t="inlineStr">
        <is>
          <t>TOTAL</t>
        </is>
      </c>
    </row>
    <row r="180" ht="21" customHeight="1">
      <c r="A180" s="22" t="inlineStr">
        <is>
          <t>00000370</t>
        </is>
      </c>
      <c r="B180" s="23" t="inlineStr">
        <is>
          <t>AREIA MEDIA - POSTO JAZIDA/FORNECEDOR (RETIRADO NA JAZIDA, SEM TRANSPORTE)</t>
        </is>
      </c>
      <c r="C180" s="22" t="inlineStr">
        <is>
          <t>SINAPI</t>
        </is>
      </c>
      <c r="D180" s="22" t="inlineStr">
        <is>
          <t>M3</t>
        </is>
      </c>
      <c r="E180" s="63" t="n">
        <v>1.16</v>
      </c>
      <c r="F180" s="64">
        <f>ROUND(M180*FATOR, 2)</f>
        <v/>
      </c>
      <c r="G180" s="64">
        <f>TRUNC(TRUNC(E180,8)*F180,2)</f>
        <v/>
      </c>
      <c r="L180" t="n">
        <v>1.16</v>
      </c>
      <c r="M180" t="n">
        <v>130</v>
      </c>
      <c r="N180">
        <f>(M180-F180)</f>
        <v/>
      </c>
    </row>
    <row r="181" ht="15" customHeight="1">
      <c r="A181" s="22" t="inlineStr">
        <is>
          <t>00001106</t>
        </is>
      </c>
      <c r="B181" s="23" t="inlineStr">
        <is>
          <t>CAL HIDRATADA CH-I PARA ARGAMASSAS</t>
        </is>
      </c>
      <c r="C181" s="22" t="inlineStr">
        <is>
          <t>SINAPI</t>
        </is>
      </c>
      <c r="D181" s="22" t="inlineStr">
        <is>
          <t>KG</t>
        </is>
      </c>
      <c r="E181" s="63" t="n">
        <v>116.4</v>
      </c>
      <c r="F181" s="64">
        <f>ROUND(M181*FATOR, 2)</f>
        <v/>
      </c>
      <c r="G181" s="64">
        <f>TRUNC(TRUNC(E181,8)*F181,2)</f>
        <v/>
      </c>
      <c r="L181" t="n">
        <v>116.4</v>
      </c>
      <c r="M181" t="n">
        <v>1.28</v>
      </c>
      <c r="N181">
        <f>(M181-F181)</f>
        <v/>
      </c>
    </row>
    <row r="182" ht="15" customHeight="1">
      <c r="A182" s="22" t="inlineStr">
        <is>
          <t>00001379</t>
        </is>
      </c>
      <c r="B182" s="23" t="inlineStr">
        <is>
          <t>CIMENTO PORTLAND COMPOSTO CP II-32</t>
        </is>
      </c>
      <c r="C182" s="22" t="inlineStr">
        <is>
          <t>SINAPI</t>
        </is>
      </c>
      <c r="D182" s="22" t="inlineStr">
        <is>
          <t>KG</t>
        </is>
      </c>
      <c r="E182" s="63" t="n">
        <v>261.89</v>
      </c>
      <c r="F182" s="64">
        <f>ROUND(M182*FATOR, 2)</f>
        <v/>
      </c>
      <c r="G182" s="64">
        <f>TRUNC(TRUNC(E182,8)*F182,2)</f>
        <v/>
      </c>
      <c r="L182" t="n">
        <v>261.89</v>
      </c>
      <c r="M182" t="n">
        <v>0.74</v>
      </c>
      <c r="N182">
        <f>(M182-F182)</f>
        <v/>
      </c>
    </row>
    <row r="183" ht="15" customHeight="1">
      <c r="A183" s="2" t="inlineStr"/>
      <c r="B183" s="2" t="inlineStr"/>
      <c r="C183" s="2" t="inlineStr"/>
      <c r="D183" s="2" t="inlineStr"/>
      <c r="E183" s="26" t="inlineStr">
        <is>
          <t>TOTAL Material:</t>
        </is>
      </c>
      <c r="F183" s="56" t="n"/>
      <c r="G183" s="65">
        <f>SUM(G180:G182)</f>
        <v/>
      </c>
    </row>
    <row r="184" ht="15" customHeight="1">
      <c r="A184" s="20" t="inlineStr">
        <is>
          <t>Mão de Obra com Encargos Complementares</t>
        </is>
      </c>
      <c r="B184" s="56" t="n"/>
      <c r="C184" s="21" t="inlineStr">
        <is>
          <t>FONTE</t>
        </is>
      </c>
      <c r="D184" s="21" t="inlineStr">
        <is>
          <t>UNID</t>
        </is>
      </c>
      <c r="E184" s="21" t="inlineStr">
        <is>
          <t>COEFICIENTE</t>
        </is>
      </c>
      <c r="F184" s="21" t="inlineStr">
        <is>
          <t>PREÇO UNITÁRIO</t>
        </is>
      </c>
      <c r="G184" s="21" t="inlineStr">
        <is>
          <t>TOTAL</t>
        </is>
      </c>
    </row>
    <row r="185" ht="15" customHeight="1">
      <c r="A185" s="22" t="inlineStr">
        <is>
          <t>88316</t>
        </is>
      </c>
      <c r="B185" s="23" t="inlineStr">
        <is>
          <t>SERVENTE COM ENCARGOS COMPLEMENTARES</t>
        </is>
      </c>
      <c r="C185" s="22" t="inlineStr">
        <is>
          <t>SINAPI</t>
        </is>
      </c>
      <c r="D185" s="22" t="inlineStr">
        <is>
          <t>H</t>
        </is>
      </c>
      <c r="E185" s="63">
        <f>L185*FATOR</f>
        <v/>
      </c>
      <c r="F185" s="64">
        <f>'COMPOSICOES AUXILIARES'!G161</f>
        <v/>
      </c>
      <c r="G185" s="64">
        <f>TRUNC(TRUNC(E185,8)*F185,2)</f>
        <v/>
      </c>
      <c r="L185" t="n">
        <v>11.23</v>
      </c>
      <c r="M185" t="n">
        <v>23.56</v>
      </c>
      <c r="N185">
        <f>(M185-F185)</f>
        <v/>
      </c>
    </row>
    <row r="186" ht="18" customHeight="1">
      <c r="A186" s="2" t="inlineStr"/>
      <c r="B186" s="2" t="inlineStr"/>
      <c r="C186" s="2" t="inlineStr"/>
      <c r="D186" s="2" t="inlineStr"/>
      <c r="E186" s="26" t="inlineStr">
        <is>
          <t>TOTAL Mão de Obra com Encargos Complementares:</t>
        </is>
      </c>
      <c r="F186" s="56" t="n"/>
      <c r="G186" s="65">
        <f>SUM(G185:G185)</f>
        <v/>
      </c>
    </row>
    <row r="187" ht="15" customHeight="1">
      <c r="A187" s="2" t="inlineStr"/>
      <c r="B187" s="2" t="inlineStr"/>
      <c r="C187" s="2" t="inlineStr"/>
      <c r="D187" s="2" t="inlineStr"/>
      <c r="E187" s="28" t="inlineStr">
        <is>
          <t>VALOR:</t>
        </is>
      </c>
      <c r="F187" s="56" t="n"/>
      <c r="G187" s="66">
        <f>SUM(G186,G183)</f>
        <v/>
      </c>
    </row>
    <row r="188" ht="15" customHeight="1">
      <c r="A188" s="2" t="inlineStr"/>
      <c r="B188" s="2" t="inlineStr"/>
      <c r="C188" s="2" t="inlineStr"/>
      <c r="D188" s="2" t="inlineStr"/>
      <c r="E188" s="28" t="inlineStr">
        <is>
          <t>VALOR BDI (23.08%):</t>
        </is>
      </c>
      <c r="F188" s="56" t="n"/>
      <c r="G188" s="66">
        <f>ROUNDDOWN(G187*BDI,2)</f>
        <v/>
      </c>
    </row>
    <row r="189" ht="15" customHeight="1">
      <c r="A189" s="2" t="inlineStr"/>
      <c r="B189" s="2" t="inlineStr"/>
      <c r="C189" s="2" t="inlineStr"/>
      <c r="D189" s="2" t="inlineStr"/>
      <c r="E189" s="28" t="inlineStr">
        <is>
          <t>VALOR COM BDI:</t>
        </is>
      </c>
      <c r="F189" s="56" t="n"/>
      <c r="G189" s="66">
        <f>G188 + G187</f>
        <v/>
      </c>
    </row>
    <row r="190" ht="10" customHeight="1">
      <c r="A190" s="2" t="inlineStr"/>
      <c r="B190" s="2" t="inlineStr"/>
      <c r="C190" s="2" t="inlineStr"/>
      <c r="D190" s="2" t="inlineStr"/>
      <c r="E190" s="18" t="inlineStr"/>
    </row>
    <row r="191" ht="20" customHeight="1">
      <c r="A191" s="19" t="inlineStr">
        <is>
          <t>​87369​ ARGAMASSA TRAÇO 1:2:8 (EM VOLUME DE CIMENTO, CAL E AREIA MÉDIA ÚMIDA) PARA EMBOÇO/MASSA ÚNICA/ASSENTAMENTO DE ALVENARIA DE VEDAÇÃO, PREPARO MANUAL. AF_08/2019​ (M3)</t>
        </is>
      </c>
      <c r="B191" s="55" t="n"/>
      <c r="C191" s="55" t="n"/>
      <c r="D191" s="55" t="n"/>
      <c r="E191" s="55" t="n"/>
      <c r="F191" s="55" t="n"/>
      <c r="G191" s="56" t="n"/>
    </row>
    <row r="192" ht="15" customHeight="1">
      <c r="A192" s="20" t="inlineStr">
        <is>
          <t>Material</t>
        </is>
      </c>
      <c r="B192" s="56" t="n"/>
      <c r="C192" s="21" t="inlineStr">
        <is>
          <t>FONTE</t>
        </is>
      </c>
      <c r="D192" s="21" t="inlineStr">
        <is>
          <t>UNID</t>
        </is>
      </c>
      <c r="E192" s="21" t="inlineStr">
        <is>
          <t>COEFICIENTE</t>
        </is>
      </c>
      <c r="F192" s="21" t="inlineStr">
        <is>
          <t>PREÇO UNITÁRIO</t>
        </is>
      </c>
      <c r="G192" s="21" t="inlineStr">
        <is>
          <t>TOTAL</t>
        </is>
      </c>
    </row>
    <row r="193" ht="21" customHeight="1">
      <c r="A193" s="22" t="inlineStr">
        <is>
          <t>00000370</t>
        </is>
      </c>
      <c r="B193" s="23" t="inlineStr">
        <is>
          <t>AREIA MEDIA - POSTO JAZIDA/FORNECEDOR (RETIRADO NA JAZIDA, SEM TRANSPORTE)</t>
        </is>
      </c>
      <c r="C193" s="22" t="inlineStr">
        <is>
          <t>SINAPI</t>
        </is>
      </c>
      <c r="D193" s="22" t="inlineStr">
        <is>
          <t>M3</t>
        </is>
      </c>
      <c r="E193" s="63" t="n">
        <v>1.14</v>
      </c>
      <c r="F193" s="64">
        <f>ROUND(M193*FATOR, 2)</f>
        <v/>
      </c>
      <c r="G193" s="64">
        <f>TRUNC(TRUNC(E193,8)*F193,2)</f>
        <v/>
      </c>
      <c r="L193" t="n">
        <v>1.14</v>
      </c>
      <c r="M193" t="n">
        <v>130</v>
      </c>
      <c r="N193">
        <f>(M193-F193)</f>
        <v/>
      </c>
    </row>
    <row r="194" ht="15" customHeight="1">
      <c r="A194" s="22" t="inlineStr">
        <is>
          <t>00001106</t>
        </is>
      </c>
      <c r="B194" s="23" t="inlineStr">
        <is>
          <t>CAL HIDRATADA CH-I PARA ARGAMASSAS</t>
        </is>
      </c>
      <c r="C194" s="22" t="inlineStr">
        <is>
          <t>SINAPI</t>
        </is>
      </c>
      <c r="D194" s="22" t="inlineStr">
        <is>
          <t>KG</t>
        </is>
      </c>
      <c r="E194" s="63" t="n">
        <v>171.13</v>
      </c>
      <c r="F194" s="64">
        <f>ROUND(M194*FATOR, 2)</f>
        <v/>
      </c>
      <c r="G194" s="64">
        <f>TRUNC(TRUNC(E194,8)*F194,2)</f>
        <v/>
      </c>
      <c r="L194" t="n">
        <v>171.13</v>
      </c>
      <c r="M194" t="n">
        <v>1.28</v>
      </c>
      <c r="N194">
        <f>(M194-F194)</f>
        <v/>
      </c>
    </row>
    <row r="195" ht="15" customHeight="1">
      <c r="A195" s="22" t="inlineStr">
        <is>
          <t>00001379</t>
        </is>
      </c>
      <c r="B195" s="23" t="inlineStr">
        <is>
          <t>CIMENTO PORTLAND COMPOSTO CP II-32</t>
        </is>
      </c>
      <c r="C195" s="22" t="inlineStr">
        <is>
          <t>SINAPI</t>
        </is>
      </c>
      <c r="D195" s="22" t="inlineStr">
        <is>
          <t>KG</t>
        </is>
      </c>
      <c r="E195" s="63" t="n">
        <v>192.52</v>
      </c>
      <c r="F195" s="64">
        <f>ROUND(M195*FATOR, 2)</f>
        <v/>
      </c>
      <c r="G195" s="64">
        <f>TRUNC(TRUNC(E195,8)*F195,2)</f>
        <v/>
      </c>
      <c r="L195" t="n">
        <v>192.52</v>
      </c>
      <c r="M195" t="n">
        <v>0.74</v>
      </c>
      <c r="N195">
        <f>(M195-F195)</f>
        <v/>
      </c>
    </row>
    <row r="196" ht="15" customHeight="1">
      <c r="A196" s="2" t="inlineStr"/>
      <c r="B196" s="2" t="inlineStr"/>
      <c r="C196" s="2" t="inlineStr"/>
      <c r="D196" s="2" t="inlineStr"/>
      <c r="E196" s="26" t="inlineStr">
        <is>
          <t>TOTAL Material:</t>
        </is>
      </c>
      <c r="F196" s="56" t="n"/>
      <c r="G196" s="65">
        <f>SUM(G193:G195)</f>
        <v/>
      </c>
    </row>
    <row r="197" ht="15" customHeight="1">
      <c r="A197" s="20" t="inlineStr">
        <is>
          <t>Mão de Obra com Encargos Complementares</t>
        </is>
      </c>
      <c r="B197" s="56" t="n"/>
      <c r="C197" s="21" t="inlineStr">
        <is>
          <t>FONTE</t>
        </is>
      </c>
      <c r="D197" s="21" t="inlineStr">
        <is>
          <t>UNID</t>
        </is>
      </c>
      <c r="E197" s="21" t="inlineStr">
        <is>
          <t>COEFICIENTE</t>
        </is>
      </c>
      <c r="F197" s="21" t="inlineStr">
        <is>
          <t>PREÇO UNITÁRIO</t>
        </is>
      </c>
      <c r="G197" s="21" t="inlineStr">
        <is>
          <t>TOTAL</t>
        </is>
      </c>
    </row>
    <row r="198" ht="15" customHeight="1">
      <c r="A198" s="22" t="inlineStr">
        <is>
          <t>88316</t>
        </is>
      </c>
      <c r="B198" s="23" t="inlineStr">
        <is>
          <t>SERVENTE COM ENCARGOS COMPLEMENTARES</t>
        </is>
      </c>
      <c r="C198" s="22" t="inlineStr">
        <is>
          <t>SINAPI</t>
        </is>
      </c>
      <c r="D198" s="22" t="inlineStr">
        <is>
          <t>H</t>
        </is>
      </c>
      <c r="E198" s="63">
        <f>L198*FATOR</f>
        <v/>
      </c>
      <c r="F198" s="64">
        <f>'COMPOSICOES AUXILIARES'!G161</f>
        <v/>
      </c>
      <c r="G198" s="64">
        <f>TRUNC(TRUNC(E198,8)*F198,2)</f>
        <v/>
      </c>
      <c r="L198" t="n">
        <v>11.1</v>
      </c>
      <c r="M198" t="n">
        <v>23.56</v>
      </c>
      <c r="N198">
        <f>(M198-F198)</f>
        <v/>
      </c>
    </row>
    <row r="199" ht="18" customHeight="1">
      <c r="A199" s="2" t="inlineStr"/>
      <c r="B199" s="2" t="inlineStr"/>
      <c r="C199" s="2" t="inlineStr"/>
      <c r="D199" s="2" t="inlineStr"/>
      <c r="E199" s="26" t="inlineStr">
        <is>
          <t>TOTAL Mão de Obra com Encargos Complementares:</t>
        </is>
      </c>
      <c r="F199" s="56" t="n"/>
      <c r="G199" s="65">
        <f>SUM(G198:G198)</f>
        <v/>
      </c>
    </row>
    <row r="200" ht="15" customHeight="1">
      <c r="A200" s="2" t="inlineStr"/>
      <c r="B200" s="2" t="inlineStr"/>
      <c r="C200" s="2" t="inlineStr"/>
      <c r="D200" s="2" t="inlineStr"/>
      <c r="E200" s="28" t="inlineStr">
        <is>
          <t>VALOR:</t>
        </is>
      </c>
      <c r="F200" s="56" t="n"/>
      <c r="G200" s="66">
        <f>SUM(G196,G199)</f>
        <v/>
      </c>
    </row>
    <row r="201" ht="15" customHeight="1">
      <c r="A201" s="2" t="inlineStr"/>
      <c r="B201" s="2" t="inlineStr"/>
      <c r="C201" s="2" t="inlineStr"/>
      <c r="D201" s="2" t="inlineStr"/>
      <c r="E201" s="28" t="inlineStr">
        <is>
          <t>VALOR BDI (23.08%):</t>
        </is>
      </c>
      <c r="F201" s="56" t="n"/>
      <c r="G201" s="66">
        <f>ROUNDDOWN(G200*BDI,2)</f>
        <v/>
      </c>
    </row>
    <row r="202" ht="15" customHeight="1">
      <c r="A202" s="2" t="inlineStr"/>
      <c r="B202" s="2" t="inlineStr"/>
      <c r="C202" s="2" t="inlineStr"/>
      <c r="D202" s="2" t="inlineStr"/>
      <c r="E202" s="28" t="inlineStr">
        <is>
          <t>VALOR COM BDI:</t>
        </is>
      </c>
      <c r="F202" s="56" t="n"/>
      <c r="G202" s="66">
        <f>G201 + G200</f>
        <v/>
      </c>
    </row>
    <row r="203" ht="10" customHeight="1">
      <c r="A203" s="2" t="inlineStr"/>
      <c r="B203" s="2" t="inlineStr"/>
      <c r="C203" s="2" t="inlineStr"/>
      <c r="D203" s="2" t="inlineStr"/>
      <c r="E203" s="18" t="inlineStr"/>
    </row>
    <row r="204" ht="20" customHeight="1">
      <c r="A204" s="19" t="inlineStr">
        <is>
          <t>​87292​ ARGAMASSA TRAÇO 1:2:8 (EM VOLUME DE CIMENTO, CAL E AREIA MÉDIA ÚMIDA) PARA EMBOÇO/MASSA ÚNICA/ASSENTAMENTO DE ALVENARIA DE VEDAÇÃO, PREPARO MECÂNICO COM BETONEIRA 400 L. AF_08/2019​ (M3)</t>
        </is>
      </c>
      <c r="B204" s="55" t="n"/>
      <c r="C204" s="55" t="n"/>
      <c r="D204" s="55" t="n"/>
      <c r="E204" s="55" t="n"/>
      <c r="F204" s="55" t="n"/>
      <c r="G204" s="56" t="n"/>
    </row>
    <row r="205" ht="15" customHeight="1">
      <c r="A205" s="20" t="inlineStr">
        <is>
          <t>Equipamento Custo Horário</t>
        </is>
      </c>
      <c r="B205" s="56" t="n"/>
      <c r="C205" s="21" t="inlineStr">
        <is>
          <t>FONTE</t>
        </is>
      </c>
      <c r="D205" s="21" t="inlineStr">
        <is>
          <t>UNID</t>
        </is>
      </c>
      <c r="E205" s="21" t="inlineStr">
        <is>
          <t>COEFICIENTE</t>
        </is>
      </c>
      <c r="F205" s="21" t="inlineStr">
        <is>
          <t>PREÇO UNITÁRIO</t>
        </is>
      </c>
      <c r="G205" s="21" t="inlineStr">
        <is>
          <t>TOTAL</t>
        </is>
      </c>
    </row>
    <row r="206" ht="38" customHeight="1">
      <c r="A206" s="22" t="inlineStr">
        <is>
          <t>88831</t>
        </is>
      </c>
      <c r="B206" s="23" t="inlineStr">
        <is>
          <t>BETONEIRA CAPACIDADE NOMINAL DE 400 L, CAPACIDADE DE MISTURA 280 L, MOTOR ELÉTRICO TRIFÁSICO POTÊNCIA DE 2 CV, SEM CARREGADOR - CHI DIURNO. AF_05/2023</t>
        </is>
      </c>
      <c r="C206" s="22" t="inlineStr">
        <is>
          <t>SINAPI</t>
        </is>
      </c>
      <c r="D206" s="22" t="inlineStr">
        <is>
          <t>CHI</t>
        </is>
      </c>
      <c r="E206" s="63" t="n">
        <v>3.45</v>
      </c>
      <c r="F206" s="64" t="n">
        <v>0.4</v>
      </c>
      <c r="G206" s="64">
        <f>TRUNC(TRUNC(E206,8)*F206,2)</f>
        <v/>
      </c>
      <c r="L206" t="n">
        <v>3.45</v>
      </c>
      <c r="M206" t="n">
        <v>0.4</v>
      </c>
      <c r="N206">
        <f>(M206-F206)</f>
        <v/>
      </c>
    </row>
    <row r="207" ht="38" customHeight="1">
      <c r="A207" s="22" t="inlineStr">
        <is>
          <t>88830</t>
        </is>
      </c>
      <c r="B207" s="23" t="inlineStr">
        <is>
          <t>BETONEIRA CAPACIDADE NOMINAL DE 400 L, CAPACIDADE DE MISTURA 280 L, MOTOR ELÉTRICO TRIFÁSICO POTÊNCIA DE 2 CV, SEM CARREGADOR - CHP DIURNO. AF_05/2023</t>
        </is>
      </c>
      <c r="C207" s="22" t="inlineStr">
        <is>
          <t>SINAPI</t>
        </is>
      </c>
      <c r="D207" s="22" t="inlineStr">
        <is>
          <t>CHP</t>
        </is>
      </c>
      <c r="E207" s="63" t="n">
        <v>1.05</v>
      </c>
      <c r="F207" s="64" t="n">
        <v>2.02</v>
      </c>
      <c r="G207" s="64">
        <f>TRUNC(TRUNC(E207,8)*F207,2)</f>
        <v/>
      </c>
      <c r="L207" t="n">
        <v>1.05</v>
      </c>
      <c r="M207" t="n">
        <v>2.02</v>
      </c>
      <c r="N207">
        <f>(M207-F207)</f>
        <v/>
      </c>
    </row>
    <row r="208" ht="18" customHeight="1">
      <c r="A208" s="2" t="inlineStr"/>
      <c r="B208" s="2" t="inlineStr"/>
      <c r="C208" s="2" t="inlineStr"/>
      <c r="D208" s="2" t="inlineStr"/>
      <c r="E208" s="26" t="inlineStr">
        <is>
          <t>TOTAL Equipamento Custo Horário:</t>
        </is>
      </c>
      <c r="F208" s="56" t="n"/>
      <c r="G208" s="65">
        <f>SUM(G206:G207)</f>
        <v/>
      </c>
    </row>
    <row r="209" ht="15" customHeight="1">
      <c r="A209" s="20" t="inlineStr">
        <is>
          <t>Material</t>
        </is>
      </c>
      <c r="B209" s="56" t="n"/>
      <c r="C209" s="21" t="inlineStr">
        <is>
          <t>FONTE</t>
        </is>
      </c>
      <c r="D209" s="21" t="inlineStr">
        <is>
          <t>UNID</t>
        </is>
      </c>
      <c r="E209" s="21" t="inlineStr">
        <is>
          <t>COEFICIENTE</t>
        </is>
      </c>
      <c r="F209" s="21" t="inlineStr">
        <is>
          <t>PREÇO UNITÁRIO</t>
        </is>
      </c>
      <c r="G209" s="21" t="inlineStr">
        <is>
          <t>TOTAL</t>
        </is>
      </c>
    </row>
    <row r="210" ht="21" customHeight="1">
      <c r="A210" s="22" t="inlineStr">
        <is>
          <t>00000370</t>
        </is>
      </c>
      <c r="B210" s="23" t="inlineStr">
        <is>
          <t>AREIA MEDIA - POSTO JAZIDA/FORNECEDOR (RETIRADO NA JAZIDA, SEM TRANSPORTE)</t>
        </is>
      </c>
      <c r="C210" s="22" t="inlineStr">
        <is>
          <t>SINAPI</t>
        </is>
      </c>
      <c r="D210" s="22" t="inlineStr">
        <is>
          <t>M3</t>
        </is>
      </c>
      <c r="E210" s="63" t="n">
        <v>1.16</v>
      </c>
      <c r="F210" s="64">
        <f>ROUND(M210*FATOR, 2)</f>
        <v/>
      </c>
      <c r="G210" s="64">
        <f>TRUNC(TRUNC(E210,8)*F210,2)</f>
        <v/>
      </c>
      <c r="L210" t="n">
        <v>1.16</v>
      </c>
      <c r="M210" t="n">
        <v>130</v>
      </c>
      <c r="N210">
        <f>(M210-F210)</f>
        <v/>
      </c>
    </row>
    <row r="211" ht="15" customHeight="1">
      <c r="A211" s="22" t="inlineStr">
        <is>
          <t>00001106</t>
        </is>
      </c>
      <c r="B211" s="23" t="inlineStr">
        <is>
          <t>CAL HIDRATADA CH-I PARA ARGAMASSAS</t>
        </is>
      </c>
      <c r="C211" s="22" t="inlineStr">
        <is>
          <t>SINAPI</t>
        </is>
      </c>
      <c r="D211" s="22" t="inlineStr">
        <is>
          <t>KG</t>
        </is>
      </c>
      <c r="E211" s="63" t="n">
        <v>174.1</v>
      </c>
      <c r="F211" s="64">
        <f>ROUND(M211*FATOR, 2)</f>
        <v/>
      </c>
      <c r="G211" s="64">
        <f>TRUNC(TRUNC(E211,8)*F211,2)</f>
        <v/>
      </c>
      <c r="L211" t="n">
        <v>174.1</v>
      </c>
      <c r="M211" t="n">
        <v>1.28</v>
      </c>
      <c r="N211">
        <f>(M211-F211)</f>
        <v/>
      </c>
    </row>
    <row r="212" ht="15" customHeight="1">
      <c r="A212" s="22" t="inlineStr">
        <is>
          <t>00001379</t>
        </is>
      </c>
      <c r="B212" s="23" t="inlineStr">
        <is>
          <t>CIMENTO PORTLAND COMPOSTO CP II-32</t>
        </is>
      </c>
      <c r="C212" s="22" t="inlineStr">
        <is>
          <t>SINAPI</t>
        </is>
      </c>
      <c r="D212" s="22" t="inlineStr">
        <is>
          <t>KG</t>
        </is>
      </c>
      <c r="E212" s="63" t="n">
        <v>195.86</v>
      </c>
      <c r="F212" s="64">
        <f>ROUND(M212*FATOR, 2)</f>
        <v/>
      </c>
      <c r="G212" s="64">
        <f>TRUNC(TRUNC(E212,8)*F212,2)</f>
        <v/>
      </c>
      <c r="L212" t="n">
        <v>195.86</v>
      </c>
      <c r="M212" t="n">
        <v>0.74</v>
      </c>
      <c r="N212">
        <f>(M212-F212)</f>
        <v/>
      </c>
    </row>
    <row r="213" ht="15" customHeight="1">
      <c r="A213" s="2" t="inlineStr"/>
      <c r="B213" s="2" t="inlineStr"/>
      <c r="C213" s="2" t="inlineStr"/>
      <c r="D213" s="2" t="inlineStr"/>
      <c r="E213" s="26" t="inlineStr">
        <is>
          <t>TOTAL Material:</t>
        </is>
      </c>
      <c r="F213" s="56" t="n"/>
      <c r="G213" s="65">
        <f>SUM(G210:G212)</f>
        <v/>
      </c>
    </row>
    <row r="214" ht="15" customHeight="1">
      <c r="A214" s="20" t="inlineStr">
        <is>
          <t>Mão de Obra com Encargos Complementares</t>
        </is>
      </c>
      <c r="B214" s="56" t="n"/>
      <c r="C214" s="21" t="inlineStr">
        <is>
          <t>FONTE</t>
        </is>
      </c>
      <c r="D214" s="21" t="inlineStr">
        <is>
          <t>UNID</t>
        </is>
      </c>
      <c r="E214" s="21" t="inlineStr">
        <is>
          <t>COEFICIENTE</t>
        </is>
      </c>
      <c r="F214" s="21" t="inlineStr">
        <is>
          <t>PREÇO UNITÁRIO</t>
        </is>
      </c>
      <c r="G214" s="21" t="inlineStr">
        <is>
          <t>TOTAL</t>
        </is>
      </c>
    </row>
    <row r="215" ht="21" customHeight="1">
      <c r="A215" s="22" t="inlineStr">
        <is>
          <t>88377</t>
        </is>
      </c>
      <c r="B215" s="23" t="inlineStr">
        <is>
          <t>OPERADOR DE BETONEIRA ESTACIONÁRIA/MISTURADOR COM ENCARGOS COMPLEMENTARES</t>
        </is>
      </c>
      <c r="C215" s="22" t="inlineStr">
        <is>
          <t>SINAPI</t>
        </is>
      </c>
      <c r="D215" s="22" t="inlineStr">
        <is>
          <t>H</t>
        </is>
      </c>
      <c r="E215" s="63">
        <f>L215*FATOR</f>
        <v/>
      </c>
      <c r="F215" s="64">
        <f>'COMPOSICOES AUXILIARES'!G150</f>
        <v/>
      </c>
      <c r="G215" s="64">
        <f>TRUNC(TRUNC(E215,8)*F215,2)</f>
        <v/>
      </c>
      <c r="L215" t="n">
        <v>4.5</v>
      </c>
      <c r="M215" t="n">
        <v>29.43</v>
      </c>
      <c r="N215">
        <f>(M215-F215)</f>
        <v/>
      </c>
    </row>
    <row r="216" ht="18" customHeight="1">
      <c r="A216" s="2" t="inlineStr"/>
      <c r="B216" s="2" t="inlineStr"/>
      <c r="C216" s="2" t="inlineStr"/>
      <c r="D216" s="2" t="inlineStr"/>
      <c r="E216" s="26" t="inlineStr">
        <is>
          <t>TOTAL Mão de Obra com Encargos Complementares:</t>
        </is>
      </c>
      <c r="F216" s="56" t="n"/>
      <c r="G216" s="65">
        <f>SUM(G215:G215)</f>
        <v/>
      </c>
    </row>
    <row r="217" ht="15" customHeight="1">
      <c r="A217" s="2" t="inlineStr"/>
      <c r="B217" s="2" t="inlineStr"/>
      <c r="C217" s="2" t="inlineStr"/>
      <c r="D217" s="2" t="inlineStr"/>
      <c r="E217" s="28" t="inlineStr">
        <is>
          <t>VALOR:</t>
        </is>
      </c>
      <c r="F217" s="56" t="n"/>
      <c r="G217" s="66">
        <f>SUM(G216,G213)</f>
        <v/>
      </c>
    </row>
    <row r="218" ht="15" customHeight="1">
      <c r="A218" s="2" t="inlineStr"/>
      <c r="B218" s="2" t="inlineStr"/>
      <c r="C218" s="2" t="inlineStr"/>
      <c r="D218" s="2" t="inlineStr"/>
      <c r="E218" s="28" t="inlineStr">
        <is>
          <t>VALOR BDI (23.08%):</t>
        </is>
      </c>
      <c r="F218" s="56" t="n"/>
      <c r="G218" s="66">
        <f>ROUNDDOWN(G217*BDI,2)</f>
        <v/>
      </c>
    </row>
    <row r="219" ht="15" customHeight="1">
      <c r="A219" s="2" t="inlineStr"/>
      <c r="B219" s="2" t="inlineStr"/>
      <c r="C219" s="2" t="inlineStr"/>
      <c r="D219" s="2" t="inlineStr"/>
      <c r="E219" s="28" t="inlineStr">
        <is>
          <t>VALOR COM BDI:</t>
        </is>
      </c>
      <c r="F219" s="56" t="n"/>
      <c r="G219" s="66">
        <f>G218 + G217</f>
        <v/>
      </c>
    </row>
    <row r="220" ht="10" customHeight="1">
      <c r="A220" s="2" t="inlineStr"/>
      <c r="B220" s="2" t="inlineStr"/>
      <c r="C220" s="2" t="inlineStr"/>
      <c r="D220" s="2" t="inlineStr"/>
      <c r="E220" s="18" t="inlineStr"/>
    </row>
    <row r="221" ht="20" customHeight="1">
      <c r="A221" s="19" t="inlineStr">
        <is>
          <t>​87294​ ARGAMASSA TRAÇO 1:2:9 (EM VOLUME DE CIMENTO, CAL E AREIA MÉDIA ÚMIDA) PARA EMBOÇO/MASSA ÚNICA/ASSENTAMENTO DE ALVENARIA DE VEDAÇÃO, PREPARO MECÂNICO COM BETONEIRA 600 L. AF_08/2019​ (M3)</t>
        </is>
      </c>
      <c r="B221" s="55" t="n"/>
      <c r="C221" s="55" t="n"/>
      <c r="D221" s="55" t="n"/>
      <c r="E221" s="55" t="n"/>
      <c r="F221" s="55" t="n"/>
      <c r="G221" s="56" t="n"/>
    </row>
    <row r="222" ht="15" customHeight="1">
      <c r="A222" s="20" t="inlineStr">
        <is>
          <t>Equipamento Custo Horário</t>
        </is>
      </c>
      <c r="B222" s="56" t="n"/>
      <c r="C222" s="21" t="inlineStr">
        <is>
          <t>FONTE</t>
        </is>
      </c>
      <c r="D222" s="21" t="inlineStr">
        <is>
          <t>UNID</t>
        </is>
      </c>
      <c r="E222" s="21" t="inlineStr">
        <is>
          <t>COEFICIENTE</t>
        </is>
      </c>
      <c r="F222" s="21" t="inlineStr">
        <is>
          <t>PREÇO UNITÁRIO</t>
        </is>
      </c>
      <c r="G222" s="21" t="inlineStr">
        <is>
          <t>TOTAL</t>
        </is>
      </c>
    </row>
    <row r="223" ht="38" customHeight="1">
      <c r="A223" s="22" t="inlineStr">
        <is>
          <t>89226</t>
        </is>
      </c>
      <c r="B223" s="23" t="inlineStr">
        <is>
          <t>BETONEIRA CAPACIDADE NOMINAL DE 600 L, CAPACIDADE DE MISTURA 360 L, MOTOR ELÉTRICO TRIFÁSICO POTÊNCIA DE 4 CV, SEM CARREGADOR - CHI DIURNO. AF_05/2023</t>
        </is>
      </c>
      <c r="C223" s="22" t="inlineStr">
        <is>
          <t>SINAPI</t>
        </is>
      </c>
      <c r="D223" s="22" t="inlineStr">
        <is>
          <t>CHI</t>
        </is>
      </c>
      <c r="E223" s="63" t="n">
        <v>2.8</v>
      </c>
      <c r="F223" s="64" t="n">
        <v>1.68</v>
      </c>
      <c r="G223" s="64">
        <f>TRUNC(TRUNC(E223,8)*F223,2)</f>
        <v/>
      </c>
      <c r="L223" t="n">
        <v>2.8</v>
      </c>
      <c r="M223" t="n">
        <v>1.68</v>
      </c>
      <c r="N223">
        <f>(M223-F223)</f>
        <v/>
      </c>
    </row>
    <row r="224" ht="38" customHeight="1">
      <c r="A224" s="22" t="inlineStr">
        <is>
          <t>89225</t>
        </is>
      </c>
      <c r="B224" s="23" t="inlineStr">
        <is>
          <t>BETONEIRA CAPACIDADE NOMINAL DE 600 L, CAPACIDADE DE MISTURA 360 L, MOTOR ELÉTRICO TRIFÁSICO POTÊNCIA DE 4 CV, SEM CARREGADOR - CHP DIURNO. AF_05/2023</t>
        </is>
      </c>
      <c r="C224" s="22" t="inlineStr">
        <is>
          <t>SINAPI</t>
        </is>
      </c>
      <c r="D224" s="22" t="inlineStr">
        <is>
          <t>CHP</t>
        </is>
      </c>
      <c r="E224" s="63" t="n">
        <v>0.85</v>
      </c>
      <c r="F224" s="64" t="n">
        <v>5.7</v>
      </c>
      <c r="G224" s="64">
        <f>TRUNC(TRUNC(E224,8)*F224,2)</f>
        <v/>
      </c>
      <c r="L224" t="n">
        <v>0.85</v>
      </c>
      <c r="M224" t="n">
        <v>5.7</v>
      </c>
      <c r="N224">
        <f>(M224-F224)</f>
        <v/>
      </c>
    </row>
    <row r="225" ht="18" customHeight="1">
      <c r="A225" s="2" t="inlineStr"/>
      <c r="B225" s="2" t="inlineStr"/>
      <c r="C225" s="2" t="inlineStr"/>
      <c r="D225" s="2" t="inlineStr"/>
      <c r="E225" s="26" t="inlineStr">
        <is>
          <t>TOTAL Equipamento Custo Horário:</t>
        </is>
      </c>
      <c r="F225" s="56" t="n"/>
      <c r="G225" s="65">
        <f>SUM(G223:G224)</f>
        <v/>
      </c>
    </row>
    <row r="226" ht="15" customHeight="1">
      <c r="A226" s="20" t="inlineStr">
        <is>
          <t>Material</t>
        </is>
      </c>
      <c r="B226" s="56" t="n"/>
      <c r="C226" s="21" t="inlineStr">
        <is>
          <t>FONTE</t>
        </is>
      </c>
      <c r="D226" s="21" t="inlineStr">
        <is>
          <t>UNID</t>
        </is>
      </c>
      <c r="E226" s="21" t="inlineStr">
        <is>
          <t>COEFICIENTE</t>
        </is>
      </c>
      <c r="F226" s="21" t="inlineStr">
        <is>
          <t>PREÇO UNITÁRIO</t>
        </is>
      </c>
      <c r="G226" s="21" t="inlineStr">
        <is>
          <t>TOTAL</t>
        </is>
      </c>
    </row>
    <row r="227" ht="21" customHeight="1">
      <c r="A227" s="22" t="inlineStr">
        <is>
          <t>00000370</t>
        </is>
      </c>
      <c r="B227" s="23" t="inlineStr">
        <is>
          <t>AREIA MEDIA - POSTO JAZIDA/FORNECEDOR (RETIRADO NA JAZIDA, SEM TRANSPORTE)</t>
        </is>
      </c>
      <c r="C227" s="22" t="inlineStr">
        <is>
          <t>SINAPI</t>
        </is>
      </c>
      <c r="D227" s="22" t="inlineStr">
        <is>
          <t>M3</t>
        </is>
      </c>
      <c r="E227" s="63" t="n">
        <v>1.18</v>
      </c>
      <c r="F227" s="64">
        <f>ROUND(M227*FATOR, 2)</f>
        <v/>
      </c>
      <c r="G227" s="64">
        <f>TRUNC(TRUNC(E227,8)*F227,2)</f>
        <v/>
      </c>
      <c r="L227" t="n">
        <v>1.18</v>
      </c>
      <c r="M227" t="n">
        <v>130</v>
      </c>
      <c r="N227">
        <f>(M227-F227)</f>
        <v/>
      </c>
    </row>
    <row r="228" ht="15" customHeight="1">
      <c r="A228" s="22" t="inlineStr">
        <is>
          <t>00001106</t>
        </is>
      </c>
      <c r="B228" s="23" t="inlineStr">
        <is>
          <t>CAL HIDRATADA CH-I PARA ARGAMASSAS</t>
        </is>
      </c>
      <c r="C228" s="22" t="inlineStr">
        <is>
          <t>SINAPI</t>
        </is>
      </c>
      <c r="D228" s="22" t="inlineStr">
        <is>
          <t>KG</t>
        </is>
      </c>
      <c r="E228" s="63" t="n">
        <v>157.44</v>
      </c>
      <c r="F228" s="64">
        <f>ROUND(M228*FATOR, 2)</f>
        <v/>
      </c>
      <c r="G228" s="64">
        <f>TRUNC(TRUNC(E228,8)*F228,2)</f>
        <v/>
      </c>
      <c r="L228" t="n">
        <v>157.44</v>
      </c>
      <c r="M228" t="n">
        <v>1.28</v>
      </c>
      <c r="N228">
        <f>(M228-F228)</f>
        <v/>
      </c>
    </row>
    <row r="229" ht="15" customHeight="1">
      <c r="A229" s="22" t="inlineStr">
        <is>
          <t>00001379</t>
        </is>
      </c>
      <c r="B229" s="23" t="inlineStr">
        <is>
          <t>CIMENTO PORTLAND COMPOSTO CP II-32</t>
        </is>
      </c>
      <c r="C229" s="22" t="inlineStr">
        <is>
          <t>SINAPI</t>
        </is>
      </c>
      <c r="D229" s="22" t="inlineStr">
        <is>
          <t>KG</t>
        </is>
      </c>
      <c r="E229" s="63" t="n">
        <v>177.12</v>
      </c>
      <c r="F229" s="64">
        <f>ROUND(M229*FATOR, 2)</f>
        <v/>
      </c>
      <c r="G229" s="64">
        <f>TRUNC(TRUNC(E229,8)*F229,2)</f>
        <v/>
      </c>
      <c r="L229" t="n">
        <v>177.12</v>
      </c>
      <c r="M229" t="n">
        <v>0.74</v>
      </c>
      <c r="N229">
        <f>(M229-F229)</f>
        <v/>
      </c>
    </row>
    <row r="230" ht="15" customHeight="1">
      <c r="A230" s="2" t="inlineStr"/>
      <c r="B230" s="2" t="inlineStr"/>
      <c r="C230" s="2" t="inlineStr"/>
      <c r="D230" s="2" t="inlineStr"/>
      <c r="E230" s="26" t="inlineStr">
        <is>
          <t>TOTAL Material:</t>
        </is>
      </c>
      <c r="F230" s="56" t="n"/>
      <c r="G230" s="65">
        <f>SUM(G227:G229)</f>
        <v/>
      </c>
    </row>
    <row r="231" ht="15" customHeight="1">
      <c r="A231" s="20" t="inlineStr">
        <is>
          <t>Mão de Obra com Encargos Complementares</t>
        </is>
      </c>
      <c r="B231" s="56" t="n"/>
      <c r="C231" s="21" t="inlineStr">
        <is>
          <t>FONTE</t>
        </is>
      </c>
      <c r="D231" s="21" t="inlineStr">
        <is>
          <t>UNID</t>
        </is>
      </c>
      <c r="E231" s="21" t="inlineStr">
        <is>
          <t>COEFICIENTE</t>
        </is>
      </c>
      <c r="F231" s="21" t="inlineStr">
        <is>
          <t>PREÇO UNITÁRIO</t>
        </is>
      </c>
      <c r="G231" s="21" t="inlineStr">
        <is>
          <t>TOTAL</t>
        </is>
      </c>
    </row>
    <row r="232" ht="21" customHeight="1">
      <c r="A232" s="22" t="inlineStr">
        <is>
          <t>88377</t>
        </is>
      </c>
      <c r="B232" s="23" t="inlineStr">
        <is>
          <t>OPERADOR DE BETONEIRA ESTACIONÁRIA/MISTURADOR COM ENCARGOS COMPLEMENTARES</t>
        </is>
      </c>
      <c r="C232" s="22" t="inlineStr">
        <is>
          <t>SINAPI</t>
        </is>
      </c>
      <c r="D232" s="22" t="inlineStr">
        <is>
          <t>H</t>
        </is>
      </c>
      <c r="E232" s="63">
        <f>L232*FATOR</f>
        <v/>
      </c>
      <c r="F232" s="64">
        <f>'COMPOSICOES AUXILIARES'!G150</f>
        <v/>
      </c>
      <c r="G232" s="64">
        <f>TRUNC(TRUNC(E232,8)*F232,2)</f>
        <v/>
      </c>
      <c r="L232" t="n">
        <v>3.65</v>
      </c>
      <c r="M232" t="n">
        <v>29.43</v>
      </c>
      <c r="N232">
        <f>(M232-F232)</f>
        <v/>
      </c>
    </row>
    <row r="233" ht="15" customHeight="1">
      <c r="A233" s="22" t="inlineStr">
        <is>
          <t>88316</t>
        </is>
      </c>
      <c r="B233" s="23" t="inlineStr">
        <is>
          <t>SERVENTE COM ENCARGOS COMPLEMENTARES</t>
        </is>
      </c>
      <c r="C233" s="22" t="inlineStr">
        <is>
          <t>SINAPI</t>
        </is>
      </c>
      <c r="D233" s="22" t="inlineStr">
        <is>
          <t>H</t>
        </is>
      </c>
      <c r="E233" s="63">
        <f>L233*FATOR</f>
        <v/>
      </c>
      <c r="F233" s="64">
        <f>'COMPOSICOES AUXILIARES'!G161</f>
        <v/>
      </c>
      <c r="G233" s="64">
        <f>TRUNC(TRUNC(E233,8)*F233,2)</f>
        <v/>
      </c>
      <c r="L233" t="n">
        <v>0.79</v>
      </c>
      <c r="M233" t="n">
        <v>23.56</v>
      </c>
      <c r="N233">
        <f>(M233-F233)</f>
        <v/>
      </c>
    </row>
    <row r="234" ht="18" customHeight="1">
      <c r="A234" s="2" t="inlineStr"/>
      <c r="B234" s="2" t="inlineStr"/>
      <c r="C234" s="2" t="inlineStr"/>
      <c r="D234" s="2" t="inlineStr"/>
      <c r="E234" s="26" t="inlineStr">
        <is>
          <t>TOTAL Mão de Obra com Encargos Complementares:</t>
        </is>
      </c>
      <c r="F234" s="56" t="n"/>
      <c r="G234" s="65">
        <f>SUM(G232:G233)</f>
        <v/>
      </c>
    </row>
    <row r="235" ht="15" customHeight="1">
      <c r="A235" s="2" t="inlineStr"/>
      <c r="B235" s="2" t="inlineStr"/>
      <c r="C235" s="2" t="inlineStr"/>
      <c r="D235" s="2" t="inlineStr"/>
      <c r="E235" s="28" t="inlineStr">
        <is>
          <t>VALOR:</t>
        </is>
      </c>
      <c r="F235" s="56" t="n"/>
      <c r="G235" s="66">
        <f>SUM(G234,G230)</f>
        <v/>
      </c>
    </row>
    <row r="236" ht="15" customHeight="1">
      <c r="A236" s="2" t="inlineStr"/>
      <c r="B236" s="2" t="inlineStr"/>
      <c r="C236" s="2" t="inlineStr"/>
      <c r="D236" s="2" t="inlineStr"/>
      <c r="E236" s="28" t="inlineStr">
        <is>
          <t>VALOR BDI (23.08%):</t>
        </is>
      </c>
      <c r="F236" s="56" t="n"/>
      <c r="G236" s="66">
        <f>ROUNDDOWN(G235*BDI,2)</f>
        <v/>
      </c>
    </row>
    <row r="237" ht="15" customHeight="1">
      <c r="A237" s="2" t="inlineStr"/>
      <c r="B237" s="2" t="inlineStr"/>
      <c r="C237" s="2" t="inlineStr"/>
      <c r="D237" s="2" t="inlineStr"/>
      <c r="E237" s="28" t="inlineStr">
        <is>
          <t>VALOR COM BDI:</t>
        </is>
      </c>
      <c r="F237" s="56" t="n"/>
      <c r="G237" s="66">
        <f>G236 + G235</f>
        <v/>
      </c>
    </row>
    <row r="238" ht="10" customHeight="1">
      <c r="A238" s="2" t="inlineStr"/>
      <c r="B238" s="2" t="inlineStr"/>
      <c r="C238" s="2" t="inlineStr"/>
      <c r="D238" s="2" t="inlineStr"/>
      <c r="E238" s="18" t="inlineStr"/>
    </row>
    <row r="239" ht="20" customHeight="1">
      <c r="A239" s="19" t="inlineStr">
        <is>
          <t>​87313​ ARGAMASSA TRAÇO 1:3 (EM VOLUME DE CIMENTO E AREIA GROSSA ÚMIDA) PARA CHAPISCO CONVENCIONAL, PREPARO MECÂNICO COM BETONEIRA 400 L. AF_08/2019​ (M3)</t>
        </is>
      </c>
      <c r="B239" s="55" t="n"/>
      <c r="C239" s="55" t="n"/>
      <c r="D239" s="55" t="n"/>
      <c r="E239" s="55" t="n"/>
      <c r="F239" s="55" t="n"/>
      <c r="G239" s="56" t="n"/>
    </row>
    <row r="240" ht="15" customHeight="1">
      <c r="A240" s="20" t="inlineStr">
        <is>
          <t>Equipamento Custo Horário</t>
        </is>
      </c>
      <c r="B240" s="56" t="n"/>
      <c r="C240" s="21" t="inlineStr">
        <is>
          <t>FONTE</t>
        </is>
      </c>
      <c r="D240" s="21" t="inlineStr">
        <is>
          <t>UNID</t>
        </is>
      </c>
      <c r="E240" s="21" t="inlineStr">
        <is>
          <t>COEFICIENTE</t>
        </is>
      </c>
      <c r="F240" s="21" t="inlineStr">
        <is>
          <t>PREÇO UNITÁRIO</t>
        </is>
      </c>
      <c r="G240" s="21" t="inlineStr">
        <is>
          <t>TOTAL</t>
        </is>
      </c>
    </row>
    <row r="241" ht="38" customHeight="1">
      <c r="A241" s="22" t="inlineStr">
        <is>
          <t>88831</t>
        </is>
      </c>
      <c r="B241" s="23" t="inlineStr">
        <is>
          <t>BETONEIRA CAPACIDADE NOMINAL DE 400 L, CAPACIDADE DE MISTURA 280 L, MOTOR ELÉTRICO TRIFÁSICO POTÊNCIA DE 2 CV, SEM CARREGADOR - CHI DIURNO. AF_05/2023</t>
        </is>
      </c>
      <c r="C241" s="22" t="inlineStr">
        <is>
          <t>SINAPI</t>
        </is>
      </c>
      <c r="D241" s="22" t="inlineStr">
        <is>
          <t>CHI</t>
        </is>
      </c>
      <c r="E241" s="63" t="n">
        <v>3.31</v>
      </c>
      <c r="F241" s="64">
        <f>'COMPOSICOES AUXILIARES'!G217</f>
        <v/>
      </c>
      <c r="G241" s="64">
        <f>TRUNC(TRUNC(E241,8)*F241,2)</f>
        <v/>
      </c>
      <c r="L241" t="n">
        <v>3.31</v>
      </c>
      <c r="M241" t="n">
        <v>0.4</v>
      </c>
      <c r="N241">
        <f>(M241-F241)</f>
        <v/>
      </c>
    </row>
    <row r="242" ht="38" customHeight="1">
      <c r="A242" s="22" t="inlineStr">
        <is>
          <t>88830</t>
        </is>
      </c>
      <c r="B242" s="23" t="inlineStr">
        <is>
          <t>BETONEIRA CAPACIDADE NOMINAL DE 400 L, CAPACIDADE DE MISTURA 280 L, MOTOR ELÉTRICO TRIFÁSICO POTÊNCIA DE 2 CV, SEM CARREGADOR - CHP DIURNO. AF_05/2023</t>
        </is>
      </c>
      <c r="C242" s="22" t="inlineStr">
        <is>
          <t>SINAPI</t>
        </is>
      </c>
      <c r="D242" s="22" t="inlineStr">
        <is>
          <t>CHP</t>
        </is>
      </c>
      <c r="E242" s="63" t="n">
        <v>1.01</v>
      </c>
      <c r="F242" s="64">
        <f>'COMPOSICOES AUXILIARES'!G217</f>
        <v/>
      </c>
      <c r="G242" s="64">
        <f>TRUNC(TRUNC(E242,8)*F242,2)</f>
        <v/>
      </c>
      <c r="L242" t="n">
        <v>1.01</v>
      </c>
      <c r="M242" t="n">
        <v>2.02</v>
      </c>
      <c r="N242">
        <f>(M242-F242)</f>
        <v/>
      </c>
    </row>
    <row r="243" ht="18" customHeight="1">
      <c r="A243" s="2" t="inlineStr"/>
      <c r="B243" s="2" t="inlineStr"/>
      <c r="C243" s="2" t="inlineStr"/>
      <c r="D243" s="2" t="inlineStr"/>
      <c r="E243" s="26" t="inlineStr">
        <is>
          <t>TOTAL Equipamento Custo Horário:</t>
        </is>
      </c>
      <c r="F243" s="56" t="n"/>
      <c r="G243" s="65">
        <f>SUM(G241:G242)</f>
        <v/>
      </c>
    </row>
    <row r="244" ht="15" customHeight="1">
      <c r="A244" s="20" t="inlineStr">
        <is>
          <t>Material</t>
        </is>
      </c>
      <c r="B244" s="56" t="n"/>
      <c r="C244" s="21" t="inlineStr">
        <is>
          <t>FONTE</t>
        </is>
      </c>
      <c r="D244" s="21" t="inlineStr">
        <is>
          <t>UNID</t>
        </is>
      </c>
      <c r="E244" s="21" t="inlineStr">
        <is>
          <t>COEFICIENTE</t>
        </is>
      </c>
      <c r="F244" s="21" t="inlineStr">
        <is>
          <t>PREÇO UNITÁRIO</t>
        </is>
      </c>
      <c r="G244" s="21" t="inlineStr">
        <is>
          <t>TOTAL</t>
        </is>
      </c>
    </row>
    <row r="245" ht="21" customHeight="1">
      <c r="A245" s="22" t="inlineStr">
        <is>
          <t>00000367</t>
        </is>
      </c>
      <c r="B245" s="23" t="inlineStr">
        <is>
          <t>AREIA GROSSA - POSTO JAZIDA/FORNECEDOR (RETIRADO NA JAZIDA, SEM TRANSPORTE)</t>
        </is>
      </c>
      <c r="C245" s="22" t="inlineStr">
        <is>
          <t>SINAPI</t>
        </is>
      </c>
      <c r="D245" s="22" t="inlineStr">
        <is>
          <t>M3</t>
        </is>
      </c>
      <c r="E245" s="63" t="n">
        <v>0.95</v>
      </c>
      <c r="F245" s="64">
        <f>ROUND(M245*FATOR, 2)</f>
        <v/>
      </c>
      <c r="G245" s="64">
        <f>TRUNC(TRUNC(E245,8)*F245,2)</f>
        <v/>
      </c>
      <c r="L245" t="n">
        <v>0.95</v>
      </c>
      <c r="M245" t="n">
        <v>131.69</v>
      </c>
      <c r="N245">
        <f>(M245-F245)</f>
        <v/>
      </c>
    </row>
    <row r="246" ht="15" customHeight="1">
      <c r="A246" s="22" t="inlineStr">
        <is>
          <t>00001379</t>
        </is>
      </c>
      <c r="B246" s="23" t="inlineStr">
        <is>
          <t>CIMENTO PORTLAND COMPOSTO CP II-32</t>
        </is>
      </c>
      <c r="C246" s="22" t="inlineStr">
        <is>
          <t>SINAPI</t>
        </is>
      </c>
      <c r="D246" s="22" t="inlineStr">
        <is>
          <t>KG</t>
        </is>
      </c>
      <c r="E246" s="63" t="n">
        <v>426.49</v>
      </c>
      <c r="F246" s="64">
        <f>ROUND(M246*FATOR, 2)</f>
        <v/>
      </c>
      <c r="G246" s="64">
        <f>TRUNC(TRUNC(E246,8)*F246,2)</f>
        <v/>
      </c>
      <c r="L246" t="n">
        <v>426.49</v>
      </c>
      <c r="M246" t="n">
        <v>0.74</v>
      </c>
      <c r="N246">
        <f>(M246-F246)</f>
        <v/>
      </c>
    </row>
    <row r="247" ht="15" customHeight="1">
      <c r="A247" s="2" t="inlineStr"/>
      <c r="B247" s="2" t="inlineStr"/>
      <c r="C247" s="2" t="inlineStr"/>
      <c r="D247" s="2" t="inlineStr"/>
      <c r="E247" s="26" t="inlineStr">
        <is>
          <t>TOTAL Material:</t>
        </is>
      </c>
      <c r="F247" s="56" t="n"/>
      <c r="G247" s="65">
        <f>SUM(G245:G246)</f>
        <v/>
      </c>
    </row>
    <row r="248" ht="15" customHeight="1">
      <c r="A248" s="20" t="inlineStr">
        <is>
          <t>Mão de Obra com Encargos Complementares</t>
        </is>
      </c>
      <c r="B248" s="56" t="n"/>
      <c r="C248" s="21" t="inlineStr">
        <is>
          <t>FONTE</t>
        </is>
      </c>
      <c r="D248" s="21" t="inlineStr">
        <is>
          <t>UNID</t>
        </is>
      </c>
      <c r="E248" s="21" t="inlineStr">
        <is>
          <t>COEFICIENTE</t>
        </is>
      </c>
      <c r="F248" s="21" t="inlineStr">
        <is>
          <t>PREÇO UNITÁRIO</t>
        </is>
      </c>
      <c r="G248" s="21" t="inlineStr">
        <is>
          <t>TOTAL</t>
        </is>
      </c>
    </row>
    <row r="249" ht="21" customHeight="1">
      <c r="A249" s="22" t="inlineStr">
        <is>
          <t>88377</t>
        </is>
      </c>
      <c r="B249" s="23" t="inlineStr">
        <is>
          <t>OPERADOR DE BETONEIRA ESTACIONÁRIA/MISTURADOR COM ENCARGOS COMPLEMENTARES</t>
        </is>
      </c>
      <c r="C249" s="22" t="inlineStr">
        <is>
          <t>SINAPI</t>
        </is>
      </c>
      <c r="D249" s="22" t="inlineStr">
        <is>
          <t>H</t>
        </is>
      </c>
      <c r="E249" s="63">
        <f>L249*FATOR</f>
        <v/>
      </c>
      <c r="F249" s="64">
        <f>'COMPOSICOES AUXILIARES'!G150</f>
        <v/>
      </c>
      <c r="G249" s="64">
        <f>TRUNC(TRUNC(E249,8)*F249,2)</f>
        <v/>
      </c>
      <c r="L249" t="n">
        <v>4.32</v>
      </c>
      <c r="M249" t="n">
        <v>29.43</v>
      </c>
      <c r="N249">
        <f>(M249-F249)</f>
        <v/>
      </c>
    </row>
    <row r="250" ht="18" customHeight="1">
      <c r="A250" s="2" t="inlineStr"/>
      <c r="B250" s="2" t="inlineStr"/>
      <c r="C250" s="2" t="inlineStr"/>
      <c r="D250" s="2" t="inlineStr"/>
      <c r="E250" s="26" t="inlineStr">
        <is>
          <t>TOTAL Mão de Obra com Encargos Complementares:</t>
        </is>
      </c>
      <c r="F250" s="56" t="n"/>
      <c r="G250" s="65">
        <f>SUM(G249:G249)</f>
        <v/>
      </c>
    </row>
    <row r="251" ht="15" customHeight="1">
      <c r="A251" s="2" t="inlineStr"/>
      <c r="B251" s="2" t="inlineStr"/>
      <c r="C251" s="2" t="inlineStr"/>
      <c r="D251" s="2" t="inlineStr"/>
      <c r="E251" s="28" t="inlineStr">
        <is>
          <t>VALOR:</t>
        </is>
      </c>
      <c r="F251" s="56" t="n"/>
      <c r="G251" s="66">
        <f>SUM(G250,G243,G247)</f>
        <v/>
      </c>
    </row>
    <row r="252" ht="15" customHeight="1">
      <c r="A252" s="2" t="inlineStr"/>
      <c r="B252" s="2" t="inlineStr"/>
      <c r="C252" s="2" t="inlineStr"/>
      <c r="D252" s="2" t="inlineStr"/>
      <c r="E252" s="28" t="inlineStr">
        <is>
          <t>VALOR BDI (23.08%):</t>
        </is>
      </c>
      <c r="F252" s="56" t="n"/>
      <c r="G252" s="66">
        <f>ROUNDDOWN(G251*BDI,2)</f>
        <v/>
      </c>
    </row>
    <row r="253" ht="15" customHeight="1">
      <c r="A253" s="2" t="inlineStr"/>
      <c r="B253" s="2" t="inlineStr"/>
      <c r="C253" s="2" t="inlineStr"/>
      <c r="D253" s="2" t="inlineStr"/>
      <c r="E253" s="28" t="inlineStr">
        <is>
          <t>VALOR COM BDI:</t>
        </is>
      </c>
      <c r="F253" s="56" t="n"/>
      <c r="G253" s="66">
        <f>G252 + G251</f>
        <v/>
      </c>
    </row>
    <row r="254" ht="10" customHeight="1">
      <c r="A254" s="2" t="inlineStr"/>
      <c r="B254" s="2" t="inlineStr"/>
      <c r="C254" s="2" t="inlineStr"/>
      <c r="D254" s="2" t="inlineStr"/>
      <c r="E254" s="18" t="inlineStr"/>
    </row>
    <row r="255" ht="20" customHeight="1">
      <c r="A255" s="19" t="inlineStr">
        <is>
          <t>​100475​ ARGAMASSA TRAÇO 1:3 (EM VOLUME DE CIMENTO E AREIA MÉDIA ÚMIDA) COM ADIÇÃO DE IMPERMEABILIZANTE, PREPARO MECÂNICO COM BETONEIRA 400 L. AF_08/2019​ (M3)</t>
        </is>
      </c>
      <c r="B255" s="55" t="n"/>
      <c r="C255" s="55" t="n"/>
      <c r="D255" s="55" t="n"/>
      <c r="E255" s="55" t="n"/>
      <c r="F255" s="55" t="n"/>
      <c r="G255" s="56" t="n"/>
    </row>
    <row r="256" ht="15" customHeight="1">
      <c r="A256" s="20" t="inlineStr">
        <is>
          <t>Equipamento Custo Horário</t>
        </is>
      </c>
      <c r="B256" s="56" t="n"/>
      <c r="C256" s="21" t="inlineStr">
        <is>
          <t>FONTE</t>
        </is>
      </c>
      <c r="D256" s="21" t="inlineStr">
        <is>
          <t>UNID</t>
        </is>
      </c>
      <c r="E256" s="21" t="inlineStr">
        <is>
          <t>COEFICIENTE</t>
        </is>
      </c>
      <c r="F256" s="21" t="inlineStr">
        <is>
          <t>PREÇO UNITÁRIO</t>
        </is>
      </c>
      <c r="G256" s="21" t="inlineStr">
        <is>
          <t>TOTAL</t>
        </is>
      </c>
    </row>
    <row r="257" ht="38" customHeight="1">
      <c r="A257" s="22" t="inlineStr">
        <is>
          <t>88831</t>
        </is>
      </c>
      <c r="B257" s="23" t="inlineStr">
        <is>
          <t>BETONEIRA CAPACIDADE NOMINAL DE 400 L, CAPACIDADE DE MISTURA 280 L, MOTOR ELÉTRICO TRIFÁSICO POTÊNCIA DE 2 CV, SEM CARREGADOR - CHI DIURNO. AF_05/2023</t>
        </is>
      </c>
      <c r="C257" s="22" t="inlineStr">
        <is>
          <t>SINAPI</t>
        </is>
      </c>
      <c r="D257" s="22" t="inlineStr">
        <is>
          <t>CHI</t>
        </is>
      </c>
      <c r="E257" s="63" t="n">
        <v>2.88</v>
      </c>
      <c r="F257" s="64">
        <f>'COMPOSICOES AUXILIARES'!G217</f>
        <v/>
      </c>
      <c r="G257" s="64">
        <f>TRUNC(TRUNC(E257,8)*F257,2)</f>
        <v/>
      </c>
      <c r="L257" t="n">
        <v>2.88</v>
      </c>
      <c r="M257" t="n">
        <v>0.4</v>
      </c>
      <c r="N257">
        <f>(M257-F257)</f>
        <v/>
      </c>
    </row>
    <row r="258" ht="38" customHeight="1">
      <c r="A258" s="22" t="inlineStr">
        <is>
          <t>88830</t>
        </is>
      </c>
      <c r="B258" s="23" t="inlineStr">
        <is>
          <t>BETONEIRA CAPACIDADE NOMINAL DE 400 L, CAPACIDADE DE MISTURA 280 L, MOTOR ELÉTRICO TRIFÁSICO POTÊNCIA DE 2 CV, SEM CARREGADOR - CHP DIURNO. AF_05/2023</t>
        </is>
      </c>
      <c r="C258" s="22" t="inlineStr">
        <is>
          <t>SINAPI</t>
        </is>
      </c>
      <c r="D258" s="22" t="inlineStr">
        <is>
          <t>CHP</t>
        </is>
      </c>
      <c r="E258" s="63" t="n">
        <v>0.87</v>
      </c>
      <c r="F258" s="64">
        <f>'COMPOSICOES AUXILIARES'!G217</f>
        <v/>
      </c>
      <c r="G258" s="64">
        <f>TRUNC(TRUNC(E258,8)*F258,2)</f>
        <v/>
      </c>
      <c r="L258" t="n">
        <v>0.87</v>
      </c>
      <c r="M258" t="n">
        <v>2.02</v>
      </c>
      <c r="N258">
        <f>(M258-F258)</f>
        <v/>
      </c>
    </row>
    <row r="259" ht="18" customHeight="1">
      <c r="A259" s="2" t="inlineStr"/>
      <c r="B259" s="2" t="inlineStr"/>
      <c r="C259" s="2" t="inlineStr"/>
      <c r="D259" s="2" t="inlineStr"/>
      <c r="E259" s="26" t="inlineStr">
        <is>
          <t>TOTAL Equipamento Custo Horário:</t>
        </is>
      </c>
      <c r="F259" s="56" t="n"/>
      <c r="G259" s="65">
        <f>SUM(G257:G258)</f>
        <v/>
      </c>
    </row>
    <row r="260" ht="15" customHeight="1">
      <c r="A260" s="20" t="inlineStr">
        <is>
          <t>Material</t>
        </is>
      </c>
      <c r="B260" s="56" t="n"/>
      <c r="C260" s="21" t="inlineStr">
        <is>
          <t>FONTE</t>
        </is>
      </c>
      <c r="D260" s="21" t="inlineStr">
        <is>
          <t>UNID</t>
        </is>
      </c>
      <c r="E260" s="21" t="inlineStr">
        <is>
          <t>COEFICIENTE</t>
        </is>
      </c>
      <c r="F260" s="21" t="inlineStr">
        <is>
          <t>PREÇO UNITÁRIO</t>
        </is>
      </c>
      <c r="G260" s="21" t="inlineStr">
        <is>
          <t>TOTAL</t>
        </is>
      </c>
    </row>
    <row r="261" ht="29" customHeight="1">
      <c r="A261" s="22" t="inlineStr">
        <is>
          <t>00000123</t>
        </is>
      </c>
      <c r="B261" s="23" t="inlineStr">
        <is>
          <t>ADITIVO IMPERMEABILIZANTE DE PEGA NORMAL PARA ARGAMASSAS E CONCRETOS SEM ARMACAO, LIQUIDO E ISENTO DE CLORETOS</t>
        </is>
      </c>
      <c r="C261" s="22" t="inlineStr">
        <is>
          <t>SINAPI</t>
        </is>
      </c>
      <c r="D261" s="22" t="inlineStr">
        <is>
          <t>L</t>
        </is>
      </c>
      <c r="E261" s="63" t="n">
        <v>19.44</v>
      </c>
      <c r="F261" s="64">
        <f>ROUND(M261*FATOR, 2)</f>
        <v/>
      </c>
      <c r="G261" s="64">
        <f>TRUNC(TRUNC(E261,8)*F261,2)</f>
        <v/>
      </c>
      <c r="L261" t="n">
        <v>19.44</v>
      </c>
      <c r="M261" t="n">
        <v>8.390000000000001</v>
      </c>
      <c r="N261">
        <f>(M261-F261)</f>
        <v/>
      </c>
    </row>
    <row r="262" ht="21" customHeight="1">
      <c r="A262" s="22" t="inlineStr">
        <is>
          <t>00000370</t>
        </is>
      </c>
      <c r="B262" s="23" t="inlineStr">
        <is>
          <t>AREIA MEDIA - POSTO JAZIDA/FORNECEDOR (RETIRADO NA JAZIDA, SEM TRANSPORTE)</t>
        </is>
      </c>
      <c r="C262" s="22" t="inlineStr">
        <is>
          <t>SINAPI</t>
        </is>
      </c>
      <c r="D262" s="22" t="inlineStr">
        <is>
          <t>M3</t>
        </is>
      </c>
      <c r="E262" s="63" t="n">
        <v>1.08</v>
      </c>
      <c r="F262" s="64">
        <f>ROUND(M262*FATOR, 2)</f>
        <v/>
      </c>
      <c r="G262" s="64">
        <f>TRUNC(TRUNC(E262,8)*F262,2)</f>
        <v/>
      </c>
      <c r="L262" t="n">
        <v>1.08</v>
      </c>
      <c r="M262" t="n">
        <v>130</v>
      </c>
      <c r="N262">
        <f>(M262-F262)</f>
        <v/>
      </c>
    </row>
    <row r="263" ht="15" customHeight="1">
      <c r="A263" s="22" t="inlineStr">
        <is>
          <t>00001379</t>
        </is>
      </c>
      <c r="B263" s="23" t="inlineStr">
        <is>
          <t>CIMENTO PORTLAND COMPOSTO CP II-32</t>
        </is>
      </c>
      <c r="C263" s="22" t="inlineStr">
        <is>
          <t>SINAPI</t>
        </is>
      </c>
      <c r="D263" s="22" t="inlineStr">
        <is>
          <t>KG</t>
        </is>
      </c>
      <c r="E263" s="63" t="n">
        <v>486</v>
      </c>
      <c r="F263" s="64">
        <f>ROUND(M263*FATOR, 2)</f>
        <v/>
      </c>
      <c r="G263" s="64">
        <f>TRUNC(TRUNC(E263,8)*F263,2)</f>
        <v/>
      </c>
      <c r="L263" t="n">
        <v>486</v>
      </c>
      <c r="M263" t="n">
        <v>0.74</v>
      </c>
      <c r="N263">
        <f>(M263-F263)</f>
        <v/>
      </c>
    </row>
    <row r="264" ht="15" customHeight="1">
      <c r="A264" s="2" t="inlineStr"/>
      <c r="B264" s="2" t="inlineStr"/>
      <c r="C264" s="2" t="inlineStr"/>
      <c r="D264" s="2" t="inlineStr"/>
      <c r="E264" s="26" t="inlineStr">
        <is>
          <t>TOTAL Material:</t>
        </is>
      </c>
      <c r="F264" s="56" t="n"/>
      <c r="G264" s="65">
        <f>SUM(G261:G263)</f>
        <v/>
      </c>
    </row>
    <row r="265" ht="15" customHeight="1">
      <c r="A265" s="20" t="inlineStr">
        <is>
          <t>Mão de Obra com Encargos Complementares</t>
        </is>
      </c>
      <c r="B265" s="56" t="n"/>
      <c r="C265" s="21" t="inlineStr">
        <is>
          <t>FONTE</t>
        </is>
      </c>
      <c r="D265" s="21" t="inlineStr">
        <is>
          <t>UNID</t>
        </is>
      </c>
      <c r="E265" s="21" t="inlineStr">
        <is>
          <t>COEFICIENTE</t>
        </is>
      </c>
      <c r="F265" s="21" t="inlineStr">
        <is>
          <t>PREÇO UNITÁRIO</t>
        </is>
      </c>
      <c r="G265" s="21" t="inlineStr">
        <is>
          <t>TOTAL</t>
        </is>
      </c>
    </row>
    <row r="266" ht="21" customHeight="1">
      <c r="A266" s="22" t="inlineStr">
        <is>
          <t>88377</t>
        </is>
      </c>
      <c r="B266" s="23" t="inlineStr">
        <is>
          <t>OPERADOR DE BETONEIRA ESTACIONÁRIA/MISTURADOR COM ENCARGOS COMPLEMENTARES</t>
        </is>
      </c>
      <c r="C266" s="22" t="inlineStr">
        <is>
          <t>SINAPI</t>
        </is>
      </c>
      <c r="D266" s="22" t="inlineStr">
        <is>
          <t>H</t>
        </is>
      </c>
      <c r="E266" s="63">
        <f>L266*FATOR</f>
        <v/>
      </c>
      <c r="F266" s="64">
        <f>'COMPOSICOES AUXILIARES'!G150</f>
        <v/>
      </c>
      <c r="G266" s="64">
        <f>TRUNC(TRUNC(E266,8)*F266,2)</f>
        <v/>
      </c>
      <c r="L266" t="n">
        <v>3.75</v>
      </c>
      <c r="M266" t="n">
        <v>29.43</v>
      </c>
      <c r="N266">
        <f>(M266-F266)</f>
        <v/>
      </c>
    </row>
    <row r="267" ht="18" customHeight="1">
      <c r="A267" s="2" t="inlineStr"/>
      <c r="B267" s="2" t="inlineStr"/>
      <c r="C267" s="2" t="inlineStr"/>
      <c r="D267" s="2" t="inlineStr"/>
      <c r="E267" s="26" t="inlineStr">
        <is>
          <t>TOTAL Mão de Obra com Encargos Complementares:</t>
        </is>
      </c>
      <c r="F267" s="56" t="n"/>
      <c r="G267" s="65">
        <f>SUM(G266:G266)</f>
        <v/>
      </c>
    </row>
    <row r="268" ht="15" customHeight="1">
      <c r="A268" s="2" t="inlineStr"/>
      <c r="B268" s="2" t="inlineStr"/>
      <c r="C268" s="2" t="inlineStr"/>
      <c r="D268" s="2" t="inlineStr"/>
      <c r="E268" s="28" t="inlineStr">
        <is>
          <t>VALOR:</t>
        </is>
      </c>
      <c r="F268" s="56" t="n"/>
      <c r="G268" s="66">
        <f>SUM(G264,G259,G267)</f>
        <v/>
      </c>
    </row>
    <row r="269" ht="15" customHeight="1">
      <c r="A269" s="2" t="inlineStr"/>
      <c r="B269" s="2" t="inlineStr"/>
      <c r="C269" s="2" t="inlineStr"/>
      <c r="D269" s="2" t="inlineStr"/>
      <c r="E269" s="28" t="inlineStr">
        <is>
          <t>VALOR BDI (23.08%):</t>
        </is>
      </c>
      <c r="F269" s="56" t="n"/>
      <c r="G269" s="66">
        <f>ROUNDDOWN(G268*BDI,2)</f>
        <v/>
      </c>
    </row>
    <row r="270" ht="15" customHeight="1">
      <c r="A270" s="2" t="inlineStr"/>
      <c r="B270" s="2" t="inlineStr"/>
      <c r="C270" s="2" t="inlineStr"/>
      <c r="D270" s="2" t="inlineStr"/>
      <c r="E270" s="28" t="inlineStr">
        <is>
          <t>VALOR COM BDI:</t>
        </is>
      </c>
      <c r="F270" s="56" t="n"/>
      <c r="G270" s="66">
        <f>G269 + G268</f>
        <v/>
      </c>
    </row>
    <row r="271" ht="10" customHeight="1">
      <c r="A271" s="2" t="inlineStr"/>
      <c r="B271" s="2" t="inlineStr"/>
      <c r="C271" s="2" t="inlineStr"/>
      <c r="D271" s="2" t="inlineStr"/>
      <c r="E271" s="18" t="inlineStr"/>
    </row>
    <row r="272" ht="20" customHeight="1">
      <c r="A272" s="19" t="inlineStr">
        <is>
          <t>​87372​ ARGAMASSA TRAÇO 1:3 (EM VOLUME DE CIMENTO E AREIA MÉDIA ÚMIDA) PARA CONTRAPISO, PREPARO MANUAL. AF_08/2019​ (M3)</t>
        </is>
      </c>
      <c r="B272" s="55" t="n"/>
      <c r="C272" s="55" t="n"/>
      <c r="D272" s="55" t="n"/>
      <c r="E272" s="55" t="n"/>
      <c r="F272" s="55" t="n"/>
      <c r="G272" s="56" t="n"/>
    </row>
    <row r="273" ht="15" customHeight="1">
      <c r="A273" s="20" t="inlineStr">
        <is>
          <t>Material</t>
        </is>
      </c>
      <c r="B273" s="56" t="n"/>
      <c r="C273" s="21" t="inlineStr">
        <is>
          <t>FONTE</t>
        </is>
      </c>
      <c r="D273" s="21" t="inlineStr">
        <is>
          <t>UNID</t>
        </is>
      </c>
      <c r="E273" s="21" t="inlineStr">
        <is>
          <t>COEFICIENTE</t>
        </is>
      </c>
      <c r="F273" s="21" t="inlineStr">
        <is>
          <t>PREÇO UNITÁRIO</t>
        </is>
      </c>
      <c r="G273" s="21" t="inlineStr">
        <is>
          <t>TOTAL</t>
        </is>
      </c>
    </row>
    <row r="274" ht="21" customHeight="1">
      <c r="A274" s="22" t="inlineStr">
        <is>
          <t>00000370</t>
        </is>
      </c>
      <c r="B274" s="23" t="inlineStr">
        <is>
          <t>AREIA MEDIA - POSTO JAZIDA/FORNECEDOR (RETIRADO NA JAZIDA, SEM TRANSPORTE)</t>
        </is>
      </c>
      <c r="C274" s="22" t="inlineStr">
        <is>
          <t>SINAPI</t>
        </is>
      </c>
      <c r="D274" s="22" t="inlineStr">
        <is>
          <t>M3</t>
        </is>
      </c>
      <c r="E274" s="63" t="n">
        <v>1.25</v>
      </c>
      <c r="F274" s="64">
        <f>ROUND(M274*FATOR, 2)</f>
        <v/>
      </c>
      <c r="G274" s="64">
        <f>TRUNC(TRUNC(E274,8)*F274,2)</f>
        <v/>
      </c>
      <c r="L274" t="n">
        <v>1.25</v>
      </c>
      <c r="M274" t="n">
        <v>130</v>
      </c>
      <c r="N274">
        <f>(M274-F274)</f>
        <v/>
      </c>
    </row>
    <row r="275" ht="15" customHeight="1">
      <c r="A275" s="22" t="inlineStr">
        <is>
          <t>00001379</t>
        </is>
      </c>
      <c r="B275" s="23" t="inlineStr">
        <is>
          <t>CIMENTO PORTLAND COMPOSTO CP II-32</t>
        </is>
      </c>
      <c r="C275" s="22" t="inlineStr">
        <is>
          <t>SINAPI</t>
        </is>
      </c>
      <c r="D275" s="22" t="inlineStr">
        <is>
          <t>KG</t>
        </is>
      </c>
      <c r="E275" s="63" t="n">
        <v>563.59</v>
      </c>
      <c r="F275" s="64">
        <f>ROUND(M275*FATOR, 2)</f>
        <v/>
      </c>
      <c r="G275" s="64">
        <f>TRUNC(TRUNC(E275,8)*F275,2)</f>
        <v/>
      </c>
      <c r="L275" t="n">
        <v>563.59</v>
      </c>
      <c r="M275" t="n">
        <v>0.74</v>
      </c>
      <c r="N275">
        <f>(M275-F275)</f>
        <v/>
      </c>
    </row>
    <row r="276" ht="15" customHeight="1">
      <c r="A276" s="2" t="inlineStr"/>
      <c r="B276" s="2" t="inlineStr"/>
      <c r="C276" s="2" t="inlineStr"/>
      <c r="D276" s="2" t="inlineStr"/>
      <c r="E276" s="26" t="inlineStr">
        <is>
          <t>TOTAL Material:</t>
        </is>
      </c>
      <c r="F276" s="56" t="n"/>
      <c r="G276" s="65">
        <f>SUM(G274:G275)</f>
        <v/>
      </c>
    </row>
    <row r="277" ht="15" customHeight="1">
      <c r="A277" s="20" t="inlineStr">
        <is>
          <t>Mão de Obra com Encargos Complementares</t>
        </is>
      </c>
      <c r="B277" s="56" t="n"/>
      <c r="C277" s="21" t="inlineStr">
        <is>
          <t>FONTE</t>
        </is>
      </c>
      <c r="D277" s="21" t="inlineStr">
        <is>
          <t>UNID</t>
        </is>
      </c>
      <c r="E277" s="21" t="inlineStr">
        <is>
          <t>COEFICIENTE</t>
        </is>
      </c>
      <c r="F277" s="21" t="inlineStr">
        <is>
          <t>PREÇO UNITÁRIO</t>
        </is>
      </c>
      <c r="G277" s="21" t="inlineStr">
        <is>
          <t>TOTAL</t>
        </is>
      </c>
    </row>
    <row r="278" ht="15" customHeight="1">
      <c r="A278" s="22" t="inlineStr">
        <is>
          <t>88316</t>
        </is>
      </c>
      <c r="B278" s="23" t="inlineStr">
        <is>
          <t>SERVENTE COM ENCARGOS COMPLEMENTARES</t>
        </is>
      </c>
      <c r="C278" s="22" t="inlineStr">
        <is>
          <t>SINAPI</t>
        </is>
      </c>
      <c r="D278" s="22" t="inlineStr">
        <is>
          <t>H</t>
        </is>
      </c>
      <c r="E278" s="63">
        <f>L278*FATOR</f>
        <v/>
      </c>
      <c r="F278" s="64">
        <f>'COMPOSICOES AUXILIARES'!G161</f>
        <v/>
      </c>
      <c r="G278" s="64">
        <f>TRUNC(TRUNC(E278,8)*F278,2)</f>
        <v/>
      </c>
      <c r="L278" t="n">
        <v>11.65</v>
      </c>
      <c r="M278" t="n">
        <v>23.56</v>
      </c>
      <c r="N278">
        <f>(M278-F278)</f>
        <v/>
      </c>
    </row>
    <row r="279" ht="18" customHeight="1">
      <c r="A279" s="2" t="inlineStr"/>
      <c r="B279" s="2" t="inlineStr"/>
      <c r="C279" s="2" t="inlineStr"/>
      <c r="D279" s="2" t="inlineStr"/>
      <c r="E279" s="26" t="inlineStr">
        <is>
          <t>TOTAL Mão de Obra com Encargos Complementares:</t>
        </is>
      </c>
      <c r="F279" s="56" t="n"/>
      <c r="G279" s="65">
        <f>SUM(G278:G278)</f>
        <v/>
      </c>
    </row>
    <row r="280" ht="15" customHeight="1">
      <c r="A280" s="2" t="inlineStr"/>
      <c r="B280" s="2" t="inlineStr"/>
      <c r="C280" s="2" t="inlineStr"/>
      <c r="D280" s="2" t="inlineStr"/>
      <c r="E280" s="28" t="inlineStr">
        <is>
          <t>VALOR:</t>
        </is>
      </c>
      <c r="F280" s="56" t="n"/>
      <c r="G280" s="66">
        <f>SUM(G276,G279)</f>
        <v/>
      </c>
    </row>
    <row r="281" ht="15" customHeight="1">
      <c r="A281" s="2" t="inlineStr"/>
      <c r="B281" s="2" t="inlineStr"/>
      <c r="C281" s="2" t="inlineStr"/>
      <c r="D281" s="2" t="inlineStr"/>
      <c r="E281" s="28" t="inlineStr">
        <is>
          <t>VALOR BDI (23.08%):</t>
        </is>
      </c>
      <c r="F281" s="56" t="n"/>
      <c r="G281" s="66">
        <f>ROUNDDOWN(G280*BDI,2)</f>
        <v/>
      </c>
    </row>
    <row r="282" ht="15" customHeight="1">
      <c r="A282" s="2" t="inlineStr"/>
      <c r="B282" s="2" t="inlineStr"/>
      <c r="C282" s="2" t="inlineStr"/>
      <c r="D282" s="2" t="inlineStr"/>
      <c r="E282" s="28" t="inlineStr">
        <is>
          <t>VALOR COM BDI:</t>
        </is>
      </c>
      <c r="F282" s="56" t="n"/>
      <c r="G282" s="66">
        <f>G281 + G280</f>
        <v/>
      </c>
    </row>
    <row r="283" ht="10" customHeight="1">
      <c r="A283" s="2" t="inlineStr"/>
      <c r="B283" s="2" t="inlineStr"/>
      <c r="C283" s="2" t="inlineStr"/>
      <c r="D283" s="2" t="inlineStr"/>
      <c r="E283" s="18" t="inlineStr"/>
    </row>
    <row r="284" ht="20" customHeight="1">
      <c r="A284" s="19" t="inlineStr">
        <is>
          <t>​87298​ ARGAMASSA TRAÇO 1:3 (EM VOLUME DE CIMENTO E AREIA MÉDIA ÚMIDA) PARA CONTRAPISO, PREPARO MECÂNICO COM BETONEIRA 400 L. AF_08/2019​ (M3)</t>
        </is>
      </c>
      <c r="B284" s="55" t="n"/>
      <c r="C284" s="55" t="n"/>
      <c r="D284" s="55" t="n"/>
      <c r="E284" s="55" t="n"/>
      <c r="F284" s="55" t="n"/>
      <c r="G284" s="56" t="n"/>
    </row>
    <row r="285" ht="15" customHeight="1">
      <c r="A285" s="20" t="inlineStr">
        <is>
          <t>Equipamento Custo Horário</t>
        </is>
      </c>
      <c r="B285" s="56" t="n"/>
      <c r="C285" s="21" t="inlineStr">
        <is>
          <t>FONTE</t>
        </is>
      </c>
      <c r="D285" s="21" t="inlineStr">
        <is>
          <t>UNID</t>
        </is>
      </c>
      <c r="E285" s="21" t="inlineStr">
        <is>
          <t>COEFICIENTE</t>
        </is>
      </c>
      <c r="F285" s="21" t="inlineStr">
        <is>
          <t>PREÇO UNITÁRIO</t>
        </is>
      </c>
      <c r="G285" s="21" t="inlineStr">
        <is>
          <t>TOTAL</t>
        </is>
      </c>
    </row>
    <row r="286" ht="38" customHeight="1">
      <c r="A286" s="22" t="inlineStr">
        <is>
          <t>88831</t>
        </is>
      </c>
      <c r="B286" s="23" t="inlineStr">
        <is>
          <t>BETONEIRA CAPACIDADE NOMINAL DE 400 L, CAPACIDADE DE MISTURA 280 L, MOTOR ELÉTRICO TRIFÁSICO POTÊNCIA DE 2 CV, SEM CARREGADOR - CHI DIURNO. AF_05/2023</t>
        </is>
      </c>
      <c r="C286" s="22" t="inlineStr">
        <is>
          <t>SINAPI</t>
        </is>
      </c>
      <c r="D286" s="22" t="inlineStr">
        <is>
          <t>CHI</t>
        </is>
      </c>
      <c r="E286" s="63" t="n">
        <v>3.39</v>
      </c>
      <c r="F286" s="64">
        <f>'COMPOSICOES AUXILIARES'!G217</f>
        <v/>
      </c>
      <c r="G286" s="64">
        <f>TRUNC(TRUNC(E286,8)*F286,2)</f>
        <v/>
      </c>
      <c r="L286" t="n">
        <v>3.39</v>
      </c>
      <c r="M286" t="n">
        <v>0.4</v>
      </c>
      <c r="N286">
        <f>(M286-F286)</f>
        <v/>
      </c>
    </row>
    <row r="287" ht="38" customHeight="1">
      <c r="A287" s="22" t="inlineStr">
        <is>
          <t>88830</t>
        </is>
      </c>
      <c r="B287" s="23" t="inlineStr">
        <is>
          <t>BETONEIRA CAPACIDADE NOMINAL DE 400 L, CAPACIDADE DE MISTURA 280 L, MOTOR ELÉTRICO TRIFÁSICO POTÊNCIA DE 2 CV, SEM CARREGADOR - CHP DIURNO. AF_05/2023</t>
        </is>
      </c>
      <c r="C287" s="22" t="inlineStr">
        <is>
          <t>SINAPI</t>
        </is>
      </c>
      <c r="D287" s="22" t="inlineStr">
        <is>
          <t>CHP</t>
        </is>
      </c>
      <c r="E287" s="63" t="n">
        <v>1.03</v>
      </c>
      <c r="F287" s="64">
        <f>'COMPOSICOES AUXILIARES'!G217</f>
        <v/>
      </c>
      <c r="G287" s="64">
        <f>TRUNC(TRUNC(E287,8)*F287,2)</f>
        <v/>
      </c>
      <c r="L287" t="n">
        <v>1.03</v>
      </c>
      <c r="M287" t="n">
        <v>2.02</v>
      </c>
      <c r="N287">
        <f>(M287-F287)</f>
        <v/>
      </c>
    </row>
    <row r="288" ht="18" customHeight="1">
      <c r="A288" s="2" t="inlineStr"/>
      <c r="B288" s="2" t="inlineStr"/>
      <c r="C288" s="2" t="inlineStr"/>
      <c r="D288" s="2" t="inlineStr"/>
      <c r="E288" s="26" t="inlineStr">
        <is>
          <t>TOTAL Equipamento Custo Horário:</t>
        </is>
      </c>
      <c r="F288" s="56" t="n"/>
      <c r="G288" s="65">
        <f>SUM(G286:G287)</f>
        <v/>
      </c>
    </row>
    <row r="289" ht="15" customHeight="1">
      <c r="A289" s="20" t="inlineStr">
        <is>
          <t>Material</t>
        </is>
      </c>
      <c r="B289" s="56" t="n"/>
      <c r="C289" s="21" t="inlineStr">
        <is>
          <t>FONTE</t>
        </is>
      </c>
      <c r="D289" s="21" t="inlineStr">
        <is>
          <t>UNID</t>
        </is>
      </c>
      <c r="E289" s="21" t="inlineStr">
        <is>
          <t>COEFICIENTE</t>
        </is>
      </c>
      <c r="F289" s="21" t="inlineStr">
        <is>
          <t>PREÇO UNITÁRIO</t>
        </is>
      </c>
      <c r="G289" s="21" t="inlineStr">
        <is>
          <t>TOTAL</t>
        </is>
      </c>
    </row>
    <row r="290" ht="21" customHeight="1">
      <c r="A290" s="22" t="inlineStr">
        <is>
          <t>00000370</t>
        </is>
      </c>
      <c r="B290" s="23" t="inlineStr">
        <is>
          <t>AREIA MEDIA - POSTO JAZIDA/FORNECEDOR (RETIRADO NA JAZIDA, SEM TRANSPORTE)</t>
        </is>
      </c>
      <c r="C290" s="22" t="inlineStr">
        <is>
          <t>SINAPI</t>
        </is>
      </c>
      <c r="D290" s="22" t="inlineStr">
        <is>
          <t>M3</t>
        </is>
      </c>
      <c r="E290" s="63" t="n">
        <v>1.27</v>
      </c>
      <c r="F290" s="64">
        <f>ROUND(M290*FATOR, 2)</f>
        <v/>
      </c>
      <c r="G290" s="64">
        <f>TRUNC(TRUNC(E290,8)*F290,2)</f>
        <v/>
      </c>
      <c r="L290" t="n">
        <v>1.27</v>
      </c>
      <c r="M290" t="n">
        <v>130</v>
      </c>
      <c r="N290">
        <f>(M290-F290)</f>
        <v/>
      </c>
    </row>
    <row r="291" ht="15" customHeight="1">
      <c r="A291" s="22" t="inlineStr">
        <is>
          <t>00001379</t>
        </is>
      </c>
      <c r="B291" s="23" t="inlineStr">
        <is>
          <t>CIMENTO PORTLAND COMPOSTO CP II-32</t>
        </is>
      </c>
      <c r="C291" s="22" t="inlineStr">
        <is>
          <t>SINAPI</t>
        </is>
      </c>
      <c r="D291" s="22" t="inlineStr">
        <is>
          <t>KG</t>
        </is>
      </c>
      <c r="E291" s="63" t="n">
        <v>573.61</v>
      </c>
      <c r="F291" s="64">
        <f>ROUND(M291*FATOR, 2)</f>
        <v/>
      </c>
      <c r="G291" s="64">
        <f>TRUNC(TRUNC(E291,8)*F291,2)</f>
        <v/>
      </c>
      <c r="L291" t="n">
        <v>573.61</v>
      </c>
      <c r="M291" t="n">
        <v>0.74</v>
      </c>
      <c r="N291">
        <f>(M291-F291)</f>
        <v/>
      </c>
    </row>
    <row r="292" ht="15" customHeight="1">
      <c r="A292" s="2" t="inlineStr"/>
      <c r="B292" s="2" t="inlineStr"/>
      <c r="C292" s="2" t="inlineStr"/>
      <c r="D292" s="2" t="inlineStr"/>
      <c r="E292" s="26" t="inlineStr">
        <is>
          <t>TOTAL Material:</t>
        </is>
      </c>
      <c r="F292" s="56" t="n"/>
      <c r="G292" s="65">
        <f>SUM(G290:G291)</f>
        <v/>
      </c>
    </row>
    <row r="293" ht="15" customHeight="1">
      <c r="A293" s="20" t="inlineStr">
        <is>
          <t>Mão de Obra com Encargos Complementares</t>
        </is>
      </c>
      <c r="B293" s="56" t="n"/>
      <c r="C293" s="21" t="inlineStr">
        <is>
          <t>FONTE</t>
        </is>
      </c>
      <c r="D293" s="21" t="inlineStr">
        <is>
          <t>UNID</t>
        </is>
      </c>
      <c r="E293" s="21" t="inlineStr">
        <is>
          <t>COEFICIENTE</t>
        </is>
      </c>
      <c r="F293" s="21" t="inlineStr">
        <is>
          <t>PREÇO UNITÁRIO</t>
        </is>
      </c>
      <c r="G293" s="21" t="inlineStr">
        <is>
          <t>TOTAL</t>
        </is>
      </c>
    </row>
    <row r="294" ht="21" customHeight="1">
      <c r="A294" s="22" t="inlineStr">
        <is>
          <t>88377</t>
        </is>
      </c>
      <c r="B294" s="23" t="inlineStr">
        <is>
          <t>OPERADOR DE BETONEIRA ESTACIONÁRIA/MISTURADOR COM ENCARGOS COMPLEMENTARES</t>
        </is>
      </c>
      <c r="C294" s="22" t="inlineStr">
        <is>
          <t>SINAPI</t>
        </is>
      </c>
      <c r="D294" s="22" t="inlineStr">
        <is>
          <t>H</t>
        </is>
      </c>
      <c r="E294" s="63">
        <f>L294*FATOR</f>
        <v/>
      </c>
      <c r="F294" s="64">
        <f>'COMPOSICOES AUXILIARES'!G150</f>
        <v/>
      </c>
      <c r="G294" s="64">
        <f>TRUNC(TRUNC(E294,8)*F294,2)</f>
        <v/>
      </c>
      <c r="L294" t="n">
        <v>4.42</v>
      </c>
      <c r="M294" t="n">
        <v>29.43</v>
      </c>
      <c r="N294">
        <f>(M294-F294)</f>
        <v/>
      </c>
    </row>
    <row r="295" ht="18" customHeight="1">
      <c r="A295" s="2" t="inlineStr"/>
      <c r="B295" s="2" t="inlineStr"/>
      <c r="C295" s="2" t="inlineStr"/>
      <c r="D295" s="2" t="inlineStr"/>
      <c r="E295" s="26" t="inlineStr">
        <is>
          <t>TOTAL Mão de Obra com Encargos Complementares:</t>
        </is>
      </c>
      <c r="F295" s="56" t="n"/>
      <c r="G295" s="65">
        <f>SUM(G294:G294)</f>
        <v/>
      </c>
    </row>
    <row r="296" ht="15" customHeight="1">
      <c r="A296" s="2" t="inlineStr"/>
      <c r="B296" s="2" t="inlineStr"/>
      <c r="C296" s="2" t="inlineStr"/>
      <c r="D296" s="2" t="inlineStr"/>
      <c r="E296" s="28" t="inlineStr">
        <is>
          <t>VALOR:</t>
        </is>
      </c>
      <c r="F296" s="56" t="n"/>
      <c r="G296" s="66">
        <f>SUM(G288,G292,G295)</f>
        <v/>
      </c>
    </row>
    <row r="297" ht="15" customHeight="1">
      <c r="A297" s="2" t="inlineStr"/>
      <c r="B297" s="2" t="inlineStr"/>
      <c r="C297" s="2" t="inlineStr"/>
      <c r="D297" s="2" t="inlineStr"/>
      <c r="E297" s="28" t="inlineStr">
        <is>
          <t>VALOR BDI (23.08%):</t>
        </is>
      </c>
      <c r="F297" s="56" t="n"/>
      <c r="G297" s="66">
        <f>ROUNDDOWN(G296*BDI,2)</f>
        <v/>
      </c>
    </row>
    <row r="298" ht="15" customHeight="1">
      <c r="A298" s="2" t="inlineStr"/>
      <c r="B298" s="2" t="inlineStr"/>
      <c r="C298" s="2" t="inlineStr"/>
      <c r="D298" s="2" t="inlineStr"/>
      <c r="E298" s="28" t="inlineStr">
        <is>
          <t>VALOR COM BDI:</t>
        </is>
      </c>
      <c r="F298" s="56" t="n"/>
      <c r="G298" s="66">
        <f>G297 + G296</f>
        <v/>
      </c>
    </row>
    <row r="299" ht="10" customHeight="1">
      <c r="A299" s="2" t="inlineStr"/>
      <c r="B299" s="2" t="inlineStr"/>
      <c r="C299" s="2" t="inlineStr"/>
      <c r="D299" s="2" t="inlineStr"/>
      <c r="E299" s="18" t="inlineStr"/>
    </row>
    <row r="300" ht="20" customHeight="1">
      <c r="A300" s="19" t="inlineStr">
        <is>
          <t>​88629​ ARGAMASSA TRAÇO 1:3 (EM VOLUME DE CIMENTO E AREIA MÉDIA ÚMIDA), PREPARO MANUAL. AF_08/2019​ (M3)</t>
        </is>
      </c>
      <c r="B300" s="55" t="n"/>
      <c r="C300" s="55" t="n"/>
      <c r="D300" s="55" t="n"/>
      <c r="E300" s="55" t="n"/>
      <c r="F300" s="55" t="n"/>
      <c r="G300" s="56" t="n"/>
    </row>
    <row r="301" ht="15" customHeight="1">
      <c r="A301" s="20" t="inlineStr">
        <is>
          <t>Material</t>
        </is>
      </c>
      <c r="B301" s="56" t="n"/>
      <c r="C301" s="21" t="inlineStr">
        <is>
          <t>FONTE</t>
        </is>
      </c>
      <c r="D301" s="21" t="inlineStr">
        <is>
          <t>UNID</t>
        </is>
      </c>
      <c r="E301" s="21" t="inlineStr">
        <is>
          <t>COEFICIENTE</t>
        </is>
      </c>
      <c r="F301" s="21" t="inlineStr">
        <is>
          <t>PREÇO UNITÁRIO</t>
        </is>
      </c>
      <c r="G301" s="21" t="inlineStr">
        <is>
          <t>TOTAL</t>
        </is>
      </c>
    </row>
    <row r="302" ht="21" customHeight="1">
      <c r="A302" s="22" t="inlineStr">
        <is>
          <t>00000370</t>
        </is>
      </c>
      <c r="B302" s="23" t="inlineStr">
        <is>
          <t>AREIA MEDIA - POSTO JAZIDA/FORNECEDOR (RETIRADO NA JAZIDA, SEM TRANSPORTE)</t>
        </is>
      </c>
      <c r="C302" s="22" t="inlineStr">
        <is>
          <t>SINAPI</t>
        </is>
      </c>
      <c r="D302" s="22" t="inlineStr">
        <is>
          <t>M3</t>
        </is>
      </c>
      <c r="E302" s="63" t="n">
        <v>1.07</v>
      </c>
      <c r="F302" s="64">
        <f>ROUND(M302*FATOR, 2)</f>
        <v/>
      </c>
      <c r="G302" s="64">
        <f>TRUNC(TRUNC(E302,8)*F302,2)</f>
        <v/>
      </c>
      <c r="L302" t="n">
        <v>1.07</v>
      </c>
      <c r="M302" t="n">
        <v>130</v>
      </c>
      <c r="N302">
        <f>(M302-F302)</f>
        <v/>
      </c>
    </row>
    <row r="303" ht="15" customHeight="1">
      <c r="A303" s="22" t="inlineStr">
        <is>
          <t>00001379</t>
        </is>
      </c>
      <c r="B303" s="23" t="inlineStr">
        <is>
          <t>CIMENTO PORTLAND COMPOSTO CP II-32</t>
        </is>
      </c>
      <c r="C303" s="22" t="inlineStr">
        <is>
          <t>SINAPI</t>
        </is>
      </c>
      <c r="D303" s="22" t="inlineStr">
        <is>
          <t>KG</t>
        </is>
      </c>
      <c r="E303" s="63" t="n">
        <v>482.96</v>
      </c>
      <c r="F303" s="64">
        <f>ROUND(M303*FATOR, 2)</f>
        <v/>
      </c>
      <c r="G303" s="64">
        <f>TRUNC(TRUNC(E303,8)*F303,2)</f>
        <v/>
      </c>
      <c r="L303" t="n">
        <v>482.96</v>
      </c>
      <c r="M303" t="n">
        <v>0.74</v>
      </c>
      <c r="N303">
        <f>(M303-F303)</f>
        <v/>
      </c>
    </row>
    <row r="304" ht="15" customHeight="1">
      <c r="A304" s="2" t="inlineStr"/>
      <c r="B304" s="2" t="inlineStr"/>
      <c r="C304" s="2" t="inlineStr"/>
      <c r="D304" s="2" t="inlineStr"/>
      <c r="E304" s="26" t="inlineStr">
        <is>
          <t>TOTAL Material:</t>
        </is>
      </c>
      <c r="F304" s="56" t="n"/>
      <c r="G304" s="65">
        <f>SUM(G302:G303)</f>
        <v/>
      </c>
    </row>
    <row r="305" ht="15" customHeight="1">
      <c r="A305" s="20" t="inlineStr">
        <is>
          <t>Mão de Obra com Encargos Complementares</t>
        </is>
      </c>
      <c r="B305" s="56" t="n"/>
      <c r="C305" s="21" t="inlineStr">
        <is>
          <t>FONTE</t>
        </is>
      </c>
      <c r="D305" s="21" t="inlineStr">
        <is>
          <t>UNID</t>
        </is>
      </c>
      <c r="E305" s="21" t="inlineStr">
        <is>
          <t>COEFICIENTE</t>
        </is>
      </c>
      <c r="F305" s="21" t="inlineStr">
        <is>
          <t>PREÇO UNITÁRIO</t>
        </is>
      </c>
      <c r="G305" s="21" t="inlineStr">
        <is>
          <t>TOTAL</t>
        </is>
      </c>
    </row>
    <row r="306" ht="15" customHeight="1">
      <c r="A306" s="22" t="inlineStr">
        <is>
          <t>88316</t>
        </is>
      </c>
      <c r="B306" s="23" t="inlineStr">
        <is>
          <t>SERVENTE COM ENCARGOS COMPLEMENTARES</t>
        </is>
      </c>
      <c r="C306" s="22" t="inlineStr">
        <is>
          <t>SINAPI</t>
        </is>
      </c>
      <c r="D306" s="22" t="inlineStr">
        <is>
          <t>H</t>
        </is>
      </c>
      <c r="E306" s="63">
        <f>L306*FATOR</f>
        <v/>
      </c>
      <c r="F306" s="64">
        <f>'COMPOSICOES AUXILIARES'!G161</f>
        <v/>
      </c>
      <c r="G306" s="64">
        <f>TRUNC(TRUNC(E306,8)*F306,2)</f>
        <v/>
      </c>
      <c r="L306" t="n">
        <v>8.57</v>
      </c>
      <c r="M306" t="n">
        <v>23.56</v>
      </c>
      <c r="N306">
        <f>(M306-F306)</f>
        <v/>
      </c>
    </row>
    <row r="307" ht="18" customHeight="1">
      <c r="A307" s="2" t="inlineStr"/>
      <c r="B307" s="2" t="inlineStr"/>
      <c r="C307" s="2" t="inlineStr"/>
      <c r="D307" s="2" t="inlineStr"/>
      <c r="E307" s="26" t="inlineStr">
        <is>
          <t>TOTAL Mão de Obra com Encargos Complementares:</t>
        </is>
      </c>
      <c r="F307" s="56" t="n"/>
      <c r="G307" s="65">
        <f>SUM(G306:G306)</f>
        <v/>
      </c>
    </row>
    <row r="308" ht="15" customHeight="1">
      <c r="A308" s="2" t="inlineStr"/>
      <c r="B308" s="2" t="inlineStr"/>
      <c r="C308" s="2" t="inlineStr"/>
      <c r="D308" s="2" t="inlineStr"/>
      <c r="E308" s="28" t="inlineStr">
        <is>
          <t>VALOR:</t>
        </is>
      </c>
      <c r="F308" s="56" t="n"/>
      <c r="G308" s="66">
        <f>SUM(G304,G307)</f>
        <v/>
      </c>
    </row>
    <row r="309" ht="15" customHeight="1">
      <c r="A309" s="2" t="inlineStr"/>
      <c r="B309" s="2" t="inlineStr"/>
      <c r="C309" s="2" t="inlineStr"/>
      <c r="D309" s="2" t="inlineStr"/>
      <c r="E309" s="28" t="inlineStr">
        <is>
          <t>VALOR BDI (23.08%):</t>
        </is>
      </c>
      <c r="F309" s="56" t="n"/>
      <c r="G309" s="66">
        <f>ROUNDDOWN(G308*BDI,2)</f>
        <v/>
      </c>
    </row>
    <row r="310" ht="15" customHeight="1">
      <c r="A310" s="2" t="inlineStr"/>
      <c r="B310" s="2" t="inlineStr"/>
      <c r="C310" s="2" t="inlineStr"/>
      <c r="D310" s="2" t="inlineStr"/>
      <c r="E310" s="28" t="inlineStr">
        <is>
          <t>VALOR COM BDI:</t>
        </is>
      </c>
      <c r="F310" s="56" t="n"/>
      <c r="G310" s="66">
        <f>G309 + G308</f>
        <v/>
      </c>
    </row>
    <row r="311" ht="10" customHeight="1">
      <c r="A311" s="2" t="inlineStr"/>
      <c r="B311" s="2" t="inlineStr"/>
      <c r="C311" s="2" t="inlineStr"/>
      <c r="D311" s="2" t="inlineStr"/>
      <c r="E311" s="18" t="inlineStr"/>
    </row>
    <row r="312" ht="20" customHeight="1">
      <c r="A312" s="19" t="inlineStr">
        <is>
          <t>​88628​ ARGAMASSA TRAÇO 1:3 (EM VOLUME DE CIMENTO E AREIA MÉDIA ÚMIDA), PREPARO MECÂNICO COM BETONEIRA 400 L. AF_08/2019​ (M3)</t>
        </is>
      </c>
      <c r="B312" s="55" t="n"/>
      <c r="C312" s="55" t="n"/>
      <c r="D312" s="55" t="n"/>
      <c r="E312" s="55" t="n"/>
      <c r="F312" s="55" t="n"/>
      <c r="G312" s="56" t="n"/>
    </row>
    <row r="313" ht="15" customHeight="1">
      <c r="A313" s="20" t="inlineStr">
        <is>
          <t>Equipamento Custo Horário</t>
        </is>
      </c>
      <c r="B313" s="56" t="n"/>
      <c r="C313" s="21" t="inlineStr">
        <is>
          <t>FONTE</t>
        </is>
      </c>
      <c r="D313" s="21" t="inlineStr">
        <is>
          <t>UNID</t>
        </is>
      </c>
      <c r="E313" s="21" t="inlineStr">
        <is>
          <t>COEFICIENTE</t>
        </is>
      </c>
      <c r="F313" s="21" t="inlineStr">
        <is>
          <t>PREÇO UNITÁRIO</t>
        </is>
      </c>
      <c r="G313" s="21" t="inlineStr">
        <is>
          <t>TOTAL</t>
        </is>
      </c>
    </row>
    <row r="314" ht="38" customHeight="1">
      <c r="A314" s="22" t="inlineStr">
        <is>
          <t>88831</t>
        </is>
      </c>
      <c r="B314" s="23" t="inlineStr">
        <is>
          <t>BETONEIRA CAPACIDADE NOMINAL DE 400 L, CAPACIDADE DE MISTURA 280 L, MOTOR ELÉTRICO TRIFÁSICO POTÊNCIA DE 2 CV, SEM CARREGADOR - CHI DIURNO. AF_05/2023</t>
        </is>
      </c>
      <c r="C314" s="22" t="inlineStr">
        <is>
          <t>SINAPI</t>
        </is>
      </c>
      <c r="D314" s="22" t="inlineStr">
        <is>
          <t>CHI</t>
        </is>
      </c>
      <c r="E314" s="63" t="n">
        <v>2.62</v>
      </c>
      <c r="F314" s="64">
        <f>'COMPOSICOES AUXILIARES'!G217</f>
        <v/>
      </c>
      <c r="G314" s="64">
        <f>TRUNC(TRUNC(E314,8)*F314,2)</f>
        <v/>
      </c>
      <c r="L314" t="n">
        <v>2.62</v>
      </c>
      <c r="M314" t="n">
        <v>0.4</v>
      </c>
      <c r="N314">
        <f>(M314-F314)</f>
        <v/>
      </c>
    </row>
    <row r="315" ht="38" customHeight="1">
      <c r="A315" s="22" t="inlineStr">
        <is>
          <t>88830</t>
        </is>
      </c>
      <c r="B315" s="23" t="inlineStr">
        <is>
          <t>BETONEIRA CAPACIDADE NOMINAL DE 400 L, CAPACIDADE DE MISTURA 280 L, MOTOR ELÉTRICO TRIFÁSICO POTÊNCIA DE 2 CV, SEM CARREGADOR - CHP DIURNO. AF_05/2023</t>
        </is>
      </c>
      <c r="C315" s="22" t="inlineStr">
        <is>
          <t>SINAPI</t>
        </is>
      </c>
      <c r="D315" s="22" t="inlineStr">
        <is>
          <t>CHP</t>
        </is>
      </c>
      <c r="E315" s="63" t="n">
        <v>0.8</v>
      </c>
      <c r="F315" s="64">
        <f>'COMPOSICOES AUXILIARES'!G217</f>
        <v/>
      </c>
      <c r="G315" s="64">
        <f>TRUNC(TRUNC(E315,8)*F315,2)</f>
        <v/>
      </c>
      <c r="L315" t="n">
        <v>0.8</v>
      </c>
      <c r="M315" t="n">
        <v>2.02</v>
      </c>
      <c r="N315">
        <f>(M315-F315)</f>
        <v/>
      </c>
    </row>
    <row r="316" ht="18" customHeight="1">
      <c r="A316" s="2" t="inlineStr"/>
      <c r="B316" s="2" t="inlineStr"/>
      <c r="C316" s="2" t="inlineStr"/>
      <c r="D316" s="2" t="inlineStr"/>
      <c r="E316" s="26" t="inlineStr">
        <is>
          <t>TOTAL Equipamento Custo Horário:</t>
        </is>
      </c>
      <c r="F316" s="56" t="n"/>
      <c r="G316" s="65">
        <f>SUM(G314:G315)</f>
        <v/>
      </c>
    </row>
    <row r="317" ht="15" customHeight="1">
      <c r="A317" s="20" t="inlineStr">
        <is>
          <t>Material</t>
        </is>
      </c>
      <c r="B317" s="56" t="n"/>
      <c r="C317" s="21" t="inlineStr">
        <is>
          <t>FONTE</t>
        </is>
      </c>
      <c r="D317" s="21" t="inlineStr">
        <is>
          <t>UNID</t>
        </is>
      </c>
      <c r="E317" s="21" t="inlineStr">
        <is>
          <t>COEFICIENTE</t>
        </is>
      </c>
      <c r="F317" s="21" t="inlineStr">
        <is>
          <t>PREÇO UNITÁRIO</t>
        </is>
      </c>
      <c r="G317" s="21" t="inlineStr">
        <is>
          <t>TOTAL</t>
        </is>
      </c>
    </row>
    <row r="318" ht="21" customHeight="1">
      <c r="A318" s="22" t="inlineStr">
        <is>
          <t>00000370</t>
        </is>
      </c>
      <c r="B318" s="23" t="inlineStr">
        <is>
          <t>AREIA MEDIA - POSTO JAZIDA/FORNECEDOR (RETIRADO NA JAZIDA, SEM TRANSPORTE)</t>
        </is>
      </c>
      <c r="C318" s="22" t="inlineStr">
        <is>
          <t>SINAPI</t>
        </is>
      </c>
      <c r="D318" s="22" t="inlineStr">
        <is>
          <t>M3</t>
        </is>
      </c>
      <c r="E318" s="63" t="n">
        <v>1.07</v>
      </c>
      <c r="F318" s="64">
        <f>ROUND(M318*FATOR, 2)</f>
        <v/>
      </c>
      <c r="G318" s="64">
        <f>TRUNC(TRUNC(E318,8)*F318,2)</f>
        <v/>
      </c>
      <c r="L318" t="n">
        <v>1.07</v>
      </c>
      <c r="M318" t="n">
        <v>130</v>
      </c>
      <c r="N318">
        <f>(M318-F318)</f>
        <v/>
      </c>
    </row>
    <row r="319" ht="15" customHeight="1">
      <c r="A319" s="22" t="inlineStr">
        <is>
          <t>00001379</t>
        </is>
      </c>
      <c r="B319" s="23" t="inlineStr">
        <is>
          <t>CIMENTO PORTLAND COMPOSTO CP II-32</t>
        </is>
      </c>
      <c r="C319" s="22" t="inlineStr">
        <is>
          <t>SINAPI</t>
        </is>
      </c>
      <c r="D319" s="22" t="inlineStr">
        <is>
          <t>KG</t>
        </is>
      </c>
      <c r="E319" s="63" t="n">
        <v>483.7</v>
      </c>
      <c r="F319" s="64">
        <f>ROUND(M319*FATOR, 2)</f>
        <v/>
      </c>
      <c r="G319" s="64">
        <f>TRUNC(TRUNC(E319,8)*F319,2)</f>
        <v/>
      </c>
      <c r="L319" t="n">
        <v>483.7</v>
      </c>
      <c r="M319" t="n">
        <v>0.74</v>
      </c>
      <c r="N319">
        <f>(M319-F319)</f>
        <v/>
      </c>
    </row>
    <row r="320" ht="15" customHeight="1">
      <c r="A320" s="2" t="inlineStr"/>
      <c r="B320" s="2" t="inlineStr"/>
      <c r="C320" s="2" t="inlineStr"/>
      <c r="D320" s="2" t="inlineStr"/>
      <c r="E320" s="26" t="inlineStr">
        <is>
          <t>TOTAL Material:</t>
        </is>
      </c>
      <c r="F320" s="56" t="n"/>
      <c r="G320" s="65">
        <f>SUM(G318:G319)</f>
        <v/>
      </c>
    </row>
    <row r="321" ht="15" customHeight="1">
      <c r="A321" s="20" t="inlineStr">
        <is>
          <t>Mão de Obra com Encargos Complementares</t>
        </is>
      </c>
      <c r="B321" s="56" t="n"/>
      <c r="C321" s="21" t="inlineStr">
        <is>
          <t>FONTE</t>
        </is>
      </c>
      <c r="D321" s="21" t="inlineStr">
        <is>
          <t>UNID</t>
        </is>
      </c>
      <c r="E321" s="21" t="inlineStr">
        <is>
          <t>COEFICIENTE</t>
        </is>
      </c>
      <c r="F321" s="21" t="inlineStr">
        <is>
          <t>PREÇO UNITÁRIO</t>
        </is>
      </c>
      <c r="G321" s="21" t="inlineStr">
        <is>
          <t>TOTAL</t>
        </is>
      </c>
    </row>
    <row r="322" ht="21" customHeight="1">
      <c r="A322" s="22" t="inlineStr">
        <is>
          <t>88377</t>
        </is>
      </c>
      <c r="B322" s="23" t="inlineStr">
        <is>
          <t>OPERADOR DE BETONEIRA ESTACIONÁRIA/MISTURADOR COM ENCARGOS COMPLEMENTARES</t>
        </is>
      </c>
      <c r="C322" s="22" t="inlineStr">
        <is>
          <t>SINAPI</t>
        </is>
      </c>
      <c r="D322" s="22" t="inlineStr">
        <is>
          <t>H</t>
        </is>
      </c>
      <c r="E322" s="63">
        <f>L322*FATOR</f>
        <v/>
      </c>
      <c r="F322" s="64">
        <f>'COMPOSICOES AUXILIARES'!G150</f>
        <v/>
      </c>
      <c r="G322" s="64">
        <f>TRUNC(TRUNC(E322,8)*F322,2)</f>
        <v/>
      </c>
      <c r="L322" t="n">
        <v>3.42</v>
      </c>
      <c r="M322" t="n">
        <v>29.43</v>
      </c>
      <c r="N322">
        <f>(M322-F322)</f>
        <v/>
      </c>
    </row>
    <row r="323" ht="18" customHeight="1">
      <c r="A323" s="2" t="inlineStr"/>
      <c r="B323" s="2" t="inlineStr"/>
      <c r="C323" s="2" t="inlineStr"/>
      <c r="D323" s="2" t="inlineStr"/>
      <c r="E323" s="26" t="inlineStr">
        <is>
          <t>TOTAL Mão de Obra com Encargos Complementares:</t>
        </is>
      </c>
      <c r="F323" s="56" t="n"/>
      <c r="G323" s="65">
        <f>SUM(G322:G322)</f>
        <v/>
      </c>
    </row>
    <row r="324" ht="15" customHeight="1">
      <c r="A324" s="2" t="inlineStr"/>
      <c r="B324" s="2" t="inlineStr"/>
      <c r="C324" s="2" t="inlineStr"/>
      <c r="D324" s="2" t="inlineStr"/>
      <c r="E324" s="28" t="inlineStr">
        <is>
          <t>VALOR:</t>
        </is>
      </c>
      <c r="F324" s="56" t="n"/>
      <c r="G324" s="66">
        <f>SUM(G320,G323,G316)</f>
        <v/>
      </c>
    </row>
    <row r="325" ht="15" customHeight="1">
      <c r="A325" s="2" t="inlineStr"/>
      <c r="B325" s="2" t="inlineStr"/>
      <c r="C325" s="2" t="inlineStr"/>
      <c r="D325" s="2" t="inlineStr"/>
      <c r="E325" s="28" t="inlineStr">
        <is>
          <t>VALOR BDI (23.08%):</t>
        </is>
      </c>
      <c r="F325" s="56" t="n"/>
      <c r="G325" s="66">
        <f>ROUNDDOWN(G324*BDI,2)</f>
        <v/>
      </c>
    </row>
    <row r="326" ht="15" customHeight="1">
      <c r="A326" s="2" t="inlineStr"/>
      <c r="B326" s="2" t="inlineStr"/>
      <c r="C326" s="2" t="inlineStr"/>
      <c r="D326" s="2" t="inlineStr"/>
      <c r="E326" s="28" t="inlineStr">
        <is>
          <t>VALOR COM BDI:</t>
        </is>
      </c>
      <c r="F326" s="56" t="n"/>
      <c r="G326" s="66">
        <f>G325 + G324</f>
        <v/>
      </c>
    </row>
    <row r="327" ht="10" customHeight="1">
      <c r="A327" s="2" t="inlineStr"/>
      <c r="B327" s="2" t="inlineStr"/>
      <c r="C327" s="2" t="inlineStr"/>
      <c r="D327" s="2" t="inlineStr"/>
      <c r="E327" s="18" t="inlineStr"/>
    </row>
    <row r="328" ht="20" customHeight="1">
      <c r="A328" s="19" t="inlineStr">
        <is>
          <t>​87316​ ARGAMASSA TRAÇO 1:4 (EM VOLUME DE CIMENTO E AREIA GROSSA ÚMIDA) PARA CHAPISCO CONVENCIONAL, PREPARO MECÂNICO COM BETONEIRA 400 L. AF_08/2019​ (M3)</t>
        </is>
      </c>
      <c r="B328" s="55" t="n"/>
      <c r="C328" s="55" t="n"/>
      <c r="D328" s="55" t="n"/>
      <c r="E328" s="55" t="n"/>
      <c r="F328" s="55" t="n"/>
      <c r="G328" s="56" t="n"/>
    </row>
    <row r="329" ht="15" customHeight="1">
      <c r="A329" s="20" t="inlineStr">
        <is>
          <t>Equipamento Custo Horário</t>
        </is>
      </c>
      <c r="B329" s="56" t="n"/>
      <c r="C329" s="21" t="inlineStr">
        <is>
          <t>FONTE</t>
        </is>
      </c>
      <c r="D329" s="21" t="inlineStr">
        <is>
          <t>UNID</t>
        </is>
      </c>
      <c r="E329" s="21" t="inlineStr">
        <is>
          <t>COEFICIENTE</t>
        </is>
      </c>
      <c r="F329" s="21" t="inlineStr">
        <is>
          <t>PREÇO UNITÁRIO</t>
        </is>
      </c>
      <c r="G329" s="21" t="inlineStr">
        <is>
          <t>TOTAL</t>
        </is>
      </c>
    </row>
    <row r="330" ht="38" customHeight="1">
      <c r="A330" s="22" t="inlineStr">
        <is>
          <t>88831</t>
        </is>
      </c>
      <c r="B330" s="23" t="inlineStr">
        <is>
          <t>BETONEIRA CAPACIDADE NOMINAL DE 400 L, CAPACIDADE DE MISTURA 280 L, MOTOR ELÉTRICO TRIFÁSICO POTÊNCIA DE 2 CV, SEM CARREGADOR - CHI DIURNO. AF_05/2023</t>
        </is>
      </c>
      <c r="C330" s="22" t="inlineStr">
        <is>
          <t>SINAPI</t>
        </is>
      </c>
      <c r="D330" s="22" t="inlineStr">
        <is>
          <t>CHI</t>
        </is>
      </c>
      <c r="E330" s="63" t="n">
        <v>3.56</v>
      </c>
      <c r="F330" s="64">
        <f>'COMPOSICOES AUXILIARES'!G217</f>
        <v/>
      </c>
      <c r="G330" s="64">
        <f>TRUNC(TRUNC(E330,8)*F330,2)</f>
        <v/>
      </c>
      <c r="L330" t="n">
        <v>3.56</v>
      </c>
      <c r="M330" t="n">
        <v>0.4</v>
      </c>
      <c r="N330">
        <f>(M330-F330)</f>
        <v/>
      </c>
    </row>
    <row r="331" ht="38" customHeight="1">
      <c r="A331" s="22" t="inlineStr">
        <is>
          <t>88830</t>
        </is>
      </c>
      <c r="B331" s="23" t="inlineStr">
        <is>
          <t>BETONEIRA CAPACIDADE NOMINAL DE 400 L, CAPACIDADE DE MISTURA 280 L, MOTOR ELÉTRICO TRIFÁSICO POTÊNCIA DE 2 CV, SEM CARREGADOR - CHP DIURNO. AF_05/2023</t>
        </is>
      </c>
      <c r="C331" s="22" t="inlineStr">
        <is>
          <t>SINAPI</t>
        </is>
      </c>
      <c r="D331" s="22" t="inlineStr">
        <is>
          <t>CHP</t>
        </is>
      </c>
      <c r="E331" s="63" t="n">
        <v>1.08</v>
      </c>
      <c r="F331" s="64">
        <f>'COMPOSICOES AUXILIARES'!G217</f>
        <v/>
      </c>
      <c r="G331" s="64">
        <f>TRUNC(TRUNC(E331,8)*F331,2)</f>
        <v/>
      </c>
      <c r="L331" t="n">
        <v>1.08</v>
      </c>
      <c r="M331" t="n">
        <v>2.02</v>
      </c>
      <c r="N331">
        <f>(M331-F331)</f>
        <v/>
      </c>
    </row>
    <row r="332" ht="18" customHeight="1">
      <c r="A332" s="2" t="inlineStr"/>
      <c r="B332" s="2" t="inlineStr"/>
      <c r="C332" s="2" t="inlineStr"/>
      <c r="D332" s="2" t="inlineStr"/>
      <c r="E332" s="26" t="inlineStr">
        <is>
          <t>TOTAL Equipamento Custo Horário:</t>
        </is>
      </c>
      <c r="F332" s="56" t="n"/>
      <c r="G332" s="65">
        <f>SUM(G330:G331)</f>
        <v/>
      </c>
    </row>
    <row r="333" ht="15" customHeight="1">
      <c r="A333" s="20" t="inlineStr">
        <is>
          <t>Material</t>
        </is>
      </c>
      <c r="B333" s="56" t="n"/>
      <c r="C333" s="21" t="inlineStr">
        <is>
          <t>FONTE</t>
        </is>
      </c>
      <c r="D333" s="21" t="inlineStr">
        <is>
          <t>UNID</t>
        </is>
      </c>
      <c r="E333" s="21" t="inlineStr">
        <is>
          <t>COEFICIENTE</t>
        </is>
      </c>
      <c r="F333" s="21" t="inlineStr">
        <is>
          <t>PREÇO UNITÁRIO</t>
        </is>
      </c>
      <c r="G333" s="21" t="inlineStr">
        <is>
          <t>TOTAL</t>
        </is>
      </c>
    </row>
    <row r="334" ht="21" customHeight="1">
      <c r="A334" s="22" t="inlineStr">
        <is>
          <t>00000367</t>
        </is>
      </c>
      <c r="B334" s="23" t="inlineStr">
        <is>
          <t>AREIA GROSSA - POSTO JAZIDA/FORNECEDOR (RETIRADO NA JAZIDA, SEM TRANSPORTE)</t>
        </is>
      </c>
      <c r="C334" s="22" t="inlineStr">
        <is>
          <t>SINAPI</t>
        </is>
      </c>
      <c r="D334" s="22" t="inlineStr">
        <is>
          <t>M3</t>
        </is>
      </c>
      <c r="E334" s="63" t="n">
        <v>1.02</v>
      </c>
      <c r="F334" s="64">
        <f>ROUND(M334*FATOR, 2)</f>
        <v/>
      </c>
      <c r="G334" s="64">
        <f>TRUNC(TRUNC(E334,8)*F334,2)</f>
        <v/>
      </c>
      <c r="L334" t="n">
        <v>1.02</v>
      </c>
      <c r="M334" t="n">
        <v>131.69</v>
      </c>
      <c r="N334">
        <f>(M334-F334)</f>
        <v/>
      </c>
    </row>
    <row r="335" ht="15" customHeight="1">
      <c r="A335" s="22" t="inlineStr">
        <is>
          <t>00001379</t>
        </is>
      </c>
      <c r="B335" s="23" t="inlineStr">
        <is>
          <t>CIMENTO PORTLAND COMPOSTO CP II-32</t>
        </is>
      </c>
      <c r="C335" s="22" t="inlineStr">
        <is>
          <t>SINAPI</t>
        </is>
      </c>
      <c r="D335" s="22" t="inlineStr">
        <is>
          <t>KG</t>
        </is>
      </c>
      <c r="E335" s="63" t="n">
        <v>343.52</v>
      </c>
      <c r="F335" s="64">
        <f>ROUND(M335*FATOR, 2)</f>
        <v/>
      </c>
      <c r="G335" s="64">
        <f>TRUNC(TRUNC(E335,8)*F335,2)</f>
        <v/>
      </c>
      <c r="L335" t="n">
        <v>343.52</v>
      </c>
      <c r="M335" t="n">
        <v>0.74</v>
      </c>
      <c r="N335">
        <f>(M335-F335)</f>
        <v/>
      </c>
    </row>
    <row r="336" ht="15" customHeight="1">
      <c r="A336" s="2" t="inlineStr"/>
      <c r="B336" s="2" t="inlineStr"/>
      <c r="C336" s="2" t="inlineStr"/>
      <c r="D336" s="2" t="inlineStr"/>
      <c r="E336" s="26" t="inlineStr">
        <is>
          <t>TOTAL Material:</t>
        </is>
      </c>
      <c r="F336" s="56" t="n"/>
      <c r="G336" s="65">
        <f>SUM(G334:G335)</f>
        <v/>
      </c>
    </row>
    <row r="337" ht="15" customHeight="1">
      <c r="A337" s="20" t="inlineStr">
        <is>
          <t>Mão de Obra com Encargos Complementares</t>
        </is>
      </c>
      <c r="B337" s="56" t="n"/>
      <c r="C337" s="21" t="inlineStr">
        <is>
          <t>FONTE</t>
        </is>
      </c>
      <c r="D337" s="21" t="inlineStr">
        <is>
          <t>UNID</t>
        </is>
      </c>
      <c r="E337" s="21" t="inlineStr">
        <is>
          <t>COEFICIENTE</t>
        </is>
      </c>
      <c r="F337" s="21" t="inlineStr">
        <is>
          <t>PREÇO UNITÁRIO</t>
        </is>
      </c>
      <c r="G337" s="21" t="inlineStr">
        <is>
          <t>TOTAL</t>
        </is>
      </c>
    </row>
    <row r="338" ht="21" customHeight="1">
      <c r="A338" s="22" t="inlineStr">
        <is>
          <t>88377</t>
        </is>
      </c>
      <c r="B338" s="23" t="inlineStr">
        <is>
          <t>OPERADOR DE BETONEIRA ESTACIONÁRIA/MISTURADOR COM ENCARGOS COMPLEMENTARES</t>
        </is>
      </c>
      <c r="C338" s="22" t="inlineStr">
        <is>
          <t>SINAPI</t>
        </is>
      </c>
      <c r="D338" s="22" t="inlineStr">
        <is>
          <t>H</t>
        </is>
      </c>
      <c r="E338" s="63">
        <f>L338*FATOR</f>
        <v/>
      </c>
      <c r="F338" s="64">
        <f>'COMPOSICOES AUXILIARES'!G150</f>
        <v/>
      </c>
      <c r="G338" s="64">
        <f>TRUNC(TRUNC(E338,8)*F338,2)</f>
        <v/>
      </c>
      <c r="L338" t="n">
        <v>4.64</v>
      </c>
      <c r="M338" t="n">
        <v>29.43</v>
      </c>
      <c r="N338">
        <f>(M338-F338)</f>
        <v/>
      </c>
    </row>
    <row r="339" ht="18" customHeight="1">
      <c r="A339" s="2" t="inlineStr"/>
      <c r="B339" s="2" t="inlineStr"/>
      <c r="C339" s="2" t="inlineStr"/>
      <c r="D339" s="2" t="inlineStr"/>
      <c r="E339" s="26" t="inlineStr">
        <is>
          <t>TOTAL Mão de Obra com Encargos Complementares:</t>
        </is>
      </c>
      <c r="F339" s="56" t="n"/>
      <c r="G339" s="65">
        <f>SUM(G338:G338)</f>
        <v/>
      </c>
    </row>
    <row r="340" ht="15" customHeight="1">
      <c r="A340" s="2" t="inlineStr"/>
      <c r="B340" s="2" t="inlineStr"/>
      <c r="C340" s="2" t="inlineStr"/>
      <c r="D340" s="2" t="inlineStr"/>
      <c r="E340" s="28" t="inlineStr">
        <is>
          <t>VALOR:</t>
        </is>
      </c>
      <c r="F340" s="56" t="n"/>
      <c r="G340" s="66">
        <f>SUM(G336,G339,G332)</f>
        <v/>
      </c>
    </row>
    <row r="341" ht="15" customHeight="1">
      <c r="A341" s="2" t="inlineStr"/>
      <c r="B341" s="2" t="inlineStr"/>
      <c r="C341" s="2" t="inlineStr"/>
      <c r="D341" s="2" t="inlineStr"/>
      <c r="E341" s="28" t="inlineStr">
        <is>
          <t>VALOR BDI (23.08%):</t>
        </is>
      </c>
      <c r="F341" s="56" t="n"/>
      <c r="G341" s="66">
        <f>ROUNDDOWN(G340*BDI,2)</f>
        <v/>
      </c>
    </row>
    <row r="342" ht="15" customHeight="1">
      <c r="A342" s="2" t="inlineStr"/>
      <c r="B342" s="2" t="inlineStr"/>
      <c r="C342" s="2" t="inlineStr"/>
      <c r="D342" s="2" t="inlineStr"/>
      <c r="E342" s="28" t="inlineStr">
        <is>
          <t>VALOR COM BDI:</t>
        </is>
      </c>
      <c r="F342" s="56" t="n"/>
      <c r="G342" s="66">
        <f>G341 + G340</f>
        <v/>
      </c>
    </row>
    <row r="343" ht="10" customHeight="1">
      <c r="A343" s="2" t="inlineStr"/>
      <c r="B343" s="2" t="inlineStr"/>
      <c r="C343" s="2" t="inlineStr"/>
      <c r="D343" s="2" t="inlineStr"/>
      <c r="E343" s="18" t="inlineStr"/>
    </row>
    <row r="344" ht="20" customHeight="1">
      <c r="A344" s="19" t="inlineStr">
        <is>
          <t>​87373​ ARGAMASSA TRAÇO 1:4 (EM VOLUME DE CIMENTO E AREIA MÉDIA ÚMIDA) PARA CONTRAPISO, PREPARO MANUAL. AF_08/2019​ (M3)</t>
        </is>
      </c>
      <c r="B344" s="55" t="n"/>
      <c r="C344" s="55" t="n"/>
      <c r="D344" s="55" t="n"/>
      <c r="E344" s="55" t="n"/>
      <c r="F344" s="55" t="n"/>
      <c r="G344" s="56" t="n"/>
    </row>
    <row r="345" ht="15" customHeight="1">
      <c r="A345" s="20" t="inlineStr">
        <is>
          <t>Material</t>
        </is>
      </c>
      <c r="B345" s="56" t="n"/>
      <c r="C345" s="21" t="inlineStr">
        <is>
          <t>FONTE</t>
        </is>
      </c>
      <c r="D345" s="21" t="inlineStr">
        <is>
          <t>UNID</t>
        </is>
      </c>
      <c r="E345" s="21" t="inlineStr">
        <is>
          <t>COEFICIENTE</t>
        </is>
      </c>
      <c r="F345" s="21" t="inlineStr">
        <is>
          <t>PREÇO UNITÁRIO</t>
        </is>
      </c>
      <c r="G345" s="21" t="inlineStr">
        <is>
          <t>TOTAL</t>
        </is>
      </c>
    </row>
    <row r="346" ht="21" customHeight="1">
      <c r="A346" s="22" t="inlineStr">
        <is>
          <t>00000370</t>
        </is>
      </c>
      <c r="B346" s="23" t="inlineStr">
        <is>
          <t>AREIA MEDIA - POSTO JAZIDA/FORNECEDOR (RETIRADO NA JAZIDA, SEM TRANSPORTE)</t>
        </is>
      </c>
      <c r="C346" s="22" t="inlineStr">
        <is>
          <t>SINAPI</t>
        </is>
      </c>
      <c r="D346" s="22" t="inlineStr">
        <is>
          <t>M3</t>
        </is>
      </c>
      <c r="E346" s="63" t="n">
        <v>1.35</v>
      </c>
      <c r="F346" s="64">
        <f>ROUND(M346*FATOR, 2)</f>
        <v/>
      </c>
      <c r="G346" s="64">
        <f>TRUNC(TRUNC(E346,8)*F346,2)</f>
        <v/>
      </c>
      <c r="L346" t="n">
        <v>1.35</v>
      </c>
      <c r="M346" t="n">
        <v>130</v>
      </c>
      <c r="N346">
        <f>(M346-F346)</f>
        <v/>
      </c>
    </row>
    <row r="347" ht="15" customHeight="1">
      <c r="A347" s="22" t="inlineStr">
        <is>
          <t>00001379</t>
        </is>
      </c>
      <c r="B347" s="23" t="inlineStr">
        <is>
          <t>CIMENTO PORTLAND COMPOSTO CP II-32</t>
        </is>
      </c>
      <c r="C347" s="22" t="inlineStr">
        <is>
          <t>SINAPI</t>
        </is>
      </c>
      <c r="D347" s="22" t="inlineStr">
        <is>
          <t>KG</t>
        </is>
      </c>
      <c r="E347" s="63" t="n">
        <v>454.58</v>
      </c>
      <c r="F347" s="64">
        <f>ROUND(M347*FATOR, 2)</f>
        <v/>
      </c>
      <c r="G347" s="64">
        <f>TRUNC(TRUNC(E347,8)*F347,2)</f>
        <v/>
      </c>
      <c r="L347" t="n">
        <v>454.58</v>
      </c>
      <c r="M347" t="n">
        <v>0.74</v>
      </c>
      <c r="N347">
        <f>(M347-F347)</f>
        <v/>
      </c>
    </row>
    <row r="348" ht="15" customHeight="1">
      <c r="A348" s="2" t="inlineStr"/>
      <c r="B348" s="2" t="inlineStr"/>
      <c r="C348" s="2" t="inlineStr"/>
      <c r="D348" s="2" t="inlineStr"/>
      <c r="E348" s="26" t="inlineStr">
        <is>
          <t>TOTAL Material:</t>
        </is>
      </c>
      <c r="F348" s="56" t="n"/>
      <c r="G348" s="65">
        <f>SUM(G346:G347)</f>
        <v/>
      </c>
    </row>
    <row r="349" ht="15" customHeight="1">
      <c r="A349" s="20" t="inlineStr">
        <is>
          <t>Mão de Obra com Encargos Complementares</t>
        </is>
      </c>
      <c r="B349" s="56" t="n"/>
      <c r="C349" s="21" t="inlineStr">
        <is>
          <t>FONTE</t>
        </is>
      </c>
      <c r="D349" s="21" t="inlineStr">
        <is>
          <t>UNID</t>
        </is>
      </c>
      <c r="E349" s="21" t="inlineStr">
        <is>
          <t>COEFICIENTE</t>
        </is>
      </c>
      <c r="F349" s="21" t="inlineStr">
        <is>
          <t>PREÇO UNITÁRIO</t>
        </is>
      </c>
      <c r="G349" s="21" t="inlineStr">
        <is>
          <t>TOTAL</t>
        </is>
      </c>
    </row>
    <row r="350" ht="15" customHeight="1">
      <c r="A350" s="22" t="inlineStr">
        <is>
          <t>88316</t>
        </is>
      </c>
      <c r="B350" s="23" t="inlineStr">
        <is>
          <t>SERVENTE COM ENCARGOS COMPLEMENTARES</t>
        </is>
      </c>
      <c r="C350" s="22" t="inlineStr">
        <is>
          <t>SINAPI</t>
        </is>
      </c>
      <c r="D350" s="22" t="inlineStr">
        <is>
          <t>H</t>
        </is>
      </c>
      <c r="E350" s="63">
        <f>L350*FATOR</f>
        <v/>
      </c>
      <c r="F350" s="64">
        <f>'COMPOSICOES AUXILIARES'!G161</f>
        <v/>
      </c>
      <c r="G350" s="64">
        <f>TRUNC(TRUNC(E350,8)*F350,2)</f>
        <v/>
      </c>
      <c r="L350" t="n">
        <v>11.02</v>
      </c>
      <c r="M350" t="n">
        <v>23.56</v>
      </c>
      <c r="N350">
        <f>(M350-F350)</f>
        <v/>
      </c>
    </row>
    <row r="351" ht="18" customHeight="1">
      <c r="A351" s="2" t="inlineStr"/>
      <c r="B351" s="2" t="inlineStr"/>
      <c r="C351" s="2" t="inlineStr"/>
      <c r="D351" s="2" t="inlineStr"/>
      <c r="E351" s="26" t="inlineStr">
        <is>
          <t>TOTAL Mão de Obra com Encargos Complementares:</t>
        </is>
      </c>
      <c r="F351" s="56" t="n"/>
      <c r="G351" s="65">
        <f>SUM(G350:G350)</f>
        <v/>
      </c>
    </row>
    <row r="352" ht="15" customHeight="1">
      <c r="A352" s="2" t="inlineStr"/>
      <c r="B352" s="2" t="inlineStr"/>
      <c r="C352" s="2" t="inlineStr"/>
      <c r="D352" s="2" t="inlineStr"/>
      <c r="E352" s="28" t="inlineStr">
        <is>
          <t>VALOR:</t>
        </is>
      </c>
      <c r="F352" s="56" t="n"/>
      <c r="G352" s="66">
        <f>SUM(G348,G351)</f>
        <v/>
      </c>
    </row>
    <row r="353" ht="15" customHeight="1">
      <c r="A353" s="2" t="inlineStr"/>
      <c r="B353" s="2" t="inlineStr"/>
      <c r="C353" s="2" t="inlineStr"/>
      <c r="D353" s="2" t="inlineStr"/>
      <c r="E353" s="28" t="inlineStr">
        <is>
          <t>VALOR BDI (23.08%):</t>
        </is>
      </c>
      <c r="F353" s="56" t="n"/>
      <c r="G353" s="66">
        <f>ROUNDDOWN(G352*BDI,2)</f>
        <v/>
      </c>
    </row>
    <row r="354" ht="15" customHeight="1">
      <c r="A354" s="2" t="inlineStr"/>
      <c r="B354" s="2" t="inlineStr"/>
      <c r="C354" s="2" t="inlineStr"/>
      <c r="D354" s="2" t="inlineStr"/>
      <c r="E354" s="28" t="inlineStr">
        <is>
          <t>VALOR COM BDI:</t>
        </is>
      </c>
      <c r="F354" s="56" t="n"/>
      <c r="G354" s="66">
        <f>G353 + G352</f>
        <v/>
      </c>
    </row>
    <row r="355" ht="10" customHeight="1">
      <c r="A355" s="2" t="inlineStr"/>
      <c r="B355" s="2" t="inlineStr"/>
      <c r="C355" s="2" t="inlineStr"/>
      <c r="D355" s="2" t="inlineStr"/>
      <c r="E355" s="18" t="inlineStr"/>
    </row>
    <row r="356" ht="20" customHeight="1">
      <c r="A356" s="19" t="inlineStr">
        <is>
          <t>​87283​ ARGAMASSA TRAÇO 1:6 (EM VOLUME DE CIMENTO E AREIA MÉDIA ÚMIDA) COM ADIÇÃO DE PLASTIFICANTE PARA EMBOÇO/MASSA ÚNICA/ASSENTAMENTO DE ALVENARIA DE VEDAÇÃO, PREPARO MECÂNICO COM BETONEIRA 400 L. AF_08/2019​ (M3)</t>
        </is>
      </c>
      <c r="B356" s="55" t="n"/>
      <c r="C356" s="55" t="n"/>
      <c r="D356" s="55" t="n"/>
      <c r="E356" s="55" t="n"/>
      <c r="F356" s="55" t="n"/>
      <c r="G356" s="56" t="n"/>
    </row>
    <row r="357" ht="15" customHeight="1">
      <c r="A357" s="20" t="inlineStr">
        <is>
          <t>Equipamento Custo Horário</t>
        </is>
      </c>
      <c r="B357" s="56" t="n"/>
      <c r="C357" s="21" t="inlineStr">
        <is>
          <t>FONTE</t>
        </is>
      </c>
      <c r="D357" s="21" t="inlineStr">
        <is>
          <t>UNID</t>
        </is>
      </c>
      <c r="E357" s="21" t="inlineStr">
        <is>
          <t>COEFICIENTE</t>
        </is>
      </c>
      <c r="F357" s="21" t="inlineStr">
        <is>
          <t>PREÇO UNITÁRIO</t>
        </is>
      </c>
      <c r="G357" s="21" t="inlineStr">
        <is>
          <t>TOTAL</t>
        </is>
      </c>
    </row>
    <row r="358" ht="38" customHeight="1">
      <c r="A358" s="22" t="inlineStr">
        <is>
          <t>88831</t>
        </is>
      </c>
      <c r="B358" s="23" t="inlineStr">
        <is>
          <t>BETONEIRA CAPACIDADE NOMINAL DE 400 L, CAPACIDADE DE MISTURA 280 L, MOTOR ELÉTRICO TRIFÁSICO POTÊNCIA DE 2 CV, SEM CARREGADOR - CHI DIURNO. AF_05/2023</t>
        </is>
      </c>
      <c r="C358" s="22" t="inlineStr">
        <is>
          <t>SINAPI</t>
        </is>
      </c>
      <c r="D358" s="22" t="inlineStr">
        <is>
          <t>CHI</t>
        </is>
      </c>
      <c r="E358" s="63" t="n">
        <v>1.01</v>
      </c>
      <c r="F358" s="64">
        <f>'COMPOSICOES AUXILIARES'!G217</f>
        <v/>
      </c>
      <c r="G358" s="64">
        <f>TRUNC(TRUNC(E358,8)*F358,2)</f>
        <v/>
      </c>
      <c r="L358" t="n">
        <v>1.01</v>
      </c>
      <c r="M358" t="n">
        <v>0.4</v>
      </c>
      <c r="N358">
        <f>(M358-F358)</f>
        <v/>
      </c>
    </row>
    <row r="359" ht="38" customHeight="1">
      <c r="A359" s="22" t="inlineStr">
        <is>
          <t>88830</t>
        </is>
      </c>
      <c r="B359" s="23" t="inlineStr">
        <is>
          <t>BETONEIRA CAPACIDADE NOMINAL DE 400 L, CAPACIDADE DE MISTURA 280 L, MOTOR ELÉTRICO TRIFÁSICO POTÊNCIA DE 2 CV, SEM CARREGADOR - CHP DIURNO. AF_05/2023</t>
        </is>
      </c>
      <c r="C359" s="22" t="inlineStr">
        <is>
          <t>SINAPI</t>
        </is>
      </c>
      <c r="D359" s="22" t="inlineStr">
        <is>
          <t>CHP</t>
        </is>
      </c>
      <c r="E359" s="63" t="n">
        <v>3.332</v>
      </c>
      <c r="F359" s="64">
        <f>'COMPOSICOES AUXILIARES'!G217</f>
        <v/>
      </c>
      <c r="G359" s="64">
        <f>TRUNC(TRUNC(E359,8)*F359,2)</f>
        <v/>
      </c>
      <c r="L359" t="n">
        <v>3.332</v>
      </c>
      <c r="M359" t="n">
        <v>2.02</v>
      </c>
      <c r="N359">
        <f>(M359-F359)</f>
        <v/>
      </c>
    </row>
    <row r="360" ht="18" customHeight="1">
      <c r="A360" s="2" t="inlineStr"/>
      <c r="B360" s="2" t="inlineStr"/>
      <c r="C360" s="2" t="inlineStr"/>
      <c r="D360" s="2" t="inlineStr"/>
      <c r="E360" s="26" t="inlineStr">
        <is>
          <t>TOTAL Equipamento Custo Horário:</t>
        </is>
      </c>
      <c r="F360" s="56" t="n"/>
      <c r="G360" s="65">
        <f>SUM(G358:G359)</f>
        <v/>
      </c>
    </row>
    <row r="361" ht="15" customHeight="1">
      <c r="A361" s="20" t="inlineStr">
        <is>
          <t>Material</t>
        </is>
      </c>
      <c r="B361" s="56" t="n"/>
      <c r="C361" s="21" t="inlineStr">
        <is>
          <t>FONTE</t>
        </is>
      </c>
      <c r="D361" s="21" t="inlineStr">
        <is>
          <t>UNID</t>
        </is>
      </c>
      <c r="E361" s="21" t="inlineStr">
        <is>
          <t>COEFICIENTE</t>
        </is>
      </c>
      <c r="F361" s="21" t="inlineStr">
        <is>
          <t>PREÇO UNITÁRIO</t>
        </is>
      </c>
      <c r="G361" s="21" t="inlineStr">
        <is>
          <t>TOTAL</t>
        </is>
      </c>
    </row>
    <row r="362" ht="29" customHeight="1">
      <c r="A362" s="22" t="inlineStr">
        <is>
          <t>00043617</t>
        </is>
      </c>
      <c r="B362" s="23" t="inlineStr">
        <is>
          <t>ADITIVO PLASTIFICANTE E ESTABILIZADOR PARA ARGAMASSAS DE ASSENTAMENTO E REBOCO, LIQUIDO E ISENTO DE CLORETOS</t>
        </is>
      </c>
      <c r="C362" s="22" t="inlineStr">
        <is>
          <t>SINAPI</t>
        </is>
      </c>
      <c r="D362" s="22" t="inlineStr">
        <is>
          <t>L</t>
        </is>
      </c>
      <c r="E362" s="63" t="n">
        <v>0.063</v>
      </c>
      <c r="F362" s="64">
        <f>ROUND(M362*FATOR, 2)</f>
        <v/>
      </c>
      <c r="G362" s="64">
        <f>TRUNC(TRUNC(E362,8)*F362,2)</f>
        <v/>
      </c>
      <c r="L362" t="n">
        <v>0.063</v>
      </c>
      <c r="M362" t="n">
        <v>9.289999999999999</v>
      </c>
      <c r="N362">
        <f>(M362-F362)</f>
        <v/>
      </c>
    </row>
    <row r="363" ht="21" customHeight="1">
      <c r="A363" s="22" t="inlineStr">
        <is>
          <t>00000370</t>
        </is>
      </c>
      <c r="B363" s="23" t="inlineStr">
        <is>
          <t>AREIA MEDIA - POSTO JAZIDA/FORNECEDOR (RETIRADO NA JAZIDA, SEM TRANSPORTE)</t>
        </is>
      </c>
      <c r="C363" s="22" t="inlineStr">
        <is>
          <t>SINAPI</t>
        </is>
      </c>
      <c r="D363" s="22" t="inlineStr">
        <is>
          <t>M3</t>
        </is>
      </c>
      <c r="E363" s="63" t="n">
        <v>1.27</v>
      </c>
      <c r="F363" s="64">
        <f>ROUND(M363*FATOR, 2)</f>
        <v/>
      </c>
      <c r="G363" s="64">
        <f>TRUNC(TRUNC(E363,8)*F363,2)</f>
        <v/>
      </c>
      <c r="L363" t="n">
        <v>1.27</v>
      </c>
      <c r="M363" t="n">
        <v>130</v>
      </c>
      <c r="N363">
        <f>(M363-F363)</f>
        <v/>
      </c>
    </row>
    <row r="364" ht="15" customHeight="1">
      <c r="A364" s="22" t="inlineStr">
        <is>
          <t>00001379</t>
        </is>
      </c>
      <c r="B364" s="23" t="inlineStr">
        <is>
          <t>CIMENTO PORTLAND COMPOSTO CP II-32</t>
        </is>
      </c>
      <c r="C364" s="22" t="inlineStr">
        <is>
          <t>SINAPI</t>
        </is>
      </c>
      <c r="D364" s="22" t="inlineStr">
        <is>
          <t>KG</t>
        </is>
      </c>
      <c r="E364" s="63" t="n">
        <v>281.53</v>
      </c>
      <c r="F364" s="64">
        <f>ROUND(M364*FATOR, 2)</f>
        <v/>
      </c>
      <c r="G364" s="64">
        <f>TRUNC(TRUNC(E364,8)*F364,2)</f>
        <v/>
      </c>
      <c r="L364" t="n">
        <v>281.53</v>
      </c>
      <c r="M364" t="n">
        <v>0.74</v>
      </c>
      <c r="N364">
        <f>(M364-F364)</f>
        <v/>
      </c>
    </row>
    <row r="365" ht="15" customHeight="1">
      <c r="A365" s="2" t="inlineStr"/>
      <c r="B365" s="2" t="inlineStr"/>
      <c r="C365" s="2" t="inlineStr"/>
      <c r="D365" s="2" t="inlineStr"/>
      <c r="E365" s="26" t="inlineStr">
        <is>
          <t>TOTAL Material:</t>
        </is>
      </c>
      <c r="F365" s="56" t="n"/>
      <c r="G365" s="65">
        <f>SUM(G362:G364)</f>
        <v/>
      </c>
    </row>
    <row r="366" ht="15" customHeight="1">
      <c r="A366" s="20" t="inlineStr">
        <is>
          <t>Mão de Obra com Encargos Complementares</t>
        </is>
      </c>
      <c r="B366" s="56" t="n"/>
      <c r="C366" s="21" t="inlineStr">
        <is>
          <t>FONTE</t>
        </is>
      </c>
      <c r="D366" s="21" t="inlineStr">
        <is>
          <t>UNID</t>
        </is>
      </c>
      <c r="E366" s="21" t="inlineStr">
        <is>
          <t>COEFICIENTE</t>
        </is>
      </c>
      <c r="F366" s="21" t="inlineStr">
        <is>
          <t>PREÇO UNITÁRIO</t>
        </is>
      </c>
      <c r="G366" s="21" t="inlineStr">
        <is>
          <t>TOTAL</t>
        </is>
      </c>
    </row>
    <row r="367" ht="21" customHeight="1">
      <c r="A367" s="22" t="inlineStr">
        <is>
          <t>88377</t>
        </is>
      </c>
      <c r="B367" s="23" t="inlineStr">
        <is>
          <t>OPERADOR DE BETONEIRA ESTACIONÁRIA/MISTURADOR COM ENCARGOS COMPLEMENTARES</t>
        </is>
      </c>
      <c r="C367" s="22" t="inlineStr">
        <is>
          <t>SINAPI</t>
        </is>
      </c>
      <c r="D367" s="22" t="inlineStr">
        <is>
          <t>H</t>
        </is>
      </c>
      <c r="E367" s="63">
        <f>L367*FATOR</f>
        <v/>
      </c>
      <c r="F367" s="64">
        <f>'COMPOSICOES AUXILIARES'!G150</f>
        <v/>
      </c>
      <c r="G367" s="64">
        <f>TRUNC(TRUNC(E367,8)*F367,2)</f>
        <v/>
      </c>
      <c r="L367" t="n">
        <v>4.33</v>
      </c>
      <c r="M367" t="n">
        <v>29.43</v>
      </c>
      <c r="N367">
        <f>(M367-F367)</f>
        <v/>
      </c>
    </row>
    <row r="368" ht="18" customHeight="1">
      <c r="A368" s="2" t="inlineStr"/>
      <c r="B368" s="2" t="inlineStr"/>
      <c r="C368" s="2" t="inlineStr"/>
      <c r="D368" s="2" t="inlineStr"/>
      <c r="E368" s="26" t="inlineStr">
        <is>
          <t>TOTAL Mão de Obra com Encargos Complementares:</t>
        </is>
      </c>
      <c r="F368" s="56" t="n"/>
      <c r="G368" s="65">
        <f>SUM(G367:G367)</f>
        <v/>
      </c>
    </row>
    <row r="369" ht="15" customHeight="1">
      <c r="A369" s="2" t="inlineStr"/>
      <c r="B369" s="2" t="inlineStr"/>
      <c r="C369" s="2" t="inlineStr"/>
      <c r="D369" s="2" t="inlineStr"/>
      <c r="E369" s="28" t="inlineStr">
        <is>
          <t>VALOR:</t>
        </is>
      </c>
      <c r="F369" s="56" t="n"/>
      <c r="G369" s="66">
        <f>SUM(G368,G360,G365)</f>
        <v/>
      </c>
    </row>
    <row r="370" ht="15" customHeight="1">
      <c r="A370" s="2" t="inlineStr"/>
      <c r="B370" s="2" t="inlineStr"/>
      <c r="C370" s="2" t="inlineStr"/>
      <c r="D370" s="2" t="inlineStr"/>
      <c r="E370" s="28" t="inlineStr">
        <is>
          <t>VALOR BDI (23.08%):</t>
        </is>
      </c>
      <c r="F370" s="56" t="n"/>
      <c r="G370" s="66">
        <f>ROUNDDOWN(G369*BDI,2)</f>
        <v/>
      </c>
    </row>
    <row r="371" ht="15" customHeight="1">
      <c r="A371" s="2" t="inlineStr"/>
      <c r="B371" s="2" t="inlineStr"/>
      <c r="C371" s="2" t="inlineStr"/>
      <c r="D371" s="2" t="inlineStr"/>
      <c r="E371" s="28" t="inlineStr">
        <is>
          <t>VALOR COM BDI:</t>
        </is>
      </c>
      <c r="F371" s="56" t="n"/>
      <c r="G371" s="66">
        <f>G370 + G369</f>
        <v/>
      </c>
    </row>
    <row r="372" ht="10" customHeight="1">
      <c r="A372" s="2" t="inlineStr"/>
      <c r="B372" s="2" t="inlineStr"/>
      <c r="C372" s="2" t="inlineStr"/>
      <c r="D372" s="2" t="inlineStr"/>
      <c r="E372" s="18" t="inlineStr"/>
    </row>
    <row r="373" ht="20" customHeight="1">
      <c r="A373" s="19" t="inlineStr">
        <is>
          <t>​88245​ ARMADOR COM ENCARGOS COMPLEMENTARES​ (H)</t>
        </is>
      </c>
      <c r="B373" s="55" t="n"/>
      <c r="C373" s="55" t="n"/>
      <c r="D373" s="55" t="n"/>
      <c r="E373" s="55" t="n"/>
      <c r="F373" s="55" t="n"/>
      <c r="G373" s="56" t="n"/>
    </row>
    <row r="374" ht="15" customHeight="1">
      <c r="A374" s="20" t="inlineStr">
        <is>
          <t>Encargos Complementares</t>
        </is>
      </c>
      <c r="B374" s="56" t="n"/>
      <c r="C374" s="21" t="inlineStr">
        <is>
          <t>FONTE</t>
        </is>
      </c>
      <c r="D374" s="21" t="inlineStr">
        <is>
          <t>UNID</t>
        </is>
      </c>
      <c r="E374" s="21" t="inlineStr">
        <is>
          <t>COEFICIENTE</t>
        </is>
      </c>
      <c r="F374" s="21" t="inlineStr">
        <is>
          <t>PREÇO UNITÁRIO</t>
        </is>
      </c>
      <c r="G374" s="21" t="inlineStr">
        <is>
          <t>TOTAL</t>
        </is>
      </c>
    </row>
    <row r="375" ht="21" customHeight="1">
      <c r="A375" s="22" t="inlineStr">
        <is>
          <t>00037370</t>
        </is>
      </c>
      <c r="B375" s="23" t="inlineStr">
        <is>
          <t>ALIMENTACAO - HORISTA (COLETADO CAIXA - ENCARGOS COMPLEMENTARES)</t>
        </is>
      </c>
      <c r="C375" s="22" t="inlineStr">
        <is>
          <t>SINAPI</t>
        </is>
      </c>
      <c r="D375" s="22" t="inlineStr">
        <is>
          <t>H</t>
        </is>
      </c>
      <c r="E375" s="63" t="n">
        <v>1</v>
      </c>
      <c r="F375" s="64" t="n">
        <v>3.62</v>
      </c>
      <c r="G375" s="64">
        <f>TRUNC(TRUNC(E375,8)*F375,2)</f>
        <v/>
      </c>
      <c r="L375" t="n">
        <v>1</v>
      </c>
      <c r="M375" t="n">
        <v>3.62</v>
      </c>
      <c r="N375">
        <f>(M375-F375)</f>
        <v/>
      </c>
    </row>
    <row r="376" ht="21" customHeight="1">
      <c r="A376" s="22" t="inlineStr">
        <is>
          <t>00043489</t>
        </is>
      </c>
      <c r="B376" s="23" t="inlineStr">
        <is>
          <t>EPI - FAMILIA PEDREIRO - HORISTA (ENCARGOS COMPLEMENTARES - COLETADO CAIXA)</t>
        </is>
      </c>
      <c r="C376" s="22" t="inlineStr">
        <is>
          <t>SINAPI</t>
        </is>
      </c>
      <c r="D376" s="22" t="inlineStr">
        <is>
          <t>H</t>
        </is>
      </c>
      <c r="E376" s="63" t="n">
        <v>1</v>
      </c>
      <c r="F376" s="64" t="n">
        <v>1.31</v>
      </c>
      <c r="G376" s="64">
        <f>TRUNC(TRUNC(E376,8)*F376,2)</f>
        <v/>
      </c>
      <c r="L376" t="n">
        <v>1</v>
      </c>
      <c r="M376" t="n">
        <v>1.31</v>
      </c>
      <c r="N376">
        <f>(M376-F376)</f>
        <v/>
      </c>
    </row>
    <row r="377" ht="21" customHeight="1">
      <c r="A377" s="22" t="inlineStr">
        <is>
          <t>00037372</t>
        </is>
      </c>
      <c r="B377" s="23" t="inlineStr">
        <is>
          <t>EXAMES - HORISTA (COLETADO CAIXA - ENCARGOS COMPLEMENTARES)</t>
        </is>
      </c>
      <c r="C377" s="22" t="inlineStr">
        <is>
          <t>SINAPI</t>
        </is>
      </c>
      <c r="D377" s="22" t="inlineStr">
        <is>
          <t>H</t>
        </is>
      </c>
      <c r="E377" s="63" t="n">
        <v>1</v>
      </c>
      <c r="F377" s="64" t="n">
        <v>1.43</v>
      </c>
      <c r="G377" s="64">
        <f>TRUNC(TRUNC(E377,8)*F377,2)</f>
        <v/>
      </c>
      <c r="L377" t="n">
        <v>1</v>
      </c>
      <c r="M377" t="n">
        <v>1.43</v>
      </c>
      <c r="N377">
        <f>(M377-F377)</f>
        <v/>
      </c>
    </row>
    <row r="378" ht="21" customHeight="1">
      <c r="A378" s="22" t="inlineStr">
        <is>
          <t>00043465</t>
        </is>
      </c>
      <c r="B378" s="23" t="inlineStr">
        <is>
          <t>FERRAMENTAS - FAMILIA PEDREIRO - HORISTA (ENCARGOS COMPLEMENTARES - COLETADO CAIXA)</t>
        </is>
      </c>
      <c r="C378" s="22" t="inlineStr">
        <is>
          <t>SINAPI</t>
        </is>
      </c>
      <c r="D378" s="22" t="inlineStr">
        <is>
          <t>H</t>
        </is>
      </c>
      <c r="E378" s="63" t="n">
        <v>1</v>
      </c>
      <c r="F378" s="64" t="n">
        <v>0.78</v>
      </c>
      <c r="G378" s="64">
        <f>TRUNC(TRUNC(E378,8)*F378,2)</f>
        <v/>
      </c>
      <c r="L378" t="n">
        <v>1</v>
      </c>
      <c r="M378" t="n">
        <v>0.78</v>
      </c>
      <c r="N378">
        <f>(M378-F378)</f>
        <v/>
      </c>
    </row>
    <row r="379" ht="21" customHeight="1">
      <c r="A379" s="22" t="inlineStr">
        <is>
          <t>00037373</t>
        </is>
      </c>
      <c r="B379" s="23" t="inlineStr">
        <is>
          <t>SEGURO - HORISTA (COLETADO CAIXA - ENCARGOS COMPLEMENTARES)</t>
        </is>
      </c>
      <c r="C379" s="22" t="inlineStr">
        <is>
          <t>SINAPI</t>
        </is>
      </c>
      <c r="D379" s="22" t="inlineStr">
        <is>
          <t>H</t>
        </is>
      </c>
      <c r="E379" s="63" t="n">
        <v>1</v>
      </c>
      <c r="F379" s="64" t="n">
        <v>0.08</v>
      </c>
      <c r="G379" s="64">
        <f>TRUNC(TRUNC(E379,8)*F379,2)</f>
        <v/>
      </c>
      <c r="L379" t="n">
        <v>1</v>
      </c>
      <c r="M379" t="n">
        <v>0.08</v>
      </c>
      <c r="N379">
        <f>(M379-F379)</f>
        <v/>
      </c>
    </row>
    <row r="380" ht="21" customHeight="1">
      <c r="A380" s="22" t="inlineStr">
        <is>
          <t>00037371</t>
        </is>
      </c>
      <c r="B380" s="23" t="inlineStr">
        <is>
          <t>TRANSPORTE - HORISTA (COLETADO CAIXA - ENCARGOS COMPLEMENTARES)</t>
        </is>
      </c>
      <c r="C380" s="22" t="inlineStr">
        <is>
          <t>SINAPI</t>
        </is>
      </c>
      <c r="D380" s="22" t="inlineStr">
        <is>
          <t>H</t>
        </is>
      </c>
      <c r="E380" s="63" t="n">
        <v>1</v>
      </c>
      <c r="F380" s="64" t="n">
        <v>1.09</v>
      </c>
      <c r="G380" s="64">
        <f>TRUNC(TRUNC(E380,8)*F380,2)</f>
        <v/>
      </c>
      <c r="L380" t="n">
        <v>1</v>
      </c>
      <c r="M380" t="n">
        <v>1.09</v>
      </c>
      <c r="N380">
        <f>(M380-F380)</f>
        <v/>
      </c>
    </row>
    <row r="381" ht="15" customHeight="1">
      <c r="A381" s="2" t="inlineStr"/>
      <c r="B381" s="2" t="inlineStr"/>
      <c r="C381" s="2" t="inlineStr"/>
      <c r="D381" s="2" t="inlineStr"/>
      <c r="E381" s="26" t="inlineStr">
        <is>
          <t>TOTAL Encargos Complementares:</t>
        </is>
      </c>
      <c r="F381" s="56" t="n"/>
      <c r="G381" s="65">
        <f>SUM(G375:G380)</f>
        <v/>
      </c>
    </row>
    <row r="382" ht="15" customHeight="1">
      <c r="A382" s="20" t="inlineStr">
        <is>
          <t>Mão de Obra</t>
        </is>
      </c>
      <c r="B382" s="56" t="n"/>
      <c r="C382" s="21" t="inlineStr">
        <is>
          <t>FONTE</t>
        </is>
      </c>
      <c r="D382" s="21" t="inlineStr">
        <is>
          <t>UNID</t>
        </is>
      </c>
      <c r="E382" s="21" t="inlineStr">
        <is>
          <t>COEFICIENTE</t>
        </is>
      </c>
      <c r="F382" s="21" t="inlineStr">
        <is>
          <t>PREÇO UNITÁRIO</t>
        </is>
      </c>
      <c r="G382" s="21" t="inlineStr">
        <is>
          <t>TOTAL</t>
        </is>
      </c>
    </row>
    <row r="383" ht="15" customHeight="1">
      <c r="A383" s="22" t="inlineStr">
        <is>
          <t>00000378</t>
        </is>
      </c>
      <c r="B383" s="23" t="inlineStr">
        <is>
          <t>ARMADOR (HORISTA)</t>
        </is>
      </c>
      <c r="C383" s="22" t="inlineStr">
        <is>
          <t>SINAPI</t>
        </is>
      </c>
      <c r="D383" s="22" t="inlineStr">
        <is>
          <t>H</t>
        </is>
      </c>
      <c r="E383" s="63">
        <f>L383*FATOR</f>
        <v/>
      </c>
      <c r="F383" s="64" t="n">
        <v>21.87</v>
      </c>
      <c r="G383" s="64">
        <f>TRUNC(TRUNC(E383,8)*F383,2)</f>
        <v/>
      </c>
      <c r="L383" t="n">
        <v>1</v>
      </c>
      <c r="M383" t="n">
        <v>21.87</v>
      </c>
      <c r="N383">
        <f>(M383-F383)</f>
        <v/>
      </c>
    </row>
    <row r="384" ht="15" customHeight="1">
      <c r="A384" s="2" t="inlineStr"/>
      <c r="B384" s="2" t="inlineStr"/>
      <c r="C384" s="2" t="inlineStr"/>
      <c r="D384" s="2" t="inlineStr"/>
      <c r="E384" s="26" t="inlineStr">
        <is>
          <t>TOTAL Mão de Obra:</t>
        </is>
      </c>
      <c r="F384" s="56" t="n"/>
      <c r="G384" s="65">
        <f>SUM(G383:G383)</f>
        <v/>
      </c>
    </row>
    <row r="385" ht="15" customHeight="1">
      <c r="A385" s="20" t="inlineStr">
        <is>
          <t>Serviço</t>
        </is>
      </c>
      <c r="B385" s="56" t="n"/>
      <c r="C385" s="21" t="inlineStr">
        <is>
          <t>FONTE</t>
        </is>
      </c>
      <c r="D385" s="21" t="inlineStr">
        <is>
          <t>UNID</t>
        </is>
      </c>
      <c r="E385" s="21" t="inlineStr">
        <is>
          <t>COEFICIENTE</t>
        </is>
      </c>
      <c r="F385" s="21" t="inlineStr">
        <is>
          <t>PREÇO UNITÁRIO</t>
        </is>
      </c>
      <c r="G385" s="21" t="inlineStr">
        <is>
          <t>TOTAL</t>
        </is>
      </c>
    </row>
    <row r="386" ht="21" customHeight="1">
      <c r="A386" s="22" t="inlineStr">
        <is>
          <t>95314</t>
        </is>
      </c>
      <c r="B386" s="23" t="inlineStr">
        <is>
          <t>CURSO DE CAPACITAÇÃO PARA ARMADOR (ENCARGOS COMPLEMENTARES) - HORISTA</t>
        </is>
      </c>
      <c r="C386" s="22" t="inlineStr">
        <is>
          <t>SINAPI</t>
        </is>
      </c>
      <c r="D386" s="22" t="inlineStr">
        <is>
          <t>H</t>
        </is>
      </c>
      <c r="E386" s="63" t="n">
        <v>1</v>
      </c>
      <c r="F386" s="64">
        <f>G1523</f>
        <v/>
      </c>
      <c r="G386" s="64">
        <f>TRUNC(TRUNC(E386,8)*F386,2)</f>
        <v/>
      </c>
      <c r="L386" t="n">
        <v>1</v>
      </c>
      <c r="M386" t="n">
        <v>0.25</v>
      </c>
      <c r="N386">
        <f>(M386-F386)</f>
        <v/>
      </c>
    </row>
    <row r="387" ht="15" customHeight="1">
      <c r="A387" s="2" t="inlineStr"/>
      <c r="B387" s="2" t="inlineStr"/>
      <c r="C387" s="2" t="inlineStr"/>
      <c r="D387" s="2" t="inlineStr"/>
      <c r="E387" s="26" t="inlineStr">
        <is>
          <t>TOTAL Serviço:</t>
        </is>
      </c>
      <c r="F387" s="56" t="n"/>
      <c r="G387" s="65">
        <f>SUM(G386:G386)</f>
        <v/>
      </c>
    </row>
    <row r="388" ht="15" customHeight="1">
      <c r="A388" s="2" t="inlineStr"/>
      <c r="B388" s="2" t="inlineStr"/>
      <c r="C388" s="2" t="inlineStr"/>
      <c r="D388" s="2" t="inlineStr"/>
      <c r="E388" s="28" t="inlineStr">
        <is>
          <t>VALOR:</t>
        </is>
      </c>
      <c r="F388" s="56" t="n"/>
      <c r="G388" s="66">
        <f>SUM(G384,G387,G381)</f>
        <v/>
      </c>
    </row>
    <row r="389" ht="15" customHeight="1">
      <c r="A389" s="2" t="inlineStr"/>
      <c r="B389" s="2" t="inlineStr"/>
      <c r="C389" s="2" t="inlineStr"/>
      <c r="D389" s="2" t="inlineStr"/>
      <c r="E389" s="28" t="inlineStr">
        <is>
          <t>VALOR BDI (23.08%):</t>
        </is>
      </c>
      <c r="F389" s="56" t="n"/>
      <c r="G389" s="66">
        <f>ROUNDDOWN(G388*BDI,2)</f>
        <v/>
      </c>
    </row>
    <row r="390" ht="15" customHeight="1">
      <c r="A390" s="2" t="inlineStr"/>
      <c r="B390" s="2" t="inlineStr"/>
      <c r="C390" s="2" t="inlineStr"/>
      <c r="D390" s="2" t="inlineStr"/>
      <c r="E390" s="28" t="inlineStr">
        <is>
          <t>VALOR COM BDI:</t>
        </is>
      </c>
      <c r="F390" s="56" t="n"/>
      <c r="G390" s="66">
        <f>G389 + G388</f>
        <v/>
      </c>
    </row>
    <row r="391" ht="10" customHeight="1">
      <c r="A391" s="2" t="inlineStr"/>
      <c r="B391" s="2" t="inlineStr"/>
      <c r="C391" s="2" t="inlineStr"/>
      <c r="D391" s="2" t="inlineStr"/>
      <c r="E391" s="18" t="inlineStr"/>
    </row>
    <row r="392" ht="20" customHeight="1">
      <c r="A392" s="19" t="inlineStr">
        <is>
          <t>​C0218​ ARMADURA CA-60 MÉDIA D= 6,4 A 9,5mm​ (KG)</t>
        </is>
      </c>
      <c r="B392" s="55" t="n"/>
      <c r="C392" s="55" t="n"/>
      <c r="D392" s="55" t="n"/>
      <c r="E392" s="55" t="n"/>
      <c r="F392" s="55" t="n"/>
      <c r="G392" s="56" t="n"/>
    </row>
    <row r="393" ht="15" customHeight="1">
      <c r="A393" s="20" t="inlineStr">
        <is>
          <t>Material</t>
        </is>
      </c>
      <c r="B393" s="56" t="n"/>
      <c r="C393" s="21" t="inlineStr">
        <is>
          <t>FONTE</t>
        </is>
      </c>
      <c r="D393" s="21" t="inlineStr">
        <is>
          <t>UNID</t>
        </is>
      </c>
      <c r="E393" s="21" t="inlineStr">
        <is>
          <t>COEFICIENTE</t>
        </is>
      </c>
      <c r="F393" s="21" t="inlineStr">
        <is>
          <t>PREÇO UNITÁRIO</t>
        </is>
      </c>
      <c r="G393" s="21" t="inlineStr">
        <is>
          <t>TOTAL</t>
        </is>
      </c>
    </row>
    <row r="394" ht="15" customHeight="1">
      <c r="A394" s="22" t="inlineStr">
        <is>
          <t>I0169</t>
        </is>
      </c>
      <c r="B394" s="23" t="inlineStr">
        <is>
          <t>AÇO CA-60</t>
        </is>
      </c>
      <c r="C394" s="22" t="inlineStr">
        <is>
          <t>SEINFRA</t>
        </is>
      </c>
      <c r="D394" s="22" t="inlineStr">
        <is>
          <t>KG</t>
        </is>
      </c>
      <c r="E394" s="63" t="n">
        <v>1.15</v>
      </c>
      <c r="F394" s="67">
        <f>ROUND(M394*FATOR, 2)</f>
        <v/>
      </c>
      <c r="G394" s="67">
        <f>ROUND(ROUND(E394,8)*F394,4)</f>
        <v/>
      </c>
      <c r="L394" t="n">
        <v>1.15</v>
      </c>
      <c r="M394" t="n">
        <v>7.59</v>
      </c>
      <c r="N394">
        <f>(M394-F394)</f>
        <v/>
      </c>
    </row>
    <row r="395" ht="15" customHeight="1">
      <c r="A395" s="22" t="inlineStr">
        <is>
          <t>I0103</t>
        </is>
      </c>
      <c r="B395" s="23" t="inlineStr">
        <is>
          <t>ARAME RECOZIDO N.18 BWG</t>
        </is>
      </c>
      <c r="C395" s="22" t="inlineStr">
        <is>
          <t>SEINFRA</t>
        </is>
      </c>
      <c r="D395" s="22" t="inlineStr">
        <is>
          <t>KG</t>
        </is>
      </c>
      <c r="E395" s="63" t="n">
        <v>0.02</v>
      </c>
      <c r="F395" s="67">
        <f>ROUND(M395*FATOR, 2)</f>
        <v/>
      </c>
      <c r="G395" s="67">
        <f>ROUND(ROUND(E395,8)*F395,4)</f>
        <v/>
      </c>
      <c r="L395" t="n">
        <v>0.02</v>
      </c>
      <c r="M395" t="n">
        <v>16.53</v>
      </c>
      <c r="N395">
        <f>(M395-F395)</f>
        <v/>
      </c>
    </row>
    <row r="396" ht="15" customHeight="1">
      <c r="A396" s="2" t="inlineStr"/>
      <c r="B396" s="2" t="inlineStr"/>
      <c r="C396" s="2" t="inlineStr"/>
      <c r="D396" s="2" t="inlineStr"/>
      <c r="E396" s="26" t="inlineStr">
        <is>
          <t>TOTAL Material:</t>
        </is>
      </c>
      <c r="F396" s="56" t="n"/>
      <c r="G396" s="68">
        <f>SUM(G394:G395)</f>
        <v/>
      </c>
    </row>
    <row r="397" ht="15" customHeight="1">
      <c r="A397" s="20" t="inlineStr">
        <is>
          <t>Mão de Obra</t>
        </is>
      </c>
      <c r="B397" s="56" t="n"/>
      <c r="C397" s="21" t="inlineStr">
        <is>
          <t>FONTE</t>
        </is>
      </c>
      <c r="D397" s="21" t="inlineStr">
        <is>
          <t>UNID</t>
        </is>
      </c>
      <c r="E397" s="21" t="inlineStr">
        <is>
          <t>COEFICIENTE</t>
        </is>
      </c>
      <c r="F397" s="21" t="inlineStr">
        <is>
          <t>PREÇO UNITÁRIO</t>
        </is>
      </c>
      <c r="G397" s="21" t="inlineStr">
        <is>
          <t>TOTAL</t>
        </is>
      </c>
    </row>
    <row r="398" ht="15" customHeight="1">
      <c r="A398" s="22" t="inlineStr">
        <is>
          <t>I0040</t>
        </is>
      </c>
      <c r="B398" s="23" t="inlineStr">
        <is>
          <t>AJUDANTE DE ARMADOR/FERREIRO</t>
        </is>
      </c>
      <c r="C398" s="22" t="inlineStr">
        <is>
          <t>SEINFRA</t>
        </is>
      </c>
      <c r="D398" s="22" t="inlineStr">
        <is>
          <t>H</t>
        </is>
      </c>
      <c r="E398" s="63">
        <f>L398*FATOR</f>
        <v/>
      </c>
      <c r="F398" s="67" t="n">
        <v>21.1</v>
      </c>
      <c r="G398" s="67">
        <f>ROUND(ROUND(E398,8)*F398,4)</f>
        <v/>
      </c>
      <c r="L398" t="n">
        <v>0.08</v>
      </c>
      <c r="M398" t="n">
        <v>21.1</v>
      </c>
      <c r="N398">
        <f>(M398-F398)</f>
        <v/>
      </c>
    </row>
    <row r="399" ht="15" customHeight="1">
      <c r="A399" s="22" t="inlineStr">
        <is>
          <t>I0121</t>
        </is>
      </c>
      <c r="B399" s="23" t="inlineStr">
        <is>
          <t>ARMADOR/FERREIRO</t>
        </is>
      </c>
      <c r="C399" s="22" t="inlineStr">
        <is>
          <t>SEINFRA</t>
        </is>
      </c>
      <c r="D399" s="22" t="inlineStr">
        <is>
          <t>H</t>
        </is>
      </c>
      <c r="E399" s="63">
        <f>L399*FATOR</f>
        <v/>
      </c>
      <c r="F399" s="67" t="n">
        <v>26.86</v>
      </c>
      <c r="G399" s="67">
        <f>ROUND(ROUND(E399,8)*F399,4)</f>
        <v/>
      </c>
      <c r="L399" t="n">
        <v>0.08</v>
      </c>
      <c r="M399" t="n">
        <v>26.86</v>
      </c>
      <c r="N399">
        <f>(M399-F399)</f>
        <v/>
      </c>
    </row>
    <row r="400" ht="15" customHeight="1">
      <c r="A400" s="2" t="inlineStr"/>
      <c r="B400" s="2" t="inlineStr"/>
      <c r="C400" s="2" t="inlineStr"/>
      <c r="D400" s="2" t="inlineStr"/>
      <c r="E400" s="26" t="inlineStr">
        <is>
          <t>TOTAL Mão de Obra:</t>
        </is>
      </c>
      <c r="F400" s="56" t="n"/>
      <c r="G400" s="68">
        <f>SUM(G398:G399)</f>
        <v/>
      </c>
    </row>
    <row r="401" ht="15" customHeight="1">
      <c r="A401" s="2" t="inlineStr"/>
      <c r="B401" s="2" t="inlineStr"/>
      <c r="C401" s="2" t="inlineStr"/>
      <c r="D401" s="2" t="inlineStr"/>
      <c r="E401" s="28" t="inlineStr">
        <is>
          <t>VALOR:</t>
        </is>
      </c>
      <c r="F401" s="56" t="n"/>
      <c r="G401" s="66">
        <f>SUM(G400,G396)</f>
        <v/>
      </c>
    </row>
    <row r="402" ht="15" customHeight="1">
      <c r="A402" s="2" t="inlineStr"/>
      <c r="B402" s="2" t="inlineStr"/>
      <c r="C402" s="2" t="inlineStr"/>
      <c r="D402" s="2" t="inlineStr"/>
      <c r="E402" s="28" t="inlineStr">
        <is>
          <t>VALOR BDI (23.08%):</t>
        </is>
      </c>
      <c r="F402" s="56" t="n"/>
      <c r="G402" s="66">
        <f>ROUNDDOWN(G401*BDI,2)</f>
        <v/>
      </c>
    </row>
    <row r="403" ht="15" customHeight="1">
      <c r="A403" s="2" t="inlineStr"/>
      <c r="B403" s="2" t="inlineStr"/>
      <c r="C403" s="2" t="inlineStr"/>
      <c r="D403" s="2" t="inlineStr"/>
      <c r="E403" s="28" t="inlineStr">
        <is>
          <t>VALOR COM BDI:</t>
        </is>
      </c>
      <c r="F403" s="56" t="n"/>
      <c r="G403" s="66">
        <f>G402 + G401</f>
        <v/>
      </c>
    </row>
    <row r="404" ht="10" customHeight="1">
      <c r="A404" s="2" t="inlineStr"/>
      <c r="B404" s="2" t="inlineStr"/>
      <c r="C404" s="2" t="inlineStr"/>
      <c r="D404" s="2" t="inlineStr"/>
      <c r="E404" s="18" t="inlineStr"/>
    </row>
    <row r="405" ht="20" customHeight="1">
      <c r="A405" s="19" t="inlineStr">
        <is>
          <t>​89998​ ARMAÇÃO DE CINTA DE ALVENARIA ESTRUTURAL; DIÂMETRO DE 10,0 MM. AF_09/2021​ (KG)</t>
        </is>
      </c>
      <c r="B405" s="55" t="n"/>
      <c r="C405" s="55" t="n"/>
      <c r="D405" s="55" t="n"/>
      <c r="E405" s="55" t="n"/>
      <c r="F405" s="55" t="n"/>
      <c r="G405" s="56" t="n"/>
    </row>
    <row r="406" ht="15" customHeight="1">
      <c r="A406" s="20" t="inlineStr">
        <is>
          <t>Material</t>
        </is>
      </c>
      <c r="B406" s="56" t="n"/>
      <c r="C406" s="21" t="inlineStr">
        <is>
          <t>FONTE</t>
        </is>
      </c>
      <c r="D406" s="21" t="inlineStr">
        <is>
          <t>UNID</t>
        </is>
      </c>
      <c r="E406" s="21" t="inlineStr">
        <is>
          <t>COEFICIENTE</t>
        </is>
      </c>
      <c r="F406" s="21" t="inlineStr">
        <is>
          <t>PREÇO UNITÁRIO</t>
        </is>
      </c>
      <c r="G406" s="21" t="inlineStr">
        <is>
          <t>TOTAL</t>
        </is>
      </c>
    </row>
    <row r="407" ht="15" customHeight="1">
      <c r="A407" s="22" t="inlineStr">
        <is>
          <t>00000034</t>
        </is>
      </c>
      <c r="B407" s="23" t="inlineStr">
        <is>
          <t>ACO CA-50, 10,0 MM, VERGALHAO</t>
        </is>
      </c>
      <c r="C407" s="22" t="inlineStr">
        <is>
          <t>SINAPI</t>
        </is>
      </c>
      <c r="D407" s="22" t="inlineStr">
        <is>
          <t>KG</t>
        </is>
      </c>
      <c r="E407" s="63" t="n">
        <v>1</v>
      </c>
      <c r="F407" s="64">
        <f>ROUND(M407*FATOR, 2)</f>
        <v/>
      </c>
      <c r="G407" s="64">
        <f>TRUNC(TRUNC(E407,8)*F407,2)</f>
        <v/>
      </c>
      <c r="L407" t="n">
        <v>1</v>
      </c>
      <c r="M407" t="n">
        <v>7.4</v>
      </c>
      <c r="N407">
        <f>(M407-F407)</f>
        <v/>
      </c>
    </row>
    <row r="408" ht="15" customHeight="1">
      <c r="A408" s="2" t="inlineStr"/>
      <c r="B408" s="2" t="inlineStr"/>
      <c r="C408" s="2" t="inlineStr"/>
      <c r="D408" s="2" t="inlineStr"/>
      <c r="E408" s="26" t="inlineStr">
        <is>
          <t>TOTAL Material:</t>
        </is>
      </c>
      <c r="F408" s="56" t="n"/>
      <c r="G408" s="65">
        <f>SUM(G407:G407)</f>
        <v/>
      </c>
    </row>
    <row r="409" ht="15" customHeight="1">
      <c r="A409" s="20" t="inlineStr">
        <is>
          <t>Mão de Obra com Encargos Complementares</t>
        </is>
      </c>
      <c r="B409" s="56" t="n"/>
      <c r="C409" s="21" t="inlineStr">
        <is>
          <t>FONTE</t>
        </is>
      </c>
      <c r="D409" s="21" t="inlineStr">
        <is>
          <t>UNID</t>
        </is>
      </c>
      <c r="E409" s="21" t="inlineStr">
        <is>
          <t>COEFICIENTE</t>
        </is>
      </c>
      <c r="F409" s="21" t="inlineStr">
        <is>
          <t>PREÇO UNITÁRIO</t>
        </is>
      </c>
      <c r="G409" s="21" t="inlineStr">
        <is>
          <t>TOTAL</t>
        </is>
      </c>
    </row>
    <row r="410" ht="21" customHeight="1">
      <c r="A410" s="22" t="inlineStr">
        <is>
          <t>88238</t>
        </is>
      </c>
      <c r="B410" s="23" t="inlineStr">
        <is>
          <t>AJUDANTE DE ARMADOR COM ENCARGOS COMPLEMENTARES</t>
        </is>
      </c>
      <c r="C410" s="22" t="inlineStr">
        <is>
          <t>SINAPI</t>
        </is>
      </c>
      <c r="D410" s="22" t="inlineStr">
        <is>
          <t>H</t>
        </is>
      </c>
      <c r="E410" s="63">
        <f>L410*FATOR</f>
        <v/>
      </c>
      <c r="F410" s="64">
        <f>'COMPOSICOES AUXILIARES'!G26</f>
        <v/>
      </c>
      <c r="G410" s="64">
        <f>TRUNC(TRUNC(E410,8)*F410,2)</f>
        <v/>
      </c>
      <c r="L410" t="n">
        <v>0.0325</v>
      </c>
      <c r="M410" t="n">
        <v>24.77</v>
      </c>
      <c r="N410">
        <f>(M410-F410)</f>
        <v/>
      </c>
    </row>
    <row r="411" ht="15" customHeight="1">
      <c r="A411" s="22" t="inlineStr">
        <is>
          <t>88245</t>
        </is>
      </c>
      <c r="B411" s="23" t="inlineStr">
        <is>
          <t>ARMADOR COM ENCARGOS COMPLEMENTARES</t>
        </is>
      </c>
      <c r="C411" s="22" t="inlineStr">
        <is>
          <t>SINAPI</t>
        </is>
      </c>
      <c r="D411" s="22" t="inlineStr">
        <is>
          <t>H</t>
        </is>
      </c>
      <c r="E411" s="63">
        <f>L411*FATOR</f>
        <v/>
      </c>
      <c r="F411" s="64">
        <f>'COMPOSICOES AUXILIARES'!G388</f>
        <v/>
      </c>
      <c r="G411" s="64">
        <f>TRUNC(TRUNC(E411,8)*F411,2)</f>
        <v/>
      </c>
      <c r="L411" t="n">
        <v>0.0488</v>
      </c>
      <c r="M411" t="n">
        <v>30.43</v>
      </c>
      <c r="N411">
        <f>(M411-F411)</f>
        <v/>
      </c>
    </row>
    <row r="412" ht="18" customHeight="1">
      <c r="A412" s="2" t="inlineStr"/>
      <c r="B412" s="2" t="inlineStr"/>
      <c r="C412" s="2" t="inlineStr"/>
      <c r="D412" s="2" t="inlineStr"/>
      <c r="E412" s="26" t="inlineStr">
        <is>
          <t>TOTAL Mão de Obra com Encargos Complementares:</t>
        </is>
      </c>
      <c r="F412" s="56" t="n"/>
      <c r="G412" s="65">
        <f>SUM(G410:G411)</f>
        <v/>
      </c>
    </row>
    <row r="413" ht="15" customHeight="1">
      <c r="A413" s="2" t="inlineStr"/>
      <c r="B413" s="2" t="inlineStr"/>
      <c r="C413" s="2" t="inlineStr"/>
      <c r="D413" s="2" t="inlineStr"/>
      <c r="E413" s="28" t="inlineStr">
        <is>
          <t>VALOR:</t>
        </is>
      </c>
      <c r="F413" s="56" t="n"/>
      <c r="G413" s="66">
        <f>SUM(G408,G412)</f>
        <v/>
      </c>
    </row>
    <row r="414" ht="15" customHeight="1">
      <c r="A414" s="2" t="inlineStr"/>
      <c r="B414" s="2" t="inlineStr"/>
      <c r="C414" s="2" t="inlineStr"/>
      <c r="D414" s="2" t="inlineStr"/>
      <c r="E414" s="28" t="inlineStr">
        <is>
          <t>VALOR BDI (23.08%):</t>
        </is>
      </c>
      <c r="F414" s="56" t="n"/>
      <c r="G414" s="66">
        <f>ROUNDDOWN(G413*BDI,2)</f>
        <v/>
      </c>
    </row>
    <row r="415" ht="15" customHeight="1">
      <c r="A415" s="2" t="inlineStr"/>
      <c r="B415" s="2" t="inlineStr"/>
      <c r="C415" s="2" t="inlineStr"/>
      <c r="D415" s="2" t="inlineStr"/>
      <c r="E415" s="28" t="inlineStr">
        <is>
          <t>VALOR COM BDI:</t>
        </is>
      </c>
      <c r="F415" s="56" t="n"/>
      <c r="G415" s="66">
        <f>G414 + G413</f>
        <v/>
      </c>
    </row>
    <row r="416" ht="10" customHeight="1">
      <c r="A416" s="2" t="inlineStr"/>
      <c r="B416" s="2" t="inlineStr"/>
      <c r="C416" s="2" t="inlineStr"/>
      <c r="D416" s="2" t="inlineStr"/>
      <c r="E416" s="18" t="inlineStr"/>
    </row>
    <row r="417" ht="20" customHeight="1">
      <c r="A417" s="19" t="inlineStr">
        <is>
          <t>​92770​ ARMAÇÃO DE LAJE DE ESTRUTURA CONVENCIONAL DE CONCRETO ARMADO UTILIZANDO AÇO CA-50 DE 8,0 MM - MONTAGEM. AF_06/2022​ (KG)</t>
        </is>
      </c>
      <c r="B417" s="55" t="n"/>
      <c r="C417" s="55" t="n"/>
      <c r="D417" s="55" t="n"/>
      <c r="E417" s="55" t="n"/>
      <c r="F417" s="55" t="n"/>
      <c r="G417" s="56" t="n"/>
    </row>
    <row r="418" ht="15" customHeight="1">
      <c r="A418" s="20" t="inlineStr">
        <is>
          <t>Material</t>
        </is>
      </c>
      <c r="B418" s="56" t="n"/>
      <c r="C418" s="21" t="inlineStr">
        <is>
          <t>FONTE</t>
        </is>
      </c>
      <c r="D418" s="21" t="inlineStr">
        <is>
          <t>UNID</t>
        </is>
      </c>
      <c r="E418" s="21" t="inlineStr">
        <is>
          <t>COEFICIENTE</t>
        </is>
      </c>
      <c r="F418" s="21" t="inlineStr">
        <is>
          <t>PREÇO UNITÁRIO</t>
        </is>
      </c>
      <c r="G418" s="21" t="inlineStr">
        <is>
          <t>TOTAL</t>
        </is>
      </c>
    </row>
    <row r="419" ht="21" customHeight="1">
      <c r="A419" s="22" t="inlineStr">
        <is>
          <t>00043132</t>
        </is>
      </c>
      <c r="B419" s="23" t="inlineStr">
        <is>
          <t>ARAME RECOZIDO 16 BWG, D = 1,65 MM (0,016 KG/M) OU 18 BWG, D = 1,25 MM (0,01 KG/M)</t>
        </is>
      </c>
      <c r="C419" s="22" t="inlineStr">
        <is>
          <t>SINAPI</t>
        </is>
      </c>
      <c r="D419" s="22" t="inlineStr">
        <is>
          <t>KG</t>
        </is>
      </c>
      <c r="E419" s="63" t="n">
        <v>0.025</v>
      </c>
      <c r="F419" s="64">
        <f>ROUND(M419*FATOR, 2)</f>
        <v/>
      </c>
      <c r="G419" s="64">
        <f>TRUNC(TRUNC(E419,8)*F419,2)</f>
        <v/>
      </c>
      <c r="L419" t="n">
        <v>0.025</v>
      </c>
      <c r="M419" t="n">
        <v>15.67</v>
      </c>
      <c r="N419">
        <f>(M419-F419)</f>
        <v/>
      </c>
    </row>
    <row r="420" ht="29" customHeight="1">
      <c r="A420" s="22" t="inlineStr">
        <is>
          <t>00039017</t>
        </is>
      </c>
      <c r="B420" s="23" t="inlineStr">
        <is>
          <t>ESPACADOR / DISTANCIADOR CIRCULAR COM ENTRADA LATERAL, EM PLASTICO, PARA VERGALHAO *4,2 A 12,5* MM, COBRIMENTO 20 MM</t>
        </is>
      </c>
      <c r="C420" s="22" t="inlineStr">
        <is>
          <t>SINAPI</t>
        </is>
      </c>
      <c r="D420" s="22" t="inlineStr">
        <is>
          <t>UN</t>
        </is>
      </c>
      <c r="E420" s="63" t="n">
        <v>0.728</v>
      </c>
      <c r="F420" s="64">
        <f>ROUND(M420*FATOR, 2)</f>
        <v/>
      </c>
      <c r="G420" s="64">
        <f>TRUNC(TRUNC(E420,8)*F420,2)</f>
        <v/>
      </c>
      <c r="L420" t="n">
        <v>0.728</v>
      </c>
      <c r="M420" t="n">
        <v>0.22</v>
      </c>
      <c r="N420">
        <f>(M420-F420)</f>
        <v/>
      </c>
    </row>
    <row r="421" ht="15" customHeight="1">
      <c r="A421" s="2" t="inlineStr"/>
      <c r="B421" s="2" t="inlineStr"/>
      <c r="C421" s="2" t="inlineStr"/>
      <c r="D421" s="2" t="inlineStr"/>
      <c r="E421" s="26" t="inlineStr">
        <is>
          <t>TOTAL Material:</t>
        </is>
      </c>
      <c r="F421" s="56" t="n"/>
      <c r="G421" s="65">
        <f>SUM(G419:G420)</f>
        <v/>
      </c>
    </row>
    <row r="422" ht="15" customHeight="1">
      <c r="A422" s="20" t="inlineStr">
        <is>
          <t>Mão de Obra com Encargos Complementares</t>
        </is>
      </c>
      <c r="B422" s="56" t="n"/>
      <c r="C422" s="21" t="inlineStr">
        <is>
          <t>FONTE</t>
        </is>
      </c>
      <c r="D422" s="21" t="inlineStr">
        <is>
          <t>UNID</t>
        </is>
      </c>
      <c r="E422" s="21" t="inlineStr">
        <is>
          <t>COEFICIENTE</t>
        </is>
      </c>
      <c r="F422" s="21" t="inlineStr">
        <is>
          <t>PREÇO UNITÁRIO</t>
        </is>
      </c>
      <c r="G422" s="21" t="inlineStr">
        <is>
          <t>TOTAL</t>
        </is>
      </c>
    </row>
    <row r="423" ht="21" customHeight="1">
      <c r="A423" s="22" t="inlineStr">
        <is>
          <t>88238</t>
        </is>
      </c>
      <c r="B423" s="23" t="inlineStr">
        <is>
          <t>AJUDANTE DE ARMADOR COM ENCARGOS COMPLEMENTARES</t>
        </is>
      </c>
      <c r="C423" s="22" t="inlineStr">
        <is>
          <t>SINAPI</t>
        </is>
      </c>
      <c r="D423" s="22" t="inlineStr">
        <is>
          <t>H</t>
        </is>
      </c>
      <c r="E423" s="63">
        <f>L423*FATOR</f>
        <v/>
      </c>
      <c r="F423" s="64">
        <f>'COMPOSICOES AUXILIARES'!G26</f>
        <v/>
      </c>
      <c r="G423" s="64">
        <f>TRUNC(TRUNC(E423,8)*F423,2)</f>
        <v/>
      </c>
      <c r="L423" t="n">
        <v>0.0066</v>
      </c>
      <c r="M423" t="n">
        <v>24.77</v>
      </c>
      <c r="N423">
        <f>(M423-F423)</f>
        <v/>
      </c>
    </row>
    <row r="424" ht="15" customHeight="1">
      <c r="A424" s="22" t="inlineStr">
        <is>
          <t>88245</t>
        </is>
      </c>
      <c r="B424" s="23" t="inlineStr">
        <is>
          <t>ARMADOR COM ENCARGOS COMPLEMENTARES</t>
        </is>
      </c>
      <c r="C424" s="22" t="inlineStr">
        <is>
          <t>SINAPI</t>
        </is>
      </c>
      <c r="D424" s="22" t="inlineStr">
        <is>
          <t>H</t>
        </is>
      </c>
      <c r="E424" s="63">
        <f>L424*FATOR</f>
        <v/>
      </c>
      <c r="F424" s="64">
        <f>'COMPOSICOES AUXILIARES'!G388</f>
        <v/>
      </c>
      <c r="G424" s="64">
        <f>TRUNC(TRUNC(E424,8)*F424,2)</f>
        <v/>
      </c>
      <c r="L424" t="n">
        <v>0.0403</v>
      </c>
      <c r="M424" t="n">
        <v>30.43</v>
      </c>
      <c r="N424">
        <f>(M424-F424)</f>
        <v/>
      </c>
    </row>
    <row r="425" ht="18" customHeight="1">
      <c r="A425" s="2" t="inlineStr"/>
      <c r="B425" s="2" t="inlineStr"/>
      <c r="C425" s="2" t="inlineStr"/>
      <c r="D425" s="2" t="inlineStr"/>
      <c r="E425" s="26" t="inlineStr">
        <is>
          <t>TOTAL Mão de Obra com Encargos Complementares:</t>
        </is>
      </c>
      <c r="F425" s="56" t="n"/>
      <c r="G425" s="65">
        <f>SUM(G423:G424)</f>
        <v/>
      </c>
    </row>
    <row r="426" ht="15" customHeight="1">
      <c r="A426" s="20" t="inlineStr">
        <is>
          <t>Serviço</t>
        </is>
      </c>
      <c r="B426" s="56" t="n"/>
      <c r="C426" s="21" t="inlineStr">
        <is>
          <t>FONTE</t>
        </is>
      </c>
      <c r="D426" s="21" t="inlineStr">
        <is>
          <t>UNID</t>
        </is>
      </c>
      <c r="E426" s="21" t="inlineStr">
        <is>
          <t>COEFICIENTE</t>
        </is>
      </c>
      <c r="F426" s="21" t="inlineStr">
        <is>
          <t>PREÇO UNITÁRIO</t>
        </is>
      </c>
      <c r="G426" s="21" t="inlineStr">
        <is>
          <t>TOTAL</t>
        </is>
      </c>
    </row>
    <row r="427" ht="21" customHeight="1">
      <c r="A427" s="22" t="inlineStr">
        <is>
          <t>92802</t>
        </is>
      </c>
      <c r="B427" s="23" t="inlineStr">
        <is>
          <t>CORTE E DOBRA DE AÇO CA-50, DIÂMETRO DE 8,0 MM. AF_06/2022</t>
        </is>
      </c>
      <c r="C427" s="22" t="inlineStr">
        <is>
          <t>SINAPI</t>
        </is>
      </c>
      <c r="D427" s="22" t="inlineStr">
        <is>
          <t>KG</t>
        </is>
      </c>
      <c r="E427" s="63" t="n">
        <v>1</v>
      </c>
      <c r="F427" s="64" t="n">
        <v>9.26</v>
      </c>
      <c r="G427" s="64">
        <f>TRUNC(TRUNC(E427,8)*F427,2)</f>
        <v/>
      </c>
      <c r="L427" t="n">
        <v>1</v>
      </c>
      <c r="M427" t="n">
        <v>9.26</v>
      </c>
      <c r="N427">
        <f>(M427-F427)</f>
        <v/>
      </c>
    </row>
    <row r="428" ht="15" customHeight="1">
      <c r="A428" s="2" t="inlineStr"/>
      <c r="B428" s="2" t="inlineStr"/>
      <c r="C428" s="2" t="inlineStr"/>
      <c r="D428" s="2" t="inlineStr"/>
      <c r="E428" s="26" t="inlineStr">
        <is>
          <t>TOTAL Serviço:</t>
        </is>
      </c>
      <c r="F428" s="56" t="n"/>
      <c r="G428" s="65">
        <f>SUM(G427:G427)</f>
        <v/>
      </c>
    </row>
    <row r="429" ht="15" customHeight="1">
      <c r="A429" s="2" t="inlineStr"/>
      <c r="B429" s="2" t="inlineStr"/>
      <c r="C429" s="2" t="inlineStr"/>
      <c r="D429" s="2" t="inlineStr"/>
      <c r="E429" s="28" t="inlineStr">
        <is>
          <t>VALOR:</t>
        </is>
      </c>
      <c r="F429" s="56" t="n"/>
      <c r="G429" s="66">
        <f>SUM(G425,G428,G421)</f>
        <v/>
      </c>
    </row>
    <row r="430" ht="15" customHeight="1">
      <c r="A430" s="2" t="inlineStr"/>
      <c r="B430" s="2" t="inlineStr"/>
      <c r="C430" s="2" t="inlineStr"/>
      <c r="D430" s="2" t="inlineStr"/>
      <c r="E430" s="28" t="inlineStr">
        <is>
          <t>VALOR BDI (23.08%):</t>
        </is>
      </c>
      <c r="F430" s="56" t="n"/>
      <c r="G430" s="66">
        <f>ROUNDDOWN(G429*BDI,2)</f>
        <v/>
      </c>
    </row>
    <row r="431" ht="15" customHeight="1">
      <c r="A431" s="2" t="inlineStr"/>
      <c r="B431" s="2" t="inlineStr"/>
      <c r="C431" s="2" t="inlineStr"/>
      <c r="D431" s="2" t="inlineStr"/>
      <c r="E431" s="28" t="inlineStr">
        <is>
          <t>VALOR COM BDI:</t>
        </is>
      </c>
      <c r="F431" s="56" t="n"/>
      <c r="G431" s="66">
        <f>G430 + G429</f>
        <v/>
      </c>
    </row>
    <row r="432" ht="10" customHeight="1">
      <c r="A432" s="2" t="inlineStr"/>
      <c r="B432" s="2" t="inlineStr"/>
      <c r="C432" s="2" t="inlineStr"/>
      <c r="D432" s="2" t="inlineStr"/>
      <c r="E432" s="18" t="inlineStr"/>
    </row>
    <row r="433" ht="20" customHeight="1">
      <c r="A433" s="19" t="inlineStr">
        <is>
          <t>​92767​ ARMAÇÃO DE LAJE DE ESTRUTURA CONVENCIONAL DE CONCRETO ARMADO UTILIZANDO AÇO CA-60 DE 4,2 MM - MONTAGEM. AF_06/2022​ (KG)</t>
        </is>
      </c>
      <c r="B433" s="55" t="n"/>
      <c r="C433" s="55" t="n"/>
      <c r="D433" s="55" t="n"/>
      <c r="E433" s="55" t="n"/>
      <c r="F433" s="55" t="n"/>
      <c r="G433" s="56" t="n"/>
    </row>
    <row r="434" ht="15" customHeight="1">
      <c r="A434" s="20" t="inlineStr">
        <is>
          <t>Material</t>
        </is>
      </c>
      <c r="B434" s="56" t="n"/>
      <c r="C434" s="21" t="inlineStr">
        <is>
          <t>FONTE</t>
        </is>
      </c>
      <c r="D434" s="21" t="inlineStr">
        <is>
          <t>UNID</t>
        </is>
      </c>
      <c r="E434" s="21" t="inlineStr">
        <is>
          <t>COEFICIENTE</t>
        </is>
      </c>
      <c r="F434" s="21" t="inlineStr">
        <is>
          <t>PREÇO UNITÁRIO</t>
        </is>
      </c>
      <c r="G434" s="21" t="inlineStr">
        <is>
          <t>TOTAL</t>
        </is>
      </c>
    </row>
    <row r="435" ht="21" customHeight="1">
      <c r="A435" s="22" t="inlineStr">
        <is>
          <t>00043132</t>
        </is>
      </c>
      <c r="B435" s="23" t="inlineStr">
        <is>
          <t>ARAME RECOZIDO 16 BWG, D = 1,65 MM (0,016 KG/M) OU 18 BWG, D = 1,25 MM (0,01 KG/M)</t>
        </is>
      </c>
      <c r="C435" s="22" t="inlineStr">
        <is>
          <t>SINAPI</t>
        </is>
      </c>
      <c r="D435" s="22" t="inlineStr">
        <is>
          <t>KG</t>
        </is>
      </c>
      <c r="E435" s="63" t="n">
        <v>0.025</v>
      </c>
      <c r="F435" s="64">
        <f>ROUND(M435*FATOR, 2)</f>
        <v/>
      </c>
      <c r="G435" s="64">
        <f>TRUNC(TRUNC(E435,8)*F435,2)</f>
        <v/>
      </c>
      <c r="L435" t="n">
        <v>0.025</v>
      </c>
      <c r="M435" t="n">
        <v>15.67</v>
      </c>
      <c r="N435">
        <f>(M435-F435)</f>
        <v/>
      </c>
    </row>
    <row r="436" ht="29" customHeight="1">
      <c r="A436" s="22" t="inlineStr">
        <is>
          <t>00039017</t>
        </is>
      </c>
      <c r="B436" s="23" t="inlineStr">
        <is>
          <t>ESPACADOR / DISTANCIADOR CIRCULAR COM ENTRADA LATERAL, EM PLASTICO, PARA VERGALHAO *4,2 A 12,5* MM, COBRIMENTO 20 MM</t>
        </is>
      </c>
      <c r="C436" s="22" t="inlineStr">
        <is>
          <t>SINAPI</t>
        </is>
      </c>
      <c r="D436" s="22" t="inlineStr">
        <is>
          <t>UN</t>
        </is>
      </c>
      <c r="E436" s="63" t="n">
        <v>2.816</v>
      </c>
      <c r="F436" s="64">
        <f>ROUND(M436*FATOR, 2)</f>
        <v/>
      </c>
      <c r="G436" s="64">
        <f>TRUNC(TRUNC(E436,8)*F436,2)</f>
        <v/>
      </c>
      <c r="L436" t="n">
        <v>2.816</v>
      </c>
      <c r="M436" t="n">
        <v>0.22</v>
      </c>
      <c r="N436">
        <f>(M436-F436)</f>
        <v/>
      </c>
    </row>
    <row r="437" ht="15" customHeight="1">
      <c r="A437" s="2" t="inlineStr"/>
      <c r="B437" s="2" t="inlineStr"/>
      <c r="C437" s="2" t="inlineStr"/>
      <c r="D437" s="2" t="inlineStr"/>
      <c r="E437" s="26" t="inlineStr">
        <is>
          <t>TOTAL Material:</t>
        </is>
      </c>
      <c r="F437" s="56" t="n"/>
      <c r="G437" s="65">
        <f>SUM(G435:G436)</f>
        <v/>
      </c>
    </row>
    <row r="438" ht="15" customHeight="1">
      <c r="A438" s="20" t="inlineStr">
        <is>
          <t>Mão de Obra com Encargos Complementares</t>
        </is>
      </c>
      <c r="B438" s="56" t="n"/>
      <c r="C438" s="21" t="inlineStr">
        <is>
          <t>FONTE</t>
        </is>
      </c>
      <c r="D438" s="21" t="inlineStr">
        <is>
          <t>UNID</t>
        </is>
      </c>
      <c r="E438" s="21" t="inlineStr">
        <is>
          <t>COEFICIENTE</t>
        </is>
      </c>
      <c r="F438" s="21" t="inlineStr">
        <is>
          <t>PREÇO UNITÁRIO</t>
        </is>
      </c>
      <c r="G438" s="21" t="inlineStr">
        <is>
          <t>TOTAL</t>
        </is>
      </c>
    </row>
    <row r="439" ht="21" customHeight="1">
      <c r="A439" s="22" t="inlineStr">
        <is>
          <t>88238</t>
        </is>
      </c>
      <c r="B439" s="23" t="inlineStr">
        <is>
          <t>AJUDANTE DE ARMADOR COM ENCARGOS COMPLEMENTARES</t>
        </is>
      </c>
      <c r="C439" s="22" t="inlineStr">
        <is>
          <t>SINAPI</t>
        </is>
      </c>
      <c r="D439" s="22" t="inlineStr">
        <is>
          <t>H</t>
        </is>
      </c>
      <c r="E439" s="63">
        <f>L439*FATOR</f>
        <v/>
      </c>
      <c r="F439" s="64">
        <f>'COMPOSICOES AUXILIARES'!G26</f>
        <v/>
      </c>
      <c r="G439" s="64">
        <f>TRUNC(TRUNC(E439,8)*F439,2)</f>
        <v/>
      </c>
      <c r="L439" t="n">
        <v>0.0172</v>
      </c>
      <c r="M439" t="n">
        <v>24.77</v>
      </c>
      <c r="N439">
        <f>(M439-F439)</f>
        <v/>
      </c>
    </row>
    <row r="440" ht="15" customHeight="1">
      <c r="A440" s="22" t="inlineStr">
        <is>
          <t>88245</t>
        </is>
      </c>
      <c r="B440" s="23" t="inlineStr">
        <is>
          <t>ARMADOR COM ENCARGOS COMPLEMENTARES</t>
        </is>
      </c>
      <c r="C440" s="22" t="inlineStr">
        <is>
          <t>SINAPI</t>
        </is>
      </c>
      <c r="D440" s="22" t="inlineStr">
        <is>
          <t>H</t>
        </is>
      </c>
      <c r="E440" s="63">
        <f>L440*FATOR</f>
        <v/>
      </c>
      <c r="F440" s="64">
        <f>'COMPOSICOES AUXILIARES'!G388</f>
        <v/>
      </c>
      <c r="G440" s="64">
        <f>TRUNC(TRUNC(E440,8)*F440,2)</f>
        <v/>
      </c>
      <c r="L440" t="n">
        <v>0.1055</v>
      </c>
      <c r="M440" t="n">
        <v>30.43</v>
      </c>
      <c r="N440">
        <f>(M440-F440)</f>
        <v/>
      </c>
    </row>
    <row r="441" ht="18" customHeight="1">
      <c r="A441" s="2" t="inlineStr"/>
      <c r="B441" s="2" t="inlineStr"/>
      <c r="C441" s="2" t="inlineStr"/>
      <c r="D441" s="2" t="inlineStr"/>
      <c r="E441" s="26" t="inlineStr">
        <is>
          <t>TOTAL Mão de Obra com Encargos Complementares:</t>
        </is>
      </c>
      <c r="F441" s="56" t="n"/>
      <c r="G441" s="65">
        <f>SUM(G439:G440)</f>
        <v/>
      </c>
    </row>
    <row r="442" ht="15" customHeight="1">
      <c r="A442" s="20" t="inlineStr">
        <is>
          <t>Serviço</t>
        </is>
      </c>
      <c r="B442" s="56" t="n"/>
      <c r="C442" s="21" t="inlineStr">
        <is>
          <t>FONTE</t>
        </is>
      </c>
      <c r="D442" s="21" t="inlineStr">
        <is>
          <t>UNID</t>
        </is>
      </c>
      <c r="E442" s="21" t="inlineStr">
        <is>
          <t>COEFICIENTE</t>
        </is>
      </c>
      <c r="F442" s="21" t="inlineStr">
        <is>
          <t>PREÇO UNITÁRIO</t>
        </is>
      </c>
      <c r="G442" s="21" t="inlineStr">
        <is>
          <t>TOTAL</t>
        </is>
      </c>
    </row>
    <row r="443" ht="21" customHeight="1">
      <c r="A443" s="22" t="inlineStr">
        <is>
          <t>92799</t>
        </is>
      </c>
      <c r="B443" s="23" t="inlineStr">
        <is>
          <t>CORTE E DOBRA DE AÇO CA-60, DIÂMETRO DE 4,2 MM. AF_06/2022</t>
        </is>
      </c>
      <c r="C443" s="22" t="inlineStr">
        <is>
          <t>SINAPI</t>
        </is>
      </c>
      <c r="D443" s="22" t="inlineStr">
        <is>
          <t>KG</t>
        </is>
      </c>
      <c r="E443" s="63" t="n">
        <v>1</v>
      </c>
      <c r="F443" s="64" t="n">
        <v>10.69</v>
      </c>
      <c r="G443" s="64">
        <f>TRUNC(TRUNC(E443,8)*F443,2)</f>
        <v/>
      </c>
      <c r="L443" t="n">
        <v>1</v>
      </c>
      <c r="M443" t="n">
        <v>10.69</v>
      </c>
      <c r="N443">
        <f>(M443-F443)</f>
        <v/>
      </c>
    </row>
    <row r="444" ht="15" customHeight="1">
      <c r="A444" s="2" t="inlineStr"/>
      <c r="B444" s="2" t="inlineStr"/>
      <c r="C444" s="2" t="inlineStr"/>
      <c r="D444" s="2" t="inlineStr"/>
      <c r="E444" s="26" t="inlineStr">
        <is>
          <t>TOTAL Serviço:</t>
        </is>
      </c>
      <c r="F444" s="56" t="n"/>
      <c r="G444" s="65">
        <f>SUM(G443:G443)</f>
        <v/>
      </c>
    </row>
    <row r="445" ht="15" customHeight="1">
      <c r="A445" s="2" t="inlineStr"/>
      <c r="B445" s="2" t="inlineStr"/>
      <c r="C445" s="2" t="inlineStr"/>
      <c r="D445" s="2" t="inlineStr"/>
      <c r="E445" s="28" t="inlineStr">
        <is>
          <t>VALOR:</t>
        </is>
      </c>
      <c r="F445" s="56" t="n"/>
      <c r="G445" s="66">
        <f>SUM(G441,G444,G437)</f>
        <v/>
      </c>
    </row>
    <row r="446" ht="15" customHeight="1">
      <c r="A446" s="2" t="inlineStr"/>
      <c r="B446" s="2" t="inlineStr"/>
      <c r="C446" s="2" t="inlineStr"/>
      <c r="D446" s="2" t="inlineStr"/>
      <c r="E446" s="28" t="inlineStr">
        <is>
          <t>VALOR BDI (23.08%):</t>
        </is>
      </c>
      <c r="F446" s="56" t="n"/>
      <c r="G446" s="66">
        <f>ROUNDDOWN(G445*BDI,2)</f>
        <v/>
      </c>
    </row>
    <row r="447" ht="15" customHeight="1">
      <c r="A447" s="2" t="inlineStr"/>
      <c r="B447" s="2" t="inlineStr"/>
      <c r="C447" s="2" t="inlineStr"/>
      <c r="D447" s="2" t="inlineStr"/>
      <c r="E447" s="28" t="inlineStr">
        <is>
          <t>VALOR COM BDI:</t>
        </is>
      </c>
      <c r="F447" s="56" t="n"/>
      <c r="G447" s="66">
        <f>G446 + G445</f>
        <v/>
      </c>
    </row>
    <row r="448" ht="10" customHeight="1">
      <c r="A448" s="2" t="inlineStr"/>
      <c r="B448" s="2" t="inlineStr"/>
      <c r="C448" s="2" t="inlineStr"/>
      <c r="D448" s="2" t="inlineStr"/>
      <c r="E448" s="18" t="inlineStr"/>
    </row>
    <row r="449" ht="20" customHeight="1">
      <c r="A449" s="19" t="inlineStr">
        <is>
          <t>​92768​ ARMAÇÃO DE LAJE DE ESTRUTURA CONVENCIONAL DE CONCRETO ARMADO UTILIZANDO AÇO CA-60 DE 5,0 MM - MONTAGEM. AF_06/2022​ (KG)</t>
        </is>
      </c>
      <c r="B449" s="55" t="n"/>
      <c r="C449" s="55" t="n"/>
      <c r="D449" s="55" t="n"/>
      <c r="E449" s="55" t="n"/>
      <c r="F449" s="55" t="n"/>
      <c r="G449" s="56" t="n"/>
    </row>
    <row r="450" ht="15" customHeight="1">
      <c r="A450" s="20" t="inlineStr">
        <is>
          <t>Material</t>
        </is>
      </c>
      <c r="B450" s="56" t="n"/>
      <c r="C450" s="21" t="inlineStr">
        <is>
          <t>FONTE</t>
        </is>
      </c>
      <c r="D450" s="21" t="inlineStr">
        <is>
          <t>UNID</t>
        </is>
      </c>
      <c r="E450" s="21" t="inlineStr">
        <is>
          <t>COEFICIENTE</t>
        </is>
      </c>
      <c r="F450" s="21" t="inlineStr">
        <is>
          <t>PREÇO UNITÁRIO</t>
        </is>
      </c>
      <c r="G450" s="21" t="inlineStr">
        <is>
          <t>TOTAL</t>
        </is>
      </c>
    </row>
    <row r="451" ht="21" customHeight="1">
      <c r="A451" s="22" t="inlineStr">
        <is>
          <t>00043132</t>
        </is>
      </c>
      <c r="B451" s="23" t="inlineStr">
        <is>
          <t>ARAME RECOZIDO 16 BWG, D = 1,65 MM (0,016 KG/M) OU 18 BWG, D = 1,25 MM (0,01 KG/M)</t>
        </is>
      </c>
      <c r="C451" s="22" t="inlineStr">
        <is>
          <t>SINAPI</t>
        </is>
      </c>
      <c r="D451" s="22" t="inlineStr">
        <is>
          <t>KG</t>
        </is>
      </c>
      <c r="E451" s="63" t="n">
        <v>0.025</v>
      </c>
      <c r="F451" s="64">
        <f>ROUND(M451*FATOR, 2)</f>
        <v/>
      </c>
      <c r="G451" s="64">
        <f>TRUNC(TRUNC(E451,8)*F451,2)</f>
        <v/>
      </c>
      <c r="L451" t="n">
        <v>0.025</v>
      </c>
      <c r="M451" t="n">
        <v>15.67</v>
      </c>
      <c r="N451">
        <f>(M451-F451)</f>
        <v/>
      </c>
    </row>
    <row r="452" ht="29" customHeight="1">
      <c r="A452" s="22" t="inlineStr">
        <is>
          <t>00039017</t>
        </is>
      </c>
      <c r="B452" s="23" t="inlineStr">
        <is>
          <t>ESPACADOR / DISTANCIADOR CIRCULAR COM ENTRADA LATERAL, EM PLASTICO, PARA VERGALHAO *4,2 A 12,5* MM, COBRIMENTO 20 MM</t>
        </is>
      </c>
      <c r="C452" s="22" t="inlineStr">
        <is>
          <t>SINAPI</t>
        </is>
      </c>
      <c r="D452" s="22" t="inlineStr">
        <is>
          <t>UN</t>
        </is>
      </c>
      <c r="E452" s="63" t="n">
        <v>2.118</v>
      </c>
      <c r="F452" s="64">
        <f>ROUND(M452*FATOR, 2)</f>
        <v/>
      </c>
      <c r="G452" s="64">
        <f>TRUNC(TRUNC(E452,8)*F452,2)</f>
        <v/>
      </c>
      <c r="L452" t="n">
        <v>2.118</v>
      </c>
      <c r="M452" t="n">
        <v>0.22</v>
      </c>
      <c r="N452">
        <f>(M452-F452)</f>
        <v/>
      </c>
    </row>
    <row r="453" ht="15" customHeight="1">
      <c r="A453" s="2" t="inlineStr"/>
      <c r="B453" s="2" t="inlineStr"/>
      <c r="C453" s="2" t="inlineStr"/>
      <c r="D453" s="2" t="inlineStr"/>
      <c r="E453" s="26" t="inlineStr">
        <is>
          <t>TOTAL Material:</t>
        </is>
      </c>
      <c r="F453" s="56" t="n"/>
      <c r="G453" s="65">
        <f>SUM(G451:G452)</f>
        <v/>
      </c>
    </row>
    <row r="454" ht="15" customHeight="1">
      <c r="A454" s="20" t="inlineStr">
        <is>
          <t>Mão de Obra com Encargos Complementares</t>
        </is>
      </c>
      <c r="B454" s="56" t="n"/>
      <c r="C454" s="21" t="inlineStr">
        <is>
          <t>FONTE</t>
        </is>
      </c>
      <c r="D454" s="21" t="inlineStr">
        <is>
          <t>UNID</t>
        </is>
      </c>
      <c r="E454" s="21" t="inlineStr">
        <is>
          <t>COEFICIENTE</t>
        </is>
      </c>
      <c r="F454" s="21" t="inlineStr">
        <is>
          <t>PREÇO UNITÁRIO</t>
        </is>
      </c>
      <c r="G454" s="21" t="inlineStr">
        <is>
          <t>TOTAL</t>
        </is>
      </c>
    </row>
    <row r="455" ht="21" customHeight="1">
      <c r="A455" s="22" t="inlineStr">
        <is>
          <t>88238</t>
        </is>
      </c>
      <c r="B455" s="23" t="inlineStr">
        <is>
          <t>AJUDANTE DE ARMADOR COM ENCARGOS COMPLEMENTARES</t>
        </is>
      </c>
      <c r="C455" s="22" t="inlineStr">
        <is>
          <t>SINAPI</t>
        </is>
      </c>
      <c r="D455" s="22" t="inlineStr">
        <is>
          <t>H</t>
        </is>
      </c>
      <c r="E455" s="63">
        <f>L455*FATOR</f>
        <v/>
      </c>
      <c r="F455" s="64">
        <f>'COMPOSICOES AUXILIARES'!G26</f>
        <v/>
      </c>
      <c r="G455" s="64">
        <f>TRUNC(TRUNC(E455,8)*F455,2)</f>
        <v/>
      </c>
      <c r="L455" t="n">
        <v>0.0136</v>
      </c>
      <c r="M455" t="n">
        <v>24.77</v>
      </c>
      <c r="N455">
        <f>(M455-F455)</f>
        <v/>
      </c>
    </row>
    <row r="456" ht="15" customHeight="1">
      <c r="A456" s="22" t="inlineStr">
        <is>
          <t>88245</t>
        </is>
      </c>
      <c r="B456" s="23" t="inlineStr">
        <is>
          <t>ARMADOR COM ENCARGOS COMPLEMENTARES</t>
        </is>
      </c>
      <c r="C456" s="22" t="inlineStr">
        <is>
          <t>SINAPI</t>
        </is>
      </c>
      <c r="D456" s="22" t="inlineStr">
        <is>
          <t>H</t>
        </is>
      </c>
      <c r="E456" s="63">
        <f>L456*FATOR</f>
        <v/>
      </c>
      <c r="F456" s="64">
        <f>'COMPOSICOES AUXILIARES'!G388</f>
        <v/>
      </c>
      <c r="G456" s="64">
        <f>TRUNC(TRUNC(E456,8)*F456,2)</f>
        <v/>
      </c>
      <c r="L456" t="n">
        <v>0.08359999999999999</v>
      </c>
      <c r="M456" t="n">
        <v>30.43</v>
      </c>
      <c r="N456">
        <f>(M456-F456)</f>
        <v/>
      </c>
    </row>
    <row r="457" ht="18" customHeight="1">
      <c r="A457" s="2" t="inlineStr"/>
      <c r="B457" s="2" t="inlineStr"/>
      <c r="C457" s="2" t="inlineStr"/>
      <c r="D457" s="2" t="inlineStr"/>
      <c r="E457" s="26" t="inlineStr">
        <is>
          <t>TOTAL Mão de Obra com Encargos Complementares:</t>
        </is>
      </c>
      <c r="F457" s="56" t="n"/>
      <c r="G457" s="65">
        <f>SUM(G455:G456)</f>
        <v/>
      </c>
    </row>
    <row r="458" ht="15" customHeight="1">
      <c r="A458" s="20" t="inlineStr">
        <is>
          <t>Serviço</t>
        </is>
      </c>
      <c r="B458" s="56" t="n"/>
      <c r="C458" s="21" t="inlineStr">
        <is>
          <t>FONTE</t>
        </is>
      </c>
      <c r="D458" s="21" t="inlineStr">
        <is>
          <t>UNID</t>
        </is>
      </c>
      <c r="E458" s="21" t="inlineStr">
        <is>
          <t>COEFICIENTE</t>
        </is>
      </c>
      <c r="F458" s="21" t="inlineStr">
        <is>
          <t>PREÇO UNITÁRIO</t>
        </is>
      </c>
      <c r="G458" s="21" t="inlineStr">
        <is>
          <t>TOTAL</t>
        </is>
      </c>
    </row>
    <row r="459" ht="21" customHeight="1">
      <c r="A459" s="22" t="inlineStr">
        <is>
          <t>92800</t>
        </is>
      </c>
      <c r="B459" s="23" t="inlineStr">
        <is>
          <t>CORTE E DOBRA DE AÇO CA-60, DIÂMETRO DE 5,0 MM. AF_06/2022</t>
        </is>
      </c>
      <c r="C459" s="22" t="inlineStr">
        <is>
          <t>SINAPI</t>
        </is>
      </c>
      <c r="D459" s="22" t="inlineStr">
        <is>
          <t>KG</t>
        </is>
      </c>
      <c r="E459" s="63" t="n">
        <v>1</v>
      </c>
      <c r="F459" s="64" t="n">
        <v>9.48</v>
      </c>
      <c r="G459" s="64">
        <f>TRUNC(TRUNC(E459,8)*F459,2)</f>
        <v/>
      </c>
      <c r="L459" t="n">
        <v>1</v>
      </c>
      <c r="M459" t="n">
        <v>9.48</v>
      </c>
      <c r="N459">
        <f>(M459-F459)</f>
        <v/>
      </c>
    </row>
    <row r="460" ht="15" customHeight="1">
      <c r="A460" s="2" t="inlineStr"/>
      <c r="B460" s="2" t="inlineStr"/>
      <c r="C460" s="2" t="inlineStr"/>
      <c r="D460" s="2" t="inlineStr"/>
      <c r="E460" s="26" t="inlineStr">
        <is>
          <t>TOTAL Serviço:</t>
        </is>
      </c>
      <c r="F460" s="56" t="n"/>
      <c r="G460" s="65">
        <f>SUM(G459:G459)</f>
        <v/>
      </c>
    </row>
    <row r="461" ht="15" customHeight="1">
      <c r="A461" s="2" t="inlineStr"/>
      <c r="B461" s="2" t="inlineStr"/>
      <c r="C461" s="2" t="inlineStr"/>
      <c r="D461" s="2" t="inlineStr"/>
      <c r="E461" s="28" t="inlineStr">
        <is>
          <t>VALOR:</t>
        </is>
      </c>
      <c r="F461" s="56" t="n"/>
      <c r="G461" s="66">
        <f>SUM(G457,G460,G453)</f>
        <v/>
      </c>
    </row>
    <row r="462" ht="15" customHeight="1">
      <c r="A462" s="2" t="inlineStr"/>
      <c r="B462" s="2" t="inlineStr"/>
      <c r="C462" s="2" t="inlineStr"/>
      <c r="D462" s="2" t="inlineStr"/>
      <c r="E462" s="28" t="inlineStr">
        <is>
          <t>VALOR BDI (23.08%):</t>
        </is>
      </c>
      <c r="F462" s="56" t="n"/>
      <c r="G462" s="66">
        <f>ROUNDDOWN(G461*BDI,2)</f>
        <v/>
      </c>
    </row>
    <row r="463" ht="15" customHeight="1">
      <c r="A463" s="2" t="inlineStr"/>
      <c r="B463" s="2" t="inlineStr"/>
      <c r="C463" s="2" t="inlineStr"/>
      <c r="D463" s="2" t="inlineStr"/>
      <c r="E463" s="28" t="inlineStr">
        <is>
          <t>VALOR COM BDI:</t>
        </is>
      </c>
      <c r="F463" s="56" t="n"/>
      <c r="G463" s="66">
        <f>G462 + G461</f>
        <v/>
      </c>
    </row>
    <row r="464" ht="10" customHeight="1">
      <c r="A464" s="2" t="inlineStr"/>
      <c r="B464" s="2" t="inlineStr"/>
      <c r="C464" s="2" t="inlineStr"/>
      <c r="D464" s="2" t="inlineStr"/>
      <c r="E464" s="18" t="inlineStr"/>
    </row>
    <row r="465" ht="20" customHeight="1">
      <c r="A465" s="19" t="inlineStr">
        <is>
          <t>​103138​ ASSENTAMENTO DE CONEXÃO COM 1 ACESSO, FERRO FUNDIDO PARA REDE DE ÁGUA, DN 100 MM, JUNTA FLANGEADA (NÃO INCLUI O FORNECIMENTO). AF_09/2021​ (UN)</t>
        </is>
      </c>
      <c r="B465" s="55" t="n"/>
      <c r="C465" s="55" t="n"/>
      <c r="D465" s="55" t="n"/>
      <c r="E465" s="55" t="n"/>
      <c r="F465" s="55" t="n"/>
      <c r="G465" s="56" t="n"/>
    </row>
    <row r="466" ht="15" customHeight="1">
      <c r="A466" s="20" t="inlineStr">
        <is>
          <t>Equipamento Custo Horário</t>
        </is>
      </c>
      <c r="B466" s="56" t="n"/>
      <c r="C466" s="21" t="inlineStr">
        <is>
          <t>FONTE</t>
        </is>
      </c>
      <c r="D466" s="21" t="inlineStr">
        <is>
          <t>UNID</t>
        </is>
      </c>
      <c r="E466" s="21" t="inlineStr">
        <is>
          <t>COEFICIENTE</t>
        </is>
      </c>
      <c r="F466" s="21" t="inlineStr">
        <is>
          <t>PREÇO UNITÁRIO</t>
        </is>
      </c>
      <c r="G466" s="21" t="inlineStr">
        <is>
          <t>TOTAL</t>
        </is>
      </c>
    </row>
    <row r="467" ht="46" customHeight="1">
      <c r="A467" s="22" t="inlineStr">
        <is>
          <t>5930</t>
        </is>
      </c>
      <c r="B467" s="23" t="inlineStr">
        <is>
          <t>GUINDAUTO HIDRÁULICO, CAPACIDADE MÁXIMA DE CARGA 6200 KG, MOMENTO MÁXIMO DE CARGA 11,7 TM, ALCANCE MÁXIMO HORIZONTAL 9,70 M, INCLUSIVE CAMINHÃO TOCO PBT 16.000 KG, POTÊNCIA DE 189 CV - CHI DIURNO. AF_06/2014</t>
        </is>
      </c>
      <c r="C467" s="22" t="inlineStr">
        <is>
          <t>SINAPI</t>
        </is>
      </c>
      <c r="D467" s="22" t="inlineStr">
        <is>
          <t>CHI</t>
        </is>
      </c>
      <c r="E467" s="63" t="n">
        <v>0.1454</v>
      </c>
      <c r="F467" s="64" t="n">
        <v>79.83</v>
      </c>
      <c r="G467" s="64">
        <f>TRUNC(TRUNC(E467,8)*F467,2)</f>
        <v/>
      </c>
      <c r="L467" t="n">
        <v>0.1454</v>
      </c>
      <c r="M467" t="n">
        <v>79.83</v>
      </c>
      <c r="N467">
        <f>(M467-F467)</f>
        <v/>
      </c>
    </row>
    <row r="468" ht="46" customHeight="1">
      <c r="A468" s="22" t="inlineStr">
        <is>
          <t>5928</t>
        </is>
      </c>
      <c r="B468" s="23" t="inlineStr">
        <is>
          <t>GUINDAUTO HIDRÁULICO, CAPACIDADE MÁXIMA DE CARGA 6200 KG, MOMENTO MÁXIMO DE CARGA 11,7 TM, ALCANCE MÁXIMO HORIZONTAL 9,70 M, INCLUSIVE CAMINHÃO TOCO PBT 16.000 KG, POTÊNCIA DE 189 CV - CHP DIURNO. AF_06/2014</t>
        </is>
      </c>
      <c r="C468" s="22" t="inlineStr">
        <is>
          <t>SINAPI</t>
        </is>
      </c>
      <c r="D468" s="22" t="inlineStr">
        <is>
          <t>CHP</t>
        </is>
      </c>
      <c r="E468" s="63" t="n">
        <v>0.0727</v>
      </c>
      <c r="F468" s="64" t="n">
        <v>285.05</v>
      </c>
      <c r="G468" s="64">
        <f>TRUNC(TRUNC(E468,8)*F468,2)</f>
        <v/>
      </c>
      <c r="L468" t="n">
        <v>0.0727</v>
      </c>
      <c r="M468" t="n">
        <v>285.05</v>
      </c>
      <c r="N468">
        <f>(M468-F468)</f>
        <v/>
      </c>
    </row>
    <row r="469" ht="18" customHeight="1">
      <c r="A469" s="2" t="inlineStr"/>
      <c r="B469" s="2" t="inlineStr"/>
      <c r="C469" s="2" t="inlineStr"/>
      <c r="D469" s="2" t="inlineStr"/>
      <c r="E469" s="26" t="inlineStr">
        <is>
          <t>TOTAL Equipamento Custo Horário:</t>
        </is>
      </c>
      <c r="F469" s="56" t="n"/>
      <c r="G469" s="65">
        <f>SUM(G467:G468)</f>
        <v/>
      </c>
    </row>
    <row r="470" ht="15" customHeight="1">
      <c r="A470" s="20" t="inlineStr">
        <is>
          <t>Mão de Obra com Encargos Complementares</t>
        </is>
      </c>
      <c r="B470" s="56" t="n"/>
      <c r="C470" s="21" t="inlineStr">
        <is>
          <t>FONTE</t>
        </is>
      </c>
      <c r="D470" s="21" t="inlineStr">
        <is>
          <t>UNID</t>
        </is>
      </c>
      <c r="E470" s="21" t="inlineStr">
        <is>
          <t>COEFICIENTE</t>
        </is>
      </c>
      <c r="F470" s="21" t="inlineStr">
        <is>
          <t>PREÇO UNITÁRIO</t>
        </is>
      </c>
      <c r="G470" s="21" t="inlineStr">
        <is>
          <t>TOTAL</t>
        </is>
      </c>
    </row>
    <row r="471" ht="21" customHeight="1">
      <c r="A471" s="22" t="inlineStr">
        <is>
          <t>88248</t>
        </is>
      </c>
      <c r="B471" s="23" t="inlineStr">
        <is>
          <t>AUXILIAR DE ENCANADOR OU BOMBEIRO HIDRÁULICO COM ENCARGOS COMPLEMENTARES</t>
        </is>
      </c>
      <c r="C471" s="22" t="inlineStr">
        <is>
          <t>SINAPI</t>
        </is>
      </c>
      <c r="D471" s="22" t="inlineStr">
        <is>
          <t>H</t>
        </is>
      </c>
      <c r="E471" s="63">
        <f>L471*FATOR</f>
        <v/>
      </c>
      <c r="F471" s="64">
        <f>G524</f>
        <v/>
      </c>
      <c r="G471" s="64">
        <f>TRUNC(TRUNC(E471,8)*F471,2)</f>
        <v/>
      </c>
      <c r="L471" t="n">
        <v>0.0626</v>
      </c>
      <c r="M471" t="n">
        <v>24.23</v>
      </c>
      <c r="N471">
        <f>(M471-F471)</f>
        <v/>
      </c>
    </row>
    <row r="472" ht="21" customHeight="1">
      <c r="A472" s="22" t="inlineStr">
        <is>
          <t>88267</t>
        </is>
      </c>
      <c r="B472" s="23" t="inlineStr">
        <is>
          <t>ENCANADOR OU BOMBEIRO HIDRÁULICO COM ENCARGOS COMPLEMENTARES</t>
        </is>
      </c>
      <c r="C472" s="22" t="inlineStr">
        <is>
          <t>SINAPI</t>
        </is>
      </c>
      <c r="D472" s="22" t="inlineStr">
        <is>
          <t>H</t>
        </is>
      </c>
      <c r="E472" s="63">
        <f>L472*FATOR</f>
        <v/>
      </c>
      <c r="F472" s="64">
        <f>G1888</f>
        <v/>
      </c>
      <c r="G472" s="64">
        <f>TRUNC(TRUNC(E472,8)*F472,2)</f>
        <v/>
      </c>
      <c r="L472" t="n">
        <v>0.2279</v>
      </c>
      <c r="M472" t="n">
        <v>29.86</v>
      </c>
      <c r="N472">
        <f>(M472-F472)</f>
        <v/>
      </c>
    </row>
    <row r="473" ht="18" customHeight="1">
      <c r="A473" s="2" t="inlineStr"/>
      <c r="B473" s="2" t="inlineStr"/>
      <c r="C473" s="2" t="inlineStr"/>
      <c r="D473" s="2" t="inlineStr"/>
      <c r="E473" s="26" t="inlineStr">
        <is>
          <t>TOTAL Mão de Obra com Encargos Complementares:</t>
        </is>
      </c>
      <c r="F473" s="56" t="n"/>
      <c r="G473" s="65">
        <f>SUM(G471:G472)</f>
        <v/>
      </c>
    </row>
    <row r="474" ht="15" customHeight="1">
      <c r="A474" s="2" t="inlineStr"/>
      <c r="B474" s="2" t="inlineStr"/>
      <c r="C474" s="2" t="inlineStr"/>
      <c r="D474" s="2" t="inlineStr"/>
      <c r="E474" s="28" t="inlineStr">
        <is>
          <t>VALOR:</t>
        </is>
      </c>
      <c r="F474" s="56" t="n"/>
      <c r="G474" s="66">
        <f>SUM(G473,G469)</f>
        <v/>
      </c>
    </row>
    <row r="475" ht="15" customHeight="1">
      <c r="A475" s="2" t="inlineStr"/>
      <c r="B475" s="2" t="inlineStr"/>
      <c r="C475" s="2" t="inlineStr"/>
      <c r="D475" s="2" t="inlineStr"/>
      <c r="E475" s="28" t="inlineStr">
        <is>
          <t>VALOR BDI (23.08%):</t>
        </is>
      </c>
      <c r="F475" s="56" t="n"/>
      <c r="G475" s="66">
        <f>ROUNDDOWN(G474*BDI,2)</f>
        <v/>
      </c>
    </row>
    <row r="476" ht="15" customHeight="1">
      <c r="A476" s="2" t="inlineStr"/>
      <c r="B476" s="2" t="inlineStr"/>
      <c r="C476" s="2" t="inlineStr"/>
      <c r="D476" s="2" t="inlineStr"/>
      <c r="E476" s="28" t="inlineStr">
        <is>
          <t>VALOR COM BDI:</t>
        </is>
      </c>
      <c r="F476" s="56" t="n"/>
      <c r="G476" s="66">
        <f>G475 + G474</f>
        <v/>
      </c>
    </row>
    <row r="477" ht="10" customHeight="1">
      <c r="A477" s="2" t="inlineStr"/>
      <c r="B477" s="2" t="inlineStr"/>
      <c r="C477" s="2" t="inlineStr"/>
      <c r="D477" s="2" t="inlineStr"/>
      <c r="E477" s="18" t="inlineStr"/>
    </row>
    <row r="478" ht="20" customHeight="1">
      <c r="A478" s="19" t="inlineStr">
        <is>
          <t>​100849​ ASSENTO SANITÁRIO CONVENCIONAL - FORNECIMENTO E INSTALACAO. AF_01/2020​ (UN)</t>
        </is>
      </c>
      <c r="B478" s="55" t="n"/>
      <c r="C478" s="55" t="n"/>
      <c r="D478" s="55" t="n"/>
      <c r="E478" s="55" t="n"/>
      <c r="F478" s="55" t="n"/>
      <c r="G478" s="56" t="n"/>
    </row>
    <row r="479" ht="15" customHeight="1">
      <c r="A479" s="20" t="inlineStr">
        <is>
          <t>Material</t>
        </is>
      </c>
      <c r="B479" s="56" t="n"/>
      <c r="C479" s="21" t="inlineStr">
        <is>
          <t>FONTE</t>
        </is>
      </c>
      <c r="D479" s="21" t="inlineStr">
        <is>
          <t>UNID</t>
        </is>
      </c>
      <c r="E479" s="21" t="inlineStr">
        <is>
          <t>COEFICIENTE</t>
        </is>
      </c>
      <c r="F479" s="21" t="inlineStr">
        <is>
          <t>PREÇO UNITÁRIO</t>
        </is>
      </c>
      <c r="G479" s="21" t="inlineStr">
        <is>
          <t>TOTAL</t>
        </is>
      </c>
    </row>
    <row r="480" ht="15" customHeight="1">
      <c r="A480" s="22" t="inlineStr">
        <is>
          <t>00000377</t>
        </is>
      </c>
      <c r="B480" s="23" t="inlineStr">
        <is>
          <t>ASSENTO SANITARIO DE PLASTICO, TIPO CONVENCIONAL</t>
        </is>
      </c>
      <c r="C480" s="22" t="inlineStr">
        <is>
          <t>SINAPI</t>
        </is>
      </c>
      <c r="D480" s="22" t="inlineStr">
        <is>
          <t>UN</t>
        </is>
      </c>
      <c r="E480" s="63" t="n">
        <v>1</v>
      </c>
      <c r="F480" s="64">
        <f>ROUND(M480*FATOR, 2)</f>
        <v/>
      </c>
      <c r="G480" s="64">
        <f>TRUNC(TRUNC(E480,8)*F480,2)</f>
        <v/>
      </c>
      <c r="L480" t="n">
        <v>1</v>
      </c>
      <c r="M480" t="n">
        <v>39.95</v>
      </c>
      <c r="N480">
        <f>(M480-F480)</f>
        <v/>
      </c>
    </row>
    <row r="481" ht="15" customHeight="1">
      <c r="A481" s="2" t="inlineStr"/>
      <c r="B481" s="2" t="inlineStr"/>
      <c r="C481" s="2" t="inlineStr"/>
      <c r="D481" s="2" t="inlineStr"/>
      <c r="E481" s="26" t="inlineStr">
        <is>
          <t>TOTAL Material:</t>
        </is>
      </c>
      <c r="F481" s="56" t="n"/>
      <c r="G481" s="65">
        <f>SUM(G480:G480)</f>
        <v/>
      </c>
    </row>
    <row r="482" ht="15" customHeight="1">
      <c r="A482" s="20" t="inlineStr">
        <is>
          <t>Mão de Obra com Encargos Complementares</t>
        </is>
      </c>
      <c r="B482" s="56" t="n"/>
      <c r="C482" s="21" t="inlineStr">
        <is>
          <t>FONTE</t>
        </is>
      </c>
      <c r="D482" s="21" t="inlineStr">
        <is>
          <t>UNID</t>
        </is>
      </c>
      <c r="E482" s="21" t="inlineStr">
        <is>
          <t>COEFICIENTE</t>
        </is>
      </c>
      <c r="F482" s="21" t="inlineStr">
        <is>
          <t>PREÇO UNITÁRIO</t>
        </is>
      </c>
      <c r="G482" s="21" t="inlineStr">
        <is>
          <t>TOTAL</t>
        </is>
      </c>
    </row>
    <row r="483" ht="21" customHeight="1">
      <c r="A483" s="22" t="inlineStr">
        <is>
          <t>88267</t>
        </is>
      </c>
      <c r="B483" s="23" t="inlineStr">
        <is>
          <t>ENCANADOR OU BOMBEIRO HIDRÁULICO COM ENCARGOS COMPLEMENTARES</t>
        </is>
      </c>
      <c r="C483" s="22" t="inlineStr">
        <is>
          <t>SINAPI</t>
        </is>
      </c>
      <c r="D483" s="22" t="inlineStr">
        <is>
          <t>H</t>
        </is>
      </c>
      <c r="E483" s="63">
        <f>L483*FATOR</f>
        <v/>
      </c>
      <c r="F483" s="64">
        <f>'COMPOSICOES AUXILIARES'!G474</f>
        <v/>
      </c>
      <c r="G483" s="64">
        <f>TRUNC(TRUNC(E483,8)*F483,2)</f>
        <v/>
      </c>
      <c r="L483" t="n">
        <v>0.1536</v>
      </c>
      <c r="M483" t="n">
        <v>29.86</v>
      </c>
      <c r="N483">
        <f>(M483-F483)</f>
        <v/>
      </c>
    </row>
    <row r="484" ht="15" customHeight="1">
      <c r="A484" s="22" t="inlineStr">
        <is>
          <t>88316</t>
        </is>
      </c>
      <c r="B484" s="23" t="inlineStr">
        <is>
          <t>SERVENTE COM ENCARGOS COMPLEMENTARES</t>
        </is>
      </c>
      <c r="C484" s="22" t="inlineStr">
        <is>
          <t>SINAPI</t>
        </is>
      </c>
      <c r="D484" s="22" t="inlineStr">
        <is>
          <t>H</t>
        </is>
      </c>
      <c r="E484" s="63">
        <f>L484*FATOR</f>
        <v/>
      </c>
      <c r="F484" s="64">
        <f>'COMPOSICOES AUXILIARES'!G161</f>
        <v/>
      </c>
      <c r="G484" s="64">
        <f>TRUNC(TRUNC(E484,8)*F484,2)</f>
        <v/>
      </c>
      <c r="L484" t="n">
        <v>0.0484</v>
      </c>
      <c r="M484" t="n">
        <v>23.56</v>
      </c>
      <c r="N484">
        <f>(M484-F484)</f>
        <v/>
      </c>
    </row>
    <row r="485" ht="18" customHeight="1">
      <c r="A485" s="2" t="inlineStr"/>
      <c r="B485" s="2" t="inlineStr"/>
      <c r="C485" s="2" t="inlineStr"/>
      <c r="D485" s="2" t="inlineStr"/>
      <c r="E485" s="26" t="inlineStr">
        <is>
          <t>TOTAL Mão de Obra com Encargos Complementares:</t>
        </is>
      </c>
      <c r="F485" s="56" t="n"/>
      <c r="G485" s="65">
        <f>SUM(G483:G484)</f>
        <v/>
      </c>
    </row>
    <row r="486" ht="15" customHeight="1">
      <c r="A486" s="2" t="inlineStr"/>
      <c r="B486" s="2" t="inlineStr"/>
      <c r="C486" s="2" t="inlineStr"/>
      <c r="D486" s="2" t="inlineStr"/>
      <c r="E486" s="28" t="inlineStr">
        <is>
          <t>VALOR:</t>
        </is>
      </c>
      <c r="F486" s="56" t="n"/>
      <c r="G486" s="66">
        <f>SUM(G481,G485)</f>
        <v/>
      </c>
    </row>
    <row r="487" ht="15" customHeight="1">
      <c r="A487" s="2" t="inlineStr"/>
      <c r="B487" s="2" t="inlineStr"/>
      <c r="C487" s="2" t="inlineStr"/>
      <c r="D487" s="2" t="inlineStr"/>
      <c r="E487" s="28" t="inlineStr">
        <is>
          <t>VALOR BDI (23.08%):</t>
        </is>
      </c>
      <c r="F487" s="56" t="n"/>
      <c r="G487" s="66">
        <f>ROUNDDOWN(G486*BDI,2)</f>
        <v/>
      </c>
    </row>
    <row r="488" ht="15" customHeight="1">
      <c r="A488" s="2" t="inlineStr"/>
      <c r="B488" s="2" t="inlineStr"/>
      <c r="C488" s="2" t="inlineStr"/>
      <c r="D488" s="2" t="inlineStr"/>
      <c r="E488" s="28" t="inlineStr">
        <is>
          <t>VALOR COM BDI:</t>
        </is>
      </c>
      <c r="F488" s="56" t="n"/>
      <c r="G488" s="66">
        <f>G487 + G486</f>
        <v/>
      </c>
    </row>
    <row r="489" ht="10" customHeight="1">
      <c r="A489" s="2" t="inlineStr"/>
      <c r="B489" s="2" t="inlineStr"/>
      <c r="C489" s="2" t="inlineStr"/>
      <c r="D489" s="2" t="inlineStr"/>
      <c r="E489" s="18" t="inlineStr"/>
    </row>
    <row r="490" ht="20" customHeight="1">
      <c r="A490" s="19" t="inlineStr">
        <is>
          <t>​88247​ AUXILIAR DE ELETRICISTA COM ENCARGOS COMPLEMENTARES​ (H)</t>
        </is>
      </c>
      <c r="B490" s="55" t="n"/>
      <c r="C490" s="55" t="n"/>
      <c r="D490" s="55" t="n"/>
      <c r="E490" s="55" t="n"/>
      <c r="F490" s="55" t="n"/>
      <c r="G490" s="56" t="n"/>
    </row>
    <row r="491" ht="15" customHeight="1">
      <c r="A491" s="20" t="inlineStr">
        <is>
          <t>Encargos Complementares</t>
        </is>
      </c>
      <c r="B491" s="56" t="n"/>
      <c r="C491" s="21" t="inlineStr">
        <is>
          <t>FONTE</t>
        </is>
      </c>
      <c r="D491" s="21" t="inlineStr">
        <is>
          <t>UNID</t>
        </is>
      </c>
      <c r="E491" s="21" t="inlineStr">
        <is>
          <t>COEFICIENTE</t>
        </is>
      </c>
      <c r="F491" s="21" t="inlineStr">
        <is>
          <t>PREÇO UNITÁRIO</t>
        </is>
      </c>
      <c r="G491" s="21" t="inlineStr">
        <is>
          <t>TOTAL</t>
        </is>
      </c>
    </row>
    <row r="492" ht="21" customHeight="1">
      <c r="A492" s="22" t="inlineStr">
        <is>
          <t>00037370</t>
        </is>
      </c>
      <c r="B492" s="23" t="inlineStr">
        <is>
          <t>ALIMENTACAO - HORISTA (COLETADO CAIXA - ENCARGOS COMPLEMENTARES)</t>
        </is>
      </c>
      <c r="C492" s="22" t="inlineStr">
        <is>
          <t>SINAPI</t>
        </is>
      </c>
      <c r="D492" s="22" t="inlineStr">
        <is>
          <t>H</t>
        </is>
      </c>
      <c r="E492" s="63" t="n">
        <v>1</v>
      </c>
      <c r="F492" s="64" t="n">
        <v>3.62</v>
      </c>
      <c r="G492" s="64">
        <f>TRUNC(TRUNC(E492,8)*F492,2)</f>
        <v/>
      </c>
      <c r="L492" t="n">
        <v>1</v>
      </c>
      <c r="M492" t="n">
        <v>3.62</v>
      </c>
      <c r="N492">
        <f>(M492-F492)</f>
        <v/>
      </c>
    </row>
    <row r="493" ht="21" customHeight="1">
      <c r="A493" s="22" t="inlineStr">
        <is>
          <t>00043484</t>
        </is>
      </c>
      <c r="B493" s="23" t="inlineStr">
        <is>
          <t>EPI - FAMILIA ELETRICISTA - HORISTA (ENCARGOS COMPLEMENTARES - COLETADO CAIXA)</t>
        </is>
      </c>
      <c r="C493" s="22" t="inlineStr">
        <is>
          <t>SINAPI</t>
        </is>
      </c>
      <c r="D493" s="22" t="inlineStr">
        <is>
          <t>H</t>
        </is>
      </c>
      <c r="E493" s="63" t="n">
        <v>1</v>
      </c>
      <c r="F493" s="64" t="n">
        <v>1.26</v>
      </c>
      <c r="G493" s="64">
        <f>TRUNC(TRUNC(E493,8)*F493,2)</f>
        <v/>
      </c>
      <c r="L493" t="n">
        <v>1</v>
      </c>
      <c r="M493" t="n">
        <v>1.26</v>
      </c>
      <c r="N493">
        <f>(M493-F493)</f>
        <v/>
      </c>
    </row>
    <row r="494" ht="21" customHeight="1">
      <c r="A494" s="22" t="inlineStr">
        <is>
          <t>00037372</t>
        </is>
      </c>
      <c r="B494" s="23" t="inlineStr">
        <is>
          <t>EXAMES - HORISTA (COLETADO CAIXA - ENCARGOS COMPLEMENTARES)</t>
        </is>
      </c>
      <c r="C494" s="22" t="inlineStr">
        <is>
          <t>SINAPI</t>
        </is>
      </c>
      <c r="D494" s="22" t="inlineStr">
        <is>
          <t>H</t>
        </is>
      </c>
      <c r="E494" s="63" t="n">
        <v>1</v>
      </c>
      <c r="F494" s="64" t="n">
        <v>1.43</v>
      </c>
      <c r="G494" s="64">
        <f>TRUNC(TRUNC(E494,8)*F494,2)</f>
        <v/>
      </c>
      <c r="L494" t="n">
        <v>1</v>
      </c>
      <c r="M494" t="n">
        <v>1.43</v>
      </c>
      <c r="N494">
        <f>(M494-F494)</f>
        <v/>
      </c>
    </row>
    <row r="495" ht="21" customHeight="1">
      <c r="A495" s="22" t="inlineStr">
        <is>
          <t>00043460</t>
        </is>
      </c>
      <c r="B495" s="23" t="inlineStr">
        <is>
          <t>FERRAMENTAS - FAMILIA ELETRICISTA - HORISTA (ENCARGOS COMPLEMENTARES - COLETADO CAIXA)</t>
        </is>
      </c>
      <c r="C495" s="22" t="inlineStr">
        <is>
          <t>SINAPI</t>
        </is>
      </c>
      <c r="D495" s="22" t="inlineStr">
        <is>
          <t>H</t>
        </is>
      </c>
      <c r="E495" s="63" t="n">
        <v>1</v>
      </c>
      <c r="F495" s="64" t="n">
        <v>0.86</v>
      </c>
      <c r="G495" s="64">
        <f>TRUNC(TRUNC(E495,8)*F495,2)</f>
        <v/>
      </c>
      <c r="L495" t="n">
        <v>1</v>
      </c>
      <c r="M495" t="n">
        <v>0.86</v>
      </c>
      <c r="N495">
        <f>(M495-F495)</f>
        <v/>
      </c>
    </row>
    <row r="496" ht="21" customHeight="1">
      <c r="A496" s="22" t="inlineStr">
        <is>
          <t>00037373</t>
        </is>
      </c>
      <c r="B496" s="23" t="inlineStr">
        <is>
          <t>SEGURO - HORISTA (COLETADO CAIXA - ENCARGOS COMPLEMENTARES)</t>
        </is>
      </c>
      <c r="C496" s="22" t="inlineStr">
        <is>
          <t>SINAPI</t>
        </is>
      </c>
      <c r="D496" s="22" t="inlineStr">
        <is>
          <t>H</t>
        </is>
      </c>
      <c r="E496" s="63" t="n">
        <v>1</v>
      </c>
      <c r="F496" s="64" t="n">
        <v>0.08</v>
      </c>
      <c r="G496" s="64">
        <f>TRUNC(TRUNC(E496,8)*F496,2)</f>
        <v/>
      </c>
      <c r="L496" t="n">
        <v>1</v>
      </c>
      <c r="M496" t="n">
        <v>0.08</v>
      </c>
      <c r="N496">
        <f>(M496-F496)</f>
        <v/>
      </c>
    </row>
    <row r="497" ht="21" customHeight="1">
      <c r="A497" s="22" t="inlineStr">
        <is>
          <t>00037371</t>
        </is>
      </c>
      <c r="B497" s="23" t="inlineStr">
        <is>
          <t>TRANSPORTE - HORISTA (COLETADO CAIXA - ENCARGOS COMPLEMENTARES)</t>
        </is>
      </c>
      <c r="C497" s="22" t="inlineStr">
        <is>
          <t>SINAPI</t>
        </is>
      </c>
      <c r="D497" s="22" t="inlineStr">
        <is>
          <t>H</t>
        </is>
      </c>
      <c r="E497" s="63" t="n">
        <v>1</v>
      </c>
      <c r="F497" s="64" t="n">
        <v>1.09</v>
      </c>
      <c r="G497" s="64">
        <f>TRUNC(TRUNC(E497,8)*F497,2)</f>
        <v/>
      </c>
      <c r="L497" t="n">
        <v>1</v>
      </c>
      <c r="M497" t="n">
        <v>1.09</v>
      </c>
      <c r="N497">
        <f>(M497-F497)</f>
        <v/>
      </c>
    </row>
    <row r="498" ht="15" customHeight="1">
      <c r="A498" s="2" t="inlineStr"/>
      <c r="B498" s="2" t="inlineStr"/>
      <c r="C498" s="2" t="inlineStr"/>
      <c r="D498" s="2" t="inlineStr"/>
      <c r="E498" s="26" t="inlineStr">
        <is>
          <t>TOTAL Encargos Complementares:</t>
        </is>
      </c>
      <c r="F498" s="56" t="n"/>
      <c r="G498" s="65">
        <f>SUM(G492:G497)</f>
        <v/>
      </c>
    </row>
    <row r="499" ht="15" customHeight="1">
      <c r="A499" s="20" t="inlineStr">
        <is>
          <t>Mão de Obra</t>
        </is>
      </c>
      <c r="B499" s="56" t="n"/>
      <c r="C499" s="21" t="inlineStr">
        <is>
          <t>FONTE</t>
        </is>
      </c>
      <c r="D499" s="21" t="inlineStr">
        <is>
          <t>UNID</t>
        </is>
      </c>
      <c r="E499" s="21" t="inlineStr">
        <is>
          <t>COEFICIENTE</t>
        </is>
      </c>
      <c r="F499" s="21" t="inlineStr">
        <is>
          <t>PREÇO UNITÁRIO</t>
        </is>
      </c>
      <c r="G499" s="21" t="inlineStr">
        <is>
          <t>TOTAL</t>
        </is>
      </c>
    </row>
    <row r="500" ht="15" customHeight="1">
      <c r="A500" s="22" t="inlineStr">
        <is>
          <t>00000247</t>
        </is>
      </c>
      <c r="B500" s="23" t="inlineStr">
        <is>
          <t>AJUDANTE DE ELETRICISTA (HORISTA)</t>
        </is>
      </c>
      <c r="C500" s="22" t="inlineStr">
        <is>
          <t>SINAPI</t>
        </is>
      </c>
      <c r="D500" s="22" t="inlineStr">
        <is>
          <t>H</t>
        </is>
      </c>
      <c r="E500" s="63">
        <f>L500*FATOR</f>
        <v/>
      </c>
      <c r="F500" s="64" t="n">
        <v>16.28</v>
      </c>
      <c r="G500" s="64">
        <f>TRUNC(TRUNC(E500,8)*F500,2)</f>
        <v/>
      </c>
      <c r="L500" t="n">
        <v>1</v>
      </c>
      <c r="M500" t="n">
        <v>16.28</v>
      </c>
      <c r="N500">
        <f>(M500-F500)</f>
        <v/>
      </c>
    </row>
    <row r="501" ht="15" customHeight="1">
      <c r="A501" s="2" t="inlineStr"/>
      <c r="B501" s="2" t="inlineStr"/>
      <c r="C501" s="2" t="inlineStr"/>
      <c r="D501" s="2" t="inlineStr"/>
      <c r="E501" s="26" t="inlineStr">
        <is>
          <t>TOTAL Mão de Obra:</t>
        </is>
      </c>
      <c r="F501" s="56" t="n"/>
      <c r="G501" s="65">
        <f>SUM(G500:G500)</f>
        <v/>
      </c>
    </row>
    <row r="502" ht="15" customHeight="1">
      <c r="A502" s="20" t="inlineStr">
        <is>
          <t>Serviço</t>
        </is>
      </c>
      <c r="B502" s="56" t="n"/>
      <c r="C502" s="21" t="inlineStr">
        <is>
          <t>FONTE</t>
        </is>
      </c>
      <c r="D502" s="21" t="inlineStr">
        <is>
          <t>UNID</t>
        </is>
      </c>
      <c r="E502" s="21" t="inlineStr">
        <is>
          <t>COEFICIENTE</t>
        </is>
      </c>
      <c r="F502" s="21" t="inlineStr">
        <is>
          <t>PREÇO UNITÁRIO</t>
        </is>
      </c>
      <c r="G502" s="21" t="inlineStr">
        <is>
          <t>TOTAL</t>
        </is>
      </c>
    </row>
    <row r="503" ht="21" customHeight="1">
      <c r="A503" s="22" t="inlineStr">
        <is>
          <t>95316</t>
        </is>
      </c>
      <c r="B503" s="23" t="inlineStr">
        <is>
          <t>CURSO DE CAPACITAÇÃO PARA AUXILIAR DE ELETRICISTA (ENCARGOS COMPLEMENTARES) - HORISTA</t>
        </is>
      </c>
      <c r="C503" s="22" t="inlineStr">
        <is>
          <t>SINAPI</t>
        </is>
      </c>
      <c r="D503" s="22" t="inlineStr">
        <is>
          <t>H</t>
        </is>
      </c>
      <c r="E503" s="63" t="n">
        <v>1</v>
      </c>
      <c r="F503" s="64">
        <f>G1531</f>
        <v/>
      </c>
      <c r="G503" s="64">
        <f>TRUNC(TRUNC(E503,8)*F503,2)</f>
        <v/>
      </c>
      <c r="L503" t="n">
        <v>1</v>
      </c>
      <c r="M503" t="n">
        <v>0.6</v>
      </c>
      <c r="N503">
        <f>(M503-F503)</f>
        <v/>
      </c>
    </row>
    <row r="504" ht="15" customHeight="1">
      <c r="A504" s="2" t="inlineStr"/>
      <c r="B504" s="2" t="inlineStr"/>
      <c r="C504" s="2" t="inlineStr"/>
      <c r="D504" s="2" t="inlineStr"/>
      <c r="E504" s="26" t="inlineStr">
        <is>
          <t>TOTAL Serviço:</t>
        </is>
      </c>
      <c r="F504" s="56" t="n"/>
      <c r="G504" s="65">
        <f>SUM(G503:G503)</f>
        <v/>
      </c>
    </row>
    <row r="505" ht="15" customHeight="1">
      <c r="A505" s="2" t="inlineStr"/>
      <c r="B505" s="2" t="inlineStr"/>
      <c r="C505" s="2" t="inlineStr"/>
      <c r="D505" s="2" t="inlineStr"/>
      <c r="E505" s="28" t="inlineStr">
        <is>
          <t>VALOR:</t>
        </is>
      </c>
      <c r="F505" s="56" t="n"/>
      <c r="G505" s="66">
        <f>SUM(G504,G498,G501)</f>
        <v/>
      </c>
    </row>
    <row r="506" ht="15" customHeight="1">
      <c r="A506" s="2" t="inlineStr"/>
      <c r="B506" s="2" t="inlineStr"/>
      <c r="C506" s="2" t="inlineStr"/>
      <c r="D506" s="2" t="inlineStr"/>
      <c r="E506" s="28" t="inlineStr">
        <is>
          <t>VALOR BDI (23.08%):</t>
        </is>
      </c>
      <c r="F506" s="56" t="n"/>
      <c r="G506" s="66">
        <f>ROUNDDOWN(G505*BDI,2)</f>
        <v/>
      </c>
    </row>
    <row r="507" ht="15" customHeight="1">
      <c r="A507" s="2" t="inlineStr"/>
      <c r="B507" s="2" t="inlineStr"/>
      <c r="C507" s="2" t="inlineStr"/>
      <c r="D507" s="2" t="inlineStr"/>
      <c r="E507" s="28" t="inlineStr">
        <is>
          <t>VALOR COM BDI:</t>
        </is>
      </c>
      <c r="F507" s="56" t="n"/>
      <c r="G507" s="66">
        <f>G506 + G505</f>
        <v/>
      </c>
    </row>
    <row r="508" ht="10" customHeight="1">
      <c r="A508" s="2" t="inlineStr"/>
      <c r="B508" s="2" t="inlineStr"/>
      <c r="C508" s="2" t="inlineStr"/>
      <c r="D508" s="2" t="inlineStr"/>
      <c r="E508" s="18" t="inlineStr"/>
    </row>
    <row r="509" ht="20" customHeight="1">
      <c r="A509" s="19" t="inlineStr">
        <is>
          <t>​88248​ AUXILIAR DE ENCANADOR OU BOMBEIRO HIDRÁULICO COM ENCARGOS COMPLEMENTARES​ (H)</t>
        </is>
      </c>
      <c r="B509" s="55" t="n"/>
      <c r="C509" s="55" t="n"/>
      <c r="D509" s="55" t="n"/>
      <c r="E509" s="55" t="n"/>
      <c r="F509" s="55" t="n"/>
      <c r="G509" s="56" t="n"/>
    </row>
    <row r="510" ht="15" customHeight="1">
      <c r="A510" s="20" t="inlineStr">
        <is>
          <t>Encargos Complementares</t>
        </is>
      </c>
      <c r="B510" s="56" t="n"/>
      <c r="C510" s="21" t="inlineStr">
        <is>
          <t>FONTE</t>
        </is>
      </c>
      <c r="D510" s="21" t="inlineStr">
        <is>
          <t>UNID</t>
        </is>
      </c>
      <c r="E510" s="21" t="inlineStr">
        <is>
          <t>COEFICIENTE</t>
        </is>
      </c>
      <c r="F510" s="21" t="inlineStr">
        <is>
          <t>PREÇO UNITÁRIO</t>
        </is>
      </c>
      <c r="G510" s="21" t="inlineStr">
        <is>
          <t>TOTAL</t>
        </is>
      </c>
    </row>
    <row r="511" ht="21" customHeight="1">
      <c r="A511" s="22" t="inlineStr">
        <is>
          <t>00037370</t>
        </is>
      </c>
      <c r="B511" s="23" t="inlineStr">
        <is>
          <t>ALIMENTACAO - HORISTA (COLETADO CAIXA - ENCARGOS COMPLEMENTARES)</t>
        </is>
      </c>
      <c r="C511" s="22" t="inlineStr">
        <is>
          <t>SINAPI</t>
        </is>
      </c>
      <c r="D511" s="22" t="inlineStr">
        <is>
          <t>H</t>
        </is>
      </c>
      <c r="E511" s="63" t="n">
        <v>1</v>
      </c>
      <c r="F511" s="64" t="n">
        <v>3.62</v>
      </c>
      <c r="G511" s="64">
        <f>TRUNC(TRUNC(E511,8)*F511,2)</f>
        <v/>
      </c>
      <c r="L511" t="n">
        <v>1</v>
      </c>
      <c r="M511" t="n">
        <v>3.62</v>
      </c>
      <c r="N511">
        <f>(M511-F511)</f>
        <v/>
      </c>
    </row>
    <row r="512" ht="21" customHeight="1">
      <c r="A512" s="22" t="inlineStr">
        <is>
          <t>00043485</t>
        </is>
      </c>
      <c r="B512" s="23" t="inlineStr">
        <is>
          <t>EPI - FAMILIA ENCANADOR - HORISTA (ENCARGOS COMPLEMENTARES - COLETADO CAIXA)</t>
        </is>
      </c>
      <c r="C512" s="22" t="inlineStr">
        <is>
          <t>SINAPI</t>
        </is>
      </c>
      <c r="D512" s="22" t="inlineStr">
        <is>
          <t>H</t>
        </is>
      </c>
      <c r="E512" s="63" t="n">
        <v>1</v>
      </c>
      <c r="F512" s="64" t="n">
        <v>1.13</v>
      </c>
      <c r="G512" s="64">
        <f>TRUNC(TRUNC(E512,8)*F512,2)</f>
        <v/>
      </c>
      <c r="L512" t="n">
        <v>1</v>
      </c>
      <c r="M512" t="n">
        <v>1.13</v>
      </c>
      <c r="N512">
        <f>(M512-F512)</f>
        <v/>
      </c>
    </row>
    <row r="513" ht="21" customHeight="1">
      <c r="A513" s="22" t="inlineStr">
        <is>
          <t>00037372</t>
        </is>
      </c>
      <c r="B513" s="23" t="inlineStr">
        <is>
          <t>EXAMES - HORISTA (COLETADO CAIXA - ENCARGOS COMPLEMENTARES)</t>
        </is>
      </c>
      <c r="C513" s="22" t="inlineStr">
        <is>
          <t>SINAPI</t>
        </is>
      </c>
      <c r="D513" s="22" t="inlineStr">
        <is>
          <t>H</t>
        </is>
      </c>
      <c r="E513" s="63" t="n">
        <v>1</v>
      </c>
      <c r="F513" s="64" t="n">
        <v>1.43</v>
      </c>
      <c r="G513" s="64">
        <f>TRUNC(TRUNC(E513,8)*F513,2)</f>
        <v/>
      </c>
      <c r="L513" t="n">
        <v>1</v>
      </c>
      <c r="M513" t="n">
        <v>1.43</v>
      </c>
      <c r="N513">
        <f>(M513-F513)</f>
        <v/>
      </c>
    </row>
    <row r="514" ht="21" customHeight="1">
      <c r="A514" s="22" t="inlineStr">
        <is>
          <t>00043461</t>
        </is>
      </c>
      <c r="B514" s="23" t="inlineStr">
        <is>
          <t>FERRAMENTAS - FAMILIA ENCANADOR - HORISTA (ENCARGOS COMPLEMENTARES - COLETADO CAIXA)</t>
        </is>
      </c>
      <c r="C514" s="22" t="inlineStr">
        <is>
          <t>SINAPI</t>
        </is>
      </c>
      <c r="D514" s="22" t="inlineStr">
        <is>
          <t>H</t>
        </is>
      </c>
      <c r="E514" s="63" t="n">
        <v>1</v>
      </c>
      <c r="F514" s="64" t="n">
        <v>0.31</v>
      </c>
      <c r="G514" s="64">
        <f>TRUNC(TRUNC(E514,8)*F514,2)</f>
        <v/>
      </c>
      <c r="L514" t="n">
        <v>1</v>
      </c>
      <c r="M514" t="n">
        <v>0.31</v>
      </c>
      <c r="N514">
        <f>(M514-F514)</f>
        <v/>
      </c>
    </row>
    <row r="515" ht="21" customHeight="1">
      <c r="A515" s="22" t="inlineStr">
        <is>
          <t>00037373</t>
        </is>
      </c>
      <c r="B515" s="23" t="inlineStr">
        <is>
          <t>SEGURO - HORISTA (COLETADO CAIXA - ENCARGOS COMPLEMENTARES)</t>
        </is>
      </c>
      <c r="C515" s="22" t="inlineStr">
        <is>
          <t>SINAPI</t>
        </is>
      </c>
      <c r="D515" s="22" t="inlineStr">
        <is>
          <t>H</t>
        </is>
      </c>
      <c r="E515" s="63" t="n">
        <v>1</v>
      </c>
      <c r="F515" s="64" t="n">
        <v>0.08</v>
      </c>
      <c r="G515" s="64">
        <f>TRUNC(TRUNC(E515,8)*F515,2)</f>
        <v/>
      </c>
      <c r="L515" t="n">
        <v>1</v>
      </c>
      <c r="M515" t="n">
        <v>0.08</v>
      </c>
      <c r="N515">
        <f>(M515-F515)</f>
        <v/>
      </c>
    </row>
    <row r="516" ht="21" customHeight="1">
      <c r="A516" s="22" t="inlineStr">
        <is>
          <t>00037371</t>
        </is>
      </c>
      <c r="B516" s="23" t="inlineStr">
        <is>
          <t>TRANSPORTE - HORISTA (COLETADO CAIXA - ENCARGOS COMPLEMENTARES)</t>
        </is>
      </c>
      <c r="C516" s="22" t="inlineStr">
        <is>
          <t>SINAPI</t>
        </is>
      </c>
      <c r="D516" s="22" t="inlineStr">
        <is>
          <t>H</t>
        </is>
      </c>
      <c r="E516" s="63" t="n">
        <v>1</v>
      </c>
      <c r="F516" s="64" t="n">
        <v>1.09</v>
      </c>
      <c r="G516" s="64">
        <f>TRUNC(TRUNC(E516,8)*F516,2)</f>
        <v/>
      </c>
      <c r="L516" t="n">
        <v>1</v>
      </c>
      <c r="M516" t="n">
        <v>1.09</v>
      </c>
      <c r="N516">
        <f>(M516-F516)</f>
        <v/>
      </c>
    </row>
    <row r="517" ht="15" customHeight="1">
      <c r="A517" s="2" t="inlineStr"/>
      <c r="B517" s="2" t="inlineStr"/>
      <c r="C517" s="2" t="inlineStr"/>
      <c r="D517" s="2" t="inlineStr"/>
      <c r="E517" s="26" t="inlineStr">
        <is>
          <t>TOTAL Encargos Complementares:</t>
        </is>
      </c>
      <c r="F517" s="56" t="n"/>
      <c r="G517" s="65">
        <f>SUM(G511:G516)</f>
        <v/>
      </c>
    </row>
    <row r="518" ht="15" customHeight="1">
      <c r="A518" s="20" t="inlineStr">
        <is>
          <t>Mão de Obra</t>
        </is>
      </c>
      <c r="B518" s="56" t="n"/>
      <c r="C518" s="21" t="inlineStr">
        <is>
          <t>FONTE</t>
        </is>
      </c>
      <c r="D518" s="21" t="inlineStr">
        <is>
          <t>UNID</t>
        </is>
      </c>
      <c r="E518" s="21" t="inlineStr">
        <is>
          <t>COEFICIENTE</t>
        </is>
      </c>
      <c r="F518" s="21" t="inlineStr">
        <is>
          <t>PREÇO UNITÁRIO</t>
        </is>
      </c>
      <c r="G518" s="21" t="inlineStr">
        <is>
          <t>TOTAL</t>
        </is>
      </c>
    </row>
    <row r="519" ht="21" customHeight="1">
      <c r="A519" s="22" t="inlineStr">
        <is>
          <t>00000246</t>
        </is>
      </c>
      <c r="B519" s="23" t="inlineStr">
        <is>
          <t>AUXILIAR DE ENCANADOR OU BOMBEIRO HIDRAULICO (HORISTA)</t>
        </is>
      </c>
      <c r="C519" s="22" t="inlineStr">
        <is>
          <t>SINAPI</t>
        </is>
      </c>
      <c r="D519" s="22" t="inlineStr">
        <is>
          <t>H</t>
        </is>
      </c>
      <c r="E519" s="63">
        <f>L519*FATOR</f>
        <v/>
      </c>
      <c r="F519" s="64" t="n">
        <v>16.28</v>
      </c>
      <c r="G519" s="64">
        <f>TRUNC(TRUNC(E519,8)*F519,2)</f>
        <v/>
      </c>
      <c r="L519" t="n">
        <v>1</v>
      </c>
      <c r="M519" t="n">
        <v>16.28</v>
      </c>
      <c r="N519">
        <f>(M519-F519)</f>
        <v/>
      </c>
    </row>
    <row r="520" ht="15" customHeight="1">
      <c r="A520" s="2" t="inlineStr"/>
      <c r="B520" s="2" t="inlineStr"/>
      <c r="C520" s="2" t="inlineStr"/>
      <c r="D520" s="2" t="inlineStr"/>
      <c r="E520" s="26" t="inlineStr">
        <is>
          <t>TOTAL Mão de Obra:</t>
        </is>
      </c>
      <c r="F520" s="56" t="n"/>
      <c r="G520" s="65">
        <f>SUM(G519:G519)</f>
        <v/>
      </c>
    </row>
    <row r="521" ht="15" customHeight="1">
      <c r="A521" s="20" t="inlineStr">
        <is>
          <t>Serviço</t>
        </is>
      </c>
      <c r="B521" s="56" t="n"/>
      <c r="C521" s="21" t="inlineStr">
        <is>
          <t>FONTE</t>
        </is>
      </c>
      <c r="D521" s="21" t="inlineStr">
        <is>
          <t>UNID</t>
        </is>
      </c>
      <c r="E521" s="21" t="inlineStr">
        <is>
          <t>COEFICIENTE</t>
        </is>
      </c>
      <c r="F521" s="21" t="inlineStr">
        <is>
          <t>PREÇO UNITÁRIO</t>
        </is>
      </c>
      <c r="G521" s="21" t="inlineStr">
        <is>
          <t>TOTAL</t>
        </is>
      </c>
    </row>
    <row r="522" ht="29" customHeight="1">
      <c r="A522" s="22" t="inlineStr">
        <is>
          <t>95317</t>
        </is>
      </c>
      <c r="B522" s="23" t="inlineStr">
        <is>
          <t>CURSO DE CAPACITAÇÃO PARA AUXILIAR DE ENCANADOR OU BOMBEIRO HIDRÁULICO (ENCARGOS COMPLEMENTARES) - HORISTA</t>
        </is>
      </c>
      <c r="C522" s="22" t="inlineStr">
        <is>
          <t>SINAPI</t>
        </is>
      </c>
      <c r="D522" s="22" t="inlineStr">
        <is>
          <t>H</t>
        </is>
      </c>
      <c r="E522" s="63" t="n">
        <v>1</v>
      </c>
      <c r="F522" s="64">
        <f>G1551</f>
        <v/>
      </c>
      <c r="G522" s="64">
        <f>TRUNC(TRUNC(E522,8)*F522,2)</f>
        <v/>
      </c>
      <c r="L522" t="n">
        <v>1</v>
      </c>
      <c r="M522" t="n">
        <v>0.29</v>
      </c>
      <c r="N522">
        <f>(M522-F522)</f>
        <v/>
      </c>
    </row>
    <row r="523" ht="15" customHeight="1">
      <c r="A523" s="2" t="inlineStr"/>
      <c r="B523" s="2" t="inlineStr"/>
      <c r="C523" s="2" t="inlineStr"/>
      <c r="D523" s="2" t="inlineStr"/>
      <c r="E523" s="26" t="inlineStr">
        <is>
          <t>TOTAL Serviço:</t>
        </is>
      </c>
      <c r="F523" s="56" t="n"/>
      <c r="G523" s="65">
        <f>SUM(G522:G522)</f>
        <v/>
      </c>
    </row>
    <row r="524" ht="15" customHeight="1">
      <c r="A524" s="2" t="inlineStr"/>
      <c r="B524" s="2" t="inlineStr"/>
      <c r="C524" s="2" t="inlineStr"/>
      <c r="D524" s="2" t="inlineStr"/>
      <c r="E524" s="28" t="inlineStr">
        <is>
          <t>VALOR:</t>
        </is>
      </c>
      <c r="F524" s="56" t="n"/>
      <c r="G524" s="66">
        <f>SUM(G520,G523,G517)</f>
        <v/>
      </c>
    </row>
    <row r="525" ht="15" customHeight="1">
      <c r="A525" s="2" t="inlineStr"/>
      <c r="B525" s="2" t="inlineStr"/>
      <c r="C525" s="2" t="inlineStr"/>
      <c r="D525" s="2" t="inlineStr"/>
      <c r="E525" s="28" t="inlineStr">
        <is>
          <t>VALOR BDI (23.08%):</t>
        </is>
      </c>
      <c r="F525" s="56" t="n"/>
      <c r="G525" s="66">
        <f>ROUNDDOWN(G524*BDI,2)</f>
        <v/>
      </c>
    </row>
    <row r="526" ht="15" customHeight="1">
      <c r="A526" s="2" t="inlineStr"/>
      <c r="B526" s="2" t="inlineStr"/>
      <c r="C526" s="2" t="inlineStr"/>
      <c r="D526" s="2" t="inlineStr"/>
      <c r="E526" s="28" t="inlineStr">
        <is>
          <t>VALOR COM BDI:</t>
        </is>
      </c>
      <c r="F526" s="56" t="n"/>
      <c r="G526" s="66">
        <f>G525 + G524</f>
        <v/>
      </c>
    </row>
    <row r="527" ht="10" customHeight="1">
      <c r="A527" s="2" t="inlineStr"/>
      <c r="B527" s="2" t="inlineStr"/>
      <c r="C527" s="2" t="inlineStr"/>
      <c r="D527" s="2" t="inlineStr"/>
      <c r="E527" s="18" t="inlineStr"/>
    </row>
    <row r="528" ht="20" customHeight="1">
      <c r="A528" s="19" t="inlineStr">
        <is>
          <t>​88251​ AUXILIAR DE SERRALHEIRO COM ENCARGOS COMPLEMENTARES​ (H)</t>
        </is>
      </c>
      <c r="B528" s="55" t="n"/>
      <c r="C528" s="55" t="n"/>
      <c r="D528" s="55" t="n"/>
      <c r="E528" s="55" t="n"/>
      <c r="F528" s="55" t="n"/>
      <c r="G528" s="56" t="n"/>
    </row>
    <row r="529" ht="15" customHeight="1">
      <c r="A529" s="20" t="inlineStr">
        <is>
          <t>Encargos Complementares</t>
        </is>
      </c>
      <c r="B529" s="56" t="n"/>
      <c r="C529" s="21" t="inlineStr">
        <is>
          <t>FONTE</t>
        </is>
      </c>
      <c r="D529" s="21" t="inlineStr">
        <is>
          <t>UNID</t>
        </is>
      </c>
      <c r="E529" s="21" t="inlineStr">
        <is>
          <t>COEFICIENTE</t>
        </is>
      </c>
      <c r="F529" s="21" t="inlineStr">
        <is>
          <t>PREÇO UNITÁRIO</t>
        </is>
      </c>
      <c r="G529" s="21" t="inlineStr">
        <is>
          <t>TOTAL</t>
        </is>
      </c>
    </row>
    <row r="530" ht="21" customHeight="1">
      <c r="A530" s="22" t="inlineStr">
        <is>
          <t>00037370</t>
        </is>
      </c>
      <c r="B530" s="23" t="inlineStr">
        <is>
          <t>ALIMENTACAO - HORISTA (COLETADO CAIXA - ENCARGOS COMPLEMENTARES)</t>
        </is>
      </c>
      <c r="C530" s="22" t="inlineStr">
        <is>
          <t>SINAPI</t>
        </is>
      </c>
      <c r="D530" s="22" t="inlineStr">
        <is>
          <t>H</t>
        </is>
      </c>
      <c r="E530" s="63" t="n">
        <v>1</v>
      </c>
      <c r="F530" s="64" t="n">
        <v>3.62</v>
      </c>
      <c r="G530" s="64">
        <f>TRUNC(TRUNC(E530,8)*F530,2)</f>
        <v/>
      </c>
      <c r="L530" t="n">
        <v>1</v>
      </c>
      <c r="M530" t="n">
        <v>3.62</v>
      </c>
      <c r="N530">
        <f>(M530-F530)</f>
        <v/>
      </c>
    </row>
    <row r="531" ht="21" customHeight="1">
      <c r="A531" s="22" t="inlineStr">
        <is>
          <t>00043489</t>
        </is>
      </c>
      <c r="B531" s="23" t="inlineStr">
        <is>
          <t>EPI - FAMILIA PEDREIRO - HORISTA (ENCARGOS COMPLEMENTARES - COLETADO CAIXA)</t>
        </is>
      </c>
      <c r="C531" s="22" t="inlineStr">
        <is>
          <t>SINAPI</t>
        </is>
      </c>
      <c r="D531" s="22" t="inlineStr">
        <is>
          <t>H</t>
        </is>
      </c>
      <c r="E531" s="63" t="n">
        <v>1</v>
      </c>
      <c r="F531" s="64" t="n">
        <v>1.31</v>
      </c>
      <c r="G531" s="64">
        <f>TRUNC(TRUNC(E531,8)*F531,2)</f>
        <v/>
      </c>
      <c r="L531" t="n">
        <v>1</v>
      </c>
      <c r="M531" t="n">
        <v>1.31</v>
      </c>
      <c r="N531">
        <f>(M531-F531)</f>
        <v/>
      </c>
    </row>
    <row r="532" ht="21" customHeight="1">
      <c r="A532" s="22" t="inlineStr">
        <is>
          <t>00037372</t>
        </is>
      </c>
      <c r="B532" s="23" t="inlineStr">
        <is>
          <t>EXAMES - HORISTA (COLETADO CAIXA - ENCARGOS COMPLEMENTARES)</t>
        </is>
      </c>
      <c r="C532" s="22" t="inlineStr">
        <is>
          <t>SINAPI</t>
        </is>
      </c>
      <c r="D532" s="22" t="inlineStr">
        <is>
          <t>H</t>
        </is>
      </c>
      <c r="E532" s="63" t="n">
        <v>1</v>
      </c>
      <c r="F532" s="64" t="n">
        <v>1.43</v>
      </c>
      <c r="G532" s="64">
        <f>TRUNC(TRUNC(E532,8)*F532,2)</f>
        <v/>
      </c>
      <c r="L532" t="n">
        <v>1</v>
      </c>
      <c r="M532" t="n">
        <v>1.43</v>
      </c>
      <c r="N532">
        <f>(M532-F532)</f>
        <v/>
      </c>
    </row>
    <row r="533" ht="21" customHeight="1">
      <c r="A533" s="22" t="inlineStr">
        <is>
          <t>00043465</t>
        </is>
      </c>
      <c r="B533" s="23" t="inlineStr">
        <is>
          <t>FERRAMENTAS - FAMILIA PEDREIRO - HORISTA (ENCARGOS COMPLEMENTARES - COLETADO CAIXA)</t>
        </is>
      </c>
      <c r="C533" s="22" t="inlineStr">
        <is>
          <t>SINAPI</t>
        </is>
      </c>
      <c r="D533" s="22" t="inlineStr">
        <is>
          <t>H</t>
        </is>
      </c>
      <c r="E533" s="63" t="n">
        <v>1</v>
      </c>
      <c r="F533" s="64" t="n">
        <v>0.78</v>
      </c>
      <c r="G533" s="64">
        <f>TRUNC(TRUNC(E533,8)*F533,2)</f>
        <v/>
      </c>
      <c r="L533" t="n">
        <v>1</v>
      </c>
      <c r="M533" t="n">
        <v>0.78</v>
      </c>
      <c r="N533">
        <f>(M533-F533)</f>
        <v/>
      </c>
    </row>
    <row r="534" ht="21" customHeight="1">
      <c r="A534" s="22" t="inlineStr">
        <is>
          <t>00037373</t>
        </is>
      </c>
      <c r="B534" s="23" t="inlineStr">
        <is>
          <t>SEGURO - HORISTA (COLETADO CAIXA - ENCARGOS COMPLEMENTARES)</t>
        </is>
      </c>
      <c r="C534" s="22" t="inlineStr">
        <is>
          <t>SINAPI</t>
        </is>
      </c>
      <c r="D534" s="22" t="inlineStr">
        <is>
          <t>H</t>
        </is>
      </c>
      <c r="E534" s="63" t="n">
        <v>1</v>
      </c>
      <c r="F534" s="64" t="n">
        <v>0.08</v>
      </c>
      <c r="G534" s="64">
        <f>TRUNC(TRUNC(E534,8)*F534,2)</f>
        <v/>
      </c>
      <c r="L534" t="n">
        <v>1</v>
      </c>
      <c r="M534" t="n">
        <v>0.08</v>
      </c>
      <c r="N534">
        <f>(M534-F534)</f>
        <v/>
      </c>
    </row>
    <row r="535" ht="21" customHeight="1">
      <c r="A535" s="22" t="inlineStr">
        <is>
          <t>00037371</t>
        </is>
      </c>
      <c r="B535" s="23" t="inlineStr">
        <is>
          <t>TRANSPORTE - HORISTA (COLETADO CAIXA - ENCARGOS COMPLEMENTARES)</t>
        </is>
      </c>
      <c r="C535" s="22" t="inlineStr">
        <is>
          <t>SINAPI</t>
        </is>
      </c>
      <c r="D535" s="22" t="inlineStr">
        <is>
          <t>H</t>
        </is>
      </c>
      <c r="E535" s="63" t="n">
        <v>1</v>
      </c>
      <c r="F535" s="64" t="n">
        <v>1.09</v>
      </c>
      <c r="G535" s="64">
        <f>TRUNC(TRUNC(E535,8)*F535,2)</f>
        <v/>
      </c>
      <c r="L535" t="n">
        <v>1</v>
      </c>
      <c r="M535" t="n">
        <v>1.09</v>
      </c>
      <c r="N535">
        <f>(M535-F535)</f>
        <v/>
      </c>
    </row>
    <row r="536" ht="15" customHeight="1">
      <c r="A536" s="2" t="inlineStr"/>
      <c r="B536" s="2" t="inlineStr"/>
      <c r="C536" s="2" t="inlineStr"/>
      <c r="D536" s="2" t="inlineStr"/>
      <c r="E536" s="26" t="inlineStr">
        <is>
          <t>TOTAL Encargos Complementares:</t>
        </is>
      </c>
      <c r="F536" s="56" t="n"/>
      <c r="G536" s="65">
        <f>SUM(G530:G535)</f>
        <v/>
      </c>
    </row>
    <row r="537" ht="15" customHeight="1">
      <c r="A537" s="20" t="inlineStr">
        <is>
          <t>Mão de Obra</t>
        </is>
      </c>
      <c r="B537" s="56" t="n"/>
      <c r="C537" s="21" t="inlineStr">
        <is>
          <t>FONTE</t>
        </is>
      </c>
      <c r="D537" s="21" t="inlineStr">
        <is>
          <t>UNID</t>
        </is>
      </c>
      <c r="E537" s="21" t="inlineStr">
        <is>
          <t>COEFICIENTE</t>
        </is>
      </c>
      <c r="F537" s="21" t="inlineStr">
        <is>
          <t>PREÇO UNITÁRIO</t>
        </is>
      </c>
      <c r="G537" s="21" t="inlineStr">
        <is>
          <t>TOTAL</t>
        </is>
      </c>
    </row>
    <row r="538" ht="15" customHeight="1">
      <c r="A538" s="22" t="inlineStr">
        <is>
          <t>00000252</t>
        </is>
      </c>
      <c r="B538" s="23" t="inlineStr">
        <is>
          <t>AJUDANTE DE SERRALHEIRO (HORISTA)</t>
        </is>
      </c>
      <c r="C538" s="22" t="inlineStr">
        <is>
          <t>SINAPI</t>
        </is>
      </c>
      <c r="D538" s="22" t="inlineStr">
        <is>
          <t>H</t>
        </is>
      </c>
      <c r="E538" s="63">
        <f>L538*FATOR</f>
        <v/>
      </c>
      <c r="F538" s="64" t="n">
        <v>16.28</v>
      </c>
      <c r="G538" s="64">
        <f>TRUNC(TRUNC(E538,8)*F538,2)</f>
        <v/>
      </c>
      <c r="L538" t="n">
        <v>1</v>
      </c>
      <c r="M538" t="n">
        <v>16.28</v>
      </c>
      <c r="N538">
        <f>(M538-F538)</f>
        <v/>
      </c>
    </row>
    <row r="539" ht="15" customHeight="1">
      <c r="A539" s="2" t="inlineStr"/>
      <c r="B539" s="2" t="inlineStr"/>
      <c r="C539" s="2" t="inlineStr"/>
      <c r="D539" s="2" t="inlineStr"/>
      <c r="E539" s="26" t="inlineStr">
        <is>
          <t>TOTAL Mão de Obra:</t>
        </is>
      </c>
      <c r="F539" s="56" t="n"/>
      <c r="G539" s="65">
        <f>SUM(G538:G538)</f>
        <v/>
      </c>
    </row>
    <row r="540" ht="15" customHeight="1">
      <c r="A540" s="20" t="inlineStr">
        <is>
          <t>Serviço</t>
        </is>
      </c>
      <c r="B540" s="56" t="n"/>
      <c r="C540" s="21" t="inlineStr">
        <is>
          <t>FONTE</t>
        </is>
      </c>
      <c r="D540" s="21" t="inlineStr">
        <is>
          <t>UNID</t>
        </is>
      </c>
      <c r="E540" s="21" t="inlineStr">
        <is>
          <t>COEFICIENTE</t>
        </is>
      </c>
      <c r="F540" s="21" t="inlineStr">
        <is>
          <t>PREÇO UNITÁRIO</t>
        </is>
      </c>
      <c r="G540" s="21" t="inlineStr">
        <is>
          <t>TOTAL</t>
        </is>
      </c>
    </row>
    <row r="541" ht="21" customHeight="1">
      <c r="A541" s="22" t="inlineStr">
        <is>
          <t>95320</t>
        </is>
      </c>
      <c r="B541" s="23" t="inlineStr">
        <is>
          <t>CURSO DE CAPACITAÇÃO PARA AUXILIAR DE SERRALHEIRO (ENCARGOS COMPLEMENTARES) - HORISTA</t>
        </is>
      </c>
      <c r="C541" s="22" t="inlineStr">
        <is>
          <t>SINAPI</t>
        </is>
      </c>
      <c r="D541" s="22" t="inlineStr">
        <is>
          <t>H</t>
        </is>
      </c>
      <c r="E541" s="63" t="n">
        <v>1</v>
      </c>
      <c r="F541" s="64">
        <f>G1559</f>
        <v/>
      </c>
      <c r="G541" s="64">
        <f>TRUNC(TRUNC(E541,8)*F541,2)</f>
        <v/>
      </c>
      <c r="L541" t="n">
        <v>1</v>
      </c>
      <c r="M541" t="n">
        <v>0.18</v>
      </c>
      <c r="N541">
        <f>(M541-F541)</f>
        <v/>
      </c>
    </row>
    <row r="542" ht="15" customHeight="1">
      <c r="A542" s="2" t="inlineStr"/>
      <c r="B542" s="2" t="inlineStr"/>
      <c r="C542" s="2" t="inlineStr"/>
      <c r="D542" s="2" t="inlineStr"/>
      <c r="E542" s="26" t="inlineStr">
        <is>
          <t>TOTAL Serviço:</t>
        </is>
      </c>
      <c r="F542" s="56" t="n"/>
      <c r="G542" s="65">
        <f>SUM(G541:G541)</f>
        <v/>
      </c>
    </row>
    <row r="543" ht="15" customHeight="1">
      <c r="A543" s="2" t="inlineStr"/>
      <c r="B543" s="2" t="inlineStr"/>
      <c r="C543" s="2" t="inlineStr"/>
      <c r="D543" s="2" t="inlineStr"/>
      <c r="E543" s="28" t="inlineStr">
        <is>
          <t>VALOR:</t>
        </is>
      </c>
      <c r="F543" s="56" t="n"/>
      <c r="G543" s="66">
        <f>SUM(G536,G539,G542)</f>
        <v/>
      </c>
    </row>
    <row r="544" ht="15" customHeight="1">
      <c r="A544" s="2" t="inlineStr"/>
      <c r="B544" s="2" t="inlineStr"/>
      <c r="C544" s="2" t="inlineStr"/>
      <c r="D544" s="2" t="inlineStr"/>
      <c r="E544" s="28" t="inlineStr">
        <is>
          <t>VALOR BDI (23.08%):</t>
        </is>
      </c>
      <c r="F544" s="56" t="n"/>
      <c r="G544" s="66">
        <f>ROUNDDOWN(G543*BDI,2)</f>
        <v/>
      </c>
    </row>
    <row r="545" ht="15" customHeight="1">
      <c r="A545" s="2" t="inlineStr"/>
      <c r="B545" s="2" t="inlineStr"/>
      <c r="C545" s="2" t="inlineStr"/>
      <c r="D545" s="2" t="inlineStr"/>
      <c r="E545" s="28" t="inlineStr">
        <is>
          <t>VALOR COM BDI:</t>
        </is>
      </c>
      <c r="F545" s="56" t="n"/>
      <c r="G545" s="66">
        <f>G544 + G543</f>
        <v/>
      </c>
    </row>
    <row r="546" ht="10" customHeight="1">
      <c r="A546" s="2" t="inlineStr"/>
      <c r="B546" s="2" t="inlineStr"/>
      <c r="C546" s="2" t="inlineStr"/>
      <c r="D546" s="2" t="inlineStr"/>
      <c r="E546" s="18" t="inlineStr"/>
    </row>
    <row r="547" ht="20" customHeight="1">
      <c r="A547" s="19" t="inlineStr">
        <is>
          <t>​88256​ AZULEJISTA OU LADRILHEIRO COM ENCARGOS COMPLEMENTARES​ (H)</t>
        </is>
      </c>
      <c r="B547" s="55" t="n"/>
      <c r="C547" s="55" t="n"/>
      <c r="D547" s="55" t="n"/>
      <c r="E547" s="55" t="n"/>
      <c r="F547" s="55" t="n"/>
      <c r="G547" s="56" t="n"/>
    </row>
    <row r="548" ht="15" customHeight="1">
      <c r="A548" s="20" t="inlineStr">
        <is>
          <t>Encargos Complementares</t>
        </is>
      </c>
      <c r="B548" s="56" t="n"/>
      <c r="C548" s="21" t="inlineStr">
        <is>
          <t>FONTE</t>
        </is>
      </c>
      <c r="D548" s="21" t="inlineStr">
        <is>
          <t>UNID</t>
        </is>
      </c>
      <c r="E548" s="21" t="inlineStr">
        <is>
          <t>COEFICIENTE</t>
        </is>
      </c>
      <c r="F548" s="21" t="inlineStr">
        <is>
          <t>PREÇO UNITÁRIO</t>
        </is>
      </c>
      <c r="G548" s="21" t="inlineStr">
        <is>
          <t>TOTAL</t>
        </is>
      </c>
    </row>
    <row r="549" ht="21" customHeight="1">
      <c r="A549" s="22" t="inlineStr">
        <is>
          <t>00037370</t>
        </is>
      </c>
      <c r="B549" s="23" t="inlineStr">
        <is>
          <t>ALIMENTACAO - HORISTA (COLETADO CAIXA - ENCARGOS COMPLEMENTARES)</t>
        </is>
      </c>
      <c r="C549" s="22" t="inlineStr">
        <is>
          <t>SINAPI</t>
        </is>
      </c>
      <c r="D549" s="22" t="inlineStr">
        <is>
          <t>H</t>
        </is>
      </c>
      <c r="E549" s="63" t="n">
        <v>1</v>
      </c>
      <c r="F549" s="64" t="n">
        <v>3.62</v>
      </c>
      <c r="G549" s="64">
        <f>TRUNC(TRUNC(E549,8)*F549,2)</f>
        <v/>
      </c>
      <c r="L549" t="n">
        <v>1</v>
      </c>
      <c r="M549" t="n">
        <v>3.62</v>
      </c>
      <c r="N549">
        <f>(M549-F549)</f>
        <v/>
      </c>
    </row>
    <row r="550" ht="21" customHeight="1">
      <c r="A550" s="22" t="inlineStr">
        <is>
          <t>00043489</t>
        </is>
      </c>
      <c r="B550" s="23" t="inlineStr">
        <is>
          <t>EPI - FAMILIA PEDREIRO - HORISTA (ENCARGOS COMPLEMENTARES - COLETADO CAIXA)</t>
        </is>
      </c>
      <c r="C550" s="22" t="inlineStr">
        <is>
          <t>SINAPI</t>
        </is>
      </c>
      <c r="D550" s="22" t="inlineStr">
        <is>
          <t>H</t>
        </is>
      </c>
      <c r="E550" s="63" t="n">
        <v>1</v>
      </c>
      <c r="F550" s="64" t="n">
        <v>1.31</v>
      </c>
      <c r="G550" s="64">
        <f>TRUNC(TRUNC(E550,8)*F550,2)</f>
        <v/>
      </c>
      <c r="L550" t="n">
        <v>1</v>
      </c>
      <c r="M550" t="n">
        <v>1.31</v>
      </c>
      <c r="N550">
        <f>(M550-F550)</f>
        <v/>
      </c>
    </row>
    <row r="551" ht="21" customHeight="1">
      <c r="A551" s="22" t="inlineStr">
        <is>
          <t>00037372</t>
        </is>
      </c>
      <c r="B551" s="23" t="inlineStr">
        <is>
          <t>EXAMES - HORISTA (COLETADO CAIXA - ENCARGOS COMPLEMENTARES)</t>
        </is>
      </c>
      <c r="C551" s="22" t="inlineStr">
        <is>
          <t>SINAPI</t>
        </is>
      </c>
      <c r="D551" s="22" t="inlineStr">
        <is>
          <t>H</t>
        </is>
      </c>
      <c r="E551" s="63" t="n">
        <v>1</v>
      </c>
      <c r="F551" s="64" t="n">
        <v>1.43</v>
      </c>
      <c r="G551" s="64">
        <f>TRUNC(TRUNC(E551,8)*F551,2)</f>
        <v/>
      </c>
      <c r="L551" t="n">
        <v>1</v>
      </c>
      <c r="M551" t="n">
        <v>1.43</v>
      </c>
      <c r="N551">
        <f>(M551-F551)</f>
        <v/>
      </c>
    </row>
    <row r="552" ht="21" customHeight="1">
      <c r="A552" s="22" t="inlineStr">
        <is>
          <t>00043465</t>
        </is>
      </c>
      <c r="B552" s="23" t="inlineStr">
        <is>
          <t>FERRAMENTAS - FAMILIA PEDREIRO - HORISTA (ENCARGOS COMPLEMENTARES - COLETADO CAIXA)</t>
        </is>
      </c>
      <c r="C552" s="22" t="inlineStr">
        <is>
          <t>SINAPI</t>
        </is>
      </c>
      <c r="D552" s="22" t="inlineStr">
        <is>
          <t>H</t>
        </is>
      </c>
      <c r="E552" s="63" t="n">
        <v>1</v>
      </c>
      <c r="F552" s="64" t="n">
        <v>0.78</v>
      </c>
      <c r="G552" s="64">
        <f>TRUNC(TRUNC(E552,8)*F552,2)</f>
        <v/>
      </c>
      <c r="L552" t="n">
        <v>1</v>
      </c>
      <c r="M552" t="n">
        <v>0.78</v>
      </c>
      <c r="N552">
        <f>(M552-F552)</f>
        <v/>
      </c>
    </row>
    <row r="553" ht="21" customHeight="1">
      <c r="A553" s="22" t="inlineStr">
        <is>
          <t>00037373</t>
        </is>
      </c>
      <c r="B553" s="23" t="inlineStr">
        <is>
          <t>SEGURO - HORISTA (COLETADO CAIXA - ENCARGOS COMPLEMENTARES)</t>
        </is>
      </c>
      <c r="C553" s="22" t="inlineStr">
        <is>
          <t>SINAPI</t>
        </is>
      </c>
      <c r="D553" s="22" t="inlineStr">
        <is>
          <t>H</t>
        </is>
      </c>
      <c r="E553" s="63" t="n">
        <v>1</v>
      </c>
      <c r="F553" s="64" t="n">
        <v>0.08</v>
      </c>
      <c r="G553" s="64">
        <f>TRUNC(TRUNC(E553,8)*F553,2)</f>
        <v/>
      </c>
      <c r="L553" t="n">
        <v>1</v>
      </c>
      <c r="M553" t="n">
        <v>0.08</v>
      </c>
      <c r="N553">
        <f>(M553-F553)</f>
        <v/>
      </c>
    </row>
    <row r="554" ht="21" customHeight="1">
      <c r="A554" s="22" t="inlineStr">
        <is>
          <t>00037371</t>
        </is>
      </c>
      <c r="B554" s="23" t="inlineStr">
        <is>
          <t>TRANSPORTE - HORISTA (COLETADO CAIXA - ENCARGOS COMPLEMENTARES)</t>
        </is>
      </c>
      <c r="C554" s="22" t="inlineStr">
        <is>
          <t>SINAPI</t>
        </is>
      </c>
      <c r="D554" s="22" t="inlineStr">
        <is>
          <t>H</t>
        </is>
      </c>
      <c r="E554" s="63" t="n">
        <v>1</v>
      </c>
      <c r="F554" s="64" t="n">
        <v>1.09</v>
      </c>
      <c r="G554" s="64">
        <f>TRUNC(TRUNC(E554,8)*F554,2)</f>
        <v/>
      </c>
      <c r="L554" t="n">
        <v>1</v>
      </c>
      <c r="M554" t="n">
        <v>1.09</v>
      </c>
      <c r="N554">
        <f>(M554-F554)</f>
        <v/>
      </c>
    </row>
    <row r="555" ht="15" customHeight="1">
      <c r="A555" s="2" t="inlineStr"/>
      <c r="B555" s="2" t="inlineStr"/>
      <c r="C555" s="2" t="inlineStr"/>
      <c r="D555" s="2" t="inlineStr"/>
      <c r="E555" s="26" t="inlineStr">
        <is>
          <t>TOTAL Encargos Complementares:</t>
        </is>
      </c>
      <c r="F555" s="56" t="n"/>
      <c r="G555" s="65">
        <f>SUM(G549:G554)</f>
        <v/>
      </c>
    </row>
    <row r="556" ht="15" customHeight="1">
      <c r="A556" s="20" t="inlineStr">
        <is>
          <t>Mão de Obra</t>
        </is>
      </c>
      <c r="B556" s="56" t="n"/>
      <c r="C556" s="21" t="inlineStr">
        <is>
          <t>FONTE</t>
        </is>
      </c>
      <c r="D556" s="21" t="inlineStr">
        <is>
          <t>UNID</t>
        </is>
      </c>
      <c r="E556" s="21" t="inlineStr">
        <is>
          <t>COEFICIENTE</t>
        </is>
      </c>
      <c r="F556" s="21" t="inlineStr">
        <is>
          <t>PREÇO UNITÁRIO</t>
        </is>
      </c>
      <c r="G556" s="21" t="inlineStr">
        <is>
          <t>TOTAL</t>
        </is>
      </c>
    </row>
    <row r="557" ht="15" customHeight="1">
      <c r="A557" s="22" t="inlineStr">
        <is>
          <t>00004760</t>
        </is>
      </c>
      <c r="B557" s="23" t="inlineStr">
        <is>
          <t>AZULEJISTA OU LADRILHEIRO (HORISTA)</t>
        </is>
      </c>
      <c r="C557" s="22" t="inlineStr">
        <is>
          <t>SINAPI</t>
        </is>
      </c>
      <c r="D557" s="22" t="inlineStr">
        <is>
          <t>H</t>
        </is>
      </c>
      <c r="E557" s="63">
        <f>L557*FATOR</f>
        <v/>
      </c>
      <c r="F557" s="64" t="n">
        <v>21.81</v>
      </c>
      <c r="G557" s="64">
        <f>TRUNC(TRUNC(E557,8)*F557,2)</f>
        <v/>
      </c>
      <c r="L557" t="n">
        <v>1</v>
      </c>
      <c r="M557" t="n">
        <v>21.81</v>
      </c>
      <c r="N557">
        <f>(M557-F557)</f>
        <v/>
      </c>
    </row>
    <row r="558" ht="15" customHeight="1">
      <c r="A558" s="2" t="inlineStr"/>
      <c r="B558" s="2" t="inlineStr"/>
      <c r="C558" s="2" t="inlineStr"/>
      <c r="D558" s="2" t="inlineStr"/>
      <c r="E558" s="26" t="inlineStr">
        <is>
          <t>TOTAL Mão de Obra:</t>
        </is>
      </c>
      <c r="F558" s="56" t="n"/>
      <c r="G558" s="65">
        <f>SUM(G557:G557)</f>
        <v/>
      </c>
    </row>
    <row r="559" ht="15" customHeight="1">
      <c r="A559" s="20" t="inlineStr">
        <is>
          <t>Serviço</t>
        </is>
      </c>
      <c r="B559" s="56" t="n"/>
      <c r="C559" s="21" t="inlineStr">
        <is>
          <t>FONTE</t>
        </is>
      </c>
      <c r="D559" s="21" t="inlineStr">
        <is>
          <t>UNID</t>
        </is>
      </c>
      <c r="E559" s="21" t="inlineStr">
        <is>
          <t>COEFICIENTE</t>
        </is>
      </c>
      <c r="F559" s="21" t="inlineStr">
        <is>
          <t>PREÇO UNITÁRIO</t>
        </is>
      </c>
      <c r="G559" s="21" t="inlineStr">
        <is>
          <t>TOTAL</t>
        </is>
      </c>
    </row>
    <row r="560" ht="21" customHeight="1">
      <c r="A560" s="22" t="inlineStr">
        <is>
          <t>95324</t>
        </is>
      </c>
      <c r="B560" s="23" t="inlineStr">
        <is>
          <t>CURSO DE CAPACITAÇÃO PARA AZULEJISTA OU LADRILHEIRO (ENCARGOS COMPLEMENTARES) - HORISTA</t>
        </is>
      </c>
      <c r="C560" s="22" t="inlineStr">
        <is>
          <t>SINAPI</t>
        </is>
      </c>
      <c r="D560" s="22" t="inlineStr">
        <is>
          <t>H</t>
        </is>
      </c>
      <c r="E560" s="63" t="n">
        <v>1</v>
      </c>
      <c r="F560" s="64">
        <f>G1567</f>
        <v/>
      </c>
      <c r="G560" s="64">
        <f>TRUNC(TRUNC(E560,8)*F560,2)</f>
        <v/>
      </c>
      <c r="L560" t="n">
        <v>1</v>
      </c>
      <c r="M560" t="n">
        <v>0.32</v>
      </c>
      <c r="N560">
        <f>(M560-F560)</f>
        <v/>
      </c>
    </row>
    <row r="561" ht="15" customHeight="1">
      <c r="A561" s="2" t="inlineStr"/>
      <c r="B561" s="2" t="inlineStr"/>
      <c r="C561" s="2" t="inlineStr"/>
      <c r="D561" s="2" t="inlineStr"/>
      <c r="E561" s="26" t="inlineStr">
        <is>
          <t>TOTAL Serviço:</t>
        </is>
      </c>
      <c r="F561" s="56" t="n"/>
      <c r="G561" s="65">
        <f>SUM(G560:G560)</f>
        <v/>
      </c>
    </row>
    <row r="562" ht="15" customHeight="1">
      <c r="A562" s="2" t="inlineStr"/>
      <c r="B562" s="2" t="inlineStr"/>
      <c r="C562" s="2" t="inlineStr"/>
      <c r="D562" s="2" t="inlineStr"/>
      <c r="E562" s="28" t="inlineStr">
        <is>
          <t>VALOR:</t>
        </is>
      </c>
      <c r="F562" s="56" t="n"/>
      <c r="G562" s="66">
        <f>SUM(G561,G555,G558)</f>
        <v/>
      </c>
    </row>
    <row r="563" ht="15" customHeight="1">
      <c r="A563" s="2" t="inlineStr"/>
      <c r="B563" s="2" t="inlineStr"/>
      <c r="C563" s="2" t="inlineStr"/>
      <c r="D563" s="2" t="inlineStr"/>
      <c r="E563" s="28" t="inlineStr">
        <is>
          <t>VALOR BDI (23.08%):</t>
        </is>
      </c>
      <c r="F563" s="56" t="n"/>
      <c r="G563" s="66">
        <f>ROUNDDOWN(G562*BDI,2)</f>
        <v/>
      </c>
    </row>
    <row r="564" ht="15" customHeight="1">
      <c r="A564" s="2" t="inlineStr"/>
      <c r="B564" s="2" t="inlineStr"/>
      <c r="C564" s="2" t="inlineStr"/>
      <c r="D564" s="2" t="inlineStr"/>
      <c r="E564" s="28" t="inlineStr">
        <is>
          <t>VALOR COM BDI:</t>
        </is>
      </c>
      <c r="F564" s="56" t="n"/>
      <c r="G564" s="66">
        <f>G563 + G562</f>
        <v/>
      </c>
    </row>
    <row r="565" ht="10" customHeight="1">
      <c r="A565" s="2" t="inlineStr"/>
      <c r="B565" s="2" t="inlineStr"/>
      <c r="C565" s="2" t="inlineStr"/>
      <c r="D565" s="2" t="inlineStr"/>
      <c r="E565" s="18" t="inlineStr"/>
    </row>
    <row r="566" ht="20" customHeight="1">
      <c r="A566" s="19" t="inlineStr">
        <is>
          <t>​88831​ BETONEIRA CAPACIDADE NOMINAL DE 400 L, CAPACIDADE DE MISTURA 280 L, MOTOR ELÉTRICO TRIFÁSICO POTÊNCIA DE 2 CV, SEM CARREGADOR - CHI DIURNO. AF_05/2023​ (CHI)</t>
        </is>
      </c>
      <c r="B566" s="55" t="n"/>
      <c r="C566" s="55" t="n"/>
      <c r="D566" s="55" t="n"/>
      <c r="E566" s="55" t="n"/>
      <c r="F566" s="55" t="n"/>
      <c r="G566" s="56" t="n"/>
    </row>
    <row r="567" ht="15" customHeight="1">
      <c r="A567" s="20" t="inlineStr">
        <is>
          <t>Serviço</t>
        </is>
      </c>
      <c r="B567" s="56" t="n"/>
      <c r="C567" s="21" t="inlineStr">
        <is>
          <t>FONTE</t>
        </is>
      </c>
      <c r="D567" s="21" t="inlineStr">
        <is>
          <t>UNID</t>
        </is>
      </c>
      <c r="E567" s="21" t="inlineStr">
        <is>
          <t>COEFICIENTE</t>
        </is>
      </c>
      <c r="F567" s="21" t="inlineStr">
        <is>
          <t>PREÇO UNITÁRIO</t>
        </is>
      </c>
      <c r="G567" s="21" t="inlineStr">
        <is>
          <t>TOTAL</t>
        </is>
      </c>
    </row>
    <row r="568" ht="38" customHeight="1">
      <c r="A568" s="22" t="inlineStr">
        <is>
          <t>88826</t>
        </is>
      </c>
      <c r="B568" s="23" t="inlineStr">
        <is>
          <t>BETONEIRA CAPACIDADE NOMINAL DE 400 L, CAPACIDADE DE MISTURA 280 L, MOTOR ELÉTRICO TRIFÁSICO POTÊNCIA DE 2 CV, SEM CARREGADOR - DEPRECIAÇÃO. AF_05/2023</t>
        </is>
      </c>
      <c r="C568" s="22" t="inlineStr">
        <is>
          <t>SINAPI</t>
        </is>
      </c>
      <c r="D568" s="22" t="inlineStr">
        <is>
          <t>H</t>
        </is>
      </c>
      <c r="E568" s="63" t="n">
        <v>1</v>
      </c>
      <c r="F568" s="64" t="n">
        <v>0.33</v>
      </c>
      <c r="G568" s="64">
        <f>TRUNC(TRUNC(E568,8)*F568,2)</f>
        <v/>
      </c>
      <c r="L568" t="n">
        <v>1</v>
      </c>
      <c r="M568" t="n">
        <v>0.33</v>
      </c>
      <c r="N568">
        <f>(M568-F568)</f>
        <v/>
      </c>
    </row>
    <row r="569" ht="38" customHeight="1">
      <c r="A569" s="22" t="inlineStr">
        <is>
          <t>88827</t>
        </is>
      </c>
      <c r="B569" s="23" t="inlineStr">
        <is>
          <t>BETONEIRA CAPACIDADE NOMINAL DE 400 L, CAPACIDADE DE MISTURA 280 L, MOTOR ELÉTRICO TRIFÁSICO POTÊNCIA DE 2 CV, SEM CARREGADOR - JUROS. AF_05/2023</t>
        </is>
      </c>
      <c r="C569" s="22" t="inlineStr">
        <is>
          <t>SINAPI</t>
        </is>
      </c>
      <c r="D569" s="22" t="inlineStr">
        <is>
          <t>H</t>
        </is>
      </c>
      <c r="E569" s="63" t="n">
        <v>1</v>
      </c>
      <c r="F569" s="64" t="n">
        <v>0.07000000000000001</v>
      </c>
      <c r="G569" s="64">
        <f>TRUNC(TRUNC(E569,8)*F569,2)</f>
        <v/>
      </c>
      <c r="L569" t="n">
        <v>1</v>
      </c>
      <c r="M569" t="n">
        <v>0.07000000000000001</v>
      </c>
      <c r="N569">
        <f>(M569-F569)</f>
        <v/>
      </c>
    </row>
    <row r="570" ht="15" customHeight="1">
      <c r="A570" s="2" t="inlineStr"/>
      <c r="B570" s="2" t="inlineStr"/>
      <c r="C570" s="2" t="inlineStr"/>
      <c r="D570" s="2" t="inlineStr"/>
      <c r="E570" s="26" t="inlineStr">
        <is>
          <t>TOTAL Serviço:</t>
        </is>
      </c>
      <c r="F570" s="56" t="n"/>
      <c r="G570" s="65">
        <f>SUM(G568:G569)</f>
        <v/>
      </c>
    </row>
    <row r="571" ht="15" customHeight="1">
      <c r="A571" s="2" t="inlineStr"/>
      <c r="B571" s="2" t="inlineStr"/>
      <c r="C571" s="2" t="inlineStr"/>
      <c r="D571" s="2" t="inlineStr"/>
      <c r="E571" s="28" t="inlineStr">
        <is>
          <t>VALOR:</t>
        </is>
      </c>
      <c r="F571" s="56" t="n"/>
      <c r="G571" s="66">
        <f>SUM(G570)</f>
        <v/>
      </c>
    </row>
    <row r="572" ht="15" customHeight="1">
      <c r="A572" s="2" t="inlineStr"/>
      <c r="B572" s="2" t="inlineStr"/>
      <c r="C572" s="2" t="inlineStr"/>
      <c r="D572" s="2" t="inlineStr"/>
      <c r="E572" s="28" t="inlineStr">
        <is>
          <t>VALOR BDI (23.08%):</t>
        </is>
      </c>
      <c r="F572" s="56" t="n"/>
      <c r="G572" s="66">
        <f>ROUNDDOWN(G571*BDI,2)</f>
        <v/>
      </c>
    </row>
    <row r="573" ht="15" customHeight="1">
      <c r="A573" s="2" t="inlineStr"/>
      <c r="B573" s="2" t="inlineStr"/>
      <c r="C573" s="2" t="inlineStr"/>
      <c r="D573" s="2" t="inlineStr"/>
      <c r="E573" s="28" t="inlineStr">
        <is>
          <t>VALOR COM BDI:</t>
        </is>
      </c>
      <c r="F573" s="56" t="n"/>
      <c r="G573" s="66">
        <f>G572 + G571</f>
        <v/>
      </c>
    </row>
    <row r="574" ht="10" customHeight="1">
      <c r="A574" s="2" t="inlineStr"/>
      <c r="B574" s="2" t="inlineStr"/>
      <c r="C574" s="2" t="inlineStr"/>
      <c r="D574" s="2" t="inlineStr"/>
      <c r="E574" s="18" t="inlineStr"/>
    </row>
    <row r="575" ht="20" customHeight="1">
      <c r="A575" s="19" t="inlineStr">
        <is>
          <t>​88830​ BETONEIRA CAPACIDADE NOMINAL DE 400 L, CAPACIDADE DE MISTURA 280 L, MOTOR ELÉTRICO TRIFÁSICO POTÊNCIA DE 2 CV, SEM CARREGADOR - CHP DIURNO. AF_05/2023​ (CHP)</t>
        </is>
      </c>
      <c r="B575" s="55" t="n"/>
      <c r="C575" s="55" t="n"/>
      <c r="D575" s="55" t="n"/>
      <c r="E575" s="55" t="n"/>
      <c r="F575" s="55" t="n"/>
      <c r="G575" s="56" t="n"/>
    </row>
    <row r="576" ht="15" customHeight="1">
      <c r="A576" s="20" t="inlineStr">
        <is>
          <t>Serviço</t>
        </is>
      </c>
      <c r="B576" s="56" t="n"/>
      <c r="C576" s="21" t="inlineStr">
        <is>
          <t>FONTE</t>
        </is>
      </c>
      <c r="D576" s="21" t="inlineStr">
        <is>
          <t>UNID</t>
        </is>
      </c>
      <c r="E576" s="21" t="inlineStr">
        <is>
          <t>COEFICIENTE</t>
        </is>
      </c>
      <c r="F576" s="21" t="inlineStr">
        <is>
          <t>PREÇO UNITÁRIO</t>
        </is>
      </c>
      <c r="G576" s="21" t="inlineStr">
        <is>
          <t>TOTAL</t>
        </is>
      </c>
    </row>
    <row r="577" ht="38" customHeight="1">
      <c r="A577" s="22" t="inlineStr">
        <is>
          <t>88826</t>
        </is>
      </c>
      <c r="B577" s="23" t="inlineStr">
        <is>
          <t>BETONEIRA CAPACIDADE NOMINAL DE 400 L, CAPACIDADE DE MISTURA 280 L, MOTOR ELÉTRICO TRIFÁSICO POTÊNCIA DE 2 CV, SEM CARREGADOR - DEPRECIAÇÃO. AF_05/2023</t>
        </is>
      </c>
      <c r="C577" s="22" t="inlineStr">
        <is>
          <t>SINAPI</t>
        </is>
      </c>
      <c r="D577" s="22" t="inlineStr">
        <is>
          <t>H</t>
        </is>
      </c>
      <c r="E577" s="63" t="n">
        <v>1</v>
      </c>
      <c r="F577" s="64">
        <f>'COMPOSICOES AUXILIARES'!G571</f>
        <v/>
      </c>
      <c r="G577" s="64">
        <f>TRUNC(TRUNC(E577,8)*F577,2)</f>
        <v/>
      </c>
      <c r="L577" t="n">
        <v>1</v>
      </c>
      <c r="M577" t="n">
        <v>0.33</v>
      </c>
      <c r="N577">
        <f>(M577-F577)</f>
        <v/>
      </c>
    </row>
    <row r="578" ht="38" customHeight="1">
      <c r="A578" s="22" t="inlineStr">
        <is>
          <t>88827</t>
        </is>
      </c>
      <c r="B578" s="23" t="inlineStr">
        <is>
          <t>BETONEIRA CAPACIDADE NOMINAL DE 400 L, CAPACIDADE DE MISTURA 280 L, MOTOR ELÉTRICO TRIFÁSICO POTÊNCIA DE 2 CV, SEM CARREGADOR - JUROS. AF_05/2023</t>
        </is>
      </c>
      <c r="C578" s="22" t="inlineStr">
        <is>
          <t>SINAPI</t>
        </is>
      </c>
      <c r="D578" s="22" t="inlineStr">
        <is>
          <t>H</t>
        </is>
      </c>
      <c r="E578" s="63" t="n">
        <v>1</v>
      </c>
      <c r="F578" s="64">
        <f>'COMPOSICOES AUXILIARES'!G571</f>
        <v/>
      </c>
      <c r="G578" s="64">
        <f>TRUNC(TRUNC(E578,8)*F578,2)</f>
        <v/>
      </c>
      <c r="L578" t="n">
        <v>1</v>
      </c>
      <c r="M578" t="n">
        <v>0.07000000000000001</v>
      </c>
      <c r="N578">
        <f>(M578-F578)</f>
        <v/>
      </c>
    </row>
    <row r="579" ht="38" customHeight="1">
      <c r="A579" s="22" t="inlineStr">
        <is>
          <t>88828</t>
        </is>
      </c>
      <c r="B579" s="23" t="inlineStr">
        <is>
          <t>BETONEIRA CAPACIDADE NOMINAL DE 400 L, CAPACIDADE DE MISTURA 280 L, MOTOR ELÉTRICO TRIFÁSICO POTÊNCIA DE 2 CV, SEM CARREGADOR - MANUTENÇÃO. AF_05/2023</t>
        </is>
      </c>
      <c r="C579" s="22" t="inlineStr">
        <is>
          <t>SINAPI</t>
        </is>
      </c>
      <c r="D579" s="22" t="inlineStr">
        <is>
          <t>H</t>
        </is>
      </c>
      <c r="E579" s="63" t="n">
        <v>1</v>
      </c>
      <c r="F579" s="64" t="n">
        <v>0.36</v>
      </c>
      <c r="G579" s="64">
        <f>TRUNC(TRUNC(E579,8)*F579,2)</f>
        <v/>
      </c>
      <c r="L579" t="n">
        <v>1</v>
      </c>
      <c r="M579" t="n">
        <v>0.36</v>
      </c>
      <c r="N579">
        <f>(M579-F579)</f>
        <v/>
      </c>
    </row>
    <row r="580" ht="38" customHeight="1">
      <c r="A580" s="22" t="inlineStr">
        <is>
          <t>88829</t>
        </is>
      </c>
      <c r="B580" s="23" t="inlineStr">
        <is>
          <t>BETONEIRA CAPACIDADE NOMINAL DE 400 L, CAPACIDADE DE MISTURA 280 L, MOTOR ELÉTRICO TRIFÁSICO POTÊNCIA DE 2 CV, SEM CARREGADOR - MATERIAIS NA OPERAÇÃO. AF_05/2023</t>
        </is>
      </c>
      <c r="C580" s="22" t="inlineStr">
        <is>
          <t>SINAPI</t>
        </is>
      </c>
      <c r="D580" s="22" t="inlineStr">
        <is>
          <t>H</t>
        </is>
      </c>
      <c r="E580" s="63" t="n">
        <v>1</v>
      </c>
      <c r="F580" s="64" t="n">
        <v>1.26</v>
      </c>
      <c r="G580" s="64">
        <f>TRUNC(TRUNC(E580,8)*F580,2)</f>
        <v/>
      </c>
      <c r="L580" t="n">
        <v>1</v>
      </c>
      <c r="M580" t="n">
        <v>1.26</v>
      </c>
      <c r="N580">
        <f>(M580-F580)</f>
        <v/>
      </c>
    </row>
    <row r="581" ht="15" customHeight="1">
      <c r="A581" s="2" t="inlineStr"/>
      <c r="B581" s="2" t="inlineStr"/>
      <c r="C581" s="2" t="inlineStr"/>
      <c r="D581" s="2" t="inlineStr"/>
      <c r="E581" s="26" t="inlineStr">
        <is>
          <t>TOTAL Serviço:</t>
        </is>
      </c>
      <c r="F581" s="56" t="n"/>
      <c r="G581" s="65">
        <f>SUM(G577:G580)</f>
        <v/>
      </c>
    </row>
    <row r="582" ht="15" customHeight="1">
      <c r="A582" s="2" t="inlineStr"/>
      <c r="B582" s="2" t="inlineStr"/>
      <c r="C582" s="2" t="inlineStr"/>
      <c r="D582" s="2" t="inlineStr"/>
      <c r="E582" s="28" t="inlineStr">
        <is>
          <t>VALOR:</t>
        </is>
      </c>
      <c r="F582" s="56" t="n"/>
      <c r="G582" s="66">
        <f>SUM(G581)</f>
        <v/>
      </c>
    </row>
    <row r="583" ht="15" customHeight="1">
      <c r="A583" s="2" t="inlineStr"/>
      <c r="B583" s="2" t="inlineStr"/>
      <c r="C583" s="2" t="inlineStr"/>
      <c r="D583" s="2" t="inlineStr"/>
      <c r="E583" s="28" t="inlineStr">
        <is>
          <t>VALOR BDI (23.08%):</t>
        </is>
      </c>
      <c r="F583" s="56" t="n"/>
      <c r="G583" s="66">
        <f>ROUNDDOWN(G582*BDI,2)</f>
        <v/>
      </c>
    </row>
    <row r="584" ht="15" customHeight="1">
      <c r="A584" s="2" t="inlineStr"/>
      <c r="B584" s="2" t="inlineStr"/>
      <c r="C584" s="2" t="inlineStr"/>
      <c r="D584" s="2" t="inlineStr"/>
      <c r="E584" s="28" t="inlineStr">
        <is>
          <t>VALOR COM BDI:</t>
        </is>
      </c>
      <c r="F584" s="56" t="n"/>
      <c r="G584" s="66">
        <f>G583 + G582</f>
        <v/>
      </c>
    </row>
    <row r="585" ht="10" customHeight="1">
      <c r="A585" s="2" t="inlineStr"/>
      <c r="B585" s="2" t="inlineStr"/>
      <c r="C585" s="2" t="inlineStr"/>
      <c r="D585" s="2" t="inlineStr"/>
      <c r="E585" s="18" t="inlineStr"/>
    </row>
    <row r="586" ht="20" customHeight="1">
      <c r="A586" s="19" t="inlineStr">
        <is>
          <t>​88826​ BETONEIRA CAPACIDADE NOMINAL DE 400 L, CAPACIDADE DE MISTURA 280 L, MOTOR ELÉTRICO TRIFÁSICO POTÊNCIA DE 2 CV, SEM CARREGADOR - DEPRECIAÇÃO. AF_05/2023​ (H)</t>
        </is>
      </c>
      <c r="B586" s="55" t="n"/>
      <c r="C586" s="55" t="n"/>
      <c r="D586" s="55" t="n"/>
      <c r="E586" s="55" t="n"/>
      <c r="F586" s="55" t="n"/>
      <c r="G586" s="56" t="n"/>
    </row>
    <row r="587" ht="15" customHeight="1">
      <c r="A587" s="20" t="inlineStr">
        <is>
          <t>Equipamento</t>
        </is>
      </c>
      <c r="B587" s="56" t="n"/>
      <c r="C587" s="21" t="inlineStr">
        <is>
          <t>FONTE</t>
        </is>
      </c>
      <c r="D587" s="21" t="inlineStr">
        <is>
          <t>UNID</t>
        </is>
      </c>
      <c r="E587" s="21" t="inlineStr">
        <is>
          <t>COEFICIENTE</t>
        </is>
      </c>
      <c r="F587" s="21" t="inlineStr">
        <is>
          <t>PREÇO UNITÁRIO</t>
        </is>
      </c>
      <c r="G587" s="21" t="inlineStr">
        <is>
          <t>TOTAL</t>
        </is>
      </c>
    </row>
    <row r="588" ht="29" customHeight="1">
      <c r="A588" s="22" t="inlineStr">
        <is>
          <t>00010535</t>
        </is>
      </c>
      <c r="B588" s="23" t="inlineStr">
        <is>
          <t>BETONEIRA, CAPACIDADE NOMINAL 400 L, CAPACIDADE DE MISTURA 280 L, MOTOR ELETRICO TRIFASICO 220/380 V, POTENCIA 2 CV, SEM CARREGADOR</t>
        </is>
      </c>
      <c r="C588" s="22" t="inlineStr">
        <is>
          <t>SINAPI</t>
        </is>
      </c>
      <c r="D588" s="22" t="inlineStr">
        <is>
          <t>UN</t>
        </is>
      </c>
      <c r="E588" s="63" t="n">
        <v>6.4e-05</v>
      </c>
      <c r="F588" s="64" t="n">
        <v>5285</v>
      </c>
      <c r="G588" s="64">
        <f>TRUNC(TRUNC(E588,8)*F588,2)</f>
        <v/>
      </c>
      <c r="M588" t="n">
        <v>5285</v>
      </c>
      <c r="N588">
        <f>(M588-F588)</f>
        <v/>
      </c>
    </row>
    <row r="589" ht="15" customHeight="1">
      <c r="A589" s="2" t="inlineStr"/>
      <c r="B589" s="2" t="inlineStr"/>
      <c r="C589" s="2" t="inlineStr"/>
      <c r="D589" s="2" t="inlineStr"/>
      <c r="E589" s="26" t="inlineStr">
        <is>
          <t>TOTAL Equipamento:</t>
        </is>
      </c>
      <c r="F589" s="56" t="n"/>
      <c r="G589" s="65">
        <f>SUM(G588:G588)</f>
        <v/>
      </c>
    </row>
    <row r="590" ht="15" customHeight="1">
      <c r="A590" s="2" t="inlineStr"/>
      <c r="B590" s="2" t="inlineStr"/>
      <c r="C590" s="2" t="inlineStr"/>
      <c r="D590" s="2" t="inlineStr"/>
      <c r="E590" s="28" t="inlineStr">
        <is>
          <t>VALOR:</t>
        </is>
      </c>
      <c r="F590" s="56" t="n"/>
      <c r="G590" s="66">
        <f>ROUND(SUM(G589),2)</f>
        <v/>
      </c>
    </row>
    <row r="591" ht="15" customHeight="1">
      <c r="A591" s="2" t="inlineStr"/>
      <c r="B591" s="2" t="inlineStr"/>
      <c r="C591" s="2" t="inlineStr"/>
      <c r="D591" s="2" t="inlineStr"/>
      <c r="E591" s="28" t="inlineStr">
        <is>
          <t>VALOR BDI (23.08%):</t>
        </is>
      </c>
      <c r="F591" s="56" t="n"/>
      <c r="G591" s="66">
        <f>ROUNDDOWN(G590*BDI,2)</f>
        <v/>
      </c>
    </row>
    <row r="592" ht="15" customHeight="1">
      <c r="A592" s="2" t="inlineStr"/>
      <c r="B592" s="2" t="inlineStr"/>
      <c r="C592" s="2" t="inlineStr"/>
      <c r="D592" s="2" t="inlineStr"/>
      <c r="E592" s="28" t="inlineStr">
        <is>
          <t>VALOR COM BDI:</t>
        </is>
      </c>
      <c r="F592" s="56" t="n"/>
      <c r="G592" s="66">
        <f>G591 + G590</f>
        <v/>
      </c>
    </row>
    <row r="593" ht="10" customHeight="1">
      <c r="A593" s="2" t="inlineStr"/>
      <c r="B593" s="2" t="inlineStr"/>
      <c r="C593" s="2" t="inlineStr"/>
      <c r="D593" s="2" t="inlineStr"/>
      <c r="E593" s="18" t="inlineStr"/>
    </row>
    <row r="594" ht="20" customHeight="1">
      <c r="A594" s="19" t="inlineStr">
        <is>
          <t>​88827​ BETONEIRA CAPACIDADE NOMINAL DE 400 L, CAPACIDADE DE MISTURA 280 L, MOTOR ELÉTRICO TRIFÁSICO POTÊNCIA DE 2 CV, SEM CARREGADOR - JUROS. AF_05/2023​ (H)</t>
        </is>
      </c>
      <c r="B594" s="55" t="n"/>
      <c r="C594" s="55" t="n"/>
      <c r="D594" s="55" t="n"/>
      <c r="E594" s="55" t="n"/>
      <c r="F594" s="55" t="n"/>
      <c r="G594" s="56" t="n"/>
    </row>
    <row r="595" ht="15" customHeight="1">
      <c r="A595" s="20" t="inlineStr">
        <is>
          <t>Equipamento</t>
        </is>
      </c>
      <c r="B595" s="56" t="n"/>
      <c r="C595" s="21" t="inlineStr">
        <is>
          <t>FONTE</t>
        </is>
      </c>
      <c r="D595" s="21" t="inlineStr">
        <is>
          <t>UNID</t>
        </is>
      </c>
      <c r="E595" s="21" t="inlineStr">
        <is>
          <t>COEFICIENTE</t>
        </is>
      </c>
      <c r="F595" s="21" t="inlineStr">
        <is>
          <t>PREÇO UNITÁRIO</t>
        </is>
      </c>
      <c r="G595" s="21" t="inlineStr">
        <is>
          <t>TOTAL</t>
        </is>
      </c>
    </row>
    <row r="596" ht="29" customHeight="1">
      <c r="A596" s="22" t="inlineStr">
        <is>
          <t>00010535</t>
        </is>
      </c>
      <c r="B596" s="23" t="inlineStr">
        <is>
          <t>BETONEIRA, CAPACIDADE NOMINAL 400 L, CAPACIDADE DE MISTURA 280 L, MOTOR ELETRICO TRIFASICO 220/380 V, POTENCIA 2 CV, SEM CARREGADOR</t>
        </is>
      </c>
      <c r="C596" s="22" t="inlineStr">
        <is>
          <t>SINAPI</t>
        </is>
      </c>
      <c r="D596" s="22" t="inlineStr">
        <is>
          <t>UN</t>
        </is>
      </c>
      <c r="E596" s="63" t="n">
        <v>1.48e-05</v>
      </c>
      <c r="F596" s="64" t="n">
        <v>5285</v>
      </c>
      <c r="G596" s="64">
        <f>TRUNC(TRUNC(E596,8)*F596,2)</f>
        <v/>
      </c>
      <c r="M596" t="n">
        <v>5285</v>
      </c>
      <c r="N596">
        <f>(M596-F596)</f>
        <v/>
      </c>
    </row>
    <row r="597" ht="15" customHeight="1">
      <c r="A597" s="2" t="inlineStr"/>
      <c r="B597" s="2" t="inlineStr"/>
      <c r="C597" s="2" t="inlineStr"/>
      <c r="D597" s="2" t="inlineStr"/>
      <c r="E597" s="26" t="inlineStr">
        <is>
          <t>TOTAL Equipamento:</t>
        </is>
      </c>
      <c r="F597" s="56" t="n"/>
      <c r="G597" s="65">
        <f>SUM(G596:G596)</f>
        <v/>
      </c>
    </row>
    <row r="598" ht="15" customHeight="1">
      <c r="A598" s="2" t="inlineStr"/>
      <c r="B598" s="2" t="inlineStr"/>
      <c r="C598" s="2" t="inlineStr"/>
      <c r="D598" s="2" t="inlineStr"/>
      <c r="E598" s="28" t="inlineStr">
        <is>
          <t>VALOR:</t>
        </is>
      </c>
      <c r="F598" s="56" t="n"/>
      <c r="G598" s="66">
        <f>ROUND(SUM(G597),2)</f>
        <v/>
      </c>
    </row>
    <row r="599" ht="15" customHeight="1">
      <c r="A599" s="2" t="inlineStr"/>
      <c r="B599" s="2" t="inlineStr"/>
      <c r="C599" s="2" t="inlineStr"/>
      <c r="D599" s="2" t="inlineStr"/>
      <c r="E599" s="28" t="inlineStr">
        <is>
          <t>VALOR BDI (23.08%):</t>
        </is>
      </c>
      <c r="F599" s="56" t="n"/>
      <c r="G599" s="66">
        <f>ROUNDDOWN(G598*BDI,2)</f>
        <v/>
      </c>
    </row>
    <row r="600" ht="15" customHeight="1">
      <c r="A600" s="2" t="inlineStr"/>
      <c r="B600" s="2" t="inlineStr"/>
      <c r="C600" s="2" t="inlineStr"/>
      <c r="D600" s="2" t="inlineStr"/>
      <c r="E600" s="28" t="inlineStr">
        <is>
          <t>VALOR COM BDI:</t>
        </is>
      </c>
      <c r="F600" s="56" t="n"/>
      <c r="G600" s="66">
        <f>G599 + G598</f>
        <v/>
      </c>
    </row>
    <row r="601" ht="10" customHeight="1">
      <c r="A601" s="2" t="inlineStr"/>
      <c r="B601" s="2" t="inlineStr"/>
      <c r="C601" s="2" t="inlineStr"/>
      <c r="D601" s="2" t="inlineStr"/>
      <c r="E601" s="18" t="inlineStr"/>
    </row>
    <row r="602" ht="20" customHeight="1">
      <c r="A602" s="19" t="inlineStr">
        <is>
          <t>​88828​ BETONEIRA CAPACIDADE NOMINAL DE 400 L, CAPACIDADE DE MISTURA 280 L, MOTOR ELÉTRICO TRIFÁSICO POTÊNCIA DE 2 CV, SEM CARREGADOR - MANUTENÇÃO. AF_05/2023​ (H)</t>
        </is>
      </c>
      <c r="B602" s="55" t="n"/>
      <c r="C602" s="55" t="n"/>
      <c r="D602" s="55" t="n"/>
      <c r="E602" s="55" t="n"/>
      <c r="F602" s="55" t="n"/>
      <c r="G602" s="56" t="n"/>
    </row>
    <row r="603" ht="15" customHeight="1">
      <c r="A603" s="20" t="inlineStr">
        <is>
          <t>Equipamento</t>
        </is>
      </c>
      <c r="B603" s="56" t="n"/>
      <c r="C603" s="21" t="inlineStr">
        <is>
          <t>FONTE</t>
        </is>
      </c>
      <c r="D603" s="21" t="inlineStr">
        <is>
          <t>UNID</t>
        </is>
      </c>
      <c r="E603" s="21" t="inlineStr">
        <is>
          <t>COEFICIENTE</t>
        </is>
      </c>
      <c r="F603" s="21" t="inlineStr">
        <is>
          <t>PREÇO UNITÁRIO</t>
        </is>
      </c>
      <c r="G603" s="21" t="inlineStr">
        <is>
          <t>TOTAL</t>
        </is>
      </c>
    </row>
    <row r="604" ht="29" customHeight="1">
      <c r="A604" s="22" t="inlineStr">
        <is>
          <t>00010535</t>
        </is>
      </c>
      <c r="B604" s="23" t="inlineStr">
        <is>
          <t>BETONEIRA, CAPACIDADE NOMINAL 400 L, CAPACIDADE DE MISTURA 280 L, MOTOR ELETRICO TRIFASICO 220/380 V, POTENCIA 2 CV, SEM CARREGADOR</t>
        </is>
      </c>
      <c r="C604" s="22" t="inlineStr">
        <is>
          <t>SINAPI</t>
        </is>
      </c>
      <c r="D604" s="22" t="inlineStr">
        <is>
          <t>UN</t>
        </is>
      </c>
      <c r="E604" s="63" t="n">
        <v>6.999999999999999e-05</v>
      </c>
      <c r="F604" s="64" t="n">
        <v>5285</v>
      </c>
      <c r="G604" s="64">
        <f>TRUNC(TRUNC(E604,8)*F604,2)</f>
        <v/>
      </c>
      <c r="M604" t="n">
        <v>5285</v>
      </c>
      <c r="N604">
        <f>(M604-F604)</f>
        <v/>
      </c>
    </row>
    <row r="605" ht="15" customHeight="1">
      <c r="A605" s="2" t="inlineStr"/>
      <c r="B605" s="2" t="inlineStr"/>
      <c r="C605" s="2" t="inlineStr"/>
      <c r="D605" s="2" t="inlineStr"/>
      <c r="E605" s="26" t="inlineStr">
        <is>
          <t>TOTAL Equipamento:</t>
        </is>
      </c>
      <c r="F605" s="56" t="n"/>
      <c r="G605" s="65">
        <f>SUM(G604:G604)</f>
        <v/>
      </c>
    </row>
    <row r="606" ht="15" customHeight="1">
      <c r="A606" s="2" t="inlineStr"/>
      <c r="B606" s="2" t="inlineStr"/>
      <c r="C606" s="2" t="inlineStr"/>
      <c r="D606" s="2" t="inlineStr"/>
      <c r="E606" s="28" t="inlineStr">
        <is>
          <t>VALOR:</t>
        </is>
      </c>
      <c r="F606" s="56" t="n"/>
      <c r="G606" s="66">
        <f>ROUND(SUM(G605),2)</f>
        <v/>
      </c>
    </row>
    <row r="607" ht="15" customHeight="1">
      <c r="A607" s="2" t="inlineStr"/>
      <c r="B607" s="2" t="inlineStr"/>
      <c r="C607" s="2" t="inlineStr"/>
      <c r="D607" s="2" t="inlineStr"/>
      <c r="E607" s="28" t="inlineStr">
        <is>
          <t>VALOR BDI (23.08%):</t>
        </is>
      </c>
      <c r="F607" s="56" t="n"/>
      <c r="G607" s="66">
        <f>ROUNDDOWN(G606*BDI,2)</f>
        <v/>
      </c>
    </row>
    <row r="608" ht="15" customHeight="1">
      <c r="A608" s="2" t="inlineStr"/>
      <c r="B608" s="2" t="inlineStr"/>
      <c r="C608" s="2" t="inlineStr"/>
      <c r="D608" s="2" t="inlineStr"/>
      <c r="E608" s="28" t="inlineStr">
        <is>
          <t>VALOR COM BDI:</t>
        </is>
      </c>
      <c r="F608" s="56" t="n"/>
      <c r="G608" s="66">
        <f>G607 + G606</f>
        <v/>
      </c>
    </row>
    <row r="609" ht="10" customHeight="1">
      <c r="A609" s="2" t="inlineStr"/>
      <c r="B609" s="2" t="inlineStr"/>
      <c r="C609" s="2" t="inlineStr"/>
      <c r="D609" s="2" t="inlineStr"/>
      <c r="E609" s="18" t="inlineStr"/>
    </row>
    <row r="610" ht="20" customHeight="1">
      <c r="A610" s="19" t="inlineStr">
        <is>
          <t>​88829​ BETONEIRA CAPACIDADE NOMINAL DE 400 L, CAPACIDADE DE MISTURA 280 L, MOTOR ELÉTRICO TRIFÁSICO POTÊNCIA DE 2 CV, SEM CARREGADOR - MATERIAIS NA OPERAÇÃO. AF_05/2023​ (H)</t>
        </is>
      </c>
      <c r="B610" s="55" t="n"/>
      <c r="C610" s="55" t="n"/>
      <c r="D610" s="55" t="n"/>
      <c r="E610" s="55" t="n"/>
      <c r="F610" s="55" t="n"/>
      <c r="G610" s="56" t="n"/>
    </row>
    <row r="611" ht="15" customHeight="1">
      <c r="A611" s="20" t="inlineStr">
        <is>
          <t>Especiais</t>
        </is>
      </c>
      <c r="B611" s="56" t="n"/>
      <c r="C611" s="21" t="inlineStr">
        <is>
          <t>FONTE</t>
        </is>
      </c>
      <c r="D611" s="21" t="inlineStr">
        <is>
          <t>UNID</t>
        </is>
      </c>
      <c r="E611" s="21" t="inlineStr">
        <is>
          <t>COEFICIENTE</t>
        </is>
      </c>
      <c r="F611" s="21">
        <f>G2570</f>
        <v/>
      </c>
      <c r="G611" s="21" t="inlineStr">
        <is>
          <t>TOTAL</t>
        </is>
      </c>
    </row>
    <row r="612" ht="21" customHeight="1">
      <c r="A612" s="22" t="inlineStr">
        <is>
          <t>00002705</t>
        </is>
      </c>
      <c r="B612" s="23" t="inlineStr">
        <is>
          <t>ENERGIA ELETRICA ATE 2000 KWH INDUSTRIAL, SEM DEMANDA</t>
        </is>
      </c>
      <c r="C612" s="22" t="inlineStr">
        <is>
          <t>SINAPI</t>
        </is>
      </c>
      <c r="D612" s="22" t="inlineStr">
        <is>
          <t>KWH</t>
        </is>
      </c>
      <c r="E612" s="63" t="n">
        <v>1.25</v>
      </c>
      <c r="F612" s="64" t="n">
        <v>1.01</v>
      </c>
      <c r="G612" s="64">
        <f>TRUNC(TRUNC(E612,8)*F612,2)</f>
        <v/>
      </c>
      <c r="L612" t="n">
        <v>1.25</v>
      </c>
      <c r="M612" t="n">
        <v>1.01</v>
      </c>
      <c r="N612">
        <f>(M612-F612)</f>
        <v/>
      </c>
    </row>
    <row r="613" ht="15" customHeight="1">
      <c r="A613" s="2" t="inlineStr"/>
      <c r="B613" s="2" t="inlineStr"/>
      <c r="C613" s="2" t="inlineStr"/>
      <c r="D613" s="2" t="inlineStr"/>
      <c r="E613" s="26" t="inlineStr">
        <is>
          <t>TOTAL Especiais:</t>
        </is>
      </c>
      <c r="F613" s="56" t="n"/>
      <c r="G613" s="65">
        <f>SUM(G612:G612)</f>
        <v/>
      </c>
    </row>
    <row r="614" ht="15" customHeight="1">
      <c r="A614" s="2" t="inlineStr"/>
      <c r="B614" s="2" t="inlineStr"/>
      <c r="C614" s="2" t="inlineStr"/>
      <c r="D614" s="2" t="inlineStr"/>
      <c r="E614" s="28" t="inlineStr">
        <is>
          <t>VALOR:</t>
        </is>
      </c>
      <c r="F614" s="56" t="n"/>
      <c r="G614" s="66">
        <f>ROUND(SUM(G613),2)</f>
        <v/>
      </c>
    </row>
    <row r="615" ht="15" customHeight="1">
      <c r="A615" s="2" t="inlineStr"/>
      <c r="B615" s="2" t="inlineStr"/>
      <c r="C615" s="2" t="inlineStr"/>
      <c r="D615" s="2" t="inlineStr"/>
      <c r="E615" s="28" t="inlineStr">
        <is>
          <t>VALOR BDI (23.08%):</t>
        </is>
      </c>
      <c r="F615" s="56" t="n"/>
      <c r="G615" s="66">
        <f>ROUNDDOWN(G614*BDI,2)</f>
        <v/>
      </c>
    </row>
    <row r="616" ht="15" customHeight="1">
      <c r="A616" s="2" t="inlineStr"/>
      <c r="B616" s="2" t="inlineStr"/>
      <c r="C616" s="2" t="inlineStr"/>
      <c r="D616" s="2" t="inlineStr"/>
      <c r="E616" s="28" t="inlineStr">
        <is>
          <t>VALOR COM BDI:</t>
        </is>
      </c>
      <c r="F616" s="56" t="n"/>
      <c r="G616" s="66">
        <f>G615 + G614</f>
        <v/>
      </c>
    </row>
    <row r="617" ht="10" customHeight="1">
      <c r="A617" s="2" t="inlineStr"/>
      <c r="B617" s="2" t="inlineStr"/>
      <c r="C617" s="2" t="inlineStr"/>
      <c r="D617" s="2" t="inlineStr"/>
      <c r="E617" s="18" t="inlineStr"/>
    </row>
    <row r="618" ht="20" customHeight="1">
      <c r="A618" s="19" t="inlineStr">
        <is>
          <t>​89226​ BETONEIRA CAPACIDADE NOMINAL DE 600 L, CAPACIDADE DE MISTURA 360 L, MOTOR ELÉTRICO TRIFÁSICO POTÊNCIA DE 4 CV, SEM CARREGADOR - CHI DIURNO. AF_05/2023​ (CHI)</t>
        </is>
      </c>
      <c r="B618" s="55" t="n"/>
      <c r="C618" s="55" t="n"/>
      <c r="D618" s="55" t="n"/>
      <c r="E618" s="55" t="n"/>
      <c r="F618" s="55" t="n"/>
      <c r="G618" s="56" t="n"/>
    </row>
    <row r="619" ht="15" customHeight="1">
      <c r="A619" s="20" t="inlineStr">
        <is>
          <t>Serviço</t>
        </is>
      </c>
      <c r="B619" s="56" t="n"/>
      <c r="C619" s="21" t="inlineStr">
        <is>
          <t>FONTE</t>
        </is>
      </c>
      <c r="D619" s="21" t="inlineStr">
        <is>
          <t>UNID</t>
        </is>
      </c>
      <c r="E619" s="21" t="inlineStr">
        <is>
          <t>COEFICIENTE</t>
        </is>
      </c>
      <c r="F619" s="21" t="inlineStr">
        <is>
          <t>PREÇO UNITÁRIO</t>
        </is>
      </c>
      <c r="G619" s="21" t="inlineStr">
        <is>
          <t>TOTAL</t>
        </is>
      </c>
    </row>
    <row r="620" ht="38" customHeight="1">
      <c r="A620" s="22" t="inlineStr">
        <is>
          <t>89221</t>
        </is>
      </c>
      <c r="B620" s="23" t="inlineStr">
        <is>
          <t>BETONEIRA CAPACIDADE NOMINAL DE 600 L, CAPACIDADE DE MISTURA 360 L, MOTOR ELÉTRICO TRIFÁSICO POTÊNCIA DE 4 CV, SEM CARREGADOR - DEPRECIAÇÃO. AF_05/2023</t>
        </is>
      </c>
      <c r="C620" s="22" t="inlineStr">
        <is>
          <t>SINAPI</t>
        </is>
      </c>
      <c r="D620" s="22" t="inlineStr">
        <is>
          <t>H</t>
        </is>
      </c>
      <c r="E620" s="63" t="n">
        <v>1</v>
      </c>
      <c r="F620" s="64" t="n">
        <v>1.37</v>
      </c>
      <c r="G620" s="64">
        <f>TRUNC(TRUNC(E620,8)*F620,2)</f>
        <v/>
      </c>
      <c r="L620" t="n">
        <v>1</v>
      </c>
      <c r="M620" t="n">
        <v>1.37</v>
      </c>
      <c r="N620">
        <f>(M620-F620)</f>
        <v/>
      </c>
    </row>
    <row r="621" ht="38" customHeight="1">
      <c r="A621" s="22" t="inlineStr">
        <is>
          <t>89222</t>
        </is>
      </c>
      <c r="B621" s="23" t="inlineStr">
        <is>
          <t>BETONEIRA CAPACIDADE NOMINAL DE 600 L, CAPACIDADE DE MISTURA 360 L, MOTOR ELÉTRICO TRIFÁSICO POTÊNCIA DE 4 CV, SEM CARREGADOR - JUROS. AF_05/2023</t>
        </is>
      </c>
      <c r="C621" s="22" t="inlineStr">
        <is>
          <t>SINAPI</t>
        </is>
      </c>
      <c r="D621" s="22" t="inlineStr">
        <is>
          <t>H</t>
        </is>
      </c>
      <c r="E621" s="63" t="n">
        <v>1</v>
      </c>
      <c r="F621" s="64" t="n">
        <v>0.31</v>
      </c>
      <c r="G621" s="64">
        <f>TRUNC(TRUNC(E621,8)*F621,2)</f>
        <v/>
      </c>
      <c r="L621" t="n">
        <v>1</v>
      </c>
      <c r="M621" t="n">
        <v>0.31</v>
      </c>
      <c r="N621">
        <f>(M621-F621)</f>
        <v/>
      </c>
    </row>
    <row r="622" ht="15" customHeight="1">
      <c r="A622" s="2" t="inlineStr"/>
      <c r="B622" s="2" t="inlineStr"/>
      <c r="C622" s="2" t="inlineStr"/>
      <c r="D622" s="2" t="inlineStr"/>
      <c r="E622" s="26" t="inlineStr">
        <is>
          <t>TOTAL Serviço:</t>
        </is>
      </c>
      <c r="F622" s="56" t="n"/>
      <c r="G622" s="65">
        <f>SUM(G620:G621)</f>
        <v/>
      </c>
    </row>
    <row r="623" ht="15" customHeight="1">
      <c r="A623" s="2" t="inlineStr"/>
      <c r="B623" s="2" t="inlineStr"/>
      <c r="C623" s="2" t="inlineStr"/>
      <c r="D623" s="2" t="inlineStr"/>
      <c r="E623" s="28" t="inlineStr">
        <is>
          <t>VALOR:</t>
        </is>
      </c>
      <c r="F623" s="56" t="n"/>
      <c r="G623" s="66">
        <f>SUM(G622)</f>
        <v/>
      </c>
    </row>
    <row r="624" ht="15" customHeight="1">
      <c r="A624" s="2" t="inlineStr"/>
      <c r="B624" s="2" t="inlineStr"/>
      <c r="C624" s="2" t="inlineStr"/>
      <c r="D624" s="2" t="inlineStr"/>
      <c r="E624" s="28" t="inlineStr">
        <is>
          <t>VALOR BDI (23.08%):</t>
        </is>
      </c>
      <c r="F624" s="56" t="n"/>
      <c r="G624" s="66">
        <f>ROUNDDOWN(G623*BDI,2)</f>
        <v/>
      </c>
    </row>
    <row r="625" ht="15" customHeight="1">
      <c r="A625" s="2" t="inlineStr"/>
      <c r="B625" s="2" t="inlineStr"/>
      <c r="C625" s="2" t="inlineStr"/>
      <c r="D625" s="2" t="inlineStr"/>
      <c r="E625" s="28" t="inlineStr">
        <is>
          <t>VALOR COM BDI:</t>
        </is>
      </c>
      <c r="F625" s="56" t="n"/>
      <c r="G625" s="66">
        <f>G624 + G623</f>
        <v/>
      </c>
    </row>
    <row r="626" ht="10" customHeight="1">
      <c r="A626" s="2" t="inlineStr"/>
      <c r="B626" s="2" t="inlineStr"/>
      <c r="C626" s="2" t="inlineStr"/>
      <c r="D626" s="2" t="inlineStr"/>
      <c r="E626" s="18" t="inlineStr"/>
    </row>
    <row r="627" ht="20" customHeight="1">
      <c r="A627" s="19" t="inlineStr">
        <is>
          <t>​89225​ BETONEIRA CAPACIDADE NOMINAL DE 600 L, CAPACIDADE DE MISTURA 360 L, MOTOR ELÉTRICO TRIFÁSICO POTÊNCIA DE 4 CV, SEM CARREGADOR - CHP DIURNO. AF_05/2023​ (CHP)</t>
        </is>
      </c>
      <c r="B627" s="55" t="n"/>
      <c r="C627" s="55" t="n"/>
      <c r="D627" s="55" t="n"/>
      <c r="E627" s="55" t="n"/>
      <c r="F627" s="55" t="n"/>
      <c r="G627" s="56" t="n"/>
    </row>
    <row r="628" ht="15" customHeight="1">
      <c r="A628" s="20" t="inlineStr">
        <is>
          <t>Serviço</t>
        </is>
      </c>
      <c r="B628" s="56" t="n"/>
      <c r="C628" s="21" t="inlineStr">
        <is>
          <t>FONTE</t>
        </is>
      </c>
      <c r="D628" s="21" t="inlineStr">
        <is>
          <t>UNID</t>
        </is>
      </c>
      <c r="E628" s="21" t="inlineStr">
        <is>
          <t>COEFICIENTE</t>
        </is>
      </c>
      <c r="F628" s="21" t="inlineStr">
        <is>
          <t>PREÇO UNITÁRIO</t>
        </is>
      </c>
      <c r="G628" s="21" t="inlineStr">
        <is>
          <t>TOTAL</t>
        </is>
      </c>
    </row>
    <row r="629" ht="38" customHeight="1">
      <c r="A629" s="22" t="inlineStr">
        <is>
          <t>89221</t>
        </is>
      </c>
      <c r="B629" s="23" t="inlineStr">
        <is>
          <t>BETONEIRA CAPACIDADE NOMINAL DE 600 L, CAPACIDADE DE MISTURA 360 L, MOTOR ELÉTRICO TRIFÁSICO POTÊNCIA DE 4 CV, SEM CARREGADOR - DEPRECIAÇÃO. AF_05/2023</t>
        </is>
      </c>
      <c r="C629" s="22" t="inlineStr">
        <is>
          <t>SINAPI</t>
        </is>
      </c>
      <c r="D629" s="22" t="inlineStr">
        <is>
          <t>H</t>
        </is>
      </c>
      <c r="E629" s="63" t="n">
        <v>1</v>
      </c>
      <c r="F629" s="64">
        <f>'COMPOSICOES AUXILIARES'!G623</f>
        <v/>
      </c>
      <c r="G629" s="64">
        <f>TRUNC(TRUNC(E629,8)*F629,2)</f>
        <v/>
      </c>
      <c r="L629" t="n">
        <v>1</v>
      </c>
      <c r="M629" t="n">
        <v>1.37</v>
      </c>
      <c r="N629">
        <f>(M629-F629)</f>
        <v/>
      </c>
    </row>
    <row r="630" ht="38" customHeight="1">
      <c r="A630" s="22" t="inlineStr">
        <is>
          <t>89222</t>
        </is>
      </c>
      <c r="B630" s="23" t="inlineStr">
        <is>
          <t>BETONEIRA CAPACIDADE NOMINAL DE 600 L, CAPACIDADE DE MISTURA 360 L, MOTOR ELÉTRICO TRIFÁSICO POTÊNCIA DE 4 CV, SEM CARREGADOR - JUROS. AF_05/2023</t>
        </is>
      </c>
      <c r="C630" s="22" t="inlineStr">
        <is>
          <t>SINAPI</t>
        </is>
      </c>
      <c r="D630" s="22" t="inlineStr">
        <is>
          <t>H</t>
        </is>
      </c>
      <c r="E630" s="63" t="n">
        <v>1</v>
      </c>
      <c r="F630" s="64">
        <f>'COMPOSICOES AUXILIARES'!G623</f>
        <v/>
      </c>
      <c r="G630" s="64">
        <f>TRUNC(TRUNC(E630,8)*F630,2)</f>
        <v/>
      </c>
      <c r="L630" t="n">
        <v>1</v>
      </c>
      <c r="M630" t="n">
        <v>0.31</v>
      </c>
      <c r="N630">
        <f>(M630-F630)</f>
        <v/>
      </c>
    </row>
    <row r="631" ht="38" customHeight="1">
      <c r="A631" s="22" t="inlineStr">
        <is>
          <t>89223</t>
        </is>
      </c>
      <c r="B631" s="23" t="inlineStr">
        <is>
          <t>BETONEIRA CAPACIDADE NOMINAL DE 600 L, CAPACIDADE DE MISTURA 360 L, MOTOR ELÉTRICO TRIFÁSICO POTÊNCIA DE 4 CV, SEM CARREGADOR - MANUTENÇÃO. AF_05/2023</t>
        </is>
      </c>
      <c r="C631" s="22" t="inlineStr">
        <is>
          <t>SINAPI</t>
        </is>
      </c>
      <c r="D631" s="22" t="inlineStr">
        <is>
          <t>H</t>
        </is>
      </c>
      <c r="E631" s="63" t="n">
        <v>1</v>
      </c>
      <c r="F631" s="64" t="n">
        <v>1.5</v>
      </c>
      <c r="G631" s="64">
        <f>TRUNC(TRUNC(E631,8)*F631,2)</f>
        <v/>
      </c>
      <c r="L631" t="n">
        <v>1</v>
      </c>
      <c r="M631" t="n">
        <v>1.5</v>
      </c>
      <c r="N631">
        <f>(M631-F631)</f>
        <v/>
      </c>
    </row>
    <row r="632" ht="38" customHeight="1">
      <c r="A632" s="22" t="inlineStr">
        <is>
          <t>89224</t>
        </is>
      </c>
      <c r="B632" s="23" t="inlineStr">
        <is>
          <t>BETONEIRA CAPACIDADE NOMINAL DE 600 L, CAPACIDADE DE MISTURA 360 L, MOTOR ELÉTRICO TRIFÁSICO POTÊNCIA DE 4 CV, SEM CARREGADOR - MATERIAIS NA OPERAÇÃO. AF_05/2023</t>
        </is>
      </c>
      <c r="C632" s="22" t="inlineStr">
        <is>
          <t>SINAPI</t>
        </is>
      </c>
      <c r="D632" s="22" t="inlineStr">
        <is>
          <t>H</t>
        </is>
      </c>
      <c r="E632" s="63" t="n">
        <v>1</v>
      </c>
      <c r="F632" s="64" t="n">
        <v>2.52</v>
      </c>
      <c r="G632" s="64">
        <f>TRUNC(TRUNC(E632,8)*F632,2)</f>
        <v/>
      </c>
      <c r="L632" t="n">
        <v>1</v>
      </c>
      <c r="M632" t="n">
        <v>2.52</v>
      </c>
      <c r="N632">
        <f>(M632-F632)</f>
        <v/>
      </c>
    </row>
    <row r="633" ht="15" customHeight="1">
      <c r="A633" s="2" t="inlineStr"/>
      <c r="B633" s="2" t="inlineStr"/>
      <c r="C633" s="2" t="inlineStr"/>
      <c r="D633" s="2" t="inlineStr"/>
      <c r="E633" s="26" t="inlineStr">
        <is>
          <t>TOTAL Serviço:</t>
        </is>
      </c>
      <c r="F633" s="56" t="n"/>
      <c r="G633" s="65">
        <f>SUM(G629:G632)</f>
        <v/>
      </c>
    </row>
    <row r="634" ht="15" customHeight="1">
      <c r="A634" s="2" t="inlineStr"/>
      <c r="B634" s="2" t="inlineStr"/>
      <c r="C634" s="2" t="inlineStr"/>
      <c r="D634" s="2" t="inlineStr"/>
      <c r="E634" s="28" t="inlineStr">
        <is>
          <t>VALOR:</t>
        </is>
      </c>
      <c r="F634" s="56" t="n"/>
      <c r="G634" s="66">
        <f>SUM(G633)</f>
        <v/>
      </c>
    </row>
    <row r="635" ht="15" customHeight="1">
      <c r="A635" s="2" t="inlineStr"/>
      <c r="B635" s="2" t="inlineStr"/>
      <c r="C635" s="2" t="inlineStr"/>
      <c r="D635" s="2" t="inlineStr"/>
      <c r="E635" s="28" t="inlineStr">
        <is>
          <t>VALOR BDI (23.08%):</t>
        </is>
      </c>
      <c r="F635" s="56" t="n"/>
      <c r="G635" s="66">
        <f>ROUNDDOWN(G634*BDI,2)</f>
        <v/>
      </c>
    </row>
    <row r="636" ht="15" customHeight="1">
      <c r="A636" s="2" t="inlineStr"/>
      <c r="B636" s="2" t="inlineStr"/>
      <c r="C636" s="2" t="inlineStr"/>
      <c r="D636" s="2" t="inlineStr"/>
      <c r="E636" s="28" t="inlineStr">
        <is>
          <t>VALOR COM BDI:</t>
        </is>
      </c>
      <c r="F636" s="56" t="n"/>
      <c r="G636" s="66">
        <f>G635 + G634</f>
        <v/>
      </c>
    </row>
    <row r="637" ht="10" customHeight="1">
      <c r="A637" s="2" t="inlineStr"/>
      <c r="B637" s="2" t="inlineStr"/>
      <c r="C637" s="2" t="inlineStr"/>
      <c r="D637" s="2" t="inlineStr"/>
      <c r="E637" s="18" t="inlineStr"/>
    </row>
    <row r="638" ht="20" customHeight="1">
      <c r="A638" s="19" t="inlineStr">
        <is>
          <t>​89221​ BETONEIRA CAPACIDADE NOMINAL DE 600 L, CAPACIDADE DE MISTURA 360 L, MOTOR ELÉTRICO TRIFÁSICO POTÊNCIA DE 4 CV, SEM CARREGADOR - DEPRECIAÇÃO. AF_05/2023​ (H)</t>
        </is>
      </c>
      <c r="B638" s="55" t="n"/>
      <c r="C638" s="55" t="n"/>
      <c r="D638" s="55" t="n"/>
      <c r="E638" s="55" t="n"/>
      <c r="F638" s="55" t="n"/>
      <c r="G638" s="56" t="n"/>
    </row>
    <row r="639" ht="15" customHeight="1">
      <c r="A639" s="20" t="inlineStr">
        <is>
          <t>Equipamento</t>
        </is>
      </c>
      <c r="B639" s="56" t="n"/>
      <c r="C639" s="21" t="inlineStr">
        <is>
          <t>FONTE</t>
        </is>
      </c>
      <c r="D639" s="21" t="inlineStr">
        <is>
          <t>UNID</t>
        </is>
      </c>
      <c r="E639" s="21" t="inlineStr">
        <is>
          <t>COEFICIENTE</t>
        </is>
      </c>
      <c r="F639" s="21" t="inlineStr">
        <is>
          <t>PREÇO UNITÁRIO</t>
        </is>
      </c>
      <c r="G639" s="21" t="inlineStr">
        <is>
          <t>TOTAL</t>
        </is>
      </c>
    </row>
    <row r="640" ht="29" customHeight="1">
      <c r="A640" s="22" t="inlineStr">
        <is>
          <t>00036397</t>
        </is>
      </c>
      <c r="B640" s="23" t="inlineStr">
        <is>
          <t>BETONEIRA, CAPACIDADE NOMINAL 600 L, CAPACIDADE DE MISTURA 360 L, MOTOR ELETRICO TRIFASICO 220/380V, POTENCIA 4CV, SEM CARREGADOR</t>
        </is>
      </c>
      <c r="C640" s="22" t="inlineStr">
        <is>
          <t>SINAPI</t>
        </is>
      </c>
      <c r="D640" s="22" t="inlineStr">
        <is>
          <t>UN</t>
        </is>
      </c>
      <c r="E640" s="63" t="n">
        <v>6.4e-05</v>
      </c>
      <c r="F640" s="64" t="n">
        <v>21498.3</v>
      </c>
      <c r="G640" s="64">
        <f>TRUNC(TRUNC(E640,8)*F640,2)</f>
        <v/>
      </c>
      <c r="M640" t="n">
        <v>21498.3</v>
      </c>
      <c r="N640">
        <f>(M640-F640)</f>
        <v/>
      </c>
    </row>
    <row r="641" ht="15" customHeight="1">
      <c r="A641" s="2" t="inlineStr"/>
      <c r="B641" s="2" t="inlineStr"/>
      <c r="C641" s="2" t="inlineStr"/>
      <c r="D641" s="2" t="inlineStr"/>
      <c r="E641" s="26" t="inlineStr">
        <is>
          <t>TOTAL Equipamento:</t>
        </is>
      </c>
      <c r="F641" s="56" t="n"/>
      <c r="G641" s="65">
        <f>SUM(G640:G640)</f>
        <v/>
      </c>
    </row>
    <row r="642" ht="15" customHeight="1">
      <c r="A642" s="2" t="inlineStr"/>
      <c r="B642" s="2" t="inlineStr"/>
      <c r="C642" s="2" t="inlineStr"/>
      <c r="D642" s="2" t="inlineStr"/>
      <c r="E642" s="28" t="inlineStr">
        <is>
          <t>VALOR:</t>
        </is>
      </c>
      <c r="F642" s="56" t="n"/>
      <c r="G642" s="66">
        <f>ROUND(SUM(G641),2)</f>
        <v/>
      </c>
    </row>
    <row r="643" ht="15" customHeight="1">
      <c r="A643" s="2" t="inlineStr"/>
      <c r="B643" s="2" t="inlineStr"/>
      <c r="C643" s="2" t="inlineStr"/>
      <c r="D643" s="2" t="inlineStr"/>
      <c r="E643" s="28" t="inlineStr">
        <is>
          <t>VALOR BDI (23.08%):</t>
        </is>
      </c>
      <c r="F643" s="56" t="n"/>
      <c r="G643" s="66">
        <f>ROUNDDOWN(G642*BDI,2)</f>
        <v/>
      </c>
    </row>
    <row r="644" ht="15" customHeight="1">
      <c r="A644" s="2" t="inlineStr"/>
      <c r="B644" s="2" t="inlineStr"/>
      <c r="C644" s="2" t="inlineStr"/>
      <c r="D644" s="2" t="inlineStr"/>
      <c r="E644" s="28" t="inlineStr">
        <is>
          <t>VALOR COM BDI:</t>
        </is>
      </c>
      <c r="F644" s="56" t="n"/>
      <c r="G644" s="66">
        <f>G643 + G642</f>
        <v/>
      </c>
    </row>
    <row r="645" ht="10" customHeight="1">
      <c r="A645" s="2" t="inlineStr"/>
      <c r="B645" s="2" t="inlineStr"/>
      <c r="C645" s="2" t="inlineStr"/>
      <c r="D645" s="2" t="inlineStr"/>
      <c r="E645" s="18" t="inlineStr"/>
    </row>
    <row r="646" ht="20" customHeight="1">
      <c r="A646" s="19" t="inlineStr">
        <is>
          <t>​89222​ BETONEIRA CAPACIDADE NOMINAL DE 600 L, CAPACIDADE DE MISTURA 360 L, MOTOR ELÉTRICO TRIFÁSICO POTÊNCIA DE 4 CV, SEM CARREGADOR - JUROS. AF_05/2023​ (H)</t>
        </is>
      </c>
      <c r="B646" s="55" t="n"/>
      <c r="C646" s="55" t="n"/>
      <c r="D646" s="55" t="n"/>
      <c r="E646" s="55" t="n"/>
      <c r="F646" s="55" t="n"/>
      <c r="G646" s="56" t="n"/>
    </row>
    <row r="647" ht="15" customHeight="1">
      <c r="A647" s="20" t="inlineStr">
        <is>
          <t>Equipamento</t>
        </is>
      </c>
      <c r="B647" s="56" t="n"/>
      <c r="C647" s="21" t="inlineStr">
        <is>
          <t>FONTE</t>
        </is>
      </c>
      <c r="D647" s="21" t="inlineStr">
        <is>
          <t>UNID</t>
        </is>
      </c>
      <c r="E647" s="21" t="inlineStr">
        <is>
          <t>COEFICIENTE</t>
        </is>
      </c>
      <c r="F647" s="21" t="inlineStr">
        <is>
          <t>PREÇO UNITÁRIO</t>
        </is>
      </c>
      <c r="G647" s="21" t="inlineStr">
        <is>
          <t>TOTAL</t>
        </is>
      </c>
    </row>
    <row r="648" ht="29" customHeight="1">
      <c r="A648" s="22" t="inlineStr">
        <is>
          <t>00036397</t>
        </is>
      </c>
      <c r="B648" s="23" t="inlineStr">
        <is>
          <t>BETONEIRA, CAPACIDADE NOMINAL 600 L, CAPACIDADE DE MISTURA 360 L, MOTOR ELETRICO TRIFASICO 220/380V, POTENCIA 4CV, SEM CARREGADOR</t>
        </is>
      </c>
      <c r="C648" s="22" t="inlineStr">
        <is>
          <t>SINAPI</t>
        </is>
      </c>
      <c r="D648" s="22" t="inlineStr">
        <is>
          <t>UN</t>
        </is>
      </c>
      <c r="E648" s="63" t="n">
        <v>1.48e-05</v>
      </c>
      <c r="F648" s="64" t="n">
        <v>21498.3</v>
      </c>
      <c r="G648" s="64">
        <f>TRUNC(TRUNC(E648,8)*F648,2)</f>
        <v/>
      </c>
      <c r="M648" t="n">
        <v>21498.3</v>
      </c>
      <c r="N648">
        <f>(M648-F648)</f>
        <v/>
      </c>
    </row>
    <row r="649" ht="15" customHeight="1">
      <c r="A649" s="2" t="inlineStr"/>
      <c r="B649" s="2" t="inlineStr"/>
      <c r="C649" s="2" t="inlineStr"/>
      <c r="D649" s="2" t="inlineStr"/>
      <c r="E649" s="26" t="inlineStr">
        <is>
          <t>TOTAL Equipamento:</t>
        </is>
      </c>
      <c r="F649" s="56" t="n"/>
      <c r="G649" s="65">
        <f>SUM(G648:G648)</f>
        <v/>
      </c>
    </row>
    <row r="650" ht="15" customHeight="1">
      <c r="A650" s="2" t="inlineStr"/>
      <c r="B650" s="2" t="inlineStr"/>
      <c r="C650" s="2" t="inlineStr"/>
      <c r="D650" s="2" t="inlineStr"/>
      <c r="E650" s="28" t="inlineStr">
        <is>
          <t>VALOR:</t>
        </is>
      </c>
      <c r="F650" s="56" t="n"/>
      <c r="G650" s="66">
        <f>ROUND(SUM(G649),2)</f>
        <v/>
      </c>
    </row>
    <row r="651" ht="15" customHeight="1">
      <c r="A651" s="2" t="inlineStr"/>
      <c r="B651" s="2" t="inlineStr"/>
      <c r="C651" s="2" t="inlineStr"/>
      <c r="D651" s="2" t="inlineStr"/>
      <c r="E651" s="28" t="inlineStr">
        <is>
          <t>VALOR BDI (23.08%):</t>
        </is>
      </c>
      <c r="F651" s="56" t="n"/>
      <c r="G651" s="66">
        <f>ROUNDDOWN(G650*BDI,2)</f>
        <v/>
      </c>
    </row>
    <row r="652" ht="15" customHeight="1">
      <c r="A652" s="2" t="inlineStr"/>
      <c r="B652" s="2" t="inlineStr"/>
      <c r="C652" s="2" t="inlineStr"/>
      <c r="D652" s="2" t="inlineStr"/>
      <c r="E652" s="28" t="inlineStr">
        <is>
          <t>VALOR COM BDI:</t>
        </is>
      </c>
      <c r="F652" s="56" t="n"/>
      <c r="G652" s="66">
        <f>G651 + G650</f>
        <v/>
      </c>
    </row>
    <row r="653" ht="10" customHeight="1">
      <c r="A653" s="2" t="inlineStr"/>
      <c r="B653" s="2" t="inlineStr"/>
      <c r="C653" s="2" t="inlineStr"/>
      <c r="D653" s="2" t="inlineStr"/>
      <c r="E653" s="18" t="inlineStr"/>
    </row>
    <row r="654" ht="20" customHeight="1">
      <c r="A654" s="19" t="inlineStr">
        <is>
          <t>​89223​ BETONEIRA CAPACIDADE NOMINAL DE 600 L, CAPACIDADE DE MISTURA 360 L, MOTOR ELÉTRICO TRIFÁSICO POTÊNCIA DE 4 CV, SEM CARREGADOR - MANUTENÇÃO. AF_05/2023​ (H)</t>
        </is>
      </c>
      <c r="B654" s="55" t="n"/>
      <c r="C654" s="55" t="n"/>
      <c r="D654" s="55" t="n"/>
      <c r="E654" s="55" t="n"/>
      <c r="F654" s="55" t="n"/>
      <c r="G654" s="56" t="n"/>
    </row>
    <row r="655" ht="15" customHeight="1">
      <c r="A655" s="20" t="inlineStr">
        <is>
          <t>Equipamento</t>
        </is>
      </c>
      <c r="B655" s="56" t="n"/>
      <c r="C655" s="21" t="inlineStr">
        <is>
          <t>FONTE</t>
        </is>
      </c>
      <c r="D655" s="21" t="inlineStr">
        <is>
          <t>UNID</t>
        </is>
      </c>
      <c r="E655" s="21" t="inlineStr">
        <is>
          <t>COEFICIENTE</t>
        </is>
      </c>
      <c r="F655" s="21" t="inlineStr">
        <is>
          <t>PREÇO UNITÁRIO</t>
        </is>
      </c>
      <c r="G655" s="21" t="inlineStr">
        <is>
          <t>TOTAL</t>
        </is>
      </c>
    </row>
    <row r="656" ht="29" customHeight="1">
      <c r="A656" s="22" t="inlineStr">
        <is>
          <t>00036397</t>
        </is>
      </c>
      <c r="B656" s="23" t="inlineStr">
        <is>
          <t>BETONEIRA, CAPACIDADE NOMINAL 600 L, CAPACIDADE DE MISTURA 360 L, MOTOR ELETRICO TRIFASICO 220/380V, POTENCIA 4CV, SEM CARREGADOR</t>
        </is>
      </c>
      <c r="C656" s="22" t="inlineStr">
        <is>
          <t>SINAPI</t>
        </is>
      </c>
      <c r="D656" s="22" t="inlineStr">
        <is>
          <t>UN</t>
        </is>
      </c>
      <c r="E656" s="63" t="n">
        <v>6.999999999999999e-05</v>
      </c>
      <c r="F656" s="64" t="n">
        <v>21498.3</v>
      </c>
      <c r="G656" s="64">
        <f>TRUNC(TRUNC(E656,8)*F656,2)</f>
        <v/>
      </c>
      <c r="M656" t="n">
        <v>21498.3</v>
      </c>
      <c r="N656">
        <f>(M656-F656)</f>
        <v/>
      </c>
    </row>
    <row r="657" ht="15" customHeight="1">
      <c r="A657" s="2" t="inlineStr"/>
      <c r="B657" s="2" t="inlineStr"/>
      <c r="C657" s="2" t="inlineStr"/>
      <c r="D657" s="2" t="inlineStr"/>
      <c r="E657" s="26" t="inlineStr">
        <is>
          <t>TOTAL Equipamento:</t>
        </is>
      </c>
      <c r="F657" s="56" t="n"/>
      <c r="G657" s="65">
        <f>SUM(G656:G656)</f>
        <v/>
      </c>
    </row>
    <row r="658" ht="15" customHeight="1">
      <c r="A658" s="2" t="inlineStr"/>
      <c r="B658" s="2" t="inlineStr"/>
      <c r="C658" s="2" t="inlineStr"/>
      <c r="D658" s="2" t="inlineStr"/>
      <c r="E658" s="28" t="inlineStr">
        <is>
          <t>VALOR:</t>
        </is>
      </c>
      <c r="F658" s="56" t="n"/>
      <c r="G658" s="66">
        <f>ROUND(SUM(G657),2)</f>
        <v/>
      </c>
    </row>
    <row r="659" ht="15" customHeight="1">
      <c r="A659" s="2" t="inlineStr"/>
      <c r="B659" s="2" t="inlineStr"/>
      <c r="C659" s="2" t="inlineStr"/>
      <c r="D659" s="2" t="inlineStr"/>
      <c r="E659" s="28" t="inlineStr">
        <is>
          <t>VALOR BDI (23.08%):</t>
        </is>
      </c>
      <c r="F659" s="56" t="n"/>
      <c r="G659" s="66">
        <f>ROUNDDOWN(G658*BDI,2)</f>
        <v/>
      </c>
    </row>
    <row r="660" ht="15" customHeight="1">
      <c r="A660" s="2" t="inlineStr"/>
      <c r="B660" s="2" t="inlineStr"/>
      <c r="C660" s="2" t="inlineStr"/>
      <c r="D660" s="2" t="inlineStr"/>
      <c r="E660" s="28" t="inlineStr">
        <is>
          <t>VALOR COM BDI:</t>
        </is>
      </c>
      <c r="F660" s="56" t="n"/>
      <c r="G660" s="66">
        <f>G659 + G658</f>
        <v/>
      </c>
    </row>
    <row r="661" ht="10" customHeight="1">
      <c r="A661" s="2" t="inlineStr"/>
      <c r="B661" s="2" t="inlineStr"/>
      <c r="C661" s="2" t="inlineStr"/>
      <c r="D661" s="2" t="inlineStr"/>
      <c r="E661" s="18" t="inlineStr"/>
    </row>
    <row r="662" ht="20" customHeight="1">
      <c r="A662" s="19" t="inlineStr">
        <is>
          <t>​89224​ BETONEIRA CAPACIDADE NOMINAL DE 600 L, CAPACIDADE DE MISTURA 360 L, MOTOR ELÉTRICO TRIFÁSICO POTÊNCIA DE 4 CV, SEM CARREGADOR - MATERIAIS NA OPERAÇÃO. AF_05/2023​ (H)</t>
        </is>
      </c>
      <c r="B662" s="55" t="n"/>
      <c r="C662" s="55" t="n"/>
      <c r="D662" s="55" t="n"/>
      <c r="E662" s="55" t="n"/>
      <c r="F662" s="55" t="n"/>
      <c r="G662" s="56" t="n"/>
    </row>
    <row r="663" ht="15" customHeight="1">
      <c r="A663" s="20" t="inlineStr">
        <is>
          <t>Especiais</t>
        </is>
      </c>
      <c r="B663" s="56" t="n"/>
      <c r="C663" s="21" t="inlineStr">
        <is>
          <t>FONTE</t>
        </is>
      </c>
      <c r="D663" s="21" t="inlineStr">
        <is>
          <t>UNID</t>
        </is>
      </c>
      <c r="E663" s="21" t="inlineStr">
        <is>
          <t>COEFICIENTE</t>
        </is>
      </c>
      <c r="F663" s="21">
        <f>G2570</f>
        <v/>
      </c>
      <c r="G663" s="21" t="inlineStr">
        <is>
          <t>TOTAL</t>
        </is>
      </c>
    </row>
    <row r="664" ht="21" customHeight="1">
      <c r="A664" s="22" t="inlineStr">
        <is>
          <t>00002705</t>
        </is>
      </c>
      <c r="B664" s="23" t="inlineStr">
        <is>
          <t>ENERGIA ELETRICA ATE 2000 KWH INDUSTRIAL, SEM DEMANDA</t>
        </is>
      </c>
      <c r="C664" s="22" t="inlineStr">
        <is>
          <t>SINAPI</t>
        </is>
      </c>
      <c r="D664" s="22" t="inlineStr">
        <is>
          <t>KWH</t>
        </is>
      </c>
      <c r="E664" s="63" t="n">
        <v>2.5</v>
      </c>
      <c r="F664" s="64" t="n">
        <v>1.01</v>
      </c>
      <c r="G664" s="64">
        <f>TRUNC(TRUNC(E664,8)*F664,2)</f>
        <v/>
      </c>
      <c r="L664" t="n">
        <v>2.5</v>
      </c>
      <c r="M664" t="n">
        <v>1.01</v>
      </c>
      <c r="N664">
        <f>(M664-F664)</f>
        <v/>
      </c>
    </row>
    <row r="665" ht="15" customHeight="1">
      <c r="A665" s="2" t="inlineStr"/>
      <c r="B665" s="2" t="inlineStr"/>
      <c r="C665" s="2" t="inlineStr"/>
      <c r="D665" s="2" t="inlineStr"/>
      <c r="E665" s="26" t="inlineStr">
        <is>
          <t>TOTAL Especiais:</t>
        </is>
      </c>
      <c r="F665" s="56" t="n"/>
      <c r="G665" s="65">
        <f>SUM(G664:G664)</f>
        <v/>
      </c>
    </row>
    <row r="666" ht="15" customHeight="1">
      <c r="A666" s="2" t="inlineStr"/>
      <c r="B666" s="2" t="inlineStr"/>
      <c r="C666" s="2" t="inlineStr"/>
      <c r="D666" s="2" t="inlineStr"/>
      <c r="E666" s="28" t="inlineStr">
        <is>
          <t>VALOR:</t>
        </is>
      </c>
      <c r="F666" s="56" t="n"/>
      <c r="G666" s="66">
        <f>ROUND(SUM(G665),2)</f>
        <v/>
      </c>
    </row>
    <row r="667" ht="15" customHeight="1">
      <c r="A667" s="2" t="inlineStr"/>
      <c r="B667" s="2" t="inlineStr"/>
      <c r="C667" s="2" t="inlineStr"/>
      <c r="D667" s="2" t="inlineStr"/>
      <c r="E667" s="28" t="inlineStr">
        <is>
          <t>VALOR BDI (23.08%):</t>
        </is>
      </c>
      <c r="F667" s="56" t="n"/>
      <c r="G667" s="66">
        <f>ROUNDDOWN(G666*BDI,2)</f>
        <v/>
      </c>
    </row>
    <row r="668" ht="15" customHeight="1">
      <c r="A668" s="2" t="inlineStr"/>
      <c r="B668" s="2" t="inlineStr"/>
      <c r="C668" s="2" t="inlineStr"/>
      <c r="D668" s="2" t="inlineStr"/>
      <c r="E668" s="28" t="inlineStr">
        <is>
          <t>VALOR COM BDI:</t>
        </is>
      </c>
      <c r="F668" s="56" t="n"/>
      <c r="G668" s="66">
        <f>G667 + G666</f>
        <v/>
      </c>
    </row>
    <row r="669" ht="10" customHeight="1">
      <c r="A669" s="2" t="inlineStr"/>
      <c r="B669" s="2" t="inlineStr"/>
      <c r="C669" s="2" t="inlineStr"/>
      <c r="D669" s="2" t="inlineStr"/>
      <c r="E669" s="18" t="inlineStr"/>
    </row>
    <row r="670" ht="20" customHeight="1">
      <c r="A670" s="19" t="inlineStr">
        <is>
          <t>​I0682​ BETONEIRA ELÉTRICA 580L (CHP)​ (H)</t>
        </is>
      </c>
      <c r="B670" s="55" t="n"/>
      <c r="C670" s="55" t="n"/>
      <c r="D670" s="55" t="n"/>
      <c r="E670" s="55" t="n"/>
      <c r="F670" s="55" t="n"/>
      <c r="G670" s="56" t="n"/>
    </row>
    <row r="671" ht="15" customHeight="1">
      <c r="A671" s="20" t="inlineStr">
        <is>
          <t>Geral</t>
        </is>
      </c>
      <c r="B671" s="56" t="n"/>
      <c r="C671" s="21" t="inlineStr">
        <is>
          <t>FONTE</t>
        </is>
      </c>
      <c r="D671" s="21" t="inlineStr">
        <is>
          <t>UNID</t>
        </is>
      </c>
      <c r="E671" s="21" t="inlineStr">
        <is>
          <t>COEFICIENTE</t>
        </is>
      </c>
      <c r="F671" s="21">
        <f>G677</f>
        <v/>
      </c>
      <c r="G671" s="21" t="inlineStr">
        <is>
          <t>TOTAL</t>
        </is>
      </c>
    </row>
    <row r="672" ht="15" customHeight="1">
      <c r="A672" s="22" t="inlineStr">
        <is>
          <t>I2714</t>
        </is>
      </c>
      <c r="B672" s="23" t="inlineStr">
        <is>
          <t>MAO DE OBRA DE OPERAÇÃO BET.ELET.580L</t>
        </is>
      </c>
      <c r="C672" s="22" t="inlineStr">
        <is>
          <t>SEINFRA</t>
        </is>
      </c>
      <c r="D672" s="22" t="inlineStr">
        <is>
          <t>H</t>
        </is>
      </c>
      <c r="E672" s="63" t="n">
        <v>1</v>
      </c>
      <c r="F672" s="67">
        <f>ROUND(M672*FATOR, 2)</f>
        <v/>
      </c>
      <c r="G672" s="67">
        <f>ROUND(ROUND(E672,8)*F672,4)</f>
        <v/>
      </c>
      <c r="L672" t="n">
        <v>1</v>
      </c>
      <c r="M672" t="n">
        <v>23.71</v>
      </c>
      <c r="N672">
        <f>(M672-F672)</f>
        <v/>
      </c>
    </row>
    <row r="673" ht="15" customHeight="1">
      <c r="A673" s="22" t="inlineStr">
        <is>
          <t>I2701</t>
        </is>
      </c>
      <c r="B673" s="23" t="inlineStr">
        <is>
          <t>DEPRECIAÇÃO</t>
        </is>
      </c>
      <c r="C673" s="22" t="inlineStr">
        <is>
          <t>SEINFRA</t>
        </is>
      </c>
      <c r="D673" s="22" t="inlineStr">
        <is>
          <t>H</t>
        </is>
      </c>
      <c r="E673" s="63" t="n">
        <v>2.2654</v>
      </c>
      <c r="F673" s="67">
        <f>ROUND(M673*FATOR, 2)</f>
        <v/>
      </c>
      <c r="G673" s="67">
        <f>ROUND(ROUND(E673,8)*F673,4)</f>
        <v/>
      </c>
      <c r="L673" t="n">
        <v>2.2654</v>
      </c>
      <c r="M673" t="n">
        <v>1</v>
      </c>
      <c r="N673">
        <f>(M673-F673)</f>
        <v/>
      </c>
    </row>
    <row r="674" ht="15" customHeight="1">
      <c r="A674" s="22" t="inlineStr">
        <is>
          <t>I2702</t>
        </is>
      </c>
      <c r="B674" s="23" t="inlineStr">
        <is>
          <t>JUROS</t>
        </is>
      </c>
      <c r="C674" s="22" t="inlineStr">
        <is>
          <t>SEINFRA</t>
        </is>
      </c>
      <c r="D674" s="22" t="inlineStr">
        <is>
          <t>H</t>
        </is>
      </c>
      <c r="E674" s="63" t="n">
        <v>0.4292</v>
      </c>
      <c r="F674" s="67">
        <f>ROUND(M674*FATOR, 2)</f>
        <v/>
      </c>
      <c r="G674" s="67">
        <f>ROUND(ROUND(E674,8)*F674,4)</f>
        <v/>
      </c>
      <c r="L674" t="n">
        <v>0.4292</v>
      </c>
      <c r="M674" t="n">
        <v>1</v>
      </c>
      <c r="N674">
        <f>(M674-F674)</f>
        <v/>
      </c>
    </row>
    <row r="675" ht="15" customHeight="1">
      <c r="A675" s="22" t="inlineStr">
        <is>
          <t>I2703</t>
        </is>
      </c>
      <c r="B675" s="23" t="inlineStr">
        <is>
          <t>MANUTENÇÃO</t>
        </is>
      </c>
      <c r="C675" s="22" t="inlineStr">
        <is>
          <t>SEINFRA</t>
        </is>
      </c>
      <c r="D675" s="22" t="inlineStr">
        <is>
          <t>H</t>
        </is>
      </c>
      <c r="E675" s="63" t="n">
        <v>1.1923</v>
      </c>
      <c r="F675" s="67">
        <f>ROUND(M675*FATOR, 2)</f>
        <v/>
      </c>
      <c r="G675" s="67">
        <f>ROUND(ROUND(E675,8)*F675,4)</f>
        <v/>
      </c>
      <c r="L675" t="n">
        <v>1.1923</v>
      </c>
      <c r="M675" t="n">
        <v>1</v>
      </c>
      <c r="N675">
        <f>(M675-F675)</f>
        <v/>
      </c>
    </row>
    <row r="676" ht="15" customHeight="1">
      <c r="A676" s="2" t="inlineStr"/>
      <c r="B676" s="2" t="inlineStr"/>
      <c r="C676" s="2" t="inlineStr"/>
      <c r="D676" s="2" t="inlineStr"/>
      <c r="E676" s="26" t="inlineStr">
        <is>
          <t>TOTAL Geral:</t>
        </is>
      </c>
      <c r="F676" s="56" t="n"/>
      <c r="G676" s="68">
        <f>SUM(G672:G675)</f>
        <v/>
      </c>
    </row>
    <row r="677" ht="15" customHeight="1">
      <c r="A677" s="2" t="inlineStr"/>
      <c r="B677" s="2" t="inlineStr"/>
      <c r="C677" s="2" t="inlineStr"/>
      <c r="D677" s="2" t="inlineStr"/>
      <c r="E677" s="28" t="inlineStr">
        <is>
          <t>VALOR:</t>
        </is>
      </c>
      <c r="F677" s="56" t="n"/>
      <c r="G677" s="66">
        <f>SUM(G676)</f>
        <v/>
      </c>
    </row>
    <row r="678" ht="15" customHeight="1">
      <c r="A678" s="2" t="inlineStr"/>
      <c r="B678" s="2" t="inlineStr"/>
      <c r="C678" s="2" t="inlineStr"/>
      <c r="D678" s="2" t="inlineStr"/>
      <c r="E678" s="28" t="inlineStr">
        <is>
          <t>VALOR BDI (23.08%):</t>
        </is>
      </c>
      <c r="F678" s="56" t="n"/>
      <c r="G678" s="66">
        <f>ROUNDDOWN(G677*BDI,2)</f>
        <v/>
      </c>
    </row>
    <row r="679" ht="15" customHeight="1">
      <c r="A679" s="2" t="inlineStr"/>
      <c r="B679" s="2" t="inlineStr"/>
      <c r="C679" s="2" t="inlineStr"/>
      <c r="D679" s="2" t="inlineStr"/>
      <c r="E679" s="28" t="inlineStr">
        <is>
          <t>VALOR COM BDI:</t>
        </is>
      </c>
      <c r="F679" s="56" t="n"/>
      <c r="G679" s="66">
        <f>G678 + G677</f>
        <v/>
      </c>
    </row>
    <row r="680" ht="10" customHeight="1">
      <c r="A680" s="2" t="inlineStr"/>
      <c r="B680" s="2" t="inlineStr"/>
      <c r="C680" s="2" t="inlineStr"/>
      <c r="D680" s="2" t="inlineStr"/>
      <c r="E680" s="18" t="inlineStr"/>
    </row>
    <row r="681" ht="20" customHeight="1">
      <c r="A681" s="19" t="inlineStr">
        <is>
          <t>​ED-50374​ BOMBEIRO/ENCANADOR COM ENCARGOS COMPLEMENTARES​ (hora)</t>
        </is>
      </c>
      <c r="B681" s="55" t="n"/>
      <c r="C681" s="55" t="n"/>
      <c r="D681" s="55" t="n"/>
      <c r="E681" s="55" t="n"/>
      <c r="F681" s="55" t="n"/>
      <c r="G681" s="56" t="n"/>
    </row>
    <row r="682" ht="20" customHeight="1">
      <c r="A682" s="32" t="inlineStr">
        <is>
          <t>MÃO DE OBRA</t>
        </is>
      </c>
      <c r="B682" s="55" t="n"/>
      <c r="C682" s="56" t="n"/>
      <c r="D682" s="4" t="inlineStr">
        <is>
          <t>UNID</t>
        </is>
      </c>
      <c r="E682" s="4" t="inlineStr">
        <is>
          <t>CONSUMO</t>
        </is>
      </c>
      <c r="F682" s="4" t="inlineStr">
        <is>
          <t>SALÁRIO HORA</t>
        </is>
      </c>
      <c r="G682" s="4" t="inlineStr">
        <is>
          <t>CUSTO HORÁRIO</t>
        </is>
      </c>
    </row>
    <row r="683" ht="15" customHeight="1">
      <c r="A683" s="8" t="inlineStr">
        <is>
          <t>MOED-20143</t>
        </is>
      </c>
      <c r="B683" s="38" t="inlineStr">
        <is>
          <t>BOMBEIRO/ENCANADOR ( MODALIDADE: HORISTA|ENCARGOS SOCIAIS: INCLUSO)</t>
        </is>
      </c>
      <c r="C683" s="55" t="n"/>
      <c r="D683" s="8" t="inlineStr">
        <is>
          <t>h</t>
        </is>
      </c>
      <c r="E683" s="69" t="n">
        <v>1</v>
      </c>
      <c r="F683" s="58" t="n">
        <v>24.1287</v>
      </c>
      <c r="G683" s="58">
        <f>ROUND(ROUND(E683,7)*F683,4)</f>
        <v/>
      </c>
      <c r="L683" t="n">
        <v>1</v>
      </c>
      <c r="M683" t="n">
        <v>24.1287</v>
      </c>
      <c r="N683">
        <f>(M683-F683)</f>
        <v/>
      </c>
    </row>
    <row r="684" ht="15" customHeight="1">
      <c r="A684" s="1" t="inlineStr"/>
      <c r="B684" s="1" t="inlineStr"/>
      <c r="C684" s="1" t="inlineStr"/>
      <c r="D684" s="1" t="inlineStr"/>
      <c r="E684" s="35" t="inlineStr">
        <is>
          <t>TOTAL MÃO DE OBRA:</t>
        </is>
      </c>
      <c r="F684" s="56" t="n"/>
      <c r="G684" s="66">
        <f>SUM(G683:G683)</f>
        <v/>
      </c>
    </row>
    <row r="685" ht="15" customHeight="1">
      <c r="A685" s="2" t="inlineStr"/>
      <c r="B685" s="2" t="inlineStr"/>
      <c r="C685" s="2" t="inlineStr"/>
      <c r="D685" s="2" t="inlineStr"/>
      <c r="E685" s="28" t="inlineStr">
        <is>
          <t>Custo Horário da Execução:</t>
        </is>
      </c>
      <c r="F685" s="56" t="n"/>
      <c r="G685" s="70">
        <f>G684</f>
        <v/>
      </c>
    </row>
    <row r="686" ht="15" customHeight="1">
      <c r="A686" s="2" t="inlineStr"/>
      <c r="B686" s="2" t="inlineStr"/>
      <c r="C686" s="2" t="inlineStr"/>
      <c r="D686" s="2" t="inlineStr"/>
      <c r="E686" s="28" t="inlineStr">
        <is>
          <t>Produção da Equipe:</t>
        </is>
      </c>
      <c r="F686" s="56" t="n"/>
      <c r="G686" s="73" t="n">
        <v>1</v>
      </c>
    </row>
    <row r="687" ht="15" customHeight="1">
      <c r="A687" s="2" t="inlineStr"/>
      <c r="B687" s="2" t="inlineStr"/>
      <c r="C687" s="2" t="inlineStr"/>
      <c r="D687" s="2" t="inlineStr"/>
      <c r="E687" s="28" t="inlineStr">
        <is>
          <t>Custo Unitário da Execução:</t>
        </is>
      </c>
      <c r="F687" s="56" t="n"/>
      <c r="G687" s="70">
        <f>ROUND(G685/G686, 4)</f>
        <v/>
      </c>
    </row>
    <row r="688" ht="20" customHeight="1">
      <c r="A688" s="32" t="inlineStr">
        <is>
          <t>MATERIAIS</t>
        </is>
      </c>
      <c r="B688" s="55" t="n"/>
      <c r="C688" s="56" t="n"/>
      <c r="D688" s="4" t="inlineStr">
        <is>
          <t>UNID</t>
        </is>
      </c>
      <c r="E688" s="4" t="inlineStr">
        <is>
          <t>CONSUMO</t>
        </is>
      </c>
      <c r="F688" s="4">
        <f>G700</f>
        <v/>
      </c>
      <c r="G688" s="4" t="inlineStr">
        <is>
          <t>CUSTO UNITÁRIO</t>
        </is>
      </c>
    </row>
    <row r="689" ht="15" customHeight="1">
      <c r="A689" s="8" t="inlineStr">
        <is>
          <t>MATED-13096</t>
        </is>
      </c>
      <c r="B689" s="7" t="inlineStr">
        <is>
          <t>CESTA BÁSICA/ALIMENTAÇÃO - HORISTA ( ENCARGOS COMPLEMENTARES)</t>
        </is>
      </c>
      <c r="C689" s="56" t="n"/>
      <c r="D689" s="8" t="inlineStr">
        <is>
          <t>hora</t>
        </is>
      </c>
      <c r="E689" s="69" t="n">
        <v>1</v>
      </c>
      <c r="F689" s="70" t="n">
        <v>2.12</v>
      </c>
      <c r="G689" s="70">
        <f>ROUND(ROUND(E689,7)*F689,4)</f>
        <v/>
      </c>
      <c r="L689" t="n">
        <v>1</v>
      </c>
      <c r="M689" t="n">
        <v>2.12</v>
      </c>
      <c r="N689">
        <f>(M689-F689)</f>
        <v/>
      </c>
    </row>
    <row r="690" ht="15" customHeight="1">
      <c r="A690" s="8" t="inlineStr">
        <is>
          <t>MATED-13099</t>
        </is>
      </c>
      <c r="B690" s="7" t="inlineStr">
        <is>
          <t>EXAMES - HORISTA (ENCARGOS COMPLEMENTARES)</t>
        </is>
      </c>
      <c r="C690" s="56" t="n"/>
      <c r="D690" s="8" t="inlineStr">
        <is>
          <t>hora</t>
        </is>
      </c>
      <c r="E690" s="69" t="n">
        <v>1</v>
      </c>
      <c r="F690" s="70" t="n">
        <v>1.43</v>
      </c>
      <c r="G690" s="70">
        <f>ROUND(ROUND(E690,7)*F690,4)</f>
        <v/>
      </c>
      <c r="L690" t="n">
        <v>1</v>
      </c>
      <c r="M690" t="n">
        <v>1.43</v>
      </c>
      <c r="N690">
        <f>(M690-F690)</f>
        <v/>
      </c>
    </row>
    <row r="691" ht="15" customHeight="1">
      <c r="A691" s="8" t="inlineStr">
        <is>
          <t>MATED-13098</t>
        </is>
      </c>
      <c r="B691" s="7" t="inlineStr">
        <is>
          <t>SEGURO - HORISTA (ENCARGOS COMPLEMENTARES)</t>
        </is>
      </c>
      <c r="C691" s="56" t="n"/>
      <c r="D691" s="8" t="inlineStr">
        <is>
          <t>hora</t>
        </is>
      </c>
      <c r="E691" s="69" t="n">
        <v>1</v>
      </c>
      <c r="F691" s="70" t="n">
        <v>0.08</v>
      </c>
      <c r="G691" s="70">
        <f>ROUND(ROUND(E691,7)*F691,4)</f>
        <v/>
      </c>
      <c r="L691" t="n">
        <v>1</v>
      </c>
      <c r="M691" t="n">
        <v>0.08</v>
      </c>
      <c r="N691">
        <f>(M691-F691)</f>
        <v/>
      </c>
    </row>
    <row r="692" ht="15" customHeight="1">
      <c r="A692" s="8" t="inlineStr">
        <is>
          <t>MATED-13097</t>
        </is>
      </c>
      <c r="B692" s="7" t="inlineStr">
        <is>
          <t>TRANSPORTE - HORISTA (ENCARGOS COMPLEMENTARES)</t>
        </is>
      </c>
      <c r="C692" s="56" t="n"/>
      <c r="D692" s="8" t="inlineStr">
        <is>
          <t>hora</t>
        </is>
      </c>
      <c r="E692" s="69" t="n">
        <v>1</v>
      </c>
      <c r="F692" s="70" t="n">
        <v>0.86</v>
      </c>
      <c r="G692" s="70">
        <f>ROUND(ROUND(E692,7)*F692,4)</f>
        <v/>
      </c>
      <c r="L692" t="n">
        <v>1</v>
      </c>
      <c r="M692" t="n">
        <v>0.86</v>
      </c>
      <c r="N692">
        <f>(M692-F692)</f>
        <v/>
      </c>
    </row>
    <row r="693" ht="15" customHeight="1">
      <c r="A693" s="1" t="inlineStr"/>
      <c r="B693" s="1" t="inlineStr"/>
      <c r="C693" s="1" t="inlineStr"/>
      <c r="D693" s="1" t="inlineStr"/>
      <c r="E693" s="35" t="inlineStr">
        <is>
          <t>TOTAL MATERIAIS:</t>
        </is>
      </c>
      <c r="F693" s="56" t="n"/>
      <c r="G693" s="71">
        <f>SUM(G689:G692)</f>
        <v/>
      </c>
    </row>
    <row r="694" ht="20" customHeight="1">
      <c r="A694" s="32" t="inlineStr">
        <is>
          <t>SERVIÇOS</t>
        </is>
      </c>
      <c r="B694" s="55" t="n"/>
      <c r="C694" s="56" t="n"/>
      <c r="D694" s="4" t="inlineStr">
        <is>
          <t>UNID</t>
        </is>
      </c>
      <c r="E694" s="4" t="inlineStr">
        <is>
          <t>CONSUMO</t>
        </is>
      </c>
      <c r="F694" s="4" t="inlineStr">
        <is>
          <t>PREÇO UNITÁRIO</t>
        </is>
      </c>
      <c r="G694" s="4" t="inlineStr">
        <is>
          <t>CUSTO UNITÁRIO</t>
        </is>
      </c>
    </row>
    <row r="695" ht="16" customHeight="1">
      <c r="A695" s="8" t="inlineStr">
        <is>
          <t>ED-5226</t>
        </is>
      </c>
      <c r="B695" s="7" t="inlineStr">
        <is>
          <t>CURSO DE CAPACITAÇÃO PARA ENCANADOR OU BOMBEIRO HIDRÁULICO ( ENCARGOS COMPLEMENTARES) - HORISTA</t>
        </is>
      </c>
      <c r="C695" s="56" t="n"/>
      <c r="D695" s="8" t="inlineStr">
        <is>
          <t>hora</t>
        </is>
      </c>
      <c r="E695" s="72" t="n">
        <v>1</v>
      </c>
      <c r="F695" s="70" t="n">
        <v>0.43</v>
      </c>
      <c r="G695" s="70">
        <f>ROUND(ROUND(E695,7)*F695,4)</f>
        <v/>
      </c>
      <c r="L695" t="n">
        <v>1</v>
      </c>
      <c r="M695" t="n">
        <v>0.43</v>
      </c>
      <c r="N695">
        <f>(M695-F695)</f>
        <v/>
      </c>
    </row>
    <row r="696" ht="15" customHeight="1">
      <c r="A696" s="8" t="inlineStr">
        <is>
          <t>ED-14651</t>
        </is>
      </c>
      <c r="B696" s="7" t="inlineStr">
        <is>
          <t>EPI PARA BOMBEIRO/ENCANADOR - HORISTA ( ENCARGOS COMPLEMENTARES)</t>
        </is>
      </c>
      <c r="C696" s="56" t="n"/>
      <c r="D696" s="8" t="inlineStr">
        <is>
          <t>hora</t>
        </is>
      </c>
      <c r="E696" s="72" t="n">
        <v>1</v>
      </c>
      <c r="F696" s="70">
        <f>G1966</f>
        <v/>
      </c>
      <c r="G696" s="70">
        <f>ROUND(ROUND(E696,7)*F696,4)</f>
        <v/>
      </c>
      <c r="L696" t="n">
        <v>1</v>
      </c>
      <c r="M696" t="n">
        <v>1.13</v>
      </c>
      <c r="N696">
        <f>(M696-F696)</f>
        <v/>
      </c>
    </row>
    <row r="697" ht="16" customHeight="1">
      <c r="A697" s="8" t="inlineStr">
        <is>
          <t>ED-14687</t>
        </is>
      </c>
      <c r="B697" s="7" t="inlineStr">
        <is>
          <t>FERRAMENTAS PARA BOMBEIRO/ENCANADOR - HORISTA (ENCARGOS COMPLEMENTARES)</t>
        </is>
      </c>
      <c r="C697" s="56" t="n"/>
      <c r="D697" s="8" t="inlineStr">
        <is>
          <t>hora</t>
        </is>
      </c>
      <c r="E697" s="72" t="n">
        <v>1</v>
      </c>
      <c r="F697" s="70">
        <f>G2139</f>
        <v/>
      </c>
      <c r="G697" s="70">
        <f>ROUND(ROUND(E697,7)*F697,4)</f>
        <v/>
      </c>
      <c r="L697" t="n">
        <v>1</v>
      </c>
      <c r="M697" t="n">
        <v>0.31</v>
      </c>
      <c r="N697">
        <f>(M697-F697)</f>
        <v/>
      </c>
    </row>
    <row r="698" ht="15" customHeight="1">
      <c r="A698" s="1" t="inlineStr"/>
      <c r="B698" s="1" t="inlineStr"/>
      <c r="C698" s="1" t="inlineStr"/>
      <c r="D698" s="1" t="inlineStr"/>
      <c r="E698" s="35" t="inlineStr">
        <is>
          <t>TOTAL SERVIÇOS:</t>
        </is>
      </c>
      <c r="F698" s="56" t="n"/>
      <c r="G698" s="71">
        <f>SUM(G695:G697)</f>
        <v/>
      </c>
    </row>
    <row r="699" ht="15" customHeight="1">
      <c r="A699" s="2" t="inlineStr"/>
      <c r="B699" s="2" t="inlineStr"/>
      <c r="C699" s="2" t="inlineStr"/>
      <c r="D699" s="2" t="inlineStr"/>
      <c r="E699" s="28" t="inlineStr">
        <is>
          <t>Custo Direto Total:</t>
        </is>
      </c>
      <c r="F699" s="56" t="n"/>
      <c r="G699" s="70">
        <f>SUM(G687,G693,G698)</f>
        <v/>
      </c>
    </row>
    <row r="700" ht="15" customHeight="1">
      <c r="A700" s="2" t="inlineStr"/>
      <c r="B700" s="2" t="inlineStr"/>
      <c r="C700" s="2" t="inlineStr"/>
      <c r="D700" s="2" t="inlineStr"/>
      <c r="E700" s="28" t="inlineStr">
        <is>
          <t>VALOR:</t>
        </is>
      </c>
      <c r="F700" s="56" t="n"/>
      <c r="G700" s="66">
        <f>ROUND(SUM(G699),2)</f>
        <v/>
      </c>
    </row>
    <row r="701" ht="15" customHeight="1">
      <c r="A701" s="2" t="inlineStr"/>
      <c r="B701" s="2" t="inlineStr"/>
      <c r="C701" s="2" t="inlineStr"/>
      <c r="D701" s="2" t="inlineStr"/>
      <c r="E701" s="28" t="inlineStr">
        <is>
          <t>VALOR BDI (23.08%):</t>
        </is>
      </c>
      <c r="F701" s="56" t="n"/>
      <c r="G701" s="66">
        <f>ROUNDDOWN(G700*BDI,2)</f>
        <v/>
      </c>
    </row>
    <row r="702" ht="15" customHeight="1">
      <c r="A702" s="2" t="inlineStr"/>
      <c r="B702" s="2" t="inlineStr"/>
      <c r="C702" s="2" t="inlineStr"/>
      <c r="D702" s="2" t="inlineStr"/>
      <c r="E702" s="28" t="inlineStr">
        <is>
          <t>VALOR COM BDI:</t>
        </is>
      </c>
      <c r="F702" s="56" t="n"/>
      <c r="G702" s="66">
        <f>G701 + G700</f>
        <v/>
      </c>
    </row>
    <row r="703" ht="10" customHeight="1">
      <c r="A703" s="2" t="inlineStr"/>
      <c r="B703" s="2" t="inlineStr"/>
      <c r="C703" s="2" t="inlineStr"/>
      <c r="D703" s="2" t="inlineStr"/>
      <c r="E703" s="18" t="inlineStr"/>
    </row>
    <row r="704" ht="20" customHeight="1">
      <c r="A704" s="19" t="inlineStr">
        <is>
          <t>​92986​ CABO DE COBRE FLEXÍVEL ISOLADO, 35 MM², ANTI-CHAMA 0,6/1,0 KV, PARA REDE ENTERRADA DE DISTRIBUIÇÃO DE ENERGIA ELÉTRICA - FORNECIMENTO E INSTALAÇÃO. AF_12/2021​ (M)</t>
        </is>
      </c>
      <c r="B704" s="55" t="n"/>
      <c r="C704" s="55" t="n"/>
      <c r="D704" s="55" t="n"/>
      <c r="E704" s="55" t="n"/>
      <c r="F704" s="55" t="n"/>
      <c r="G704" s="56" t="n"/>
    </row>
    <row r="705" ht="15" customHeight="1">
      <c r="A705" s="20" t="inlineStr">
        <is>
          <t>Material</t>
        </is>
      </c>
      <c r="B705" s="56" t="n"/>
      <c r="C705" s="21" t="inlineStr">
        <is>
          <t>FONTE</t>
        </is>
      </c>
      <c r="D705" s="21" t="inlineStr">
        <is>
          <t>UNID</t>
        </is>
      </c>
      <c r="E705" s="21" t="inlineStr">
        <is>
          <t>COEFICIENTE</t>
        </is>
      </c>
      <c r="F705" s="21" t="inlineStr">
        <is>
          <t>PREÇO UNITÁRIO</t>
        </is>
      </c>
      <c r="G705" s="21" t="inlineStr">
        <is>
          <t>TOTAL</t>
        </is>
      </c>
    </row>
    <row r="706" ht="38" customHeight="1">
      <c r="A706" s="22" t="inlineStr">
        <is>
          <t>00001019</t>
        </is>
      </c>
      <c r="B706" s="23" t="inlineStr">
        <is>
          <t>CABO DE COBRE, FLEXIVEL, CLASSE 4 OU 5, ISOLACAO EM PVC/A, ANTICHAMA BWF-B, COBERTURA PVC-ST1, ANTICHAMA BWF-B, 1 CONDUTOR, 0,6/1 KV, SECAO NOMINAL 35 MM2</t>
        </is>
      </c>
      <c r="C706" s="22" t="inlineStr">
        <is>
          <t>SINAPI</t>
        </is>
      </c>
      <c r="D706" s="22" t="inlineStr">
        <is>
          <t>M</t>
        </is>
      </c>
      <c r="E706" s="63" t="n">
        <v>1.015</v>
      </c>
      <c r="F706" s="64">
        <f>ROUND(M706*FATOR, 2)</f>
        <v/>
      </c>
      <c r="G706" s="64">
        <f>TRUNC(TRUNC(E706,8)*F706,2)</f>
        <v/>
      </c>
      <c r="L706" t="n">
        <v>1.015</v>
      </c>
      <c r="M706" t="n">
        <v>37.75</v>
      </c>
      <c r="N706">
        <f>(M706-F706)</f>
        <v/>
      </c>
    </row>
    <row r="707" ht="21" customHeight="1">
      <c r="A707" s="22" t="inlineStr">
        <is>
          <t>00021127</t>
        </is>
      </c>
      <c r="B707" s="23" t="inlineStr">
        <is>
          <t>FITA ISOLANTE ADESIVA ANTICHAMA, USO ATE 750 V, EM ROLO DE 19 MM X 5 M</t>
        </is>
      </c>
      <c r="C707" s="22" t="inlineStr">
        <is>
          <t>SINAPI</t>
        </is>
      </c>
      <c r="D707" s="22" t="inlineStr">
        <is>
          <t>UN</t>
        </is>
      </c>
      <c r="E707" s="63" t="n">
        <v>0.008999999999999999</v>
      </c>
      <c r="F707" s="64">
        <f>ROUND(M707*FATOR, 2)</f>
        <v/>
      </c>
      <c r="G707" s="64">
        <f>TRUNC(TRUNC(E707,8)*F707,2)</f>
        <v/>
      </c>
      <c r="L707" t="n">
        <v>0.008999999999999999</v>
      </c>
      <c r="M707" t="n">
        <v>3.78</v>
      </c>
      <c r="N707">
        <f>(M707-F707)</f>
        <v/>
      </c>
    </row>
    <row r="708" ht="15" customHeight="1">
      <c r="A708" s="2" t="inlineStr"/>
      <c r="B708" s="2" t="inlineStr"/>
      <c r="C708" s="2" t="inlineStr"/>
      <c r="D708" s="2" t="inlineStr"/>
      <c r="E708" s="26" t="inlineStr">
        <is>
          <t>TOTAL Material:</t>
        </is>
      </c>
      <c r="F708" s="56" t="n"/>
      <c r="G708" s="65">
        <f>SUM(G706:G707)</f>
        <v/>
      </c>
    </row>
    <row r="709" ht="15" customHeight="1">
      <c r="A709" s="20" t="inlineStr">
        <is>
          <t>Mão de Obra com Encargos Complementares</t>
        </is>
      </c>
      <c r="B709" s="56" t="n"/>
      <c r="C709" s="21" t="inlineStr">
        <is>
          <t>FONTE</t>
        </is>
      </c>
      <c r="D709" s="21" t="inlineStr">
        <is>
          <t>UNID</t>
        </is>
      </c>
      <c r="E709" s="21" t="inlineStr">
        <is>
          <t>COEFICIENTE</t>
        </is>
      </c>
      <c r="F709" s="21" t="inlineStr">
        <is>
          <t>PREÇO UNITÁRIO</t>
        </is>
      </c>
      <c r="G709" s="21" t="inlineStr">
        <is>
          <t>TOTAL</t>
        </is>
      </c>
    </row>
    <row r="710" ht="21" customHeight="1">
      <c r="A710" s="22" t="inlineStr">
        <is>
          <t>88247</t>
        </is>
      </c>
      <c r="B710" s="23" t="inlineStr">
        <is>
          <t>AUXILIAR DE ELETRICISTA COM ENCARGOS COMPLEMENTARES</t>
        </is>
      </c>
      <c r="C710" s="22" t="inlineStr">
        <is>
          <t>SINAPI</t>
        </is>
      </c>
      <c r="D710" s="22" t="inlineStr">
        <is>
          <t>H</t>
        </is>
      </c>
      <c r="E710" s="63">
        <f>L710*FATOR</f>
        <v/>
      </c>
      <c r="F710" s="64">
        <f>'COMPOSICOES AUXILIARES'!G505</f>
        <v/>
      </c>
      <c r="G710" s="64">
        <f>TRUNC(TRUNC(E710,8)*F710,2)</f>
        <v/>
      </c>
      <c r="L710" t="n">
        <v>0.0697</v>
      </c>
      <c r="M710" t="n">
        <v>25.22</v>
      </c>
      <c r="N710">
        <f>(M710-F710)</f>
        <v/>
      </c>
    </row>
    <row r="711" ht="15" customHeight="1">
      <c r="A711" s="22" t="inlineStr">
        <is>
          <t>88264</t>
        </is>
      </c>
      <c r="B711" s="23" t="inlineStr">
        <is>
          <t>ELETRICISTA COM ENCARGOS COMPLEMENTARES</t>
        </is>
      </c>
      <c r="C711" s="22" t="inlineStr">
        <is>
          <t>SINAPI</t>
        </is>
      </c>
      <c r="D711" s="22" t="inlineStr">
        <is>
          <t>H</t>
        </is>
      </c>
      <c r="E711" s="63">
        <f>L711*FATOR</f>
        <v/>
      </c>
      <c r="F711" s="64">
        <f>G1826</f>
        <v/>
      </c>
      <c r="G711" s="64">
        <f>TRUNC(TRUNC(E711,8)*F711,2)</f>
        <v/>
      </c>
      <c r="L711" t="n">
        <v>0.0697</v>
      </c>
      <c r="M711" t="n">
        <v>30.96</v>
      </c>
      <c r="N711">
        <f>(M711-F711)</f>
        <v/>
      </c>
    </row>
    <row r="712" ht="18" customHeight="1">
      <c r="A712" s="2" t="inlineStr"/>
      <c r="B712" s="2" t="inlineStr"/>
      <c r="C712" s="2" t="inlineStr"/>
      <c r="D712" s="2" t="inlineStr"/>
      <c r="E712" s="26" t="inlineStr">
        <is>
          <t>TOTAL Mão de Obra com Encargos Complementares:</t>
        </is>
      </c>
      <c r="F712" s="56" t="n"/>
      <c r="G712" s="65">
        <f>SUM(G710:G711)</f>
        <v/>
      </c>
    </row>
    <row r="713" ht="15" customHeight="1">
      <c r="A713" s="2" t="inlineStr"/>
      <c r="B713" s="2" t="inlineStr"/>
      <c r="C713" s="2" t="inlineStr"/>
      <c r="D713" s="2" t="inlineStr"/>
      <c r="E713" s="28" t="inlineStr">
        <is>
          <t>VALOR:</t>
        </is>
      </c>
      <c r="F713" s="56" t="n"/>
      <c r="G713" s="66">
        <f>SUM(G712,G708)</f>
        <v/>
      </c>
    </row>
    <row r="714" ht="15" customHeight="1">
      <c r="A714" s="2" t="inlineStr"/>
      <c r="B714" s="2" t="inlineStr"/>
      <c r="C714" s="2" t="inlineStr"/>
      <c r="D714" s="2" t="inlineStr"/>
      <c r="E714" s="28" t="inlineStr">
        <is>
          <t>VALOR BDI (23.08%):</t>
        </is>
      </c>
      <c r="F714" s="56" t="n"/>
      <c r="G714" s="66">
        <f>ROUNDDOWN(G713*BDI,2)</f>
        <v/>
      </c>
    </row>
    <row r="715" ht="15" customHeight="1">
      <c r="A715" s="2" t="inlineStr"/>
      <c r="B715" s="2" t="inlineStr"/>
      <c r="C715" s="2" t="inlineStr"/>
      <c r="D715" s="2" t="inlineStr"/>
      <c r="E715" s="28" t="inlineStr">
        <is>
          <t>VALOR COM BDI:</t>
        </is>
      </c>
      <c r="F715" s="56" t="n"/>
      <c r="G715" s="66">
        <f>G714 + G713</f>
        <v/>
      </c>
    </row>
    <row r="716" ht="10" customHeight="1">
      <c r="A716" s="2" t="inlineStr"/>
      <c r="B716" s="2" t="inlineStr"/>
      <c r="C716" s="2" t="inlineStr"/>
      <c r="D716" s="2" t="inlineStr"/>
      <c r="E716" s="18" t="inlineStr"/>
    </row>
    <row r="717" ht="20" customHeight="1">
      <c r="A717" s="19" t="inlineStr">
        <is>
          <t>​I0700​ CAMINHONETE SAVEIRO (CHP)​ (H)</t>
        </is>
      </c>
      <c r="B717" s="55" t="n"/>
      <c r="C717" s="55" t="n"/>
      <c r="D717" s="55" t="n"/>
      <c r="E717" s="55" t="n"/>
      <c r="F717" s="55" t="n"/>
      <c r="G717" s="56" t="n"/>
    </row>
    <row r="718" ht="15" customHeight="1">
      <c r="A718" s="20" t="inlineStr">
        <is>
          <t>Geral</t>
        </is>
      </c>
      <c r="B718" s="56" t="n"/>
      <c r="C718" s="21" t="inlineStr">
        <is>
          <t>FONTE</t>
        </is>
      </c>
      <c r="D718" s="21" t="inlineStr">
        <is>
          <t>UNID</t>
        </is>
      </c>
      <c r="E718" s="21" t="inlineStr">
        <is>
          <t>COEFICIENTE</t>
        </is>
      </c>
      <c r="F718" s="21">
        <f>G677</f>
        <v/>
      </c>
      <c r="G718" s="21" t="inlineStr">
        <is>
          <t>TOTAL</t>
        </is>
      </c>
    </row>
    <row r="719" ht="15" customHeight="1">
      <c r="A719" s="22" t="inlineStr">
        <is>
          <t>I2748</t>
        </is>
      </c>
      <c r="B719" s="23" t="inlineStr">
        <is>
          <t>MÃO DE OBRA DE OPERAÇÃO DA CAMINHONETE SAVEIRO</t>
        </is>
      </c>
      <c r="C719" s="22" t="inlineStr">
        <is>
          <t>SEINFRA</t>
        </is>
      </c>
      <c r="D719" s="22" t="inlineStr">
        <is>
          <t>H</t>
        </is>
      </c>
      <c r="E719" s="63" t="n">
        <v>1</v>
      </c>
      <c r="F719" s="67">
        <f>ROUND(M719*FATOR, 2)</f>
        <v/>
      </c>
      <c r="G719" s="67">
        <f>ROUND(ROUND(E719,8)*F719,4)</f>
        <v/>
      </c>
      <c r="L719" t="n">
        <v>1</v>
      </c>
      <c r="M719" t="n">
        <v>20.86</v>
      </c>
      <c r="N719">
        <f>(M719-F719)</f>
        <v/>
      </c>
    </row>
    <row r="720" ht="15" customHeight="1">
      <c r="A720" s="22" t="inlineStr">
        <is>
          <t>I2747</t>
        </is>
      </c>
      <c r="B720" s="23" t="inlineStr">
        <is>
          <t>MATERIAL DE OPERAÇÃO DA CAMINHONETE SAVEIRO</t>
        </is>
      </c>
      <c r="C720" s="22" t="inlineStr">
        <is>
          <t>SEINFRA</t>
        </is>
      </c>
      <c r="D720" s="22" t="inlineStr">
        <is>
          <t>H</t>
        </is>
      </c>
      <c r="E720" s="63" t="n">
        <v>1</v>
      </c>
      <c r="F720" s="67">
        <f>ROUND(M720*FATOR, 2)</f>
        <v/>
      </c>
      <c r="G720" s="67">
        <f>ROUND(ROUND(E720,8)*F720,4)</f>
        <v/>
      </c>
      <c r="L720" t="n">
        <v>1</v>
      </c>
      <c r="M720" t="n">
        <v>49.3776</v>
      </c>
      <c r="N720">
        <f>(M720-F720)</f>
        <v/>
      </c>
    </row>
    <row r="721" ht="15" customHeight="1">
      <c r="A721" s="22" t="inlineStr">
        <is>
          <t>I2701</t>
        </is>
      </c>
      <c r="B721" s="23" t="inlineStr">
        <is>
          <t>DEPRECIAÇÃO</t>
        </is>
      </c>
      <c r="C721" s="22" t="inlineStr">
        <is>
          <t>SEINFRA</t>
        </is>
      </c>
      <c r="D721" s="22" t="inlineStr">
        <is>
          <t>H</t>
        </is>
      </c>
      <c r="E721" s="63" t="n">
        <v>4.9834</v>
      </c>
      <c r="F721" s="67">
        <f>'COMPOSICOES AUXILIARES'!G677</f>
        <v/>
      </c>
      <c r="G721" s="67">
        <f>ROUND(ROUND(E721,8)*F721,4)</f>
        <v/>
      </c>
      <c r="L721" t="n">
        <v>4.9834</v>
      </c>
      <c r="M721" t="n">
        <v>1</v>
      </c>
      <c r="N721">
        <f>(M721-F721)</f>
        <v/>
      </c>
    </row>
    <row r="722" ht="15" customHeight="1">
      <c r="A722" s="22" t="inlineStr">
        <is>
          <t>I2702</t>
        </is>
      </c>
      <c r="B722" s="23" t="inlineStr">
        <is>
          <t>JUROS</t>
        </is>
      </c>
      <c r="C722" s="22" t="inlineStr">
        <is>
          <t>SEINFRA</t>
        </is>
      </c>
      <c r="D722" s="22" t="inlineStr">
        <is>
          <t>H</t>
        </is>
      </c>
      <c r="E722" s="63" t="n">
        <v>1.3082</v>
      </c>
      <c r="F722" s="67">
        <f>'COMPOSICOES AUXILIARES'!G677</f>
        <v/>
      </c>
      <c r="G722" s="67">
        <f>ROUND(ROUND(E722,8)*F722,4)</f>
        <v/>
      </c>
      <c r="L722" t="n">
        <v>1.3082</v>
      </c>
      <c r="M722" t="n">
        <v>1</v>
      </c>
      <c r="N722">
        <f>(M722-F722)</f>
        <v/>
      </c>
    </row>
    <row r="723" ht="15" customHeight="1">
      <c r="A723" s="22" t="inlineStr">
        <is>
          <t>I2703</t>
        </is>
      </c>
      <c r="B723" s="23" t="inlineStr">
        <is>
          <t>MANUTENÇÃO</t>
        </is>
      </c>
      <c r="C723" s="22" t="inlineStr">
        <is>
          <t>SEINFRA</t>
        </is>
      </c>
      <c r="D723" s="22" t="inlineStr">
        <is>
          <t>H</t>
        </is>
      </c>
      <c r="E723" s="63" t="n">
        <v>4.9834</v>
      </c>
      <c r="F723" s="67">
        <f>'COMPOSICOES AUXILIARES'!G677</f>
        <v/>
      </c>
      <c r="G723" s="67">
        <f>ROUND(ROUND(E723,8)*F723,4)</f>
        <v/>
      </c>
      <c r="L723" t="n">
        <v>4.9834</v>
      </c>
      <c r="M723" t="n">
        <v>1</v>
      </c>
      <c r="N723">
        <f>(M723-F723)</f>
        <v/>
      </c>
    </row>
    <row r="724" ht="15" customHeight="1">
      <c r="A724" s="2" t="inlineStr"/>
      <c r="B724" s="2" t="inlineStr"/>
      <c r="C724" s="2" t="inlineStr"/>
      <c r="D724" s="2" t="inlineStr"/>
      <c r="E724" s="26" t="inlineStr">
        <is>
          <t>TOTAL Geral:</t>
        </is>
      </c>
      <c r="F724" s="56" t="n"/>
      <c r="G724" s="68">
        <f>SUM(G719:G723)</f>
        <v/>
      </c>
    </row>
    <row r="725" ht="15" customHeight="1">
      <c r="A725" s="2" t="inlineStr"/>
      <c r="B725" s="2" t="inlineStr"/>
      <c r="C725" s="2" t="inlineStr"/>
      <c r="D725" s="2" t="inlineStr"/>
      <c r="E725" s="28" t="inlineStr">
        <is>
          <t>VALOR:</t>
        </is>
      </c>
      <c r="F725" s="56" t="n"/>
      <c r="G725" s="66">
        <f>SUM(G724)</f>
        <v/>
      </c>
    </row>
    <row r="726" ht="15" customHeight="1">
      <c r="A726" s="2" t="inlineStr"/>
      <c r="B726" s="2" t="inlineStr"/>
      <c r="C726" s="2" t="inlineStr"/>
      <c r="D726" s="2" t="inlineStr"/>
      <c r="E726" s="28" t="inlineStr">
        <is>
          <t>VALOR BDI (23.08%):</t>
        </is>
      </c>
      <c r="F726" s="56" t="n"/>
      <c r="G726" s="66">
        <f>ROUNDDOWN(G725*BDI,2)</f>
        <v/>
      </c>
    </row>
    <row r="727" ht="15" customHeight="1">
      <c r="A727" s="2" t="inlineStr"/>
      <c r="B727" s="2" t="inlineStr"/>
      <c r="C727" s="2" t="inlineStr"/>
      <c r="D727" s="2" t="inlineStr"/>
      <c r="E727" s="28" t="inlineStr">
        <is>
          <t>VALOR COM BDI:</t>
        </is>
      </c>
      <c r="F727" s="56" t="n"/>
      <c r="G727" s="66">
        <f>G726 + G725</f>
        <v/>
      </c>
    </row>
    <row r="728" ht="10" customHeight="1">
      <c r="A728" s="2" t="inlineStr"/>
      <c r="B728" s="2" t="inlineStr"/>
      <c r="C728" s="2" t="inlineStr"/>
      <c r="D728" s="2" t="inlineStr"/>
      <c r="E728" s="18" t="inlineStr"/>
    </row>
    <row r="729" ht="20" customHeight="1">
      <c r="A729" s="19" t="inlineStr">
        <is>
          <t>​89884​ CAMINHÃO BASCULANTE 18 M3, COM CAVALO MECÂNICO DE CAPACIDADE MÁXIMA DE TRAÇÃO COMBINADO DE 45000 KG, POTÊNCIA 330 CV, INCLUSIVE SEMIREBOQUE COM CAÇAMBA METÁLICA - CHI DIURNO. AF_12/2014​ (CHI)</t>
        </is>
      </c>
      <c r="B729" s="55" t="n"/>
      <c r="C729" s="55" t="n"/>
      <c r="D729" s="55" t="n"/>
      <c r="E729" s="55" t="n"/>
      <c r="F729" s="55" t="n"/>
      <c r="G729" s="56" t="n"/>
    </row>
    <row r="730" ht="15" customHeight="1">
      <c r="A730" s="20" t="inlineStr">
        <is>
          <t>Mão de Obra com Encargos Complementares</t>
        </is>
      </c>
      <c r="B730" s="56" t="n"/>
      <c r="C730" s="21" t="inlineStr">
        <is>
          <t>FONTE</t>
        </is>
      </c>
      <c r="D730" s="21" t="inlineStr">
        <is>
          <t>UNID</t>
        </is>
      </c>
      <c r="E730" s="21" t="inlineStr">
        <is>
          <t>COEFICIENTE</t>
        </is>
      </c>
      <c r="F730" s="21" t="inlineStr">
        <is>
          <t>PREÇO UNITÁRIO</t>
        </is>
      </c>
      <c r="G730" s="21" t="inlineStr">
        <is>
          <t>TOTAL</t>
        </is>
      </c>
    </row>
    <row r="731" ht="21" customHeight="1">
      <c r="A731" s="22" t="inlineStr">
        <is>
          <t>88281</t>
        </is>
      </c>
      <c r="B731" s="23" t="inlineStr">
        <is>
          <t>MOTORISTA DE BASCULANTE COM ENCARGOS COMPLEMENTARES</t>
        </is>
      </c>
      <c r="C731" s="22" t="inlineStr">
        <is>
          <t>SINAPI</t>
        </is>
      </c>
      <c r="D731" s="22" t="inlineStr">
        <is>
          <t>H</t>
        </is>
      </c>
      <c r="E731" s="63">
        <f>L731*FATOR</f>
        <v/>
      </c>
      <c r="F731" s="64">
        <f>G2627</f>
        <v/>
      </c>
      <c r="G731" s="64">
        <f>TRUNC(TRUNC(E731,8)*F731,2)</f>
        <v/>
      </c>
      <c r="L731" t="n">
        <v>1</v>
      </c>
      <c r="M731" t="n">
        <v>35.52</v>
      </c>
      <c r="N731">
        <f>(M731-F731)</f>
        <v/>
      </c>
    </row>
    <row r="732" ht="18" customHeight="1">
      <c r="A732" s="2" t="inlineStr"/>
      <c r="B732" s="2" t="inlineStr"/>
      <c r="C732" s="2" t="inlineStr"/>
      <c r="D732" s="2" t="inlineStr"/>
      <c r="E732" s="26" t="inlineStr">
        <is>
          <t>TOTAL Mão de Obra com Encargos Complementares:</t>
        </is>
      </c>
      <c r="F732" s="56" t="n"/>
      <c r="G732" s="65">
        <f>SUM(G731:G731)</f>
        <v/>
      </c>
    </row>
    <row r="733" ht="15" customHeight="1">
      <c r="A733" s="20" t="inlineStr">
        <is>
          <t>Serviço</t>
        </is>
      </c>
      <c r="B733" s="56" t="n"/>
      <c r="C733" s="21" t="inlineStr">
        <is>
          <t>FONTE</t>
        </is>
      </c>
      <c r="D733" s="21" t="inlineStr">
        <is>
          <t>UNID</t>
        </is>
      </c>
      <c r="E733" s="21" t="inlineStr">
        <is>
          <t>COEFICIENTE</t>
        </is>
      </c>
      <c r="F733" s="21" t="inlineStr">
        <is>
          <t>PREÇO UNITÁRIO</t>
        </is>
      </c>
      <c r="G733" s="21" t="inlineStr">
        <is>
          <t>TOTAL</t>
        </is>
      </c>
    </row>
    <row r="734" ht="38" customHeight="1">
      <c r="A734" s="22" t="inlineStr">
        <is>
          <t>89878</t>
        </is>
      </c>
      <c r="B734" s="23" t="inlineStr">
        <is>
          <t>CAMINHÃO BASCULANTE 18 M3, COM CAVALO MECÂNICO DE CAPACIDADE MÁXIMA DE TRAÇÃO COMBINADO DE 45000 KG, POTÊNCIA 330 CV, INCLUSIVE SEMIREBOQUE COM CAÇAMBA METÁLICA - DEPRECIAÇÃO. AF_12/2014</t>
        </is>
      </c>
      <c r="C734" s="22" t="inlineStr">
        <is>
          <t>SINAPI</t>
        </is>
      </c>
      <c r="D734" s="22" t="inlineStr">
        <is>
          <t>H</t>
        </is>
      </c>
      <c r="E734" s="63" t="n">
        <v>1</v>
      </c>
      <c r="F734" s="64" t="n">
        <v>42.2</v>
      </c>
      <c r="G734" s="64">
        <f>TRUNC(TRUNC(E734,8)*F734,2)</f>
        <v/>
      </c>
      <c r="L734" t="n">
        <v>1</v>
      </c>
      <c r="M734" t="n">
        <v>42.2</v>
      </c>
      <c r="N734">
        <f>(M734-F734)</f>
        <v/>
      </c>
    </row>
    <row r="735" ht="46" customHeight="1">
      <c r="A735" s="22" t="inlineStr">
        <is>
          <t>89880</t>
        </is>
      </c>
      <c r="B735" s="23" t="inlineStr">
        <is>
          <t>CAMINHÃO BASCULANTE 18 M3, COM CAVALO MECÂNICO DE CAPACIDADE MÁXIMA DE TRAÇÃO COMBINADO DE 45000 KG, POTÊNCIA 330 CV, INCLUSIVE SEMIREBOQUE COM CAÇAMBA METÁLICA - IMPOSTOS E SEGUROS. AF_12/2014</t>
        </is>
      </c>
      <c r="C735" s="22" t="inlineStr">
        <is>
          <t>SINAPI</t>
        </is>
      </c>
      <c r="D735" s="22" t="inlineStr">
        <is>
          <t>H</t>
        </is>
      </c>
      <c r="E735" s="63" t="n">
        <v>1</v>
      </c>
      <c r="F735" s="64" t="n">
        <v>5.86</v>
      </c>
      <c r="G735" s="64">
        <f>TRUNC(TRUNC(E735,8)*F735,2)</f>
        <v/>
      </c>
      <c r="L735" t="n">
        <v>1</v>
      </c>
      <c r="M735" t="n">
        <v>5.86</v>
      </c>
      <c r="N735">
        <f>(M735-F735)</f>
        <v/>
      </c>
    </row>
    <row r="736" ht="38" customHeight="1">
      <c r="A736" s="22" t="inlineStr">
        <is>
          <t>89879</t>
        </is>
      </c>
      <c r="B736" s="23" t="inlineStr">
        <is>
          <t>CAMINHÃO BASCULANTE 18 M3, COM CAVALO MECÂNICO DE CAPACIDADE MÁXIMA DE TRAÇÃO COMBINADO DE 45000 KG, POTÊNCIA 330 CV, INCLUSIVE SEMIREBOQUE COM CAÇAMBA METÁLICA - JUROS. AF_12/2014</t>
        </is>
      </c>
      <c r="C736" s="22" t="inlineStr">
        <is>
          <t>SINAPI</t>
        </is>
      </c>
      <c r="D736" s="22" t="inlineStr">
        <is>
          <t>H</t>
        </is>
      </c>
      <c r="E736" s="63" t="n">
        <v>1</v>
      </c>
      <c r="F736" s="64" t="n">
        <v>14.52</v>
      </c>
      <c r="G736" s="64">
        <f>TRUNC(TRUNC(E736,8)*F736,2)</f>
        <v/>
      </c>
      <c r="L736" t="n">
        <v>1</v>
      </c>
      <c r="M736" t="n">
        <v>14.52</v>
      </c>
      <c r="N736">
        <f>(M736-F736)</f>
        <v/>
      </c>
    </row>
    <row r="737" ht="15" customHeight="1">
      <c r="A737" s="2" t="inlineStr"/>
      <c r="B737" s="2" t="inlineStr"/>
      <c r="C737" s="2" t="inlineStr"/>
      <c r="D737" s="2" t="inlineStr"/>
      <c r="E737" s="26" t="inlineStr">
        <is>
          <t>TOTAL Serviço:</t>
        </is>
      </c>
      <c r="F737" s="56" t="n"/>
      <c r="G737" s="65">
        <f>SUM(G734:G736)</f>
        <v/>
      </c>
    </row>
    <row r="738" ht="15" customHeight="1">
      <c r="A738" s="2" t="inlineStr"/>
      <c r="B738" s="2" t="inlineStr"/>
      <c r="C738" s="2" t="inlineStr"/>
      <c r="D738" s="2" t="inlineStr"/>
      <c r="E738" s="28" t="inlineStr">
        <is>
          <t>VALOR:</t>
        </is>
      </c>
      <c r="F738" s="56" t="n"/>
      <c r="G738" s="66">
        <f>SUM(G737)</f>
        <v/>
      </c>
    </row>
    <row r="739" ht="15" customHeight="1">
      <c r="A739" s="2" t="inlineStr"/>
      <c r="B739" s="2" t="inlineStr"/>
      <c r="C739" s="2" t="inlineStr"/>
      <c r="D739" s="2" t="inlineStr"/>
      <c r="E739" s="28" t="inlineStr">
        <is>
          <t>VALOR BDI (23.08%):</t>
        </is>
      </c>
      <c r="F739" s="56" t="n"/>
      <c r="G739" s="66">
        <f>ROUNDDOWN(G738*BDI,2)</f>
        <v/>
      </c>
    </row>
    <row r="740" ht="15" customHeight="1">
      <c r="A740" s="2" t="inlineStr"/>
      <c r="B740" s="2" t="inlineStr"/>
      <c r="C740" s="2" t="inlineStr"/>
      <c r="D740" s="2" t="inlineStr"/>
      <c r="E740" s="28" t="inlineStr">
        <is>
          <t>VALOR COM BDI:</t>
        </is>
      </c>
      <c r="F740" s="56" t="n"/>
      <c r="G740" s="66">
        <f>G739 + G738</f>
        <v/>
      </c>
    </row>
    <row r="741" ht="10" customHeight="1">
      <c r="A741" s="2" t="inlineStr"/>
      <c r="B741" s="2" t="inlineStr"/>
      <c r="C741" s="2" t="inlineStr"/>
      <c r="D741" s="2" t="inlineStr"/>
      <c r="E741" s="18" t="inlineStr"/>
    </row>
    <row r="742" ht="20" customHeight="1">
      <c r="A742" s="19" t="inlineStr">
        <is>
          <t>​89883​ CAMINHÃO BASCULANTE 18 M3, COM CAVALO MECÂNICO DE CAPACIDADE MÁXIMA DE TRAÇÃO COMBINADO DE 45000 KG, POTÊNCIA 330 CV, INCLUSIVE SEMIREBOQUE COM CAÇAMBA METÁLICA - CHP DIURNO. AF_12/2014​ (CHP)</t>
        </is>
      </c>
      <c r="B742" s="55" t="n"/>
      <c r="C742" s="55" t="n"/>
      <c r="D742" s="55" t="n"/>
      <c r="E742" s="55" t="n"/>
      <c r="F742" s="55" t="n"/>
      <c r="G742" s="56" t="n"/>
    </row>
    <row r="743" ht="15" customHeight="1">
      <c r="A743" s="20" t="inlineStr">
        <is>
          <t>Mão de Obra com Encargos Complementares</t>
        </is>
      </c>
      <c r="B743" s="56" t="n"/>
      <c r="C743" s="21" t="inlineStr">
        <is>
          <t>FONTE</t>
        </is>
      </c>
      <c r="D743" s="21" t="inlineStr">
        <is>
          <t>UNID</t>
        </is>
      </c>
      <c r="E743" s="21" t="inlineStr">
        <is>
          <t>COEFICIENTE</t>
        </is>
      </c>
      <c r="F743" s="21" t="inlineStr">
        <is>
          <t>PREÇO UNITÁRIO</t>
        </is>
      </c>
      <c r="G743" s="21" t="inlineStr">
        <is>
          <t>TOTAL</t>
        </is>
      </c>
    </row>
    <row r="744" ht="21" customHeight="1">
      <c r="A744" s="22" t="inlineStr">
        <is>
          <t>88281</t>
        </is>
      </c>
      <c r="B744" s="23" t="inlineStr">
        <is>
          <t>MOTORISTA DE BASCULANTE COM ENCARGOS COMPLEMENTARES</t>
        </is>
      </c>
      <c r="C744" s="22" t="inlineStr">
        <is>
          <t>SINAPI</t>
        </is>
      </c>
      <c r="D744" s="22" t="inlineStr">
        <is>
          <t>H</t>
        </is>
      </c>
      <c r="E744" s="63">
        <f>L744*FATOR</f>
        <v/>
      </c>
      <c r="F744" s="64">
        <f>'COMPOSICOES AUXILIARES'!G738</f>
        <v/>
      </c>
      <c r="G744" s="64">
        <f>TRUNC(TRUNC(E744,8)*F744,2)</f>
        <v/>
      </c>
      <c r="L744" t="n">
        <v>1</v>
      </c>
      <c r="M744" t="n">
        <v>35.52</v>
      </c>
      <c r="N744">
        <f>(M744-F744)</f>
        <v/>
      </c>
    </row>
    <row r="745" ht="18" customHeight="1">
      <c r="A745" s="2" t="inlineStr"/>
      <c r="B745" s="2" t="inlineStr"/>
      <c r="C745" s="2" t="inlineStr"/>
      <c r="D745" s="2" t="inlineStr"/>
      <c r="E745" s="26" t="inlineStr">
        <is>
          <t>TOTAL Mão de Obra com Encargos Complementares:</t>
        </is>
      </c>
      <c r="F745" s="56" t="n"/>
      <c r="G745" s="65">
        <f>SUM(G744:G744)</f>
        <v/>
      </c>
    </row>
    <row r="746" ht="15" customHeight="1">
      <c r="A746" s="20" t="inlineStr">
        <is>
          <t>Serviço</t>
        </is>
      </c>
      <c r="B746" s="56" t="n"/>
      <c r="C746" s="21" t="inlineStr">
        <is>
          <t>FONTE</t>
        </is>
      </c>
      <c r="D746" s="21" t="inlineStr">
        <is>
          <t>UNID</t>
        </is>
      </c>
      <c r="E746" s="21" t="inlineStr">
        <is>
          <t>COEFICIENTE</t>
        </is>
      </c>
      <c r="F746" s="21" t="inlineStr">
        <is>
          <t>PREÇO UNITÁRIO</t>
        </is>
      </c>
      <c r="G746" s="21" t="inlineStr">
        <is>
          <t>TOTAL</t>
        </is>
      </c>
    </row>
    <row r="747" ht="38" customHeight="1">
      <c r="A747" s="22" t="inlineStr">
        <is>
          <t>89878</t>
        </is>
      </c>
      <c r="B747" s="23" t="inlineStr">
        <is>
          <t>CAMINHÃO BASCULANTE 18 M3, COM CAVALO MECÂNICO DE CAPACIDADE MÁXIMA DE TRAÇÃO COMBINADO DE 45000 KG, POTÊNCIA 330 CV, INCLUSIVE SEMIREBOQUE COM CAÇAMBA METÁLICA - DEPRECIAÇÃO. AF_12/2014</t>
        </is>
      </c>
      <c r="C747" s="22" t="inlineStr">
        <is>
          <t>SINAPI</t>
        </is>
      </c>
      <c r="D747" s="22" t="inlineStr">
        <is>
          <t>H</t>
        </is>
      </c>
      <c r="E747" s="63" t="n">
        <v>1</v>
      </c>
      <c r="F747" s="64">
        <f>'COMPOSICOES AUXILIARES'!G738</f>
        <v/>
      </c>
      <c r="G747" s="64">
        <f>TRUNC(TRUNC(E747,8)*F747,2)</f>
        <v/>
      </c>
      <c r="L747" t="n">
        <v>1</v>
      </c>
      <c r="M747" t="n">
        <v>42.2</v>
      </c>
      <c r="N747">
        <f>(M747-F747)</f>
        <v/>
      </c>
    </row>
    <row r="748" ht="46" customHeight="1">
      <c r="A748" s="22" t="inlineStr">
        <is>
          <t>89880</t>
        </is>
      </c>
      <c r="B748" s="23" t="inlineStr">
        <is>
          <t>CAMINHÃO BASCULANTE 18 M3, COM CAVALO MECÂNICO DE CAPACIDADE MÁXIMA DE TRAÇÃO COMBINADO DE 45000 KG, POTÊNCIA 330 CV, INCLUSIVE SEMIREBOQUE COM CAÇAMBA METÁLICA - IMPOSTOS E SEGUROS. AF_12/2014</t>
        </is>
      </c>
      <c r="C748" s="22" t="inlineStr">
        <is>
          <t>SINAPI</t>
        </is>
      </c>
      <c r="D748" s="22" t="inlineStr">
        <is>
          <t>H</t>
        </is>
      </c>
      <c r="E748" s="63" t="n">
        <v>1</v>
      </c>
      <c r="F748" s="64">
        <f>'COMPOSICOES AUXILIARES'!G738</f>
        <v/>
      </c>
      <c r="G748" s="64">
        <f>TRUNC(TRUNC(E748,8)*F748,2)</f>
        <v/>
      </c>
      <c r="L748" t="n">
        <v>1</v>
      </c>
      <c r="M748" t="n">
        <v>5.86</v>
      </c>
      <c r="N748">
        <f>(M748-F748)</f>
        <v/>
      </c>
    </row>
    <row r="749" ht="38" customHeight="1">
      <c r="A749" s="22" t="inlineStr">
        <is>
          <t>89879</t>
        </is>
      </c>
      <c r="B749" s="23" t="inlineStr">
        <is>
          <t>CAMINHÃO BASCULANTE 18 M3, COM CAVALO MECÂNICO DE CAPACIDADE MÁXIMA DE TRAÇÃO COMBINADO DE 45000 KG, POTÊNCIA 330 CV, INCLUSIVE SEMIREBOQUE COM CAÇAMBA METÁLICA - JUROS. AF_12/2014</t>
        </is>
      </c>
      <c r="C749" s="22" t="inlineStr">
        <is>
          <t>SINAPI</t>
        </is>
      </c>
      <c r="D749" s="22" t="inlineStr">
        <is>
          <t>H</t>
        </is>
      </c>
      <c r="E749" s="63" t="n">
        <v>1</v>
      </c>
      <c r="F749" s="64">
        <f>'COMPOSICOES AUXILIARES'!G738</f>
        <v/>
      </c>
      <c r="G749" s="64">
        <f>TRUNC(TRUNC(E749,8)*F749,2)</f>
        <v/>
      </c>
      <c r="L749" t="n">
        <v>1</v>
      </c>
      <c r="M749" t="n">
        <v>14.52</v>
      </c>
      <c r="N749">
        <f>(M749-F749)</f>
        <v/>
      </c>
    </row>
    <row r="750" ht="38" customHeight="1">
      <c r="A750" s="22" t="inlineStr">
        <is>
          <t>89881</t>
        </is>
      </c>
      <c r="B750" s="23" t="inlineStr">
        <is>
          <t>CAMINHÃO BASCULANTE 18 M3, COM CAVALO MECÂNICO DE CAPACIDADE MÁXIMA DE TRAÇÃO COMBINADO DE 45000 KG, POTÊNCIA 330 CV, INCLUSIVE SEMIREBOQUE COM CAÇAMBA METÁLICA - MANUTENÇÃO. AF_12/2014</t>
        </is>
      </c>
      <c r="C750" s="22" t="inlineStr">
        <is>
          <t>SINAPI</t>
        </is>
      </c>
      <c r="D750" s="22" t="inlineStr">
        <is>
          <t>H</t>
        </is>
      </c>
      <c r="E750" s="63" t="n">
        <v>1</v>
      </c>
      <c r="F750" s="64" t="n">
        <v>71.31</v>
      </c>
      <c r="G750" s="64">
        <f>TRUNC(TRUNC(E750,8)*F750,2)</f>
        <v/>
      </c>
      <c r="L750" t="n">
        <v>1</v>
      </c>
      <c r="M750" t="n">
        <v>71.31</v>
      </c>
      <c r="N750">
        <f>(M750-F750)</f>
        <v/>
      </c>
    </row>
    <row r="751" ht="46" customHeight="1">
      <c r="A751" s="22" t="inlineStr">
        <is>
          <t>89882</t>
        </is>
      </c>
      <c r="B751" s="23" t="inlineStr">
        <is>
          <t>CAMINHÃO BASCULANTE 18 M3, COM CAVALO MECÂNICO DE CAPACIDADE MÁXIMA DE TRAÇÃO COMBINADO DE 45000 KG, POTÊNCIA 330 CV, INCLUSIVE SEMIREBOQUE COM CAÇAMBA METÁLICA - MATERIAIS NA OPERAÇÃO. AF_12/2014</t>
        </is>
      </c>
      <c r="C751" s="22" t="inlineStr">
        <is>
          <t>SINAPI</t>
        </is>
      </c>
      <c r="D751" s="22" t="inlineStr">
        <is>
          <t>H</t>
        </is>
      </c>
      <c r="E751" s="63" t="n">
        <v>1</v>
      </c>
      <c r="F751" s="64" t="n">
        <v>204</v>
      </c>
      <c r="G751" s="64">
        <f>TRUNC(TRUNC(E751,8)*F751,2)</f>
        <v/>
      </c>
      <c r="L751" t="n">
        <v>1</v>
      </c>
      <c r="M751" t="n">
        <v>204</v>
      </c>
      <c r="N751">
        <f>(M751-F751)</f>
        <v/>
      </c>
    </row>
    <row r="752" ht="15" customHeight="1">
      <c r="A752" s="2" t="inlineStr"/>
      <c r="B752" s="2" t="inlineStr"/>
      <c r="C752" s="2" t="inlineStr"/>
      <c r="D752" s="2" t="inlineStr"/>
      <c r="E752" s="26" t="inlineStr">
        <is>
          <t>TOTAL Serviço:</t>
        </is>
      </c>
      <c r="F752" s="56" t="n"/>
      <c r="G752" s="65">
        <f>SUM(G747:G751)</f>
        <v/>
      </c>
    </row>
    <row r="753" ht="15" customHeight="1">
      <c r="A753" s="2" t="inlineStr"/>
      <c r="B753" s="2" t="inlineStr"/>
      <c r="C753" s="2" t="inlineStr"/>
      <c r="D753" s="2" t="inlineStr"/>
      <c r="E753" s="28" t="inlineStr">
        <is>
          <t>VALOR:</t>
        </is>
      </c>
      <c r="F753" s="56" t="n"/>
      <c r="G753" s="66">
        <f>SUM(G752,G745)</f>
        <v/>
      </c>
    </row>
    <row r="754" ht="15" customHeight="1">
      <c r="A754" s="2" t="inlineStr"/>
      <c r="B754" s="2" t="inlineStr"/>
      <c r="C754" s="2" t="inlineStr"/>
      <c r="D754" s="2" t="inlineStr"/>
      <c r="E754" s="28" t="inlineStr">
        <is>
          <t>VALOR BDI (23.08%):</t>
        </is>
      </c>
      <c r="F754" s="56" t="n"/>
      <c r="G754" s="66">
        <f>ROUNDDOWN(G753*BDI,2)</f>
        <v/>
      </c>
    </row>
    <row r="755" ht="15" customHeight="1">
      <c r="A755" s="2" t="inlineStr"/>
      <c r="B755" s="2" t="inlineStr"/>
      <c r="C755" s="2" t="inlineStr"/>
      <c r="D755" s="2" t="inlineStr"/>
      <c r="E755" s="28" t="inlineStr">
        <is>
          <t>VALOR COM BDI:</t>
        </is>
      </c>
      <c r="F755" s="56" t="n"/>
      <c r="G755" s="66">
        <f>G754 + G753</f>
        <v/>
      </c>
    </row>
    <row r="756" ht="10" customHeight="1">
      <c r="A756" s="2" t="inlineStr"/>
      <c r="B756" s="2" t="inlineStr"/>
      <c r="C756" s="2" t="inlineStr"/>
      <c r="D756" s="2" t="inlineStr"/>
      <c r="E756" s="18" t="inlineStr"/>
    </row>
    <row r="757" ht="20" customHeight="1">
      <c r="A757" s="19" t="inlineStr">
        <is>
          <t>​89878​ CAMINHÃO BASCULANTE 18 M3, COM CAVALO MECÂNICO DE CAPACIDADE MÁXIMA DE TRAÇÃO COMBINADO DE 45000 KG, POTÊNCIA 330 CV, INCLUSIVE SEMIREBOQUE COM CAÇAMBA METÁLICA - DEPRECIAÇÃO. AF_12/2014​ (H)</t>
        </is>
      </c>
      <c r="B757" s="55" t="n"/>
      <c r="C757" s="55" t="n"/>
      <c r="D757" s="55" t="n"/>
      <c r="E757" s="55" t="n"/>
      <c r="F757" s="55" t="n"/>
      <c r="G757" s="56" t="n"/>
    </row>
    <row r="758" ht="15" customHeight="1">
      <c r="A758" s="20" t="inlineStr">
        <is>
          <t>Equipamento</t>
        </is>
      </c>
      <c r="B758" s="56" t="n"/>
      <c r="C758" s="21" t="inlineStr">
        <is>
          <t>FONTE</t>
        </is>
      </c>
      <c r="D758" s="21" t="inlineStr">
        <is>
          <t>UNID</t>
        </is>
      </c>
      <c r="E758" s="21" t="inlineStr">
        <is>
          <t>COEFICIENTE</t>
        </is>
      </c>
      <c r="F758" s="21" t="inlineStr">
        <is>
          <t>PREÇO UNITÁRIO</t>
        </is>
      </c>
      <c r="G758" s="21" t="inlineStr">
        <is>
          <t>TOTAL</t>
        </is>
      </c>
    </row>
    <row r="759" ht="38" customHeight="1">
      <c r="A759" s="22" t="inlineStr">
        <is>
          <t>00037763</t>
        </is>
      </c>
      <c r="B759" s="23" t="inlineStr">
        <is>
          <t>CAVALO MECANICO TRACAO 4X2, PESO BRUTO TOTAL 16000 KG, CAPACIDADE MAXIMA DE TRACAO *45000* KG, DISTANCIA ENTRE EIXOS *3,56* M, POTENCIA *330* CV (INCLUI CABINE E CHASSI, NAO INCLUI SEMIRREBOQUE)</t>
        </is>
      </c>
      <c r="C759" s="22" t="inlineStr">
        <is>
          <t>SINAPI</t>
        </is>
      </c>
      <c r="D759" s="22" t="inlineStr">
        <is>
          <t>UN</t>
        </is>
      </c>
      <c r="E759" s="63" t="n">
        <v>3.42e-05</v>
      </c>
      <c r="F759" s="64" t="n">
        <v>741053.3</v>
      </c>
      <c r="G759" s="64">
        <f>TRUNC(TRUNC(E759,8)*F759,2)</f>
        <v/>
      </c>
      <c r="M759" t="n">
        <v>741053.3</v>
      </c>
      <c r="N759">
        <f>(M759-F759)</f>
        <v/>
      </c>
    </row>
    <row r="760" ht="29" customHeight="1">
      <c r="A760" s="22" t="inlineStr">
        <is>
          <t>00037744</t>
        </is>
      </c>
      <c r="B760" s="23" t="inlineStr">
        <is>
          <t>SEMIRREBOQUE COM TRES EIXOS EM TANDEM TIPO BASCULANTE COM CACAMBA METALICA 18 M3 (INCLUI MONTAGEM, NAO INCLUI CAVALO MECANICO)</t>
        </is>
      </c>
      <c r="C760" s="22" t="inlineStr">
        <is>
          <t>SINAPI</t>
        </is>
      </c>
      <c r="D760" s="22" t="inlineStr">
        <is>
          <t>UN</t>
        </is>
      </c>
      <c r="E760" s="63" t="n">
        <v>6.03e-05</v>
      </c>
      <c r="F760" s="64" t="n">
        <v>279656.7</v>
      </c>
      <c r="G760" s="64">
        <f>TRUNC(TRUNC(E760,8)*F760,2)</f>
        <v/>
      </c>
      <c r="M760" t="n">
        <v>279656.7</v>
      </c>
      <c r="N760">
        <f>(M760-F760)</f>
        <v/>
      </c>
    </row>
    <row r="761" ht="15" customHeight="1">
      <c r="A761" s="2" t="inlineStr"/>
      <c r="B761" s="2" t="inlineStr"/>
      <c r="C761" s="2" t="inlineStr"/>
      <c r="D761" s="2" t="inlineStr"/>
      <c r="E761" s="26" t="inlineStr">
        <is>
          <t>TOTAL Equipamento:</t>
        </is>
      </c>
      <c r="F761" s="56" t="n"/>
      <c r="G761" s="65">
        <f>SUM(G759:G760)</f>
        <v/>
      </c>
    </row>
    <row r="762" ht="15" customHeight="1">
      <c r="A762" s="2" t="inlineStr"/>
      <c r="B762" s="2" t="inlineStr"/>
      <c r="C762" s="2" t="inlineStr"/>
      <c r="D762" s="2" t="inlineStr"/>
      <c r="E762" s="28" t="inlineStr">
        <is>
          <t>VALOR:</t>
        </is>
      </c>
      <c r="F762" s="56" t="n"/>
      <c r="G762" s="66">
        <f>ROUND(SUM(G761),2)</f>
        <v/>
      </c>
    </row>
    <row r="763" ht="15" customHeight="1">
      <c r="A763" s="2" t="inlineStr"/>
      <c r="B763" s="2" t="inlineStr"/>
      <c r="C763" s="2" t="inlineStr"/>
      <c r="D763" s="2" t="inlineStr"/>
      <c r="E763" s="28" t="inlineStr">
        <is>
          <t>VALOR BDI (23.08%):</t>
        </is>
      </c>
      <c r="F763" s="56" t="n"/>
      <c r="G763" s="66">
        <f>ROUNDDOWN(G762*BDI,2)</f>
        <v/>
      </c>
    </row>
    <row r="764" ht="15" customHeight="1">
      <c r="A764" s="2" t="inlineStr"/>
      <c r="B764" s="2" t="inlineStr"/>
      <c r="C764" s="2" t="inlineStr"/>
      <c r="D764" s="2" t="inlineStr"/>
      <c r="E764" s="28" t="inlineStr">
        <is>
          <t>VALOR COM BDI:</t>
        </is>
      </c>
      <c r="F764" s="56" t="n"/>
      <c r="G764" s="66">
        <f>G763 + G762</f>
        <v/>
      </c>
    </row>
    <row r="765" ht="10" customHeight="1">
      <c r="A765" s="2" t="inlineStr"/>
      <c r="B765" s="2" t="inlineStr"/>
      <c r="C765" s="2" t="inlineStr"/>
      <c r="D765" s="2" t="inlineStr"/>
      <c r="E765" s="18" t="inlineStr"/>
    </row>
    <row r="766" ht="20" customHeight="1">
      <c r="A766" s="19" t="inlineStr">
        <is>
          <t>​89880​ CAMINHÃO BASCULANTE 18 M3, COM CAVALO MECÂNICO DE CAPACIDADE MÁXIMA DE TRAÇÃO COMBINADO DE 45000 KG, POTÊNCIA 330 CV, INCLUSIVE SEMIREBOQUE COM CAÇAMBA METÁLICA - IMPOSTOS E SEGUROS. AF_12/2014​ (H)</t>
        </is>
      </c>
      <c r="B766" s="55" t="n"/>
      <c r="C766" s="55" t="n"/>
      <c r="D766" s="55" t="n"/>
      <c r="E766" s="55" t="n"/>
      <c r="F766" s="55" t="n"/>
      <c r="G766" s="56" t="n"/>
    </row>
    <row r="767" ht="15" customHeight="1">
      <c r="A767" s="20" t="inlineStr">
        <is>
          <t>Equipamento</t>
        </is>
      </c>
      <c r="B767" s="56" t="n"/>
      <c r="C767" s="21" t="inlineStr">
        <is>
          <t>FONTE</t>
        </is>
      </c>
      <c r="D767" s="21" t="inlineStr">
        <is>
          <t>UNID</t>
        </is>
      </c>
      <c r="E767" s="21" t="inlineStr">
        <is>
          <t>COEFICIENTE</t>
        </is>
      </c>
      <c r="F767" s="21" t="inlineStr">
        <is>
          <t>PREÇO UNITÁRIO</t>
        </is>
      </c>
      <c r="G767" s="21" t="inlineStr">
        <is>
          <t>TOTAL</t>
        </is>
      </c>
    </row>
    <row r="768" ht="38" customHeight="1">
      <c r="A768" s="22" t="inlineStr">
        <is>
          <t>00037763</t>
        </is>
      </c>
      <c r="B768" s="23" t="inlineStr">
        <is>
          <t>CAVALO MECANICO TRACAO 4X2, PESO BRUTO TOTAL 16000 KG, CAPACIDADE MAXIMA DE TRACAO *45000* KG, DISTANCIA ENTRE EIXOS *3,56* M, POTENCIA *330* CV (INCLUI CABINE E CHASSI, NAO INCLUI SEMIRREBOQUE)</t>
        </is>
      </c>
      <c r="C768" s="22" t="inlineStr">
        <is>
          <t>SINAPI</t>
        </is>
      </c>
      <c r="D768" s="22" t="inlineStr">
        <is>
          <t>UN</t>
        </is>
      </c>
      <c r="E768" s="63" t="n">
        <v>5.7e-06</v>
      </c>
      <c r="F768" s="64" t="n">
        <v>741053.3</v>
      </c>
      <c r="G768" s="64">
        <f>TRUNC(TRUNC(E768,8)*F768,2)</f>
        <v/>
      </c>
      <c r="M768" t="n">
        <v>741053.3</v>
      </c>
      <c r="N768">
        <f>(M768-F768)</f>
        <v/>
      </c>
    </row>
    <row r="769" ht="29" customHeight="1">
      <c r="A769" s="22" t="inlineStr">
        <is>
          <t>00037744</t>
        </is>
      </c>
      <c r="B769" s="23" t="inlineStr">
        <is>
          <t>SEMIRREBOQUE COM TRES EIXOS EM TANDEM TIPO BASCULANTE COM CACAMBA METALICA 18 M3 (INCLUI MONTAGEM, NAO INCLUI CAVALO MECANICO)</t>
        </is>
      </c>
      <c r="C769" s="22" t="inlineStr">
        <is>
          <t>SINAPI</t>
        </is>
      </c>
      <c r="D769" s="22" t="inlineStr">
        <is>
          <t>UN</t>
        </is>
      </c>
      <c r="E769" s="63" t="n">
        <v>5.9e-06</v>
      </c>
      <c r="F769" s="64" t="n">
        <v>279656.7</v>
      </c>
      <c r="G769" s="64">
        <f>TRUNC(TRUNC(E769,8)*F769,2)</f>
        <v/>
      </c>
      <c r="M769" t="n">
        <v>279656.7</v>
      </c>
      <c r="N769">
        <f>(M769-F769)</f>
        <v/>
      </c>
    </row>
    <row r="770" ht="15" customHeight="1">
      <c r="A770" s="2" t="inlineStr"/>
      <c r="B770" s="2" t="inlineStr"/>
      <c r="C770" s="2" t="inlineStr"/>
      <c r="D770" s="2" t="inlineStr"/>
      <c r="E770" s="26" t="inlineStr">
        <is>
          <t>TOTAL Equipamento:</t>
        </is>
      </c>
      <c r="F770" s="56" t="n"/>
      <c r="G770" s="65">
        <f>SUM(G768:G769)</f>
        <v/>
      </c>
    </row>
    <row r="771" ht="15" customHeight="1">
      <c r="A771" s="2" t="inlineStr"/>
      <c r="B771" s="2" t="inlineStr"/>
      <c r="C771" s="2" t="inlineStr"/>
      <c r="D771" s="2" t="inlineStr"/>
      <c r="E771" s="28" t="inlineStr">
        <is>
          <t>VALOR:</t>
        </is>
      </c>
      <c r="F771" s="56" t="n"/>
      <c r="G771" s="66">
        <f>ROUND(SUM(G770),2)</f>
        <v/>
      </c>
    </row>
    <row r="772" ht="15" customHeight="1">
      <c r="A772" s="2" t="inlineStr"/>
      <c r="B772" s="2" t="inlineStr"/>
      <c r="C772" s="2" t="inlineStr"/>
      <c r="D772" s="2" t="inlineStr"/>
      <c r="E772" s="28" t="inlineStr">
        <is>
          <t>VALOR BDI (23.08%):</t>
        </is>
      </c>
      <c r="F772" s="56" t="n"/>
      <c r="G772" s="66">
        <f>ROUNDDOWN(G771*BDI,2)</f>
        <v/>
      </c>
    </row>
    <row r="773" ht="15" customHeight="1">
      <c r="A773" s="2" t="inlineStr"/>
      <c r="B773" s="2" t="inlineStr"/>
      <c r="C773" s="2" t="inlineStr"/>
      <c r="D773" s="2" t="inlineStr"/>
      <c r="E773" s="28" t="inlineStr">
        <is>
          <t>VALOR COM BDI:</t>
        </is>
      </c>
      <c r="F773" s="56" t="n"/>
      <c r="G773" s="66">
        <f>G772 + G771</f>
        <v/>
      </c>
    </row>
    <row r="774" ht="10" customHeight="1">
      <c r="A774" s="2" t="inlineStr"/>
      <c r="B774" s="2" t="inlineStr"/>
      <c r="C774" s="2" t="inlineStr"/>
      <c r="D774" s="2" t="inlineStr"/>
      <c r="E774" s="18" t="inlineStr"/>
    </row>
    <row r="775" ht="20" customHeight="1">
      <c r="A775" s="19" t="inlineStr">
        <is>
          <t>​89879​ CAMINHÃO BASCULANTE 18 M3, COM CAVALO MECÂNICO DE CAPACIDADE MÁXIMA DE TRAÇÃO COMBINADO DE 45000 KG, POTÊNCIA 330 CV, INCLUSIVE SEMIREBOQUE COM CAÇAMBA METÁLICA - JUROS. AF_12/2014​ (H)</t>
        </is>
      </c>
      <c r="B775" s="55" t="n"/>
      <c r="C775" s="55" t="n"/>
      <c r="D775" s="55" t="n"/>
      <c r="E775" s="55" t="n"/>
      <c r="F775" s="55" t="n"/>
      <c r="G775" s="56" t="n"/>
    </row>
    <row r="776" ht="15" customHeight="1">
      <c r="A776" s="20" t="inlineStr">
        <is>
          <t>Equipamento</t>
        </is>
      </c>
      <c r="B776" s="56" t="n"/>
      <c r="C776" s="21" t="inlineStr">
        <is>
          <t>FONTE</t>
        </is>
      </c>
      <c r="D776" s="21" t="inlineStr">
        <is>
          <t>UNID</t>
        </is>
      </c>
      <c r="E776" s="21" t="inlineStr">
        <is>
          <t>COEFICIENTE</t>
        </is>
      </c>
      <c r="F776" s="21" t="inlineStr">
        <is>
          <t>PREÇO UNITÁRIO</t>
        </is>
      </c>
      <c r="G776" s="21" t="inlineStr">
        <is>
          <t>TOTAL</t>
        </is>
      </c>
    </row>
    <row r="777" ht="38" customHeight="1">
      <c r="A777" s="22" t="inlineStr">
        <is>
          <t>00037763</t>
        </is>
      </c>
      <c r="B777" s="23" t="inlineStr">
        <is>
          <t>CAVALO MECANICO TRACAO 4X2, PESO BRUTO TOTAL 16000 KG, CAPACIDADE MAXIMA DE TRACAO *45000* KG, DISTANCIA ENTRE EIXOS *3,56* M, POTENCIA *330* CV (INCLUI CABINE E CHASSI, NAO INCLUI SEMIRREBOQUE)</t>
        </is>
      </c>
      <c r="C777" s="22" t="inlineStr">
        <is>
          <t>SINAPI</t>
        </is>
      </c>
      <c r="D777" s="22" t="inlineStr">
        <is>
          <t>UN</t>
        </is>
      </c>
      <c r="E777" s="63" t="n">
        <v>1.41e-05</v>
      </c>
      <c r="F777" s="64" t="n">
        <v>741053.3</v>
      </c>
      <c r="G777" s="64">
        <f>TRUNC(TRUNC(E777,8)*F777,2)</f>
        <v/>
      </c>
      <c r="M777" t="n">
        <v>741053.3</v>
      </c>
      <c r="N777">
        <f>(M777-F777)</f>
        <v/>
      </c>
    </row>
    <row r="778" ht="29" customHeight="1">
      <c r="A778" s="22" t="inlineStr">
        <is>
          <t>00037744</t>
        </is>
      </c>
      <c r="B778" s="23" t="inlineStr">
        <is>
          <t>SEMIRREBOQUE COM TRES EIXOS EM TANDEM TIPO BASCULANTE COM CACAMBA METALICA 18 M3 (INCLUI MONTAGEM, NAO INCLUI CAVALO MECANICO)</t>
        </is>
      </c>
      <c r="C778" s="22" t="inlineStr">
        <is>
          <t>SINAPI</t>
        </is>
      </c>
      <c r="D778" s="22" t="inlineStr">
        <is>
          <t>UN</t>
        </is>
      </c>
      <c r="E778" s="63" t="n">
        <v>1.46e-05</v>
      </c>
      <c r="F778" s="64" t="n">
        <v>279656.7</v>
      </c>
      <c r="G778" s="64">
        <f>TRUNC(TRUNC(E778,8)*F778,2)</f>
        <v/>
      </c>
      <c r="M778" t="n">
        <v>279656.7</v>
      </c>
      <c r="N778">
        <f>(M778-F778)</f>
        <v/>
      </c>
    </row>
    <row r="779" ht="15" customHeight="1">
      <c r="A779" s="2" t="inlineStr"/>
      <c r="B779" s="2" t="inlineStr"/>
      <c r="C779" s="2" t="inlineStr"/>
      <c r="D779" s="2" t="inlineStr"/>
      <c r="E779" s="26" t="inlineStr">
        <is>
          <t>TOTAL Equipamento:</t>
        </is>
      </c>
      <c r="F779" s="56" t="n"/>
      <c r="G779" s="65">
        <f>SUM(G777:G778)</f>
        <v/>
      </c>
    </row>
    <row r="780" ht="15" customHeight="1">
      <c r="A780" s="2" t="inlineStr"/>
      <c r="B780" s="2" t="inlineStr"/>
      <c r="C780" s="2" t="inlineStr"/>
      <c r="D780" s="2" t="inlineStr"/>
      <c r="E780" s="28" t="inlineStr">
        <is>
          <t>VALOR:</t>
        </is>
      </c>
      <c r="F780" s="56" t="n"/>
      <c r="G780" s="66">
        <f>ROUND(SUM(G779),2)</f>
        <v/>
      </c>
    </row>
    <row r="781" ht="15" customHeight="1">
      <c r="A781" s="2" t="inlineStr"/>
      <c r="B781" s="2" t="inlineStr"/>
      <c r="C781" s="2" t="inlineStr"/>
      <c r="D781" s="2" t="inlineStr"/>
      <c r="E781" s="28" t="inlineStr">
        <is>
          <t>VALOR BDI (23.08%):</t>
        </is>
      </c>
      <c r="F781" s="56" t="n"/>
      <c r="G781" s="66">
        <f>ROUNDDOWN(G780*BDI,2)</f>
        <v/>
      </c>
    </row>
    <row r="782" ht="15" customHeight="1">
      <c r="A782" s="2" t="inlineStr"/>
      <c r="B782" s="2" t="inlineStr"/>
      <c r="C782" s="2" t="inlineStr"/>
      <c r="D782" s="2" t="inlineStr"/>
      <c r="E782" s="28" t="inlineStr">
        <is>
          <t>VALOR COM BDI:</t>
        </is>
      </c>
      <c r="F782" s="56" t="n"/>
      <c r="G782" s="66">
        <f>G781 + G780</f>
        <v/>
      </c>
    </row>
    <row r="783" ht="10" customHeight="1">
      <c r="A783" s="2" t="inlineStr"/>
      <c r="B783" s="2" t="inlineStr"/>
      <c r="C783" s="2" t="inlineStr"/>
      <c r="D783" s="2" t="inlineStr"/>
      <c r="E783" s="18" t="inlineStr"/>
    </row>
    <row r="784" ht="20" customHeight="1">
      <c r="A784" s="19" t="inlineStr">
        <is>
          <t>​89881​ CAMINHÃO BASCULANTE 18 M3, COM CAVALO MECÂNICO DE CAPACIDADE MÁXIMA DE TRAÇÃO COMBINADO DE 45000 KG, POTÊNCIA 330 CV, INCLUSIVE SEMIREBOQUE COM CAÇAMBA METÁLICA - MANUTENÇÃO. AF_12/2014​ (H)</t>
        </is>
      </c>
      <c r="B784" s="55" t="n"/>
      <c r="C784" s="55" t="n"/>
      <c r="D784" s="55" t="n"/>
      <c r="E784" s="55" t="n"/>
      <c r="F784" s="55" t="n"/>
      <c r="G784" s="56" t="n"/>
    </row>
    <row r="785" ht="15" customHeight="1">
      <c r="A785" s="20" t="inlineStr">
        <is>
          <t>Equipamento</t>
        </is>
      </c>
      <c r="B785" s="56" t="n"/>
      <c r="C785" s="21" t="inlineStr">
        <is>
          <t>FONTE</t>
        </is>
      </c>
      <c r="D785" s="21" t="inlineStr">
        <is>
          <t>UNID</t>
        </is>
      </c>
      <c r="E785" s="21" t="inlineStr">
        <is>
          <t>COEFICIENTE</t>
        </is>
      </c>
      <c r="F785" s="21" t="inlineStr">
        <is>
          <t>PREÇO UNITÁRIO</t>
        </is>
      </c>
      <c r="G785" s="21" t="inlineStr">
        <is>
          <t>TOTAL</t>
        </is>
      </c>
    </row>
    <row r="786" ht="38" customHeight="1">
      <c r="A786" s="22" t="inlineStr">
        <is>
          <t>00037763</t>
        </is>
      </c>
      <c r="B786" s="23" t="inlineStr">
        <is>
          <t>CAVALO MECANICO TRACAO 4X2, PESO BRUTO TOTAL 16000 KG, CAPACIDADE MAXIMA DE TRACAO *45000* KG, DISTANCIA ENTRE EIXOS *3,56* M, POTENCIA *330* CV (INCLUI CABINE E CHASSI, NAO INCLUI SEMIRREBOQUE)</t>
        </is>
      </c>
      <c r="C786" s="22" t="inlineStr">
        <is>
          <t>SINAPI</t>
        </is>
      </c>
      <c r="D786" s="22" t="inlineStr">
        <is>
          <t>UN</t>
        </is>
      </c>
      <c r="E786" s="63" t="n">
        <v>6.42e-05</v>
      </c>
      <c r="F786" s="64" t="n">
        <v>741053.3</v>
      </c>
      <c r="G786" s="64">
        <f>TRUNC(TRUNC(E786,8)*F786,2)</f>
        <v/>
      </c>
      <c r="M786" t="n">
        <v>741053.3</v>
      </c>
      <c r="N786">
        <f>(M786-F786)</f>
        <v/>
      </c>
    </row>
    <row r="787" ht="29" customHeight="1">
      <c r="A787" s="22" t="inlineStr">
        <is>
          <t>00037744</t>
        </is>
      </c>
      <c r="B787" s="23" t="inlineStr">
        <is>
          <t>SEMIRREBOQUE COM TRES EIXOS EM TANDEM TIPO BASCULANTE COM CACAMBA METALICA 18 M3 (INCLUI MONTAGEM, NAO INCLUI CAVALO MECANICO)</t>
        </is>
      </c>
      <c r="C787" s="22" t="inlineStr">
        <is>
          <t>SINAPI</t>
        </is>
      </c>
      <c r="D787" s="22" t="inlineStr">
        <is>
          <t>UN</t>
        </is>
      </c>
      <c r="E787" s="63" t="n">
        <v>8.49e-05</v>
      </c>
      <c r="F787" s="64" t="n">
        <v>279656.7</v>
      </c>
      <c r="G787" s="64">
        <f>TRUNC(TRUNC(E787,8)*F787,2)</f>
        <v/>
      </c>
      <c r="M787" t="n">
        <v>279656.7</v>
      </c>
      <c r="N787">
        <f>(M787-F787)</f>
        <v/>
      </c>
    </row>
    <row r="788" ht="15" customHeight="1">
      <c r="A788" s="2" t="inlineStr"/>
      <c r="B788" s="2" t="inlineStr"/>
      <c r="C788" s="2" t="inlineStr"/>
      <c r="D788" s="2" t="inlineStr"/>
      <c r="E788" s="26" t="inlineStr">
        <is>
          <t>TOTAL Equipamento:</t>
        </is>
      </c>
      <c r="F788" s="56" t="n"/>
      <c r="G788" s="65">
        <f>SUM(G786:G787)</f>
        <v/>
      </c>
    </row>
    <row r="789" ht="15" customHeight="1">
      <c r="A789" s="2" t="inlineStr"/>
      <c r="B789" s="2" t="inlineStr"/>
      <c r="C789" s="2" t="inlineStr"/>
      <c r="D789" s="2" t="inlineStr"/>
      <c r="E789" s="28" t="inlineStr">
        <is>
          <t>VALOR:</t>
        </is>
      </c>
      <c r="F789" s="56" t="n"/>
      <c r="G789" s="66">
        <f>ROUND(SUM(G788),2)</f>
        <v/>
      </c>
    </row>
    <row r="790" ht="15" customHeight="1">
      <c r="A790" s="2" t="inlineStr"/>
      <c r="B790" s="2" t="inlineStr"/>
      <c r="C790" s="2" t="inlineStr"/>
      <c r="D790" s="2" t="inlineStr"/>
      <c r="E790" s="28" t="inlineStr">
        <is>
          <t>VALOR BDI (23.08%):</t>
        </is>
      </c>
      <c r="F790" s="56" t="n"/>
      <c r="G790" s="66">
        <f>ROUNDDOWN(G789*BDI,2)</f>
        <v/>
      </c>
    </row>
    <row r="791" ht="15" customHeight="1">
      <c r="A791" s="2" t="inlineStr"/>
      <c r="B791" s="2" t="inlineStr"/>
      <c r="C791" s="2" t="inlineStr"/>
      <c r="D791" s="2" t="inlineStr"/>
      <c r="E791" s="28" t="inlineStr">
        <is>
          <t>VALOR COM BDI:</t>
        </is>
      </c>
      <c r="F791" s="56" t="n"/>
      <c r="G791" s="66">
        <f>G790 + G789</f>
        <v/>
      </c>
    </row>
    <row r="792" ht="10" customHeight="1">
      <c r="A792" s="2" t="inlineStr"/>
      <c r="B792" s="2" t="inlineStr"/>
      <c r="C792" s="2" t="inlineStr"/>
      <c r="D792" s="2" t="inlineStr"/>
      <c r="E792" s="18" t="inlineStr"/>
    </row>
    <row r="793" ht="20" customHeight="1">
      <c r="A793" s="19" t="inlineStr">
        <is>
          <t>​89882​ CAMINHÃO BASCULANTE 18 M3, COM CAVALO MECÂNICO DE CAPACIDADE MÁXIMA DE TRAÇÃO COMBINADO DE 45000 KG, POTÊNCIA 330 CV, INCLUSIVE SEMIREBOQUE COM CAÇAMBA METÁLICA - MATERIAIS NA OPERAÇÃO. AF_12/2014​ (H)</t>
        </is>
      </c>
      <c r="B793" s="55" t="n"/>
      <c r="C793" s="55" t="n"/>
      <c r="D793" s="55" t="n"/>
      <c r="E793" s="55" t="n"/>
      <c r="F793" s="55" t="n"/>
      <c r="G793" s="56" t="n"/>
    </row>
    <row r="794" ht="15" customHeight="1">
      <c r="A794" s="20" t="inlineStr">
        <is>
          <t>Material</t>
        </is>
      </c>
      <c r="B794" s="56" t="n"/>
      <c r="C794" s="21" t="inlineStr">
        <is>
          <t>FONTE</t>
        </is>
      </c>
      <c r="D794" s="21" t="inlineStr">
        <is>
          <t>UNID</t>
        </is>
      </c>
      <c r="E794" s="21" t="inlineStr">
        <is>
          <t>COEFICIENTE</t>
        </is>
      </c>
      <c r="F794" s="21" t="inlineStr">
        <is>
          <t>PREÇO UNITÁRIO</t>
        </is>
      </c>
      <c r="G794" s="21" t="inlineStr">
        <is>
          <t>TOTAL</t>
        </is>
      </c>
    </row>
    <row r="795" ht="21" customHeight="1">
      <c r="A795" s="22" t="inlineStr">
        <is>
          <t>00004221</t>
        </is>
      </c>
      <c r="B795" s="23" t="inlineStr">
        <is>
          <t>OLEO DIESEL COMBUSTIVEL COMUM METROPOLITANO S-10 OU S-500</t>
        </is>
      </c>
      <c r="C795" s="22" t="inlineStr">
        <is>
          <t>SINAPI</t>
        </is>
      </c>
      <c r="D795" s="22" t="inlineStr">
        <is>
          <t>L</t>
        </is>
      </c>
      <c r="E795" s="63" t="n">
        <v>34</v>
      </c>
      <c r="F795" s="64" t="n">
        <v>6</v>
      </c>
      <c r="G795" s="64">
        <f>TRUNC(TRUNC(E795,8)*F795,2)</f>
        <v/>
      </c>
      <c r="L795" t="n">
        <v>34</v>
      </c>
      <c r="M795" t="n">
        <v>6</v>
      </c>
      <c r="N795">
        <f>(M795-F795)</f>
        <v/>
      </c>
    </row>
    <row r="796" ht="15" customHeight="1">
      <c r="A796" s="2" t="inlineStr"/>
      <c r="B796" s="2" t="inlineStr"/>
      <c r="C796" s="2" t="inlineStr"/>
      <c r="D796" s="2" t="inlineStr"/>
      <c r="E796" s="26" t="inlineStr">
        <is>
          <t>TOTAL Material:</t>
        </is>
      </c>
      <c r="F796" s="56" t="n"/>
      <c r="G796" s="65">
        <f>SUM(G795:G795)</f>
        <v/>
      </c>
    </row>
    <row r="797" ht="15" customHeight="1">
      <c r="A797" s="2" t="inlineStr"/>
      <c r="B797" s="2" t="inlineStr"/>
      <c r="C797" s="2" t="inlineStr"/>
      <c r="D797" s="2" t="inlineStr"/>
      <c r="E797" s="28" t="inlineStr">
        <is>
          <t>VALOR:</t>
        </is>
      </c>
      <c r="F797" s="56" t="n"/>
      <c r="G797" s="66">
        <f>ROUND(SUM(G796),2)</f>
        <v/>
      </c>
    </row>
    <row r="798" ht="15" customHeight="1">
      <c r="A798" s="2" t="inlineStr"/>
      <c r="B798" s="2" t="inlineStr"/>
      <c r="C798" s="2" t="inlineStr"/>
      <c r="D798" s="2" t="inlineStr"/>
      <c r="E798" s="28" t="inlineStr">
        <is>
          <t>VALOR BDI (23.08%):</t>
        </is>
      </c>
      <c r="F798" s="56" t="n"/>
      <c r="G798" s="66">
        <f>ROUNDDOWN(G797*BDI,2)</f>
        <v/>
      </c>
    </row>
    <row r="799" ht="15" customHeight="1">
      <c r="A799" s="2" t="inlineStr"/>
      <c r="B799" s="2" t="inlineStr"/>
      <c r="C799" s="2" t="inlineStr"/>
      <c r="D799" s="2" t="inlineStr"/>
      <c r="E799" s="28" t="inlineStr">
        <is>
          <t>VALOR COM BDI:</t>
        </is>
      </c>
      <c r="F799" s="56" t="n"/>
      <c r="G799" s="66">
        <f>G798 + G797</f>
        <v/>
      </c>
    </row>
    <row r="800" ht="10" customHeight="1">
      <c r="A800" s="2" t="inlineStr"/>
      <c r="B800" s="2" t="inlineStr"/>
      <c r="C800" s="2" t="inlineStr"/>
      <c r="D800" s="2" t="inlineStr"/>
      <c r="E800" s="18" t="inlineStr"/>
    </row>
    <row r="801" ht="20" customHeight="1">
      <c r="A801" s="19" t="inlineStr">
        <is>
          <t>​I0690​ CAMINHÃO BASCULANTE 6 M3 (CHP)​ (H)</t>
        </is>
      </c>
      <c r="B801" s="55" t="n"/>
      <c r="C801" s="55" t="n"/>
      <c r="D801" s="55" t="n"/>
      <c r="E801" s="55" t="n"/>
      <c r="F801" s="55" t="n"/>
      <c r="G801" s="56" t="n"/>
    </row>
    <row r="802" ht="15" customHeight="1">
      <c r="A802" s="20" t="inlineStr">
        <is>
          <t>Geral</t>
        </is>
      </c>
      <c r="B802" s="56" t="n"/>
      <c r="C802" s="21" t="inlineStr">
        <is>
          <t>FONTE</t>
        </is>
      </c>
      <c r="D802" s="21" t="inlineStr">
        <is>
          <t>UNID</t>
        </is>
      </c>
      <c r="E802" s="21" t="inlineStr">
        <is>
          <t>COEFICIENTE</t>
        </is>
      </c>
      <c r="F802" s="21">
        <f>G677</f>
        <v/>
      </c>
      <c r="G802" s="21" t="inlineStr">
        <is>
          <t>TOTAL</t>
        </is>
      </c>
    </row>
    <row r="803" ht="21" customHeight="1">
      <c r="A803" s="22" t="inlineStr">
        <is>
          <t>I2722</t>
        </is>
      </c>
      <c r="B803" s="23" t="inlineStr">
        <is>
          <t>MÃO DE OBRA DE OPERAÇÃO DO CAMINHÃO BASCULANTE 6M3</t>
        </is>
      </c>
      <c r="C803" s="22" t="inlineStr">
        <is>
          <t>SEINFRA</t>
        </is>
      </c>
      <c r="D803" s="22" t="inlineStr">
        <is>
          <t>H</t>
        </is>
      </c>
      <c r="E803" s="63" t="n">
        <v>1</v>
      </c>
      <c r="F803" s="67">
        <f>ROUND(M803*FATOR, 2)</f>
        <v/>
      </c>
      <c r="G803" s="67">
        <f>ROUND(ROUND(E803,8)*F803,4)</f>
        <v/>
      </c>
      <c r="L803" t="n">
        <v>1</v>
      </c>
      <c r="M803" t="n">
        <v>27.46</v>
      </c>
      <c r="N803">
        <f>(M803-F803)</f>
        <v/>
      </c>
    </row>
    <row r="804" ht="15" customHeight="1">
      <c r="A804" s="22" t="inlineStr">
        <is>
          <t>I2721</t>
        </is>
      </c>
      <c r="B804" s="23" t="inlineStr">
        <is>
          <t>MATERIAL DE OPERAÇÃO DO CAMINHÃO BASCULANTE 6M3</t>
        </is>
      </c>
      <c r="C804" s="22" t="inlineStr">
        <is>
          <t>SEINFRA</t>
        </is>
      </c>
      <c r="D804" s="22" t="inlineStr">
        <is>
          <t>H</t>
        </is>
      </c>
      <c r="E804" s="63" t="n">
        <v>1</v>
      </c>
      <c r="F804" s="67">
        <f>ROUND(M804*FATOR, 2)</f>
        <v/>
      </c>
      <c r="G804" s="67">
        <f>ROUND(ROUND(E804,8)*F804,4)</f>
        <v/>
      </c>
      <c r="L804" t="n">
        <v>1</v>
      </c>
      <c r="M804" t="n">
        <v>67.864</v>
      </c>
      <c r="N804">
        <f>(M804-F804)</f>
        <v/>
      </c>
    </row>
    <row r="805" ht="15" customHeight="1">
      <c r="A805" s="22" t="inlineStr">
        <is>
          <t>I2701</t>
        </is>
      </c>
      <c r="B805" s="23" t="inlineStr">
        <is>
          <t>DEPRECIAÇÃO</t>
        </is>
      </c>
      <c r="C805" s="22" t="inlineStr">
        <is>
          <t>SEINFRA</t>
        </is>
      </c>
      <c r="D805" s="22" t="inlineStr">
        <is>
          <t>H</t>
        </is>
      </c>
      <c r="E805" s="63" t="n">
        <v>28.6648</v>
      </c>
      <c r="F805" s="67">
        <f>'COMPOSICOES AUXILIARES'!G677</f>
        <v/>
      </c>
      <c r="G805" s="67">
        <f>ROUND(ROUND(E805,8)*F805,4)</f>
        <v/>
      </c>
      <c r="L805" t="n">
        <v>28.6648</v>
      </c>
      <c r="M805" t="n">
        <v>1</v>
      </c>
      <c r="N805">
        <f>(M805-F805)</f>
        <v/>
      </c>
    </row>
    <row r="806" ht="15" customHeight="1">
      <c r="A806" s="22" t="inlineStr">
        <is>
          <t>I2702</t>
        </is>
      </c>
      <c r="B806" s="23" t="inlineStr">
        <is>
          <t>JUROS</t>
        </is>
      </c>
      <c r="C806" s="22" t="inlineStr">
        <is>
          <t>SEINFRA</t>
        </is>
      </c>
      <c r="D806" s="22" t="inlineStr">
        <is>
          <t>H</t>
        </is>
      </c>
      <c r="E806" s="63" t="n">
        <v>9.6744</v>
      </c>
      <c r="F806" s="67">
        <f>'COMPOSICOES AUXILIARES'!G677</f>
        <v/>
      </c>
      <c r="G806" s="67">
        <f>ROUND(ROUND(E806,8)*F806,4)</f>
        <v/>
      </c>
      <c r="L806" t="n">
        <v>9.6744</v>
      </c>
      <c r="M806" t="n">
        <v>1</v>
      </c>
      <c r="N806">
        <f>(M806-F806)</f>
        <v/>
      </c>
    </row>
    <row r="807" ht="15" customHeight="1">
      <c r="A807" s="22" t="inlineStr">
        <is>
          <t>I2703</t>
        </is>
      </c>
      <c r="B807" s="23" t="inlineStr">
        <is>
          <t>MANUTENÇÃO</t>
        </is>
      </c>
      <c r="C807" s="22" t="inlineStr">
        <is>
          <t>SEINFRA</t>
        </is>
      </c>
      <c r="D807" s="22" t="inlineStr">
        <is>
          <t>H</t>
        </is>
      </c>
      <c r="E807" s="63" t="n">
        <v>42.9971</v>
      </c>
      <c r="F807" s="67">
        <f>'COMPOSICOES AUXILIARES'!G677</f>
        <v/>
      </c>
      <c r="G807" s="67">
        <f>ROUND(ROUND(E807,8)*F807,4)</f>
        <v/>
      </c>
      <c r="L807" t="n">
        <v>42.9971</v>
      </c>
      <c r="M807" t="n">
        <v>1</v>
      </c>
      <c r="N807">
        <f>(M807-F807)</f>
        <v/>
      </c>
    </row>
    <row r="808" ht="15" customHeight="1">
      <c r="A808" s="2" t="inlineStr"/>
      <c r="B808" s="2" t="inlineStr"/>
      <c r="C808" s="2" t="inlineStr"/>
      <c r="D808" s="2" t="inlineStr"/>
      <c r="E808" s="26" t="inlineStr">
        <is>
          <t>TOTAL Geral:</t>
        </is>
      </c>
      <c r="F808" s="56" t="n"/>
      <c r="G808" s="68">
        <f>SUM(G803:G807)</f>
        <v/>
      </c>
    </row>
    <row r="809" ht="15" customHeight="1">
      <c r="A809" s="2" t="inlineStr"/>
      <c r="B809" s="2" t="inlineStr"/>
      <c r="C809" s="2" t="inlineStr"/>
      <c r="D809" s="2" t="inlineStr"/>
      <c r="E809" s="28" t="inlineStr">
        <is>
          <t>VALOR:</t>
        </is>
      </c>
      <c r="F809" s="56" t="n"/>
      <c r="G809" s="66">
        <f>SUM(G808)</f>
        <v/>
      </c>
    </row>
    <row r="810" ht="15" customHeight="1">
      <c r="A810" s="2" t="inlineStr"/>
      <c r="B810" s="2" t="inlineStr"/>
      <c r="C810" s="2" t="inlineStr"/>
      <c r="D810" s="2" t="inlineStr"/>
      <c r="E810" s="28" t="inlineStr">
        <is>
          <t>VALOR BDI (23.08%):</t>
        </is>
      </c>
      <c r="F810" s="56" t="n"/>
      <c r="G810" s="66">
        <f>ROUNDDOWN(G809*BDI,2)</f>
        <v/>
      </c>
    </row>
    <row r="811" ht="15" customHeight="1">
      <c r="A811" s="2" t="inlineStr"/>
      <c r="B811" s="2" t="inlineStr"/>
      <c r="C811" s="2" t="inlineStr"/>
      <c r="D811" s="2" t="inlineStr"/>
      <c r="E811" s="28" t="inlineStr">
        <is>
          <t>VALOR COM BDI:</t>
        </is>
      </c>
      <c r="F811" s="56" t="n"/>
      <c r="G811" s="66">
        <f>G810 + G809</f>
        <v/>
      </c>
    </row>
    <row r="812" ht="10" customHeight="1">
      <c r="A812" s="2" t="inlineStr"/>
      <c r="B812" s="2" t="inlineStr"/>
      <c r="C812" s="2" t="inlineStr"/>
      <c r="D812" s="2" t="inlineStr"/>
      <c r="E812" s="18" t="inlineStr"/>
    </row>
    <row r="813" ht="20" customHeight="1">
      <c r="A813" s="19" t="inlineStr">
        <is>
          <t>​I0705​ CAMINHÃO COMERC. EQUIP. C/GUINDASTE (CHP)​ (H)</t>
        </is>
      </c>
      <c r="B813" s="55" t="n"/>
      <c r="C813" s="55" t="n"/>
      <c r="D813" s="55" t="n"/>
      <c r="E813" s="55" t="n"/>
      <c r="F813" s="55" t="n"/>
      <c r="G813" s="56" t="n"/>
    </row>
    <row r="814" ht="15" customHeight="1">
      <c r="A814" s="20" t="inlineStr">
        <is>
          <t>Geral</t>
        </is>
      </c>
      <c r="B814" s="56" t="n"/>
      <c r="C814" s="21" t="inlineStr">
        <is>
          <t>FONTE</t>
        </is>
      </c>
      <c r="D814" s="21" t="inlineStr">
        <is>
          <t>UNID</t>
        </is>
      </c>
      <c r="E814" s="21" t="inlineStr">
        <is>
          <t>COEFICIENTE</t>
        </is>
      </c>
      <c r="F814" s="21">
        <f>G677</f>
        <v/>
      </c>
      <c r="G814" s="21" t="inlineStr">
        <is>
          <t>TOTAL</t>
        </is>
      </c>
    </row>
    <row r="815" ht="21" customHeight="1">
      <c r="A815" s="22" t="inlineStr">
        <is>
          <t>I2734</t>
        </is>
      </c>
      <c r="B815" s="23" t="inlineStr">
        <is>
          <t>MÃO DE OBRA DE OPERAÇÃO DO CAMINHÃO COMERC. EQUIP. C/ GUINDAUTO</t>
        </is>
      </c>
      <c r="C815" s="22" t="inlineStr">
        <is>
          <t>SEINFRA</t>
        </is>
      </c>
      <c r="D815" s="22" t="inlineStr">
        <is>
          <t>H</t>
        </is>
      </c>
      <c r="E815" s="63" t="n">
        <v>1</v>
      </c>
      <c r="F815" s="67">
        <f>ROUND(M815*FATOR, 2)</f>
        <v/>
      </c>
      <c r="G815" s="67">
        <f>ROUND(ROUND(E815,8)*F815,4)</f>
        <v/>
      </c>
      <c r="L815" t="n">
        <v>1</v>
      </c>
      <c r="M815" t="n">
        <v>27.46</v>
      </c>
      <c r="N815">
        <f>(M815-F815)</f>
        <v/>
      </c>
    </row>
    <row r="816" ht="21" customHeight="1">
      <c r="A816" s="22" t="inlineStr">
        <is>
          <t>I2733</t>
        </is>
      </c>
      <c r="B816" s="23" t="inlineStr">
        <is>
          <t>MATERIAL DE OPERAÇÃO DO CAMINHÃO COMERC. EQUIP. C/ GUINDAUTO</t>
        </is>
      </c>
      <c r="C816" s="22" t="inlineStr">
        <is>
          <t>SEINFRA</t>
        </is>
      </c>
      <c r="D816" s="22" t="inlineStr">
        <is>
          <t>H</t>
        </is>
      </c>
      <c r="E816" s="63" t="n">
        <v>1</v>
      </c>
      <c r="F816" s="67">
        <f>ROUND(M816*FATOR, 2)</f>
        <v/>
      </c>
      <c r="G816" s="67">
        <f>ROUND(ROUND(E816,8)*F816,4)</f>
        <v/>
      </c>
      <c r="L816" t="n">
        <v>1</v>
      </c>
      <c r="M816" t="n">
        <v>67.864</v>
      </c>
      <c r="N816">
        <f>(M816-F816)</f>
        <v/>
      </c>
    </row>
    <row r="817" ht="15" customHeight="1">
      <c r="A817" s="22" t="inlineStr">
        <is>
          <t>I2701</t>
        </is>
      </c>
      <c r="B817" s="23" t="inlineStr">
        <is>
          <t>DEPRECIAÇÃO</t>
        </is>
      </c>
      <c r="C817" s="22" t="inlineStr">
        <is>
          <t>SEINFRA</t>
        </is>
      </c>
      <c r="D817" s="22" t="inlineStr">
        <is>
          <t>H</t>
        </is>
      </c>
      <c r="E817" s="63" t="n">
        <v>26.5707</v>
      </c>
      <c r="F817" s="67">
        <f>'COMPOSICOES AUXILIARES'!G677</f>
        <v/>
      </c>
      <c r="G817" s="67">
        <f>ROUND(ROUND(E817,8)*F817,4)</f>
        <v/>
      </c>
      <c r="L817" t="n">
        <v>26.5707</v>
      </c>
      <c r="M817" t="n">
        <v>1</v>
      </c>
      <c r="N817">
        <f>(M817-F817)</f>
        <v/>
      </c>
    </row>
    <row r="818" ht="15" customHeight="1">
      <c r="A818" s="22" t="inlineStr">
        <is>
          <t>I2702</t>
        </is>
      </c>
      <c r="B818" s="23" t="inlineStr">
        <is>
          <t>JUROS</t>
        </is>
      </c>
      <c r="C818" s="22" t="inlineStr">
        <is>
          <t>SEINFRA</t>
        </is>
      </c>
      <c r="D818" s="22" t="inlineStr">
        <is>
          <t>H</t>
        </is>
      </c>
      <c r="E818" s="63" t="n">
        <v>10.9604</v>
      </c>
      <c r="F818" s="67">
        <f>'COMPOSICOES AUXILIARES'!G677</f>
        <v/>
      </c>
      <c r="G818" s="67">
        <f>ROUND(ROUND(E818,8)*F818,4)</f>
        <v/>
      </c>
      <c r="L818" t="n">
        <v>10.9604</v>
      </c>
      <c r="M818" t="n">
        <v>1</v>
      </c>
      <c r="N818">
        <f>(M818-F818)</f>
        <v/>
      </c>
    </row>
    <row r="819" ht="15" customHeight="1">
      <c r="A819" s="22" t="inlineStr">
        <is>
          <t>I2703</t>
        </is>
      </c>
      <c r="B819" s="23" t="inlineStr">
        <is>
          <t>MANUTENÇÃO</t>
        </is>
      </c>
      <c r="C819" s="22" t="inlineStr">
        <is>
          <t>SEINFRA</t>
        </is>
      </c>
      <c r="D819" s="22" t="inlineStr">
        <is>
          <t>H</t>
        </is>
      </c>
      <c r="E819" s="63" t="n">
        <v>39.8561</v>
      </c>
      <c r="F819" s="67">
        <f>'COMPOSICOES AUXILIARES'!G677</f>
        <v/>
      </c>
      <c r="G819" s="67">
        <f>ROUND(ROUND(E819,8)*F819,4)</f>
        <v/>
      </c>
      <c r="L819" t="n">
        <v>39.8561</v>
      </c>
      <c r="M819" t="n">
        <v>1</v>
      </c>
      <c r="N819">
        <f>(M819-F819)</f>
        <v/>
      </c>
    </row>
    <row r="820" ht="15" customHeight="1">
      <c r="A820" s="2" t="inlineStr"/>
      <c r="B820" s="2" t="inlineStr"/>
      <c r="C820" s="2" t="inlineStr"/>
      <c r="D820" s="2" t="inlineStr"/>
      <c r="E820" s="26" t="inlineStr">
        <is>
          <t>TOTAL Geral:</t>
        </is>
      </c>
      <c r="F820" s="56" t="n"/>
      <c r="G820" s="68">
        <f>SUM(G815:G819)</f>
        <v/>
      </c>
    </row>
    <row r="821" ht="15" customHeight="1">
      <c r="A821" s="2" t="inlineStr"/>
      <c r="B821" s="2" t="inlineStr"/>
      <c r="C821" s="2" t="inlineStr"/>
      <c r="D821" s="2" t="inlineStr"/>
      <c r="E821" s="28" t="inlineStr">
        <is>
          <t>VALOR:</t>
        </is>
      </c>
      <c r="F821" s="56" t="n"/>
      <c r="G821" s="66">
        <f>SUM(G820)</f>
        <v/>
      </c>
    </row>
    <row r="822" ht="15" customHeight="1">
      <c r="A822" s="2" t="inlineStr"/>
      <c r="B822" s="2" t="inlineStr"/>
      <c r="C822" s="2" t="inlineStr"/>
      <c r="D822" s="2" t="inlineStr"/>
      <c r="E822" s="28" t="inlineStr">
        <is>
          <t>VALOR BDI (23.08%):</t>
        </is>
      </c>
      <c r="F822" s="56" t="n"/>
      <c r="G822" s="66">
        <f>ROUNDDOWN(G821*BDI,2)</f>
        <v/>
      </c>
    </row>
    <row r="823" ht="15" customHeight="1">
      <c r="A823" s="2" t="inlineStr"/>
      <c r="B823" s="2" t="inlineStr"/>
      <c r="C823" s="2" t="inlineStr"/>
      <c r="D823" s="2" t="inlineStr"/>
      <c r="E823" s="28" t="inlineStr">
        <is>
          <t>VALOR COM BDI:</t>
        </is>
      </c>
      <c r="F823" s="56" t="n"/>
      <c r="G823" s="66">
        <f>G822 + G821</f>
        <v/>
      </c>
    </row>
    <row r="824" ht="10" customHeight="1">
      <c r="A824" s="2" t="inlineStr"/>
      <c r="B824" s="2" t="inlineStr"/>
      <c r="C824" s="2" t="inlineStr"/>
      <c r="D824" s="2" t="inlineStr"/>
      <c r="E824" s="18" t="inlineStr"/>
    </row>
    <row r="825" ht="20" customHeight="1">
      <c r="A825" s="19" t="inlineStr">
        <is>
          <t>​5903​ CAMINHÃO PIPA 10.000 L TRUCADO, PESO BRUTO TOTAL 23.000 KG, CARGA ÚTIL MÁXIMA 15.935 KG, DISTÂNCIA ENTRE EIXOS 4,8 M, POTÊNCIA 230 CV, INCLUSIVE TANQUE DE AÇO PARA TRANSPORTE DE ÁGUA - CHI DIURNO. AF_06/2014​ (CHI)</t>
        </is>
      </c>
      <c r="B825" s="55" t="n"/>
      <c r="C825" s="55" t="n"/>
      <c r="D825" s="55" t="n"/>
      <c r="E825" s="55" t="n"/>
      <c r="F825" s="55" t="n"/>
      <c r="G825" s="56" t="n"/>
    </row>
    <row r="826" ht="15" customHeight="1">
      <c r="A826" s="20" t="inlineStr">
        <is>
          <t>Mão de Obra com Encargos Complementares</t>
        </is>
      </c>
      <c r="B826" s="56" t="n"/>
      <c r="C826" s="21" t="inlineStr">
        <is>
          <t>FONTE</t>
        </is>
      </c>
      <c r="D826" s="21" t="inlineStr">
        <is>
          <t>UNID</t>
        </is>
      </c>
      <c r="E826" s="21" t="inlineStr">
        <is>
          <t>COEFICIENTE</t>
        </is>
      </c>
      <c r="F826" s="21" t="inlineStr">
        <is>
          <t>PREÇO UNITÁRIO</t>
        </is>
      </c>
      <c r="G826" s="21" t="inlineStr">
        <is>
          <t>TOTAL</t>
        </is>
      </c>
    </row>
    <row r="827" ht="21" customHeight="1">
      <c r="A827" s="22" t="inlineStr">
        <is>
          <t>88282</t>
        </is>
      </c>
      <c r="B827" s="23" t="inlineStr">
        <is>
          <t>MOTORISTA DE CAMINHÃO COM ENCARGOS COMPLEMENTARES</t>
        </is>
      </c>
      <c r="C827" s="22" t="inlineStr">
        <is>
          <t>SINAPI</t>
        </is>
      </c>
      <c r="D827" s="22" t="inlineStr">
        <is>
          <t>H</t>
        </is>
      </c>
      <c r="E827" s="63">
        <f>L827*FATOR</f>
        <v/>
      </c>
      <c r="F827" s="64">
        <f>G2646</f>
        <v/>
      </c>
      <c r="G827" s="64">
        <f>TRUNC(TRUNC(E827,8)*F827,2)</f>
        <v/>
      </c>
      <c r="L827" t="n">
        <v>1</v>
      </c>
      <c r="M827" t="n">
        <v>34.46</v>
      </c>
      <c r="N827">
        <f>(M827-F827)</f>
        <v/>
      </c>
    </row>
    <row r="828" ht="18" customHeight="1">
      <c r="A828" s="2" t="inlineStr"/>
      <c r="B828" s="2" t="inlineStr"/>
      <c r="C828" s="2" t="inlineStr"/>
      <c r="D828" s="2" t="inlineStr"/>
      <c r="E828" s="26" t="inlineStr">
        <is>
          <t>TOTAL Mão de Obra com Encargos Complementares:</t>
        </is>
      </c>
      <c r="F828" s="56" t="n"/>
      <c r="G828" s="65">
        <f>SUM(G827:G827)</f>
        <v/>
      </c>
    </row>
    <row r="829" ht="15" customHeight="1">
      <c r="A829" s="20" t="inlineStr">
        <is>
          <t>Serviço</t>
        </is>
      </c>
      <c r="B829" s="56" t="n"/>
      <c r="C829" s="21" t="inlineStr">
        <is>
          <t>FONTE</t>
        </is>
      </c>
      <c r="D829" s="21" t="inlineStr">
        <is>
          <t>UNID</t>
        </is>
      </c>
      <c r="E829" s="21" t="inlineStr">
        <is>
          <t>COEFICIENTE</t>
        </is>
      </c>
      <c r="F829" s="21" t="inlineStr">
        <is>
          <t>PREÇO UNITÁRIO</t>
        </is>
      </c>
      <c r="G829" s="21" t="inlineStr">
        <is>
          <t>TOTAL</t>
        </is>
      </c>
    </row>
    <row r="830" ht="46" customHeight="1">
      <c r="A830" s="22" t="inlineStr">
        <is>
          <t>91396</t>
        </is>
      </c>
      <c r="B830" s="23" t="inlineStr">
        <is>
          <t>CAMINHÃO PIPA 10.000 L TRUCADO, PESO BRUTO TOTAL 23.000 KG, CARGA ÚTIL MÁXIMA 15.935 KG, DISTÂNCIA ENTRE EIXOS 4,8 M, POTÊNCIA 230 CV, INCLUSIVE TANQUE DE AÇO PARA TRANSPORTE DE ÁGUA - DEPRECIAÇÃO. AF_06/2014</t>
        </is>
      </c>
      <c r="C830" s="22" t="inlineStr">
        <is>
          <t>SINAPI</t>
        </is>
      </c>
      <c r="D830" s="22" t="inlineStr">
        <is>
          <t>H</t>
        </is>
      </c>
      <c r="E830" s="63" t="n">
        <v>1</v>
      </c>
      <c r="F830" s="64" t="n">
        <v>29.43</v>
      </c>
      <c r="G830" s="64">
        <f>TRUNC(TRUNC(E830,8)*F830,2)</f>
        <v/>
      </c>
      <c r="L830" t="n">
        <v>1</v>
      </c>
      <c r="M830" t="n">
        <v>29.43</v>
      </c>
      <c r="N830">
        <f>(M830-F830)</f>
        <v/>
      </c>
    </row>
    <row r="831" ht="46" customHeight="1">
      <c r="A831" s="22" t="inlineStr">
        <is>
          <t>91398</t>
        </is>
      </c>
      <c r="B831" s="23" t="inlineStr">
        <is>
          <t>CAMINHÃO PIPA 10.000 L TRUCADO, PESO BRUTO TOTAL 23.000 KG, CARGA ÚTIL MÁXIMA 15.935 KG, DISTÂNCIA ENTRE EIXOS 4,8 M, POTÊNCIA 230 CV, INCLUSIVE TANQUE DE AÇO PARA TRANSPORTE DE ÁGUA - IMPOSTOS E SEGUROS. AF_06/2014</t>
        </is>
      </c>
      <c r="C831" s="22" t="inlineStr">
        <is>
          <t>SINAPI</t>
        </is>
      </c>
      <c r="D831" s="22" t="inlineStr">
        <is>
          <t>H</t>
        </is>
      </c>
      <c r="E831" s="63" t="n">
        <v>1</v>
      </c>
      <c r="F831" s="64" t="n">
        <v>4.59</v>
      </c>
      <c r="G831" s="64">
        <f>TRUNC(TRUNC(E831,8)*F831,2)</f>
        <v/>
      </c>
      <c r="L831" t="n">
        <v>1</v>
      </c>
      <c r="M831" t="n">
        <v>4.59</v>
      </c>
      <c r="N831">
        <f>(M831-F831)</f>
        <v/>
      </c>
    </row>
    <row r="832" ht="38" customHeight="1">
      <c r="A832" s="22" t="inlineStr">
        <is>
          <t>91397</t>
        </is>
      </c>
      <c r="B832" s="23" t="inlineStr">
        <is>
          <t>CAMINHÃO PIPA 10.000 L TRUCADO, PESO BRUTO TOTAL 23.000 KG, CARGA ÚTIL MÁXIMA 15.935 KG, DISTÂNCIA ENTRE EIXOS 4,8 M, POTÊNCIA 230 CV, INCLUSIVE TANQUE DE AÇO PARA TRANSPORTE DE ÁGUA - JUROS. AF_06/2014</t>
        </is>
      </c>
      <c r="C832" s="22" t="inlineStr">
        <is>
          <t>SINAPI</t>
        </is>
      </c>
      <c r="D832" s="22" t="inlineStr">
        <is>
          <t>H</t>
        </is>
      </c>
      <c r="E832" s="63" t="n">
        <v>1</v>
      </c>
      <c r="F832" s="64" t="n">
        <v>11.38</v>
      </c>
      <c r="G832" s="64">
        <f>TRUNC(TRUNC(E832,8)*F832,2)</f>
        <v/>
      </c>
      <c r="L832" t="n">
        <v>1</v>
      </c>
      <c r="M832" t="n">
        <v>11.38</v>
      </c>
      <c r="N832">
        <f>(M832-F832)</f>
        <v/>
      </c>
    </row>
    <row r="833" ht="15" customHeight="1">
      <c r="A833" s="2" t="inlineStr"/>
      <c r="B833" s="2" t="inlineStr"/>
      <c r="C833" s="2" t="inlineStr"/>
      <c r="D833" s="2" t="inlineStr"/>
      <c r="E833" s="26" t="inlineStr">
        <is>
          <t>TOTAL Serviço:</t>
        </is>
      </c>
      <c r="F833" s="56" t="n"/>
      <c r="G833" s="65">
        <f>SUM(G830:G832)</f>
        <v/>
      </c>
    </row>
    <row r="834" ht="15" customHeight="1">
      <c r="A834" s="2" t="inlineStr"/>
      <c r="B834" s="2" t="inlineStr"/>
      <c r="C834" s="2" t="inlineStr"/>
      <c r="D834" s="2" t="inlineStr"/>
      <c r="E834" s="28" t="inlineStr">
        <is>
          <t>VALOR:</t>
        </is>
      </c>
      <c r="F834" s="56" t="n"/>
      <c r="G834" s="66">
        <f>SUM(G833)</f>
        <v/>
      </c>
    </row>
    <row r="835" ht="15" customHeight="1">
      <c r="A835" s="2" t="inlineStr"/>
      <c r="B835" s="2" t="inlineStr"/>
      <c r="C835" s="2" t="inlineStr"/>
      <c r="D835" s="2" t="inlineStr"/>
      <c r="E835" s="28" t="inlineStr">
        <is>
          <t>VALOR BDI (23.08%):</t>
        </is>
      </c>
      <c r="F835" s="56" t="n"/>
      <c r="G835" s="66">
        <f>ROUNDDOWN(G834*BDI,2)</f>
        <v/>
      </c>
    </row>
    <row r="836" ht="15" customHeight="1">
      <c r="A836" s="2" t="inlineStr"/>
      <c r="B836" s="2" t="inlineStr"/>
      <c r="C836" s="2" t="inlineStr"/>
      <c r="D836" s="2" t="inlineStr"/>
      <c r="E836" s="28" t="inlineStr">
        <is>
          <t>VALOR COM BDI:</t>
        </is>
      </c>
      <c r="F836" s="56" t="n"/>
      <c r="G836" s="66">
        <f>G835 + G834</f>
        <v/>
      </c>
    </row>
    <row r="837" ht="10" customHeight="1">
      <c r="A837" s="2" t="inlineStr"/>
      <c r="B837" s="2" t="inlineStr"/>
      <c r="C837" s="2" t="inlineStr"/>
      <c r="D837" s="2" t="inlineStr"/>
      <c r="E837" s="18" t="inlineStr"/>
    </row>
    <row r="838" ht="20" customHeight="1">
      <c r="A838" s="19" t="inlineStr">
        <is>
          <t>​5901​ CAMINHÃO PIPA 10.000 L TRUCADO, PESO BRUTO TOTAL 23.000 KG, CARGA ÚTIL MÁXIMA 15.935 KG, DISTÂNCIA ENTRE EIXOS 4,8 M, POTÊNCIA 230 CV, INCLUSIVE TANQUE DE AÇO PARA TRANSPORTE DE ÁGUA - CHP DIURNO. AF_06/2014​ (CHP)</t>
        </is>
      </c>
      <c r="B838" s="55" t="n"/>
      <c r="C838" s="55" t="n"/>
      <c r="D838" s="55" t="n"/>
      <c r="E838" s="55" t="n"/>
      <c r="F838" s="55" t="n"/>
      <c r="G838" s="56" t="n"/>
    </row>
    <row r="839" ht="15" customHeight="1">
      <c r="A839" s="20" t="inlineStr">
        <is>
          <t>Mão de Obra com Encargos Complementares</t>
        </is>
      </c>
      <c r="B839" s="56" t="n"/>
      <c r="C839" s="21" t="inlineStr">
        <is>
          <t>FONTE</t>
        </is>
      </c>
      <c r="D839" s="21" t="inlineStr">
        <is>
          <t>UNID</t>
        </is>
      </c>
      <c r="E839" s="21" t="inlineStr">
        <is>
          <t>COEFICIENTE</t>
        </is>
      </c>
      <c r="F839" s="21" t="inlineStr">
        <is>
          <t>PREÇO UNITÁRIO</t>
        </is>
      </c>
      <c r="G839" s="21" t="inlineStr">
        <is>
          <t>TOTAL</t>
        </is>
      </c>
    </row>
    <row r="840" ht="21" customHeight="1">
      <c r="A840" s="22" t="inlineStr">
        <is>
          <t>88282</t>
        </is>
      </c>
      <c r="B840" s="23" t="inlineStr">
        <is>
          <t>MOTORISTA DE CAMINHÃO COM ENCARGOS COMPLEMENTARES</t>
        </is>
      </c>
      <c r="C840" s="22" t="inlineStr">
        <is>
          <t>SINAPI</t>
        </is>
      </c>
      <c r="D840" s="22" t="inlineStr">
        <is>
          <t>H</t>
        </is>
      </c>
      <c r="E840" s="63">
        <f>L840*FATOR</f>
        <v/>
      </c>
      <c r="F840" s="64">
        <f>'COMPOSICOES AUXILIARES'!G834</f>
        <v/>
      </c>
      <c r="G840" s="64">
        <f>TRUNC(TRUNC(E840,8)*F840,2)</f>
        <v/>
      </c>
      <c r="L840" t="n">
        <v>1</v>
      </c>
      <c r="M840" t="n">
        <v>34.46</v>
      </c>
      <c r="N840">
        <f>(M840-F840)</f>
        <v/>
      </c>
    </row>
    <row r="841" ht="18" customHeight="1">
      <c r="A841" s="2" t="inlineStr"/>
      <c r="B841" s="2" t="inlineStr"/>
      <c r="C841" s="2" t="inlineStr"/>
      <c r="D841" s="2" t="inlineStr"/>
      <c r="E841" s="26" t="inlineStr">
        <is>
          <t>TOTAL Mão de Obra com Encargos Complementares:</t>
        </is>
      </c>
      <c r="F841" s="56" t="n"/>
      <c r="G841" s="65">
        <f>SUM(G840:G840)</f>
        <v/>
      </c>
    </row>
    <row r="842" ht="15" customHeight="1">
      <c r="A842" s="20" t="inlineStr">
        <is>
          <t>Serviço</t>
        </is>
      </c>
      <c r="B842" s="56" t="n"/>
      <c r="C842" s="21" t="inlineStr">
        <is>
          <t>FONTE</t>
        </is>
      </c>
      <c r="D842" s="21" t="inlineStr">
        <is>
          <t>UNID</t>
        </is>
      </c>
      <c r="E842" s="21" t="inlineStr">
        <is>
          <t>COEFICIENTE</t>
        </is>
      </c>
      <c r="F842" s="21" t="inlineStr">
        <is>
          <t>PREÇO UNITÁRIO</t>
        </is>
      </c>
      <c r="G842" s="21" t="inlineStr">
        <is>
          <t>TOTAL</t>
        </is>
      </c>
    </row>
    <row r="843" ht="46" customHeight="1">
      <c r="A843" s="22" t="inlineStr">
        <is>
          <t>91396</t>
        </is>
      </c>
      <c r="B843" s="23" t="inlineStr">
        <is>
          <t>CAMINHÃO PIPA 10.000 L TRUCADO, PESO BRUTO TOTAL 23.000 KG, CARGA ÚTIL MÁXIMA 15.935 KG, DISTÂNCIA ENTRE EIXOS 4,8 M, POTÊNCIA 230 CV, INCLUSIVE TANQUE DE AÇO PARA TRANSPORTE DE ÁGUA - DEPRECIAÇÃO. AF_06/2014</t>
        </is>
      </c>
      <c r="C843" s="22" t="inlineStr">
        <is>
          <t>SINAPI</t>
        </is>
      </c>
      <c r="D843" s="22" t="inlineStr">
        <is>
          <t>H</t>
        </is>
      </c>
      <c r="E843" s="63" t="n">
        <v>1</v>
      </c>
      <c r="F843" s="64">
        <f>'COMPOSICOES AUXILIARES'!G834</f>
        <v/>
      </c>
      <c r="G843" s="64">
        <f>TRUNC(TRUNC(E843,8)*F843,2)</f>
        <v/>
      </c>
      <c r="L843" t="n">
        <v>1</v>
      </c>
      <c r="M843" t="n">
        <v>29.43</v>
      </c>
      <c r="N843">
        <f>(M843-F843)</f>
        <v/>
      </c>
    </row>
    <row r="844" ht="46" customHeight="1">
      <c r="A844" s="22" t="inlineStr">
        <is>
          <t>91398</t>
        </is>
      </c>
      <c r="B844" s="23" t="inlineStr">
        <is>
          <t>CAMINHÃO PIPA 10.000 L TRUCADO, PESO BRUTO TOTAL 23.000 KG, CARGA ÚTIL MÁXIMA 15.935 KG, DISTÂNCIA ENTRE EIXOS 4,8 M, POTÊNCIA 230 CV, INCLUSIVE TANQUE DE AÇO PARA TRANSPORTE DE ÁGUA - IMPOSTOS E SEGUROS. AF_06/2014</t>
        </is>
      </c>
      <c r="C844" s="22" t="inlineStr">
        <is>
          <t>SINAPI</t>
        </is>
      </c>
      <c r="D844" s="22" t="inlineStr">
        <is>
          <t>H</t>
        </is>
      </c>
      <c r="E844" s="63" t="n">
        <v>1</v>
      </c>
      <c r="F844" s="64">
        <f>'COMPOSICOES AUXILIARES'!G834</f>
        <v/>
      </c>
      <c r="G844" s="64">
        <f>TRUNC(TRUNC(E844,8)*F844,2)</f>
        <v/>
      </c>
      <c r="L844" t="n">
        <v>1</v>
      </c>
      <c r="M844" t="n">
        <v>4.59</v>
      </c>
      <c r="N844">
        <f>(M844-F844)</f>
        <v/>
      </c>
    </row>
    <row r="845" ht="38" customHeight="1">
      <c r="A845" s="22" t="inlineStr">
        <is>
          <t>91397</t>
        </is>
      </c>
      <c r="B845" s="23" t="inlineStr">
        <is>
          <t>CAMINHÃO PIPA 10.000 L TRUCADO, PESO BRUTO TOTAL 23.000 KG, CARGA ÚTIL MÁXIMA 15.935 KG, DISTÂNCIA ENTRE EIXOS 4,8 M, POTÊNCIA 230 CV, INCLUSIVE TANQUE DE AÇO PARA TRANSPORTE DE ÁGUA - JUROS. AF_06/2014</t>
        </is>
      </c>
      <c r="C845" s="22" t="inlineStr">
        <is>
          <t>SINAPI</t>
        </is>
      </c>
      <c r="D845" s="22" t="inlineStr">
        <is>
          <t>H</t>
        </is>
      </c>
      <c r="E845" s="63" t="n">
        <v>1</v>
      </c>
      <c r="F845" s="64">
        <f>'COMPOSICOES AUXILIARES'!G834</f>
        <v/>
      </c>
      <c r="G845" s="64">
        <f>TRUNC(TRUNC(E845,8)*F845,2)</f>
        <v/>
      </c>
      <c r="L845" t="n">
        <v>1</v>
      </c>
      <c r="M845" t="n">
        <v>11.38</v>
      </c>
      <c r="N845">
        <f>(M845-F845)</f>
        <v/>
      </c>
    </row>
    <row r="846" ht="46" customHeight="1">
      <c r="A846" s="22" t="inlineStr">
        <is>
          <t>5763</t>
        </is>
      </c>
      <c r="B846" s="23" t="inlineStr">
        <is>
          <t>CAMINHÃO PIPA 10.000 L TRUCADO, PESO BRUTO TOTAL 23.000 KG, CARGA ÚTIL MÁXIMA 15.935 KG, DISTÂNCIA ENTRE EIXOS 4,8 M, POTÊNCIA 230 CV, INCLUSIVE TANQUE DE AÇO PARA TRANSPORTE DE ÁGUA - MANUTENÇÃO. AF_06/2014</t>
        </is>
      </c>
      <c r="C846" s="22" t="inlineStr">
        <is>
          <t>SINAPI</t>
        </is>
      </c>
      <c r="D846" s="22" t="inlineStr">
        <is>
          <t>H</t>
        </is>
      </c>
      <c r="E846" s="63" t="n">
        <v>1</v>
      </c>
      <c r="F846" s="64" t="n">
        <v>52.23</v>
      </c>
      <c r="G846" s="64">
        <f>TRUNC(TRUNC(E846,8)*F846,2)</f>
        <v/>
      </c>
      <c r="L846" t="n">
        <v>1</v>
      </c>
      <c r="M846" t="n">
        <v>52.23</v>
      </c>
      <c r="N846">
        <f>(M846-F846)</f>
        <v/>
      </c>
    </row>
    <row r="847" ht="46" customHeight="1">
      <c r="A847" s="22" t="inlineStr">
        <is>
          <t>53831</t>
        </is>
      </c>
      <c r="B847" s="23" t="inlineStr">
        <is>
          <t>CAMINHÃO PIPA 10.000 L TRUCADO, PESO BRUTO TOTAL 23.000 KG, CARGA ÚTIL MÁXIMA 15.935 KG, DISTÂNCIA ENTRE EIXOS 4,8 M, POTÊNCIA 230 CV, INCLUSIVE TANQUE DE AÇO PARA TRANSPORTE DE ÁGUA - MATERIAIS NA OPERAÇÃO. AF_06/2014</t>
        </is>
      </c>
      <c r="C847" s="22" t="inlineStr">
        <is>
          <t>SINAPI</t>
        </is>
      </c>
      <c r="D847" s="22" t="inlineStr">
        <is>
          <t>H</t>
        </is>
      </c>
      <c r="E847" s="63" t="n">
        <v>1</v>
      </c>
      <c r="F847" s="64" t="n">
        <v>192.96</v>
      </c>
      <c r="G847" s="64">
        <f>TRUNC(TRUNC(E847,8)*F847,2)</f>
        <v/>
      </c>
      <c r="L847" t="n">
        <v>1</v>
      </c>
      <c r="M847" t="n">
        <v>192.96</v>
      </c>
      <c r="N847">
        <f>(M847-F847)</f>
        <v/>
      </c>
    </row>
    <row r="848" ht="15" customHeight="1">
      <c r="A848" s="2" t="inlineStr"/>
      <c r="B848" s="2" t="inlineStr"/>
      <c r="C848" s="2" t="inlineStr"/>
      <c r="D848" s="2" t="inlineStr"/>
      <c r="E848" s="26" t="inlineStr">
        <is>
          <t>TOTAL Serviço:</t>
        </is>
      </c>
      <c r="F848" s="56" t="n"/>
      <c r="G848" s="65">
        <f>SUM(G843:G847)</f>
        <v/>
      </c>
    </row>
    <row r="849" ht="15" customHeight="1">
      <c r="A849" s="2" t="inlineStr"/>
      <c r="B849" s="2" t="inlineStr"/>
      <c r="C849" s="2" t="inlineStr"/>
      <c r="D849" s="2" t="inlineStr"/>
      <c r="E849" s="28" t="inlineStr">
        <is>
          <t>VALOR:</t>
        </is>
      </c>
      <c r="F849" s="56" t="n"/>
      <c r="G849" s="66">
        <f>SUM(G848,G841)</f>
        <v/>
      </c>
    </row>
    <row r="850" ht="15" customHeight="1">
      <c r="A850" s="2" t="inlineStr"/>
      <c r="B850" s="2" t="inlineStr"/>
      <c r="C850" s="2" t="inlineStr"/>
      <c r="D850" s="2" t="inlineStr"/>
      <c r="E850" s="28" t="inlineStr">
        <is>
          <t>VALOR BDI (23.08%):</t>
        </is>
      </c>
      <c r="F850" s="56" t="n"/>
      <c r="G850" s="66">
        <f>ROUNDDOWN(G849*BDI,2)</f>
        <v/>
      </c>
    </row>
    <row r="851" ht="15" customHeight="1">
      <c r="A851" s="2" t="inlineStr"/>
      <c r="B851" s="2" t="inlineStr"/>
      <c r="C851" s="2" t="inlineStr"/>
      <c r="D851" s="2" t="inlineStr"/>
      <c r="E851" s="28" t="inlineStr">
        <is>
          <t>VALOR COM BDI:</t>
        </is>
      </c>
      <c r="F851" s="56" t="n"/>
      <c r="G851" s="66">
        <f>G850 + G849</f>
        <v/>
      </c>
    </row>
    <row r="852" ht="10" customHeight="1">
      <c r="A852" s="2" t="inlineStr"/>
      <c r="B852" s="2" t="inlineStr"/>
      <c r="C852" s="2" t="inlineStr"/>
      <c r="D852" s="2" t="inlineStr"/>
      <c r="E852" s="18" t="inlineStr"/>
    </row>
    <row r="853" ht="20" customHeight="1">
      <c r="A853" s="19" t="inlineStr">
        <is>
          <t>​91396​ CAMINHÃO PIPA 10.000 L TRUCADO, PESO BRUTO TOTAL 23.000 KG, CARGA ÚTIL MÁXIMA 15.935 KG, DISTÂNCIA ENTRE EIXOS 4,8 M, POTÊNCIA 230 CV, INCLUSIVE TANQUE DE AÇO PARA TRANSPORTE DE ÁGUA - DEPRECIAÇÃO. AF_06/2014​ (H)</t>
        </is>
      </c>
      <c r="B853" s="55" t="n"/>
      <c r="C853" s="55" t="n"/>
      <c r="D853" s="55" t="n"/>
      <c r="E853" s="55" t="n"/>
      <c r="F853" s="55" t="n"/>
      <c r="G853" s="56" t="n"/>
    </row>
    <row r="854" ht="15" customHeight="1">
      <c r="A854" s="20" t="inlineStr">
        <is>
          <t>Equipamento</t>
        </is>
      </c>
      <c r="B854" s="56" t="n"/>
      <c r="C854" s="21" t="inlineStr">
        <is>
          <t>FONTE</t>
        </is>
      </c>
      <c r="D854" s="21" t="inlineStr">
        <is>
          <t>UNID</t>
        </is>
      </c>
      <c r="E854" s="21" t="inlineStr">
        <is>
          <t>COEFICIENTE</t>
        </is>
      </c>
      <c r="F854" s="21" t="inlineStr">
        <is>
          <t>PREÇO UNITÁRIO</t>
        </is>
      </c>
      <c r="G854" s="21" t="inlineStr">
        <is>
          <t>TOTAL</t>
        </is>
      </c>
    </row>
    <row r="855" ht="38" customHeight="1">
      <c r="A855" s="22" t="inlineStr">
        <is>
          <t>00037758</t>
        </is>
      </c>
      <c r="B855" s="23" t="inlineStr">
        <is>
          <t>CAMINHAO TRUCADO, PESO BRUTO TOTAL 23000 KG, CARGA UTIL MAXIMA 15285 KG, DISTANCIA ENTRE EIXOS 4,80 M, POTENCIA 326 CV (INCLUI CABINE E CHASSI, NAO INCLUI CARROCERIA)</t>
        </is>
      </c>
      <c r="C855" s="22" t="inlineStr">
        <is>
          <t>SINAPI</t>
        </is>
      </c>
      <c r="D855" s="22" t="inlineStr">
        <is>
          <t>UN</t>
        </is>
      </c>
      <c r="E855" s="63" t="n">
        <v>3.43e-05</v>
      </c>
      <c r="F855" s="64" t="n">
        <v>720250.97</v>
      </c>
      <c r="G855" s="64">
        <f>TRUNC(TRUNC(E855,8)*F855,2)</f>
        <v/>
      </c>
      <c r="M855" t="n">
        <v>720250.97</v>
      </c>
      <c r="N855">
        <f>(M855-F855)</f>
        <v/>
      </c>
    </row>
    <row r="856" ht="46" customHeight="1">
      <c r="A856" s="22" t="inlineStr">
        <is>
          <t>00037736</t>
        </is>
      </c>
      <c r="B856" s="23" t="inlineStr">
        <is>
          <t>TANQUE DE ACO CARBONO NAO REVESTIDO, PARA TRANSPORTE DE AGUA COM CAPACIDADE DE 10 M3, COM BOMBA CENTRIFUGA POR TOMADA DE FORCA, VAZAO MAXIMA *75* M3/H (INCLUI MONTAGEM, NAO INCLUI CAMINHAO)</t>
        </is>
      </c>
      <c r="C856" s="22" t="inlineStr">
        <is>
          <t>SINAPI</t>
        </is>
      </c>
      <c r="D856" s="22" t="inlineStr">
        <is>
          <t>UN</t>
        </is>
      </c>
      <c r="E856" s="63" t="n">
        <v>5.51e-05</v>
      </c>
      <c r="F856" s="64" t="n">
        <v>85950</v>
      </c>
      <c r="G856" s="64">
        <f>TRUNC(TRUNC(E856,8)*F856,2)</f>
        <v/>
      </c>
      <c r="M856" t="n">
        <v>85950</v>
      </c>
      <c r="N856">
        <f>(M856-F856)</f>
        <v/>
      </c>
    </row>
    <row r="857" ht="15" customHeight="1">
      <c r="A857" s="2" t="inlineStr"/>
      <c r="B857" s="2" t="inlineStr"/>
      <c r="C857" s="2" t="inlineStr"/>
      <c r="D857" s="2" t="inlineStr"/>
      <c r="E857" s="26" t="inlineStr">
        <is>
          <t>TOTAL Equipamento:</t>
        </is>
      </c>
      <c r="F857" s="56" t="n"/>
      <c r="G857" s="65">
        <f>SUM(G855:G856)</f>
        <v/>
      </c>
    </row>
    <row r="858" ht="15" customHeight="1">
      <c r="A858" s="2" t="inlineStr"/>
      <c r="B858" s="2" t="inlineStr"/>
      <c r="C858" s="2" t="inlineStr"/>
      <c r="D858" s="2" t="inlineStr"/>
      <c r="E858" s="28" t="inlineStr">
        <is>
          <t>VALOR:</t>
        </is>
      </c>
      <c r="F858" s="56" t="n"/>
      <c r="G858" s="66">
        <f>ROUND(SUM(G857),2)</f>
        <v/>
      </c>
    </row>
    <row r="859" ht="15" customHeight="1">
      <c r="A859" s="2" t="inlineStr"/>
      <c r="B859" s="2" t="inlineStr"/>
      <c r="C859" s="2" t="inlineStr"/>
      <c r="D859" s="2" t="inlineStr"/>
      <c r="E859" s="28" t="inlineStr">
        <is>
          <t>VALOR BDI (23.08%):</t>
        </is>
      </c>
      <c r="F859" s="56" t="n"/>
      <c r="G859" s="66">
        <f>ROUNDDOWN(G858*BDI,2)</f>
        <v/>
      </c>
    </row>
    <row r="860" ht="15" customHeight="1">
      <c r="A860" s="2" t="inlineStr"/>
      <c r="B860" s="2" t="inlineStr"/>
      <c r="C860" s="2" t="inlineStr"/>
      <c r="D860" s="2" t="inlineStr"/>
      <c r="E860" s="28" t="inlineStr">
        <is>
          <t>VALOR COM BDI:</t>
        </is>
      </c>
      <c r="F860" s="56" t="n"/>
      <c r="G860" s="66">
        <f>G859 + G858</f>
        <v/>
      </c>
    </row>
    <row r="861" ht="10" customHeight="1">
      <c r="A861" s="2" t="inlineStr"/>
      <c r="B861" s="2" t="inlineStr"/>
      <c r="C861" s="2" t="inlineStr"/>
      <c r="D861" s="2" t="inlineStr"/>
      <c r="E861" s="18" t="inlineStr"/>
    </row>
    <row r="862" ht="20" customHeight="1">
      <c r="A862" s="19" t="inlineStr">
        <is>
          <t>​91398​ CAMINHÃO PIPA 10.000 L TRUCADO, PESO BRUTO TOTAL 23.000 KG, CARGA ÚTIL MÁXIMA 15.935 KG, DISTÂNCIA ENTRE EIXOS 4,8 M, POTÊNCIA 230 CV, INCLUSIVE TANQUE DE AÇO PARA TRANSPORTE DE ÁGUA - IMPOSTOS E SEGUROS. AF_06/2014​ (H)</t>
        </is>
      </c>
      <c r="B862" s="55" t="n"/>
      <c r="C862" s="55" t="n"/>
      <c r="D862" s="55" t="n"/>
      <c r="E862" s="55" t="n"/>
      <c r="F862" s="55" t="n"/>
      <c r="G862" s="56" t="n"/>
    </row>
    <row r="863" ht="15" customHeight="1">
      <c r="A863" s="20" t="inlineStr">
        <is>
          <t>Equipamento</t>
        </is>
      </c>
      <c r="B863" s="56" t="n"/>
      <c r="C863" s="21" t="inlineStr">
        <is>
          <t>FONTE</t>
        </is>
      </c>
      <c r="D863" s="21" t="inlineStr">
        <is>
          <t>UNID</t>
        </is>
      </c>
      <c r="E863" s="21" t="inlineStr">
        <is>
          <t>COEFICIENTE</t>
        </is>
      </c>
      <c r="F863" s="21" t="inlineStr">
        <is>
          <t>PREÇO UNITÁRIO</t>
        </is>
      </c>
      <c r="G863" s="21" t="inlineStr">
        <is>
          <t>TOTAL</t>
        </is>
      </c>
    </row>
    <row r="864" ht="38" customHeight="1">
      <c r="A864" s="22" t="inlineStr">
        <is>
          <t>00037758</t>
        </is>
      </c>
      <c r="B864" s="23" t="inlineStr">
        <is>
          <t>CAMINHAO TRUCADO, PESO BRUTO TOTAL 23000 KG, CARGA UTIL MAXIMA 15285 KG, DISTANCIA ENTRE EIXOS 4,80 M, POTENCIA 326 CV (INCLUI CABINE E CHASSI, NAO INCLUI CARROCERIA)</t>
        </is>
      </c>
      <c r="C864" s="22" t="inlineStr">
        <is>
          <t>SINAPI</t>
        </is>
      </c>
      <c r="D864" s="22" t="inlineStr">
        <is>
          <t>UN</t>
        </is>
      </c>
      <c r="E864" s="63" t="n">
        <v>5.7e-06</v>
      </c>
      <c r="F864" s="64" t="n">
        <v>720250.97</v>
      </c>
      <c r="G864" s="64">
        <f>TRUNC(TRUNC(E864,8)*F864,2)</f>
        <v/>
      </c>
      <c r="M864" t="n">
        <v>720250.97</v>
      </c>
      <c r="N864">
        <f>(M864-F864)</f>
        <v/>
      </c>
    </row>
    <row r="865" ht="46" customHeight="1">
      <c r="A865" s="22" t="inlineStr">
        <is>
          <t>00037736</t>
        </is>
      </c>
      <c r="B865" s="23" t="inlineStr">
        <is>
          <t>TANQUE DE ACO CARBONO NAO REVESTIDO, PARA TRANSPORTE DE AGUA COM CAPACIDADE DE 10 M3, COM BOMBA CENTRIFUGA POR TOMADA DE FORCA, VAZAO MAXIMA *75* M3/H (INCLUI MONTAGEM, NAO INCLUI CAMINHAO)</t>
        </is>
      </c>
      <c r="C865" s="22" t="inlineStr">
        <is>
          <t>SINAPI</t>
        </is>
      </c>
      <c r="D865" s="22" t="inlineStr">
        <is>
          <t>UN</t>
        </is>
      </c>
      <c r="E865" s="63" t="n">
        <v>5.8e-06</v>
      </c>
      <c r="F865" s="64" t="n">
        <v>85950</v>
      </c>
      <c r="G865" s="64">
        <f>TRUNC(TRUNC(E865,8)*F865,2)</f>
        <v/>
      </c>
      <c r="M865" t="n">
        <v>85950</v>
      </c>
      <c r="N865">
        <f>(M865-F865)</f>
        <v/>
      </c>
    </row>
    <row r="866" ht="15" customHeight="1">
      <c r="A866" s="2" t="inlineStr"/>
      <c r="B866" s="2" t="inlineStr"/>
      <c r="C866" s="2" t="inlineStr"/>
      <c r="D866" s="2" t="inlineStr"/>
      <c r="E866" s="26" t="inlineStr">
        <is>
          <t>TOTAL Equipamento:</t>
        </is>
      </c>
      <c r="F866" s="56" t="n"/>
      <c r="G866" s="65">
        <f>SUM(G864:G865)</f>
        <v/>
      </c>
    </row>
    <row r="867" ht="15" customHeight="1">
      <c r="A867" s="2" t="inlineStr"/>
      <c r="B867" s="2" t="inlineStr"/>
      <c r="C867" s="2" t="inlineStr"/>
      <c r="D867" s="2" t="inlineStr"/>
      <c r="E867" s="28" t="inlineStr">
        <is>
          <t>VALOR:</t>
        </is>
      </c>
      <c r="F867" s="56" t="n"/>
      <c r="G867" s="66">
        <f>ROUND(SUM(G866),2)</f>
        <v/>
      </c>
    </row>
    <row r="868" ht="15" customHeight="1">
      <c r="A868" s="2" t="inlineStr"/>
      <c r="B868" s="2" t="inlineStr"/>
      <c r="C868" s="2" t="inlineStr"/>
      <c r="D868" s="2" t="inlineStr"/>
      <c r="E868" s="28" t="inlineStr">
        <is>
          <t>VALOR BDI (23.08%):</t>
        </is>
      </c>
      <c r="F868" s="56" t="n"/>
      <c r="G868" s="66">
        <f>ROUNDDOWN(G867*BDI,2)</f>
        <v/>
      </c>
    </row>
    <row r="869" ht="15" customHeight="1">
      <c r="A869" s="2" t="inlineStr"/>
      <c r="B869" s="2" t="inlineStr"/>
      <c r="C869" s="2" t="inlineStr"/>
      <c r="D869" s="2" t="inlineStr"/>
      <c r="E869" s="28" t="inlineStr">
        <is>
          <t>VALOR COM BDI:</t>
        </is>
      </c>
      <c r="F869" s="56" t="n"/>
      <c r="G869" s="66">
        <f>G868 + G867</f>
        <v/>
      </c>
    </row>
    <row r="870" ht="10" customHeight="1">
      <c r="A870" s="2" t="inlineStr"/>
      <c r="B870" s="2" t="inlineStr"/>
      <c r="C870" s="2" t="inlineStr"/>
      <c r="D870" s="2" t="inlineStr"/>
      <c r="E870" s="18" t="inlineStr"/>
    </row>
    <row r="871" ht="20" customHeight="1">
      <c r="A871" s="19" t="inlineStr">
        <is>
          <t>​91397​ CAMINHÃO PIPA 10.000 L TRUCADO, PESO BRUTO TOTAL 23.000 KG, CARGA ÚTIL MÁXIMA 15.935 KG, DISTÂNCIA ENTRE EIXOS 4,8 M, POTÊNCIA 230 CV, INCLUSIVE TANQUE DE AÇO PARA TRANSPORTE DE ÁGUA - JUROS. AF_06/2014​ (H)</t>
        </is>
      </c>
      <c r="B871" s="55" t="n"/>
      <c r="C871" s="55" t="n"/>
      <c r="D871" s="55" t="n"/>
      <c r="E871" s="55" t="n"/>
      <c r="F871" s="55" t="n"/>
      <c r="G871" s="56" t="n"/>
    </row>
    <row r="872" ht="15" customHeight="1">
      <c r="A872" s="20" t="inlineStr">
        <is>
          <t>Equipamento</t>
        </is>
      </c>
      <c r="B872" s="56" t="n"/>
      <c r="C872" s="21" t="inlineStr">
        <is>
          <t>FONTE</t>
        </is>
      </c>
      <c r="D872" s="21" t="inlineStr">
        <is>
          <t>UNID</t>
        </is>
      </c>
      <c r="E872" s="21" t="inlineStr">
        <is>
          <t>COEFICIENTE</t>
        </is>
      </c>
      <c r="F872" s="21" t="inlineStr">
        <is>
          <t>PREÇO UNITÁRIO</t>
        </is>
      </c>
      <c r="G872" s="21" t="inlineStr">
        <is>
          <t>TOTAL</t>
        </is>
      </c>
    </row>
    <row r="873" ht="38" customHeight="1">
      <c r="A873" s="22" t="inlineStr">
        <is>
          <t>00037758</t>
        </is>
      </c>
      <c r="B873" s="23" t="inlineStr">
        <is>
          <t>CAMINHAO TRUCADO, PESO BRUTO TOTAL 23000 KG, CARGA UTIL MAXIMA 15285 KG, DISTANCIA ENTRE EIXOS 4,80 M, POTENCIA 326 CV (INCLUI CABINE E CHASSI, NAO INCLUI CARROCERIA)</t>
        </is>
      </c>
      <c r="C873" s="22" t="inlineStr">
        <is>
          <t>SINAPI</t>
        </is>
      </c>
      <c r="D873" s="22" t="inlineStr">
        <is>
          <t>UN</t>
        </is>
      </c>
      <c r="E873" s="63" t="n">
        <v>1.41e-05</v>
      </c>
      <c r="F873" s="64" t="n">
        <v>720250.97</v>
      </c>
      <c r="G873" s="64">
        <f>TRUNC(TRUNC(E873,8)*F873,2)</f>
        <v/>
      </c>
      <c r="M873" t="n">
        <v>720250.97</v>
      </c>
      <c r="N873">
        <f>(M873-F873)</f>
        <v/>
      </c>
    </row>
    <row r="874" ht="46" customHeight="1">
      <c r="A874" s="22" t="inlineStr">
        <is>
          <t>00037736</t>
        </is>
      </c>
      <c r="B874" s="23" t="inlineStr">
        <is>
          <t>TANQUE DE ACO CARBONO NAO REVESTIDO, PARA TRANSPORTE DE AGUA COM CAPACIDADE DE 10 M3, COM BOMBA CENTRIFUGA POR TOMADA DE FORCA, VAZAO MAXIMA *75* M3/H (INCLUI MONTAGEM, NAO INCLUI CAMINHAO)</t>
        </is>
      </c>
      <c r="C874" s="22" t="inlineStr">
        <is>
          <t>SINAPI</t>
        </is>
      </c>
      <c r="D874" s="22" t="inlineStr">
        <is>
          <t>UN</t>
        </is>
      </c>
      <c r="E874" s="63" t="n">
        <v>1.44e-05</v>
      </c>
      <c r="F874" s="64" t="n">
        <v>85950</v>
      </c>
      <c r="G874" s="64">
        <f>TRUNC(TRUNC(E874,8)*F874,2)</f>
        <v/>
      </c>
      <c r="M874" t="n">
        <v>85950</v>
      </c>
      <c r="N874">
        <f>(M874-F874)</f>
        <v/>
      </c>
    </row>
    <row r="875" ht="15" customHeight="1">
      <c r="A875" s="2" t="inlineStr"/>
      <c r="B875" s="2" t="inlineStr"/>
      <c r="C875" s="2" t="inlineStr"/>
      <c r="D875" s="2" t="inlineStr"/>
      <c r="E875" s="26" t="inlineStr">
        <is>
          <t>TOTAL Equipamento:</t>
        </is>
      </c>
      <c r="F875" s="56" t="n"/>
      <c r="G875" s="65">
        <f>SUM(G873:G874)</f>
        <v/>
      </c>
    </row>
    <row r="876" ht="15" customHeight="1">
      <c r="A876" s="2" t="inlineStr"/>
      <c r="B876" s="2" t="inlineStr"/>
      <c r="C876" s="2" t="inlineStr"/>
      <c r="D876" s="2" t="inlineStr"/>
      <c r="E876" s="28" t="inlineStr">
        <is>
          <t>VALOR:</t>
        </is>
      </c>
      <c r="F876" s="56" t="n"/>
      <c r="G876" s="66">
        <f>ROUND(SUM(G875),2)</f>
        <v/>
      </c>
    </row>
    <row r="877" ht="15" customHeight="1">
      <c r="A877" s="2" t="inlineStr"/>
      <c r="B877" s="2" t="inlineStr"/>
      <c r="C877" s="2" t="inlineStr"/>
      <c r="D877" s="2" t="inlineStr"/>
      <c r="E877" s="28" t="inlineStr">
        <is>
          <t>VALOR BDI (23.08%):</t>
        </is>
      </c>
      <c r="F877" s="56" t="n"/>
      <c r="G877" s="66">
        <f>ROUNDDOWN(G876*BDI,2)</f>
        <v/>
      </c>
    </row>
    <row r="878" ht="15" customHeight="1">
      <c r="A878" s="2" t="inlineStr"/>
      <c r="B878" s="2" t="inlineStr"/>
      <c r="C878" s="2" t="inlineStr"/>
      <c r="D878" s="2" t="inlineStr"/>
      <c r="E878" s="28" t="inlineStr">
        <is>
          <t>VALOR COM BDI:</t>
        </is>
      </c>
      <c r="F878" s="56" t="n"/>
      <c r="G878" s="66">
        <f>G877 + G876</f>
        <v/>
      </c>
    </row>
    <row r="879" ht="10" customHeight="1">
      <c r="A879" s="2" t="inlineStr"/>
      <c r="B879" s="2" t="inlineStr"/>
      <c r="C879" s="2" t="inlineStr"/>
      <c r="D879" s="2" t="inlineStr"/>
      <c r="E879" s="18" t="inlineStr"/>
    </row>
    <row r="880" ht="20" customHeight="1">
      <c r="A880" s="19" t="inlineStr">
        <is>
          <t>​5763​ CAMINHÃO PIPA 10.000 L TRUCADO, PESO BRUTO TOTAL 23.000 KG, CARGA ÚTIL MÁXIMA 15.935 KG, DISTÂNCIA ENTRE EIXOS 4,8 M, POTÊNCIA 230 CV, INCLUSIVE TANQUE DE AÇO PARA TRANSPORTE DE ÁGUA - MANUTENÇÃO. AF_06/2014​ (H)</t>
        </is>
      </c>
      <c r="B880" s="55" t="n"/>
      <c r="C880" s="55" t="n"/>
      <c r="D880" s="55" t="n"/>
      <c r="E880" s="55" t="n"/>
      <c r="F880" s="55" t="n"/>
      <c r="G880" s="56" t="n"/>
    </row>
    <row r="881" ht="15" customHeight="1">
      <c r="A881" s="20" t="inlineStr">
        <is>
          <t>Equipamento</t>
        </is>
      </c>
      <c r="B881" s="56" t="n"/>
      <c r="C881" s="21" t="inlineStr">
        <is>
          <t>FONTE</t>
        </is>
      </c>
      <c r="D881" s="21" t="inlineStr">
        <is>
          <t>UNID</t>
        </is>
      </c>
      <c r="E881" s="21" t="inlineStr">
        <is>
          <t>COEFICIENTE</t>
        </is>
      </c>
      <c r="F881" s="21" t="inlineStr">
        <is>
          <t>PREÇO UNITÁRIO</t>
        </is>
      </c>
      <c r="G881" s="21" t="inlineStr">
        <is>
          <t>TOTAL</t>
        </is>
      </c>
    </row>
    <row r="882" ht="38" customHeight="1">
      <c r="A882" s="22" t="inlineStr">
        <is>
          <t>00037758</t>
        </is>
      </c>
      <c r="B882" s="23" t="inlineStr">
        <is>
          <t>CAMINHAO TRUCADO, PESO BRUTO TOTAL 23000 KG, CARGA UTIL MAXIMA 15285 KG, DISTANCIA ENTRE EIXOS 4,80 M, POTENCIA 326 CV (INCLUI CABINE E CHASSI, NAO INCLUI CARROCERIA)</t>
        </is>
      </c>
      <c r="C882" s="22" t="inlineStr">
        <is>
          <t>SINAPI</t>
        </is>
      </c>
      <c r="D882" s="22" t="inlineStr">
        <is>
          <t>UN</t>
        </is>
      </c>
      <c r="E882" s="63" t="n">
        <v>6.43e-05</v>
      </c>
      <c r="F882" s="64" t="n">
        <v>720250.97</v>
      </c>
      <c r="G882" s="64">
        <f>TRUNC(TRUNC(E882,8)*F882,2)</f>
        <v/>
      </c>
      <c r="M882" t="n">
        <v>720250.97</v>
      </c>
      <c r="N882">
        <f>(M882-F882)</f>
        <v/>
      </c>
    </row>
    <row r="883" ht="46" customHeight="1">
      <c r="A883" s="22" t="inlineStr">
        <is>
          <t>00037736</t>
        </is>
      </c>
      <c r="B883" s="23" t="inlineStr">
        <is>
          <t>TANQUE DE ACO CARBONO NAO REVESTIDO, PARA TRANSPORTE DE AGUA COM CAPACIDADE DE 10 M3, COM BOMBA CENTRIFUGA POR TOMADA DE FORCA, VAZAO MAXIMA *75* M3/H (INCLUI MONTAGEM, NAO INCLUI CAMINHAO)</t>
        </is>
      </c>
      <c r="C883" s="22" t="inlineStr">
        <is>
          <t>SINAPI</t>
        </is>
      </c>
      <c r="D883" s="22" t="inlineStr">
        <is>
          <t>UN</t>
        </is>
      </c>
      <c r="E883" s="63" t="n">
        <v>6.889999999999999e-05</v>
      </c>
      <c r="F883" s="64" t="n">
        <v>85950</v>
      </c>
      <c r="G883" s="64">
        <f>TRUNC(TRUNC(E883,8)*F883,2)</f>
        <v/>
      </c>
      <c r="M883" t="n">
        <v>85950</v>
      </c>
      <c r="N883">
        <f>(M883-F883)</f>
        <v/>
      </c>
    </row>
    <row r="884" ht="15" customHeight="1">
      <c r="A884" s="2" t="inlineStr"/>
      <c r="B884" s="2" t="inlineStr"/>
      <c r="C884" s="2" t="inlineStr"/>
      <c r="D884" s="2" t="inlineStr"/>
      <c r="E884" s="26" t="inlineStr">
        <is>
          <t>TOTAL Equipamento:</t>
        </is>
      </c>
      <c r="F884" s="56" t="n"/>
      <c r="G884" s="65">
        <f>SUM(G882:G883)</f>
        <v/>
      </c>
    </row>
    <row r="885" ht="15" customHeight="1">
      <c r="A885" s="2" t="inlineStr"/>
      <c r="B885" s="2" t="inlineStr"/>
      <c r="C885" s="2" t="inlineStr"/>
      <c r="D885" s="2" t="inlineStr"/>
      <c r="E885" s="28" t="inlineStr">
        <is>
          <t>VALOR:</t>
        </is>
      </c>
      <c r="F885" s="56" t="n"/>
      <c r="G885" s="66">
        <f>ROUND(SUM(G884),2)</f>
        <v/>
      </c>
    </row>
    <row r="886" ht="15" customHeight="1">
      <c r="A886" s="2" t="inlineStr"/>
      <c r="B886" s="2" t="inlineStr"/>
      <c r="C886" s="2" t="inlineStr"/>
      <c r="D886" s="2" t="inlineStr"/>
      <c r="E886" s="28" t="inlineStr">
        <is>
          <t>VALOR BDI (23.08%):</t>
        </is>
      </c>
      <c r="F886" s="56" t="n"/>
      <c r="G886" s="66">
        <f>ROUNDDOWN(G885*BDI,2)</f>
        <v/>
      </c>
    </row>
    <row r="887" ht="15" customHeight="1">
      <c r="A887" s="2" t="inlineStr"/>
      <c r="B887" s="2" t="inlineStr"/>
      <c r="C887" s="2" t="inlineStr"/>
      <c r="D887" s="2" t="inlineStr"/>
      <c r="E887" s="28" t="inlineStr">
        <is>
          <t>VALOR COM BDI:</t>
        </is>
      </c>
      <c r="F887" s="56" t="n"/>
      <c r="G887" s="66">
        <f>G886 + G885</f>
        <v/>
      </c>
    </row>
    <row r="888" ht="10" customHeight="1">
      <c r="A888" s="2" t="inlineStr"/>
      <c r="B888" s="2" t="inlineStr"/>
      <c r="C888" s="2" t="inlineStr"/>
      <c r="D888" s="2" t="inlineStr"/>
      <c r="E888" s="18" t="inlineStr"/>
    </row>
    <row r="889" ht="20" customHeight="1">
      <c r="A889" s="19" t="inlineStr">
        <is>
          <t>​53831​ CAMINHÃO PIPA 10.000 L TRUCADO, PESO BRUTO TOTAL 23.000 KG, CARGA ÚTIL MÁXIMA 15.935 KG, DISTÂNCIA ENTRE EIXOS 4,8 M, POTÊNCIA 230 CV, INCLUSIVE TANQUE DE AÇO PARA TRANSPORTE DE ÁGUA - MATERIAIS NA OPERAÇÃO. AF_06/2014​ (H)</t>
        </is>
      </c>
      <c r="B889" s="55" t="n"/>
      <c r="C889" s="55" t="n"/>
      <c r="D889" s="55" t="n"/>
      <c r="E889" s="55" t="n"/>
      <c r="F889" s="55" t="n"/>
      <c r="G889" s="56" t="n"/>
    </row>
    <row r="890" ht="15" customHeight="1">
      <c r="A890" s="20" t="inlineStr">
        <is>
          <t>Material</t>
        </is>
      </c>
      <c r="B890" s="56" t="n"/>
      <c r="C890" s="21" t="inlineStr">
        <is>
          <t>FONTE</t>
        </is>
      </c>
      <c r="D890" s="21" t="inlineStr">
        <is>
          <t>UNID</t>
        </is>
      </c>
      <c r="E890" s="21" t="inlineStr">
        <is>
          <t>COEFICIENTE</t>
        </is>
      </c>
      <c r="F890" s="21" t="inlineStr">
        <is>
          <t>PREÇO UNITÁRIO</t>
        </is>
      </c>
      <c r="G890" s="21" t="inlineStr">
        <is>
          <t>TOTAL</t>
        </is>
      </c>
    </row>
    <row r="891" ht="21" customHeight="1">
      <c r="A891" s="22" t="inlineStr">
        <is>
          <t>00004221</t>
        </is>
      </c>
      <c r="B891" s="23" t="inlineStr">
        <is>
          <t>OLEO DIESEL COMBUSTIVEL COMUM METROPOLITANO S-10 OU S-500</t>
        </is>
      </c>
      <c r="C891" s="22" t="inlineStr">
        <is>
          <t>SINAPI</t>
        </is>
      </c>
      <c r="D891" s="22" t="inlineStr">
        <is>
          <t>L</t>
        </is>
      </c>
      <c r="E891" s="63" t="n">
        <v>32.16</v>
      </c>
      <c r="F891" s="64" t="n">
        <v>6</v>
      </c>
      <c r="G891" s="64">
        <f>TRUNC(TRUNC(E891,8)*F891,2)</f>
        <v/>
      </c>
      <c r="L891" t="n">
        <v>32.16</v>
      </c>
      <c r="M891" t="n">
        <v>6</v>
      </c>
      <c r="N891">
        <f>(M891-F891)</f>
        <v/>
      </c>
    </row>
    <row r="892" ht="15" customHeight="1">
      <c r="A892" s="2" t="inlineStr"/>
      <c r="B892" s="2" t="inlineStr"/>
      <c r="C892" s="2" t="inlineStr"/>
      <c r="D892" s="2" t="inlineStr"/>
      <c r="E892" s="26" t="inlineStr">
        <is>
          <t>TOTAL Material:</t>
        </is>
      </c>
      <c r="F892" s="56" t="n"/>
      <c r="G892" s="65">
        <f>SUM(G891:G891)</f>
        <v/>
      </c>
    </row>
    <row r="893" ht="15" customHeight="1">
      <c r="A893" s="2" t="inlineStr"/>
      <c r="B893" s="2" t="inlineStr"/>
      <c r="C893" s="2" t="inlineStr"/>
      <c r="D893" s="2" t="inlineStr"/>
      <c r="E893" s="28" t="inlineStr">
        <is>
          <t>VALOR:</t>
        </is>
      </c>
      <c r="F893" s="56" t="n"/>
      <c r="G893" s="66">
        <f>ROUND(SUM(G892),2)</f>
        <v/>
      </c>
    </row>
    <row r="894" ht="15" customHeight="1">
      <c r="A894" s="2" t="inlineStr"/>
      <c r="B894" s="2" t="inlineStr"/>
      <c r="C894" s="2" t="inlineStr"/>
      <c r="D894" s="2" t="inlineStr"/>
      <c r="E894" s="28" t="inlineStr">
        <is>
          <t>VALOR BDI (23.08%):</t>
        </is>
      </c>
      <c r="F894" s="56" t="n"/>
      <c r="G894" s="66">
        <f>ROUNDDOWN(G893*BDI,2)</f>
        <v/>
      </c>
    </row>
    <row r="895" ht="15" customHeight="1">
      <c r="A895" s="2" t="inlineStr"/>
      <c r="B895" s="2" t="inlineStr"/>
      <c r="C895" s="2" t="inlineStr"/>
      <c r="D895" s="2" t="inlineStr"/>
      <c r="E895" s="28" t="inlineStr">
        <is>
          <t>VALOR COM BDI:</t>
        </is>
      </c>
      <c r="F895" s="56" t="n"/>
      <c r="G895" s="66">
        <f>G894 + G893</f>
        <v/>
      </c>
    </row>
    <row r="896" ht="10" customHeight="1">
      <c r="A896" s="2" t="inlineStr"/>
      <c r="B896" s="2" t="inlineStr"/>
      <c r="C896" s="2" t="inlineStr"/>
      <c r="D896" s="2" t="inlineStr"/>
      <c r="E896" s="18" t="inlineStr"/>
    </row>
    <row r="897" ht="20" customHeight="1">
      <c r="A897" s="19" t="inlineStr">
        <is>
          <t>​I0706​ CAMINHÃO TANQUE 6.000 l (CHP)​ (H)</t>
        </is>
      </c>
      <c r="B897" s="55" t="n"/>
      <c r="C897" s="55" t="n"/>
      <c r="D897" s="55" t="n"/>
      <c r="E897" s="55" t="n"/>
      <c r="F897" s="55" t="n"/>
      <c r="G897" s="56" t="n"/>
    </row>
    <row r="898" ht="15" customHeight="1">
      <c r="A898" s="20" t="inlineStr">
        <is>
          <t>Geral</t>
        </is>
      </c>
      <c r="B898" s="56" t="n"/>
      <c r="C898" s="21" t="inlineStr">
        <is>
          <t>FONTE</t>
        </is>
      </c>
      <c r="D898" s="21" t="inlineStr">
        <is>
          <t>UNID</t>
        </is>
      </c>
      <c r="E898" s="21" t="inlineStr">
        <is>
          <t>COEFICIENTE</t>
        </is>
      </c>
      <c r="F898" s="21">
        <f>G677</f>
        <v/>
      </c>
      <c r="G898" s="21" t="inlineStr">
        <is>
          <t>TOTAL</t>
        </is>
      </c>
    </row>
    <row r="899" ht="21" customHeight="1">
      <c r="A899" s="22" t="inlineStr">
        <is>
          <t>I2744</t>
        </is>
      </c>
      <c r="B899" s="23" t="inlineStr">
        <is>
          <t>MÃO DE OBRA DE OPERAÇÃO DO CAMINHÃO TANQUE 6.000 L</t>
        </is>
      </c>
      <c r="C899" s="22" t="inlineStr">
        <is>
          <t>SEINFRA</t>
        </is>
      </c>
      <c r="D899" s="22" t="inlineStr">
        <is>
          <t>H</t>
        </is>
      </c>
      <c r="E899" s="63" t="n">
        <v>1</v>
      </c>
      <c r="F899" s="67">
        <f>ROUND(M899*FATOR, 2)</f>
        <v/>
      </c>
      <c r="G899" s="67">
        <f>ROUND(ROUND(E899,8)*F899,4)</f>
        <v/>
      </c>
      <c r="L899" t="n">
        <v>1</v>
      </c>
      <c r="M899" t="n">
        <v>27.46</v>
      </c>
      <c r="N899">
        <f>(M899-F899)</f>
        <v/>
      </c>
    </row>
    <row r="900" ht="15" customHeight="1">
      <c r="A900" s="22" t="inlineStr">
        <is>
          <t>I2743</t>
        </is>
      </c>
      <c r="B900" s="23" t="inlineStr">
        <is>
          <t>MATERIAL DE OPERAÇÃO DO CAMINHÃO TANQUE 6.000 L</t>
        </is>
      </c>
      <c r="C900" s="22" t="inlineStr">
        <is>
          <t>SEINFRA</t>
        </is>
      </c>
      <c r="D900" s="22" t="inlineStr">
        <is>
          <t>H</t>
        </is>
      </c>
      <c r="E900" s="63" t="n">
        <v>1</v>
      </c>
      <c r="F900" s="67">
        <f>ROUND(M900*FATOR, 2)</f>
        <v/>
      </c>
      <c r="G900" s="67">
        <f>ROUND(ROUND(E900,8)*F900,4)</f>
        <v/>
      </c>
      <c r="L900" t="n">
        <v>1</v>
      </c>
      <c r="M900" t="n">
        <v>67.864</v>
      </c>
      <c r="N900">
        <f>(M900-F900)</f>
        <v/>
      </c>
    </row>
    <row r="901" ht="15" customHeight="1">
      <c r="A901" s="22" t="inlineStr">
        <is>
          <t>I2701</t>
        </is>
      </c>
      <c r="B901" s="23" t="inlineStr">
        <is>
          <t>DEPRECIAÇÃO</t>
        </is>
      </c>
      <c r="C901" s="22" t="inlineStr">
        <is>
          <t>SEINFRA</t>
        </is>
      </c>
      <c r="D901" s="22" t="inlineStr">
        <is>
          <t>H</t>
        </is>
      </c>
      <c r="E901" s="63" t="n">
        <v>31.5654</v>
      </c>
      <c r="F901" s="67">
        <f>'COMPOSICOES AUXILIARES'!G677</f>
        <v/>
      </c>
      <c r="G901" s="67">
        <f>ROUND(ROUND(E901,8)*F901,4)</f>
        <v/>
      </c>
      <c r="L901" t="n">
        <v>31.5654</v>
      </c>
      <c r="M901" t="n">
        <v>1</v>
      </c>
      <c r="N901">
        <f>(M901-F901)</f>
        <v/>
      </c>
    </row>
    <row r="902" ht="15" customHeight="1">
      <c r="A902" s="22" t="inlineStr">
        <is>
          <t>I2702</t>
        </is>
      </c>
      <c r="B902" s="23" t="inlineStr">
        <is>
          <t>JUROS</t>
        </is>
      </c>
      <c r="C902" s="22" t="inlineStr">
        <is>
          <t>SEINFRA</t>
        </is>
      </c>
      <c r="D902" s="22" t="inlineStr">
        <is>
          <t>H</t>
        </is>
      </c>
      <c r="E902" s="63" t="n">
        <v>10.6533</v>
      </c>
      <c r="F902" s="67">
        <f>'COMPOSICOES AUXILIARES'!G677</f>
        <v/>
      </c>
      <c r="G902" s="67">
        <f>ROUND(ROUND(E902,8)*F902,4)</f>
        <v/>
      </c>
      <c r="L902" t="n">
        <v>10.6533</v>
      </c>
      <c r="M902" t="n">
        <v>1</v>
      </c>
      <c r="N902">
        <f>(M902-F902)</f>
        <v/>
      </c>
    </row>
    <row r="903" ht="15" customHeight="1">
      <c r="A903" s="22" t="inlineStr">
        <is>
          <t>I2703</t>
        </is>
      </c>
      <c r="B903" s="23" t="inlineStr">
        <is>
          <t>MANUTENÇÃO</t>
        </is>
      </c>
      <c r="C903" s="22" t="inlineStr">
        <is>
          <t>SEINFRA</t>
        </is>
      </c>
      <c r="D903" s="22" t="inlineStr">
        <is>
          <t>H</t>
        </is>
      </c>
      <c r="E903" s="63" t="n">
        <v>47.348</v>
      </c>
      <c r="F903" s="67">
        <f>'COMPOSICOES AUXILIARES'!G677</f>
        <v/>
      </c>
      <c r="G903" s="67">
        <f>ROUND(ROUND(E903,8)*F903,4)</f>
        <v/>
      </c>
      <c r="L903" t="n">
        <v>47.348</v>
      </c>
      <c r="M903" t="n">
        <v>1</v>
      </c>
      <c r="N903">
        <f>(M903-F903)</f>
        <v/>
      </c>
    </row>
    <row r="904" ht="15" customHeight="1">
      <c r="A904" s="2" t="inlineStr"/>
      <c r="B904" s="2" t="inlineStr"/>
      <c r="C904" s="2" t="inlineStr"/>
      <c r="D904" s="2" t="inlineStr"/>
      <c r="E904" s="26" t="inlineStr">
        <is>
          <t>TOTAL Geral:</t>
        </is>
      </c>
      <c r="F904" s="56" t="n"/>
      <c r="G904" s="68">
        <f>SUM(G899:G903)</f>
        <v/>
      </c>
    </row>
    <row r="905" ht="15" customHeight="1">
      <c r="A905" s="2" t="inlineStr"/>
      <c r="B905" s="2" t="inlineStr"/>
      <c r="C905" s="2" t="inlineStr"/>
      <c r="D905" s="2" t="inlineStr"/>
      <c r="E905" s="28" t="inlineStr">
        <is>
          <t>VALOR:</t>
        </is>
      </c>
      <c r="F905" s="56" t="n"/>
      <c r="G905" s="66">
        <f>SUM(G904)</f>
        <v/>
      </c>
    </row>
    <row r="906" ht="15" customHeight="1">
      <c r="A906" s="2" t="inlineStr"/>
      <c r="B906" s="2" t="inlineStr"/>
      <c r="C906" s="2" t="inlineStr"/>
      <c r="D906" s="2" t="inlineStr"/>
      <c r="E906" s="28" t="inlineStr">
        <is>
          <t>VALOR BDI (23.08%):</t>
        </is>
      </c>
      <c r="F906" s="56" t="n"/>
      <c r="G906" s="66">
        <f>ROUNDDOWN(G905*BDI,2)</f>
        <v/>
      </c>
    </row>
    <row r="907" ht="15" customHeight="1">
      <c r="A907" s="2" t="inlineStr"/>
      <c r="B907" s="2" t="inlineStr"/>
      <c r="C907" s="2" t="inlineStr"/>
      <c r="D907" s="2" t="inlineStr"/>
      <c r="E907" s="28" t="inlineStr">
        <is>
          <t>VALOR COM BDI:</t>
        </is>
      </c>
      <c r="F907" s="56" t="n"/>
      <c r="G907" s="66">
        <f>G906 + G905</f>
        <v/>
      </c>
    </row>
    <row r="908" ht="10" customHeight="1">
      <c r="A908" s="2" t="inlineStr"/>
      <c r="B908" s="2" t="inlineStr"/>
      <c r="C908" s="2" t="inlineStr"/>
      <c r="D908" s="2" t="inlineStr"/>
      <c r="E908" s="18" t="inlineStr"/>
    </row>
    <row r="909" ht="20" customHeight="1">
      <c r="A909" s="19" t="inlineStr">
        <is>
          <t>​88261​ CARPINTEIRO DE ESQUADRIAS COM ENCARGOS COMPLEMENTARES​ (H)</t>
        </is>
      </c>
      <c r="B909" s="55" t="n"/>
      <c r="C909" s="55" t="n"/>
      <c r="D909" s="55" t="n"/>
      <c r="E909" s="55" t="n"/>
      <c r="F909" s="55" t="n"/>
      <c r="G909" s="56" t="n"/>
    </row>
    <row r="910" ht="15" customHeight="1">
      <c r="A910" s="20" t="inlineStr">
        <is>
          <t>Encargos Complementares</t>
        </is>
      </c>
      <c r="B910" s="56" t="n"/>
      <c r="C910" s="21" t="inlineStr">
        <is>
          <t>FONTE</t>
        </is>
      </c>
      <c r="D910" s="21" t="inlineStr">
        <is>
          <t>UNID</t>
        </is>
      </c>
      <c r="E910" s="21" t="inlineStr">
        <is>
          <t>COEFICIENTE</t>
        </is>
      </c>
      <c r="F910" s="21" t="inlineStr">
        <is>
          <t>PREÇO UNITÁRIO</t>
        </is>
      </c>
      <c r="G910" s="21" t="inlineStr">
        <is>
          <t>TOTAL</t>
        </is>
      </c>
    </row>
    <row r="911" ht="21" customHeight="1">
      <c r="A911" s="22" t="inlineStr">
        <is>
          <t>00037370</t>
        </is>
      </c>
      <c r="B911" s="23" t="inlineStr">
        <is>
          <t>ALIMENTACAO - HORISTA (COLETADO CAIXA - ENCARGOS COMPLEMENTARES)</t>
        </is>
      </c>
      <c r="C911" s="22" t="inlineStr">
        <is>
          <t>SINAPI</t>
        </is>
      </c>
      <c r="D911" s="22" t="inlineStr">
        <is>
          <t>H</t>
        </is>
      </c>
      <c r="E911" s="63" t="n">
        <v>1</v>
      </c>
      <c r="F911" s="64" t="n">
        <v>3.62</v>
      </c>
      <c r="G911" s="64">
        <f>TRUNC(TRUNC(E911,8)*F911,2)</f>
        <v/>
      </c>
      <c r="L911" t="n">
        <v>1</v>
      </c>
      <c r="M911" t="n">
        <v>3.62</v>
      </c>
      <c r="N911">
        <f>(M911-F911)</f>
        <v/>
      </c>
    </row>
    <row r="912" ht="21" customHeight="1">
      <c r="A912" s="22" t="inlineStr">
        <is>
          <t>00043483</t>
        </is>
      </c>
      <c r="B912" s="23" t="inlineStr">
        <is>
          <t>EPI - FAMILIA CARPINTEIRO DE FORMAS - HORISTA (ENCARGOS COMPLEMENTARES - COLETADO CAIXA)</t>
        </is>
      </c>
      <c r="C912" s="22" t="inlineStr">
        <is>
          <t>SINAPI</t>
        </is>
      </c>
      <c r="D912" s="22" t="inlineStr">
        <is>
          <t>H</t>
        </is>
      </c>
      <c r="E912" s="63" t="n">
        <v>1</v>
      </c>
      <c r="F912" s="64" t="n">
        <v>1.43</v>
      </c>
      <c r="G912" s="64">
        <f>TRUNC(TRUNC(E912,8)*F912,2)</f>
        <v/>
      </c>
      <c r="L912" t="n">
        <v>1</v>
      </c>
      <c r="M912" t="n">
        <v>1.43</v>
      </c>
      <c r="N912">
        <f>(M912-F912)</f>
        <v/>
      </c>
    </row>
    <row r="913" ht="21" customHeight="1">
      <c r="A913" s="22" t="inlineStr">
        <is>
          <t>00037372</t>
        </is>
      </c>
      <c r="B913" s="23" t="inlineStr">
        <is>
          <t>EXAMES - HORISTA (COLETADO CAIXA - ENCARGOS COMPLEMENTARES)</t>
        </is>
      </c>
      <c r="C913" s="22" t="inlineStr">
        <is>
          <t>SINAPI</t>
        </is>
      </c>
      <c r="D913" s="22" t="inlineStr">
        <is>
          <t>H</t>
        </is>
      </c>
      <c r="E913" s="63" t="n">
        <v>1</v>
      </c>
      <c r="F913" s="64" t="n">
        <v>1.43</v>
      </c>
      <c r="G913" s="64">
        <f>TRUNC(TRUNC(E913,8)*F913,2)</f>
        <v/>
      </c>
      <c r="L913" t="n">
        <v>1</v>
      </c>
      <c r="M913" t="n">
        <v>1.43</v>
      </c>
      <c r="N913">
        <f>(M913-F913)</f>
        <v/>
      </c>
    </row>
    <row r="914" ht="29" customHeight="1">
      <c r="A914" s="22" t="inlineStr">
        <is>
          <t>00043459</t>
        </is>
      </c>
      <c r="B914" s="23" t="inlineStr">
        <is>
          <t>FERRAMENTAS - FAMILIA CARPINTEIRO DE FORMAS - HORISTA (ENCARGOS COMPLEMENTARES - COLETADO CAIXA)</t>
        </is>
      </c>
      <c r="C914" s="22" t="inlineStr">
        <is>
          <t>SINAPI</t>
        </is>
      </c>
      <c r="D914" s="22" t="inlineStr">
        <is>
          <t>H</t>
        </is>
      </c>
      <c r="E914" s="63" t="n">
        <v>1</v>
      </c>
      <c r="F914" s="64" t="n">
        <v>0.44</v>
      </c>
      <c r="G914" s="64">
        <f>TRUNC(TRUNC(E914,8)*F914,2)</f>
        <v/>
      </c>
      <c r="L914" t="n">
        <v>1</v>
      </c>
      <c r="M914" t="n">
        <v>0.44</v>
      </c>
      <c r="N914">
        <f>(M914-F914)</f>
        <v/>
      </c>
    </row>
    <row r="915" ht="21" customHeight="1">
      <c r="A915" s="22" t="inlineStr">
        <is>
          <t>00037373</t>
        </is>
      </c>
      <c r="B915" s="23" t="inlineStr">
        <is>
          <t>SEGURO - HORISTA (COLETADO CAIXA - ENCARGOS COMPLEMENTARES)</t>
        </is>
      </c>
      <c r="C915" s="22" t="inlineStr">
        <is>
          <t>SINAPI</t>
        </is>
      </c>
      <c r="D915" s="22" t="inlineStr">
        <is>
          <t>H</t>
        </is>
      </c>
      <c r="E915" s="63" t="n">
        <v>1</v>
      </c>
      <c r="F915" s="64" t="n">
        <v>0.08</v>
      </c>
      <c r="G915" s="64">
        <f>TRUNC(TRUNC(E915,8)*F915,2)</f>
        <v/>
      </c>
      <c r="L915" t="n">
        <v>1</v>
      </c>
      <c r="M915" t="n">
        <v>0.08</v>
      </c>
      <c r="N915">
        <f>(M915-F915)</f>
        <v/>
      </c>
    </row>
    <row r="916" ht="21" customHeight="1">
      <c r="A916" s="22" t="inlineStr">
        <is>
          <t>00037371</t>
        </is>
      </c>
      <c r="B916" s="23" t="inlineStr">
        <is>
          <t>TRANSPORTE - HORISTA (COLETADO CAIXA - ENCARGOS COMPLEMENTARES)</t>
        </is>
      </c>
      <c r="C916" s="22" t="inlineStr">
        <is>
          <t>SINAPI</t>
        </is>
      </c>
      <c r="D916" s="22" t="inlineStr">
        <is>
          <t>H</t>
        </is>
      </c>
      <c r="E916" s="63" t="n">
        <v>1</v>
      </c>
      <c r="F916" s="64" t="n">
        <v>1.09</v>
      </c>
      <c r="G916" s="64">
        <f>TRUNC(TRUNC(E916,8)*F916,2)</f>
        <v/>
      </c>
      <c r="L916" t="n">
        <v>1</v>
      </c>
      <c r="M916" t="n">
        <v>1.09</v>
      </c>
      <c r="N916">
        <f>(M916-F916)</f>
        <v/>
      </c>
    </row>
    <row r="917" ht="15" customHeight="1">
      <c r="A917" s="2" t="inlineStr"/>
      <c r="B917" s="2" t="inlineStr"/>
      <c r="C917" s="2" t="inlineStr"/>
      <c r="D917" s="2" t="inlineStr"/>
      <c r="E917" s="26" t="inlineStr">
        <is>
          <t>TOTAL Encargos Complementares:</t>
        </is>
      </c>
      <c r="F917" s="56" t="n"/>
      <c r="G917" s="65">
        <f>SUM(G911:G916)</f>
        <v/>
      </c>
    </row>
    <row r="918" ht="15" customHeight="1">
      <c r="A918" s="20" t="inlineStr">
        <is>
          <t>Mão de Obra</t>
        </is>
      </c>
      <c r="B918" s="56" t="n"/>
      <c r="C918" s="21" t="inlineStr">
        <is>
          <t>FONTE</t>
        </is>
      </c>
      <c r="D918" s="21" t="inlineStr">
        <is>
          <t>UNID</t>
        </is>
      </c>
      <c r="E918" s="21" t="inlineStr">
        <is>
          <t>COEFICIENTE</t>
        </is>
      </c>
      <c r="F918" s="21" t="inlineStr">
        <is>
          <t>PREÇO UNITÁRIO</t>
        </is>
      </c>
      <c r="G918" s="21" t="inlineStr">
        <is>
          <t>TOTAL</t>
        </is>
      </c>
    </row>
    <row r="919" ht="15" customHeight="1">
      <c r="A919" s="22" t="inlineStr">
        <is>
          <t>00001214</t>
        </is>
      </c>
      <c r="B919" s="23" t="inlineStr">
        <is>
          <t>CARPINTEIRO DE ESQUADRIAS (HORISTA)</t>
        </is>
      </c>
      <c r="C919" s="22" t="inlineStr">
        <is>
          <t>SINAPI</t>
        </is>
      </c>
      <c r="D919" s="22" t="inlineStr">
        <is>
          <t>H</t>
        </is>
      </c>
      <c r="E919" s="63">
        <f>L919*FATOR</f>
        <v/>
      </c>
      <c r="F919" s="64" t="n">
        <v>20.77</v>
      </c>
      <c r="G919" s="64">
        <f>TRUNC(TRUNC(E919,8)*F919,2)</f>
        <v/>
      </c>
      <c r="L919" t="n">
        <v>1</v>
      </c>
      <c r="M919" t="n">
        <v>20.77</v>
      </c>
      <c r="N919">
        <f>(M919-F919)</f>
        <v/>
      </c>
    </row>
    <row r="920" ht="15" customHeight="1">
      <c r="A920" s="2" t="inlineStr"/>
      <c r="B920" s="2" t="inlineStr"/>
      <c r="C920" s="2" t="inlineStr"/>
      <c r="D920" s="2" t="inlineStr"/>
      <c r="E920" s="26" t="inlineStr">
        <is>
          <t>TOTAL Mão de Obra:</t>
        </is>
      </c>
      <c r="F920" s="56" t="n"/>
      <c r="G920" s="65">
        <f>SUM(G919:G919)</f>
        <v/>
      </c>
    </row>
    <row r="921" ht="15" customHeight="1">
      <c r="A921" s="20" t="inlineStr">
        <is>
          <t>Serviço</t>
        </is>
      </c>
      <c r="B921" s="56" t="n"/>
      <c r="C921" s="21" t="inlineStr">
        <is>
          <t>FONTE</t>
        </is>
      </c>
      <c r="D921" s="21" t="inlineStr">
        <is>
          <t>UNID</t>
        </is>
      </c>
      <c r="E921" s="21" t="inlineStr">
        <is>
          <t>COEFICIENTE</t>
        </is>
      </c>
      <c r="F921" s="21" t="inlineStr">
        <is>
          <t>PREÇO UNITÁRIO</t>
        </is>
      </c>
      <c r="G921" s="21" t="inlineStr">
        <is>
          <t>TOTAL</t>
        </is>
      </c>
    </row>
    <row r="922" ht="21" customHeight="1">
      <c r="A922" s="22" t="inlineStr">
        <is>
          <t>95329</t>
        </is>
      </c>
      <c r="B922" s="23" t="inlineStr">
        <is>
          <t>CURSO DE CAPACITAÇÃO PARA CARPINTEIRO DE ESQUADRIA (ENCARGOS COMPLEMENTARES) - HORISTA</t>
        </is>
      </c>
      <c r="C922" s="22" t="inlineStr">
        <is>
          <t>SINAPI</t>
        </is>
      </c>
      <c r="D922" s="22" t="inlineStr">
        <is>
          <t>H</t>
        </is>
      </c>
      <c r="E922" s="63" t="n">
        <v>1</v>
      </c>
      <c r="F922" s="64">
        <f>G1575</f>
        <v/>
      </c>
      <c r="G922" s="64">
        <f>TRUNC(TRUNC(E922,8)*F922,2)</f>
        <v/>
      </c>
      <c r="L922" t="n">
        <v>1</v>
      </c>
      <c r="M922" t="n">
        <v>0.3</v>
      </c>
      <c r="N922">
        <f>(M922-F922)</f>
        <v/>
      </c>
    </row>
    <row r="923" ht="15" customHeight="1">
      <c r="A923" s="2" t="inlineStr"/>
      <c r="B923" s="2" t="inlineStr"/>
      <c r="C923" s="2" t="inlineStr"/>
      <c r="D923" s="2" t="inlineStr"/>
      <c r="E923" s="26" t="inlineStr">
        <is>
          <t>TOTAL Serviço:</t>
        </is>
      </c>
      <c r="F923" s="56" t="n"/>
      <c r="G923" s="65">
        <f>SUM(G922:G922)</f>
        <v/>
      </c>
    </row>
    <row r="924" ht="15" customHeight="1">
      <c r="A924" s="2" t="inlineStr"/>
      <c r="B924" s="2" t="inlineStr"/>
      <c r="C924" s="2" t="inlineStr"/>
      <c r="D924" s="2" t="inlineStr"/>
      <c r="E924" s="28" t="inlineStr">
        <is>
          <t>VALOR:</t>
        </is>
      </c>
      <c r="F924" s="56" t="n"/>
      <c r="G924" s="66">
        <f>SUM(G920,G923,G917)</f>
        <v/>
      </c>
    </row>
    <row r="925" ht="15" customHeight="1">
      <c r="A925" s="2" t="inlineStr"/>
      <c r="B925" s="2" t="inlineStr"/>
      <c r="C925" s="2" t="inlineStr"/>
      <c r="D925" s="2" t="inlineStr"/>
      <c r="E925" s="28" t="inlineStr">
        <is>
          <t>VALOR BDI (23.08%):</t>
        </is>
      </c>
      <c r="F925" s="56" t="n"/>
      <c r="G925" s="66">
        <f>ROUNDDOWN(G924*BDI,2)</f>
        <v/>
      </c>
    </row>
    <row r="926" ht="15" customHeight="1">
      <c r="A926" s="2" t="inlineStr"/>
      <c r="B926" s="2" t="inlineStr"/>
      <c r="C926" s="2" t="inlineStr"/>
      <c r="D926" s="2" t="inlineStr"/>
      <c r="E926" s="28" t="inlineStr">
        <is>
          <t>VALOR COM BDI:</t>
        </is>
      </c>
      <c r="F926" s="56" t="n"/>
      <c r="G926" s="66">
        <f>G925 + G924</f>
        <v/>
      </c>
    </row>
    <row r="927" ht="10" customHeight="1">
      <c r="A927" s="2" t="inlineStr"/>
      <c r="B927" s="2" t="inlineStr"/>
      <c r="C927" s="2" t="inlineStr"/>
      <c r="D927" s="2" t="inlineStr"/>
      <c r="E927" s="18" t="inlineStr"/>
    </row>
    <row r="928" ht="20" customHeight="1">
      <c r="A928" s="19" t="inlineStr">
        <is>
          <t>​88262​ CARPINTEIRO DE FORMAS COM ENCARGOS COMPLEMENTARES​ (H)</t>
        </is>
      </c>
      <c r="B928" s="55" t="n"/>
      <c r="C928" s="55" t="n"/>
      <c r="D928" s="55" t="n"/>
      <c r="E928" s="55" t="n"/>
      <c r="F928" s="55" t="n"/>
      <c r="G928" s="56" t="n"/>
    </row>
    <row r="929" ht="15" customHeight="1">
      <c r="A929" s="20" t="inlineStr">
        <is>
          <t>Encargos Complementares</t>
        </is>
      </c>
      <c r="B929" s="56" t="n"/>
      <c r="C929" s="21" t="inlineStr">
        <is>
          <t>FONTE</t>
        </is>
      </c>
      <c r="D929" s="21" t="inlineStr">
        <is>
          <t>UNID</t>
        </is>
      </c>
      <c r="E929" s="21" t="inlineStr">
        <is>
          <t>COEFICIENTE</t>
        </is>
      </c>
      <c r="F929" s="21" t="inlineStr">
        <is>
          <t>PREÇO UNITÁRIO</t>
        </is>
      </c>
      <c r="G929" s="21" t="inlineStr">
        <is>
          <t>TOTAL</t>
        </is>
      </c>
    </row>
    <row r="930" ht="21" customHeight="1">
      <c r="A930" s="22" t="inlineStr">
        <is>
          <t>00037370</t>
        </is>
      </c>
      <c r="B930" s="23" t="inlineStr">
        <is>
          <t>ALIMENTACAO - HORISTA (COLETADO CAIXA - ENCARGOS COMPLEMENTARES)</t>
        </is>
      </c>
      <c r="C930" s="22" t="inlineStr">
        <is>
          <t>SINAPI</t>
        </is>
      </c>
      <c r="D930" s="22" t="inlineStr">
        <is>
          <t>H</t>
        </is>
      </c>
      <c r="E930" s="63" t="n">
        <v>1</v>
      </c>
      <c r="F930" s="64" t="n">
        <v>3.62</v>
      </c>
      <c r="G930" s="64">
        <f>TRUNC(TRUNC(E930,8)*F930,2)</f>
        <v/>
      </c>
      <c r="L930" t="n">
        <v>1</v>
      </c>
      <c r="M930" t="n">
        <v>3.62</v>
      </c>
      <c r="N930">
        <f>(M930-F930)</f>
        <v/>
      </c>
    </row>
    <row r="931" ht="21" customHeight="1">
      <c r="A931" s="22" t="inlineStr">
        <is>
          <t>00043483</t>
        </is>
      </c>
      <c r="B931" s="23" t="inlineStr">
        <is>
          <t>EPI - FAMILIA CARPINTEIRO DE FORMAS - HORISTA (ENCARGOS COMPLEMENTARES - COLETADO CAIXA)</t>
        </is>
      </c>
      <c r="C931" s="22" t="inlineStr">
        <is>
          <t>SINAPI</t>
        </is>
      </c>
      <c r="D931" s="22" t="inlineStr">
        <is>
          <t>H</t>
        </is>
      </c>
      <c r="E931" s="63" t="n">
        <v>1</v>
      </c>
      <c r="F931" s="64" t="n">
        <v>1.43</v>
      </c>
      <c r="G931" s="64">
        <f>TRUNC(TRUNC(E931,8)*F931,2)</f>
        <v/>
      </c>
      <c r="L931" t="n">
        <v>1</v>
      </c>
      <c r="M931" t="n">
        <v>1.43</v>
      </c>
      <c r="N931">
        <f>(M931-F931)</f>
        <v/>
      </c>
    </row>
    <row r="932" ht="21" customHeight="1">
      <c r="A932" s="22" t="inlineStr">
        <is>
          <t>00037372</t>
        </is>
      </c>
      <c r="B932" s="23" t="inlineStr">
        <is>
          <t>EXAMES - HORISTA (COLETADO CAIXA - ENCARGOS COMPLEMENTARES)</t>
        </is>
      </c>
      <c r="C932" s="22" t="inlineStr">
        <is>
          <t>SINAPI</t>
        </is>
      </c>
      <c r="D932" s="22" t="inlineStr">
        <is>
          <t>H</t>
        </is>
      </c>
      <c r="E932" s="63" t="n">
        <v>1</v>
      </c>
      <c r="F932" s="64" t="n">
        <v>1.43</v>
      </c>
      <c r="G932" s="64">
        <f>TRUNC(TRUNC(E932,8)*F932,2)</f>
        <v/>
      </c>
      <c r="L932" t="n">
        <v>1</v>
      </c>
      <c r="M932" t="n">
        <v>1.43</v>
      </c>
      <c r="N932">
        <f>(M932-F932)</f>
        <v/>
      </c>
    </row>
    <row r="933" ht="29" customHeight="1">
      <c r="A933" s="22" t="inlineStr">
        <is>
          <t>00043459</t>
        </is>
      </c>
      <c r="B933" s="23" t="inlineStr">
        <is>
          <t>FERRAMENTAS - FAMILIA CARPINTEIRO DE FORMAS - HORISTA (ENCARGOS COMPLEMENTARES - COLETADO CAIXA)</t>
        </is>
      </c>
      <c r="C933" s="22" t="inlineStr">
        <is>
          <t>SINAPI</t>
        </is>
      </c>
      <c r="D933" s="22" t="inlineStr">
        <is>
          <t>H</t>
        </is>
      </c>
      <c r="E933" s="63" t="n">
        <v>1</v>
      </c>
      <c r="F933" s="64" t="n">
        <v>0.44</v>
      </c>
      <c r="G933" s="64">
        <f>TRUNC(TRUNC(E933,8)*F933,2)</f>
        <v/>
      </c>
      <c r="L933" t="n">
        <v>1</v>
      </c>
      <c r="M933" t="n">
        <v>0.44</v>
      </c>
      <c r="N933">
        <f>(M933-F933)</f>
        <v/>
      </c>
    </row>
    <row r="934" ht="21" customHeight="1">
      <c r="A934" s="22" t="inlineStr">
        <is>
          <t>00037373</t>
        </is>
      </c>
      <c r="B934" s="23" t="inlineStr">
        <is>
          <t>SEGURO - HORISTA (COLETADO CAIXA - ENCARGOS COMPLEMENTARES)</t>
        </is>
      </c>
      <c r="C934" s="22" t="inlineStr">
        <is>
          <t>SINAPI</t>
        </is>
      </c>
      <c r="D934" s="22" t="inlineStr">
        <is>
          <t>H</t>
        </is>
      </c>
      <c r="E934" s="63" t="n">
        <v>1</v>
      </c>
      <c r="F934" s="64" t="n">
        <v>0.08</v>
      </c>
      <c r="G934" s="64">
        <f>TRUNC(TRUNC(E934,8)*F934,2)</f>
        <v/>
      </c>
      <c r="L934" t="n">
        <v>1</v>
      </c>
      <c r="M934" t="n">
        <v>0.08</v>
      </c>
      <c r="N934">
        <f>(M934-F934)</f>
        <v/>
      </c>
    </row>
    <row r="935" ht="21" customHeight="1">
      <c r="A935" s="22" t="inlineStr">
        <is>
          <t>00037371</t>
        </is>
      </c>
      <c r="B935" s="23" t="inlineStr">
        <is>
          <t>TRANSPORTE - HORISTA (COLETADO CAIXA - ENCARGOS COMPLEMENTARES)</t>
        </is>
      </c>
      <c r="C935" s="22" t="inlineStr">
        <is>
          <t>SINAPI</t>
        </is>
      </c>
      <c r="D935" s="22" t="inlineStr">
        <is>
          <t>H</t>
        </is>
      </c>
      <c r="E935" s="63" t="n">
        <v>1</v>
      </c>
      <c r="F935" s="64" t="n">
        <v>1.09</v>
      </c>
      <c r="G935" s="64">
        <f>TRUNC(TRUNC(E935,8)*F935,2)</f>
        <v/>
      </c>
      <c r="L935" t="n">
        <v>1</v>
      </c>
      <c r="M935" t="n">
        <v>1.09</v>
      </c>
      <c r="N935">
        <f>(M935-F935)</f>
        <v/>
      </c>
    </row>
    <row r="936" ht="15" customHeight="1">
      <c r="A936" s="2" t="inlineStr"/>
      <c r="B936" s="2" t="inlineStr"/>
      <c r="C936" s="2" t="inlineStr"/>
      <c r="D936" s="2" t="inlineStr"/>
      <c r="E936" s="26" t="inlineStr">
        <is>
          <t>TOTAL Encargos Complementares:</t>
        </is>
      </c>
      <c r="F936" s="56" t="n"/>
      <c r="G936" s="65">
        <f>SUM(G930:G935)</f>
        <v/>
      </c>
    </row>
    <row r="937" ht="15" customHeight="1">
      <c r="A937" s="20" t="inlineStr">
        <is>
          <t>Mão de Obra</t>
        </is>
      </c>
      <c r="B937" s="56" t="n"/>
      <c r="C937" s="21" t="inlineStr">
        <is>
          <t>FONTE</t>
        </is>
      </c>
      <c r="D937" s="21" t="inlineStr">
        <is>
          <t>UNID</t>
        </is>
      </c>
      <c r="E937" s="21" t="inlineStr">
        <is>
          <t>COEFICIENTE</t>
        </is>
      </c>
      <c r="F937" s="21" t="inlineStr">
        <is>
          <t>PREÇO UNITÁRIO</t>
        </is>
      </c>
      <c r="G937" s="21" t="inlineStr">
        <is>
          <t>TOTAL</t>
        </is>
      </c>
    </row>
    <row r="938" ht="15" customHeight="1">
      <c r="A938" s="22" t="inlineStr">
        <is>
          <t>00001213</t>
        </is>
      </c>
      <c r="B938" s="23" t="inlineStr">
        <is>
          <t>CARPINTEIRO DE FORMAS PARA CONCRETO (HORISTA)</t>
        </is>
      </c>
      <c r="C938" s="22" t="inlineStr">
        <is>
          <t>SINAPI</t>
        </is>
      </c>
      <c r="D938" s="22" t="inlineStr">
        <is>
          <t>H</t>
        </is>
      </c>
      <c r="E938" s="63">
        <f>L938*FATOR</f>
        <v/>
      </c>
      <c r="F938" s="64" t="n">
        <v>21.81</v>
      </c>
      <c r="G938" s="64">
        <f>TRUNC(TRUNC(E938,8)*F938,2)</f>
        <v/>
      </c>
      <c r="L938" t="n">
        <v>1</v>
      </c>
      <c r="M938" t="n">
        <v>21.81</v>
      </c>
      <c r="N938">
        <f>(M938-F938)</f>
        <v/>
      </c>
    </row>
    <row r="939" ht="15" customHeight="1">
      <c r="A939" s="2" t="inlineStr"/>
      <c r="B939" s="2" t="inlineStr"/>
      <c r="C939" s="2" t="inlineStr"/>
      <c r="D939" s="2" t="inlineStr"/>
      <c r="E939" s="26" t="inlineStr">
        <is>
          <t>TOTAL Mão de Obra:</t>
        </is>
      </c>
      <c r="F939" s="56" t="n"/>
      <c r="G939" s="65">
        <f>SUM(G938:G938)</f>
        <v/>
      </c>
    </row>
    <row r="940" ht="15" customHeight="1">
      <c r="A940" s="20" t="inlineStr">
        <is>
          <t>Serviço</t>
        </is>
      </c>
      <c r="B940" s="56" t="n"/>
      <c r="C940" s="21" t="inlineStr">
        <is>
          <t>FONTE</t>
        </is>
      </c>
      <c r="D940" s="21" t="inlineStr">
        <is>
          <t>UNID</t>
        </is>
      </c>
      <c r="E940" s="21" t="inlineStr">
        <is>
          <t>COEFICIENTE</t>
        </is>
      </c>
      <c r="F940" s="21" t="inlineStr">
        <is>
          <t>PREÇO UNITÁRIO</t>
        </is>
      </c>
      <c r="G940" s="21" t="inlineStr">
        <is>
          <t>TOTAL</t>
        </is>
      </c>
    </row>
    <row r="941" ht="21" customHeight="1">
      <c r="A941" s="22" t="inlineStr">
        <is>
          <t>95330</t>
        </is>
      </c>
      <c r="B941" s="23" t="inlineStr">
        <is>
          <t>CURSO DE CAPACITAÇÃO PARA CARPINTEIRO DE FÔRMAS (ENCARGOS COMPLEMENTARES) - HORISTA</t>
        </is>
      </c>
      <c r="C941" s="22" t="inlineStr">
        <is>
          <t>SINAPI</t>
        </is>
      </c>
      <c r="D941" s="22" t="inlineStr">
        <is>
          <t>H</t>
        </is>
      </c>
      <c r="E941" s="63" t="n">
        <v>1</v>
      </c>
      <c r="F941" s="64">
        <f>G1583</f>
        <v/>
      </c>
      <c r="G941" s="64">
        <f>TRUNC(TRUNC(E941,8)*F941,2)</f>
        <v/>
      </c>
      <c r="L941" t="n">
        <v>1</v>
      </c>
      <c r="M941" t="n">
        <v>0.25</v>
      </c>
      <c r="N941">
        <f>(M941-F941)</f>
        <v/>
      </c>
    </row>
    <row r="942" ht="15" customHeight="1">
      <c r="A942" s="2" t="inlineStr"/>
      <c r="B942" s="2" t="inlineStr"/>
      <c r="C942" s="2" t="inlineStr"/>
      <c r="D942" s="2" t="inlineStr"/>
      <c r="E942" s="26" t="inlineStr">
        <is>
          <t>TOTAL Serviço:</t>
        </is>
      </c>
      <c r="F942" s="56" t="n"/>
      <c r="G942" s="65">
        <f>SUM(G941:G941)</f>
        <v/>
      </c>
    </row>
    <row r="943" ht="15" customHeight="1">
      <c r="A943" s="2" t="inlineStr"/>
      <c r="B943" s="2" t="inlineStr"/>
      <c r="C943" s="2" t="inlineStr"/>
      <c r="D943" s="2" t="inlineStr"/>
      <c r="E943" s="28" t="inlineStr">
        <is>
          <t>VALOR:</t>
        </is>
      </c>
      <c r="F943" s="56" t="n"/>
      <c r="G943" s="66">
        <f>SUM(G936,G939,G942)</f>
        <v/>
      </c>
    </row>
    <row r="944" ht="15" customHeight="1">
      <c r="A944" s="2" t="inlineStr"/>
      <c r="B944" s="2" t="inlineStr"/>
      <c r="C944" s="2" t="inlineStr"/>
      <c r="D944" s="2" t="inlineStr"/>
      <c r="E944" s="28" t="inlineStr">
        <is>
          <t>VALOR BDI (23.08%):</t>
        </is>
      </c>
      <c r="F944" s="56" t="n"/>
      <c r="G944" s="66">
        <f>ROUNDDOWN(G943*BDI,2)</f>
        <v/>
      </c>
    </row>
    <row r="945" ht="15" customHeight="1">
      <c r="A945" s="2" t="inlineStr"/>
      <c r="B945" s="2" t="inlineStr"/>
      <c r="C945" s="2" t="inlineStr"/>
      <c r="D945" s="2" t="inlineStr"/>
      <c r="E945" s="28" t="inlineStr">
        <is>
          <t>VALOR COM BDI:</t>
        </is>
      </c>
      <c r="F945" s="56" t="n"/>
      <c r="G945" s="66">
        <f>G944 + G943</f>
        <v/>
      </c>
    </row>
    <row r="946" ht="10" customHeight="1">
      <c r="A946" s="2" t="inlineStr"/>
      <c r="B946" s="2" t="inlineStr"/>
      <c r="C946" s="2" t="inlineStr"/>
      <c r="D946" s="2" t="inlineStr"/>
      <c r="E946" s="18" t="inlineStr"/>
    </row>
    <row r="947" ht="20" customHeight="1">
      <c r="A947" s="19" t="inlineStr">
        <is>
          <t>​I0708​ CARREGADEIRA DE PNEUS HP 111 (CHP)​ (H)</t>
        </is>
      </c>
      <c r="B947" s="55" t="n"/>
      <c r="C947" s="55" t="n"/>
      <c r="D947" s="55" t="n"/>
      <c r="E947" s="55" t="n"/>
      <c r="F947" s="55" t="n"/>
      <c r="G947" s="56" t="n"/>
    </row>
    <row r="948" ht="15" customHeight="1">
      <c r="A948" s="20" t="inlineStr">
        <is>
          <t>Geral</t>
        </is>
      </c>
      <c r="B948" s="56" t="n"/>
      <c r="C948" s="21" t="inlineStr">
        <is>
          <t>FONTE</t>
        </is>
      </c>
      <c r="D948" s="21" t="inlineStr">
        <is>
          <t>UNID</t>
        </is>
      </c>
      <c r="E948" s="21" t="inlineStr">
        <is>
          <t>COEFICIENTE</t>
        </is>
      </c>
      <c r="F948" s="21">
        <f>G677</f>
        <v/>
      </c>
      <c r="G948" s="21" t="inlineStr">
        <is>
          <t>TOTAL</t>
        </is>
      </c>
    </row>
    <row r="949" ht="21" customHeight="1">
      <c r="A949" s="22" t="inlineStr">
        <is>
          <t>I2753</t>
        </is>
      </c>
      <c r="B949" s="23" t="inlineStr">
        <is>
          <t>MÃO DE OBRA DE OPERAÇÃO DA CARREGADEIRA DE PNEUS (111 HP)</t>
        </is>
      </c>
      <c r="C949" s="22" t="inlineStr">
        <is>
          <t>SEINFRA</t>
        </is>
      </c>
      <c r="D949" s="22" t="inlineStr">
        <is>
          <t>H</t>
        </is>
      </c>
      <c r="E949" s="63" t="n">
        <v>1</v>
      </c>
      <c r="F949" s="67">
        <f>ROUND(M949*FATOR, 2)</f>
        <v/>
      </c>
      <c r="G949" s="67">
        <f>ROUND(ROUND(E949,8)*F949,4)</f>
        <v/>
      </c>
      <c r="L949" t="n">
        <v>1</v>
      </c>
      <c r="M949" t="n">
        <v>32.45</v>
      </c>
      <c r="N949">
        <f>(M949-F949)</f>
        <v/>
      </c>
    </row>
    <row r="950" ht="21" customHeight="1">
      <c r="A950" s="22" t="inlineStr">
        <is>
          <t>I2752</t>
        </is>
      </c>
      <c r="B950" s="23" t="inlineStr">
        <is>
          <t>MATERIAL DE OPERAÇÃO DA CARREGADEIRA DE PNEUS (111 HP)</t>
        </is>
      </c>
      <c r="C950" s="22" t="inlineStr">
        <is>
          <t>SEINFRA</t>
        </is>
      </c>
      <c r="D950" s="22" t="inlineStr">
        <is>
          <t>H</t>
        </is>
      </c>
      <c r="E950" s="63" t="n">
        <v>1</v>
      </c>
      <c r="F950" s="67">
        <f>ROUND(M950*FATOR, 2)</f>
        <v/>
      </c>
      <c r="G950" s="67">
        <f>ROUND(ROUND(E950,8)*F950,4)</f>
        <v/>
      </c>
      <c r="L950" t="n">
        <v>1</v>
      </c>
      <c r="M950" t="n">
        <v>83.0835</v>
      </c>
      <c r="N950">
        <f>(M950-F950)</f>
        <v/>
      </c>
    </row>
    <row r="951" ht="15" customHeight="1">
      <c r="A951" s="22" t="inlineStr">
        <is>
          <t>I2701</t>
        </is>
      </c>
      <c r="B951" s="23" t="inlineStr">
        <is>
          <t>DEPRECIAÇÃO</t>
        </is>
      </c>
      <c r="C951" s="22" t="inlineStr">
        <is>
          <t>SEINFRA</t>
        </is>
      </c>
      <c r="D951" s="22" t="inlineStr">
        <is>
          <t>H</t>
        </is>
      </c>
      <c r="E951" s="63" t="n">
        <v>41.568</v>
      </c>
      <c r="F951" s="67">
        <f>'COMPOSICOES AUXILIARES'!G677</f>
        <v/>
      </c>
      <c r="G951" s="67">
        <f>ROUND(ROUND(E951,8)*F951,4)</f>
        <v/>
      </c>
      <c r="L951" t="n">
        <v>41.568</v>
      </c>
      <c r="M951" t="n">
        <v>1</v>
      </c>
      <c r="N951">
        <f>(M951-F951)</f>
        <v/>
      </c>
    </row>
    <row r="952" ht="15" customHeight="1">
      <c r="A952" s="22" t="inlineStr">
        <is>
          <t>I2702</t>
        </is>
      </c>
      <c r="B952" s="23" t="inlineStr">
        <is>
          <t>JUROS</t>
        </is>
      </c>
      <c r="C952" s="22" t="inlineStr">
        <is>
          <t>SEINFRA</t>
        </is>
      </c>
      <c r="D952" s="22" t="inlineStr">
        <is>
          <t>H</t>
        </is>
      </c>
      <c r="E952" s="63" t="n">
        <v>14.0292</v>
      </c>
      <c r="F952" s="67">
        <f>'COMPOSICOES AUXILIARES'!G677</f>
        <v/>
      </c>
      <c r="G952" s="67">
        <f>ROUND(ROUND(E952,8)*F952,4)</f>
        <v/>
      </c>
      <c r="L952" t="n">
        <v>14.0292</v>
      </c>
      <c r="M952" t="n">
        <v>1</v>
      </c>
      <c r="N952">
        <f>(M952-F952)</f>
        <v/>
      </c>
    </row>
    <row r="953" ht="15" customHeight="1">
      <c r="A953" s="22" t="inlineStr">
        <is>
          <t>I2703</t>
        </is>
      </c>
      <c r="B953" s="23" t="inlineStr">
        <is>
          <t>MANUTENÇÃO</t>
        </is>
      </c>
      <c r="C953" s="22" t="inlineStr">
        <is>
          <t>SEINFRA</t>
        </is>
      </c>
      <c r="D953" s="22" t="inlineStr">
        <is>
          <t>H</t>
        </is>
      </c>
      <c r="E953" s="63" t="n">
        <v>62.352</v>
      </c>
      <c r="F953" s="67">
        <f>'COMPOSICOES AUXILIARES'!G677</f>
        <v/>
      </c>
      <c r="G953" s="67">
        <f>ROUND(ROUND(E953,8)*F953,4)</f>
        <v/>
      </c>
      <c r="L953" t="n">
        <v>62.352</v>
      </c>
      <c r="M953" t="n">
        <v>1</v>
      </c>
      <c r="N953">
        <f>(M953-F953)</f>
        <v/>
      </c>
    </row>
    <row r="954" ht="15" customHeight="1">
      <c r="A954" s="2" t="inlineStr"/>
      <c r="B954" s="2" t="inlineStr"/>
      <c r="C954" s="2" t="inlineStr"/>
      <c r="D954" s="2" t="inlineStr"/>
      <c r="E954" s="26" t="inlineStr">
        <is>
          <t>TOTAL Geral:</t>
        </is>
      </c>
      <c r="F954" s="56" t="n"/>
      <c r="G954" s="68">
        <f>SUM(G949:G953)</f>
        <v/>
      </c>
    </row>
    <row r="955" ht="15" customHeight="1">
      <c r="A955" s="2" t="inlineStr"/>
      <c r="B955" s="2" t="inlineStr"/>
      <c r="C955" s="2" t="inlineStr"/>
      <c r="D955" s="2" t="inlineStr"/>
      <c r="E955" s="28" t="inlineStr">
        <is>
          <t>VALOR:</t>
        </is>
      </c>
      <c r="F955" s="56" t="n"/>
      <c r="G955" s="66">
        <f>SUM(G954)</f>
        <v/>
      </c>
    </row>
    <row r="956" ht="15" customHeight="1">
      <c r="A956" s="2" t="inlineStr"/>
      <c r="B956" s="2" t="inlineStr"/>
      <c r="C956" s="2" t="inlineStr"/>
      <c r="D956" s="2" t="inlineStr"/>
      <c r="E956" s="28" t="inlineStr">
        <is>
          <t>VALOR BDI (23.08%):</t>
        </is>
      </c>
      <c r="F956" s="56" t="n"/>
      <c r="G956" s="66">
        <f>ROUNDDOWN(G955*BDI,2)</f>
        <v/>
      </c>
    </row>
    <row r="957" ht="15" customHeight="1">
      <c r="A957" s="2" t="inlineStr"/>
      <c r="B957" s="2" t="inlineStr"/>
      <c r="C957" s="2" t="inlineStr"/>
      <c r="D957" s="2" t="inlineStr"/>
      <c r="E957" s="28" t="inlineStr">
        <is>
          <t>VALOR COM BDI:</t>
        </is>
      </c>
      <c r="F957" s="56" t="n"/>
      <c r="G957" s="66">
        <f>G956 + G955</f>
        <v/>
      </c>
    </row>
    <row r="958" ht="10" customHeight="1">
      <c r="A958" s="2" t="inlineStr"/>
      <c r="B958" s="2" t="inlineStr"/>
      <c r="C958" s="2" t="inlineStr"/>
      <c r="D958" s="2" t="inlineStr"/>
      <c r="E958" s="18" t="inlineStr"/>
    </row>
    <row r="959" ht="20" customHeight="1">
      <c r="A959" s="19" t="inlineStr">
        <is>
          <t>​I0612​ COMPACTADOR DE PLACA VIBRATÓRIA HP 7 (CHI)​ (H)</t>
        </is>
      </c>
      <c r="B959" s="55" t="n"/>
      <c r="C959" s="55" t="n"/>
      <c r="D959" s="55" t="n"/>
      <c r="E959" s="55" t="n"/>
      <c r="F959" s="55" t="n"/>
      <c r="G959" s="56" t="n"/>
    </row>
    <row r="960" ht="15" customHeight="1">
      <c r="A960" s="20" t="inlineStr">
        <is>
          <t>Geral</t>
        </is>
      </c>
      <c r="B960" s="56" t="n"/>
      <c r="C960" s="21" t="inlineStr">
        <is>
          <t>FONTE</t>
        </is>
      </c>
      <c r="D960" s="21" t="inlineStr">
        <is>
          <t>UNID</t>
        </is>
      </c>
      <c r="E960" s="21" t="inlineStr">
        <is>
          <t>COEFICIENTE</t>
        </is>
      </c>
      <c r="F960" s="21">
        <f>G677</f>
        <v/>
      </c>
      <c r="G960" s="21" t="inlineStr">
        <is>
          <t>TOTAL</t>
        </is>
      </c>
    </row>
    <row r="961" ht="21" customHeight="1">
      <c r="A961" s="22" t="inlineStr">
        <is>
          <t>I2772</t>
        </is>
      </c>
      <c r="B961" s="23" t="inlineStr">
        <is>
          <t>MÃO DE OBRA DE OPERAÇÃO DO COMPACTADOR DE PLACA VIBRATÓRIA (7 HP)</t>
        </is>
      </c>
      <c r="C961" s="22" t="inlineStr">
        <is>
          <t>SEINFRA</t>
        </is>
      </c>
      <c r="D961" s="22" t="inlineStr">
        <is>
          <t>H</t>
        </is>
      </c>
      <c r="E961" s="63" t="n">
        <v>1</v>
      </c>
      <c r="F961" s="67">
        <f>ROUND(M961*FATOR, 2)</f>
        <v/>
      </c>
      <c r="G961" s="67">
        <f>ROUND(ROUND(E961,8)*F961,4)</f>
        <v/>
      </c>
      <c r="L961" t="n">
        <v>1</v>
      </c>
      <c r="M961" t="n">
        <v>23.71</v>
      </c>
      <c r="N961">
        <f>(M961-F961)</f>
        <v/>
      </c>
    </row>
    <row r="962" ht="15" customHeight="1">
      <c r="A962" s="22" t="inlineStr">
        <is>
          <t>I2701</t>
        </is>
      </c>
      <c r="B962" s="23" t="inlineStr">
        <is>
          <t>DEPRECIAÇÃO</t>
        </is>
      </c>
      <c r="C962" s="22" t="inlineStr">
        <is>
          <t>SEINFRA</t>
        </is>
      </c>
      <c r="D962" s="22" t="inlineStr">
        <is>
          <t>H</t>
        </is>
      </c>
      <c r="E962" s="63" t="n">
        <v>9.0832</v>
      </c>
      <c r="F962" s="67">
        <f>'COMPOSICOES AUXILIARES'!G677</f>
        <v/>
      </c>
      <c r="G962" s="67">
        <f>ROUND(ROUND(E962,8)*F962,4)</f>
        <v/>
      </c>
      <c r="L962" t="n">
        <v>9.0832</v>
      </c>
      <c r="M962" t="n">
        <v>1</v>
      </c>
      <c r="N962">
        <f>(M962-F962)</f>
        <v/>
      </c>
    </row>
    <row r="963" ht="15" customHeight="1">
      <c r="A963" s="22" t="inlineStr">
        <is>
          <t>I2702</t>
        </is>
      </c>
      <c r="B963" s="23" t="inlineStr">
        <is>
          <t>JUROS</t>
        </is>
      </c>
      <c r="C963" s="22" t="inlineStr">
        <is>
          <t>SEINFRA</t>
        </is>
      </c>
      <c r="D963" s="22" t="inlineStr">
        <is>
          <t>H</t>
        </is>
      </c>
      <c r="E963" s="63" t="n">
        <v>2.0079</v>
      </c>
      <c r="F963" s="67">
        <f>'COMPOSICOES AUXILIARES'!G677</f>
        <v/>
      </c>
      <c r="G963" s="67">
        <f>ROUND(ROUND(E963,8)*F963,4)</f>
        <v/>
      </c>
      <c r="L963" t="n">
        <v>2.0079</v>
      </c>
      <c r="M963" t="n">
        <v>1</v>
      </c>
      <c r="N963">
        <f>(M963-F963)</f>
        <v/>
      </c>
    </row>
    <row r="964" ht="15" customHeight="1">
      <c r="A964" s="2" t="inlineStr"/>
      <c r="B964" s="2" t="inlineStr"/>
      <c r="C964" s="2" t="inlineStr"/>
      <c r="D964" s="2" t="inlineStr"/>
      <c r="E964" s="26" t="inlineStr">
        <is>
          <t>TOTAL Geral:</t>
        </is>
      </c>
      <c r="F964" s="56" t="n"/>
      <c r="G964" s="68">
        <f>SUM(G961:G963)</f>
        <v/>
      </c>
    </row>
    <row r="965" ht="15" customHeight="1">
      <c r="A965" s="2" t="inlineStr"/>
      <c r="B965" s="2" t="inlineStr"/>
      <c r="C965" s="2" t="inlineStr"/>
      <c r="D965" s="2" t="inlineStr"/>
      <c r="E965" s="28" t="inlineStr">
        <is>
          <t>VALOR:</t>
        </is>
      </c>
      <c r="F965" s="56" t="n"/>
      <c r="G965" s="66">
        <f>SUM(G964)</f>
        <v/>
      </c>
    </row>
    <row r="966" ht="15" customHeight="1">
      <c r="A966" s="2" t="inlineStr"/>
      <c r="B966" s="2" t="inlineStr"/>
      <c r="C966" s="2" t="inlineStr"/>
      <c r="D966" s="2" t="inlineStr"/>
      <c r="E966" s="28" t="inlineStr">
        <is>
          <t>VALOR BDI (23.08%):</t>
        </is>
      </c>
      <c r="F966" s="56" t="n"/>
      <c r="G966" s="66">
        <f>ROUNDDOWN(G965*BDI,2)</f>
        <v/>
      </c>
    </row>
    <row r="967" ht="15" customHeight="1">
      <c r="A967" s="2" t="inlineStr"/>
      <c r="B967" s="2" t="inlineStr"/>
      <c r="C967" s="2" t="inlineStr"/>
      <c r="D967" s="2" t="inlineStr"/>
      <c r="E967" s="28" t="inlineStr">
        <is>
          <t>VALOR COM BDI:</t>
        </is>
      </c>
      <c r="F967" s="56" t="n"/>
      <c r="G967" s="66">
        <f>G966 + G965</f>
        <v/>
      </c>
    </row>
    <row r="968" ht="10" customHeight="1">
      <c r="A968" s="2" t="inlineStr"/>
      <c r="B968" s="2" t="inlineStr"/>
      <c r="C968" s="2" t="inlineStr"/>
      <c r="D968" s="2" t="inlineStr"/>
      <c r="E968" s="18" t="inlineStr"/>
    </row>
    <row r="969" ht="20" customHeight="1">
      <c r="A969" s="19" t="inlineStr">
        <is>
          <t>​I0725​ COMPACTADOR DE PLACA VIBRATÓRIA HP 7 (CHP)​ (H)</t>
        </is>
      </c>
      <c r="B969" s="55" t="n"/>
      <c r="C969" s="55" t="n"/>
      <c r="D969" s="55" t="n"/>
      <c r="E969" s="55" t="n"/>
      <c r="F969" s="55" t="n"/>
      <c r="G969" s="56" t="n"/>
    </row>
    <row r="970" ht="15" customHeight="1">
      <c r="A970" s="20" t="inlineStr">
        <is>
          <t>Geral</t>
        </is>
      </c>
      <c r="B970" s="56" t="n"/>
      <c r="C970" s="21" t="inlineStr">
        <is>
          <t>FONTE</t>
        </is>
      </c>
      <c r="D970" s="21" t="inlineStr">
        <is>
          <t>UNID</t>
        </is>
      </c>
      <c r="E970" s="21" t="inlineStr">
        <is>
          <t>COEFICIENTE</t>
        </is>
      </c>
      <c r="F970" s="21">
        <f>G677</f>
        <v/>
      </c>
      <c r="G970" s="21" t="inlineStr">
        <is>
          <t>TOTAL</t>
        </is>
      </c>
    </row>
    <row r="971" ht="21" customHeight="1">
      <c r="A971" s="22" t="inlineStr">
        <is>
          <t>I2772</t>
        </is>
      </c>
      <c r="B971" s="23" t="inlineStr">
        <is>
          <t>MÃO DE OBRA DE OPERAÇÃO DO COMPACTADOR DE PLACA VIBRATÓRIA (7 HP)</t>
        </is>
      </c>
      <c r="C971" s="22" t="inlineStr">
        <is>
          <t>SEINFRA</t>
        </is>
      </c>
      <c r="D971" s="22" t="inlineStr">
        <is>
          <t>H</t>
        </is>
      </c>
      <c r="E971" s="63" t="n">
        <v>1</v>
      </c>
      <c r="F971" s="67" t="n">
        <v>23.71</v>
      </c>
      <c r="G971" s="67">
        <f>ROUND(ROUND(E971,8)*F971,4)</f>
        <v/>
      </c>
      <c r="L971" t="n">
        <v>1</v>
      </c>
      <c r="M971" t="n">
        <v>23.71</v>
      </c>
      <c r="N971">
        <f>(M971-F971)</f>
        <v/>
      </c>
    </row>
    <row r="972" ht="21" customHeight="1">
      <c r="A972" s="22" t="inlineStr">
        <is>
          <t>I2771</t>
        </is>
      </c>
      <c r="B972" s="23" t="inlineStr">
        <is>
          <t>MATERIAL DE OPERAÇÃO DO COMPACTADOR DE PLACA VIBRATÓRIA (7 HP)</t>
        </is>
      </c>
      <c r="C972" s="22" t="inlineStr">
        <is>
          <t>SEINFRA</t>
        </is>
      </c>
      <c r="D972" s="22" t="inlineStr">
        <is>
          <t>H</t>
        </is>
      </c>
      <c r="E972" s="63" t="n">
        <v>1</v>
      </c>
      <c r="F972" s="67" t="n">
        <v>5.2395</v>
      </c>
      <c r="G972" s="67">
        <f>ROUND(ROUND(E972,8)*F972,4)</f>
        <v/>
      </c>
      <c r="L972" t="n">
        <v>1</v>
      </c>
      <c r="M972" t="n">
        <v>5.2395</v>
      </c>
      <c r="N972">
        <f>(M972-F972)</f>
        <v/>
      </c>
    </row>
    <row r="973" ht="15" customHeight="1">
      <c r="A973" s="22" t="inlineStr">
        <is>
          <t>I2701</t>
        </is>
      </c>
      <c r="B973" s="23" t="inlineStr">
        <is>
          <t>DEPRECIAÇÃO</t>
        </is>
      </c>
      <c r="C973" s="22" t="inlineStr">
        <is>
          <t>SEINFRA</t>
        </is>
      </c>
      <c r="D973" s="22" t="inlineStr">
        <is>
          <t>H</t>
        </is>
      </c>
      <c r="E973" s="63" t="n">
        <v>9.0832</v>
      </c>
      <c r="F973" s="67" t="n">
        <v>1</v>
      </c>
      <c r="G973" s="67">
        <f>ROUND(ROUND(E973,8)*F973,4)</f>
        <v/>
      </c>
      <c r="L973" t="n">
        <v>9.0832</v>
      </c>
      <c r="M973" t="n">
        <v>1</v>
      </c>
      <c r="N973">
        <f>(M973-F973)</f>
        <v/>
      </c>
    </row>
    <row r="974" ht="15" customHeight="1">
      <c r="A974" s="22" t="inlineStr">
        <is>
          <t>I2702</t>
        </is>
      </c>
      <c r="B974" s="23" t="inlineStr">
        <is>
          <t>JUROS</t>
        </is>
      </c>
      <c r="C974" s="22" t="inlineStr">
        <is>
          <t>SEINFRA</t>
        </is>
      </c>
      <c r="D974" s="22" t="inlineStr">
        <is>
          <t>H</t>
        </is>
      </c>
      <c r="E974" s="63" t="n">
        <v>2.0079</v>
      </c>
      <c r="F974" s="67" t="n">
        <v>1</v>
      </c>
      <c r="G974" s="67">
        <f>ROUND(ROUND(E974,8)*F974,4)</f>
        <v/>
      </c>
      <c r="L974" t="n">
        <v>2.0079</v>
      </c>
      <c r="M974" t="n">
        <v>1</v>
      </c>
      <c r="N974">
        <f>(M974-F974)</f>
        <v/>
      </c>
    </row>
    <row r="975" ht="15" customHeight="1">
      <c r="A975" s="22" t="inlineStr">
        <is>
          <t>I2703</t>
        </is>
      </c>
      <c r="B975" s="23" t="inlineStr">
        <is>
          <t>MANUTENÇÃO</t>
        </is>
      </c>
      <c r="C975" s="22" t="inlineStr">
        <is>
          <t>SEINFRA</t>
        </is>
      </c>
      <c r="D975" s="22" t="inlineStr">
        <is>
          <t>H</t>
        </is>
      </c>
      <c r="E975" s="63" t="n">
        <v>11.4735</v>
      </c>
      <c r="F975" s="67" t="n">
        <v>1</v>
      </c>
      <c r="G975" s="67">
        <f>ROUND(ROUND(E975,8)*F975,4)</f>
        <v/>
      </c>
      <c r="L975" t="n">
        <v>11.4735</v>
      </c>
      <c r="M975" t="n">
        <v>1</v>
      </c>
      <c r="N975">
        <f>(M975-F975)</f>
        <v/>
      </c>
    </row>
    <row r="976" ht="15" customHeight="1">
      <c r="A976" s="2" t="inlineStr"/>
      <c r="B976" s="2" t="inlineStr"/>
      <c r="C976" s="2" t="inlineStr"/>
      <c r="D976" s="2" t="inlineStr"/>
      <c r="E976" s="26" t="inlineStr">
        <is>
          <t>TOTAL Geral:</t>
        </is>
      </c>
      <c r="F976" s="56" t="n"/>
      <c r="G976" s="68">
        <f>SUM(G971:G975)</f>
        <v/>
      </c>
    </row>
    <row r="977" ht="15" customHeight="1">
      <c r="A977" s="2" t="inlineStr"/>
      <c r="B977" s="2" t="inlineStr"/>
      <c r="C977" s="2" t="inlineStr"/>
      <c r="D977" s="2" t="inlineStr"/>
      <c r="E977" s="28" t="inlineStr">
        <is>
          <t>VALOR:</t>
        </is>
      </c>
      <c r="F977" s="56" t="n"/>
      <c r="G977" s="66">
        <f>ROUND(SUM(G976),2)</f>
        <v/>
      </c>
    </row>
    <row r="978" ht="15" customHeight="1">
      <c r="A978" s="2" t="inlineStr"/>
      <c r="B978" s="2" t="inlineStr"/>
      <c r="C978" s="2" t="inlineStr"/>
      <c r="D978" s="2" t="inlineStr"/>
      <c r="E978" s="28" t="inlineStr">
        <is>
          <t>VALOR BDI (23.08%):</t>
        </is>
      </c>
      <c r="F978" s="56" t="n"/>
      <c r="G978" s="66">
        <f>ROUNDDOWN(G977*BDI,2)</f>
        <v/>
      </c>
    </row>
    <row r="979" ht="15" customHeight="1">
      <c r="A979" s="2" t="inlineStr"/>
      <c r="B979" s="2" t="inlineStr"/>
      <c r="C979" s="2" t="inlineStr"/>
      <c r="D979" s="2" t="inlineStr"/>
      <c r="E979" s="28" t="inlineStr">
        <is>
          <t>VALOR COM BDI:</t>
        </is>
      </c>
      <c r="F979" s="56" t="n"/>
      <c r="G979" s="66">
        <f>G978 + G977</f>
        <v/>
      </c>
    </row>
    <row r="980" ht="10" customHeight="1">
      <c r="A980" s="2" t="inlineStr"/>
      <c r="B980" s="2" t="inlineStr"/>
      <c r="C980" s="2" t="inlineStr"/>
      <c r="D980" s="2" t="inlineStr"/>
      <c r="E980" s="18" t="inlineStr"/>
    </row>
    <row r="981" ht="20" customHeight="1">
      <c r="A981" s="19" t="inlineStr">
        <is>
          <t>​91534​ COMPACTADOR DE SOLOS DE PERCUSSÃO (SOQUETE) COM MOTOR A GASOLINA 4 TEMPOS, POTÊNCIA 4 CV - CHI DIURNO. AF_08/2015​ (CHI)</t>
        </is>
      </c>
      <c r="B981" s="55" t="n"/>
      <c r="C981" s="55" t="n"/>
      <c r="D981" s="55" t="n"/>
      <c r="E981" s="55" t="n"/>
      <c r="F981" s="55" t="n"/>
      <c r="G981" s="56" t="n"/>
    </row>
    <row r="982" ht="15" customHeight="1">
      <c r="A982" s="20" t="inlineStr">
        <is>
          <t>Mão de Obra com Encargos Complementares</t>
        </is>
      </c>
      <c r="B982" s="56" t="n"/>
      <c r="C982" s="21" t="inlineStr">
        <is>
          <t>FONTE</t>
        </is>
      </c>
      <c r="D982" s="21" t="inlineStr">
        <is>
          <t>UNID</t>
        </is>
      </c>
      <c r="E982" s="21" t="inlineStr">
        <is>
          <t>COEFICIENTE</t>
        </is>
      </c>
      <c r="F982" s="21" t="inlineStr">
        <is>
          <t>PREÇO UNITÁRIO</t>
        </is>
      </c>
      <c r="G982" s="21" t="inlineStr">
        <is>
          <t>TOTAL</t>
        </is>
      </c>
    </row>
    <row r="983" ht="21" customHeight="1">
      <c r="A983" s="22" t="inlineStr">
        <is>
          <t>88297</t>
        </is>
      </c>
      <c r="B983" s="23" t="inlineStr">
        <is>
          <t>OPERADOR DE MÁQUINAS E EQUIPAMENTOS COM ENCARGOS COMPLEMENTARES</t>
        </is>
      </c>
      <c r="C983" s="22" t="inlineStr">
        <is>
          <t>SINAPI</t>
        </is>
      </c>
      <c r="D983" s="22" t="inlineStr">
        <is>
          <t>H</t>
        </is>
      </c>
      <c r="E983" s="63">
        <f>L983*FATOR</f>
        <v/>
      </c>
      <c r="F983" s="64">
        <f>G2849</f>
        <v/>
      </c>
      <c r="G983" s="64">
        <f>TRUNC(TRUNC(E983,8)*F983,2)</f>
        <v/>
      </c>
      <c r="L983" t="n">
        <v>1</v>
      </c>
      <c r="M983" t="n">
        <v>35.59</v>
      </c>
      <c r="N983">
        <f>(M983-F983)</f>
        <v/>
      </c>
    </row>
    <row r="984" ht="18" customHeight="1">
      <c r="A984" s="2" t="inlineStr"/>
      <c r="B984" s="2" t="inlineStr"/>
      <c r="C984" s="2" t="inlineStr"/>
      <c r="D984" s="2" t="inlineStr"/>
      <c r="E984" s="26" t="inlineStr">
        <is>
          <t>TOTAL Mão de Obra com Encargos Complementares:</t>
        </is>
      </c>
      <c r="F984" s="56" t="n"/>
      <c r="G984" s="65">
        <f>SUM(G983:G983)</f>
        <v/>
      </c>
    </row>
    <row r="985" ht="15" customHeight="1">
      <c r="A985" s="20" t="inlineStr">
        <is>
          <t>Serviço</t>
        </is>
      </c>
      <c r="B985" s="56" t="n"/>
      <c r="C985" s="21" t="inlineStr">
        <is>
          <t>FONTE</t>
        </is>
      </c>
      <c r="D985" s="21" t="inlineStr">
        <is>
          <t>UNID</t>
        </is>
      </c>
      <c r="E985" s="21" t="inlineStr">
        <is>
          <t>COEFICIENTE</t>
        </is>
      </c>
      <c r="F985" s="21" t="inlineStr">
        <is>
          <t>PREÇO UNITÁRIO</t>
        </is>
      </c>
      <c r="G985" s="21" t="inlineStr">
        <is>
          <t>TOTAL</t>
        </is>
      </c>
    </row>
    <row r="986" ht="29" customHeight="1">
      <c r="A986" s="22" t="inlineStr">
        <is>
          <t>91529</t>
        </is>
      </c>
      <c r="B986" s="23" t="inlineStr">
        <is>
          <t>COMPACTADOR DE SOLOS DE PERCUSSÃO (SOQUETE) COM MOTOR A GASOLINA 4 TEMPOS, POTÊNCIA 4 CV - DEPRECIAÇÃO. AF_08/2015</t>
        </is>
      </c>
      <c r="C986" s="22" t="inlineStr">
        <is>
          <t>SINAPI</t>
        </is>
      </c>
      <c r="D986" s="22" t="inlineStr">
        <is>
          <t>H</t>
        </is>
      </c>
      <c r="E986" s="63" t="n">
        <v>1</v>
      </c>
      <c r="F986" s="64" t="n">
        <v>0.92</v>
      </c>
      <c r="G986" s="64">
        <f>TRUNC(TRUNC(E986,8)*F986,2)</f>
        <v/>
      </c>
      <c r="L986" t="n">
        <v>1</v>
      </c>
      <c r="M986" t="n">
        <v>0.92</v>
      </c>
      <c r="N986">
        <f>(M986-F986)</f>
        <v/>
      </c>
    </row>
    <row r="987" ht="29" customHeight="1">
      <c r="A987" s="22" t="inlineStr">
        <is>
          <t>91530</t>
        </is>
      </c>
      <c r="B987" s="23" t="inlineStr">
        <is>
          <t>COMPACTADOR DE SOLOS DE PERCUSSÃO (SOQUETE) COM MOTOR A GASOLINA 4 TEMPOS, POTÊNCIA 4 CV - JUROS. AF_08/2015</t>
        </is>
      </c>
      <c r="C987" s="22" t="inlineStr">
        <is>
          <t>SINAPI</t>
        </is>
      </c>
      <c r="D987" s="22" t="inlineStr">
        <is>
          <t>H</t>
        </is>
      </c>
      <c r="E987" s="63" t="n">
        <v>1</v>
      </c>
      <c r="F987" s="64" t="n">
        <v>0.24</v>
      </c>
      <c r="G987" s="64">
        <f>TRUNC(TRUNC(E987,8)*F987,2)</f>
        <v/>
      </c>
      <c r="L987" t="n">
        <v>1</v>
      </c>
      <c r="M987" t="n">
        <v>0.24</v>
      </c>
      <c r="N987">
        <f>(M987-F987)</f>
        <v/>
      </c>
    </row>
    <row r="988" ht="15" customHeight="1">
      <c r="A988" s="2" t="inlineStr"/>
      <c r="B988" s="2" t="inlineStr"/>
      <c r="C988" s="2" t="inlineStr"/>
      <c r="D988" s="2" t="inlineStr"/>
      <c r="E988" s="26" t="inlineStr">
        <is>
          <t>TOTAL Serviço:</t>
        </is>
      </c>
      <c r="F988" s="56" t="n"/>
      <c r="G988" s="65">
        <f>SUM(G986:G987)</f>
        <v/>
      </c>
    </row>
    <row r="989" ht="15" customHeight="1">
      <c r="A989" s="2" t="inlineStr"/>
      <c r="B989" s="2" t="inlineStr"/>
      <c r="C989" s="2" t="inlineStr"/>
      <c r="D989" s="2" t="inlineStr"/>
      <c r="E989" s="28" t="inlineStr">
        <is>
          <t>VALOR:</t>
        </is>
      </c>
      <c r="F989" s="56" t="n"/>
      <c r="G989" s="66">
        <f>SUM(G988)</f>
        <v/>
      </c>
    </row>
    <row r="990" ht="15" customHeight="1">
      <c r="A990" s="2" t="inlineStr"/>
      <c r="B990" s="2" t="inlineStr"/>
      <c r="C990" s="2" t="inlineStr"/>
      <c r="D990" s="2" t="inlineStr"/>
      <c r="E990" s="28" t="inlineStr">
        <is>
          <t>VALOR BDI (23.08%):</t>
        </is>
      </c>
      <c r="F990" s="56" t="n"/>
      <c r="G990" s="66">
        <f>ROUNDDOWN(G989*BDI,2)</f>
        <v/>
      </c>
    </row>
    <row r="991" ht="15" customHeight="1">
      <c r="A991" s="2" t="inlineStr"/>
      <c r="B991" s="2" t="inlineStr"/>
      <c r="C991" s="2" t="inlineStr"/>
      <c r="D991" s="2" t="inlineStr"/>
      <c r="E991" s="28" t="inlineStr">
        <is>
          <t>VALOR COM BDI:</t>
        </is>
      </c>
      <c r="F991" s="56" t="n"/>
      <c r="G991" s="66">
        <f>G990 + G989</f>
        <v/>
      </c>
    </row>
    <row r="992" ht="10" customHeight="1">
      <c r="A992" s="2" t="inlineStr"/>
      <c r="B992" s="2" t="inlineStr"/>
      <c r="C992" s="2" t="inlineStr"/>
      <c r="D992" s="2" t="inlineStr"/>
      <c r="E992" s="18" t="inlineStr"/>
    </row>
    <row r="993" ht="20" customHeight="1">
      <c r="A993" s="19" t="inlineStr">
        <is>
          <t>​91533​ COMPACTADOR DE SOLOS DE PERCUSSÃO (SOQUETE) COM MOTOR A GASOLINA 4 TEMPOS, POTÊNCIA 4 CV - CHP DIURNO. AF_08/2015​ (CHP)</t>
        </is>
      </c>
      <c r="B993" s="55" t="n"/>
      <c r="C993" s="55" t="n"/>
      <c r="D993" s="55" t="n"/>
      <c r="E993" s="55" t="n"/>
      <c r="F993" s="55" t="n"/>
      <c r="G993" s="56" t="n"/>
    </row>
    <row r="994" ht="15" customHeight="1">
      <c r="A994" s="20" t="inlineStr">
        <is>
          <t>Mão de Obra com Encargos Complementares</t>
        </is>
      </c>
      <c r="B994" s="56" t="n"/>
      <c r="C994" s="21" t="inlineStr">
        <is>
          <t>FONTE</t>
        </is>
      </c>
      <c r="D994" s="21" t="inlineStr">
        <is>
          <t>UNID</t>
        </is>
      </c>
      <c r="E994" s="21" t="inlineStr">
        <is>
          <t>COEFICIENTE</t>
        </is>
      </c>
      <c r="F994" s="21" t="inlineStr">
        <is>
          <t>PREÇO UNITÁRIO</t>
        </is>
      </c>
      <c r="G994" s="21" t="inlineStr">
        <is>
          <t>TOTAL</t>
        </is>
      </c>
    </row>
    <row r="995" ht="21" customHeight="1">
      <c r="A995" s="22" t="inlineStr">
        <is>
          <t>88297</t>
        </is>
      </c>
      <c r="B995" s="23" t="inlineStr">
        <is>
          <t>OPERADOR DE MÁQUINAS E EQUIPAMENTOS COM ENCARGOS COMPLEMENTARES</t>
        </is>
      </c>
      <c r="C995" s="22" t="inlineStr">
        <is>
          <t>SINAPI</t>
        </is>
      </c>
      <c r="D995" s="22" t="inlineStr">
        <is>
          <t>H</t>
        </is>
      </c>
      <c r="E995" s="63">
        <f>L995*FATOR</f>
        <v/>
      </c>
      <c r="F995" s="64">
        <f>'COMPOSICOES AUXILIARES'!G989</f>
        <v/>
      </c>
      <c r="G995" s="64">
        <f>TRUNC(TRUNC(E995,8)*F995,2)</f>
        <v/>
      </c>
      <c r="L995" t="n">
        <v>1</v>
      </c>
      <c r="M995" t="n">
        <v>35.59</v>
      </c>
      <c r="N995">
        <f>(M995-F995)</f>
        <v/>
      </c>
    </row>
    <row r="996" ht="18" customHeight="1">
      <c r="A996" s="2" t="inlineStr"/>
      <c r="B996" s="2" t="inlineStr"/>
      <c r="C996" s="2" t="inlineStr"/>
      <c r="D996" s="2" t="inlineStr"/>
      <c r="E996" s="26" t="inlineStr">
        <is>
          <t>TOTAL Mão de Obra com Encargos Complementares:</t>
        </is>
      </c>
      <c r="F996" s="56" t="n"/>
      <c r="G996" s="65">
        <f>SUM(G995:G995)</f>
        <v/>
      </c>
    </row>
    <row r="997" ht="15" customHeight="1">
      <c r="A997" s="20" t="inlineStr">
        <is>
          <t>Serviço</t>
        </is>
      </c>
      <c r="B997" s="56" t="n"/>
      <c r="C997" s="21" t="inlineStr">
        <is>
          <t>FONTE</t>
        </is>
      </c>
      <c r="D997" s="21" t="inlineStr">
        <is>
          <t>UNID</t>
        </is>
      </c>
      <c r="E997" s="21" t="inlineStr">
        <is>
          <t>COEFICIENTE</t>
        </is>
      </c>
      <c r="F997" s="21" t="inlineStr">
        <is>
          <t>PREÇO UNITÁRIO</t>
        </is>
      </c>
      <c r="G997" s="21" t="inlineStr">
        <is>
          <t>TOTAL</t>
        </is>
      </c>
    </row>
    <row r="998" ht="29" customHeight="1">
      <c r="A998" s="22" t="inlineStr">
        <is>
          <t>91529</t>
        </is>
      </c>
      <c r="B998" s="23" t="inlineStr">
        <is>
          <t>COMPACTADOR DE SOLOS DE PERCUSSÃO (SOQUETE) COM MOTOR A GASOLINA 4 TEMPOS, POTÊNCIA 4 CV - DEPRECIAÇÃO. AF_08/2015</t>
        </is>
      </c>
      <c r="C998" s="22" t="inlineStr">
        <is>
          <t>SINAPI</t>
        </is>
      </c>
      <c r="D998" s="22" t="inlineStr">
        <is>
          <t>H</t>
        </is>
      </c>
      <c r="E998" s="63" t="n">
        <v>1</v>
      </c>
      <c r="F998" s="64">
        <f>'COMPOSICOES AUXILIARES'!G989</f>
        <v/>
      </c>
      <c r="G998" s="64">
        <f>TRUNC(TRUNC(E998,8)*F998,2)</f>
        <v/>
      </c>
      <c r="L998" t="n">
        <v>1</v>
      </c>
      <c r="M998" t="n">
        <v>0.92</v>
      </c>
      <c r="N998">
        <f>(M998-F998)</f>
        <v/>
      </c>
    </row>
    <row r="999" ht="29" customHeight="1">
      <c r="A999" s="22" t="inlineStr">
        <is>
          <t>91530</t>
        </is>
      </c>
      <c r="B999" s="23" t="inlineStr">
        <is>
          <t>COMPACTADOR DE SOLOS DE PERCUSSÃO (SOQUETE) COM MOTOR A GASOLINA 4 TEMPOS, POTÊNCIA 4 CV - JUROS. AF_08/2015</t>
        </is>
      </c>
      <c r="C999" s="22" t="inlineStr">
        <is>
          <t>SINAPI</t>
        </is>
      </c>
      <c r="D999" s="22" t="inlineStr">
        <is>
          <t>H</t>
        </is>
      </c>
      <c r="E999" s="63" t="n">
        <v>1</v>
      </c>
      <c r="F999" s="64">
        <f>'COMPOSICOES AUXILIARES'!G989</f>
        <v/>
      </c>
      <c r="G999" s="64">
        <f>TRUNC(TRUNC(E999,8)*F999,2)</f>
        <v/>
      </c>
      <c r="L999" t="n">
        <v>1</v>
      </c>
      <c r="M999" t="n">
        <v>0.24</v>
      </c>
      <c r="N999">
        <f>(M999-F999)</f>
        <v/>
      </c>
    </row>
    <row r="1000" ht="29" customHeight="1">
      <c r="A1000" s="22" t="inlineStr">
        <is>
          <t>91531</t>
        </is>
      </c>
      <c r="B1000" s="23" t="inlineStr">
        <is>
          <t>COMPACTADOR DE SOLOS DE PERCUSSÃO (SOQUETE) COM MOTOR A GASOLINA 4 TEMPOS, POTÊNCIA 4 CV - MANUTENÇÃO. AF_08/2015</t>
        </is>
      </c>
      <c r="C1000" s="22" t="inlineStr">
        <is>
          <t>SINAPI</t>
        </is>
      </c>
      <c r="D1000" s="22" t="inlineStr">
        <is>
          <t>H</t>
        </is>
      </c>
      <c r="E1000" s="63" t="n">
        <v>1</v>
      </c>
      <c r="F1000" s="64" t="n">
        <v>1.15</v>
      </c>
      <c r="G1000" s="64">
        <f>TRUNC(TRUNC(E1000,8)*F1000,2)</f>
        <v/>
      </c>
      <c r="L1000" t="n">
        <v>1</v>
      </c>
      <c r="M1000" t="n">
        <v>1.15</v>
      </c>
      <c r="N1000">
        <f>(M1000-F1000)</f>
        <v/>
      </c>
    </row>
    <row r="1001" ht="29" customHeight="1">
      <c r="A1001" s="22" t="inlineStr">
        <is>
          <t>91532</t>
        </is>
      </c>
      <c r="B1001" s="23" t="inlineStr">
        <is>
          <t>COMPACTADOR DE SOLOS DE PERCUSSÃO (SOQUETE) COM MOTOR A GASOLINA 4 TEMPOS, POTÊNCIA 4 CV - MATERIAIS NA OPERAÇÃO. AF_08/2015</t>
        </is>
      </c>
      <c r="C1001" s="22" t="inlineStr">
        <is>
          <t>SINAPI</t>
        </is>
      </c>
      <c r="D1001" s="22" t="inlineStr">
        <is>
          <t>H</t>
        </is>
      </c>
      <c r="E1001" s="63" t="n">
        <v>1</v>
      </c>
      <c r="F1001" s="64" t="n">
        <v>6.49</v>
      </c>
      <c r="G1001" s="64">
        <f>TRUNC(TRUNC(E1001,8)*F1001,2)</f>
        <v/>
      </c>
      <c r="L1001" t="n">
        <v>1</v>
      </c>
      <c r="M1001" t="n">
        <v>6.49</v>
      </c>
      <c r="N1001">
        <f>(M1001-F1001)</f>
        <v/>
      </c>
    </row>
    <row r="1002" ht="15" customHeight="1">
      <c r="A1002" s="2" t="inlineStr"/>
      <c r="B1002" s="2" t="inlineStr"/>
      <c r="C1002" s="2" t="inlineStr"/>
      <c r="D1002" s="2" t="inlineStr"/>
      <c r="E1002" s="26" t="inlineStr">
        <is>
          <t>TOTAL Serviço:</t>
        </is>
      </c>
      <c r="F1002" s="56" t="n"/>
      <c r="G1002" s="65">
        <f>SUM(G998:G1001)</f>
        <v/>
      </c>
    </row>
    <row r="1003" ht="15" customHeight="1">
      <c r="A1003" s="2" t="inlineStr"/>
      <c r="B1003" s="2" t="inlineStr"/>
      <c r="C1003" s="2" t="inlineStr"/>
      <c r="D1003" s="2" t="inlineStr"/>
      <c r="E1003" s="28" t="inlineStr">
        <is>
          <t>VALOR:</t>
        </is>
      </c>
      <c r="F1003" s="56" t="n"/>
      <c r="G1003" s="66">
        <f>SUM(G1002,G996)</f>
        <v/>
      </c>
    </row>
    <row r="1004" ht="15" customHeight="1">
      <c r="A1004" s="2" t="inlineStr"/>
      <c r="B1004" s="2" t="inlineStr"/>
      <c r="C1004" s="2" t="inlineStr"/>
      <c r="D1004" s="2" t="inlineStr"/>
      <c r="E1004" s="28" t="inlineStr">
        <is>
          <t>VALOR BDI (23.08%):</t>
        </is>
      </c>
      <c r="F1004" s="56" t="n"/>
      <c r="G1004" s="66">
        <f>ROUNDDOWN(G1003*BDI,2)</f>
        <v/>
      </c>
    </row>
    <row r="1005" ht="15" customHeight="1">
      <c r="A1005" s="2" t="inlineStr"/>
      <c r="B1005" s="2" t="inlineStr"/>
      <c r="C1005" s="2" t="inlineStr"/>
      <c r="D1005" s="2" t="inlineStr"/>
      <c r="E1005" s="28" t="inlineStr">
        <is>
          <t>VALOR COM BDI:</t>
        </is>
      </c>
      <c r="F1005" s="56" t="n"/>
      <c r="G1005" s="66">
        <f>G1004 + G1003</f>
        <v/>
      </c>
    </row>
    <row r="1006" ht="10" customHeight="1">
      <c r="A1006" s="2" t="inlineStr"/>
      <c r="B1006" s="2" t="inlineStr"/>
      <c r="C1006" s="2" t="inlineStr"/>
      <c r="D1006" s="2" t="inlineStr"/>
      <c r="E1006" s="18" t="inlineStr"/>
    </row>
    <row r="1007" ht="20" customHeight="1">
      <c r="A1007" s="19" t="inlineStr">
        <is>
          <t>​91529​ COMPACTADOR DE SOLOS DE PERCUSSÃO (SOQUETE) COM MOTOR A GASOLINA 4 TEMPOS, POTÊNCIA 4 CV - DEPRECIAÇÃO. AF_08/2015​ (H)</t>
        </is>
      </c>
      <c r="B1007" s="55" t="n"/>
      <c r="C1007" s="55" t="n"/>
      <c r="D1007" s="55" t="n"/>
      <c r="E1007" s="55" t="n"/>
      <c r="F1007" s="55" t="n"/>
      <c r="G1007" s="56" t="n"/>
    </row>
    <row r="1008" ht="15" customHeight="1">
      <c r="A1008" s="20" t="inlineStr">
        <is>
          <t>Equipamento</t>
        </is>
      </c>
      <c r="B1008" s="56" t="n"/>
      <c r="C1008" s="21" t="inlineStr">
        <is>
          <t>FONTE</t>
        </is>
      </c>
      <c r="D1008" s="21" t="inlineStr">
        <is>
          <t>UNID</t>
        </is>
      </c>
      <c r="E1008" s="21" t="inlineStr">
        <is>
          <t>COEFICIENTE</t>
        </is>
      </c>
      <c r="F1008" s="21" t="inlineStr">
        <is>
          <t>PREÇO UNITÁRIO</t>
        </is>
      </c>
      <c r="G1008" s="21" t="inlineStr">
        <is>
          <t>TOTAL</t>
        </is>
      </c>
    </row>
    <row r="1009" ht="21" customHeight="1">
      <c r="A1009" s="22" t="inlineStr">
        <is>
          <t>00013458</t>
        </is>
      </c>
      <c r="B1009" s="23" t="inlineStr">
        <is>
          <t>COMPACTADOR DE SOLOS DE PERCURSAO (SOQUETE) COM MOTOR A GASOLINA 4 TEMPOS DE 4 HP (4 CV)</t>
        </is>
      </c>
      <c r="C1009" s="22" t="inlineStr">
        <is>
          <t>SINAPI</t>
        </is>
      </c>
      <c r="D1009" s="22" t="inlineStr">
        <is>
          <t>UN</t>
        </is>
      </c>
      <c r="E1009" s="63" t="n">
        <v>5.33e-05</v>
      </c>
      <c r="F1009" s="64" t="n">
        <v>17335.43</v>
      </c>
      <c r="G1009" s="64">
        <f>TRUNC(TRUNC(E1009,8)*F1009,2)</f>
        <v/>
      </c>
      <c r="M1009" t="n">
        <v>17335.43</v>
      </c>
      <c r="N1009">
        <f>(M1009-F1009)</f>
        <v/>
      </c>
    </row>
    <row r="1010" ht="15" customHeight="1">
      <c r="A1010" s="2" t="inlineStr"/>
      <c r="B1010" s="2" t="inlineStr"/>
      <c r="C1010" s="2" t="inlineStr"/>
      <c r="D1010" s="2" t="inlineStr"/>
      <c r="E1010" s="26" t="inlineStr">
        <is>
          <t>TOTAL Equipamento:</t>
        </is>
      </c>
      <c r="F1010" s="56" t="n"/>
      <c r="G1010" s="65">
        <f>SUM(G1009:G1009)</f>
        <v/>
      </c>
    </row>
    <row r="1011" ht="15" customHeight="1">
      <c r="A1011" s="2" t="inlineStr"/>
      <c r="B1011" s="2" t="inlineStr"/>
      <c r="C1011" s="2" t="inlineStr"/>
      <c r="D1011" s="2" t="inlineStr"/>
      <c r="E1011" s="28" t="inlineStr">
        <is>
          <t>VALOR:</t>
        </is>
      </c>
      <c r="F1011" s="56" t="n"/>
      <c r="G1011" s="66">
        <f>ROUND(SUM(G1010),2)</f>
        <v/>
      </c>
    </row>
    <row r="1012" ht="15" customHeight="1">
      <c r="A1012" s="2" t="inlineStr"/>
      <c r="B1012" s="2" t="inlineStr"/>
      <c r="C1012" s="2" t="inlineStr"/>
      <c r="D1012" s="2" t="inlineStr"/>
      <c r="E1012" s="28" t="inlineStr">
        <is>
          <t>VALOR BDI (23.08%):</t>
        </is>
      </c>
      <c r="F1012" s="56" t="n"/>
      <c r="G1012" s="66">
        <f>ROUNDDOWN(G1011*BDI,2)</f>
        <v/>
      </c>
    </row>
    <row r="1013" ht="15" customHeight="1">
      <c r="A1013" s="2" t="inlineStr"/>
      <c r="B1013" s="2" t="inlineStr"/>
      <c r="C1013" s="2" t="inlineStr"/>
      <c r="D1013" s="2" t="inlineStr"/>
      <c r="E1013" s="28" t="inlineStr">
        <is>
          <t>VALOR COM BDI:</t>
        </is>
      </c>
      <c r="F1013" s="56" t="n"/>
      <c r="G1013" s="66">
        <f>G1012 + G1011</f>
        <v/>
      </c>
    </row>
    <row r="1014" ht="10" customHeight="1">
      <c r="A1014" s="2" t="inlineStr"/>
      <c r="B1014" s="2" t="inlineStr"/>
      <c r="C1014" s="2" t="inlineStr"/>
      <c r="D1014" s="2" t="inlineStr"/>
      <c r="E1014" s="18" t="inlineStr"/>
    </row>
    <row r="1015" ht="20" customHeight="1">
      <c r="A1015" s="19" t="inlineStr">
        <is>
          <t>​91530​ COMPACTADOR DE SOLOS DE PERCUSSÃO (SOQUETE) COM MOTOR A GASOLINA 4 TEMPOS, POTÊNCIA 4 CV - JUROS. AF_08/2015​ (H)</t>
        </is>
      </c>
      <c r="B1015" s="55" t="n"/>
      <c r="C1015" s="55" t="n"/>
      <c r="D1015" s="55" t="n"/>
      <c r="E1015" s="55" t="n"/>
      <c r="F1015" s="55" t="n"/>
      <c r="G1015" s="56" t="n"/>
    </row>
    <row r="1016" ht="15" customHeight="1">
      <c r="A1016" s="20" t="inlineStr">
        <is>
          <t>Equipamento</t>
        </is>
      </c>
      <c r="B1016" s="56" t="n"/>
      <c r="C1016" s="21" t="inlineStr">
        <is>
          <t>FONTE</t>
        </is>
      </c>
      <c r="D1016" s="21" t="inlineStr">
        <is>
          <t>UNID</t>
        </is>
      </c>
      <c r="E1016" s="21" t="inlineStr">
        <is>
          <t>COEFICIENTE</t>
        </is>
      </c>
      <c r="F1016" s="21" t="inlineStr">
        <is>
          <t>PREÇO UNITÁRIO</t>
        </is>
      </c>
      <c r="G1016" s="21" t="inlineStr">
        <is>
          <t>TOTAL</t>
        </is>
      </c>
    </row>
    <row r="1017" ht="21" customHeight="1">
      <c r="A1017" s="22" t="inlineStr">
        <is>
          <t>00013458</t>
        </is>
      </c>
      <c r="B1017" s="23" t="inlineStr">
        <is>
          <t>COMPACTADOR DE SOLOS DE PERCURSAO (SOQUETE) COM MOTOR A GASOLINA 4 TEMPOS DE 4 HP (4 CV)</t>
        </is>
      </c>
      <c r="C1017" s="22" t="inlineStr">
        <is>
          <t>SINAPI</t>
        </is>
      </c>
      <c r="D1017" s="22" t="inlineStr">
        <is>
          <t>UN</t>
        </is>
      </c>
      <c r="E1017" s="63" t="n">
        <v>1.43e-05</v>
      </c>
      <c r="F1017" s="64" t="n">
        <v>17335.43</v>
      </c>
      <c r="G1017" s="64">
        <f>TRUNC(TRUNC(E1017,8)*F1017,2)</f>
        <v/>
      </c>
      <c r="M1017" t="n">
        <v>17335.43</v>
      </c>
      <c r="N1017">
        <f>(M1017-F1017)</f>
        <v/>
      </c>
    </row>
    <row r="1018" ht="15" customHeight="1">
      <c r="A1018" s="2" t="inlineStr"/>
      <c r="B1018" s="2" t="inlineStr"/>
      <c r="C1018" s="2" t="inlineStr"/>
      <c r="D1018" s="2" t="inlineStr"/>
      <c r="E1018" s="26" t="inlineStr">
        <is>
          <t>TOTAL Equipamento:</t>
        </is>
      </c>
      <c r="F1018" s="56" t="n"/>
      <c r="G1018" s="65">
        <f>SUM(G1017:G1017)</f>
        <v/>
      </c>
    </row>
    <row r="1019" ht="15" customHeight="1">
      <c r="A1019" s="2" t="inlineStr"/>
      <c r="B1019" s="2" t="inlineStr"/>
      <c r="C1019" s="2" t="inlineStr"/>
      <c r="D1019" s="2" t="inlineStr"/>
      <c r="E1019" s="28" t="inlineStr">
        <is>
          <t>VALOR:</t>
        </is>
      </c>
      <c r="F1019" s="56" t="n"/>
      <c r="G1019" s="66">
        <f>ROUND(SUM(G1018),2)</f>
        <v/>
      </c>
    </row>
    <row r="1020" ht="15" customHeight="1">
      <c r="A1020" s="2" t="inlineStr"/>
      <c r="B1020" s="2" t="inlineStr"/>
      <c r="C1020" s="2" t="inlineStr"/>
      <c r="D1020" s="2" t="inlineStr"/>
      <c r="E1020" s="28" t="inlineStr">
        <is>
          <t>VALOR BDI (23.08%):</t>
        </is>
      </c>
      <c r="F1020" s="56" t="n"/>
      <c r="G1020" s="66">
        <f>ROUNDDOWN(G1019*BDI,2)</f>
        <v/>
      </c>
    </row>
    <row r="1021" ht="15" customHeight="1">
      <c r="A1021" s="2" t="inlineStr"/>
      <c r="B1021" s="2" t="inlineStr"/>
      <c r="C1021" s="2" t="inlineStr"/>
      <c r="D1021" s="2" t="inlineStr"/>
      <c r="E1021" s="28" t="inlineStr">
        <is>
          <t>VALOR COM BDI:</t>
        </is>
      </c>
      <c r="F1021" s="56" t="n"/>
      <c r="G1021" s="66">
        <f>G1020 + G1019</f>
        <v/>
      </c>
    </row>
    <row r="1022" ht="10" customHeight="1">
      <c r="A1022" s="2" t="inlineStr"/>
      <c r="B1022" s="2" t="inlineStr"/>
      <c r="C1022" s="2" t="inlineStr"/>
      <c r="D1022" s="2" t="inlineStr"/>
      <c r="E1022" s="18" t="inlineStr"/>
    </row>
    <row r="1023" ht="20" customHeight="1">
      <c r="A1023" s="19" t="inlineStr">
        <is>
          <t>​91531​ COMPACTADOR DE SOLOS DE PERCUSSÃO (SOQUETE) COM MOTOR A GASOLINA 4 TEMPOS, POTÊNCIA 4 CV - MANUTENÇÃO. AF_08/2015​ (H)</t>
        </is>
      </c>
      <c r="B1023" s="55" t="n"/>
      <c r="C1023" s="55" t="n"/>
      <c r="D1023" s="55" t="n"/>
      <c r="E1023" s="55" t="n"/>
      <c r="F1023" s="55" t="n"/>
      <c r="G1023" s="56" t="n"/>
    </row>
    <row r="1024" ht="15" customHeight="1">
      <c r="A1024" s="20" t="inlineStr">
        <is>
          <t>Equipamento</t>
        </is>
      </c>
      <c r="B1024" s="56" t="n"/>
      <c r="C1024" s="21" t="inlineStr">
        <is>
          <t>FONTE</t>
        </is>
      </c>
      <c r="D1024" s="21" t="inlineStr">
        <is>
          <t>UNID</t>
        </is>
      </c>
      <c r="E1024" s="21" t="inlineStr">
        <is>
          <t>COEFICIENTE</t>
        </is>
      </c>
      <c r="F1024" s="21" t="inlineStr">
        <is>
          <t>PREÇO UNITÁRIO</t>
        </is>
      </c>
      <c r="G1024" s="21" t="inlineStr">
        <is>
          <t>TOTAL</t>
        </is>
      </c>
    </row>
    <row r="1025" ht="21" customHeight="1">
      <c r="A1025" s="22" t="inlineStr">
        <is>
          <t>00013458</t>
        </is>
      </c>
      <c r="B1025" s="23" t="inlineStr">
        <is>
          <t>COMPACTADOR DE SOLOS DE PERCURSAO (SOQUETE) COM MOTOR A GASOLINA 4 TEMPOS DE 4 HP (4 CV)</t>
        </is>
      </c>
      <c r="C1025" s="22" t="inlineStr">
        <is>
          <t>SINAPI</t>
        </is>
      </c>
      <c r="D1025" s="22" t="inlineStr">
        <is>
          <t>UN</t>
        </is>
      </c>
      <c r="E1025" s="63" t="n">
        <v>6.669999999999999e-05</v>
      </c>
      <c r="F1025" s="64" t="n">
        <v>17335.43</v>
      </c>
      <c r="G1025" s="64">
        <f>TRUNC(TRUNC(E1025,8)*F1025,2)</f>
        <v/>
      </c>
      <c r="M1025" t="n">
        <v>17335.43</v>
      </c>
      <c r="N1025">
        <f>(M1025-F1025)</f>
        <v/>
      </c>
    </row>
    <row r="1026" ht="15" customHeight="1">
      <c r="A1026" s="2" t="inlineStr"/>
      <c r="B1026" s="2" t="inlineStr"/>
      <c r="C1026" s="2" t="inlineStr"/>
      <c r="D1026" s="2" t="inlineStr"/>
      <c r="E1026" s="26" t="inlineStr">
        <is>
          <t>TOTAL Equipamento:</t>
        </is>
      </c>
      <c r="F1026" s="56" t="n"/>
      <c r="G1026" s="65">
        <f>SUM(G1025:G1025)</f>
        <v/>
      </c>
    </row>
    <row r="1027" ht="15" customHeight="1">
      <c r="A1027" s="2" t="inlineStr"/>
      <c r="B1027" s="2" t="inlineStr"/>
      <c r="C1027" s="2" t="inlineStr"/>
      <c r="D1027" s="2" t="inlineStr"/>
      <c r="E1027" s="28" t="inlineStr">
        <is>
          <t>VALOR:</t>
        </is>
      </c>
      <c r="F1027" s="56" t="n"/>
      <c r="G1027" s="66">
        <f>ROUND(SUM(G1026),2)</f>
        <v/>
      </c>
    </row>
    <row r="1028" ht="15" customHeight="1">
      <c r="A1028" s="2" t="inlineStr"/>
      <c r="B1028" s="2" t="inlineStr"/>
      <c r="C1028" s="2" t="inlineStr"/>
      <c r="D1028" s="2" t="inlineStr"/>
      <c r="E1028" s="28" t="inlineStr">
        <is>
          <t>VALOR BDI (23.08%):</t>
        </is>
      </c>
      <c r="F1028" s="56" t="n"/>
      <c r="G1028" s="66">
        <f>ROUNDDOWN(G1027*BDI,2)</f>
        <v/>
      </c>
    </row>
    <row r="1029" ht="15" customHeight="1">
      <c r="A1029" s="2" t="inlineStr"/>
      <c r="B1029" s="2" t="inlineStr"/>
      <c r="C1029" s="2" t="inlineStr"/>
      <c r="D1029" s="2" t="inlineStr"/>
      <c r="E1029" s="28" t="inlineStr">
        <is>
          <t>VALOR COM BDI:</t>
        </is>
      </c>
      <c r="F1029" s="56" t="n"/>
      <c r="G1029" s="66">
        <f>G1028 + G1027</f>
        <v/>
      </c>
    </row>
    <row r="1030" ht="10" customHeight="1">
      <c r="A1030" s="2" t="inlineStr"/>
      <c r="B1030" s="2" t="inlineStr"/>
      <c r="C1030" s="2" t="inlineStr"/>
      <c r="D1030" s="2" t="inlineStr"/>
      <c r="E1030" s="18" t="inlineStr"/>
    </row>
    <row r="1031" ht="20" customHeight="1">
      <c r="A1031" s="19" t="inlineStr">
        <is>
          <t>​91532​ COMPACTADOR DE SOLOS DE PERCUSSÃO (SOQUETE) COM MOTOR A GASOLINA 4 TEMPOS, POTÊNCIA 4 CV - MATERIAIS NA OPERAÇÃO. AF_08/2015​ (H)</t>
        </is>
      </c>
      <c r="B1031" s="55" t="n"/>
      <c r="C1031" s="55" t="n"/>
      <c r="D1031" s="55" t="n"/>
      <c r="E1031" s="55" t="n"/>
      <c r="F1031" s="55" t="n"/>
      <c r="G1031" s="56" t="n"/>
    </row>
    <row r="1032" ht="15" customHeight="1">
      <c r="A1032" s="20" t="inlineStr">
        <is>
          <t>Material</t>
        </is>
      </c>
      <c r="B1032" s="56" t="n"/>
      <c r="C1032" s="21" t="inlineStr">
        <is>
          <t>FONTE</t>
        </is>
      </c>
      <c r="D1032" s="21" t="inlineStr">
        <is>
          <t>UNID</t>
        </is>
      </c>
      <c r="E1032" s="21" t="inlineStr">
        <is>
          <t>COEFICIENTE</t>
        </is>
      </c>
      <c r="F1032" s="21" t="inlineStr">
        <is>
          <t>PREÇO UNITÁRIO</t>
        </is>
      </c>
      <c r="G1032" s="21" t="inlineStr">
        <is>
          <t>TOTAL</t>
        </is>
      </c>
    </row>
    <row r="1033" ht="15" customHeight="1">
      <c r="A1033" s="22" t="inlineStr">
        <is>
          <t>00004222</t>
        </is>
      </c>
      <c r="B1033" s="23" t="inlineStr">
        <is>
          <t>GASOLINA COMUM</t>
        </is>
      </c>
      <c r="C1033" s="22" t="inlineStr">
        <is>
          <t>SINAPI</t>
        </is>
      </c>
      <c r="D1033" s="22" t="inlineStr">
        <is>
          <t>L</t>
        </is>
      </c>
      <c r="E1033" s="63" t="n">
        <v>1.03</v>
      </c>
      <c r="F1033" s="64" t="n">
        <v>6.31</v>
      </c>
      <c r="G1033" s="64">
        <f>TRUNC(TRUNC(E1033,8)*F1033,2)</f>
        <v/>
      </c>
      <c r="L1033" t="n">
        <v>1.03</v>
      </c>
      <c r="M1033" t="n">
        <v>6.31</v>
      </c>
      <c r="N1033">
        <f>(M1033-F1033)</f>
        <v/>
      </c>
    </row>
    <row r="1034" ht="15" customHeight="1">
      <c r="A1034" s="2" t="inlineStr"/>
      <c r="B1034" s="2" t="inlineStr"/>
      <c r="C1034" s="2" t="inlineStr"/>
      <c r="D1034" s="2" t="inlineStr"/>
      <c r="E1034" s="26" t="inlineStr">
        <is>
          <t>TOTAL Material:</t>
        </is>
      </c>
      <c r="F1034" s="56" t="n"/>
      <c r="G1034" s="65">
        <f>SUM(G1033:G1033)</f>
        <v/>
      </c>
    </row>
    <row r="1035" ht="15" customHeight="1">
      <c r="A1035" s="2" t="inlineStr"/>
      <c r="B1035" s="2" t="inlineStr"/>
      <c r="C1035" s="2" t="inlineStr"/>
      <c r="D1035" s="2" t="inlineStr"/>
      <c r="E1035" s="28" t="inlineStr">
        <is>
          <t>VALOR:</t>
        </is>
      </c>
      <c r="F1035" s="56" t="n"/>
      <c r="G1035" s="66">
        <f>ROUND(SUM(G1034),2)</f>
        <v/>
      </c>
    </row>
    <row r="1036" ht="15" customHeight="1">
      <c r="A1036" s="2" t="inlineStr"/>
      <c r="B1036" s="2" t="inlineStr"/>
      <c r="C1036" s="2" t="inlineStr"/>
      <c r="D1036" s="2" t="inlineStr"/>
      <c r="E1036" s="28" t="inlineStr">
        <is>
          <t>VALOR BDI (23.08%):</t>
        </is>
      </c>
      <c r="F1036" s="56" t="n"/>
      <c r="G1036" s="66">
        <f>ROUNDDOWN(G1035*BDI,2)</f>
        <v/>
      </c>
    </row>
    <row r="1037" ht="15" customHeight="1">
      <c r="A1037" s="2" t="inlineStr"/>
      <c r="B1037" s="2" t="inlineStr"/>
      <c r="C1037" s="2" t="inlineStr"/>
      <c r="D1037" s="2" t="inlineStr"/>
      <c r="E1037" s="28" t="inlineStr">
        <is>
          <t>VALOR COM BDI:</t>
        </is>
      </c>
      <c r="F1037" s="56" t="n"/>
      <c r="G1037" s="66">
        <f>G1036 + G1035</f>
        <v/>
      </c>
    </row>
    <row r="1038" ht="10" customHeight="1">
      <c r="A1038" s="2" t="inlineStr"/>
      <c r="B1038" s="2" t="inlineStr"/>
      <c r="C1038" s="2" t="inlineStr"/>
      <c r="D1038" s="2" t="inlineStr"/>
      <c r="E1038" s="18" t="inlineStr"/>
    </row>
    <row r="1039" ht="20" customHeight="1">
      <c r="A1039" s="19" t="inlineStr">
        <is>
          <t>​95265​ COMPACTADOR DE SOLOS DE PERCUSÃO (SOQUETE) COM MOTOR A GASOLINA, POTÊNCIA 3 CV - CHI DIURNO. AF_09/2016​ (CHI)</t>
        </is>
      </c>
      <c r="B1039" s="55" t="n"/>
      <c r="C1039" s="55" t="n"/>
      <c r="D1039" s="55" t="n"/>
      <c r="E1039" s="55" t="n"/>
      <c r="F1039" s="55" t="n"/>
      <c r="G1039" s="56" t="n"/>
    </row>
    <row r="1040" ht="15" customHeight="1">
      <c r="A1040" s="20" t="inlineStr">
        <is>
          <t>Serviço</t>
        </is>
      </c>
      <c r="B1040" s="56" t="n"/>
      <c r="C1040" s="21" t="inlineStr">
        <is>
          <t>FONTE</t>
        </is>
      </c>
      <c r="D1040" s="21" t="inlineStr">
        <is>
          <t>UNID</t>
        </is>
      </c>
      <c r="E1040" s="21" t="inlineStr">
        <is>
          <t>COEFICIENTE</t>
        </is>
      </c>
      <c r="F1040" s="21" t="inlineStr">
        <is>
          <t>PREÇO UNITÁRIO</t>
        </is>
      </c>
      <c r="G1040" s="21" t="inlineStr">
        <is>
          <t>TOTAL</t>
        </is>
      </c>
    </row>
    <row r="1041" ht="29" customHeight="1">
      <c r="A1041" s="22" t="inlineStr">
        <is>
          <t>95260</t>
        </is>
      </c>
      <c r="B1041" s="23" t="inlineStr">
        <is>
          <t>COMPACTADOR DE SOLOS DE PERCUSÃO (SOQUETE) COM MOTOR A GASOLINA, POTÊNCIA 3 CV - DEPRECIAÇÃO. AF_09/2016</t>
        </is>
      </c>
      <c r="C1041" s="22" t="inlineStr">
        <is>
          <t>SINAPI</t>
        </is>
      </c>
      <c r="D1041" s="22" t="inlineStr">
        <is>
          <t>H</t>
        </is>
      </c>
      <c r="E1041" s="63" t="n">
        <v>1</v>
      </c>
      <c r="F1041" s="64" t="n">
        <v>0.74</v>
      </c>
      <c r="G1041" s="64">
        <f>TRUNC(TRUNC(E1041,8)*F1041,2)</f>
        <v/>
      </c>
      <c r="L1041" t="n">
        <v>1</v>
      </c>
      <c r="M1041" t="n">
        <v>0.74</v>
      </c>
      <c r="N1041">
        <f>(M1041-F1041)</f>
        <v/>
      </c>
    </row>
    <row r="1042" ht="21" customHeight="1">
      <c r="A1042" s="22" t="inlineStr">
        <is>
          <t>95261</t>
        </is>
      </c>
      <c r="B1042" s="23" t="inlineStr">
        <is>
          <t>COMPACTADOR DE SOLOS DE PERCUSÃO (SOQUETE) COM MOTOR A GASOLINA, POTÊNCIA 3 CV - JUROS. AF_09/2016</t>
        </is>
      </c>
      <c r="C1042" s="22" t="inlineStr">
        <is>
          <t>SINAPI</t>
        </is>
      </c>
      <c r="D1042" s="22" t="inlineStr">
        <is>
          <t>H</t>
        </is>
      </c>
      <c r="E1042" s="63" t="n">
        <v>1</v>
      </c>
      <c r="F1042" s="64" t="n">
        <v>0.2</v>
      </c>
      <c r="G1042" s="64">
        <f>TRUNC(TRUNC(E1042,8)*F1042,2)</f>
        <v/>
      </c>
      <c r="L1042" t="n">
        <v>1</v>
      </c>
      <c r="M1042" t="n">
        <v>0.2</v>
      </c>
      <c r="N1042">
        <f>(M1042-F1042)</f>
        <v/>
      </c>
    </row>
    <row r="1043" ht="15" customHeight="1">
      <c r="A1043" s="2" t="inlineStr"/>
      <c r="B1043" s="2" t="inlineStr"/>
      <c r="C1043" s="2" t="inlineStr"/>
      <c r="D1043" s="2" t="inlineStr"/>
      <c r="E1043" s="26" t="inlineStr">
        <is>
          <t>TOTAL Serviço:</t>
        </is>
      </c>
      <c r="F1043" s="56" t="n"/>
      <c r="G1043" s="65">
        <f>SUM(G1041:G1042)</f>
        <v/>
      </c>
    </row>
    <row r="1044" ht="15" customHeight="1">
      <c r="A1044" s="2" t="inlineStr"/>
      <c r="B1044" s="2" t="inlineStr"/>
      <c r="C1044" s="2" t="inlineStr"/>
      <c r="D1044" s="2" t="inlineStr"/>
      <c r="E1044" s="28" t="inlineStr">
        <is>
          <t>VALOR:</t>
        </is>
      </c>
      <c r="F1044" s="56" t="n"/>
      <c r="G1044" s="66">
        <f>SUM(G1043)</f>
        <v/>
      </c>
    </row>
    <row r="1045" ht="15" customHeight="1">
      <c r="A1045" s="2" t="inlineStr"/>
      <c r="B1045" s="2" t="inlineStr"/>
      <c r="C1045" s="2" t="inlineStr"/>
      <c r="D1045" s="2" t="inlineStr"/>
      <c r="E1045" s="28" t="inlineStr">
        <is>
          <t>VALOR BDI (23.08%):</t>
        </is>
      </c>
      <c r="F1045" s="56" t="n"/>
      <c r="G1045" s="66">
        <f>ROUNDDOWN(G1044*BDI,2)</f>
        <v/>
      </c>
    </row>
    <row r="1046" ht="15" customHeight="1">
      <c r="A1046" s="2" t="inlineStr"/>
      <c r="B1046" s="2" t="inlineStr"/>
      <c r="C1046" s="2" t="inlineStr"/>
      <c r="D1046" s="2" t="inlineStr"/>
      <c r="E1046" s="28" t="inlineStr">
        <is>
          <t>VALOR COM BDI:</t>
        </is>
      </c>
      <c r="F1046" s="56" t="n"/>
      <c r="G1046" s="66">
        <f>G1045 + G1044</f>
        <v/>
      </c>
    </row>
    <row r="1047" ht="10" customHeight="1">
      <c r="A1047" s="2" t="inlineStr"/>
      <c r="B1047" s="2" t="inlineStr"/>
      <c r="C1047" s="2" t="inlineStr"/>
      <c r="D1047" s="2" t="inlineStr"/>
      <c r="E1047" s="18" t="inlineStr"/>
    </row>
    <row r="1048" ht="20" customHeight="1">
      <c r="A1048" s="19" t="inlineStr">
        <is>
          <t>​95264​ COMPACTADOR DE SOLOS DE PERCUSÃO (SOQUETE) COM MOTOR A GASOLINA, POTÊNCIA 3 CV - CHP DIURNO. AF_09/2016​ (CHP)</t>
        </is>
      </c>
      <c r="B1048" s="55" t="n"/>
      <c r="C1048" s="55" t="n"/>
      <c r="D1048" s="55" t="n"/>
      <c r="E1048" s="55" t="n"/>
      <c r="F1048" s="55" t="n"/>
      <c r="G1048" s="56" t="n"/>
    </row>
    <row r="1049" ht="15" customHeight="1">
      <c r="A1049" s="20" t="inlineStr">
        <is>
          <t>Serviço</t>
        </is>
      </c>
      <c r="B1049" s="56" t="n"/>
      <c r="C1049" s="21" t="inlineStr">
        <is>
          <t>FONTE</t>
        </is>
      </c>
      <c r="D1049" s="21" t="inlineStr">
        <is>
          <t>UNID</t>
        </is>
      </c>
      <c r="E1049" s="21" t="inlineStr">
        <is>
          <t>COEFICIENTE</t>
        </is>
      </c>
      <c r="F1049" s="21" t="inlineStr">
        <is>
          <t>PREÇO UNITÁRIO</t>
        </is>
      </c>
      <c r="G1049" s="21" t="inlineStr">
        <is>
          <t>TOTAL</t>
        </is>
      </c>
    </row>
    <row r="1050" ht="29" customHeight="1">
      <c r="A1050" s="22" t="inlineStr">
        <is>
          <t>95260</t>
        </is>
      </c>
      <c r="B1050" s="23" t="inlineStr">
        <is>
          <t>COMPACTADOR DE SOLOS DE PERCUSÃO (SOQUETE) COM MOTOR A GASOLINA, POTÊNCIA 3 CV - DEPRECIAÇÃO. AF_09/2016</t>
        </is>
      </c>
      <c r="C1050" s="22" t="inlineStr">
        <is>
          <t>SINAPI</t>
        </is>
      </c>
      <c r="D1050" s="22" t="inlineStr">
        <is>
          <t>H</t>
        </is>
      </c>
      <c r="E1050" s="63" t="n">
        <v>1</v>
      </c>
      <c r="F1050" s="64">
        <f>'COMPOSICOES AUXILIARES'!G1044</f>
        <v/>
      </c>
      <c r="G1050" s="64">
        <f>TRUNC(TRUNC(E1050,8)*F1050,2)</f>
        <v/>
      </c>
      <c r="L1050" t="n">
        <v>1</v>
      </c>
      <c r="M1050" t="n">
        <v>0.74</v>
      </c>
      <c r="N1050">
        <f>(M1050-F1050)</f>
        <v/>
      </c>
    </row>
    <row r="1051" ht="21" customHeight="1">
      <c r="A1051" s="22" t="inlineStr">
        <is>
          <t>95261</t>
        </is>
      </c>
      <c r="B1051" s="23" t="inlineStr">
        <is>
          <t>COMPACTADOR DE SOLOS DE PERCUSÃO (SOQUETE) COM MOTOR A GASOLINA, POTÊNCIA 3 CV - JUROS. AF_09/2016</t>
        </is>
      </c>
      <c r="C1051" s="22" t="inlineStr">
        <is>
          <t>SINAPI</t>
        </is>
      </c>
      <c r="D1051" s="22" t="inlineStr">
        <is>
          <t>H</t>
        </is>
      </c>
      <c r="E1051" s="63" t="n">
        <v>1</v>
      </c>
      <c r="F1051" s="64">
        <f>'COMPOSICOES AUXILIARES'!G1044</f>
        <v/>
      </c>
      <c r="G1051" s="64">
        <f>TRUNC(TRUNC(E1051,8)*F1051,2)</f>
        <v/>
      </c>
      <c r="L1051" t="n">
        <v>1</v>
      </c>
      <c r="M1051" t="n">
        <v>0.2</v>
      </c>
      <c r="N1051">
        <f>(M1051-F1051)</f>
        <v/>
      </c>
    </row>
    <row r="1052" ht="29" customHeight="1">
      <c r="A1052" s="22" t="inlineStr">
        <is>
          <t>95262</t>
        </is>
      </c>
      <c r="B1052" s="23" t="inlineStr">
        <is>
          <t>COMPACTADOR DE SOLOS DE PERCUSÃO (SOQUETE) COM MOTOR A GASOLINA, POTÊNCIA 3 CV - MANUTENÇÃO. AF_09/2016</t>
        </is>
      </c>
      <c r="C1052" s="22" t="inlineStr">
        <is>
          <t>SINAPI</t>
        </is>
      </c>
      <c r="D1052" s="22" t="inlineStr">
        <is>
          <t>H</t>
        </is>
      </c>
      <c r="E1052" s="63" t="n">
        <v>1</v>
      </c>
      <c r="F1052" s="64" t="n">
        <v>0.93</v>
      </c>
      <c r="G1052" s="64">
        <f>TRUNC(TRUNC(E1052,8)*F1052,2)</f>
        <v/>
      </c>
      <c r="L1052" t="n">
        <v>1</v>
      </c>
      <c r="M1052" t="n">
        <v>0.93</v>
      </c>
      <c r="N1052">
        <f>(M1052-F1052)</f>
        <v/>
      </c>
    </row>
    <row r="1053" ht="29" customHeight="1">
      <c r="A1053" s="22" t="inlineStr">
        <is>
          <t>95263</t>
        </is>
      </c>
      <c r="B1053" s="23" t="inlineStr">
        <is>
          <t>COMPACTADOR DE SOLOS DE PERCUSÃO (SOQUETE) COM MOTOR A GASOLINA, POTÊNCIA 3 CV - MATERIAIS NA OPERAÇÃO. AF_09/2016</t>
        </is>
      </c>
      <c r="C1053" s="22" t="inlineStr">
        <is>
          <t>SINAPI</t>
        </is>
      </c>
      <c r="D1053" s="22" t="inlineStr">
        <is>
          <t>H</t>
        </is>
      </c>
      <c r="E1053" s="63" t="n">
        <v>1</v>
      </c>
      <c r="F1053" s="64" t="n">
        <v>4.92</v>
      </c>
      <c r="G1053" s="64">
        <f>TRUNC(TRUNC(E1053,8)*F1053,2)</f>
        <v/>
      </c>
      <c r="L1053" t="n">
        <v>1</v>
      </c>
      <c r="M1053" t="n">
        <v>4.92</v>
      </c>
      <c r="N1053">
        <f>(M1053-F1053)</f>
        <v/>
      </c>
    </row>
    <row r="1054" ht="15" customHeight="1">
      <c r="A1054" s="2" t="inlineStr"/>
      <c r="B1054" s="2" t="inlineStr"/>
      <c r="C1054" s="2" t="inlineStr"/>
      <c r="D1054" s="2" t="inlineStr"/>
      <c r="E1054" s="26" t="inlineStr">
        <is>
          <t>TOTAL Serviço:</t>
        </is>
      </c>
      <c r="F1054" s="56" t="n"/>
      <c r="G1054" s="65">
        <f>SUM(G1050:G1053)</f>
        <v/>
      </c>
    </row>
    <row r="1055" ht="15" customHeight="1">
      <c r="A1055" s="2" t="inlineStr"/>
      <c r="B1055" s="2" t="inlineStr"/>
      <c r="C1055" s="2" t="inlineStr"/>
      <c r="D1055" s="2" t="inlineStr"/>
      <c r="E1055" s="28" t="inlineStr">
        <is>
          <t>VALOR:</t>
        </is>
      </c>
      <c r="F1055" s="56" t="n"/>
      <c r="G1055" s="66">
        <f>SUM(G1054)</f>
        <v/>
      </c>
    </row>
    <row r="1056" ht="15" customHeight="1">
      <c r="A1056" s="2" t="inlineStr"/>
      <c r="B1056" s="2" t="inlineStr"/>
      <c r="C1056" s="2" t="inlineStr"/>
      <c r="D1056" s="2" t="inlineStr"/>
      <c r="E1056" s="28" t="inlineStr">
        <is>
          <t>VALOR BDI (23.08%):</t>
        </is>
      </c>
      <c r="F1056" s="56" t="n"/>
      <c r="G1056" s="66">
        <f>ROUNDDOWN(G1055*BDI,2)</f>
        <v/>
      </c>
    </row>
    <row r="1057" ht="15" customHeight="1">
      <c r="A1057" s="2" t="inlineStr"/>
      <c r="B1057" s="2" t="inlineStr"/>
      <c r="C1057" s="2" t="inlineStr"/>
      <c r="D1057" s="2" t="inlineStr"/>
      <c r="E1057" s="28" t="inlineStr">
        <is>
          <t>VALOR COM BDI:</t>
        </is>
      </c>
      <c r="F1057" s="56" t="n"/>
      <c r="G1057" s="66">
        <f>G1056 + G1055</f>
        <v/>
      </c>
    </row>
    <row r="1058" ht="10" customHeight="1">
      <c r="A1058" s="2" t="inlineStr"/>
      <c r="B1058" s="2" t="inlineStr"/>
      <c r="C1058" s="2" t="inlineStr"/>
      <c r="D1058" s="2" t="inlineStr"/>
      <c r="E1058" s="18" t="inlineStr"/>
    </row>
    <row r="1059" ht="20" customHeight="1">
      <c r="A1059" s="19" t="inlineStr">
        <is>
          <t>​95260​ COMPACTADOR DE SOLOS DE PERCUSÃO (SOQUETE) COM MOTOR A GASOLINA, POTÊNCIA 3 CV - DEPRECIAÇÃO. AF_09/2016​ (H)</t>
        </is>
      </c>
      <c r="B1059" s="55" t="n"/>
      <c r="C1059" s="55" t="n"/>
      <c r="D1059" s="55" t="n"/>
      <c r="E1059" s="55" t="n"/>
      <c r="F1059" s="55" t="n"/>
      <c r="G1059" s="56" t="n"/>
    </row>
    <row r="1060" ht="15" customHeight="1">
      <c r="A1060" s="20" t="inlineStr">
        <is>
          <t>Equipamento</t>
        </is>
      </c>
      <c r="B1060" s="56" t="n"/>
      <c r="C1060" s="21" t="inlineStr">
        <is>
          <t>FONTE</t>
        </is>
      </c>
      <c r="D1060" s="21" t="inlineStr">
        <is>
          <t>UNID</t>
        </is>
      </c>
      <c r="E1060" s="21" t="inlineStr">
        <is>
          <t>COEFICIENTE</t>
        </is>
      </c>
      <c r="F1060" s="21" t="inlineStr">
        <is>
          <t>PREÇO UNITÁRIO</t>
        </is>
      </c>
      <c r="G1060" s="21" t="inlineStr">
        <is>
          <t>TOTAL</t>
        </is>
      </c>
    </row>
    <row r="1061" ht="46" customHeight="1">
      <c r="A1061" s="22" t="inlineStr">
        <is>
          <t>00011281</t>
        </is>
      </c>
      <c r="B1061" s="23" t="inlineStr">
        <is>
          <t>COMPACTADOR DE SOLO A PERCUSSAO (SOQUETE), A GASOLINA 4 TEMPOS, PESO 55 A 65 KG, FORCA DE IMPACTO 1.000 A 1.500 KGF, FREQ. 600 A 700 GOLPES P/ MINUTO, VELOCIDADE TRABALHO DE 10 A 15 M/MIN, POT. DE 2,00 A 3,00 HP</t>
        </is>
      </c>
      <c r="C1061" s="22" t="inlineStr">
        <is>
          <t>SINAPI</t>
        </is>
      </c>
      <c r="D1061" s="22" t="inlineStr">
        <is>
          <t>UN</t>
        </is>
      </c>
      <c r="E1061" s="63" t="n">
        <v>5.33e-05</v>
      </c>
      <c r="F1061" s="64" t="n">
        <v>13990</v>
      </c>
      <c r="G1061" s="64">
        <f>TRUNC(TRUNC(E1061,8)*F1061,2)</f>
        <v/>
      </c>
      <c r="M1061" t="n">
        <v>13990</v>
      </c>
      <c r="N1061">
        <f>(M1061-F1061)</f>
        <v/>
      </c>
    </row>
    <row r="1062" ht="15" customHeight="1">
      <c r="A1062" s="2" t="inlineStr"/>
      <c r="B1062" s="2" t="inlineStr"/>
      <c r="C1062" s="2" t="inlineStr"/>
      <c r="D1062" s="2" t="inlineStr"/>
      <c r="E1062" s="26" t="inlineStr">
        <is>
          <t>TOTAL Equipamento:</t>
        </is>
      </c>
      <c r="F1062" s="56" t="n"/>
      <c r="G1062" s="65">
        <f>SUM(G1061:G1061)</f>
        <v/>
      </c>
    </row>
    <row r="1063" ht="15" customHeight="1">
      <c r="A1063" s="2" t="inlineStr"/>
      <c r="B1063" s="2" t="inlineStr"/>
      <c r="C1063" s="2" t="inlineStr"/>
      <c r="D1063" s="2" t="inlineStr"/>
      <c r="E1063" s="28" t="inlineStr">
        <is>
          <t>VALOR:</t>
        </is>
      </c>
      <c r="F1063" s="56" t="n"/>
      <c r="G1063" s="66">
        <f>ROUND(SUM(G1062),2)</f>
        <v/>
      </c>
    </row>
    <row r="1064" ht="15" customHeight="1">
      <c r="A1064" s="2" t="inlineStr"/>
      <c r="B1064" s="2" t="inlineStr"/>
      <c r="C1064" s="2" t="inlineStr"/>
      <c r="D1064" s="2" t="inlineStr"/>
      <c r="E1064" s="28" t="inlineStr">
        <is>
          <t>VALOR BDI (23.08%):</t>
        </is>
      </c>
      <c r="F1064" s="56" t="n"/>
      <c r="G1064" s="66">
        <f>ROUNDDOWN(G1063*BDI,2)</f>
        <v/>
      </c>
    </row>
    <row r="1065" ht="15" customHeight="1">
      <c r="A1065" s="2" t="inlineStr"/>
      <c r="B1065" s="2" t="inlineStr"/>
      <c r="C1065" s="2" t="inlineStr"/>
      <c r="D1065" s="2" t="inlineStr"/>
      <c r="E1065" s="28" t="inlineStr">
        <is>
          <t>VALOR COM BDI:</t>
        </is>
      </c>
      <c r="F1065" s="56" t="n"/>
      <c r="G1065" s="66">
        <f>G1064 + G1063</f>
        <v/>
      </c>
    </row>
    <row r="1066" ht="10" customHeight="1">
      <c r="A1066" s="2" t="inlineStr"/>
      <c r="B1066" s="2" t="inlineStr"/>
      <c r="C1066" s="2" t="inlineStr"/>
      <c r="D1066" s="2" t="inlineStr"/>
      <c r="E1066" s="18" t="inlineStr"/>
    </row>
    <row r="1067" ht="20" customHeight="1">
      <c r="A1067" s="19" t="inlineStr">
        <is>
          <t>​95261​ COMPACTADOR DE SOLOS DE PERCUSÃO (SOQUETE) COM MOTOR A GASOLINA, POTÊNCIA 3 CV - JUROS. AF_09/2016​ (H)</t>
        </is>
      </c>
      <c r="B1067" s="55" t="n"/>
      <c r="C1067" s="55" t="n"/>
      <c r="D1067" s="55" t="n"/>
      <c r="E1067" s="55" t="n"/>
      <c r="F1067" s="55" t="n"/>
      <c r="G1067" s="56" t="n"/>
    </row>
    <row r="1068" ht="15" customHeight="1">
      <c r="A1068" s="20" t="inlineStr">
        <is>
          <t>Equipamento</t>
        </is>
      </c>
      <c r="B1068" s="56" t="n"/>
      <c r="C1068" s="21" t="inlineStr">
        <is>
          <t>FONTE</t>
        </is>
      </c>
      <c r="D1068" s="21" t="inlineStr">
        <is>
          <t>UNID</t>
        </is>
      </c>
      <c r="E1068" s="21" t="inlineStr">
        <is>
          <t>COEFICIENTE</t>
        </is>
      </c>
      <c r="F1068" s="21" t="inlineStr">
        <is>
          <t>PREÇO UNITÁRIO</t>
        </is>
      </c>
      <c r="G1068" s="21" t="inlineStr">
        <is>
          <t>TOTAL</t>
        </is>
      </c>
    </row>
    <row r="1069" ht="46" customHeight="1">
      <c r="A1069" s="22" t="inlineStr">
        <is>
          <t>00011281</t>
        </is>
      </c>
      <c r="B1069" s="23" t="inlineStr">
        <is>
          <t>COMPACTADOR DE SOLO A PERCUSSAO (SOQUETE), A GASOLINA 4 TEMPOS, PESO 55 A 65 KG, FORCA DE IMPACTO 1.000 A 1.500 KGF, FREQ. 600 A 700 GOLPES P/ MINUTO, VELOCIDADE TRABALHO DE 10 A 15 M/MIN, POT. DE 2,00 A 3,00 HP</t>
        </is>
      </c>
      <c r="C1069" s="22" t="inlineStr">
        <is>
          <t>SINAPI</t>
        </is>
      </c>
      <c r="D1069" s="22" t="inlineStr">
        <is>
          <t>UN</t>
        </is>
      </c>
      <c r="E1069" s="63" t="n">
        <v>1.43e-05</v>
      </c>
      <c r="F1069" s="64" t="n">
        <v>13990</v>
      </c>
      <c r="G1069" s="64">
        <f>TRUNC(TRUNC(E1069,8)*F1069,2)</f>
        <v/>
      </c>
      <c r="M1069" t="n">
        <v>13990</v>
      </c>
      <c r="N1069">
        <f>(M1069-F1069)</f>
        <v/>
      </c>
    </row>
    <row r="1070" ht="15" customHeight="1">
      <c r="A1070" s="2" t="inlineStr"/>
      <c r="B1070" s="2" t="inlineStr"/>
      <c r="C1070" s="2" t="inlineStr"/>
      <c r="D1070" s="2" t="inlineStr"/>
      <c r="E1070" s="26" t="inlineStr">
        <is>
          <t>TOTAL Equipamento:</t>
        </is>
      </c>
      <c r="F1070" s="56" t="n"/>
      <c r="G1070" s="65">
        <f>SUM(G1069:G1069)</f>
        <v/>
      </c>
    </row>
    <row r="1071" ht="15" customHeight="1">
      <c r="A1071" s="2" t="inlineStr"/>
      <c r="B1071" s="2" t="inlineStr"/>
      <c r="C1071" s="2" t="inlineStr"/>
      <c r="D1071" s="2" t="inlineStr"/>
      <c r="E1071" s="28" t="inlineStr">
        <is>
          <t>VALOR:</t>
        </is>
      </c>
      <c r="F1071" s="56" t="n"/>
      <c r="G1071" s="66">
        <f>ROUND(SUM(G1070),2)</f>
        <v/>
      </c>
    </row>
    <row r="1072" ht="15" customHeight="1">
      <c r="A1072" s="2" t="inlineStr"/>
      <c r="B1072" s="2" t="inlineStr"/>
      <c r="C1072" s="2" t="inlineStr"/>
      <c r="D1072" s="2" t="inlineStr"/>
      <c r="E1072" s="28" t="inlineStr">
        <is>
          <t>VALOR BDI (23.08%):</t>
        </is>
      </c>
      <c r="F1072" s="56" t="n"/>
      <c r="G1072" s="66">
        <f>ROUNDDOWN(G1071*BDI,2)</f>
        <v/>
      </c>
    </row>
    <row r="1073" ht="15" customHeight="1">
      <c r="A1073" s="2" t="inlineStr"/>
      <c r="B1073" s="2" t="inlineStr"/>
      <c r="C1073" s="2" t="inlineStr"/>
      <c r="D1073" s="2" t="inlineStr"/>
      <c r="E1073" s="28" t="inlineStr">
        <is>
          <t>VALOR COM BDI:</t>
        </is>
      </c>
      <c r="F1073" s="56" t="n"/>
      <c r="G1073" s="66">
        <f>G1072 + G1071</f>
        <v/>
      </c>
    </row>
    <row r="1074" ht="10" customHeight="1">
      <c r="A1074" s="2" t="inlineStr"/>
      <c r="B1074" s="2" t="inlineStr"/>
      <c r="C1074" s="2" t="inlineStr"/>
      <c r="D1074" s="2" t="inlineStr"/>
      <c r="E1074" s="18" t="inlineStr"/>
    </row>
    <row r="1075" ht="20" customHeight="1">
      <c r="A1075" s="19" t="inlineStr">
        <is>
          <t>​95262​ COMPACTADOR DE SOLOS DE PERCUSÃO (SOQUETE) COM MOTOR A GASOLINA, POTÊNCIA 3 CV - MANUTENÇÃO. AF_09/2016​ (H)</t>
        </is>
      </c>
      <c r="B1075" s="55" t="n"/>
      <c r="C1075" s="55" t="n"/>
      <c r="D1075" s="55" t="n"/>
      <c r="E1075" s="55" t="n"/>
      <c r="F1075" s="55" t="n"/>
      <c r="G1075" s="56" t="n"/>
    </row>
    <row r="1076" ht="15" customHeight="1">
      <c r="A1076" s="20" t="inlineStr">
        <is>
          <t>Equipamento</t>
        </is>
      </c>
      <c r="B1076" s="56" t="n"/>
      <c r="C1076" s="21" t="inlineStr">
        <is>
          <t>FONTE</t>
        </is>
      </c>
      <c r="D1076" s="21" t="inlineStr">
        <is>
          <t>UNID</t>
        </is>
      </c>
      <c r="E1076" s="21" t="inlineStr">
        <is>
          <t>COEFICIENTE</t>
        </is>
      </c>
      <c r="F1076" s="21" t="inlineStr">
        <is>
          <t>PREÇO UNITÁRIO</t>
        </is>
      </c>
      <c r="G1076" s="21" t="inlineStr">
        <is>
          <t>TOTAL</t>
        </is>
      </c>
    </row>
    <row r="1077" ht="46" customHeight="1">
      <c r="A1077" s="22" t="inlineStr">
        <is>
          <t>00011281</t>
        </is>
      </c>
      <c r="B1077" s="23" t="inlineStr">
        <is>
          <t>COMPACTADOR DE SOLO A PERCUSSAO (SOQUETE), A GASOLINA 4 TEMPOS, PESO 55 A 65 KG, FORCA DE IMPACTO 1.000 A 1.500 KGF, FREQ. 600 A 700 GOLPES P/ MINUTO, VELOCIDADE TRABALHO DE 10 A 15 M/MIN, POT. DE 2,00 A 3,00 HP</t>
        </is>
      </c>
      <c r="C1077" s="22" t="inlineStr">
        <is>
          <t>SINAPI</t>
        </is>
      </c>
      <c r="D1077" s="22" t="inlineStr">
        <is>
          <t>UN</t>
        </is>
      </c>
      <c r="E1077" s="63" t="n">
        <v>6.669999999999999e-05</v>
      </c>
      <c r="F1077" s="64" t="n">
        <v>13990</v>
      </c>
      <c r="G1077" s="64">
        <f>TRUNC(TRUNC(E1077,8)*F1077,2)</f>
        <v/>
      </c>
      <c r="M1077" t="n">
        <v>13990</v>
      </c>
      <c r="N1077">
        <f>(M1077-F1077)</f>
        <v/>
      </c>
    </row>
    <row r="1078" ht="15" customHeight="1">
      <c r="A1078" s="2" t="inlineStr"/>
      <c r="B1078" s="2" t="inlineStr"/>
      <c r="C1078" s="2" t="inlineStr"/>
      <c r="D1078" s="2" t="inlineStr"/>
      <c r="E1078" s="26" t="inlineStr">
        <is>
          <t>TOTAL Equipamento:</t>
        </is>
      </c>
      <c r="F1078" s="56" t="n"/>
      <c r="G1078" s="65">
        <f>SUM(G1077:G1077)</f>
        <v/>
      </c>
    </row>
    <row r="1079" ht="15" customHeight="1">
      <c r="A1079" s="2" t="inlineStr"/>
      <c r="B1079" s="2" t="inlineStr"/>
      <c r="C1079" s="2" t="inlineStr"/>
      <c r="D1079" s="2" t="inlineStr"/>
      <c r="E1079" s="28" t="inlineStr">
        <is>
          <t>VALOR:</t>
        </is>
      </c>
      <c r="F1079" s="56" t="n"/>
      <c r="G1079" s="66">
        <f>ROUND(SUM(G1078),2)</f>
        <v/>
      </c>
    </row>
    <row r="1080" ht="15" customHeight="1">
      <c r="A1080" s="2" t="inlineStr"/>
      <c r="B1080" s="2" t="inlineStr"/>
      <c r="C1080" s="2" t="inlineStr"/>
      <c r="D1080" s="2" t="inlineStr"/>
      <c r="E1080" s="28" t="inlineStr">
        <is>
          <t>VALOR BDI (23.08%):</t>
        </is>
      </c>
      <c r="F1080" s="56" t="n"/>
      <c r="G1080" s="66">
        <f>ROUNDDOWN(G1079*BDI,2)</f>
        <v/>
      </c>
    </row>
    <row r="1081" ht="15" customHeight="1">
      <c r="A1081" s="2" t="inlineStr"/>
      <c r="B1081" s="2" t="inlineStr"/>
      <c r="C1081" s="2" t="inlineStr"/>
      <c r="D1081" s="2" t="inlineStr"/>
      <c r="E1081" s="28" t="inlineStr">
        <is>
          <t>VALOR COM BDI:</t>
        </is>
      </c>
      <c r="F1081" s="56" t="n"/>
      <c r="G1081" s="66">
        <f>G1080 + G1079</f>
        <v/>
      </c>
    </row>
    <row r="1082" ht="10" customHeight="1">
      <c r="A1082" s="2" t="inlineStr"/>
      <c r="B1082" s="2" t="inlineStr"/>
      <c r="C1082" s="2" t="inlineStr"/>
      <c r="D1082" s="2" t="inlineStr"/>
      <c r="E1082" s="18" t="inlineStr"/>
    </row>
    <row r="1083" ht="20" customHeight="1">
      <c r="A1083" s="19" t="inlineStr">
        <is>
          <t>​95263​ COMPACTADOR DE SOLOS DE PERCUSÃO (SOQUETE) COM MOTOR A GASOLINA, POTÊNCIA 3 CV - MATERIAIS NA OPERAÇÃO. AF_09/2016​ (H)</t>
        </is>
      </c>
      <c r="B1083" s="55" t="n"/>
      <c r="C1083" s="55" t="n"/>
      <c r="D1083" s="55" t="n"/>
      <c r="E1083" s="55" t="n"/>
      <c r="F1083" s="55" t="n"/>
      <c r="G1083" s="56" t="n"/>
    </row>
    <row r="1084" ht="15" customHeight="1">
      <c r="A1084" s="20" t="inlineStr">
        <is>
          <t>Material</t>
        </is>
      </c>
      <c r="B1084" s="56" t="n"/>
      <c r="C1084" s="21" t="inlineStr">
        <is>
          <t>FONTE</t>
        </is>
      </c>
      <c r="D1084" s="21" t="inlineStr">
        <is>
          <t>UNID</t>
        </is>
      </c>
      <c r="E1084" s="21" t="inlineStr">
        <is>
          <t>COEFICIENTE</t>
        </is>
      </c>
      <c r="F1084" s="21" t="inlineStr">
        <is>
          <t>PREÇO UNITÁRIO</t>
        </is>
      </c>
      <c r="G1084" s="21" t="inlineStr">
        <is>
          <t>TOTAL</t>
        </is>
      </c>
    </row>
    <row r="1085" ht="15" customHeight="1">
      <c r="A1085" s="22" t="inlineStr">
        <is>
          <t>00004222</t>
        </is>
      </c>
      <c r="B1085" s="23" t="inlineStr">
        <is>
          <t>GASOLINA COMUM</t>
        </is>
      </c>
      <c r="C1085" s="22" t="inlineStr">
        <is>
          <t>SINAPI</t>
        </is>
      </c>
      <c r="D1085" s="22" t="inlineStr">
        <is>
          <t>L</t>
        </is>
      </c>
      <c r="E1085" s="63" t="n">
        <v>0.78</v>
      </c>
      <c r="F1085" s="64" t="n">
        <v>6.31</v>
      </c>
      <c r="G1085" s="64">
        <f>TRUNC(TRUNC(E1085,8)*F1085,2)</f>
        <v/>
      </c>
      <c r="L1085" t="n">
        <v>0.78</v>
      </c>
      <c r="M1085" t="n">
        <v>6.31</v>
      </c>
      <c r="N1085">
        <f>(M1085-F1085)</f>
        <v/>
      </c>
    </row>
    <row r="1086" ht="15" customHeight="1">
      <c r="A1086" s="2" t="inlineStr"/>
      <c r="B1086" s="2" t="inlineStr"/>
      <c r="C1086" s="2" t="inlineStr"/>
      <c r="D1086" s="2" t="inlineStr"/>
      <c r="E1086" s="26" t="inlineStr">
        <is>
          <t>TOTAL Material:</t>
        </is>
      </c>
      <c r="F1086" s="56" t="n"/>
      <c r="G1086" s="65">
        <f>SUM(G1085:G1085)</f>
        <v/>
      </c>
    </row>
    <row r="1087" ht="15" customHeight="1">
      <c r="A1087" s="2" t="inlineStr"/>
      <c r="B1087" s="2" t="inlineStr"/>
      <c r="C1087" s="2" t="inlineStr"/>
      <c r="D1087" s="2" t="inlineStr"/>
      <c r="E1087" s="28" t="inlineStr">
        <is>
          <t>VALOR:</t>
        </is>
      </c>
      <c r="F1087" s="56" t="n"/>
      <c r="G1087" s="66">
        <f>ROUND(SUM(G1086),2)</f>
        <v/>
      </c>
    </row>
    <row r="1088" ht="15" customHeight="1">
      <c r="A1088" s="2" t="inlineStr"/>
      <c r="B1088" s="2" t="inlineStr"/>
      <c r="C1088" s="2" t="inlineStr"/>
      <c r="D1088" s="2" t="inlineStr"/>
      <c r="E1088" s="28" t="inlineStr">
        <is>
          <t>VALOR BDI (23.08%):</t>
        </is>
      </c>
      <c r="F1088" s="56" t="n"/>
      <c r="G1088" s="66">
        <f>ROUNDDOWN(G1087*BDI,2)</f>
        <v/>
      </c>
    </row>
    <row r="1089" ht="15" customHeight="1">
      <c r="A1089" s="2" t="inlineStr"/>
      <c r="B1089" s="2" t="inlineStr"/>
      <c r="C1089" s="2" t="inlineStr"/>
      <c r="D1089" s="2" t="inlineStr"/>
      <c r="E1089" s="28" t="inlineStr">
        <is>
          <t>VALOR COM BDI:</t>
        </is>
      </c>
      <c r="F1089" s="56" t="n"/>
      <c r="G1089" s="66">
        <f>G1088 + G1087</f>
        <v/>
      </c>
    </row>
    <row r="1090" ht="10" customHeight="1">
      <c r="A1090" s="2" t="inlineStr"/>
      <c r="B1090" s="2" t="inlineStr"/>
      <c r="C1090" s="2" t="inlineStr"/>
      <c r="D1090" s="2" t="inlineStr"/>
      <c r="E1090" s="18" t="inlineStr"/>
    </row>
    <row r="1091" ht="20" customHeight="1">
      <c r="A1091" s="19" t="inlineStr">
        <is>
          <t>​102969​ COMPRESSOR DE AR, VAZAO DE 10 PCM, RESERVATORIO 100 L, PRESSAO DE TRABALHO ENTRE 6,9 E 9,7 BAR, POTENCIA 2 HP, TENSAO 110/220 V - MATERIAIS NA OPERAÇÃO. AF_05/2023​ (H)</t>
        </is>
      </c>
      <c r="B1091" s="55" t="n"/>
      <c r="C1091" s="55" t="n"/>
      <c r="D1091" s="55" t="n"/>
      <c r="E1091" s="55" t="n"/>
      <c r="F1091" s="55" t="n"/>
      <c r="G1091" s="56" t="n"/>
    </row>
    <row r="1092" ht="15" customHeight="1">
      <c r="A1092" s="20" t="inlineStr">
        <is>
          <t>Especiais</t>
        </is>
      </c>
      <c r="B1092" s="56" t="n"/>
      <c r="C1092" s="21" t="inlineStr">
        <is>
          <t>FONTE</t>
        </is>
      </c>
      <c r="D1092" s="21" t="inlineStr">
        <is>
          <t>UNID</t>
        </is>
      </c>
      <c r="E1092" s="21" t="inlineStr">
        <is>
          <t>COEFICIENTE</t>
        </is>
      </c>
      <c r="F1092" s="21">
        <f>G2570</f>
        <v/>
      </c>
      <c r="G1092" s="21" t="inlineStr">
        <is>
          <t>TOTAL</t>
        </is>
      </c>
    </row>
    <row r="1093" ht="21" customHeight="1">
      <c r="A1093" s="22" t="inlineStr">
        <is>
          <t>00002705</t>
        </is>
      </c>
      <c r="B1093" s="23" t="inlineStr">
        <is>
          <t>ENERGIA ELETRICA ATE 2000 KWH INDUSTRIAL, SEM DEMANDA</t>
        </is>
      </c>
      <c r="C1093" s="22" t="inlineStr">
        <is>
          <t>SINAPI</t>
        </is>
      </c>
      <c r="D1093" s="22" t="inlineStr">
        <is>
          <t>KWH</t>
        </is>
      </c>
      <c r="E1093" s="63" t="n">
        <v>0.15</v>
      </c>
      <c r="F1093" s="64">
        <f>ROUND(M1093*FATOR, 2)</f>
        <v/>
      </c>
      <c r="G1093" s="64">
        <f>TRUNC(TRUNC(E1093,8)*F1093,2)</f>
        <v/>
      </c>
      <c r="L1093" t="n">
        <v>0.15</v>
      </c>
      <c r="M1093" t="n">
        <v>1.01</v>
      </c>
      <c r="N1093">
        <f>(M1093-F1093)</f>
        <v/>
      </c>
    </row>
    <row r="1094" ht="15" customHeight="1">
      <c r="A1094" s="2" t="inlineStr"/>
      <c r="B1094" s="2" t="inlineStr"/>
      <c r="C1094" s="2" t="inlineStr"/>
      <c r="D1094" s="2" t="inlineStr"/>
      <c r="E1094" s="26" t="inlineStr">
        <is>
          <t>TOTAL Especiais:</t>
        </is>
      </c>
      <c r="F1094" s="56" t="n"/>
      <c r="G1094" s="65">
        <f>SUM(G1093:G1093)</f>
        <v/>
      </c>
    </row>
    <row r="1095" ht="15" customHeight="1">
      <c r="A1095" s="2" t="inlineStr"/>
      <c r="B1095" s="2" t="inlineStr"/>
      <c r="C1095" s="2" t="inlineStr"/>
      <c r="D1095" s="2" t="inlineStr"/>
      <c r="E1095" s="28" t="inlineStr">
        <is>
          <t>VALOR:</t>
        </is>
      </c>
      <c r="F1095" s="56" t="n"/>
      <c r="G1095" s="66">
        <f>SUM(G1094)</f>
        <v/>
      </c>
    </row>
    <row r="1096" ht="15" customHeight="1">
      <c r="A1096" s="2" t="inlineStr"/>
      <c r="B1096" s="2" t="inlineStr"/>
      <c r="C1096" s="2" t="inlineStr"/>
      <c r="D1096" s="2" t="inlineStr"/>
      <c r="E1096" s="28" t="inlineStr">
        <is>
          <t>VALOR BDI (23.08%):</t>
        </is>
      </c>
      <c r="F1096" s="56" t="n"/>
      <c r="G1096" s="66">
        <f>ROUNDDOWN(G1095*BDI,2)</f>
        <v/>
      </c>
    </row>
    <row r="1097" ht="15" customHeight="1">
      <c r="A1097" s="2" t="inlineStr"/>
      <c r="B1097" s="2" t="inlineStr"/>
      <c r="C1097" s="2" t="inlineStr"/>
      <c r="D1097" s="2" t="inlineStr"/>
      <c r="E1097" s="28" t="inlineStr">
        <is>
          <t>VALOR COM BDI:</t>
        </is>
      </c>
      <c r="F1097" s="56" t="n"/>
      <c r="G1097" s="66">
        <f>G1096 + G1095</f>
        <v/>
      </c>
    </row>
    <row r="1098" ht="10" customHeight="1">
      <c r="A1098" s="2" t="inlineStr"/>
      <c r="B1098" s="2" t="inlineStr"/>
      <c r="C1098" s="2" t="inlineStr"/>
      <c r="D1098" s="2" t="inlineStr"/>
      <c r="E1098" s="18" t="inlineStr"/>
    </row>
    <row r="1099" ht="20" customHeight="1">
      <c r="A1099" s="19" t="inlineStr">
        <is>
          <t>​103683​ CONCRETAGEM DE VIGAS E LAJES, FCK=25 MPA, PARA QUALQUER TIPO DE LAJE COM BALDES EM EDIFICAÇÃO DE MULTIPAVIMENTOS ATÉ 04 ANDARES - LANÇAMENTO, ADENSAMENTO E ACABAMENTO. AF_02/2022​ (M3)</t>
        </is>
      </c>
      <c r="B1099" s="55" t="n"/>
      <c r="C1099" s="55" t="n"/>
      <c r="D1099" s="55" t="n"/>
      <c r="E1099" s="55" t="n"/>
      <c r="F1099" s="55" t="n"/>
      <c r="G1099" s="56" t="n"/>
    </row>
    <row r="1100" ht="15" customHeight="1">
      <c r="A1100" s="20" t="inlineStr">
        <is>
          <t>Equipamento Custo Horário</t>
        </is>
      </c>
      <c r="B1100" s="56" t="n"/>
      <c r="C1100" s="21" t="inlineStr">
        <is>
          <t>FONTE</t>
        </is>
      </c>
      <c r="D1100" s="21" t="inlineStr">
        <is>
          <t>UNID</t>
        </is>
      </c>
      <c r="E1100" s="21" t="inlineStr">
        <is>
          <t>COEFICIENTE</t>
        </is>
      </c>
      <c r="F1100" s="21" t="inlineStr">
        <is>
          <t>PREÇO UNITÁRIO</t>
        </is>
      </c>
      <c r="G1100" s="21" t="inlineStr">
        <is>
          <t>TOTAL</t>
        </is>
      </c>
    </row>
    <row r="1101" ht="29" customHeight="1">
      <c r="A1101" s="22" t="inlineStr">
        <is>
          <t>90587</t>
        </is>
      </c>
      <c r="B1101" s="23" t="inlineStr">
        <is>
          <t>VIBRADOR DE IMERSÃO, DIÂMETRO DE PONTEIRA 45MM, MOTOR ELÉTRICO TRIFÁSICO POTÊNCIA DE 2 CV - CHI DIURNO. AF_06/2015</t>
        </is>
      </c>
      <c r="C1101" s="22" t="inlineStr">
        <is>
          <t>SINAPI</t>
        </is>
      </c>
      <c r="D1101" s="22" t="inlineStr">
        <is>
          <t>CHI</t>
        </is>
      </c>
      <c r="E1101" s="63" t="n">
        <v>0.477</v>
      </c>
      <c r="F1101" s="64" t="n">
        <v>0.5600000000000001</v>
      </c>
      <c r="G1101" s="64">
        <f>TRUNC(TRUNC(E1101,8)*F1101,2)</f>
        <v/>
      </c>
      <c r="L1101" t="n">
        <v>0.477</v>
      </c>
      <c r="M1101" t="n">
        <v>0.5600000000000001</v>
      </c>
      <c r="N1101">
        <f>(M1101-F1101)</f>
        <v/>
      </c>
    </row>
    <row r="1102" ht="29" customHeight="1">
      <c r="A1102" s="22" t="inlineStr">
        <is>
          <t>90586</t>
        </is>
      </c>
      <c r="B1102" s="23" t="inlineStr">
        <is>
          <t>VIBRADOR DE IMERSÃO, DIÂMETRO DE PONTEIRA 45MM, MOTOR ELÉTRICO TRIFÁSICO POTÊNCIA DE 2 CV - CHP DIURNO. AF_06/2015</t>
        </is>
      </c>
      <c r="C1102" s="22" t="inlineStr">
        <is>
          <t>SINAPI</t>
        </is>
      </c>
      <c r="D1102" s="22" t="inlineStr">
        <is>
          <t>CHP</t>
        </is>
      </c>
      <c r="E1102" s="63" t="n">
        <v>1.806</v>
      </c>
      <c r="F1102" s="64" t="n">
        <v>1.44</v>
      </c>
      <c r="G1102" s="64">
        <f>TRUNC(TRUNC(E1102,8)*F1102,2)</f>
        <v/>
      </c>
      <c r="L1102" t="n">
        <v>1.806</v>
      </c>
      <c r="M1102" t="n">
        <v>1.44</v>
      </c>
      <c r="N1102">
        <f>(M1102-F1102)</f>
        <v/>
      </c>
    </row>
    <row r="1103" ht="18" customHeight="1">
      <c r="A1103" s="2" t="inlineStr"/>
      <c r="B1103" s="2" t="inlineStr"/>
      <c r="C1103" s="2" t="inlineStr"/>
      <c r="D1103" s="2" t="inlineStr"/>
      <c r="E1103" s="26" t="inlineStr">
        <is>
          <t>TOTAL Equipamento Custo Horário:</t>
        </is>
      </c>
      <c r="F1103" s="56" t="n"/>
      <c r="G1103" s="65">
        <f>SUM(G1101:G1102)</f>
        <v/>
      </c>
    </row>
    <row r="1104" ht="15" customHeight="1">
      <c r="A1104" s="20" t="inlineStr">
        <is>
          <t>Material</t>
        </is>
      </c>
      <c r="B1104" s="56" t="n"/>
      <c r="C1104" s="21" t="inlineStr">
        <is>
          <t>FONTE</t>
        </is>
      </c>
      <c r="D1104" s="21" t="inlineStr">
        <is>
          <t>UNID</t>
        </is>
      </c>
      <c r="E1104" s="21" t="inlineStr">
        <is>
          <t>COEFICIENTE</t>
        </is>
      </c>
      <c r="F1104" s="21" t="inlineStr">
        <is>
          <t>PREÇO UNITÁRIO</t>
        </is>
      </c>
      <c r="G1104" s="21" t="inlineStr">
        <is>
          <t>TOTAL</t>
        </is>
      </c>
    </row>
    <row r="1105" ht="29" customHeight="1">
      <c r="A1105" s="22" t="inlineStr">
        <is>
          <t>00038408</t>
        </is>
      </c>
      <c r="B1105" s="23" t="inlineStr">
        <is>
          <t>CONCRETO USINADO BOMBEAVEL, CLASSE DE RESISTENCIA C25, COM BRITA 0 E 1, SLUMP = 190 +/- 20 MM, EXCLUI SERVICO DE BOMBEAMENTO (NBR 8953)</t>
        </is>
      </c>
      <c r="C1105" s="22" t="inlineStr">
        <is>
          <t>SINAPI</t>
        </is>
      </c>
      <c r="D1105" s="22" t="inlineStr">
        <is>
          <t>M3</t>
        </is>
      </c>
      <c r="E1105" s="63" t="n">
        <v>1.103</v>
      </c>
      <c r="F1105" s="64">
        <f>ROUND(M1105*FATOR, 2)</f>
        <v/>
      </c>
      <c r="G1105" s="64">
        <f>TRUNC(TRUNC(E1105,8)*F1105,2)</f>
        <v/>
      </c>
      <c r="L1105" t="n">
        <v>1.103</v>
      </c>
      <c r="M1105" t="n">
        <v>567.3099999999999</v>
      </c>
      <c r="N1105">
        <f>(M1105-F1105)</f>
        <v/>
      </c>
    </row>
    <row r="1106" ht="15" customHeight="1">
      <c r="A1106" s="2" t="inlineStr"/>
      <c r="B1106" s="2" t="inlineStr"/>
      <c r="C1106" s="2" t="inlineStr"/>
      <c r="D1106" s="2" t="inlineStr"/>
      <c r="E1106" s="26" t="inlineStr">
        <is>
          <t>TOTAL Material:</t>
        </is>
      </c>
      <c r="F1106" s="56" t="n"/>
      <c r="G1106" s="65">
        <f>SUM(G1105:G1105)</f>
        <v/>
      </c>
    </row>
    <row r="1107" ht="15" customHeight="1">
      <c r="A1107" s="20" t="inlineStr">
        <is>
          <t>Mão de Obra com Encargos Complementares</t>
        </is>
      </c>
      <c r="B1107" s="56" t="n"/>
      <c r="C1107" s="21" t="inlineStr">
        <is>
          <t>FONTE</t>
        </is>
      </c>
      <c r="D1107" s="21" t="inlineStr">
        <is>
          <t>UNID</t>
        </is>
      </c>
      <c r="E1107" s="21" t="inlineStr">
        <is>
          <t>COEFICIENTE</t>
        </is>
      </c>
      <c r="F1107" s="21" t="inlineStr">
        <is>
          <t>PREÇO UNITÁRIO</t>
        </is>
      </c>
      <c r="G1107" s="21" t="inlineStr">
        <is>
          <t>TOTAL</t>
        </is>
      </c>
    </row>
    <row r="1108" ht="21" customHeight="1">
      <c r="A1108" s="22" t="inlineStr">
        <is>
          <t>88262</t>
        </is>
      </c>
      <c r="B1108" s="23" t="inlineStr">
        <is>
          <t>CARPINTEIRO DE FORMAS COM ENCARGOS COMPLEMENTARES</t>
        </is>
      </c>
      <c r="C1108" s="22" t="inlineStr">
        <is>
          <t>SINAPI</t>
        </is>
      </c>
      <c r="D1108" s="22" t="inlineStr">
        <is>
          <t>H</t>
        </is>
      </c>
      <c r="E1108" s="63">
        <f>L1108*FATOR</f>
        <v/>
      </c>
      <c r="F1108" s="64">
        <f>'COMPOSICOES AUXILIARES'!G943</f>
        <v/>
      </c>
      <c r="G1108" s="64">
        <f>TRUNC(TRUNC(E1108,8)*F1108,2)</f>
        <v/>
      </c>
      <c r="L1108" t="n">
        <v>2.286</v>
      </c>
      <c r="M1108" t="n">
        <v>30.15</v>
      </c>
      <c r="N1108">
        <f>(M1108-F1108)</f>
        <v/>
      </c>
    </row>
    <row r="1109" ht="15" customHeight="1">
      <c r="A1109" s="22" t="inlineStr">
        <is>
          <t>88309</t>
        </is>
      </c>
      <c r="B1109" s="23" t="inlineStr">
        <is>
          <t>PEDREIRO COM ENCARGOS COMPLEMENTARES</t>
        </is>
      </c>
      <c r="C1109" s="22" t="inlineStr">
        <is>
          <t>SINAPI</t>
        </is>
      </c>
      <c r="D1109" s="22" t="inlineStr">
        <is>
          <t>H</t>
        </is>
      </c>
      <c r="E1109" s="63">
        <f>L1109*FATOR</f>
        <v/>
      </c>
      <c r="F1109" s="64">
        <f>G2887</f>
        <v/>
      </c>
      <c r="G1109" s="64">
        <f>TRUNC(TRUNC(E1109,8)*F1109,2)</f>
        <v/>
      </c>
      <c r="L1109" t="n">
        <v>6.857</v>
      </c>
      <c r="M1109" t="n">
        <v>30.58</v>
      </c>
      <c r="N1109">
        <f>(M1109-F1109)</f>
        <v/>
      </c>
    </row>
    <row r="1110" ht="15" customHeight="1">
      <c r="A1110" s="22" t="inlineStr">
        <is>
          <t>88316</t>
        </is>
      </c>
      <c r="B1110" s="23" t="inlineStr">
        <is>
          <t>SERVENTE COM ENCARGOS COMPLEMENTARES</t>
        </is>
      </c>
      <c r="C1110" s="22" t="inlineStr">
        <is>
          <t>SINAPI</t>
        </is>
      </c>
      <c r="D1110" s="22" t="inlineStr">
        <is>
          <t>H</t>
        </is>
      </c>
      <c r="E1110" s="63">
        <f>L1110*FATOR</f>
        <v/>
      </c>
      <c r="F1110" s="64">
        <f>'COMPOSICOES AUXILIARES'!G161</f>
        <v/>
      </c>
      <c r="G1110" s="64">
        <f>TRUNC(TRUNC(E1110,8)*F1110,2)</f>
        <v/>
      </c>
      <c r="L1110" t="n">
        <v>16.074</v>
      </c>
      <c r="M1110" t="n">
        <v>23.56</v>
      </c>
      <c r="N1110">
        <f>(M1110-F1110)</f>
        <v/>
      </c>
    </row>
    <row r="1111" ht="18" customHeight="1">
      <c r="A1111" s="2" t="inlineStr"/>
      <c r="B1111" s="2" t="inlineStr"/>
      <c r="C1111" s="2" t="inlineStr"/>
      <c r="D1111" s="2" t="inlineStr"/>
      <c r="E1111" s="26" t="inlineStr">
        <is>
          <t>TOTAL Mão de Obra com Encargos Complementares:</t>
        </is>
      </c>
      <c r="F1111" s="56" t="n"/>
      <c r="G1111" s="65">
        <f>SUM(G1108:G1110)</f>
        <v/>
      </c>
    </row>
    <row r="1112" ht="15" customHeight="1">
      <c r="A1112" s="2" t="inlineStr"/>
      <c r="B1112" s="2" t="inlineStr"/>
      <c r="C1112" s="2" t="inlineStr"/>
      <c r="D1112" s="2" t="inlineStr"/>
      <c r="E1112" s="28" t="inlineStr">
        <is>
          <t>VALOR:</t>
        </is>
      </c>
      <c r="F1112" s="56" t="n"/>
      <c r="G1112" s="66">
        <f>SUM(G1106,G1111)</f>
        <v/>
      </c>
    </row>
    <row r="1113" ht="15" customHeight="1">
      <c r="A1113" s="2" t="inlineStr"/>
      <c r="B1113" s="2" t="inlineStr"/>
      <c r="C1113" s="2" t="inlineStr"/>
      <c r="D1113" s="2" t="inlineStr"/>
      <c r="E1113" s="28" t="inlineStr">
        <is>
          <t>VALOR BDI (23.08%):</t>
        </is>
      </c>
      <c r="F1113" s="56" t="n"/>
      <c r="G1113" s="66">
        <f>ROUNDDOWN(G1112*BDI,2)</f>
        <v/>
      </c>
    </row>
    <row r="1114" ht="15" customHeight="1">
      <c r="A1114" s="2" t="inlineStr"/>
      <c r="B1114" s="2" t="inlineStr"/>
      <c r="C1114" s="2" t="inlineStr"/>
      <c r="D1114" s="2" t="inlineStr"/>
      <c r="E1114" s="28" t="inlineStr">
        <is>
          <t>VALOR COM BDI:</t>
        </is>
      </c>
      <c r="F1114" s="56" t="n"/>
      <c r="G1114" s="66">
        <f>G1113 + G1112</f>
        <v/>
      </c>
    </row>
    <row r="1115" ht="10" customHeight="1">
      <c r="A1115" s="2" t="inlineStr"/>
      <c r="B1115" s="2" t="inlineStr"/>
      <c r="C1115" s="2" t="inlineStr"/>
      <c r="D1115" s="2" t="inlineStr"/>
      <c r="E1115" s="18" t="inlineStr"/>
    </row>
    <row r="1116" ht="20" customHeight="1">
      <c r="A1116" s="19" t="inlineStr">
        <is>
          <t>​103682​ CONCRETAGEM DE VIGAS E LAJES, FCK=25 MPA, PARA QUALQUER TIPO DE LAJE COM BALDES EM EDIFICAÇÃO TÉRREA - LANÇAMENTO, ADENSAMENTO E ACABAMENTO. AF_02/2022​ (M3)</t>
        </is>
      </c>
      <c r="B1116" s="55" t="n"/>
      <c r="C1116" s="55" t="n"/>
      <c r="D1116" s="55" t="n"/>
      <c r="E1116" s="55" t="n"/>
      <c r="F1116" s="55" t="n"/>
      <c r="G1116" s="56" t="n"/>
    </row>
    <row r="1117" ht="15" customHeight="1">
      <c r="A1117" s="20" t="inlineStr">
        <is>
          <t>Equipamento Custo Horário</t>
        </is>
      </c>
      <c r="B1117" s="56" t="n"/>
      <c r="C1117" s="21" t="inlineStr">
        <is>
          <t>FONTE</t>
        </is>
      </c>
      <c r="D1117" s="21" t="inlineStr">
        <is>
          <t>UNID</t>
        </is>
      </c>
      <c r="E1117" s="21" t="inlineStr">
        <is>
          <t>COEFICIENTE</t>
        </is>
      </c>
      <c r="F1117" s="21" t="inlineStr">
        <is>
          <t>PREÇO UNITÁRIO</t>
        </is>
      </c>
      <c r="G1117" s="21" t="inlineStr">
        <is>
          <t>TOTAL</t>
        </is>
      </c>
    </row>
    <row r="1118" ht="29" customHeight="1">
      <c r="A1118" s="22" t="inlineStr">
        <is>
          <t>90587</t>
        </is>
      </c>
      <c r="B1118" s="23" t="inlineStr">
        <is>
          <t>VIBRADOR DE IMERSÃO, DIÂMETRO DE PONTEIRA 45MM, MOTOR ELÉTRICO TRIFÁSICO POTÊNCIA DE 2 CV - CHI DIURNO. AF_06/2015</t>
        </is>
      </c>
      <c r="C1118" s="22" t="inlineStr">
        <is>
          <t>SINAPI</t>
        </is>
      </c>
      <c r="D1118" s="22" t="inlineStr">
        <is>
          <t>CHI</t>
        </is>
      </c>
      <c r="E1118" s="63" t="n">
        <v>0.249</v>
      </c>
      <c r="F1118" s="64">
        <f>'COMPOSICOES AUXILIARES'!G1112</f>
        <v/>
      </c>
      <c r="G1118" s="64">
        <f>TRUNC(TRUNC(E1118,8)*F1118,2)</f>
        <v/>
      </c>
      <c r="L1118" t="n">
        <v>0.249</v>
      </c>
      <c r="M1118" t="n">
        <v>0.5600000000000001</v>
      </c>
      <c r="N1118">
        <f>(M1118-F1118)</f>
        <v/>
      </c>
    </row>
    <row r="1119" ht="29" customHeight="1">
      <c r="A1119" s="22" t="inlineStr">
        <is>
          <t>90586</t>
        </is>
      </c>
      <c r="B1119" s="23" t="inlineStr">
        <is>
          <t>VIBRADOR DE IMERSÃO, DIÂMETRO DE PONTEIRA 45MM, MOTOR ELÉTRICO TRIFÁSICO POTÊNCIA DE 2 CV - CHP DIURNO. AF_06/2015</t>
        </is>
      </c>
      <c r="C1119" s="22" t="inlineStr">
        <is>
          <t>SINAPI</t>
        </is>
      </c>
      <c r="D1119" s="22" t="inlineStr">
        <is>
          <t>CHP</t>
        </is>
      </c>
      <c r="E1119" s="63" t="n">
        <v>0.9419999999999999</v>
      </c>
      <c r="F1119" s="64">
        <f>'COMPOSICOES AUXILIARES'!G1112</f>
        <v/>
      </c>
      <c r="G1119" s="64">
        <f>TRUNC(TRUNC(E1119,8)*F1119,2)</f>
        <v/>
      </c>
      <c r="L1119" t="n">
        <v>0.9419999999999999</v>
      </c>
      <c r="M1119" t="n">
        <v>1.44</v>
      </c>
      <c r="N1119">
        <f>(M1119-F1119)</f>
        <v/>
      </c>
    </row>
    <row r="1120" ht="18" customHeight="1">
      <c r="A1120" s="2" t="inlineStr"/>
      <c r="B1120" s="2" t="inlineStr"/>
      <c r="C1120" s="2" t="inlineStr"/>
      <c r="D1120" s="2" t="inlineStr"/>
      <c r="E1120" s="26" t="inlineStr">
        <is>
          <t>TOTAL Equipamento Custo Horário:</t>
        </is>
      </c>
      <c r="F1120" s="56" t="n"/>
      <c r="G1120" s="65">
        <f>SUM(G1118:G1119)</f>
        <v/>
      </c>
    </row>
    <row r="1121" ht="15" customHeight="1">
      <c r="A1121" s="20" t="inlineStr">
        <is>
          <t>Material</t>
        </is>
      </c>
      <c r="B1121" s="56" t="n"/>
      <c r="C1121" s="21" t="inlineStr">
        <is>
          <t>FONTE</t>
        </is>
      </c>
      <c r="D1121" s="21" t="inlineStr">
        <is>
          <t>UNID</t>
        </is>
      </c>
      <c r="E1121" s="21" t="inlineStr">
        <is>
          <t>COEFICIENTE</t>
        </is>
      </c>
      <c r="F1121" s="21" t="inlineStr">
        <is>
          <t>PREÇO UNITÁRIO</t>
        </is>
      </c>
      <c r="G1121" s="21" t="inlineStr">
        <is>
          <t>TOTAL</t>
        </is>
      </c>
    </row>
    <row r="1122" ht="29" customHeight="1">
      <c r="A1122" s="22" t="inlineStr">
        <is>
          <t>00038408</t>
        </is>
      </c>
      <c r="B1122" s="23" t="inlineStr">
        <is>
          <t>CONCRETO USINADO BOMBEAVEL, CLASSE DE RESISTENCIA C25, COM BRITA 0 E 1, SLUMP = 190 +/- 20 MM, EXCLUI SERVICO DE BOMBEAMENTO (NBR 8953)</t>
        </is>
      </c>
      <c r="C1122" s="22" t="inlineStr">
        <is>
          <t>SINAPI</t>
        </is>
      </c>
      <c r="D1122" s="22" t="inlineStr">
        <is>
          <t>M3</t>
        </is>
      </c>
      <c r="E1122" s="63" t="n">
        <v>1.103</v>
      </c>
      <c r="F1122" s="64">
        <f>ROUND(M1122*FATOR, 2)</f>
        <v/>
      </c>
      <c r="G1122" s="64">
        <f>TRUNC(TRUNC(E1122,8)*F1122,2)</f>
        <v/>
      </c>
      <c r="L1122" t="n">
        <v>1.103</v>
      </c>
      <c r="M1122" t="n">
        <v>567.3099999999999</v>
      </c>
      <c r="N1122">
        <f>(M1122-F1122)</f>
        <v/>
      </c>
    </row>
    <row r="1123" ht="15" customHeight="1">
      <c r="A1123" s="2" t="inlineStr"/>
      <c r="B1123" s="2" t="inlineStr"/>
      <c r="C1123" s="2" t="inlineStr"/>
      <c r="D1123" s="2" t="inlineStr"/>
      <c r="E1123" s="26" t="inlineStr">
        <is>
          <t>TOTAL Material:</t>
        </is>
      </c>
      <c r="F1123" s="56" t="n"/>
      <c r="G1123" s="65">
        <f>SUM(G1122:G1122)</f>
        <v/>
      </c>
    </row>
    <row r="1124" ht="15" customHeight="1">
      <c r="A1124" s="20" t="inlineStr">
        <is>
          <t>Mão de Obra com Encargos Complementares</t>
        </is>
      </c>
      <c r="B1124" s="56" t="n"/>
      <c r="C1124" s="21" t="inlineStr">
        <is>
          <t>FONTE</t>
        </is>
      </c>
      <c r="D1124" s="21" t="inlineStr">
        <is>
          <t>UNID</t>
        </is>
      </c>
      <c r="E1124" s="21" t="inlineStr">
        <is>
          <t>COEFICIENTE</t>
        </is>
      </c>
      <c r="F1124" s="21" t="inlineStr">
        <is>
          <t>PREÇO UNITÁRIO</t>
        </is>
      </c>
      <c r="G1124" s="21" t="inlineStr">
        <is>
          <t>TOTAL</t>
        </is>
      </c>
    </row>
    <row r="1125" ht="21" customHeight="1">
      <c r="A1125" s="22" t="inlineStr">
        <is>
          <t>88262</t>
        </is>
      </c>
      <c r="B1125" s="23" t="inlineStr">
        <is>
          <t>CARPINTEIRO DE FORMAS COM ENCARGOS COMPLEMENTARES</t>
        </is>
      </c>
      <c r="C1125" s="22" t="inlineStr">
        <is>
          <t>SINAPI</t>
        </is>
      </c>
      <c r="D1125" s="22" t="inlineStr">
        <is>
          <t>H</t>
        </is>
      </c>
      <c r="E1125" s="63">
        <f>L1125*FATOR</f>
        <v/>
      </c>
      <c r="F1125" s="64">
        <f>'COMPOSICOES AUXILIARES'!G943</f>
        <v/>
      </c>
      <c r="G1125" s="64">
        <f>TRUNC(TRUNC(E1125,8)*F1125,2)</f>
        <v/>
      </c>
      <c r="L1125" t="n">
        <v>1.19</v>
      </c>
      <c r="M1125" t="n">
        <v>30.15</v>
      </c>
      <c r="N1125">
        <f>(M1125-F1125)</f>
        <v/>
      </c>
    </row>
    <row r="1126" ht="15" customHeight="1">
      <c r="A1126" s="22" t="inlineStr">
        <is>
          <t>88309</t>
        </is>
      </c>
      <c r="B1126" s="23" t="inlineStr">
        <is>
          <t>PEDREIRO COM ENCARGOS COMPLEMENTARES</t>
        </is>
      </c>
      <c r="C1126" s="22" t="inlineStr">
        <is>
          <t>SINAPI</t>
        </is>
      </c>
      <c r="D1126" s="22" t="inlineStr">
        <is>
          <t>H</t>
        </is>
      </c>
      <c r="E1126" s="63">
        <f>L1126*FATOR</f>
        <v/>
      </c>
      <c r="F1126" s="64">
        <f>'COMPOSICOES AUXILIARES'!G1112</f>
        <v/>
      </c>
      <c r="G1126" s="64">
        <f>TRUNC(TRUNC(E1126,8)*F1126,2)</f>
        <v/>
      </c>
      <c r="L1126" t="n">
        <v>3.571</v>
      </c>
      <c r="M1126" t="n">
        <v>30.58</v>
      </c>
      <c r="N1126">
        <f>(M1126-F1126)</f>
        <v/>
      </c>
    </row>
    <row r="1127" ht="15" customHeight="1">
      <c r="A1127" s="22" t="inlineStr">
        <is>
          <t>88316</t>
        </is>
      </c>
      <c r="B1127" s="23" t="inlineStr">
        <is>
          <t>SERVENTE COM ENCARGOS COMPLEMENTARES</t>
        </is>
      </c>
      <c r="C1127" s="22" t="inlineStr">
        <is>
          <t>SINAPI</t>
        </is>
      </c>
      <c r="D1127" s="22" t="inlineStr">
        <is>
          <t>H</t>
        </is>
      </c>
      <c r="E1127" s="63">
        <f>L1127*FATOR</f>
        <v/>
      </c>
      <c r="F1127" s="64">
        <f>'COMPOSICOES AUXILIARES'!G161</f>
        <v/>
      </c>
      <c r="G1127" s="64">
        <f>TRUNC(TRUNC(E1127,8)*F1127,2)</f>
        <v/>
      </c>
      <c r="L1127" t="n">
        <v>8.407</v>
      </c>
      <c r="M1127" t="n">
        <v>23.56</v>
      </c>
      <c r="N1127">
        <f>(M1127-F1127)</f>
        <v/>
      </c>
    </row>
    <row r="1128" ht="18" customHeight="1">
      <c r="A1128" s="2" t="inlineStr"/>
      <c r="B1128" s="2" t="inlineStr"/>
      <c r="C1128" s="2" t="inlineStr"/>
      <c r="D1128" s="2" t="inlineStr"/>
      <c r="E1128" s="26" t="inlineStr">
        <is>
          <t>TOTAL Mão de Obra com Encargos Complementares:</t>
        </is>
      </c>
      <c r="F1128" s="56" t="n"/>
      <c r="G1128" s="65">
        <f>SUM(G1125:G1127)</f>
        <v/>
      </c>
    </row>
    <row r="1129" ht="15" customHeight="1">
      <c r="A1129" s="2" t="inlineStr"/>
      <c r="B1129" s="2" t="inlineStr"/>
      <c r="C1129" s="2" t="inlineStr"/>
      <c r="D1129" s="2" t="inlineStr"/>
      <c r="E1129" s="28" t="inlineStr">
        <is>
          <t>VALOR:</t>
        </is>
      </c>
      <c r="F1129" s="56" t="n"/>
      <c r="G1129" s="66">
        <f>SUM(G1128,G1123,G1120)</f>
        <v/>
      </c>
    </row>
    <row r="1130" ht="15" customHeight="1">
      <c r="A1130" s="2" t="inlineStr"/>
      <c r="B1130" s="2" t="inlineStr"/>
      <c r="C1130" s="2" t="inlineStr"/>
      <c r="D1130" s="2" t="inlineStr"/>
      <c r="E1130" s="28" t="inlineStr">
        <is>
          <t>VALOR BDI (23.08%):</t>
        </is>
      </c>
      <c r="F1130" s="56" t="n"/>
      <c r="G1130" s="66">
        <f>ROUNDDOWN(G1129*BDI,2)</f>
        <v/>
      </c>
    </row>
    <row r="1131" ht="15" customHeight="1">
      <c r="A1131" s="2" t="inlineStr"/>
      <c r="B1131" s="2" t="inlineStr"/>
      <c r="C1131" s="2" t="inlineStr"/>
      <c r="D1131" s="2" t="inlineStr"/>
      <c r="E1131" s="28" t="inlineStr">
        <is>
          <t>VALOR COM BDI:</t>
        </is>
      </c>
      <c r="F1131" s="56" t="n"/>
      <c r="G1131" s="66">
        <f>G1130 + G1129</f>
        <v/>
      </c>
    </row>
    <row r="1132" ht="10" customHeight="1">
      <c r="A1132" s="2" t="inlineStr"/>
      <c r="B1132" s="2" t="inlineStr"/>
      <c r="C1132" s="2" t="inlineStr"/>
      <c r="D1132" s="2" t="inlineStr"/>
      <c r="E1132" s="18" t="inlineStr"/>
    </row>
    <row r="1133" ht="20" customHeight="1">
      <c r="A1133" s="19" t="inlineStr">
        <is>
          <t>​102486​ CONCRETO FCK = 15MPA, TRAÇO 1:3,4:3,4 (EM MASSA SECA DE CIMENTO/ AREIA MÉDIA/ SEIXO ROLADO) - PREPARO MANUAL. AF_05/2021​ (M3)</t>
        </is>
      </c>
      <c r="B1133" s="55" t="n"/>
      <c r="C1133" s="55" t="n"/>
      <c r="D1133" s="55" t="n"/>
      <c r="E1133" s="55" t="n"/>
      <c r="F1133" s="55" t="n"/>
      <c r="G1133" s="56" t="n"/>
    </row>
    <row r="1134" ht="15" customHeight="1">
      <c r="A1134" s="20" t="inlineStr">
        <is>
          <t>Material</t>
        </is>
      </c>
      <c r="B1134" s="56" t="n"/>
      <c r="C1134" s="21" t="inlineStr">
        <is>
          <t>FONTE</t>
        </is>
      </c>
      <c r="D1134" s="21" t="inlineStr">
        <is>
          <t>UNID</t>
        </is>
      </c>
      <c r="E1134" s="21" t="inlineStr">
        <is>
          <t>COEFICIENTE</t>
        </is>
      </c>
      <c r="F1134" s="21" t="inlineStr">
        <is>
          <t>PREÇO UNITÁRIO</t>
        </is>
      </c>
      <c r="G1134" s="21" t="inlineStr">
        <is>
          <t>TOTAL</t>
        </is>
      </c>
    </row>
    <row r="1135" ht="21" customHeight="1">
      <c r="A1135" s="22" t="inlineStr">
        <is>
          <t>00000370</t>
        </is>
      </c>
      <c r="B1135" s="23" t="inlineStr">
        <is>
          <t>AREIA MEDIA - POSTO JAZIDA/FORNECEDOR (RETIRADO NA JAZIDA, SEM TRANSPORTE)</t>
        </is>
      </c>
      <c r="C1135" s="22" t="inlineStr">
        <is>
          <t>SINAPI</t>
        </is>
      </c>
      <c r="D1135" s="22" t="inlineStr">
        <is>
          <t>M3</t>
        </is>
      </c>
      <c r="E1135" s="63" t="n">
        <v>0.8348</v>
      </c>
      <c r="F1135" s="64">
        <f>ROUND(M1135*FATOR, 2)</f>
        <v/>
      </c>
      <c r="G1135" s="64">
        <f>TRUNC(TRUNC(E1135,8)*F1135,2)</f>
        <v/>
      </c>
      <c r="L1135" t="n">
        <v>0.8348</v>
      </c>
      <c r="M1135" t="n">
        <v>130</v>
      </c>
      <c r="N1135">
        <f>(M1135-F1135)</f>
        <v/>
      </c>
    </row>
    <row r="1136" ht="15" customHeight="1">
      <c r="A1136" s="22" t="inlineStr">
        <is>
          <t>00001379</t>
        </is>
      </c>
      <c r="B1136" s="23" t="inlineStr">
        <is>
          <t>CIMENTO PORTLAND COMPOSTO CP II-32</t>
        </is>
      </c>
      <c r="C1136" s="22" t="inlineStr">
        <is>
          <t>SINAPI</t>
        </is>
      </c>
      <c r="D1136" s="22" t="inlineStr">
        <is>
          <t>KG</t>
        </is>
      </c>
      <c r="E1136" s="63" t="n">
        <v>283.3092</v>
      </c>
      <c r="F1136" s="64">
        <f>ROUND(M1136*FATOR, 2)</f>
        <v/>
      </c>
      <c r="G1136" s="64">
        <f>TRUNC(TRUNC(E1136,8)*F1136,2)</f>
        <v/>
      </c>
      <c r="L1136" t="n">
        <v>283.3092</v>
      </c>
      <c r="M1136" t="n">
        <v>0.74</v>
      </c>
      <c r="N1136">
        <f>(M1136-F1136)</f>
        <v/>
      </c>
    </row>
    <row r="1137" ht="21" customHeight="1">
      <c r="A1137" s="22" t="inlineStr">
        <is>
          <t>00004734</t>
        </is>
      </c>
      <c r="B1137" s="23" t="inlineStr">
        <is>
          <t>SEIXO ROLADO PARA APLICACAO EM CONCRETO (POSTO PEDREIRA/FORNECEDOR, SEM FRETE)</t>
        </is>
      </c>
      <c r="C1137" s="22" t="inlineStr">
        <is>
          <t>SINAPI</t>
        </is>
      </c>
      <c r="D1137" s="22" t="inlineStr">
        <is>
          <t>M3</t>
        </is>
      </c>
      <c r="E1137" s="63" t="n">
        <v>0.5946</v>
      </c>
      <c r="F1137" s="64">
        <f>ROUND(M1137*FATOR, 2)</f>
        <v/>
      </c>
      <c r="G1137" s="64">
        <f>TRUNC(TRUNC(E1137,8)*F1137,2)</f>
        <v/>
      </c>
      <c r="L1137" t="n">
        <v>0.5946</v>
      </c>
      <c r="M1137" t="n">
        <v>364.93</v>
      </c>
      <c r="N1137">
        <f>(M1137-F1137)</f>
        <v/>
      </c>
    </row>
    <row r="1138" ht="15" customHeight="1">
      <c r="A1138" s="2" t="inlineStr"/>
      <c r="B1138" s="2" t="inlineStr"/>
      <c r="C1138" s="2" t="inlineStr"/>
      <c r="D1138" s="2" t="inlineStr"/>
      <c r="E1138" s="26" t="inlineStr">
        <is>
          <t>TOTAL Material:</t>
        </is>
      </c>
      <c r="F1138" s="56" t="n"/>
      <c r="G1138" s="65">
        <f>SUM(G1135:G1137)</f>
        <v/>
      </c>
    </row>
    <row r="1139" ht="15" customHeight="1">
      <c r="A1139" s="20" t="inlineStr">
        <is>
          <t>Mão de Obra com Encargos Complementares</t>
        </is>
      </c>
      <c r="B1139" s="56" t="n"/>
      <c r="C1139" s="21" t="inlineStr">
        <is>
          <t>FONTE</t>
        </is>
      </c>
      <c r="D1139" s="21" t="inlineStr">
        <is>
          <t>UNID</t>
        </is>
      </c>
      <c r="E1139" s="21" t="inlineStr">
        <is>
          <t>COEFICIENTE</t>
        </is>
      </c>
      <c r="F1139" s="21" t="inlineStr">
        <is>
          <t>PREÇO UNITÁRIO</t>
        </is>
      </c>
      <c r="G1139" s="21" t="inlineStr">
        <is>
          <t>TOTAL</t>
        </is>
      </c>
    </row>
    <row r="1140" ht="15" customHeight="1">
      <c r="A1140" s="22" t="inlineStr">
        <is>
          <t>88316</t>
        </is>
      </c>
      <c r="B1140" s="23" t="inlineStr">
        <is>
          <t>SERVENTE COM ENCARGOS COMPLEMENTARES</t>
        </is>
      </c>
      <c r="C1140" s="22" t="inlineStr">
        <is>
          <t>SINAPI</t>
        </is>
      </c>
      <c r="D1140" s="22" t="inlineStr">
        <is>
          <t>H</t>
        </is>
      </c>
      <c r="E1140" s="63">
        <f>L1140*FATOR</f>
        <v/>
      </c>
      <c r="F1140" s="64">
        <f>'COMPOSICOES AUXILIARES'!G161</f>
        <v/>
      </c>
      <c r="G1140" s="64">
        <f>TRUNC(TRUNC(E1140,8)*F1140,2)</f>
        <v/>
      </c>
      <c r="L1140" t="n">
        <v>6.2383</v>
      </c>
      <c r="M1140" t="n">
        <v>23.56</v>
      </c>
      <c r="N1140">
        <f>(M1140-F1140)</f>
        <v/>
      </c>
    </row>
    <row r="1141" ht="18" customHeight="1">
      <c r="A1141" s="2" t="inlineStr"/>
      <c r="B1141" s="2" t="inlineStr"/>
      <c r="C1141" s="2" t="inlineStr"/>
      <c r="D1141" s="2" t="inlineStr"/>
      <c r="E1141" s="26" t="inlineStr">
        <is>
          <t>TOTAL Mão de Obra com Encargos Complementares:</t>
        </is>
      </c>
      <c r="F1141" s="56" t="n"/>
      <c r="G1141" s="65">
        <f>SUM(G1140:G1140)</f>
        <v/>
      </c>
    </row>
    <row r="1142" ht="15" customHeight="1">
      <c r="A1142" s="2" t="inlineStr"/>
      <c r="B1142" s="2" t="inlineStr"/>
      <c r="C1142" s="2" t="inlineStr"/>
      <c r="D1142" s="2" t="inlineStr"/>
      <c r="E1142" s="28" t="inlineStr">
        <is>
          <t>VALOR:</t>
        </is>
      </c>
      <c r="F1142" s="56" t="n"/>
      <c r="G1142" s="66">
        <f>SUM(G1138,G1141)</f>
        <v/>
      </c>
    </row>
    <row r="1143" ht="15" customHeight="1">
      <c r="A1143" s="2" t="inlineStr"/>
      <c r="B1143" s="2" t="inlineStr"/>
      <c r="C1143" s="2" t="inlineStr"/>
      <c r="D1143" s="2" t="inlineStr"/>
      <c r="E1143" s="28" t="inlineStr">
        <is>
          <t>VALOR BDI (23.08%):</t>
        </is>
      </c>
      <c r="F1143" s="56" t="n"/>
      <c r="G1143" s="66">
        <f>ROUNDDOWN(G1142*BDI,2)</f>
        <v/>
      </c>
    </row>
    <row r="1144" ht="15" customHeight="1">
      <c r="A1144" s="2" t="inlineStr"/>
      <c r="B1144" s="2" t="inlineStr"/>
      <c r="C1144" s="2" t="inlineStr"/>
      <c r="D1144" s="2" t="inlineStr"/>
      <c r="E1144" s="28" t="inlineStr">
        <is>
          <t>VALOR COM BDI:</t>
        </is>
      </c>
      <c r="F1144" s="56" t="n"/>
      <c r="G1144" s="66">
        <f>G1143 + G1142</f>
        <v/>
      </c>
    </row>
    <row r="1145" ht="10" customHeight="1">
      <c r="A1145" s="2" t="inlineStr"/>
      <c r="B1145" s="2" t="inlineStr"/>
      <c r="C1145" s="2" t="inlineStr"/>
      <c r="D1145" s="2" t="inlineStr"/>
      <c r="E1145" s="18" t="inlineStr"/>
    </row>
    <row r="1146" ht="20" customHeight="1">
      <c r="A1146" s="19" t="inlineStr">
        <is>
          <t>​94969​ CONCRETO FCK = 15MPA, TRAÇO 1:3,4:3,5 (EM MASSA SECA DE CIMENTO/ AREIA MÉDIA/ BRITA 1) - PREPARO MECÂNICO COM BETONEIRA 600 L. AF_05/2021​ (M3)</t>
        </is>
      </c>
      <c r="B1146" s="55" t="n"/>
      <c r="C1146" s="55" t="n"/>
      <c r="D1146" s="55" t="n"/>
      <c r="E1146" s="55" t="n"/>
      <c r="F1146" s="55" t="n"/>
      <c r="G1146" s="56" t="n"/>
    </row>
    <row r="1147" ht="15" customHeight="1">
      <c r="A1147" s="20" t="inlineStr">
        <is>
          <t>Equipamento Custo Horário</t>
        </is>
      </c>
      <c r="B1147" s="56" t="n"/>
      <c r="C1147" s="21" t="inlineStr">
        <is>
          <t>FONTE</t>
        </is>
      </c>
      <c r="D1147" s="21" t="inlineStr">
        <is>
          <t>UNID</t>
        </is>
      </c>
      <c r="E1147" s="21" t="inlineStr">
        <is>
          <t>COEFICIENTE</t>
        </is>
      </c>
      <c r="F1147" s="21" t="inlineStr">
        <is>
          <t>PREÇO UNITÁRIO</t>
        </is>
      </c>
      <c r="G1147" s="21" t="inlineStr">
        <is>
          <t>TOTAL</t>
        </is>
      </c>
    </row>
    <row r="1148" ht="38" customHeight="1">
      <c r="A1148" s="22" t="inlineStr">
        <is>
          <t>89226</t>
        </is>
      </c>
      <c r="B1148" s="23" t="inlineStr">
        <is>
          <t>BETONEIRA CAPACIDADE NOMINAL DE 600 L, CAPACIDADE DE MISTURA 360 L, MOTOR ELÉTRICO TRIFÁSICO POTÊNCIA DE 4 CV, SEM CARREGADOR - CHI DIURNO. AF_05/2023</t>
        </is>
      </c>
      <c r="C1148" s="22" t="inlineStr">
        <is>
          <t>SINAPI</t>
        </is>
      </c>
      <c r="D1148" s="22" t="inlineStr">
        <is>
          <t>CHI</t>
        </is>
      </c>
      <c r="E1148" s="63" t="n">
        <v>0.6223</v>
      </c>
      <c r="F1148" s="64">
        <f>'COMPOSICOES AUXILIARES'!G235</f>
        <v/>
      </c>
      <c r="G1148" s="64">
        <f>TRUNC(TRUNC(E1148,8)*F1148,2)</f>
        <v/>
      </c>
      <c r="L1148" t="n">
        <v>0.6223</v>
      </c>
      <c r="M1148" t="n">
        <v>1.68</v>
      </c>
      <c r="N1148">
        <f>(M1148-F1148)</f>
        <v/>
      </c>
    </row>
    <row r="1149" ht="38" customHeight="1">
      <c r="A1149" s="22" t="inlineStr">
        <is>
          <t>89225</t>
        </is>
      </c>
      <c r="B1149" s="23" t="inlineStr">
        <is>
          <t>BETONEIRA CAPACIDADE NOMINAL DE 600 L, CAPACIDADE DE MISTURA 360 L, MOTOR ELÉTRICO TRIFÁSICO POTÊNCIA DE 4 CV, SEM CARREGADOR - CHP DIURNO. AF_05/2023</t>
        </is>
      </c>
      <c r="C1149" s="22" t="inlineStr">
        <is>
          <t>SINAPI</t>
        </is>
      </c>
      <c r="D1149" s="22" t="inlineStr">
        <is>
          <t>CHP</t>
        </is>
      </c>
      <c r="E1149" s="63" t="n">
        <v>0.6599</v>
      </c>
      <c r="F1149" s="64">
        <f>'COMPOSICOES AUXILIARES'!G235</f>
        <v/>
      </c>
      <c r="G1149" s="64">
        <f>TRUNC(TRUNC(E1149,8)*F1149,2)</f>
        <v/>
      </c>
      <c r="L1149" t="n">
        <v>0.6599</v>
      </c>
      <c r="M1149" t="n">
        <v>5.7</v>
      </c>
      <c r="N1149">
        <f>(M1149-F1149)</f>
        <v/>
      </c>
    </row>
    <row r="1150" ht="18" customHeight="1">
      <c r="A1150" s="2" t="inlineStr"/>
      <c r="B1150" s="2" t="inlineStr"/>
      <c r="C1150" s="2" t="inlineStr"/>
      <c r="D1150" s="2" t="inlineStr"/>
      <c r="E1150" s="26" t="inlineStr">
        <is>
          <t>TOTAL Equipamento Custo Horário:</t>
        </is>
      </c>
      <c r="F1150" s="56" t="n"/>
      <c r="G1150" s="65">
        <f>SUM(G1148:G1149)</f>
        <v/>
      </c>
    </row>
    <row r="1151" ht="15" customHeight="1">
      <c r="A1151" s="20" t="inlineStr">
        <is>
          <t>Material</t>
        </is>
      </c>
      <c r="B1151" s="56" t="n"/>
      <c r="C1151" s="21" t="inlineStr">
        <is>
          <t>FONTE</t>
        </is>
      </c>
      <c r="D1151" s="21" t="inlineStr">
        <is>
          <t>UNID</t>
        </is>
      </c>
      <c r="E1151" s="21" t="inlineStr">
        <is>
          <t>COEFICIENTE</t>
        </is>
      </c>
      <c r="F1151" s="21" t="inlineStr">
        <is>
          <t>PREÇO UNITÁRIO</t>
        </is>
      </c>
      <c r="G1151" s="21" t="inlineStr">
        <is>
          <t>TOTAL</t>
        </is>
      </c>
    </row>
    <row r="1152" ht="21" customHeight="1">
      <c r="A1152" s="22" t="inlineStr">
        <is>
          <t>00000370</t>
        </is>
      </c>
      <c r="B1152" s="23" t="inlineStr">
        <is>
          <t>AREIA MEDIA - POSTO JAZIDA/FORNECEDOR (RETIRADO NA JAZIDA, SEM TRANSPORTE)</t>
        </is>
      </c>
      <c r="C1152" s="22" t="inlineStr">
        <is>
          <t>SINAPI</t>
        </is>
      </c>
      <c r="D1152" s="22" t="inlineStr">
        <is>
          <t>M3</t>
        </is>
      </c>
      <c r="E1152" s="63" t="n">
        <v>0.8076</v>
      </c>
      <c r="F1152" s="64">
        <f>ROUND(M1152*FATOR, 2)</f>
        <v/>
      </c>
      <c r="G1152" s="64">
        <f>TRUNC(TRUNC(E1152,8)*F1152,2)</f>
        <v/>
      </c>
      <c r="L1152" t="n">
        <v>0.8076</v>
      </c>
      <c r="M1152" t="n">
        <v>130</v>
      </c>
      <c r="N1152">
        <f>(M1152-F1152)</f>
        <v/>
      </c>
    </row>
    <row r="1153" ht="15" customHeight="1">
      <c r="A1153" s="22" t="inlineStr">
        <is>
          <t>00001379</t>
        </is>
      </c>
      <c r="B1153" s="23" t="inlineStr">
        <is>
          <t>CIMENTO PORTLAND COMPOSTO CP II-32</t>
        </is>
      </c>
      <c r="C1153" s="22" t="inlineStr">
        <is>
          <t>SINAPI</t>
        </is>
      </c>
      <c r="D1153" s="22" t="inlineStr">
        <is>
          <t>KG</t>
        </is>
      </c>
      <c r="E1153" s="63" t="n">
        <v>274.0635</v>
      </c>
      <c r="F1153" s="64">
        <f>ROUND(M1153*FATOR, 2)</f>
        <v/>
      </c>
      <c r="G1153" s="64">
        <f>TRUNC(TRUNC(E1153,8)*F1153,2)</f>
        <v/>
      </c>
      <c r="L1153" t="n">
        <v>274.0635</v>
      </c>
      <c r="M1153" t="n">
        <v>0.74</v>
      </c>
      <c r="N1153">
        <f>(M1153-F1153)</f>
        <v/>
      </c>
    </row>
    <row r="1154" ht="21" customHeight="1">
      <c r="A1154" s="22" t="inlineStr">
        <is>
          <t>00004721</t>
        </is>
      </c>
      <c r="B1154" s="23" t="inlineStr">
        <is>
          <t>PEDRA BRITADA N. 1 (9,5 A 19 MM) POSTO PEDREIRA/FORNECEDOR, SEM FRETE</t>
        </is>
      </c>
      <c r="C1154" s="22" t="inlineStr">
        <is>
          <t>SINAPI</t>
        </is>
      </c>
      <c r="D1154" s="22" t="inlineStr">
        <is>
          <t>M3</t>
        </is>
      </c>
      <c r="E1154" s="63" t="n">
        <v>0.5813</v>
      </c>
      <c r="F1154" s="64">
        <f>ROUND(M1154*FATOR, 2)</f>
        <v/>
      </c>
      <c r="G1154" s="64">
        <f>TRUNC(TRUNC(E1154,8)*F1154,2)</f>
        <v/>
      </c>
      <c r="L1154" t="n">
        <v>0.5813</v>
      </c>
      <c r="M1154" t="n">
        <v>111.01</v>
      </c>
      <c r="N1154">
        <f>(M1154-F1154)</f>
        <v/>
      </c>
    </row>
    <row r="1155" ht="15" customHeight="1">
      <c r="A1155" s="2" t="inlineStr"/>
      <c r="B1155" s="2" t="inlineStr"/>
      <c r="C1155" s="2" t="inlineStr"/>
      <c r="D1155" s="2" t="inlineStr"/>
      <c r="E1155" s="26" t="inlineStr">
        <is>
          <t>TOTAL Material:</t>
        </is>
      </c>
      <c r="F1155" s="56" t="n"/>
      <c r="G1155" s="65">
        <f>SUM(G1152:G1154)</f>
        <v/>
      </c>
    </row>
    <row r="1156" ht="15" customHeight="1">
      <c r="A1156" s="20" t="inlineStr">
        <is>
          <t>Mão de Obra com Encargos Complementares</t>
        </is>
      </c>
      <c r="B1156" s="56" t="n"/>
      <c r="C1156" s="21" t="inlineStr">
        <is>
          <t>FONTE</t>
        </is>
      </c>
      <c r="D1156" s="21" t="inlineStr">
        <is>
          <t>UNID</t>
        </is>
      </c>
      <c r="E1156" s="21" t="inlineStr">
        <is>
          <t>COEFICIENTE</t>
        </is>
      </c>
      <c r="F1156" s="21" t="inlineStr">
        <is>
          <t>PREÇO UNITÁRIO</t>
        </is>
      </c>
      <c r="G1156" s="21" t="inlineStr">
        <is>
          <t>TOTAL</t>
        </is>
      </c>
    </row>
    <row r="1157" ht="21" customHeight="1">
      <c r="A1157" s="22" t="inlineStr">
        <is>
          <t>88377</t>
        </is>
      </c>
      <c r="B1157" s="23" t="inlineStr">
        <is>
          <t>OPERADOR DE BETONEIRA ESTACIONÁRIA/MISTURADOR COM ENCARGOS COMPLEMENTARES</t>
        </is>
      </c>
      <c r="C1157" s="22" t="inlineStr">
        <is>
          <t>SINAPI</t>
        </is>
      </c>
      <c r="D1157" s="22" t="inlineStr">
        <is>
          <t>H</t>
        </is>
      </c>
      <c r="E1157" s="63">
        <f>L1157*FATOR</f>
        <v/>
      </c>
      <c r="F1157" s="64">
        <f>'COMPOSICOES AUXILIARES'!G150</f>
        <v/>
      </c>
      <c r="G1157" s="64">
        <f>TRUNC(TRUNC(E1157,8)*F1157,2)</f>
        <v/>
      </c>
      <c r="L1157" t="n">
        <v>1.2822</v>
      </c>
      <c r="M1157" t="n">
        <v>29.43</v>
      </c>
      <c r="N1157">
        <f>(M1157-F1157)</f>
        <v/>
      </c>
    </row>
    <row r="1158" ht="15" customHeight="1">
      <c r="A1158" s="22" t="inlineStr">
        <is>
          <t>88316</t>
        </is>
      </c>
      <c r="B1158" s="23" t="inlineStr">
        <is>
          <t>SERVENTE COM ENCARGOS COMPLEMENTARES</t>
        </is>
      </c>
      <c r="C1158" s="22" t="inlineStr">
        <is>
          <t>SINAPI</t>
        </is>
      </c>
      <c r="D1158" s="22" t="inlineStr">
        <is>
          <t>H</t>
        </is>
      </c>
      <c r="E1158" s="63">
        <f>L1158*FATOR</f>
        <v/>
      </c>
      <c r="F1158" s="64">
        <f>'COMPOSICOES AUXILIARES'!G161</f>
        <v/>
      </c>
      <c r="G1158" s="64">
        <f>TRUNC(TRUNC(E1158,8)*F1158,2)</f>
        <v/>
      </c>
      <c r="L1158" t="n">
        <v>2.0267</v>
      </c>
      <c r="M1158" t="n">
        <v>23.56</v>
      </c>
      <c r="N1158">
        <f>(M1158-F1158)</f>
        <v/>
      </c>
    </row>
    <row r="1159" ht="18" customHeight="1">
      <c r="A1159" s="2" t="inlineStr"/>
      <c r="B1159" s="2" t="inlineStr"/>
      <c r="C1159" s="2" t="inlineStr"/>
      <c r="D1159" s="2" t="inlineStr"/>
      <c r="E1159" s="26" t="inlineStr">
        <is>
          <t>TOTAL Mão de Obra com Encargos Complementares:</t>
        </is>
      </c>
      <c r="F1159" s="56" t="n"/>
      <c r="G1159" s="65">
        <f>SUM(G1157:G1158)</f>
        <v/>
      </c>
    </row>
    <row r="1160" ht="15" customHeight="1">
      <c r="A1160" s="2" t="inlineStr"/>
      <c r="B1160" s="2" t="inlineStr"/>
      <c r="C1160" s="2" t="inlineStr"/>
      <c r="D1160" s="2" t="inlineStr"/>
      <c r="E1160" s="28" t="inlineStr">
        <is>
          <t>VALOR:</t>
        </is>
      </c>
      <c r="F1160" s="56" t="n"/>
      <c r="G1160" s="66">
        <f>SUM(G1155,G1150,G1159)</f>
        <v/>
      </c>
    </row>
    <row r="1161" ht="15" customHeight="1">
      <c r="A1161" s="2" t="inlineStr"/>
      <c r="B1161" s="2" t="inlineStr"/>
      <c r="C1161" s="2" t="inlineStr"/>
      <c r="D1161" s="2" t="inlineStr"/>
      <c r="E1161" s="28" t="inlineStr">
        <is>
          <t>VALOR BDI (23.08%):</t>
        </is>
      </c>
      <c r="F1161" s="56" t="n"/>
      <c r="G1161" s="66">
        <f>ROUNDDOWN(G1160*BDI,2)</f>
        <v/>
      </c>
    </row>
    <row r="1162" ht="15" customHeight="1">
      <c r="A1162" s="2" t="inlineStr"/>
      <c r="B1162" s="2" t="inlineStr"/>
      <c r="C1162" s="2" t="inlineStr"/>
      <c r="D1162" s="2" t="inlineStr"/>
      <c r="E1162" s="28" t="inlineStr">
        <is>
          <t>VALOR COM BDI:</t>
        </is>
      </c>
      <c r="F1162" s="56" t="n"/>
      <c r="G1162" s="66">
        <f>G1161 + G1160</f>
        <v/>
      </c>
    </row>
    <row r="1163" ht="10" customHeight="1">
      <c r="A1163" s="2" t="inlineStr"/>
      <c r="B1163" s="2" t="inlineStr"/>
      <c r="C1163" s="2" t="inlineStr"/>
      <c r="D1163" s="2" t="inlineStr"/>
      <c r="E1163" s="18" t="inlineStr"/>
    </row>
    <row r="1164" ht="20" customHeight="1">
      <c r="A1164" s="19" t="inlineStr">
        <is>
          <t>​94964​ CONCRETO FCK = 20MPA, TRAÇO 1:2,7:3 (EM MASSA SECA DE CIMENTO/ AREIA MÉDIA/ BRITA 1) - PREPARO MECÂNICO COM BETONEIRA 400 L. AF_05/2021​ (M3)</t>
        </is>
      </c>
      <c r="B1164" s="55" t="n"/>
      <c r="C1164" s="55" t="n"/>
      <c r="D1164" s="55" t="n"/>
      <c r="E1164" s="55" t="n"/>
      <c r="F1164" s="55" t="n"/>
      <c r="G1164" s="56" t="n"/>
    </row>
    <row r="1165" ht="15" customHeight="1">
      <c r="A1165" s="20" t="inlineStr">
        <is>
          <t>Equipamento Custo Horário</t>
        </is>
      </c>
      <c r="B1165" s="56" t="n"/>
      <c r="C1165" s="21" t="inlineStr">
        <is>
          <t>FONTE</t>
        </is>
      </c>
      <c r="D1165" s="21" t="inlineStr">
        <is>
          <t>UNID</t>
        </is>
      </c>
      <c r="E1165" s="21" t="inlineStr">
        <is>
          <t>COEFICIENTE</t>
        </is>
      </c>
      <c r="F1165" s="21" t="inlineStr">
        <is>
          <t>PREÇO UNITÁRIO</t>
        </is>
      </c>
      <c r="G1165" s="21" t="inlineStr">
        <is>
          <t>TOTAL</t>
        </is>
      </c>
    </row>
    <row r="1166" ht="38" customHeight="1">
      <c r="A1166" s="22" t="inlineStr">
        <is>
          <t>88831</t>
        </is>
      </c>
      <c r="B1166" s="23" t="inlineStr">
        <is>
          <t>BETONEIRA CAPACIDADE NOMINAL DE 400 L, CAPACIDADE DE MISTURA 280 L, MOTOR ELÉTRICO TRIFÁSICO POTÊNCIA DE 2 CV, SEM CARREGADOR - CHI DIURNO. AF_05/2023</t>
        </is>
      </c>
      <c r="C1166" s="22" t="inlineStr">
        <is>
          <t>SINAPI</t>
        </is>
      </c>
      <c r="D1166" s="22" t="inlineStr">
        <is>
          <t>CHI</t>
        </is>
      </c>
      <c r="E1166" s="63" t="n">
        <v>0.7786999999999999</v>
      </c>
      <c r="F1166" s="64">
        <f>'COMPOSICOES AUXILIARES'!G217</f>
        <v/>
      </c>
      <c r="G1166" s="64">
        <f>TRUNC(TRUNC(E1166,8)*F1166,2)</f>
        <v/>
      </c>
      <c r="L1166" t="n">
        <v>0.7786999999999999</v>
      </c>
      <c r="M1166" t="n">
        <v>0.4</v>
      </c>
      <c r="N1166">
        <f>(M1166-F1166)</f>
        <v/>
      </c>
    </row>
    <row r="1167" ht="38" customHeight="1">
      <c r="A1167" s="22" t="inlineStr">
        <is>
          <t>88830</t>
        </is>
      </c>
      <c r="B1167" s="23" t="inlineStr">
        <is>
          <t>BETONEIRA CAPACIDADE NOMINAL DE 400 L, CAPACIDADE DE MISTURA 280 L, MOTOR ELÉTRICO TRIFÁSICO POTÊNCIA DE 2 CV, SEM CARREGADOR - CHP DIURNO. AF_05/2023</t>
        </is>
      </c>
      <c r="C1167" s="22" t="inlineStr">
        <is>
          <t>SINAPI</t>
        </is>
      </c>
      <c r="D1167" s="22" t="inlineStr">
        <is>
          <t>CHP</t>
        </is>
      </c>
      <c r="E1167" s="63" t="n">
        <v>0.8259</v>
      </c>
      <c r="F1167" s="64">
        <f>'COMPOSICOES AUXILIARES'!G217</f>
        <v/>
      </c>
      <c r="G1167" s="64">
        <f>TRUNC(TRUNC(E1167,8)*F1167,2)</f>
        <v/>
      </c>
      <c r="L1167" t="n">
        <v>0.8259</v>
      </c>
      <c r="M1167" t="n">
        <v>2.02</v>
      </c>
      <c r="N1167">
        <f>(M1167-F1167)</f>
        <v/>
      </c>
    </row>
    <row r="1168" ht="18" customHeight="1">
      <c r="A1168" s="2" t="inlineStr"/>
      <c r="B1168" s="2" t="inlineStr"/>
      <c r="C1168" s="2" t="inlineStr"/>
      <c r="D1168" s="2" t="inlineStr"/>
      <c r="E1168" s="26" t="inlineStr">
        <is>
          <t>TOTAL Equipamento Custo Horário:</t>
        </is>
      </c>
      <c r="F1168" s="56" t="n"/>
      <c r="G1168" s="65">
        <f>SUM(G1166:G1167)</f>
        <v/>
      </c>
    </row>
    <row r="1169" ht="15" customHeight="1">
      <c r="A1169" s="20" t="inlineStr">
        <is>
          <t>Material</t>
        </is>
      </c>
      <c r="B1169" s="56" t="n"/>
      <c r="C1169" s="21" t="inlineStr">
        <is>
          <t>FONTE</t>
        </is>
      </c>
      <c r="D1169" s="21" t="inlineStr">
        <is>
          <t>UNID</t>
        </is>
      </c>
      <c r="E1169" s="21" t="inlineStr">
        <is>
          <t>COEFICIENTE</t>
        </is>
      </c>
      <c r="F1169" s="21" t="inlineStr">
        <is>
          <t>PREÇO UNITÁRIO</t>
        </is>
      </c>
      <c r="G1169" s="21" t="inlineStr">
        <is>
          <t>TOTAL</t>
        </is>
      </c>
    </row>
    <row r="1170" ht="21" customHeight="1">
      <c r="A1170" s="22" t="inlineStr">
        <is>
          <t>00000370</t>
        </is>
      </c>
      <c r="B1170" s="23" t="inlineStr">
        <is>
          <t>AREIA MEDIA - POSTO JAZIDA/FORNECEDOR (RETIRADO NA JAZIDA, SEM TRANSPORTE)</t>
        </is>
      </c>
      <c r="C1170" s="22" t="inlineStr">
        <is>
          <t>SINAPI</t>
        </is>
      </c>
      <c r="D1170" s="22" t="inlineStr">
        <is>
          <t>M3</t>
        </is>
      </c>
      <c r="E1170" s="63" t="n">
        <v>0.7558</v>
      </c>
      <c r="F1170" s="64">
        <f>ROUND(M1170*FATOR, 2)</f>
        <v/>
      </c>
      <c r="G1170" s="64">
        <f>TRUNC(TRUNC(E1170,8)*F1170,2)</f>
        <v/>
      </c>
      <c r="L1170" t="n">
        <v>0.7558</v>
      </c>
      <c r="M1170" t="n">
        <v>130</v>
      </c>
      <c r="N1170">
        <f>(M1170-F1170)</f>
        <v/>
      </c>
    </row>
    <row r="1171" ht="15" customHeight="1">
      <c r="A1171" s="22" t="inlineStr">
        <is>
          <t>00001379</t>
        </is>
      </c>
      <c r="B1171" s="23" t="inlineStr">
        <is>
          <t>CIMENTO PORTLAND COMPOSTO CP II-32</t>
        </is>
      </c>
      <c r="C1171" s="22" t="inlineStr">
        <is>
          <t>SINAPI</t>
        </is>
      </c>
      <c r="D1171" s="22" t="inlineStr">
        <is>
          <t>KG</t>
        </is>
      </c>
      <c r="E1171" s="63" t="n">
        <v>322.9777</v>
      </c>
      <c r="F1171" s="64">
        <f>ROUND(M1171*FATOR, 2)</f>
        <v/>
      </c>
      <c r="G1171" s="64">
        <f>TRUNC(TRUNC(E1171,8)*F1171,2)</f>
        <v/>
      </c>
      <c r="L1171" t="n">
        <v>322.9777</v>
      </c>
      <c r="M1171" t="n">
        <v>0.74</v>
      </c>
      <c r="N1171">
        <f>(M1171-F1171)</f>
        <v/>
      </c>
    </row>
    <row r="1172" ht="21" customHeight="1">
      <c r="A1172" s="22" t="inlineStr">
        <is>
          <t>00004721</t>
        </is>
      </c>
      <c r="B1172" s="23" t="inlineStr">
        <is>
          <t>PEDRA BRITADA N. 1 (9,5 A 19 MM) POSTO PEDREIRA/FORNECEDOR, SEM FRETE</t>
        </is>
      </c>
      <c r="C1172" s="22" t="inlineStr">
        <is>
          <t>SINAPI</t>
        </is>
      </c>
      <c r="D1172" s="22" t="inlineStr">
        <is>
          <t>M3</t>
        </is>
      </c>
      <c r="E1172" s="63" t="n">
        <v>0.5872000000000001</v>
      </c>
      <c r="F1172" s="64">
        <f>ROUND(M1172*FATOR, 2)</f>
        <v/>
      </c>
      <c r="G1172" s="64">
        <f>TRUNC(TRUNC(E1172,8)*F1172,2)</f>
        <v/>
      </c>
      <c r="L1172" t="n">
        <v>0.5872000000000001</v>
      </c>
      <c r="M1172" t="n">
        <v>111.01</v>
      </c>
      <c r="N1172">
        <f>(M1172-F1172)</f>
        <v/>
      </c>
    </row>
    <row r="1173" ht="15" customHeight="1">
      <c r="A1173" s="2" t="inlineStr"/>
      <c r="B1173" s="2" t="inlineStr"/>
      <c r="C1173" s="2" t="inlineStr"/>
      <c r="D1173" s="2" t="inlineStr"/>
      <c r="E1173" s="26" t="inlineStr">
        <is>
          <t>TOTAL Material:</t>
        </is>
      </c>
      <c r="F1173" s="56" t="n"/>
      <c r="G1173" s="65">
        <f>SUM(G1170:G1172)</f>
        <v/>
      </c>
    </row>
    <row r="1174" ht="15" customHeight="1">
      <c r="A1174" s="20" t="inlineStr">
        <is>
          <t>Mão de Obra com Encargos Complementares</t>
        </is>
      </c>
      <c r="B1174" s="56" t="n"/>
      <c r="C1174" s="21" t="inlineStr">
        <is>
          <t>FONTE</t>
        </is>
      </c>
      <c r="D1174" s="21" t="inlineStr">
        <is>
          <t>UNID</t>
        </is>
      </c>
      <c r="E1174" s="21" t="inlineStr">
        <is>
          <t>COEFICIENTE</t>
        </is>
      </c>
      <c r="F1174" s="21" t="inlineStr">
        <is>
          <t>PREÇO UNITÁRIO</t>
        </is>
      </c>
      <c r="G1174" s="21" t="inlineStr">
        <is>
          <t>TOTAL</t>
        </is>
      </c>
    </row>
    <row r="1175" ht="21" customHeight="1">
      <c r="A1175" s="22" t="inlineStr">
        <is>
          <t>88377</t>
        </is>
      </c>
      <c r="B1175" s="23" t="inlineStr">
        <is>
          <t>OPERADOR DE BETONEIRA ESTACIONÁRIA/MISTURADOR COM ENCARGOS COMPLEMENTARES</t>
        </is>
      </c>
      <c r="C1175" s="22" t="inlineStr">
        <is>
          <t>SINAPI</t>
        </is>
      </c>
      <c r="D1175" s="22" t="inlineStr">
        <is>
          <t>H</t>
        </is>
      </c>
      <c r="E1175" s="63">
        <f>L1175*FATOR</f>
        <v/>
      </c>
      <c r="F1175" s="64">
        <f>'COMPOSICOES AUXILIARES'!G150</f>
        <v/>
      </c>
      <c r="G1175" s="64">
        <f>TRUNC(TRUNC(E1175,8)*F1175,2)</f>
        <v/>
      </c>
      <c r="L1175" t="n">
        <v>1.6046</v>
      </c>
      <c r="M1175" t="n">
        <v>29.43</v>
      </c>
      <c r="N1175">
        <f>(M1175-F1175)</f>
        <v/>
      </c>
    </row>
    <row r="1176" ht="15" customHeight="1">
      <c r="A1176" s="22" t="inlineStr">
        <is>
          <t>88316</t>
        </is>
      </c>
      <c r="B1176" s="23" t="inlineStr">
        <is>
          <t>SERVENTE COM ENCARGOS COMPLEMENTARES</t>
        </is>
      </c>
      <c r="C1176" s="22" t="inlineStr">
        <is>
          <t>SINAPI</t>
        </is>
      </c>
      <c r="D1176" s="22" t="inlineStr">
        <is>
          <t>H</t>
        </is>
      </c>
      <c r="E1176" s="63">
        <f>L1176*FATOR</f>
        <v/>
      </c>
      <c r="F1176" s="64">
        <f>'COMPOSICOES AUXILIARES'!G161</f>
        <v/>
      </c>
      <c r="G1176" s="64">
        <f>TRUNC(TRUNC(E1176,8)*F1176,2)</f>
        <v/>
      </c>
      <c r="L1176" t="n">
        <v>2.5333</v>
      </c>
      <c r="M1176" t="n">
        <v>23.56</v>
      </c>
      <c r="N1176">
        <f>(M1176-F1176)</f>
        <v/>
      </c>
    </row>
    <row r="1177" ht="18" customHeight="1">
      <c r="A1177" s="2" t="inlineStr"/>
      <c r="B1177" s="2" t="inlineStr"/>
      <c r="C1177" s="2" t="inlineStr"/>
      <c r="D1177" s="2" t="inlineStr"/>
      <c r="E1177" s="26" t="inlineStr">
        <is>
          <t>TOTAL Mão de Obra com Encargos Complementares:</t>
        </is>
      </c>
      <c r="F1177" s="56" t="n"/>
      <c r="G1177" s="65">
        <f>SUM(G1175:G1176)</f>
        <v/>
      </c>
    </row>
    <row r="1178" ht="15" customHeight="1">
      <c r="A1178" s="2" t="inlineStr"/>
      <c r="B1178" s="2" t="inlineStr"/>
      <c r="C1178" s="2" t="inlineStr"/>
      <c r="D1178" s="2" t="inlineStr"/>
      <c r="E1178" s="28" t="inlineStr">
        <is>
          <t>VALOR:</t>
        </is>
      </c>
      <c r="F1178" s="56" t="n"/>
      <c r="G1178" s="66">
        <f>SUM(G1168,G1177,G1173)</f>
        <v/>
      </c>
    </row>
    <row r="1179" ht="15" customHeight="1">
      <c r="A1179" s="2" t="inlineStr"/>
      <c r="B1179" s="2" t="inlineStr"/>
      <c r="C1179" s="2" t="inlineStr"/>
      <c r="D1179" s="2" t="inlineStr"/>
      <c r="E1179" s="28" t="inlineStr">
        <is>
          <t>VALOR BDI (23.08%):</t>
        </is>
      </c>
      <c r="F1179" s="56" t="n"/>
      <c r="G1179" s="66">
        <f>ROUNDDOWN(G1178*BDI,2)</f>
        <v/>
      </c>
    </row>
    <row r="1180" ht="15" customHeight="1">
      <c r="A1180" s="2" t="inlineStr"/>
      <c r="B1180" s="2" t="inlineStr"/>
      <c r="C1180" s="2" t="inlineStr"/>
      <c r="D1180" s="2" t="inlineStr"/>
      <c r="E1180" s="28" t="inlineStr">
        <is>
          <t>VALOR COM BDI:</t>
        </is>
      </c>
      <c r="F1180" s="56" t="n"/>
      <c r="G1180" s="66">
        <f>G1179 + G1178</f>
        <v/>
      </c>
    </row>
    <row r="1181" ht="10" customHeight="1">
      <c r="A1181" s="2" t="inlineStr"/>
      <c r="B1181" s="2" t="inlineStr"/>
      <c r="C1181" s="2" t="inlineStr"/>
      <c r="D1181" s="2" t="inlineStr"/>
      <c r="E1181" s="18" t="inlineStr"/>
    </row>
    <row r="1182" ht="20" customHeight="1">
      <c r="A1182" s="19" t="inlineStr">
        <is>
          <t>​94970​ CONCRETO FCK = 20MPA, TRAÇO 1:2,7:3 (EM MASSA SECA DE CIMENTO/ AREIA MÉDIA/ BRITA 1) - PREPARO MECÂNICO COM BETONEIRA 600 L. AF_05/2021​ (M3)</t>
        </is>
      </c>
      <c r="B1182" s="55" t="n"/>
      <c r="C1182" s="55" t="n"/>
      <c r="D1182" s="55" t="n"/>
      <c r="E1182" s="55" t="n"/>
      <c r="F1182" s="55" t="n"/>
      <c r="G1182" s="56" t="n"/>
    </row>
    <row r="1183" ht="15" customHeight="1">
      <c r="A1183" s="20" t="inlineStr">
        <is>
          <t>Equipamento Custo Horário</t>
        </is>
      </c>
      <c r="B1183" s="56" t="n"/>
      <c r="C1183" s="21" t="inlineStr">
        <is>
          <t>FONTE</t>
        </is>
      </c>
      <c r="D1183" s="21" t="inlineStr">
        <is>
          <t>UNID</t>
        </is>
      </c>
      <c r="E1183" s="21" t="inlineStr">
        <is>
          <t>COEFICIENTE</t>
        </is>
      </c>
      <c r="F1183" s="21" t="inlineStr">
        <is>
          <t>PREÇO UNITÁRIO</t>
        </is>
      </c>
      <c r="G1183" s="21" t="inlineStr">
        <is>
          <t>TOTAL</t>
        </is>
      </c>
    </row>
    <row r="1184" ht="38" customHeight="1">
      <c r="A1184" s="22" t="inlineStr">
        <is>
          <t>89226</t>
        </is>
      </c>
      <c r="B1184" s="23" t="inlineStr">
        <is>
          <t>BETONEIRA CAPACIDADE NOMINAL DE 600 L, CAPACIDADE DE MISTURA 360 L, MOTOR ELÉTRICO TRIFÁSICO POTÊNCIA DE 4 CV, SEM CARREGADOR - CHI DIURNO. AF_05/2023</t>
        </is>
      </c>
      <c r="C1184" s="22" t="inlineStr">
        <is>
          <t>SINAPI</t>
        </is>
      </c>
      <c r="D1184" s="22" t="inlineStr">
        <is>
          <t>CHI</t>
        </is>
      </c>
      <c r="E1184" s="63" t="n">
        <v>0.6197</v>
      </c>
      <c r="F1184" s="64">
        <f>'COMPOSICOES AUXILIARES'!G235</f>
        <v/>
      </c>
      <c r="G1184" s="64">
        <f>TRUNC(TRUNC(E1184,8)*F1184,2)</f>
        <v/>
      </c>
      <c r="L1184" t="n">
        <v>0.6197</v>
      </c>
      <c r="M1184" t="n">
        <v>1.68</v>
      </c>
      <c r="N1184">
        <f>(M1184-F1184)</f>
        <v/>
      </c>
    </row>
    <row r="1185" ht="38" customHeight="1">
      <c r="A1185" s="22" t="inlineStr">
        <is>
          <t>89225</t>
        </is>
      </c>
      <c r="B1185" s="23" t="inlineStr">
        <is>
          <t>BETONEIRA CAPACIDADE NOMINAL DE 600 L, CAPACIDADE DE MISTURA 360 L, MOTOR ELÉTRICO TRIFÁSICO POTÊNCIA DE 4 CV, SEM CARREGADOR - CHP DIURNO. AF_05/2023</t>
        </is>
      </c>
      <c r="C1185" s="22" t="inlineStr">
        <is>
          <t>SINAPI</t>
        </is>
      </c>
      <c r="D1185" s="22" t="inlineStr">
        <is>
          <t>CHP</t>
        </is>
      </c>
      <c r="E1185" s="63" t="n">
        <v>0.6572</v>
      </c>
      <c r="F1185" s="64">
        <f>'COMPOSICOES AUXILIARES'!G235</f>
        <v/>
      </c>
      <c r="G1185" s="64">
        <f>TRUNC(TRUNC(E1185,8)*F1185,2)</f>
        <v/>
      </c>
      <c r="L1185" t="n">
        <v>0.6572</v>
      </c>
      <c r="M1185" t="n">
        <v>5.7</v>
      </c>
      <c r="N1185">
        <f>(M1185-F1185)</f>
        <v/>
      </c>
    </row>
    <row r="1186" ht="18" customHeight="1">
      <c r="A1186" s="2" t="inlineStr"/>
      <c r="B1186" s="2" t="inlineStr"/>
      <c r="C1186" s="2" t="inlineStr"/>
      <c r="D1186" s="2" t="inlineStr"/>
      <c r="E1186" s="26" t="inlineStr">
        <is>
          <t>TOTAL Equipamento Custo Horário:</t>
        </is>
      </c>
      <c r="F1186" s="56" t="n"/>
      <c r="G1186" s="65">
        <f>SUM(G1184:G1185)</f>
        <v/>
      </c>
    </row>
    <row r="1187" ht="15" customHeight="1">
      <c r="A1187" s="20" t="inlineStr">
        <is>
          <t>Material</t>
        </is>
      </c>
      <c r="B1187" s="56" t="n"/>
      <c r="C1187" s="21" t="inlineStr">
        <is>
          <t>FONTE</t>
        </is>
      </c>
      <c r="D1187" s="21" t="inlineStr">
        <is>
          <t>UNID</t>
        </is>
      </c>
      <c r="E1187" s="21" t="inlineStr">
        <is>
          <t>COEFICIENTE</t>
        </is>
      </c>
      <c r="F1187" s="21" t="inlineStr">
        <is>
          <t>PREÇO UNITÁRIO</t>
        </is>
      </c>
      <c r="G1187" s="21" t="inlineStr">
        <is>
          <t>TOTAL</t>
        </is>
      </c>
    </row>
    <row r="1188" ht="21" customHeight="1">
      <c r="A1188" s="22" t="inlineStr">
        <is>
          <t>00000370</t>
        </is>
      </c>
      <c r="B1188" s="23" t="inlineStr">
        <is>
          <t>AREIA MEDIA - POSTO JAZIDA/FORNECEDOR (RETIRADO NA JAZIDA, SEM TRANSPORTE)</t>
        </is>
      </c>
      <c r="C1188" s="22" t="inlineStr">
        <is>
          <t>SINAPI</t>
        </is>
      </c>
      <c r="D1188" s="22" t="inlineStr">
        <is>
          <t>M3</t>
        </is>
      </c>
      <c r="E1188" s="63" t="n">
        <v>0.7609</v>
      </c>
      <c r="F1188" s="64">
        <f>ROUND(M1188*FATOR, 2)</f>
        <v/>
      </c>
      <c r="G1188" s="64">
        <f>TRUNC(TRUNC(E1188,8)*F1188,2)</f>
        <v/>
      </c>
      <c r="L1188" t="n">
        <v>0.7609</v>
      </c>
      <c r="M1188" t="n">
        <v>130</v>
      </c>
      <c r="N1188">
        <f>(M1188-F1188)</f>
        <v/>
      </c>
    </row>
    <row r="1189" ht="15" customHeight="1">
      <c r="A1189" s="22" t="inlineStr">
        <is>
          <t>00001379</t>
        </is>
      </c>
      <c r="B1189" s="23" t="inlineStr">
        <is>
          <t>CIMENTO PORTLAND COMPOSTO CP II-32</t>
        </is>
      </c>
      <c r="C1189" s="22" t="inlineStr">
        <is>
          <t>SINAPI</t>
        </is>
      </c>
      <c r="D1189" s="22" t="inlineStr">
        <is>
          <t>KG</t>
        </is>
      </c>
      <c r="E1189" s="63" t="n">
        <v>325.1589</v>
      </c>
      <c r="F1189" s="64">
        <f>ROUND(M1189*FATOR, 2)</f>
        <v/>
      </c>
      <c r="G1189" s="64">
        <f>TRUNC(TRUNC(E1189,8)*F1189,2)</f>
        <v/>
      </c>
      <c r="L1189" t="n">
        <v>325.1589</v>
      </c>
      <c r="M1189" t="n">
        <v>0.74</v>
      </c>
      <c r="N1189">
        <f>(M1189-F1189)</f>
        <v/>
      </c>
    </row>
    <row r="1190" ht="21" customHeight="1">
      <c r="A1190" s="22" t="inlineStr">
        <is>
          <t>00004721</t>
        </is>
      </c>
      <c r="B1190" s="23" t="inlineStr">
        <is>
          <t>PEDRA BRITADA N. 1 (9,5 A 19 MM) POSTO PEDREIRA/FORNECEDOR, SEM FRETE</t>
        </is>
      </c>
      <c r="C1190" s="22" t="inlineStr">
        <is>
          <t>SINAPI</t>
        </is>
      </c>
      <c r="D1190" s="22" t="inlineStr">
        <is>
          <t>M3</t>
        </is>
      </c>
      <c r="E1190" s="63" t="n">
        <v>0.5911999999999999</v>
      </c>
      <c r="F1190" s="64">
        <f>ROUND(M1190*FATOR, 2)</f>
        <v/>
      </c>
      <c r="G1190" s="64">
        <f>TRUNC(TRUNC(E1190,8)*F1190,2)</f>
        <v/>
      </c>
      <c r="L1190" t="n">
        <v>0.5911999999999999</v>
      </c>
      <c r="M1190" t="n">
        <v>111.01</v>
      </c>
      <c r="N1190">
        <f>(M1190-F1190)</f>
        <v/>
      </c>
    </row>
    <row r="1191" ht="15" customHeight="1">
      <c r="A1191" s="2" t="inlineStr"/>
      <c r="B1191" s="2" t="inlineStr"/>
      <c r="C1191" s="2" t="inlineStr"/>
      <c r="D1191" s="2" t="inlineStr"/>
      <c r="E1191" s="26" t="inlineStr">
        <is>
          <t>TOTAL Material:</t>
        </is>
      </c>
      <c r="F1191" s="56" t="n"/>
      <c r="G1191" s="65">
        <f>SUM(G1188:G1190)</f>
        <v/>
      </c>
    </row>
    <row r="1192" ht="15" customHeight="1">
      <c r="A1192" s="20" t="inlineStr">
        <is>
          <t>Mão de Obra com Encargos Complementares</t>
        </is>
      </c>
      <c r="B1192" s="56" t="n"/>
      <c r="C1192" s="21" t="inlineStr">
        <is>
          <t>FONTE</t>
        </is>
      </c>
      <c r="D1192" s="21" t="inlineStr">
        <is>
          <t>UNID</t>
        </is>
      </c>
      <c r="E1192" s="21" t="inlineStr">
        <is>
          <t>COEFICIENTE</t>
        </is>
      </c>
      <c r="F1192" s="21" t="inlineStr">
        <is>
          <t>PREÇO UNITÁRIO</t>
        </is>
      </c>
      <c r="G1192" s="21" t="inlineStr">
        <is>
          <t>TOTAL</t>
        </is>
      </c>
    </row>
    <row r="1193" ht="21" customHeight="1">
      <c r="A1193" s="22" t="inlineStr">
        <is>
          <t>88377</t>
        </is>
      </c>
      <c r="B1193" s="23" t="inlineStr">
        <is>
          <t>OPERADOR DE BETONEIRA ESTACIONÁRIA/MISTURADOR COM ENCARGOS COMPLEMENTARES</t>
        </is>
      </c>
      <c r="C1193" s="22" t="inlineStr">
        <is>
          <t>SINAPI</t>
        </is>
      </c>
      <c r="D1193" s="22" t="inlineStr">
        <is>
          <t>H</t>
        </is>
      </c>
      <c r="E1193" s="63">
        <f>L1193*FATOR</f>
        <v/>
      </c>
      <c r="F1193" s="64">
        <f>'COMPOSICOES AUXILIARES'!G150</f>
        <v/>
      </c>
      <c r="G1193" s="64">
        <f>TRUNC(TRUNC(E1193,8)*F1193,2)</f>
        <v/>
      </c>
      <c r="L1193" t="n">
        <v>1.2768</v>
      </c>
      <c r="M1193" t="n">
        <v>29.43</v>
      </c>
      <c r="N1193">
        <f>(M1193-F1193)</f>
        <v/>
      </c>
    </row>
    <row r="1194" ht="15" customHeight="1">
      <c r="A1194" s="22" t="inlineStr">
        <is>
          <t>88316</t>
        </is>
      </c>
      <c r="B1194" s="23" t="inlineStr">
        <is>
          <t>SERVENTE COM ENCARGOS COMPLEMENTARES</t>
        </is>
      </c>
      <c r="C1194" s="22" t="inlineStr">
        <is>
          <t>SINAPI</t>
        </is>
      </c>
      <c r="D1194" s="22" t="inlineStr">
        <is>
          <t>H</t>
        </is>
      </c>
      <c r="E1194" s="63">
        <f>L1194*FATOR</f>
        <v/>
      </c>
      <c r="F1194" s="64">
        <f>'COMPOSICOES AUXILIARES'!G161</f>
        <v/>
      </c>
      <c r="G1194" s="64">
        <f>TRUNC(TRUNC(E1194,8)*F1194,2)</f>
        <v/>
      </c>
      <c r="L1194" t="n">
        <v>2.0267</v>
      </c>
      <c r="M1194" t="n">
        <v>23.56</v>
      </c>
      <c r="N1194">
        <f>(M1194-F1194)</f>
        <v/>
      </c>
    </row>
    <row r="1195" ht="18" customHeight="1">
      <c r="A1195" s="2" t="inlineStr"/>
      <c r="B1195" s="2" t="inlineStr"/>
      <c r="C1195" s="2" t="inlineStr"/>
      <c r="D1195" s="2" t="inlineStr"/>
      <c r="E1195" s="26" t="inlineStr">
        <is>
          <t>TOTAL Mão de Obra com Encargos Complementares:</t>
        </is>
      </c>
      <c r="F1195" s="56" t="n"/>
      <c r="G1195" s="65">
        <f>SUM(G1193:G1194)</f>
        <v/>
      </c>
    </row>
    <row r="1196" ht="15" customHeight="1">
      <c r="A1196" s="2" t="inlineStr"/>
      <c r="B1196" s="2" t="inlineStr"/>
      <c r="C1196" s="2" t="inlineStr"/>
      <c r="D1196" s="2" t="inlineStr"/>
      <c r="E1196" s="28" t="inlineStr">
        <is>
          <t>VALOR:</t>
        </is>
      </c>
      <c r="F1196" s="56" t="n"/>
      <c r="G1196" s="66">
        <f>SUM(G1186,G1195,G1191)</f>
        <v/>
      </c>
    </row>
    <row r="1197" ht="15" customHeight="1">
      <c r="A1197" s="2" t="inlineStr"/>
      <c r="B1197" s="2" t="inlineStr"/>
      <c r="C1197" s="2" t="inlineStr"/>
      <c r="D1197" s="2" t="inlineStr"/>
      <c r="E1197" s="28" t="inlineStr">
        <is>
          <t>VALOR BDI (23.08%):</t>
        </is>
      </c>
      <c r="F1197" s="56" t="n"/>
      <c r="G1197" s="66">
        <f>ROUNDDOWN(G1196*BDI,2)</f>
        <v/>
      </c>
    </row>
    <row r="1198" ht="15" customHeight="1">
      <c r="A1198" s="2" t="inlineStr"/>
      <c r="B1198" s="2" t="inlineStr"/>
      <c r="C1198" s="2" t="inlineStr"/>
      <c r="D1198" s="2" t="inlineStr"/>
      <c r="E1198" s="28" t="inlineStr">
        <is>
          <t>VALOR COM BDI:</t>
        </is>
      </c>
      <c r="F1198" s="56" t="n"/>
      <c r="G1198" s="66">
        <f>G1197 + G1196</f>
        <v/>
      </c>
    </row>
    <row r="1199" ht="10" customHeight="1">
      <c r="A1199" s="2" t="inlineStr"/>
      <c r="B1199" s="2" t="inlineStr"/>
      <c r="C1199" s="2" t="inlineStr"/>
      <c r="D1199" s="2" t="inlineStr"/>
      <c r="E1199" s="18" t="inlineStr"/>
    </row>
    <row r="1200" ht="20" customHeight="1">
      <c r="A1200" s="19" t="inlineStr">
        <is>
          <t>​94971​ CONCRETO FCK = 25MPA, TRAÇO 1:2,3:2,7 (EM MASSA SECA DE CIMENTO/ AREIA MÉDIA/ BRITA 1) - PREPARO MECÂNICO COM BETONEIRA 600 L. AF_05/2021​ (M3)</t>
        </is>
      </c>
      <c r="B1200" s="55" t="n"/>
      <c r="C1200" s="55" t="n"/>
      <c r="D1200" s="55" t="n"/>
      <c r="E1200" s="55" t="n"/>
      <c r="F1200" s="55" t="n"/>
      <c r="G1200" s="56" t="n"/>
    </row>
    <row r="1201" ht="15" customHeight="1">
      <c r="A1201" s="20" t="inlineStr">
        <is>
          <t>Equipamento Custo Horário</t>
        </is>
      </c>
      <c r="B1201" s="56" t="n"/>
      <c r="C1201" s="21" t="inlineStr">
        <is>
          <t>FONTE</t>
        </is>
      </c>
      <c r="D1201" s="21" t="inlineStr">
        <is>
          <t>UNID</t>
        </is>
      </c>
      <c r="E1201" s="21" t="inlineStr">
        <is>
          <t>COEFICIENTE</t>
        </is>
      </c>
      <c r="F1201" s="21" t="inlineStr">
        <is>
          <t>PREÇO UNITÁRIO</t>
        </is>
      </c>
      <c r="G1201" s="21" t="inlineStr">
        <is>
          <t>TOTAL</t>
        </is>
      </c>
    </row>
    <row r="1202" ht="38" customHeight="1">
      <c r="A1202" s="22" t="inlineStr">
        <is>
          <t>89226</t>
        </is>
      </c>
      <c r="B1202" s="23" t="inlineStr">
        <is>
          <t>BETONEIRA CAPACIDADE NOMINAL DE 600 L, CAPACIDADE DE MISTURA 360 L, MOTOR ELÉTRICO TRIFÁSICO POTÊNCIA DE 4 CV, SEM CARREGADOR - CHI DIURNO. AF_05/2023</t>
        </is>
      </c>
      <c r="C1202" s="22" t="inlineStr">
        <is>
          <t>SINAPI</t>
        </is>
      </c>
      <c r="D1202" s="22" t="inlineStr">
        <is>
          <t>CHI</t>
        </is>
      </c>
      <c r="E1202" s="63" t="n">
        <v>0.6067</v>
      </c>
      <c r="F1202" s="64">
        <f>'COMPOSICOES AUXILIARES'!G235</f>
        <v/>
      </c>
      <c r="G1202" s="64">
        <f>TRUNC(TRUNC(E1202,8)*F1202,2)</f>
        <v/>
      </c>
      <c r="L1202" t="n">
        <v>0.6067</v>
      </c>
      <c r="M1202" t="n">
        <v>1.68</v>
      </c>
      <c r="N1202">
        <f>(M1202-F1202)</f>
        <v/>
      </c>
    </row>
    <row r="1203" ht="38" customHeight="1">
      <c r="A1203" s="22" t="inlineStr">
        <is>
          <t>89225</t>
        </is>
      </c>
      <c r="B1203" s="23" t="inlineStr">
        <is>
          <t>BETONEIRA CAPACIDADE NOMINAL DE 600 L, CAPACIDADE DE MISTURA 360 L, MOTOR ELÉTRICO TRIFÁSICO POTÊNCIA DE 4 CV, SEM CARREGADOR - CHP DIURNO. AF_05/2023</t>
        </is>
      </c>
      <c r="C1203" s="22" t="inlineStr">
        <is>
          <t>SINAPI</t>
        </is>
      </c>
      <c r="D1203" s="22" t="inlineStr">
        <is>
          <t>CHP</t>
        </is>
      </c>
      <c r="E1203" s="63" t="n">
        <v>0.6434</v>
      </c>
      <c r="F1203" s="64">
        <f>'COMPOSICOES AUXILIARES'!G235</f>
        <v/>
      </c>
      <c r="G1203" s="64">
        <f>TRUNC(TRUNC(E1203,8)*F1203,2)</f>
        <v/>
      </c>
      <c r="L1203" t="n">
        <v>0.6434</v>
      </c>
      <c r="M1203" t="n">
        <v>5.7</v>
      </c>
      <c r="N1203">
        <f>(M1203-F1203)</f>
        <v/>
      </c>
    </row>
    <row r="1204" ht="18" customHeight="1">
      <c r="A1204" s="2" t="inlineStr"/>
      <c r="B1204" s="2" t="inlineStr"/>
      <c r="C1204" s="2" t="inlineStr"/>
      <c r="D1204" s="2" t="inlineStr"/>
      <c r="E1204" s="26" t="inlineStr">
        <is>
          <t>TOTAL Equipamento Custo Horário:</t>
        </is>
      </c>
      <c r="F1204" s="56" t="n"/>
      <c r="G1204" s="65">
        <f>SUM(G1202:G1203)</f>
        <v/>
      </c>
    </row>
    <row r="1205" ht="15" customHeight="1">
      <c r="A1205" s="20" t="inlineStr">
        <is>
          <t>Material</t>
        </is>
      </c>
      <c r="B1205" s="56" t="n"/>
      <c r="C1205" s="21" t="inlineStr">
        <is>
          <t>FONTE</t>
        </is>
      </c>
      <c r="D1205" s="21" t="inlineStr">
        <is>
          <t>UNID</t>
        </is>
      </c>
      <c r="E1205" s="21" t="inlineStr">
        <is>
          <t>COEFICIENTE</t>
        </is>
      </c>
      <c r="F1205" s="21" t="inlineStr">
        <is>
          <t>PREÇO UNITÁRIO</t>
        </is>
      </c>
      <c r="G1205" s="21" t="inlineStr">
        <is>
          <t>TOTAL</t>
        </is>
      </c>
    </row>
    <row r="1206" ht="21" customHeight="1">
      <c r="A1206" s="22" t="inlineStr">
        <is>
          <t>00000370</t>
        </is>
      </c>
      <c r="B1206" s="23" t="inlineStr">
        <is>
          <t>AREIA MEDIA - POSTO JAZIDA/FORNECEDOR (RETIRADO NA JAZIDA, SEM TRANSPORTE)</t>
        </is>
      </c>
      <c r="C1206" s="22" t="inlineStr">
        <is>
          <t>SINAPI</t>
        </is>
      </c>
      <c r="D1206" s="22" t="inlineStr">
        <is>
          <t>M3</t>
        </is>
      </c>
      <c r="E1206" s="63" t="n">
        <v>0.7275</v>
      </c>
      <c r="F1206" s="64">
        <f>ROUND(M1206*FATOR, 2)</f>
        <v/>
      </c>
      <c r="G1206" s="64">
        <f>TRUNC(TRUNC(E1206,8)*F1206,2)</f>
        <v/>
      </c>
      <c r="L1206" t="n">
        <v>0.7275</v>
      </c>
      <c r="M1206" t="n">
        <v>130</v>
      </c>
      <c r="N1206">
        <f>(M1206-F1206)</f>
        <v/>
      </c>
    </row>
    <row r="1207" ht="15" customHeight="1">
      <c r="A1207" s="22" t="inlineStr">
        <is>
          <t>00001379</t>
        </is>
      </c>
      <c r="B1207" s="23" t="inlineStr">
        <is>
          <t>CIMENTO PORTLAND COMPOSTO CP II-32</t>
        </is>
      </c>
      <c r="C1207" s="22" t="inlineStr">
        <is>
          <t>SINAPI</t>
        </is>
      </c>
      <c r="D1207" s="22" t="inlineStr">
        <is>
          <t>KG</t>
        </is>
      </c>
      <c r="E1207" s="63" t="n">
        <v>364.9433</v>
      </c>
      <c r="F1207" s="64">
        <f>ROUND(M1207*FATOR, 2)</f>
        <v/>
      </c>
      <c r="G1207" s="64">
        <f>TRUNC(TRUNC(E1207,8)*F1207,2)</f>
        <v/>
      </c>
      <c r="L1207" t="n">
        <v>364.9433</v>
      </c>
      <c r="M1207" t="n">
        <v>0.74</v>
      </c>
      <c r="N1207">
        <f>(M1207-F1207)</f>
        <v/>
      </c>
    </row>
    <row r="1208" ht="21" customHeight="1">
      <c r="A1208" s="22" t="inlineStr">
        <is>
          <t>00004721</t>
        </is>
      </c>
      <c r="B1208" s="23" t="inlineStr">
        <is>
          <t>PEDRA BRITADA N. 1 (9,5 A 19 MM) POSTO PEDREIRA/FORNECEDOR, SEM FRETE</t>
        </is>
      </c>
      <c r="C1208" s="22" t="inlineStr">
        <is>
          <t>SINAPI</t>
        </is>
      </c>
      <c r="D1208" s="22" t="inlineStr">
        <is>
          <t>M3</t>
        </is>
      </c>
      <c r="E1208" s="63" t="n">
        <v>0.5972</v>
      </c>
      <c r="F1208" s="64">
        <f>ROUND(M1208*FATOR, 2)</f>
        <v/>
      </c>
      <c r="G1208" s="64">
        <f>TRUNC(TRUNC(E1208,8)*F1208,2)</f>
        <v/>
      </c>
      <c r="L1208" t="n">
        <v>0.5972</v>
      </c>
      <c r="M1208" t="n">
        <v>111.01</v>
      </c>
      <c r="N1208">
        <f>(M1208-F1208)</f>
        <v/>
      </c>
    </row>
    <row r="1209" ht="15" customHeight="1">
      <c r="A1209" s="2" t="inlineStr"/>
      <c r="B1209" s="2" t="inlineStr"/>
      <c r="C1209" s="2" t="inlineStr"/>
      <c r="D1209" s="2" t="inlineStr"/>
      <c r="E1209" s="26" t="inlineStr">
        <is>
          <t>TOTAL Material:</t>
        </is>
      </c>
      <c r="F1209" s="56" t="n"/>
      <c r="G1209" s="65">
        <f>SUM(G1206:G1208)</f>
        <v/>
      </c>
    </row>
    <row r="1210" ht="15" customHeight="1">
      <c r="A1210" s="20" t="inlineStr">
        <is>
          <t>Mão de Obra com Encargos Complementares</t>
        </is>
      </c>
      <c r="B1210" s="56" t="n"/>
      <c r="C1210" s="21" t="inlineStr">
        <is>
          <t>FONTE</t>
        </is>
      </c>
      <c r="D1210" s="21" t="inlineStr">
        <is>
          <t>UNID</t>
        </is>
      </c>
      <c r="E1210" s="21" t="inlineStr">
        <is>
          <t>COEFICIENTE</t>
        </is>
      </c>
      <c r="F1210" s="21" t="inlineStr">
        <is>
          <t>PREÇO UNITÁRIO</t>
        </is>
      </c>
      <c r="G1210" s="21" t="inlineStr">
        <is>
          <t>TOTAL</t>
        </is>
      </c>
    </row>
    <row r="1211" ht="21" customHeight="1">
      <c r="A1211" s="22" t="inlineStr">
        <is>
          <t>88377</t>
        </is>
      </c>
      <c r="B1211" s="23" t="inlineStr">
        <is>
          <t>OPERADOR DE BETONEIRA ESTACIONÁRIA/MISTURADOR COM ENCARGOS COMPLEMENTARES</t>
        </is>
      </c>
      <c r="C1211" s="22" t="inlineStr">
        <is>
          <t>SINAPI</t>
        </is>
      </c>
      <c r="D1211" s="22" t="inlineStr">
        <is>
          <t>H</t>
        </is>
      </c>
      <c r="E1211" s="63">
        <f>L1211*FATOR</f>
        <v/>
      </c>
      <c r="F1211" s="64">
        <f>'COMPOSICOES AUXILIARES'!G150</f>
        <v/>
      </c>
      <c r="G1211" s="64">
        <f>TRUNC(TRUNC(E1211,8)*F1211,2)</f>
        <v/>
      </c>
      <c r="L1211" t="n">
        <v>1.2501</v>
      </c>
      <c r="M1211" t="n">
        <v>29.43</v>
      </c>
      <c r="N1211">
        <f>(M1211-F1211)</f>
        <v/>
      </c>
    </row>
    <row r="1212" ht="15" customHeight="1">
      <c r="A1212" s="22" t="inlineStr">
        <is>
          <t>88316</t>
        </is>
      </c>
      <c r="B1212" s="23" t="inlineStr">
        <is>
          <t>SERVENTE COM ENCARGOS COMPLEMENTARES</t>
        </is>
      </c>
      <c r="C1212" s="22" t="inlineStr">
        <is>
          <t>SINAPI</t>
        </is>
      </c>
      <c r="D1212" s="22" t="inlineStr">
        <is>
          <t>H</t>
        </is>
      </c>
      <c r="E1212" s="63">
        <f>L1212*FATOR</f>
        <v/>
      </c>
      <c r="F1212" s="64">
        <f>'COMPOSICOES AUXILIARES'!G161</f>
        <v/>
      </c>
      <c r="G1212" s="64">
        <f>TRUNC(TRUNC(E1212,8)*F1212,2)</f>
        <v/>
      </c>
      <c r="L1212" t="n">
        <v>1.9792</v>
      </c>
      <c r="M1212" t="n">
        <v>23.56</v>
      </c>
      <c r="N1212">
        <f>(M1212-F1212)</f>
        <v/>
      </c>
    </row>
    <row r="1213" ht="18" customHeight="1">
      <c r="A1213" s="2" t="inlineStr"/>
      <c r="B1213" s="2" t="inlineStr"/>
      <c r="C1213" s="2" t="inlineStr"/>
      <c r="D1213" s="2" t="inlineStr"/>
      <c r="E1213" s="26" t="inlineStr">
        <is>
          <t>TOTAL Mão de Obra com Encargos Complementares:</t>
        </is>
      </c>
      <c r="F1213" s="56" t="n"/>
      <c r="G1213" s="65">
        <f>SUM(G1211:G1212)</f>
        <v/>
      </c>
    </row>
    <row r="1214" ht="15" customHeight="1">
      <c r="A1214" s="2" t="inlineStr"/>
      <c r="B1214" s="2" t="inlineStr"/>
      <c r="C1214" s="2" t="inlineStr"/>
      <c r="D1214" s="2" t="inlineStr"/>
      <c r="E1214" s="28" t="inlineStr">
        <is>
          <t>VALOR:</t>
        </is>
      </c>
      <c r="F1214" s="56" t="n"/>
      <c r="G1214" s="66">
        <f>SUM(G1209,G1204,G1213)</f>
        <v/>
      </c>
    </row>
    <row r="1215" ht="15" customHeight="1">
      <c r="A1215" s="2" t="inlineStr"/>
      <c r="B1215" s="2" t="inlineStr"/>
      <c r="C1215" s="2" t="inlineStr"/>
      <c r="D1215" s="2" t="inlineStr"/>
      <c r="E1215" s="28" t="inlineStr">
        <is>
          <t>VALOR BDI (23.08%):</t>
        </is>
      </c>
      <c r="F1215" s="56" t="n"/>
      <c r="G1215" s="66">
        <f>ROUNDDOWN(G1214*BDI,2)</f>
        <v/>
      </c>
    </row>
    <row r="1216" ht="15" customHeight="1">
      <c r="A1216" s="2" t="inlineStr"/>
      <c r="B1216" s="2" t="inlineStr"/>
      <c r="C1216" s="2" t="inlineStr"/>
      <c r="D1216" s="2" t="inlineStr"/>
      <c r="E1216" s="28" t="inlineStr">
        <is>
          <t>VALOR COM BDI:</t>
        </is>
      </c>
      <c r="F1216" s="56" t="n"/>
      <c r="G1216" s="66">
        <f>G1215 + G1214</f>
        <v/>
      </c>
    </row>
    <row r="1217" ht="10" customHeight="1">
      <c r="A1217" s="2" t="inlineStr"/>
      <c r="B1217" s="2" t="inlineStr"/>
      <c r="C1217" s="2" t="inlineStr"/>
      <c r="D1217" s="2" t="inlineStr"/>
      <c r="E1217" s="18" t="inlineStr"/>
    </row>
    <row r="1218" ht="20" customHeight="1">
      <c r="A1218" s="19" t="inlineStr">
        <is>
          <t>​94972​ CONCRETO FCK = 30MPA, TRAÇO 1:2,1:2,5 (EM MASSA SECA DE CIMENTO/ AREIA MÉDIA/ BRITA 1) - PREPARO MECÂNICO COM BETONEIRA 600 L. AF_05/2021​ (M3)</t>
        </is>
      </c>
      <c r="B1218" s="55" t="n"/>
      <c r="C1218" s="55" t="n"/>
      <c r="D1218" s="55" t="n"/>
      <c r="E1218" s="55" t="n"/>
      <c r="F1218" s="55" t="n"/>
      <c r="G1218" s="56" t="n"/>
    </row>
    <row r="1219" ht="15" customHeight="1">
      <c r="A1219" s="20" t="inlineStr">
        <is>
          <t>Equipamento Custo Horário</t>
        </is>
      </c>
      <c r="B1219" s="56" t="n"/>
      <c r="C1219" s="21" t="inlineStr">
        <is>
          <t>FONTE</t>
        </is>
      </c>
      <c r="D1219" s="21" t="inlineStr">
        <is>
          <t>UNID</t>
        </is>
      </c>
      <c r="E1219" s="21" t="inlineStr">
        <is>
          <t>COEFICIENTE</t>
        </is>
      </c>
      <c r="F1219" s="21" t="inlineStr">
        <is>
          <t>PREÇO UNITÁRIO</t>
        </is>
      </c>
      <c r="G1219" s="21" t="inlineStr">
        <is>
          <t>TOTAL</t>
        </is>
      </c>
    </row>
    <row r="1220" ht="38" customHeight="1">
      <c r="A1220" s="22" t="inlineStr">
        <is>
          <t>89226</t>
        </is>
      </c>
      <c r="B1220" s="23" t="inlineStr">
        <is>
          <t>BETONEIRA CAPACIDADE NOMINAL DE 600 L, CAPACIDADE DE MISTURA 360 L, MOTOR ELÉTRICO TRIFÁSICO POTÊNCIA DE 4 CV, SEM CARREGADOR - CHI DIURNO. AF_05/2023</t>
        </is>
      </c>
      <c r="C1220" s="22" t="inlineStr">
        <is>
          <t>SINAPI</t>
        </is>
      </c>
      <c r="D1220" s="22" t="inlineStr">
        <is>
          <t>CHI</t>
        </is>
      </c>
      <c r="E1220" s="63" t="n">
        <v>0.6018</v>
      </c>
      <c r="F1220" s="64">
        <f>'COMPOSICOES AUXILIARES'!G235</f>
        <v/>
      </c>
      <c r="G1220" s="64">
        <f>TRUNC(TRUNC(E1220,8)*F1220,2)</f>
        <v/>
      </c>
      <c r="L1220" t="n">
        <v>0.6018</v>
      </c>
      <c r="M1220" t="n">
        <v>1.68</v>
      </c>
      <c r="N1220">
        <f>(M1220-F1220)</f>
        <v/>
      </c>
    </row>
    <row r="1221" ht="38" customHeight="1">
      <c r="A1221" s="22" t="inlineStr">
        <is>
          <t>89225</t>
        </is>
      </c>
      <c r="B1221" s="23" t="inlineStr">
        <is>
          <t>BETONEIRA CAPACIDADE NOMINAL DE 600 L, CAPACIDADE DE MISTURA 360 L, MOTOR ELÉTRICO TRIFÁSICO POTÊNCIA DE 4 CV, SEM CARREGADOR - CHP DIURNO. AF_05/2023</t>
        </is>
      </c>
      <c r="C1221" s="22" t="inlineStr">
        <is>
          <t>SINAPI</t>
        </is>
      </c>
      <c r="D1221" s="22" t="inlineStr">
        <is>
          <t>CHP</t>
        </is>
      </c>
      <c r="E1221" s="63" t="n">
        <v>0.6382</v>
      </c>
      <c r="F1221" s="64">
        <f>'COMPOSICOES AUXILIARES'!G235</f>
        <v/>
      </c>
      <c r="G1221" s="64">
        <f>TRUNC(TRUNC(E1221,8)*F1221,2)</f>
        <v/>
      </c>
      <c r="L1221" t="n">
        <v>0.6382</v>
      </c>
      <c r="M1221" t="n">
        <v>5.7</v>
      </c>
      <c r="N1221">
        <f>(M1221-F1221)</f>
        <v/>
      </c>
    </row>
    <row r="1222" ht="18" customHeight="1">
      <c r="A1222" s="2" t="inlineStr"/>
      <c r="B1222" s="2" t="inlineStr"/>
      <c r="C1222" s="2" t="inlineStr"/>
      <c r="D1222" s="2" t="inlineStr"/>
      <c r="E1222" s="26" t="inlineStr">
        <is>
          <t>TOTAL Equipamento Custo Horário:</t>
        </is>
      </c>
      <c r="F1222" s="56" t="n"/>
      <c r="G1222" s="65">
        <f>SUM(G1220:G1221)</f>
        <v/>
      </c>
    </row>
    <row r="1223" ht="15" customHeight="1">
      <c r="A1223" s="20" t="inlineStr">
        <is>
          <t>Material</t>
        </is>
      </c>
      <c r="B1223" s="56" t="n"/>
      <c r="C1223" s="21" t="inlineStr">
        <is>
          <t>FONTE</t>
        </is>
      </c>
      <c r="D1223" s="21" t="inlineStr">
        <is>
          <t>UNID</t>
        </is>
      </c>
      <c r="E1223" s="21" t="inlineStr">
        <is>
          <t>COEFICIENTE</t>
        </is>
      </c>
      <c r="F1223" s="21" t="inlineStr">
        <is>
          <t>PREÇO UNITÁRIO</t>
        </is>
      </c>
      <c r="G1223" s="21" t="inlineStr">
        <is>
          <t>TOTAL</t>
        </is>
      </c>
    </row>
    <row r="1224" ht="21" customHeight="1">
      <c r="A1224" s="22" t="inlineStr">
        <is>
          <t>00000370</t>
        </is>
      </c>
      <c r="B1224" s="23" t="inlineStr">
        <is>
          <t>AREIA MEDIA - POSTO JAZIDA/FORNECEDOR (RETIRADO NA JAZIDA, SEM TRANSPORTE)</t>
        </is>
      </c>
      <c r="C1224" s="22" t="inlineStr">
        <is>
          <t>SINAPI</t>
        </is>
      </c>
      <c r="D1224" s="22" t="inlineStr">
        <is>
          <t>M3</t>
        </is>
      </c>
      <c r="E1224" s="63" t="n">
        <v>0.7119</v>
      </c>
      <c r="F1224" s="64">
        <f>ROUND(M1224*FATOR, 2)</f>
        <v/>
      </c>
      <c r="G1224" s="64">
        <f>TRUNC(TRUNC(E1224,8)*F1224,2)</f>
        <v/>
      </c>
      <c r="L1224" t="n">
        <v>0.7119</v>
      </c>
      <c r="M1224" t="n">
        <v>130</v>
      </c>
      <c r="N1224">
        <f>(M1224-F1224)</f>
        <v/>
      </c>
    </row>
    <row r="1225" ht="15" customHeight="1">
      <c r="A1225" s="22" t="inlineStr">
        <is>
          <t>00001379</t>
        </is>
      </c>
      <c r="B1225" s="23" t="inlineStr">
        <is>
          <t>CIMENTO PORTLAND COMPOSTO CP II-32</t>
        </is>
      </c>
      <c r="C1225" s="22" t="inlineStr">
        <is>
          <t>SINAPI</t>
        </is>
      </c>
      <c r="D1225" s="22" t="inlineStr">
        <is>
          <t>KG</t>
        </is>
      </c>
      <c r="E1225" s="63" t="n">
        <v>391.1663</v>
      </c>
      <c r="F1225" s="64">
        <f>ROUND(M1225*FATOR, 2)</f>
        <v/>
      </c>
      <c r="G1225" s="64">
        <f>TRUNC(TRUNC(E1225,8)*F1225,2)</f>
        <v/>
      </c>
      <c r="L1225" t="n">
        <v>391.1663</v>
      </c>
      <c r="M1225" t="n">
        <v>0.74</v>
      </c>
      <c r="N1225">
        <f>(M1225-F1225)</f>
        <v/>
      </c>
    </row>
    <row r="1226" ht="21" customHeight="1">
      <c r="A1226" s="22" t="inlineStr">
        <is>
          <t>00004721</t>
        </is>
      </c>
      <c r="B1226" s="23" t="inlineStr">
        <is>
          <t>PEDRA BRITADA N. 1 (9,5 A 19 MM) POSTO PEDREIRA/FORNECEDOR, SEM FRETE</t>
        </is>
      </c>
      <c r="C1226" s="22" t="inlineStr">
        <is>
          <t>SINAPI</t>
        </is>
      </c>
      <c r="D1226" s="22" t="inlineStr">
        <is>
          <t>M3</t>
        </is>
      </c>
      <c r="E1226" s="63" t="n">
        <v>0.5927</v>
      </c>
      <c r="F1226" s="64">
        <f>ROUND(M1226*FATOR, 2)</f>
        <v/>
      </c>
      <c r="G1226" s="64">
        <f>TRUNC(TRUNC(E1226,8)*F1226,2)</f>
        <v/>
      </c>
      <c r="L1226" t="n">
        <v>0.5927</v>
      </c>
      <c r="M1226" t="n">
        <v>111.01</v>
      </c>
      <c r="N1226">
        <f>(M1226-F1226)</f>
        <v/>
      </c>
    </row>
    <row r="1227" ht="15" customHeight="1">
      <c r="A1227" s="2" t="inlineStr"/>
      <c r="B1227" s="2" t="inlineStr"/>
      <c r="C1227" s="2" t="inlineStr"/>
      <c r="D1227" s="2" t="inlineStr"/>
      <c r="E1227" s="26" t="inlineStr">
        <is>
          <t>TOTAL Material:</t>
        </is>
      </c>
      <c r="F1227" s="56" t="n"/>
      <c r="G1227" s="65">
        <f>SUM(G1224:G1226)</f>
        <v/>
      </c>
    </row>
    <row r="1228" ht="15" customHeight="1">
      <c r="A1228" s="20" t="inlineStr">
        <is>
          <t>Mão de Obra com Encargos Complementares</t>
        </is>
      </c>
      <c r="B1228" s="56" t="n"/>
      <c r="C1228" s="21" t="inlineStr">
        <is>
          <t>FONTE</t>
        </is>
      </c>
      <c r="D1228" s="21" t="inlineStr">
        <is>
          <t>UNID</t>
        </is>
      </c>
      <c r="E1228" s="21" t="inlineStr">
        <is>
          <t>COEFICIENTE</t>
        </is>
      </c>
      <c r="F1228" s="21" t="inlineStr">
        <is>
          <t>PREÇO UNITÁRIO</t>
        </is>
      </c>
      <c r="G1228" s="21" t="inlineStr">
        <is>
          <t>TOTAL</t>
        </is>
      </c>
    </row>
    <row r="1229" ht="21" customHeight="1">
      <c r="A1229" s="22" t="inlineStr">
        <is>
          <t>88377</t>
        </is>
      </c>
      <c r="B1229" s="23" t="inlineStr">
        <is>
          <t>OPERADOR DE BETONEIRA ESTACIONÁRIA/MISTURADOR COM ENCARGOS COMPLEMENTARES</t>
        </is>
      </c>
      <c r="C1229" s="22" t="inlineStr">
        <is>
          <t>SINAPI</t>
        </is>
      </c>
      <c r="D1229" s="22" t="inlineStr">
        <is>
          <t>H</t>
        </is>
      </c>
      <c r="E1229" s="63">
        <f>L1229*FATOR</f>
        <v/>
      </c>
      <c r="F1229" s="64">
        <f>'COMPOSICOES AUXILIARES'!G150</f>
        <v/>
      </c>
      <c r="G1229" s="64">
        <f>TRUNC(TRUNC(E1229,8)*F1229,2)</f>
        <v/>
      </c>
      <c r="L1229" t="n">
        <v>1.24</v>
      </c>
      <c r="M1229" t="n">
        <v>29.43</v>
      </c>
      <c r="N1229">
        <f>(M1229-F1229)</f>
        <v/>
      </c>
    </row>
    <row r="1230" ht="15" customHeight="1">
      <c r="A1230" s="22" t="inlineStr">
        <is>
          <t>88316</t>
        </is>
      </c>
      <c r="B1230" s="23" t="inlineStr">
        <is>
          <t>SERVENTE COM ENCARGOS COMPLEMENTARES</t>
        </is>
      </c>
      <c r="C1230" s="22" t="inlineStr">
        <is>
          <t>SINAPI</t>
        </is>
      </c>
      <c r="D1230" s="22" t="inlineStr">
        <is>
          <t>H</t>
        </is>
      </c>
      <c r="E1230" s="63">
        <f>L1230*FATOR</f>
        <v/>
      </c>
      <c r="F1230" s="64">
        <f>'COMPOSICOES AUXILIARES'!G161</f>
        <v/>
      </c>
      <c r="G1230" s="64">
        <f>TRUNC(TRUNC(E1230,8)*F1230,2)</f>
        <v/>
      </c>
      <c r="L1230" t="n">
        <v>1.9633</v>
      </c>
      <c r="M1230" t="n">
        <v>23.56</v>
      </c>
      <c r="N1230">
        <f>(M1230-F1230)</f>
        <v/>
      </c>
    </row>
    <row r="1231" ht="18" customHeight="1">
      <c r="A1231" s="2" t="inlineStr"/>
      <c r="B1231" s="2" t="inlineStr"/>
      <c r="C1231" s="2" t="inlineStr"/>
      <c r="D1231" s="2" t="inlineStr"/>
      <c r="E1231" s="26" t="inlineStr">
        <is>
          <t>TOTAL Mão de Obra com Encargos Complementares:</t>
        </is>
      </c>
      <c r="F1231" s="56" t="n"/>
      <c r="G1231" s="65">
        <f>SUM(G1229:G1230)</f>
        <v/>
      </c>
    </row>
    <row r="1232" ht="15" customHeight="1">
      <c r="A1232" s="2" t="inlineStr"/>
      <c r="B1232" s="2" t="inlineStr"/>
      <c r="C1232" s="2" t="inlineStr"/>
      <c r="D1232" s="2" t="inlineStr"/>
      <c r="E1232" s="28" t="inlineStr">
        <is>
          <t>VALOR:</t>
        </is>
      </c>
      <c r="F1232" s="56" t="n"/>
      <c r="G1232" s="66">
        <f>SUM(G1227,G1222,G1231)</f>
        <v/>
      </c>
    </row>
    <row r="1233" ht="15" customHeight="1">
      <c r="A1233" s="2" t="inlineStr"/>
      <c r="B1233" s="2" t="inlineStr"/>
      <c r="C1233" s="2" t="inlineStr"/>
      <c r="D1233" s="2" t="inlineStr"/>
      <c r="E1233" s="28" t="inlineStr">
        <is>
          <t>VALOR BDI (23.08%):</t>
        </is>
      </c>
      <c r="F1233" s="56" t="n"/>
      <c r="G1233" s="66">
        <f>ROUNDDOWN(G1232*BDI,2)</f>
        <v/>
      </c>
    </row>
    <row r="1234" ht="15" customHeight="1">
      <c r="A1234" s="2" t="inlineStr"/>
      <c r="B1234" s="2" t="inlineStr"/>
      <c r="C1234" s="2" t="inlineStr"/>
      <c r="D1234" s="2" t="inlineStr"/>
      <c r="E1234" s="28" t="inlineStr">
        <is>
          <t>VALOR COM BDI:</t>
        </is>
      </c>
      <c r="F1234" s="56" t="n"/>
      <c r="G1234" s="66">
        <f>G1233 + G1232</f>
        <v/>
      </c>
    </row>
    <row r="1235" ht="10" customHeight="1">
      <c r="A1235" s="2" t="inlineStr"/>
      <c r="B1235" s="2" t="inlineStr"/>
      <c r="C1235" s="2" t="inlineStr"/>
      <c r="D1235" s="2" t="inlineStr"/>
      <c r="E1235" s="18" t="inlineStr"/>
    </row>
    <row r="1236" ht="20" customHeight="1">
      <c r="A1236" s="19" t="inlineStr">
        <is>
          <t>​94974​ CONCRETO MAGRO PARA LASTRO, TRAÇO 1:4,5:4,5 (EM MASSA SECA DE CIMENTO/ AREIA MÉDIA/ BRITA 1) - PREPARO MANUAL. AF_05/2021​ (M3)</t>
        </is>
      </c>
      <c r="B1236" s="55" t="n"/>
      <c r="C1236" s="55" t="n"/>
      <c r="D1236" s="55" t="n"/>
      <c r="E1236" s="55" t="n"/>
      <c r="F1236" s="55" t="n"/>
      <c r="G1236" s="56" t="n"/>
    </row>
    <row r="1237" ht="15" customHeight="1">
      <c r="A1237" s="20" t="inlineStr">
        <is>
          <t>Material</t>
        </is>
      </c>
      <c r="B1237" s="56" t="n"/>
      <c r="C1237" s="21" t="inlineStr">
        <is>
          <t>FONTE</t>
        </is>
      </c>
      <c r="D1237" s="21" t="inlineStr">
        <is>
          <t>UNID</t>
        </is>
      </c>
      <c r="E1237" s="21" t="inlineStr">
        <is>
          <t>COEFICIENTE</t>
        </is>
      </c>
      <c r="F1237" s="21" t="inlineStr">
        <is>
          <t>PREÇO UNITÁRIO</t>
        </is>
      </c>
      <c r="G1237" s="21" t="inlineStr">
        <is>
          <t>TOTAL</t>
        </is>
      </c>
    </row>
    <row r="1238" ht="21" customHeight="1">
      <c r="A1238" s="22" t="inlineStr">
        <is>
          <t>00000370</t>
        </is>
      </c>
      <c r="B1238" s="23" t="inlineStr">
        <is>
          <t>AREIA MEDIA - POSTO JAZIDA/FORNECEDOR (RETIRADO NA JAZIDA, SEM TRANSPORTE)</t>
        </is>
      </c>
      <c r="C1238" s="22" t="inlineStr">
        <is>
          <t>SINAPI</t>
        </is>
      </c>
      <c r="D1238" s="22" t="inlineStr">
        <is>
          <t>M3</t>
        </is>
      </c>
      <c r="E1238" s="63" t="n">
        <v>0.8538</v>
      </c>
      <c r="F1238" s="64">
        <f>ROUND(M1238*FATOR, 2)</f>
        <v/>
      </c>
      <c r="G1238" s="64">
        <f>TRUNC(TRUNC(E1238,8)*F1238,2)</f>
        <v/>
      </c>
      <c r="L1238" t="n">
        <v>0.8538</v>
      </c>
      <c r="M1238" t="n">
        <v>130</v>
      </c>
      <c r="N1238">
        <f>(M1238-F1238)</f>
        <v/>
      </c>
    </row>
    <row r="1239" ht="15" customHeight="1">
      <c r="A1239" s="22" t="inlineStr">
        <is>
          <t>00001379</t>
        </is>
      </c>
      <c r="B1239" s="23" t="inlineStr">
        <is>
          <t>CIMENTO PORTLAND COMPOSTO CP II-32</t>
        </is>
      </c>
      <c r="C1239" s="22" t="inlineStr">
        <is>
          <t>SINAPI</t>
        </is>
      </c>
      <c r="D1239" s="22" t="inlineStr">
        <is>
          <t>KG</t>
        </is>
      </c>
      <c r="E1239" s="63" t="n">
        <v>218.93</v>
      </c>
      <c r="F1239" s="64">
        <f>ROUND(M1239*FATOR, 2)</f>
        <v/>
      </c>
      <c r="G1239" s="64">
        <f>TRUNC(TRUNC(E1239,8)*F1239,2)</f>
        <v/>
      </c>
      <c r="L1239" t="n">
        <v>218.93</v>
      </c>
      <c r="M1239" t="n">
        <v>0.74</v>
      </c>
      <c r="N1239">
        <f>(M1239-F1239)</f>
        <v/>
      </c>
    </row>
    <row r="1240" ht="21" customHeight="1">
      <c r="A1240" s="22" t="inlineStr">
        <is>
          <t>00004721</t>
        </is>
      </c>
      <c r="B1240" s="23" t="inlineStr">
        <is>
          <t>PEDRA BRITADA N. 1 (9,5 A 19 MM) POSTO PEDREIRA/FORNECEDOR, SEM FRETE</t>
        </is>
      </c>
      <c r="C1240" s="22" t="inlineStr">
        <is>
          <t>SINAPI</t>
        </is>
      </c>
      <c r="D1240" s="22" t="inlineStr">
        <is>
          <t>M3</t>
        </is>
      </c>
      <c r="E1240" s="63" t="n">
        <v>0.5971</v>
      </c>
      <c r="F1240" s="64">
        <f>ROUND(M1240*FATOR, 2)</f>
        <v/>
      </c>
      <c r="G1240" s="64">
        <f>TRUNC(TRUNC(E1240,8)*F1240,2)</f>
        <v/>
      </c>
      <c r="L1240" t="n">
        <v>0.5971</v>
      </c>
      <c r="M1240" t="n">
        <v>111.01</v>
      </c>
      <c r="N1240">
        <f>(M1240-F1240)</f>
        <v/>
      </c>
    </row>
    <row r="1241" ht="15" customHeight="1">
      <c r="A1241" s="2" t="inlineStr"/>
      <c r="B1241" s="2" t="inlineStr"/>
      <c r="C1241" s="2" t="inlineStr"/>
      <c r="D1241" s="2" t="inlineStr"/>
      <c r="E1241" s="26" t="inlineStr">
        <is>
          <t>TOTAL Material:</t>
        </is>
      </c>
      <c r="F1241" s="56" t="n"/>
      <c r="G1241" s="65">
        <f>SUM(G1238:G1240)</f>
        <v/>
      </c>
    </row>
    <row r="1242" ht="15" customHeight="1">
      <c r="A1242" s="20" t="inlineStr">
        <is>
          <t>Mão de Obra com Encargos Complementares</t>
        </is>
      </c>
      <c r="B1242" s="56" t="n"/>
      <c r="C1242" s="21" t="inlineStr">
        <is>
          <t>FONTE</t>
        </is>
      </c>
      <c r="D1242" s="21" t="inlineStr">
        <is>
          <t>UNID</t>
        </is>
      </c>
      <c r="E1242" s="21" t="inlineStr">
        <is>
          <t>COEFICIENTE</t>
        </is>
      </c>
      <c r="F1242" s="21" t="inlineStr">
        <is>
          <t>PREÇO UNITÁRIO</t>
        </is>
      </c>
      <c r="G1242" s="21" t="inlineStr">
        <is>
          <t>TOTAL</t>
        </is>
      </c>
    </row>
    <row r="1243" ht="15" customHeight="1">
      <c r="A1243" s="22" t="inlineStr">
        <is>
          <t>88316</t>
        </is>
      </c>
      <c r="B1243" s="23" t="inlineStr">
        <is>
          <t>SERVENTE COM ENCARGOS COMPLEMENTARES</t>
        </is>
      </c>
      <c r="C1243" s="22" t="inlineStr">
        <is>
          <t>SINAPI</t>
        </is>
      </c>
      <c r="D1243" s="22" t="inlineStr">
        <is>
          <t>H</t>
        </is>
      </c>
      <c r="E1243" s="63">
        <f>L1243*FATOR</f>
        <v/>
      </c>
      <c r="F1243" s="64">
        <f>'COMPOSICOES AUXILIARES'!G161</f>
        <v/>
      </c>
      <c r="G1243" s="64">
        <f>TRUNC(TRUNC(E1243,8)*F1243,2)</f>
        <v/>
      </c>
      <c r="L1243" t="n">
        <v>6.2858</v>
      </c>
      <c r="M1243" t="n">
        <v>23.56</v>
      </c>
      <c r="N1243">
        <f>(M1243-F1243)</f>
        <v/>
      </c>
    </row>
    <row r="1244" ht="18" customHeight="1">
      <c r="A1244" s="2" t="inlineStr"/>
      <c r="B1244" s="2" t="inlineStr"/>
      <c r="C1244" s="2" t="inlineStr"/>
      <c r="D1244" s="2" t="inlineStr"/>
      <c r="E1244" s="26" t="inlineStr">
        <is>
          <t>TOTAL Mão de Obra com Encargos Complementares:</t>
        </is>
      </c>
      <c r="F1244" s="56" t="n"/>
      <c r="G1244" s="65">
        <f>SUM(G1243:G1243)</f>
        <v/>
      </c>
    </row>
    <row r="1245" ht="15" customHeight="1">
      <c r="A1245" s="2" t="inlineStr"/>
      <c r="B1245" s="2" t="inlineStr"/>
      <c r="C1245" s="2" t="inlineStr"/>
      <c r="D1245" s="2" t="inlineStr"/>
      <c r="E1245" s="28" t="inlineStr">
        <is>
          <t>VALOR:</t>
        </is>
      </c>
      <c r="F1245" s="56" t="n"/>
      <c r="G1245" s="66">
        <f>SUM(G1241,G1244)</f>
        <v/>
      </c>
    </row>
    <row r="1246" ht="15" customHeight="1">
      <c r="A1246" s="2" t="inlineStr"/>
      <c r="B1246" s="2" t="inlineStr"/>
      <c r="C1246" s="2" t="inlineStr"/>
      <c r="D1246" s="2" t="inlineStr"/>
      <c r="E1246" s="28" t="inlineStr">
        <is>
          <t>VALOR BDI (23.08%):</t>
        </is>
      </c>
      <c r="F1246" s="56" t="n"/>
      <c r="G1246" s="66">
        <f>ROUNDDOWN(G1245*BDI,2)</f>
        <v/>
      </c>
    </row>
    <row r="1247" ht="15" customHeight="1">
      <c r="A1247" s="2" t="inlineStr"/>
      <c r="B1247" s="2" t="inlineStr"/>
      <c r="C1247" s="2" t="inlineStr"/>
      <c r="D1247" s="2" t="inlineStr"/>
      <c r="E1247" s="28" t="inlineStr">
        <is>
          <t>VALOR COM BDI:</t>
        </is>
      </c>
      <c r="F1247" s="56" t="n"/>
      <c r="G1247" s="66">
        <f>G1246 + G1245</f>
        <v/>
      </c>
    </row>
    <row r="1248" ht="10" customHeight="1">
      <c r="A1248" s="2" t="inlineStr"/>
      <c r="B1248" s="2" t="inlineStr"/>
      <c r="C1248" s="2" t="inlineStr"/>
      <c r="D1248" s="2" t="inlineStr"/>
      <c r="E1248" s="18" t="inlineStr"/>
    </row>
    <row r="1249" ht="20" customHeight="1">
      <c r="A1249" s="19" t="inlineStr">
        <is>
          <t>​94968​ CONCRETO MAGRO PARA LASTRO, TRAÇO 1:4,5:4,5 (EM MASSA SECA DE CIMENTO/ AREIA MÉDIA/ BRITA 1) - PREPARO MECÂNICO COM BETONEIRA 600 L. AF_05/2021​ (M3)</t>
        </is>
      </c>
      <c r="B1249" s="55" t="n"/>
      <c r="C1249" s="55" t="n"/>
      <c r="D1249" s="55" t="n"/>
      <c r="E1249" s="55" t="n"/>
      <c r="F1249" s="55" t="n"/>
      <c r="G1249" s="56" t="n"/>
    </row>
    <row r="1250" ht="15" customHeight="1">
      <c r="A1250" s="20" t="inlineStr">
        <is>
          <t>Equipamento Custo Horário</t>
        </is>
      </c>
      <c r="B1250" s="56" t="n"/>
      <c r="C1250" s="21" t="inlineStr">
        <is>
          <t>FONTE</t>
        </is>
      </c>
      <c r="D1250" s="21" t="inlineStr">
        <is>
          <t>UNID</t>
        </is>
      </c>
      <c r="E1250" s="21" t="inlineStr">
        <is>
          <t>COEFICIENTE</t>
        </is>
      </c>
      <c r="F1250" s="21" t="inlineStr">
        <is>
          <t>PREÇO UNITÁRIO</t>
        </is>
      </c>
      <c r="G1250" s="21" t="inlineStr">
        <is>
          <t>TOTAL</t>
        </is>
      </c>
    </row>
    <row r="1251" ht="38" customHeight="1">
      <c r="A1251" s="22" t="inlineStr">
        <is>
          <t>89226</t>
        </is>
      </c>
      <c r="B1251" s="23" t="inlineStr">
        <is>
          <t>BETONEIRA CAPACIDADE NOMINAL DE 600 L, CAPACIDADE DE MISTURA 360 L, MOTOR ELÉTRICO TRIFÁSICO POTÊNCIA DE 4 CV, SEM CARREGADOR - CHI DIURNO. AF_05/2023</t>
        </is>
      </c>
      <c r="C1251" s="22" t="inlineStr">
        <is>
          <t>SINAPI</t>
        </is>
      </c>
      <c r="D1251" s="22" t="inlineStr">
        <is>
          <t>CHI</t>
        </is>
      </c>
      <c r="E1251" s="63" t="n">
        <v>0.6462</v>
      </c>
      <c r="F1251" s="64">
        <f>'COMPOSICOES AUXILIARES'!G235</f>
        <v/>
      </c>
      <c r="G1251" s="64">
        <f>TRUNC(TRUNC(E1251,8)*F1251,2)</f>
        <v/>
      </c>
      <c r="L1251" t="n">
        <v>0.6462</v>
      </c>
      <c r="M1251" t="n">
        <v>1.68</v>
      </c>
      <c r="N1251">
        <f>(M1251-F1251)</f>
        <v/>
      </c>
    </row>
    <row r="1252" ht="38" customHeight="1">
      <c r="A1252" s="22" t="inlineStr">
        <is>
          <t>89225</t>
        </is>
      </c>
      <c r="B1252" s="23" t="inlineStr">
        <is>
          <t>BETONEIRA CAPACIDADE NOMINAL DE 600 L, CAPACIDADE DE MISTURA 360 L, MOTOR ELÉTRICO TRIFÁSICO POTÊNCIA DE 4 CV, SEM CARREGADOR - CHP DIURNO. AF_05/2023</t>
        </is>
      </c>
      <c r="C1252" s="22" t="inlineStr">
        <is>
          <t>SINAPI</t>
        </is>
      </c>
      <c r="D1252" s="22" t="inlineStr">
        <is>
          <t>CHP</t>
        </is>
      </c>
      <c r="E1252" s="63" t="n">
        <v>0.6853</v>
      </c>
      <c r="F1252" s="64">
        <f>'COMPOSICOES AUXILIARES'!G235</f>
        <v/>
      </c>
      <c r="G1252" s="64">
        <f>TRUNC(TRUNC(E1252,8)*F1252,2)</f>
        <v/>
      </c>
      <c r="L1252" t="n">
        <v>0.6853</v>
      </c>
      <c r="M1252" t="n">
        <v>5.7</v>
      </c>
      <c r="N1252">
        <f>(M1252-F1252)</f>
        <v/>
      </c>
    </row>
    <row r="1253" ht="18" customHeight="1">
      <c r="A1253" s="2" t="inlineStr"/>
      <c r="B1253" s="2" t="inlineStr"/>
      <c r="C1253" s="2" t="inlineStr"/>
      <c r="D1253" s="2" t="inlineStr"/>
      <c r="E1253" s="26" t="inlineStr">
        <is>
          <t>TOTAL Equipamento Custo Horário:</t>
        </is>
      </c>
      <c r="F1253" s="56" t="n"/>
      <c r="G1253" s="65">
        <f>SUM(G1251:G1252)</f>
        <v/>
      </c>
    </row>
    <row r="1254" ht="15" customHeight="1">
      <c r="A1254" s="20" t="inlineStr">
        <is>
          <t>Material</t>
        </is>
      </c>
      <c r="B1254" s="56" t="n"/>
      <c r="C1254" s="21" t="inlineStr">
        <is>
          <t>FONTE</t>
        </is>
      </c>
      <c r="D1254" s="21" t="inlineStr">
        <is>
          <t>UNID</t>
        </is>
      </c>
      <c r="E1254" s="21" t="inlineStr">
        <is>
          <t>COEFICIENTE</t>
        </is>
      </c>
      <c r="F1254" s="21" t="inlineStr">
        <is>
          <t>PREÇO UNITÁRIO</t>
        </is>
      </c>
      <c r="G1254" s="21" t="inlineStr">
        <is>
          <t>TOTAL</t>
        </is>
      </c>
    </row>
    <row r="1255" ht="21" customHeight="1">
      <c r="A1255" s="22" t="inlineStr">
        <is>
          <t>00000370</t>
        </is>
      </c>
      <c r="B1255" s="23" t="inlineStr">
        <is>
          <t>AREIA MEDIA - POSTO JAZIDA/FORNECEDOR (RETIRADO NA JAZIDA, SEM TRANSPORTE)</t>
        </is>
      </c>
      <c r="C1255" s="22" t="inlineStr">
        <is>
          <t>SINAPI</t>
        </is>
      </c>
      <c r="D1255" s="22" t="inlineStr">
        <is>
          <t>M3</t>
        </is>
      </c>
      <c r="E1255" s="63" t="n">
        <v>0.8325</v>
      </c>
      <c r="F1255" s="64">
        <f>ROUND(M1255*FATOR, 2)</f>
        <v/>
      </c>
      <c r="G1255" s="64">
        <f>TRUNC(TRUNC(E1255,8)*F1255,2)</f>
        <v/>
      </c>
      <c r="L1255" t="n">
        <v>0.8325</v>
      </c>
      <c r="M1255" t="n">
        <v>130</v>
      </c>
      <c r="N1255">
        <f>(M1255-F1255)</f>
        <v/>
      </c>
    </row>
    <row r="1256" ht="15" customHeight="1">
      <c r="A1256" s="22" t="inlineStr">
        <is>
          <t>00001379</t>
        </is>
      </c>
      <c r="B1256" s="23" t="inlineStr">
        <is>
          <t>CIMENTO PORTLAND COMPOSTO CP II-32</t>
        </is>
      </c>
      <c r="C1256" s="22" t="inlineStr">
        <is>
          <t>SINAPI</t>
        </is>
      </c>
      <c r="D1256" s="22" t="inlineStr">
        <is>
          <t>KG</t>
        </is>
      </c>
      <c r="E1256" s="63" t="n">
        <v>213.4531</v>
      </c>
      <c r="F1256" s="64">
        <f>ROUND(M1256*FATOR, 2)</f>
        <v/>
      </c>
      <c r="G1256" s="64">
        <f>TRUNC(TRUNC(E1256,8)*F1256,2)</f>
        <v/>
      </c>
      <c r="L1256" t="n">
        <v>213.4531</v>
      </c>
      <c r="M1256" t="n">
        <v>0.74</v>
      </c>
      <c r="N1256">
        <f>(M1256-F1256)</f>
        <v/>
      </c>
    </row>
    <row r="1257" ht="21" customHeight="1">
      <c r="A1257" s="22" t="inlineStr">
        <is>
          <t>00004721</t>
        </is>
      </c>
      <c r="B1257" s="23" t="inlineStr">
        <is>
          <t>PEDRA BRITADA N. 1 (9,5 A 19 MM) POSTO PEDREIRA/FORNECEDOR, SEM FRETE</t>
        </is>
      </c>
      <c r="C1257" s="22" t="inlineStr">
        <is>
          <t>SINAPI</t>
        </is>
      </c>
      <c r="D1257" s="22" t="inlineStr">
        <is>
          <t>M3</t>
        </is>
      </c>
      <c r="E1257" s="63" t="n">
        <v>0.5821</v>
      </c>
      <c r="F1257" s="64">
        <f>ROUND(M1257*FATOR, 2)</f>
        <v/>
      </c>
      <c r="G1257" s="64">
        <f>TRUNC(TRUNC(E1257,8)*F1257,2)</f>
        <v/>
      </c>
      <c r="L1257" t="n">
        <v>0.5821</v>
      </c>
      <c r="M1257" t="n">
        <v>111.01</v>
      </c>
      <c r="N1257">
        <f>(M1257-F1257)</f>
        <v/>
      </c>
    </row>
    <row r="1258" ht="15" customHeight="1">
      <c r="A1258" s="2" t="inlineStr"/>
      <c r="B1258" s="2" t="inlineStr"/>
      <c r="C1258" s="2" t="inlineStr"/>
      <c r="D1258" s="2" t="inlineStr"/>
      <c r="E1258" s="26" t="inlineStr">
        <is>
          <t>TOTAL Material:</t>
        </is>
      </c>
      <c r="F1258" s="56" t="n"/>
      <c r="G1258" s="65">
        <f>SUM(G1255:G1257)</f>
        <v/>
      </c>
    </row>
    <row r="1259" ht="15" customHeight="1">
      <c r="A1259" s="20" t="inlineStr">
        <is>
          <t>Mão de Obra com Encargos Complementares</t>
        </is>
      </c>
      <c r="B1259" s="56" t="n"/>
      <c r="C1259" s="21" t="inlineStr">
        <is>
          <t>FONTE</t>
        </is>
      </c>
      <c r="D1259" s="21" t="inlineStr">
        <is>
          <t>UNID</t>
        </is>
      </c>
      <c r="E1259" s="21" t="inlineStr">
        <is>
          <t>COEFICIENTE</t>
        </is>
      </c>
      <c r="F1259" s="21" t="inlineStr">
        <is>
          <t>PREÇO UNITÁRIO</t>
        </is>
      </c>
      <c r="G1259" s="21" t="inlineStr">
        <is>
          <t>TOTAL</t>
        </is>
      </c>
    </row>
    <row r="1260" ht="21" customHeight="1">
      <c r="A1260" s="22" t="inlineStr">
        <is>
          <t>88377</t>
        </is>
      </c>
      <c r="B1260" s="23" t="inlineStr">
        <is>
          <t>OPERADOR DE BETONEIRA ESTACIONÁRIA/MISTURADOR COM ENCARGOS COMPLEMENTARES</t>
        </is>
      </c>
      <c r="C1260" s="22" t="inlineStr">
        <is>
          <t>SINAPI</t>
        </is>
      </c>
      <c r="D1260" s="22" t="inlineStr">
        <is>
          <t>H</t>
        </is>
      </c>
      <c r="E1260" s="63">
        <f>L1260*FATOR</f>
        <v/>
      </c>
      <c r="F1260" s="64">
        <f>'COMPOSICOES AUXILIARES'!G150</f>
        <v/>
      </c>
      <c r="G1260" s="64">
        <f>TRUNC(TRUNC(E1260,8)*F1260,2)</f>
        <v/>
      </c>
      <c r="L1260" t="n">
        <v>1.3315</v>
      </c>
      <c r="M1260" t="n">
        <v>29.43</v>
      </c>
      <c r="N1260">
        <f>(M1260-F1260)</f>
        <v/>
      </c>
    </row>
    <row r="1261" ht="15" customHeight="1">
      <c r="A1261" s="22" t="inlineStr">
        <is>
          <t>88316</t>
        </is>
      </c>
      <c r="B1261" s="23" t="inlineStr">
        <is>
          <t>SERVENTE COM ENCARGOS COMPLEMENTARES</t>
        </is>
      </c>
      <c r="C1261" s="22" t="inlineStr">
        <is>
          <t>SINAPI</t>
        </is>
      </c>
      <c r="D1261" s="22" t="inlineStr">
        <is>
          <t>H</t>
        </is>
      </c>
      <c r="E1261" s="63">
        <f>L1261*FATOR</f>
        <v/>
      </c>
      <c r="F1261" s="64">
        <f>'COMPOSICOES AUXILIARES'!G161</f>
        <v/>
      </c>
      <c r="G1261" s="64">
        <f>TRUNC(TRUNC(E1261,8)*F1261,2)</f>
        <v/>
      </c>
      <c r="L1261" t="n">
        <v>2.1058</v>
      </c>
      <c r="M1261" t="n">
        <v>23.56</v>
      </c>
      <c r="N1261">
        <f>(M1261-F1261)</f>
        <v/>
      </c>
    </row>
    <row r="1262" ht="18" customHeight="1">
      <c r="A1262" s="2" t="inlineStr"/>
      <c r="B1262" s="2" t="inlineStr"/>
      <c r="C1262" s="2" t="inlineStr"/>
      <c r="D1262" s="2" t="inlineStr"/>
      <c r="E1262" s="26" t="inlineStr">
        <is>
          <t>TOTAL Mão de Obra com Encargos Complementares:</t>
        </is>
      </c>
      <c r="F1262" s="56" t="n"/>
      <c r="G1262" s="65">
        <f>SUM(G1260:G1261)</f>
        <v/>
      </c>
    </row>
    <row r="1263" ht="15" customHeight="1">
      <c r="A1263" s="2" t="inlineStr"/>
      <c r="B1263" s="2" t="inlineStr"/>
      <c r="C1263" s="2" t="inlineStr"/>
      <c r="D1263" s="2" t="inlineStr"/>
      <c r="E1263" s="28" t="inlineStr">
        <is>
          <t>VALOR:</t>
        </is>
      </c>
      <c r="F1263" s="56" t="n"/>
      <c r="G1263" s="66">
        <f>SUM(G1258,G1253,G1262)</f>
        <v/>
      </c>
    </row>
    <row r="1264" ht="15" customHeight="1">
      <c r="A1264" s="2" t="inlineStr"/>
      <c r="B1264" s="2" t="inlineStr"/>
      <c r="C1264" s="2" t="inlineStr"/>
      <c r="D1264" s="2" t="inlineStr"/>
      <c r="E1264" s="28" t="inlineStr">
        <is>
          <t>VALOR BDI (23.08%):</t>
        </is>
      </c>
      <c r="F1264" s="56" t="n"/>
      <c r="G1264" s="66">
        <f>ROUNDDOWN(G1263*BDI,2)</f>
        <v/>
      </c>
    </row>
    <row r="1265" ht="15" customHeight="1">
      <c r="A1265" s="2" t="inlineStr"/>
      <c r="B1265" s="2" t="inlineStr"/>
      <c r="C1265" s="2" t="inlineStr"/>
      <c r="D1265" s="2" t="inlineStr"/>
      <c r="E1265" s="28" t="inlineStr">
        <is>
          <t>VALOR COM BDI:</t>
        </is>
      </c>
      <c r="F1265" s="56" t="n"/>
      <c r="G1265" s="66">
        <f>G1264 + G1263</f>
        <v/>
      </c>
    </row>
    <row r="1266" ht="10" customHeight="1">
      <c r="A1266" s="2" t="inlineStr"/>
      <c r="B1266" s="2" t="inlineStr"/>
      <c r="C1266" s="2" t="inlineStr"/>
      <c r="D1266" s="2" t="inlineStr"/>
      <c r="E1266" s="18" t="inlineStr"/>
    </row>
    <row r="1267" ht="20" customHeight="1">
      <c r="A1267" s="19" t="inlineStr">
        <is>
          <t>​C0836​ CONCRETO NÃO ESTRUTURAL PREPARO MANUAL​ (M3)</t>
        </is>
      </c>
      <c r="B1267" s="55" t="n"/>
      <c r="C1267" s="55" t="n"/>
      <c r="D1267" s="55" t="n"/>
      <c r="E1267" s="55" t="n"/>
      <c r="F1267" s="55" t="n"/>
      <c r="G1267" s="56" t="n"/>
    </row>
    <row r="1268" ht="15" customHeight="1">
      <c r="A1268" s="20" t="inlineStr">
        <is>
          <t>Material</t>
        </is>
      </c>
      <c r="B1268" s="56" t="n"/>
      <c r="C1268" s="21" t="inlineStr">
        <is>
          <t>FONTE</t>
        </is>
      </c>
      <c r="D1268" s="21" t="inlineStr">
        <is>
          <t>UNID</t>
        </is>
      </c>
      <c r="E1268" s="21" t="inlineStr">
        <is>
          <t>COEFICIENTE</t>
        </is>
      </c>
      <c r="F1268" s="21" t="inlineStr">
        <is>
          <t>PREÇO UNITÁRIO</t>
        </is>
      </c>
      <c r="G1268" s="21" t="inlineStr">
        <is>
          <t>TOTAL</t>
        </is>
      </c>
    </row>
    <row r="1269" ht="15" customHeight="1">
      <c r="A1269" s="22" t="inlineStr">
        <is>
          <t>I0109</t>
        </is>
      </c>
      <c r="B1269" s="23" t="inlineStr">
        <is>
          <t>AREIA MEDIA</t>
        </is>
      </c>
      <c r="C1269" s="22" t="inlineStr">
        <is>
          <t>SEINFRA</t>
        </is>
      </c>
      <c r="D1269" s="22" t="inlineStr">
        <is>
          <t>M3</t>
        </is>
      </c>
      <c r="E1269" s="63" t="n">
        <v>0.778</v>
      </c>
      <c r="F1269" s="67">
        <f>ROUND(M1269*FATOR, 2)</f>
        <v/>
      </c>
      <c r="G1269" s="67">
        <f>ROUND(ROUND(E1269,8)*F1269,4)</f>
        <v/>
      </c>
      <c r="L1269" t="n">
        <v>0.778</v>
      </c>
      <c r="M1269" t="n">
        <v>83.58</v>
      </c>
      <c r="N1269">
        <f>(M1269-F1269)</f>
        <v/>
      </c>
    </row>
    <row r="1270" ht="15" customHeight="1">
      <c r="A1270" s="22" t="inlineStr">
        <is>
          <t>I0280</t>
        </is>
      </c>
      <c r="B1270" s="23" t="inlineStr">
        <is>
          <t>BRITA</t>
        </is>
      </c>
      <c r="C1270" s="22" t="inlineStr">
        <is>
          <t>SEINFRA</t>
        </is>
      </c>
      <c r="D1270" s="22" t="inlineStr">
        <is>
          <t>M3</t>
        </is>
      </c>
      <c r="E1270" s="63" t="n">
        <v>0.9658</v>
      </c>
      <c r="F1270" s="67">
        <f>ROUND(M1270*FATOR, 2)</f>
        <v/>
      </c>
      <c r="G1270" s="67">
        <f>ROUND(ROUND(E1270,8)*F1270,4)</f>
        <v/>
      </c>
      <c r="L1270" t="n">
        <v>0.9658</v>
      </c>
      <c r="M1270" t="n">
        <v>100.5</v>
      </c>
      <c r="N1270">
        <f>(M1270-F1270)</f>
        <v/>
      </c>
    </row>
    <row r="1271" ht="15" customHeight="1">
      <c r="A1271" s="22" t="inlineStr">
        <is>
          <t>I0805</t>
        </is>
      </c>
      <c r="B1271" s="23" t="inlineStr">
        <is>
          <t>CIMENTO PORTLAND</t>
        </is>
      </c>
      <c r="C1271" s="22" t="inlineStr">
        <is>
          <t>SEINFRA</t>
        </is>
      </c>
      <c r="D1271" s="22" t="inlineStr">
        <is>
          <t>KG</t>
        </is>
      </c>
      <c r="E1271" s="63" t="n">
        <v>220</v>
      </c>
      <c r="F1271" s="67">
        <f>ROUND(M1271*FATOR, 2)</f>
        <v/>
      </c>
      <c r="G1271" s="67">
        <f>ROUND(ROUND(E1271,8)*F1271,4)</f>
        <v/>
      </c>
      <c r="L1271" t="n">
        <v>220</v>
      </c>
      <c r="M1271" t="n">
        <v>0.71</v>
      </c>
      <c r="N1271">
        <f>(M1271-F1271)</f>
        <v/>
      </c>
    </row>
    <row r="1272" ht="15" customHeight="1">
      <c r="A1272" s="2" t="inlineStr"/>
      <c r="B1272" s="2" t="inlineStr"/>
      <c r="C1272" s="2" t="inlineStr"/>
      <c r="D1272" s="2" t="inlineStr"/>
      <c r="E1272" s="26" t="inlineStr">
        <is>
          <t>TOTAL Material:</t>
        </is>
      </c>
      <c r="F1272" s="56" t="n"/>
      <c r="G1272" s="68">
        <f>SUM(G1269:G1271)</f>
        <v/>
      </c>
    </row>
    <row r="1273" ht="15" customHeight="1">
      <c r="A1273" s="20" t="inlineStr">
        <is>
          <t>Mão de Obra</t>
        </is>
      </c>
      <c r="B1273" s="56" t="n"/>
      <c r="C1273" s="21" t="inlineStr">
        <is>
          <t>FONTE</t>
        </is>
      </c>
      <c r="D1273" s="21" t="inlineStr">
        <is>
          <t>UNID</t>
        </is>
      </c>
      <c r="E1273" s="21" t="inlineStr">
        <is>
          <t>COEFICIENTE</t>
        </is>
      </c>
      <c r="F1273" s="21" t="inlineStr">
        <is>
          <t>PREÇO UNITÁRIO</t>
        </is>
      </c>
      <c r="G1273" s="21" t="inlineStr">
        <is>
          <t>TOTAL</t>
        </is>
      </c>
    </row>
    <row r="1274" ht="15" customHeight="1">
      <c r="A1274" s="22" t="inlineStr">
        <is>
          <t>I2543</t>
        </is>
      </c>
      <c r="B1274" s="23" t="inlineStr">
        <is>
          <t>SERVENTE</t>
        </is>
      </c>
      <c r="C1274" s="22" t="inlineStr">
        <is>
          <t>SEINFRA</t>
        </is>
      </c>
      <c r="D1274" s="22" t="inlineStr">
        <is>
          <t>H</t>
        </is>
      </c>
      <c r="E1274" s="63">
        <f>L1274*FATOR</f>
        <v/>
      </c>
      <c r="F1274" s="67" t="n">
        <v>20.26</v>
      </c>
      <c r="G1274" s="67">
        <f>ROUND(ROUND(E1274,8)*F1274,4)</f>
        <v/>
      </c>
      <c r="L1274" t="n">
        <v>10</v>
      </c>
      <c r="M1274" t="n">
        <v>20.26</v>
      </c>
      <c r="N1274">
        <f>(M1274-F1274)</f>
        <v/>
      </c>
    </row>
    <row r="1275" ht="15" customHeight="1">
      <c r="A1275" s="2" t="inlineStr"/>
      <c r="B1275" s="2" t="inlineStr"/>
      <c r="C1275" s="2" t="inlineStr"/>
      <c r="D1275" s="2" t="inlineStr"/>
      <c r="E1275" s="26" t="inlineStr">
        <is>
          <t>TOTAL Mão de Obra:</t>
        </is>
      </c>
      <c r="F1275" s="56" t="n"/>
      <c r="G1275" s="68">
        <f>SUM(G1274:G1274)</f>
        <v/>
      </c>
    </row>
    <row r="1276" ht="15" customHeight="1">
      <c r="A1276" s="2" t="inlineStr"/>
      <c r="B1276" s="2" t="inlineStr"/>
      <c r="C1276" s="2" t="inlineStr"/>
      <c r="D1276" s="2" t="inlineStr"/>
      <c r="E1276" s="28" t="inlineStr">
        <is>
          <t>VALOR:</t>
        </is>
      </c>
      <c r="F1276" s="56" t="n"/>
      <c r="G1276" s="66">
        <f>SUM(G1272,G1275)</f>
        <v/>
      </c>
    </row>
    <row r="1277" ht="15" customHeight="1">
      <c r="A1277" s="2" t="inlineStr"/>
      <c r="B1277" s="2" t="inlineStr"/>
      <c r="C1277" s="2" t="inlineStr"/>
      <c r="D1277" s="2" t="inlineStr"/>
      <c r="E1277" s="28" t="inlineStr">
        <is>
          <t>VALOR BDI (23.08%):</t>
        </is>
      </c>
      <c r="F1277" s="56" t="n"/>
      <c r="G1277" s="66">
        <f>ROUNDDOWN(G1276*BDI,2)</f>
        <v/>
      </c>
    </row>
    <row r="1278" ht="15" customHeight="1">
      <c r="A1278" s="2" t="inlineStr"/>
      <c r="B1278" s="2" t="inlineStr"/>
      <c r="C1278" s="2" t="inlineStr"/>
      <c r="D1278" s="2" t="inlineStr"/>
      <c r="E1278" s="28" t="inlineStr">
        <is>
          <t>VALOR COM BDI:</t>
        </is>
      </c>
      <c r="F1278" s="56" t="n"/>
      <c r="G1278" s="66">
        <f>G1277 + G1276</f>
        <v/>
      </c>
    </row>
    <row r="1279" ht="10" customHeight="1">
      <c r="A1279" s="2" t="inlineStr"/>
      <c r="B1279" s="2" t="inlineStr"/>
      <c r="C1279" s="2" t="inlineStr"/>
      <c r="D1279" s="2" t="inlineStr"/>
      <c r="E1279" s="18" t="inlineStr"/>
    </row>
    <row r="1280" ht="20" customHeight="1">
      <c r="A1280" s="19" t="inlineStr">
        <is>
          <t>​C0840​ CONCRETO P/VIBR., FCK 15 MPa COM AGREGADO ADQUIRIDO​ (M3)</t>
        </is>
      </c>
      <c r="B1280" s="55" t="n"/>
      <c r="C1280" s="55" t="n"/>
      <c r="D1280" s="55" t="n"/>
      <c r="E1280" s="55" t="n"/>
      <c r="F1280" s="55" t="n"/>
      <c r="G1280" s="56" t="n"/>
    </row>
    <row r="1281" ht="15" customHeight="1">
      <c r="A1281" s="20" t="inlineStr">
        <is>
          <t>Equipamento Custo Horário</t>
        </is>
      </c>
      <c r="B1281" s="56" t="n"/>
      <c r="C1281" s="21" t="inlineStr">
        <is>
          <t>FONTE</t>
        </is>
      </c>
      <c r="D1281" s="21" t="inlineStr">
        <is>
          <t>UNID</t>
        </is>
      </c>
      <c r="E1281" s="21" t="inlineStr">
        <is>
          <t>COEFICIENTE</t>
        </is>
      </c>
      <c r="F1281" s="21" t="inlineStr">
        <is>
          <t>PREÇO UNITÁRIO</t>
        </is>
      </c>
      <c r="G1281" s="21" t="inlineStr">
        <is>
          <t>TOTAL</t>
        </is>
      </c>
    </row>
    <row r="1282" ht="15" customHeight="1">
      <c r="A1282" s="22" t="inlineStr">
        <is>
          <t>I0682</t>
        </is>
      </c>
      <c r="B1282" s="23" t="inlineStr">
        <is>
          <t>BETONEIRA ELÉTRICA 580L (CHP)</t>
        </is>
      </c>
      <c r="C1282" s="22" t="inlineStr">
        <is>
          <t>SEINFRA</t>
        </is>
      </c>
      <c r="D1282" s="22" t="inlineStr">
        <is>
          <t>H</t>
        </is>
      </c>
      <c r="E1282" s="63" t="n">
        <v>0.714</v>
      </c>
      <c r="F1282" s="67">
        <f>'COMPOSICOES AUXILIARES'!G677</f>
        <v/>
      </c>
      <c r="G1282" s="67">
        <f>ROUND(ROUND(E1282,8)*F1282,4)</f>
        <v/>
      </c>
      <c r="L1282" t="n">
        <v>0.714</v>
      </c>
      <c r="M1282" t="n">
        <v>27.597</v>
      </c>
      <c r="N1282">
        <f>(M1282-F1282)</f>
        <v/>
      </c>
    </row>
    <row r="1283" ht="18" customHeight="1">
      <c r="A1283" s="2" t="inlineStr"/>
      <c r="B1283" s="2" t="inlineStr"/>
      <c r="C1283" s="2" t="inlineStr"/>
      <c r="D1283" s="2" t="inlineStr"/>
      <c r="E1283" s="26" t="inlineStr">
        <is>
          <t>TOTAL Equipamento Custo Horário:</t>
        </is>
      </c>
      <c r="F1283" s="56" t="n"/>
      <c r="G1283" s="68">
        <f>SUM(G1282:G1282)</f>
        <v/>
      </c>
    </row>
    <row r="1284" ht="15" customHeight="1">
      <c r="A1284" s="20" t="inlineStr">
        <is>
          <t>Material</t>
        </is>
      </c>
      <c r="B1284" s="56" t="n"/>
      <c r="C1284" s="21" t="inlineStr">
        <is>
          <t>FONTE</t>
        </is>
      </c>
      <c r="D1284" s="21" t="inlineStr">
        <is>
          <t>UNID</t>
        </is>
      </c>
      <c r="E1284" s="21" t="inlineStr">
        <is>
          <t>COEFICIENTE</t>
        </is>
      </c>
      <c r="F1284" s="21" t="inlineStr">
        <is>
          <t>PREÇO UNITÁRIO</t>
        </is>
      </c>
      <c r="G1284" s="21" t="inlineStr">
        <is>
          <t>TOTAL</t>
        </is>
      </c>
    </row>
    <row r="1285" ht="15" customHeight="1">
      <c r="A1285" s="22" t="inlineStr">
        <is>
          <t>I0109</t>
        </is>
      </c>
      <c r="B1285" s="23" t="inlineStr">
        <is>
          <t>AREIA MEDIA</t>
        </is>
      </c>
      <c r="C1285" s="22" t="inlineStr">
        <is>
          <t>SEINFRA</t>
        </is>
      </c>
      <c r="D1285" s="22" t="inlineStr">
        <is>
          <t>M3</t>
        </is>
      </c>
      <c r="E1285" s="63" t="n">
        <v>0.8872</v>
      </c>
      <c r="F1285" s="67">
        <f>ROUND(M1285*FATOR, 2)</f>
        <v/>
      </c>
      <c r="G1285" s="67">
        <f>ROUND(ROUND(E1285,8)*F1285,4)</f>
        <v/>
      </c>
      <c r="L1285" t="n">
        <v>0.8872</v>
      </c>
      <c r="M1285" t="n">
        <v>83.58</v>
      </c>
      <c r="N1285">
        <f>(M1285-F1285)</f>
        <v/>
      </c>
    </row>
    <row r="1286" ht="15" customHeight="1">
      <c r="A1286" s="22" t="inlineStr">
        <is>
          <t>I0805</t>
        </is>
      </c>
      <c r="B1286" s="23" t="inlineStr">
        <is>
          <t>CIMENTO PORTLAND</t>
        </is>
      </c>
      <c r="C1286" s="22" t="inlineStr">
        <is>
          <t>SEINFRA</t>
        </is>
      </c>
      <c r="D1286" s="22" t="inlineStr">
        <is>
          <t>KG</t>
        </is>
      </c>
      <c r="E1286" s="63" t="n">
        <v>294</v>
      </c>
      <c r="F1286" s="67">
        <f>ROUND(M1286*FATOR, 2)</f>
        <v/>
      </c>
      <c r="G1286" s="67">
        <f>ROUND(ROUND(E1286,8)*F1286,4)</f>
        <v/>
      </c>
      <c r="L1286" t="n">
        <v>294</v>
      </c>
      <c r="M1286" t="n">
        <v>0.71</v>
      </c>
      <c r="N1286">
        <f>(M1286-F1286)</f>
        <v/>
      </c>
    </row>
    <row r="1287" ht="15" customHeight="1">
      <c r="A1287" s="22" t="inlineStr">
        <is>
          <t>I1605</t>
        </is>
      </c>
      <c r="B1287" s="23" t="inlineStr">
        <is>
          <t>PEDRISCO</t>
        </is>
      </c>
      <c r="C1287" s="22" t="inlineStr">
        <is>
          <t>SEINFRA</t>
        </is>
      </c>
      <c r="D1287" s="22" t="inlineStr">
        <is>
          <t>M3</t>
        </is>
      </c>
      <c r="E1287" s="63" t="n">
        <v>0.836</v>
      </c>
      <c r="F1287" s="67">
        <f>ROUND(M1287*FATOR, 2)</f>
        <v/>
      </c>
      <c r="G1287" s="67">
        <f>ROUND(ROUND(E1287,8)*F1287,4)</f>
        <v/>
      </c>
      <c r="L1287" t="n">
        <v>0.836</v>
      </c>
      <c r="M1287" t="n">
        <v>100.5</v>
      </c>
      <c r="N1287">
        <f>(M1287-F1287)</f>
        <v/>
      </c>
    </row>
    <row r="1288" ht="15" customHeight="1">
      <c r="A1288" s="2" t="inlineStr"/>
      <c r="B1288" s="2" t="inlineStr"/>
      <c r="C1288" s="2" t="inlineStr"/>
      <c r="D1288" s="2" t="inlineStr"/>
      <c r="E1288" s="26" t="inlineStr">
        <is>
          <t>TOTAL Material:</t>
        </is>
      </c>
      <c r="F1288" s="56" t="n"/>
      <c r="G1288" s="68">
        <f>SUM(G1285:G1287)</f>
        <v/>
      </c>
    </row>
    <row r="1289" ht="15" customHeight="1">
      <c r="A1289" s="20" t="inlineStr">
        <is>
          <t>Mão de Obra</t>
        </is>
      </c>
      <c r="B1289" s="56" t="n"/>
      <c r="C1289" s="21" t="inlineStr">
        <is>
          <t>FONTE</t>
        </is>
      </c>
      <c r="D1289" s="21" t="inlineStr">
        <is>
          <t>UNID</t>
        </is>
      </c>
      <c r="E1289" s="21" t="inlineStr">
        <is>
          <t>COEFICIENTE</t>
        </is>
      </c>
      <c r="F1289" s="21" t="inlineStr">
        <is>
          <t>PREÇO UNITÁRIO</t>
        </is>
      </c>
      <c r="G1289" s="21" t="inlineStr">
        <is>
          <t>TOTAL</t>
        </is>
      </c>
    </row>
    <row r="1290" ht="15" customHeight="1">
      <c r="A1290" s="22" t="inlineStr">
        <is>
          <t>I2543</t>
        </is>
      </c>
      <c r="B1290" s="23" t="inlineStr">
        <is>
          <t>SERVENTE</t>
        </is>
      </c>
      <c r="C1290" s="22" t="inlineStr">
        <is>
          <t>SEINFRA</t>
        </is>
      </c>
      <c r="D1290" s="22" t="inlineStr">
        <is>
          <t>H</t>
        </is>
      </c>
      <c r="E1290" s="63">
        <f>L1290*FATOR</f>
        <v/>
      </c>
      <c r="F1290" s="67" t="n">
        <v>20.26</v>
      </c>
      <c r="G1290" s="67">
        <f>ROUND(ROUND(E1290,8)*F1290,4)</f>
        <v/>
      </c>
      <c r="L1290" t="n">
        <v>6</v>
      </c>
      <c r="M1290" t="n">
        <v>20.26</v>
      </c>
      <c r="N1290">
        <f>(M1290-F1290)</f>
        <v/>
      </c>
    </row>
    <row r="1291" ht="15" customHeight="1">
      <c r="A1291" s="2" t="inlineStr"/>
      <c r="B1291" s="2" t="inlineStr"/>
      <c r="C1291" s="2" t="inlineStr"/>
      <c r="D1291" s="2" t="inlineStr"/>
      <c r="E1291" s="26" t="inlineStr">
        <is>
          <t>TOTAL Mão de Obra:</t>
        </is>
      </c>
      <c r="F1291" s="56" t="n"/>
      <c r="G1291" s="68">
        <f>SUM(G1290:G1290)</f>
        <v/>
      </c>
    </row>
    <row r="1292" ht="15" customHeight="1">
      <c r="A1292" s="2" t="inlineStr"/>
      <c r="B1292" s="2" t="inlineStr"/>
      <c r="C1292" s="2" t="inlineStr"/>
      <c r="D1292" s="2" t="inlineStr"/>
      <c r="E1292" s="28" t="inlineStr">
        <is>
          <t>VALOR:</t>
        </is>
      </c>
      <c r="F1292" s="56" t="n"/>
      <c r="G1292" s="66">
        <f>SUM(G1288,G1283,G1291)</f>
        <v/>
      </c>
    </row>
    <row r="1293" ht="15" customHeight="1">
      <c r="A1293" s="2" t="inlineStr"/>
      <c r="B1293" s="2" t="inlineStr"/>
      <c r="C1293" s="2" t="inlineStr"/>
      <c r="D1293" s="2" t="inlineStr"/>
      <c r="E1293" s="28" t="inlineStr">
        <is>
          <t>VALOR BDI (23.08%):</t>
        </is>
      </c>
      <c r="F1293" s="56" t="n"/>
      <c r="G1293" s="66">
        <f>ROUNDDOWN(G1292*BDI,2)</f>
        <v/>
      </c>
    </row>
    <row r="1294" ht="15" customHeight="1">
      <c r="A1294" s="2" t="inlineStr"/>
      <c r="B1294" s="2" t="inlineStr"/>
      <c r="C1294" s="2" t="inlineStr"/>
      <c r="D1294" s="2" t="inlineStr"/>
      <c r="E1294" s="28" t="inlineStr">
        <is>
          <t>VALOR COM BDI:</t>
        </is>
      </c>
      <c r="F1294" s="56" t="n"/>
      <c r="G1294" s="66">
        <f>G1293 + G1292</f>
        <v/>
      </c>
    </row>
    <row r="1295" ht="10" customHeight="1">
      <c r="A1295" s="2" t="inlineStr"/>
      <c r="B1295" s="2" t="inlineStr"/>
      <c r="C1295" s="2" t="inlineStr"/>
      <c r="D1295" s="2" t="inlineStr"/>
      <c r="E1295" s="18" t="inlineStr"/>
    </row>
    <row r="1296" ht="20" customHeight="1">
      <c r="A1296" s="19" t="inlineStr">
        <is>
          <t>​104749​ CONECTOR GRAMPO METÁLICO TIPO OLHAL, PARA SPDA, PARA HASTE DE ATERRAMENTO DE 3/4'' E CABOS DE 10 A 50 MM2 - FORNECIMENTO E INSTALAÇÃO. AF_08/2023​ (UN)</t>
        </is>
      </c>
      <c r="B1296" s="55" t="n"/>
      <c r="C1296" s="55" t="n"/>
      <c r="D1296" s="55" t="n"/>
      <c r="E1296" s="55" t="n"/>
      <c r="F1296" s="55" t="n"/>
      <c r="G1296" s="56" t="n"/>
    </row>
    <row r="1297" ht="15" customHeight="1">
      <c r="A1297" s="20" t="inlineStr">
        <is>
          <t>Material</t>
        </is>
      </c>
      <c r="B1297" s="56" t="n"/>
      <c r="C1297" s="21" t="inlineStr">
        <is>
          <t>FONTE</t>
        </is>
      </c>
      <c r="D1297" s="21" t="inlineStr">
        <is>
          <t>UNID</t>
        </is>
      </c>
      <c r="E1297" s="21" t="inlineStr">
        <is>
          <t>COEFICIENTE</t>
        </is>
      </c>
      <c r="F1297" s="21" t="inlineStr">
        <is>
          <t>PREÇO UNITÁRIO</t>
        </is>
      </c>
      <c r="G1297" s="21" t="inlineStr">
        <is>
          <t>TOTAL</t>
        </is>
      </c>
    </row>
    <row r="1298" ht="21" customHeight="1">
      <c r="A1298" s="22" t="inlineStr">
        <is>
          <t>00000416</t>
        </is>
      </c>
      <c r="B1298" s="23" t="inlineStr">
        <is>
          <t>GRAMPO METALICO TIPO OLHAL PARA HASTE DE ATERRAMENTO DE 3/4", CONDUTOR DE *10* A 50 MM2</t>
        </is>
      </c>
      <c r="C1298" s="22" t="inlineStr">
        <is>
          <t>SINAPI</t>
        </is>
      </c>
      <c r="D1298" s="22" t="inlineStr">
        <is>
          <t>UN</t>
        </is>
      </c>
      <c r="E1298" s="63" t="n">
        <v>1</v>
      </c>
      <c r="F1298" s="64">
        <f>ROUND(M1298*FATOR, 2)</f>
        <v/>
      </c>
      <c r="G1298" s="64">
        <f>TRUNC(TRUNC(E1298,8)*F1298,2)</f>
        <v/>
      </c>
      <c r="L1298" t="n">
        <v>1</v>
      </c>
      <c r="M1298" t="n">
        <v>8.25</v>
      </c>
      <c r="N1298">
        <f>(M1298-F1298)</f>
        <v/>
      </c>
    </row>
    <row r="1299" ht="15" customHeight="1">
      <c r="A1299" s="2" t="inlineStr"/>
      <c r="B1299" s="2" t="inlineStr"/>
      <c r="C1299" s="2" t="inlineStr"/>
      <c r="D1299" s="2" t="inlineStr"/>
      <c r="E1299" s="26" t="inlineStr">
        <is>
          <t>TOTAL Material:</t>
        </is>
      </c>
      <c r="F1299" s="56" t="n"/>
      <c r="G1299" s="65">
        <f>SUM(G1298:G1298)</f>
        <v/>
      </c>
    </row>
    <row r="1300" ht="15" customHeight="1">
      <c r="A1300" s="20" t="inlineStr">
        <is>
          <t>Mão de Obra com Encargos Complementares</t>
        </is>
      </c>
      <c r="B1300" s="56" t="n"/>
      <c r="C1300" s="21" t="inlineStr">
        <is>
          <t>FONTE</t>
        </is>
      </c>
      <c r="D1300" s="21" t="inlineStr">
        <is>
          <t>UNID</t>
        </is>
      </c>
      <c r="E1300" s="21" t="inlineStr">
        <is>
          <t>COEFICIENTE</t>
        </is>
      </c>
      <c r="F1300" s="21" t="inlineStr">
        <is>
          <t>PREÇO UNITÁRIO</t>
        </is>
      </c>
      <c r="G1300" s="21" t="inlineStr">
        <is>
          <t>TOTAL</t>
        </is>
      </c>
    </row>
    <row r="1301" ht="21" customHeight="1">
      <c r="A1301" s="22" t="inlineStr">
        <is>
          <t>88247</t>
        </is>
      </c>
      <c r="B1301" s="23" t="inlineStr">
        <is>
          <t>AUXILIAR DE ELETRICISTA COM ENCARGOS COMPLEMENTARES</t>
        </is>
      </c>
      <c r="C1301" s="22" t="inlineStr">
        <is>
          <t>SINAPI</t>
        </is>
      </c>
      <c r="D1301" s="22" t="inlineStr">
        <is>
          <t>H</t>
        </is>
      </c>
      <c r="E1301" s="63">
        <f>L1301*FATOR</f>
        <v/>
      </c>
      <c r="F1301" s="64">
        <f>'COMPOSICOES AUXILIARES'!G505</f>
        <v/>
      </c>
      <c r="G1301" s="64">
        <f>TRUNC(TRUNC(E1301,8)*F1301,2)</f>
        <v/>
      </c>
      <c r="L1301" t="n">
        <v>0.1863</v>
      </c>
      <c r="M1301" t="n">
        <v>25.22</v>
      </c>
      <c r="N1301">
        <f>(M1301-F1301)</f>
        <v/>
      </c>
    </row>
    <row r="1302" ht="15" customHeight="1">
      <c r="A1302" s="22" t="inlineStr">
        <is>
          <t>88264</t>
        </is>
      </c>
      <c r="B1302" s="23" t="inlineStr">
        <is>
          <t>ELETRICISTA COM ENCARGOS COMPLEMENTARES</t>
        </is>
      </c>
      <c r="C1302" s="22" t="inlineStr">
        <is>
          <t>SINAPI</t>
        </is>
      </c>
      <c r="D1302" s="22" t="inlineStr">
        <is>
          <t>H</t>
        </is>
      </c>
      <c r="E1302" s="63">
        <f>L1302*FATOR</f>
        <v/>
      </c>
      <c r="F1302" s="64">
        <f>'COMPOSICOES AUXILIARES'!G713</f>
        <v/>
      </c>
      <c r="G1302" s="64">
        <f>TRUNC(TRUNC(E1302,8)*F1302,2)</f>
        <v/>
      </c>
      <c r="L1302" t="n">
        <v>0.1863</v>
      </c>
      <c r="M1302" t="n">
        <v>30.96</v>
      </c>
      <c r="N1302">
        <f>(M1302-F1302)</f>
        <v/>
      </c>
    </row>
    <row r="1303" ht="18" customHeight="1">
      <c r="A1303" s="2" t="inlineStr"/>
      <c r="B1303" s="2" t="inlineStr"/>
      <c r="C1303" s="2" t="inlineStr"/>
      <c r="D1303" s="2" t="inlineStr"/>
      <c r="E1303" s="26" t="inlineStr">
        <is>
          <t>TOTAL Mão de Obra com Encargos Complementares:</t>
        </is>
      </c>
      <c r="F1303" s="56" t="n"/>
      <c r="G1303" s="65">
        <f>SUM(G1301:G1302)</f>
        <v/>
      </c>
    </row>
    <row r="1304" ht="15" customHeight="1">
      <c r="A1304" s="2" t="inlineStr"/>
      <c r="B1304" s="2" t="inlineStr"/>
      <c r="C1304" s="2" t="inlineStr"/>
      <c r="D1304" s="2" t="inlineStr"/>
      <c r="E1304" s="28" t="inlineStr">
        <is>
          <t>VALOR:</t>
        </is>
      </c>
      <c r="F1304" s="56" t="n"/>
      <c r="G1304" s="66">
        <f>SUM(G1299,G1303)</f>
        <v/>
      </c>
    </row>
    <row r="1305" ht="15" customHeight="1">
      <c r="A1305" s="2" t="inlineStr"/>
      <c r="B1305" s="2" t="inlineStr"/>
      <c r="C1305" s="2" t="inlineStr"/>
      <c r="D1305" s="2" t="inlineStr"/>
      <c r="E1305" s="28" t="inlineStr">
        <is>
          <t>VALOR BDI (23.08%):</t>
        </is>
      </c>
      <c r="F1305" s="56" t="n"/>
      <c r="G1305" s="66">
        <f>ROUNDDOWN(G1304*BDI,2)</f>
        <v/>
      </c>
    </row>
    <row r="1306" ht="15" customHeight="1">
      <c r="A1306" s="2" t="inlineStr"/>
      <c r="B1306" s="2" t="inlineStr"/>
      <c r="C1306" s="2" t="inlineStr"/>
      <c r="D1306" s="2" t="inlineStr"/>
      <c r="E1306" s="28" t="inlineStr">
        <is>
          <t>VALOR COM BDI:</t>
        </is>
      </c>
      <c r="F1306" s="56" t="n"/>
      <c r="G1306" s="66">
        <f>G1305 + G1304</f>
        <v/>
      </c>
    </row>
    <row r="1307" ht="10" customHeight="1">
      <c r="A1307" s="2" t="inlineStr"/>
      <c r="B1307" s="2" t="inlineStr"/>
      <c r="C1307" s="2" t="inlineStr"/>
      <c r="D1307" s="2" t="inlineStr"/>
      <c r="E1307" s="18" t="inlineStr"/>
    </row>
    <row r="1308" ht="20" customHeight="1">
      <c r="A1308" s="19" t="inlineStr">
        <is>
          <t>​87624​ CONTRAPISO EM ARGAMASSA PRONTA, PREPARO MANUAL, APLICADO EM ÁREAS SECAS SOBRE LAJE, ADERIDO, ACABAMENTO NÃO REFORÇADO, ESPESSURA 2CM. AF_07/2021​ (M2)</t>
        </is>
      </c>
      <c r="B1308" s="55" t="n"/>
      <c r="C1308" s="55" t="n"/>
      <c r="D1308" s="55" t="n"/>
      <c r="E1308" s="55" t="n"/>
      <c r="F1308" s="55" t="n"/>
      <c r="G1308" s="56" t="n"/>
    </row>
    <row r="1309" ht="15" customHeight="1">
      <c r="A1309" s="20" t="inlineStr">
        <is>
          <t>Material</t>
        </is>
      </c>
      <c r="B1309" s="56" t="n"/>
      <c r="C1309" s="21" t="inlineStr">
        <is>
          <t>FONTE</t>
        </is>
      </c>
      <c r="D1309" s="21" t="inlineStr">
        <is>
          <t>UNID</t>
        </is>
      </c>
      <c r="E1309" s="21" t="inlineStr">
        <is>
          <t>COEFICIENTE</t>
        </is>
      </c>
      <c r="F1309" s="21" t="inlineStr">
        <is>
          <t>PREÇO UNITÁRIO</t>
        </is>
      </c>
      <c r="G1309" s="21" t="inlineStr">
        <is>
          <t>TOTAL</t>
        </is>
      </c>
    </row>
    <row r="1310" ht="21" customHeight="1">
      <c r="A1310" s="22" t="inlineStr">
        <is>
          <t>00007334</t>
        </is>
      </c>
      <c r="B1310" s="23" t="inlineStr">
        <is>
          <t>ADITIVO ADESIVO LIQUIDO PARA ARGAMASSAS DE REVESTIMENTOS CIMENTICIOS</t>
        </is>
      </c>
      <c r="C1310" s="22" t="inlineStr">
        <is>
          <t>SINAPI</t>
        </is>
      </c>
      <c r="D1310" s="22" t="inlineStr">
        <is>
          <t>L</t>
        </is>
      </c>
      <c r="E1310" s="63" t="n">
        <v>0.21</v>
      </c>
      <c r="F1310" s="64">
        <f>ROUND(M1310*FATOR, 2)</f>
        <v/>
      </c>
      <c r="G1310" s="64">
        <f>TRUNC(TRUNC(E1310,8)*F1310,2)</f>
        <v/>
      </c>
      <c r="L1310" t="n">
        <v>0.21</v>
      </c>
      <c r="M1310" t="n">
        <v>14.39</v>
      </c>
      <c r="N1310">
        <f>(M1310-F1310)</f>
        <v/>
      </c>
    </row>
    <row r="1311" ht="15" customHeight="1">
      <c r="A1311" s="22" t="inlineStr">
        <is>
          <t>00001379</t>
        </is>
      </c>
      <c r="B1311" s="23" t="inlineStr">
        <is>
          <t>CIMENTO PORTLAND COMPOSTO CP II-32</t>
        </is>
      </c>
      <c r="C1311" s="22" t="inlineStr">
        <is>
          <t>SINAPI</t>
        </is>
      </c>
      <c r="D1311" s="22" t="inlineStr">
        <is>
          <t>KG</t>
        </is>
      </c>
      <c r="E1311" s="63" t="n">
        <v>0.5</v>
      </c>
      <c r="F1311" s="64">
        <f>ROUND(M1311*FATOR, 2)</f>
        <v/>
      </c>
      <c r="G1311" s="64">
        <f>TRUNC(TRUNC(E1311,8)*F1311,2)</f>
        <v/>
      </c>
      <c r="L1311" t="n">
        <v>0.5</v>
      </c>
      <c r="M1311" t="n">
        <v>0.74</v>
      </c>
      <c r="N1311">
        <f>(M1311-F1311)</f>
        <v/>
      </c>
    </row>
    <row r="1312" ht="15" customHeight="1">
      <c r="A1312" s="2" t="inlineStr"/>
      <c r="B1312" s="2" t="inlineStr"/>
      <c r="C1312" s="2" t="inlineStr"/>
      <c r="D1312" s="2" t="inlineStr"/>
      <c r="E1312" s="26" t="inlineStr">
        <is>
          <t>TOTAL Material:</t>
        </is>
      </c>
      <c r="F1312" s="56" t="n"/>
      <c r="G1312" s="65">
        <f>SUM(G1310:G1311)</f>
        <v/>
      </c>
    </row>
    <row r="1313" ht="15" customHeight="1">
      <c r="A1313" s="20" t="inlineStr">
        <is>
          <t>Mão de Obra com Encargos Complementares</t>
        </is>
      </c>
      <c r="B1313" s="56" t="n"/>
      <c r="C1313" s="21" t="inlineStr">
        <is>
          <t>FONTE</t>
        </is>
      </c>
      <c r="D1313" s="21" t="inlineStr">
        <is>
          <t>UNID</t>
        </is>
      </c>
      <c r="E1313" s="21" t="inlineStr">
        <is>
          <t>COEFICIENTE</t>
        </is>
      </c>
      <c r="F1313" s="21" t="inlineStr">
        <is>
          <t>PREÇO UNITÁRIO</t>
        </is>
      </c>
      <c r="G1313" s="21" t="inlineStr">
        <is>
          <t>TOTAL</t>
        </is>
      </c>
    </row>
    <row r="1314" ht="15" customHeight="1">
      <c r="A1314" s="22" t="inlineStr">
        <is>
          <t>88309</t>
        </is>
      </c>
      <c r="B1314" s="23" t="inlineStr">
        <is>
          <t>PEDREIRO COM ENCARGOS COMPLEMENTARES</t>
        </is>
      </c>
      <c r="C1314" s="22" t="inlineStr">
        <is>
          <t>SINAPI</t>
        </is>
      </c>
      <c r="D1314" s="22" t="inlineStr">
        <is>
          <t>H</t>
        </is>
      </c>
      <c r="E1314" s="63">
        <f>L1314*FATOR</f>
        <v/>
      </c>
      <c r="F1314" s="64">
        <f>'COMPOSICOES AUXILIARES'!G1112</f>
        <v/>
      </c>
      <c r="G1314" s="64">
        <f>TRUNC(TRUNC(E1314,8)*F1314,2)</f>
        <v/>
      </c>
      <c r="L1314" t="n">
        <v>0.214</v>
      </c>
      <c r="M1314" t="n">
        <v>30.58</v>
      </c>
      <c r="N1314">
        <f>(M1314-F1314)</f>
        <v/>
      </c>
    </row>
    <row r="1315" ht="15" customHeight="1">
      <c r="A1315" s="22" t="inlineStr">
        <is>
          <t>88316</t>
        </is>
      </c>
      <c r="B1315" s="23" t="inlineStr">
        <is>
          <t>SERVENTE COM ENCARGOS COMPLEMENTARES</t>
        </is>
      </c>
      <c r="C1315" s="22" t="inlineStr">
        <is>
          <t>SINAPI</t>
        </is>
      </c>
      <c r="D1315" s="22" t="inlineStr">
        <is>
          <t>H</t>
        </is>
      </c>
      <c r="E1315" s="63">
        <f>L1315*FATOR</f>
        <v/>
      </c>
      <c r="F1315" s="64">
        <f>'COMPOSICOES AUXILIARES'!G161</f>
        <v/>
      </c>
      <c r="G1315" s="64">
        <f>TRUNC(TRUNC(E1315,8)*F1315,2)</f>
        <v/>
      </c>
      <c r="L1315" t="n">
        <v>0.107</v>
      </c>
      <c r="M1315" t="n">
        <v>23.56</v>
      </c>
      <c r="N1315">
        <f>(M1315-F1315)</f>
        <v/>
      </c>
    </row>
    <row r="1316" ht="18" customHeight="1">
      <c r="A1316" s="2" t="inlineStr"/>
      <c r="B1316" s="2" t="inlineStr"/>
      <c r="C1316" s="2" t="inlineStr"/>
      <c r="D1316" s="2" t="inlineStr"/>
      <c r="E1316" s="26" t="inlineStr">
        <is>
          <t>TOTAL Mão de Obra com Encargos Complementares:</t>
        </is>
      </c>
      <c r="F1316" s="56" t="n"/>
      <c r="G1316" s="65">
        <f>SUM(G1314:G1315)</f>
        <v/>
      </c>
    </row>
    <row r="1317" ht="15" customHeight="1">
      <c r="A1317" s="20" t="inlineStr">
        <is>
          <t>Serviço</t>
        </is>
      </c>
      <c r="B1317" s="56" t="n"/>
      <c r="C1317" s="21" t="inlineStr">
        <is>
          <t>FONTE</t>
        </is>
      </c>
      <c r="D1317" s="21" t="inlineStr">
        <is>
          <t>UNID</t>
        </is>
      </c>
      <c r="E1317" s="21" t="inlineStr">
        <is>
          <t>COEFICIENTE</t>
        </is>
      </c>
      <c r="F1317" s="21" t="inlineStr">
        <is>
          <t>PREÇO UNITÁRIO</t>
        </is>
      </c>
      <c r="G1317" s="21" t="inlineStr">
        <is>
          <t>TOTAL</t>
        </is>
      </c>
    </row>
    <row r="1318" ht="21" customHeight="1">
      <c r="A1318" s="22" t="inlineStr">
        <is>
          <t>87399</t>
        </is>
      </c>
      <c r="B1318" s="23" t="inlineStr">
        <is>
          <t>ARGAMASSA PRONTA PARA CONTRAPISO, PREPARO MANUAL. AF_08/2019</t>
        </is>
      </c>
      <c r="C1318" s="22" t="inlineStr">
        <is>
          <t>SINAPI</t>
        </is>
      </c>
      <c r="D1318" s="22" t="inlineStr">
        <is>
          <t>M3</t>
        </is>
      </c>
      <c r="E1318" s="63" t="n">
        <v>0.031</v>
      </c>
      <c r="F1318" s="64">
        <f>'COMPOSICOES AUXILIARES'!G161</f>
        <v/>
      </c>
      <c r="G1318" s="64">
        <f>TRUNC(TRUNC(E1318,8)*F1318,2)</f>
        <v/>
      </c>
      <c r="L1318" t="n">
        <v>0.031</v>
      </c>
      <c r="M1318" t="n">
        <v>3113.86</v>
      </c>
      <c r="N1318">
        <f>(M1318-F1318)</f>
        <v/>
      </c>
    </row>
    <row r="1319" ht="15" customHeight="1">
      <c r="A1319" s="2" t="inlineStr"/>
      <c r="B1319" s="2" t="inlineStr"/>
      <c r="C1319" s="2" t="inlineStr"/>
      <c r="D1319" s="2" t="inlineStr"/>
      <c r="E1319" s="26" t="inlineStr">
        <is>
          <t>TOTAL Serviço:</t>
        </is>
      </c>
      <c r="F1319" s="56" t="n"/>
      <c r="G1319" s="65">
        <f>SUM(G1318:G1318)</f>
        <v/>
      </c>
    </row>
    <row r="1320" ht="15" customHeight="1">
      <c r="A1320" s="2" t="inlineStr"/>
      <c r="B1320" s="2" t="inlineStr"/>
      <c r="C1320" s="2" t="inlineStr"/>
      <c r="D1320" s="2" t="inlineStr"/>
      <c r="E1320" s="28" t="inlineStr">
        <is>
          <t>VALOR:</t>
        </is>
      </c>
      <c r="F1320" s="56" t="n"/>
      <c r="G1320" s="66">
        <f>SUM(G1312,G1316,G1319)</f>
        <v/>
      </c>
    </row>
    <row r="1321" ht="15" customHeight="1">
      <c r="A1321" s="2" t="inlineStr"/>
      <c r="B1321" s="2" t="inlineStr"/>
      <c r="C1321" s="2" t="inlineStr"/>
      <c r="D1321" s="2" t="inlineStr"/>
      <c r="E1321" s="28" t="inlineStr">
        <is>
          <t>VALOR BDI (23.08%):</t>
        </is>
      </c>
      <c r="F1321" s="56" t="n"/>
      <c r="G1321" s="66">
        <f>ROUNDDOWN(G1320*BDI,2)</f>
        <v/>
      </c>
    </row>
    <row r="1322" ht="15" customHeight="1">
      <c r="A1322" s="2" t="inlineStr"/>
      <c r="B1322" s="2" t="inlineStr"/>
      <c r="C1322" s="2" t="inlineStr"/>
      <c r="D1322" s="2" t="inlineStr"/>
      <c r="E1322" s="28" t="inlineStr">
        <is>
          <t>VALOR COM BDI:</t>
        </is>
      </c>
      <c r="F1322" s="56" t="n"/>
      <c r="G1322" s="66">
        <f>G1321 + G1320</f>
        <v/>
      </c>
    </row>
    <row r="1323" ht="10" customHeight="1">
      <c r="A1323" s="2" t="inlineStr"/>
      <c r="B1323" s="2" t="inlineStr"/>
      <c r="C1323" s="2" t="inlineStr"/>
      <c r="D1323" s="2" t="inlineStr"/>
      <c r="E1323" s="18" t="inlineStr"/>
    </row>
    <row r="1324" ht="20" customHeight="1">
      <c r="A1324" s="19" t="inlineStr">
        <is>
          <t>​96977​ CORDOALHA DE COBRE NU 50 MM², ENTERRADA - FORNECIMENTO E INSTALAÇÃO. AF_08/2023​ (M)</t>
        </is>
      </c>
      <c r="B1324" s="55" t="n"/>
      <c r="C1324" s="55" t="n"/>
      <c r="D1324" s="55" t="n"/>
      <c r="E1324" s="55" t="n"/>
      <c r="F1324" s="55" t="n"/>
      <c r="G1324" s="56" t="n"/>
    </row>
    <row r="1325" ht="15" customHeight="1">
      <c r="A1325" s="20" t="inlineStr">
        <is>
          <t>Material</t>
        </is>
      </c>
      <c r="B1325" s="56" t="n"/>
      <c r="C1325" s="21" t="inlineStr">
        <is>
          <t>FONTE</t>
        </is>
      </c>
      <c r="D1325" s="21" t="inlineStr">
        <is>
          <t>UNID</t>
        </is>
      </c>
      <c r="E1325" s="21" t="inlineStr">
        <is>
          <t>COEFICIENTE</t>
        </is>
      </c>
      <c r="F1325" s="21" t="inlineStr">
        <is>
          <t>PREÇO UNITÁRIO</t>
        </is>
      </c>
      <c r="G1325" s="21" t="inlineStr">
        <is>
          <t>TOTAL</t>
        </is>
      </c>
    </row>
    <row r="1326" ht="15" customHeight="1">
      <c r="A1326" s="22" t="inlineStr">
        <is>
          <t>00000867</t>
        </is>
      </c>
      <c r="B1326" s="23" t="inlineStr">
        <is>
          <t>CABO DE COBRE NU 50 MM2 MEIO-DURO</t>
        </is>
      </c>
      <c r="C1326" s="22" t="inlineStr">
        <is>
          <t>SINAPI</t>
        </is>
      </c>
      <c r="D1326" s="22" t="inlineStr">
        <is>
          <t>M</t>
        </is>
      </c>
      <c r="E1326" s="63" t="n">
        <v>1.05</v>
      </c>
      <c r="F1326" s="64">
        <f>ROUND(M1326*FATOR, 2)</f>
        <v/>
      </c>
      <c r="G1326" s="64">
        <f>TRUNC(TRUNC(E1326,8)*F1326,2)</f>
        <v/>
      </c>
      <c r="L1326" t="n">
        <v>1.05</v>
      </c>
      <c r="M1326" t="n">
        <v>58.69</v>
      </c>
      <c r="N1326">
        <f>(M1326-F1326)</f>
        <v/>
      </c>
    </row>
    <row r="1327" ht="15" customHeight="1">
      <c r="A1327" s="2" t="inlineStr"/>
      <c r="B1327" s="2" t="inlineStr"/>
      <c r="C1327" s="2" t="inlineStr"/>
      <c r="D1327" s="2" t="inlineStr"/>
      <c r="E1327" s="26" t="inlineStr">
        <is>
          <t>TOTAL Material:</t>
        </is>
      </c>
      <c r="F1327" s="56" t="n"/>
      <c r="G1327" s="65">
        <f>SUM(G1326:G1326)</f>
        <v/>
      </c>
    </row>
    <row r="1328" ht="15" customHeight="1">
      <c r="A1328" s="20" t="inlineStr">
        <is>
          <t>Mão de Obra com Encargos Complementares</t>
        </is>
      </c>
      <c r="B1328" s="56" t="n"/>
      <c r="C1328" s="21" t="inlineStr">
        <is>
          <t>FONTE</t>
        </is>
      </c>
      <c r="D1328" s="21" t="inlineStr">
        <is>
          <t>UNID</t>
        </is>
      </c>
      <c r="E1328" s="21" t="inlineStr">
        <is>
          <t>COEFICIENTE</t>
        </is>
      </c>
      <c r="F1328" s="21" t="inlineStr">
        <is>
          <t>PREÇO UNITÁRIO</t>
        </is>
      </c>
      <c r="G1328" s="21" t="inlineStr">
        <is>
          <t>TOTAL</t>
        </is>
      </c>
    </row>
    <row r="1329" ht="21" customHeight="1">
      <c r="A1329" s="22" t="inlineStr">
        <is>
          <t>88247</t>
        </is>
      </c>
      <c r="B1329" s="23" t="inlineStr">
        <is>
          <t>AUXILIAR DE ELETRICISTA COM ENCARGOS COMPLEMENTARES</t>
        </is>
      </c>
      <c r="C1329" s="22" t="inlineStr">
        <is>
          <t>SINAPI</t>
        </is>
      </c>
      <c r="D1329" s="22" t="inlineStr">
        <is>
          <t>H</t>
        </is>
      </c>
      <c r="E1329" s="63">
        <f>L1329*FATOR</f>
        <v/>
      </c>
      <c r="F1329" s="64">
        <f>'COMPOSICOES AUXILIARES'!G505</f>
        <v/>
      </c>
      <c r="G1329" s="64">
        <f>TRUNC(TRUNC(E1329,8)*F1329,2)</f>
        <v/>
      </c>
      <c r="L1329" t="n">
        <v>0.0331</v>
      </c>
      <c r="M1329" t="n">
        <v>25.22</v>
      </c>
      <c r="N1329">
        <f>(M1329-F1329)</f>
        <v/>
      </c>
    </row>
    <row r="1330" ht="15" customHeight="1">
      <c r="A1330" s="22" t="inlineStr">
        <is>
          <t>88264</t>
        </is>
      </c>
      <c r="B1330" s="23" t="inlineStr">
        <is>
          <t>ELETRICISTA COM ENCARGOS COMPLEMENTARES</t>
        </is>
      </c>
      <c r="C1330" s="22" t="inlineStr">
        <is>
          <t>SINAPI</t>
        </is>
      </c>
      <c r="D1330" s="22" t="inlineStr">
        <is>
          <t>H</t>
        </is>
      </c>
      <c r="E1330" s="63">
        <f>L1330*FATOR</f>
        <v/>
      </c>
      <c r="F1330" s="64">
        <f>'COMPOSICOES AUXILIARES'!G713</f>
        <v/>
      </c>
      <c r="G1330" s="64">
        <f>TRUNC(TRUNC(E1330,8)*F1330,2)</f>
        <v/>
      </c>
      <c r="L1330" t="n">
        <v>0.0331</v>
      </c>
      <c r="M1330" t="n">
        <v>30.96</v>
      </c>
      <c r="N1330">
        <f>(M1330-F1330)</f>
        <v/>
      </c>
    </row>
    <row r="1331" ht="18" customHeight="1">
      <c r="A1331" s="2" t="inlineStr"/>
      <c r="B1331" s="2" t="inlineStr"/>
      <c r="C1331" s="2" t="inlineStr"/>
      <c r="D1331" s="2" t="inlineStr"/>
      <c r="E1331" s="26" t="inlineStr">
        <is>
          <t>TOTAL Mão de Obra com Encargos Complementares:</t>
        </is>
      </c>
      <c r="F1331" s="56" t="n"/>
      <c r="G1331" s="65">
        <f>SUM(G1329:G1330)</f>
        <v/>
      </c>
    </row>
    <row r="1332" ht="15" customHeight="1">
      <c r="A1332" s="2" t="inlineStr"/>
      <c r="B1332" s="2" t="inlineStr"/>
      <c r="C1332" s="2" t="inlineStr"/>
      <c r="D1332" s="2" t="inlineStr"/>
      <c r="E1332" s="28" t="inlineStr">
        <is>
          <t>VALOR:</t>
        </is>
      </c>
      <c r="F1332" s="56" t="n"/>
      <c r="G1332" s="66">
        <f>SUM(G1331,G1327)</f>
        <v/>
      </c>
    </row>
    <row r="1333" ht="15" customHeight="1">
      <c r="A1333" s="2" t="inlineStr"/>
      <c r="B1333" s="2" t="inlineStr"/>
      <c r="C1333" s="2" t="inlineStr"/>
      <c r="D1333" s="2" t="inlineStr"/>
      <c r="E1333" s="28" t="inlineStr">
        <is>
          <t>VALOR BDI (23.08%):</t>
        </is>
      </c>
      <c r="F1333" s="56" t="n"/>
      <c r="G1333" s="66">
        <f>ROUNDDOWN(G1332*BDI,2)</f>
        <v/>
      </c>
    </row>
    <row r="1334" ht="15" customHeight="1">
      <c r="A1334" s="2" t="inlineStr"/>
      <c r="B1334" s="2" t="inlineStr"/>
      <c r="C1334" s="2" t="inlineStr"/>
      <c r="D1334" s="2" t="inlineStr"/>
      <c r="E1334" s="28" t="inlineStr">
        <is>
          <t>VALOR COM BDI:</t>
        </is>
      </c>
      <c r="F1334" s="56" t="n"/>
      <c r="G1334" s="66">
        <f>G1333 + G1332</f>
        <v/>
      </c>
    </row>
    <row r="1335" ht="10" customHeight="1">
      <c r="A1335" s="2" t="inlineStr"/>
      <c r="B1335" s="2" t="inlineStr"/>
      <c r="C1335" s="2" t="inlineStr"/>
      <c r="D1335" s="2" t="inlineStr"/>
      <c r="E1335" s="18" t="inlineStr"/>
    </row>
    <row r="1336" ht="20" customHeight="1">
      <c r="A1336" s="19" t="inlineStr">
        <is>
          <t>​91283​ CORTADORA DE PISO COM MOTOR 4 TEMPOS A GASOLINA, POTÊNCIA DE 13 HP, COM DISCO DE CORTE DIAMANTADO SEGMENTADO PARA CONCRETO, DIÂMETRO DE 350 MM, FURO DE 1" (14 X 1") - CHP DIURNO. AF_08/2015​ (CHP)</t>
        </is>
      </c>
      <c r="B1336" s="55" t="n"/>
      <c r="C1336" s="55" t="n"/>
      <c r="D1336" s="55" t="n"/>
      <c r="E1336" s="55" t="n"/>
      <c r="F1336" s="55" t="n"/>
      <c r="G1336" s="56" t="n"/>
    </row>
    <row r="1337" ht="15" customHeight="1">
      <c r="A1337" s="20" t="inlineStr">
        <is>
          <t>Serviço</t>
        </is>
      </c>
      <c r="B1337" s="56" t="n"/>
      <c r="C1337" s="21" t="inlineStr">
        <is>
          <t>FONTE</t>
        </is>
      </c>
      <c r="D1337" s="21" t="inlineStr">
        <is>
          <t>UNID</t>
        </is>
      </c>
      <c r="E1337" s="21" t="inlineStr">
        <is>
          <t>COEFICIENTE</t>
        </is>
      </c>
      <c r="F1337" s="21" t="inlineStr">
        <is>
          <t>PREÇO UNITÁRIO</t>
        </is>
      </c>
      <c r="G1337" s="21" t="inlineStr">
        <is>
          <t>TOTAL</t>
        </is>
      </c>
    </row>
    <row r="1338" ht="38" customHeight="1">
      <c r="A1338" s="22" t="inlineStr">
        <is>
          <t>91279</t>
        </is>
      </c>
      <c r="B1338" s="23" t="inlineStr">
        <is>
          <t>CORTADORA DE PISO COM MOTOR 4 TEMPOS A GASOLINA, POTÊNCIA DE 13 HP, COM DISCO DE CORTE DIAMANTADO SEGMENTADO PARA CONCRETO, DIÂMETRO DE 350 MM, FURO DE 1" (14 X 1") - DEPRECIAÇÃO. AF_08/2015</t>
        </is>
      </c>
      <c r="C1338" s="22" t="inlineStr">
        <is>
          <t>SINAPI</t>
        </is>
      </c>
      <c r="D1338" s="22" t="inlineStr">
        <is>
          <t>H</t>
        </is>
      </c>
      <c r="E1338" s="63" t="n">
        <v>1</v>
      </c>
      <c r="F1338" s="64" t="n">
        <v>0.49</v>
      </c>
      <c r="G1338" s="64">
        <f>TRUNC(TRUNC(E1338,8)*F1338,2)</f>
        <v/>
      </c>
      <c r="L1338" t="n">
        <v>1</v>
      </c>
      <c r="M1338" t="n">
        <v>0.49</v>
      </c>
      <c r="N1338">
        <f>(M1338-F1338)</f>
        <v/>
      </c>
    </row>
    <row r="1339" ht="38" customHeight="1">
      <c r="A1339" s="22" t="inlineStr">
        <is>
          <t>91280</t>
        </is>
      </c>
      <c r="B1339" s="23" t="inlineStr">
        <is>
          <t>CORTADORA DE PISO COM MOTOR 4 TEMPOS A GASOLINA, POTÊNCIA DE 13 HP, COM DISCO DE CORTE DIAMANTADO SEGMENTADO PARA CONCRETO, DIÂMETRO DE 350 MM, FURO DE 1" (14 X 1") - JUROS. AF_08/2015</t>
        </is>
      </c>
      <c r="C1339" s="22" t="inlineStr">
        <is>
          <t>SINAPI</t>
        </is>
      </c>
      <c r="D1339" s="22" t="inlineStr">
        <is>
          <t>H</t>
        </is>
      </c>
      <c r="E1339" s="63" t="n">
        <v>1</v>
      </c>
      <c r="F1339" s="64" t="n">
        <v>0.11</v>
      </c>
      <c r="G1339" s="64">
        <f>TRUNC(TRUNC(E1339,8)*F1339,2)</f>
        <v/>
      </c>
      <c r="L1339" t="n">
        <v>1</v>
      </c>
      <c r="M1339" t="n">
        <v>0.11</v>
      </c>
      <c r="N1339">
        <f>(M1339-F1339)</f>
        <v/>
      </c>
    </row>
    <row r="1340" ht="38" customHeight="1">
      <c r="A1340" s="22" t="inlineStr">
        <is>
          <t>91281</t>
        </is>
      </c>
      <c r="B1340" s="23" t="inlineStr">
        <is>
          <t>CORTADORA DE PISO COM MOTOR 4 TEMPOS A GASOLINA, POTÊNCIA DE 13 HP, COM DISCO DE CORTE DIAMANTADO SEGMENTADO PARA CONCRETO, DIÂMETRO DE 350 MM, FURO DE 1" (14 X 1") - MANUTENÇÃO. AF_08/2015</t>
        </is>
      </c>
      <c r="C1340" s="22" t="inlineStr">
        <is>
          <t>SINAPI</t>
        </is>
      </c>
      <c r="D1340" s="22" t="inlineStr">
        <is>
          <t>H</t>
        </is>
      </c>
      <c r="E1340" s="63" t="n">
        <v>1</v>
      </c>
      <c r="F1340" s="64" t="n">
        <v>0.62</v>
      </c>
      <c r="G1340" s="64">
        <f>TRUNC(TRUNC(E1340,8)*F1340,2)</f>
        <v/>
      </c>
      <c r="L1340" t="n">
        <v>1</v>
      </c>
      <c r="M1340" t="n">
        <v>0.62</v>
      </c>
      <c r="N1340">
        <f>(M1340-F1340)</f>
        <v/>
      </c>
    </row>
    <row r="1341" ht="46" customHeight="1">
      <c r="A1341" s="22" t="inlineStr">
        <is>
          <t>91282</t>
        </is>
      </c>
      <c r="B1341" s="23" t="inlineStr">
        <is>
          <t>CORTADORA DE PISO COM MOTOR 4 TEMPOS A GASOLINA, POTÊNCIA DE 13 HP, COM DISCO DE CORTE DIAMANTADO SEGMENTADO PARA CONCRETO, DIÂMETRO DE 350 MM, FURO DE 1" (14 X 1") - MATERIAIS NA OPERAÇÃO. AF_08/2015</t>
        </is>
      </c>
      <c r="C1341" s="22" t="inlineStr">
        <is>
          <t>SINAPI</t>
        </is>
      </c>
      <c r="D1341" s="22" t="inlineStr">
        <is>
          <t>H</t>
        </is>
      </c>
      <c r="E1341" s="63" t="n">
        <v>1</v>
      </c>
      <c r="F1341" s="64" t="n">
        <v>9.140000000000001</v>
      </c>
      <c r="G1341" s="64">
        <f>TRUNC(TRUNC(E1341,8)*F1341,2)</f>
        <v/>
      </c>
      <c r="L1341" t="n">
        <v>1</v>
      </c>
      <c r="M1341" t="n">
        <v>9.140000000000001</v>
      </c>
      <c r="N1341">
        <f>(M1341-F1341)</f>
        <v/>
      </c>
    </row>
    <row r="1342" ht="15" customHeight="1">
      <c r="A1342" s="2" t="inlineStr"/>
      <c r="B1342" s="2" t="inlineStr"/>
      <c r="C1342" s="2" t="inlineStr"/>
      <c r="D1342" s="2" t="inlineStr"/>
      <c r="E1342" s="26" t="inlineStr">
        <is>
          <t>TOTAL Serviço:</t>
        </is>
      </c>
      <c r="F1342" s="56" t="n"/>
      <c r="G1342" s="65">
        <f>SUM(G1338:G1341)</f>
        <v/>
      </c>
    </row>
    <row r="1343" ht="15" customHeight="1">
      <c r="A1343" s="2" t="inlineStr"/>
      <c r="B1343" s="2" t="inlineStr"/>
      <c r="C1343" s="2" t="inlineStr"/>
      <c r="D1343" s="2" t="inlineStr"/>
      <c r="E1343" s="28" t="inlineStr">
        <is>
          <t>VALOR:</t>
        </is>
      </c>
      <c r="F1343" s="56" t="n"/>
      <c r="G1343" s="66">
        <f>SUM(G1342)</f>
        <v/>
      </c>
    </row>
    <row r="1344" ht="15" customHeight="1">
      <c r="A1344" s="2" t="inlineStr"/>
      <c r="B1344" s="2" t="inlineStr"/>
      <c r="C1344" s="2" t="inlineStr"/>
      <c r="D1344" s="2" t="inlineStr"/>
      <c r="E1344" s="28" t="inlineStr">
        <is>
          <t>VALOR BDI (23.08%):</t>
        </is>
      </c>
      <c r="F1344" s="56" t="n"/>
      <c r="G1344" s="66">
        <f>ROUNDDOWN(G1343*BDI,2)</f>
        <v/>
      </c>
    </row>
    <row r="1345" ht="15" customHeight="1">
      <c r="A1345" s="2" t="inlineStr"/>
      <c r="B1345" s="2" t="inlineStr"/>
      <c r="C1345" s="2" t="inlineStr"/>
      <c r="D1345" s="2" t="inlineStr"/>
      <c r="E1345" s="28" t="inlineStr">
        <is>
          <t>VALOR COM BDI:</t>
        </is>
      </c>
      <c r="F1345" s="56" t="n"/>
      <c r="G1345" s="66">
        <f>G1344 + G1343</f>
        <v/>
      </c>
    </row>
    <row r="1346" ht="10" customHeight="1">
      <c r="A1346" s="2" t="inlineStr"/>
      <c r="B1346" s="2" t="inlineStr"/>
      <c r="C1346" s="2" t="inlineStr"/>
      <c r="D1346" s="2" t="inlineStr"/>
      <c r="E1346" s="18" t="inlineStr"/>
    </row>
    <row r="1347" ht="20" customHeight="1">
      <c r="A1347" s="19" t="inlineStr">
        <is>
          <t>​91279​ CORTADORA DE PISO COM MOTOR 4 TEMPOS A GASOLINA, POTÊNCIA DE 13 HP, COM DISCO DE CORTE DIAMANTADO SEGMENTADO PARA CONCRETO, DIÂMETRO DE 350 MM, FURO DE 1" (14 X 1") - DEPRECIAÇÃO. AF_08/2015​ (H)</t>
        </is>
      </c>
      <c r="B1347" s="55" t="n"/>
      <c r="C1347" s="55" t="n"/>
      <c r="D1347" s="55" t="n"/>
      <c r="E1347" s="55" t="n"/>
      <c r="F1347" s="55" t="n"/>
      <c r="G1347" s="56" t="n"/>
    </row>
    <row r="1348" ht="15" customHeight="1">
      <c r="A1348" s="20" t="inlineStr">
        <is>
          <t>Equipamento</t>
        </is>
      </c>
      <c r="B1348" s="56" t="n"/>
      <c r="C1348" s="21" t="inlineStr">
        <is>
          <t>FONTE</t>
        </is>
      </c>
      <c r="D1348" s="21" t="inlineStr">
        <is>
          <t>UNID</t>
        </is>
      </c>
      <c r="E1348" s="21" t="inlineStr">
        <is>
          <t>COEFICIENTE</t>
        </is>
      </c>
      <c r="F1348" s="21" t="inlineStr">
        <is>
          <t>PREÇO UNITÁRIO</t>
        </is>
      </c>
      <c r="G1348" s="21" t="inlineStr">
        <is>
          <t>TOTAL</t>
        </is>
      </c>
    </row>
    <row r="1349" ht="29" customHeight="1">
      <c r="A1349" s="22" t="inlineStr">
        <is>
          <t>00011280</t>
        </is>
      </c>
      <c r="B1349" s="23" t="inlineStr">
        <is>
          <t>CORTADEIRA DE PISO DE CONCRETO E ASFALTO, PARA DISCO PADRAO DE DIAMETRO 350 MM (14") OU 450 MM (18"), MOTOR A GASOLINA, POTENCIA 13 HP, SEM DISCO</t>
        </is>
      </c>
      <c r="C1349" s="22" t="inlineStr">
        <is>
          <t>SINAPI</t>
        </is>
      </c>
      <c r="D1349" s="22" t="inlineStr">
        <is>
          <t>UN</t>
        </is>
      </c>
      <c r="E1349" s="63" t="n">
        <v>6.4e-05</v>
      </c>
      <c r="F1349" s="64" t="n">
        <v>7585.75</v>
      </c>
      <c r="G1349" s="64">
        <f>TRUNC(TRUNC(E1349,8)*F1349,2)</f>
        <v/>
      </c>
      <c r="M1349" t="n">
        <v>7585.75</v>
      </c>
      <c r="N1349">
        <f>(M1349-F1349)</f>
        <v/>
      </c>
    </row>
    <row r="1350" ht="15" customHeight="1">
      <c r="A1350" s="2" t="inlineStr"/>
      <c r="B1350" s="2" t="inlineStr"/>
      <c r="C1350" s="2" t="inlineStr"/>
      <c r="D1350" s="2" t="inlineStr"/>
      <c r="E1350" s="26" t="inlineStr">
        <is>
          <t>TOTAL Equipamento:</t>
        </is>
      </c>
      <c r="F1350" s="56" t="n"/>
      <c r="G1350" s="65">
        <f>SUM(G1349:G1349)</f>
        <v/>
      </c>
    </row>
    <row r="1351" ht="15" customHeight="1">
      <c r="A1351" s="20" t="inlineStr">
        <is>
          <t>Material</t>
        </is>
      </c>
      <c r="B1351" s="56" t="n"/>
      <c r="C1351" s="21" t="inlineStr">
        <is>
          <t>FONTE</t>
        </is>
      </c>
      <c r="D1351" s="21" t="inlineStr">
        <is>
          <t>UNID</t>
        </is>
      </c>
      <c r="E1351" s="21" t="inlineStr">
        <is>
          <t>COEFICIENTE</t>
        </is>
      </c>
      <c r="F1351" s="21" t="inlineStr">
        <is>
          <t>PREÇO UNITÁRIO</t>
        </is>
      </c>
      <c r="G1351" s="21" t="inlineStr">
        <is>
          <t>TOTAL</t>
        </is>
      </c>
    </row>
    <row r="1352" ht="29" customHeight="1">
      <c r="A1352" s="22" t="inlineStr">
        <is>
          <t>00013887</t>
        </is>
      </c>
      <c r="B1352" s="23" t="inlineStr">
        <is>
          <t>DISCO DE CORTE DIAMANTADO SEGMENTADO PARA CONCRETO/ASFALTO, DIAMETRO DE *350* MM, FURO DE 25,40 MM</t>
        </is>
      </c>
      <c r="C1352" s="22" t="inlineStr">
        <is>
          <t>SINAPI</t>
        </is>
      </c>
      <c r="D1352" s="22" t="inlineStr">
        <is>
          <t>UN</t>
        </is>
      </c>
      <c r="E1352" s="63" t="n">
        <v>6.4e-05</v>
      </c>
      <c r="F1352" s="64" t="n">
        <v>305.88</v>
      </c>
      <c r="G1352" s="64">
        <f>TRUNC(TRUNC(E1352,8)*F1352,2)</f>
        <v/>
      </c>
      <c r="M1352" t="n">
        <v>305.88</v>
      </c>
      <c r="N1352">
        <f>(M1352-F1352)</f>
        <v/>
      </c>
    </row>
    <row r="1353" ht="15" customHeight="1">
      <c r="A1353" s="2" t="inlineStr"/>
      <c r="B1353" s="2" t="inlineStr"/>
      <c r="C1353" s="2" t="inlineStr"/>
      <c r="D1353" s="2" t="inlineStr"/>
      <c r="E1353" s="26" t="inlineStr">
        <is>
          <t>TOTAL Material:</t>
        </is>
      </c>
      <c r="F1353" s="56" t="n"/>
      <c r="G1353" s="65">
        <f>SUM(G1352:G1352)</f>
        <v/>
      </c>
    </row>
    <row r="1354" ht="15" customHeight="1">
      <c r="A1354" s="2" t="inlineStr"/>
      <c r="B1354" s="2" t="inlineStr"/>
      <c r="C1354" s="2" t="inlineStr"/>
      <c r="D1354" s="2" t="inlineStr"/>
      <c r="E1354" s="28" t="inlineStr">
        <is>
          <t>VALOR:</t>
        </is>
      </c>
      <c r="F1354" s="56" t="n"/>
      <c r="G1354" s="66">
        <f>ROUND(SUM(G1350,G1353),2)</f>
        <v/>
      </c>
    </row>
    <row r="1355" ht="15" customHeight="1">
      <c r="A1355" s="2" t="inlineStr"/>
      <c r="B1355" s="2" t="inlineStr"/>
      <c r="C1355" s="2" t="inlineStr"/>
      <c r="D1355" s="2" t="inlineStr"/>
      <c r="E1355" s="28" t="inlineStr">
        <is>
          <t>VALOR BDI (23.08%):</t>
        </is>
      </c>
      <c r="F1355" s="56" t="n"/>
      <c r="G1355" s="66">
        <f>ROUNDDOWN(G1354*BDI,2)</f>
        <v/>
      </c>
    </row>
    <row r="1356" ht="15" customHeight="1">
      <c r="A1356" s="2" t="inlineStr"/>
      <c r="B1356" s="2" t="inlineStr"/>
      <c r="C1356" s="2" t="inlineStr"/>
      <c r="D1356" s="2" t="inlineStr"/>
      <c r="E1356" s="28" t="inlineStr">
        <is>
          <t>VALOR COM BDI:</t>
        </is>
      </c>
      <c r="F1356" s="56" t="n"/>
      <c r="G1356" s="66">
        <f>G1355 + G1354</f>
        <v/>
      </c>
    </row>
    <row r="1357" ht="10" customHeight="1">
      <c r="A1357" s="2" t="inlineStr"/>
      <c r="B1357" s="2" t="inlineStr"/>
      <c r="C1357" s="2" t="inlineStr"/>
      <c r="D1357" s="2" t="inlineStr"/>
      <c r="E1357" s="18" t="inlineStr"/>
    </row>
    <row r="1358" ht="20" customHeight="1">
      <c r="A1358" s="19" t="inlineStr">
        <is>
          <t>​91280​ CORTADORA DE PISO COM MOTOR 4 TEMPOS A GASOLINA, POTÊNCIA DE 13 HP, COM DISCO DE CORTE DIAMANTADO SEGMENTADO PARA CONCRETO, DIÂMETRO DE 350 MM, FURO DE 1" (14 X 1") - JUROS. AF_08/2015​ (H)</t>
        </is>
      </c>
      <c r="B1358" s="55" t="n"/>
      <c r="C1358" s="55" t="n"/>
      <c r="D1358" s="55" t="n"/>
      <c r="E1358" s="55" t="n"/>
      <c r="F1358" s="55" t="n"/>
      <c r="G1358" s="56" t="n"/>
    </row>
    <row r="1359" ht="15" customHeight="1">
      <c r="A1359" s="20" t="inlineStr">
        <is>
          <t>Equipamento</t>
        </is>
      </c>
      <c r="B1359" s="56" t="n"/>
      <c r="C1359" s="21" t="inlineStr">
        <is>
          <t>FONTE</t>
        </is>
      </c>
      <c r="D1359" s="21" t="inlineStr">
        <is>
          <t>UNID</t>
        </is>
      </c>
      <c r="E1359" s="21" t="inlineStr">
        <is>
          <t>COEFICIENTE</t>
        </is>
      </c>
      <c r="F1359" s="21" t="inlineStr">
        <is>
          <t>PREÇO UNITÁRIO</t>
        </is>
      </c>
      <c r="G1359" s="21" t="inlineStr">
        <is>
          <t>TOTAL</t>
        </is>
      </c>
    </row>
    <row r="1360" ht="29" customHeight="1">
      <c r="A1360" s="22" t="inlineStr">
        <is>
          <t>00011280</t>
        </is>
      </c>
      <c r="B1360" s="23" t="inlineStr">
        <is>
          <t>CORTADEIRA DE PISO DE CONCRETO E ASFALTO, PARA DISCO PADRAO DE DIAMETRO 350 MM (14") OU 450 MM (18"), MOTOR A GASOLINA, POTENCIA 13 HP, SEM DISCO</t>
        </is>
      </c>
      <c r="C1360" s="22" t="inlineStr">
        <is>
          <t>SINAPI</t>
        </is>
      </c>
      <c r="D1360" s="22" t="inlineStr">
        <is>
          <t>UN</t>
        </is>
      </c>
      <c r="E1360" s="63" t="n">
        <v>1.48e-05</v>
      </c>
      <c r="F1360" s="64" t="n">
        <v>7585.75</v>
      </c>
      <c r="G1360" s="64">
        <f>TRUNC(TRUNC(E1360,8)*F1360,2)</f>
        <v/>
      </c>
      <c r="M1360" t="n">
        <v>7585.75</v>
      </c>
      <c r="N1360">
        <f>(M1360-F1360)</f>
        <v/>
      </c>
    </row>
    <row r="1361" ht="15" customHeight="1">
      <c r="A1361" s="2" t="inlineStr"/>
      <c r="B1361" s="2" t="inlineStr"/>
      <c r="C1361" s="2" t="inlineStr"/>
      <c r="D1361" s="2" t="inlineStr"/>
      <c r="E1361" s="26" t="inlineStr">
        <is>
          <t>TOTAL Equipamento:</t>
        </is>
      </c>
      <c r="F1361" s="56" t="n"/>
      <c r="G1361" s="65">
        <f>SUM(G1360:G1360)</f>
        <v/>
      </c>
    </row>
    <row r="1362" ht="15" customHeight="1">
      <c r="A1362" s="2" t="inlineStr"/>
      <c r="B1362" s="2" t="inlineStr"/>
      <c r="C1362" s="2" t="inlineStr"/>
      <c r="D1362" s="2" t="inlineStr"/>
      <c r="E1362" s="28" t="inlineStr">
        <is>
          <t>VALOR:</t>
        </is>
      </c>
      <c r="F1362" s="56" t="n"/>
      <c r="G1362" s="66">
        <f>ROUND(SUM(G1361),2)</f>
        <v/>
      </c>
    </row>
    <row r="1363" ht="15" customHeight="1">
      <c r="A1363" s="2" t="inlineStr"/>
      <c r="B1363" s="2" t="inlineStr"/>
      <c r="C1363" s="2" t="inlineStr"/>
      <c r="D1363" s="2" t="inlineStr"/>
      <c r="E1363" s="28" t="inlineStr">
        <is>
          <t>VALOR BDI (23.08%):</t>
        </is>
      </c>
      <c r="F1363" s="56" t="n"/>
      <c r="G1363" s="66">
        <f>ROUNDDOWN(G1362*BDI,2)</f>
        <v/>
      </c>
    </row>
    <row r="1364" ht="15" customHeight="1">
      <c r="A1364" s="2" t="inlineStr"/>
      <c r="B1364" s="2" t="inlineStr"/>
      <c r="C1364" s="2" t="inlineStr"/>
      <c r="D1364" s="2" t="inlineStr"/>
      <c r="E1364" s="28" t="inlineStr">
        <is>
          <t>VALOR COM BDI:</t>
        </is>
      </c>
      <c r="F1364" s="56" t="n"/>
      <c r="G1364" s="66">
        <f>G1363 + G1362</f>
        <v/>
      </c>
    </row>
    <row r="1365" ht="10" customHeight="1">
      <c r="A1365" s="2" t="inlineStr"/>
      <c r="B1365" s="2" t="inlineStr"/>
      <c r="C1365" s="2" t="inlineStr"/>
      <c r="D1365" s="2" t="inlineStr"/>
      <c r="E1365" s="18" t="inlineStr"/>
    </row>
    <row r="1366" ht="20" customHeight="1">
      <c r="A1366" s="19" t="inlineStr">
        <is>
          <t>​91281​ CORTADORA DE PISO COM MOTOR 4 TEMPOS A GASOLINA, POTÊNCIA DE 13 HP, COM DISCO DE CORTE DIAMANTADO SEGMENTADO PARA CONCRETO, DIÂMETRO DE 350 MM, FURO DE 1" (14 X 1") - MANUTENÇÃO. AF_08/2015​ (H)</t>
        </is>
      </c>
      <c r="B1366" s="55" t="n"/>
      <c r="C1366" s="55" t="n"/>
      <c r="D1366" s="55" t="n"/>
      <c r="E1366" s="55" t="n"/>
      <c r="F1366" s="55" t="n"/>
      <c r="G1366" s="56" t="n"/>
    </row>
    <row r="1367" ht="15" customHeight="1">
      <c r="A1367" s="20" t="inlineStr">
        <is>
          <t>Equipamento</t>
        </is>
      </c>
      <c r="B1367" s="56" t="n"/>
      <c r="C1367" s="21" t="inlineStr">
        <is>
          <t>FONTE</t>
        </is>
      </c>
      <c r="D1367" s="21" t="inlineStr">
        <is>
          <t>UNID</t>
        </is>
      </c>
      <c r="E1367" s="21" t="inlineStr">
        <is>
          <t>COEFICIENTE</t>
        </is>
      </c>
      <c r="F1367" s="21" t="inlineStr">
        <is>
          <t>PREÇO UNITÁRIO</t>
        </is>
      </c>
      <c r="G1367" s="21" t="inlineStr">
        <is>
          <t>TOTAL</t>
        </is>
      </c>
    </row>
    <row r="1368" ht="29" customHeight="1">
      <c r="A1368" s="22" t="inlineStr">
        <is>
          <t>00011280</t>
        </is>
      </c>
      <c r="B1368" s="23" t="inlineStr">
        <is>
          <t>CORTADEIRA DE PISO DE CONCRETO E ASFALTO, PARA DISCO PADRAO DE DIAMETRO 350 MM (14") OU 450 MM (18"), MOTOR A GASOLINA, POTENCIA 13 HP, SEM DISCO</t>
        </is>
      </c>
      <c r="C1368" s="22" t="inlineStr">
        <is>
          <t>SINAPI</t>
        </is>
      </c>
      <c r="D1368" s="22" t="inlineStr">
        <is>
          <t>UN</t>
        </is>
      </c>
      <c r="E1368" s="63" t="n">
        <v>8.000000000000001e-05</v>
      </c>
      <c r="F1368" s="64" t="n">
        <v>7585.75</v>
      </c>
      <c r="G1368" s="64">
        <f>TRUNC(TRUNC(E1368,8)*F1368,2)</f>
        <v/>
      </c>
      <c r="M1368" t="n">
        <v>7585.75</v>
      </c>
      <c r="N1368">
        <f>(M1368-F1368)</f>
        <v/>
      </c>
    </row>
    <row r="1369" ht="15" customHeight="1">
      <c r="A1369" s="2" t="inlineStr"/>
      <c r="B1369" s="2" t="inlineStr"/>
      <c r="C1369" s="2" t="inlineStr"/>
      <c r="D1369" s="2" t="inlineStr"/>
      <c r="E1369" s="26" t="inlineStr">
        <is>
          <t>TOTAL Equipamento:</t>
        </is>
      </c>
      <c r="F1369" s="56" t="n"/>
      <c r="G1369" s="65">
        <f>SUM(G1368:G1368)</f>
        <v/>
      </c>
    </row>
    <row r="1370" ht="15" customHeight="1">
      <c r="A1370" s="20" t="inlineStr">
        <is>
          <t>Material</t>
        </is>
      </c>
      <c r="B1370" s="56" t="n"/>
      <c r="C1370" s="21" t="inlineStr">
        <is>
          <t>FONTE</t>
        </is>
      </c>
      <c r="D1370" s="21" t="inlineStr">
        <is>
          <t>UNID</t>
        </is>
      </c>
      <c r="E1370" s="21" t="inlineStr">
        <is>
          <t>COEFICIENTE</t>
        </is>
      </c>
      <c r="F1370" s="21" t="inlineStr">
        <is>
          <t>PREÇO UNITÁRIO</t>
        </is>
      </c>
      <c r="G1370" s="21" t="inlineStr">
        <is>
          <t>TOTAL</t>
        </is>
      </c>
    </row>
    <row r="1371" ht="29" customHeight="1">
      <c r="A1371" s="22" t="inlineStr">
        <is>
          <t>00013887</t>
        </is>
      </c>
      <c r="B1371" s="23" t="inlineStr">
        <is>
          <t>DISCO DE CORTE DIAMANTADO SEGMENTADO PARA CONCRETO/ASFALTO, DIAMETRO DE *350* MM, FURO DE 25,40 MM</t>
        </is>
      </c>
      <c r="C1371" s="22" t="inlineStr">
        <is>
          <t>SINAPI</t>
        </is>
      </c>
      <c r="D1371" s="22" t="inlineStr">
        <is>
          <t>UN</t>
        </is>
      </c>
      <c r="E1371" s="63" t="n">
        <v>8.000000000000001e-05</v>
      </c>
      <c r="F1371" s="64" t="n">
        <v>305.88</v>
      </c>
      <c r="G1371" s="64">
        <f>TRUNC(TRUNC(E1371,8)*F1371,2)</f>
        <v/>
      </c>
      <c r="M1371" t="n">
        <v>305.88</v>
      </c>
      <c r="N1371">
        <f>(M1371-F1371)</f>
        <v/>
      </c>
    </row>
    <row r="1372" ht="15" customHeight="1">
      <c r="A1372" s="2" t="inlineStr"/>
      <c r="B1372" s="2" t="inlineStr"/>
      <c r="C1372" s="2" t="inlineStr"/>
      <c r="D1372" s="2" t="inlineStr"/>
      <c r="E1372" s="26" t="inlineStr">
        <is>
          <t>TOTAL Material:</t>
        </is>
      </c>
      <c r="F1372" s="56" t="n"/>
      <c r="G1372" s="65">
        <f>SUM(G1371:G1371)</f>
        <v/>
      </c>
    </row>
    <row r="1373" ht="15" customHeight="1">
      <c r="A1373" s="2" t="inlineStr"/>
      <c r="B1373" s="2" t="inlineStr"/>
      <c r="C1373" s="2" t="inlineStr"/>
      <c r="D1373" s="2" t="inlineStr"/>
      <c r="E1373" s="28" t="inlineStr">
        <is>
          <t>VALOR:</t>
        </is>
      </c>
      <c r="F1373" s="56" t="n"/>
      <c r="G1373" s="66">
        <f>ROUND(SUM(G1369,G1372),2)</f>
        <v/>
      </c>
    </row>
    <row r="1374" ht="15" customHeight="1">
      <c r="A1374" s="2" t="inlineStr"/>
      <c r="B1374" s="2" t="inlineStr"/>
      <c r="C1374" s="2" t="inlineStr"/>
      <c r="D1374" s="2" t="inlineStr"/>
      <c r="E1374" s="28" t="inlineStr">
        <is>
          <t>VALOR BDI (23.08%):</t>
        </is>
      </c>
      <c r="F1374" s="56" t="n"/>
      <c r="G1374" s="66">
        <f>ROUNDDOWN(G1373*BDI,2)</f>
        <v/>
      </c>
    </row>
    <row r="1375" ht="15" customHeight="1">
      <c r="A1375" s="2" t="inlineStr"/>
      <c r="B1375" s="2" t="inlineStr"/>
      <c r="C1375" s="2" t="inlineStr"/>
      <c r="D1375" s="2" t="inlineStr"/>
      <c r="E1375" s="28" t="inlineStr">
        <is>
          <t>VALOR COM BDI:</t>
        </is>
      </c>
      <c r="F1375" s="56" t="n"/>
      <c r="G1375" s="66">
        <f>G1374 + G1373</f>
        <v/>
      </c>
    </row>
    <row r="1376" ht="10" customHeight="1">
      <c r="A1376" s="2" t="inlineStr"/>
      <c r="B1376" s="2" t="inlineStr"/>
      <c r="C1376" s="2" t="inlineStr"/>
      <c r="D1376" s="2" t="inlineStr"/>
      <c r="E1376" s="18" t="inlineStr"/>
    </row>
    <row r="1377" ht="20" customHeight="1">
      <c r="A1377" s="19" t="inlineStr">
        <is>
          <t>​91282​ CORTADORA DE PISO COM MOTOR 4 TEMPOS A GASOLINA, POTÊNCIA DE 13 HP, COM DISCO DE CORTE DIAMANTADO SEGMENTADO PARA CONCRETO, DIÂMETRO DE 350 MM, FURO DE 1" (14 X 1") - MATERIAIS NA OPERAÇÃO. AF_08/2015​ (H)</t>
        </is>
      </c>
      <c r="B1377" s="55" t="n"/>
      <c r="C1377" s="55" t="n"/>
      <c r="D1377" s="55" t="n"/>
      <c r="E1377" s="55" t="n"/>
      <c r="F1377" s="55" t="n"/>
      <c r="G1377" s="56" t="n"/>
    </row>
    <row r="1378" ht="15" customHeight="1">
      <c r="A1378" s="20" t="inlineStr">
        <is>
          <t>Material</t>
        </is>
      </c>
      <c r="B1378" s="56" t="n"/>
      <c r="C1378" s="21" t="inlineStr">
        <is>
          <t>FONTE</t>
        </is>
      </c>
      <c r="D1378" s="21" t="inlineStr">
        <is>
          <t>UNID</t>
        </is>
      </c>
      <c r="E1378" s="21" t="inlineStr">
        <is>
          <t>COEFICIENTE</t>
        </is>
      </c>
      <c r="F1378" s="21" t="inlineStr">
        <is>
          <t>PREÇO UNITÁRIO</t>
        </is>
      </c>
      <c r="G1378" s="21" t="inlineStr">
        <is>
          <t>TOTAL</t>
        </is>
      </c>
    </row>
    <row r="1379" ht="15" customHeight="1">
      <c r="A1379" s="22" t="inlineStr">
        <is>
          <t>00004222</t>
        </is>
      </c>
      <c r="B1379" s="23" t="inlineStr">
        <is>
          <t>GASOLINA COMUM</t>
        </is>
      </c>
      <c r="C1379" s="22" t="inlineStr">
        <is>
          <t>SINAPI</t>
        </is>
      </c>
      <c r="D1379" s="22" t="inlineStr">
        <is>
          <t>L</t>
        </is>
      </c>
      <c r="E1379" s="63" t="n">
        <v>1.45</v>
      </c>
      <c r="F1379" s="64" t="n">
        <v>6.31</v>
      </c>
      <c r="G1379" s="64">
        <f>TRUNC(TRUNC(E1379,8)*F1379,2)</f>
        <v/>
      </c>
      <c r="L1379" t="n">
        <v>1.45</v>
      </c>
      <c r="M1379" t="n">
        <v>6.31</v>
      </c>
      <c r="N1379">
        <f>(M1379-F1379)</f>
        <v/>
      </c>
    </row>
    <row r="1380" ht="15" customHeight="1">
      <c r="A1380" s="2" t="inlineStr"/>
      <c r="B1380" s="2" t="inlineStr"/>
      <c r="C1380" s="2" t="inlineStr"/>
      <c r="D1380" s="2" t="inlineStr"/>
      <c r="E1380" s="26" t="inlineStr">
        <is>
          <t>TOTAL Material:</t>
        </is>
      </c>
      <c r="F1380" s="56" t="n"/>
      <c r="G1380" s="65">
        <f>SUM(G1379:G1379)</f>
        <v/>
      </c>
    </row>
    <row r="1381" ht="15" customHeight="1">
      <c r="A1381" s="2" t="inlineStr"/>
      <c r="B1381" s="2" t="inlineStr"/>
      <c r="C1381" s="2" t="inlineStr"/>
      <c r="D1381" s="2" t="inlineStr"/>
      <c r="E1381" s="28" t="inlineStr">
        <is>
          <t>VALOR:</t>
        </is>
      </c>
      <c r="F1381" s="56" t="n"/>
      <c r="G1381" s="66">
        <f>ROUND(SUM(G1380),2)</f>
        <v/>
      </c>
    </row>
    <row r="1382" ht="15" customHeight="1">
      <c r="A1382" s="2" t="inlineStr"/>
      <c r="B1382" s="2" t="inlineStr"/>
      <c r="C1382" s="2" t="inlineStr"/>
      <c r="D1382" s="2" t="inlineStr"/>
      <c r="E1382" s="28" t="inlineStr">
        <is>
          <t>VALOR BDI (23.08%):</t>
        </is>
      </c>
      <c r="F1382" s="56" t="n"/>
      <c r="G1382" s="66">
        <f>ROUNDDOWN(G1381*BDI,2)</f>
        <v/>
      </c>
    </row>
    <row r="1383" ht="15" customHeight="1">
      <c r="A1383" s="2" t="inlineStr"/>
      <c r="B1383" s="2" t="inlineStr"/>
      <c r="C1383" s="2" t="inlineStr"/>
      <c r="D1383" s="2" t="inlineStr"/>
      <c r="E1383" s="28" t="inlineStr">
        <is>
          <t>VALOR COM BDI:</t>
        </is>
      </c>
      <c r="F1383" s="56" t="n"/>
      <c r="G1383" s="66">
        <f>G1382 + G1381</f>
        <v/>
      </c>
    </row>
    <row r="1384" ht="10" customHeight="1">
      <c r="A1384" s="2" t="inlineStr"/>
      <c r="B1384" s="2" t="inlineStr"/>
      <c r="C1384" s="2" t="inlineStr"/>
      <c r="D1384" s="2" t="inlineStr"/>
      <c r="E1384" s="18" t="inlineStr"/>
    </row>
    <row r="1385" ht="20" customHeight="1">
      <c r="A1385" s="19" t="inlineStr">
        <is>
          <t>​92803​ CORTE E DOBRA DE AÇO CA-50, DIÂMETRO DE 10,0 MM. AF_06/2022​ (KG)</t>
        </is>
      </c>
      <c r="B1385" s="55" t="n"/>
      <c r="C1385" s="55" t="n"/>
      <c r="D1385" s="55" t="n"/>
      <c r="E1385" s="55" t="n"/>
      <c r="F1385" s="55" t="n"/>
      <c r="G1385" s="56" t="n"/>
    </row>
    <row r="1386" ht="15" customHeight="1">
      <c r="A1386" s="20" t="inlineStr">
        <is>
          <t>Material</t>
        </is>
      </c>
      <c r="B1386" s="56" t="n"/>
      <c r="C1386" s="21" t="inlineStr">
        <is>
          <t>FONTE</t>
        </is>
      </c>
      <c r="D1386" s="21" t="inlineStr">
        <is>
          <t>UNID</t>
        </is>
      </c>
      <c r="E1386" s="21" t="inlineStr">
        <is>
          <t>COEFICIENTE</t>
        </is>
      </c>
      <c r="F1386" s="21" t="inlineStr">
        <is>
          <t>PREÇO UNITÁRIO</t>
        </is>
      </c>
      <c r="G1386" s="21" t="inlineStr">
        <is>
          <t>TOTAL</t>
        </is>
      </c>
    </row>
    <row r="1387" ht="15" customHeight="1">
      <c r="A1387" s="22" t="inlineStr">
        <is>
          <t>00000034</t>
        </is>
      </c>
      <c r="B1387" s="23" t="inlineStr">
        <is>
          <t>ACO CA-50, 10,0 MM, VERGALHAO</t>
        </is>
      </c>
      <c r="C1387" s="22" t="inlineStr">
        <is>
          <t>SINAPI</t>
        </is>
      </c>
      <c r="D1387" s="22" t="inlineStr">
        <is>
          <t>KG</t>
        </is>
      </c>
      <c r="E1387" s="63" t="n">
        <v>1.11</v>
      </c>
      <c r="F1387" s="64">
        <f>ROUND(M1387*FATOR, 2)</f>
        <v/>
      </c>
      <c r="G1387" s="64">
        <f>TRUNC(TRUNC(E1387,8)*F1387,2)</f>
        <v/>
      </c>
      <c r="L1387" t="n">
        <v>1.11</v>
      </c>
      <c r="M1387" t="n">
        <v>7.4</v>
      </c>
      <c r="N1387">
        <f>(M1387-F1387)</f>
        <v/>
      </c>
    </row>
    <row r="1388" ht="15" customHeight="1">
      <c r="A1388" s="2" t="inlineStr"/>
      <c r="B1388" s="2" t="inlineStr"/>
      <c r="C1388" s="2" t="inlineStr"/>
      <c r="D1388" s="2" t="inlineStr"/>
      <c r="E1388" s="26" t="inlineStr">
        <is>
          <t>TOTAL Material:</t>
        </is>
      </c>
      <c r="F1388" s="56" t="n"/>
      <c r="G1388" s="65">
        <f>SUM(G1387:G1387)</f>
        <v/>
      </c>
    </row>
    <row r="1389" ht="15" customHeight="1">
      <c r="A1389" s="20" t="inlineStr">
        <is>
          <t>Mão de Obra com Encargos Complementares</t>
        </is>
      </c>
      <c r="B1389" s="56" t="n"/>
      <c r="C1389" s="21" t="inlineStr">
        <is>
          <t>FONTE</t>
        </is>
      </c>
      <c r="D1389" s="21" t="inlineStr">
        <is>
          <t>UNID</t>
        </is>
      </c>
      <c r="E1389" s="21" t="inlineStr">
        <is>
          <t>COEFICIENTE</t>
        </is>
      </c>
      <c r="F1389" s="21" t="inlineStr">
        <is>
          <t>PREÇO UNITÁRIO</t>
        </is>
      </c>
      <c r="G1389" s="21" t="inlineStr">
        <is>
          <t>TOTAL</t>
        </is>
      </c>
    </row>
    <row r="1390" ht="21" customHeight="1">
      <c r="A1390" s="22" t="inlineStr">
        <is>
          <t>88238</t>
        </is>
      </c>
      <c r="B1390" s="23" t="inlineStr">
        <is>
          <t>AJUDANTE DE ARMADOR COM ENCARGOS COMPLEMENTARES</t>
        </is>
      </c>
      <c r="C1390" s="22" t="inlineStr">
        <is>
          <t>SINAPI</t>
        </is>
      </c>
      <c r="D1390" s="22" t="inlineStr">
        <is>
          <t>H</t>
        </is>
      </c>
      <c r="E1390" s="63">
        <f>L1390*FATOR</f>
        <v/>
      </c>
      <c r="F1390" s="64">
        <f>'COMPOSICOES AUXILIARES'!G26</f>
        <v/>
      </c>
      <c r="G1390" s="64">
        <f>TRUNC(TRUNC(E1390,8)*F1390,2)</f>
        <v/>
      </c>
      <c r="L1390" t="n">
        <v>0.0014</v>
      </c>
      <c r="M1390" t="n">
        <v>24.77</v>
      </c>
      <c r="N1390">
        <f>(M1390-F1390)</f>
        <v/>
      </c>
    </row>
    <row r="1391" ht="15" customHeight="1">
      <c r="A1391" s="22" t="inlineStr">
        <is>
          <t>88245</t>
        </is>
      </c>
      <c r="B1391" s="23" t="inlineStr">
        <is>
          <t>ARMADOR COM ENCARGOS COMPLEMENTARES</t>
        </is>
      </c>
      <c r="C1391" s="22" t="inlineStr">
        <is>
          <t>SINAPI</t>
        </is>
      </c>
      <c r="D1391" s="22" t="inlineStr">
        <is>
          <t>H</t>
        </is>
      </c>
      <c r="E1391" s="63">
        <f>L1391*FATOR</f>
        <v/>
      </c>
      <c r="F1391" s="64">
        <f>'COMPOSICOES AUXILIARES'!G388</f>
        <v/>
      </c>
      <c r="G1391" s="64">
        <f>TRUNC(TRUNC(E1391,8)*F1391,2)</f>
        <v/>
      </c>
      <c r="L1391" t="n">
        <v>0.008800000000000001</v>
      </c>
      <c r="M1391" t="n">
        <v>30.43</v>
      </c>
      <c r="N1391">
        <f>(M1391-F1391)</f>
        <v/>
      </c>
    </row>
    <row r="1392" ht="18" customHeight="1">
      <c r="A1392" s="2" t="inlineStr"/>
      <c r="B1392" s="2" t="inlineStr"/>
      <c r="C1392" s="2" t="inlineStr"/>
      <c r="D1392" s="2" t="inlineStr"/>
      <c r="E1392" s="26" t="inlineStr">
        <is>
          <t>TOTAL Mão de Obra com Encargos Complementares:</t>
        </is>
      </c>
      <c r="F1392" s="56" t="n"/>
      <c r="G1392" s="65">
        <f>SUM(G1390:G1391)</f>
        <v/>
      </c>
    </row>
    <row r="1393" ht="15" customHeight="1">
      <c r="A1393" s="2" t="inlineStr"/>
      <c r="B1393" s="2" t="inlineStr"/>
      <c r="C1393" s="2" t="inlineStr"/>
      <c r="D1393" s="2" t="inlineStr"/>
      <c r="E1393" s="28" t="inlineStr">
        <is>
          <t>VALOR:</t>
        </is>
      </c>
      <c r="F1393" s="56" t="n"/>
      <c r="G1393" s="66">
        <f>SUM(G1392,G1388)</f>
        <v/>
      </c>
    </row>
    <row r="1394" ht="15" customHeight="1">
      <c r="A1394" s="2" t="inlineStr"/>
      <c r="B1394" s="2" t="inlineStr"/>
      <c r="C1394" s="2" t="inlineStr"/>
      <c r="D1394" s="2" t="inlineStr"/>
      <c r="E1394" s="28" t="inlineStr">
        <is>
          <t>VALOR BDI (23.08%):</t>
        </is>
      </c>
      <c r="F1394" s="56" t="n"/>
      <c r="G1394" s="66">
        <f>ROUNDDOWN(G1393*BDI,2)</f>
        <v/>
      </c>
    </row>
    <row r="1395" ht="15" customHeight="1">
      <c r="A1395" s="2" t="inlineStr"/>
      <c r="B1395" s="2" t="inlineStr"/>
      <c r="C1395" s="2" t="inlineStr"/>
      <c r="D1395" s="2" t="inlineStr"/>
      <c r="E1395" s="28" t="inlineStr">
        <is>
          <t>VALOR COM BDI:</t>
        </is>
      </c>
      <c r="F1395" s="56" t="n"/>
      <c r="G1395" s="66">
        <f>G1394 + G1393</f>
        <v/>
      </c>
    </row>
    <row r="1396" ht="10" customHeight="1">
      <c r="A1396" s="2" t="inlineStr"/>
      <c r="B1396" s="2" t="inlineStr"/>
      <c r="C1396" s="2" t="inlineStr"/>
      <c r="D1396" s="2" t="inlineStr"/>
      <c r="E1396" s="18" t="inlineStr"/>
    </row>
    <row r="1397" ht="20" customHeight="1">
      <c r="A1397" s="19" t="inlineStr">
        <is>
          <t>​92804​ CORTE E DOBRA DE AÇO CA-50, DIÂMETRO DE 12,5 MM. AF_06/2022​ (KG)</t>
        </is>
      </c>
      <c r="B1397" s="55" t="n"/>
      <c r="C1397" s="55" t="n"/>
      <c r="D1397" s="55" t="n"/>
      <c r="E1397" s="55" t="n"/>
      <c r="F1397" s="55" t="n"/>
      <c r="G1397" s="56" t="n"/>
    </row>
    <row r="1398" ht="15" customHeight="1">
      <c r="A1398" s="20" t="inlineStr">
        <is>
          <t>Material</t>
        </is>
      </c>
      <c r="B1398" s="56" t="n"/>
      <c r="C1398" s="21" t="inlineStr">
        <is>
          <t>FONTE</t>
        </is>
      </c>
      <c r="D1398" s="21" t="inlineStr">
        <is>
          <t>UNID</t>
        </is>
      </c>
      <c r="E1398" s="21" t="inlineStr">
        <is>
          <t>COEFICIENTE</t>
        </is>
      </c>
      <c r="F1398" s="21" t="inlineStr">
        <is>
          <t>PREÇO UNITÁRIO</t>
        </is>
      </c>
      <c r="G1398" s="21" t="inlineStr">
        <is>
          <t>TOTAL</t>
        </is>
      </c>
    </row>
    <row r="1399" ht="15" customHeight="1">
      <c r="A1399" s="22" t="inlineStr">
        <is>
          <t>00043055</t>
        </is>
      </c>
      <c r="B1399" s="23" t="inlineStr">
        <is>
          <t>ACO CA-50, 12,5 MM OU 16,0 MM, VERGALHAO</t>
        </is>
      </c>
      <c r="C1399" s="22" t="inlineStr">
        <is>
          <t>SINAPI</t>
        </is>
      </c>
      <c r="D1399" s="22" t="inlineStr">
        <is>
          <t>KG</t>
        </is>
      </c>
      <c r="E1399" s="63" t="n">
        <v>1.11</v>
      </c>
      <c r="F1399" s="64">
        <f>ROUND(M1399*FATOR, 2)</f>
        <v/>
      </c>
      <c r="G1399" s="64">
        <f>TRUNC(TRUNC(E1399,8)*F1399,2)</f>
        <v/>
      </c>
      <c r="L1399" t="n">
        <v>1.11</v>
      </c>
      <c r="M1399" t="n">
        <v>6.41</v>
      </c>
      <c r="N1399">
        <f>(M1399-F1399)</f>
        <v/>
      </c>
    </row>
    <row r="1400" ht="15" customHeight="1">
      <c r="A1400" s="2" t="inlineStr"/>
      <c r="B1400" s="2" t="inlineStr"/>
      <c r="C1400" s="2" t="inlineStr"/>
      <c r="D1400" s="2" t="inlineStr"/>
      <c r="E1400" s="26" t="inlineStr">
        <is>
          <t>TOTAL Material:</t>
        </is>
      </c>
      <c r="F1400" s="56" t="n"/>
      <c r="G1400" s="65">
        <f>SUM(G1399:G1399)</f>
        <v/>
      </c>
    </row>
    <row r="1401" ht="15" customHeight="1">
      <c r="A1401" s="20" t="inlineStr">
        <is>
          <t>Mão de Obra com Encargos Complementares</t>
        </is>
      </c>
      <c r="B1401" s="56" t="n"/>
      <c r="C1401" s="21" t="inlineStr">
        <is>
          <t>FONTE</t>
        </is>
      </c>
      <c r="D1401" s="21" t="inlineStr">
        <is>
          <t>UNID</t>
        </is>
      </c>
      <c r="E1401" s="21" t="inlineStr">
        <is>
          <t>COEFICIENTE</t>
        </is>
      </c>
      <c r="F1401" s="21" t="inlineStr">
        <is>
          <t>PREÇO UNITÁRIO</t>
        </is>
      </c>
      <c r="G1401" s="21" t="inlineStr">
        <is>
          <t>TOTAL</t>
        </is>
      </c>
    </row>
    <row r="1402" ht="21" customHeight="1">
      <c r="A1402" s="22" t="inlineStr">
        <is>
          <t>88238</t>
        </is>
      </c>
      <c r="B1402" s="23" t="inlineStr">
        <is>
          <t>AJUDANTE DE ARMADOR COM ENCARGOS COMPLEMENTARES</t>
        </is>
      </c>
      <c r="C1402" s="22" t="inlineStr">
        <is>
          <t>SINAPI</t>
        </is>
      </c>
      <c r="D1402" s="22" t="inlineStr">
        <is>
          <t>H</t>
        </is>
      </c>
      <c r="E1402" s="63">
        <f>L1402*FATOR</f>
        <v/>
      </c>
      <c r="F1402" s="64">
        <f>'COMPOSICOES AUXILIARES'!G26</f>
        <v/>
      </c>
      <c r="G1402" s="64">
        <f>TRUNC(TRUNC(E1402,8)*F1402,2)</f>
        <v/>
      </c>
      <c r="L1402" t="n">
        <v>0.0008</v>
      </c>
      <c r="M1402" t="n">
        <v>24.77</v>
      </c>
      <c r="N1402">
        <f>(M1402-F1402)</f>
        <v/>
      </c>
    </row>
    <row r="1403" ht="15" customHeight="1">
      <c r="A1403" s="22" t="inlineStr">
        <is>
          <t>88245</t>
        </is>
      </c>
      <c r="B1403" s="23" t="inlineStr">
        <is>
          <t>ARMADOR COM ENCARGOS COMPLEMENTARES</t>
        </is>
      </c>
      <c r="C1403" s="22" t="inlineStr">
        <is>
          <t>SINAPI</t>
        </is>
      </c>
      <c r="D1403" s="22" t="inlineStr">
        <is>
          <t>H</t>
        </is>
      </c>
      <c r="E1403" s="63">
        <f>L1403*FATOR</f>
        <v/>
      </c>
      <c r="F1403" s="64">
        <f>'COMPOSICOES AUXILIARES'!G388</f>
        <v/>
      </c>
      <c r="G1403" s="64">
        <f>TRUNC(TRUNC(E1403,8)*F1403,2)</f>
        <v/>
      </c>
      <c r="L1403" t="n">
        <v>0.0048</v>
      </c>
      <c r="M1403" t="n">
        <v>30.43</v>
      </c>
      <c r="N1403">
        <f>(M1403-F1403)</f>
        <v/>
      </c>
    </row>
    <row r="1404" ht="18" customHeight="1">
      <c r="A1404" s="2" t="inlineStr"/>
      <c r="B1404" s="2" t="inlineStr"/>
      <c r="C1404" s="2" t="inlineStr"/>
      <c r="D1404" s="2" t="inlineStr"/>
      <c r="E1404" s="26" t="inlineStr">
        <is>
          <t>TOTAL Mão de Obra com Encargos Complementares:</t>
        </is>
      </c>
      <c r="F1404" s="56" t="n"/>
      <c r="G1404" s="65">
        <f>SUM(G1402:G1403)</f>
        <v/>
      </c>
    </row>
    <row r="1405" ht="15" customHeight="1">
      <c r="A1405" s="2" t="inlineStr"/>
      <c r="B1405" s="2" t="inlineStr"/>
      <c r="C1405" s="2" t="inlineStr"/>
      <c r="D1405" s="2" t="inlineStr"/>
      <c r="E1405" s="28" t="inlineStr">
        <is>
          <t>VALOR:</t>
        </is>
      </c>
      <c r="F1405" s="56" t="n"/>
      <c r="G1405" s="66">
        <f>SUM(G1400,G1404)</f>
        <v/>
      </c>
    </row>
    <row r="1406" ht="15" customHeight="1">
      <c r="A1406" s="2" t="inlineStr"/>
      <c r="B1406" s="2" t="inlineStr"/>
      <c r="C1406" s="2" t="inlineStr"/>
      <c r="D1406" s="2" t="inlineStr"/>
      <c r="E1406" s="28" t="inlineStr">
        <is>
          <t>VALOR BDI (23.08%):</t>
        </is>
      </c>
      <c r="F1406" s="56" t="n"/>
      <c r="G1406" s="66">
        <f>ROUNDDOWN(G1405*BDI,2)</f>
        <v/>
      </c>
    </row>
    <row r="1407" ht="15" customHeight="1">
      <c r="A1407" s="2" t="inlineStr"/>
      <c r="B1407" s="2" t="inlineStr"/>
      <c r="C1407" s="2" t="inlineStr"/>
      <c r="D1407" s="2" t="inlineStr"/>
      <c r="E1407" s="28" t="inlineStr">
        <is>
          <t>VALOR COM BDI:</t>
        </is>
      </c>
      <c r="F1407" s="56" t="n"/>
      <c r="G1407" s="66">
        <f>G1406 + G1405</f>
        <v/>
      </c>
    </row>
    <row r="1408" ht="10" customHeight="1">
      <c r="A1408" s="2" t="inlineStr"/>
      <c r="B1408" s="2" t="inlineStr"/>
      <c r="C1408" s="2" t="inlineStr"/>
      <c r="D1408" s="2" t="inlineStr"/>
      <c r="E1408" s="18" t="inlineStr"/>
    </row>
    <row r="1409" ht="20" customHeight="1">
      <c r="A1409" s="19" t="inlineStr">
        <is>
          <t>​92805​ CORTE E DOBRA DE AÇO CA-50, DIÂMETRO DE 16,0 MM. AF_06/2022​ (KG)</t>
        </is>
      </c>
      <c r="B1409" s="55" t="n"/>
      <c r="C1409" s="55" t="n"/>
      <c r="D1409" s="55" t="n"/>
      <c r="E1409" s="55" t="n"/>
      <c r="F1409" s="55" t="n"/>
      <c r="G1409" s="56" t="n"/>
    </row>
    <row r="1410" ht="15" customHeight="1">
      <c r="A1410" s="20" t="inlineStr">
        <is>
          <t>Material</t>
        </is>
      </c>
      <c r="B1410" s="56" t="n"/>
      <c r="C1410" s="21" t="inlineStr">
        <is>
          <t>FONTE</t>
        </is>
      </c>
      <c r="D1410" s="21" t="inlineStr">
        <is>
          <t>UNID</t>
        </is>
      </c>
      <c r="E1410" s="21" t="inlineStr">
        <is>
          <t>COEFICIENTE</t>
        </is>
      </c>
      <c r="F1410" s="21" t="inlineStr">
        <is>
          <t>PREÇO UNITÁRIO</t>
        </is>
      </c>
      <c r="G1410" s="21" t="inlineStr">
        <is>
          <t>TOTAL</t>
        </is>
      </c>
    </row>
    <row r="1411" ht="15" customHeight="1">
      <c r="A1411" s="22" t="inlineStr">
        <is>
          <t>00043055</t>
        </is>
      </c>
      <c r="B1411" s="23" t="inlineStr">
        <is>
          <t>ACO CA-50, 12,5 MM OU 16,0 MM, VERGALHAO</t>
        </is>
      </c>
      <c r="C1411" s="22" t="inlineStr">
        <is>
          <t>SINAPI</t>
        </is>
      </c>
      <c r="D1411" s="22" t="inlineStr">
        <is>
          <t>KG</t>
        </is>
      </c>
      <c r="E1411" s="63" t="n">
        <v>1.11</v>
      </c>
      <c r="F1411" s="64">
        <f>ROUND(M1411*FATOR, 2)</f>
        <v/>
      </c>
      <c r="G1411" s="64">
        <f>TRUNC(TRUNC(E1411,8)*F1411,2)</f>
        <v/>
      </c>
      <c r="L1411" t="n">
        <v>1.11</v>
      </c>
      <c r="M1411" t="n">
        <v>6.41</v>
      </c>
      <c r="N1411">
        <f>(M1411-F1411)</f>
        <v/>
      </c>
    </row>
    <row r="1412" ht="15" customHeight="1">
      <c r="A1412" s="2" t="inlineStr"/>
      <c r="B1412" s="2" t="inlineStr"/>
      <c r="C1412" s="2" t="inlineStr"/>
      <c r="D1412" s="2" t="inlineStr"/>
      <c r="E1412" s="26" t="inlineStr">
        <is>
          <t>TOTAL Material:</t>
        </is>
      </c>
      <c r="F1412" s="56" t="n"/>
      <c r="G1412" s="65">
        <f>SUM(G1411:G1411)</f>
        <v/>
      </c>
    </row>
    <row r="1413" ht="15" customHeight="1">
      <c r="A1413" s="20" t="inlineStr">
        <is>
          <t>Mão de Obra com Encargos Complementares</t>
        </is>
      </c>
      <c r="B1413" s="56" t="n"/>
      <c r="C1413" s="21" t="inlineStr">
        <is>
          <t>FONTE</t>
        </is>
      </c>
      <c r="D1413" s="21" t="inlineStr">
        <is>
          <t>UNID</t>
        </is>
      </c>
      <c r="E1413" s="21" t="inlineStr">
        <is>
          <t>COEFICIENTE</t>
        </is>
      </c>
      <c r="F1413" s="21" t="inlineStr">
        <is>
          <t>PREÇO UNITÁRIO</t>
        </is>
      </c>
      <c r="G1413" s="21" t="inlineStr">
        <is>
          <t>TOTAL</t>
        </is>
      </c>
    </row>
    <row r="1414" ht="15" customHeight="1">
      <c r="A1414" s="22" t="inlineStr">
        <is>
          <t>88245</t>
        </is>
      </c>
      <c r="B1414" s="23" t="inlineStr">
        <is>
          <t>ARMADOR COM ENCARGOS COMPLEMENTARES</t>
        </is>
      </c>
      <c r="C1414" s="22" t="inlineStr">
        <is>
          <t>SINAPI</t>
        </is>
      </c>
      <c r="D1414" s="22" t="inlineStr">
        <is>
          <t>H</t>
        </is>
      </c>
      <c r="E1414" s="63">
        <f>L1414*FATOR</f>
        <v/>
      </c>
      <c r="F1414" s="64">
        <f>'COMPOSICOES AUXILIARES'!G388</f>
        <v/>
      </c>
      <c r="G1414" s="64">
        <f>TRUNC(TRUNC(E1414,8)*F1414,2)</f>
        <v/>
      </c>
      <c r="L1414" t="n">
        <v>0.0025</v>
      </c>
      <c r="M1414" t="n">
        <v>30.43</v>
      </c>
      <c r="N1414">
        <f>(M1414-F1414)</f>
        <v/>
      </c>
    </row>
    <row r="1415" ht="18" customHeight="1">
      <c r="A1415" s="2" t="inlineStr"/>
      <c r="B1415" s="2" t="inlineStr"/>
      <c r="C1415" s="2" t="inlineStr"/>
      <c r="D1415" s="2" t="inlineStr"/>
      <c r="E1415" s="26" t="inlineStr">
        <is>
          <t>TOTAL Mão de Obra com Encargos Complementares:</t>
        </is>
      </c>
      <c r="F1415" s="56" t="n"/>
      <c r="G1415" s="65">
        <f>SUM(G1414:G1414)</f>
        <v/>
      </c>
    </row>
    <row r="1416" ht="15" customHeight="1">
      <c r="A1416" s="2" t="inlineStr"/>
      <c r="B1416" s="2" t="inlineStr"/>
      <c r="C1416" s="2" t="inlineStr"/>
      <c r="D1416" s="2" t="inlineStr"/>
      <c r="E1416" s="28" t="inlineStr">
        <is>
          <t>VALOR:</t>
        </is>
      </c>
      <c r="F1416" s="56" t="n"/>
      <c r="G1416" s="66">
        <f>SUM(G1412,G1415)</f>
        <v/>
      </c>
    </row>
    <row r="1417" ht="15" customHeight="1">
      <c r="A1417" s="2" t="inlineStr"/>
      <c r="B1417" s="2" t="inlineStr"/>
      <c r="C1417" s="2" t="inlineStr"/>
      <c r="D1417" s="2" t="inlineStr"/>
      <c r="E1417" s="28" t="inlineStr">
        <is>
          <t>VALOR BDI (23.08%):</t>
        </is>
      </c>
      <c r="F1417" s="56" t="n"/>
      <c r="G1417" s="66">
        <f>ROUNDDOWN(G1416*BDI,2)</f>
        <v/>
      </c>
    </row>
    <row r="1418" ht="15" customHeight="1">
      <c r="A1418" s="2" t="inlineStr"/>
      <c r="B1418" s="2" t="inlineStr"/>
      <c r="C1418" s="2" t="inlineStr"/>
      <c r="D1418" s="2" t="inlineStr"/>
      <c r="E1418" s="28" t="inlineStr">
        <is>
          <t>VALOR COM BDI:</t>
        </is>
      </c>
      <c r="F1418" s="56" t="n"/>
      <c r="G1418" s="66">
        <f>G1417 + G1416</f>
        <v/>
      </c>
    </row>
    <row r="1419" ht="10" customHeight="1">
      <c r="A1419" s="2" t="inlineStr"/>
      <c r="B1419" s="2" t="inlineStr"/>
      <c r="C1419" s="2" t="inlineStr"/>
      <c r="D1419" s="2" t="inlineStr"/>
      <c r="E1419" s="18" t="inlineStr"/>
    </row>
    <row r="1420" ht="20" customHeight="1">
      <c r="A1420" s="19" t="inlineStr">
        <is>
          <t>​92806​ CORTE E DOBRA DE AÇO CA-50, DIÂMETRO DE 20,0 MM. AF_06/2022​ (KG)</t>
        </is>
      </c>
      <c r="B1420" s="55" t="n"/>
      <c r="C1420" s="55" t="n"/>
      <c r="D1420" s="55" t="n"/>
      <c r="E1420" s="55" t="n"/>
      <c r="F1420" s="55" t="n"/>
      <c r="G1420" s="56" t="n"/>
    </row>
    <row r="1421" ht="15" customHeight="1">
      <c r="A1421" s="20" t="inlineStr">
        <is>
          <t>Material</t>
        </is>
      </c>
      <c r="B1421" s="56" t="n"/>
      <c r="C1421" s="21" t="inlineStr">
        <is>
          <t>FONTE</t>
        </is>
      </c>
      <c r="D1421" s="21" t="inlineStr">
        <is>
          <t>UNID</t>
        </is>
      </c>
      <c r="E1421" s="21" t="inlineStr">
        <is>
          <t>COEFICIENTE</t>
        </is>
      </c>
      <c r="F1421" s="21" t="inlineStr">
        <is>
          <t>PREÇO UNITÁRIO</t>
        </is>
      </c>
      <c r="G1421" s="21" t="inlineStr">
        <is>
          <t>TOTAL</t>
        </is>
      </c>
    </row>
    <row r="1422" ht="15" customHeight="1">
      <c r="A1422" s="22" t="inlineStr">
        <is>
          <t>00043056</t>
        </is>
      </c>
      <c r="B1422" s="23" t="inlineStr">
        <is>
          <t>ACO CA-50, 20,0 MM OU 25,0 MM, VERGALHAO</t>
        </is>
      </c>
      <c r="C1422" s="22" t="inlineStr">
        <is>
          <t>SINAPI</t>
        </is>
      </c>
      <c r="D1422" s="22" t="inlineStr">
        <is>
          <t>KG</t>
        </is>
      </c>
      <c r="E1422" s="63" t="n">
        <v>1.14</v>
      </c>
      <c r="F1422" s="64">
        <f>ROUND(M1422*FATOR, 2)</f>
        <v/>
      </c>
      <c r="G1422" s="64">
        <f>TRUNC(TRUNC(E1422,8)*F1422,2)</f>
        <v/>
      </c>
      <c r="L1422" t="n">
        <v>1.14</v>
      </c>
      <c r="M1422" t="n">
        <v>7.39</v>
      </c>
      <c r="N1422">
        <f>(M1422-F1422)</f>
        <v/>
      </c>
    </row>
    <row r="1423" ht="15" customHeight="1">
      <c r="A1423" s="2" t="inlineStr"/>
      <c r="B1423" s="2" t="inlineStr"/>
      <c r="C1423" s="2" t="inlineStr"/>
      <c r="D1423" s="2" t="inlineStr"/>
      <c r="E1423" s="26" t="inlineStr">
        <is>
          <t>TOTAL Material:</t>
        </is>
      </c>
      <c r="F1423" s="56" t="n"/>
      <c r="G1423" s="65">
        <f>SUM(G1422:G1422)</f>
        <v/>
      </c>
    </row>
    <row r="1424" ht="15" customHeight="1">
      <c r="A1424" s="20" t="inlineStr">
        <is>
          <t>Mão de Obra com Encargos Complementares</t>
        </is>
      </c>
      <c r="B1424" s="56" t="n"/>
      <c r="C1424" s="21" t="inlineStr">
        <is>
          <t>FONTE</t>
        </is>
      </c>
      <c r="D1424" s="21" t="inlineStr">
        <is>
          <t>UNID</t>
        </is>
      </c>
      <c r="E1424" s="21" t="inlineStr">
        <is>
          <t>COEFICIENTE</t>
        </is>
      </c>
      <c r="F1424" s="21" t="inlineStr">
        <is>
          <t>PREÇO UNITÁRIO</t>
        </is>
      </c>
      <c r="G1424" s="21" t="inlineStr">
        <is>
          <t>TOTAL</t>
        </is>
      </c>
    </row>
    <row r="1425" ht="15" customHeight="1">
      <c r="A1425" s="22" t="inlineStr">
        <is>
          <t>88245</t>
        </is>
      </c>
      <c r="B1425" s="23" t="inlineStr">
        <is>
          <t>ARMADOR COM ENCARGOS COMPLEMENTARES</t>
        </is>
      </c>
      <c r="C1425" s="22" t="inlineStr">
        <is>
          <t>SINAPI</t>
        </is>
      </c>
      <c r="D1425" s="22" t="inlineStr">
        <is>
          <t>H</t>
        </is>
      </c>
      <c r="E1425" s="63">
        <f>L1425*FATOR</f>
        <v/>
      </c>
      <c r="F1425" s="64">
        <f>'COMPOSICOES AUXILIARES'!G388</f>
        <v/>
      </c>
      <c r="G1425" s="64">
        <f>TRUNC(TRUNC(E1425,8)*F1425,2)</f>
        <v/>
      </c>
      <c r="L1425" t="n">
        <v>0.0013</v>
      </c>
      <c r="M1425" t="n">
        <v>30.43</v>
      </c>
      <c r="N1425">
        <f>(M1425-F1425)</f>
        <v/>
      </c>
    </row>
    <row r="1426" ht="18" customHeight="1">
      <c r="A1426" s="2" t="inlineStr"/>
      <c r="B1426" s="2" t="inlineStr"/>
      <c r="C1426" s="2" t="inlineStr"/>
      <c r="D1426" s="2" t="inlineStr"/>
      <c r="E1426" s="26" t="inlineStr">
        <is>
          <t>TOTAL Mão de Obra com Encargos Complementares:</t>
        </is>
      </c>
      <c r="F1426" s="56" t="n"/>
      <c r="G1426" s="65">
        <f>SUM(G1425:G1425)</f>
        <v/>
      </c>
    </row>
    <row r="1427" ht="15" customHeight="1">
      <c r="A1427" s="2" t="inlineStr"/>
      <c r="B1427" s="2" t="inlineStr"/>
      <c r="C1427" s="2" t="inlineStr"/>
      <c r="D1427" s="2" t="inlineStr"/>
      <c r="E1427" s="28" t="inlineStr">
        <is>
          <t>VALOR:</t>
        </is>
      </c>
      <c r="F1427" s="56" t="n"/>
      <c r="G1427" s="66">
        <f>SUM(G1426,G1423)</f>
        <v/>
      </c>
    </row>
    <row r="1428" ht="15" customHeight="1">
      <c r="A1428" s="2" t="inlineStr"/>
      <c r="B1428" s="2" t="inlineStr"/>
      <c r="C1428" s="2" t="inlineStr"/>
      <c r="D1428" s="2" t="inlineStr"/>
      <c r="E1428" s="28" t="inlineStr">
        <is>
          <t>VALOR BDI (23.08%):</t>
        </is>
      </c>
      <c r="F1428" s="56" t="n"/>
      <c r="G1428" s="66">
        <f>ROUNDDOWN(G1427*BDI,2)</f>
        <v/>
      </c>
    </row>
    <row r="1429" ht="15" customHeight="1">
      <c r="A1429" s="2" t="inlineStr"/>
      <c r="B1429" s="2" t="inlineStr"/>
      <c r="C1429" s="2" t="inlineStr"/>
      <c r="D1429" s="2" t="inlineStr"/>
      <c r="E1429" s="28" t="inlineStr">
        <is>
          <t>VALOR COM BDI:</t>
        </is>
      </c>
      <c r="F1429" s="56" t="n"/>
      <c r="G1429" s="66">
        <f>G1428 + G1427</f>
        <v/>
      </c>
    </row>
    <row r="1430" ht="10" customHeight="1">
      <c r="A1430" s="2" t="inlineStr"/>
      <c r="B1430" s="2" t="inlineStr"/>
      <c r="C1430" s="2" t="inlineStr"/>
      <c r="D1430" s="2" t="inlineStr"/>
      <c r="E1430" s="18" t="inlineStr"/>
    </row>
    <row r="1431" ht="20" customHeight="1">
      <c r="A1431" s="19" t="inlineStr">
        <is>
          <t>​92801​ CORTE E DOBRA DE AÇO CA-50, DIÂMETRO DE 6,3 MM. AF_06/2022​ (KG)</t>
        </is>
      </c>
      <c r="B1431" s="55" t="n"/>
      <c r="C1431" s="55" t="n"/>
      <c r="D1431" s="55" t="n"/>
      <c r="E1431" s="55" t="n"/>
      <c r="F1431" s="55" t="n"/>
      <c r="G1431" s="56" t="n"/>
    </row>
    <row r="1432" ht="15" customHeight="1">
      <c r="A1432" s="20" t="inlineStr">
        <is>
          <t>Material</t>
        </is>
      </c>
      <c r="B1432" s="56" t="n"/>
      <c r="C1432" s="21" t="inlineStr">
        <is>
          <t>FONTE</t>
        </is>
      </c>
      <c r="D1432" s="21" t="inlineStr">
        <is>
          <t>UNID</t>
        </is>
      </c>
      <c r="E1432" s="21" t="inlineStr">
        <is>
          <t>COEFICIENTE</t>
        </is>
      </c>
      <c r="F1432" s="21" t="inlineStr">
        <is>
          <t>PREÇO UNITÁRIO</t>
        </is>
      </c>
      <c r="G1432" s="21" t="inlineStr">
        <is>
          <t>TOTAL</t>
        </is>
      </c>
    </row>
    <row r="1433" ht="15" customHeight="1">
      <c r="A1433" s="22" t="inlineStr">
        <is>
          <t>00000032</t>
        </is>
      </c>
      <c r="B1433" s="23" t="inlineStr">
        <is>
          <t>ACO CA-50, 6,3 MM, VERGALHAO</t>
        </is>
      </c>
      <c r="C1433" s="22" t="inlineStr">
        <is>
          <t>SINAPI</t>
        </is>
      </c>
      <c r="D1433" s="22" t="inlineStr">
        <is>
          <t>KG</t>
        </is>
      </c>
      <c r="E1433" s="63" t="n">
        <v>1.07</v>
      </c>
      <c r="F1433" s="64">
        <f>ROUND(M1433*FATOR, 2)</f>
        <v/>
      </c>
      <c r="G1433" s="64">
        <f>TRUNC(TRUNC(E1433,8)*F1433,2)</f>
        <v/>
      </c>
      <c r="L1433" t="n">
        <v>1.07</v>
      </c>
      <c r="M1433" t="n">
        <v>7.8</v>
      </c>
      <c r="N1433">
        <f>(M1433-F1433)</f>
        <v/>
      </c>
    </row>
    <row r="1434" ht="15" customHeight="1">
      <c r="A1434" s="2" t="inlineStr"/>
      <c r="B1434" s="2" t="inlineStr"/>
      <c r="C1434" s="2" t="inlineStr"/>
      <c r="D1434" s="2" t="inlineStr"/>
      <c r="E1434" s="26" t="inlineStr">
        <is>
          <t>TOTAL Material:</t>
        </is>
      </c>
      <c r="F1434" s="56" t="n"/>
      <c r="G1434" s="65">
        <f>SUM(G1433:G1433)</f>
        <v/>
      </c>
    </row>
    <row r="1435" ht="15" customHeight="1">
      <c r="A1435" s="20" t="inlineStr">
        <is>
          <t>Mão de Obra com Encargos Complementares</t>
        </is>
      </c>
      <c r="B1435" s="56" t="n"/>
      <c r="C1435" s="21" t="inlineStr">
        <is>
          <t>FONTE</t>
        </is>
      </c>
      <c r="D1435" s="21" t="inlineStr">
        <is>
          <t>UNID</t>
        </is>
      </c>
      <c r="E1435" s="21" t="inlineStr">
        <is>
          <t>COEFICIENTE</t>
        </is>
      </c>
      <c r="F1435" s="21" t="inlineStr">
        <is>
          <t>PREÇO UNITÁRIO</t>
        </is>
      </c>
      <c r="G1435" s="21" t="inlineStr">
        <is>
          <t>TOTAL</t>
        </is>
      </c>
    </row>
    <row r="1436" ht="21" customHeight="1">
      <c r="A1436" s="22" t="inlineStr">
        <is>
          <t>88238</t>
        </is>
      </c>
      <c r="B1436" s="23" t="inlineStr">
        <is>
          <t>AJUDANTE DE ARMADOR COM ENCARGOS COMPLEMENTARES</t>
        </is>
      </c>
      <c r="C1436" s="22" t="inlineStr">
        <is>
          <t>SINAPI</t>
        </is>
      </c>
      <c r="D1436" s="22" t="inlineStr">
        <is>
          <t>H</t>
        </is>
      </c>
      <c r="E1436" s="63">
        <f>L1436*FATOR</f>
        <v/>
      </c>
      <c r="F1436" s="64">
        <f>'COMPOSICOES AUXILIARES'!G26</f>
        <v/>
      </c>
      <c r="G1436" s="64">
        <f>TRUNC(TRUNC(E1436,8)*F1436,2)</f>
        <v/>
      </c>
      <c r="L1436" t="n">
        <v>0.0051</v>
      </c>
      <c r="M1436" t="n">
        <v>24.77</v>
      </c>
      <c r="N1436">
        <f>(M1436-F1436)</f>
        <v/>
      </c>
    </row>
    <row r="1437" ht="15" customHeight="1">
      <c r="A1437" s="22" t="inlineStr">
        <is>
          <t>88245</t>
        </is>
      </c>
      <c r="B1437" s="23" t="inlineStr">
        <is>
          <t>ARMADOR COM ENCARGOS COMPLEMENTARES</t>
        </is>
      </c>
      <c r="C1437" s="22" t="inlineStr">
        <is>
          <t>SINAPI</t>
        </is>
      </c>
      <c r="D1437" s="22" t="inlineStr">
        <is>
          <t>H</t>
        </is>
      </c>
      <c r="E1437" s="63">
        <f>L1437*FATOR</f>
        <v/>
      </c>
      <c r="F1437" s="64">
        <f>'COMPOSICOES AUXILIARES'!G388</f>
        <v/>
      </c>
      <c r="G1437" s="64">
        <f>TRUNC(TRUNC(E1437,8)*F1437,2)</f>
        <v/>
      </c>
      <c r="L1437" t="n">
        <v>0.031</v>
      </c>
      <c r="M1437" t="n">
        <v>30.43</v>
      </c>
      <c r="N1437">
        <f>(M1437-F1437)</f>
        <v/>
      </c>
    </row>
    <row r="1438" ht="18" customHeight="1">
      <c r="A1438" s="2" t="inlineStr"/>
      <c r="B1438" s="2" t="inlineStr"/>
      <c r="C1438" s="2" t="inlineStr"/>
      <c r="D1438" s="2" t="inlineStr"/>
      <c r="E1438" s="26" t="inlineStr">
        <is>
          <t>TOTAL Mão de Obra com Encargos Complementares:</t>
        </is>
      </c>
      <c r="F1438" s="56" t="n"/>
      <c r="G1438" s="65">
        <f>SUM(G1436:G1437)</f>
        <v/>
      </c>
    </row>
    <row r="1439" ht="15" customHeight="1">
      <c r="A1439" s="2" t="inlineStr"/>
      <c r="B1439" s="2" t="inlineStr"/>
      <c r="C1439" s="2" t="inlineStr"/>
      <c r="D1439" s="2" t="inlineStr"/>
      <c r="E1439" s="28" t="inlineStr">
        <is>
          <t>VALOR:</t>
        </is>
      </c>
      <c r="F1439" s="56" t="n"/>
      <c r="G1439" s="66">
        <f>SUM(G1434,G1438)</f>
        <v/>
      </c>
    </row>
    <row r="1440" ht="15" customHeight="1">
      <c r="A1440" s="2" t="inlineStr"/>
      <c r="B1440" s="2" t="inlineStr"/>
      <c r="C1440" s="2" t="inlineStr"/>
      <c r="D1440" s="2" t="inlineStr"/>
      <c r="E1440" s="28" t="inlineStr">
        <is>
          <t>VALOR BDI (23.08%):</t>
        </is>
      </c>
      <c r="F1440" s="56" t="n"/>
      <c r="G1440" s="66">
        <f>ROUNDDOWN(G1439*BDI,2)</f>
        <v/>
      </c>
    </row>
    <row r="1441" ht="15" customHeight="1">
      <c r="A1441" s="2" t="inlineStr"/>
      <c r="B1441" s="2" t="inlineStr"/>
      <c r="C1441" s="2" t="inlineStr"/>
      <c r="D1441" s="2" t="inlineStr"/>
      <c r="E1441" s="28" t="inlineStr">
        <is>
          <t>VALOR COM BDI:</t>
        </is>
      </c>
      <c r="F1441" s="56" t="n"/>
      <c r="G1441" s="66">
        <f>G1440 + G1439</f>
        <v/>
      </c>
    </row>
    <row r="1442" ht="10" customHeight="1">
      <c r="A1442" s="2" t="inlineStr"/>
      <c r="B1442" s="2" t="inlineStr"/>
      <c r="C1442" s="2" t="inlineStr"/>
      <c r="D1442" s="2" t="inlineStr"/>
      <c r="E1442" s="18" t="inlineStr"/>
    </row>
    <row r="1443" ht="20" customHeight="1">
      <c r="A1443" s="19" t="inlineStr">
        <is>
          <t>​92802​ CORTE E DOBRA DE AÇO CA-50, DIÂMETRO DE 8,0 MM. AF_06/2022​ (KG)</t>
        </is>
      </c>
      <c r="B1443" s="55" t="n"/>
      <c r="C1443" s="55" t="n"/>
      <c r="D1443" s="55" t="n"/>
      <c r="E1443" s="55" t="n"/>
      <c r="F1443" s="55" t="n"/>
      <c r="G1443" s="56" t="n"/>
    </row>
    <row r="1444" ht="15" customHeight="1">
      <c r="A1444" s="20" t="inlineStr">
        <is>
          <t>Material</t>
        </is>
      </c>
      <c r="B1444" s="56" t="n"/>
      <c r="C1444" s="21" t="inlineStr">
        <is>
          <t>FONTE</t>
        </is>
      </c>
      <c r="D1444" s="21" t="inlineStr">
        <is>
          <t>UNID</t>
        </is>
      </c>
      <c r="E1444" s="21" t="inlineStr">
        <is>
          <t>COEFICIENTE</t>
        </is>
      </c>
      <c r="F1444" s="21" t="inlineStr">
        <is>
          <t>PREÇO UNITÁRIO</t>
        </is>
      </c>
      <c r="G1444" s="21" t="inlineStr">
        <is>
          <t>TOTAL</t>
        </is>
      </c>
    </row>
    <row r="1445" ht="15" customHeight="1">
      <c r="A1445" s="22" t="inlineStr">
        <is>
          <t>00000033</t>
        </is>
      </c>
      <c r="B1445" s="23" t="inlineStr">
        <is>
          <t>ACO CA-50, 8,0 MM, VERGALHAO</t>
        </is>
      </c>
      <c r="C1445" s="22" t="inlineStr">
        <is>
          <t>SINAPI</t>
        </is>
      </c>
      <c r="D1445" s="22" t="inlineStr">
        <is>
          <t>KG</t>
        </is>
      </c>
      <c r="E1445" s="63" t="n">
        <v>1.11</v>
      </c>
      <c r="F1445" s="64">
        <f>ROUND(M1445*FATOR, 2)</f>
        <v/>
      </c>
      <c r="G1445" s="64">
        <f>TRUNC(TRUNC(E1445,8)*F1445,2)</f>
        <v/>
      </c>
      <c r="L1445" t="n">
        <v>1.11</v>
      </c>
      <c r="M1445" t="n">
        <v>7.85</v>
      </c>
      <c r="N1445">
        <f>(M1445-F1445)</f>
        <v/>
      </c>
    </row>
    <row r="1446" ht="15" customHeight="1">
      <c r="A1446" s="2" t="inlineStr"/>
      <c r="B1446" s="2" t="inlineStr"/>
      <c r="C1446" s="2" t="inlineStr"/>
      <c r="D1446" s="2" t="inlineStr"/>
      <c r="E1446" s="26" t="inlineStr">
        <is>
          <t>TOTAL Material:</t>
        </is>
      </c>
      <c r="F1446" s="56" t="n"/>
      <c r="G1446" s="65">
        <f>SUM(G1445:G1445)</f>
        <v/>
      </c>
    </row>
    <row r="1447" ht="15" customHeight="1">
      <c r="A1447" s="20" t="inlineStr">
        <is>
          <t>Mão de Obra com Encargos Complementares</t>
        </is>
      </c>
      <c r="B1447" s="56" t="n"/>
      <c r="C1447" s="21" t="inlineStr">
        <is>
          <t>FONTE</t>
        </is>
      </c>
      <c r="D1447" s="21" t="inlineStr">
        <is>
          <t>UNID</t>
        </is>
      </c>
      <c r="E1447" s="21" t="inlineStr">
        <is>
          <t>COEFICIENTE</t>
        </is>
      </c>
      <c r="F1447" s="21" t="inlineStr">
        <is>
          <t>PREÇO UNITÁRIO</t>
        </is>
      </c>
      <c r="G1447" s="21" t="inlineStr">
        <is>
          <t>TOTAL</t>
        </is>
      </c>
    </row>
    <row r="1448" ht="21" customHeight="1">
      <c r="A1448" s="22" t="inlineStr">
        <is>
          <t>88238</t>
        </is>
      </c>
      <c r="B1448" s="23" t="inlineStr">
        <is>
          <t>AJUDANTE DE ARMADOR COM ENCARGOS COMPLEMENTARES</t>
        </is>
      </c>
      <c r="C1448" s="22" t="inlineStr">
        <is>
          <t>SINAPI</t>
        </is>
      </c>
      <c r="D1448" s="22" t="inlineStr">
        <is>
          <t>H</t>
        </is>
      </c>
      <c r="E1448" s="63">
        <f>L1448*FATOR</f>
        <v/>
      </c>
      <c r="F1448" s="64">
        <f>'COMPOSICOES AUXILIARES'!G26</f>
        <v/>
      </c>
      <c r="G1448" s="64">
        <f>TRUNC(TRUNC(E1448,8)*F1448,2)</f>
        <v/>
      </c>
      <c r="L1448" t="n">
        <v>0.0026</v>
      </c>
      <c r="M1448" t="n">
        <v>24.77</v>
      </c>
      <c r="N1448">
        <f>(M1448-F1448)</f>
        <v/>
      </c>
    </row>
    <row r="1449" ht="15" customHeight="1">
      <c r="A1449" s="22" t="inlineStr">
        <is>
          <t>88245</t>
        </is>
      </c>
      <c r="B1449" s="23" t="inlineStr">
        <is>
          <t>ARMADOR COM ENCARGOS COMPLEMENTARES</t>
        </is>
      </c>
      <c r="C1449" s="22" t="inlineStr">
        <is>
          <t>SINAPI</t>
        </is>
      </c>
      <c r="D1449" s="22" t="inlineStr">
        <is>
          <t>H</t>
        </is>
      </c>
      <c r="E1449" s="63">
        <f>L1449*FATOR</f>
        <v/>
      </c>
      <c r="F1449" s="64">
        <f>'COMPOSICOES AUXILIARES'!G388</f>
        <v/>
      </c>
      <c r="G1449" s="64">
        <f>TRUNC(TRUNC(E1449,8)*F1449,2)</f>
        <v/>
      </c>
      <c r="L1449" t="n">
        <v>0.0162</v>
      </c>
      <c r="M1449" t="n">
        <v>30.43</v>
      </c>
      <c r="N1449">
        <f>(M1449-F1449)</f>
        <v/>
      </c>
    </row>
    <row r="1450" ht="18" customHeight="1">
      <c r="A1450" s="2" t="inlineStr"/>
      <c r="B1450" s="2" t="inlineStr"/>
      <c r="C1450" s="2" t="inlineStr"/>
      <c r="D1450" s="2" t="inlineStr"/>
      <c r="E1450" s="26" t="inlineStr">
        <is>
          <t>TOTAL Mão de Obra com Encargos Complementares:</t>
        </is>
      </c>
      <c r="F1450" s="56" t="n"/>
      <c r="G1450" s="65">
        <f>SUM(G1448:G1449)</f>
        <v/>
      </c>
    </row>
    <row r="1451" ht="15" customHeight="1">
      <c r="A1451" s="2" t="inlineStr"/>
      <c r="B1451" s="2" t="inlineStr"/>
      <c r="C1451" s="2" t="inlineStr"/>
      <c r="D1451" s="2" t="inlineStr"/>
      <c r="E1451" s="28" t="inlineStr">
        <is>
          <t>VALOR:</t>
        </is>
      </c>
      <c r="F1451" s="56" t="n"/>
      <c r="G1451" s="66">
        <f>SUM(G1450,G1446)</f>
        <v/>
      </c>
    </row>
    <row r="1452" ht="15" customHeight="1">
      <c r="A1452" s="2" t="inlineStr"/>
      <c r="B1452" s="2" t="inlineStr"/>
      <c r="C1452" s="2" t="inlineStr"/>
      <c r="D1452" s="2" t="inlineStr"/>
      <c r="E1452" s="28" t="inlineStr">
        <is>
          <t>VALOR BDI (23.08%):</t>
        </is>
      </c>
      <c r="F1452" s="56" t="n"/>
      <c r="G1452" s="66">
        <f>ROUNDDOWN(G1451*BDI,2)</f>
        <v/>
      </c>
    </row>
    <row r="1453" ht="15" customHeight="1">
      <c r="A1453" s="2" t="inlineStr"/>
      <c r="B1453" s="2" t="inlineStr"/>
      <c r="C1453" s="2" t="inlineStr"/>
      <c r="D1453" s="2" t="inlineStr"/>
      <c r="E1453" s="28" t="inlineStr">
        <is>
          <t>VALOR COM BDI:</t>
        </is>
      </c>
      <c r="F1453" s="56" t="n"/>
      <c r="G1453" s="66">
        <f>G1452 + G1451</f>
        <v/>
      </c>
    </row>
    <row r="1454" ht="10" customHeight="1">
      <c r="A1454" s="2" t="inlineStr"/>
      <c r="B1454" s="2" t="inlineStr"/>
      <c r="C1454" s="2" t="inlineStr"/>
      <c r="D1454" s="2" t="inlineStr"/>
      <c r="E1454" s="18" t="inlineStr"/>
    </row>
    <row r="1455" ht="20" customHeight="1">
      <c r="A1455" s="19" t="inlineStr">
        <is>
          <t>​92799​ CORTE E DOBRA DE AÇO CA-60, DIÂMETRO DE 4,2 MM. AF_06/2022​ (KG)</t>
        </is>
      </c>
      <c r="B1455" s="55" t="n"/>
      <c r="C1455" s="55" t="n"/>
      <c r="D1455" s="55" t="n"/>
      <c r="E1455" s="55" t="n"/>
      <c r="F1455" s="55" t="n"/>
      <c r="G1455" s="56" t="n"/>
    </row>
    <row r="1456" ht="15" customHeight="1">
      <c r="A1456" s="20" t="inlineStr">
        <is>
          <t>Material</t>
        </is>
      </c>
      <c r="B1456" s="56" t="n"/>
      <c r="C1456" s="21" t="inlineStr">
        <is>
          <t>FONTE</t>
        </is>
      </c>
      <c r="D1456" s="21" t="inlineStr">
        <is>
          <t>UNID</t>
        </is>
      </c>
      <c r="E1456" s="21" t="inlineStr">
        <is>
          <t>COEFICIENTE</t>
        </is>
      </c>
      <c r="F1456" s="21" t="inlineStr">
        <is>
          <t>PREÇO UNITÁRIO</t>
        </is>
      </c>
      <c r="G1456" s="21" t="inlineStr">
        <is>
          <t>TOTAL</t>
        </is>
      </c>
    </row>
    <row r="1457" ht="21" customHeight="1">
      <c r="A1457" s="22" t="inlineStr">
        <is>
          <t>00043059</t>
        </is>
      </c>
      <c r="B1457" s="23" t="inlineStr">
        <is>
          <t>ACO CA-60, 4,2 MM, OU 5,0 MM, OU 6,0 MM, OU 7,0 MM, VERGALHAO</t>
        </is>
      </c>
      <c r="C1457" s="22" t="inlineStr">
        <is>
          <t>SINAPI</t>
        </is>
      </c>
      <c r="D1457" s="22" t="inlineStr">
        <is>
          <t>KG</t>
        </is>
      </c>
      <c r="E1457" s="63" t="n">
        <v>1.07</v>
      </c>
      <c r="F1457" s="64" t="n">
        <v>7</v>
      </c>
      <c r="G1457" s="64">
        <f>TRUNC(TRUNC(E1457,8)*F1457,2)</f>
        <v/>
      </c>
      <c r="L1457" t="n">
        <v>1.07</v>
      </c>
      <c r="M1457" t="n">
        <v>7</v>
      </c>
      <c r="N1457">
        <f>(M1457-F1457)</f>
        <v/>
      </c>
    </row>
    <row r="1458" ht="15" customHeight="1">
      <c r="A1458" s="2" t="inlineStr"/>
      <c r="B1458" s="2" t="inlineStr"/>
      <c r="C1458" s="2" t="inlineStr"/>
      <c r="D1458" s="2" t="inlineStr"/>
      <c r="E1458" s="26" t="inlineStr">
        <is>
          <t>TOTAL Material:</t>
        </is>
      </c>
      <c r="F1458" s="56" t="n"/>
      <c r="G1458" s="65">
        <f>SUM(G1457:G1457)</f>
        <v/>
      </c>
    </row>
    <row r="1459" ht="15" customHeight="1">
      <c r="A1459" s="20" t="inlineStr">
        <is>
          <t>Mão de Obra com Encargos Complementares</t>
        </is>
      </c>
      <c r="B1459" s="56" t="n"/>
      <c r="C1459" s="21" t="inlineStr">
        <is>
          <t>FONTE</t>
        </is>
      </c>
      <c r="D1459" s="21" t="inlineStr">
        <is>
          <t>UNID</t>
        </is>
      </c>
      <c r="E1459" s="21" t="inlineStr">
        <is>
          <t>COEFICIENTE</t>
        </is>
      </c>
      <c r="F1459" s="21" t="inlineStr">
        <is>
          <t>PREÇO UNITÁRIO</t>
        </is>
      </c>
      <c r="G1459" s="21" t="inlineStr">
        <is>
          <t>TOTAL</t>
        </is>
      </c>
    </row>
    <row r="1460" ht="21" customHeight="1">
      <c r="A1460" s="22" t="inlineStr">
        <is>
          <t>88238</t>
        </is>
      </c>
      <c r="B1460" s="23" t="inlineStr">
        <is>
          <t>AJUDANTE DE ARMADOR COM ENCARGOS COMPLEMENTARES</t>
        </is>
      </c>
      <c r="C1460" s="22" t="inlineStr">
        <is>
          <t>SINAPI</t>
        </is>
      </c>
      <c r="D1460" s="22" t="inlineStr">
        <is>
          <t>H</t>
        </is>
      </c>
      <c r="E1460" s="63" t="n">
        <v>0.0152</v>
      </c>
      <c r="F1460" s="64">
        <f>G26</f>
        <v/>
      </c>
      <c r="G1460" s="64">
        <f>TRUNC(TRUNC(E1460,8)*F1460,2)</f>
        <v/>
      </c>
      <c r="L1460" t="n">
        <v>0.0152</v>
      </c>
      <c r="M1460" t="n">
        <v>24.77</v>
      </c>
      <c r="N1460">
        <f>(M1460-F1460)</f>
        <v/>
      </c>
    </row>
    <row r="1461" ht="15" customHeight="1">
      <c r="A1461" s="22" t="inlineStr">
        <is>
          <t>88245</t>
        </is>
      </c>
      <c r="B1461" s="23" t="inlineStr">
        <is>
          <t>ARMADOR COM ENCARGOS COMPLEMENTARES</t>
        </is>
      </c>
      <c r="C1461" s="22" t="inlineStr">
        <is>
          <t>SINAPI</t>
        </is>
      </c>
      <c r="D1461" s="22" t="inlineStr">
        <is>
          <t>H</t>
        </is>
      </c>
      <c r="E1461" s="63" t="n">
        <v>0.09329999999999999</v>
      </c>
      <c r="F1461" s="64">
        <f>G388</f>
        <v/>
      </c>
      <c r="G1461" s="64">
        <f>TRUNC(TRUNC(E1461,8)*F1461,2)</f>
        <v/>
      </c>
      <c r="L1461" t="n">
        <v>0.09329999999999999</v>
      </c>
      <c r="M1461" t="n">
        <v>30.43</v>
      </c>
      <c r="N1461">
        <f>(M1461-F1461)</f>
        <v/>
      </c>
    </row>
    <row r="1462" ht="18" customHeight="1">
      <c r="A1462" s="2" t="inlineStr"/>
      <c r="B1462" s="2" t="inlineStr"/>
      <c r="C1462" s="2" t="inlineStr"/>
      <c r="D1462" s="2" t="inlineStr"/>
      <c r="E1462" s="26" t="inlineStr">
        <is>
          <t>TOTAL Mão de Obra com Encargos Complementares:</t>
        </is>
      </c>
      <c r="F1462" s="56" t="n"/>
      <c r="G1462" s="65">
        <f>SUM(G1460:G1461)</f>
        <v/>
      </c>
    </row>
    <row r="1463" ht="15" customHeight="1">
      <c r="A1463" s="2" t="inlineStr"/>
      <c r="B1463" s="2" t="inlineStr"/>
      <c r="C1463" s="2" t="inlineStr"/>
      <c r="D1463" s="2" t="inlineStr"/>
      <c r="E1463" s="28" t="inlineStr">
        <is>
          <t>VALOR:</t>
        </is>
      </c>
      <c r="F1463" s="56" t="n"/>
      <c r="G1463" s="66">
        <f>ROUND(SUM(G1458,G1462),2)</f>
        <v/>
      </c>
    </row>
    <row r="1464" ht="15" customHeight="1">
      <c r="A1464" s="2" t="inlineStr"/>
      <c r="B1464" s="2" t="inlineStr"/>
      <c r="C1464" s="2" t="inlineStr"/>
      <c r="D1464" s="2" t="inlineStr"/>
      <c r="E1464" s="28" t="inlineStr">
        <is>
          <t>VALOR BDI (23.08%):</t>
        </is>
      </c>
      <c r="F1464" s="56" t="n"/>
      <c r="G1464" s="66">
        <f>ROUNDDOWN(G1463*BDI,2)</f>
        <v/>
      </c>
    </row>
    <row r="1465" ht="15" customHeight="1">
      <c r="A1465" s="2" t="inlineStr"/>
      <c r="B1465" s="2" t="inlineStr"/>
      <c r="C1465" s="2" t="inlineStr"/>
      <c r="D1465" s="2" t="inlineStr"/>
      <c r="E1465" s="28" t="inlineStr">
        <is>
          <t>VALOR COM BDI:</t>
        </is>
      </c>
      <c r="F1465" s="56" t="n"/>
      <c r="G1465" s="66">
        <f>G1464 + G1463</f>
        <v/>
      </c>
    </row>
    <row r="1466" ht="10" customHeight="1">
      <c r="A1466" s="2" t="inlineStr"/>
      <c r="B1466" s="2" t="inlineStr"/>
      <c r="C1466" s="2" t="inlineStr"/>
      <c r="D1466" s="2" t="inlineStr"/>
      <c r="E1466" s="18" t="inlineStr"/>
    </row>
    <row r="1467" ht="20" customHeight="1">
      <c r="A1467" s="19" t="inlineStr">
        <is>
          <t>​92800​ CORTE E DOBRA DE AÇO CA-60, DIÂMETRO DE 5,0 MM. AF_06/2022​ (KG)</t>
        </is>
      </c>
      <c r="B1467" s="55" t="n"/>
      <c r="C1467" s="55" t="n"/>
      <c r="D1467" s="55" t="n"/>
      <c r="E1467" s="55" t="n"/>
      <c r="F1467" s="55" t="n"/>
      <c r="G1467" s="56" t="n"/>
    </row>
    <row r="1468" ht="15" customHeight="1">
      <c r="A1468" s="20" t="inlineStr">
        <is>
          <t>Material</t>
        </is>
      </c>
      <c r="B1468" s="56" t="n"/>
      <c r="C1468" s="21" t="inlineStr">
        <is>
          <t>FONTE</t>
        </is>
      </c>
      <c r="D1468" s="21" t="inlineStr">
        <is>
          <t>UNID</t>
        </is>
      </c>
      <c r="E1468" s="21" t="inlineStr">
        <is>
          <t>COEFICIENTE</t>
        </is>
      </c>
      <c r="F1468" s="21" t="inlineStr">
        <is>
          <t>PREÇO UNITÁRIO</t>
        </is>
      </c>
      <c r="G1468" s="21" t="inlineStr">
        <is>
          <t>TOTAL</t>
        </is>
      </c>
    </row>
    <row r="1469" ht="21" customHeight="1">
      <c r="A1469" s="22" t="inlineStr">
        <is>
          <t>00043059</t>
        </is>
      </c>
      <c r="B1469" s="23" t="inlineStr">
        <is>
          <t>ACO CA-60, 4,2 MM, OU 5,0 MM, OU 6,0 MM, OU 7,0 MM, VERGALHAO</t>
        </is>
      </c>
      <c r="C1469" s="22" t="inlineStr">
        <is>
          <t>SINAPI</t>
        </is>
      </c>
      <c r="D1469" s="22" t="inlineStr">
        <is>
          <t>KG</t>
        </is>
      </c>
      <c r="E1469" s="63" t="n">
        <v>1.07</v>
      </c>
      <c r="F1469" s="64">
        <f>ROUND(M1469*FATOR, 2)</f>
        <v/>
      </c>
      <c r="G1469" s="64">
        <f>TRUNC(TRUNC(E1469,8)*F1469,2)</f>
        <v/>
      </c>
      <c r="L1469" t="n">
        <v>1.07</v>
      </c>
      <c r="M1469" t="n">
        <v>7</v>
      </c>
      <c r="N1469">
        <f>(M1469-F1469)</f>
        <v/>
      </c>
    </row>
    <row r="1470" ht="15" customHeight="1">
      <c r="A1470" s="2" t="inlineStr"/>
      <c r="B1470" s="2" t="inlineStr"/>
      <c r="C1470" s="2" t="inlineStr"/>
      <c r="D1470" s="2" t="inlineStr"/>
      <c r="E1470" s="26" t="inlineStr">
        <is>
          <t>TOTAL Material:</t>
        </is>
      </c>
      <c r="F1470" s="56" t="n"/>
      <c r="G1470" s="65">
        <f>SUM(G1469:G1469)</f>
        <v/>
      </c>
    </row>
    <row r="1471" ht="15" customHeight="1">
      <c r="A1471" s="20" t="inlineStr">
        <is>
          <t>Mão de Obra com Encargos Complementares</t>
        </is>
      </c>
      <c r="B1471" s="56" t="n"/>
      <c r="C1471" s="21" t="inlineStr">
        <is>
          <t>FONTE</t>
        </is>
      </c>
      <c r="D1471" s="21" t="inlineStr">
        <is>
          <t>UNID</t>
        </is>
      </c>
      <c r="E1471" s="21" t="inlineStr">
        <is>
          <t>COEFICIENTE</t>
        </is>
      </c>
      <c r="F1471" s="21" t="inlineStr">
        <is>
          <t>PREÇO UNITÁRIO</t>
        </is>
      </c>
      <c r="G1471" s="21" t="inlineStr">
        <is>
          <t>TOTAL</t>
        </is>
      </c>
    </row>
    <row r="1472" ht="21" customHeight="1">
      <c r="A1472" s="22" t="inlineStr">
        <is>
          <t>88238</t>
        </is>
      </c>
      <c r="B1472" s="23" t="inlineStr">
        <is>
          <t>AJUDANTE DE ARMADOR COM ENCARGOS COMPLEMENTARES</t>
        </is>
      </c>
      <c r="C1472" s="22" t="inlineStr">
        <is>
          <t>SINAPI</t>
        </is>
      </c>
      <c r="D1472" s="22" t="inlineStr">
        <is>
          <t>H</t>
        </is>
      </c>
      <c r="E1472" s="63">
        <f>L1472*FATOR</f>
        <v/>
      </c>
      <c r="F1472" s="64">
        <f>'COMPOSICOES AUXILIARES'!G26</f>
        <v/>
      </c>
      <c r="G1472" s="64">
        <f>TRUNC(TRUNC(E1472,8)*F1472,2)</f>
        <v/>
      </c>
      <c r="L1472" t="n">
        <v>0.0095</v>
      </c>
      <c r="M1472" t="n">
        <v>24.77</v>
      </c>
      <c r="N1472">
        <f>(M1472-F1472)</f>
        <v/>
      </c>
    </row>
    <row r="1473" ht="15" customHeight="1">
      <c r="A1473" s="22" t="inlineStr">
        <is>
          <t>88245</t>
        </is>
      </c>
      <c r="B1473" s="23" t="inlineStr">
        <is>
          <t>ARMADOR COM ENCARGOS COMPLEMENTARES</t>
        </is>
      </c>
      <c r="C1473" s="22" t="inlineStr">
        <is>
          <t>SINAPI</t>
        </is>
      </c>
      <c r="D1473" s="22" t="inlineStr">
        <is>
          <t>H</t>
        </is>
      </c>
      <c r="E1473" s="63">
        <f>L1473*FATOR</f>
        <v/>
      </c>
      <c r="F1473" s="64">
        <f>'COMPOSICOES AUXILIARES'!G388</f>
        <v/>
      </c>
      <c r="G1473" s="64">
        <f>TRUNC(TRUNC(E1473,8)*F1473,2)</f>
        <v/>
      </c>
      <c r="L1473" t="n">
        <v>0.0581</v>
      </c>
      <c r="M1473" t="n">
        <v>30.43</v>
      </c>
      <c r="N1473">
        <f>(M1473-F1473)</f>
        <v/>
      </c>
    </row>
    <row r="1474" ht="18" customHeight="1">
      <c r="A1474" s="2" t="inlineStr"/>
      <c r="B1474" s="2" t="inlineStr"/>
      <c r="C1474" s="2" t="inlineStr"/>
      <c r="D1474" s="2" t="inlineStr"/>
      <c r="E1474" s="26" t="inlineStr">
        <is>
          <t>TOTAL Mão de Obra com Encargos Complementares:</t>
        </is>
      </c>
      <c r="F1474" s="56" t="n"/>
      <c r="G1474" s="65">
        <f>SUM(G1472:G1473)</f>
        <v/>
      </c>
    </row>
    <row r="1475" ht="15" customHeight="1">
      <c r="A1475" s="2" t="inlineStr"/>
      <c r="B1475" s="2" t="inlineStr"/>
      <c r="C1475" s="2" t="inlineStr"/>
      <c r="D1475" s="2" t="inlineStr"/>
      <c r="E1475" s="28" t="inlineStr">
        <is>
          <t>VALOR:</t>
        </is>
      </c>
      <c r="F1475" s="56" t="n"/>
      <c r="G1475" s="66">
        <f>SUM(G1474,G1470)</f>
        <v/>
      </c>
    </row>
    <row r="1476" ht="15" customHeight="1">
      <c r="A1476" s="2" t="inlineStr"/>
      <c r="B1476" s="2" t="inlineStr"/>
      <c r="C1476" s="2" t="inlineStr"/>
      <c r="D1476" s="2" t="inlineStr"/>
      <c r="E1476" s="28" t="inlineStr">
        <is>
          <t>VALOR BDI (23.08%):</t>
        </is>
      </c>
      <c r="F1476" s="56" t="n"/>
      <c r="G1476" s="66">
        <f>ROUNDDOWN(G1475*BDI,2)</f>
        <v/>
      </c>
    </row>
    <row r="1477" ht="15" customHeight="1">
      <c r="A1477" s="2" t="inlineStr"/>
      <c r="B1477" s="2" t="inlineStr"/>
      <c r="C1477" s="2" t="inlineStr"/>
      <c r="D1477" s="2" t="inlineStr"/>
      <c r="E1477" s="28" t="inlineStr">
        <is>
          <t>VALOR COM BDI:</t>
        </is>
      </c>
      <c r="F1477" s="56" t="n"/>
      <c r="G1477" s="66">
        <f>G1476 + G1475</f>
        <v/>
      </c>
    </row>
    <row r="1478" ht="10" customHeight="1">
      <c r="A1478" s="2" t="inlineStr"/>
      <c r="B1478" s="2" t="inlineStr"/>
      <c r="C1478" s="2" t="inlineStr"/>
      <c r="D1478" s="2" t="inlineStr"/>
      <c r="E1478" s="18" t="inlineStr"/>
    </row>
    <row r="1479" ht="20" customHeight="1">
      <c r="A1479" s="19" t="inlineStr">
        <is>
          <t>​95308​ CURSO DE CAPACITAÇÃO PARA AJUDANTE DE ARMADOR (ENCARGOS COMPLEMENTARES) - HORISTA​ (H)</t>
        </is>
      </c>
      <c r="B1479" s="55" t="n"/>
      <c r="C1479" s="55" t="n"/>
      <c r="D1479" s="55" t="n"/>
      <c r="E1479" s="55" t="n"/>
      <c r="F1479" s="55" t="n"/>
      <c r="G1479" s="56" t="n"/>
    </row>
    <row r="1480" ht="15" customHeight="1">
      <c r="A1480" s="20" t="inlineStr">
        <is>
          <t>Mão de Obra</t>
        </is>
      </c>
      <c r="B1480" s="56" t="n"/>
      <c r="C1480" s="21" t="inlineStr">
        <is>
          <t>FONTE</t>
        </is>
      </c>
      <c r="D1480" s="21" t="inlineStr">
        <is>
          <t>UNID</t>
        </is>
      </c>
      <c r="E1480" s="21" t="inlineStr">
        <is>
          <t>COEFICIENTE</t>
        </is>
      </c>
      <c r="F1480" s="21" t="inlineStr">
        <is>
          <t>PREÇO UNITÁRIO</t>
        </is>
      </c>
      <c r="G1480" s="21" t="inlineStr">
        <is>
          <t>TOTAL</t>
        </is>
      </c>
    </row>
    <row r="1481" ht="15" customHeight="1">
      <c r="A1481" s="22" t="inlineStr">
        <is>
          <t>00006114</t>
        </is>
      </c>
      <c r="B1481" s="23" t="inlineStr">
        <is>
          <t>AJUDANTE DE ARMADOR (HORISTA)</t>
        </is>
      </c>
      <c r="C1481" s="22" t="inlineStr">
        <is>
          <t>SINAPI</t>
        </is>
      </c>
      <c r="D1481" s="22" t="inlineStr">
        <is>
          <t>H</t>
        </is>
      </c>
      <c r="E1481" s="63" t="n">
        <v>0.01154</v>
      </c>
      <c r="F1481" s="64" t="n">
        <v>16.28</v>
      </c>
      <c r="G1481" s="64">
        <f>TRUNC(TRUNC(E1481,8)*F1481,2)</f>
        <v/>
      </c>
      <c r="L1481" t="n">
        <v>0.01154</v>
      </c>
      <c r="M1481" t="n">
        <v>16.28</v>
      </c>
      <c r="N1481">
        <f>(M1481-F1481)</f>
        <v/>
      </c>
    </row>
    <row r="1482" ht="15" customHeight="1">
      <c r="A1482" s="2" t="inlineStr"/>
      <c r="B1482" s="2" t="inlineStr"/>
      <c r="C1482" s="2" t="inlineStr"/>
      <c r="D1482" s="2" t="inlineStr"/>
      <c r="E1482" s="26" t="inlineStr">
        <is>
          <t>TOTAL Mão de Obra:</t>
        </is>
      </c>
      <c r="F1482" s="56" t="n"/>
      <c r="G1482" s="65">
        <f>SUM(G1481:G1481)</f>
        <v/>
      </c>
    </row>
    <row r="1483" ht="15" customHeight="1">
      <c r="A1483" s="2" t="inlineStr"/>
      <c r="B1483" s="2" t="inlineStr"/>
      <c r="C1483" s="2" t="inlineStr"/>
      <c r="D1483" s="2" t="inlineStr"/>
      <c r="E1483" s="28" t="inlineStr">
        <is>
          <t>VALOR:</t>
        </is>
      </c>
      <c r="F1483" s="56" t="n"/>
      <c r="G1483" s="66">
        <f>ROUND(SUM(G1482),2)</f>
        <v/>
      </c>
    </row>
    <row r="1484" ht="15" customHeight="1">
      <c r="A1484" s="2" t="inlineStr"/>
      <c r="B1484" s="2" t="inlineStr"/>
      <c r="C1484" s="2" t="inlineStr"/>
      <c r="D1484" s="2" t="inlineStr"/>
      <c r="E1484" s="28" t="inlineStr">
        <is>
          <t>VALOR BDI (23.08%):</t>
        </is>
      </c>
      <c r="F1484" s="56" t="n"/>
      <c r="G1484" s="66">
        <f>ROUNDDOWN(G1483*BDI,2)</f>
        <v/>
      </c>
    </row>
    <row r="1485" ht="15" customHeight="1">
      <c r="A1485" s="2" t="inlineStr"/>
      <c r="B1485" s="2" t="inlineStr"/>
      <c r="C1485" s="2" t="inlineStr"/>
      <c r="D1485" s="2" t="inlineStr"/>
      <c r="E1485" s="28" t="inlineStr">
        <is>
          <t>VALOR COM BDI:</t>
        </is>
      </c>
      <c r="F1485" s="56" t="n"/>
      <c r="G1485" s="66">
        <f>G1484 + G1483</f>
        <v/>
      </c>
    </row>
    <row r="1486" ht="10" customHeight="1">
      <c r="A1486" s="2" t="inlineStr"/>
      <c r="B1486" s="2" t="inlineStr"/>
      <c r="C1486" s="2" t="inlineStr"/>
      <c r="D1486" s="2" t="inlineStr"/>
      <c r="E1486" s="18" t="inlineStr"/>
    </row>
    <row r="1487" ht="20" customHeight="1">
      <c r="A1487" s="19" t="inlineStr">
        <is>
          <t>​95309​ CURSO DE CAPACITAÇÃO PARA AJUDANTE DE CARPINTEIRO (ENCARGOS COMPLEMENTARES) - HORISTA​ (H)</t>
        </is>
      </c>
      <c r="B1487" s="55" t="n"/>
      <c r="C1487" s="55" t="n"/>
      <c r="D1487" s="55" t="n"/>
      <c r="E1487" s="55" t="n"/>
      <c r="F1487" s="55" t="n"/>
      <c r="G1487" s="56" t="n"/>
    </row>
    <row r="1488" ht="15" customHeight="1">
      <c r="A1488" s="20" t="inlineStr">
        <is>
          <t>Mão de Obra</t>
        </is>
      </c>
      <c r="B1488" s="56" t="n"/>
      <c r="C1488" s="21" t="inlineStr">
        <is>
          <t>FONTE</t>
        </is>
      </c>
      <c r="D1488" s="21" t="inlineStr">
        <is>
          <t>UNID</t>
        </is>
      </c>
      <c r="E1488" s="21" t="inlineStr">
        <is>
          <t>COEFICIENTE</t>
        </is>
      </c>
      <c r="F1488" s="21" t="inlineStr">
        <is>
          <t>PREÇO UNITÁRIO</t>
        </is>
      </c>
      <c r="G1488" s="21" t="inlineStr">
        <is>
          <t>TOTAL</t>
        </is>
      </c>
    </row>
    <row r="1489" ht="15" customHeight="1">
      <c r="A1489" s="22" t="inlineStr">
        <is>
          <t>00006117</t>
        </is>
      </c>
      <c r="B1489" s="23" t="inlineStr">
        <is>
          <t>CARPINTEIRO AUXILIAR (HORISTA)</t>
        </is>
      </c>
      <c r="C1489" s="22" t="inlineStr">
        <is>
          <t>SINAPI</t>
        </is>
      </c>
      <c r="D1489" s="22" t="inlineStr">
        <is>
          <t>H</t>
        </is>
      </c>
      <c r="E1489" s="63" t="n">
        <v>0.01476</v>
      </c>
      <c r="F1489" s="64" t="n">
        <v>16.28</v>
      </c>
      <c r="G1489" s="64">
        <f>TRUNC(TRUNC(E1489,8)*F1489,2)</f>
        <v/>
      </c>
      <c r="L1489" t="n">
        <v>0.01476</v>
      </c>
      <c r="M1489" t="n">
        <v>16.28</v>
      </c>
      <c r="N1489">
        <f>(M1489-F1489)</f>
        <v/>
      </c>
    </row>
    <row r="1490" ht="15" customHeight="1">
      <c r="A1490" s="2" t="inlineStr"/>
      <c r="B1490" s="2" t="inlineStr"/>
      <c r="C1490" s="2" t="inlineStr"/>
      <c r="D1490" s="2" t="inlineStr"/>
      <c r="E1490" s="26" t="inlineStr">
        <is>
          <t>TOTAL Mão de Obra:</t>
        </is>
      </c>
      <c r="F1490" s="56" t="n"/>
      <c r="G1490" s="65">
        <f>SUM(G1489:G1489)</f>
        <v/>
      </c>
    </row>
    <row r="1491" ht="15" customHeight="1">
      <c r="A1491" s="2" t="inlineStr"/>
      <c r="B1491" s="2" t="inlineStr"/>
      <c r="C1491" s="2" t="inlineStr"/>
      <c r="D1491" s="2" t="inlineStr"/>
      <c r="E1491" s="28" t="inlineStr">
        <is>
          <t>VALOR:</t>
        </is>
      </c>
      <c r="F1491" s="56" t="n"/>
      <c r="G1491" s="66">
        <f>ROUND(SUM(G1490),2)</f>
        <v/>
      </c>
    </row>
    <row r="1492" ht="15" customHeight="1">
      <c r="A1492" s="2" t="inlineStr"/>
      <c r="B1492" s="2" t="inlineStr"/>
      <c r="C1492" s="2" t="inlineStr"/>
      <c r="D1492" s="2" t="inlineStr"/>
      <c r="E1492" s="28" t="inlineStr">
        <is>
          <t>VALOR BDI (23.08%):</t>
        </is>
      </c>
      <c r="F1492" s="56" t="n"/>
      <c r="G1492" s="66">
        <f>ROUNDDOWN(G1491*BDI,2)</f>
        <v/>
      </c>
    </row>
    <row r="1493" ht="15" customHeight="1">
      <c r="A1493" s="2" t="inlineStr"/>
      <c r="B1493" s="2" t="inlineStr"/>
      <c r="C1493" s="2" t="inlineStr"/>
      <c r="D1493" s="2" t="inlineStr"/>
      <c r="E1493" s="28" t="inlineStr">
        <is>
          <t>VALOR COM BDI:</t>
        </is>
      </c>
      <c r="F1493" s="56" t="n"/>
      <c r="G1493" s="66">
        <f>G1492 + G1491</f>
        <v/>
      </c>
    </row>
    <row r="1494" ht="10" customHeight="1">
      <c r="A1494" s="2" t="inlineStr"/>
      <c r="B1494" s="2" t="inlineStr"/>
      <c r="C1494" s="2" t="inlineStr"/>
      <c r="D1494" s="2" t="inlineStr"/>
      <c r="E1494" s="18" t="inlineStr"/>
    </row>
    <row r="1495" ht="20" customHeight="1">
      <c r="A1495" s="19" t="inlineStr">
        <is>
          <t>​95310​ CURSO DE CAPACITAÇÃO PARA AJUDANTE DE ESTRUTURA METÁLICA (ENCARGOS COMPLEMENTARES) - HORISTA​ (H)</t>
        </is>
      </c>
      <c r="B1495" s="55" t="n"/>
      <c r="C1495" s="55" t="n"/>
      <c r="D1495" s="55" t="n"/>
      <c r="E1495" s="55" t="n"/>
      <c r="F1495" s="55" t="n"/>
      <c r="G1495" s="56" t="n"/>
    </row>
    <row r="1496" ht="15" customHeight="1">
      <c r="A1496" s="20" t="inlineStr">
        <is>
          <t>Mão de Obra</t>
        </is>
      </c>
      <c r="B1496" s="56" t="n"/>
      <c r="C1496" s="21" t="inlineStr">
        <is>
          <t>FONTE</t>
        </is>
      </c>
      <c r="D1496" s="21" t="inlineStr">
        <is>
          <t>UNID</t>
        </is>
      </c>
      <c r="E1496" s="21" t="inlineStr">
        <is>
          <t>COEFICIENTE</t>
        </is>
      </c>
      <c r="F1496" s="21" t="inlineStr">
        <is>
          <t>PREÇO UNITÁRIO</t>
        </is>
      </c>
      <c r="G1496" s="21" t="inlineStr">
        <is>
          <t>TOTAL</t>
        </is>
      </c>
    </row>
    <row r="1497" ht="15" customHeight="1">
      <c r="A1497" s="22" t="inlineStr">
        <is>
          <t>00044499</t>
        </is>
      </c>
      <c r="B1497" s="23" t="inlineStr">
        <is>
          <t>AJUDANTE DE ESTRUTURAS METALICAS (HORISTA)</t>
        </is>
      </c>
      <c r="C1497" s="22" t="inlineStr">
        <is>
          <t>SINAPI</t>
        </is>
      </c>
      <c r="D1497" s="22" t="inlineStr">
        <is>
          <t>H</t>
        </is>
      </c>
      <c r="E1497" s="63" t="n">
        <v>0.01154</v>
      </c>
      <c r="F1497" s="64" t="n">
        <v>16.28</v>
      </c>
      <c r="G1497" s="64">
        <f>TRUNC(TRUNC(E1497,8)*F1497,2)</f>
        <v/>
      </c>
      <c r="L1497" t="n">
        <v>0.01154</v>
      </c>
      <c r="M1497" t="n">
        <v>16.28</v>
      </c>
      <c r="N1497">
        <f>(M1497-F1497)</f>
        <v/>
      </c>
    </row>
    <row r="1498" ht="15" customHeight="1">
      <c r="A1498" s="2" t="inlineStr"/>
      <c r="B1498" s="2" t="inlineStr"/>
      <c r="C1498" s="2" t="inlineStr"/>
      <c r="D1498" s="2" t="inlineStr"/>
      <c r="E1498" s="26" t="inlineStr">
        <is>
          <t>TOTAL Mão de Obra:</t>
        </is>
      </c>
      <c r="F1498" s="56" t="n"/>
      <c r="G1498" s="65">
        <f>SUM(G1497:G1497)</f>
        <v/>
      </c>
    </row>
    <row r="1499" ht="15" customHeight="1">
      <c r="A1499" s="2" t="inlineStr"/>
      <c r="B1499" s="2" t="inlineStr"/>
      <c r="C1499" s="2" t="inlineStr"/>
      <c r="D1499" s="2" t="inlineStr"/>
      <c r="E1499" s="28" t="inlineStr">
        <is>
          <t>VALOR:</t>
        </is>
      </c>
      <c r="F1499" s="56" t="n"/>
      <c r="G1499" s="66">
        <f>ROUND(SUM(G1498),2)</f>
        <v/>
      </c>
    </row>
    <row r="1500" ht="15" customHeight="1">
      <c r="A1500" s="2" t="inlineStr"/>
      <c r="B1500" s="2" t="inlineStr"/>
      <c r="C1500" s="2" t="inlineStr"/>
      <c r="D1500" s="2" t="inlineStr"/>
      <c r="E1500" s="28" t="inlineStr">
        <is>
          <t>VALOR BDI (23.08%):</t>
        </is>
      </c>
      <c r="F1500" s="56" t="n"/>
      <c r="G1500" s="66">
        <f>ROUNDDOWN(G1499*BDI,2)</f>
        <v/>
      </c>
    </row>
    <row r="1501" ht="15" customHeight="1">
      <c r="A1501" s="2" t="inlineStr"/>
      <c r="B1501" s="2" t="inlineStr"/>
      <c r="C1501" s="2" t="inlineStr"/>
      <c r="D1501" s="2" t="inlineStr"/>
      <c r="E1501" s="28" t="inlineStr">
        <is>
          <t>VALOR COM BDI:</t>
        </is>
      </c>
      <c r="F1501" s="56" t="n"/>
      <c r="G1501" s="66">
        <f>G1500 + G1499</f>
        <v/>
      </c>
    </row>
    <row r="1502" ht="10" customHeight="1">
      <c r="A1502" s="2" t="inlineStr"/>
      <c r="B1502" s="2" t="inlineStr"/>
      <c r="C1502" s="2" t="inlineStr"/>
      <c r="D1502" s="2" t="inlineStr"/>
      <c r="E1502" s="18" t="inlineStr"/>
    </row>
    <row r="1503" ht="20" customHeight="1">
      <c r="A1503" s="19" t="inlineStr">
        <is>
          <t>​95313​ CURSO DE CAPACITAÇÃO PARA AJUDANTE ESPECIALIZADO (ENCARGOS COMPLEMENTARES) - HORISTA​ (H)</t>
        </is>
      </c>
      <c r="B1503" s="55" t="n"/>
      <c r="C1503" s="55" t="n"/>
      <c r="D1503" s="55" t="n"/>
      <c r="E1503" s="55" t="n"/>
      <c r="F1503" s="55" t="n"/>
      <c r="G1503" s="56" t="n"/>
    </row>
    <row r="1504" ht="15" customHeight="1">
      <c r="A1504" s="20" t="inlineStr">
        <is>
          <t>Mão de Obra</t>
        </is>
      </c>
      <c r="B1504" s="56" t="n"/>
      <c r="C1504" s="21" t="inlineStr">
        <is>
          <t>FONTE</t>
        </is>
      </c>
      <c r="D1504" s="21" t="inlineStr">
        <is>
          <t>UNID</t>
        </is>
      </c>
      <c r="E1504" s="21" t="inlineStr">
        <is>
          <t>COEFICIENTE</t>
        </is>
      </c>
      <c r="F1504" s="21" t="inlineStr">
        <is>
          <t>PREÇO UNITÁRIO</t>
        </is>
      </c>
      <c r="G1504" s="21" t="inlineStr">
        <is>
          <t>TOTAL</t>
        </is>
      </c>
    </row>
    <row r="1505" ht="15" customHeight="1">
      <c r="A1505" s="22" t="inlineStr">
        <is>
          <t>00000242</t>
        </is>
      </c>
      <c r="B1505" s="23" t="inlineStr">
        <is>
          <t>AJUDANTE ESPECIALIZADO (HORISTA)</t>
        </is>
      </c>
      <c r="C1505" s="22" t="inlineStr">
        <is>
          <t>SINAPI</t>
        </is>
      </c>
      <c r="D1505" s="22" t="inlineStr">
        <is>
          <t>H</t>
        </is>
      </c>
      <c r="E1505" s="63" t="n">
        <v>0.01154</v>
      </c>
      <c r="F1505" s="64" t="n">
        <v>15.37</v>
      </c>
      <c r="G1505" s="64">
        <f>TRUNC(TRUNC(E1505,8)*F1505,2)</f>
        <v/>
      </c>
      <c r="L1505" t="n">
        <v>0.01154</v>
      </c>
      <c r="M1505" t="n">
        <v>15.37</v>
      </c>
      <c r="N1505">
        <f>(M1505-F1505)</f>
        <v/>
      </c>
    </row>
    <row r="1506" ht="15" customHeight="1">
      <c r="A1506" s="2" t="inlineStr"/>
      <c r="B1506" s="2" t="inlineStr"/>
      <c r="C1506" s="2" t="inlineStr"/>
      <c r="D1506" s="2" t="inlineStr"/>
      <c r="E1506" s="26" t="inlineStr">
        <is>
          <t>TOTAL Mão de Obra:</t>
        </is>
      </c>
      <c r="F1506" s="56" t="n"/>
      <c r="G1506" s="65">
        <f>SUM(G1505:G1505)</f>
        <v/>
      </c>
    </row>
    <row r="1507" ht="15" customHeight="1">
      <c r="A1507" s="2" t="inlineStr"/>
      <c r="B1507" s="2" t="inlineStr"/>
      <c r="C1507" s="2" t="inlineStr"/>
      <c r="D1507" s="2" t="inlineStr"/>
      <c r="E1507" s="28" t="inlineStr">
        <is>
          <t>VALOR:</t>
        </is>
      </c>
      <c r="F1507" s="56" t="n"/>
      <c r="G1507" s="66">
        <f>ROUND(SUM(G1506),2)</f>
        <v/>
      </c>
    </row>
    <row r="1508" ht="15" customHeight="1">
      <c r="A1508" s="2" t="inlineStr"/>
      <c r="B1508" s="2" t="inlineStr"/>
      <c r="C1508" s="2" t="inlineStr"/>
      <c r="D1508" s="2" t="inlineStr"/>
      <c r="E1508" s="28" t="inlineStr">
        <is>
          <t>VALOR BDI (23.08%):</t>
        </is>
      </c>
      <c r="F1508" s="56" t="n"/>
      <c r="G1508" s="66">
        <f>ROUNDDOWN(G1507*BDI,2)</f>
        <v/>
      </c>
    </row>
    <row r="1509" ht="15" customHeight="1">
      <c r="A1509" s="2" t="inlineStr"/>
      <c r="B1509" s="2" t="inlineStr"/>
      <c r="C1509" s="2" t="inlineStr"/>
      <c r="D1509" s="2" t="inlineStr"/>
      <c r="E1509" s="28" t="inlineStr">
        <is>
          <t>VALOR COM BDI:</t>
        </is>
      </c>
      <c r="F1509" s="56" t="n"/>
      <c r="G1509" s="66">
        <f>G1508 + G1507</f>
        <v/>
      </c>
    </row>
    <row r="1510" ht="10" customHeight="1">
      <c r="A1510" s="2" t="inlineStr"/>
      <c r="B1510" s="2" t="inlineStr"/>
      <c r="C1510" s="2" t="inlineStr"/>
      <c r="D1510" s="2" t="inlineStr"/>
      <c r="E1510" s="18" t="inlineStr"/>
    </row>
    <row r="1511" ht="20" customHeight="1">
      <c r="A1511" s="19" t="inlineStr">
        <is>
          <t>​95413​ CURSO DE CAPACITAÇÃO PARA ALMOXARIFE (ENCARGOS COMPLEMENTARES) - MENSALISTA​ (MES)</t>
        </is>
      </c>
      <c r="B1511" s="55" t="n"/>
      <c r="C1511" s="55" t="n"/>
      <c r="D1511" s="55" t="n"/>
      <c r="E1511" s="55" t="n"/>
      <c r="F1511" s="55" t="n"/>
      <c r="G1511" s="56" t="n"/>
    </row>
    <row r="1512" ht="15" customHeight="1">
      <c r="A1512" s="20" t="inlineStr">
        <is>
          <t>Mão de Obra</t>
        </is>
      </c>
      <c r="B1512" s="56" t="n"/>
      <c r="C1512" s="21" t="inlineStr">
        <is>
          <t>FONTE</t>
        </is>
      </c>
      <c r="D1512" s="21" t="inlineStr">
        <is>
          <t>UNID</t>
        </is>
      </c>
      <c r="E1512" s="21" t="inlineStr">
        <is>
          <t>COEFICIENTE</t>
        </is>
      </c>
      <c r="F1512" s="21" t="inlineStr">
        <is>
          <t>PREÇO UNITÁRIO</t>
        </is>
      </c>
      <c r="G1512" s="21" t="inlineStr">
        <is>
          <t>TOTAL</t>
        </is>
      </c>
    </row>
    <row r="1513" ht="15" customHeight="1">
      <c r="A1513" s="22" t="inlineStr">
        <is>
          <t>00040809</t>
        </is>
      </c>
      <c r="B1513" s="23" t="inlineStr">
        <is>
          <t>ALMOXARIFE (MENSALISTA)</t>
        </is>
      </c>
      <c r="C1513" s="22" t="inlineStr">
        <is>
          <t>SINAPI</t>
        </is>
      </c>
      <c r="D1513" s="22" t="inlineStr">
        <is>
          <t>MES</t>
        </is>
      </c>
      <c r="E1513" s="63" t="n">
        <v>0.00383</v>
      </c>
      <c r="F1513" s="64" t="n">
        <v>3833.4</v>
      </c>
      <c r="G1513" s="64">
        <f>TRUNC(TRUNC(E1513,8)*F1513,2)</f>
        <v/>
      </c>
      <c r="L1513" t="n">
        <v>0.00383</v>
      </c>
      <c r="M1513" t="n">
        <v>3833.4</v>
      </c>
      <c r="N1513">
        <f>(M1513-F1513)</f>
        <v/>
      </c>
    </row>
    <row r="1514" ht="15" customHeight="1">
      <c r="A1514" s="2" t="inlineStr"/>
      <c r="B1514" s="2" t="inlineStr"/>
      <c r="C1514" s="2" t="inlineStr"/>
      <c r="D1514" s="2" t="inlineStr"/>
      <c r="E1514" s="26" t="inlineStr">
        <is>
          <t>TOTAL Mão de Obra:</t>
        </is>
      </c>
      <c r="F1514" s="56" t="n"/>
      <c r="G1514" s="65">
        <f>SUM(G1513:G1513)</f>
        <v/>
      </c>
    </row>
    <row r="1515" ht="15" customHeight="1">
      <c r="A1515" s="2" t="inlineStr"/>
      <c r="B1515" s="2" t="inlineStr"/>
      <c r="C1515" s="2" t="inlineStr"/>
      <c r="D1515" s="2" t="inlineStr"/>
      <c r="E1515" s="28" t="inlineStr">
        <is>
          <t>VALOR:</t>
        </is>
      </c>
      <c r="F1515" s="56" t="n"/>
      <c r="G1515" s="66">
        <f>ROUND(SUM(G1514),2)</f>
        <v/>
      </c>
    </row>
    <row r="1516" ht="15" customHeight="1">
      <c r="A1516" s="2" t="inlineStr"/>
      <c r="B1516" s="2" t="inlineStr"/>
      <c r="C1516" s="2" t="inlineStr"/>
      <c r="D1516" s="2" t="inlineStr"/>
      <c r="E1516" s="28" t="inlineStr">
        <is>
          <t>VALOR BDI (23.08%):</t>
        </is>
      </c>
      <c r="F1516" s="56" t="n"/>
      <c r="G1516" s="66">
        <f>ROUNDDOWN(G1515*BDI,2)</f>
        <v/>
      </c>
    </row>
    <row r="1517" ht="15" customHeight="1">
      <c r="A1517" s="2" t="inlineStr"/>
      <c r="B1517" s="2" t="inlineStr"/>
      <c r="C1517" s="2" t="inlineStr"/>
      <c r="D1517" s="2" t="inlineStr"/>
      <c r="E1517" s="28" t="inlineStr">
        <is>
          <t>VALOR COM BDI:</t>
        </is>
      </c>
      <c r="F1517" s="56" t="n"/>
      <c r="G1517" s="66">
        <f>G1516 + G1515</f>
        <v/>
      </c>
    </row>
    <row r="1518" ht="10" customHeight="1">
      <c r="A1518" s="2" t="inlineStr"/>
      <c r="B1518" s="2" t="inlineStr"/>
      <c r="C1518" s="2" t="inlineStr"/>
      <c r="D1518" s="2" t="inlineStr"/>
      <c r="E1518" s="18" t="inlineStr"/>
    </row>
    <row r="1519" ht="20" customHeight="1">
      <c r="A1519" s="19" t="inlineStr">
        <is>
          <t>​95314​ CURSO DE CAPACITAÇÃO PARA ARMADOR (ENCARGOS COMPLEMENTARES) - HORISTA​ (H)</t>
        </is>
      </c>
      <c r="B1519" s="55" t="n"/>
      <c r="C1519" s="55" t="n"/>
      <c r="D1519" s="55" t="n"/>
      <c r="E1519" s="55" t="n"/>
      <c r="F1519" s="55" t="n"/>
      <c r="G1519" s="56" t="n"/>
    </row>
    <row r="1520" ht="15" customHeight="1">
      <c r="A1520" s="20" t="inlineStr">
        <is>
          <t>Mão de Obra</t>
        </is>
      </c>
      <c r="B1520" s="56" t="n"/>
      <c r="C1520" s="21" t="inlineStr">
        <is>
          <t>FONTE</t>
        </is>
      </c>
      <c r="D1520" s="21" t="inlineStr">
        <is>
          <t>UNID</t>
        </is>
      </c>
      <c r="E1520" s="21" t="inlineStr">
        <is>
          <t>COEFICIENTE</t>
        </is>
      </c>
      <c r="F1520" s="21" t="inlineStr">
        <is>
          <t>PREÇO UNITÁRIO</t>
        </is>
      </c>
      <c r="G1520" s="21" t="inlineStr">
        <is>
          <t>TOTAL</t>
        </is>
      </c>
    </row>
    <row r="1521" ht="15" customHeight="1">
      <c r="A1521" s="22" t="inlineStr">
        <is>
          <t>00000378</t>
        </is>
      </c>
      <c r="B1521" s="23" t="inlineStr">
        <is>
          <t>ARMADOR (HORISTA)</t>
        </is>
      </c>
      <c r="C1521" s="22" t="inlineStr">
        <is>
          <t>SINAPI</t>
        </is>
      </c>
      <c r="D1521" s="22" t="inlineStr">
        <is>
          <t>H</t>
        </is>
      </c>
      <c r="E1521" s="63" t="n">
        <v>0.01154</v>
      </c>
      <c r="F1521" s="64" t="n">
        <v>21.87</v>
      </c>
      <c r="G1521" s="64">
        <f>TRUNC(TRUNC(E1521,8)*F1521,2)</f>
        <v/>
      </c>
      <c r="L1521" t="n">
        <v>0.01154</v>
      </c>
      <c r="M1521" t="n">
        <v>21.87</v>
      </c>
      <c r="N1521">
        <f>(M1521-F1521)</f>
        <v/>
      </c>
    </row>
    <row r="1522" ht="15" customHeight="1">
      <c r="A1522" s="2" t="inlineStr"/>
      <c r="B1522" s="2" t="inlineStr"/>
      <c r="C1522" s="2" t="inlineStr"/>
      <c r="D1522" s="2" t="inlineStr"/>
      <c r="E1522" s="26" t="inlineStr">
        <is>
          <t>TOTAL Mão de Obra:</t>
        </is>
      </c>
      <c r="F1522" s="56" t="n"/>
      <c r="G1522" s="65">
        <f>SUM(G1521:G1521)</f>
        <v/>
      </c>
    </row>
    <row r="1523" ht="15" customHeight="1">
      <c r="A1523" s="2" t="inlineStr"/>
      <c r="B1523" s="2" t="inlineStr"/>
      <c r="C1523" s="2" t="inlineStr"/>
      <c r="D1523" s="2" t="inlineStr"/>
      <c r="E1523" s="28" t="inlineStr">
        <is>
          <t>VALOR:</t>
        </is>
      </c>
      <c r="F1523" s="56" t="n"/>
      <c r="G1523" s="66">
        <f>ROUND(SUM(G1522),2)</f>
        <v/>
      </c>
    </row>
    <row r="1524" ht="15" customHeight="1">
      <c r="A1524" s="2" t="inlineStr"/>
      <c r="B1524" s="2" t="inlineStr"/>
      <c r="C1524" s="2" t="inlineStr"/>
      <c r="D1524" s="2" t="inlineStr"/>
      <c r="E1524" s="28" t="inlineStr">
        <is>
          <t>VALOR BDI (23.08%):</t>
        </is>
      </c>
      <c r="F1524" s="56" t="n"/>
      <c r="G1524" s="66">
        <f>ROUNDDOWN(G1523*BDI,2)</f>
        <v/>
      </c>
    </row>
    <row r="1525" ht="15" customHeight="1">
      <c r="A1525" s="2" t="inlineStr"/>
      <c r="B1525" s="2" t="inlineStr"/>
      <c r="C1525" s="2" t="inlineStr"/>
      <c r="D1525" s="2" t="inlineStr"/>
      <c r="E1525" s="28" t="inlineStr">
        <is>
          <t>VALOR COM BDI:</t>
        </is>
      </c>
      <c r="F1525" s="56" t="n"/>
      <c r="G1525" s="66">
        <f>G1524 + G1523</f>
        <v/>
      </c>
    </row>
    <row r="1526" ht="10" customHeight="1">
      <c r="A1526" s="2" t="inlineStr"/>
      <c r="B1526" s="2" t="inlineStr"/>
      <c r="C1526" s="2" t="inlineStr"/>
      <c r="D1526" s="2" t="inlineStr"/>
      <c r="E1526" s="18" t="inlineStr"/>
    </row>
    <row r="1527" ht="20" customHeight="1">
      <c r="A1527" s="19" t="inlineStr">
        <is>
          <t>​95316​ CURSO DE CAPACITAÇÃO PARA AUXILIAR DE ELETRICISTA (ENCARGOS COMPLEMENTARES) - HORISTA​ (H)</t>
        </is>
      </c>
      <c r="B1527" s="55" t="n"/>
      <c r="C1527" s="55" t="n"/>
      <c r="D1527" s="55" t="n"/>
      <c r="E1527" s="55" t="n"/>
      <c r="F1527" s="55" t="n"/>
      <c r="G1527" s="56" t="n"/>
    </row>
    <row r="1528" ht="15" customHeight="1">
      <c r="A1528" s="20" t="inlineStr">
        <is>
          <t>Mão de Obra</t>
        </is>
      </c>
      <c r="B1528" s="56" t="n"/>
      <c r="C1528" s="21" t="inlineStr">
        <is>
          <t>FONTE</t>
        </is>
      </c>
      <c r="D1528" s="21" t="inlineStr">
        <is>
          <t>UNID</t>
        </is>
      </c>
      <c r="E1528" s="21" t="inlineStr">
        <is>
          <t>COEFICIENTE</t>
        </is>
      </c>
      <c r="F1528" s="21" t="inlineStr">
        <is>
          <t>PREÇO UNITÁRIO</t>
        </is>
      </c>
      <c r="G1528" s="21" t="inlineStr">
        <is>
          <t>TOTAL</t>
        </is>
      </c>
    </row>
    <row r="1529" ht="15" customHeight="1">
      <c r="A1529" s="22" t="inlineStr">
        <is>
          <t>00000247</t>
        </is>
      </c>
      <c r="B1529" s="23" t="inlineStr">
        <is>
          <t>AJUDANTE DE ELETRICISTA (HORISTA)</t>
        </is>
      </c>
      <c r="C1529" s="22" t="inlineStr">
        <is>
          <t>SINAPI</t>
        </is>
      </c>
      <c r="D1529" s="22" t="inlineStr">
        <is>
          <t>H</t>
        </is>
      </c>
      <c r="E1529" s="63" t="n">
        <v>0.03732</v>
      </c>
      <c r="F1529" s="64" t="n">
        <v>16.28</v>
      </c>
      <c r="G1529" s="64">
        <f>TRUNC(TRUNC(E1529,8)*F1529,2)</f>
        <v/>
      </c>
      <c r="L1529" t="n">
        <v>0.03732</v>
      </c>
      <c r="M1529" t="n">
        <v>16.28</v>
      </c>
      <c r="N1529">
        <f>(M1529-F1529)</f>
        <v/>
      </c>
    </row>
    <row r="1530" ht="15" customHeight="1">
      <c r="A1530" s="2" t="inlineStr"/>
      <c r="B1530" s="2" t="inlineStr"/>
      <c r="C1530" s="2" t="inlineStr"/>
      <c r="D1530" s="2" t="inlineStr"/>
      <c r="E1530" s="26" t="inlineStr">
        <is>
          <t>TOTAL Mão de Obra:</t>
        </is>
      </c>
      <c r="F1530" s="56" t="n"/>
      <c r="G1530" s="65">
        <f>SUM(G1529:G1529)</f>
        <v/>
      </c>
    </row>
    <row r="1531" ht="15" customHeight="1">
      <c r="A1531" s="2" t="inlineStr"/>
      <c r="B1531" s="2" t="inlineStr"/>
      <c r="C1531" s="2" t="inlineStr"/>
      <c r="D1531" s="2" t="inlineStr"/>
      <c r="E1531" s="28" t="inlineStr">
        <is>
          <t>VALOR:</t>
        </is>
      </c>
      <c r="F1531" s="56" t="n"/>
      <c r="G1531" s="66">
        <f>ROUND(SUM(G1530),2)</f>
        <v/>
      </c>
    </row>
    <row r="1532" ht="15" customHeight="1">
      <c r="A1532" s="2" t="inlineStr"/>
      <c r="B1532" s="2" t="inlineStr"/>
      <c r="C1532" s="2" t="inlineStr"/>
      <c r="D1532" s="2" t="inlineStr"/>
      <c r="E1532" s="28" t="inlineStr">
        <is>
          <t>VALOR BDI (23.08%):</t>
        </is>
      </c>
      <c r="F1532" s="56" t="n"/>
      <c r="G1532" s="66">
        <f>ROUNDDOWN(G1531*BDI,2)</f>
        <v/>
      </c>
    </row>
    <row r="1533" ht="15" customHeight="1">
      <c r="A1533" s="2" t="inlineStr"/>
      <c r="B1533" s="2" t="inlineStr"/>
      <c r="C1533" s="2" t="inlineStr"/>
      <c r="D1533" s="2" t="inlineStr"/>
      <c r="E1533" s="28" t="inlineStr">
        <is>
          <t>VALOR COM BDI:</t>
        </is>
      </c>
      <c r="F1533" s="56" t="n"/>
      <c r="G1533" s="66">
        <f>G1532 + G1531</f>
        <v/>
      </c>
    </row>
    <row r="1534" ht="10" customHeight="1">
      <c r="A1534" s="2" t="inlineStr"/>
      <c r="B1534" s="2" t="inlineStr"/>
      <c r="C1534" s="2" t="inlineStr"/>
      <c r="D1534" s="2" t="inlineStr"/>
      <c r="E1534" s="18" t="inlineStr"/>
    </row>
    <row r="1535" ht="20" customHeight="1">
      <c r="A1535" s="19" t="inlineStr">
        <is>
          <t>​ED-5227​ CURSO DE CAPACITAÇÃO PARA AUXILIAR DE ENCANADOR OU BOMBEIRO HIDRÁULICO ( ENCARGOS COMPLEMENTARES) - HORISTA​ (hora)</t>
        </is>
      </c>
      <c r="B1535" s="55" t="n"/>
      <c r="C1535" s="55" t="n"/>
      <c r="D1535" s="55" t="n"/>
      <c r="E1535" s="55" t="n"/>
      <c r="F1535" s="55" t="n"/>
      <c r="G1535" s="56" t="n"/>
    </row>
    <row r="1536" ht="20" customHeight="1">
      <c r="A1536" s="32" t="inlineStr">
        <is>
          <t>MÃO DE OBRA</t>
        </is>
      </c>
      <c r="B1536" s="55" t="n"/>
      <c r="C1536" s="56" t="n"/>
      <c r="D1536" s="4" t="inlineStr">
        <is>
          <t>UNID</t>
        </is>
      </c>
      <c r="E1536" s="4" t="inlineStr">
        <is>
          <t>CONSUMO</t>
        </is>
      </c>
      <c r="F1536" s="4" t="inlineStr">
        <is>
          <t>SALÁRIO HORA</t>
        </is>
      </c>
      <c r="G1536" s="4" t="inlineStr">
        <is>
          <t>CUSTO HORÁRIO</t>
        </is>
      </c>
    </row>
    <row r="1537" ht="15" customHeight="1">
      <c r="A1537" s="8" t="inlineStr">
        <is>
          <t>MOED-20131</t>
        </is>
      </c>
      <c r="B1537" s="38" t="inlineStr">
        <is>
          <t xml:space="preserve">AJUDANTE DE BOMBEIRO/ ENCANADOR (MODALIDADE: HORISTA| ENCARGOS </t>
        </is>
      </c>
      <c r="C1537" s="55" t="n"/>
      <c r="D1537" s="8" t="inlineStr">
        <is>
          <t>h</t>
        </is>
      </c>
      <c r="E1537" s="69" t="n">
        <v>0.01798</v>
      </c>
      <c r="F1537" s="58" t="n">
        <v>18.232</v>
      </c>
      <c r="G1537" s="58">
        <f>ROUND(ROUND(E1537,7)*F1537,4)</f>
        <v/>
      </c>
      <c r="L1537" t="n">
        <v>0.01798</v>
      </c>
      <c r="M1537" t="n">
        <v>18.232</v>
      </c>
      <c r="N1537">
        <f>(M1537-F1537)</f>
        <v/>
      </c>
    </row>
    <row r="1538" ht="15" customHeight="1">
      <c r="A1538" s="1" t="inlineStr"/>
      <c r="B1538" s="1" t="inlineStr"/>
      <c r="C1538" s="1" t="inlineStr"/>
      <c r="D1538" s="1" t="inlineStr"/>
      <c r="E1538" s="35" t="inlineStr">
        <is>
          <t>TOTAL MÃO DE OBRA:</t>
        </is>
      </c>
      <c r="F1538" s="56" t="n"/>
      <c r="G1538" s="66">
        <f>SUM(G1537:G1537)</f>
        <v/>
      </c>
    </row>
    <row r="1539" ht="15" customHeight="1">
      <c r="A1539" s="2" t="inlineStr"/>
      <c r="B1539" s="2" t="inlineStr"/>
      <c r="C1539" s="2" t="inlineStr"/>
      <c r="D1539" s="2" t="inlineStr"/>
      <c r="E1539" s="28" t="inlineStr">
        <is>
          <t>Custo Horário da Execução:</t>
        </is>
      </c>
      <c r="F1539" s="56" t="n"/>
      <c r="G1539" s="70">
        <f>G1538</f>
        <v/>
      </c>
    </row>
    <row r="1540" ht="15" customHeight="1">
      <c r="A1540" s="2" t="inlineStr"/>
      <c r="B1540" s="2" t="inlineStr"/>
      <c r="C1540" s="2" t="inlineStr"/>
      <c r="D1540" s="2" t="inlineStr"/>
      <c r="E1540" s="28" t="inlineStr">
        <is>
          <t>Produção da Equipe:</t>
        </is>
      </c>
      <c r="F1540" s="56" t="n"/>
      <c r="G1540" s="73" t="n">
        <v>1</v>
      </c>
    </row>
    <row r="1541" ht="15" customHeight="1">
      <c r="A1541" s="2" t="inlineStr"/>
      <c r="B1541" s="2" t="inlineStr"/>
      <c r="C1541" s="2" t="inlineStr"/>
      <c r="D1541" s="2" t="inlineStr"/>
      <c r="E1541" s="28" t="inlineStr">
        <is>
          <t>Custo Unitário da Execução:</t>
        </is>
      </c>
      <c r="F1541" s="56" t="n"/>
      <c r="G1541" s="70">
        <f>ROUND(G1539/G1540, 4)</f>
        <v/>
      </c>
    </row>
    <row r="1542" ht="15" customHeight="1">
      <c r="A1542" s="2" t="inlineStr"/>
      <c r="B1542" s="2" t="inlineStr"/>
      <c r="C1542" s="2" t="inlineStr"/>
      <c r="D1542" s="2" t="inlineStr"/>
      <c r="E1542" s="28" t="inlineStr">
        <is>
          <t>Custo Direto Total:</t>
        </is>
      </c>
      <c r="F1542" s="56" t="n"/>
      <c r="G1542" s="70">
        <f>SUM(G1541)</f>
        <v/>
      </c>
    </row>
    <row r="1543" ht="15" customHeight="1">
      <c r="A1543" s="2" t="inlineStr"/>
      <c r="B1543" s="2" t="inlineStr"/>
      <c r="C1543" s="2" t="inlineStr"/>
      <c r="D1543" s="2" t="inlineStr"/>
      <c r="E1543" s="28" t="inlineStr">
        <is>
          <t>VALOR:</t>
        </is>
      </c>
      <c r="F1543" s="56" t="n"/>
      <c r="G1543" s="66">
        <f>ROUND(SUM(G1542),2)</f>
        <v/>
      </c>
    </row>
    <row r="1544" ht="15" customHeight="1">
      <c r="A1544" s="2" t="inlineStr"/>
      <c r="B1544" s="2" t="inlineStr"/>
      <c r="C1544" s="2" t="inlineStr"/>
      <c r="D1544" s="2" t="inlineStr"/>
      <c r="E1544" s="28" t="inlineStr">
        <is>
          <t>VALOR BDI (23.08%):</t>
        </is>
      </c>
      <c r="F1544" s="56" t="n"/>
      <c r="G1544" s="66">
        <f>ROUNDDOWN(G1543*BDI,2)</f>
        <v/>
      </c>
    </row>
    <row r="1545" ht="15" customHeight="1">
      <c r="A1545" s="2" t="inlineStr"/>
      <c r="B1545" s="2" t="inlineStr"/>
      <c r="C1545" s="2" t="inlineStr"/>
      <c r="D1545" s="2" t="inlineStr"/>
      <c r="E1545" s="28" t="inlineStr">
        <is>
          <t>VALOR COM BDI:</t>
        </is>
      </c>
      <c r="F1545" s="56" t="n"/>
      <c r="G1545" s="66">
        <f>G1544 + G1543</f>
        <v/>
      </c>
    </row>
    <row r="1546" ht="10" customHeight="1">
      <c r="A1546" s="2" t="inlineStr"/>
      <c r="B1546" s="2" t="inlineStr"/>
      <c r="C1546" s="2" t="inlineStr"/>
      <c r="D1546" s="2" t="inlineStr"/>
      <c r="E1546" s="18" t="inlineStr"/>
    </row>
    <row r="1547" ht="20" customHeight="1">
      <c r="A1547" s="19" t="inlineStr">
        <is>
          <t>​95317​ CURSO DE CAPACITAÇÃO PARA AUXILIAR DE ENCANADOR OU BOMBEIRO HIDRÁULICO (ENCARGOS COMPLEMENTARES) - HORISTA​ (H)</t>
        </is>
      </c>
      <c r="B1547" s="55" t="n"/>
      <c r="C1547" s="55" t="n"/>
      <c r="D1547" s="55" t="n"/>
      <c r="E1547" s="55" t="n"/>
      <c r="F1547" s="55" t="n"/>
      <c r="G1547" s="56" t="n"/>
    </row>
    <row r="1548" ht="15" customHeight="1">
      <c r="A1548" s="20" t="inlineStr">
        <is>
          <t>Mão de Obra</t>
        </is>
      </c>
      <c r="B1548" s="56" t="n"/>
      <c r="C1548" s="21" t="inlineStr">
        <is>
          <t>FONTE</t>
        </is>
      </c>
      <c r="D1548" s="21" t="inlineStr">
        <is>
          <t>UNID</t>
        </is>
      </c>
      <c r="E1548" s="21" t="inlineStr">
        <is>
          <t>COEFICIENTE</t>
        </is>
      </c>
      <c r="F1548" s="21" t="inlineStr">
        <is>
          <t>PREÇO UNITÁRIO</t>
        </is>
      </c>
      <c r="G1548" s="21" t="inlineStr">
        <is>
          <t>TOTAL</t>
        </is>
      </c>
    </row>
    <row r="1549" ht="21" customHeight="1">
      <c r="A1549" s="22" t="inlineStr">
        <is>
          <t>00000246</t>
        </is>
      </c>
      <c r="B1549" s="23" t="inlineStr">
        <is>
          <t>AUXILIAR DE ENCANADOR OU BOMBEIRO HIDRAULICO (HORISTA)</t>
        </is>
      </c>
      <c r="C1549" s="22" t="inlineStr">
        <is>
          <t>SINAPI</t>
        </is>
      </c>
      <c r="D1549" s="22" t="inlineStr">
        <is>
          <t>H</t>
        </is>
      </c>
      <c r="E1549" s="63" t="n">
        <v>0.01798</v>
      </c>
      <c r="F1549" s="64" t="n">
        <v>16.28</v>
      </c>
      <c r="G1549" s="64">
        <f>TRUNC(TRUNC(E1549,8)*F1549,2)</f>
        <v/>
      </c>
      <c r="L1549" t="n">
        <v>0.01798</v>
      </c>
      <c r="M1549" t="n">
        <v>16.28</v>
      </c>
      <c r="N1549">
        <f>(M1549-F1549)</f>
        <v/>
      </c>
    </row>
    <row r="1550" ht="15" customHeight="1">
      <c r="A1550" s="2" t="inlineStr"/>
      <c r="B1550" s="2" t="inlineStr"/>
      <c r="C1550" s="2" t="inlineStr"/>
      <c r="D1550" s="2" t="inlineStr"/>
      <c r="E1550" s="26" t="inlineStr">
        <is>
          <t>TOTAL Mão de Obra:</t>
        </is>
      </c>
      <c r="F1550" s="56" t="n"/>
      <c r="G1550" s="65">
        <f>SUM(G1549:G1549)</f>
        <v/>
      </c>
    </row>
    <row r="1551" ht="15" customHeight="1">
      <c r="A1551" s="2" t="inlineStr"/>
      <c r="B1551" s="2" t="inlineStr"/>
      <c r="C1551" s="2" t="inlineStr"/>
      <c r="D1551" s="2" t="inlineStr"/>
      <c r="E1551" s="28" t="inlineStr">
        <is>
          <t>VALOR:</t>
        </is>
      </c>
      <c r="F1551" s="56" t="n"/>
      <c r="G1551" s="66">
        <f>ROUND(SUM(G1550),2)</f>
        <v/>
      </c>
    </row>
    <row r="1552" ht="15" customHeight="1">
      <c r="A1552" s="2" t="inlineStr"/>
      <c r="B1552" s="2" t="inlineStr"/>
      <c r="C1552" s="2" t="inlineStr"/>
      <c r="D1552" s="2" t="inlineStr"/>
      <c r="E1552" s="28" t="inlineStr">
        <is>
          <t>VALOR BDI (23.08%):</t>
        </is>
      </c>
      <c r="F1552" s="56" t="n"/>
      <c r="G1552" s="66">
        <f>ROUNDDOWN(G1551*BDI,2)</f>
        <v/>
      </c>
    </row>
    <row r="1553" ht="15" customHeight="1">
      <c r="A1553" s="2" t="inlineStr"/>
      <c r="B1553" s="2" t="inlineStr"/>
      <c r="C1553" s="2" t="inlineStr"/>
      <c r="D1553" s="2" t="inlineStr"/>
      <c r="E1553" s="28" t="inlineStr">
        <is>
          <t>VALOR COM BDI:</t>
        </is>
      </c>
      <c r="F1553" s="56" t="n"/>
      <c r="G1553" s="66">
        <f>G1552 + G1551</f>
        <v/>
      </c>
    </row>
    <row r="1554" ht="10" customHeight="1">
      <c r="A1554" s="2" t="inlineStr"/>
      <c r="B1554" s="2" t="inlineStr"/>
      <c r="C1554" s="2" t="inlineStr"/>
      <c r="D1554" s="2" t="inlineStr"/>
      <c r="E1554" s="18" t="inlineStr"/>
    </row>
    <row r="1555" ht="20" customHeight="1">
      <c r="A1555" s="19" t="inlineStr">
        <is>
          <t>​95320​ CURSO DE CAPACITAÇÃO PARA AUXILIAR DE SERRALHEIRO (ENCARGOS COMPLEMENTARES) - HORISTA​ (H)</t>
        </is>
      </c>
      <c r="B1555" s="55" t="n"/>
      <c r="C1555" s="55" t="n"/>
      <c r="D1555" s="55" t="n"/>
      <c r="E1555" s="55" t="n"/>
      <c r="F1555" s="55" t="n"/>
      <c r="G1555" s="56" t="n"/>
    </row>
    <row r="1556" ht="15" customHeight="1">
      <c r="A1556" s="20" t="inlineStr">
        <is>
          <t>Mão de Obra</t>
        </is>
      </c>
      <c r="B1556" s="56" t="n"/>
      <c r="C1556" s="21" t="inlineStr">
        <is>
          <t>FONTE</t>
        </is>
      </c>
      <c r="D1556" s="21" t="inlineStr">
        <is>
          <t>UNID</t>
        </is>
      </c>
      <c r="E1556" s="21" t="inlineStr">
        <is>
          <t>COEFICIENTE</t>
        </is>
      </c>
      <c r="F1556" s="21" t="inlineStr">
        <is>
          <t>PREÇO UNITÁRIO</t>
        </is>
      </c>
      <c r="G1556" s="21" t="inlineStr">
        <is>
          <t>TOTAL</t>
        </is>
      </c>
    </row>
    <row r="1557" ht="15" customHeight="1">
      <c r="A1557" s="22" t="inlineStr">
        <is>
          <t>00000252</t>
        </is>
      </c>
      <c r="B1557" s="23" t="inlineStr">
        <is>
          <t>AJUDANTE DE SERRALHEIRO (HORISTA)</t>
        </is>
      </c>
      <c r="C1557" s="22" t="inlineStr">
        <is>
          <t>SINAPI</t>
        </is>
      </c>
      <c r="D1557" s="22" t="inlineStr">
        <is>
          <t>H</t>
        </is>
      </c>
      <c r="E1557" s="63" t="n">
        <v>0.01154</v>
      </c>
      <c r="F1557" s="64" t="n">
        <v>16.28</v>
      </c>
      <c r="G1557" s="64">
        <f>TRUNC(TRUNC(E1557,8)*F1557,2)</f>
        <v/>
      </c>
      <c r="L1557" t="n">
        <v>0.01154</v>
      </c>
      <c r="M1557" t="n">
        <v>16.28</v>
      </c>
      <c r="N1557">
        <f>(M1557-F1557)</f>
        <v/>
      </c>
    </row>
    <row r="1558" ht="15" customHeight="1">
      <c r="A1558" s="2" t="inlineStr"/>
      <c r="B1558" s="2" t="inlineStr"/>
      <c r="C1558" s="2" t="inlineStr"/>
      <c r="D1558" s="2" t="inlineStr"/>
      <c r="E1558" s="26" t="inlineStr">
        <is>
          <t>TOTAL Mão de Obra:</t>
        </is>
      </c>
      <c r="F1558" s="56" t="n"/>
      <c r="G1558" s="65">
        <f>SUM(G1557:G1557)</f>
        <v/>
      </c>
    </row>
    <row r="1559" ht="15" customHeight="1">
      <c r="A1559" s="2" t="inlineStr"/>
      <c r="B1559" s="2" t="inlineStr"/>
      <c r="C1559" s="2" t="inlineStr"/>
      <c r="D1559" s="2" t="inlineStr"/>
      <c r="E1559" s="28" t="inlineStr">
        <is>
          <t>VALOR:</t>
        </is>
      </c>
      <c r="F1559" s="56" t="n"/>
      <c r="G1559" s="66">
        <f>ROUND(SUM(G1558),2)</f>
        <v/>
      </c>
    </row>
    <row r="1560" ht="15" customHeight="1">
      <c r="A1560" s="2" t="inlineStr"/>
      <c r="B1560" s="2" t="inlineStr"/>
      <c r="C1560" s="2" t="inlineStr"/>
      <c r="D1560" s="2" t="inlineStr"/>
      <c r="E1560" s="28" t="inlineStr">
        <is>
          <t>VALOR BDI (23.08%):</t>
        </is>
      </c>
      <c r="F1560" s="56" t="n"/>
      <c r="G1560" s="66">
        <f>ROUNDDOWN(G1559*BDI,2)</f>
        <v/>
      </c>
    </row>
    <row r="1561" ht="15" customHeight="1">
      <c r="A1561" s="2" t="inlineStr"/>
      <c r="B1561" s="2" t="inlineStr"/>
      <c r="C1561" s="2" t="inlineStr"/>
      <c r="D1561" s="2" t="inlineStr"/>
      <c r="E1561" s="28" t="inlineStr">
        <is>
          <t>VALOR COM BDI:</t>
        </is>
      </c>
      <c r="F1561" s="56" t="n"/>
      <c r="G1561" s="66">
        <f>G1560 + G1559</f>
        <v/>
      </c>
    </row>
    <row r="1562" ht="10" customHeight="1">
      <c r="A1562" s="2" t="inlineStr"/>
      <c r="B1562" s="2" t="inlineStr"/>
      <c r="C1562" s="2" t="inlineStr"/>
      <c r="D1562" s="2" t="inlineStr"/>
      <c r="E1562" s="18" t="inlineStr"/>
    </row>
    <row r="1563" ht="20" customHeight="1">
      <c r="A1563" s="19" t="inlineStr">
        <is>
          <t>​95324​ CURSO DE CAPACITAÇÃO PARA AZULEJISTA OU LADRILHEIRO (ENCARGOS COMPLEMENTARES) - HORISTA​ (H)</t>
        </is>
      </c>
      <c r="B1563" s="55" t="n"/>
      <c r="C1563" s="55" t="n"/>
      <c r="D1563" s="55" t="n"/>
      <c r="E1563" s="55" t="n"/>
      <c r="F1563" s="55" t="n"/>
      <c r="G1563" s="56" t="n"/>
    </row>
    <row r="1564" ht="15" customHeight="1">
      <c r="A1564" s="20" t="inlineStr">
        <is>
          <t>Mão de Obra</t>
        </is>
      </c>
      <c r="B1564" s="56" t="n"/>
      <c r="C1564" s="21" t="inlineStr">
        <is>
          <t>FONTE</t>
        </is>
      </c>
      <c r="D1564" s="21" t="inlineStr">
        <is>
          <t>UNID</t>
        </is>
      </c>
      <c r="E1564" s="21" t="inlineStr">
        <is>
          <t>COEFICIENTE</t>
        </is>
      </c>
      <c r="F1564" s="21" t="inlineStr">
        <is>
          <t>PREÇO UNITÁRIO</t>
        </is>
      </c>
      <c r="G1564" s="21" t="inlineStr">
        <is>
          <t>TOTAL</t>
        </is>
      </c>
    </row>
    <row r="1565" ht="15" customHeight="1">
      <c r="A1565" s="22" t="inlineStr">
        <is>
          <t>00004760</t>
        </is>
      </c>
      <c r="B1565" s="23" t="inlineStr">
        <is>
          <t>AZULEJISTA OU LADRILHEIRO (HORISTA)</t>
        </is>
      </c>
      <c r="C1565" s="22" t="inlineStr">
        <is>
          <t>SINAPI</t>
        </is>
      </c>
      <c r="D1565" s="22" t="inlineStr">
        <is>
          <t>H</t>
        </is>
      </c>
      <c r="E1565" s="63" t="n">
        <v>0.01476</v>
      </c>
      <c r="F1565" s="64" t="n">
        <v>21.81</v>
      </c>
      <c r="G1565" s="64">
        <f>TRUNC(TRUNC(E1565,8)*F1565,2)</f>
        <v/>
      </c>
      <c r="L1565" t="n">
        <v>0.01476</v>
      </c>
      <c r="M1565" t="n">
        <v>21.81</v>
      </c>
      <c r="N1565">
        <f>(M1565-F1565)</f>
        <v/>
      </c>
    </row>
    <row r="1566" ht="15" customHeight="1">
      <c r="A1566" s="2" t="inlineStr"/>
      <c r="B1566" s="2" t="inlineStr"/>
      <c r="C1566" s="2" t="inlineStr"/>
      <c r="D1566" s="2" t="inlineStr"/>
      <c r="E1566" s="26" t="inlineStr">
        <is>
          <t>TOTAL Mão de Obra:</t>
        </is>
      </c>
      <c r="F1566" s="56" t="n"/>
      <c r="G1566" s="65">
        <f>SUM(G1565:G1565)</f>
        <v/>
      </c>
    </row>
    <row r="1567" ht="15" customHeight="1">
      <c r="A1567" s="2" t="inlineStr"/>
      <c r="B1567" s="2" t="inlineStr"/>
      <c r="C1567" s="2" t="inlineStr"/>
      <c r="D1567" s="2" t="inlineStr"/>
      <c r="E1567" s="28" t="inlineStr">
        <is>
          <t>VALOR:</t>
        </is>
      </c>
      <c r="F1567" s="56" t="n"/>
      <c r="G1567" s="66">
        <f>ROUND(SUM(G1566),2)</f>
        <v/>
      </c>
    </row>
    <row r="1568" ht="15" customHeight="1">
      <c r="A1568" s="2" t="inlineStr"/>
      <c r="B1568" s="2" t="inlineStr"/>
      <c r="C1568" s="2" t="inlineStr"/>
      <c r="D1568" s="2" t="inlineStr"/>
      <c r="E1568" s="28" t="inlineStr">
        <is>
          <t>VALOR BDI (23.08%):</t>
        </is>
      </c>
      <c r="F1568" s="56" t="n"/>
      <c r="G1568" s="66">
        <f>ROUNDDOWN(G1567*BDI,2)</f>
        <v/>
      </c>
    </row>
    <row r="1569" ht="15" customHeight="1">
      <c r="A1569" s="2" t="inlineStr"/>
      <c r="B1569" s="2" t="inlineStr"/>
      <c r="C1569" s="2" t="inlineStr"/>
      <c r="D1569" s="2" t="inlineStr"/>
      <c r="E1569" s="28" t="inlineStr">
        <is>
          <t>VALOR COM BDI:</t>
        </is>
      </c>
      <c r="F1569" s="56" t="n"/>
      <c r="G1569" s="66">
        <f>G1568 + G1567</f>
        <v/>
      </c>
    </row>
    <row r="1570" ht="10" customHeight="1">
      <c r="A1570" s="2" t="inlineStr"/>
      <c r="B1570" s="2" t="inlineStr"/>
      <c r="C1570" s="2" t="inlineStr"/>
      <c r="D1570" s="2" t="inlineStr"/>
      <c r="E1570" s="18" t="inlineStr"/>
    </row>
    <row r="1571" ht="20" customHeight="1">
      <c r="A1571" s="19" t="inlineStr">
        <is>
          <t>​95329​ CURSO DE CAPACITAÇÃO PARA CARPINTEIRO DE ESQUADRIA (ENCARGOS COMPLEMENTARES) - HORISTA​ (H)</t>
        </is>
      </c>
      <c r="B1571" s="55" t="n"/>
      <c r="C1571" s="55" t="n"/>
      <c r="D1571" s="55" t="n"/>
      <c r="E1571" s="55" t="n"/>
      <c r="F1571" s="55" t="n"/>
      <c r="G1571" s="56" t="n"/>
    </row>
    <row r="1572" ht="15" customHeight="1">
      <c r="A1572" s="20" t="inlineStr">
        <is>
          <t>Mão de Obra</t>
        </is>
      </c>
      <c r="B1572" s="56" t="n"/>
      <c r="C1572" s="21" t="inlineStr">
        <is>
          <t>FONTE</t>
        </is>
      </c>
      <c r="D1572" s="21" t="inlineStr">
        <is>
          <t>UNID</t>
        </is>
      </c>
      <c r="E1572" s="21" t="inlineStr">
        <is>
          <t>COEFICIENTE</t>
        </is>
      </c>
      <c r="F1572" s="21" t="inlineStr">
        <is>
          <t>PREÇO UNITÁRIO</t>
        </is>
      </c>
      <c r="G1572" s="21" t="inlineStr">
        <is>
          <t>TOTAL</t>
        </is>
      </c>
    </row>
    <row r="1573" ht="15" customHeight="1">
      <c r="A1573" s="22" t="inlineStr">
        <is>
          <t>00001214</t>
        </is>
      </c>
      <c r="B1573" s="23" t="inlineStr">
        <is>
          <t>CARPINTEIRO DE ESQUADRIAS (HORISTA)</t>
        </is>
      </c>
      <c r="C1573" s="22" t="inlineStr">
        <is>
          <t>SINAPI</t>
        </is>
      </c>
      <c r="D1573" s="22" t="inlineStr">
        <is>
          <t>H</t>
        </is>
      </c>
      <c r="E1573" s="63" t="n">
        <v>0.01476</v>
      </c>
      <c r="F1573" s="64" t="n">
        <v>20.77</v>
      </c>
      <c r="G1573" s="64">
        <f>TRUNC(TRUNC(E1573,8)*F1573,2)</f>
        <v/>
      </c>
      <c r="L1573" t="n">
        <v>0.01476</v>
      </c>
      <c r="M1573" t="n">
        <v>20.77</v>
      </c>
      <c r="N1573">
        <f>(M1573-F1573)</f>
        <v/>
      </c>
    </row>
    <row r="1574" ht="15" customHeight="1">
      <c r="A1574" s="2" t="inlineStr"/>
      <c r="B1574" s="2" t="inlineStr"/>
      <c r="C1574" s="2" t="inlineStr"/>
      <c r="D1574" s="2" t="inlineStr"/>
      <c r="E1574" s="26" t="inlineStr">
        <is>
          <t>TOTAL Mão de Obra:</t>
        </is>
      </c>
      <c r="F1574" s="56" t="n"/>
      <c r="G1574" s="65">
        <f>SUM(G1573:G1573)</f>
        <v/>
      </c>
    </row>
    <row r="1575" ht="15" customHeight="1">
      <c r="A1575" s="2" t="inlineStr"/>
      <c r="B1575" s="2" t="inlineStr"/>
      <c r="C1575" s="2" t="inlineStr"/>
      <c r="D1575" s="2" t="inlineStr"/>
      <c r="E1575" s="28" t="inlineStr">
        <is>
          <t>VALOR:</t>
        </is>
      </c>
      <c r="F1575" s="56" t="n"/>
      <c r="G1575" s="66">
        <f>ROUND(SUM(G1574),2)</f>
        <v/>
      </c>
    </row>
    <row r="1576" ht="15" customHeight="1">
      <c r="A1576" s="2" t="inlineStr"/>
      <c r="B1576" s="2" t="inlineStr"/>
      <c r="C1576" s="2" t="inlineStr"/>
      <c r="D1576" s="2" t="inlineStr"/>
      <c r="E1576" s="28" t="inlineStr">
        <is>
          <t>VALOR BDI (23.08%):</t>
        </is>
      </c>
      <c r="F1576" s="56" t="n"/>
      <c r="G1576" s="66">
        <f>ROUNDDOWN(G1575*BDI,2)</f>
        <v/>
      </c>
    </row>
    <row r="1577" ht="15" customHeight="1">
      <c r="A1577" s="2" t="inlineStr"/>
      <c r="B1577" s="2" t="inlineStr"/>
      <c r="C1577" s="2" t="inlineStr"/>
      <c r="D1577" s="2" t="inlineStr"/>
      <c r="E1577" s="28" t="inlineStr">
        <is>
          <t>VALOR COM BDI:</t>
        </is>
      </c>
      <c r="F1577" s="56" t="n"/>
      <c r="G1577" s="66">
        <f>G1576 + G1575</f>
        <v/>
      </c>
    </row>
    <row r="1578" ht="10" customHeight="1">
      <c r="A1578" s="2" t="inlineStr"/>
      <c r="B1578" s="2" t="inlineStr"/>
      <c r="C1578" s="2" t="inlineStr"/>
      <c r="D1578" s="2" t="inlineStr"/>
      <c r="E1578" s="18" t="inlineStr"/>
    </row>
    <row r="1579" ht="20" customHeight="1">
      <c r="A1579" s="19" t="inlineStr">
        <is>
          <t>​95330​ CURSO DE CAPACITAÇÃO PARA CARPINTEIRO DE FÔRMAS (ENCARGOS COMPLEMENTARES) - HORISTA​ (H)</t>
        </is>
      </c>
      <c r="B1579" s="55" t="n"/>
      <c r="C1579" s="55" t="n"/>
      <c r="D1579" s="55" t="n"/>
      <c r="E1579" s="55" t="n"/>
      <c r="F1579" s="55" t="n"/>
      <c r="G1579" s="56" t="n"/>
    </row>
    <row r="1580" ht="15" customHeight="1">
      <c r="A1580" s="20" t="inlineStr">
        <is>
          <t>Mão de Obra</t>
        </is>
      </c>
      <c r="B1580" s="56" t="n"/>
      <c r="C1580" s="21" t="inlineStr">
        <is>
          <t>FONTE</t>
        </is>
      </c>
      <c r="D1580" s="21" t="inlineStr">
        <is>
          <t>UNID</t>
        </is>
      </c>
      <c r="E1580" s="21" t="inlineStr">
        <is>
          <t>COEFICIENTE</t>
        </is>
      </c>
      <c r="F1580" s="21" t="inlineStr">
        <is>
          <t>PREÇO UNITÁRIO</t>
        </is>
      </c>
      <c r="G1580" s="21" t="inlineStr">
        <is>
          <t>TOTAL</t>
        </is>
      </c>
    </row>
    <row r="1581" ht="15" customHeight="1">
      <c r="A1581" s="22" t="inlineStr">
        <is>
          <t>00001213</t>
        </is>
      </c>
      <c r="B1581" s="23" t="inlineStr">
        <is>
          <t>CARPINTEIRO DE FORMAS PARA CONCRETO (HORISTA)</t>
        </is>
      </c>
      <c r="C1581" s="22" t="inlineStr">
        <is>
          <t>SINAPI</t>
        </is>
      </c>
      <c r="D1581" s="22" t="inlineStr">
        <is>
          <t>H</t>
        </is>
      </c>
      <c r="E1581" s="63" t="n">
        <v>0.01154</v>
      </c>
      <c r="F1581" s="64" t="n">
        <v>21.81</v>
      </c>
      <c r="G1581" s="64">
        <f>TRUNC(TRUNC(E1581,8)*F1581,2)</f>
        <v/>
      </c>
      <c r="L1581" t="n">
        <v>0.01154</v>
      </c>
      <c r="M1581" t="n">
        <v>21.81</v>
      </c>
      <c r="N1581">
        <f>(M1581-F1581)</f>
        <v/>
      </c>
    </row>
    <row r="1582" ht="15" customHeight="1">
      <c r="A1582" s="2" t="inlineStr"/>
      <c r="B1582" s="2" t="inlineStr"/>
      <c r="C1582" s="2" t="inlineStr"/>
      <c r="D1582" s="2" t="inlineStr"/>
      <c r="E1582" s="26" t="inlineStr">
        <is>
          <t>TOTAL Mão de Obra:</t>
        </is>
      </c>
      <c r="F1582" s="56" t="n"/>
      <c r="G1582" s="65">
        <f>SUM(G1581:G1581)</f>
        <v/>
      </c>
    </row>
    <row r="1583" ht="15" customHeight="1">
      <c r="A1583" s="2" t="inlineStr"/>
      <c r="B1583" s="2" t="inlineStr"/>
      <c r="C1583" s="2" t="inlineStr"/>
      <c r="D1583" s="2" t="inlineStr"/>
      <c r="E1583" s="28" t="inlineStr">
        <is>
          <t>VALOR:</t>
        </is>
      </c>
      <c r="F1583" s="56" t="n"/>
      <c r="G1583" s="66">
        <f>ROUND(SUM(G1582),2)</f>
        <v/>
      </c>
    </row>
    <row r="1584" ht="15" customHeight="1">
      <c r="A1584" s="2" t="inlineStr"/>
      <c r="B1584" s="2" t="inlineStr"/>
      <c r="C1584" s="2" t="inlineStr"/>
      <c r="D1584" s="2" t="inlineStr"/>
      <c r="E1584" s="28" t="inlineStr">
        <is>
          <t>VALOR BDI (23.08%):</t>
        </is>
      </c>
      <c r="F1584" s="56" t="n"/>
      <c r="G1584" s="66">
        <f>ROUNDDOWN(G1583*BDI,2)</f>
        <v/>
      </c>
    </row>
    <row r="1585" ht="15" customHeight="1">
      <c r="A1585" s="2" t="inlineStr"/>
      <c r="B1585" s="2" t="inlineStr"/>
      <c r="C1585" s="2" t="inlineStr"/>
      <c r="D1585" s="2" t="inlineStr"/>
      <c r="E1585" s="28" t="inlineStr">
        <is>
          <t>VALOR COM BDI:</t>
        </is>
      </c>
      <c r="F1585" s="56" t="n"/>
      <c r="G1585" s="66">
        <f>G1584 + G1583</f>
        <v/>
      </c>
    </row>
    <row r="1586" ht="10" customHeight="1">
      <c r="A1586" s="2" t="inlineStr"/>
      <c r="B1586" s="2" t="inlineStr"/>
      <c r="C1586" s="2" t="inlineStr"/>
      <c r="D1586" s="2" t="inlineStr"/>
      <c r="E1586" s="18" t="inlineStr"/>
    </row>
    <row r="1587" ht="20" customHeight="1">
      <c r="A1587" s="19" t="inlineStr">
        <is>
          <t>​95332​ CURSO DE CAPACITAÇÃO PARA ELETRICISTA (ENCARGOS COMPLEMENTARES) - HORISTA​ (H)</t>
        </is>
      </c>
      <c r="B1587" s="55" t="n"/>
      <c r="C1587" s="55" t="n"/>
      <c r="D1587" s="55" t="n"/>
      <c r="E1587" s="55" t="n"/>
      <c r="F1587" s="55" t="n"/>
      <c r="G1587" s="56" t="n"/>
    </row>
    <row r="1588" ht="15" customHeight="1">
      <c r="A1588" s="20" t="inlineStr">
        <is>
          <t>Mão de Obra</t>
        </is>
      </c>
      <c r="B1588" s="56" t="n"/>
      <c r="C1588" s="21" t="inlineStr">
        <is>
          <t>FONTE</t>
        </is>
      </c>
      <c r="D1588" s="21" t="inlineStr">
        <is>
          <t>UNID</t>
        </is>
      </c>
      <c r="E1588" s="21" t="inlineStr">
        <is>
          <t>COEFICIENTE</t>
        </is>
      </c>
      <c r="F1588" s="21" t="inlineStr">
        <is>
          <t>PREÇO UNITÁRIO</t>
        </is>
      </c>
      <c r="G1588" s="21" t="inlineStr">
        <is>
          <t>TOTAL</t>
        </is>
      </c>
    </row>
    <row r="1589" ht="15" customHeight="1">
      <c r="A1589" s="22" t="inlineStr">
        <is>
          <t>00002436</t>
        </is>
      </c>
      <c r="B1589" s="23" t="inlineStr">
        <is>
          <t>ELETRICISTA (HORISTA)</t>
        </is>
      </c>
      <c r="C1589" s="22" t="inlineStr">
        <is>
          <t>SINAPI</t>
        </is>
      </c>
      <c r="D1589" s="22" t="inlineStr">
        <is>
          <t>H</t>
        </is>
      </c>
      <c r="E1589" s="63" t="n">
        <v>0.03732</v>
      </c>
      <c r="F1589" s="64" t="n">
        <v>21.81</v>
      </c>
      <c r="G1589" s="64">
        <f>TRUNC(TRUNC(E1589,8)*F1589,2)</f>
        <v/>
      </c>
      <c r="L1589" t="n">
        <v>0.03732</v>
      </c>
      <c r="M1589" t="n">
        <v>21.81</v>
      </c>
      <c r="N1589">
        <f>(M1589-F1589)</f>
        <v/>
      </c>
    </row>
    <row r="1590" ht="15" customHeight="1">
      <c r="A1590" s="2" t="inlineStr"/>
      <c r="B1590" s="2" t="inlineStr"/>
      <c r="C1590" s="2" t="inlineStr"/>
      <c r="D1590" s="2" t="inlineStr"/>
      <c r="E1590" s="26" t="inlineStr">
        <is>
          <t>TOTAL Mão de Obra:</t>
        </is>
      </c>
      <c r="F1590" s="56" t="n"/>
      <c r="G1590" s="65">
        <f>SUM(G1589:G1589)</f>
        <v/>
      </c>
    </row>
    <row r="1591" ht="15" customHeight="1">
      <c r="A1591" s="2" t="inlineStr"/>
      <c r="B1591" s="2" t="inlineStr"/>
      <c r="C1591" s="2" t="inlineStr"/>
      <c r="D1591" s="2" t="inlineStr"/>
      <c r="E1591" s="28" t="inlineStr">
        <is>
          <t>VALOR:</t>
        </is>
      </c>
      <c r="F1591" s="56" t="n"/>
      <c r="G1591" s="66">
        <f>ROUND(SUM(G1590),2)</f>
        <v/>
      </c>
    </row>
    <row r="1592" ht="15" customHeight="1">
      <c r="A1592" s="2" t="inlineStr"/>
      <c r="B1592" s="2" t="inlineStr"/>
      <c r="C1592" s="2" t="inlineStr"/>
      <c r="D1592" s="2" t="inlineStr"/>
      <c r="E1592" s="28" t="inlineStr">
        <is>
          <t>VALOR BDI (23.08%):</t>
        </is>
      </c>
      <c r="F1592" s="56" t="n"/>
      <c r="G1592" s="66">
        <f>ROUNDDOWN(G1591*BDI,2)</f>
        <v/>
      </c>
    </row>
    <row r="1593" ht="15" customHeight="1">
      <c r="A1593" s="2" t="inlineStr"/>
      <c r="B1593" s="2" t="inlineStr"/>
      <c r="C1593" s="2" t="inlineStr"/>
      <c r="D1593" s="2" t="inlineStr"/>
      <c r="E1593" s="28" t="inlineStr">
        <is>
          <t>VALOR COM BDI:</t>
        </is>
      </c>
      <c r="F1593" s="56" t="n"/>
      <c r="G1593" s="66">
        <f>G1592 + G1591</f>
        <v/>
      </c>
    </row>
    <row r="1594" ht="10" customHeight="1">
      <c r="A1594" s="2" t="inlineStr"/>
      <c r="B1594" s="2" t="inlineStr"/>
      <c r="C1594" s="2" t="inlineStr"/>
      <c r="D1594" s="2" t="inlineStr"/>
      <c r="E1594" s="18" t="inlineStr"/>
    </row>
    <row r="1595" ht="20" customHeight="1">
      <c r="A1595" s="19" t="inlineStr">
        <is>
          <t>​95334​ CURSO DE CAPACITAÇÃO PARA ELETROTÉCNICO (ENCARGOS COMPLEMENTARES) - HORISTA​ (H)</t>
        </is>
      </c>
      <c r="B1595" s="55" t="n"/>
      <c r="C1595" s="55" t="n"/>
      <c r="D1595" s="55" t="n"/>
      <c r="E1595" s="55" t="n"/>
      <c r="F1595" s="55" t="n"/>
      <c r="G1595" s="56" t="n"/>
    </row>
    <row r="1596" ht="15" customHeight="1">
      <c r="A1596" s="20" t="inlineStr">
        <is>
          <t>Mão de Obra</t>
        </is>
      </c>
      <c r="B1596" s="56" t="n"/>
      <c r="C1596" s="21" t="inlineStr">
        <is>
          <t>FONTE</t>
        </is>
      </c>
      <c r="D1596" s="21" t="inlineStr">
        <is>
          <t>UNID</t>
        </is>
      </c>
      <c r="E1596" s="21" t="inlineStr">
        <is>
          <t>COEFICIENTE</t>
        </is>
      </c>
      <c r="F1596" s="21" t="inlineStr">
        <is>
          <t>PREÇO UNITÁRIO</t>
        </is>
      </c>
      <c r="G1596" s="21" t="inlineStr">
        <is>
          <t>TOTAL</t>
        </is>
      </c>
    </row>
    <row r="1597" ht="15" customHeight="1">
      <c r="A1597" s="22" t="inlineStr">
        <is>
          <t>00002438</t>
        </is>
      </c>
      <c r="B1597" s="23" t="inlineStr">
        <is>
          <t>ELETROTECNICO (HORISTA)</t>
        </is>
      </c>
      <c r="C1597" s="22" t="inlineStr">
        <is>
          <t>SINAPI</t>
        </is>
      </c>
      <c r="D1597" s="22" t="inlineStr">
        <is>
          <t>H</t>
        </is>
      </c>
      <c r="E1597" s="63">
        <f>L1597*FATOR</f>
        <v/>
      </c>
      <c r="F1597" s="64" t="n">
        <v>32.93</v>
      </c>
      <c r="G1597" s="64">
        <f>TRUNC(TRUNC(E1597,8)*F1597,2)</f>
        <v/>
      </c>
      <c r="L1597" t="n">
        <v>0.03087</v>
      </c>
      <c r="M1597" t="n">
        <v>32.93</v>
      </c>
      <c r="N1597">
        <f>(M1597-F1597)</f>
        <v/>
      </c>
    </row>
    <row r="1598" ht="15" customHeight="1">
      <c r="A1598" s="2" t="inlineStr"/>
      <c r="B1598" s="2" t="inlineStr"/>
      <c r="C1598" s="2" t="inlineStr"/>
      <c r="D1598" s="2" t="inlineStr"/>
      <c r="E1598" s="26" t="inlineStr">
        <is>
          <t>TOTAL Mão de Obra:</t>
        </is>
      </c>
      <c r="F1598" s="56" t="n"/>
      <c r="G1598" s="65">
        <f>SUM(G1597:G1597)</f>
        <v/>
      </c>
    </row>
    <row r="1599" ht="15" customHeight="1">
      <c r="A1599" s="2" t="inlineStr"/>
      <c r="B1599" s="2" t="inlineStr"/>
      <c r="C1599" s="2" t="inlineStr"/>
      <c r="D1599" s="2" t="inlineStr"/>
      <c r="E1599" s="28" t="inlineStr">
        <is>
          <t>VALOR:</t>
        </is>
      </c>
      <c r="F1599" s="56" t="n"/>
      <c r="G1599" s="66">
        <f>SUM(G1598)</f>
        <v/>
      </c>
    </row>
    <row r="1600" ht="15" customHeight="1">
      <c r="A1600" s="2" t="inlineStr"/>
      <c r="B1600" s="2" t="inlineStr"/>
      <c r="C1600" s="2" t="inlineStr"/>
      <c r="D1600" s="2" t="inlineStr"/>
      <c r="E1600" s="28" t="inlineStr">
        <is>
          <t>VALOR BDI (23.08%):</t>
        </is>
      </c>
      <c r="F1600" s="56" t="n"/>
      <c r="G1600" s="66">
        <f>ROUNDDOWN(G1599*BDI,2)</f>
        <v/>
      </c>
    </row>
    <row r="1601" ht="15" customHeight="1">
      <c r="A1601" s="2" t="inlineStr"/>
      <c r="B1601" s="2" t="inlineStr"/>
      <c r="C1601" s="2" t="inlineStr"/>
      <c r="D1601" s="2" t="inlineStr"/>
      <c r="E1601" s="28" t="inlineStr">
        <is>
          <t>VALOR COM BDI:</t>
        </is>
      </c>
      <c r="F1601" s="56" t="n"/>
      <c r="G1601" s="66">
        <f>G1600 + G1599</f>
        <v/>
      </c>
    </row>
    <row r="1602" ht="10" customHeight="1">
      <c r="A1602" s="2" t="inlineStr"/>
      <c r="B1602" s="2" t="inlineStr"/>
      <c r="C1602" s="2" t="inlineStr"/>
      <c r="D1602" s="2" t="inlineStr"/>
      <c r="E1602" s="18" t="inlineStr"/>
    </row>
    <row r="1603" ht="20" customHeight="1">
      <c r="A1603" s="19" t="inlineStr">
        <is>
          <t>​ED-5226​ CURSO DE CAPACITAÇÃO PARA ENCANADOR OU BOMBEIRO HIDRÁULICO ( ENCARGOS COMPLEMENTARES) - HORISTA​ (hora)</t>
        </is>
      </c>
      <c r="B1603" s="55" t="n"/>
      <c r="C1603" s="55" t="n"/>
      <c r="D1603" s="55" t="n"/>
      <c r="E1603" s="55" t="n"/>
      <c r="F1603" s="55" t="n"/>
      <c r="G1603" s="56" t="n"/>
    </row>
    <row r="1604" ht="20" customHeight="1">
      <c r="A1604" s="32" t="inlineStr">
        <is>
          <t>MÃO DE OBRA</t>
        </is>
      </c>
      <c r="B1604" s="55" t="n"/>
      <c r="C1604" s="56" t="n"/>
      <c r="D1604" s="4" t="inlineStr">
        <is>
          <t>UNID</t>
        </is>
      </c>
      <c r="E1604" s="4" t="inlineStr">
        <is>
          <t>CONSUMO</t>
        </is>
      </c>
      <c r="F1604" s="4" t="inlineStr">
        <is>
          <t>SALÁRIO HORA</t>
        </is>
      </c>
      <c r="G1604" s="4" t="inlineStr">
        <is>
          <t>CUSTO HORÁRIO</t>
        </is>
      </c>
    </row>
    <row r="1605" ht="15" customHeight="1">
      <c r="A1605" s="8" t="inlineStr">
        <is>
          <t>MOED-20143</t>
        </is>
      </c>
      <c r="B1605" s="38" t="inlineStr">
        <is>
          <t>BOMBEIRO/ENCANADOR ( MODALIDADE: HORISTA|ENCARGOS SOCIAIS: INCLUSO)</t>
        </is>
      </c>
      <c r="C1605" s="55" t="n"/>
      <c r="D1605" s="8" t="inlineStr">
        <is>
          <t>h</t>
        </is>
      </c>
      <c r="E1605" s="69" t="n">
        <v>0.01798</v>
      </c>
      <c r="F1605" s="58" t="n">
        <v>24.1287</v>
      </c>
      <c r="G1605" s="58">
        <f>ROUND(ROUND(E1605,7)*F1605,4)</f>
        <v/>
      </c>
      <c r="L1605" t="n">
        <v>0.01798</v>
      </c>
      <c r="M1605" t="n">
        <v>24.1287</v>
      </c>
      <c r="N1605">
        <f>(M1605-F1605)</f>
        <v/>
      </c>
    </row>
    <row r="1606" ht="15" customHeight="1">
      <c r="A1606" s="1" t="inlineStr"/>
      <c r="B1606" s="1" t="inlineStr"/>
      <c r="C1606" s="1" t="inlineStr"/>
      <c r="D1606" s="1" t="inlineStr"/>
      <c r="E1606" s="35" t="inlineStr">
        <is>
          <t>TOTAL MÃO DE OBRA:</t>
        </is>
      </c>
      <c r="F1606" s="56" t="n"/>
      <c r="G1606" s="66">
        <f>SUM(G1605:G1605)</f>
        <v/>
      </c>
    </row>
    <row r="1607" ht="15" customHeight="1">
      <c r="A1607" s="2" t="inlineStr"/>
      <c r="B1607" s="2" t="inlineStr"/>
      <c r="C1607" s="2" t="inlineStr"/>
      <c r="D1607" s="2" t="inlineStr"/>
      <c r="E1607" s="28" t="inlineStr">
        <is>
          <t>Custo Horário da Execução:</t>
        </is>
      </c>
      <c r="F1607" s="56" t="n"/>
      <c r="G1607" s="70">
        <f>G1606</f>
        <v/>
      </c>
    </row>
    <row r="1608" ht="15" customHeight="1">
      <c r="A1608" s="2" t="inlineStr"/>
      <c r="B1608" s="2" t="inlineStr"/>
      <c r="C1608" s="2" t="inlineStr"/>
      <c r="D1608" s="2" t="inlineStr"/>
      <c r="E1608" s="28" t="inlineStr">
        <is>
          <t>Produção da Equipe:</t>
        </is>
      </c>
      <c r="F1608" s="56" t="n"/>
      <c r="G1608" s="73" t="n">
        <v>1</v>
      </c>
    </row>
    <row r="1609" ht="15" customHeight="1">
      <c r="A1609" s="2" t="inlineStr"/>
      <c r="B1609" s="2" t="inlineStr"/>
      <c r="C1609" s="2" t="inlineStr"/>
      <c r="D1609" s="2" t="inlineStr"/>
      <c r="E1609" s="28" t="inlineStr">
        <is>
          <t>Custo Unitário da Execução:</t>
        </is>
      </c>
      <c r="F1609" s="56" t="n"/>
      <c r="G1609" s="70">
        <f>ROUND(G1607/G1608, 4)</f>
        <v/>
      </c>
    </row>
    <row r="1610" ht="15" customHeight="1">
      <c r="A1610" s="2" t="inlineStr"/>
      <c r="B1610" s="2" t="inlineStr"/>
      <c r="C1610" s="2" t="inlineStr"/>
      <c r="D1610" s="2" t="inlineStr"/>
      <c r="E1610" s="28" t="inlineStr">
        <is>
          <t>Custo Direto Total:</t>
        </is>
      </c>
      <c r="F1610" s="56" t="n"/>
      <c r="G1610" s="70">
        <f>SUM(G1609)</f>
        <v/>
      </c>
    </row>
    <row r="1611" ht="15" customHeight="1">
      <c r="A1611" s="2" t="inlineStr"/>
      <c r="B1611" s="2" t="inlineStr"/>
      <c r="C1611" s="2" t="inlineStr"/>
      <c r="D1611" s="2" t="inlineStr"/>
      <c r="E1611" s="28" t="inlineStr">
        <is>
          <t>VALOR:</t>
        </is>
      </c>
      <c r="F1611" s="56" t="n"/>
      <c r="G1611" s="66">
        <f>ROUND(SUM(G1610),2)</f>
        <v/>
      </c>
    </row>
    <row r="1612" ht="15" customHeight="1">
      <c r="A1612" s="2" t="inlineStr"/>
      <c r="B1612" s="2" t="inlineStr"/>
      <c r="C1612" s="2" t="inlineStr"/>
      <c r="D1612" s="2" t="inlineStr"/>
      <c r="E1612" s="28" t="inlineStr">
        <is>
          <t>VALOR BDI (23.08%):</t>
        </is>
      </c>
      <c r="F1612" s="56" t="n"/>
      <c r="G1612" s="66">
        <f>ROUNDDOWN(G1611*BDI,2)</f>
        <v/>
      </c>
    </row>
    <row r="1613" ht="15" customHeight="1">
      <c r="A1613" s="2" t="inlineStr"/>
      <c r="B1613" s="2" t="inlineStr"/>
      <c r="C1613" s="2" t="inlineStr"/>
      <c r="D1613" s="2" t="inlineStr"/>
      <c r="E1613" s="28" t="inlineStr">
        <is>
          <t>VALOR COM BDI:</t>
        </is>
      </c>
      <c r="F1613" s="56" t="n"/>
      <c r="G1613" s="66">
        <f>G1612 + G1611</f>
        <v/>
      </c>
    </row>
    <row r="1614" ht="10" customHeight="1">
      <c r="A1614" s="2" t="inlineStr"/>
      <c r="B1614" s="2" t="inlineStr"/>
      <c r="C1614" s="2" t="inlineStr"/>
      <c r="D1614" s="2" t="inlineStr"/>
      <c r="E1614" s="18" t="inlineStr"/>
    </row>
    <row r="1615" ht="20" customHeight="1">
      <c r="A1615" s="19" t="inlineStr">
        <is>
          <t>​95335​ CURSO DE CAPACITAÇÃO PARA ENCANADOR OU BOMBEIRO HIDRÁULICO (ENCARGOS COMPLEMENTARES) - HORISTA​ (H)</t>
        </is>
      </c>
      <c r="B1615" s="55" t="n"/>
      <c r="C1615" s="55" t="n"/>
      <c r="D1615" s="55" t="n"/>
      <c r="E1615" s="55" t="n"/>
      <c r="F1615" s="55" t="n"/>
      <c r="G1615" s="56" t="n"/>
    </row>
    <row r="1616" ht="15" customHeight="1">
      <c r="A1616" s="20" t="inlineStr">
        <is>
          <t>Mão de Obra</t>
        </is>
      </c>
      <c r="B1616" s="56" t="n"/>
      <c r="C1616" s="21" t="inlineStr">
        <is>
          <t>FONTE</t>
        </is>
      </c>
      <c r="D1616" s="21" t="inlineStr">
        <is>
          <t>UNID</t>
        </is>
      </c>
      <c r="E1616" s="21" t="inlineStr">
        <is>
          <t>COEFICIENTE</t>
        </is>
      </c>
      <c r="F1616" s="21" t="inlineStr">
        <is>
          <t>PREÇO UNITÁRIO</t>
        </is>
      </c>
      <c r="G1616" s="21" t="inlineStr">
        <is>
          <t>TOTAL</t>
        </is>
      </c>
    </row>
    <row r="1617" ht="15" customHeight="1">
      <c r="A1617" s="22" t="inlineStr">
        <is>
          <t>00002696</t>
        </is>
      </c>
      <c r="B1617" s="23" t="inlineStr">
        <is>
          <t>ENCANADOR OU BOMBEIRO HIDRAULICO (HORISTA)</t>
        </is>
      </c>
      <c r="C1617" s="22" t="inlineStr">
        <is>
          <t>SINAPI</t>
        </is>
      </c>
      <c r="D1617" s="22" t="inlineStr">
        <is>
          <t>H</t>
        </is>
      </c>
      <c r="E1617" s="63" t="n">
        <v>0.01798</v>
      </c>
      <c r="F1617" s="64" t="n">
        <v>21.81</v>
      </c>
      <c r="G1617" s="64">
        <f>TRUNC(TRUNC(E1617,8)*F1617,2)</f>
        <v/>
      </c>
      <c r="L1617" t="n">
        <v>0.01798</v>
      </c>
      <c r="M1617" t="n">
        <v>21.81</v>
      </c>
      <c r="N1617">
        <f>(M1617-F1617)</f>
        <v/>
      </c>
    </row>
    <row r="1618" ht="15" customHeight="1">
      <c r="A1618" s="2" t="inlineStr"/>
      <c r="B1618" s="2" t="inlineStr"/>
      <c r="C1618" s="2" t="inlineStr"/>
      <c r="D1618" s="2" t="inlineStr"/>
      <c r="E1618" s="26" t="inlineStr">
        <is>
          <t>TOTAL Mão de Obra:</t>
        </is>
      </c>
      <c r="F1618" s="56" t="n"/>
      <c r="G1618" s="65">
        <f>SUM(G1617:G1617)</f>
        <v/>
      </c>
    </row>
    <row r="1619" ht="15" customHeight="1">
      <c r="A1619" s="2" t="inlineStr"/>
      <c r="B1619" s="2" t="inlineStr"/>
      <c r="C1619" s="2" t="inlineStr"/>
      <c r="D1619" s="2" t="inlineStr"/>
      <c r="E1619" s="28" t="inlineStr">
        <is>
          <t>VALOR:</t>
        </is>
      </c>
      <c r="F1619" s="56" t="n"/>
      <c r="G1619" s="66">
        <f>ROUND(SUM(G1618),2)</f>
        <v/>
      </c>
    </row>
    <row r="1620" ht="15" customHeight="1">
      <c r="A1620" s="2" t="inlineStr"/>
      <c r="B1620" s="2" t="inlineStr"/>
      <c r="C1620" s="2" t="inlineStr"/>
      <c r="D1620" s="2" t="inlineStr"/>
      <c r="E1620" s="28" t="inlineStr">
        <is>
          <t>VALOR BDI (23.08%):</t>
        </is>
      </c>
      <c r="F1620" s="56" t="n"/>
      <c r="G1620" s="66">
        <f>ROUNDDOWN(G1619*BDI,2)</f>
        <v/>
      </c>
    </row>
    <row r="1621" ht="15" customHeight="1">
      <c r="A1621" s="2" t="inlineStr"/>
      <c r="B1621" s="2" t="inlineStr"/>
      <c r="C1621" s="2" t="inlineStr"/>
      <c r="D1621" s="2" t="inlineStr"/>
      <c r="E1621" s="28" t="inlineStr">
        <is>
          <t>VALOR COM BDI:</t>
        </is>
      </c>
      <c r="F1621" s="56" t="n"/>
      <c r="G1621" s="66">
        <f>G1620 + G1619</f>
        <v/>
      </c>
    </row>
    <row r="1622" ht="10" customHeight="1">
      <c r="A1622" s="2" t="inlineStr"/>
      <c r="B1622" s="2" t="inlineStr"/>
      <c r="C1622" s="2" t="inlineStr"/>
      <c r="D1622" s="2" t="inlineStr"/>
      <c r="E1622" s="18" t="inlineStr"/>
    </row>
    <row r="1623" ht="20" customHeight="1">
      <c r="A1623" s="19" t="inlineStr">
        <is>
          <t>​95422​ CURSO DE CAPACITAÇÃO PARA ENCARREGADO GERAL DE OBRAS (ENCARGOS COMPLEMENTARES) - MENSALISTA​ (MES)</t>
        </is>
      </c>
      <c r="B1623" s="55" t="n"/>
      <c r="C1623" s="55" t="n"/>
      <c r="D1623" s="55" t="n"/>
      <c r="E1623" s="55" t="n"/>
      <c r="F1623" s="55" t="n"/>
      <c r="G1623" s="56" t="n"/>
    </row>
    <row r="1624" ht="15" customHeight="1">
      <c r="A1624" s="20" t="inlineStr">
        <is>
          <t>Mão de Obra</t>
        </is>
      </c>
      <c r="B1624" s="56" t="n"/>
      <c r="C1624" s="21" t="inlineStr">
        <is>
          <t>FONTE</t>
        </is>
      </c>
      <c r="D1624" s="21" t="inlineStr">
        <is>
          <t>UNID</t>
        </is>
      </c>
      <c r="E1624" s="21" t="inlineStr">
        <is>
          <t>COEFICIENTE</t>
        </is>
      </c>
      <c r="F1624" s="21" t="inlineStr">
        <is>
          <t>PREÇO UNITÁRIO</t>
        </is>
      </c>
      <c r="G1624" s="21" t="inlineStr">
        <is>
          <t>TOTAL</t>
        </is>
      </c>
    </row>
    <row r="1625" ht="15" customHeight="1">
      <c r="A1625" s="22" t="inlineStr">
        <is>
          <t>00040818</t>
        </is>
      </c>
      <c r="B1625" s="23" t="inlineStr">
        <is>
          <t>ENCARREGADO GERAL DE OBRAS (MENSALISTA)</t>
        </is>
      </c>
      <c r="C1625" s="22" t="inlineStr">
        <is>
          <t>SINAPI</t>
        </is>
      </c>
      <c r="D1625" s="22" t="inlineStr">
        <is>
          <t>MES</t>
        </is>
      </c>
      <c r="E1625" s="63">
        <f>L1625*FATOR</f>
        <v/>
      </c>
      <c r="F1625" s="64" t="n">
        <v>4502.55</v>
      </c>
      <c r="G1625" s="64">
        <f>TRUNC(TRUNC(E1625,8)*F1625,2)</f>
        <v/>
      </c>
      <c r="L1625" t="n">
        <v>0.01597</v>
      </c>
      <c r="M1625" t="n">
        <v>4502.55</v>
      </c>
      <c r="N1625">
        <f>(M1625-F1625)</f>
        <v/>
      </c>
    </row>
    <row r="1626" ht="15" customHeight="1">
      <c r="A1626" s="2" t="inlineStr"/>
      <c r="B1626" s="2" t="inlineStr"/>
      <c r="C1626" s="2" t="inlineStr"/>
      <c r="D1626" s="2" t="inlineStr"/>
      <c r="E1626" s="26" t="inlineStr">
        <is>
          <t>TOTAL Mão de Obra:</t>
        </is>
      </c>
      <c r="F1626" s="56" t="n"/>
      <c r="G1626" s="65">
        <f>SUM(G1625:G1625)</f>
        <v/>
      </c>
    </row>
    <row r="1627" ht="15" customHeight="1">
      <c r="A1627" s="2" t="inlineStr"/>
      <c r="B1627" s="2" t="inlineStr"/>
      <c r="C1627" s="2" t="inlineStr"/>
      <c r="D1627" s="2" t="inlineStr"/>
      <c r="E1627" s="28" t="inlineStr">
        <is>
          <t>VALOR:</t>
        </is>
      </c>
      <c r="F1627" s="56" t="n"/>
      <c r="G1627" s="66">
        <f>SUM(G1626)</f>
        <v/>
      </c>
    </row>
    <row r="1628" ht="15" customHeight="1">
      <c r="A1628" s="2" t="inlineStr"/>
      <c r="B1628" s="2" t="inlineStr"/>
      <c r="C1628" s="2" t="inlineStr"/>
      <c r="D1628" s="2" t="inlineStr"/>
      <c r="E1628" s="28" t="inlineStr">
        <is>
          <t>VALOR BDI (23.08%):</t>
        </is>
      </c>
      <c r="F1628" s="56" t="n"/>
      <c r="G1628" s="66">
        <f>ROUNDDOWN(G1627*BDI,2)</f>
        <v/>
      </c>
    </row>
    <row r="1629" ht="15" customHeight="1">
      <c r="A1629" s="2" t="inlineStr"/>
      <c r="B1629" s="2" t="inlineStr"/>
      <c r="C1629" s="2" t="inlineStr"/>
      <c r="D1629" s="2" t="inlineStr"/>
      <c r="E1629" s="28" t="inlineStr">
        <is>
          <t>VALOR COM BDI:</t>
        </is>
      </c>
      <c r="F1629" s="56" t="n"/>
      <c r="G1629" s="66">
        <f>G1628 + G1627</f>
        <v/>
      </c>
    </row>
    <row r="1630" ht="10" customHeight="1">
      <c r="A1630" s="2" t="inlineStr"/>
      <c r="B1630" s="2" t="inlineStr"/>
      <c r="C1630" s="2" t="inlineStr"/>
      <c r="D1630" s="2" t="inlineStr"/>
      <c r="E1630" s="18" t="inlineStr"/>
    </row>
    <row r="1631" ht="20" customHeight="1">
      <c r="A1631" s="19" t="inlineStr">
        <is>
          <t>​95417​ CURSO DE CAPACITAÇÃO PARA ENGENHEIRO CIVIL DE OBRA PLENO (ENCARGOS COMPLEMENTARES) - MENSALISTA​ (MES)</t>
        </is>
      </c>
      <c r="B1631" s="55" t="n"/>
      <c r="C1631" s="55" t="n"/>
      <c r="D1631" s="55" t="n"/>
      <c r="E1631" s="55" t="n"/>
      <c r="F1631" s="55" t="n"/>
      <c r="G1631" s="56" t="n"/>
    </row>
    <row r="1632" ht="15" customHeight="1">
      <c r="A1632" s="20" t="inlineStr">
        <is>
          <t>Mão de Obra</t>
        </is>
      </c>
      <c r="B1632" s="56" t="n"/>
      <c r="C1632" s="21" t="inlineStr">
        <is>
          <t>FONTE</t>
        </is>
      </c>
      <c r="D1632" s="21" t="inlineStr">
        <is>
          <t>UNID</t>
        </is>
      </c>
      <c r="E1632" s="21" t="inlineStr">
        <is>
          <t>COEFICIENTE</t>
        </is>
      </c>
      <c r="F1632" s="21" t="inlineStr">
        <is>
          <t>PREÇO UNITÁRIO</t>
        </is>
      </c>
      <c r="G1632" s="21" t="inlineStr">
        <is>
          <t>TOTAL</t>
        </is>
      </c>
    </row>
    <row r="1633" ht="15" customHeight="1">
      <c r="A1633" s="22" t="inlineStr">
        <is>
          <t>00040813</t>
        </is>
      </c>
      <c r="B1633" s="23" t="inlineStr">
        <is>
          <t>ENGENHEIRO CIVIL DE OBRA PLENO (MENSALISTA)</t>
        </is>
      </c>
      <c r="C1633" s="22" t="inlineStr">
        <is>
          <t>SINAPI</t>
        </is>
      </c>
      <c r="D1633" s="22" t="inlineStr">
        <is>
          <t>MES</t>
        </is>
      </c>
      <c r="E1633" s="63">
        <f>L1633*FATOR</f>
        <v/>
      </c>
      <c r="F1633" s="64" t="n">
        <v>24122.31</v>
      </c>
      <c r="G1633" s="64">
        <f>TRUNC(TRUNC(E1633,8)*F1633,2)</f>
        <v/>
      </c>
      <c r="L1633" t="n">
        <v>0.01112</v>
      </c>
      <c r="M1633" t="n">
        <v>24122.31</v>
      </c>
      <c r="N1633">
        <f>(M1633-F1633)</f>
        <v/>
      </c>
    </row>
    <row r="1634" ht="15" customHeight="1">
      <c r="A1634" s="2" t="inlineStr"/>
      <c r="B1634" s="2" t="inlineStr"/>
      <c r="C1634" s="2" t="inlineStr"/>
      <c r="D1634" s="2" t="inlineStr"/>
      <c r="E1634" s="26" t="inlineStr">
        <is>
          <t>TOTAL Mão de Obra:</t>
        </is>
      </c>
      <c r="F1634" s="56" t="n"/>
      <c r="G1634" s="65">
        <f>SUM(G1633:G1633)</f>
        <v/>
      </c>
    </row>
    <row r="1635" ht="15" customHeight="1">
      <c r="A1635" s="2" t="inlineStr"/>
      <c r="B1635" s="2" t="inlineStr"/>
      <c r="C1635" s="2" t="inlineStr"/>
      <c r="D1635" s="2" t="inlineStr"/>
      <c r="E1635" s="28" t="inlineStr">
        <is>
          <t>VALOR:</t>
        </is>
      </c>
      <c r="F1635" s="56" t="n"/>
      <c r="G1635" s="66">
        <f>SUM(G1634)</f>
        <v/>
      </c>
    </row>
    <row r="1636" ht="15" customHeight="1">
      <c r="A1636" s="2" t="inlineStr"/>
      <c r="B1636" s="2" t="inlineStr"/>
      <c r="C1636" s="2" t="inlineStr"/>
      <c r="D1636" s="2" t="inlineStr"/>
      <c r="E1636" s="28" t="inlineStr">
        <is>
          <t>VALOR BDI (23.08%):</t>
        </is>
      </c>
      <c r="F1636" s="56" t="n"/>
      <c r="G1636" s="66">
        <f>ROUNDDOWN(G1635*BDI,2)</f>
        <v/>
      </c>
    </row>
    <row r="1637" ht="15" customHeight="1">
      <c r="A1637" s="2" t="inlineStr"/>
      <c r="B1637" s="2" t="inlineStr"/>
      <c r="C1637" s="2" t="inlineStr"/>
      <c r="D1637" s="2" t="inlineStr"/>
      <c r="E1637" s="28" t="inlineStr">
        <is>
          <t>VALOR COM BDI:</t>
        </is>
      </c>
      <c r="F1637" s="56" t="n"/>
      <c r="G1637" s="66">
        <f>G1636 + G1635</f>
        <v/>
      </c>
    </row>
    <row r="1638" ht="10" customHeight="1">
      <c r="A1638" s="2" t="inlineStr"/>
      <c r="B1638" s="2" t="inlineStr"/>
      <c r="C1638" s="2" t="inlineStr"/>
      <c r="D1638" s="2" t="inlineStr"/>
      <c r="E1638" s="18" t="inlineStr"/>
    </row>
    <row r="1639" ht="20" customHeight="1">
      <c r="A1639" s="19" t="inlineStr">
        <is>
          <t>​95338​ CURSO DE CAPACITAÇÃO PARA IMPERMEABILIZADOR (ENCARGOS COMPLEMENTARES) - HORISTA​ (H)</t>
        </is>
      </c>
      <c r="B1639" s="55" t="n"/>
      <c r="C1639" s="55" t="n"/>
      <c r="D1639" s="55" t="n"/>
      <c r="E1639" s="55" t="n"/>
      <c r="F1639" s="55" t="n"/>
      <c r="G1639" s="56" t="n"/>
    </row>
    <row r="1640" ht="15" customHeight="1">
      <c r="A1640" s="20" t="inlineStr">
        <is>
          <t>Mão de Obra</t>
        </is>
      </c>
      <c r="B1640" s="56" t="n"/>
      <c r="C1640" s="21" t="inlineStr">
        <is>
          <t>FONTE</t>
        </is>
      </c>
      <c r="D1640" s="21" t="inlineStr">
        <is>
          <t>UNID</t>
        </is>
      </c>
      <c r="E1640" s="21" t="inlineStr">
        <is>
          <t>COEFICIENTE</t>
        </is>
      </c>
      <c r="F1640" s="21" t="inlineStr">
        <is>
          <t>PREÇO UNITÁRIO</t>
        </is>
      </c>
      <c r="G1640" s="21" t="inlineStr">
        <is>
          <t>TOTAL</t>
        </is>
      </c>
    </row>
    <row r="1641" ht="15" customHeight="1">
      <c r="A1641" s="22" t="inlineStr">
        <is>
          <t>00012873</t>
        </is>
      </c>
      <c r="B1641" s="23" t="inlineStr">
        <is>
          <t>IMPERMEABILIZADOR (HORISTA)</t>
        </is>
      </c>
      <c r="C1641" s="22" t="inlineStr">
        <is>
          <t>SINAPI</t>
        </is>
      </c>
      <c r="D1641" s="22" t="inlineStr">
        <is>
          <t>H</t>
        </is>
      </c>
      <c r="E1641" s="63">
        <f>L1641*FATOR</f>
        <v/>
      </c>
      <c r="F1641" s="64" t="n">
        <v>21.81</v>
      </c>
      <c r="G1641" s="64">
        <f>TRUNC(TRUNC(E1641,8)*F1641,2)</f>
        <v/>
      </c>
      <c r="L1641" t="n">
        <v>0.0212</v>
      </c>
      <c r="M1641" t="n">
        <v>21.81</v>
      </c>
      <c r="N1641">
        <f>(M1641-F1641)</f>
        <v/>
      </c>
    </row>
    <row r="1642" ht="15" customHeight="1">
      <c r="A1642" s="2" t="inlineStr"/>
      <c r="B1642" s="2" t="inlineStr"/>
      <c r="C1642" s="2" t="inlineStr"/>
      <c r="D1642" s="2" t="inlineStr"/>
      <c r="E1642" s="26" t="inlineStr">
        <is>
          <t>TOTAL Mão de Obra:</t>
        </is>
      </c>
      <c r="F1642" s="56" t="n"/>
      <c r="G1642" s="65">
        <f>SUM(G1641:G1641)</f>
        <v/>
      </c>
    </row>
    <row r="1643" ht="15" customHeight="1">
      <c r="A1643" s="2" t="inlineStr"/>
      <c r="B1643" s="2" t="inlineStr"/>
      <c r="C1643" s="2" t="inlineStr"/>
      <c r="D1643" s="2" t="inlineStr"/>
      <c r="E1643" s="28" t="inlineStr">
        <is>
          <t>VALOR:</t>
        </is>
      </c>
      <c r="F1643" s="56" t="n"/>
      <c r="G1643" s="66">
        <f>SUM(G1642)</f>
        <v/>
      </c>
    </row>
    <row r="1644" ht="15" customHeight="1">
      <c r="A1644" s="2" t="inlineStr"/>
      <c r="B1644" s="2" t="inlineStr"/>
      <c r="C1644" s="2" t="inlineStr"/>
      <c r="D1644" s="2" t="inlineStr"/>
      <c r="E1644" s="28" t="inlineStr">
        <is>
          <t>VALOR BDI (23.08%):</t>
        </is>
      </c>
      <c r="F1644" s="56" t="n"/>
      <c r="G1644" s="66">
        <f>ROUNDDOWN(G1643*BDI,2)</f>
        <v/>
      </c>
    </row>
    <row r="1645" ht="15" customHeight="1">
      <c r="A1645" s="2" t="inlineStr"/>
      <c r="B1645" s="2" t="inlineStr"/>
      <c r="C1645" s="2" t="inlineStr"/>
      <c r="D1645" s="2" t="inlineStr"/>
      <c r="E1645" s="28" t="inlineStr">
        <is>
          <t>VALOR COM BDI:</t>
        </is>
      </c>
      <c r="F1645" s="56" t="n"/>
      <c r="G1645" s="66">
        <f>G1644 + G1643</f>
        <v/>
      </c>
    </row>
    <row r="1646" ht="10" customHeight="1">
      <c r="A1646" s="2" t="inlineStr"/>
      <c r="B1646" s="2" t="inlineStr"/>
      <c r="C1646" s="2" t="inlineStr"/>
      <c r="D1646" s="2" t="inlineStr"/>
      <c r="E1646" s="18" t="inlineStr"/>
    </row>
    <row r="1647" ht="20" customHeight="1">
      <c r="A1647" s="19" t="inlineStr">
        <is>
          <t>​95390​ CURSO DE CAPACITAÇÃO PARA JARDINEIRO (ENCARGOS COMPLEMENTARES) - HORISTA​ (H)</t>
        </is>
      </c>
      <c r="B1647" s="55" t="n"/>
      <c r="C1647" s="55" t="n"/>
      <c r="D1647" s="55" t="n"/>
      <c r="E1647" s="55" t="n"/>
      <c r="F1647" s="55" t="n"/>
      <c r="G1647" s="56" t="n"/>
    </row>
    <row r="1648" ht="15" customHeight="1">
      <c r="A1648" s="20" t="inlineStr">
        <is>
          <t>Mão de Obra</t>
        </is>
      </c>
      <c r="B1648" s="56" t="n"/>
      <c r="C1648" s="21" t="inlineStr">
        <is>
          <t>FONTE</t>
        </is>
      </c>
      <c r="D1648" s="21" t="inlineStr">
        <is>
          <t>UNID</t>
        </is>
      </c>
      <c r="E1648" s="21" t="inlineStr">
        <is>
          <t>COEFICIENTE</t>
        </is>
      </c>
      <c r="F1648" s="21" t="inlineStr">
        <is>
          <t>PREÇO UNITÁRIO</t>
        </is>
      </c>
      <c r="G1648" s="21" t="inlineStr">
        <is>
          <t>TOTAL</t>
        </is>
      </c>
    </row>
    <row r="1649" ht="15" customHeight="1">
      <c r="A1649" s="22" t="inlineStr">
        <is>
          <t>00044503</t>
        </is>
      </c>
      <c r="B1649" s="23" t="inlineStr">
        <is>
          <t>JARDINEIRO (HORISTA)</t>
        </is>
      </c>
      <c r="C1649" s="22" t="inlineStr">
        <is>
          <t>SINAPI</t>
        </is>
      </c>
      <c r="D1649" s="22" t="inlineStr">
        <is>
          <t>H</t>
        </is>
      </c>
      <c r="E1649" s="63">
        <f>L1649*FATOR</f>
        <v/>
      </c>
      <c r="F1649" s="64" t="n">
        <v>15.53</v>
      </c>
      <c r="G1649" s="64">
        <f>TRUNC(TRUNC(E1649,8)*F1649,2)</f>
        <v/>
      </c>
      <c r="L1649" t="n">
        <v>0.00509</v>
      </c>
      <c r="M1649" t="n">
        <v>15.53</v>
      </c>
      <c r="N1649">
        <f>(M1649-F1649)</f>
        <v/>
      </c>
    </row>
    <row r="1650" ht="15" customHeight="1">
      <c r="A1650" s="2" t="inlineStr"/>
      <c r="B1650" s="2" t="inlineStr"/>
      <c r="C1650" s="2" t="inlineStr"/>
      <c r="D1650" s="2" t="inlineStr"/>
      <c r="E1650" s="26" t="inlineStr">
        <is>
          <t>TOTAL Mão de Obra:</t>
        </is>
      </c>
      <c r="F1650" s="56" t="n"/>
      <c r="G1650" s="65">
        <f>SUM(G1649:G1649)</f>
        <v/>
      </c>
    </row>
    <row r="1651" ht="15" customHeight="1">
      <c r="A1651" s="2" t="inlineStr"/>
      <c r="B1651" s="2" t="inlineStr"/>
      <c r="C1651" s="2" t="inlineStr"/>
      <c r="D1651" s="2" t="inlineStr"/>
      <c r="E1651" s="28" t="inlineStr">
        <is>
          <t>VALOR:</t>
        </is>
      </c>
      <c r="F1651" s="56" t="n"/>
      <c r="G1651" s="66">
        <f>SUM(G1650)</f>
        <v/>
      </c>
    </row>
    <row r="1652" ht="15" customHeight="1">
      <c r="A1652" s="2" t="inlineStr"/>
      <c r="B1652" s="2" t="inlineStr"/>
      <c r="C1652" s="2" t="inlineStr"/>
      <c r="D1652" s="2" t="inlineStr"/>
      <c r="E1652" s="28" t="inlineStr">
        <is>
          <t>VALOR BDI (23.08%):</t>
        </is>
      </c>
      <c r="F1652" s="56" t="n"/>
      <c r="G1652" s="66">
        <f>ROUNDDOWN(G1651*BDI,2)</f>
        <v/>
      </c>
    </row>
    <row r="1653" ht="15" customHeight="1">
      <c r="A1653" s="2" t="inlineStr"/>
      <c r="B1653" s="2" t="inlineStr"/>
      <c r="C1653" s="2" t="inlineStr"/>
      <c r="D1653" s="2" t="inlineStr"/>
      <c r="E1653" s="28" t="inlineStr">
        <is>
          <t>VALOR COM BDI:</t>
        </is>
      </c>
      <c r="F1653" s="56" t="n"/>
      <c r="G1653" s="66">
        <f>G1652 + G1651</f>
        <v/>
      </c>
    </row>
    <row r="1654" ht="10" customHeight="1">
      <c r="A1654" s="2" t="inlineStr"/>
      <c r="B1654" s="2" t="inlineStr"/>
      <c r="C1654" s="2" t="inlineStr"/>
      <c r="D1654" s="2" t="inlineStr"/>
      <c r="E1654" s="18" t="inlineStr"/>
    </row>
    <row r="1655" ht="20" customHeight="1">
      <c r="A1655" s="19" t="inlineStr">
        <is>
          <t>​95341​ CURSO DE CAPACITAÇÃO PARA MARMORISTA/GRANITEIRO (ENCARGOS COMPLEMENTARES) - HORISTA​ (H)</t>
        </is>
      </c>
      <c r="B1655" s="55" t="n"/>
      <c r="C1655" s="55" t="n"/>
      <c r="D1655" s="55" t="n"/>
      <c r="E1655" s="55" t="n"/>
      <c r="F1655" s="55" t="n"/>
      <c r="G1655" s="56" t="n"/>
    </row>
    <row r="1656" ht="15" customHeight="1">
      <c r="A1656" s="20" t="inlineStr">
        <is>
          <t>Mão de Obra</t>
        </is>
      </c>
      <c r="B1656" s="56" t="n"/>
      <c r="C1656" s="21" t="inlineStr">
        <is>
          <t>FONTE</t>
        </is>
      </c>
      <c r="D1656" s="21" t="inlineStr">
        <is>
          <t>UNID</t>
        </is>
      </c>
      <c r="E1656" s="21" t="inlineStr">
        <is>
          <t>COEFICIENTE</t>
        </is>
      </c>
      <c r="F1656" s="21" t="inlineStr">
        <is>
          <t>PREÇO UNITÁRIO</t>
        </is>
      </c>
      <c r="G1656" s="21" t="inlineStr">
        <is>
          <t>TOTAL</t>
        </is>
      </c>
    </row>
    <row r="1657" ht="15" customHeight="1">
      <c r="A1657" s="22" t="inlineStr">
        <is>
          <t>00004755</t>
        </is>
      </c>
      <c r="B1657" s="23" t="inlineStr">
        <is>
          <t>MARMORISTA / GRANITEIRO (HORISTA)</t>
        </is>
      </c>
      <c r="C1657" s="22" t="inlineStr">
        <is>
          <t>SINAPI</t>
        </is>
      </c>
      <c r="D1657" s="22" t="inlineStr">
        <is>
          <t>H</t>
        </is>
      </c>
      <c r="E1657" s="63">
        <f>L1657*FATOR</f>
        <v/>
      </c>
      <c r="F1657" s="64" t="n">
        <v>21.31</v>
      </c>
      <c r="G1657" s="64">
        <f>TRUNC(TRUNC(E1657,8)*F1657,2)</f>
        <v/>
      </c>
      <c r="L1657" t="n">
        <v>0.01476</v>
      </c>
      <c r="M1657" t="n">
        <v>21.31</v>
      </c>
      <c r="N1657">
        <f>(M1657-F1657)</f>
        <v/>
      </c>
    </row>
    <row r="1658" ht="15" customHeight="1">
      <c r="A1658" s="2" t="inlineStr"/>
      <c r="B1658" s="2" t="inlineStr"/>
      <c r="C1658" s="2" t="inlineStr"/>
      <c r="D1658" s="2" t="inlineStr"/>
      <c r="E1658" s="26" t="inlineStr">
        <is>
          <t>TOTAL Mão de Obra:</t>
        </is>
      </c>
      <c r="F1658" s="56" t="n"/>
      <c r="G1658" s="65">
        <f>SUM(G1657:G1657)</f>
        <v/>
      </c>
    </row>
    <row r="1659" ht="15" customHeight="1">
      <c r="A1659" s="2" t="inlineStr"/>
      <c r="B1659" s="2" t="inlineStr"/>
      <c r="C1659" s="2" t="inlineStr"/>
      <c r="D1659" s="2" t="inlineStr"/>
      <c r="E1659" s="28" t="inlineStr">
        <is>
          <t>VALOR:</t>
        </is>
      </c>
      <c r="F1659" s="56" t="n"/>
      <c r="G1659" s="66">
        <f>SUM(G1658)</f>
        <v/>
      </c>
    </row>
    <row r="1660" ht="15" customHeight="1">
      <c r="A1660" s="2" t="inlineStr"/>
      <c r="B1660" s="2" t="inlineStr"/>
      <c r="C1660" s="2" t="inlineStr"/>
      <c r="D1660" s="2" t="inlineStr"/>
      <c r="E1660" s="28" t="inlineStr">
        <is>
          <t>VALOR BDI (23.08%):</t>
        </is>
      </c>
      <c r="F1660" s="56" t="n"/>
      <c r="G1660" s="66">
        <f>ROUNDDOWN(G1659*BDI,2)</f>
        <v/>
      </c>
    </row>
    <row r="1661" ht="15" customHeight="1">
      <c r="A1661" s="2" t="inlineStr"/>
      <c r="B1661" s="2" t="inlineStr"/>
      <c r="C1661" s="2" t="inlineStr"/>
      <c r="D1661" s="2" t="inlineStr"/>
      <c r="E1661" s="28" t="inlineStr">
        <is>
          <t>VALOR COM BDI:</t>
        </is>
      </c>
      <c r="F1661" s="56" t="n"/>
      <c r="G1661" s="66">
        <f>G1660 + G1659</f>
        <v/>
      </c>
    </row>
    <row r="1662" ht="10" customHeight="1">
      <c r="A1662" s="2" t="inlineStr"/>
      <c r="B1662" s="2" t="inlineStr"/>
      <c r="C1662" s="2" t="inlineStr"/>
      <c r="D1662" s="2" t="inlineStr"/>
      <c r="E1662" s="18" t="inlineStr"/>
    </row>
    <row r="1663" ht="20" customHeight="1">
      <c r="A1663" s="19" t="inlineStr">
        <is>
          <t>​95342​ CURSO DE CAPACITAÇÃO PARA MECÂNICO DE EQUIPAMENTOS PESADOS (ENCARGOS COMPLEMENTARES) - HORISTA​ (H)</t>
        </is>
      </c>
      <c r="B1663" s="55" t="n"/>
      <c r="C1663" s="55" t="n"/>
      <c r="D1663" s="55" t="n"/>
      <c r="E1663" s="55" t="n"/>
      <c r="F1663" s="55" t="n"/>
      <c r="G1663" s="56" t="n"/>
    </row>
    <row r="1664" ht="15" customHeight="1">
      <c r="A1664" s="20" t="inlineStr">
        <is>
          <t>Mão de Obra</t>
        </is>
      </c>
      <c r="B1664" s="56" t="n"/>
      <c r="C1664" s="21" t="inlineStr">
        <is>
          <t>FONTE</t>
        </is>
      </c>
      <c r="D1664" s="21" t="inlineStr">
        <is>
          <t>UNID</t>
        </is>
      </c>
      <c r="E1664" s="21" t="inlineStr">
        <is>
          <t>COEFICIENTE</t>
        </is>
      </c>
      <c r="F1664" s="21" t="inlineStr">
        <is>
          <t>PREÇO UNITÁRIO</t>
        </is>
      </c>
      <c r="G1664" s="21" t="inlineStr">
        <is>
          <t>TOTAL</t>
        </is>
      </c>
    </row>
    <row r="1665" ht="15" customHeight="1">
      <c r="A1665" s="22" t="inlineStr">
        <is>
          <t>00004058</t>
        </is>
      </c>
      <c r="B1665" s="23" t="inlineStr">
        <is>
          <t>MECANICO DE EQUIPAMENTOS PESADOS (HORISTA)</t>
        </is>
      </c>
      <c r="C1665" s="22" t="inlineStr">
        <is>
          <t>SINAPI</t>
        </is>
      </c>
      <c r="D1665" s="22" t="inlineStr">
        <is>
          <t>H</t>
        </is>
      </c>
      <c r="E1665" s="63">
        <f>L1665*FATOR</f>
        <v/>
      </c>
      <c r="F1665" s="64" t="n">
        <v>33.34</v>
      </c>
      <c r="G1665" s="64">
        <f>TRUNC(TRUNC(E1665,8)*F1665,2)</f>
        <v/>
      </c>
      <c r="L1665" t="n">
        <v>0.00831</v>
      </c>
      <c r="M1665" t="n">
        <v>33.34</v>
      </c>
      <c r="N1665">
        <f>(M1665-F1665)</f>
        <v/>
      </c>
    </row>
    <row r="1666" ht="15" customHeight="1">
      <c r="A1666" s="2" t="inlineStr"/>
      <c r="B1666" s="2" t="inlineStr"/>
      <c r="C1666" s="2" t="inlineStr"/>
      <c r="D1666" s="2" t="inlineStr"/>
      <c r="E1666" s="26" t="inlineStr">
        <is>
          <t>TOTAL Mão de Obra:</t>
        </is>
      </c>
      <c r="F1666" s="56" t="n"/>
      <c r="G1666" s="65">
        <f>SUM(G1665:G1665)</f>
        <v/>
      </c>
    </row>
    <row r="1667" ht="15" customHeight="1">
      <c r="A1667" s="2" t="inlineStr"/>
      <c r="B1667" s="2" t="inlineStr"/>
      <c r="C1667" s="2" t="inlineStr"/>
      <c r="D1667" s="2" t="inlineStr"/>
      <c r="E1667" s="28" t="inlineStr">
        <is>
          <t>VALOR:</t>
        </is>
      </c>
      <c r="F1667" s="56" t="n"/>
      <c r="G1667" s="66">
        <f>SUM(G1666)</f>
        <v/>
      </c>
    </row>
    <row r="1668" ht="15" customHeight="1">
      <c r="A1668" s="2" t="inlineStr"/>
      <c r="B1668" s="2" t="inlineStr"/>
      <c r="C1668" s="2" t="inlineStr"/>
      <c r="D1668" s="2" t="inlineStr"/>
      <c r="E1668" s="28" t="inlineStr">
        <is>
          <t>VALOR BDI (23.08%):</t>
        </is>
      </c>
      <c r="F1668" s="56" t="n"/>
      <c r="G1668" s="66">
        <f>ROUNDDOWN(G1667*BDI,2)</f>
        <v/>
      </c>
    </row>
    <row r="1669" ht="15" customHeight="1">
      <c r="A1669" s="2" t="inlineStr"/>
      <c r="B1669" s="2" t="inlineStr"/>
      <c r="C1669" s="2" t="inlineStr"/>
      <c r="D1669" s="2" t="inlineStr"/>
      <c r="E1669" s="28" t="inlineStr">
        <is>
          <t>VALOR COM BDI:</t>
        </is>
      </c>
      <c r="F1669" s="56" t="n"/>
      <c r="G1669" s="66">
        <f>G1668 + G1667</f>
        <v/>
      </c>
    </row>
    <row r="1670" ht="10" customHeight="1">
      <c r="A1670" s="2" t="inlineStr"/>
      <c r="B1670" s="2" t="inlineStr"/>
      <c r="C1670" s="2" t="inlineStr"/>
      <c r="D1670" s="2" t="inlineStr"/>
      <c r="E1670" s="18" t="inlineStr"/>
    </row>
    <row r="1671" ht="20" customHeight="1">
      <c r="A1671" s="19" t="inlineStr">
        <is>
          <t>​100298​ CURSO DE CAPACITAÇÃO PARA MECÂNICO DE REFRIGERAÇÃO (ENCARGOS COMPLEMENTARES) - HORISTA​ (H)</t>
        </is>
      </c>
      <c r="B1671" s="55" t="n"/>
      <c r="C1671" s="55" t="n"/>
      <c r="D1671" s="55" t="n"/>
      <c r="E1671" s="55" t="n"/>
      <c r="F1671" s="55" t="n"/>
      <c r="G1671" s="56" t="n"/>
    </row>
    <row r="1672" ht="15" customHeight="1">
      <c r="A1672" s="20" t="inlineStr">
        <is>
          <t>Mão de Obra</t>
        </is>
      </c>
      <c r="B1672" s="56" t="n"/>
      <c r="C1672" s="21" t="inlineStr">
        <is>
          <t>FONTE</t>
        </is>
      </c>
      <c r="D1672" s="21" t="inlineStr">
        <is>
          <t>UNID</t>
        </is>
      </c>
      <c r="E1672" s="21" t="inlineStr">
        <is>
          <t>COEFICIENTE</t>
        </is>
      </c>
      <c r="F1672" s="21" t="inlineStr">
        <is>
          <t>PREÇO UNITÁRIO</t>
        </is>
      </c>
      <c r="G1672" s="21" t="inlineStr">
        <is>
          <t>TOTAL</t>
        </is>
      </c>
    </row>
    <row r="1673" ht="15" customHeight="1">
      <c r="A1673" s="22" t="inlineStr">
        <is>
          <t>00034794</t>
        </is>
      </c>
      <c r="B1673" s="23" t="inlineStr">
        <is>
          <t>MECANICO DE REFRIGERACAO (HORISTA)</t>
        </is>
      </c>
      <c r="C1673" s="22" t="inlineStr">
        <is>
          <t>SINAPI</t>
        </is>
      </c>
      <c r="D1673" s="22" t="inlineStr">
        <is>
          <t>H</t>
        </is>
      </c>
      <c r="E1673" s="63">
        <f>L1673*FATOR</f>
        <v/>
      </c>
      <c r="F1673" s="64" t="n">
        <v>21.53</v>
      </c>
      <c r="G1673" s="64">
        <f>TRUNC(TRUNC(E1673,8)*F1673,2)</f>
        <v/>
      </c>
      <c r="L1673" t="n">
        <v>0.02765</v>
      </c>
      <c r="M1673" t="n">
        <v>21.53</v>
      </c>
      <c r="N1673">
        <f>(M1673-F1673)</f>
        <v/>
      </c>
    </row>
    <row r="1674" ht="15" customHeight="1">
      <c r="A1674" s="2" t="inlineStr"/>
      <c r="B1674" s="2" t="inlineStr"/>
      <c r="C1674" s="2" t="inlineStr"/>
      <c r="D1674" s="2" t="inlineStr"/>
      <c r="E1674" s="26" t="inlineStr">
        <is>
          <t>TOTAL Mão de Obra:</t>
        </is>
      </c>
      <c r="F1674" s="56" t="n"/>
      <c r="G1674" s="65">
        <f>SUM(G1673:G1673)</f>
        <v/>
      </c>
    </row>
    <row r="1675" ht="15" customHeight="1">
      <c r="A1675" s="2" t="inlineStr"/>
      <c r="B1675" s="2" t="inlineStr"/>
      <c r="C1675" s="2" t="inlineStr"/>
      <c r="D1675" s="2" t="inlineStr"/>
      <c r="E1675" s="28" t="inlineStr">
        <is>
          <t>VALOR:</t>
        </is>
      </c>
      <c r="F1675" s="56" t="n"/>
      <c r="G1675" s="66">
        <f>SUM(G1674)</f>
        <v/>
      </c>
    </row>
    <row r="1676" ht="15" customHeight="1">
      <c r="A1676" s="2" t="inlineStr"/>
      <c r="B1676" s="2" t="inlineStr"/>
      <c r="C1676" s="2" t="inlineStr"/>
      <c r="D1676" s="2" t="inlineStr"/>
      <c r="E1676" s="28" t="inlineStr">
        <is>
          <t>VALOR BDI (23.08%):</t>
        </is>
      </c>
      <c r="F1676" s="56" t="n"/>
      <c r="G1676" s="66">
        <f>ROUNDDOWN(G1675*BDI,2)</f>
        <v/>
      </c>
    </row>
    <row r="1677" ht="15" customHeight="1">
      <c r="A1677" s="2" t="inlineStr"/>
      <c r="B1677" s="2" t="inlineStr"/>
      <c r="C1677" s="2" t="inlineStr"/>
      <c r="D1677" s="2" t="inlineStr"/>
      <c r="E1677" s="28" t="inlineStr">
        <is>
          <t>VALOR COM BDI:</t>
        </is>
      </c>
      <c r="F1677" s="56" t="n"/>
      <c r="G1677" s="66">
        <f>G1676 + G1675</f>
        <v/>
      </c>
    </row>
    <row r="1678" ht="10" customHeight="1">
      <c r="A1678" s="2" t="inlineStr"/>
      <c r="B1678" s="2" t="inlineStr"/>
      <c r="C1678" s="2" t="inlineStr"/>
      <c r="D1678" s="2" t="inlineStr"/>
      <c r="E1678" s="18" t="inlineStr"/>
    </row>
    <row r="1679" ht="20" customHeight="1">
      <c r="A1679" s="19" t="inlineStr">
        <is>
          <t>​95344​ CURSO DE CAPACITAÇÃO PARA MONTADOR DE ESTRUTURA METÁLICA (ENCARGOS COMPLEMENTARES) - HORISTA​ (H)</t>
        </is>
      </c>
      <c r="B1679" s="55" t="n"/>
      <c r="C1679" s="55" t="n"/>
      <c r="D1679" s="55" t="n"/>
      <c r="E1679" s="55" t="n"/>
      <c r="F1679" s="55" t="n"/>
      <c r="G1679" s="56" t="n"/>
    </row>
    <row r="1680" ht="15" customHeight="1">
      <c r="A1680" s="20" t="inlineStr">
        <is>
          <t>Mão de Obra</t>
        </is>
      </c>
      <c r="B1680" s="56" t="n"/>
      <c r="C1680" s="21" t="inlineStr">
        <is>
          <t>FONTE</t>
        </is>
      </c>
      <c r="D1680" s="21" t="inlineStr">
        <is>
          <t>UNID</t>
        </is>
      </c>
      <c r="E1680" s="21" t="inlineStr">
        <is>
          <t>COEFICIENTE</t>
        </is>
      </c>
      <c r="F1680" s="21" t="inlineStr">
        <is>
          <t>PREÇO UNITÁRIO</t>
        </is>
      </c>
      <c r="G1680" s="21" t="inlineStr">
        <is>
          <t>TOTAL</t>
        </is>
      </c>
    </row>
    <row r="1681" ht="15" customHeight="1">
      <c r="A1681" s="22" t="inlineStr">
        <is>
          <t>00044497</t>
        </is>
      </c>
      <c r="B1681" s="23" t="inlineStr">
        <is>
          <t>MONTADOR DE ESTRUTURAS METALICAS HORISTA</t>
        </is>
      </c>
      <c r="C1681" s="22" t="inlineStr">
        <is>
          <t>SINAPI</t>
        </is>
      </c>
      <c r="D1681" s="22" t="inlineStr">
        <is>
          <t>H</t>
        </is>
      </c>
      <c r="E1681" s="63">
        <f>L1681*FATOR</f>
        <v/>
      </c>
      <c r="F1681" s="64" t="n">
        <v>20.19</v>
      </c>
      <c r="G1681" s="64">
        <f>TRUNC(TRUNC(E1681,8)*F1681,2)</f>
        <v/>
      </c>
      <c r="L1681" t="n">
        <v>0.01154</v>
      </c>
      <c r="M1681" t="n">
        <v>20.19</v>
      </c>
      <c r="N1681">
        <f>(M1681-F1681)</f>
        <v/>
      </c>
    </row>
    <row r="1682" ht="15" customHeight="1">
      <c r="A1682" s="2" t="inlineStr"/>
      <c r="B1682" s="2" t="inlineStr"/>
      <c r="C1682" s="2" t="inlineStr"/>
      <c r="D1682" s="2" t="inlineStr"/>
      <c r="E1682" s="26" t="inlineStr">
        <is>
          <t>TOTAL Mão de Obra:</t>
        </is>
      </c>
      <c r="F1682" s="56" t="n"/>
      <c r="G1682" s="65">
        <f>SUM(G1681:G1681)</f>
        <v/>
      </c>
    </row>
    <row r="1683" ht="15" customHeight="1">
      <c r="A1683" s="2" t="inlineStr"/>
      <c r="B1683" s="2" t="inlineStr"/>
      <c r="C1683" s="2" t="inlineStr"/>
      <c r="D1683" s="2" t="inlineStr"/>
      <c r="E1683" s="28" t="inlineStr">
        <is>
          <t>VALOR:</t>
        </is>
      </c>
      <c r="F1683" s="56" t="n"/>
      <c r="G1683" s="66">
        <f>SUM(G1682)</f>
        <v/>
      </c>
    </row>
    <row r="1684" ht="15" customHeight="1">
      <c r="A1684" s="2" t="inlineStr"/>
      <c r="B1684" s="2" t="inlineStr"/>
      <c r="C1684" s="2" t="inlineStr"/>
      <c r="D1684" s="2" t="inlineStr"/>
      <c r="E1684" s="28" t="inlineStr">
        <is>
          <t>VALOR BDI (23.08%):</t>
        </is>
      </c>
      <c r="F1684" s="56" t="n"/>
      <c r="G1684" s="66">
        <f>ROUNDDOWN(G1683*BDI,2)</f>
        <v/>
      </c>
    </row>
    <row r="1685" ht="15" customHeight="1">
      <c r="A1685" s="2" t="inlineStr"/>
      <c r="B1685" s="2" t="inlineStr"/>
      <c r="C1685" s="2" t="inlineStr"/>
      <c r="D1685" s="2" t="inlineStr"/>
      <c r="E1685" s="28" t="inlineStr">
        <is>
          <t>VALOR COM BDI:</t>
        </is>
      </c>
      <c r="F1685" s="56" t="n"/>
      <c r="G1685" s="66">
        <f>G1684 + G1683</f>
        <v/>
      </c>
    </row>
    <row r="1686" ht="10" customHeight="1">
      <c r="A1686" s="2" t="inlineStr"/>
      <c r="B1686" s="2" t="inlineStr"/>
      <c r="C1686" s="2" t="inlineStr"/>
      <c r="D1686" s="2" t="inlineStr"/>
      <c r="E1686" s="18" t="inlineStr"/>
    </row>
    <row r="1687" ht="20" customHeight="1">
      <c r="A1687" s="19" t="inlineStr">
        <is>
          <t>​95346​ CURSO DE CAPACITAÇÃO PARA MOTORISTA DE BASCULANTE (ENCARGOS COMPLEMENTARES) - HORISTA​ (H)</t>
        </is>
      </c>
      <c r="B1687" s="55" t="n"/>
      <c r="C1687" s="55" t="n"/>
      <c r="D1687" s="55" t="n"/>
      <c r="E1687" s="55" t="n"/>
      <c r="F1687" s="55" t="n"/>
      <c r="G1687" s="56" t="n"/>
    </row>
    <row r="1688" ht="15" customHeight="1">
      <c r="A1688" s="20" t="inlineStr">
        <is>
          <t>Mão de Obra</t>
        </is>
      </c>
      <c r="B1688" s="56" t="n"/>
      <c r="C1688" s="21" t="inlineStr">
        <is>
          <t>FONTE</t>
        </is>
      </c>
      <c r="D1688" s="21" t="inlineStr">
        <is>
          <t>UNID</t>
        </is>
      </c>
      <c r="E1688" s="21" t="inlineStr">
        <is>
          <t>COEFICIENTE</t>
        </is>
      </c>
      <c r="F1688" s="21" t="inlineStr">
        <is>
          <t>PREÇO UNITÁRIO</t>
        </is>
      </c>
      <c r="G1688" s="21" t="inlineStr">
        <is>
          <t>TOTAL</t>
        </is>
      </c>
    </row>
    <row r="1689" ht="15" customHeight="1">
      <c r="A1689" s="22" t="inlineStr">
        <is>
          <t>00020020</t>
        </is>
      </c>
      <c r="B1689" s="23" t="inlineStr">
        <is>
          <t>MOTORISTA DE CAMINHAO-BASCULANTE (HORISTA)</t>
        </is>
      </c>
      <c r="C1689" s="22" t="inlineStr">
        <is>
          <t>SINAPI</t>
        </is>
      </c>
      <c r="D1689" s="22" t="inlineStr">
        <is>
          <t>H</t>
        </is>
      </c>
      <c r="E1689" s="63" t="n">
        <v>0.00509</v>
      </c>
      <c r="F1689" s="64" t="n">
        <v>28.26</v>
      </c>
      <c r="G1689" s="64">
        <f>TRUNC(TRUNC(E1689,8)*F1689,2)</f>
        <v/>
      </c>
      <c r="L1689" t="n">
        <v>0.00509</v>
      </c>
      <c r="M1689" t="n">
        <v>28.26</v>
      </c>
      <c r="N1689">
        <f>(M1689-F1689)</f>
        <v/>
      </c>
    </row>
    <row r="1690" ht="15" customHeight="1">
      <c r="A1690" s="2" t="inlineStr"/>
      <c r="B1690" s="2" t="inlineStr"/>
      <c r="C1690" s="2" t="inlineStr"/>
      <c r="D1690" s="2" t="inlineStr"/>
      <c r="E1690" s="26" t="inlineStr">
        <is>
          <t>TOTAL Mão de Obra:</t>
        </is>
      </c>
      <c r="F1690" s="56" t="n"/>
      <c r="G1690" s="65">
        <f>SUM(G1689:G1689)</f>
        <v/>
      </c>
    </row>
    <row r="1691" ht="15" customHeight="1">
      <c r="A1691" s="2" t="inlineStr"/>
      <c r="B1691" s="2" t="inlineStr"/>
      <c r="C1691" s="2" t="inlineStr"/>
      <c r="D1691" s="2" t="inlineStr"/>
      <c r="E1691" s="28" t="inlineStr">
        <is>
          <t>VALOR:</t>
        </is>
      </c>
      <c r="F1691" s="56" t="n"/>
      <c r="G1691" s="66">
        <f>ROUND(SUM(G1690),2)</f>
        <v/>
      </c>
    </row>
    <row r="1692" ht="15" customHeight="1">
      <c r="A1692" s="2" t="inlineStr"/>
      <c r="B1692" s="2" t="inlineStr"/>
      <c r="C1692" s="2" t="inlineStr"/>
      <c r="D1692" s="2" t="inlineStr"/>
      <c r="E1692" s="28" t="inlineStr">
        <is>
          <t>VALOR BDI (23.08%):</t>
        </is>
      </c>
      <c r="F1692" s="56" t="n"/>
      <c r="G1692" s="66">
        <f>ROUNDDOWN(G1691*BDI,2)</f>
        <v/>
      </c>
    </row>
    <row r="1693" ht="15" customHeight="1">
      <c r="A1693" s="2" t="inlineStr"/>
      <c r="B1693" s="2" t="inlineStr"/>
      <c r="C1693" s="2" t="inlineStr"/>
      <c r="D1693" s="2" t="inlineStr"/>
      <c r="E1693" s="28" t="inlineStr">
        <is>
          <t>VALOR COM BDI:</t>
        </is>
      </c>
      <c r="F1693" s="56" t="n"/>
      <c r="G1693" s="66">
        <f>G1692 + G1691</f>
        <v/>
      </c>
    </row>
    <row r="1694" ht="10" customHeight="1">
      <c r="A1694" s="2" t="inlineStr"/>
      <c r="B1694" s="2" t="inlineStr"/>
      <c r="C1694" s="2" t="inlineStr"/>
      <c r="D1694" s="2" t="inlineStr"/>
      <c r="E1694" s="18" t="inlineStr"/>
    </row>
    <row r="1695" ht="20" customHeight="1">
      <c r="A1695" s="19" t="inlineStr">
        <is>
          <t>​95347​ CURSO DE CAPACITAÇÃO PARA MOTORISTA DE CAMINHÃO (ENCARGOS COMPLEMENTARES) - HORISTA​ (H)</t>
        </is>
      </c>
      <c r="B1695" s="55" t="n"/>
      <c r="C1695" s="55" t="n"/>
      <c r="D1695" s="55" t="n"/>
      <c r="E1695" s="55" t="n"/>
      <c r="F1695" s="55" t="n"/>
      <c r="G1695" s="56" t="n"/>
    </row>
    <row r="1696" ht="15" customHeight="1">
      <c r="A1696" s="20" t="inlineStr">
        <is>
          <t>Mão de Obra</t>
        </is>
      </c>
      <c r="B1696" s="56" t="n"/>
      <c r="C1696" s="21" t="inlineStr">
        <is>
          <t>FONTE</t>
        </is>
      </c>
      <c r="D1696" s="21" t="inlineStr">
        <is>
          <t>UNID</t>
        </is>
      </c>
      <c r="E1696" s="21" t="inlineStr">
        <is>
          <t>COEFICIENTE</t>
        </is>
      </c>
      <c r="F1696" s="21" t="inlineStr">
        <is>
          <t>PREÇO UNITÁRIO</t>
        </is>
      </c>
      <c r="G1696" s="21" t="inlineStr">
        <is>
          <t>TOTAL</t>
        </is>
      </c>
    </row>
    <row r="1697" ht="15" customHeight="1">
      <c r="A1697" s="22" t="inlineStr">
        <is>
          <t>00004093</t>
        </is>
      </c>
      <c r="B1697" s="23" t="inlineStr">
        <is>
          <t>MOTORISTA DE CAMINHAO (HORISTA)</t>
        </is>
      </c>
      <c r="C1697" s="22" t="inlineStr">
        <is>
          <t>SINAPI</t>
        </is>
      </c>
      <c r="D1697" s="22" t="inlineStr">
        <is>
          <t>H</t>
        </is>
      </c>
      <c r="E1697" s="63" t="n">
        <v>0.00509</v>
      </c>
      <c r="F1697" s="64" t="n">
        <v>27.21</v>
      </c>
      <c r="G1697" s="64">
        <f>TRUNC(TRUNC(E1697,8)*F1697,2)</f>
        <v/>
      </c>
      <c r="L1697" t="n">
        <v>0.00509</v>
      </c>
      <c r="M1697" t="n">
        <v>27.21</v>
      </c>
      <c r="N1697">
        <f>(M1697-F1697)</f>
        <v/>
      </c>
    </row>
    <row r="1698" ht="15" customHeight="1">
      <c r="A1698" s="2" t="inlineStr"/>
      <c r="B1698" s="2" t="inlineStr"/>
      <c r="C1698" s="2" t="inlineStr"/>
      <c r="D1698" s="2" t="inlineStr"/>
      <c r="E1698" s="26" t="inlineStr">
        <is>
          <t>TOTAL Mão de Obra:</t>
        </is>
      </c>
      <c r="F1698" s="56" t="n"/>
      <c r="G1698" s="65">
        <f>SUM(G1697:G1697)</f>
        <v/>
      </c>
    </row>
    <row r="1699" ht="15" customHeight="1">
      <c r="A1699" s="2" t="inlineStr"/>
      <c r="B1699" s="2" t="inlineStr"/>
      <c r="C1699" s="2" t="inlineStr"/>
      <c r="D1699" s="2" t="inlineStr"/>
      <c r="E1699" s="28" t="inlineStr">
        <is>
          <t>VALOR:</t>
        </is>
      </c>
      <c r="F1699" s="56" t="n"/>
      <c r="G1699" s="66">
        <f>ROUND(SUM(G1698),2)</f>
        <v/>
      </c>
    </row>
    <row r="1700" ht="15" customHeight="1">
      <c r="A1700" s="2" t="inlineStr"/>
      <c r="B1700" s="2" t="inlineStr"/>
      <c r="C1700" s="2" t="inlineStr"/>
      <c r="D1700" s="2" t="inlineStr"/>
      <c r="E1700" s="28" t="inlineStr">
        <is>
          <t>VALOR BDI (23.08%):</t>
        </is>
      </c>
      <c r="F1700" s="56" t="n"/>
      <c r="G1700" s="66">
        <f>ROUNDDOWN(G1699*BDI,2)</f>
        <v/>
      </c>
    </row>
    <row r="1701" ht="15" customHeight="1">
      <c r="A1701" s="2" t="inlineStr"/>
      <c r="B1701" s="2" t="inlineStr"/>
      <c r="C1701" s="2" t="inlineStr"/>
      <c r="D1701" s="2" t="inlineStr"/>
      <c r="E1701" s="28" t="inlineStr">
        <is>
          <t>VALOR COM BDI:</t>
        </is>
      </c>
      <c r="F1701" s="56" t="n"/>
      <c r="G1701" s="66">
        <f>G1700 + G1699</f>
        <v/>
      </c>
    </row>
    <row r="1702" ht="10" customHeight="1">
      <c r="A1702" s="2" t="inlineStr"/>
      <c r="B1702" s="2" t="inlineStr"/>
      <c r="C1702" s="2" t="inlineStr"/>
      <c r="D1702" s="2" t="inlineStr"/>
      <c r="E1702" s="18" t="inlineStr"/>
    </row>
    <row r="1703" ht="20" customHeight="1">
      <c r="A1703" s="19" t="inlineStr">
        <is>
          <t>​95351​ CURSO DE CAPACITAÇÃO PARA MOTORISTA OPERADOR DE MUNCK (ENCARGOS COMPLEMENTARES) - HORISTA​ (H)</t>
        </is>
      </c>
      <c r="B1703" s="55" t="n"/>
      <c r="C1703" s="55" t="n"/>
      <c r="D1703" s="55" t="n"/>
      <c r="E1703" s="55" t="n"/>
      <c r="F1703" s="55" t="n"/>
      <c r="G1703" s="56" t="n"/>
    </row>
    <row r="1704" ht="15" customHeight="1">
      <c r="A1704" s="20" t="inlineStr">
        <is>
          <t>Mão de Obra</t>
        </is>
      </c>
      <c r="B1704" s="56" t="n"/>
      <c r="C1704" s="21" t="inlineStr">
        <is>
          <t>FONTE</t>
        </is>
      </c>
      <c r="D1704" s="21" t="inlineStr">
        <is>
          <t>UNID</t>
        </is>
      </c>
      <c r="E1704" s="21" t="inlineStr">
        <is>
          <t>COEFICIENTE</t>
        </is>
      </c>
      <c r="F1704" s="21" t="inlineStr">
        <is>
          <t>PREÇO UNITÁRIO</t>
        </is>
      </c>
      <c r="G1704" s="21" t="inlineStr">
        <is>
          <t>TOTAL</t>
        </is>
      </c>
    </row>
    <row r="1705" ht="21" customHeight="1">
      <c r="A1705" s="22" t="inlineStr">
        <is>
          <t>00004096</t>
        </is>
      </c>
      <c r="B1705" s="23" t="inlineStr">
        <is>
          <t>MOTORISTA OPERADOR DE CAMINHAO COM MUNCK (HORISTA)</t>
        </is>
      </c>
      <c r="C1705" s="22" t="inlineStr">
        <is>
          <t>SINAPI</t>
        </is>
      </c>
      <c r="D1705" s="22" t="inlineStr">
        <is>
          <t>H</t>
        </is>
      </c>
      <c r="E1705" s="63" t="n">
        <v>0.01637</v>
      </c>
      <c r="F1705" s="64" t="n">
        <v>30.5</v>
      </c>
      <c r="G1705" s="64">
        <f>TRUNC(TRUNC(E1705,8)*F1705,2)</f>
        <v/>
      </c>
      <c r="L1705" t="n">
        <v>0.01637</v>
      </c>
      <c r="M1705" t="n">
        <v>30.5</v>
      </c>
      <c r="N1705">
        <f>(M1705-F1705)</f>
        <v/>
      </c>
    </row>
    <row r="1706" ht="15" customHeight="1">
      <c r="A1706" s="2" t="inlineStr"/>
      <c r="B1706" s="2" t="inlineStr"/>
      <c r="C1706" s="2" t="inlineStr"/>
      <c r="D1706" s="2" t="inlineStr"/>
      <c r="E1706" s="26" t="inlineStr">
        <is>
          <t>TOTAL Mão de Obra:</t>
        </is>
      </c>
      <c r="F1706" s="56" t="n"/>
      <c r="G1706" s="65">
        <f>SUM(G1705:G1705)</f>
        <v/>
      </c>
    </row>
    <row r="1707" ht="15" customHeight="1">
      <c r="A1707" s="2" t="inlineStr"/>
      <c r="B1707" s="2" t="inlineStr"/>
      <c r="C1707" s="2" t="inlineStr"/>
      <c r="D1707" s="2" t="inlineStr"/>
      <c r="E1707" s="28" t="inlineStr">
        <is>
          <t>VALOR:</t>
        </is>
      </c>
      <c r="F1707" s="56" t="n"/>
      <c r="G1707" s="66">
        <f>ROUND(SUM(G1706),2)</f>
        <v/>
      </c>
    </row>
    <row r="1708" ht="15" customHeight="1">
      <c r="A1708" s="2" t="inlineStr"/>
      <c r="B1708" s="2" t="inlineStr"/>
      <c r="C1708" s="2" t="inlineStr"/>
      <c r="D1708" s="2" t="inlineStr"/>
      <c r="E1708" s="28" t="inlineStr">
        <is>
          <t>VALOR BDI (23.08%):</t>
        </is>
      </c>
      <c r="F1708" s="56" t="n"/>
      <c r="G1708" s="66">
        <f>ROUNDDOWN(G1707*BDI,2)</f>
        <v/>
      </c>
    </row>
    <row r="1709" ht="15" customHeight="1">
      <c r="A1709" s="2" t="inlineStr"/>
      <c r="B1709" s="2" t="inlineStr"/>
      <c r="C1709" s="2" t="inlineStr"/>
      <c r="D1709" s="2" t="inlineStr"/>
      <c r="E1709" s="28" t="inlineStr">
        <is>
          <t>VALOR COM BDI:</t>
        </is>
      </c>
      <c r="F1709" s="56" t="n"/>
      <c r="G1709" s="66">
        <f>G1708 + G1707</f>
        <v/>
      </c>
    </row>
    <row r="1710" ht="10" customHeight="1">
      <c r="A1710" s="2" t="inlineStr"/>
      <c r="B1710" s="2" t="inlineStr"/>
      <c r="C1710" s="2" t="inlineStr"/>
      <c r="D1710" s="2" t="inlineStr"/>
      <c r="E1710" s="18" t="inlineStr"/>
    </row>
    <row r="1711" ht="20" customHeight="1">
      <c r="A1711" s="19" t="inlineStr">
        <is>
          <t>​95389​ CURSO DE CAPACITAÇÃO PARA OPERADOR DE BETONEIRA ESTACIONÁRIA/MISTURADOR (ENCARGOS COMPLEMENTARES) - HORISTA​ (H)</t>
        </is>
      </c>
      <c r="B1711" s="55" t="n"/>
      <c r="C1711" s="55" t="n"/>
      <c r="D1711" s="55" t="n"/>
      <c r="E1711" s="55" t="n"/>
      <c r="F1711" s="55" t="n"/>
      <c r="G1711" s="56" t="n"/>
    </row>
    <row r="1712" ht="15" customHeight="1">
      <c r="A1712" s="20" t="inlineStr">
        <is>
          <t>Mão de Obra</t>
        </is>
      </c>
      <c r="B1712" s="56" t="n"/>
      <c r="C1712" s="21" t="inlineStr">
        <is>
          <t>FONTE</t>
        </is>
      </c>
      <c r="D1712" s="21" t="inlineStr">
        <is>
          <t>UNID</t>
        </is>
      </c>
      <c r="E1712" s="21" t="inlineStr">
        <is>
          <t>COEFICIENTE</t>
        </is>
      </c>
      <c r="F1712" s="21" t="inlineStr">
        <is>
          <t>PREÇO UNITÁRIO</t>
        </is>
      </c>
      <c r="G1712" s="21" t="inlineStr">
        <is>
          <t>TOTAL</t>
        </is>
      </c>
    </row>
    <row r="1713" ht="21" customHeight="1">
      <c r="A1713" s="22" t="inlineStr">
        <is>
          <t>00037666</t>
        </is>
      </c>
      <c r="B1713" s="23" t="inlineStr">
        <is>
          <t>OPERADOR DE BETONEIRA ESTACIONARIA / MISTURADOR (HORISTA)</t>
        </is>
      </c>
      <c r="C1713" s="22" t="inlineStr">
        <is>
          <t>SINAPI</t>
        </is>
      </c>
      <c r="D1713" s="22" t="inlineStr">
        <is>
          <t>H</t>
        </is>
      </c>
      <c r="E1713" s="63">
        <f>L1713*FATOR</f>
        <v/>
      </c>
      <c r="F1713" s="64" t="n">
        <v>22.13</v>
      </c>
      <c r="G1713" s="64">
        <f>TRUNC(TRUNC(E1713,8)*F1713,2)</f>
        <v/>
      </c>
      <c r="L1713" t="n">
        <v>0.00831</v>
      </c>
      <c r="M1713" t="n">
        <v>22.13</v>
      </c>
      <c r="N1713">
        <f>(M1713-F1713)</f>
        <v/>
      </c>
    </row>
    <row r="1714" ht="15" customHeight="1">
      <c r="A1714" s="2" t="inlineStr"/>
      <c r="B1714" s="2" t="inlineStr"/>
      <c r="C1714" s="2" t="inlineStr"/>
      <c r="D1714" s="2" t="inlineStr"/>
      <c r="E1714" s="26" t="inlineStr">
        <is>
          <t>TOTAL Mão de Obra:</t>
        </is>
      </c>
      <c r="F1714" s="56" t="n"/>
      <c r="G1714" s="65">
        <f>SUM(G1713:G1713)</f>
        <v/>
      </c>
    </row>
    <row r="1715" ht="15" customHeight="1">
      <c r="A1715" s="2" t="inlineStr"/>
      <c r="B1715" s="2" t="inlineStr"/>
      <c r="C1715" s="2" t="inlineStr"/>
      <c r="D1715" s="2" t="inlineStr"/>
      <c r="E1715" s="28" t="inlineStr">
        <is>
          <t>VALOR:</t>
        </is>
      </c>
      <c r="F1715" s="56" t="n"/>
      <c r="G1715" s="66">
        <f>SUM(G1714)</f>
        <v/>
      </c>
    </row>
    <row r="1716" ht="15" customHeight="1">
      <c r="A1716" s="2" t="inlineStr"/>
      <c r="B1716" s="2" t="inlineStr"/>
      <c r="C1716" s="2" t="inlineStr"/>
      <c r="D1716" s="2" t="inlineStr"/>
      <c r="E1716" s="28" t="inlineStr">
        <is>
          <t>VALOR BDI (23.08%):</t>
        </is>
      </c>
      <c r="F1716" s="56" t="n"/>
      <c r="G1716" s="66">
        <f>ROUNDDOWN(G1715*BDI,2)</f>
        <v/>
      </c>
    </row>
    <row r="1717" ht="15" customHeight="1">
      <c r="A1717" s="2" t="inlineStr"/>
      <c r="B1717" s="2" t="inlineStr"/>
      <c r="C1717" s="2" t="inlineStr"/>
      <c r="D1717" s="2" t="inlineStr"/>
      <c r="E1717" s="28" t="inlineStr">
        <is>
          <t>VALOR COM BDI:</t>
        </is>
      </c>
      <c r="F1717" s="56" t="n"/>
      <c r="G1717" s="66">
        <f>G1716 + G1715</f>
        <v/>
      </c>
    </row>
    <row r="1718" ht="10" customHeight="1">
      <c r="A1718" s="2" t="inlineStr"/>
      <c r="B1718" s="2" t="inlineStr"/>
      <c r="C1718" s="2" t="inlineStr"/>
      <c r="D1718" s="2" t="inlineStr"/>
      <c r="E1718" s="18" t="inlineStr"/>
    </row>
    <row r="1719" ht="20" customHeight="1">
      <c r="A1719" s="19" t="inlineStr">
        <is>
          <t>​95357​ CURSO DE CAPACITAÇÃO PARA OPERADOR DE ESCAVADEIRA (ENCARGOS COMPLEMENTARES) - HORISTA​ (H)</t>
        </is>
      </c>
      <c r="B1719" s="55" t="n"/>
      <c r="C1719" s="55" t="n"/>
      <c r="D1719" s="55" t="n"/>
      <c r="E1719" s="55" t="n"/>
      <c r="F1719" s="55" t="n"/>
      <c r="G1719" s="56" t="n"/>
    </row>
    <row r="1720" ht="15" customHeight="1">
      <c r="A1720" s="20" t="inlineStr">
        <is>
          <t>Mão de Obra</t>
        </is>
      </c>
      <c r="B1720" s="56" t="n"/>
      <c r="C1720" s="21" t="inlineStr">
        <is>
          <t>FONTE</t>
        </is>
      </c>
      <c r="D1720" s="21" t="inlineStr">
        <is>
          <t>UNID</t>
        </is>
      </c>
      <c r="E1720" s="21" t="inlineStr">
        <is>
          <t>COEFICIENTE</t>
        </is>
      </c>
      <c r="F1720" s="21" t="inlineStr">
        <is>
          <t>PREÇO UNITÁRIO</t>
        </is>
      </c>
      <c r="G1720" s="21" t="inlineStr">
        <is>
          <t>TOTAL</t>
        </is>
      </c>
    </row>
    <row r="1721" ht="15" customHeight="1">
      <c r="A1721" s="22" t="inlineStr">
        <is>
          <t>00004234</t>
        </is>
      </c>
      <c r="B1721" s="23" t="inlineStr">
        <is>
          <t>OPERADOR DE ESCAVADEIRA (HORISTA)</t>
        </is>
      </c>
      <c r="C1721" s="22" t="inlineStr">
        <is>
          <t>SINAPI</t>
        </is>
      </c>
      <c r="D1721" s="22" t="inlineStr">
        <is>
          <t>H</t>
        </is>
      </c>
      <c r="E1721" s="63" t="n">
        <v>0.01154</v>
      </c>
      <c r="F1721" s="64" t="n">
        <v>28.69</v>
      </c>
      <c r="G1721" s="64">
        <f>TRUNC(TRUNC(E1721,8)*F1721,2)</f>
        <v/>
      </c>
      <c r="L1721" t="n">
        <v>0.01154</v>
      </c>
      <c r="M1721" t="n">
        <v>28.69</v>
      </c>
      <c r="N1721">
        <f>(M1721-F1721)</f>
        <v/>
      </c>
    </row>
    <row r="1722" ht="15" customHeight="1">
      <c r="A1722" s="2" t="inlineStr"/>
      <c r="B1722" s="2" t="inlineStr"/>
      <c r="C1722" s="2" t="inlineStr"/>
      <c r="D1722" s="2" t="inlineStr"/>
      <c r="E1722" s="26" t="inlineStr">
        <is>
          <t>TOTAL Mão de Obra:</t>
        </is>
      </c>
      <c r="F1722" s="56" t="n"/>
      <c r="G1722" s="65">
        <f>SUM(G1721:G1721)</f>
        <v/>
      </c>
    </row>
    <row r="1723" ht="15" customHeight="1">
      <c r="A1723" s="2" t="inlineStr"/>
      <c r="B1723" s="2" t="inlineStr"/>
      <c r="C1723" s="2" t="inlineStr"/>
      <c r="D1723" s="2" t="inlineStr"/>
      <c r="E1723" s="28" t="inlineStr">
        <is>
          <t>VALOR:</t>
        </is>
      </c>
      <c r="F1723" s="56" t="n"/>
      <c r="G1723" s="66">
        <f>ROUND(SUM(G1722),2)</f>
        <v/>
      </c>
    </row>
    <row r="1724" ht="15" customHeight="1">
      <c r="A1724" s="2" t="inlineStr"/>
      <c r="B1724" s="2" t="inlineStr"/>
      <c r="C1724" s="2" t="inlineStr"/>
      <c r="D1724" s="2" t="inlineStr"/>
      <c r="E1724" s="28" t="inlineStr">
        <is>
          <t>VALOR BDI (23.08%):</t>
        </is>
      </c>
      <c r="F1724" s="56" t="n"/>
      <c r="G1724" s="66">
        <f>ROUNDDOWN(G1723*BDI,2)</f>
        <v/>
      </c>
    </row>
    <row r="1725" ht="15" customHeight="1">
      <c r="A1725" s="2" t="inlineStr"/>
      <c r="B1725" s="2" t="inlineStr"/>
      <c r="C1725" s="2" t="inlineStr"/>
      <c r="D1725" s="2" t="inlineStr"/>
      <c r="E1725" s="28" t="inlineStr">
        <is>
          <t>VALOR COM BDI:</t>
        </is>
      </c>
      <c r="F1725" s="56" t="n"/>
      <c r="G1725" s="66">
        <f>G1724 + G1723</f>
        <v/>
      </c>
    </row>
    <row r="1726" ht="10" customHeight="1">
      <c r="A1726" s="2" t="inlineStr"/>
      <c r="B1726" s="2" t="inlineStr"/>
      <c r="C1726" s="2" t="inlineStr"/>
      <c r="D1726" s="2" t="inlineStr"/>
      <c r="E1726" s="18" t="inlineStr"/>
    </row>
    <row r="1727" ht="20" customHeight="1">
      <c r="A1727" s="19" t="inlineStr">
        <is>
          <t>​95360​ CURSO DE CAPACITAÇÃO PARA OPERADOR DE MÁQUINAS E EQUIPAMENTOS (ENCARGOS COMPLEMENTARES) - HORISTA​ (H)</t>
        </is>
      </c>
      <c r="B1727" s="55" t="n"/>
      <c r="C1727" s="55" t="n"/>
      <c r="D1727" s="55" t="n"/>
      <c r="E1727" s="55" t="n"/>
      <c r="F1727" s="55" t="n"/>
      <c r="G1727" s="56" t="n"/>
    </row>
    <row r="1728" ht="15" customHeight="1">
      <c r="A1728" s="20" t="inlineStr">
        <is>
          <t>Mão de Obra</t>
        </is>
      </c>
      <c r="B1728" s="56" t="n"/>
      <c r="C1728" s="21" t="inlineStr">
        <is>
          <t>FONTE</t>
        </is>
      </c>
      <c r="D1728" s="21" t="inlineStr">
        <is>
          <t>UNID</t>
        </is>
      </c>
      <c r="E1728" s="21" t="inlineStr">
        <is>
          <t>COEFICIENTE</t>
        </is>
      </c>
      <c r="F1728" s="21" t="inlineStr">
        <is>
          <t>PREÇO UNITÁRIO</t>
        </is>
      </c>
      <c r="G1728" s="21" t="inlineStr">
        <is>
          <t>TOTAL</t>
        </is>
      </c>
    </row>
    <row r="1729" ht="21" customHeight="1">
      <c r="A1729" s="22" t="inlineStr">
        <is>
          <t>00004230</t>
        </is>
      </c>
      <c r="B1729" s="23" t="inlineStr">
        <is>
          <t>OPERADOR DE MAQUINAS E TRATORES DIVERSOS - TERRAPLANAGEM (HORISTA)</t>
        </is>
      </c>
      <c r="C1729" s="22" t="inlineStr">
        <is>
          <t>SINAPI</t>
        </is>
      </c>
      <c r="D1729" s="22" t="inlineStr">
        <is>
          <t>H</t>
        </is>
      </c>
      <c r="E1729" s="63" t="n">
        <v>0.01154</v>
      </c>
      <c r="F1729" s="64" t="n">
        <v>28.15</v>
      </c>
      <c r="G1729" s="64">
        <f>TRUNC(TRUNC(E1729,8)*F1729,2)</f>
        <v/>
      </c>
      <c r="L1729" t="n">
        <v>0.01154</v>
      </c>
      <c r="M1729" t="n">
        <v>28.15</v>
      </c>
      <c r="N1729">
        <f>(M1729-F1729)</f>
        <v/>
      </c>
    </row>
    <row r="1730" ht="15" customHeight="1">
      <c r="A1730" s="2" t="inlineStr"/>
      <c r="B1730" s="2" t="inlineStr"/>
      <c r="C1730" s="2" t="inlineStr"/>
      <c r="D1730" s="2" t="inlineStr"/>
      <c r="E1730" s="26" t="inlineStr">
        <is>
          <t>TOTAL Mão de Obra:</t>
        </is>
      </c>
      <c r="F1730" s="56" t="n"/>
      <c r="G1730" s="65">
        <f>SUM(G1729:G1729)</f>
        <v/>
      </c>
    </row>
    <row r="1731" ht="15" customHeight="1">
      <c r="A1731" s="2" t="inlineStr"/>
      <c r="B1731" s="2" t="inlineStr"/>
      <c r="C1731" s="2" t="inlineStr"/>
      <c r="D1731" s="2" t="inlineStr"/>
      <c r="E1731" s="28" t="inlineStr">
        <is>
          <t>VALOR:</t>
        </is>
      </c>
      <c r="F1731" s="56" t="n"/>
      <c r="G1731" s="66">
        <f>ROUND(SUM(G1730),2)</f>
        <v/>
      </c>
    </row>
    <row r="1732" ht="15" customHeight="1">
      <c r="A1732" s="2" t="inlineStr"/>
      <c r="B1732" s="2" t="inlineStr"/>
      <c r="C1732" s="2" t="inlineStr"/>
      <c r="D1732" s="2" t="inlineStr"/>
      <c r="E1732" s="28" t="inlineStr">
        <is>
          <t>VALOR BDI (23.08%):</t>
        </is>
      </c>
      <c r="F1732" s="56" t="n"/>
      <c r="G1732" s="66">
        <f>ROUNDDOWN(G1731*BDI,2)</f>
        <v/>
      </c>
    </row>
    <row r="1733" ht="15" customHeight="1">
      <c r="A1733" s="2" t="inlineStr"/>
      <c r="B1733" s="2" t="inlineStr"/>
      <c r="C1733" s="2" t="inlineStr"/>
      <c r="D1733" s="2" t="inlineStr"/>
      <c r="E1733" s="28" t="inlineStr">
        <is>
          <t>VALOR COM BDI:</t>
        </is>
      </c>
      <c r="F1733" s="56" t="n"/>
      <c r="G1733" s="66">
        <f>G1732 + G1731</f>
        <v/>
      </c>
    </row>
    <row r="1734" ht="10" customHeight="1">
      <c r="A1734" s="2" t="inlineStr"/>
      <c r="B1734" s="2" t="inlineStr"/>
      <c r="C1734" s="2" t="inlineStr"/>
      <c r="D1734" s="2" t="inlineStr"/>
      <c r="E1734" s="18" t="inlineStr"/>
    </row>
    <row r="1735" ht="20" customHeight="1">
      <c r="A1735" s="19" t="inlineStr">
        <is>
          <t>​95368​ CURSO DE CAPACITAÇÃO PARA OPERADOR JATO DE AREIA OU JATISTA (ENCARGOS COMPLEMENTARES) - HORISTA​ (H)</t>
        </is>
      </c>
      <c r="B1735" s="55" t="n"/>
      <c r="C1735" s="55" t="n"/>
      <c r="D1735" s="55" t="n"/>
      <c r="E1735" s="55" t="n"/>
      <c r="F1735" s="55" t="n"/>
      <c r="G1735" s="56" t="n"/>
    </row>
    <row r="1736" ht="15" customHeight="1">
      <c r="A1736" s="20" t="inlineStr">
        <is>
          <t>Mão de Obra</t>
        </is>
      </c>
      <c r="B1736" s="56" t="n"/>
      <c r="C1736" s="21" t="inlineStr">
        <is>
          <t>FONTE</t>
        </is>
      </c>
      <c r="D1736" s="21" t="inlineStr">
        <is>
          <t>UNID</t>
        </is>
      </c>
      <c r="E1736" s="21" t="inlineStr">
        <is>
          <t>COEFICIENTE</t>
        </is>
      </c>
      <c r="F1736" s="21" t="inlineStr">
        <is>
          <t>PREÇO UNITÁRIO</t>
        </is>
      </c>
      <c r="G1736" s="21" t="inlineStr">
        <is>
          <t>TOTAL</t>
        </is>
      </c>
    </row>
    <row r="1737" ht="15" customHeight="1">
      <c r="A1737" s="22" t="inlineStr">
        <is>
          <t>00004251</t>
        </is>
      </c>
      <c r="B1737" s="23" t="inlineStr">
        <is>
          <t>OPERADOR DE JATO ABRASIVO OU JATISTA (HORISTA)</t>
        </is>
      </c>
      <c r="C1737" s="22" t="inlineStr">
        <is>
          <t>SINAPI</t>
        </is>
      </c>
      <c r="D1737" s="22" t="inlineStr">
        <is>
          <t>H</t>
        </is>
      </c>
      <c r="E1737" s="63" t="n">
        <v>0.01154</v>
      </c>
      <c r="F1737" s="64" t="n">
        <v>24.17</v>
      </c>
      <c r="G1737" s="64">
        <f>TRUNC(TRUNC(E1737,8)*F1737,2)</f>
        <v/>
      </c>
      <c r="L1737" t="n">
        <v>0.01154</v>
      </c>
      <c r="M1737" t="n">
        <v>24.17</v>
      </c>
      <c r="N1737">
        <f>(M1737-F1737)</f>
        <v/>
      </c>
    </row>
    <row r="1738" ht="15" customHeight="1">
      <c r="A1738" s="2" t="inlineStr"/>
      <c r="B1738" s="2" t="inlineStr"/>
      <c r="C1738" s="2" t="inlineStr"/>
      <c r="D1738" s="2" t="inlineStr"/>
      <c r="E1738" s="26" t="inlineStr">
        <is>
          <t>TOTAL Mão de Obra:</t>
        </is>
      </c>
      <c r="F1738" s="56" t="n"/>
      <c r="G1738" s="65">
        <f>SUM(G1737:G1737)</f>
        <v/>
      </c>
    </row>
    <row r="1739" ht="15" customHeight="1">
      <c r="A1739" s="2" t="inlineStr"/>
      <c r="B1739" s="2" t="inlineStr"/>
      <c r="C1739" s="2" t="inlineStr"/>
      <c r="D1739" s="2" t="inlineStr"/>
      <c r="E1739" s="28" t="inlineStr">
        <is>
          <t>VALOR:</t>
        </is>
      </c>
      <c r="F1739" s="56" t="n"/>
      <c r="G1739" s="66">
        <f>ROUND(SUM(G1738),2)</f>
        <v/>
      </c>
    </row>
    <row r="1740" ht="15" customHeight="1">
      <c r="A1740" s="2" t="inlineStr"/>
      <c r="B1740" s="2" t="inlineStr"/>
      <c r="C1740" s="2" t="inlineStr"/>
      <c r="D1740" s="2" t="inlineStr"/>
      <c r="E1740" s="28" t="inlineStr">
        <is>
          <t>VALOR BDI (23.08%):</t>
        </is>
      </c>
      <c r="F1740" s="56" t="n"/>
      <c r="G1740" s="66">
        <f>ROUNDDOWN(G1739*BDI,2)</f>
        <v/>
      </c>
    </row>
    <row r="1741" ht="15" customHeight="1">
      <c r="A1741" s="2" t="inlineStr"/>
      <c r="B1741" s="2" t="inlineStr"/>
      <c r="C1741" s="2" t="inlineStr"/>
      <c r="D1741" s="2" t="inlineStr"/>
      <c r="E1741" s="28" t="inlineStr">
        <is>
          <t>VALOR COM BDI:</t>
        </is>
      </c>
      <c r="F1741" s="56" t="n"/>
      <c r="G1741" s="66">
        <f>G1740 + G1739</f>
        <v/>
      </c>
    </row>
    <row r="1742" ht="10" customHeight="1">
      <c r="A1742" s="2" t="inlineStr"/>
      <c r="B1742" s="2" t="inlineStr"/>
      <c r="C1742" s="2" t="inlineStr"/>
      <c r="D1742" s="2" t="inlineStr"/>
      <c r="E1742" s="18" t="inlineStr"/>
    </row>
    <row r="1743" ht="20" customHeight="1">
      <c r="A1743" s="19" t="inlineStr">
        <is>
          <t>​95371​ CURSO DE CAPACITAÇÃO PARA PEDREIRO (ENCARGOS COMPLEMENTARES) - HORISTA​ (H)</t>
        </is>
      </c>
      <c r="B1743" s="55" t="n"/>
      <c r="C1743" s="55" t="n"/>
      <c r="D1743" s="55" t="n"/>
      <c r="E1743" s="55" t="n"/>
      <c r="F1743" s="55" t="n"/>
      <c r="G1743" s="56" t="n"/>
    </row>
    <row r="1744" ht="15" customHeight="1">
      <c r="A1744" s="20" t="inlineStr">
        <is>
          <t>Mão de Obra</t>
        </is>
      </c>
      <c r="B1744" s="56" t="n"/>
      <c r="C1744" s="21" t="inlineStr">
        <is>
          <t>FONTE</t>
        </is>
      </c>
      <c r="D1744" s="21" t="inlineStr">
        <is>
          <t>UNID</t>
        </is>
      </c>
      <c r="E1744" s="21" t="inlineStr">
        <is>
          <t>COEFICIENTE</t>
        </is>
      </c>
      <c r="F1744" s="21" t="inlineStr">
        <is>
          <t>PREÇO UNITÁRIO</t>
        </is>
      </c>
      <c r="G1744" s="21" t="inlineStr">
        <is>
          <t>TOTAL</t>
        </is>
      </c>
    </row>
    <row r="1745" ht="15" customHeight="1">
      <c r="A1745" s="22" t="inlineStr">
        <is>
          <t>00004750</t>
        </is>
      </c>
      <c r="B1745" s="23" t="inlineStr">
        <is>
          <t>PEDREIRO (HORISTA)</t>
        </is>
      </c>
      <c r="C1745" s="22" t="inlineStr">
        <is>
          <t>SINAPI</t>
        </is>
      </c>
      <c r="D1745" s="22" t="inlineStr">
        <is>
          <t>H</t>
        </is>
      </c>
      <c r="E1745" s="63">
        <f>L1745*FATOR</f>
        <v/>
      </c>
      <c r="F1745" s="64" t="n">
        <v>21.81</v>
      </c>
      <c r="G1745" s="64">
        <f>TRUNC(TRUNC(E1745,8)*F1745,2)</f>
        <v/>
      </c>
      <c r="L1745" t="n">
        <v>0.0212</v>
      </c>
      <c r="M1745" t="n">
        <v>21.81</v>
      </c>
      <c r="N1745">
        <f>(M1745-F1745)</f>
        <v/>
      </c>
    </row>
    <row r="1746" ht="15" customHeight="1">
      <c r="A1746" s="2" t="inlineStr"/>
      <c r="B1746" s="2" t="inlineStr"/>
      <c r="C1746" s="2" t="inlineStr"/>
      <c r="D1746" s="2" t="inlineStr"/>
      <c r="E1746" s="26" t="inlineStr">
        <is>
          <t>TOTAL Mão de Obra:</t>
        </is>
      </c>
      <c r="F1746" s="56" t="n"/>
      <c r="G1746" s="65">
        <f>SUM(G1745:G1745)</f>
        <v/>
      </c>
    </row>
    <row r="1747" ht="15" customHeight="1">
      <c r="A1747" s="2" t="inlineStr"/>
      <c r="B1747" s="2" t="inlineStr"/>
      <c r="C1747" s="2" t="inlineStr"/>
      <c r="D1747" s="2" t="inlineStr"/>
      <c r="E1747" s="28" t="inlineStr">
        <is>
          <t>VALOR:</t>
        </is>
      </c>
      <c r="F1747" s="56" t="n"/>
      <c r="G1747" s="66">
        <f>SUM(G1746)</f>
        <v/>
      </c>
    </row>
    <row r="1748" ht="15" customHeight="1">
      <c r="A1748" s="2" t="inlineStr"/>
      <c r="B1748" s="2" t="inlineStr"/>
      <c r="C1748" s="2" t="inlineStr"/>
      <c r="D1748" s="2" t="inlineStr"/>
      <c r="E1748" s="28" t="inlineStr">
        <is>
          <t>VALOR BDI (23.08%):</t>
        </is>
      </c>
      <c r="F1748" s="56" t="n"/>
      <c r="G1748" s="66">
        <f>ROUNDDOWN(G1747*BDI,2)</f>
        <v/>
      </c>
    </row>
    <row r="1749" ht="15" customHeight="1">
      <c r="A1749" s="2" t="inlineStr"/>
      <c r="B1749" s="2" t="inlineStr"/>
      <c r="C1749" s="2" t="inlineStr"/>
      <c r="D1749" s="2" t="inlineStr"/>
      <c r="E1749" s="28" t="inlineStr">
        <is>
          <t>VALOR COM BDI:</t>
        </is>
      </c>
      <c r="F1749" s="56" t="n"/>
      <c r="G1749" s="66">
        <f>G1748 + G1747</f>
        <v/>
      </c>
    </row>
    <row r="1750" ht="10" customHeight="1">
      <c r="A1750" s="2" t="inlineStr"/>
      <c r="B1750" s="2" t="inlineStr"/>
      <c r="C1750" s="2" t="inlineStr"/>
      <c r="D1750" s="2" t="inlineStr"/>
      <c r="E1750" s="18" t="inlineStr"/>
    </row>
    <row r="1751" ht="20" customHeight="1">
      <c r="A1751" s="19" t="inlineStr">
        <is>
          <t>​95372​ CURSO DE CAPACITAÇÃO PARA PINTOR (ENCARGOS COMPLEMENTARES) - HORISTA​ (H)</t>
        </is>
      </c>
      <c r="B1751" s="55" t="n"/>
      <c r="C1751" s="55" t="n"/>
      <c r="D1751" s="55" t="n"/>
      <c r="E1751" s="55" t="n"/>
      <c r="F1751" s="55" t="n"/>
      <c r="G1751" s="56" t="n"/>
    </row>
    <row r="1752" ht="15" customHeight="1">
      <c r="A1752" s="20" t="inlineStr">
        <is>
          <t>Mão de Obra</t>
        </is>
      </c>
      <c r="B1752" s="56" t="n"/>
      <c r="C1752" s="21" t="inlineStr">
        <is>
          <t>FONTE</t>
        </is>
      </c>
      <c r="D1752" s="21" t="inlineStr">
        <is>
          <t>UNID</t>
        </is>
      </c>
      <c r="E1752" s="21" t="inlineStr">
        <is>
          <t>COEFICIENTE</t>
        </is>
      </c>
      <c r="F1752" s="21" t="inlineStr">
        <is>
          <t>PREÇO UNITÁRIO</t>
        </is>
      </c>
      <c r="G1752" s="21" t="inlineStr">
        <is>
          <t>TOTAL</t>
        </is>
      </c>
    </row>
    <row r="1753" ht="15" customHeight="1">
      <c r="A1753" s="22" t="inlineStr">
        <is>
          <t>00004783</t>
        </is>
      </c>
      <c r="B1753" s="23" t="inlineStr">
        <is>
          <t>PINTOR (HORISTA)</t>
        </is>
      </c>
      <c r="C1753" s="22" t="inlineStr">
        <is>
          <t>SINAPI</t>
        </is>
      </c>
      <c r="D1753" s="22" t="inlineStr">
        <is>
          <t>H</t>
        </is>
      </c>
      <c r="E1753" s="63">
        <f>L1753*FATOR</f>
        <v/>
      </c>
      <c r="F1753" s="64" t="n">
        <v>21.81</v>
      </c>
      <c r="G1753" s="64">
        <f>TRUNC(TRUNC(E1753,8)*F1753,2)</f>
        <v/>
      </c>
      <c r="L1753" t="n">
        <v>0.01476</v>
      </c>
      <c r="M1753" t="n">
        <v>21.81</v>
      </c>
      <c r="N1753">
        <f>(M1753-F1753)</f>
        <v/>
      </c>
    </row>
    <row r="1754" ht="15" customHeight="1">
      <c r="A1754" s="2" t="inlineStr"/>
      <c r="B1754" s="2" t="inlineStr"/>
      <c r="C1754" s="2" t="inlineStr"/>
      <c r="D1754" s="2" t="inlineStr"/>
      <c r="E1754" s="26" t="inlineStr">
        <is>
          <t>TOTAL Mão de Obra:</t>
        </is>
      </c>
      <c r="F1754" s="56" t="n"/>
      <c r="G1754" s="65">
        <f>SUM(G1753:G1753)</f>
        <v/>
      </c>
    </row>
    <row r="1755" ht="15" customHeight="1">
      <c r="A1755" s="2" t="inlineStr"/>
      <c r="B1755" s="2" t="inlineStr"/>
      <c r="C1755" s="2" t="inlineStr"/>
      <c r="D1755" s="2" t="inlineStr"/>
      <c r="E1755" s="28" t="inlineStr">
        <is>
          <t>VALOR:</t>
        </is>
      </c>
      <c r="F1755" s="56" t="n"/>
      <c r="G1755" s="66">
        <f>SUM(G1754)</f>
        <v/>
      </c>
    </row>
    <row r="1756" ht="15" customHeight="1">
      <c r="A1756" s="2" t="inlineStr"/>
      <c r="B1756" s="2" t="inlineStr"/>
      <c r="C1756" s="2" t="inlineStr"/>
      <c r="D1756" s="2" t="inlineStr"/>
      <c r="E1756" s="28" t="inlineStr">
        <is>
          <t>VALOR BDI (23.08%):</t>
        </is>
      </c>
      <c r="F1756" s="56" t="n"/>
      <c r="G1756" s="66">
        <f>ROUNDDOWN(G1755*BDI,2)</f>
        <v/>
      </c>
    </row>
    <row r="1757" ht="15" customHeight="1">
      <c r="A1757" s="2" t="inlineStr"/>
      <c r="B1757" s="2" t="inlineStr"/>
      <c r="C1757" s="2" t="inlineStr"/>
      <c r="D1757" s="2" t="inlineStr"/>
      <c r="E1757" s="28" t="inlineStr">
        <is>
          <t>VALOR COM BDI:</t>
        </is>
      </c>
      <c r="F1757" s="56" t="n"/>
      <c r="G1757" s="66">
        <f>G1756 + G1755</f>
        <v/>
      </c>
    </row>
    <row r="1758" ht="10" customHeight="1">
      <c r="A1758" s="2" t="inlineStr"/>
      <c r="B1758" s="2" t="inlineStr"/>
      <c r="C1758" s="2" t="inlineStr"/>
      <c r="D1758" s="2" t="inlineStr"/>
      <c r="E1758" s="18" t="inlineStr"/>
    </row>
    <row r="1759" ht="20" customHeight="1">
      <c r="A1759" s="19" t="inlineStr">
        <is>
          <t>​95377​ CURSO DE CAPACITAÇÃO PARA SERRALHEIRO (ENCARGOS COMPLEMENTARES) - HORISTA​ (H)</t>
        </is>
      </c>
      <c r="B1759" s="55" t="n"/>
      <c r="C1759" s="55" t="n"/>
      <c r="D1759" s="55" t="n"/>
      <c r="E1759" s="55" t="n"/>
      <c r="F1759" s="55" t="n"/>
      <c r="G1759" s="56" t="n"/>
    </row>
    <row r="1760" ht="15" customHeight="1">
      <c r="A1760" s="20" t="inlineStr">
        <is>
          <t>Mão de Obra</t>
        </is>
      </c>
      <c r="B1760" s="56" t="n"/>
      <c r="C1760" s="21" t="inlineStr">
        <is>
          <t>FONTE</t>
        </is>
      </c>
      <c r="D1760" s="21" t="inlineStr">
        <is>
          <t>UNID</t>
        </is>
      </c>
      <c r="E1760" s="21" t="inlineStr">
        <is>
          <t>COEFICIENTE</t>
        </is>
      </c>
      <c r="F1760" s="21" t="inlineStr">
        <is>
          <t>PREÇO UNITÁRIO</t>
        </is>
      </c>
      <c r="G1760" s="21" t="inlineStr">
        <is>
          <t>TOTAL</t>
        </is>
      </c>
    </row>
    <row r="1761" ht="15" customHeight="1">
      <c r="A1761" s="22" t="inlineStr">
        <is>
          <t>00006110</t>
        </is>
      </c>
      <c r="B1761" s="23" t="inlineStr">
        <is>
          <t>SERRALHEIRO (HORISTA)</t>
        </is>
      </c>
      <c r="C1761" s="22" t="inlineStr">
        <is>
          <t>SINAPI</t>
        </is>
      </c>
      <c r="D1761" s="22" t="inlineStr">
        <is>
          <t>H</t>
        </is>
      </c>
      <c r="E1761" s="63" t="n">
        <v>0.01154</v>
      </c>
      <c r="F1761" s="64" t="n">
        <v>21.81</v>
      </c>
      <c r="G1761" s="64">
        <f>TRUNC(TRUNC(E1761,8)*F1761,2)</f>
        <v/>
      </c>
      <c r="L1761" t="n">
        <v>0.01154</v>
      </c>
      <c r="M1761" t="n">
        <v>21.81</v>
      </c>
      <c r="N1761">
        <f>(M1761-F1761)</f>
        <v/>
      </c>
    </row>
    <row r="1762" ht="15" customHeight="1">
      <c r="A1762" s="2" t="inlineStr"/>
      <c r="B1762" s="2" t="inlineStr"/>
      <c r="C1762" s="2" t="inlineStr"/>
      <c r="D1762" s="2" t="inlineStr"/>
      <c r="E1762" s="26" t="inlineStr">
        <is>
          <t>TOTAL Mão de Obra:</t>
        </is>
      </c>
      <c r="F1762" s="56" t="n"/>
      <c r="G1762" s="65">
        <f>SUM(G1761:G1761)</f>
        <v/>
      </c>
    </row>
    <row r="1763" ht="15" customHeight="1">
      <c r="A1763" s="2" t="inlineStr"/>
      <c r="B1763" s="2" t="inlineStr"/>
      <c r="C1763" s="2" t="inlineStr"/>
      <c r="D1763" s="2" t="inlineStr"/>
      <c r="E1763" s="28" t="inlineStr">
        <is>
          <t>VALOR:</t>
        </is>
      </c>
      <c r="F1763" s="56" t="n"/>
      <c r="G1763" s="66">
        <f>ROUND(SUM(G1762),2)</f>
        <v/>
      </c>
    </row>
    <row r="1764" ht="15" customHeight="1">
      <c r="A1764" s="2" t="inlineStr"/>
      <c r="B1764" s="2" t="inlineStr"/>
      <c r="C1764" s="2" t="inlineStr"/>
      <c r="D1764" s="2" t="inlineStr"/>
      <c r="E1764" s="28" t="inlineStr">
        <is>
          <t>VALOR BDI (23.08%):</t>
        </is>
      </c>
      <c r="F1764" s="56" t="n"/>
      <c r="G1764" s="66">
        <f>ROUNDDOWN(G1763*BDI,2)</f>
        <v/>
      </c>
    </row>
    <row r="1765" ht="15" customHeight="1">
      <c r="A1765" s="2" t="inlineStr"/>
      <c r="B1765" s="2" t="inlineStr"/>
      <c r="C1765" s="2" t="inlineStr"/>
      <c r="D1765" s="2" t="inlineStr"/>
      <c r="E1765" s="28" t="inlineStr">
        <is>
          <t>VALOR COM BDI:</t>
        </is>
      </c>
      <c r="F1765" s="56" t="n"/>
      <c r="G1765" s="66">
        <f>G1764 + G1763</f>
        <v/>
      </c>
    </row>
    <row r="1766" ht="10" customHeight="1">
      <c r="A1766" s="2" t="inlineStr"/>
      <c r="B1766" s="2" t="inlineStr"/>
      <c r="C1766" s="2" t="inlineStr"/>
      <c r="D1766" s="2" t="inlineStr"/>
      <c r="E1766" s="18" t="inlineStr"/>
    </row>
    <row r="1767" ht="20" customHeight="1">
      <c r="A1767" s="19" t="inlineStr">
        <is>
          <t>​95378​ CURSO DE CAPACITAÇÃO PARA SERVENTE (ENCARGOS COMPLEMENTARES) - HORISTA​ (H)</t>
        </is>
      </c>
      <c r="B1767" s="55" t="n"/>
      <c r="C1767" s="55" t="n"/>
      <c r="D1767" s="55" t="n"/>
      <c r="E1767" s="55" t="n"/>
      <c r="F1767" s="55" t="n"/>
      <c r="G1767" s="56" t="n"/>
    </row>
    <row r="1768" ht="15" customHeight="1">
      <c r="A1768" s="20" t="inlineStr">
        <is>
          <t>Mão de Obra</t>
        </is>
      </c>
      <c r="B1768" s="56" t="n"/>
      <c r="C1768" s="21" t="inlineStr">
        <is>
          <t>FONTE</t>
        </is>
      </c>
      <c r="D1768" s="21" t="inlineStr">
        <is>
          <t>UNID</t>
        </is>
      </c>
      <c r="E1768" s="21" t="inlineStr">
        <is>
          <t>COEFICIENTE</t>
        </is>
      </c>
      <c r="F1768" s="21" t="inlineStr">
        <is>
          <t>PREÇO UNITÁRIO</t>
        </is>
      </c>
      <c r="G1768" s="21" t="inlineStr">
        <is>
          <t>TOTAL</t>
        </is>
      </c>
    </row>
    <row r="1769" ht="15" customHeight="1">
      <c r="A1769" s="22" t="inlineStr">
        <is>
          <t>00006111</t>
        </is>
      </c>
      <c r="B1769" s="23" t="inlineStr">
        <is>
          <t>SERVENTE DE OBRAS (HORISTA)</t>
        </is>
      </c>
      <c r="C1769" s="22" t="inlineStr">
        <is>
          <t>SINAPI</t>
        </is>
      </c>
      <c r="D1769" s="22" t="inlineStr">
        <is>
          <t>H</t>
        </is>
      </c>
      <c r="E1769" s="63">
        <f>L1769*FATOR</f>
        <v/>
      </c>
      <c r="F1769" s="64" t="n">
        <v>15.03</v>
      </c>
      <c r="G1769" s="64">
        <f>TRUNC(TRUNC(E1769,8)*F1769,2)</f>
        <v/>
      </c>
      <c r="L1769" t="n">
        <v>0.0212</v>
      </c>
      <c r="M1769" t="n">
        <v>15.03</v>
      </c>
      <c r="N1769">
        <f>(M1769-F1769)</f>
        <v/>
      </c>
    </row>
    <row r="1770" ht="15" customHeight="1">
      <c r="A1770" s="2" t="inlineStr"/>
      <c r="B1770" s="2" t="inlineStr"/>
      <c r="C1770" s="2" t="inlineStr"/>
      <c r="D1770" s="2" t="inlineStr"/>
      <c r="E1770" s="26" t="inlineStr">
        <is>
          <t>TOTAL Mão de Obra:</t>
        </is>
      </c>
      <c r="F1770" s="56" t="n"/>
      <c r="G1770" s="65">
        <f>SUM(G1769:G1769)</f>
        <v/>
      </c>
    </row>
    <row r="1771" ht="15" customHeight="1">
      <c r="A1771" s="2" t="inlineStr"/>
      <c r="B1771" s="2" t="inlineStr"/>
      <c r="C1771" s="2" t="inlineStr"/>
      <c r="D1771" s="2" t="inlineStr"/>
      <c r="E1771" s="28" t="inlineStr">
        <is>
          <t>VALOR:</t>
        </is>
      </c>
      <c r="F1771" s="56" t="n"/>
      <c r="G1771" s="66">
        <f>SUM(G1770)</f>
        <v/>
      </c>
    </row>
    <row r="1772" ht="15" customHeight="1">
      <c r="A1772" s="2" t="inlineStr"/>
      <c r="B1772" s="2" t="inlineStr"/>
      <c r="C1772" s="2" t="inlineStr"/>
      <c r="D1772" s="2" t="inlineStr"/>
      <c r="E1772" s="28" t="inlineStr">
        <is>
          <t>VALOR BDI (23.08%):</t>
        </is>
      </c>
      <c r="F1772" s="56" t="n"/>
      <c r="G1772" s="66">
        <f>ROUNDDOWN(G1771*BDI,2)</f>
        <v/>
      </c>
    </row>
    <row r="1773" ht="15" customHeight="1">
      <c r="A1773" s="2" t="inlineStr"/>
      <c r="B1773" s="2" t="inlineStr"/>
      <c r="C1773" s="2" t="inlineStr"/>
      <c r="D1773" s="2" t="inlineStr"/>
      <c r="E1773" s="28" t="inlineStr">
        <is>
          <t>VALOR COM BDI:</t>
        </is>
      </c>
      <c r="F1773" s="56" t="n"/>
      <c r="G1773" s="66">
        <f>G1772 + G1771</f>
        <v/>
      </c>
    </row>
    <row r="1774" ht="10" customHeight="1">
      <c r="A1774" s="2" t="inlineStr"/>
      <c r="B1774" s="2" t="inlineStr"/>
      <c r="C1774" s="2" t="inlineStr"/>
      <c r="D1774" s="2" t="inlineStr"/>
      <c r="E1774" s="18" t="inlineStr"/>
    </row>
    <row r="1775" ht="20" customHeight="1">
      <c r="A1775" s="19" t="inlineStr">
        <is>
          <t>​95379​ CURSO DE CAPACITAÇÃO PARA SOLDADOR (ENCARGOS COMPLEMENTARES) - HORISTA​ (H)</t>
        </is>
      </c>
      <c r="B1775" s="55" t="n"/>
      <c r="C1775" s="55" t="n"/>
      <c r="D1775" s="55" t="n"/>
      <c r="E1775" s="55" t="n"/>
      <c r="F1775" s="55" t="n"/>
      <c r="G1775" s="56" t="n"/>
    </row>
    <row r="1776" ht="15" customHeight="1">
      <c r="A1776" s="20" t="inlineStr">
        <is>
          <t>Mão de Obra</t>
        </is>
      </c>
      <c r="B1776" s="56" t="n"/>
      <c r="C1776" s="21" t="inlineStr">
        <is>
          <t>FONTE</t>
        </is>
      </c>
      <c r="D1776" s="21" t="inlineStr">
        <is>
          <t>UNID</t>
        </is>
      </c>
      <c r="E1776" s="21" t="inlineStr">
        <is>
          <t>COEFICIENTE</t>
        </is>
      </c>
      <c r="F1776" s="21" t="inlineStr">
        <is>
          <t>PREÇO UNITÁRIO</t>
        </is>
      </c>
      <c r="G1776" s="21" t="inlineStr">
        <is>
          <t>TOTAL</t>
        </is>
      </c>
    </row>
    <row r="1777" ht="15" customHeight="1">
      <c r="A1777" s="22" t="inlineStr">
        <is>
          <t>00006160</t>
        </is>
      </c>
      <c r="B1777" s="23" t="inlineStr">
        <is>
          <t>SOLDADOR (HORISTA)</t>
        </is>
      </c>
      <c r="C1777" s="22" t="inlineStr">
        <is>
          <t>SINAPI</t>
        </is>
      </c>
      <c r="D1777" s="22" t="inlineStr">
        <is>
          <t>H</t>
        </is>
      </c>
      <c r="E1777" s="63">
        <f>L1777*FATOR</f>
        <v/>
      </c>
      <c r="F1777" s="64" t="n">
        <v>21.81</v>
      </c>
      <c r="G1777" s="64">
        <f>TRUNC(TRUNC(E1777,8)*F1777,2)</f>
        <v/>
      </c>
      <c r="L1777" t="n">
        <v>0.01154</v>
      </c>
      <c r="M1777" t="n">
        <v>21.81</v>
      </c>
      <c r="N1777">
        <f>(M1777-F1777)</f>
        <v/>
      </c>
    </row>
    <row r="1778" ht="15" customHeight="1">
      <c r="A1778" s="2" t="inlineStr"/>
      <c r="B1778" s="2" t="inlineStr"/>
      <c r="C1778" s="2" t="inlineStr"/>
      <c r="D1778" s="2" t="inlineStr"/>
      <c r="E1778" s="26" t="inlineStr">
        <is>
          <t>TOTAL Mão de Obra:</t>
        </is>
      </c>
      <c r="F1778" s="56" t="n"/>
      <c r="G1778" s="65">
        <f>SUM(G1777:G1777)</f>
        <v/>
      </c>
    </row>
    <row r="1779" ht="15" customHeight="1">
      <c r="A1779" s="2" t="inlineStr"/>
      <c r="B1779" s="2" t="inlineStr"/>
      <c r="C1779" s="2" t="inlineStr"/>
      <c r="D1779" s="2" t="inlineStr"/>
      <c r="E1779" s="28" t="inlineStr">
        <is>
          <t>VALOR:</t>
        </is>
      </c>
      <c r="F1779" s="56" t="n"/>
      <c r="G1779" s="66">
        <f>SUM(G1778)</f>
        <v/>
      </c>
    </row>
    <row r="1780" ht="15" customHeight="1">
      <c r="A1780" s="2" t="inlineStr"/>
      <c r="B1780" s="2" t="inlineStr"/>
      <c r="C1780" s="2" t="inlineStr"/>
      <c r="D1780" s="2" t="inlineStr"/>
      <c r="E1780" s="28" t="inlineStr">
        <is>
          <t>VALOR BDI (23.08%):</t>
        </is>
      </c>
      <c r="F1780" s="56" t="n"/>
      <c r="G1780" s="66">
        <f>ROUNDDOWN(G1779*BDI,2)</f>
        <v/>
      </c>
    </row>
    <row r="1781" ht="15" customHeight="1">
      <c r="A1781" s="2" t="inlineStr"/>
      <c r="B1781" s="2" t="inlineStr"/>
      <c r="C1781" s="2" t="inlineStr"/>
      <c r="D1781" s="2" t="inlineStr"/>
      <c r="E1781" s="28" t="inlineStr">
        <is>
          <t>VALOR COM BDI:</t>
        </is>
      </c>
      <c r="F1781" s="56" t="n"/>
      <c r="G1781" s="66">
        <f>G1780 + G1779</f>
        <v/>
      </c>
    </row>
    <row r="1782" ht="10" customHeight="1">
      <c r="A1782" s="2" t="inlineStr"/>
      <c r="B1782" s="2" t="inlineStr"/>
      <c r="C1782" s="2" t="inlineStr"/>
      <c r="D1782" s="2" t="inlineStr"/>
      <c r="E1782" s="18" t="inlineStr"/>
    </row>
    <row r="1783" ht="20" customHeight="1">
      <c r="A1783" s="19" t="inlineStr">
        <is>
          <t>​95386​ CURSO DE CAPACITAÇÃO PARA TRATORISTA (ENCARGOS COMPLEMENTARES) - HORISTA​ (H)</t>
        </is>
      </c>
      <c r="B1783" s="55" t="n"/>
      <c r="C1783" s="55" t="n"/>
      <c r="D1783" s="55" t="n"/>
      <c r="E1783" s="55" t="n"/>
      <c r="F1783" s="55" t="n"/>
      <c r="G1783" s="56" t="n"/>
    </row>
    <row r="1784" ht="15" customHeight="1">
      <c r="A1784" s="20" t="inlineStr">
        <is>
          <t>Mão de Obra</t>
        </is>
      </c>
      <c r="B1784" s="56" t="n"/>
      <c r="C1784" s="21" t="inlineStr">
        <is>
          <t>FONTE</t>
        </is>
      </c>
      <c r="D1784" s="21" t="inlineStr">
        <is>
          <t>UNID</t>
        </is>
      </c>
      <c r="E1784" s="21" t="inlineStr">
        <is>
          <t>COEFICIENTE</t>
        </is>
      </c>
      <c r="F1784" s="21" t="inlineStr">
        <is>
          <t>PREÇO UNITÁRIO</t>
        </is>
      </c>
      <c r="G1784" s="21" t="inlineStr">
        <is>
          <t>TOTAL</t>
        </is>
      </c>
    </row>
    <row r="1785" ht="21" customHeight="1">
      <c r="A1785" s="22" t="inlineStr">
        <is>
          <t>00004230</t>
        </is>
      </c>
      <c r="B1785" s="23" t="inlineStr">
        <is>
          <t>OPERADOR DE MAQUINAS E TRATORES DIVERSOS - TERRAPLANAGEM (HORISTA)</t>
        </is>
      </c>
      <c r="C1785" s="22" t="inlineStr">
        <is>
          <t>SINAPI</t>
        </is>
      </c>
      <c r="D1785" s="22" t="inlineStr">
        <is>
          <t>H</t>
        </is>
      </c>
      <c r="E1785" s="63" t="n">
        <v>0.01154</v>
      </c>
      <c r="F1785" s="64" t="n">
        <v>28.15</v>
      </c>
      <c r="G1785" s="64">
        <f>TRUNC(TRUNC(E1785,8)*F1785,2)</f>
        <v/>
      </c>
      <c r="L1785" t="n">
        <v>0.01154</v>
      </c>
      <c r="M1785" t="n">
        <v>28.15</v>
      </c>
      <c r="N1785">
        <f>(M1785-F1785)</f>
        <v/>
      </c>
    </row>
    <row r="1786" ht="15" customHeight="1">
      <c r="A1786" s="2" t="inlineStr"/>
      <c r="B1786" s="2" t="inlineStr"/>
      <c r="C1786" s="2" t="inlineStr"/>
      <c r="D1786" s="2" t="inlineStr"/>
      <c r="E1786" s="26" t="inlineStr">
        <is>
          <t>TOTAL Mão de Obra:</t>
        </is>
      </c>
      <c r="F1786" s="56" t="n"/>
      <c r="G1786" s="65">
        <f>SUM(G1785:G1785)</f>
        <v/>
      </c>
    </row>
    <row r="1787" ht="15" customHeight="1">
      <c r="A1787" s="2" t="inlineStr"/>
      <c r="B1787" s="2" t="inlineStr"/>
      <c r="C1787" s="2" t="inlineStr"/>
      <c r="D1787" s="2" t="inlineStr"/>
      <c r="E1787" s="28" t="inlineStr">
        <is>
          <t>VALOR:</t>
        </is>
      </c>
      <c r="F1787" s="56" t="n"/>
      <c r="G1787" s="66">
        <f>ROUND(SUM(G1786),2)</f>
        <v/>
      </c>
    </row>
    <row r="1788" ht="15" customHeight="1">
      <c r="A1788" s="2" t="inlineStr"/>
      <c r="B1788" s="2" t="inlineStr"/>
      <c r="C1788" s="2" t="inlineStr"/>
      <c r="D1788" s="2" t="inlineStr"/>
      <c r="E1788" s="28" t="inlineStr">
        <is>
          <t>VALOR BDI (23.08%):</t>
        </is>
      </c>
      <c r="F1788" s="56" t="n"/>
      <c r="G1788" s="66">
        <f>ROUNDDOWN(G1787*BDI,2)</f>
        <v/>
      </c>
    </row>
    <row r="1789" ht="15" customHeight="1">
      <c r="A1789" s="2" t="inlineStr"/>
      <c r="B1789" s="2" t="inlineStr"/>
      <c r="C1789" s="2" t="inlineStr"/>
      <c r="D1789" s="2" t="inlineStr"/>
      <c r="E1789" s="28" t="inlineStr">
        <is>
          <t>VALOR COM BDI:</t>
        </is>
      </c>
      <c r="F1789" s="56" t="n"/>
      <c r="G1789" s="66">
        <f>G1788 + G1787</f>
        <v/>
      </c>
    </row>
    <row r="1790" ht="10" customHeight="1">
      <c r="A1790" s="2" t="inlineStr"/>
      <c r="B1790" s="2" t="inlineStr"/>
      <c r="C1790" s="2" t="inlineStr"/>
      <c r="D1790" s="2" t="inlineStr"/>
      <c r="E1790" s="18" t="inlineStr"/>
    </row>
    <row r="1791" ht="20" customHeight="1">
      <c r="A1791" s="19" t="inlineStr">
        <is>
          <t>​95387​ CURSO DE CAPACITAÇÃO PARA VIDRACEIRO (ENCARGOS COMPLEMENTARES) - HORISTA​ (H)</t>
        </is>
      </c>
      <c r="B1791" s="55" t="n"/>
      <c r="C1791" s="55" t="n"/>
      <c r="D1791" s="55" t="n"/>
      <c r="E1791" s="55" t="n"/>
      <c r="F1791" s="55" t="n"/>
      <c r="G1791" s="56" t="n"/>
    </row>
    <row r="1792" ht="15" customHeight="1">
      <c r="A1792" s="20" t="inlineStr">
        <is>
          <t>Mão de Obra</t>
        </is>
      </c>
      <c r="B1792" s="56" t="n"/>
      <c r="C1792" s="21" t="inlineStr">
        <is>
          <t>FONTE</t>
        </is>
      </c>
      <c r="D1792" s="21" t="inlineStr">
        <is>
          <t>UNID</t>
        </is>
      </c>
      <c r="E1792" s="21" t="inlineStr">
        <is>
          <t>COEFICIENTE</t>
        </is>
      </c>
      <c r="F1792" s="21" t="inlineStr">
        <is>
          <t>PREÇO UNITÁRIO</t>
        </is>
      </c>
      <c r="G1792" s="21" t="inlineStr">
        <is>
          <t>TOTAL</t>
        </is>
      </c>
    </row>
    <row r="1793" ht="15" customHeight="1">
      <c r="A1793" s="22" t="inlineStr">
        <is>
          <t>00010489</t>
        </is>
      </c>
      <c r="B1793" s="23" t="inlineStr">
        <is>
          <t>VIDRACEIRO (HORISTA)</t>
        </is>
      </c>
      <c r="C1793" s="22" t="inlineStr">
        <is>
          <t>SINAPI</t>
        </is>
      </c>
      <c r="D1793" s="22" t="inlineStr">
        <is>
          <t>H</t>
        </is>
      </c>
      <c r="E1793" s="63">
        <f>L1793*FATOR</f>
        <v/>
      </c>
      <c r="F1793" s="64" t="n">
        <v>16.58</v>
      </c>
      <c r="G1793" s="64">
        <f>TRUNC(TRUNC(E1793,8)*F1793,2)</f>
        <v/>
      </c>
      <c r="L1793" t="n">
        <v>0.01476</v>
      </c>
      <c r="M1793" t="n">
        <v>16.58</v>
      </c>
      <c r="N1793">
        <f>(M1793-F1793)</f>
        <v/>
      </c>
    </row>
    <row r="1794" ht="15" customHeight="1">
      <c r="A1794" s="2" t="inlineStr"/>
      <c r="B1794" s="2" t="inlineStr"/>
      <c r="C1794" s="2" t="inlineStr"/>
      <c r="D1794" s="2" t="inlineStr"/>
      <c r="E1794" s="26" t="inlineStr">
        <is>
          <t>TOTAL Mão de Obra:</t>
        </is>
      </c>
      <c r="F1794" s="56" t="n"/>
      <c r="G1794" s="65">
        <f>SUM(G1793:G1793)</f>
        <v/>
      </c>
    </row>
    <row r="1795" ht="15" customHeight="1">
      <c r="A1795" s="2" t="inlineStr"/>
      <c r="B1795" s="2" t="inlineStr"/>
      <c r="C1795" s="2" t="inlineStr"/>
      <c r="D1795" s="2" t="inlineStr"/>
      <c r="E1795" s="28" t="inlineStr">
        <is>
          <t>VALOR:</t>
        </is>
      </c>
      <c r="F1795" s="56" t="n"/>
      <c r="G1795" s="66">
        <f>SUM(G1794)</f>
        <v/>
      </c>
    </row>
    <row r="1796" ht="15" customHeight="1">
      <c r="A1796" s="2" t="inlineStr"/>
      <c r="B1796" s="2" t="inlineStr"/>
      <c r="C1796" s="2" t="inlineStr"/>
      <c r="D1796" s="2" t="inlineStr"/>
      <c r="E1796" s="28" t="inlineStr">
        <is>
          <t>VALOR BDI (23.08%):</t>
        </is>
      </c>
      <c r="F1796" s="56" t="n"/>
      <c r="G1796" s="66">
        <f>ROUNDDOWN(G1795*BDI,2)</f>
        <v/>
      </c>
    </row>
    <row r="1797" ht="15" customHeight="1">
      <c r="A1797" s="2" t="inlineStr"/>
      <c r="B1797" s="2" t="inlineStr"/>
      <c r="C1797" s="2" t="inlineStr"/>
      <c r="D1797" s="2" t="inlineStr"/>
      <c r="E1797" s="28" t="inlineStr">
        <is>
          <t>VALOR COM BDI:</t>
        </is>
      </c>
      <c r="F1797" s="56" t="n"/>
      <c r="G1797" s="66">
        <f>G1796 + G1795</f>
        <v/>
      </c>
    </row>
    <row r="1798" ht="10" customHeight="1">
      <c r="A1798" s="2" t="inlineStr"/>
      <c r="B1798" s="2" t="inlineStr"/>
      <c r="C1798" s="2" t="inlineStr"/>
      <c r="D1798" s="2" t="inlineStr"/>
      <c r="E1798" s="18" t="inlineStr"/>
    </row>
    <row r="1799" ht="20" customHeight="1">
      <c r="A1799" s="19" t="inlineStr">
        <is>
          <t>​C1117​ DISJUNTOR TRIPOLAR EM QUADRO DE DISTRIBUIÇÃO 100A​ (UN)</t>
        </is>
      </c>
      <c r="B1799" s="55" t="n"/>
      <c r="C1799" s="55" t="n"/>
      <c r="D1799" s="55" t="n"/>
      <c r="E1799" s="55" t="n"/>
      <c r="F1799" s="55" t="n"/>
      <c r="G1799" s="56" t="n"/>
    </row>
    <row r="1800" ht="15" customHeight="1">
      <c r="A1800" s="20" t="inlineStr">
        <is>
          <t>Material</t>
        </is>
      </c>
      <c r="B1800" s="56" t="n"/>
      <c r="C1800" s="21" t="inlineStr">
        <is>
          <t>FONTE</t>
        </is>
      </c>
      <c r="D1800" s="21" t="inlineStr">
        <is>
          <t>UNID</t>
        </is>
      </c>
      <c r="E1800" s="21" t="inlineStr">
        <is>
          <t>COEFICIENTE</t>
        </is>
      </c>
      <c r="F1800" s="21" t="inlineStr">
        <is>
          <t>PREÇO UNITÁRIO</t>
        </is>
      </c>
      <c r="G1800" s="21" t="inlineStr">
        <is>
          <t>TOTAL</t>
        </is>
      </c>
    </row>
    <row r="1801" ht="15" customHeight="1">
      <c r="A1801" s="22" t="inlineStr">
        <is>
          <t>I1016</t>
        </is>
      </c>
      <c r="B1801" s="23" t="inlineStr">
        <is>
          <t>DISJUNTOR TRIPOLAR DE 100A</t>
        </is>
      </c>
      <c r="C1801" s="22" t="inlineStr">
        <is>
          <t>SEINFRA</t>
        </is>
      </c>
      <c r="D1801" s="22" t="inlineStr">
        <is>
          <t>UN</t>
        </is>
      </c>
      <c r="E1801" s="63" t="n">
        <v>1</v>
      </c>
      <c r="F1801" s="67">
        <f>ROUND(M1801*FATOR, 2)</f>
        <v/>
      </c>
      <c r="G1801" s="67">
        <f>ROUND(ROUND(E1801,8)*F1801,4)</f>
        <v/>
      </c>
      <c r="L1801" t="n">
        <v>1</v>
      </c>
      <c r="M1801" t="n">
        <v>104.88</v>
      </c>
      <c r="N1801">
        <f>(M1801-F1801)</f>
        <v/>
      </c>
    </row>
    <row r="1802" ht="15" customHeight="1">
      <c r="A1802" s="2" t="inlineStr"/>
      <c r="B1802" s="2" t="inlineStr"/>
      <c r="C1802" s="2" t="inlineStr"/>
      <c r="D1802" s="2" t="inlineStr"/>
      <c r="E1802" s="26" t="inlineStr">
        <is>
          <t>TOTAL Material:</t>
        </is>
      </c>
      <c r="F1802" s="56" t="n"/>
      <c r="G1802" s="68">
        <f>SUM(G1801:G1801)</f>
        <v/>
      </c>
    </row>
    <row r="1803" ht="15" customHeight="1">
      <c r="A1803" s="20" t="inlineStr">
        <is>
          <t>Mão de Obra</t>
        </is>
      </c>
      <c r="B1803" s="56" t="n"/>
      <c r="C1803" s="21" t="inlineStr">
        <is>
          <t>FONTE</t>
        </is>
      </c>
      <c r="D1803" s="21" t="inlineStr">
        <is>
          <t>UNID</t>
        </is>
      </c>
      <c r="E1803" s="21" t="inlineStr">
        <is>
          <t>COEFICIENTE</t>
        </is>
      </c>
      <c r="F1803" s="21" t="inlineStr">
        <is>
          <t>PREÇO UNITÁRIO</t>
        </is>
      </c>
      <c r="G1803" s="21" t="inlineStr">
        <is>
          <t>TOTAL</t>
        </is>
      </c>
    </row>
    <row r="1804" ht="15" customHeight="1">
      <c r="A1804" s="22" t="inlineStr">
        <is>
          <t>I0042</t>
        </is>
      </c>
      <c r="B1804" s="23" t="inlineStr">
        <is>
          <t>AJUDANTE DE ELETRICISTA</t>
        </is>
      </c>
      <c r="C1804" s="22" t="inlineStr">
        <is>
          <t>SEINFRA</t>
        </is>
      </c>
      <c r="D1804" s="22" t="inlineStr">
        <is>
          <t>H</t>
        </is>
      </c>
      <c r="E1804" s="63">
        <f>L1804*FATOR</f>
        <v/>
      </c>
      <c r="F1804" s="67" t="n">
        <v>21.1</v>
      </c>
      <c r="G1804" s="67">
        <f>ROUND(ROUND(E1804,8)*F1804,4)</f>
        <v/>
      </c>
      <c r="L1804" t="n">
        <v>0.9</v>
      </c>
      <c r="M1804" t="n">
        <v>21.1</v>
      </c>
      <c r="N1804">
        <f>(M1804-F1804)</f>
        <v/>
      </c>
    </row>
    <row r="1805" ht="15" customHeight="1">
      <c r="A1805" s="22" t="inlineStr">
        <is>
          <t>I2312</t>
        </is>
      </c>
      <c r="B1805" s="23" t="inlineStr">
        <is>
          <t>ELETRICISTA</t>
        </is>
      </c>
      <c r="C1805" s="22" t="inlineStr">
        <is>
          <t>SEINFRA</t>
        </is>
      </c>
      <c r="D1805" s="22" t="inlineStr">
        <is>
          <t>H</t>
        </is>
      </c>
      <c r="E1805" s="63">
        <f>L1805*FATOR</f>
        <v/>
      </c>
      <c r="F1805" s="67" t="n">
        <v>26.85</v>
      </c>
      <c r="G1805" s="67">
        <f>ROUND(ROUND(E1805,8)*F1805,4)</f>
        <v/>
      </c>
      <c r="L1805" t="n">
        <v>0.9</v>
      </c>
      <c r="M1805" t="n">
        <v>26.85</v>
      </c>
      <c r="N1805">
        <f>(M1805-F1805)</f>
        <v/>
      </c>
    </row>
    <row r="1806" ht="15" customHeight="1">
      <c r="A1806" s="2" t="inlineStr"/>
      <c r="B1806" s="2" t="inlineStr"/>
      <c r="C1806" s="2" t="inlineStr"/>
      <c r="D1806" s="2" t="inlineStr"/>
      <c r="E1806" s="26" t="inlineStr">
        <is>
          <t>TOTAL Mão de Obra:</t>
        </is>
      </c>
      <c r="F1806" s="56" t="n"/>
      <c r="G1806" s="68">
        <f>SUM(G1804:G1805)</f>
        <v/>
      </c>
    </row>
    <row r="1807" ht="15" customHeight="1">
      <c r="A1807" s="2" t="inlineStr"/>
      <c r="B1807" s="2" t="inlineStr"/>
      <c r="C1807" s="2" t="inlineStr"/>
      <c r="D1807" s="2" t="inlineStr"/>
      <c r="E1807" s="28" t="inlineStr">
        <is>
          <t>VALOR:</t>
        </is>
      </c>
      <c r="F1807" s="56" t="n"/>
      <c r="G1807" s="66">
        <f>SUM(G1802,G1806)</f>
        <v/>
      </c>
    </row>
    <row r="1808" ht="15" customHeight="1">
      <c r="A1808" s="2" t="inlineStr"/>
      <c r="B1808" s="2" t="inlineStr"/>
      <c r="C1808" s="2" t="inlineStr"/>
      <c r="D1808" s="2" t="inlineStr"/>
      <c r="E1808" s="28" t="inlineStr">
        <is>
          <t>VALOR BDI (23.08%):</t>
        </is>
      </c>
      <c r="F1808" s="56" t="n"/>
      <c r="G1808" s="66">
        <f>ROUNDDOWN(G1807*BDI,2)</f>
        <v/>
      </c>
    </row>
    <row r="1809" ht="15" customHeight="1">
      <c r="A1809" s="2" t="inlineStr"/>
      <c r="B1809" s="2" t="inlineStr"/>
      <c r="C1809" s="2" t="inlineStr"/>
      <c r="D1809" s="2" t="inlineStr"/>
      <c r="E1809" s="28" t="inlineStr">
        <is>
          <t>VALOR COM BDI:</t>
        </is>
      </c>
      <c r="F1809" s="56" t="n"/>
      <c r="G1809" s="66">
        <f>G1808 + G1807</f>
        <v/>
      </c>
    </row>
    <row r="1810" ht="10" customHeight="1">
      <c r="A1810" s="2" t="inlineStr"/>
      <c r="B1810" s="2" t="inlineStr"/>
      <c r="C1810" s="2" t="inlineStr"/>
      <c r="D1810" s="2" t="inlineStr"/>
      <c r="E1810" s="18" t="inlineStr"/>
    </row>
    <row r="1811" ht="20" customHeight="1">
      <c r="A1811" s="19" t="inlineStr">
        <is>
          <t>​88264​ ELETRICISTA COM ENCARGOS COMPLEMENTARES​ (H)</t>
        </is>
      </c>
      <c r="B1811" s="55" t="n"/>
      <c r="C1811" s="55" t="n"/>
      <c r="D1811" s="55" t="n"/>
      <c r="E1811" s="55" t="n"/>
      <c r="F1811" s="55" t="n"/>
      <c r="G1811" s="56" t="n"/>
    </row>
    <row r="1812" ht="15" customHeight="1">
      <c r="A1812" s="20" t="inlineStr">
        <is>
          <t>Encargos Complementares</t>
        </is>
      </c>
      <c r="B1812" s="56" t="n"/>
      <c r="C1812" s="21" t="inlineStr">
        <is>
          <t>FONTE</t>
        </is>
      </c>
      <c r="D1812" s="21" t="inlineStr">
        <is>
          <t>UNID</t>
        </is>
      </c>
      <c r="E1812" s="21" t="inlineStr">
        <is>
          <t>COEFICIENTE</t>
        </is>
      </c>
      <c r="F1812" s="21" t="inlineStr">
        <is>
          <t>PREÇO UNITÁRIO</t>
        </is>
      </c>
      <c r="G1812" s="21" t="inlineStr">
        <is>
          <t>TOTAL</t>
        </is>
      </c>
    </row>
    <row r="1813" ht="21" customHeight="1">
      <c r="A1813" s="22" t="inlineStr">
        <is>
          <t>00037370</t>
        </is>
      </c>
      <c r="B1813" s="23" t="inlineStr">
        <is>
          <t>ALIMENTACAO - HORISTA (COLETADO CAIXA - ENCARGOS COMPLEMENTARES)</t>
        </is>
      </c>
      <c r="C1813" s="22" t="inlineStr">
        <is>
          <t>SINAPI</t>
        </is>
      </c>
      <c r="D1813" s="22" t="inlineStr">
        <is>
          <t>H</t>
        </is>
      </c>
      <c r="E1813" s="63" t="n">
        <v>1</v>
      </c>
      <c r="F1813" s="64" t="n">
        <v>3.62</v>
      </c>
      <c r="G1813" s="64">
        <f>TRUNC(TRUNC(E1813,8)*F1813,2)</f>
        <v/>
      </c>
      <c r="L1813" t="n">
        <v>1</v>
      </c>
      <c r="M1813" t="n">
        <v>3.62</v>
      </c>
      <c r="N1813">
        <f>(M1813-F1813)</f>
        <v/>
      </c>
    </row>
    <row r="1814" ht="21" customHeight="1">
      <c r="A1814" s="22" t="inlineStr">
        <is>
          <t>00043484</t>
        </is>
      </c>
      <c r="B1814" s="23" t="inlineStr">
        <is>
          <t>EPI - FAMILIA ELETRICISTA - HORISTA (ENCARGOS COMPLEMENTARES - COLETADO CAIXA)</t>
        </is>
      </c>
      <c r="C1814" s="22" t="inlineStr">
        <is>
          <t>SINAPI</t>
        </is>
      </c>
      <c r="D1814" s="22" t="inlineStr">
        <is>
          <t>H</t>
        </is>
      </c>
      <c r="E1814" s="63" t="n">
        <v>1</v>
      </c>
      <c r="F1814" s="64" t="n">
        <v>1.26</v>
      </c>
      <c r="G1814" s="64">
        <f>TRUNC(TRUNC(E1814,8)*F1814,2)</f>
        <v/>
      </c>
      <c r="L1814" t="n">
        <v>1</v>
      </c>
      <c r="M1814" t="n">
        <v>1.26</v>
      </c>
      <c r="N1814">
        <f>(M1814-F1814)</f>
        <v/>
      </c>
    </row>
    <row r="1815" ht="21" customHeight="1">
      <c r="A1815" s="22" t="inlineStr">
        <is>
          <t>00037372</t>
        </is>
      </c>
      <c r="B1815" s="23" t="inlineStr">
        <is>
          <t>EXAMES - HORISTA (COLETADO CAIXA - ENCARGOS COMPLEMENTARES)</t>
        </is>
      </c>
      <c r="C1815" s="22" t="inlineStr">
        <is>
          <t>SINAPI</t>
        </is>
      </c>
      <c r="D1815" s="22" t="inlineStr">
        <is>
          <t>H</t>
        </is>
      </c>
      <c r="E1815" s="63" t="n">
        <v>1</v>
      </c>
      <c r="F1815" s="64" t="n">
        <v>1.43</v>
      </c>
      <c r="G1815" s="64">
        <f>TRUNC(TRUNC(E1815,8)*F1815,2)</f>
        <v/>
      </c>
      <c r="L1815" t="n">
        <v>1</v>
      </c>
      <c r="M1815" t="n">
        <v>1.43</v>
      </c>
      <c r="N1815">
        <f>(M1815-F1815)</f>
        <v/>
      </c>
    </row>
    <row r="1816" ht="21" customHeight="1">
      <c r="A1816" s="22" t="inlineStr">
        <is>
          <t>00043460</t>
        </is>
      </c>
      <c r="B1816" s="23" t="inlineStr">
        <is>
          <t>FERRAMENTAS - FAMILIA ELETRICISTA - HORISTA (ENCARGOS COMPLEMENTARES - COLETADO CAIXA)</t>
        </is>
      </c>
      <c r="C1816" s="22" t="inlineStr">
        <is>
          <t>SINAPI</t>
        </is>
      </c>
      <c r="D1816" s="22" t="inlineStr">
        <is>
          <t>H</t>
        </is>
      </c>
      <c r="E1816" s="63" t="n">
        <v>1</v>
      </c>
      <c r="F1816" s="64" t="n">
        <v>0.86</v>
      </c>
      <c r="G1816" s="64">
        <f>TRUNC(TRUNC(E1816,8)*F1816,2)</f>
        <v/>
      </c>
      <c r="L1816" t="n">
        <v>1</v>
      </c>
      <c r="M1816" t="n">
        <v>0.86</v>
      </c>
      <c r="N1816">
        <f>(M1816-F1816)</f>
        <v/>
      </c>
    </row>
    <row r="1817" ht="21" customHeight="1">
      <c r="A1817" s="22" t="inlineStr">
        <is>
          <t>00037373</t>
        </is>
      </c>
      <c r="B1817" s="23" t="inlineStr">
        <is>
          <t>SEGURO - HORISTA (COLETADO CAIXA - ENCARGOS COMPLEMENTARES)</t>
        </is>
      </c>
      <c r="C1817" s="22" t="inlineStr">
        <is>
          <t>SINAPI</t>
        </is>
      </c>
      <c r="D1817" s="22" t="inlineStr">
        <is>
          <t>H</t>
        </is>
      </c>
      <c r="E1817" s="63" t="n">
        <v>1</v>
      </c>
      <c r="F1817" s="64" t="n">
        <v>0.08</v>
      </c>
      <c r="G1817" s="64">
        <f>TRUNC(TRUNC(E1817,8)*F1817,2)</f>
        <v/>
      </c>
      <c r="L1817" t="n">
        <v>1</v>
      </c>
      <c r="M1817" t="n">
        <v>0.08</v>
      </c>
      <c r="N1817">
        <f>(M1817-F1817)</f>
        <v/>
      </c>
    </row>
    <row r="1818" ht="21" customHeight="1">
      <c r="A1818" s="22" t="inlineStr">
        <is>
          <t>00037371</t>
        </is>
      </c>
      <c r="B1818" s="23" t="inlineStr">
        <is>
          <t>TRANSPORTE - HORISTA (COLETADO CAIXA - ENCARGOS COMPLEMENTARES)</t>
        </is>
      </c>
      <c r="C1818" s="22" t="inlineStr">
        <is>
          <t>SINAPI</t>
        </is>
      </c>
      <c r="D1818" s="22" t="inlineStr">
        <is>
          <t>H</t>
        </is>
      </c>
      <c r="E1818" s="63" t="n">
        <v>1</v>
      </c>
      <c r="F1818" s="64" t="n">
        <v>1.09</v>
      </c>
      <c r="G1818" s="64">
        <f>TRUNC(TRUNC(E1818,8)*F1818,2)</f>
        <v/>
      </c>
      <c r="L1818" t="n">
        <v>1</v>
      </c>
      <c r="M1818" t="n">
        <v>1.09</v>
      </c>
      <c r="N1818">
        <f>(M1818-F1818)</f>
        <v/>
      </c>
    </row>
    <row r="1819" ht="15" customHeight="1">
      <c r="A1819" s="2" t="inlineStr"/>
      <c r="B1819" s="2" t="inlineStr"/>
      <c r="C1819" s="2" t="inlineStr"/>
      <c r="D1819" s="2" t="inlineStr"/>
      <c r="E1819" s="26" t="inlineStr">
        <is>
          <t>TOTAL Encargos Complementares:</t>
        </is>
      </c>
      <c r="F1819" s="56" t="n"/>
      <c r="G1819" s="65">
        <f>SUM(G1813:G1818)</f>
        <v/>
      </c>
    </row>
    <row r="1820" ht="15" customHeight="1">
      <c r="A1820" s="20" t="inlineStr">
        <is>
          <t>Mão de Obra</t>
        </is>
      </c>
      <c r="B1820" s="56" t="n"/>
      <c r="C1820" s="21" t="inlineStr">
        <is>
          <t>FONTE</t>
        </is>
      </c>
      <c r="D1820" s="21" t="inlineStr">
        <is>
          <t>UNID</t>
        </is>
      </c>
      <c r="E1820" s="21" t="inlineStr">
        <is>
          <t>COEFICIENTE</t>
        </is>
      </c>
      <c r="F1820" s="21" t="inlineStr">
        <is>
          <t>PREÇO UNITÁRIO</t>
        </is>
      </c>
      <c r="G1820" s="21" t="inlineStr">
        <is>
          <t>TOTAL</t>
        </is>
      </c>
    </row>
    <row r="1821" ht="15" customHeight="1">
      <c r="A1821" s="22" t="inlineStr">
        <is>
          <t>00002436</t>
        </is>
      </c>
      <c r="B1821" s="23" t="inlineStr">
        <is>
          <t>ELETRICISTA (HORISTA)</t>
        </is>
      </c>
      <c r="C1821" s="22" t="inlineStr">
        <is>
          <t>SINAPI</t>
        </is>
      </c>
      <c r="D1821" s="22" t="inlineStr">
        <is>
          <t>H</t>
        </is>
      </c>
      <c r="E1821" s="63" t="n">
        <v>1</v>
      </c>
      <c r="F1821" s="64" t="n">
        <v>21.81</v>
      </c>
      <c r="G1821" s="64">
        <f>TRUNC(TRUNC(E1821,8)*F1821,2)</f>
        <v/>
      </c>
      <c r="L1821" t="n">
        <v>1</v>
      </c>
      <c r="M1821" t="n">
        <v>21.81</v>
      </c>
      <c r="N1821">
        <f>(M1821-F1821)</f>
        <v/>
      </c>
    </row>
    <row r="1822" ht="15" customHeight="1">
      <c r="A1822" s="2" t="inlineStr"/>
      <c r="B1822" s="2" t="inlineStr"/>
      <c r="C1822" s="2" t="inlineStr"/>
      <c r="D1822" s="2" t="inlineStr"/>
      <c r="E1822" s="26" t="inlineStr">
        <is>
          <t>TOTAL Mão de Obra:</t>
        </is>
      </c>
      <c r="F1822" s="56" t="n"/>
      <c r="G1822" s="65">
        <f>SUM(G1821:G1821)</f>
        <v/>
      </c>
    </row>
    <row r="1823" ht="15" customHeight="1">
      <c r="A1823" s="20" t="inlineStr">
        <is>
          <t>Serviço</t>
        </is>
      </c>
      <c r="B1823" s="56" t="n"/>
      <c r="C1823" s="21" t="inlineStr">
        <is>
          <t>FONTE</t>
        </is>
      </c>
      <c r="D1823" s="21" t="inlineStr">
        <is>
          <t>UNID</t>
        </is>
      </c>
      <c r="E1823" s="21" t="inlineStr">
        <is>
          <t>COEFICIENTE</t>
        </is>
      </c>
      <c r="F1823" s="21" t="inlineStr">
        <is>
          <t>PREÇO UNITÁRIO</t>
        </is>
      </c>
      <c r="G1823" s="21" t="inlineStr">
        <is>
          <t>TOTAL</t>
        </is>
      </c>
    </row>
    <row r="1824" ht="21" customHeight="1">
      <c r="A1824" s="22" t="inlineStr">
        <is>
          <t>95332</t>
        </is>
      </c>
      <c r="B1824" s="23" t="inlineStr">
        <is>
          <t>CURSO DE CAPACITAÇÃO PARA ELETRICISTA (ENCARGOS COMPLEMENTARES) - HORISTA</t>
        </is>
      </c>
      <c r="C1824" s="22" t="inlineStr">
        <is>
          <t>SINAPI</t>
        </is>
      </c>
      <c r="D1824" s="22" t="inlineStr">
        <is>
          <t>H</t>
        </is>
      </c>
      <c r="E1824" s="63" t="n">
        <v>1</v>
      </c>
      <c r="F1824" s="64">
        <f>G1591</f>
        <v/>
      </c>
      <c r="G1824" s="64">
        <f>TRUNC(TRUNC(E1824,8)*F1824,2)</f>
        <v/>
      </c>
      <c r="L1824" t="n">
        <v>1</v>
      </c>
      <c r="M1824" t="n">
        <v>0.8100000000000001</v>
      </c>
      <c r="N1824">
        <f>(M1824-F1824)</f>
        <v/>
      </c>
    </row>
    <row r="1825" ht="15" customHeight="1">
      <c r="A1825" s="2" t="inlineStr"/>
      <c r="B1825" s="2" t="inlineStr"/>
      <c r="C1825" s="2" t="inlineStr"/>
      <c r="D1825" s="2" t="inlineStr"/>
      <c r="E1825" s="26" t="inlineStr">
        <is>
          <t>TOTAL Serviço:</t>
        </is>
      </c>
      <c r="F1825" s="56" t="n"/>
      <c r="G1825" s="65">
        <f>SUM(G1824:G1824)</f>
        <v/>
      </c>
    </row>
    <row r="1826" ht="15" customHeight="1">
      <c r="A1826" s="2" t="inlineStr"/>
      <c r="B1826" s="2" t="inlineStr"/>
      <c r="C1826" s="2" t="inlineStr"/>
      <c r="D1826" s="2" t="inlineStr"/>
      <c r="E1826" s="28" t="inlineStr">
        <is>
          <t>VALOR:</t>
        </is>
      </c>
      <c r="F1826" s="56" t="n"/>
      <c r="G1826" s="66">
        <f>ROUND(SUM(G1819,G1822,G1825),2)</f>
        <v/>
      </c>
    </row>
    <row r="1827" ht="15" customHeight="1">
      <c r="A1827" s="2" t="inlineStr"/>
      <c r="B1827" s="2" t="inlineStr"/>
      <c r="C1827" s="2" t="inlineStr"/>
      <c r="D1827" s="2" t="inlineStr"/>
      <c r="E1827" s="28" t="inlineStr">
        <is>
          <t>VALOR BDI (23.08%):</t>
        </is>
      </c>
      <c r="F1827" s="56" t="n"/>
      <c r="G1827" s="66">
        <f>ROUNDDOWN(G1826*BDI,2)</f>
        <v/>
      </c>
    </row>
    <row r="1828" ht="15" customHeight="1">
      <c r="A1828" s="2" t="inlineStr"/>
      <c r="B1828" s="2" t="inlineStr"/>
      <c r="C1828" s="2" t="inlineStr"/>
      <c r="D1828" s="2" t="inlineStr"/>
      <c r="E1828" s="28" t="inlineStr">
        <is>
          <t>VALOR COM BDI:</t>
        </is>
      </c>
      <c r="F1828" s="56" t="n"/>
      <c r="G1828" s="66">
        <f>G1827 + G1826</f>
        <v/>
      </c>
    </row>
    <row r="1829" ht="10" customHeight="1">
      <c r="A1829" s="2" t="inlineStr"/>
      <c r="B1829" s="2" t="inlineStr"/>
      <c r="C1829" s="2" t="inlineStr"/>
      <c r="D1829" s="2" t="inlineStr"/>
      <c r="E1829" s="18" t="inlineStr"/>
    </row>
    <row r="1830" ht="20" customHeight="1">
      <c r="A1830" s="19" t="inlineStr">
        <is>
          <t>​97668​ ELETRODUTO FLEXÍVEL CORRUGADO, PEAD, DN 63 (2"), PARA REDE ENTERRADA DE DISTRIBUIÇÃO DE ENERGIA ELÉTRICA - FORNECIMENTO E INSTALAÇÃO. AF_12/2021​ (M)</t>
        </is>
      </c>
      <c r="B1830" s="55" t="n"/>
      <c r="C1830" s="55" t="n"/>
      <c r="D1830" s="55" t="n"/>
      <c r="E1830" s="55" t="n"/>
      <c r="F1830" s="55" t="n"/>
      <c r="G1830" s="56" t="n"/>
    </row>
    <row r="1831" ht="15" customHeight="1">
      <c r="A1831" s="20" t="inlineStr">
        <is>
          <t>Material</t>
        </is>
      </c>
      <c r="B1831" s="56" t="n"/>
      <c r="C1831" s="21" t="inlineStr">
        <is>
          <t>FONTE</t>
        </is>
      </c>
      <c r="D1831" s="21" t="inlineStr">
        <is>
          <t>UNID</t>
        </is>
      </c>
      <c r="E1831" s="21" t="inlineStr">
        <is>
          <t>COEFICIENTE</t>
        </is>
      </c>
      <c r="F1831" s="21" t="inlineStr">
        <is>
          <t>PREÇO UNITÁRIO</t>
        </is>
      </c>
      <c r="G1831" s="21" t="inlineStr">
        <is>
          <t>TOTAL</t>
        </is>
      </c>
    </row>
    <row r="1832" ht="38" customHeight="1">
      <c r="A1832" s="22" t="inlineStr">
        <is>
          <t>00002446</t>
        </is>
      </c>
      <c r="B1832" s="23" t="inlineStr">
        <is>
          <t>ELETRODUTO/DUTO PEAD FLEXIVEL PAREDE SIMPLES, CORRUGACAO HELICOIDAL, COR PRETA, SEM ROSCA, DE 2", CRC 680 N, PARA CABEAMENTO SUBTERRANEO (NBR 15715)</t>
        </is>
      </c>
      <c r="C1832" s="22" t="inlineStr">
        <is>
          <t>SINAPI</t>
        </is>
      </c>
      <c r="D1832" s="22" t="inlineStr">
        <is>
          <t>M</t>
        </is>
      </c>
      <c r="E1832" s="63" t="n">
        <v>1.1</v>
      </c>
      <c r="F1832" s="64">
        <f>ROUND(M1832*FATOR, 2)</f>
        <v/>
      </c>
      <c r="G1832" s="64">
        <f>TRUNC(TRUNC(E1832,8)*F1832,2)</f>
        <v/>
      </c>
      <c r="L1832" t="n">
        <v>1.1</v>
      </c>
      <c r="M1832" t="n">
        <v>6.19</v>
      </c>
      <c r="N1832">
        <f>(M1832-F1832)</f>
        <v/>
      </c>
    </row>
    <row r="1833" ht="15" customHeight="1">
      <c r="A1833" s="2" t="inlineStr"/>
      <c r="B1833" s="2" t="inlineStr"/>
      <c r="C1833" s="2" t="inlineStr"/>
      <c r="D1833" s="2" t="inlineStr"/>
      <c r="E1833" s="26" t="inlineStr">
        <is>
          <t>TOTAL Material:</t>
        </is>
      </c>
      <c r="F1833" s="56" t="n"/>
      <c r="G1833" s="65">
        <f>SUM(G1832:G1832)</f>
        <v/>
      </c>
    </row>
    <row r="1834" ht="15" customHeight="1">
      <c r="A1834" s="20" t="inlineStr">
        <is>
          <t>Mão de Obra com Encargos Complementares</t>
        </is>
      </c>
      <c r="B1834" s="56" t="n"/>
      <c r="C1834" s="21" t="inlineStr">
        <is>
          <t>FONTE</t>
        </is>
      </c>
      <c r="D1834" s="21" t="inlineStr">
        <is>
          <t>UNID</t>
        </is>
      </c>
      <c r="E1834" s="21" t="inlineStr">
        <is>
          <t>COEFICIENTE</t>
        </is>
      </c>
      <c r="F1834" s="21" t="inlineStr">
        <is>
          <t>PREÇO UNITÁRIO</t>
        </is>
      </c>
      <c r="G1834" s="21" t="inlineStr">
        <is>
          <t>TOTAL</t>
        </is>
      </c>
    </row>
    <row r="1835" ht="21" customHeight="1">
      <c r="A1835" s="22" t="inlineStr">
        <is>
          <t>88247</t>
        </is>
      </c>
      <c r="B1835" s="23" t="inlineStr">
        <is>
          <t>AUXILIAR DE ELETRICISTA COM ENCARGOS COMPLEMENTARES</t>
        </is>
      </c>
      <c r="C1835" s="22" t="inlineStr">
        <is>
          <t>SINAPI</t>
        </is>
      </c>
      <c r="D1835" s="22" t="inlineStr">
        <is>
          <t>H</t>
        </is>
      </c>
      <c r="E1835" s="63">
        <f>L1835*FATOR</f>
        <v/>
      </c>
      <c r="F1835" s="64">
        <f>'COMPOSICOES AUXILIARES'!G505</f>
        <v/>
      </c>
      <c r="G1835" s="64">
        <f>TRUNC(TRUNC(E1835,8)*F1835,2)</f>
        <v/>
      </c>
      <c r="L1835" t="n">
        <v>0.0945</v>
      </c>
      <c r="M1835" t="n">
        <v>25.22</v>
      </c>
      <c r="N1835">
        <f>(M1835-F1835)</f>
        <v/>
      </c>
    </row>
    <row r="1836" ht="15" customHeight="1">
      <c r="A1836" s="22" t="inlineStr">
        <is>
          <t>88264</t>
        </is>
      </c>
      <c r="B1836" s="23" t="inlineStr">
        <is>
          <t>ELETRICISTA COM ENCARGOS COMPLEMENTARES</t>
        </is>
      </c>
      <c r="C1836" s="22" t="inlineStr">
        <is>
          <t>SINAPI</t>
        </is>
      </c>
      <c r="D1836" s="22" t="inlineStr">
        <is>
          <t>H</t>
        </is>
      </c>
      <c r="E1836" s="63">
        <f>L1836*FATOR</f>
        <v/>
      </c>
      <c r="F1836" s="64">
        <f>'COMPOSICOES AUXILIARES'!G713</f>
        <v/>
      </c>
      <c r="G1836" s="64">
        <f>TRUNC(TRUNC(E1836,8)*F1836,2)</f>
        <v/>
      </c>
      <c r="L1836" t="n">
        <v>0.0945</v>
      </c>
      <c r="M1836" t="n">
        <v>30.96</v>
      </c>
      <c r="N1836">
        <f>(M1836-F1836)</f>
        <v/>
      </c>
    </row>
    <row r="1837" ht="18" customHeight="1">
      <c r="A1837" s="2" t="inlineStr"/>
      <c r="B1837" s="2" t="inlineStr"/>
      <c r="C1837" s="2" t="inlineStr"/>
      <c r="D1837" s="2" t="inlineStr"/>
      <c r="E1837" s="26" t="inlineStr">
        <is>
          <t>TOTAL Mão de Obra com Encargos Complementares:</t>
        </is>
      </c>
      <c r="F1837" s="56" t="n"/>
      <c r="G1837" s="65">
        <f>SUM(G1835:G1836)</f>
        <v/>
      </c>
    </row>
    <row r="1838" ht="15" customHeight="1">
      <c r="A1838" s="2" t="inlineStr"/>
      <c r="B1838" s="2" t="inlineStr"/>
      <c r="C1838" s="2" t="inlineStr"/>
      <c r="D1838" s="2" t="inlineStr"/>
      <c r="E1838" s="28" t="inlineStr">
        <is>
          <t>VALOR:</t>
        </is>
      </c>
      <c r="F1838" s="56" t="n"/>
      <c r="G1838" s="66">
        <f>SUM(G1833,G1837)</f>
        <v/>
      </c>
    </row>
    <row r="1839" ht="15" customHeight="1">
      <c r="A1839" s="2" t="inlineStr"/>
      <c r="B1839" s="2" t="inlineStr"/>
      <c r="C1839" s="2" t="inlineStr"/>
      <c r="D1839" s="2" t="inlineStr"/>
      <c r="E1839" s="28" t="inlineStr">
        <is>
          <t>VALOR BDI (23.08%):</t>
        </is>
      </c>
      <c r="F1839" s="56" t="n"/>
      <c r="G1839" s="66">
        <f>ROUNDDOWN(G1838*BDI,2)</f>
        <v/>
      </c>
    </row>
    <row r="1840" ht="15" customHeight="1">
      <c r="A1840" s="2" t="inlineStr"/>
      <c r="B1840" s="2" t="inlineStr"/>
      <c r="C1840" s="2" t="inlineStr"/>
      <c r="D1840" s="2" t="inlineStr"/>
      <c r="E1840" s="28" t="inlineStr">
        <is>
          <t>VALOR COM BDI:</t>
        </is>
      </c>
      <c r="F1840" s="56" t="n"/>
      <c r="G1840" s="66">
        <f>G1839 + G1838</f>
        <v/>
      </c>
    </row>
    <row r="1841" ht="10" customHeight="1">
      <c r="A1841" s="2" t="inlineStr"/>
      <c r="B1841" s="2" t="inlineStr"/>
      <c r="C1841" s="2" t="inlineStr"/>
      <c r="D1841" s="2" t="inlineStr"/>
      <c r="E1841" s="18" t="inlineStr"/>
    </row>
    <row r="1842" ht="20" customHeight="1">
      <c r="A1842" s="19" t="inlineStr">
        <is>
          <t>​91872​ ELETRODUTO RÍGIDO ROSCÁVEL, PVC, DN 32 MM (1"), PARA CIRCUITOS TERMINAIS, INSTALADO EM PAREDE - FORNECIMENTO E INSTALAÇÃO. AF_03/2023​ (M)</t>
        </is>
      </c>
      <c r="B1842" s="55" t="n"/>
      <c r="C1842" s="55" t="n"/>
      <c r="D1842" s="55" t="n"/>
      <c r="E1842" s="55" t="n"/>
      <c r="F1842" s="55" t="n"/>
      <c r="G1842" s="56" t="n"/>
    </row>
    <row r="1843" ht="15" customHeight="1">
      <c r="A1843" s="20" t="inlineStr">
        <is>
          <t>Material</t>
        </is>
      </c>
      <c r="B1843" s="56" t="n"/>
      <c r="C1843" s="21" t="inlineStr">
        <is>
          <t>FONTE</t>
        </is>
      </c>
      <c r="D1843" s="21" t="inlineStr">
        <is>
          <t>UNID</t>
        </is>
      </c>
      <c r="E1843" s="21" t="inlineStr">
        <is>
          <t>COEFICIENTE</t>
        </is>
      </c>
      <c r="F1843" s="21" t="inlineStr">
        <is>
          <t>PREÇO UNITÁRIO</t>
        </is>
      </c>
      <c r="G1843" s="21" t="inlineStr">
        <is>
          <t>TOTAL</t>
        </is>
      </c>
    </row>
    <row r="1844" ht="15" customHeight="1">
      <c r="A1844" s="22" t="inlineStr">
        <is>
          <t>00002685</t>
        </is>
      </c>
      <c r="B1844" s="23" t="inlineStr">
        <is>
          <t>ELETRODUTO DE PVC RIGIDO ROSCAVEL DE 1", SEM LUVA</t>
        </is>
      </c>
      <c r="C1844" s="22" t="inlineStr">
        <is>
          <t>SINAPI</t>
        </is>
      </c>
      <c r="D1844" s="22" t="inlineStr">
        <is>
          <t>M</t>
        </is>
      </c>
      <c r="E1844" s="63" t="n">
        <v>1.017</v>
      </c>
      <c r="F1844" s="64">
        <f>ROUND(M1844*FATOR, 2)</f>
        <v/>
      </c>
      <c r="G1844" s="64">
        <f>TRUNC(TRUNC(E1844,8)*F1844,2)</f>
        <v/>
      </c>
      <c r="L1844" t="n">
        <v>1.017</v>
      </c>
      <c r="M1844" t="n">
        <v>7.33</v>
      </c>
      <c r="N1844">
        <f>(M1844-F1844)</f>
        <v/>
      </c>
    </row>
    <row r="1845" ht="15" customHeight="1">
      <c r="A1845" s="2" t="inlineStr"/>
      <c r="B1845" s="2" t="inlineStr"/>
      <c r="C1845" s="2" t="inlineStr"/>
      <c r="D1845" s="2" t="inlineStr"/>
      <c r="E1845" s="26" t="inlineStr">
        <is>
          <t>TOTAL Material:</t>
        </is>
      </c>
      <c r="F1845" s="56" t="n"/>
      <c r="G1845" s="65">
        <f>SUM(G1844:G1844)</f>
        <v/>
      </c>
    </row>
    <row r="1846" ht="15" customHeight="1">
      <c r="A1846" s="20" t="inlineStr">
        <is>
          <t>Mão de Obra com Encargos Complementares</t>
        </is>
      </c>
      <c r="B1846" s="56" t="n"/>
      <c r="C1846" s="21" t="inlineStr">
        <is>
          <t>FONTE</t>
        </is>
      </c>
      <c r="D1846" s="21" t="inlineStr">
        <is>
          <t>UNID</t>
        </is>
      </c>
      <c r="E1846" s="21" t="inlineStr">
        <is>
          <t>COEFICIENTE</t>
        </is>
      </c>
      <c r="F1846" s="21" t="inlineStr">
        <is>
          <t>PREÇO UNITÁRIO</t>
        </is>
      </c>
      <c r="G1846" s="21" t="inlineStr">
        <is>
          <t>TOTAL</t>
        </is>
      </c>
    </row>
    <row r="1847" ht="21" customHeight="1">
      <c r="A1847" s="22" t="inlineStr">
        <is>
          <t>88247</t>
        </is>
      </c>
      <c r="B1847" s="23" t="inlineStr">
        <is>
          <t>AUXILIAR DE ELETRICISTA COM ENCARGOS COMPLEMENTARES</t>
        </is>
      </c>
      <c r="C1847" s="22" t="inlineStr">
        <is>
          <t>SINAPI</t>
        </is>
      </c>
      <c r="D1847" s="22" t="inlineStr">
        <is>
          <t>H</t>
        </is>
      </c>
      <c r="E1847" s="63">
        <f>L1847*FATOR</f>
        <v/>
      </c>
      <c r="F1847" s="64">
        <f>'COMPOSICOES AUXILIARES'!G505</f>
        <v/>
      </c>
      <c r="G1847" s="64">
        <f>TRUNC(TRUNC(E1847,8)*F1847,2)</f>
        <v/>
      </c>
      <c r="L1847" t="n">
        <v>0.197</v>
      </c>
      <c r="M1847" t="n">
        <v>25.22</v>
      </c>
      <c r="N1847">
        <f>(M1847-F1847)</f>
        <v/>
      </c>
    </row>
    <row r="1848" ht="15" customHeight="1">
      <c r="A1848" s="22" t="inlineStr">
        <is>
          <t>88264</t>
        </is>
      </c>
      <c r="B1848" s="23" t="inlineStr">
        <is>
          <t>ELETRICISTA COM ENCARGOS COMPLEMENTARES</t>
        </is>
      </c>
      <c r="C1848" s="22" t="inlineStr">
        <is>
          <t>SINAPI</t>
        </is>
      </c>
      <c r="D1848" s="22" t="inlineStr">
        <is>
          <t>H</t>
        </is>
      </c>
      <c r="E1848" s="63">
        <f>L1848*FATOR</f>
        <v/>
      </c>
      <c r="F1848" s="64">
        <f>'COMPOSICOES AUXILIARES'!G713</f>
        <v/>
      </c>
      <c r="G1848" s="64">
        <f>TRUNC(TRUNC(E1848,8)*F1848,2)</f>
        <v/>
      </c>
      <c r="L1848" t="n">
        <v>0.197</v>
      </c>
      <c r="M1848" t="n">
        <v>30.96</v>
      </c>
      <c r="N1848">
        <f>(M1848-F1848)</f>
        <v/>
      </c>
    </row>
    <row r="1849" ht="18" customHeight="1">
      <c r="A1849" s="2" t="inlineStr"/>
      <c r="B1849" s="2" t="inlineStr"/>
      <c r="C1849" s="2" t="inlineStr"/>
      <c r="D1849" s="2" t="inlineStr"/>
      <c r="E1849" s="26" t="inlineStr">
        <is>
          <t>TOTAL Mão de Obra com Encargos Complementares:</t>
        </is>
      </c>
      <c r="F1849" s="56" t="n"/>
      <c r="G1849" s="65">
        <f>SUM(G1847:G1848)</f>
        <v/>
      </c>
    </row>
    <row r="1850" ht="15" customHeight="1">
      <c r="A1850" s="2" t="inlineStr"/>
      <c r="B1850" s="2" t="inlineStr"/>
      <c r="C1850" s="2" t="inlineStr"/>
      <c r="D1850" s="2" t="inlineStr"/>
      <c r="E1850" s="28" t="inlineStr">
        <is>
          <t>VALOR:</t>
        </is>
      </c>
      <c r="F1850" s="56" t="n"/>
      <c r="G1850" s="66">
        <f>SUM(G1849,G1845)</f>
        <v/>
      </c>
    </row>
    <row r="1851" ht="15" customHeight="1">
      <c r="A1851" s="2" t="inlineStr"/>
      <c r="B1851" s="2" t="inlineStr"/>
      <c r="C1851" s="2" t="inlineStr"/>
      <c r="D1851" s="2" t="inlineStr"/>
      <c r="E1851" s="28" t="inlineStr">
        <is>
          <t>VALOR BDI (23.08%):</t>
        </is>
      </c>
      <c r="F1851" s="56" t="n"/>
      <c r="G1851" s="66">
        <f>ROUNDDOWN(G1850*BDI,2)</f>
        <v/>
      </c>
    </row>
    <row r="1852" ht="15" customHeight="1">
      <c r="A1852" s="2" t="inlineStr"/>
      <c r="B1852" s="2" t="inlineStr"/>
      <c r="C1852" s="2" t="inlineStr"/>
      <c r="D1852" s="2" t="inlineStr"/>
      <c r="E1852" s="28" t="inlineStr">
        <is>
          <t>VALOR COM BDI:</t>
        </is>
      </c>
      <c r="F1852" s="56" t="n"/>
      <c r="G1852" s="66">
        <f>G1851 + G1850</f>
        <v/>
      </c>
    </row>
    <row r="1853" ht="10" customHeight="1">
      <c r="A1853" s="2" t="inlineStr"/>
      <c r="B1853" s="2" t="inlineStr"/>
      <c r="C1853" s="2" t="inlineStr"/>
      <c r="D1853" s="2" t="inlineStr"/>
      <c r="E1853" s="18" t="inlineStr"/>
    </row>
    <row r="1854" ht="20" customHeight="1">
      <c r="A1854" s="19" t="inlineStr">
        <is>
          <t>​88266​ ELETROTÉCNICO COM ENCARGOS COMPLEMENTARES​ (H)</t>
        </is>
      </c>
      <c r="B1854" s="55" t="n"/>
      <c r="C1854" s="55" t="n"/>
      <c r="D1854" s="55" t="n"/>
      <c r="E1854" s="55" t="n"/>
      <c r="F1854" s="55" t="n"/>
      <c r="G1854" s="56" t="n"/>
    </row>
    <row r="1855" ht="15" customHeight="1">
      <c r="A1855" s="20" t="inlineStr">
        <is>
          <t>Encargos Complementares</t>
        </is>
      </c>
      <c r="B1855" s="56" t="n"/>
      <c r="C1855" s="21" t="inlineStr">
        <is>
          <t>FONTE</t>
        </is>
      </c>
      <c r="D1855" s="21" t="inlineStr">
        <is>
          <t>UNID</t>
        </is>
      </c>
      <c r="E1855" s="21" t="inlineStr">
        <is>
          <t>COEFICIENTE</t>
        </is>
      </c>
      <c r="F1855" s="21" t="inlineStr">
        <is>
          <t>PREÇO UNITÁRIO</t>
        </is>
      </c>
      <c r="G1855" s="21" t="inlineStr">
        <is>
          <t>TOTAL</t>
        </is>
      </c>
    </row>
    <row r="1856" ht="21" customHeight="1">
      <c r="A1856" s="22" t="inlineStr">
        <is>
          <t>00037370</t>
        </is>
      </c>
      <c r="B1856" s="23" t="inlineStr">
        <is>
          <t>ALIMENTACAO - HORISTA (COLETADO CAIXA - ENCARGOS COMPLEMENTARES)</t>
        </is>
      </c>
      <c r="C1856" s="22" t="inlineStr">
        <is>
          <t>SINAPI</t>
        </is>
      </c>
      <c r="D1856" s="22" t="inlineStr">
        <is>
          <t>H</t>
        </is>
      </c>
      <c r="E1856" s="63" t="n">
        <v>1</v>
      </c>
      <c r="F1856" s="64" t="n">
        <v>3.62</v>
      </c>
      <c r="G1856" s="64">
        <f>TRUNC(TRUNC(E1856,8)*F1856,2)</f>
        <v/>
      </c>
      <c r="L1856" t="n">
        <v>1</v>
      </c>
      <c r="M1856" t="n">
        <v>3.62</v>
      </c>
      <c r="N1856">
        <f>(M1856-F1856)</f>
        <v/>
      </c>
    </row>
    <row r="1857" ht="21" customHeight="1">
      <c r="A1857" s="22" t="inlineStr">
        <is>
          <t>00043484</t>
        </is>
      </c>
      <c r="B1857" s="23" t="inlineStr">
        <is>
          <t>EPI - FAMILIA ELETRICISTA - HORISTA (ENCARGOS COMPLEMENTARES - COLETADO CAIXA)</t>
        </is>
      </c>
      <c r="C1857" s="22" t="inlineStr">
        <is>
          <t>SINAPI</t>
        </is>
      </c>
      <c r="D1857" s="22" t="inlineStr">
        <is>
          <t>H</t>
        </is>
      </c>
      <c r="E1857" s="63" t="n">
        <v>1</v>
      </c>
      <c r="F1857" s="64" t="n">
        <v>1.26</v>
      </c>
      <c r="G1857" s="64">
        <f>TRUNC(TRUNC(E1857,8)*F1857,2)</f>
        <v/>
      </c>
      <c r="L1857" t="n">
        <v>1</v>
      </c>
      <c r="M1857" t="n">
        <v>1.26</v>
      </c>
      <c r="N1857">
        <f>(M1857-F1857)</f>
        <v/>
      </c>
    </row>
    <row r="1858" ht="21" customHeight="1">
      <c r="A1858" s="22" t="inlineStr">
        <is>
          <t>00037372</t>
        </is>
      </c>
      <c r="B1858" s="23" t="inlineStr">
        <is>
          <t>EXAMES - HORISTA (COLETADO CAIXA - ENCARGOS COMPLEMENTARES)</t>
        </is>
      </c>
      <c r="C1858" s="22" t="inlineStr">
        <is>
          <t>SINAPI</t>
        </is>
      </c>
      <c r="D1858" s="22" t="inlineStr">
        <is>
          <t>H</t>
        </is>
      </c>
      <c r="E1858" s="63" t="n">
        <v>1</v>
      </c>
      <c r="F1858" s="64" t="n">
        <v>1.43</v>
      </c>
      <c r="G1858" s="64">
        <f>TRUNC(TRUNC(E1858,8)*F1858,2)</f>
        <v/>
      </c>
      <c r="L1858" t="n">
        <v>1</v>
      </c>
      <c r="M1858" t="n">
        <v>1.43</v>
      </c>
      <c r="N1858">
        <f>(M1858-F1858)</f>
        <v/>
      </c>
    </row>
    <row r="1859" ht="21" customHeight="1">
      <c r="A1859" s="22" t="inlineStr">
        <is>
          <t>00043460</t>
        </is>
      </c>
      <c r="B1859" s="23" t="inlineStr">
        <is>
          <t>FERRAMENTAS - FAMILIA ELETRICISTA - HORISTA (ENCARGOS COMPLEMENTARES - COLETADO CAIXA)</t>
        </is>
      </c>
      <c r="C1859" s="22" t="inlineStr">
        <is>
          <t>SINAPI</t>
        </is>
      </c>
      <c r="D1859" s="22" t="inlineStr">
        <is>
          <t>H</t>
        </is>
      </c>
      <c r="E1859" s="63" t="n">
        <v>1</v>
      </c>
      <c r="F1859" s="64" t="n">
        <v>0.86</v>
      </c>
      <c r="G1859" s="64">
        <f>TRUNC(TRUNC(E1859,8)*F1859,2)</f>
        <v/>
      </c>
      <c r="L1859" t="n">
        <v>1</v>
      </c>
      <c r="M1859" t="n">
        <v>0.86</v>
      </c>
      <c r="N1859">
        <f>(M1859-F1859)</f>
        <v/>
      </c>
    </row>
    <row r="1860" ht="21" customHeight="1">
      <c r="A1860" s="22" t="inlineStr">
        <is>
          <t>00037373</t>
        </is>
      </c>
      <c r="B1860" s="23" t="inlineStr">
        <is>
          <t>SEGURO - HORISTA (COLETADO CAIXA - ENCARGOS COMPLEMENTARES)</t>
        </is>
      </c>
      <c r="C1860" s="22" t="inlineStr">
        <is>
          <t>SINAPI</t>
        </is>
      </c>
      <c r="D1860" s="22" t="inlineStr">
        <is>
          <t>H</t>
        </is>
      </c>
      <c r="E1860" s="63" t="n">
        <v>1</v>
      </c>
      <c r="F1860" s="64" t="n">
        <v>0.08</v>
      </c>
      <c r="G1860" s="64">
        <f>TRUNC(TRUNC(E1860,8)*F1860,2)</f>
        <v/>
      </c>
      <c r="L1860" t="n">
        <v>1</v>
      </c>
      <c r="M1860" t="n">
        <v>0.08</v>
      </c>
      <c r="N1860">
        <f>(M1860-F1860)</f>
        <v/>
      </c>
    </row>
    <row r="1861" ht="21" customHeight="1">
      <c r="A1861" s="22" t="inlineStr">
        <is>
          <t>00037371</t>
        </is>
      </c>
      <c r="B1861" s="23" t="inlineStr">
        <is>
          <t>TRANSPORTE - HORISTA (COLETADO CAIXA - ENCARGOS COMPLEMENTARES)</t>
        </is>
      </c>
      <c r="C1861" s="22" t="inlineStr">
        <is>
          <t>SINAPI</t>
        </is>
      </c>
      <c r="D1861" s="22" t="inlineStr">
        <is>
          <t>H</t>
        </is>
      </c>
      <c r="E1861" s="63" t="n">
        <v>1</v>
      </c>
      <c r="F1861" s="64" t="n">
        <v>1.09</v>
      </c>
      <c r="G1861" s="64">
        <f>TRUNC(TRUNC(E1861,8)*F1861,2)</f>
        <v/>
      </c>
      <c r="L1861" t="n">
        <v>1</v>
      </c>
      <c r="M1861" t="n">
        <v>1.09</v>
      </c>
      <c r="N1861">
        <f>(M1861-F1861)</f>
        <v/>
      </c>
    </row>
    <row r="1862" ht="15" customHeight="1">
      <c r="A1862" s="2" t="inlineStr"/>
      <c r="B1862" s="2" t="inlineStr"/>
      <c r="C1862" s="2" t="inlineStr"/>
      <c r="D1862" s="2" t="inlineStr"/>
      <c r="E1862" s="26" t="inlineStr">
        <is>
          <t>TOTAL Encargos Complementares:</t>
        </is>
      </c>
      <c r="F1862" s="56" t="n"/>
      <c r="G1862" s="65">
        <f>SUM(G1856:G1861)</f>
        <v/>
      </c>
    </row>
    <row r="1863" ht="15" customHeight="1">
      <c r="A1863" s="20" t="inlineStr">
        <is>
          <t>Mão de Obra</t>
        </is>
      </c>
      <c r="B1863" s="56" t="n"/>
      <c r="C1863" s="21" t="inlineStr">
        <is>
          <t>FONTE</t>
        </is>
      </c>
      <c r="D1863" s="21" t="inlineStr">
        <is>
          <t>UNID</t>
        </is>
      </c>
      <c r="E1863" s="21" t="inlineStr">
        <is>
          <t>COEFICIENTE</t>
        </is>
      </c>
      <c r="F1863" s="21" t="inlineStr">
        <is>
          <t>PREÇO UNITÁRIO</t>
        </is>
      </c>
      <c r="G1863" s="21" t="inlineStr">
        <is>
          <t>TOTAL</t>
        </is>
      </c>
    </row>
    <row r="1864" ht="15" customHeight="1">
      <c r="A1864" s="22" t="inlineStr">
        <is>
          <t>00002438</t>
        </is>
      </c>
      <c r="B1864" s="23" t="inlineStr">
        <is>
          <t>ELETROTECNICO (HORISTA)</t>
        </is>
      </c>
      <c r="C1864" s="22" t="inlineStr">
        <is>
          <t>SINAPI</t>
        </is>
      </c>
      <c r="D1864" s="22" t="inlineStr">
        <is>
          <t>H</t>
        </is>
      </c>
      <c r="E1864" s="63">
        <f>L1864*FATOR</f>
        <v/>
      </c>
      <c r="F1864" s="64" t="n">
        <v>32.93</v>
      </c>
      <c r="G1864" s="64">
        <f>TRUNC(TRUNC(E1864,8)*F1864,2)</f>
        <v/>
      </c>
      <c r="L1864" t="n">
        <v>1</v>
      </c>
      <c r="M1864" t="n">
        <v>32.93</v>
      </c>
      <c r="N1864">
        <f>(M1864-F1864)</f>
        <v/>
      </c>
    </row>
    <row r="1865" ht="15" customHeight="1">
      <c r="A1865" s="2" t="inlineStr"/>
      <c r="B1865" s="2" t="inlineStr"/>
      <c r="C1865" s="2" t="inlineStr"/>
      <c r="D1865" s="2" t="inlineStr"/>
      <c r="E1865" s="26" t="inlineStr">
        <is>
          <t>TOTAL Mão de Obra:</t>
        </is>
      </c>
      <c r="F1865" s="56" t="n"/>
      <c r="G1865" s="65">
        <f>SUM(G1864:G1864)</f>
        <v/>
      </c>
    </row>
    <row r="1866" ht="15" customHeight="1">
      <c r="A1866" s="20" t="inlineStr">
        <is>
          <t>Serviço</t>
        </is>
      </c>
      <c r="B1866" s="56" t="n"/>
      <c r="C1866" s="21" t="inlineStr">
        <is>
          <t>FONTE</t>
        </is>
      </c>
      <c r="D1866" s="21" t="inlineStr">
        <is>
          <t>UNID</t>
        </is>
      </c>
      <c r="E1866" s="21" t="inlineStr">
        <is>
          <t>COEFICIENTE</t>
        </is>
      </c>
      <c r="F1866" s="21" t="inlineStr">
        <is>
          <t>PREÇO UNITÁRIO</t>
        </is>
      </c>
      <c r="G1866" s="21" t="inlineStr">
        <is>
          <t>TOTAL</t>
        </is>
      </c>
    </row>
    <row r="1867" ht="21" customHeight="1">
      <c r="A1867" s="22" t="inlineStr">
        <is>
          <t>95334</t>
        </is>
      </c>
      <c r="B1867" s="23" t="inlineStr">
        <is>
          <t>CURSO DE CAPACITAÇÃO PARA ELETROTÉCNICO (ENCARGOS COMPLEMENTARES) - HORISTA</t>
        </is>
      </c>
      <c r="C1867" s="22" t="inlineStr">
        <is>
          <t>SINAPI</t>
        </is>
      </c>
      <c r="D1867" s="22" t="inlineStr">
        <is>
          <t>H</t>
        </is>
      </c>
      <c r="E1867" s="63" t="n">
        <v>1</v>
      </c>
      <c r="F1867" s="64">
        <f>'COMPOSICOES AUXILIARES'!G1599</f>
        <v/>
      </c>
      <c r="G1867" s="64">
        <f>TRUNC(TRUNC(E1867,8)*F1867,2)</f>
        <v/>
      </c>
      <c r="L1867" t="n">
        <v>1</v>
      </c>
      <c r="M1867" t="n">
        <v>1.01</v>
      </c>
      <c r="N1867">
        <f>(M1867-F1867)</f>
        <v/>
      </c>
    </row>
    <row r="1868" ht="15" customHeight="1">
      <c r="A1868" s="2" t="inlineStr"/>
      <c r="B1868" s="2" t="inlineStr"/>
      <c r="C1868" s="2" t="inlineStr"/>
      <c r="D1868" s="2" t="inlineStr"/>
      <c r="E1868" s="26" t="inlineStr">
        <is>
          <t>TOTAL Serviço:</t>
        </is>
      </c>
      <c r="F1868" s="56" t="n"/>
      <c r="G1868" s="65">
        <f>SUM(G1867:G1867)</f>
        <v/>
      </c>
    </row>
    <row r="1869" ht="15" customHeight="1">
      <c r="A1869" s="2" t="inlineStr"/>
      <c r="B1869" s="2" t="inlineStr"/>
      <c r="C1869" s="2" t="inlineStr"/>
      <c r="D1869" s="2" t="inlineStr"/>
      <c r="E1869" s="28" t="inlineStr">
        <is>
          <t>VALOR:</t>
        </is>
      </c>
      <c r="F1869" s="56" t="n"/>
      <c r="G1869" s="66">
        <f>SUM(G1865,G1868,G1862)</f>
        <v/>
      </c>
    </row>
    <row r="1870" ht="15" customHeight="1">
      <c r="A1870" s="2" t="inlineStr"/>
      <c r="B1870" s="2" t="inlineStr"/>
      <c r="C1870" s="2" t="inlineStr"/>
      <c r="D1870" s="2" t="inlineStr"/>
      <c r="E1870" s="28" t="inlineStr">
        <is>
          <t>VALOR BDI (23.08%):</t>
        </is>
      </c>
      <c r="F1870" s="56" t="n"/>
      <c r="G1870" s="66">
        <f>ROUNDDOWN(G1869*BDI,2)</f>
        <v/>
      </c>
    </row>
    <row r="1871" ht="15" customHeight="1">
      <c r="A1871" s="2" t="inlineStr"/>
      <c r="B1871" s="2" t="inlineStr"/>
      <c r="C1871" s="2" t="inlineStr"/>
      <c r="D1871" s="2" t="inlineStr"/>
      <c r="E1871" s="28" t="inlineStr">
        <is>
          <t>VALOR COM BDI:</t>
        </is>
      </c>
      <c r="F1871" s="56" t="n"/>
      <c r="G1871" s="66">
        <f>G1870 + G1869</f>
        <v/>
      </c>
    </row>
    <row r="1872" ht="10" customHeight="1">
      <c r="A1872" s="2" t="inlineStr"/>
      <c r="B1872" s="2" t="inlineStr"/>
      <c r="C1872" s="2" t="inlineStr"/>
      <c r="D1872" s="2" t="inlineStr"/>
      <c r="E1872" s="18" t="inlineStr"/>
    </row>
    <row r="1873" ht="20" customHeight="1">
      <c r="A1873" s="19" t="inlineStr">
        <is>
          <t>​88267​ ENCANADOR OU BOMBEIRO HIDRÁULICO COM ENCARGOS COMPLEMENTARES​ (H)</t>
        </is>
      </c>
      <c r="B1873" s="55" t="n"/>
      <c r="C1873" s="55" t="n"/>
      <c r="D1873" s="55" t="n"/>
      <c r="E1873" s="55" t="n"/>
      <c r="F1873" s="55" t="n"/>
      <c r="G1873" s="56" t="n"/>
    </row>
    <row r="1874" ht="15" customHeight="1">
      <c r="A1874" s="20" t="inlineStr">
        <is>
          <t>Encargos Complementares</t>
        </is>
      </c>
      <c r="B1874" s="56" t="n"/>
      <c r="C1874" s="21" t="inlineStr">
        <is>
          <t>FONTE</t>
        </is>
      </c>
      <c r="D1874" s="21" t="inlineStr">
        <is>
          <t>UNID</t>
        </is>
      </c>
      <c r="E1874" s="21" t="inlineStr">
        <is>
          <t>COEFICIENTE</t>
        </is>
      </c>
      <c r="F1874" s="21" t="inlineStr">
        <is>
          <t>PREÇO UNITÁRIO</t>
        </is>
      </c>
      <c r="G1874" s="21" t="inlineStr">
        <is>
          <t>TOTAL</t>
        </is>
      </c>
    </row>
    <row r="1875" ht="21" customHeight="1">
      <c r="A1875" s="22" t="inlineStr">
        <is>
          <t>00037370</t>
        </is>
      </c>
      <c r="B1875" s="23" t="inlineStr">
        <is>
          <t>ALIMENTACAO - HORISTA (COLETADO CAIXA - ENCARGOS COMPLEMENTARES)</t>
        </is>
      </c>
      <c r="C1875" s="22" t="inlineStr">
        <is>
          <t>SINAPI</t>
        </is>
      </c>
      <c r="D1875" s="22" t="inlineStr">
        <is>
          <t>H</t>
        </is>
      </c>
      <c r="E1875" s="63" t="n">
        <v>1</v>
      </c>
      <c r="F1875" s="64" t="n">
        <v>3.62</v>
      </c>
      <c r="G1875" s="64">
        <f>TRUNC(TRUNC(E1875,8)*F1875,2)</f>
        <v/>
      </c>
      <c r="L1875" t="n">
        <v>1</v>
      </c>
      <c r="M1875" t="n">
        <v>3.62</v>
      </c>
      <c r="N1875">
        <f>(M1875-F1875)</f>
        <v/>
      </c>
    </row>
    <row r="1876" ht="21" customHeight="1">
      <c r="A1876" s="22" t="inlineStr">
        <is>
          <t>00043485</t>
        </is>
      </c>
      <c r="B1876" s="23" t="inlineStr">
        <is>
          <t>EPI - FAMILIA ENCANADOR - HORISTA (ENCARGOS COMPLEMENTARES - COLETADO CAIXA)</t>
        </is>
      </c>
      <c r="C1876" s="22" t="inlineStr">
        <is>
          <t>SINAPI</t>
        </is>
      </c>
      <c r="D1876" s="22" t="inlineStr">
        <is>
          <t>H</t>
        </is>
      </c>
      <c r="E1876" s="63" t="n">
        <v>1</v>
      </c>
      <c r="F1876" s="64" t="n">
        <v>1.13</v>
      </c>
      <c r="G1876" s="64">
        <f>TRUNC(TRUNC(E1876,8)*F1876,2)</f>
        <v/>
      </c>
      <c r="L1876" t="n">
        <v>1</v>
      </c>
      <c r="M1876" t="n">
        <v>1.13</v>
      </c>
      <c r="N1876">
        <f>(M1876-F1876)</f>
        <v/>
      </c>
    </row>
    <row r="1877" ht="21" customHeight="1">
      <c r="A1877" s="22" t="inlineStr">
        <is>
          <t>00037372</t>
        </is>
      </c>
      <c r="B1877" s="23" t="inlineStr">
        <is>
          <t>EXAMES - HORISTA (COLETADO CAIXA - ENCARGOS COMPLEMENTARES)</t>
        </is>
      </c>
      <c r="C1877" s="22" t="inlineStr">
        <is>
          <t>SINAPI</t>
        </is>
      </c>
      <c r="D1877" s="22" t="inlineStr">
        <is>
          <t>H</t>
        </is>
      </c>
      <c r="E1877" s="63" t="n">
        <v>1</v>
      </c>
      <c r="F1877" s="64" t="n">
        <v>1.43</v>
      </c>
      <c r="G1877" s="64">
        <f>TRUNC(TRUNC(E1877,8)*F1877,2)</f>
        <v/>
      </c>
      <c r="L1877" t="n">
        <v>1</v>
      </c>
      <c r="M1877" t="n">
        <v>1.43</v>
      </c>
      <c r="N1877">
        <f>(M1877-F1877)</f>
        <v/>
      </c>
    </row>
    <row r="1878" ht="21" customHeight="1">
      <c r="A1878" s="22" t="inlineStr">
        <is>
          <t>00043461</t>
        </is>
      </c>
      <c r="B1878" s="23" t="inlineStr">
        <is>
          <t>FERRAMENTAS - FAMILIA ENCANADOR - HORISTA (ENCARGOS COMPLEMENTARES - COLETADO CAIXA)</t>
        </is>
      </c>
      <c r="C1878" s="22" t="inlineStr">
        <is>
          <t>SINAPI</t>
        </is>
      </c>
      <c r="D1878" s="22" t="inlineStr">
        <is>
          <t>H</t>
        </is>
      </c>
      <c r="E1878" s="63" t="n">
        <v>1</v>
      </c>
      <c r="F1878" s="64" t="n">
        <v>0.31</v>
      </c>
      <c r="G1878" s="64">
        <f>TRUNC(TRUNC(E1878,8)*F1878,2)</f>
        <v/>
      </c>
      <c r="L1878" t="n">
        <v>1</v>
      </c>
      <c r="M1878" t="n">
        <v>0.31</v>
      </c>
      <c r="N1878">
        <f>(M1878-F1878)</f>
        <v/>
      </c>
    </row>
    <row r="1879" ht="21" customHeight="1">
      <c r="A1879" s="22" t="inlineStr">
        <is>
          <t>00037373</t>
        </is>
      </c>
      <c r="B1879" s="23" t="inlineStr">
        <is>
          <t>SEGURO - HORISTA (COLETADO CAIXA - ENCARGOS COMPLEMENTARES)</t>
        </is>
      </c>
      <c r="C1879" s="22" t="inlineStr">
        <is>
          <t>SINAPI</t>
        </is>
      </c>
      <c r="D1879" s="22" t="inlineStr">
        <is>
          <t>H</t>
        </is>
      </c>
      <c r="E1879" s="63" t="n">
        <v>1</v>
      </c>
      <c r="F1879" s="64" t="n">
        <v>0.08</v>
      </c>
      <c r="G1879" s="64">
        <f>TRUNC(TRUNC(E1879,8)*F1879,2)</f>
        <v/>
      </c>
      <c r="L1879" t="n">
        <v>1</v>
      </c>
      <c r="M1879" t="n">
        <v>0.08</v>
      </c>
      <c r="N1879">
        <f>(M1879-F1879)</f>
        <v/>
      </c>
    </row>
    <row r="1880" ht="21" customHeight="1">
      <c r="A1880" s="22" t="inlineStr">
        <is>
          <t>00037371</t>
        </is>
      </c>
      <c r="B1880" s="23" t="inlineStr">
        <is>
          <t>TRANSPORTE - HORISTA (COLETADO CAIXA - ENCARGOS COMPLEMENTARES)</t>
        </is>
      </c>
      <c r="C1880" s="22" t="inlineStr">
        <is>
          <t>SINAPI</t>
        </is>
      </c>
      <c r="D1880" s="22" t="inlineStr">
        <is>
          <t>H</t>
        </is>
      </c>
      <c r="E1880" s="63" t="n">
        <v>1</v>
      </c>
      <c r="F1880" s="64" t="n">
        <v>1.09</v>
      </c>
      <c r="G1880" s="64">
        <f>TRUNC(TRUNC(E1880,8)*F1880,2)</f>
        <v/>
      </c>
      <c r="L1880" t="n">
        <v>1</v>
      </c>
      <c r="M1880" t="n">
        <v>1.09</v>
      </c>
      <c r="N1880">
        <f>(M1880-F1880)</f>
        <v/>
      </c>
    </row>
    <row r="1881" ht="15" customHeight="1">
      <c r="A1881" s="2" t="inlineStr"/>
      <c r="B1881" s="2" t="inlineStr"/>
      <c r="C1881" s="2" t="inlineStr"/>
      <c r="D1881" s="2" t="inlineStr"/>
      <c r="E1881" s="26" t="inlineStr">
        <is>
          <t>TOTAL Encargos Complementares:</t>
        </is>
      </c>
      <c r="F1881" s="56" t="n"/>
      <c r="G1881" s="65">
        <f>SUM(G1875:G1880)</f>
        <v/>
      </c>
    </row>
    <row r="1882" ht="15" customHeight="1">
      <c r="A1882" s="20" t="inlineStr">
        <is>
          <t>Mão de Obra</t>
        </is>
      </c>
      <c r="B1882" s="56" t="n"/>
      <c r="C1882" s="21" t="inlineStr">
        <is>
          <t>FONTE</t>
        </is>
      </c>
      <c r="D1882" s="21" t="inlineStr">
        <is>
          <t>UNID</t>
        </is>
      </c>
      <c r="E1882" s="21" t="inlineStr">
        <is>
          <t>COEFICIENTE</t>
        </is>
      </c>
      <c r="F1882" s="21" t="inlineStr">
        <is>
          <t>PREÇO UNITÁRIO</t>
        </is>
      </c>
      <c r="G1882" s="21" t="inlineStr">
        <is>
          <t>TOTAL</t>
        </is>
      </c>
    </row>
    <row r="1883" ht="15" customHeight="1">
      <c r="A1883" s="22" t="inlineStr">
        <is>
          <t>00002696</t>
        </is>
      </c>
      <c r="B1883" s="23" t="inlineStr">
        <is>
          <t>ENCANADOR OU BOMBEIRO HIDRAULICO (HORISTA)</t>
        </is>
      </c>
      <c r="C1883" s="22" t="inlineStr">
        <is>
          <t>SINAPI</t>
        </is>
      </c>
      <c r="D1883" s="22" t="inlineStr">
        <is>
          <t>H</t>
        </is>
      </c>
      <c r="E1883" s="63" t="n">
        <v>1</v>
      </c>
      <c r="F1883" s="64" t="n">
        <v>21.81</v>
      </c>
      <c r="G1883" s="64">
        <f>TRUNC(TRUNC(E1883,8)*F1883,2)</f>
        <v/>
      </c>
      <c r="L1883" t="n">
        <v>1</v>
      </c>
      <c r="M1883" t="n">
        <v>21.81</v>
      </c>
      <c r="N1883">
        <f>(M1883-F1883)</f>
        <v/>
      </c>
    </row>
    <row r="1884" ht="15" customHeight="1">
      <c r="A1884" s="2" t="inlineStr"/>
      <c r="B1884" s="2" t="inlineStr"/>
      <c r="C1884" s="2" t="inlineStr"/>
      <c r="D1884" s="2" t="inlineStr"/>
      <c r="E1884" s="26" t="inlineStr">
        <is>
          <t>TOTAL Mão de Obra:</t>
        </is>
      </c>
      <c r="F1884" s="56" t="n"/>
      <c r="G1884" s="65">
        <f>SUM(G1883:G1883)</f>
        <v/>
      </c>
    </row>
    <row r="1885" ht="15" customHeight="1">
      <c r="A1885" s="20" t="inlineStr">
        <is>
          <t>Serviço</t>
        </is>
      </c>
      <c r="B1885" s="56" t="n"/>
      <c r="C1885" s="21" t="inlineStr">
        <is>
          <t>FONTE</t>
        </is>
      </c>
      <c r="D1885" s="21" t="inlineStr">
        <is>
          <t>UNID</t>
        </is>
      </c>
      <c r="E1885" s="21" t="inlineStr">
        <is>
          <t>COEFICIENTE</t>
        </is>
      </c>
      <c r="F1885" s="21" t="inlineStr">
        <is>
          <t>PREÇO UNITÁRIO</t>
        </is>
      </c>
      <c r="G1885" s="21" t="inlineStr">
        <is>
          <t>TOTAL</t>
        </is>
      </c>
    </row>
    <row r="1886" ht="21" customHeight="1">
      <c r="A1886" s="22" t="inlineStr">
        <is>
          <t>95335</t>
        </is>
      </c>
      <c r="B1886" s="23" t="inlineStr">
        <is>
          <t>CURSO DE CAPACITAÇÃO PARA ENCANADOR OU BOMBEIRO HIDRÁULICO (ENCARGOS COMPLEMENTARES) - HORISTA</t>
        </is>
      </c>
      <c r="C1886" s="22" t="inlineStr">
        <is>
          <t>SINAPI</t>
        </is>
      </c>
      <c r="D1886" s="22" t="inlineStr">
        <is>
          <t>H</t>
        </is>
      </c>
      <c r="E1886" s="63" t="n">
        <v>1</v>
      </c>
      <c r="F1886" s="64">
        <f>G1619</f>
        <v/>
      </c>
      <c r="G1886" s="64">
        <f>TRUNC(TRUNC(E1886,8)*F1886,2)</f>
        <v/>
      </c>
      <c r="L1886" t="n">
        <v>1</v>
      </c>
      <c r="M1886" t="n">
        <v>0.39</v>
      </c>
      <c r="N1886">
        <f>(M1886-F1886)</f>
        <v/>
      </c>
    </row>
    <row r="1887" ht="15" customHeight="1">
      <c r="A1887" s="2" t="inlineStr"/>
      <c r="B1887" s="2" t="inlineStr"/>
      <c r="C1887" s="2" t="inlineStr"/>
      <c r="D1887" s="2" t="inlineStr"/>
      <c r="E1887" s="26" t="inlineStr">
        <is>
          <t>TOTAL Serviço:</t>
        </is>
      </c>
      <c r="F1887" s="56" t="n"/>
      <c r="G1887" s="65">
        <f>SUM(G1886:G1886)</f>
        <v/>
      </c>
    </row>
    <row r="1888" ht="15" customHeight="1">
      <c r="A1888" s="2" t="inlineStr"/>
      <c r="B1888" s="2" t="inlineStr"/>
      <c r="C1888" s="2" t="inlineStr"/>
      <c r="D1888" s="2" t="inlineStr"/>
      <c r="E1888" s="28" t="inlineStr">
        <is>
          <t>VALOR:</t>
        </is>
      </c>
      <c r="F1888" s="56" t="n"/>
      <c r="G1888" s="66">
        <f>ROUND(SUM(G1881,G1884,G1887),2)</f>
        <v/>
      </c>
    </row>
    <row r="1889" ht="15" customHeight="1">
      <c r="A1889" s="2" t="inlineStr"/>
      <c r="B1889" s="2" t="inlineStr"/>
      <c r="C1889" s="2" t="inlineStr"/>
      <c r="D1889" s="2" t="inlineStr"/>
      <c r="E1889" s="28" t="inlineStr">
        <is>
          <t>VALOR BDI (23.08%):</t>
        </is>
      </c>
      <c r="F1889" s="56" t="n"/>
      <c r="G1889" s="66">
        <f>ROUNDDOWN(G1888*BDI,2)</f>
        <v/>
      </c>
    </row>
    <row r="1890" ht="15" customHeight="1">
      <c r="A1890" s="2" t="inlineStr"/>
      <c r="B1890" s="2" t="inlineStr"/>
      <c r="C1890" s="2" t="inlineStr"/>
      <c r="D1890" s="2" t="inlineStr"/>
      <c r="E1890" s="28" t="inlineStr">
        <is>
          <t>VALOR COM BDI:</t>
        </is>
      </c>
      <c r="F1890" s="56" t="n"/>
      <c r="G1890" s="66">
        <f>G1889 + G1888</f>
        <v/>
      </c>
    </row>
    <row r="1891" ht="10" customHeight="1">
      <c r="A1891" s="2" t="inlineStr"/>
      <c r="B1891" s="2" t="inlineStr"/>
      <c r="C1891" s="2" t="inlineStr"/>
      <c r="D1891" s="2" t="inlineStr"/>
      <c r="E1891" s="18" t="inlineStr"/>
    </row>
    <row r="1892" ht="20" customHeight="1">
      <c r="A1892" s="19" t="inlineStr">
        <is>
          <t>​93572​ ENCARREGADO GERAL DE OBRAS COM ENCARGOS COMPLEMENTARES​ (MES)</t>
        </is>
      </c>
      <c r="B1892" s="55" t="n"/>
      <c r="C1892" s="55" t="n"/>
      <c r="D1892" s="55" t="n"/>
      <c r="E1892" s="55" t="n"/>
      <c r="F1892" s="55" t="n"/>
      <c r="G1892" s="56" t="n"/>
    </row>
    <row r="1893" ht="15" customHeight="1">
      <c r="A1893" s="20" t="inlineStr">
        <is>
          <t>Encargos Complementares</t>
        </is>
      </c>
      <c r="B1893" s="56" t="n"/>
      <c r="C1893" s="21" t="inlineStr">
        <is>
          <t>FONTE</t>
        </is>
      </c>
      <c r="D1893" s="21" t="inlineStr">
        <is>
          <t>UNID</t>
        </is>
      </c>
      <c r="E1893" s="21" t="inlineStr">
        <is>
          <t>COEFICIENTE</t>
        </is>
      </c>
      <c r="F1893" s="21" t="inlineStr">
        <is>
          <t>PREÇO UNITÁRIO</t>
        </is>
      </c>
      <c r="G1893" s="21" t="inlineStr">
        <is>
          <t>TOTAL</t>
        </is>
      </c>
    </row>
    <row r="1894" ht="21" customHeight="1">
      <c r="A1894" s="22" t="inlineStr">
        <is>
          <t>00043499</t>
        </is>
      </c>
      <c r="B1894" s="23" t="inlineStr">
        <is>
          <t>EPI - FAMILIA ENCARREGADO GERAL - MENSALISTA (ENCARGOS COMPLEMENTARES - COLETADO CAIXA)</t>
        </is>
      </c>
      <c r="C1894" s="22" t="inlineStr">
        <is>
          <t>SINAPI</t>
        </is>
      </c>
      <c r="D1894" s="22" t="inlineStr">
        <is>
          <t>MES</t>
        </is>
      </c>
      <c r="E1894" s="63" t="n">
        <v>1</v>
      </c>
      <c r="F1894" s="64" t="n">
        <v>241.99</v>
      </c>
      <c r="G1894" s="64">
        <f>TRUNC(TRUNC(E1894,8)*F1894,2)</f>
        <v/>
      </c>
      <c r="L1894" t="n">
        <v>1</v>
      </c>
      <c r="M1894" t="n">
        <v>241.99</v>
      </c>
      <c r="N1894">
        <f>(M1894-F1894)</f>
        <v/>
      </c>
    </row>
    <row r="1895" ht="21" customHeight="1">
      <c r="A1895" s="22" t="inlineStr">
        <is>
          <t>00040863</t>
        </is>
      </c>
      <c r="B1895" s="23" t="inlineStr">
        <is>
          <t>EXAMES - MENSALISTA (COLETADO CAIXA - ENCARGOS COMPLEMENTARES)</t>
        </is>
      </c>
      <c r="C1895" s="22" t="inlineStr">
        <is>
          <t>SINAPI</t>
        </is>
      </c>
      <c r="D1895" s="22" t="inlineStr">
        <is>
          <t>MES</t>
        </is>
      </c>
      <c r="E1895" s="63" t="n">
        <v>1</v>
      </c>
      <c r="F1895" s="64" t="n">
        <v>270.51</v>
      </c>
      <c r="G1895" s="64">
        <f>TRUNC(TRUNC(E1895,8)*F1895,2)</f>
        <v/>
      </c>
      <c r="L1895" t="n">
        <v>1</v>
      </c>
      <c r="M1895" t="n">
        <v>270.51</v>
      </c>
      <c r="N1895">
        <f>(M1895-F1895)</f>
        <v/>
      </c>
    </row>
    <row r="1896" ht="29" customHeight="1">
      <c r="A1896" s="22" t="inlineStr">
        <is>
          <t>00043475</t>
        </is>
      </c>
      <c r="B1896" s="23" t="inlineStr">
        <is>
          <t>FERRAMENTAS - FAMILIA ENCARREGADO GERAL - MENSALISTA (ENCARGOS COMPLEMENTARES - COLETADO CAIXA)</t>
        </is>
      </c>
      <c r="C1896" s="22" t="inlineStr">
        <is>
          <t>SINAPI</t>
        </is>
      </c>
      <c r="D1896" s="22" t="inlineStr">
        <is>
          <t>MES</t>
        </is>
      </c>
      <c r="E1896" s="63" t="n">
        <v>1</v>
      </c>
      <c r="F1896" s="64" t="n">
        <v>15.46</v>
      </c>
      <c r="G1896" s="64">
        <f>TRUNC(TRUNC(E1896,8)*F1896,2)</f>
        <v/>
      </c>
      <c r="L1896" t="n">
        <v>1</v>
      </c>
      <c r="M1896" t="n">
        <v>15.46</v>
      </c>
      <c r="N1896">
        <f>(M1896-F1896)</f>
        <v/>
      </c>
    </row>
    <row r="1897" ht="21" customHeight="1">
      <c r="A1897" s="22" t="inlineStr">
        <is>
          <t>00040864</t>
        </is>
      </c>
      <c r="B1897" s="23" t="inlineStr">
        <is>
          <t>SEGURO - MENSALISTA (COLETADO CAIXA - ENCARGOS COMPLEMENTARES)</t>
        </is>
      </c>
      <c r="C1897" s="22" t="inlineStr">
        <is>
          <t>SINAPI</t>
        </is>
      </c>
      <c r="D1897" s="22" t="inlineStr">
        <is>
          <t>MES</t>
        </is>
      </c>
      <c r="E1897" s="63" t="n">
        <v>1</v>
      </c>
      <c r="F1897" s="64" t="n">
        <v>15.46</v>
      </c>
      <c r="G1897" s="64">
        <f>TRUNC(TRUNC(E1897,8)*F1897,2)</f>
        <v/>
      </c>
      <c r="L1897" t="n">
        <v>1</v>
      </c>
      <c r="M1897" t="n">
        <v>15.46</v>
      </c>
      <c r="N1897">
        <f>(M1897-F1897)</f>
        <v/>
      </c>
    </row>
    <row r="1898" ht="15" customHeight="1">
      <c r="A1898" s="2" t="inlineStr"/>
      <c r="B1898" s="2" t="inlineStr"/>
      <c r="C1898" s="2" t="inlineStr"/>
      <c r="D1898" s="2" t="inlineStr"/>
      <c r="E1898" s="26" t="inlineStr">
        <is>
          <t>TOTAL Encargos Complementares:</t>
        </is>
      </c>
      <c r="F1898" s="56" t="n"/>
      <c r="G1898" s="65">
        <f>SUM(G1894:G1897)</f>
        <v/>
      </c>
    </row>
    <row r="1899" ht="15" customHeight="1">
      <c r="A1899" s="20" t="inlineStr">
        <is>
          <t>Mão de Obra</t>
        </is>
      </c>
      <c r="B1899" s="56" t="n"/>
      <c r="C1899" s="21" t="inlineStr">
        <is>
          <t>FONTE</t>
        </is>
      </c>
      <c r="D1899" s="21" t="inlineStr">
        <is>
          <t>UNID</t>
        </is>
      </c>
      <c r="E1899" s="21" t="inlineStr">
        <is>
          <t>COEFICIENTE</t>
        </is>
      </c>
      <c r="F1899" s="21" t="inlineStr">
        <is>
          <t>PREÇO UNITÁRIO</t>
        </is>
      </c>
      <c r="G1899" s="21" t="inlineStr">
        <is>
          <t>TOTAL</t>
        </is>
      </c>
    </row>
    <row r="1900" ht="15" customHeight="1">
      <c r="A1900" s="22" t="inlineStr">
        <is>
          <t>00040818</t>
        </is>
      </c>
      <c r="B1900" s="23" t="inlineStr">
        <is>
          <t>ENCARREGADO GERAL DE OBRAS (MENSALISTA)</t>
        </is>
      </c>
      <c r="C1900" s="22" t="inlineStr">
        <is>
          <t>SINAPI</t>
        </is>
      </c>
      <c r="D1900" s="22" t="inlineStr">
        <is>
          <t>MES</t>
        </is>
      </c>
      <c r="E1900" s="63">
        <f>L1900*FATOR</f>
        <v/>
      </c>
      <c r="F1900" s="64" t="n">
        <v>4502.55</v>
      </c>
      <c r="G1900" s="64">
        <f>TRUNC(TRUNC(E1900,8)*F1900,2)</f>
        <v/>
      </c>
      <c r="L1900" t="n">
        <v>1</v>
      </c>
      <c r="M1900" t="n">
        <v>4502.55</v>
      </c>
      <c r="N1900">
        <f>(M1900-F1900)</f>
        <v/>
      </c>
    </row>
    <row r="1901" ht="15" customHeight="1">
      <c r="A1901" s="2" t="inlineStr"/>
      <c r="B1901" s="2" t="inlineStr"/>
      <c r="C1901" s="2" t="inlineStr"/>
      <c r="D1901" s="2" t="inlineStr"/>
      <c r="E1901" s="26" t="inlineStr">
        <is>
          <t>TOTAL Mão de Obra:</t>
        </is>
      </c>
      <c r="F1901" s="56" t="n"/>
      <c r="G1901" s="65">
        <f>SUM(G1900:G1900)</f>
        <v/>
      </c>
    </row>
    <row r="1902" ht="15" customHeight="1">
      <c r="A1902" s="20" t="inlineStr">
        <is>
          <t>Serviço</t>
        </is>
      </c>
      <c r="B1902" s="56" t="n"/>
      <c r="C1902" s="21" t="inlineStr">
        <is>
          <t>FONTE</t>
        </is>
      </c>
      <c r="D1902" s="21" t="inlineStr">
        <is>
          <t>UNID</t>
        </is>
      </c>
      <c r="E1902" s="21" t="inlineStr">
        <is>
          <t>COEFICIENTE</t>
        </is>
      </c>
      <c r="F1902" s="21" t="inlineStr">
        <is>
          <t>PREÇO UNITÁRIO</t>
        </is>
      </c>
      <c r="G1902" s="21" t="inlineStr">
        <is>
          <t>TOTAL</t>
        </is>
      </c>
    </row>
    <row r="1903" ht="21" customHeight="1">
      <c r="A1903" s="22" t="inlineStr">
        <is>
          <t>95422</t>
        </is>
      </c>
      <c r="B1903" s="23" t="inlineStr">
        <is>
          <t>CURSO DE CAPACITAÇÃO PARA ENCARREGADO GERAL DE OBRAS (ENCARGOS COMPLEMENTARES) - MENSALISTA</t>
        </is>
      </c>
      <c r="C1903" s="22" t="inlineStr">
        <is>
          <t>SINAPI</t>
        </is>
      </c>
      <c r="D1903" s="22" t="inlineStr">
        <is>
          <t>MES</t>
        </is>
      </c>
      <c r="E1903" s="63" t="n">
        <v>1</v>
      </c>
      <c r="F1903" s="64">
        <f>'COMPOSICOES AUXILIARES'!G1627</f>
        <v/>
      </c>
      <c r="G1903" s="64">
        <f>TRUNC(TRUNC(E1903,8)*F1903,2)</f>
        <v/>
      </c>
      <c r="L1903" t="n">
        <v>1</v>
      </c>
      <c r="M1903" t="n">
        <v>71.90000000000001</v>
      </c>
      <c r="N1903">
        <f>(M1903-F1903)</f>
        <v/>
      </c>
    </row>
    <row r="1904" ht="15" customHeight="1">
      <c r="A1904" s="2" t="inlineStr"/>
      <c r="B1904" s="2" t="inlineStr"/>
      <c r="C1904" s="2" t="inlineStr"/>
      <c r="D1904" s="2" t="inlineStr"/>
      <c r="E1904" s="26" t="inlineStr">
        <is>
          <t>TOTAL Serviço:</t>
        </is>
      </c>
      <c r="F1904" s="56" t="n"/>
      <c r="G1904" s="65">
        <f>SUM(G1903:G1903)</f>
        <v/>
      </c>
    </row>
    <row r="1905" ht="15" customHeight="1">
      <c r="A1905" s="2" t="inlineStr"/>
      <c r="B1905" s="2" t="inlineStr"/>
      <c r="C1905" s="2" t="inlineStr"/>
      <c r="D1905" s="2" t="inlineStr"/>
      <c r="E1905" s="28" t="inlineStr">
        <is>
          <t>VALOR:</t>
        </is>
      </c>
      <c r="F1905" s="56" t="n"/>
      <c r="G1905" s="66">
        <f>SUM(G1904,G1898,G1901)</f>
        <v/>
      </c>
    </row>
    <row r="1906" ht="15" customHeight="1">
      <c r="A1906" s="2" t="inlineStr"/>
      <c r="B1906" s="2" t="inlineStr"/>
      <c r="C1906" s="2" t="inlineStr"/>
      <c r="D1906" s="2" t="inlineStr"/>
      <c r="E1906" s="28" t="inlineStr">
        <is>
          <t>VALOR BDI (23.08%):</t>
        </is>
      </c>
      <c r="F1906" s="56" t="n"/>
      <c r="G1906" s="66">
        <f>ROUNDDOWN(G1905*BDI,2)</f>
        <v/>
      </c>
    </row>
    <row r="1907" ht="15" customHeight="1">
      <c r="A1907" s="2" t="inlineStr"/>
      <c r="B1907" s="2" t="inlineStr"/>
      <c r="C1907" s="2" t="inlineStr"/>
      <c r="D1907" s="2" t="inlineStr"/>
      <c r="E1907" s="28" t="inlineStr">
        <is>
          <t>VALOR COM BDI:</t>
        </is>
      </c>
      <c r="F1907" s="56" t="n"/>
      <c r="G1907" s="66">
        <f>G1906 + G1905</f>
        <v/>
      </c>
    </row>
    <row r="1908" ht="10" customHeight="1">
      <c r="A1908" s="2" t="inlineStr"/>
      <c r="B1908" s="2" t="inlineStr"/>
      <c r="C1908" s="2" t="inlineStr"/>
      <c r="D1908" s="2" t="inlineStr"/>
      <c r="E1908" s="18" t="inlineStr"/>
    </row>
    <row r="1909" ht="20" customHeight="1">
      <c r="A1909" s="19" t="inlineStr">
        <is>
          <t>​86886​ ENGATE FLEXÍVEL EM INOX, 1/2 X 30CM - FORNECIMENTO E INSTALAÇÃO. AF_01/2020​ (UN)</t>
        </is>
      </c>
      <c r="B1909" s="55" t="n"/>
      <c r="C1909" s="55" t="n"/>
      <c r="D1909" s="55" t="n"/>
      <c r="E1909" s="55" t="n"/>
      <c r="F1909" s="55" t="n"/>
      <c r="G1909" s="56" t="n"/>
    </row>
    <row r="1910" ht="15" customHeight="1">
      <c r="A1910" s="20" t="inlineStr">
        <is>
          <t>Material</t>
        </is>
      </c>
      <c r="B1910" s="56" t="n"/>
      <c r="C1910" s="21" t="inlineStr">
        <is>
          <t>FONTE</t>
        </is>
      </c>
      <c r="D1910" s="21" t="inlineStr">
        <is>
          <t>UNID</t>
        </is>
      </c>
      <c r="E1910" s="21" t="inlineStr">
        <is>
          <t>COEFICIENTE</t>
        </is>
      </c>
      <c r="F1910" s="21" t="inlineStr">
        <is>
          <t>PREÇO UNITÁRIO</t>
        </is>
      </c>
      <c r="G1910" s="21" t="inlineStr">
        <is>
          <t>TOTAL</t>
        </is>
      </c>
    </row>
    <row r="1911" ht="15" customHeight="1">
      <c r="A1911" s="22" t="inlineStr">
        <is>
          <t>00011683</t>
        </is>
      </c>
      <c r="B1911" s="23" t="inlineStr">
        <is>
          <t>ENGATE / RABICHO FLEXIVEL INOX 1/2" X 30 CM</t>
        </is>
      </c>
      <c r="C1911" s="22" t="inlineStr">
        <is>
          <t>SINAPI</t>
        </is>
      </c>
      <c r="D1911" s="22" t="inlineStr">
        <is>
          <t>UN</t>
        </is>
      </c>
      <c r="E1911" s="63" t="n">
        <v>1</v>
      </c>
      <c r="F1911" s="64">
        <f>ROUND(M1911*FATOR, 2)</f>
        <v/>
      </c>
      <c r="G1911" s="64">
        <f>TRUNC(TRUNC(E1911,8)*F1911,2)</f>
        <v/>
      </c>
      <c r="L1911" t="n">
        <v>1</v>
      </c>
      <c r="M1911" t="n">
        <v>53.87</v>
      </c>
      <c r="N1911">
        <f>(M1911-F1911)</f>
        <v/>
      </c>
    </row>
    <row r="1912" ht="21" customHeight="1">
      <c r="A1912" s="22" t="inlineStr">
        <is>
          <t>00003146</t>
        </is>
      </c>
      <c r="B1912" s="23" t="inlineStr">
        <is>
          <t>FITA VEDA ROSCA, EM PTFE, ROLO DE 18 MM X 10 M (L X C)</t>
        </is>
      </c>
      <c r="C1912" s="22" t="inlineStr">
        <is>
          <t>SINAPI</t>
        </is>
      </c>
      <c r="D1912" s="22" t="inlineStr">
        <is>
          <t>UN</t>
        </is>
      </c>
      <c r="E1912" s="63" t="n">
        <v>0.021</v>
      </c>
      <c r="F1912" s="64">
        <f>ROUND(M1912*FATOR, 2)</f>
        <v/>
      </c>
      <c r="G1912" s="64">
        <f>TRUNC(TRUNC(E1912,8)*F1912,2)</f>
        <v/>
      </c>
      <c r="L1912" t="n">
        <v>0.021</v>
      </c>
      <c r="M1912" t="n">
        <v>4</v>
      </c>
      <c r="N1912">
        <f>(M1912-F1912)</f>
        <v/>
      </c>
    </row>
    <row r="1913" ht="15" customHeight="1">
      <c r="A1913" s="2" t="inlineStr"/>
      <c r="B1913" s="2" t="inlineStr"/>
      <c r="C1913" s="2" t="inlineStr"/>
      <c r="D1913" s="2" t="inlineStr"/>
      <c r="E1913" s="26" t="inlineStr">
        <is>
          <t>TOTAL Material:</t>
        </is>
      </c>
      <c r="F1913" s="56" t="n"/>
      <c r="G1913" s="65">
        <f>SUM(G1911:G1912)</f>
        <v/>
      </c>
    </row>
    <row r="1914" ht="15" customHeight="1">
      <c r="A1914" s="20" t="inlineStr">
        <is>
          <t>Mão de Obra com Encargos Complementares</t>
        </is>
      </c>
      <c r="B1914" s="56" t="n"/>
      <c r="C1914" s="21" t="inlineStr">
        <is>
          <t>FONTE</t>
        </is>
      </c>
      <c r="D1914" s="21" t="inlineStr">
        <is>
          <t>UNID</t>
        </is>
      </c>
      <c r="E1914" s="21" t="inlineStr">
        <is>
          <t>COEFICIENTE</t>
        </is>
      </c>
      <c r="F1914" s="21" t="inlineStr">
        <is>
          <t>PREÇO UNITÁRIO</t>
        </is>
      </c>
      <c r="G1914" s="21" t="inlineStr">
        <is>
          <t>TOTAL</t>
        </is>
      </c>
    </row>
    <row r="1915" ht="21" customHeight="1">
      <c r="A1915" s="22" t="inlineStr">
        <is>
          <t>88267</t>
        </is>
      </c>
      <c r="B1915" s="23" t="inlineStr">
        <is>
          <t>ENCANADOR OU BOMBEIRO HIDRÁULICO COM ENCARGOS COMPLEMENTARES</t>
        </is>
      </c>
      <c r="C1915" s="22" t="inlineStr">
        <is>
          <t>SINAPI</t>
        </is>
      </c>
      <c r="D1915" s="22" t="inlineStr">
        <is>
          <t>H</t>
        </is>
      </c>
      <c r="E1915" s="63">
        <f>L1915*FATOR</f>
        <v/>
      </c>
      <c r="F1915" s="64">
        <f>'COMPOSICOES AUXILIARES'!G474</f>
        <v/>
      </c>
      <c r="G1915" s="64">
        <f>TRUNC(TRUNC(E1915,8)*F1915,2)</f>
        <v/>
      </c>
      <c r="L1915" t="n">
        <v>0.1525</v>
      </c>
      <c r="M1915" t="n">
        <v>29.86</v>
      </c>
      <c r="N1915">
        <f>(M1915-F1915)</f>
        <v/>
      </c>
    </row>
    <row r="1916" ht="15" customHeight="1">
      <c r="A1916" s="22" t="inlineStr">
        <is>
          <t>88316</t>
        </is>
      </c>
      <c r="B1916" s="23" t="inlineStr">
        <is>
          <t>SERVENTE COM ENCARGOS COMPLEMENTARES</t>
        </is>
      </c>
      <c r="C1916" s="22" t="inlineStr">
        <is>
          <t>SINAPI</t>
        </is>
      </c>
      <c r="D1916" s="22" t="inlineStr">
        <is>
          <t>H</t>
        </is>
      </c>
      <c r="E1916" s="63">
        <f>L1916*FATOR</f>
        <v/>
      </c>
      <c r="F1916" s="64">
        <f>'COMPOSICOES AUXILIARES'!G161</f>
        <v/>
      </c>
      <c r="G1916" s="64">
        <f>TRUNC(TRUNC(E1916,8)*F1916,2)</f>
        <v/>
      </c>
      <c r="L1916" t="n">
        <v>0.0481</v>
      </c>
      <c r="M1916" t="n">
        <v>23.56</v>
      </c>
      <c r="N1916">
        <f>(M1916-F1916)</f>
        <v/>
      </c>
    </row>
    <row r="1917" ht="18" customHeight="1">
      <c r="A1917" s="2" t="inlineStr"/>
      <c r="B1917" s="2" t="inlineStr"/>
      <c r="C1917" s="2" t="inlineStr"/>
      <c r="D1917" s="2" t="inlineStr"/>
      <c r="E1917" s="26" t="inlineStr">
        <is>
          <t>TOTAL Mão de Obra com Encargos Complementares:</t>
        </is>
      </c>
      <c r="F1917" s="56" t="n"/>
      <c r="G1917" s="65">
        <f>SUM(G1915:G1916)</f>
        <v/>
      </c>
    </row>
    <row r="1918" ht="15" customHeight="1">
      <c r="A1918" s="2" t="inlineStr"/>
      <c r="B1918" s="2" t="inlineStr"/>
      <c r="C1918" s="2" t="inlineStr"/>
      <c r="D1918" s="2" t="inlineStr"/>
      <c r="E1918" s="28" t="inlineStr">
        <is>
          <t>VALOR:</t>
        </is>
      </c>
      <c r="F1918" s="56" t="n"/>
      <c r="G1918" s="66">
        <f>SUM(G1913,G1917)</f>
        <v/>
      </c>
    </row>
    <row r="1919" ht="15" customHeight="1">
      <c r="A1919" s="2" t="inlineStr"/>
      <c r="B1919" s="2" t="inlineStr"/>
      <c r="C1919" s="2" t="inlineStr"/>
      <c r="D1919" s="2" t="inlineStr"/>
      <c r="E1919" s="28" t="inlineStr">
        <is>
          <t>VALOR BDI (23.08%):</t>
        </is>
      </c>
      <c r="F1919" s="56" t="n"/>
      <c r="G1919" s="66">
        <f>ROUNDDOWN(G1918*BDI,2)</f>
        <v/>
      </c>
    </row>
    <row r="1920" ht="15" customHeight="1">
      <c r="A1920" s="2" t="inlineStr"/>
      <c r="B1920" s="2" t="inlineStr"/>
      <c r="C1920" s="2" t="inlineStr"/>
      <c r="D1920" s="2" t="inlineStr"/>
      <c r="E1920" s="28" t="inlineStr">
        <is>
          <t>VALOR COM BDI:</t>
        </is>
      </c>
      <c r="F1920" s="56" t="n"/>
      <c r="G1920" s="66">
        <f>G1919 + G1918</f>
        <v/>
      </c>
    </row>
    <row r="1921" ht="10" customHeight="1">
      <c r="A1921" s="2" t="inlineStr"/>
      <c r="B1921" s="2" t="inlineStr"/>
      <c r="C1921" s="2" t="inlineStr"/>
      <c r="D1921" s="2" t="inlineStr"/>
      <c r="E1921" s="18" t="inlineStr"/>
    </row>
    <row r="1922" ht="20" customHeight="1">
      <c r="A1922" s="19" t="inlineStr">
        <is>
          <t>​86887​ ENGATE FLEXÍVEL EM INOX, 1/2 X 40CM - FORNECIMENTO E INSTALAÇÃO. AF_01/2020​ (UN)</t>
        </is>
      </c>
      <c r="B1922" s="55" t="n"/>
      <c r="C1922" s="55" t="n"/>
      <c r="D1922" s="55" t="n"/>
      <c r="E1922" s="55" t="n"/>
      <c r="F1922" s="55" t="n"/>
      <c r="G1922" s="56" t="n"/>
    </row>
    <row r="1923" ht="15" customHeight="1">
      <c r="A1923" s="20" t="inlineStr">
        <is>
          <t>Material</t>
        </is>
      </c>
      <c r="B1923" s="56" t="n"/>
      <c r="C1923" s="21" t="inlineStr">
        <is>
          <t>FONTE</t>
        </is>
      </c>
      <c r="D1923" s="21" t="inlineStr">
        <is>
          <t>UNID</t>
        </is>
      </c>
      <c r="E1923" s="21" t="inlineStr">
        <is>
          <t>COEFICIENTE</t>
        </is>
      </c>
      <c r="F1923" s="21" t="inlineStr">
        <is>
          <t>PREÇO UNITÁRIO</t>
        </is>
      </c>
      <c r="G1923" s="21" t="inlineStr">
        <is>
          <t>TOTAL</t>
        </is>
      </c>
    </row>
    <row r="1924" ht="15" customHeight="1">
      <c r="A1924" s="22" t="inlineStr">
        <is>
          <t>00011684</t>
        </is>
      </c>
      <c r="B1924" s="23" t="inlineStr">
        <is>
          <t>ENGATE / RABICHO FLEXIVEL INOX 1/2" X 40 CM</t>
        </is>
      </c>
      <c r="C1924" s="22" t="inlineStr">
        <is>
          <t>SINAPI</t>
        </is>
      </c>
      <c r="D1924" s="22" t="inlineStr">
        <is>
          <t>UN</t>
        </is>
      </c>
      <c r="E1924" s="63" t="n">
        <v>1</v>
      </c>
      <c r="F1924" s="64">
        <f>ROUND(M1924*FATOR, 2)</f>
        <v/>
      </c>
      <c r="G1924" s="64">
        <f>TRUNC(TRUNC(E1924,8)*F1924,2)</f>
        <v/>
      </c>
      <c r="L1924" t="n">
        <v>1</v>
      </c>
      <c r="M1924" t="n">
        <v>58.96</v>
      </c>
      <c r="N1924">
        <f>(M1924-F1924)</f>
        <v/>
      </c>
    </row>
    <row r="1925" ht="21" customHeight="1">
      <c r="A1925" s="22" t="inlineStr">
        <is>
          <t>00003146</t>
        </is>
      </c>
      <c r="B1925" s="23" t="inlineStr">
        <is>
          <t>FITA VEDA ROSCA, EM PTFE, ROLO DE 18 MM X 10 M (L X C)</t>
        </is>
      </c>
      <c r="C1925" s="22" t="inlineStr">
        <is>
          <t>SINAPI</t>
        </is>
      </c>
      <c r="D1925" s="22" t="inlineStr">
        <is>
          <t>UN</t>
        </is>
      </c>
      <c r="E1925" s="63" t="n">
        <v>0.021</v>
      </c>
      <c r="F1925" s="64">
        <f>ROUND(M1925*FATOR, 2)</f>
        <v/>
      </c>
      <c r="G1925" s="64">
        <f>TRUNC(TRUNC(E1925,8)*F1925,2)</f>
        <v/>
      </c>
      <c r="L1925" t="n">
        <v>0.021</v>
      </c>
      <c r="M1925" t="n">
        <v>4</v>
      </c>
      <c r="N1925">
        <f>(M1925-F1925)</f>
        <v/>
      </c>
    </row>
    <row r="1926" ht="15" customHeight="1">
      <c r="A1926" s="2" t="inlineStr"/>
      <c r="B1926" s="2" t="inlineStr"/>
      <c r="C1926" s="2" t="inlineStr"/>
      <c r="D1926" s="2" t="inlineStr"/>
      <c r="E1926" s="26" t="inlineStr">
        <is>
          <t>TOTAL Material:</t>
        </is>
      </c>
      <c r="F1926" s="56" t="n"/>
      <c r="G1926" s="65">
        <f>SUM(G1924:G1925)</f>
        <v/>
      </c>
    </row>
    <row r="1927" ht="15" customHeight="1">
      <c r="A1927" s="20" t="inlineStr">
        <is>
          <t>Mão de Obra com Encargos Complementares</t>
        </is>
      </c>
      <c r="B1927" s="56" t="n"/>
      <c r="C1927" s="21" t="inlineStr">
        <is>
          <t>FONTE</t>
        </is>
      </c>
      <c r="D1927" s="21" t="inlineStr">
        <is>
          <t>UNID</t>
        </is>
      </c>
      <c r="E1927" s="21" t="inlineStr">
        <is>
          <t>COEFICIENTE</t>
        </is>
      </c>
      <c r="F1927" s="21" t="inlineStr">
        <is>
          <t>PREÇO UNITÁRIO</t>
        </is>
      </c>
      <c r="G1927" s="21" t="inlineStr">
        <is>
          <t>TOTAL</t>
        </is>
      </c>
    </row>
    <row r="1928" ht="21" customHeight="1">
      <c r="A1928" s="22" t="inlineStr">
        <is>
          <t>88267</t>
        </is>
      </c>
      <c r="B1928" s="23" t="inlineStr">
        <is>
          <t>ENCANADOR OU BOMBEIRO HIDRÁULICO COM ENCARGOS COMPLEMENTARES</t>
        </is>
      </c>
      <c r="C1928" s="22" t="inlineStr">
        <is>
          <t>SINAPI</t>
        </is>
      </c>
      <c r="D1928" s="22" t="inlineStr">
        <is>
          <t>H</t>
        </is>
      </c>
      <c r="E1928" s="63">
        <f>L1928*FATOR</f>
        <v/>
      </c>
      <c r="F1928" s="64">
        <f>'COMPOSICOES AUXILIARES'!G474</f>
        <v/>
      </c>
      <c r="G1928" s="64">
        <f>TRUNC(TRUNC(E1928,8)*F1928,2)</f>
        <v/>
      </c>
      <c r="L1928" t="n">
        <v>0.1525</v>
      </c>
      <c r="M1928" t="n">
        <v>29.86</v>
      </c>
      <c r="N1928">
        <f>(M1928-F1928)</f>
        <v/>
      </c>
    </row>
    <row r="1929" ht="15" customHeight="1">
      <c r="A1929" s="22" t="inlineStr">
        <is>
          <t>88316</t>
        </is>
      </c>
      <c r="B1929" s="23" t="inlineStr">
        <is>
          <t>SERVENTE COM ENCARGOS COMPLEMENTARES</t>
        </is>
      </c>
      <c r="C1929" s="22" t="inlineStr">
        <is>
          <t>SINAPI</t>
        </is>
      </c>
      <c r="D1929" s="22" t="inlineStr">
        <is>
          <t>H</t>
        </is>
      </c>
      <c r="E1929" s="63">
        <f>L1929*FATOR</f>
        <v/>
      </c>
      <c r="F1929" s="64">
        <f>'COMPOSICOES AUXILIARES'!G161</f>
        <v/>
      </c>
      <c r="G1929" s="64">
        <f>TRUNC(TRUNC(E1929,8)*F1929,2)</f>
        <v/>
      </c>
      <c r="L1929" t="n">
        <v>0.0481</v>
      </c>
      <c r="M1929" t="n">
        <v>23.56</v>
      </c>
      <c r="N1929">
        <f>(M1929-F1929)</f>
        <v/>
      </c>
    </row>
    <row r="1930" ht="18" customHeight="1">
      <c r="A1930" s="2" t="inlineStr"/>
      <c r="B1930" s="2" t="inlineStr"/>
      <c r="C1930" s="2" t="inlineStr"/>
      <c r="D1930" s="2" t="inlineStr"/>
      <c r="E1930" s="26" t="inlineStr">
        <is>
          <t>TOTAL Mão de Obra com Encargos Complementares:</t>
        </is>
      </c>
      <c r="F1930" s="56" t="n"/>
      <c r="G1930" s="65">
        <f>SUM(G1928:G1929)</f>
        <v/>
      </c>
    </row>
    <row r="1931" ht="15" customHeight="1">
      <c r="A1931" s="2" t="inlineStr"/>
      <c r="B1931" s="2" t="inlineStr"/>
      <c r="C1931" s="2" t="inlineStr"/>
      <c r="D1931" s="2" t="inlineStr"/>
      <c r="E1931" s="28" t="inlineStr">
        <is>
          <t>VALOR:</t>
        </is>
      </c>
      <c r="F1931" s="56" t="n"/>
      <c r="G1931" s="66">
        <f>SUM(G1930,G1926)</f>
        <v/>
      </c>
    </row>
    <row r="1932" ht="15" customHeight="1">
      <c r="A1932" s="2" t="inlineStr"/>
      <c r="B1932" s="2" t="inlineStr"/>
      <c r="C1932" s="2" t="inlineStr"/>
      <c r="D1932" s="2" t="inlineStr"/>
      <c r="E1932" s="28" t="inlineStr">
        <is>
          <t>VALOR BDI (23.08%):</t>
        </is>
      </c>
      <c r="F1932" s="56" t="n"/>
      <c r="G1932" s="66">
        <f>ROUNDDOWN(G1931*BDI,2)</f>
        <v/>
      </c>
    </row>
    <row r="1933" ht="15" customHeight="1">
      <c r="A1933" s="2" t="inlineStr"/>
      <c r="B1933" s="2" t="inlineStr"/>
      <c r="C1933" s="2" t="inlineStr"/>
      <c r="D1933" s="2" t="inlineStr"/>
      <c r="E1933" s="28" t="inlineStr">
        <is>
          <t>VALOR COM BDI:</t>
        </is>
      </c>
      <c r="F1933" s="56" t="n"/>
      <c r="G1933" s="66">
        <f>G1932 + G1931</f>
        <v/>
      </c>
    </row>
    <row r="1934" ht="10" customHeight="1">
      <c r="A1934" s="2" t="inlineStr"/>
      <c r="B1934" s="2" t="inlineStr"/>
      <c r="C1934" s="2" t="inlineStr"/>
      <c r="D1934" s="2" t="inlineStr"/>
      <c r="E1934" s="18" t="inlineStr"/>
    </row>
    <row r="1935" ht="20" customHeight="1">
      <c r="A1935" s="19" t="inlineStr">
        <is>
          <t>​93567​ ENGENHEIRO CIVIL DE OBRA PLENO COM ENCARGOS COMPLEMENTARES​ (MES)</t>
        </is>
      </c>
      <c r="B1935" s="55" t="n"/>
      <c r="C1935" s="55" t="n"/>
      <c r="D1935" s="55" t="n"/>
      <c r="E1935" s="55" t="n"/>
      <c r="F1935" s="55" t="n"/>
      <c r="G1935" s="56" t="n"/>
    </row>
    <row r="1936" ht="15" customHeight="1">
      <c r="A1936" s="20" t="inlineStr">
        <is>
          <t>Encargos Complementares</t>
        </is>
      </c>
      <c r="B1936" s="56" t="n"/>
      <c r="C1936" s="21" t="inlineStr">
        <is>
          <t>FONTE</t>
        </is>
      </c>
      <c r="D1936" s="21" t="inlineStr">
        <is>
          <t>UNID</t>
        </is>
      </c>
      <c r="E1936" s="21" t="inlineStr">
        <is>
          <t>COEFICIENTE</t>
        </is>
      </c>
      <c r="F1936" s="21" t="inlineStr">
        <is>
          <t>PREÇO UNITÁRIO</t>
        </is>
      </c>
      <c r="G1936" s="21" t="inlineStr">
        <is>
          <t>TOTAL</t>
        </is>
      </c>
    </row>
    <row r="1937" ht="21" customHeight="1">
      <c r="A1937" s="22" t="inlineStr">
        <is>
          <t>00043498</t>
        </is>
      </c>
      <c r="B1937" s="23" t="inlineStr">
        <is>
          <t>EPI - FAMILIA ENGENHEIRO CIVIL - MENSALISTA (ENCARGOS COMPLEMENTARES - COLETADO CAIXA)</t>
        </is>
      </c>
      <c r="C1937" s="22" t="inlineStr">
        <is>
          <t>SINAPI</t>
        </is>
      </c>
      <c r="D1937" s="22" t="inlineStr">
        <is>
          <t>MES</t>
        </is>
      </c>
      <c r="E1937" s="63" t="n">
        <v>1</v>
      </c>
      <c r="F1937" s="64" t="n">
        <v>146</v>
      </c>
      <c r="G1937" s="64">
        <f>TRUNC(TRUNC(E1937,8)*F1937,2)</f>
        <v/>
      </c>
      <c r="L1937" t="n">
        <v>1</v>
      </c>
      <c r="M1937" t="n">
        <v>146</v>
      </c>
      <c r="N1937">
        <f>(M1937-F1937)</f>
        <v/>
      </c>
    </row>
    <row r="1938" ht="21" customHeight="1">
      <c r="A1938" s="22" t="inlineStr">
        <is>
          <t>00040863</t>
        </is>
      </c>
      <c r="B1938" s="23" t="inlineStr">
        <is>
          <t>EXAMES - MENSALISTA (COLETADO CAIXA - ENCARGOS COMPLEMENTARES)</t>
        </is>
      </c>
      <c r="C1938" s="22" t="inlineStr">
        <is>
          <t>SINAPI</t>
        </is>
      </c>
      <c r="D1938" s="22" t="inlineStr">
        <is>
          <t>MES</t>
        </is>
      </c>
      <c r="E1938" s="63" t="n">
        <v>1</v>
      </c>
      <c r="F1938" s="64" t="n">
        <v>270.51</v>
      </c>
      <c r="G1938" s="64">
        <f>TRUNC(TRUNC(E1938,8)*F1938,2)</f>
        <v/>
      </c>
      <c r="L1938" t="n">
        <v>1</v>
      </c>
      <c r="M1938" t="n">
        <v>270.51</v>
      </c>
      <c r="N1938">
        <f>(M1938-F1938)</f>
        <v/>
      </c>
    </row>
    <row r="1939" ht="21" customHeight="1">
      <c r="A1939" s="22" t="inlineStr">
        <is>
          <t>00043474</t>
        </is>
      </c>
      <c r="B1939" s="23" t="inlineStr">
        <is>
          <t>FERRAMENTAS - FAMILIA ENGENHEIRO CIVIL - MENSALISTA (ENCARGOS COMPLEMENTARES - COLETADO CAIXA)</t>
        </is>
      </c>
      <c r="C1939" s="22" t="inlineStr">
        <is>
          <t>SINAPI</t>
        </is>
      </c>
      <c r="D1939" s="22" t="inlineStr">
        <is>
          <t>MES</t>
        </is>
      </c>
      <c r="E1939" s="63" t="n">
        <v>1</v>
      </c>
      <c r="F1939" s="64" t="n">
        <v>2.35</v>
      </c>
      <c r="G1939" s="64">
        <f>TRUNC(TRUNC(E1939,8)*F1939,2)</f>
        <v/>
      </c>
      <c r="L1939" t="n">
        <v>1</v>
      </c>
      <c r="M1939" t="n">
        <v>2.35</v>
      </c>
      <c r="N1939">
        <f>(M1939-F1939)</f>
        <v/>
      </c>
    </row>
    <row r="1940" ht="21" customHeight="1">
      <c r="A1940" s="22" t="inlineStr">
        <is>
          <t>00040864</t>
        </is>
      </c>
      <c r="B1940" s="23" t="inlineStr">
        <is>
          <t>SEGURO - MENSALISTA (COLETADO CAIXA - ENCARGOS COMPLEMENTARES)</t>
        </is>
      </c>
      <c r="C1940" s="22" t="inlineStr">
        <is>
          <t>SINAPI</t>
        </is>
      </c>
      <c r="D1940" s="22" t="inlineStr">
        <is>
          <t>MES</t>
        </is>
      </c>
      <c r="E1940" s="63" t="n">
        <v>1</v>
      </c>
      <c r="F1940" s="64" t="n">
        <v>15.46</v>
      </c>
      <c r="G1940" s="64">
        <f>TRUNC(TRUNC(E1940,8)*F1940,2)</f>
        <v/>
      </c>
      <c r="L1940" t="n">
        <v>1</v>
      </c>
      <c r="M1940" t="n">
        <v>15.46</v>
      </c>
      <c r="N1940">
        <f>(M1940-F1940)</f>
        <v/>
      </c>
    </row>
    <row r="1941" ht="15" customHeight="1">
      <c r="A1941" s="2" t="inlineStr"/>
      <c r="B1941" s="2" t="inlineStr"/>
      <c r="C1941" s="2" t="inlineStr"/>
      <c r="D1941" s="2" t="inlineStr"/>
      <c r="E1941" s="26" t="inlineStr">
        <is>
          <t>TOTAL Encargos Complementares:</t>
        </is>
      </c>
      <c r="F1941" s="56" t="n"/>
      <c r="G1941" s="65">
        <f>SUM(G1937:G1940)</f>
        <v/>
      </c>
    </row>
    <row r="1942" ht="15" customHeight="1">
      <c r="A1942" s="20" t="inlineStr">
        <is>
          <t>Mão de Obra</t>
        </is>
      </c>
      <c r="B1942" s="56" t="n"/>
      <c r="C1942" s="21" t="inlineStr">
        <is>
          <t>FONTE</t>
        </is>
      </c>
      <c r="D1942" s="21" t="inlineStr">
        <is>
          <t>UNID</t>
        </is>
      </c>
      <c r="E1942" s="21" t="inlineStr">
        <is>
          <t>COEFICIENTE</t>
        </is>
      </c>
      <c r="F1942" s="21" t="inlineStr">
        <is>
          <t>PREÇO UNITÁRIO</t>
        </is>
      </c>
      <c r="G1942" s="21" t="inlineStr">
        <is>
          <t>TOTAL</t>
        </is>
      </c>
    </row>
    <row r="1943" ht="15" customHeight="1">
      <c r="A1943" s="22" t="inlineStr">
        <is>
          <t>00040813</t>
        </is>
      </c>
      <c r="B1943" s="23" t="inlineStr">
        <is>
          <t>ENGENHEIRO CIVIL DE OBRA PLENO (MENSALISTA)</t>
        </is>
      </c>
      <c r="C1943" s="22" t="inlineStr">
        <is>
          <t>SINAPI</t>
        </is>
      </c>
      <c r="D1943" s="22" t="inlineStr">
        <is>
          <t>MES</t>
        </is>
      </c>
      <c r="E1943" s="63">
        <f>L1943*FATOR</f>
        <v/>
      </c>
      <c r="F1943" s="64" t="n">
        <v>24122.31</v>
      </c>
      <c r="G1943" s="64">
        <f>TRUNC(TRUNC(E1943,8)*F1943,2)</f>
        <v/>
      </c>
      <c r="L1943" t="n">
        <v>1</v>
      </c>
      <c r="M1943" t="n">
        <v>24122.31</v>
      </c>
      <c r="N1943">
        <f>(M1943-F1943)</f>
        <v/>
      </c>
    </row>
    <row r="1944" ht="15" customHeight="1">
      <c r="A1944" s="2" t="inlineStr"/>
      <c r="B1944" s="2" t="inlineStr"/>
      <c r="C1944" s="2" t="inlineStr"/>
      <c r="D1944" s="2" t="inlineStr"/>
      <c r="E1944" s="26" t="inlineStr">
        <is>
          <t>TOTAL Mão de Obra:</t>
        </is>
      </c>
      <c r="F1944" s="56" t="n"/>
      <c r="G1944" s="65">
        <f>SUM(G1943:G1943)</f>
        <v/>
      </c>
    </row>
    <row r="1945" ht="15" customHeight="1">
      <c r="A1945" s="20" t="inlineStr">
        <is>
          <t>Serviço</t>
        </is>
      </c>
      <c r="B1945" s="56" t="n"/>
      <c r="C1945" s="21" t="inlineStr">
        <is>
          <t>FONTE</t>
        </is>
      </c>
      <c r="D1945" s="21" t="inlineStr">
        <is>
          <t>UNID</t>
        </is>
      </c>
      <c r="E1945" s="21" t="inlineStr">
        <is>
          <t>COEFICIENTE</t>
        </is>
      </c>
      <c r="F1945" s="21" t="inlineStr">
        <is>
          <t>PREÇO UNITÁRIO</t>
        </is>
      </c>
      <c r="G1945" s="21" t="inlineStr">
        <is>
          <t>TOTAL</t>
        </is>
      </c>
    </row>
    <row r="1946" ht="29" customHeight="1">
      <c r="A1946" s="22" t="inlineStr">
        <is>
          <t>95417</t>
        </is>
      </c>
      <c r="B1946" s="23" t="inlineStr">
        <is>
          <t>CURSO DE CAPACITAÇÃO PARA ENGENHEIRO CIVIL DE OBRA PLENO (ENCARGOS COMPLEMENTARES) - MENSALISTA</t>
        </is>
      </c>
      <c r="C1946" s="22" t="inlineStr">
        <is>
          <t>SINAPI</t>
        </is>
      </c>
      <c r="D1946" s="22" t="inlineStr">
        <is>
          <t>MES</t>
        </is>
      </c>
      <c r="E1946" s="63" t="n">
        <v>1</v>
      </c>
      <c r="F1946" s="64">
        <f>'COMPOSICOES AUXILIARES'!G1635</f>
        <v/>
      </c>
      <c r="G1946" s="64">
        <f>TRUNC(TRUNC(E1946,8)*F1946,2)</f>
        <v/>
      </c>
      <c r="L1946" t="n">
        <v>1</v>
      </c>
      <c r="M1946" t="n">
        <v>268.24</v>
      </c>
      <c r="N1946">
        <f>(M1946-F1946)</f>
        <v/>
      </c>
    </row>
    <row r="1947" ht="15" customHeight="1">
      <c r="A1947" s="2" t="inlineStr"/>
      <c r="B1947" s="2" t="inlineStr"/>
      <c r="C1947" s="2" t="inlineStr"/>
      <c r="D1947" s="2" t="inlineStr"/>
      <c r="E1947" s="26" t="inlineStr">
        <is>
          <t>TOTAL Serviço:</t>
        </is>
      </c>
      <c r="F1947" s="56" t="n"/>
      <c r="G1947" s="65">
        <f>SUM(G1946:G1946)</f>
        <v/>
      </c>
    </row>
    <row r="1948" ht="15" customHeight="1">
      <c r="A1948" s="2" t="inlineStr"/>
      <c r="B1948" s="2" t="inlineStr"/>
      <c r="C1948" s="2" t="inlineStr"/>
      <c r="D1948" s="2" t="inlineStr"/>
      <c r="E1948" s="28" t="inlineStr">
        <is>
          <t>VALOR:</t>
        </is>
      </c>
      <c r="F1948" s="56" t="n"/>
      <c r="G1948" s="66">
        <f>SUM(G1944,G1947,G1941)</f>
        <v/>
      </c>
    </row>
    <row r="1949" ht="15" customHeight="1">
      <c r="A1949" s="2" t="inlineStr"/>
      <c r="B1949" s="2" t="inlineStr"/>
      <c r="C1949" s="2" t="inlineStr"/>
      <c r="D1949" s="2" t="inlineStr"/>
      <c r="E1949" s="28" t="inlineStr">
        <is>
          <t>VALOR BDI (23.08%):</t>
        </is>
      </c>
      <c r="F1949" s="56" t="n"/>
      <c r="G1949" s="66">
        <f>ROUNDDOWN(G1948*BDI,2)</f>
        <v/>
      </c>
    </row>
    <row r="1950" ht="15" customHeight="1">
      <c r="A1950" s="2" t="inlineStr"/>
      <c r="B1950" s="2" t="inlineStr"/>
      <c r="C1950" s="2" t="inlineStr"/>
      <c r="D1950" s="2" t="inlineStr"/>
      <c r="E1950" s="28" t="inlineStr">
        <is>
          <t>VALOR COM BDI:</t>
        </is>
      </c>
      <c r="F1950" s="56" t="n"/>
      <c r="G1950" s="66">
        <f>G1949 + G1948</f>
        <v/>
      </c>
    </row>
    <row r="1951" ht="10" customHeight="1">
      <c r="A1951" s="2" t="inlineStr"/>
      <c r="B1951" s="2" t="inlineStr"/>
      <c r="C1951" s="2" t="inlineStr"/>
      <c r="D1951" s="2" t="inlineStr"/>
      <c r="E1951" s="18" t="inlineStr"/>
    </row>
    <row r="1952" ht="20" customHeight="1">
      <c r="A1952" s="19" t="inlineStr">
        <is>
          <t>​ED-14645​ EPI PARA AJUDANTE DE BOMBEIRO/ENCANADOR - HORISTA (ENCARGOS COMPLEMENTARES)​ (hora)</t>
        </is>
      </c>
      <c r="B1952" s="55" t="n"/>
      <c r="C1952" s="55" t="n"/>
      <c r="D1952" s="55" t="n"/>
      <c r="E1952" s="55" t="n"/>
      <c r="F1952" s="55" t="n"/>
      <c r="G1952" s="56" t="n"/>
    </row>
    <row r="1953" ht="20" customHeight="1">
      <c r="A1953" s="32" t="inlineStr">
        <is>
          <t>MATERIAIS</t>
        </is>
      </c>
      <c r="B1953" s="55" t="n"/>
      <c r="C1953" s="56" t="n"/>
      <c r="D1953" s="4" t="inlineStr">
        <is>
          <t>UNID</t>
        </is>
      </c>
      <c r="E1953" s="4" t="inlineStr">
        <is>
          <t>CONSUMO</t>
        </is>
      </c>
      <c r="F1953" s="4">
        <f>G700</f>
        <v/>
      </c>
      <c r="G1953" s="4" t="inlineStr">
        <is>
          <t>CUSTO UNITÁRIO</t>
        </is>
      </c>
    </row>
    <row r="1954" ht="15" customHeight="1">
      <c r="A1954" s="8" t="inlineStr">
        <is>
          <t>MATED-14633</t>
        </is>
      </c>
      <c r="B1954" s="7" t="inlineStr">
        <is>
          <t>EPI PARA FAMÍLIA ENCANADOR - HORISTA (ENCARGOS COMPLEMENTARES)</t>
        </is>
      </c>
      <c r="C1954" s="56" t="n"/>
      <c r="D1954" s="8" t="inlineStr">
        <is>
          <t>hora</t>
        </is>
      </c>
      <c r="E1954" s="69" t="n">
        <v>1</v>
      </c>
      <c r="F1954" s="70" t="n">
        <v>1.13</v>
      </c>
      <c r="G1954" s="70">
        <f>ROUND(ROUND(E1954,7)*F1954,4)</f>
        <v/>
      </c>
      <c r="L1954" t="n">
        <v>1</v>
      </c>
      <c r="M1954" t="n">
        <v>1.13</v>
      </c>
      <c r="N1954">
        <f>(M1954-F1954)</f>
        <v/>
      </c>
    </row>
    <row r="1955" ht="15" customHeight="1">
      <c r="A1955" s="1" t="inlineStr"/>
      <c r="B1955" s="1" t="inlineStr"/>
      <c r="C1955" s="1" t="inlineStr"/>
      <c r="D1955" s="1" t="inlineStr"/>
      <c r="E1955" s="35" t="inlineStr">
        <is>
          <t>TOTAL MATERIAIS:</t>
        </is>
      </c>
      <c r="F1955" s="56" t="n"/>
      <c r="G1955" s="71">
        <f>SUM(G1954:G1954)</f>
        <v/>
      </c>
    </row>
    <row r="1956" ht="15" customHeight="1">
      <c r="A1956" s="2" t="inlineStr"/>
      <c r="B1956" s="2" t="inlineStr"/>
      <c r="C1956" s="2" t="inlineStr"/>
      <c r="D1956" s="2" t="inlineStr"/>
      <c r="E1956" s="28" t="inlineStr">
        <is>
          <t>Custo Direto Total:</t>
        </is>
      </c>
      <c r="F1956" s="56" t="n"/>
      <c r="G1956" s="70">
        <f>SUM(G1955)</f>
        <v/>
      </c>
    </row>
    <row r="1957" ht="15" customHeight="1">
      <c r="A1957" s="2" t="inlineStr"/>
      <c r="B1957" s="2" t="inlineStr"/>
      <c r="C1957" s="2" t="inlineStr"/>
      <c r="D1957" s="2" t="inlineStr"/>
      <c r="E1957" s="28" t="inlineStr">
        <is>
          <t>VALOR:</t>
        </is>
      </c>
      <c r="F1957" s="56" t="n"/>
      <c r="G1957" s="66">
        <f>ROUND(SUM(G1956),2)</f>
        <v/>
      </c>
    </row>
    <row r="1958" ht="15" customHeight="1">
      <c r="A1958" s="2" t="inlineStr"/>
      <c r="B1958" s="2" t="inlineStr"/>
      <c r="C1958" s="2" t="inlineStr"/>
      <c r="D1958" s="2" t="inlineStr"/>
      <c r="E1958" s="28" t="inlineStr">
        <is>
          <t>VALOR BDI (23.08%):</t>
        </is>
      </c>
      <c r="F1958" s="56" t="n"/>
      <c r="G1958" s="66">
        <f>ROUNDDOWN(G1957*BDI,2)</f>
        <v/>
      </c>
    </row>
    <row r="1959" ht="15" customHeight="1">
      <c r="A1959" s="2" t="inlineStr"/>
      <c r="B1959" s="2" t="inlineStr"/>
      <c r="C1959" s="2" t="inlineStr"/>
      <c r="D1959" s="2" t="inlineStr"/>
      <c r="E1959" s="28" t="inlineStr">
        <is>
          <t>VALOR COM BDI:</t>
        </is>
      </c>
      <c r="F1959" s="56" t="n"/>
      <c r="G1959" s="66">
        <f>G1958 + G1957</f>
        <v/>
      </c>
    </row>
    <row r="1960" ht="10" customHeight="1">
      <c r="A1960" s="2" t="inlineStr"/>
      <c r="B1960" s="2" t="inlineStr"/>
      <c r="C1960" s="2" t="inlineStr"/>
      <c r="D1960" s="2" t="inlineStr"/>
      <c r="E1960" s="18" t="inlineStr"/>
    </row>
    <row r="1961" ht="20" customHeight="1">
      <c r="A1961" s="19" t="inlineStr">
        <is>
          <t>​ED-14651​ EPI PARA BOMBEIRO/ENCANADOR - HORISTA ( ENCARGOS COMPLEMENTARES)​ (hora)</t>
        </is>
      </c>
      <c r="B1961" s="55" t="n"/>
      <c r="C1961" s="55" t="n"/>
      <c r="D1961" s="55" t="n"/>
      <c r="E1961" s="55" t="n"/>
      <c r="F1961" s="55" t="n"/>
      <c r="G1961" s="56" t="n"/>
    </row>
    <row r="1962" ht="20" customHeight="1">
      <c r="A1962" s="32" t="inlineStr">
        <is>
          <t>MATERIAIS</t>
        </is>
      </c>
      <c r="B1962" s="55" t="n"/>
      <c r="C1962" s="56" t="n"/>
      <c r="D1962" s="4" t="inlineStr">
        <is>
          <t>UNID</t>
        </is>
      </c>
      <c r="E1962" s="4" t="inlineStr">
        <is>
          <t>CONSUMO</t>
        </is>
      </c>
      <c r="F1962" s="4">
        <f>G700</f>
        <v/>
      </c>
      <c r="G1962" s="4" t="inlineStr">
        <is>
          <t>CUSTO UNITÁRIO</t>
        </is>
      </c>
    </row>
    <row r="1963" ht="15" customHeight="1">
      <c r="A1963" s="8" t="inlineStr">
        <is>
          <t>MATED-14633</t>
        </is>
      </c>
      <c r="B1963" s="7" t="inlineStr">
        <is>
          <t>EPI PARA FAMÍLIA ENCANADOR - HORISTA (ENCARGOS COMPLEMENTARES)</t>
        </is>
      </c>
      <c r="C1963" s="56" t="n"/>
      <c r="D1963" s="8" t="inlineStr">
        <is>
          <t>hora</t>
        </is>
      </c>
      <c r="E1963" s="69" t="n">
        <v>1</v>
      </c>
      <c r="F1963" s="70" t="n">
        <v>1.13</v>
      </c>
      <c r="G1963" s="70">
        <f>ROUND(ROUND(E1963,7)*F1963,4)</f>
        <v/>
      </c>
      <c r="L1963" t="n">
        <v>1</v>
      </c>
      <c r="M1963" t="n">
        <v>1.13</v>
      </c>
      <c r="N1963">
        <f>(M1963-F1963)</f>
        <v/>
      </c>
    </row>
    <row r="1964" ht="15" customHeight="1">
      <c r="A1964" s="1" t="inlineStr"/>
      <c r="B1964" s="1" t="inlineStr"/>
      <c r="C1964" s="1" t="inlineStr"/>
      <c r="D1964" s="1" t="inlineStr"/>
      <c r="E1964" s="35" t="inlineStr">
        <is>
          <t>TOTAL MATERIAIS:</t>
        </is>
      </c>
      <c r="F1964" s="56" t="n"/>
      <c r="G1964" s="71">
        <f>SUM(G1963:G1963)</f>
        <v/>
      </c>
    </row>
    <row r="1965" ht="15" customHeight="1">
      <c r="A1965" s="2" t="inlineStr"/>
      <c r="B1965" s="2" t="inlineStr"/>
      <c r="C1965" s="2" t="inlineStr"/>
      <c r="D1965" s="2" t="inlineStr"/>
      <c r="E1965" s="28" t="inlineStr">
        <is>
          <t>Custo Direto Total:</t>
        </is>
      </c>
      <c r="F1965" s="56" t="n"/>
      <c r="G1965" s="70">
        <f>SUM(G1964)</f>
        <v/>
      </c>
    </row>
    <row r="1966" ht="15" customHeight="1">
      <c r="A1966" s="2" t="inlineStr"/>
      <c r="B1966" s="2" t="inlineStr"/>
      <c r="C1966" s="2" t="inlineStr"/>
      <c r="D1966" s="2" t="inlineStr"/>
      <c r="E1966" s="28" t="inlineStr">
        <is>
          <t>VALOR:</t>
        </is>
      </c>
      <c r="F1966" s="56" t="n"/>
      <c r="G1966" s="66">
        <f>ROUND(SUM(G1965),2)</f>
        <v/>
      </c>
    </row>
    <row r="1967" ht="15" customHeight="1">
      <c r="A1967" s="2" t="inlineStr"/>
      <c r="B1967" s="2" t="inlineStr"/>
      <c r="C1967" s="2" t="inlineStr"/>
      <c r="D1967" s="2" t="inlineStr"/>
      <c r="E1967" s="28" t="inlineStr">
        <is>
          <t>VALOR BDI (23.08%):</t>
        </is>
      </c>
      <c r="F1967" s="56" t="n"/>
      <c r="G1967" s="66">
        <f>ROUNDDOWN(G1966*BDI,2)</f>
        <v/>
      </c>
    </row>
    <row r="1968" ht="15" customHeight="1">
      <c r="A1968" s="2" t="inlineStr"/>
      <c r="B1968" s="2" t="inlineStr"/>
      <c r="C1968" s="2" t="inlineStr"/>
      <c r="D1968" s="2" t="inlineStr"/>
      <c r="E1968" s="28" t="inlineStr">
        <is>
          <t>VALOR COM BDI:</t>
        </is>
      </c>
      <c r="F1968" s="56" t="n"/>
      <c r="G1968" s="66">
        <f>G1967 + G1966</f>
        <v/>
      </c>
    </row>
    <row r="1969" ht="10" customHeight="1">
      <c r="A1969" s="2" t="inlineStr"/>
      <c r="B1969" s="2" t="inlineStr"/>
      <c r="C1969" s="2" t="inlineStr"/>
      <c r="D1969" s="2" t="inlineStr"/>
      <c r="E1969" s="18" t="inlineStr"/>
    </row>
    <row r="1970" ht="20" customHeight="1">
      <c r="A1970" s="19" t="inlineStr">
        <is>
          <t>​88908​ ESCAVADEIRA HIDRÁULICA SOBRE ESTEIRAS, CAÇAMBA 1,20 M3, PESO OPERACIONAL 21 T, POTÊNCIA BRUTA 155 HP - CHI DIURNO. AF_06/2014​ (CHI)</t>
        </is>
      </c>
      <c r="B1970" s="55" t="n"/>
      <c r="C1970" s="55" t="n"/>
      <c r="D1970" s="55" t="n"/>
      <c r="E1970" s="55" t="n"/>
      <c r="F1970" s="55" t="n"/>
      <c r="G1970" s="56" t="n"/>
    </row>
    <row r="1971" ht="15" customHeight="1">
      <c r="A1971" s="20" t="inlineStr">
        <is>
          <t>Mão de Obra com Encargos Complementares</t>
        </is>
      </c>
      <c r="B1971" s="56" t="n"/>
      <c r="C1971" s="21" t="inlineStr">
        <is>
          <t>FONTE</t>
        </is>
      </c>
      <c r="D1971" s="21" t="inlineStr">
        <is>
          <t>UNID</t>
        </is>
      </c>
      <c r="E1971" s="21" t="inlineStr">
        <is>
          <t>COEFICIENTE</t>
        </is>
      </c>
      <c r="F1971" s="21" t="inlineStr">
        <is>
          <t>PREÇO UNITÁRIO</t>
        </is>
      </c>
      <c r="G1971" s="21" t="inlineStr">
        <is>
          <t>TOTAL</t>
        </is>
      </c>
    </row>
    <row r="1972" ht="21" customHeight="1">
      <c r="A1972" s="22" t="inlineStr">
        <is>
          <t>88294</t>
        </is>
      </c>
      <c r="B1972" s="23" t="inlineStr">
        <is>
          <t>OPERADOR DE ESCAVADEIRA COM ENCARGOS COMPLEMENTARES</t>
        </is>
      </c>
      <c r="C1972" s="22" t="inlineStr">
        <is>
          <t>SINAPI</t>
        </is>
      </c>
      <c r="D1972" s="22" t="inlineStr">
        <is>
          <t>H</t>
        </is>
      </c>
      <c r="E1972" s="63">
        <f>L1972*FATOR</f>
        <v/>
      </c>
      <c r="F1972" s="64">
        <f>G2830</f>
        <v/>
      </c>
      <c r="G1972" s="64">
        <f>TRUNC(TRUNC(E1972,8)*F1972,2)</f>
        <v/>
      </c>
      <c r="L1972" t="n">
        <v>1</v>
      </c>
      <c r="M1972" t="n">
        <v>36.14</v>
      </c>
      <c r="N1972">
        <f>(M1972-F1972)</f>
        <v/>
      </c>
    </row>
    <row r="1973" ht="18" customHeight="1">
      <c r="A1973" s="2" t="inlineStr"/>
      <c r="B1973" s="2" t="inlineStr"/>
      <c r="C1973" s="2" t="inlineStr"/>
      <c r="D1973" s="2" t="inlineStr"/>
      <c r="E1973" s="26" t="inlineStr">
        <is>
          <t>TOTAL Mão de Obra com Encargos Complementares:</t>
        </is>
      </c>
      <c r="F1973" s="56" t="n"/>
      <c r="G1973" s="65">
        <f>SUM(G1972:G1972)</f>
        <v/>
      </c>
    </row>
    <row r="1974" ht="15" customHeight="1">
      <c r="A1974" s="20" t="inlineStr">
        <is>
          <t>Serviço</t>
        </is>
      </c>
      <c r="B1974" s="56" t="n"/>
      <c r="C1974" s="21" t="inlineStr">
        <is>
          <t>FONTE</t>
        </is>
      </c>
      <c r="D1974" s="21" t="inlineStr">
        <is>
          <t>UNID</t>
        </is>
      </c>
      <c r="E1974" s="21" t="inlineStr">
        <is>
          <t>COEFICIENTE</t>
        </is>
      </c>
      <c r="F1974" s="21" t="inlineStr">
        <is>
          <t>PREÇO UNITÁRIO</t>
        </is>
      </c>
      <c r="G1974" s="21" t="inlineStr">
        <is>
          <t>TOTAL</t>
        </is>
      </c>
    </row>
    <row r="1975" ht="29" customHeight="1">
      <c r="A1975" s="22" t="inlineStr">
        <is>
          <t>88900</t>
        </is>
      </c>
      <c r="B1975" s="23" t="inlineStr">
        <is>
          <t>ESCAVADEIRA HIDRÁULICA SOBRE ESTEIRAS, CAÇAMBA 1,20 M3, PESO OPERACIONAL 21 T, POTÊNCIA BRUTA 155 HP - DEPRECIAÇÃO. AF_06/2014</t>
        </is>
      </c>
      <c r="C1975" s="22" t="inlineStr">
        <is>
          <t>SINAPI</t>
        </is>
      </c>
      <c r="D1975" s="22" t="inlineStr">
        <is>
          <t>H</t>
        </is>
      </c>
      <c r="E1975" s="63" t="n">
        <v>1</v>
      </c>
      <c r="F1975" s="64" t="n">
        <v>54.22</v>
      </c>
      <c r="G1975" s="64">
        <f>TRUNC(TRUNC(E1975,8)*F1975,2)</f>
        <v/>
      </c>
      <c r="L1975" t="n">
        <v>1</v>
      </c>
      <c r="M1975" t="n">
        <v>54.22</v>
      </c>
      <c r="N1975">
        <f>(M1975-F1975)</f>
        <v/>
      </c>
    </row>
    <row r="1976" ht="29" customHeight="1">
      <c r="A1976" s="22" t="inlineStr">
        <is>
          <t>88902</t>
        </is>
      </c>
      <c r="B1976" s="23" t="inlineStr">
        <is>
          <t>ESCAVADEIRA HIDRÁULICA SOBRE ESTEIRAS, CAÇAMBA 1,20 M3, PESO OPERACIONAL 21 T, POTÊNCIA BRUTA 155 HP - JUROS. AF_06/2014</t>
        </is>
      </c>
      <c r="C1976" s="22" t="inlineStr">
        <is>
          <t>SINAPI</t>
        </is>
      </c>
      <c r="D1976" s="22" t="inlineStr">
        <is>
          <t>H</t>
        </is>
      </c>
      <c r="E1976" s="63" t="n">
        <v>1</v>
      </c>
      <c r="F1976" s="64" t="n">
        <v>14.33</v>
      </c>
      <c r="G1976" s="64">
        <f>TRUNC(TRUNC(E1976,8)*F1976,2)</f>
        <v/>
      </c>
      <c r="L1976" t="n">
        <v>1</v>
      </c>
      <c r="M1976" t="n">
        <v>14.33</v>
      </c>
      <c r="N1976">
        <f>(M1976-F1976)</f>
        <v/>
      </c>
    </row>
    <row r="1977" ht="15" customHeight="1">
      <c r="A1977" s="2" t="inlineStr"/>
      <c r="B1977" s="2" t="inlineStr"/>
      <c r="C1977" s="2" t="inlineStr"/>
      <c r="D1977" s="2" t="inlineStr"/>
      <c r="E1977" s="26" t="inlineStr">
        <is>
          <t>TOTAL Serviço:</t>
        </is>
      </c>
      <c r="F1977" s="56" t="n"/>
      <c r="G1977" s="65">
        <f>SUM(G1975:G1976)</f>
        <v/>
      </c>
    </row>
    <row r="1978" ht="15" customHeight="1">
      <c r="A1978" s="2" t="inlineStr"/>
      <c r="B1978" s="2" t="inlineStr"/>
      <c r="C1978" s="2" t="inlineStr"/>
      <c r="D1978" s="2" t="inlineStr"/>
      <c r="E1978" s="28" t="inlineStr">
        <is>
          <t>VALOR:</t>
        </is>
      </c>
      <c r="F1978" s="56" t="n"/>
      <c r="G1978" s="66">
        <f>SUM(G1977)</f>
        <v/>
      </c>
    </row>
    <row r="1979" ht="15" customHeight="1">
      <c r="A1979" s="2" t="inlineStr"/>
      <c r="B1979" s="2" t="inlineStr"/>
      <c r="C1979" s="2" t="inlineStr"/>
      <c r="D1979" s="2" t="inlineStr"/>
      <c r="E1979" s="28" t="inlineStr">
        <is>
          <t>VALOR BDI (23.08%):</t>
        </is>
      </c>
      <c r="F1979" s="56" t="n"/>
      <c r="G1979" s="66">
        <f>ROUNDDOWN(G1978*BDI,2)</f>
        <v/>
      </c>
    </row>
    <row r="1980" ht="15" customHeight="1">
      <c r="A1980" s="2" t="inlineStr"/>
      <c r="B1980" s="2" t="inlineStr"/>
      <c r="C1980" s="2" t="inlineStr"/>
      <c r="D1980" s="2" t="inlineStr"/>
      <c r="E1980" s="28" t="inlineStr">
        <is>
          <t>VALOR COM BDI:</t>
        </is>
      </c>
      <c r="F1980" s="56" t="n"/>
      <c r="G1980" s="66">
        <f>G1979 + G1978</f>
        <v/>
      </c>
    </row>
    <row r="1981" ht="10" customHeight="1">
      <c r="A1981" s="2" t="inlineStr"/>
      <c r="B1981" s="2" t="inlineStr"/>
      <c r="C1981" s="2" t="inlineStr"/>
      <c r="D1981" s="2" t="inlineStr"/>
      <c r="E1981" s="18" t="inlineStr"/>
    </row>
    <row r="1982" ht="20" customHeight="1">
      <c r="A1982" s="19" t="inlineStr">
        <is>
          <t>​88907​ ESCAVADEIRA HIDRÁULICA SOBRE ESTEIRAS, CAÇAMBA 1,20 M3, PESO OPERACIONAL 21 T, POTÊNCIA BRUTA 155 HP - CHP DIURNO. AF_06/2014​ (CHP)</t>
        </is>
      </c>
      <c r="B1982" s="55" t="n"/>
      <c r="C1982" s="55" t="n"/>
      <c r="D1982" s="55" t="n"/>
      <c r="E1982" s="55" t="n"/>
      <c r="F1982" s="55" t="n"/>
      <c r="G1982" s="56" t="n"/>
    </row>
    <row r="1983" ht="15" customHeight="1">
      <c r="A1983" s="20" t="inlineStr">
        <is>
          <t>Mão de Obra com Encargos Complementares</t>
        </is>
      </c>
      <c r="B1983" s="56" t="n"/>
      <c r="C1983" s="21" t="inlineStr">
        <is>
          <t>FONTE</t>
        </is>
      </c>
      <c r="D1983" s="21" t="inlineStr">
        <is>
          <t>UNID</t>
        </is>
      </c>
      <c r="E1983" s="21" t="inlineStr">
        <is>
          <t>COEFICIENTE</t>
        </is>
      </c>
      <c r="F1983" s="21" t="inlineStr">
        <is>
          <t>PREÇO UNITÁRIO</t>
        </is>
      </c>
      <c r="G1983" s="21" t="inlineStr">
        <is>
          <t>TOTAL</t>
        </is>
      </c>
    </row>
    <row r="1984" ht="21" customHeight="1">
      <c r="A1984" s="22" t="inlineStr">
        <is>
          <t>88294</t>
        </is>
      </c>
      <c r="B1984" s="23" t="inlineStr">
        <is>
          <t>OPERADOR DE ESCAVADEIRA COM ENCARGOS COMPLEMENTARES</t>
        </is>
      </c>
      <c r="C1984" s="22" t="inlineStr">
        <is>
          <t>SINAPI</t>
        </is>
      </c>
      <c r="D1984" s="22" t="inlineStr">
        <is>
          <t>H</t>
        </is>
      </c>
      <c r="E1984" s="63">
        <f>L1984*FATOR</f>
        <v/>
      </c>
      <c r="F1984" s="64">
        <f>'COMPOSICOES AUXILIARES'!G1978</f>
        <v/>
      </c>
      <c r="G1984" s="64">
        <f>TRUNC(TRUNC(E1984,8)*F1984,2)</f>
        <v/>
      </c>
      <c r="L1984" t="n">
        <v>1</v>
      </c>
      <c r="M1984" t="n">
        <v>36.14</v>
      </c>
      <c r="N1984">
        <f>(M1984-F1984)</f>
        <v/>
      </c>
    </row>
    <row r="1985" ht="18" customHeight="1">
      <c r="A1985" s="2" t="inlineStr"/>
      <c r="B1985" s="2" t="inlineStr"/>
      <c r="C1985" s="2" t="inlineStr"/>
      <c r="D1985" s="2" t="inlineStr"/>
      <c r="E1985" s="26" t="inlineStr">
        <is>
          <t>TOTAL Mão de Obra com Encargos Complementares:</t>
        </is>
      </c>
      <c r="F1985" s="56" t="n"/>
      <c r="G1985" s="65">
        <f>SUM(G1984:G1984)</f>
        <v/>
      </c>
    </row>
    <row r="1986" ht="15" customHeight="1">
      <c r="A1986" s="20" t="inlineStr">
        <is>
          <t>Serviço</t>
        </is>
      </c>
      <c r="B1986" s="56" t="n"/>
      <c r="C1986" s="21" t="inlineStr">
        <is>
          <t>FONTE</t>
        </is>
      </c>
      <c r="D1986" s="21" t="inlineStr">
        <is>
          <t>UNID</t>
        </is>
      </c>
      <c r="E1986" s="21" t="inlineStr">
        <is>
          <t>COEFICIENTE</t>
        </is>
      </c>
      <c r="F1986" s="21" t="inlineStr">
        <is>
          <t>PREÇO UNITÁRIO</t>
        </is>
      </c>
      <c r="G1986" s="21" t="inlineStr">
        <is>
          <t>TOTAL</t>
        </is>
      </c>
    </row>
    <row r="1987" ht="29" customHeight="1">
      <c r="A1987" s="22" t="inlineStr">
        <is>
          <t>88900</t>
        </is>
      </c>
      <c r="B1987" s="23" t="inlineStr">
        <is>
          <t>ESCAVADEIRA HIDRÁULICA SOBRE ESTEIRAS, CAÇAMBA 1,20 M3, PESO OPERACIONAL 21 T, POTÊNCIA BRUTA 155 HP - DEPRECIAÇÃO. AF_06/2014</t>
        </is>
      </c>
      <c r="C1987" s="22" t="inlineStr">
        <is>
          <t>SINAPI</t>
        </is>
      </c>
      <c r="D1987" s="22" t="inlineStr">
        <is>
          <t>H</t>
        </is>
      </c>
      <c r="E1987" s="63" t="n">
        <v>1</v>
      </c>
      <c r="F1987" s="64">
        <f>'COMPOSICOES AUXILIARES'!G1978</f>
        <v/>
      </c>
      <c r="G1987" s="64">
        <f>TRUNC(TRUNC(E1987,8)*F1987,2)</f>
        <v/>
      </c>
      <c r="L1987" t="n">
        <v>1</v>
      </c>
      <c r="M1987" t="n">
        <v>54.22</v>
      </c>
      <c r="N1987">
        <f>(M1987-F1987)</f>
        <v/>
      </c>
    </row>
    <row r="1988" ht="29" customHeight="1">
      <c r="A1988" s="22" t="inlineStr">
        <is>
          <t>88902</t>
        </is>
      </c>
      <c r="B1988" s="23" t="inlineStr">
        <is>
          <t>ESCAVADEIRA HIDRÁULICA SOBRE ESTEIRAS, CAÇAMBA 1,20 M3, PESO OPERACIONAL 21 T, POTÊNCIA BRUTA 155 HP - JUROS. AF_06/2014</t>
        </is>
      </c>
      <c r="C1988" s="22" t="inlineStr">
        <is>
          <t>SINAPI</t>
        </is>
      </c>
      <c r="D1988" s="22" t="inlineStr">
        <is>
          <t>H</t>
        </is>
      </c>
      <c r="E1988" s="63" t="n">
        <v>1</v>
      </c>
      <c r="F1988" s="64">
        <f>'COMPOSICOES AUXILIARES'!G1978</f>
        <v/>
      </c>
      <c r="G1988" s="64">
        <f>TRUNC(TRUNC(E1988,8)*F1988,2)</f>
        <v/>
      </c>
      <c r="L1988" t="n">
        <v>1</v>
      </c>
      <c r="M1988" t="n">
        <v>14.33</v>
      </c>
      <c r="N1988">
        <f>(M1988-F1988)</f>
        <v/>
      </c>
    </row>
    <row r="1989" ht="29" customHeight="1">
      <c r="A1989" s="22" t="inlineStr">
        <is>
          <t>88903</t>
        </is>
      </c>
      <c r="B1989" s="23" t="inlineStr">
        <is>
          <t>ESCAVADEIRA HIDRÁULICA SOBRE ESTEIRAS, CAÇAMBA 1,20 M3, PESO OPERACIONAL 21 T, POTÊNCIA BRUTA 155 HP - MANUTENÇÃO. AF_06/2014</t>
        </is>
      </c>
      <c r="C1989" s="22" t="inlineStr">
        <is>
          <t>SINAPI</t>
        </is>
      </c>
      <c r="D1989" s="22" t="inlineStr">
        <is>
          <t>H</t>
        </is>
      </c>
      <c r="E1989" s="63" t="n">
        <v>1</v>
      </c>
      <c r="F1989" s="64" t="n">
        <v>67.78</v>
      </c>
      <c r="G1989" s="64">
        <f>TRUNC(TRUNC(E1989,8)*F1989,2)</f>
        <v/>
      </c>
      <c r="L1989" t="n">
        <v>1</v>
      </c>
      <c r="M1989" t="n">
        <v>67.78</v>
      </c>
      <c r="N1989">
        <f>(M1989-F1989)</f>
        <v/>
      </c>
    </row>
    <row r="1990" ht="29" customHeight="1">
      <c r="A1990" s="22" t="inlineStr">
        <is>
          <t>88904</t>
        </is>
      </c>
      <c r="B1990" s="23" t="inlineStr">
        <is>
          <t>ESCAVADEIRA HIDRÁULICA SOBRE ESTEIRAS, CAÇAMBA 1,20 M3, PESO OPERACIONAL 21 T, POTÊNCIA BRUTA 155 HP - MATERIAIS NA OPERAÇÃO. AF_06/2014</t>
        </is>
      </c>
      <c r="C1990" s="22" t="inlineStr">
        <is>
          <t>SINAPI</t>
        </is>
      </c>
      <c r="D1990" s="22" t="inlineStr">
        <is>
          <t>H</t>
        </is>
      </c>
      <c r="E1990" s="63" t="n">
        <v>1</v>
      </c>
      <c r="F1990" s="64" t="n">
        <v>90.18000000000001</v>
      </c>
      <c r="G1990" s="64">
        <f>TRUNC(TRUNC(E1990,8)*F1990,2)</f>
        <v/>
      </c>
      <c r="L1990" t="n">
        <v>1</v>
      </c>
      <c r="M1990" t="n">
        <v>90.18000000000001</v>
      </c>
      <c r="N1990">
        <f>(M1990-F1990)</f>
        <v/>
      </c>
    </row>
    <row r="1991" ht="15" customHeight="1">
      <c r="A1991" s="2" t="inlineStr"/>
      <c r="B1991" s="2" t="inlineStr"/>
      <c r="C1991" s="2" t="inlineStr"/>
      <c r="D1991" s="2" t="inlineStr"/>
      <c r="E1991" s="26" t="inlineStr">
        <is>
          <t>TOTAL Serviço:</t>
        </is>
      </c>
      <c r="F1991" s="56" t="n"/>
      <c r="G1991" s="65">
        <f>SUM(G1987:G1990)</f>
        <v/>
      </c>
    </row>
    <row r="1992" ht="15" customHeight="1">
      <c r="A1992" s="2" t="inlineStr"/>
      <c r="B1992" s="2" t="inlineStr"/>
      <c r="C1992" s="2" t="inlineStr"/>
      <c r="D1992" s="2" t="inlineStr"/>
      <c r="E1992" s="28" t="inlineStr">
        <is>
          <t>VALOR:</t>
        </is>
      </c>
      <c r="F1992" s="56" t="n"/>
      <c r="G1992" s="66">
        <f>SUM(G1985,G1991)</f>
        <v/>
      </c>
    </row>
    <row r="1993" ht="15" customHeight="1">
      <c r="A1993" s="2" t="inlineStr"/>
      <c r="B1993" s="2" t="inlineStr"/>
      <c r="C1993" s="2" t="inlineStr"/>
      <c r="D1993" s="2" t="inlineStr"/>
      <c r="E1993" s="28" t="inlineStr">
        <is>
          <t>VALOR BDI (23.08%):</t>
        </is>
      </c>
      <c r="F1993" s="56" t="n"/>
      <c r="G1993" s="66">
        <f>ROUNDDOWN(G1992*BDI,2)</f>
        <v/>
      </c>
    </row>
    <row r="1994" ht="15" customHeight="1">
      <c r="A1994" s="2" t="inlineStr"/>
      <c r="B1994" s="2" t="inlineStr"/>
      <c r="C1994" s="2" t="inlineStr"/>
      <c r="D1994" s="2" t="inlineStr"/>
      <c r="E1994" s="28" t="inlineStr">
        <is>
          <t>VALOR COM BDI:</t>
        </is>
      </c>
      <c r="F1994" s="56" t="n"/>
      <c r="G1994" s="66">
        <f>G1993 + G1992</f>
        <v/>
      </c>
    </row>
    <row r="1995" ht="10" customHeight="1">
      <c r="A1995" s="2" t="inlineStr"/>
      <c r="B1995" s="2" t="inlineStr"/>
      <c r="C1995" s="2" t="inlineStr"/>
      <c r="D1995" s="2" t="inlineStr"/>
      <c r="E1995" s="18" t="inlineStr"/>
    </row>
    <row r="1996" ht="20" customHeight="1">
      <c r="A1996" s="19" t="inlineStr">
        <is>
          <t>​88900​ ESCAVADEIRA HIDRÁULICA SOBRE ESTEIRAS, CAÇAMBA 1,20 M3, PESO OPERACIONAL 21 T, POTÊNCIA BRUTA 155 HP - DEPRECIAÇÃO. AF_06/2014​ (H)</t>
        </is>
      </c>
      <c r="B1996" s="55" t="n"/>
      <c r="C1996" s="55" t="n"/>
      <c r="D1996" s="55" t="n"/>
      <c r="E1996" s="55" t="n"/>
      <c r="F1996" s="55" t="n"/>
      <c r="G1996" s="56" t="n"/>
    </row>
    <row r="1997" ht="15" customHeight="1">
      <c r="A1997" s="20" t="inlineStr">
        <is>
          <t>Equipamento</t>
        </is>
      </c>
      <c r="B1997" s="56" t="n"/>
      <c r="C1997" s="21" t="inlineStr">
        <is>
          <t>FONTE</t>
        </is>
      </c>
      <c r="D1997" s="21" t="inlineStr">
        <is>
          <t>UNID</t>
        </is>
      </c>
      <c r="E1997" s="21" t="inlineStr">
        <is>
          <t>COEFICIENTE</t>
        </is>
      </c>
      <c r="F1997" s="21" t="inlineStr">
        <is>
          <t>PREÇO UNITÁRIO</t>
        </is>
      </c>
      <c r="G1997" s="21" t="inlineStr">
        <is>
          <t>TOTAL</t>
        </is>
      </c>
    </row>
    <row r="1998" ht="29" customHeight="1">
      <c r="A1998" s="22" t="inlineStr">
        <is>
          <t>00014525</t>
        </is>
      </c>
      <c r="B1998" s="23" t="inlineStr">
        <is>
          <t>ESCAVADEIRA HIDRAULICA SOBRE ESTEIRAS COM CACAMBA DE 1,20 M3, PESO OPERACIONAL 21 T, POTENCIA BRUTA 155 HP</t>
        </is>
      </c>
      <c r="C1998" s="22" t="inlineStr">
        <is>
          <t>SINAPI</t>
        </is>
      </c>
      <c r="D1998" s="22" t="inlineStr">
        <is>
          <t>UN</t>
        </is>
      </c>
      <c r="E1998" s="63" t="n">
        <v>5.6e-05</v>
      </c>
      <c r="F1998" s="64" t="n">
        <v>968363.6</v>
      </c>
      <c r="G1998" s="64">
        <f>TRUNC(TRUNC(E1998,8)*F1998,2)</f>
        <v/>
      </c>
      <c r="M1998" t="n">
        <v>968363.6</v>
      </c>
      <c r="N1998">
        <f>(M1998-F1998)</f>
        <v/>
      </c>
    </row>
    <row r="1999" ht="15" customHeight="1">
      <c r="A1999" s="2" t="inlineStr"/>
      <c r="B1999" s="2" t="inlineStr"/>
      <c r="C1999" s="2" t="inlineStr"/>
      <c r="D1999" s="2" t="inlineStr"/>
      <c r="E1999" s="26" t="inlineStr">
        <is>
          <t>TOTAL Equipamento:</t>
        </is>
      </c>
      <c r="F1999" s="56" t="n"/>
      <c r="G1999" s="65">
        <f>SUM(G1998:G1998)</f>
        <v/>
      </c>
    </row>
    <row r="2000" ht="15" customHeight="1">
      <c r="A2000" s="2" t="inlineStr"/>
      <c r="B2000" s="2" t="inlineStr"/>
      <c r="C2000" s="2" t="inlineStr"/>
      <c r="D2000" s="2" t="inlineStr"/>
      <c r="E2000" s="28" t="inlineStr">
        <is>
          <t>VALOR:</t>
        </is>
      </c>
      <c r="F2000" s="56" t="n"/>
      <c r="G2000" s="66">
        <f>ROUND(SUM(G1999),2)</f>
        <v/>
      </c>
    </row>
    <row r="2001" ht="15" customHeight="1">
      <c r="A2001" s="2" t="inlineStr"/>
      <c r="B2001" s="2" t="inlineStr"/>
      <c r="C2001" s="2" t="inlineStr"/>
      <c r="D2001" s="2" t="inlineStr"/>
      <c r="E2001" s="28" t="inlineStr">
        <is>
          <t>VALOR BDI (23.08%):</t>
        </is>
      </c>
      <c r="F2001" s="56" t="n"/>
      <c r="G2001" s="66">
        <f>ROUNDDOWN(G2000*BDI,2)</f>
        <v/>
      </c>
    </row>
    <row r="2002" ht="15" customHeight="1">
      <c r="A2002" s="2" t="inlineStr"/>
      <c r="B2002" s="2" t="inlineStr"/>
      <c r="C2002" s="2" t="inlineStr"/>
      <c r="D2002" s="2" t="inlineStr"/>
      <c r="E2002" s="28" t="inlineStr">
        <is>
          <t>VALOR COM BDI:</t>
        </is>
      </c>
      <c r="F2002" s="56" t="n"/>
      <c r="G2002" s="66">
        <f>G2001 + G2000</f>
        <v/>
      </c>
    </row>
    <row r="2003" ht="10" customHeight="1">
      <c r="A2003" s="2" t="inlineStr"/>
      <c r="B2003" s="2" t="inlineStr"/>
      <c r="C2003" s="2" t="inlineStr"/>
      <c r="D2003" s="2" t="inlineStr"/>
      <c r="E2003" s="18" t="inlineStr"/>
    </row>
    <row r="2004" ht="20" customHeight="1">
      <c r="A2004" s="19" t="inlineStr">
        <is>
          <t>​88902​ ESCAVADEIRA HIDRÁULICA SOBRE ESTEIRAS, CAÇAMBA 1,20 M3, PESO OPERACIONAL 21 T, POTÊNCIA BRUTA 155 HP - JUROS. AF_06/2014​ (H)</t>
        </is>
      </c>
      <c r="B2004" s="55" t="n"/>
      <c r="C2004" s="55" t="n"/>
      <c r="D2004" s="55" t="n"/>
      <c r="E2004" s="55" t="n"/>
      <c r="F2004" s="55" t="n"/>
      <c r="G2004" s="56" t="n"/>
    </row>
    <row r="2005" ht="15" customHeight="1">
      <c r="A2005" s="20" t="inlineStr">
        <is>
          <t>Equipamento</t>
        </is>
      </c>
      <c r="B2005" s="56" t="n"/>
      <c r="C2005" s="21" t="inlineStr">
        <is>
          <t>FONTE</t>
        </is>
      </c>
      <c r="D2005" s="21" t="inlineStr">
        <is>
          <t>UNID</t>
        </is>
      </c>
      <c r="E2005" s="21" t="inlineStr">
        <is>
          <t>COEFICIENTE</t>
        </is>
      </c>
      <c r="F2005" s="21" t="inlineStr">
        <is>
          <t>PREÇO UNITÁRIO</t>
        </is>
      </c>
      <c r="G2005" s="21" t="inlineStr">
        <is>
          <t>TOTAL</t>
        </is>
      </c>
    </row>
    <row r="2006" ht="29" customHeight="1">
      <c r="A2006" s="22" t="inlineStr">
        <is>
          <t>00014525</t>
        </is>
      </c>
      <c r="B2006" s="23" t="inlineStr">
        <is>
          <t>ESCAVADEIRA HIDRAULICA SOBRE ESTEIRAS COM CACAMBA DE 1,20 M3, PESO OPERACIONAL 21 T, POTENCIA BRUTA 155 HP</t>
        </is>
      </c>
      <c r="C2006" s="22" t="inlineStr">
        <is>
          <t>SINAPI</t>
        </is>
      </c>
      <c r="D2006" s="22" t="inlineStr">
        <is>
          <t>UN</t>
        </is>
      </c>
      <c r="E2006" s="63" t="n">
        <v>1.48e-05</v>
      </c>
      <c r="F2006" s="64" t="n">
        <v>968363.6</v>
      </c>
      <c r="G2006" s="64">
        <f>TRUNC(TRUNC(E2006,8)*F2006,2)</f>
        <v/>
      </c>
      <c r="M2006" t="n">
        <v>968363.6</v>
      </c>
      <c r="N2006">
        <f>(M2006-F2006)</f>
        <v/>
      </c>
    </row>
    <row r="2007" ht="15" customHeight="1">
      <c r="A2007" s="2" t="inlineStr"/>
      <c r="B2007" s="2" t="inlineStr"/>
      <c r="C2007" s="2" t="inlineStr"/>
      <c r="D2007" s="2" t="inlineStr"/>
      <c r="E2007" s="26" t="inlineStr">
        <is>
          <t>TOTAL Equipamento:</t>
        </is>
      </c>
      <c r="F2007" s="56" t="n"/>
      <c r="G2007" s="65">
        <f>SUM(G2006:G2006)</f>
        <v/>
      </c>
    </row>
    <row r="2008" ht="15" customHeight="1">
      <c r="A2008" s="2" t="inlineStr"/>
      <c r="B2008" s="2" t="inlineStr"/>
      <c r="C2008" s="2" t="inlineStr"/>
      <c r="D2008" s="2" t="inlineStr"/>
      <c r="E2008" s="28" t="inlineStr">
        <is>
          <t>VALOR:</t>
        </is>
      </c>
      <c r="F2008" s="56" t="n"/>
      <c r="G2008" s="66">
        <f>ROUND(SUM(G2007),2)</f>
        <v/>
      </c>
    </row>
    <row r="2009" ht="15" customHeight="1">
      <c r="A2009" s="2" t="inlineStr"/>
      <c r="B2009" s="2" t="inlineStr"/>
      <c r="C2009" s="2" t="inlineStr"/>
      <c r="D2009" s="2" t="inlineStr"/>
      <c r="E2009" s="28" t="inlineStr">
        <is>
          <t>VALOR BDI (23.08%):</t>
        </is>
      </c>
      <c r="F2009" s="56" t="n"/>
      <c r="G2009" s="66">
        <f>ROUNDDOWN(G2008*BDI,2)</f>
        <v/>
      </c>
    </row>
    <row r="2010" ht="15" customHeight="1">
      <c r="A2010" s="2" t="inlineStr"/>
      <c r="B2010" s="2" t="inlineStr"/>
      <c r="C2010" s="2" t="inlineStr"/>
      <c r="D2010" s="2" t="inlineStr"/>
      <c r="E2010" s="28" t="inlineStr">
        <is>
          <t>VALOR COM BDI:</t>
        </is>
      </c>
      <c r="F2010" s="56" t="n"/>
      <c r="G2010" s="66">
        <f>G2009 + G2008</f>
        <v/>
      </c>
    </row>
    <row r="2011" ht="10" customHeight="1">
      <c r="A2011" s="2" t="inlineStr"/>
      <c r="B2011" s="2" t="inlineStr"/>
      <c r="C2011" s="2" t="inlineStr"/>
      <c r="D2011" s="2" t="inlineStr"/>
      <c r="E2011" s="18" t="inlineStr"/>
    </row>
    <row r="2012" ht="20" customHeight="1">
      <c r="A2012" s="19" t="inlineStr">
        <is>
          <t>​88903​ ESCAVADEIRA HIDRÁULICA SOBRE ESTEIRAS, CAÇAMBA 1,20 M3, PESO OPERACIONAL 21 T, POTÊNCIA BRUTA 155 HP - MANUTENÇÃO. AF_06/2014​ (H)</t>
        </is>
      </c>
      <c r="B2012" s="55" t="n"/>
      <c r="C2012" s="55" t="n"/>
      <c r="D2012" s="55" t="n"/>
      <c r="E2012" s="55" t="n"/>
      <c r="F2012" s="55" t="n"/>
      <c r="G2012" s="56" t="n"/>
    </row>
    <row r="2013" ht="15" customHeight="1">
      <c r="A2013" s="20" t="inlineStr">
        <is>
          <t>Equipamento</t>
        </is>
      </c>
      <c r="B2013" s="56" t="n"/>
      <c r="C2013" s="21" t="inlineStr">
        <is>
          <t>FONTE</t>
        </is>
      </c>
      <c r="D2013" s="21" t="inlineStr">
        <is>
          <t>UNID</t>
        </is>
      </c>
      <c r="E2013" s="21" t="inlineStr">
        <is>
          <t>COEFICIENTE</t>
        </is>
      </c>
      <c r="F2013" s="21" t="inlineStr">
        <is>
          <t>PREÇO UNITÁRIO</t>
        </is>
      </c>
      <c r="G2013" s="21" t="inlineStr">
        <is>
          <t>TOTAL</t>
        </is>
      </c>
    </row>
    <row r="2014" ht="29" customHeight="1">
      <c r="A2014" s="22" t="inlineStr">
        <is>
          <t>00014525</t>
        </is>
      </c>
      <c r="B2014" s="23" t="inlineStr">
        <is>
          <t>ESCAVADEIRA HIDRAULICA SOBRE ESTEIRAS COM CACAMBA DE 1,20 M3, PESO OPERACIONAL 21 T, POTENCIA BRUTA 155 HP</t>
        </is>
      </c>
      <c r="C2014" s="22" t="inlineStr">
        <is>
          <t>SINAPI</t>
        </is>
      </c>
      <c r="D2014" s="22" t="inlineStr">
        <is>
          <t>UN</t>
        </is>
      </c>
      <c r="E2014" s="63" t="n">
        <v>6.999999999999999e-05</v>
      </c>
      <c r="F2014" s="64" t="n">
        <v>968363.6</v>
      </c>
      <c r="G2014" s="64">
        <f>TRUNC(TRUNC(E2014,8)*F2014,2)</f>
        <v/>
      </c>
      <c r="M2014" t="n">
        <v>968363.6</v>
      </c>
      <c r="N2014">
        <f>(M2014-F2014)</f>
        <v/>
      </c>
    </row>
    <row r="2015" ht="15" customHeight="1">
      <c r="A2015" s="2" t="inlineStr"/>
      <c r="B2015" s="2" t="inlineStr"/>
      <c r="C2015" s="2" t="inlineStr"/>
      <c r="D2015" s="2" t="inlineStr"/>
      <c r="E2015" s="26" t="inlineStr">
        <is>
          <t>TOTAL Equipamento:</t>
        </is>
      </c>
      <c r="F2015" s="56" t="n"/>
      <c r="G2015" s="65">
        <f>SUM(G2014:G2014)</f>
        <v/>
      </c>
    </row>
    <row r="2016" ht="15" customHeight="1">
      <c r="A2016" s="2" t="inlineStr"/>
      <c r="B2016" s="2" t="inlineStr"/>
      <c r="C2016" s="2" t="inlineStr"/>
      <c r="D2016" s="2" t="inlineStr"/>
      <c r="E2016" s="28" t="inlineStr">
        <is>
          <t>VALOR:</t>
        </is>
      </c>
      <c r="F2016" s="56" t="n"/>
      <c r="G2016" s="66">
        <f>ROUND(SUM(G2015),2)</f>
        <v/>
      </c>
    </row>
    <row r="2017" ht="15" customHeight="1">
      <c r="A2017" s="2" t="inlineStr"/>
      <c r="B2017" s="2" t="inlineStr"/>
      <c r="C2017" s="2" t="inlineStr"/>
      <c r="D2017" s="2" t="inlineStr"/>
      <c r="E2017" s="28" t="inlineStr">
        <is>
          <t>VALOR BDI (23.08%):</t>
        </is>
      </c>
      <c r="F2017" s="56" t="n"/>
      <c r="G2017" s="66">
        <f>ROUNDDOWN(G2016*BDI,2)</f>
        <v/>
      </c>
    </row>
    <row r="2018" ht="15" customHeight="1">
      <c r="A2018" s="2" t="inlineStr"/>
      <c r="B2018" s="2" t="inlineStr"/>
      <c r="C2018" s="2" t="inlineStr"/>
      <c r="D2018" s="2" t="inlineStr"/>
      <c r="E2018" s="28" t="inlineStr">
        <is>
          <t>VALOR COM BDI:</t>
        </is>
      </c>
      <c r="F2018" s="56" t="n"/>
      <c r="G2018" s="66">
        <f>G2017 + G2016</f>
        <v/>
      </c>
    </row>
    <row r="2019" ht="10" customHeight="1">
      <c r="A2019" s="2" t="inlineStr"/>
      <c r="B2019" s="2" t="inlineStr"/>
      <c r="C2019" s="2" t="inlineStr"/>
      <c r="D2019" s="2" t="inlineStr"/>
      <c r="E2019" s="18" t="inlineStr"/>
    </row>
    <row r="2020" ht="20" customHeight="1">
      <c r="A2020" s="19" t="inlineStr">
        <is>
          <t>​88904​ ESCAVADEIRA HIDRÁULICA SOBRE ESTEIRAS, CAÇAMBA 1,20 M3, PESO OPERACIONAL 21 T, POTÊNCIA BRUTA 155 HP - MATERIAIS NA OPERAÇÃO. AF_06/2014​ (H)</t>
        </is>
      </c>
      <c r="B2020" s="55" t="n"/>
      <c r="C2020" s="55" t="n"/>
      <c r="D2020" s="55" t="n"/>
      <c r="E2020" s="55" t="n"/>
      <c r="F2020" s="55" t="n"/>
      <c r="G2020" s="56" t="n"/>
    </row>
    <row r="2021" ht="15" customHeight="1">
      <c r="A2021" s="20" t="inlineStr">
        <is>
          <t>Material</t>
        </is>
      </c>
      <c r="B2021" s="56" t="n"/>
      <c r="C2021" s="21" t="inlineStr">
        <is>
          <t>FONTE</t>
        </is>
      </c>
      <c r="D2021" s="21" t="inlineStr">
        <is>
          <t>UNID</t>
        </is>
      </c>
      <c r="E2021" s="21" t="inlineStr">
        <is>
          <t>COEFICIENTE</t>
        </is>
      </c>
      <c r="F2021" s="21" t="inlineStr">
        <is>
          <t>PREÇO UNITÁRIO</t>
        </is>
      </c>
      <c r="G2021" s="21" t="inlineStr">
        <is>
          <t>TOTAL</t>
        </is>
      </c>
    </row>
    <row r="2022" ht="21" customHeight="1">
      <c r="A2022" s="22" t="inlineStr">
        <is>
          <t>00004221</t>
        </is>
      </c>
      <c r="B2022" s="23" t="inlineStr">
        <is>
          <t>OLEO DIESEL COMBUSTIVEL COMUM METROPOLITANO S-10 OU S-500</t>
        </is>
      </c>
      <c r="C2022" s="22" t="inlineStr">
        <is>
          <t>SINAPI</t>
        </is>
      </c>
      <c r="D2022" s="22" t="inlineStr">
        <is>
          <t>L</t>
        </is>
      </c>
      <c r="E2022" s="63" t="n">
        <v>15.03</v>
      </c>
      <c r="F2022" s="64" t="n">
        <v>6</v>
      </c>
      <c r="G2022" s="64">
        <f>TRUNC(TRUNC(E2022,8)*F2022,2)</f>
        <v/>
      </c>
      <c r="L2022" t="n">
        <v>15.03</v>
      </c>
      <c r="M2022" t="n">
        <v>6</v>
      </c>
      <c r="N2022">
        <f>(M2022-F2022)</f>
        <v/>
      </c>
    </row>
    <row r="2023" ht="15" customHeight="1">
      <c r="A2023" s="2" t="inlineStr"/>
      <c r="B2023" s="2" t="inlineStr"/>
      <c r="C2023" s="2" t="inlineStr"/>
      <c r="D2023" s="2" t="inlineStr"/>
      <c r="E2023" s="26" t="inlineStr">
        <is>
          <t>TOTAL Material:</t>
        </is>
      </c>
      <c r="F2023" s="56" t="n"/>
      <c r="G2023" s="65">
        <f>SUM(G2022:G2022)</f>
        <v/>
      </c>
    </row>
    <row r="2024" ht="15" customHeight="1">
      <c r="A2024" s="2" t="inlineStr"/>
      <c r="B2024" s="2" t="inlineStr"/>
      <c r="C2024" s="2" t="inlineStr"/>
      <c r="D2024" s="2" t="inlineStr"/>
      <c r="E2024" s="28" t="inlineStr">
        <is>
          <t>VALOR:</t>
        </is>
      </c>
      <c r="F2024" s="56" t="n"/>
      <c r="G2024" s="66">
        <f>ROUND(SUM(G2023),2)</f>
        <v/>
      </c>
    </row>
    <row r="2025" ht="15" customHeight="1">
      <c r="A2025" s="2" t="inlineStr"/>
      <c r="B2025" s="2" t="inlineStr"/>
      <c r="C2025" s="2" t="inlineStr"/>
      <c r="D2025" s="2" t="inlineStr"/>
      <c r="E2025" s="28" t="inlineStr">
        <is>
          <t>VALOR BDI (23.08%):</t>
        </is>
      </c>
      <c r="F2025" s="56" t="n"/>
      <c r="G2025" s="66">
        <f>ROUNDDOWN(G2024*BDI,2)</f>
        <v/>
      </c>
    </row>
    <row r="2026" ht="15" customHeight="1">
      <c r="A2026" s="2" t="inlineStr"/>
      <c r="B2026" s="2" t="inlineStr"/>
      <c r="C2026" s="2" t="inlineStr"/>
      <c r="D2026" s="2" t="inlineStr"/>
      <c r="E2026" s="28" t="inlineStr">
        <is>
          <t>VALOR COM BDI:</t>
        </is>
      </c>
      <c r="F2026" s="56" t="n"/>
      <c r="G2026" s="66">
        <f>G2025 + G2024</f>
        <v/>
      </c>
    </row>
    <row r="2027" ht="10" customHeight="1">
      <c r="A2027" s="2" t="inlineStr"/>
      <c r="B2027" s="2" t="inlineStr"/>
      <c r="C2027" s="2" t="inlineStr"/>
      <c r="D2027" s="2" t="inlineStr"/>
      <c r="E2027" s="18" t="inlineStr"/>
    </row>
    <row r="2028" ht="20" customHeight="1">
      <c r="A2028" s="19" t="inlineStr">
        <is>
          <t>​97114​ EXECUÇÃO DE JUNTAS DE CONTRAÇÃO PARA PAVIMENTOS DE CONCRETO. AF_04/2022​ (M)</t>
        </is>
      </c>
      <c r="B2028" s="55" t="n"/>
      <c r="C2028" s="55" t="n"/>
      <c r="D2028" s="55" t="n"/>
      <c r="E2028" s="55" t="n"/>
      <c r="F2028" s="55" t="n"/>
      <c r="G2028" s="56" t="n"/>
    </row>
    <row r="2029" ht="15" customHeight="1">
      <c r="A2029" s="20" t="inlineStr">
        <is>
          <t>Equipamento Custo Horário</t>
        </is>
      </c>
      <c r="B2029" s="56" t="n"/>
      <c r="C2029" s="21" t="inlineStr">
        <is>
          <t>FONTE</t>
        </is>
      </c>
      <c r="D2029" s="21" t="inlineStr">
        <is>
          <t>UNID</t>
        </is>
      </c>
      <c r="E2029" s="21" t="inlineStr">
        <is>
          <t>COEFICIENTE</t>
        </is>
      </c>
      <c r="F2029" s="21" t="inlineStr">
        <is>
          <t>PREÇO UNITÁRIO</t>
        </is>
      </c>
      <c r="G2029" s="21" t="inlineStr">
        <is>
          <t>TOTAL</t>
        </is>
      </c>
    </row>
    <row r="2030" ht="38" customHeight="1">
      <c r="A2030" s="22" t="inlineStr">
        <is>
          <t>91283</t>
        </is>
      </c>
      <c r="B2030" s="23" t="inlineStr">
        <is>
          <t>CORTADORA DE PISO COM MOTOR 4 TEMPOS A GASOLINA, POTÊNCIA DE 13 HP, COM DISCO DE CORTE DIAMANTADO SEGMENTADO PARA CONCRETO, DIÂMETRO DE 350 MM, FURO DE 1" (14 X 1") - CHP DIURNO. AF_08/2015</t>
        </is>
      </c>
      <c r="C2030" s="22" t="inlineStr">
        <is>
          <t>SINAPI</t>
        </is>
      </c>
      <c r="D2030" s="22" t="inlineStr">
        <is>
          <t>CHP</t>
        </is>
      </c>
      <c r="E2030" s="63" t="n">
        <v>0.00236</v>
      </c>
      <c r="F2030" s="64">
        <f>'COMPOSICOES AUXILIARES'!G1343</f>
        <v/>
      </c>
      <c r="G2030" s="64">
        <f>TRUNC(TRUNC(E2030,8)*F2030,2)</f>
        <v/>
      </c>
      <c r="L2030" t="n">
        <v>0.00236</v>
      </c>
      <c r="M2030" t="n">
        <v>10.36</v>
      </c>
      <c r="N2030">
        <f>(M2030-F2030)</f>
        <v/>
      </c>
    </row>
    <row r="2031" ht="18" customHeight="1">
      <c r="A2031" s="2" t="inlineStr"/>
      <c r="B2031" s="2" t="inlineStr"/>
      <c r="C2031" s="2" t="inlineStr"/>
      <c r="D2031" s="2" t="inlineStr"/>
      <c r="E2031" s="26" t="inlineStr">
        <is>
          <t>TOTAL Equipamento Custo Horário:</t>
        </is>
      </c>
      <c r="F2031" s="56" t="n"/>
      <c r="G2031" s="65">
        <f>SUM(G2030:G2030)</f>
        <v/>
      </c>
    </row>
    <row r="2032" ht="15" customHeight="1">
      <c r="A2032" s="20" t="inlineStr">
        <is>
          <t>Mão de Obra com Encargos Complementares</t>
        </is>
      </c>
      <c r="B2032" s="56" t="n"/>
      <c r="C2032" s="21" t="inlineStr">
        <is>
          <t>FONTE</t>
        </is>
      </c>
      <c r="D2032" s="21" t="inlineStr">
        <is>
          <t>UNID</t>
        </is>
      </c>
      <c r="E2032" s="21" t="inlineStr">
        <is>
          <t>COEFICIENTE</t>
        </is>
      </c>
      <c r="F2032" s="21" t="inlineStr">
        <is>
          <t>PREÇO UNITÁRIO</t>
        </is>
      </c>
      <c r="G2032" s="21" t="inlineStr">
        <is>
          <t>TOTAL</t>
        </is>
      </c>
    </row>
    <row r="2033" ht="15" customHeight="1">
      <c r="A2033" s="22" t="inlineStr">
        <is>
          <t>88309</t>
        </is>
      </c>
      <c r="B2033" s="23" t="inlineStr">
        <is>
          <t>PEDREIRO COM ENCARGOS COMPLEMENTARES</t>
        </is>
      </c>
      <c r="C2033" s="22" t="inlineStr">
        <is>
          <t>SINAPI</t>
        </is>
      </c>
      <c r="D2033" s="22" t="inlineStr">
        <is>
          <t>H</t>
        </is>
      </c>
      <c r="E2033" s="63">
        <f>L2033*FATOR</f>
        <v/>
      </c>
      <c r="F2033" s="64">
        <f>'COMPOSICOES AUXILIARES'!G1112</f>
        <v/>
      </c>
      <c r="G2033" s="64">
        <f>TRUNC(TRUNC(E2033,8)*F2033,2)</f>
        <v/>
      </c>
      <c r="L2033" t="n">
        <v>0.00715</v>
      </c>
      <c r="M2033" t="n">
        <v>30.58</v>
      </c>
      <c r="N2033">
        <f>(M2033-F2033)</f>
        <v/>
      </c>
    </row>
    <row r="2034" ht="15" customHeight="1">
      <c r="A2034" s="22" t="inlineStr">
        <is>
          <t>88316</t>
        </is>
      </c>
      <c r="B2034" s="23" t="inlineStr">
        <is>
          <t>SERVENTE COM ENCARGOS COMPLEMENTARES</t>
        </is>
      </c>
      <c r="C2034" s="22" t="inlineStr">
        <is>
          <t>SINAPI</t>
        </is>
      </c>
      <c r="D2034" s="22" t="inlineStr">
        <is>
          <t>H</t>
        </is>
      </c>
      <c r="E2034" s="63">
        <f>L2034*FATOR</f>
        <v/>
      </c>
      <c r="F2034" s="64">
        <f>'COMPOSICOES AUXILIARES'!G161</f>
        <v/>
      </c>
      <c r="G2034" s="64">
        <f>TRUNC(TRUNC(E2034,8)*F2034,2)</f>
        <v/>
      </c>
      <c r="L2034" t="n">
        <v>0.007860000000000001</v>
      </c>
      <c r="M2034" t="n">
        <v>23.56</v>
      </c>
      <c r="N2034">
        <f>(M2034-F2034)</f>
        <v/>
      </c>
    </row>
    <row r="2035" ht="18" customHeight="1">
      <c r="A2035" s="2" t="inlineStr"/>
      <c r="B2035" s="2" t="inlineStr"/>
      <c r="C2035" s="2" t="inlineStr"/>
      <c r="D2035" s="2" t="inlineStr"/>
      <c r="E2035" s="26" t="inlineStr">
        <is>
          <t>TOTAL Mão de Obra com Encargos Complementares:</t>
        </is>
      </c>
      <c r="F2035" s="56" t="n"/>
      <c r="G2035" s="65">
        <f>SUM(G2033:G2034)</f>
        <v/>
      </c>
    </row>
    <row r="2036" ht="15" customHeight="1">
      <c r="A2036" s="2" t="inlineStr"/>
      <c r="B2036" s="2" t="inlineStr"/>
      <c r="C2036" s="2" t="inlineStr"/>
      <c r="D2036" s="2" t="inlineStr"/>
      <c r="E2036" s="28" t="inlineStr">
        <is>
          <t>VALOR:</t>
        </is>
      </c>
      <c r="F2036" s="56" t="n"/>
      <c r="G2036" s="66">
        <f>SUM(G2035,G2031)</f>
        <v/>
      </c>
    </row>
    <row r="2037" ht="15" customHeight="1">
      <c r="A2037" s="2" t="inlineStr"/>
      <c r="B2037" s="2" t="inlineStr"/>
      <c r="C2037" s="2" t="inlineStr"/>
      <c r="D2037" s="2" t="inlineStr"/>
      <c r="E2037" s="28" t="inlineStr">
        <is>
          <t>VALOR BDI (23.08%):</t>
        </is>
      </c>
      <c r="F2037" s="56" t="n"/>
      <c r="G2037" s="66">
        <f>ROUNDDOWN(G2036*BDI,2)</f>
        <v/>
      </c>
    </row>
    <row r="2038" ht="15" customHeight="1">
      <c r="A2038" s="2" t="inlineStr"/>
      <c r="B2038" s="2" t="inlineStr"/>
      <c r="C2038" s="2" t="inlineStr"/>
      <c r="D2038" s="2" t="inlineStr"/>
      <c r="E2038" s="28" t="inlineStr">
        <is>
          <t>VALOR COM BDI:</t>
        </is>
      </c>
      <c r="F2038" s="56" t="n"/>
      <c r="G2038" s="66">
        <f>G2037 + G2036</f>
        <v/>
      </c>
    </row>
    <row r="2039" ht="10" customHeight="1">
      <c r="A2039" s="2" t="inlineStr"/>
      <c r="B2039" s="2" t="inlineStr"/>
      <c r="C2039" s="2" t="inlineStr"/>
      <c r="D2039" s="2" t="inlineStr"/>
      <c r="E2039" s="18" t="inlineStr"/>
    </row>
    <row r="2040" ht="20" customHeight="1">
      <c r="A2040" s="19" t="inlineStr">
        <is>
          <t>​101791​ FABRICAÇÃO DE ESCORAS DO TIPO PONTALETE, EM MADEIRA, PARA PÉ-DIREITO DUPLO. AF_09/2020​ (M)</t>
        </is>
      </c>
      <c r="B2040" s="55" t="n"/>
      <c r="C2040" s="55" t="n"/>
      <c r="D2040" s="55" t="n"/>
      <c r="E2040" s="55" t="n"/>
      <c r="F2040" s="55" t="n"/>
      <c r="G2040" s="56" t="n"/>
    </row>
    <row r="2041" ht="15" customHeight="1">
      <c r="A2041" s="20" t="inlineStr">
        <is>
          <t>Equipamento Custo Horário</t>
        </is>
      </c>
      <c r="B2041" s="56" t="n"/>
      <c r="C2041" s="21" t="inlineStr">
        <is>
          <t>FONTE</t>
        </is>
      </c>
      <c r="D2041" s="21" t="inlineStr">
        <is>
          <t>UNID</t>
        </is>
      </c>
      <c r="E2041" s="21" t="inlineStr">
        <is>
          <t>COEFICIENTE</t>
        </is>
      </c>
      <c r="F2041" s="21" t="inlineStr">
        <is>
          <t>PREÇO UNITÁRIO</t>
        </is>
      </c>
      <c r="G2041" s="21" t="inlineStr">
        <is>
          <t>TOTAL</t>
        </is>
      </c>
    </row>
    <row r="2042" ht="29" customHeight="1">
      <c r="A2042" s="22" t="inlineStr">
        <is>
          <t>91693</t>
        </is>
      </c>
      <c r="B2042" s="23" t="inlineStr">
        <is>
          <t>SERRA CIRCULAR DE BANCADA COM MOTOR ELÉTRICO POTÊNCIA DE 5HP, COM COIFA PARA DISCO 10" - CHI DIURNO. AF_08/2015</t>
        </is>
      </c>
      <c r="C2042" s="22" t="inlineStr">
        <is>
          <t>SINAPI</t>
        </is>
      </c>
      <c r="D2042" s="22" t="inlineStr">
        <is>
          <t>CHI</t>
        </is>
      </c>
      <c r="E2042" s="63" t="n">
        <v>0.018</v>
      </c>
      <c r="F2042" s="64" t="n">
        <v>35.72</v>
      </c>
      <c r="G2042" s="64">
        <f>TRUNC(TRUNC(E2042,8)*F2042,2)</f>
        <v/>
      </c>
      <c r="L2042" t="n">
        <v>0.018</v>
      </c>
      <c r="M2042" t="n">
        <v>35.72</v>
      </c>
      <c r="N2042">
        <f>(M2042-F2042)</f>
        <v/>
      </c>
    </row>
    <row r="2043" ht="29" customHeight="1">
      <c r="A2043" s="22" t="inlineStr">
        <is>
          <t>91692</t>
        </is>
      </c>
      <c r="B2043" s="23" t="inlineStr">
        <is>
          <t>SERRA CIRCULAR DE BANCADA COM MOTOR ELÉTRICO POTÊNCIA DE 5HP, COM COIFA PARA DISCO 10" - CHP DIURNO. AF_08/2015</t>
        </is>
      </c>
      <c r="C2043" s="22" t="inlineStr">
        <is>
          <t>SINAPI</t>
        </is>
      </c>
      <c r="D2043" s="22" t="inlineStr">
        <is>
          <t>CHP</t>
        </is>
      </c>
      <c r="E2043" s="63" t="n">
        <v>0.004</v>
      </c>
      <c r="F2043" s="64" t="n">
        <v>37.16</v>
      </c>
      <c r="G2043" s="64">
        <f>TRUNC(TRUNC(E2043,8)*F2043,2)</f>
        <v/>
      </c>
      <c r="L2043" t="n">
        <v>0.004</v>
      </c>
      <c r="M2043" t="n">
        <v>37.16</v>
      </c>
      <c r="N2043">
        <f>(M2043-F2043)</f>
        <v/>
      </c>
    </row>
    <row r="2044" ht="18" customHeight="1">
      <c r="A2044" s="2" t="inlineStr"/>
      <c r="B2044" s="2" t="inlineStr"/>
      <c r="C2044" s="2" t="inlineStr"/>
      <c r="D2044" s="2" t="inlineStr"/>
      <c r="E2044" s="26" t="inlineStr">
        <is>
          <t>TOTAL Equipamento Custo Horário:</t>
        </is>
      </c>
      <c r="F2044" s="56" t="n"/>
      <c r="G2044" s="65">
        <f>SUM(G2042:G2043)</f>
        <v/>
      </c>
    </row>
    <row r="2045" ht="15" customHeight="1">
      <c r="A2045" s="20" t="inlineStr">
        <is>
          <t>Material</t>
        </is>
      </c>
      <c r="B2045" s="56" t="n"/>
      <c r="C2045" s="21" t="inlineStr">
        <is>
          <t>FONTE</t>
        </is>
      </c>
      <c r="D2045" s="21" t="inlineStr">
        <is>
          <t>UNID</t>
        </is>
      </c>
      <c r="E2045" s="21" t="inlineStr">
        <is>
          <t>COEFICIENTE</t>
        </is>
      </c>
      <c r="F2045" s="21" t="inlineStr">
        <is>
          <t>PREÇO UNITÁRIO</t>
        </is>
      </c>
      <c r="G2045" s="21" t="inlineStr">
        <is>
          <t>TOTAL</t>
        </is>
      </c>
    </row>
    <row r="2046" ht="21" customHeight="1">
      <c r="A2046" s="22" t="inlineStr">
        <is>
          <t>00004491</t>
        </is>
      </c>
      <c r="B2046" s="23" t="inlineStr">
        <is>
          <t>PONTALETE *7,5 X 7,5* CM EM PINUS, MISTA OU EQUIVALENTE DA REGIAO - BRUTA</t>
        </is>
      </c>
      <c r="C2046" s="22" t="inlineStr">
        <is>
          <t>SINAPI</t>
        </is>
      </c>
      <c r="D2046" s="22" t="inlineStr">
        <is>
          <t>M</t>
        </is>
      </c>
      <c r="E2046" s="63" t="n">
        <v>0.196</v>
      </c>
      <c r="F2046" s="64">
        <f>ROUND(M2046*FATOR, 2)</f>
        <v/>
      </c>
      <c r="G2046" s="64">
        <f>TRUNC(TRUNC(E2046,8)*F2046,2)</f>
        <v/>
      </c>
      <c r="L2046" t="n">
        <v>0.196</v>
      </c>
      <c r="M2046" t="n">
        <v>11.05</v>
      </c>
      <c r="N2046">
        <f>(M2046-F2046)</f>
        <v/>
      </c>
    </row>
    <row r="2047" ht="15" customHeight="1">
      <c r="A2047" s="22" t="inlineStr">
        <is>
          <t>00005068</t>
        </is>
      </c>
      <c r="B2047" s="23" t="inlineStr">
        <is>
          <t>PREGO DE ACO POLIDO COM CABECA 17 X 21 (2 X 11)</t>
        </is>
      </c>
      <c r="C2047" s="22" t="inlineStr">
        <is>
          <t>SINAPI</t>
        </is>
      </c>
      <c r="D2047" s="22" t="inlineStr">
        <is>
          <t>KG</t>
        </is>
      </c>
      <c r="E2047" s="63" t="n">
        <v>0.013</v>
      </c>
      <c r="F2047" s="64">
        <f>ROUND(M2047*FATOR, 2)</f>
        <v/>
      </c>
      <c r="G2047" s="64">
        <f>TRUNC(TRUNC(E2047,8)*F2047,2)</f>
        <v/>
      </c>
      <c r="L2047" t="n">
        <v>0.013</v>
      </c>
      <c r="M2047" t="n">
        <v>14.19</v>
      </c>
      <c r="N2047">
        <f>(M2047-F2047)</f>
        <v/>
      </c>
    </row>
    <row r="2048" ht="21" customHeight="1">
      <c r="A2048" s="22" t="inlineStr">
        <is>
          <t>00004448</t>
        </is>
      </c>
      <c r="B2048" s="23" t="inlineStr">
        <is>
          <t>VIGA *7,5 X 15 CM EM PINUS, MISTA OU EQUIVALENTE DA REGIAO - BRUTA</t>
        </is>
      </c>
      <c r="C2048" s="22" t="inlineStr">
        <is>
          <t>SINAPI</t>
        </is>
      </c>
      <c r="D2048" s="22" t="inlineStr">
        <is>
          <t>M</t>
        </is>
      </c>
      <c r="E2048" s="63" t="n">
        <v>1.006</v>
      </c>
      <c r="F2048" s="64">
        <f>ROUND(M2048*FATOR, 2)</f>
        <v/>
      </c>
      <c r="G2048" s="64">
        <f>TRUNC(TRUNC(E2048,8)*F2048,2)</f>
        <v/>
      </c>
      <c r="L2048" t="n">
        <v>1.006</v>
      </c>
      <c r="M2048" t="n">
        <v>29.27</v>
      </c>
      <c r="N2048">
        <f>(M2048-F2048)</f>
        <v/>
      </c>
    </row>
    <row r="2049" ht="15" customHeight="1">
      <c r="A2049" s="2" t="inlineStr"/>
      <c r="B2049" s="2" t="inlineStr"/>
      <c r="C2049" s="2" t="inlineStr"/>
      <c r="D2049" s="2" t="inlineStr"/>
      <c r="E2049" s="26" t="inlineStr">
        <is>
          <t>TOTAL Material:</t>
        </is>
      </c>
      <c r="F2049" s="56" t="n"/>
      <c r="G2049" s="65">
        <f>SUM(G2046:G2048)</f>
        <v/>
      </c>
    </row>
    <row r="2050" ht="15" customHeight="1">
      <c r="A2050" s="20" t="inlineStr">
        <is>
          <t>Mão de Obra com Encargos Complementares</t>
        </is>
      </c>
      <c r="B2050" s="56" t="n"/>
      <c r="C2050" s="21" t="inlineStr">
        <is>
          <t>FONTE</t>
        </is>
      </c>
      <c r="D2050" s="21" t="inlineStr">
        <is>
          <t>UNID</t>
        </is>
      </c>
      <c r="E2050" s="21" t="inlineStr">
        <is>
          <t>COEFICIENTE</t>
        </is>
      </c>
      <c r="F2050" s="21" t="inlineStr">
        <is>
          <t>PREÇO UNITÁRIO</t>
        </is>
      </c>
      <c r="G2050" s="21" t="inlineStr">
        <is>
          <t>TOTAL</t>
        </is>
      </c>
    </row>
    <row r="2051" ht="21" customHeight="1">
      <c r="A2051" s="22" t="inlineStr">
        <is>
          <t>88239</t>
        </is>
      </c>
      <c r="B2051" s="23" t="inlineStr">
        <is>
          <t>AJUDANTE DE CARPINTEIRO COM ENCARGOS COMPLEMENTARES</t>
        </is>
      </c>
      <c r="C2051" s="22" t="inlineStr">
        <is>
          <t>SINAPI</t>
        </is>
      </c>
      <c r="D2051" s="22" t="inlineStr">
        <is>
          <t>H</t>
        </is>
      </c>
      <c r="E2051" s="63">
        <f>L2051*FATOR</f>
        <v/>
      </c>
      <c r="F2051" s="64">
        <f>'COMPOSICOES AUXILIARES'!G68</f>
        <v/>
      </c>
      <c r="G2051" s="64">
        <f>TRUNC(TRUNC(E2051,8)*F2051,2)</f>
        <v/>
      </c>
      <c r="L2051" t="n">
        <v>0.012</v>
      </c>
      <c r="M2051" t="n">
        <v>24.61</v>
      </c>
      <c r="N2051">
        <f>(M2051-F2051)</f>
        <v/>
      </c>
    </row>
    <row r="2052" ht="21" customHeight="1">
      <c r="A2052" s="22" t="inlineStr">
        <is>
          <t>88262</t>
        </is>
      </c>
      <c r="B2052" s="23" t="inlineStr">
        <is>
          <t>CARPINTEIRO DE FORMAS COM ENCARGOS COMPLEMENTARES</t>
        </is>
      </c>
      <c r="C2052" s="22" t="inlineStr">
        <is>
          <t>SINAPI</t>
        </is>
      </c>
      <c r="D2052" s="22" t="inlineStr">
        <is>
          <t>H</t>
        </is>
      </c>
      <c r="E2052" s="63">
        <f>L2052*FATOR</f>
        <v/>
      </c>
      <c r="F2052" s="64">
        <f>'COMPOSICOES AUXILIARES'!G943</f>
        <v/>
      </c>
      <c r="G2052" s="64">
        <f>TRUNC(TRUNC(E2052,8)*F2052,2)</f>
        <v/>
      </c>
      <c r="L2052" t="n">
        <v>0.05</v>
      </c>
      <c r="M2052" t="n">
        <v>30.15</v>
      </c>
      <c r="N2052">
        <f>(M2052-F2052)</f>
        <v/>
      </c>
    </row>
    <row r="2053" ht="18" customHeight="1">
      <c r="A2053" s="2" t="inlineStr"/>
      <c r="B2053" s="2" t="inlineStr"/>
      <c r="C2053" s="2" t="inlineStr"/>
      <c r="D2053" s="2" t="inlineStr"/>
      <c r="E2053" s="26" t="inlineStr">
        <is>
          <t>TOTAL Mão de Obra com Encargos Complementares:</t>
        </is>
      </c>
      <c r="F2053" s="56" t="n"/>
      <c r="G2053" s="65">
        <f>SUM(G2051:G2052)</f>
        <v/>
      </c>
    </row>
    <row r="2054" ht="15" customHeight="1">
      <c r="A2054" s="2" t="inlineStr"/>
      <c r="B2054" s="2" t="inlineStr"/>
      <c r="C2054" s="2" t="inlineStr"/>
      <c r="D2054" s="2" t="inlineStr"/>
      <c r="E2054" s="28" t="inlineStr">
        <is>
          <t>VALOR:</t>
        </is>
      </c>
      <c r="F2054" s="56" t="n"/>
      <c r="G2054" s="66">
        <f>SUM(G2049,G2053)</f>
        <v/>
      </c>
    </row>
    <row r="2055" ht="15" customHeight="1">
      <c r="A2055" s="2" t="inlineStr"/>
      <c r="B2055" s="2" t="inlineStr"/>
      <c r="C2055" s="2" t="inlineStr"/>
      <c r="D2055" s="2" t="inlineStr"/>
      <c r="E2055" s="28" t="inlineStr">
        <is>
          <t>VALOR BDI (23.08%):</t>
        </is>
      </c>
      <c r="F2055" s="56" t="n"/>
      <c r="G2055" s="66">
        <f>ROUNDDOWN(G2054*BDI,2)</f>
        <v/>
      </c>
    </row>
    <row r="2056" ht="15" customHeight="1">
      <c r="A2056" s="2" t="inlineStr"/>
      <c r="B2056" s="2" t="inlineStr"/>
      <c r="C2056" s="2" t="inlineStr"/>
      <c r="D2056" s="2" t="inlineStr"/>
      <c r="E2056" s="28" t="inlineStr">
        <is>
          <t>VALOR COM BDI:</t>
        </is>
      </c>
      <c r="F2056" s="56" t="n"/>
      <c r="G2056" s="66">
        <f>G2055 + G2054</f>
        <v/>
      </c>
    </row>
    <row r="2057" ht="10" customHeight="1">
      <c r="A2057" s="2" t="inlineStr"/>
      <c r="B2057" s="2" t="inlineStr"/>
      <c r="C2057" s="2" t="inlineStr"/>
      <c r="D2057" s="2" t="inlineStr"/>
      <c r="E2057" s="18" t="inlineStr"/>
    </row>
    <row r="2058" ht="20" customHeight="1">
      <c r="A2058" s="19" t="inlineStr">
        <is>
          <t>​92273​ FABRICAÇÃO DE ESCORAS DO TIPO PONTALETE, EM MADEIRA, PARA PÉ-DIREITO SIMPLES. AF_09/2020​ (M)</t>
        </is>
      </c>
      <c r="B2058" s="55" t="n"/>
      <c r="C2058" s="55" t="n"/>
      <c r="D2058" s="55" t="n"/>
      <c r="E2058" s="55" t="n"/>
      <c r="F2058" s="55" t="n"/>
      <c r="G2058" s="56" t="n"/>
    </row>
    <row r="2059" ht="15" customHeight="1">
      <c r="A2059" s="20" t="inlineStr">
        <is>
          <t>Equipamento Custo Horário</t>
        </is>
      </c>
      <c r="B2059" s="56" t="n"/>
      <c r="C2059" s="21" t="inlineStr">
        <is>
          <t>FONTE</t>
        </is>
      </c>
      <c r="D2059" s="21" t="inlineStr">
        <is>
          <t>UNID</t>
        </is>
      </c>
      <c r="E2059" s="21" t="inlineStr">
        <is>
          <t>COEFICIENTE</t>
        </is>
      </c>
      <c r="F2059" s="21" t="inlineStr">
        <is>
          <t>PREÇO UNITÁRIO</t>
        </is>
      </c>
      <c r="G2059" s="21" t="inlineStr">
        <is>
          <t>TOTAL</t>
        </is>
      </c>
    </row>
    <row r="2060" ht="29" customHeight="1">
      <c r="A2060" s="22" t="inlineStr">
        <is>
          <t>91693</t>
        </is>
      </c>
      <c r="B2060" s="23" t="inlineStr">
        <is>
          <t>SERRA CIRCULAR DE BANCADA COM MOTOR ELÉTRICO POTÊNCIA DE 5HP, COM COIFA PARA DISCO 10" - CHI DIURNO. AF_08/2015</t>
        </is>
      </c>
      <c r="C2060" s="22" t="inlineStr">
        <is>
          <t>SINAPI</t>
        </is>
      </c>
      <c r="D2060" s="22" t="inlineStr">
        <is>
          <t>CHI</t>
        </is>
      </c>
      <c r="E2060" s="63" t="n">
        <v>0.03</v>
      </c>
      <c r="F2060" s="64">
        <f>'COMPOSICOES AUXILIARES'!G2054</f>
        <v/>
      </c>
      <c r="G2060" s="64">
        <f>TRUNC(TRUNC(E2060,8)*F2060,2)</f>
        <v/>
      </c>
      <c r="L2060" t="n">
        <v>0.03</v>
      </c>
      <c r="M2060" t="n">
        <v>35.72</v>
      </c>
      <c r="N2060">
        <f>(M2060-F2060)</f>
        <v/>
      </c>
    </row>
    <row r="2061" ht="29" customHeight="1">
      <c r="A2061" s="22" t="inlineStr">
        <is>
          <t>91692</t>
        </is>
      </c>
      <c r="B2061" s="23" t="inlineStr">
        <is>
          <t>SERRA CIRCULAR DE BANCADA COM MOTOR ELÉTRICO POTÊNCIA DE 5HP, COM COIFA PARA DISCO 10" - CHP DIURNO. AF_08/2015</t>
        </is>
      </c>
      <c r="C2061" s="22" t="inlineStr">
        <is>
          <t>SINAPI</t>
        </is>
      </c>
      <c r="D2061" s="22" t="inlineStr">
        <is>
          <t>CHP</t>
        </is>
      </c>
      <c r="E2061" s="63" t="n">
        <v>0.007</v>
      </c>
      <c r="F2061" s="64">
        <f>'COMPOSICOES AUXILIARES'!G2054</f>
        <v/>
      </c>
      <c r="G2061" s="64">
        <f>TRUNC(TRUNC(E2061,8)*F2061,2)</f>
        <v/>
      </c>
      <c r="L2061" t="n">
        <v>0.007</v>
      </c>
      <c r="M2061" t="n">
        <v>37.16</v>
      </c>
      <c r="N2061">
        <f>(M2061-F2061)</f>
        <v/>
      </c>
    </row>
    <row r="2062" ht="18" customHeight="1">
      <c r="A2062" s="2" t="inlineStr"/>
      <c r="B2062" s="2" t="inlineStr"/>
      <c r="C2062" s="2" t="inlineStr"/>
      <c r="D2062" s="2" t="inlineStr"/>
      <c r="E2062" s="26" t="inlineStr">
        <is>
          <t>TOTAL Equipamento Custo Horário:</t>
        </is>
      </c>
      <c r="F2062" s="56" t="n"/>
      <c r="G2062" s="65">
        <f>SUM(G2060:G2061)</f>
        <v/>
      </c>
    </row>
    <row r="2063" ht="15" customHeight="1">
      <c r="A2063" s="20" t="inlineStr">
        <is>
          <t>Material</t>
        </is>
      </c>
      <c r="B2063" s="56" t="n"/>
      <c r="C2063" s="21" t="inlineStr">
        <is>
          <t>FONTE</t>
        </is>
      </c>
      <c r="D2063" s="21" t="inlineStr">
        <is>
          <t>UNID</t>
        </is>
      </c>
      <c r="E2063" s="21" t="inlineStr">
        <is>
          <t>COEFICIENTE</t>
        </is>
      </c>
      <c r="F2063" s="21" t="inlineStr">
        <is>
          <t>PREÇO UNITÁRIO</t>
        </is>
      </c>
      <c r="G2063" s="21" t="inlineStr">
        <is>
          <t>TOTAL</t>
        </is>
      </c>
    </row>
    <row r="2064" ht="21" customHeight="1">
      <c r="A2064" s="22" t="inlineStr">
        <is>
          <t>00004491</t>
        </is>
      </c>
      <c r="B2064" s="23" t="inlineStr">
        <is>
          <t>PONTALETE *7,5 X 7,5* CM EM PINUS, MISTA OU EQUIVALENTE DA REGIAO - BRUTA</t>
        </is>
      </c>
      <c r="C2064" s="22" t="inlineStr">
        <is>
          <t>SINAPI</t>
        </is>
      </c>
      <c r="D2064" s="22" t="inlineStr">
        <is>
          <t>M</t>
        </is>
      </c>
      <c r="E2064" s="63" t="n">
        <v>1.31</v>
      </c>
      <c r="F2064" s="64">
        <f>ROUND(M2064*FATOR, 2)</f>
        <v/>
      </c>
      <c r="G2064" s="64">
        <f>TRUNC(TRUNC(E2064,8)*F2064,2)</f>
        <v/>
      </c>
      <c r="L2064" t="n">
        <v>1.31</v>
      </c>
      <c r="M2064" t="n">
        <v>11.05</v>
      </c>
      <c r="N2064">
        <f>(M2064-F2064)</f>
        <v/>
      </c>
    </row>
    <row r="2065" ht="15" customHeight="1">
      <c r="A2065" s="22" t="inlineStr">
        <is>
          <t>00005068</t>
        </is>
      </c>
      <c r="B2065" s="23" t="inlineStr">
        <is>
          <t>PREGO DE ACO POLIDO COM CABECA 17 X 21 (2 X 11)</t>
        </is>
      </c>
      <c r="C2065" s="22" t="inlineStr">
        <is>
          <t>SINAPI</t>
        </is>
      </c>
      <c r="D2065" s="22" t="inlineStr">
        <is>
          <t>KG</t>
        </is>
      </c>
      <c r="E2065" s="63" t="n">
        <v>0.023</v>
      </c>
      <c r="F2065" s="64">
        <f>ROUND(M2065*FATOR, 2)</f>
        <v/>
      </c>
      <c r="G2065" s="64">
        <f>TRUNC(TRUNC(E2065,8)*F2065,2)</f>
        <v/>
      </c>
      <c r="L2065" t="n">
        <v>0.023</v>
      </c>
      <c r="M2065" t="n">
        <v>14.19</v>
      </c>
      <c r="N2065">
        <f>(M2065-F2065)</f>
        <v/>
      </c>
    </row>
    <row r="2066" ht="15" customHeight="1">
      <c r="A2066" s="2" t="inlineStr"/>
      <c r="B2066" s="2" t="inlineStr"/>
      <c r="C2066" s="2" t="inlineStr"/>
      <c r="D2066" s="2" t="inlineStr"/>
      <c r="E2066" s="26" t="inlineStr">
        <is>
          <t>TOTAL Material:</t>
        </is>
      </c>
      <c r="F2066" s="56" t="n"/>
      <c r="G2066" s="65">
        <f>SUM(G2064:G2065)</f>
        <v/>
      </c>
    </row>
    <row r="2067" ht="15" customHeight="1">
      <c r="A2067" s="20" t="inlineStr">
        <is>
          <t>Mão de Obra com Encargos Complementares</t>
        </is>
      </c>
      <c r="B2067" s="56" t="n"/>
      <c r="C2067" s="21" t="inlineStr">
        <is>
          <t>FONTE</t>
        </is>
      </c>
      <c r="D2067" s="21" t="inlineStr">
        <is>
          <t>UNID</t>
        </is>
      </c>
      <c r="E2067" s="21" t="inlineStr">
        <is>
          <t>COEFICIENTE</t>
        </is>
      </c>
      <c r="F2067" s="21" t="inlineStr">
        <is>
          <t>PREÇO UNITÁRIO</t>
        </is>
      </c>
      <c r="G2067" s="21" t="inlineStr">
        <is>
          <t>TOTAL</t>
        </is>
      </c>
    </row>
    <row r="2068" ht="21" customHeight="1">
      <c r="A2068" s="22" t="inlineStr">
        <is>
          <t>88239</t>
        </is>
      </c>
      <c r="B2068" s="23" t="inlineStr">
        <is>
          <t>AJUDANTE DE CARPINTEIRO COM ENCARGOS COMPLEMENTARES</t>
        </is>
      </c>
      <c r="C2068" s="22" t="inlineStr">
        <is>
          <t>SINAPI</t>
        </is>
      </c>
      <c r="D2068" s="22" t="inlineStr">
        <is>
          <t>H</t>
        </is>
      </c>
      <c r="E2068" s="63">
        <f>L2068*FATOR</f>
        <v/>
      </c>
      <c r="F2068" s="64">
        <f>'COMPOSICOES AUXILIARES'!G68</f>
        <v/>
      </c>
      <c r="G2068" s="64">
        <f>TRUNC(TRUNC(E2068,8)*F2068,2)</f>
        <v/>
      </c>
      <c r="L2068" t="n">
        <v>0.021</v>
      </c>
      <c r="M2068" t="n">
        <v>24.61</v>
      </c>
      <c r="N2068">
        <f>(M2068-F2068)</f>
        <v/>
      </c>
    </row>
    <row r="2069" ht="21" customHeight="1">
      <c r="A2069" s="22" t="inlineStr">
        <is>
          <t>88262</t>
        </is>
      </c>
      <c r="B2069" s="23" t="inlineStr">
        <is>
          <t>CARPINTEIRO DE FORMAS COM ENCARGOS COMPLEMENTARES</t>
        </is>
      </c>
      <c r="C2069" s="22" t="inlineStr">
        <is>
          <t>SINAPI</t>
        </is>
      </c>
      <c r="D2069" s="22" t="inlineStr">
        <is>
          <t>H</t>
        </is>
      </c>
      <c r="E2069" s="63">
        <f>L2069*FATOR</f>
        <v/>
      </c>
      <c r="F2069" s="64">
        <f>'COMPOSICOES AUXILIARES'!G943</f>
        <v/>
      </c>
      <c r="G2069" s="64">
        <f>TRUNC(TRUNC(E2069,8)*F2069,2)</f>
        <v/>
      </c>
      <c r="L2069" t="n">
        <v>0.091</v>
      </c>
      <c r="M2069" t="n">
        <v>30.15</v>
      </c>
      <c r="N2069">
        <f>(M2069-F2069)</f>
        <v/>
      </c>
    </row>
    <row r="2070" ht="18" customHeight="1">
      <c r="A2070" s="2" t="inlineStr"/>
      <c r="B2070" s="2" t="inlineStr"/>
      <c r="C2070" s="2" t="inlineStr"/>
      <c r="D2070" s="2" t="inlineStr"/>
      <c r="E2070" s="26" t="inlineStr">
        <is>
          <t>TOTAL Mão de Obra com Encargos Complementares:</t>
        </is>
      </c>
      <c r="F2070" s="56" t="n"/>
      <c r="G2070" s="65">
        <f>SUM(G2068:G2069)</f>
        <v/>
      </c>
    </row>
    <row r="2071" ht="15" customHeight="1">
      <c r="A2071" s="2" t="inlineStr"/>
      <c r="B2071" s="2" t="inlineStr"/>
      <c r="C2071" s="2" t="inlineStr"/>
      <c r="D2071" s="2" t="inlineStr"/>
      <c r="E2071" s="28" t="inlineStr">
        <is>
          <t>VALOR:</t>
        </is>
      </c>
      <c r="F2071" s="56" t="n"/>
      <c r="G2071" s="66">
        <f>SUM(G2066,G2070,G2062)</f>
        <v/>
      </c>
    </row>
    <row r="2072" ht="15" customHeight="1">
      <c r="A2072" s="2" t="inlineStr"/>
      <c r="B2072" s="2" t="inlineStr"/>
      <c r="C2072" s="2" t="inlineStr"/>
      <c r="D2072" s="2" t="inlineStr"/>
      <c r="E2072" s="28" t="inlineStr">
        <is>
          <t>VALOR BDI (23.08%):</t>
        </is>
      </c>
      <c r="F2072" s="56" t="n"/>
      <c r="G2072" s="66">
        <f>ROUNDDOWN(G2071*BDI,2)</f>
        <v/>
      </c>
    </row>
    <row r="2073" ht="15" customHeight="1">
      <c r="A2073" s="2" t="inlineStr"/>
      <c r="B2073" s="2" t="inlineStr"/>
      <c r="C2073" s="2" t="inlineStr"/>
      <c r="D2073" s="2" t="inlineStr"/>
      <c r="E2073" s="28" t="inlineStr">
        <is>
          <t>VALOR COM BDI:</t>
        </is>
      </c>
      <c r="F2073" s="56" t="n"/>
      <c r="G2073" s="66">
        <f>G2072 + G2071</f>
        <v/>
      </c>
    </row>
    <row r="2074" ht="10" customHeight="1">
      <c r="A2074" s="2" t="inlineStr"/>
      <c r="B2074" s="2" t="inlineStr"/>
      <c r="C2074" s="2" t="inlineStr"/>
      <c r="D2074" s="2" t="inlineStr"/>
      <c r="E2074" s="18" t="inlineStr"/>
    </row>
    <row r="2075" ht="20" customHeight="1">
      <c r="A2075" s="19" t="inlineStr">
        <is>
          <t>​92268​ FABRICAÇÃO DE FÔRMA PARA LAJES, EM CHAPA DE MADEIRA COMPENSADA PLASTIFICADA, E = 18 MM. AF_09/2020​ (M2)</t>
        </is>
      </c>
      <c r="B2075" s="55" t="n"/>
      <c r="C2075" s="55" t="n"/>
      <c r="D2075" s="55" t="n"/>
      <c r="E2075" s="55" t="n"/>
      <c r="F2075" s="55" t="n"/>
      <c r="G2075" s="56" t="n"/>
    </row>
    <row r="2076" ht="15" customHeight="1">
      <c r="A2076" s="20" t="inlineStr">
        <is>
          <t>Equipamento Custo Horário</t>
        </is>
      </c>
      <c r="B2076" s="56" t="n"/>
      <c r="C2076" s="21" t="inlineStr">
        <is>
          <t>FONTE</t>
        </is>
      </c>
      <c r="D2076" s="21" t="inlineStr">
        <is>
          <t>UNID</t>
        </is>
      </c>
      <c r="E2076" s="21" t="inlineStr">
        <is>
          <t>COEFICIENTE</t>
        </is>
      </c>
      <c r="F2076" s="21" t="inlineStr">
        <is>
          <t>PREÇO UNITÁRIO</t>
        </is>
      </c>
      <c r="G2076" s="21" t="inlineStr">
        <is>
          <t>TOTAL</t>
        </is>
      </c>
    </row>
    <row r="2077" ht="29" customHeight="1">
      <c r="A2077" s="22" t="inlineStr">
        <is>
          <t>91693</t>
        </is>
      </c>
      <c r="B2077" s="23" t="inlineStr">
        <is>
          <t>SERRA CIRCULAR DE BANCADA COM MOTOR ELÉTRICO POTÊNCIA DE 5HP, COM COIFA PARA DISCO 10" - CHI DIURNO. AF_08/2015</t>
        </is>
      </c>
      <c r="C2077" s="22" t="inlineStr">
        <is>
          <t>SINAPI</t>
        </is>
      </c>
      <c r="D2077" s="22" t="inlineStr">
        <is>
          <t>CHI</t>
        </is>
      </c>
      <c r="E2077" s="63" t="n">
        <v>0.022</v>
      </c>
      <c r="F2077" s="64">
        <f>'COMPOSICOES AUXILIARES'!G2054</f>
        <v/>
      </c>
      <c r="G2077" s="64">
        <f>TRUNC(TRUNC(E2077,8)*F2077,2)</f>
        <v/>
      </c>
      <c r="L2077" t="n">
        <v>0.022</v>
      </c>
      <c r="M2077" t="n">
        <v>35.72</v>
      </c>
      <c r="N2077">
        <f>(M2077-F2077)</f>
        <v/>
      </c>
    </row>
    <row r="2078" ht="29" customHeight="1">
      <c r="A2078" s="22" t="inlineStr">
        <is>
          <t>91692</t>
        </is>
      </c>
      <c r="B2078" s="23" t="inlineStr">
        <is>
          <t>SERRA CIRCULAR DE BANCADA COM MOTOR ELÉTRICO POTÊNCIA DE 5HP, COM COIFA PARA DISCO 10" - CHP DIURNO. AF_08/2015</t>
        </is>
      </c>
      <c r="C2078" s="22" t="inlineStr">
        <is>
          <t>SINAPI</t>
        </is>
      </c>
      <c r="D2078" s="22" t="inlineStr">
        <is>
          <t>CHP</t>
        </is>
      </c>
      <c r="E2078" s="63" t="n">
        <v>0.005</v>
      </c>
      <c r="F2078" s="64">
        <f>'COMPOSICOES AUXILIARES'!G2054</f>
        <v/>
      </c>
      <c r="G2078" s="64">
        <f>TRUNC(TRUNC(E2078,8)*F2078,2)</f>
        <v/>
      </c>
      <c r="L2078" t="n">
        <v>0.005</v>
      </c>
      <c r="M2078" t="n">
        <v>37.16</v>
      </c>
      <c r="N2078">
        <f>(M2078-F2078)</f>
        <v/>
      </c>
    </row>
    <row r="2079" ht="18" customHeight="1">
      <c r="A2079" s="2" t="inlineStr"/>
      <c r="B2079" s="2" t="inlineStr"/>
      <c r="C2079" s="2" t="inlineStr"/>
      <c r="D2079" s="2" t="inlineStr"/>
      <c r="E2079" s="26" t="inlineStr">
        <is>
          <t>TOTAL Equipamento Custo Horário:</t>
        </is>
      </c>
      <c r="F2079" s="56" t="n"/>
      <c r="G2079" s="65">
        <f>SUM(G2077:G2078)</f>
        <v/>
      </c>
    </row>
    <row r="2080" ht="15" customHeight="1">
      <c r="A2080" s="20" t="inlineStr">
        <is>
          <t>Material</t>
        </is>
      </c>
      <c r="B2080" s="56" t="n"/>
      <c r="C2080" s="21" t="inlineStr">
        <is>
          <t>FONTE</t>
        </is>
      </c>
      <c r="D2080" s="21" t="inlineStr">
        <is>
          <t>UNID</t>
        </is>
      </c>
      <c r="E2080" s="21" t="inlineStr">
        <is>
          <t>COEFICIENTE</t>
        </is>
      </c>
      <c r="F2080" s="21" t="inlineStr">
        <is>
          <t>PREÇO UNITÁRIO</t>
        </is>
      </c>
      <c r="G2080" s="21" t="inlineStr">
        <is>
          <t>TOTAL</t>
        </is>
      </c>
    </row>
    <row r="2081" ht="29" customHeight="1">
      <c r="A2081" s="22" t="inlineStr">
        <is>
          <t>00001345</t>
        </is>
      </c>
      <c r="B2081" s="23" t="inlineStr">
        <is>
          <t>CHAPA/PAINEL DE MADEIRA COMPENSADA PLASTIFICADA (MADEIRITE PLASTIFICADO) PARA FORMA DE CONCRETO, DE 2200 X 1100 MM, E = *17* MM</t>
        </is>
      </c>
      <c r="C2081" s="22" t="inlineStr">
        <is>
          <t>SINAPI</t>
        </is>
      </c>
      <c r="D2081" s="22" t="inlineStr">
        <is>
          <t>M2</t>
        </is>
      </c>
      <c r="E2081" s="63" t="n">
        <v>1.05</v>
      </c>
      <c r="F2081" s="64">
        <f>ROUND(M2081*FATOR, 2)</f>
        <v/>
      </c>
      <c r="G2081" s="64">
        <f>TRUNC(TRUNC(E2081,8)*F2081,2)</f>
        <v/>
      </c>
      <c r="L2081" t="n">
        <v>1.05</v>
      </c>
      <c r="M2081" t="n">
        <v>97.73</v>
      </c>
      <c r="N2081">
        <f>(M2081-F2081)</f>
        <v/>
      </c>
    </row>
    <row r="2082" ht="15" customHeight="1">
      <c r="A2082" s="2" t="inlineStr"/>
      <c r="B2082" s="2" t="inlineStr"/>
      <c r="C2082" s="2" t="inlineStr"/>
      <c r="D2082" s="2" t="inlineStr"/>
      <c r="E2082" s="26" t="inlineStr">
        <is>
          <t>TOTAL Material:</t>
        </is>
      </c>
      <c r="F2082" s="56" t="n"/>
      <c r="G2082" s="65">
        <f>SUM(G2081:G2081)</f>
        <v/>
      </c>
    </row>
    <row r="2083" ht="15" customHeight="1">
      <c r="A2083" s="20" t="inlineStr">
        <is>
          <t>Mão de Obra com Encargos Complementares</t>
        </is>
      </c>
      <c r="B2083" s="56" t="n"/>
      <c r="C2083" s="21" t="inlineStr">
        <is>
          <t>FONTE</t>
        </is>
      </c>
      <c r="D2083" s="21" t="inlineStr">
        <is>
          <t>UNID</t>
        </is>
      </c>
      <c r="E2083" s="21" t="inlineStr">
        <is>
          <t>COEFICIENTE</t>
        </is>
      </c>
      <c r="F2083" s="21" t="inlineStr">
        <is>
          <t>PREÇO UNITÁRIO</t>
        </is>
      </c>
      <c r="G2083" s="21" t="inlineStr">
        <is>
          <t>TOTAL</t>
        </is>
      </c>
    </row>
    <row r="2084" ht="21" customHeight="1">
      <c r="A2084" s="22" t="inlineStr">
        <is>
          <t>88239</t>
        </is>
      </c>
      <c r="B2084" s="23" t="inlineStr">
        <is>
          <t>AJUDANTE DE CARPINTEIRO COM ENCARGOS COMPLEMENTARES</t>
        </is>
      </c>
      <c r="C2084" s="22" t="inlineStr">
        <is>
          <t>SINAPI</t>
        </is>
      </c>
      <c r="D2084" s="22" t="inlineStr">
        <is>
          <t>H</t>
        </is>
      </c>
      <c r="E2084" s="63">
        <f>L2084*FATOR</f>
        <v/>
      </c>
      <c r="F2084" s="64">
        <f>'COMPOSICOES AUXILIARES'!G68</f>
        <v/>
      </c>
      <c r="G2084" s="64">
        <f>TRUNC(TRUNC(E2084,8)*F2084,2)</f>
        <v/>
      </c>
      <c r="L2084" t="n">
        <v>0.005</v>
      </c>
      <c r="M2084" t="n">
        <v>24.61</v>
      </c>
      <c r="N2084">
        <f>(M2084-F2084)</f>
        <v/>
      </c>
    </row>
    <row r="2085" ht="21" customHeight="1">
      <c r="A2085" s="22" t="inlineStr">
        <is>
          <t>88262</t>
        </is>
      </c>
      <c r="B2085" s="23" t="inlineStr">
        <is>
          <t>CARPINTEIRO DE FORMAS COM ENCARGOS COMPLEMENTARES</t>
        </is>
      </c>
      <c r="C2085" s="22" t="inlineStr">
        <is>
          <t>SINAPI</t>
        </is>
      </c>
      <c r="D2085" s="22" t="inlineStr">
        <is>
          <t>H</t>
        </is>
      </c>
      <c r="E2085" s="63">
        <f>L2085*FATOR</f>
        <v/>
      </c>
      <c r="F2085" s="64">
        <f>'COMPOSICOES AUXILIARES'!G943</f>
        <v/>
      </c>
      <c r="G2085" s="64">
        <f>TRUNC(TRUNC(E2085,8)*F2085,2)</f>
        <v/>
      </c>
      <c r="L2085" t="n">
        <v>0.005</v>
      </c>
      <c r="M2085" t="n">
        <v>30.15</v>
      </c>
      <c r="N2085">
        <f>(M2085-F2085)</f>
        <v/>
      </c>
    </row>
    <row r="2086" ht="18" customHeight="1">
      <c r="A2086" s="2" t="inlineStr"/>
      <c r="B2086" s="2" t="inlineStr"/>
      <c r="C2086" s="2" t="inlineStr"/>
      <c r="D2086" s="2" t="inlineStr"/>
      <c r="E2086" s="26" t="inlineStr">
        <is>
          <t>TOTAL Mão de Obra com Encargos Complementares:</t>
        </is>
      </c>
      <c r="F2086" s="56" t="n"/>
      <c r="G2086" s="65">
        <f>SUM(G2084:G2085)</f>
        <v/>
      </c>
    </row>
    <row r="2087" ht="15" customHeight="1">
      <c r="A2087" s="2" t="inlineStr"/>
      <c r="B2087" s="2" t="inlineStr"/>
      <c r="C2087" s="2" t="inlineStr"/>
      <c r="D2087" s="2" t="inlineStr"/>
      <c r="E2087" s="28" t="inlineStr">
        <is>
          <t>VALOR:</t>
        </is>
      </c>
      <c r="F2087" s="56" t="n"/>
      <c r="G2087" s="66">
        <f>SUM(G2082,G2086,G2079)</f>
        <v/>
      </c>
    </row>
    <row r="2088" ht="15" customHeight="1">
      <c r="A2088" s="2" t="inlineStr"/>
      <c r="B2088" s="2" t="inlineStr"/>
      <c r="C2088" s="2" t="inlineStr"/>
      <c r="D2088" s="2" t="inlineStr"/>
      <c r="E2088" s="28" t="inlineStr">
        <is>
          <t>VALOR BDI (23.08%):</t>
        </is>
      </c>
      <c r="F2088" s="56" t="n"/>
      <c r="G2088" s="66">
        <f>ROUNDDOWN(G2087*BDI,2)</f>
        <v/>
      </c>
    </row>
    <row r="2089" ht="15" customHeight="1">
      <c r="A2089" s="2" t="inlineStr"/>
      <c r="B2089" s="2" t="inlineStr"/>
      <c r="C2089" s="2" t="inlineStr"/>
      <c r="D2089" s="2" t="inlineStr"/>
      <c r="E2089" s="28" t="inlineStr">
        <is>
          <t>VALOR COM BDI:</t>
        </is>
      </c>
      <c r="F2089" s="56" t="n"/>
      <c r="G2089" s="66">
        <f>G2088 + G2087</f>
        <v/>
      </c>
    </row>
    <row r="2090" ht="10" customHeight="1">
      <c r="A2090" s="2" t="inlineStr"/>
      <c r="B2090" s="2" t="inlineStr"/>
      <c r="C2090" s="2" t="inlineStr"/>
      <c r="D2090" s="2" t="inlineStr"/>
      <c r="E2090" s="18" t="inlineStr"/>
    </row>
    <row r="2091" ht="20" customHeight="1">
      <c r="A2091" s="19" t="inlineStr">
        <is>
          <t>​92267​ FABRICAÇÃO DE FÔRMA PARA LAJES, EM CHAPA DE MADEIRA COMPENSADA RESINADA, E = 17 MM. AF_09/2020​ (M2)</t>
        </is>
      </c>
      <c r="B2091" s="55" t="n"/>
      <c r="C2091" s="55" t="n"/>
      <c r="D2091" s="55" t="n"/>
      <c r="E2091" s="55" t="n"/>
      <c r="F2091" s="55" t="n"/>
      <c r="G2091" s="56" t="n"/>
    </row>
    <row r="2092" ht="15" customHeight="1">
      <c r="A2092" s="20" t="inlineStr">
        <is>
          <t>Equipamento Custo Horário</t>
        </is>
      </c>
      <c r="B2092" s="56" t="n"/>
      <c r="C2092" s="21" t="inlineStr">
        <is>
          <t>FONTE</t>
        </is>
      </c>
      <c r="D2092" s="21" t="inlineStr">
        <is>
          <t>UNID</t>
        </is>
      </c>
      <c r="E2092" s="21" t="inlineStr">
        <is>
          <t>COEFICIENTE</t>
        </is>
      </c>
      <c r="F2092" s="21" t="inlineStr">
        <is>
          <t>PREÇO UNITÁRIO</t>
        </is>
      </c>
      <c r="G2092" s="21" t="inlineStr">
        <is>
          <t>TOTAL</t>
        </is>
      </c>
    </row>
    <row r="2093" ht="29" customHeight="1">
      <c r="A2093" s="22" t="inlineStr">
        <is>
          <t>91693</t>
        </is>
      </c>
      <c r="B2093" s="23" t="inlineStr">
        <is>
          <t>SERRA CIRCULAR DE BANCADA COM MOTOR ELÉTRICO POTÊNCIA DE 5HP, COM COIFA PARA DISCO 10" - CHI DIURNO. AF_08/2015</t>
        </is>
      </c>
      <c r="C2093" s="22" t="inlineStr">
        <is>
          <t>SINAPI</t>
        </is>
      </c>
      <c r="D2093" s="22" t="inlineStr">
        <is>
          <t>CHI</t>
        </is>
      </c>
      <c r="E2093" s="63" t="n">
        <v>0.022</v>
      </c>
      <c r="F2093" s="64">
        <f>'COMPOSICOES AUXILIARES'!G2054</f>
        <v/>
      </c>
      <c r="G2093" s="64">
        <f>TRUNC(TRUNC(E2093,8)*F2093,2)</f>
        <v/>
      </c>
      <c r="L2093" t="n">
        <v>0.022</v>
      </c>
      <c r="M2093" t="n">
        <v>35.72</v>
      </c>
      <c r="N2093">
        <f>(M2093-F2093)</f>
        <v/>
      </c>
    </row>
    <row r="2094" ht="29" customHeight="1">
      <c r="A2094" s="22" t="inlineStr">
        <is>
          <t>91692</t>
        </is>
      </c>
      <c r="B2094" s="23" t="inlineStr">
        <is>
          <t>SERRA CIRCULAR DE BANCADA COM MOTOR ELÉTRICO POTÊNCIA DE 5HP, COM COIFA PARA DISCO 10" - CHP DIURNO. AF_08/2015</t>
        </is>
      </c>
      <c r="C2094" s="22" t="inlineStr">
        <is>
          <t>SINAPI</t>
        </is>
      </c>
      <c r="D2094" s="22" t="inlineStr">
        <is>
          <t>CHP</t>
        </is>
      </c>
      <c r="E2094" s="63" t="n">
        <v>0.005</v>
      </c>
      <c r="F2094" s="64">
        <f>'COMPOSICOES AUXILIARES'!G2054</f>
        <v/>
      </c>
      <c r="G2094" s="64">
        <f>TRUNC(TRUNC(E2094,8)*F2094,2)</f>
        <v/>
      </c>
      <c r="L2094" t="n">
        <v>0.005</v>
      </c>
      <c r="M2094" t="n">
        <v>37.16</v>
      </c>
      <c r="N2094">
        <f>(M2094-F2094)</f>
        <v/>
      </c>
    </row>
    <row r="2095" ht="18" customHeight="1">
      <c r="A2095" s="2" t="inlineStr"/>
      <c r="B2095" s="2" t="inlineStr"/>
      <c r="C2095" s="2" t="inlineStr"/>
      <c r="D2095" s="2" t="inlineStr"/>
      <c r="E2095" s="26" t="inlineStr">
        <is>
          <t>TOTAL Equipamento Custo Horário:</t>
        </is>
      </c>
      <c r="F2095" s="56" t="n"/>
      <c r="G2095" s="65">
        <f>SUM(G2093:G2094)</f>
        <v/>
      </c>
    </row>
    <row r="2096" ht="15" customHeight="1">
      <c r="A2096" s="20" t="inlineStr">
        <is>
          <t>Material</t>
        </is>
      </c>
      <c r="B2096" s="56" t="n"/>
      <c r="C2096" s="21" t="inlineStr">
        <is>
          <t>FONTE</t>
        </is>
      </c>
      <c r="D2096" s="21" t="inlineStr">
        <is>
          <t>UNID</t>
        </is>
      </c>
      <c r="E2096" s="21" t="inlineStr">
        <is>
          <t>COEFICIENTE</t>
        </is>
      </c>
      <c r="F2096" s="21" t="inlineStr">
        <is>
          <t>PREÇO UNITÁRIO</t>
        </is>
      </c>
      <c r="G2096" s="21" t="inlineStr">
        <is>
          <t>TOTAL</t>
        </is>
      </c>
    </row>
    <row r="2097" ht="29" customHeight="1">
      <c r="A2097" s="22" t="inlineStr">
        <is>
          <t>00001358</t>
        </is>
      </c>
      <c r="B2097" s="23" t="inlineStr">
        <is>
          <t>CHAPA/PAINEL DE MADEIRA COMPENSADA RESINADA (MADEIRITE RESINADO ROSA) PARA FORMA DE CONCRETO, DE 2200 X 1100 MM, E = 17 MM</t>
        </is>
      </c>
      <c r="C2097" s="22" t="inlineStr">
        <is>
          <t>SINAPI</t>
        </is>
      </c>
      <c r="D2097" s="22" t="inlineStr">
        <is>
          <t>M2</t>
        </is>
      </c>
      <c r="E2097" s="63" t="n">
        <v>1.05</v>
      </c>
      <c r="F2097" s="64">
        <f>ROUND(M2097*FATOR, 2)</f>
        <v/>
      </c>
      <c r="G2097" s="64">
        <f>TRUNC(TRUNC(E2097,8)*F2097,2)</f>
        <v/>
      </c>
      <c r="L2097" t="n">
        <v>1.05</v>
      </c>
      <c r="M2097" t="n">
        <v>57.71</v>
      </c>
      <c r="N2097">
        <f>(M2097-F2097)</f>
        <v/>
      </c>
    </row>
    <row r="2098" ht="15" customHeight="1">
      <c r="A2098" s="2" t="inlineStr"/>
      <c r="B2098" s="2" t="inlineStr"/>
      <c r="C2098" s="2" t="inlineStr"/>
      <c r="D2098" s="2" t="inlineStr"/>
      <c r="E2098" s="26" t="inlineStr">
        <is>
          <t>TOTAL Material:</t>
        </is>
      </c>
      <c r="F2098" s="56" t="n"/>
      <c r="G2098" s="65">
        <f>SUM(G2097:G2097)</f>
        <v/>
      </c>
    </row>
    <row r="2099" ht="15" customHeight="1">
      <c r="A2099" s="20" t="inlineStr">
        <is>
          <t>Mão de Obra com Encargos Complementares</t>
        </is>
      </c>
      <c r="B2099" s="56" t="n"/>
      <c r="C2099" s="21" t="inlineStr">
        <is>
          <t>FONTE</t>
        </is>
      </c>
      <c r="D2099" s="21" t="inlineStr">
        <is>
          <t>UNID</t>
        </is>
      </c>
      <c r="E2099" s="21" t="inlineStr">
        <is>
          <t>COEFICIENTE</t>
        </is>
      </c>
      <c r="F2099" s="21" t="inlineStr">
        <is>
          <t>PREÇO UNITÁRIO</t>
        </is>
      </c>
      <c r="G2099" s="21" t="inlineStr">
        <is>
          <t>TOTAL</t>
        </is>
      </c>
    </row>
    <row r="2100" ht="21" customHeight="1">
      <c r="A2100" s="22" t="inlineStr">
        <is>
          <t>88239</t>
        </is>
      </c>
      <c r="B2100" s="23" t="inlineStr">
        <is>
          <t>AJUDANTE DE CARPINTEIRO COM ENCARGOS COMPLEMENTARES</t>
        </is>
      </c>
      <c r="C2100" s="22" t="inlineStr">
        <is>
          <t>SINAPI</t>
        </is>
      </c>
      <c r="D2100" s="22" t="inlineStr">
        <is>
          <t>H</t>
        </is>
      </c>
      <c r="E2100" s="63">
        <f>L2100*FATOR</f>
        <v/>
      </c>
      <c r="F2100" s="64">
        <f>'COMPOSICOES AUXILIARES'!G68</f>
        <v/>
      </c>
      <c r="G2100" s="64">
        <f>TRUNC(TRUNC(E2100,8)*F2100,2)</f>
        <v/>
      </c>
      <c r="L2100" t="n">
        <v>0.005</v>
      </c>
      <c r="M2100" t="n">
        <v>24.61</v>
      </c>
      <c r="N2100">
        <f>(M2100-F2100)</f>
        <v/>
      </c>
    </row>
    <row r="2101" ht="21" customHeight="1">
      <c r="A2101" s="22" t="inlineStr">
        <is>
          <t>88262</t>
        </is>
      </c>
      <c r="B2101" s="23" t="inlineStr">
        <is>
          <t>CARPINTEIRO DE FORMAS COM ENCARGOS COMPLEMENTARES</t>
        </is>
      </c>
      <c r="C2101" s="22" t="inlineStr">
        <is>
          <t>SINAPI</t>
        </is>
      </c>
      <c r="D2101" s="22" t="inlineStr">
        <is>
          <t>H</t>
        </is>
      </c>
      <c r="E2101" s="63">
        <f>L2101*FATOR</f>
        <v/>
      </c>
      <c r="F2101" s="64">
        <f>'COMPOSICOES AUXILIARES'!G943</f>
        <v/>
      </c>
      <c r="G2101" s="64">
        <f>TRUNC(TRUNC(E2101,8)*F2101,2)</f>
        <v/>
      </c>
      <c r="L2101" t="n">
        <v>0.005</v>
      </c>
      <c r="M2101" t="n">
        <v>30.15</v>
      </c>
      <c r="N2101">
        <f>(M2101-F2101)</f>
        <v/>
      </c>
    </row>
    <row r="2102" ht="18" customHeight="1">
      <c r="A2102" s="2" t="inlineStr"/>
      <c r="B2102" s="2" t="inlineStr"/>
      <c r="C2102" s="2" t="inlineStr"/>
      <c r="D2102" s="2" t="inlineStr"/>
      <c r="E2102" s="26" t="inlineStr">
        <is>
          <t>TOTAL Mão de Obra com Encargos Complementares:</t>
        </is>
      </c>
      <c r="F2102" s="56" t="n"/>
      <c r="G2102" s="65">
        <f>SUM(G2100:G2101)</f>
        <v/>
      </c>
    </row>
    <row r="2103" ht="15" customHeight="1">
      <c r="A2103" s="2" t="inlineStr"/>
      <c r="B2103" s="2" t="inlineStr"/>
      <c r="C2103" s="2" t="inlineStr"/>
      <c r="D2103" s="2" t="inlineStr"/>
      <c r="E2103" s="28" t="inlineStr">
        <is>
          <t>VALOR:</t>
        </is>
      </c>
      <c r="F2103" s="56" t="n"/>
      <c r="G2103" s="66">
        <f>SUM(G2098,G2102,G2095)</f>
        <v/>
      </c>
    </row>
    <row r="2104" ht="15" customHeight="1">
      <c r="A2104" s="2" t="inlineStr"/>
      <c r="B2104" s="2" t="inlineStr"/>
      <c r="C2104" s="2" t="inlineStr"/>
      <c r="D2104" s="2" t="inlineStr"/>
      <c r="E2104" s="28" t="inlineStr">
        <is>
          <t>VALOR BDI (23.08%):</t>
        </is>
      </c>
      <c r="F2104" s="56" t="n"/>
      <c r="G2104" s="66">
        <f>ROUNDDOWN(G2103*BDI,2)</f>
        <v/>
      </c>
    </row>
    <row r="2105" ht="15" customHeight="1">
      <c r="A2105" s="2" t="inlineStr"/>
      <c r="B2105" s="2" t="inlineStr"/>
      <c r="C2105" s="2" t="inlineStr"/>
      <c r="D2105" s="2" t="inlineStr"/>
      <c r="E2105" s="28" t="inlineStr">
        <is>
          <t>VALOR COM BDI:</t>
        </is>
      </c>
      <c r="F2105" s="56" t="n"/>
      <c r="G2105" s="66">
        <f>G2104 + G2103</f>
        <v/>
      </c>
    </row>
    <row r="2106" ht="10" customHeight="1">
      <c r="A2106" s="2" t="inlineStr"/>
      <c r="B2106" s="2" t="inlineStr"/>
      <c r="C2106" s="2" t="inlineStr"/>
      <c r="D2106" s="2" t="inlineStr"/>
      <c r="E2106" s="18" t="inlineStr"/>
    </row>
    <row r="2107" ht="20" customHeight="1">
      <c r="A2107" s="19" t="inlineStr">
        <is>
          <t>​92270​ FABRICAÇÃO DE FÔRMA PARA VIGAS, COM MADEIRA SERRADA, E = 25 MM. AF_09/2020​ (M2)</t>
        </is>
      </c>
      <c r="B2107" s="55" t="n"/>
      <c r="C2107" s="55" t="n"/>
      <c r="D2107" s="55" t="n"/>
      <c r="E2107" s="55" t="n"/>
      <c r="F2107" s="55" t="n"/>
      <c r="G2107" s="56" t="n"/>
    </row>
    <row r="2108" ht="15" customHeight="1">
      <c r="A2108" s="20" t="inlineStr">
        <is>
          <t>Equipamento Custo Horário</t>
        </is>
      </c>
      <c r="B2108" s="56" t="n"/>
      <c r="C2108" s="21" t="inlineStr">
        <is>
          <t>FONTE</t>
        </is>
      </c>
      <c r="D2108" s="21" t="inlineStr">
        <is>
          <t>UNID</t>
        </is>
      </c>
      <c r="E2108" s="21" t="inlineStr">
        <is>
          <t>COEFICIENTE</t>
        </is>
      </c>
      <c r="F2108" s="21" t="inlineStr">
        <is>
          <t>PREÇO UNITÁRIO</t>
        </is>
      </c>
      <c r="G2108" s="21" t="inlineStr">
        <is>
          <t>TOTAL</t>
        </is>
      </c>
    </row>
    <row r="2109" ht="29" customHeight="1">
      <c r="A2109" s="22" t="inlineStr">
        <is>
          <t>91693</t>
        </is>
      </c>
      <c r="B2109" s="23" t="inlineStr">
        <is>
          <t>SERRA CIRCULAR DE BANCADA COM MOTOR ELÉTRICO POTÊNCIA DE 5HP, COM COIFA PARA DISCO 10" - CHI DIURNO. AF_08/2015</t>
        </is>
      </c>
      <c r="C2109" s="22" t="inlineStr">
        <is>
          <t>SINAPI</t>
        </is>
      </c>
      <c r="D2109" s="22" t="inlineStr">
        <is>
          <t>CHI</t>
        </is>
      </c>
      <c r="E2109" s="63" t="n">
        <v>0.224</v>
      </c>
      <c r="F2109" s="64">
        <f>'COMPOSICOES AUXILIARES'!G2054</f>
        <v/>
      </c>
      <c r="G2109" s="64">
        <f>TRUNC(TRUNC(E2109,8)*F2109,2)</f>
        <v/>
      </c>
      <c r="L2109" t="n">
        <v>0.224</v>
      </c>
      <c r="M2109" t="n">
        <v>35.72</v>
      </c>
      <c r="N2109">
        <f>(M2109-F2109)</f>
        <v/>
      </c>
    </row>
    <row r="2110" ht="29" customHeight="1">
      <c r="A2110" s="22" t="inlineStr">
        <is>
          <t>91692</t>
        </is>
      </c>
      <c r="B2110" s="23" t="inlineStr">
        <is>
          <t>SERRA CIRCULAR DE BANCADA COM MOTOR ELÉTRICO POTÊNCIA DE 5HP, COM COIFA PARA DISCO 10" - CHP DIURNO. AF_08/2015</t>
        </is>
      </c>
      <c r="C2110" s="22" t="inlineStr">
        <is>
          <t>SINAPI</t>
        </is>
      </c>
      <c r="D2110" s="22" t="inlineStr">
        <is>
          <t>CHP</t>
        </is>
      </c>
      <c r="E2110" s="63" t="n">
        <v>0.056</v>
      </c>
      <c r="F2110" s="64">
        <f>'COMPOSICOES AUXILIARES'!G2054</f>
        <v/>
      </c>
      <c r="G2110" s="64">
        <f>TRUNC(TRUNC(E2110,8)*F2110,2)</f>
        <v/>
      </c>
      <c r="L2110" t="n">
        <v>0.056</v>
      </c>
      <c r="M2110" t="n">
        <v>37.16</v>
      </c>
      <c r="N2110">
        <f>(M2110-F2110)</f>
        <v/>
      </c>
    </row>
    <row r="2111" ht="18" customHeight="1">
      <c r="A2111" s="2" t="inlineStr"/>
      <c r="B2111" s="2" t="inlineStr"/>
      <c r="C2111" s="2" t="inlineStr"/>
      <c r="D2111" s="2" t="inlineStr"/>
      <c r="E2111" s="26" t="inlineStr">
        <is>
          <t>TOTAL Equipamento Custo Horário:</t>
        </is>
      </c>
      <c r="F2111" s="56" t="n"/>
      <c r="G2111" s="65">
        <f>SUM(G2109:G2110)</f>
        <v/>
      </c>
    </row>
    <row r="2112" ht="15" customHeight="1">
      <c r="A2112" s="20" t="inlineStr">
        <is>
          <t>Material</t>
        </is>
      </c>
      <c r="B2112" s="56" t="n"/>
      <c r="C2112" s="21" t="inlineStr">
        <is>
          <t>FONTE</t>
        </is>
      </c>
      <c r="D2112" s="21" t="inlineStr">
        <is>
          <t>UNID</t>
        </is>
      </c>
      <c r="E2112" s="21" t="inlineStr">
        <is>
          <t>COEFICIENTE</t>
        </is>
      </c>
      <c r="F2112" s="21" t="inlineStr">
        <is>
          <t>PREÇO UNITÁRIO</t>
        </is>
      </c>
      <c r="G2112" s="21" t="inlineStr">
        <is>
          <t>TOTAL</t>
        </is>
      </c>
    </row>
    <row r="2113" ht="15" customHeight="1">
      <c r="A2113" s="22" t="inlineStr">
        <is>
          <t>00005068</t>
        </is>
      </c>
      <c r="B2113" s="23" t="inlineStr">
        <is>
          <t>PREGO DE ACO POLIDO COM CABECA 17 X 21 (2 X 11)</t>
        </is>
      </c>
      <c r="C2113" s="22" t="inlineStr">
        <is>
          <t>SINAPI</t>
        </is>
      </c>
      <c r="D2113" s="22" t="inlineStr">
        <is>
          <t>KG</t>
        </is>
      </c>
      <c r="E2113" s="63" t="n">
        <v>0.128</v>
      </c>
      <c r="F2113" s="64">
        <f>ROUND(M2113*FATOR, 2)</f>
        <v/>
      </c>
      <c r="G2113" s="64">
        <f>TRUNC(TRUNC(E2113,8)*F2113,2)</f>
        <v/>
      </c>
      <c r="L2113" t="n">
        <v>0.128</v>
      </c>
      <c r="M2113" t="n">
        <v>14.19</v>
      </c>
      <c r="N2113">
        <f>(M2113-F2113)</f>
        <v/>
      </c>
    </row>
    <row r="2114" ht="21" customHeight="1">
      <c r="A2114" s="22" t="inlineStr">
        <is>
          <t>00004517</t>
        </is>
      </c>
      <c r="B2114" s="23" t="inlineStr">
        <is>
          <t>SARRAFO *2,5 X 7,5* CM EM PINUS, MISTA OU EQUIVALENTE DA REGIAO - BRUTA</t>
        </is>
      </c>
      <c r="C2114" s="22" t="inlineStr">
        <is>
          <t>SINAPI</t>
        </is>
      </c>
      <c r="D2114" s="22" t="inlineStr">
        <is>
          <t>M</t>
        </is>
      </c>
      <c r="E2114" s="63" t="n">
        <v>4.228</v>
      </c>
      <c r="F2114" s="64">
        <f>ROUND(M2114*FATOR, 2)</f>
        <v/>
      </c>
      <c r="G2114" s="64">
        <f>TRUNC(TRUNC(E2114,8)*F2114,2)</f>
        <v/>
      </c>
      <c r="L2114" t="n">
        <v>4.228</v>
      </c>
      <c r="M2114" t="n">
        <v>3.87</v>
      </c>
      <c r="N2114">
        <f>(M2114-F2114)</f>
        <v/>
      </c>
    </row>
    <row r="2115" ht="29" customHeight="1">
      <c r="A2115" s="22" t="inlineStr">
        <is>
          <t>00006189</t>
        </is>
      </c>
      <c r="B2115" s="23" t="inlineStr">
        <is>
          <t>TABUA NAO APARELHADA *2,5 X 30* CM, EM MACARANDUBA/MASSARANDUBA, ANGELIM OU EQUIVALENTE DA REGIAO - BRUTA</t>
        </is>
      </c>
      <c r="C2115" s="22" t="inlineStr">
        <is>
          <t>SINAPI</t>
        </is>
      </c>
      <c r="D2115" s="22" t="inlineStr">
        <is>
          <t>M</t>
        </is>
      </c>
      <c r="E2115" s="63" t="n">
        <v>4.448</v>
      </c>
      <c r="F2115" s="64">
        <f>ROUND(M2115*FATOR, 2)</f>
        <v/>
      </c>
      <c r="G2115" s="64">
        <f>TRUNC(TRUNC(E2115,8)*F2115,2)</f>
        <v/>
      </c>
      <c r="L2115" t="n">
        <v>4.448</v>
      </c>
      <c r="M2115" t="n">
        <v>29.9</v>
      </c>
      <c r="N2115">
        <f>(M2115-F2115)</f>
        <v/>
      </c>
    </row>
    <row r="2116" ht="15" customHeight="1">
      <c r="A2116" s="2" t="inlineStr"/>
      <c r="B2116" s="2" t="inlineStr"/>
      <c r="C2116" s="2" t="inlineStr"/>
      <c r="D2116" s="2" t="inlineStr"/>
      <c r="E2116" s="26" t="inlineStr">
        <is>
          <t>TOTAL Material:</t>
        </is>
      </c>
      <c r="F2116" s="56" t="n"/>
      <c r="G2116" s="65">
        <f>SUM(G2113:G2115)</f>
        <v/>
      </c>
    </row>
    <row r="2117" ht="15" customHeight="1">
      <c r="A2117" s="20" t="inlineStr">
        <is>
          <t>Mão de Obra com Encargos Complementares</t>
        </is>
      </c>
      <c r="B2117" s="56" t="n"/>
      <c r="C2117" s="21" t="inlineStr">
        <is>
          <t>FONTE</t>
        </is>
      </c>
      <c r="D2117" s="21" t="inlineStr">
        <is>
          <t>UNID</t>
        </is>
      </c>
      <c r="E2117" s="21" t="inlineStr">
        <is>
          <t>COEFICIENTE</t>
        </is>
      </c>
      <c r="F2117" s="21" t="inlineStr">
        <is>
          <t>PREÇO UNITÁRIO</t>
        </is>
      </c>
      <c r="G2117" s="21" t="inlineStr">
        <is>
          <t>TOTAL</t>
        </is>
      </c>
    </row>
    <row r="2118" ht="21" customHeight="1">
      <c r="A2118" s="22" t="inlineStr">
        <is>
          <t>88239</t>
        </is>
      </c>
      <c r="B2118" s="23" t="inlineStr">
        <is>
          <t>AJUDANTE DE CARPINTEIRO COM ENCARGOS COMPLEMENTARES</t>
        </is>
      </c>
      <c r="C2118" s="22" t="inlineStr">
        <is>
          <t>SINAPI</t>
        </is>
      </c>
      <c r="D2118" s="22" t="inlineStr">
        <is>
          <t>H</t>
        </is>
      </c>
      <c r="E2118" s="63">
        <f>L2118*FATOR</f>
        <v/>
      </c>
      <c r="F2118" s="64">
        <f>'COMPOSICOES AUXILIARES'!G68</f>
        <v/>
      </c>
      <c r="G2118" s="64">
        <f>TRUNC(TRUNC(E2118,8)*F2118,2)</f>
        <v/>
      </c>
      <c r="L2118" t="n">
        <v>0.179</v>
      </c>
      <c r="M2118" t="n">
        <v>24.61</v>
      </c>
      <c r="N2118">
        <f>(M2118-F2118)</f>
        <v/>
      </c>
    </row>
    <row r="2119" ht="21" customHeight="1">
      <c r="A2119" s="22" t="inlineStr">
        <is>
          <t>88262</t>
        </is>
      </c>
      <c r="B2119" s="23" t="inlineStr">
        <is>
          <t>CARPINTEIRO DE FORMAS COM ENCARGOS COMPLEMENTARES</t>
        </is>
      </c>
      <c r="C2119" s="22" t="inlineStr">
        <is>
          <t>SINAPI</t>
        </is>
      </c>
      <c r="D2119" s="22" t="inlineStr">
        <is>
          <t>H</t>
        </is>
      </c>
      <c r="E2119" s="63">
        <f>L2119*FATOR</f>
        <v/>
      </c>
      <c r="F2119" s="64">
        <f>'COMPOSICOES AUXILIARES'!G943</f>
        <v/>
      </c>
      <c r="G2119" s="64">
        <f>TRUNC(TRUNC(E2119,8)*F2119,2)</f>
        <v/>
      </c>
      <c r="L2119" t="n">
        <v>0.792</v>
      </c>
      <c r="M2119" t="n">
        <v>30.15</v>
      </c>
      <c r="N2119">
        <f>(M2119-F2119)</f>
        <v/>
      </c>
    </row>
    <row r="2120" ht="18" customHeight="1">
      <c r="A2120" s="2" t="inlineStr"/>
      <c r="B2120" s="2" t="inlineStr"/>
      <c r="C2120" s="2" t="inlineStr"/>
      <c r="D2120" s="2" t="inlineStr"/>
      <c r="E2120" s="26" t="inlineStr">
        <is>
          <t>TOTAL Mão de Obra com Encargos Complementares:</t>
        </is>
      </c>
      <c r="F2120" s="56" t="n"/>
      <c r="G2120" s="65">
        <f>SUM(G2118:G2119)</f>
        <v/>
      </c>
    </row>
    <row r="2121" ht="15" customHeight="1">
      <c r="A2121" s="2" t="inlineStr"/>
      <c r="B2121" s="2" t="inlineStr"/>
      <c r="C2121" s="2" t="inlineStr"/>
      <c r="D2121" s="2" t="inlineStr"/>
      <c r="E2121" s="28" t="inlineStr">
        <is>
          <t>VALOR:</t>
        </is>
      </c>
      <c r="F2121" s="56" t="n"/>
      <c r="G2121" s="66">
        <f>SUM(G2120,G2116,G2111)</f>
        <v/>
      </c>
    </row>
    <row r="2122" ht="15" customHeight="1">
      <c r="A2122" s="2" t="inlineStr"/>
      <c r="B2122" s="2" t="inlineStr"/>
      <c r="C2122" s="2" t="inlineStr"/>
      <c r="D2122" s="2" t="inlineStr"/>
      <c r="E2122" s="28" t="inlineStr">
        <is>
          <t>VALOR BDI (23.08%):</t>
        </is>
      </c>
      <c r="F2122" s="56" t="n"/>
      <c r="G2122" s="66">
        <f>ROUNDDOWN(G2121*BDI,2)</f>
        <v/>
      </c>
    </row>
    <row r="2123" ht="15" customHeight="1">
      <c r="A2123" s="2" t="inlineStr"/>
      <c r="B2123" s="2" t="inlineStr"/>
      <c r="C2123" s="2" t="inlineStr"/>
      <c r="D2123" s="2" t="inlineStr"/>
      <c r="E2123" s="28" t="inlineStr">
        <is>
          <t>VALOR COM BDI:</t>
        </is>
      </c>
      <c r="F2123" s="56" t="n"/>
      <c r="G2123" s="66">
        <f>G2122 + G2121</f>
        <v/>
      </c>
    </row>
    <row r="2124" ht="10" customHeight="1">
      <c r="A2124" s="2" t="inlineStr"/>
      <c r="B2124" s="2" t="inlineStr"/>
      <c r="C2124" s="2" t="inlineStr"/>
      <c r="D2124" s="2" t="inlineStr"/>
      <c r="E2124" s="18" t="inlineStr"/>
    </row>
    <row r="2125" ht="20" customHeight="1">
      <c r="A2125" s="19" t="inlineStr">
        <is>
          <t>​ED-14681​ FERRAMENTAS PARA AJUDANTE DE BOMBEIRO/ ENCANADOR - HORISTA (ENCARGOS COMPLEMENTARES)​ (hora)</t>
        </is>
      </c>
      <c r="B2125" s="55" t="n"/>
      <c r="C2125" s="55" t="n"/>
      <c r="D2125" s="55" t="n"/>
      <c r="E2125" s="55" t="n"/>
      <c r="F2125" s="55" t="n"/>
      <c r="G2125" s="56" t="n"/>
    </row>
    <row r="2126" ht="20" customHeight="1">
      <c r="A2126" s="32" t="inlineStr">
        <is>
          <t>MATERIAIS</t>
        </is>
      </c>
      <c r="B2126" s="55" t="n"/>
      <c r="C2126" s="56" t="n"/>
      <c r="D2126" s="4" t="inlineStr">
        <is>
          <t>UNID</t>
        </is>
      </c>
      <c r="E2126" s="4" t="inlineStr">
        <is>
          <t>CONSUMO</t>
        </is>
      </c>
      <c r="F2126" s="4">
        <f>G700</f>
        <v/>
      </c>
      <c r="G2126" s="4" t="inlineStr">
        <is>
          <t>CUSTO UNITÁRIO</t>
        </is>
      </c>
    </row>
    <row r="2127" ht="16" customHeight="1">
      <c r="A2127" s="8" t="inlineStr">
        <is>
          <t>MATED-14621</t>
        </is>
      </c>
      <c r="B2127" s="7" t="inlineStr">
        <is>
          <t>FERRAMENTAS PARA FAMÍLIA ENCANADOR/BOMBEIRO - HORISTA (ENCARGOS COMPLEMENTARES)</t>
        </is>
      </c>
      <c r="C2127" s="56" t="n"/>
      <c r="D2127" s="8" t="inlineStr">
        <is>
          <t>hora</t>
        </is>
      </c>
      <c r="E2127" s="69" t="n">
        <v>1</v>
      </c>
      <c r="F2127" s="70" t="n">
        <v>0.31</v>
      </c>
      <c r="G2127" s="70">
        <f>ROUND(ROUND(E2127,7)*F2127,4)</f>
        <v/>
      </c>
      <c r="L2127" t="n">
        <v>1</v>
      </c>
      <c r="M2127" t="n">
        <v>0.31</v>
      </c>
      <c r="N2127">
        <f>(M2127-F2127)</f>
        <v/>
      </c>
    </row>
    <row r="2128" ht="15" customHeight="1">
      <c r="A2128" s="1" t="inlineStr"/>
      <c r="B2128" s="1" t="inlineStr"/>
      <c r="C2128" s="1" t="inlineStr"/>
      <c r="D2128" s="1" t="inlineStr"/>
      <c r="E2128" s="35" t="inlineStr">
        <is>
          <t>TOTAL MATERIAIS:</t>
        </is>
      </c>
      <c r="F2128" s="56" t="n"/>
      <c r="G2128" s="71">
        <f>SUM(G2127:G2127)</f>
        <v/>
      </c>
    </row>
    <row r="2129" ht="15" customHeight="1">
      <c r="A2129" s="2" t="inlineStr"/>
      <c r="B2129" s="2" t="inlineStr"/>
      <c r="C2129" s="2" t="inlineStr"/>
      <c r="D2129" s="2" t="inlineStr"/>
      <c r="E2129" s="28" t="inlineStr">
        <is>
          <t>Custo Direto Total:</t>
        </is>
      </c>
      <c r="F2129" s="56" t="n"/>
      <c r="G2129" s="70">
        <f>SUM(G2128)</f>
        <v/>
      </c>
    </row>
    <row r="2130" ht="15" customHeight="1">
      <c r="A2130" s="2" t="inlineStr"/>
      <c r="B2130" s="2" t="inlineStr"/>
      <c r="C2130" s="2" t="inlineStr"/>
      <c r="D2130" s="2" t="inlineStr"/>
      <c r="E2130" s="28" t="inlineStr">
        <is>
          <t>VALOR:</t>
        </is>
      </c>
      <c r="F2130" s="56" t="n"/>
      <c r="G2130" s="66">
        <f>ROUND(SUM(G2129),2)</f>
        <v/>
      </c>
    </row>
    <row r="2131" ht="15" customHeight="1">
      <c r="A2131" s="2" t="inlineStr"/>
      <c r="B2131" s="2" t="inlineStr"/>
      <c r="C2131" s="2" t="inlineStr"/>
      <c r="D2131" s="2" t="inlineStr"/>
      <c r="E2131" s="28" t="inlineStr">
        <is>
          <t>VALOR BDI (23.08%):</t>
        </is>
      </c>
      <c r="F2131" s="56" t="n"/>
      <c r="G2131" s="66">
        <f>ROUNDDOWN(G2130*BDI,2)</f>
        <v/>
      </c>
    </row>
    <row r="2132" ht="15" customHeight="1">
      <c r="A2132" s="2" t="inlineStr"/>
      <c r="B2132" s="2" t="inlineStr"/>
      <c r="C2132" s="2" t="inlineStr"/>
      <c r="D2132" s="2" t="inlineStr"/>
      <c r="E2132" s="28" t="inlineStr">
        <is>
          <t>VALOR COM BDI:</t>
        </is>
      </c>
      <c r="F2132" s="56" t="n"/>
      <c r="G2132" s="66">
        <f>G2131 + G2130</f>
        <v/>
      </c>
    </row>
    <row r="2133" ht="10" customHeight="1">
      <c r="A2133" s="2" t="inlineStr"/>
      <c r="B2133" s="2" t="inlineStr"/>
      <c r="C2133" s="2" t="inlineStr"/>
      <c r="D2133" s="2" t="inlineStr"/>
      <c r="E2133" s="18" t="inlineStr"/>
    </row>
    <row r="2134" ht="20" customHeight="1">
      <c r="A2134" s="19" t="inlineStr">
        <is>
          <t>​ED-14687​ FERRAMENTAS PARA BOMBEIRO/ENCANADOR - HORISTA (ENCARGOS COMPLEMENTARES)​ (hora)</t>
        </is>
      </c>
      <c r="B2134" s="55" t="n"/>
      <c r="C2134" s="55" t="n"/>
      <c r="D2134" s="55" t="n"/>
      <c r="E2134" s="55" t="n"/>
      <c r="F2134" s="55" t="n"/>
      <c r="G2134" s="56" t="n"/>
    </row>
    <row r="2135" ht="20" customHeight="1">
      <c r="A2135" s="32" t="inlineStr">
        <is>
          <t>MATERIAIS</t>
        </is>
      </c>
      <c r="B2135" s="55" t="n"/>
      <c r="C2135" s="56" t="n"/>
      <c r="D2135" s="4" t="inlineStr">
        <is>
          <t>UNID</t>
        </is>
      </c>
      <c r="E2135" s="4" t="inlineStr">
        <is>
          <t>CONSUMO</t>
        </is>
      </c>
      <c r="F2135" s="4">
        <f>G700</f>
        <v/>
      </c>
      <c r="G2135" s="4" t="inlineStr">
        <is>
          <t>CUSTO UNITÁRIO</t>
        </is>
      </c>
    </row>
    <row r="2136" ht="16" customHeight="1">
      <c r="A2136" s="8" t="inlineStr">
        <is>
          <t>MATED-14621</t>
        </is>
      </c>
      <c r="B2136" s="7" t="inlineStr">
        <is>
          <t>FERRAMENTAS PARA FAMÍLIA ENCANADOR/BOMBEIRO - HORISTA (ENCARGOS COMPLEMENTARES)</t>
        </is>
      </c>
      <c r="C2136" s="56" t="n"/>
      <c r="D2136" s="8" t="inlineStr">
        <is>
          <t>hora</t>
        </is>
      </c>
      <c r="E2136" s="69" t="n">
        <v>1</v>
      </c>
      <c r="F2136" s="70" t="n">
        <v>0.31</v>
      </c>
      <c r="G2136" s="70">
        <f>ROUND(ROUND(E2136,7)*F2136,4)</f>
        <v/>
      </c>
      <c r="L2136" t="n">
        <v>1</v>
      </c>
      <c r="M2136" t="n">
        <v>0.31</v>
      </c>
      <c r="N2136">
        <f>(M2136-F2136)</f>
        <v/>
      </c>
    </row>
    <row r="2137" ht="15" customHeight="1">
      <c r="A2137" s="1" t="inlineStr"/>
      <c r="B2137" s="1" t="inlineStr"/>
      <c r="C2137" s="1" t="inlineStr"/>
      <c r="D2137" s="1" t="inlineStr"/>
      <c r="E2137" s="35" t="inlineStr">
        <is>
          <t>TOTAL MATERIAIS:</t>
        </is>
      </c>
      <c r="F2137" s="56" t="n"/>
      <c r="G2137" s="71">
        <f>SUM(G2136:G2136)</f>
        <v/>
      </c>
    </row>
    <row r="2138" ht="15" customHeight="1">
      <c r="A2138" s="2" t="inlineStr"/>
      <c r="B2138" s="2" t="inlineStr"/>
      <c r="C2138" s="2" t="inlineStr"/>
      <c r="D2138" s="2" t="inlineStr"/>
      <c r="E2138" s="28" t="inlineStr">
        <is>
          <t>Custo Direto Total:</t>
        </is>
      </c>
      <c r="F2138" s="56" t="n"/>
      <c r="G2138" s="70">
        <f>SUM(G2137)</f>
        <v/>
      </c>
    </row>
    <row r="2139" ht="15" customHeight="1">
      <c r="A2139" s="2" t="inlineStr"/>
      <c r="B2139" s="2" t="inlineStr"/>
      <c r="C2139" s="2" t="inlineStr"/>
      <c r="D2139" s="2" t="inlineStr"/>
      <c r="E2139" s="28" t="inlineStr">
        <is>
          <t>VALOR:</t>
        </is>
      </c>
      <c r="F2139" s="56" t="n"/>
      <c r="G2139" s="66">
        <f>ROUND(SUM(G2138),2)</f>
        <v/>
      </c>
    </row>
    <row r="2140" ht="15" customHeight="1">
      <c r="A2140" s="2" t="inlineStr"/>
      <c r="B2140" s="2" t="inlineStr"/>
      <c r="C2140" s="2" t="inlineStr"/>
      <c r="D2140" s="2" t="inlineStr"/>
      <c r="E2140" s="28" t="inlineStr">
        <is>
          <t>VALOR BDI (23.08%):</t>
        </is>
      </c>
      <c r="F2140" s="56" t="n"/>
      <c r="G2140" s="66">
        <f>ROUNDDOWN(G2139*BDI,2)</f>
        <v/>
      </c>
    </row>
    <row r="2141" ht="15" customHeight="1">
      <c r="A2141" s="2" t="inlineStr"/>
      <c r="B2141" s="2" t="inlineStr"/>
      <c r="C2141" s="2" t="inlineStr"/>
      <c r="D2141" s="2" t="inlineStr"/>
      <c r="E2141" s="28" t="inlineStr">
        <is>
          <t>VALOR COM BDI:</t>
        </is>
      </c>
      <c r="F2141" s="56" t="n"/>
      <c r="G2141" s="66">
        <f>G2140 + G2139</f>
        <v/>
      </c>
    </row>
    <row r="2142" ht="10" customHeight="1">
      <c r="A2142" s="2" t="inlineStr"/>
      <c r="B2142" s="2" t="inlineStr"/>
      <c r="C2142" s="2" t="inlineStr"/>
      <c r="D2142" s="2" t="inlineStr"/>
      <c r="E2142" s="18" t="inlineStr"/>
    </row>
    <row r="2143" ht="20" customHeight="1">
      <c r="A2143" s="19" t="inlineStr">
        <is>
          <t>​C1399​ FORMA PLANA CHAPA COMPENSADA PLASTIFICADA, ESP.= 12mm UTIL. 5X​ (M2)</t>
        </is>
      </c>
      <c r="B2143" s="55" t="n"/>
      <c r="C2143" s="55" t="n"/>
      <c r="D2143" s="55" t="n"/>
      <c r="E2143" s="55" t="n"/>
      <c r="F2143" s="55" t="n"/>
      <c r="G2143" s="56" t="n"/>
    </row>
    <row r="2144" ht="15" customHeight="1">
      <c r="A2144" s="20" t="inlineStr">
        <is>
          <t>Material</t>
        </is>
      </c>
      <c r="B2144" s="56" t="n"/>
      <c r="C2144" s="21" t="inlineStr">
        <is>
          <t>FONTE</t>
        </is>
      </c>
      <c r="D2144" s="21" t="inlineStr">
        <is>
          <t>UNID</t>
        </is>
      </c>
      <c r="E2144" s="21" t="inlineStr">
        <is>
          <t>COEFICIENTE</t>
        </is>
      </c>
      <c r="F2144" s="21" t="inlineStr">
        <is>
          <t>PREÇO UNITÁRIO</t>
        </is>
      </c>
      <c r="G2144" s="21" t="inlineStr">
        <is>
          <t>TOTAL</t>
        </is>
      </c>
    </row>
    <row r="2145" ht="15" customHeight="1">
      <c r="A2145" s="22" t="inlineStr">
        <is>
          <t>I0526</t>
        </is>
      </c>
      <c r="B2145" s="23" t="inlineStr">
        <is>
          <t>CHAPA COMPENSADO PLASTIFICADO 12MM (1.22 X 2.44M)</t>
        </is>
      </c>
      <c r="C2145" s="22" t="inlineStr">
        <is>
          <t>SEINFRA</t>
        </is>
      </c>
      <c r="D2145" s="22" t="inlineStr">
        <is>
          <t>M2</t>
        </is>
      </c>
      <c r="E2145" s="63" t="n">
        <v>0.26</v>
      </c>
      <c r="F2145" s="67">
        <f>ROUND(M2145*FATOR, 2)</f>
        <v/>
      </c>
      <c r="G2145" s="67">
        <f>ROUND(ROUND(E2145,8)*F2145,4)</f>
        <v/>
      </c>
      <c r="L2145" t="n">
        <v>0.26</v>
      </c>
      <c r="M2145" t="n">
        <v>69.64</v>
      </c>
      <c r="N2145">
        <f>(M2145-F2145)</f>
        <v/>
      </c>
    </row>
    <row r="2146" ht="15" customHeight="1">
      <c r="A2146" s="22" t="inlineStr">
        <is>
          <t>I1691</t>
        </is>
      </c>
      <c r="B2146" s="23" t="inlineStr">
        <is>
          <t>PONTALETE / BARROTE DE 3"x3"</t>
        </is>
      </c>
      <c r="C2146" s="22" t="inlineStr">
        <is>
          <t>SEINFRA</t>
        </is>
      </c>
      <c r="D2146" s="22" t="inlineStr">
        <is>
          <t>M</t>
        </is>
      </c>
      <c r="E2146" s="63" t="n">
        <v>1.2</v>
      </c>
      <c r="F2146" s="67">
        <f>ROUND(M2146*FATOR, 2)</f>
        <v/>
      </c>
      <c r="G2146" s="67">
        <f>ROUND(ROUND(E2146,8)*F2146,4)</f>
        <v/>
      </c>
      <c r="L2146" t="n">
        <v>1.2</v>
      </c>
      <c r="M2146" t="n">
        <v>16.09</v>
      </c>
      <c r="N2146">
        <f>(M2146-F2146)</f>
        <v/>
      </c>
    </row>
    <row r="2147" ht="21" customHeight="1">
      <c r="A2147" s="22" t="inlineStr">
        <is>
          <t>I1728</t>
        </is>
      </c>
      <c r="B2147" s="23" t="inlineStr">
        <is>
          <t>PREGO 18X27 (2.1/2" X 10) (APROXIMADAMENTE 198UN/KG)</t>
        </is>
      </c>
      <c r="C2147" s="22" t="inlineStr">
        <is>
          <t>SEINFRA</t>
        </is>
      </c>
      <c r="D2147" s="22" t="inlineStr">
        <is>
          <t>KG</t>
        </is>
      </c>
      <c r="E2147" s="63" t="n">
        <v>0.25</v>
      </c>
      <c r="F2147" s="67">
        <f>ROUND(M2147*FATOR, 2)</f>
        <v/>
      </c>
      <c r="G2147" s="67">
        <f>ROUND(ROUND(E2147,8)*F2147,4)</f>
        <v/>
      </c>
      <c r="L2147" t="n">
        <v>0.25</v>
      </c>
      <c r="M2147" t="n">
        <v>14.2</v>
      </c>
      <c r="N2147">
        <f>(M2147-F2147)</f>
        <v/>
      </c>
    </row>
    <row r="2148" ht="15" customHeight="1">
      <c r="A2148" s="22" t="inlineStr">
        <is>
          <t>I1846</t>
        </is>
      </c>
      <c r="B2148" s="23" t="inlineStr">
        <is>
          <t>SARRAFO DE 1"X4"</t>
        </is>
      </c>
      <c r="C2148" s="22" t="inlineStr">
        <is>
          <t>SEINFRA</t>
        </is>
      </c>
      <c r="D2148" s="22" t="inlineStr">
        <is>
          <t>M</t>
        </is>
      </c>
      <c r="E2148" s="63" t="n">
        <v>1.53</v>
      </c>
      <c r="F2148" s="67">
        <f>ROUND(M2148*FATOR, 2)</f>
        <v/>
      </c>
      <c r="G2148" s="67">
        <f>ROUND(ROUND(E2148,8)*F2148,4)</f>
        <v/>
      </c>
      <c r="L2148" t="n">
        <v>1.53</v>
      </c>
      <c r="M2148" t="n">
        <v>6.05</v>
      </c>
      <c r="N2148">
        <f>(M2148-F2148)</f>
        <v/>
      </c>
    </row>
    <row r="2149" ht="15" customHeight="1">
      <c r="A2149" s="22" t="inlineStr">
        <is>
          <t>I1916</t>
        </is>
      </c>
      <c r="B2149" s="23" t="inlineStr">
        <is>
          <t>TABUA DE 1" DE 3A. - L = 30cm</t>
        </is>
      </c>
      <c r="C2149" s="22" t="inlineStr">
        <is>
          <t>SEINFRA</t>
        </is>
      </c>
      <c r="D2149" s="22" t="inlineStr">
        <is>
          <t>M</t>
        </is>
      </c>
      <c r="E2149" s="63" t="n">
        <v>1.17</v>
      </c>
      <c r="F2149" s="67">
        <f>ROUND(M2149*FATOR, 2)</f>
        <v/>
      </c>
      <c r="G2149" s="67">
        <f>ROUND(ROUND(E2149,8)*F2149,4)</f>
        <v/>
      </c>
      <c r="L2149" t="n">
        <v>1.17</v>
      </c>
      <c r="M2149" t="n">
        <v>12.77</v>
      </c>
      <c r="N2149">
        <f>(M2149-F2149)</f>
        <v/>
      </c>
    </row>
    <row r="2150" ht="15" customHeight="1">
      <c r="A2150" s="2" t="inlineStr"/>
      <c r="B2150" s="2" t="inlineStr"/>
      <c r="C2150" s="2" t="inlineStr"/>
      <c r="D2150" s="2" t="inlineStr"/>
      <c r="E2150" s="26" t="inlineStr">
        <is>
          <t>TOTAL Material:</t>
        </is>
      </c>
      <c r="F2150" s="56" t="n"/>
      <c r="G2150" s="68">
        <f>SUM(G2145:G2149)</f>
        <v/>
      </c>
    </row>
    <row r="2151" ht="15" customHeight="1">
      <c r="A2151" s="20" t="inlineStr">
        <is>
          <t>Mão de Obra</t>
        </is>
      </c>
      <c r="B2151" s="56" t="n"/>
      <c r="C2151" s="21" t="inlineStr">
        <is>
          <t>FONTE</t>
        </is>
      </c>
      <c r="D2151" s="21" t="inlineStr">
        <is>
          <t>UNID</t>
        </is>
      </c>
      <c r="E2151" s="21" t="inlineStr">
        <is>
          <t>COEFICIENTE</t>
        </is>
      </c>
      <c r="F2151" s="21" t="inlineStr">
        <is>
          <t>PREÇO UNITÁRIO</t>
        </is>
      </c>
      <c r="G2151" s="21" t="inlineStr">
        <is>
          <t>TOTAL</t>
        </is>
      </c>
    </row>
    <row r="2152" ht="15" customHeight="1">
      <c r="A2152" s="22" t="inlineStr">
        <is>
          <t>I0041</t>
        </is>
      </c>
      <c r="B2152" s="23" t="inlineStr">
        <is>
          <t>AJUDANTE DE CARPINTEIRO</t>
        </is>
      </c>
      <c r="C2152" s="22" t="inlineStr">
        <is>
          <t>SEINFRA</t>
        </is>
      </c>
      <c r="D2152" s="22" t="inlineStr">
        <is>
          <t>H</t>
        </is>
      </c>
      <c r="E2152" s="63">
        <f>L2152*FATOR</f>
        <v/>
      </c>
      <c r="F2152" s="67" t="n">
        <v>21.1</v>
      </c>
      <c r="G2152" s="67">
        <f>ROUND(ROUND(E2152,8)*F2152,4)</f>
        <v/>
      </c>
      <c r="L2152" t="n">
        <v>1.35</v>
      </c>
      <c r="M2152" t="n">
        <v>21.1</v>
      </c>
      <c r="N2152">
        <f>(M2152-F2152)</f>
        <v/>
      </c>
    </row>
    <row r="2153" ht="15" customHeight="1">
      <c r="A2153" s="22" t="inlineStr">
        <is>
          <t>I0498</t>
        </is>
      </c>
      <c r="B2153" s="23" t="inlineStr">
        <is>
          <t>CARPINTEIRO</t>
        </is>
      </c>
      <c r="C2153" s="22" t="inlineStr">
        <is>
          <t>SEINFRA</t>
        </is>
      </c>
      <c r="D2153" s="22" t="inlineStr">
        <is>
          <t>H</t>
        </is>
      </c>
      <c r="E2153" s="63">
        <f>L2153*FATOR</f>
        <v/>
      </c>
      <c r="F2153" s="67" t="n">
        <v>26.86</v>
      </c>
      <c r="G2153" s="67">
        <f>ROUND(ROUND(E2153,8)*F2153,4)</f>
        <v/>
      </c>
      <c r="L2153" t="n">
        <v>1.35</v>
      </c>
      <c r="M2153" t="n">
        <v>26.86</v>
      </c>
      <c r="N2153">
        <f>(M2153-F2153)</f>
        <v/>
      </c>
    </row>
    <row r="2154" ht="15" customHeight="1">
      <c r="A2154" s="2" t="inlineStr"/>
      <c r="B2154" s="2" t="inlineStr"/>
      <c r="C2154" s="2" t="inlineStr"/>
      <c r="D2154" s="2" t="inlineStr"/>
      <c r="E2154" s="26" t="inlineStr">
        <is>
          <t>TOTAL Mão de Obra:</t>
        </is>
      </c>
      <c r="F2154" s="56" t="n"/>
      <c r="G2154" s="68">
        <f>SUM(G2152:G2153)</f>
        <v/>
      </c>
    </row>
    <row r="2155" ht="15" customHeight="1">
      <c r="A2155" s="2" t="inlineStr"/>
      <c r="B2155" s="2" t="inlineStr"/>
      <c r="C2155" s="2" t="inlineStr"/>
      <c r="D2155" s="2" t="inlineStr"/>
      <c r="E2155" s="28" t="inlineStr">
        <is>
          <t>VALOR:</t>
        </is>
      </c>
      <c r="F2155" s="56" t="n"/>
      <c r="G2155" s="66">
        <f>SUM(G2154,G2150)</f>
        <v/>
      </c>
    </row>
    <row r="2156" ht="15" customHeight="1">
      <c r="A2156" s="2" t="inlineStr"/>
      <c r="B2156" s="2" t="inlineStr"/>
      <c r="C2156" s="2" t="inlineStr"/>
      <c r="D2156" s="2" t="inlineStr"/>
      <c r="E2156" s="28" t="inlineStr">
        <is>
          <t>VALOR BDI (23.08%):</t>
        </is>
      </c>
      <c r="F2156" s="56" t="n"/>
      <c r="G2156" s="66">
        <f>ROUNDDOWN(G2155*BDI,2)</f>
        <v/>
      </c>
    </row>
    <row r="2157" ht="15" customHeight="1">
      <c r="A2157" s="2" t="inlineStr"/>
      <c r="B2157" s="2" t="inlineStr"/>
      <c r="C2157" s="2" t="inlineStr"/>
      <c r="D2157" s="2" t="inlineStr"/>
      <c r="E2157" s="28" t="inlineStr">
        <is>
          <t>VALOR COM BDI:</t>
        </is>
      </c>
      <c r="F2157" s="56" t="n"/>
      <c r="G2157" s="66">
        <f>G2156 + G2155</f>
        <v/>
      </c>
    </row>
    <row r="2158" ht="10" customHeight="1">
      <c r="A2158" s="2" t="inlineStr"/>
      <c r="B2158" s="2" t="inlineStr"/>
      <c r="C2158" s="2" t="inlineStr"/>
      <c r="D2158" s="2" t="inlineStr"/>
      <c r="E2158" s="18" t="inlineStr"/>
    </row>
    <row r="2159" ht="20" customHeight="1">
      <c r="A2159" s="19" t="inlineStr">
        <is>
          <t>​90279​ GRAUTE FGK=20 MPA; TRAÇO 1:0,04:1,8:2,1 (EM MASSA SECA DE CIMENTO/ CAL/ AREIA GROSSA/ BRITA 0) - PREPARO MECÂNICO COM BETONEIRA 400 L. AF_09/2021​ (M3)</t>
        </is>
      </c>
      <c r="B2159" s="55" t="n"/>
      <c r="C2159" s="55" t="n"/>
      <c r="D2159" s="55" t="n"/>
      <c r="E2159" s="55" t="n"/>
      <c r="F2159" s="55" t="n"/>
      <c r="G2159" s="56" t="n"/>
    </row>
    <row r="2160" ht="15" customHeight="1">
      <c r="A2160" s="20" t="inlineStr">
        <is>
          <t>Equipamento Custo Horário</t>
        </is>
      </c>
      <c r="B2160" s="56" t="n"/>
      <c r="C2160" s="21" t="inlineStr">
        <is>
          <t>FONTE</t>
        </is>
      </c>
      <c r="D2160" s="21" t="inlineStr">
        <is>
          <t>UNID</t>
        </is>
      </c>
      <c r="E2160" s="21" t="inlineStr">
        <is>
          <t>COEFICIENTE</t>
        </is>
      </c>
      <c r="F2160" s="21" t="inlineStr">
        <is>
          <t>PREÇO UNITÁRIO</t>
        </is>
      </c>
      <c r="G2160" s="21" t="inlineStr">
        <is>
          <t>TOTAL</t>
        </is>
      </c>
    </row>
    <row r="2161" ht="38" customHeight="1">
      <c r="A2161" s="22" t="inlineStr">
        <is>
          <t>88831</t>
        </is>
      </c>
      <c r="B2161" s="23" t="inlineStr">
        <is>
          <t>BETONEIRA CAPACIDADE NOMINAL DE 400 L, CAPACIDADE DE MISTURA 280 L, MOTOR ELÉTRICO TRIFÁSICO POTÊNCIA DE 2 CV, SEM CARREGADOR - CHI DIURNO. AF_05/2023</t>
        </is>
      </c>
      <c r="C2161" s="22" t="inlineStr">
        <is>
          <t>SINAPI</t>
        </is>
      </c>
      <c r="D2161" s="22" t="inlineStr">
        <is>
          <t>CHI</t>
        </is>
      </c>
      <c r="E2161" s="63" t="n">
        <v>0.4931</v>
      </c>
      <c r="F2161" s="64">
        <f>'COMPOSICOES AUXILIARES'!G217</f>
        <v/>
      </c>
      <c r="G2161" s="64">
        <f>TRUNC(TRUNC(E2161,8)*F2161,2)</f>
        <v/>
      </c>
      <c r="L2161" t="n">
        <v>0.4931</v>
      </c>
      <c r="M2161" t="n">
        <v>0.4</v>
      </c>
      <c r="N2161">
        <f>(M2161-F2161)</f>
        <v/>
      </c>
    </row>
    <row r="2162" ht="38" customHeight="1">
      <c r="A2162" s="22" t="inlineStr">
        <is>
          <t>88830</t>
        </is>
      </c>
      <c r="B2162" s="23" t="inlineStr">
        <is>
          <t>BETONEIRA CAPACIDADE NOMINAL DE 400 L, CAPACIDADE DE MISTURA 280 L, MOTOR ELÉTRICO TRIFÁSICO POTÊNCIA DE 2 CV, SEM CARREGADOR - CHP DIURNO. AF_05/2023</t>
        </is>
      </c>
      <c r="C2162" s="22" t="inlineStr">
        <is>
          <t>SINAPI</t>
        </is>
      </c>
      <c r="D2162" s="22" t="inlineStr">
        <is>
          <t>CHP</t>
        </is>
      </c>
      <c r="E2162" s="63" t="n">
        <v>1.1138</v>
      </c>
      <c r="F2162" s="64">
        <f>'COMPOSICOES AUXILIARES'!G217</f>
        <v/>
      </c>
      <c r="G2162" s="64">
        <f>TRUNC(TRUNC(E2162,8)*F2162,2)</f>
        <v/>
      </c>
      <c r="L2162" t="n">
        <v>1.1138</v>
      </c>
      <c r="M2162" t="n">
        <v>2.02</v>
      </c>
      <c r="N2162">
        <f>(M2162-F2162)</f>
        <v/>
      </c>
    </row>
    <row r="2163" ht="18" customHeight="1">
      <c r="A2163" s="2" t="inlineStr"/>
      <c r="B2163" s="2" t="inlineStr"/>
      <c r="C2163" s="2" t="inlineStr"/>
      <c r="D2163" s="2" t="inlineStr"/>
      <c r="E2163" s="26" t="inlineStr">
        <is>
          <t>TOTAL Equipamento Custo Horário:</t>
        </is>
      </c>
      <c r="F2163" s="56" t="n"/>
      <c r="G2163" s="65">
        <f>SUM(G2161:G2162)</f>
        <v/>
      </c>
    </row>
    <row r="2164" ht="15" customHeight="1">
      <c r="A2164" s="20" t="inlineStr">
        <is>
          <t>Material</t>
        </is>
      </c>
      <c r="B2164" s="56" t="n"/>
      <c r="C2164" s="21" t="inlineStr">
        <is>
          <t>FONTE</t>
        </is>
      </c>
      <c r="D2164" s="21" t="inlineStr">
        <is>
          <t>UNID</t>
        </is>
      </c>
      <c r="E2164" s="21" t="inlineStr">
        <is>
          <t>COEFICIENTE</t>
        </is>
      </c>
      <c r="F2164" s="21" t="inlineStr">
        <is>
          <t>PREÇO UNITÁRIO</t>
        </is>
      </c>
      <c r="G2164" s="21" t="inlineStr">
        <is>
          <t>TOTAL</t>
        </is>
      </c>
    </row>
    <row r="2165" ht="21" customHeight="1">
      <c r="A2165" s="22" t="inlineStr">
        <is>
          <t>00000367</t>
        </is>
      </c>
      <c r="B2165" s="23" t="inlineStr">
        <is>
          <t>AREIA GROSSA - POSTO JAZIDA/FORNECEDOR (RETIRADO NA JAZIDA, SEM TRANSPORTE)</t>
        </is>
      </c>
      <c r="C2165" s="22" t="inlineStr">
        <is>
          <t>SINAPI</t>
        </is>
      </c>
      <c r="D2165" s="22" t="inlineStr">
        <is>
          <t>M3</t>
        </is>
      </c>
      <c r="E2165" s="63" t="n">
        <v>0.6302</v>
      </c>
      <c r="F2165" s="64">
        <f>ROUND(M2165*FATOR, 2)</f>
        <v/>
      </c>
      <c r="G2165" s="64">
        <f>TRUNC(TRUNC(E2165,8)*F2165,2)</f>
        <v/>
      </c>
      <c r="L2165" t="n">
        <v>0.6302</v>
      </c>
      <c r="M2165" t="n">
        <v>131.69</v>
      </c>
      <c r="N2165">
        <f>(M2165-F2165)</f>
        <v/>
      </c>
    </row>
    <row r="2166" ht="15" customHeight="1">
      <c r="A2166" s="22" t="inlineStr">
        <is>
          <t>00001106</t>
        </is>
      </c>
      <c r="B2166" s="23" t="inlineStr">
        <is>
          <t>CAL HIDRATADA CH-I PARA ARGAMASSAS</t>
        </is>
      </c>
      <c r="C2166" s="22" t="inlineStr">
        <is>
          <t>SINAPI</t>
        </is>
      </c>
      <c r="D2166" s="22" t="inlineStr">
        <is>
          <t>KG</t>
        </is>
      </c>
      <c r="E2166" s="63" t="n">
        <v>15.1255</v>
      </c>
      <c r="F2166" s="64">
        <f>ROUND(M2166*FATOR, 2)</f>
        <v/>
      </c>
      <c r="G2166" s="64">
        <f>TRUNC(TRUNC(E2166,8)*F2166,2)</f>
        <v/>
      </c>
      <c r="L2166" t="n">
        <v>15.1255</v>
      </c>
      <c r="M2166" t="n">
        <v>1.28</v>
      </c>
      <c r="N2166">
        <f>(M2166-F2166)</f>
        <v/>
      </c>
    </row>
    <row r="2167" ht="15" customHeight="1">
      <c r="A2167" s="22" t="inlineStr">
        <is>
          <t>00001379</t>
        </is>
      </c>
      <c r="B2167" s="23" t="inlineStr">
        <is>
          <t>CIMENTO PORTLAND COMPOSTO CP II-32</t>
        </is>
      </c>
      <c r="C2167" s="22" t="inlineStr">
        <is>
          <t>SINAPI</t>
        </is>
      </c>
      <c r="D2167" s="22" t="inlineStr">
        <is>
          <t>KG</t>
        </is>
      </c>
      <c r="E2167" s="63" t="n">
        <v>420.1527</v>
      </c>
      <c r="F2167" s="64">
        <f>ROUND(M2167*FATOR, 2)</f>
        <v/>
      </c>
      <c r="G2167" s="64">
        <f>TRUNC(TRUNC(E2167,8)*F2167,2)</f>
        <v/>
      </c>
      <c r="L2167" t="n">
        <v>420.1527</v>
      </c>
      <c r="M2167" t="n">
        <v>0.74</v>
      </c>
      <c r="N2167">
        <f>(M2167-F2167)</f>
        <v/>
      </c>
    </row>
    <row r="2168" ht="21" customHeight="1">
      <c r="A2168" s="22" t="inlineStr">
        <is>
          <t>00004720</t>
        </is>
      </c>
      <c r="B2168" s="23" t="inlineStr">
        <is>
          <t>PEDRA BRITADA N. 0, OU PEDRISCO (4,8 A 9,5 MM) POSTO PEDREIRA/FORNECEDOR, SEM FRETE</t>
        </is>
      </c>
      <c r="C2168" s="22" t="inlineStr">
        <is>
          <t>SINAPI</t>
        </is>
      </c>
      <c r="D2168" s="22" t="inlineStr">
        <is>
          <t>M3</t>
        </is>
      </c>
      <c r="E2168" s="63" t="n">
        <v>0.5881999999999999</v>
      </c>
      <c r="F2168" s="64">
        <f>ROUND(M2168*FATOR, 2)</f>
        <v/>
      </c>
      <c r="G2168" s="64">
        <f>TRUNC(TRUNC(E2168,8)*F2168,2)</f>
        <v/>
      </c>
      <c r="L2168" t="n">
        <v>0.5881999999999999</v>
      </c>
      <c r="M2168" t="n">
        <v>128.17</v>
      </c>
      <c r="N2168">
        <f>(M2168-F2168)</f>
        <v/>
      </c>
    </row>
    <row r="2169" ht="15" customHeight="1">
      <c r="A2169" s="2" t="inlineStr"/>
      <c r="B2169" s="2" t="inlineStr"/>
      <c r="C2169" s="2" t="inlineStr"/>
      <c r="D2169" s="2" t="inlineStr"/>
      <c r="E2169" s="26" t="inlineStr">
        <is>
          <t>TOTAL Material:</t>
        </is>
      </c>
      <c r="F2169" s="56" t="n"/>
      <c r="G2169" s="65">
        <f>SUM(G2165:G2168)</f>
        <v/>
      </c>
    </row>
    <row r="2170" ht="15" customHeight="1">
      <c r="A2170" s="20" t="inlineStr">
        <is>
          <t>Mão de Obra com Encargos Complementares</t>
        </is>
      </c>
      <c r="B2170" s="56" t="n"/>
      <c r="C2170" s="21" t="inlineStr">
        <is>
          <t>FONTE</t>
        </is>
      </c>
      <c r="D2170" s="21" t="inlineStr">
        <is>
          <t>UNID</t>
        </is>
      </c>
      <c r="E2170" s="21" t="inlineStr">
        <is>
          <t>COEFICIENTE</t>
        </is>
      </c>
      <c r="F2170" s="21" t="inlineStr">
        <is>
          <t>PREÇO UNITÁRIO</t>
        </is>
      </c>
      <c r="G2170" s="21" t="inlineStr">
        <is>
          <t>TOTAL</t>
        </is>
      </c>
    </row>
    <row r="2171" ht="21" customHeight="1">
      <c r="A2171" s="22" t="inlineStr">
        <is>
          <t>88377</t>
        </is>
      </c>
      <c r="B2171" s="23" t="inlineStr">
        <is>
          <t>OPERADOR DE BETONEIRA ESTACIONÁRIA/MISTURADOR COM ENCARGOS COMPLEMENTARES</t>
        </is>
      </c>
      <c r="C2171" s="22" t="inlineStr">
        <is>
          <t>SINAPI</t>
        </is>
      </c>
      <c r="D2171" s="22" t="inlineStr">
        <is>
          <t>H</t>
        </is>
      </c>
      <c r="E2171" s="63">
        <f>L2171*FATOR</f>
        <v/>
      </c>
      <c r="F2171" s="64">
        <f>'COMPOSICOES AUXILIARES'!G150</f>
        <v/>
      </c>
      <c r="G2171" s="64">
        <f>TRUNC(TRUNC(E2171,8)*F2171,2)</f>
        <v/>
      </c>
      <c r="L2171" t="n">
        <v>1.6069</v>
      </c>
      <c r="M2171" t="n">
        <v>29.43</v>
      </c>
      <c r="N2171">
        <f>(M2171-F2171)</f>
        <v/>
      </c>
    </row>
    <row r="2172" ht="15" customHeight="1">
      <c r="A2172" s="22" t="inlineStr">
        <is>
          <t>88316</t>
        </is>
      </c>
      <c r="B2172" s="23" t="inlineStr">
        <is>
          <t>SERVENTE COM ENCARGOS COMPLEMENTARES</t>
        </is>
      </c>
      <c r="C2172" s="22" t="inlineStr">
        <is>
          <t>SINAPI</t>
        </is>
      </c>
      <c r="D2172" s="22" t="inlineStr">
        <is>
          <t>H</t>
        </is>
      </c>
      <c r="E2172" s="63">
        <f>L2172*FATOR</f>
        <v/>
      </c>
      <c r="F2172" s="64">
        <f>'COMPOSICOES AUXILIARES'!G161</f>
        <v/>
      </c>
      <c r="G2172" s="64">
        <f>TRUNC(TRUNC(E2172,8)*F2172,2)</f>
        <v/>
      </c>
      <c r="L2172" t="n">
        <v>2.5492</v>
      </c>
      <c r="M2172" t="n">
        <v>23.56</v>
      </c>
      <c r="N2172">
        <f>(M2172-F2172)</f>
        <v/>
      </c>
    </row>
    <row r="2173" ht="18" customHeight="1">
      <c r="A2173" s="2" t="inlineStr"/>
      <c r="B2173" s="2" t="inlineStr"/>
      <c r="C2173" s="2" t="inlineStr"/>
      <c r="D2173" s="2" t="inlineStr"/>
      <c r="E2173" s="26" t="inlineStr">
        <is>
          <t>TOTAL Mão de Obra com Encargos Complementares:</t>
        </is>
      </c>
      <c r="F2173" s="56" t="n"/>
      <c r="G2173" s="65">
        <f>SUM(G2171:G2172)</f>
        <v/>
      </c>
    </row>
    <row r="2174" ht="15" customHeight="1">
      <c r="A2174" s="2" t="inlineStr"/>
      <c r="B2174" s="2" t="inlineStr"/>
      <c r="C2174" s="2" t="inlineStr"/>
      <c r="D2174" s="2" t="inlineStr"/>
      <c r="E2174" s="28" t="inlineStr">
        <is>
          <t>VALOR:</t>
        </is>
      </c>
      <c r="F2174" s="56" t="n"/>
      <c r="G2174" s="66">
        <f>SUM(G2169,G2163,G2173)</f>
        <v/>
      </c>
    </row>
    <row r="2175" ht="15" customHeight="1">
      <c r="A2175" s="2" t="inlineStr"/>
      <c r="B2175" s="2" t="inlineStr"/>
      <c r="C2175" s="2" t="inlineStr"/>
      <c r="D2175" s="2" t="inlineStr"/>
      <c r="E2175" s="28" t="inlineStr">
        <is>
          <t>VALOR BDI (23.08%):</t>
        </is>
      </c>
      <c r="F2175" s="56" t="n"/>
      <c r="G2175" s="66">
        <f>ROUNDDOWN(G2174*BDI,2)</f>
        <v/>
      </c>
    </row>
    <row r="2176" ht="15" customHeight="1">
      <c r="A2176" s="2" t="inlineStr"/>
      <c r="B2176" s="2" t="inlineStr"/>
      <c r="C2176" s="2" t="inlineStr"/>
      <c r="D2176" s="2" t="inlineStr"/>
      <c r="E2176" s="28" t="inlineStr">
        <is>
          <t>VALOR COM BDI:</t>
        </is>
      </c>
      <c r="F2176" s="56" t="n"/>
      <c r="G2176" s="66">
        <f>G2175 + G2174</f>
        <v/>
      </c>
    </row>
    <row r="2177" ht="10" customHeight="1">
      <c r="A2177" s="2" t="inlineStr"/>
      <c r="B2177" s="2" t="inlineStr"/>
      <c r="C2177" s="2" t="inlineStr"/>
      <c r="D2177" s="2" t="inlineStr"/>
      <c r="E2177" s="18" t="inlineStr"/>
    </row>
    <row r="2178" ht="20" customHeight="1">
      <c r="A2178" s="19" t="inlineStr">
        <is>
          <t>​89995​ GRAUTEAMENTO DE CINTA SUPERIOR OU DE VERGA EM ALVENARIA ESTRUTURAL. AF_09/2021​ (M3)</t>
        </is>
      </c>
      <c r="B2178" s="55" t="n"/>
      <c r="C2178" s="55" t="n"/>
      <c r="D2178" s="55" t="n"/>
      <c r="E2178" s="55" t="n"/>
      <c r="F2178" s="55" t="n"/>
      <c r="G2178" s="56" t="n"/>
    </row>
    <row r="2179" ht="15" customHeight="1">
      <c r="A2179" s="20" t="inlineStr">
        <is>
          <t>Mão de Obra com Encargos Complementares</t>
        </is>
      </c>
      <c r="B2179" s="56" t="n"/>
      <c r="C2179" s="21" t="inlineStr">
        <is>
          <t>FONTE</t>
        </is>
      </c>
      <c r="D2179" s="21" t="inlineStr">
        <is>
          <t>UNID</t>
        </is>
      </c>
      <c r="E2179" s="21" t="inlineStr">
        <is>
          <t>COEFICIENTE</t>
        </is>
      </c>
      <c r="F2179" s="21" t="inlineStr">
        <is>
          <t>PREÇO UNITÁRIO</t>
        </is>
      </c>
      <c r="G2179" s="21" t="inlineStr">
        <is>
          <t>TOTAL</t>
        </is>
      </c>
    </row>
    <row r="2180" ht="15" customHeight="1">
      <c r="A2180" s="22" t="inlineStr">
        <is>
          <t>88309</t>
        </is>
      </c>
      <c r="B2180" s="23" t="inlineStr">
        <is>
          <t>PEDREIRO COM ENCARGOS COMPLEMENTARES</t>
        </is>
      </c>
      <c r="C2180" s="22" t="inlineStr">
        <is>
          <t>SINAPI</t>
        </is>
      </c>
      <c r="D2180" s="22" t="inlineStr">
        <is>
          <t>H</t>
        </is>
      </c>
      <c r="E2180" s="63">
        <f>L2180*FATOR</f>
        <v/>
      </c>
      <c r="F2180" s="64">
        <f>'COMPOSICOES AUXILIARES'!G1112</f>
        <v/>
      </c>
      <c r="G2180" s="64">
        <f>TRUNC(TRUNC(E2180,8)*F2180,2)</f>
        <v/>
      </c>
      <c r="L2180" t="n">
        <v>7.4148</v>
      </c>
      <c r="M2180" t="n">
        <v>30.58</v>
      </c>
      <c r="N2180">
        <f>(M2180-F2180)</f>
        <v/>
      </c>
    </row>
    <row r="2181" ht="15" customHeight="1">
      <c r="A2181" s="22" t="inlineStr">
        <is>
          <t>88316</t>
        </is>
      </c>
      <c r="B2181" s="23" t="inlineStr">
        <is>
          <t>SERVENTE COM ENCARGOS COMPLEMENTARES</t>
        </is>
      </c>
      <c r="C2181" s="22" t="inlineStr">
        <is>
          <t>SINAPI</t>
        </is>
      </c>
      <c r="D2181" s="22" t="inlineStr">
        <is>
          <t>H</t>
        </is>
      </c>
      <c r="E2181" s="63">
        <f>L2181*FATOR</f>
        <v/>
      </c>
      <c r="F2181" s="64">
        <f>'COMPOSICOES AUXILIARES'!G161</f>
        <v/>
      </c>
      <c r="G2181" s="64">
        <f>TRUNC(TRUNC(E2181,8)*F2181,2)</f>
        <v/>
      </c>
      <c r="L2181" t="n">
        <v>4.9432</v>
      </c>
      <c r="M2181" t="n">
        <v>23.56</v>
      </c>
      <c r="N2181">
        <f>(M2181-F2181)</f>
        <v/>
      </c>
    </row>
    <row r="2182" ht="18" customHeight="1">
      <c r="A2182" s="2" t="inlineStr"/>
      <c r="B2182" s="2" t="inlineStr"/>
      <c r="C2182" s="2" t="inlineStr"/>
      <c r="D2182" s="2" t="inlineStr"/>
      <c r="E2182" s="26" t="inlineStr">
        <is>
          <t>TOTAL Mão de Obra com Encargos Complementares:</t>
        </is>
      </c>
      <c r="F2182" s="56" t="n"/>
      <c r="G2182" s="65">
        <f>SUM(G2180:G2181)</f>
        <v/>
      </c>
    </row>
    <row r="2183" ht="15" customHeight="1">
      <c r="A2183" s="20" t="inlineStr">
        <is>
          <t>Serviço</t>
        </is>
      </c>
      <c r="B2183" s="56" t="n"/>
      <c r="C2183" s="21" t="inlineStr">
        <is>
          <t>FONTE</t>
        </is>
      </c>
      <c r="D2183" s="21" t="inlineStr">
        <is>
          <t>UNID</t>
        </is>
      </c>
      <c r="E2183" s="21" t="inlineStr">
        <is>
          <t>COEFICIENTE</t>
        </is>
      </c>
      <c r="F2183" s="21" t="inlineStr">
        <is>
          <t>PREÇO UNITÁRIO</t>
        </is>
      </c>
      <c r="G2183" s="21" t="inlineStr">
        <is>
          <t>TOTAL</t>
        </is>
      </c>
    </row>
    <row r="2184" ht="29" customHeight="1">
      <c r="A2184" s="22" t="inlineStr">
        <is>
          <t>90279</t>
        </is>
      </c>
      <c r="B2184" s="23" t="inlineStr">
        <is>
          <t>GRAUTE FGK=20 MPA; TRAÇO 1:0,04:1,8:2,1 (EM MASSA SECA DE CIMENTO/ CAL/ AREIA GROSSA/ BRITA 0) - PREPARO MECÂNICO COM BETONEIRA 400 L. AF_09/2021</t>
        </is>
      </c>
      <c r="C2184" s="22" t="inlineStr">
        <is>
          <t>SINAPI</t>
        </is>
      </c>
      <c r="D2184" s="22" t="inlineStr">
        <is>
          <t>M3</t>
        </is>
      </c>
      <c r="E2184" s="63" t="n">
        <v>1.203</v>
      </c>
      <c r="F2184" s="64">
        <f>'COMPOSICOES AUXILIARES'!G2174</f>
        <v/>
      </c>
      <c r="G2184" s="64">
        <f>TRUNC(TRUNC(E2184,8)*F2184,2)</f>
        <v/>
      </c>
      <c r="L2184" t="n">
        <v>1.203</v>
      </c>
      <c r="M2184" t="n">
        <v>598.41</v>
      </c>
      <c r="N2184">
        <f>(M2184-F2184)</f>
        <v/>
      </c>
    </row>
    <row r="2185" ht="15" customHeight="1">
      <c r="A2185" s="2" t="inlineStr"/>
      <c r="B2185" s="2" t="inlineStr"/>
      <c r="C2185" s="2" t="inlineStr"/>
      <c r="D2185" s="2" t="inlineStr"/>
      <c r="E2185" s="26" t="inlineStr">
        <is>
          <t>TOTAL Serviço:</t>
        </is>
      </c>
      <c r="F2185" s="56" t="n"/>
      <c r="G2185" s="65">
        <f>SUM(G2184:G2184)</f>
        <v/>
      </c>
    </row>
    <row r="2186" ht="15" customHeight="1">
      <c r="A2186" s="2" t="inlineStr"/>
      <c r="B2186" s="2" t="inlineStr"/>
      <c r="C2186" s="2" t="inlineStr"/>
      <c r="D2186" s="2" t="inlineStr"/>
      <c r="E2186" s="28" t="inlineStr">
        <is>
          <t>VALOR:</t>
        </is>
      </c>
      <c r="F2186" s="56" t="n"/>
      <c r="G2186" s="66">
        <f>SUM(G2185,G2182)</f>
        <v/>
      </c>
    </row>
    <row r="2187" ht="15" customHeight="1">
      <c r="A2187" s="2" t="inlineStr"/>
      <c r="B2187" s="2" t="inlineStr"/>
      <c r="C2187" s="2" t="inlineStr"/>
      <c r="D2187" s="2" t="inlineStr"/>
      <c r="E2187" s="28" t="inlineStr">
        <is>
          <t>VALOR BDI (23.08%):</t>
        </is>
      </c>
      <c r="F2187" s="56" t="n"/>
      <c r="G2187" s="66">
        <f>ROUNDDOWN(G2186*BDI,2)</f>
        <v/>
      </c>
    </row>
    <row r="2188" ht="15" customHeight="1">
      <c r="A2188" s="2" t="inlineStr"/>
      <c r="B2188" s="2" t="inlineStr"/>
      <c r="C2188" s="2" t="inlineStr"/>
      <c r="D2188" s="2" t="inlineStr"/>
      <c r="E2188" s="28" t="inlineStr">
        <is>
          <t>VALOR COM BDI:</t>
        </is>
      </c>
      <c r="F2188" s="56" t="n"/>
      <c r="G2188" s="66">
        <f>G2187 + G2186</f>
        <v/>
      </c>
    </row>
    <row r="2189" ht="10" customHeight="1">
      <c r="A2189" s="2" t="inlineStr"/>
      <c r="B2189" s="2" t="inlineStr"/>
      <c r="C2189" s="2" t="inlineStr"/>
      <c r="D2189" s="2" t="inlineStr"/>
      <c r="E2189" s="18" t="inlineStr"/>
    </row>
    <row r="2190" ht="20" customHeight="1">
      <c r="A2190" s="19" t="inlineStr">
        <is>
          <t>​5930​ GUINDAUTO HIDRÁULICO, CAPACIDADE MÁXIMA DE CARGA 6200 KG, MOMENTO MÁXIMO DE CARGA 11,7 TM, ALCANCE MÁXIMO HORIZONTAL 9,70 M, INCLUSIVE CAMINHÃO TOCO PBT 16.000 KG, POTÊNCIA DE 189 CV - CHI DIURNO. AF_06/2014​ (CHI)</t>
        </is>
      </c>
      <c r="B2190" s="55" t="n"/>
      <c r="C2190" s="55" t="n"/>
      <c r="D2190" s="55" t="n"/>
      <c r="E2190" s="55" t="n"/>
      <c r="F2190" s="55" t="n"/>
      <c r="G2190" s="56" t="n"/>
    </row>
    <row r="2191" ht="15" customHeight="1">
      <c r="A2191" s="20" t="inlineStr">
        <is>
          <t>Mão de Obra com Encargos Complementares</t>
        </is>
      </c>
      <c r="B2191" s="56" t="n"/>
      <c r="C2191" s="21" t="inlineStr">
        <is>
          <t>FONTE</t>
        </is>
      </c>
      <c r="D2191" s="21" t="inlineStr">
        <is>
          <t>UNID</t>
        </is>
      </c>
      <c r="E2191" s="21" t="inlineStr">
        <is>
          <t>COEFICIENTE</t>
        </is>
      </c>
      <c r="F2191" s="21" t="inlineStr">
        <is>
          <t>PREÇO UNITÁRIO</t>
        </is>
      </c>
      <c r="G2191" s="21" t="inlineStr">
        <is>
          <t>TOTAL</t>
        </is>
      </c>
    </row>
    <row r="2192" ht="21" customHeight="1">
      <c r="A2192" s="22" t="inlineStr">
        <is>
          <t>88286</t>
        </is>
      </c>
      <c r="B2192" s="23" t="inlineStr">
        <is>
          <t>MOTORISTA OPERADOR DE MUNCK COM ENCARGOS COMPLEMENTARES</t>
        </is>
      </c>
      <c r="C2192" s="22" t="inlineStr">
        <is>
          <t>SINAPI</t>
        </is>
      </c>
      <c r="D2192" s="22" t="inlineStr">
        <is>
          <t>H</t>
        </is>
      </c>
      <c r="E2192" s="63">
        <f>L2192*FATOR</f>
        <v/>
      </c>
      <c r="F2192" s="64">
        <f>G2665</f>
        <v/>
      </c>
      <c r="G2192" s="64">
        <f>TRUNC(TRUNC(E2192,8)*F2192,2)</f>
        <v/>
      </c>
      <c r="L2192" t="n">
        <v>1</v>
      </c>
      <c r="M2192" t="n">
        <v>38.11</v>
      </c>
      <c r="N2192">
        <f>(M2192-F2192)</f>
        <v/>
      </c>
    </row>
    <row r="2193" ht="18" customHeight="1">
      <c r="A2193" s="2" t="inlineStr"/>
      <c r="B2193" s="2" t="inlineStr"/>
      <c r="C2193" s="2" t="inlineStr"/>
      <c r="D2193" s="2" t="inlineStr"/>
      <c r="E2193" s="26" t="inlineStr">
        <is>
          <t>TOTAL Mão de Obra com Encargos Complementares:</t>
        </is>
      </c>
      <c r="F2193" s="56" t="n"/>
      <c r="G2193" s="65">
        <f>SUM(G2192:G2192)</f>
        <v/>
      </c>
    </row>
    <row r="2194" ht="15" customHeight="1">
      <c r="A2194" s="20" t="inlineStr">
        <is>
          <t>Serviço</t>
        </is>
      </c>
      <c r="B2194" s="56" t="n"/>
      <c r="C2194" s="21" t="inlineStr">
        <is>
          <t>FONTE</t>
        </is>
      </c>
      <c r="D2194" s="21" t="inlineStr">
        <is>
          <t>UNID</t>
        </is>
      </c>
      <c r="E2194" s="21" t="inlineStr">
        <is>
          <t>COEFICIENTE</t>
        </is>
      </c>
      <c r="F2194" s="21" t="inlineStr">
        <is>
          <t>PREÇO UNITÁRIO</t>
        </is>
      </c>
      <c r="G2194" s="21" t="inlineStr">
        <is>
          <t>TOTAL</t>
        </is>
      </c>
    </row>
    <row r="2195" ht="46" customHeight="1">
      <c r="A2195" s="22" t="inlineStr">
        <is>
          <t>89259</t>
        </is>
      </c>
      <c r="B2195" s="23" t="inlineStr">
        <is>
          <t>GUINDAUTO HIDRÁULICO, CAPACIDADE MÁXIMA DE CARGA 6200 KG, MOMENTO MÁXIMO DE CARGA 11,7 TM, ALCANCE MÁXIMO HORIZONTAL 9,70 M, INCLUSIVE CAMINHÃO TOCO PBT 16.000 KG, POTÊNCIA DE 189 CV - DEPRECIAÇÃO. AF_06/2014</t>
        </is>
      </c>
      <c r="C2195" s="22" t="inlineStr">
        <is>
          <t>SINAPI</t>
        </is>
      </c>
      <c r="D2195" s="22" t="inlineStr">
        <is>
          <t>H</t>
        </is>
      </c>
      <c r="E2195" s="63" t="n">
        <v>1</v>
      </c>
      <c r="F2195" s="64" t="n">
        <v>27.52</v>
      </c>
      <c r="G2195" s="64">
        <f>TRUNC(TRUNC(E2195,8)*F2195,2)</f>
        <v/>
      </c>
      <c r="L2195" t="n">
        <v>1</v>
      </c>
      <c r="M2195" t="n">
        <v>27.52</v>
      </c>
      <c r="N2195">
        <f>(M2195-F2195)</f>
        <v/>
      </c>
    </row>
    <row r="2196" ht="46" customHeight="1">
      <c r="A2196" s="22" t="inlineStr">
        <is>
          <t>91466</t>
        </is>
      </c>
      <c r="B2196" s="23" t="inlineStr">
        <is>
          <t>GUINDAUTO HIDRÁULICO, CAPACIDADE MÁXIMA DE CARGA 6200 KG, MOMENTO MÁXIMO DE CARGA 11,7 TM, ALCANCE MÁXIMO HORIZONTAL 9,70 M, INCLUSIVE CAMINHÃO TOCO PBT 16.000 KG, POTÊNCIA DE 189 CV - IMPOSTOS E SEGUROS. AF_08/2015</t>
        </is>
      </c>
      <c r="C2196" s="22" t="inlineStr">
        <is>
          <t>SINAPI</t>
        </is>
      </c>
      <c r="D2196" s="22" t="inlineStr">
        <is>
          <t>H</t>
        </is>
      </c>
      <c r="E2196" s="63" t="n">
        <v>1</v>
      </c>
      <c r="F2196" s="64" t="n">
        <v>4.08</v>
      </c>
      <c r="G2196" s="64">
        <f>TRUNC(TRUNC(E2196,8)*F2196,2)</f>
        <v/>
      </c>
      <c r="L2196" t="n">
        <v>1</v>
      </c>
      <c r="M2196" t="n">
        <v>4.08</v>
      </c>
      <c r="N2196">
        <f>(M2196-F2196)</f>
        <v/>
      </c>
    </row>
    <row r="2197" ht="38" customHeight="1">
      <c r="A2197" s="22" t="inlineStr">
        <is>
          <t>89260</t>
        </is>
      </c>
      <c r="B2197" s="23" t="inlineStr">
        <is>
          <t>GUINDAUTO HIDRÁULICO, CAPACIDADE MÁXIMA DE CARGA 6200 KG, MOMENTO MÁXIMO DE CARGA 11,7 TM, ALCANCE MÁXIMO HORIZONTAL 9,70 M, INCLUSIVE CAMINHÃO TOCO PBT 16.000 KG, POTÊNCIA DE 189 CV - JUROS. AF_06/2014</t>
        </is>
      </c>
      <c r="C2197" s="22" t="inlineStr">
        <is>
          <t>SINAPI</t>
        </is>
      </c>
      <c r="D2197" s="22" t="inlineStr">
        <is>
          <t>H</t>
        </is>
      </c>
      <c r="E2197" s="63" t="n">
        <v>1</v>
      </c>
      <c r="F2197" s="64" t="n">
        <v>10.12</v>
      </c>
      <c r="G2197" s="64">
        <f>TRUNC(TRUNC(E2197,8)*F2197,2)</f>
        <v/>
      </c>
      <c r="L2197" t="n">
        <v>1</v>
      </c>
      <c r="M2197" t="n">
        <v>10.12</v>
      </c>
      <c r="N2197">
        <f>(M2197-F2197)</f>
        <v/>
      </c>
    </row>
    <row r="2198" ht="15" customHeight="1">
      <c r="A2198" s="2" t="inlineStr"/>
      <c r="B2198" s="2" t="inlineStr"/>
      <c r="C2198" s="2" t="inlineStr"/>
      <c r="D2198" s="2" t="inlineStr"/>
      <c r="E2198" s="26" t="inlineStr">
        <is>
          <t>TOTAL Serviço:</t>
        </is>
      </c>
      <c r="F2198" s="56" t="n"/>
      <c r="G2198" s="65">
        <f>SUM(G2195:G2197)</f>
        <v/>
      </c>
    </row>
    <row r="2199" ht="15" customHeight="1">
      <c r="A2199" s="2" t="inlineStr"/>
      <c r="B2199" s="2" t="inlineStr"/>
      <c r="C2199" s="2" t="inlineStr"/>
      <c r="D2199" s="2" t="inlineStr"/>
      <c r="E2199" s="28" t="inlineStr">
        <is>
          <t>VALOR:</t>
        </is>
      </c>
      <c r="F2199" s="56" t="n"/>
      <c r="G2199" s="66">
        <f>SUM(G2198)</f>
        <v/>
      </c>
    </row>
    <row r="2200" ht="15" customHeight="1">
      <c r="A2200" s="2" t="inlineStr"/>
      <c r="B2200" s="2" t="inlineStr"/>
      <c r="C2200" s="2" t="inlineStr"/>
      <c r="D2200" s="2" t="inlineStr"/>
      <c r="E2200" s="28" t="inlineStr">
        <is>
          <t>VALOR BDI (23.08%):</t>
        </is>
      </c>
      <c r="F2200" s="56" t="n"/>
      <c r="G2200" s="66">
        <f>ROUNDDOWN(G2199*BDI,2)</f>
        <v/>
      </c>
    </row>
    <row r="2201" ht="15" customHeight="1">
      <c r="A2201" s="2" t="inlineStr"/>
      <c r="B2201" s="2" t="inlineStr"/>
      <c r="C2201" s="2" t="inlineStr"/>
      <c r="D2201" s="2" t="inlineStr"/>
      <c r="E2201" s="28" t="inlineStr">
        <is>
          <t>VALOR COM BDI:</t>
        </is>
      </c>
      <c r="F2201" s="56" t="n"/>
      <c r="G2201" s="66">
        <f>G2200 + G2199</f>
        <v/>
      </c>
    </row>
    <row r="2202" ht="10" customHeight="1">
      <c r="A2202" s="2" t="inlineStr"/>
      <c r="B2202" s="2" t="inlineStr"/>
      <c r="C2202" s="2" t="inlineStr"/>
      <c r="D2202" s="2" t="inlineStr"/>
      <c r="E2202" s="18" t="inlineStr"/>
    </row>
    <row r="2203" ht="20" customHeight="1">
      <c r="A2203" s="19" t="inlineStr">
        <is>
          <t>​5928​ GUINDAUTO HIDRÁULICO, CAPACIDADE MÁXIMA DE CARGA 6200 KG, MOMENTO MÁXIMO DE CARGA 11,7 TM, ALCANCE MÁXIMO HORIZONTAL 9,70 M, INCLUSIVE CAMINHÃO TOCO PBT 16.000 KG, POTÊNCIA DE 189 CV - CHP DIURNO. AF_06/2014​ (CHP)</t>
        </is>
      </c>
      <c r="B2203" s="55" t="n"/>
      <c r="C2203" s="55" t="n"/>
      <c r="D2203" s="55" t="n"/>
      <c r="E2203" s="55" t="n"/>
      <c r="F2203" s="55" t="n"/>
      <c r="G2203" s="56" t="n"/>
    </row>
    <row r="2204" ht="15" customHeight="1">
      <c r="A2204" s="20" t="inlineStr">
        <is>
          <t>Mão de Obra com Encargos Complementares</t>
        </is>
      </c>
      <c r="B2204" s="56" t="n"/>
      <c r="C2204" s="21" t="inlineStr">
        <is>
          <t>FONTE</t>
        </is>
      </c>
      <c r="D2204" s="21" t="inlineStr">
        <is>
          <t>UNID</t>
        </is>
      </c>
      <c r="E2204" s="21" t="inlineStr">
        <is>
          <t>COEFICIENTE</t>
        </is>
      </c>
      <c r="F2204" s="21" t="inlineStr">
        <is>
          <t>PREÇO UNITÁRIO</t>
        </is>
      </c>
      <c r="G2204" s="21" t="inlineStr">
        <is>
          <t>TOTAL</t>
        </is>
      </c>
    </row>
    <row r="2205" ht="21" customHeight="1">
      <c r="A2205" s="22" t="inlineStr">
        <is>
          <t>88286</t>
        </is>
      </c>
      <c r="B2205" s="23" t="inlineStr">
        <is>
          <t>MOTORISTA OPERADOR DE MUNCK COM ENCARGOS COMPLEMENTARES</t>
        </is>
      </c>
      <c r="C2205" s="22" t="inlineStr">
        <is>
          <t>SINAPI</t>
        </is>
      </c>
      <c r="D2205" s="22" t="inlineStr">
        <is>
          <t>H</t>
        </is>
      </c>
      <c r="E2205" s="63">
        <f>L2205*FATOR</f>
        <v/>
      </c>
      <c r="F2205" s="64">
        <f>'COMPOSICOES AUXILIARES'!G2199</f>
        <v/>
      </c>
      <c r="G2205" s="64">
        <f>TRUNC(TRUNC(E2205,8)*F2205,2)</f>
        <v/>
      </c>
      <c r="L2205" t="n">
        <v>1</v>
      </c>
      <c r="M2205" t="n">
        <v>38.11</v>
      </c>
      <c r="N2205">
        <f>(M2205-F2205)</f>
        <v/>
      </c>
    </row>
    <row r="2206" ht="18" customHeight="1">
      <c r="A2206" s="2" t="inlineStr"/>
      <c r="B2206" s="2" t="inlineStr"/>
      <c r="C2206" s="2" t="inlineStr"/>
      <c r="D2206" s="2" t="inlineStr"/>
      <c r="E2206" s="26" t="inlineStr">
        <is>
          <t>TOTAL Mão de Obra com Encargos Complementares:</t>
        </is>
      </c>
      <c r="F2206" s="56" t="n"/>
      <c r="G2206" s="65">
        <f>SUM(G2205:G2205)</f>
        <v/>
      </c>
    </row>
    <row r="2207" ht="15" customHeight="1">
      <c r="A2207" s="20" t="inlineStr">
        <is>
          <t>Serviço</t>
        </is>
      </c>
      <c r="B2207" s="56" t="n"/>
      <c r="C2207" s="21" t="inlineStr">
        <is>
          <t>FONTE</t>
        </is>
      </c>
      <c r="D2207" s="21" t="inlineStr">
        <is>
          <t>UNID</t>
        </is>
      </c>
      <c r="E2207" s="21" t="inlineStr">
        <is>
          <t>COEFICIENTE</t>
        </is>
      </c>
      <c r="F2207" s="21" t="inlineStr">
        <is>
          <t>PREÇO UNITÁRIO</t>
        </is>
      </c>
      <c r="G2207" s="21" t="inlineStr">
        <is>
          <t>TOTAL</t>
        </is>
      </c>
    </row>
    <row r="2208" ht="46" customHeight="1">
      <c r="A2208" s="22" t="inlineStr">
        <is>
          <t>89259</t>
        </is>
      </c>
      <c r="B2208" s="23" t="inlineStr">
        <is>
          <t>GUINDAUTO HIDRÁULICO, CAPACIDADE MÁXIMA DE CARGA 6200 KG, MOMENTO MÁXIMO DE CARGA 11,7 TM, ALCANCE MÁXIMO HORIZONTAL 9,70 M, INCLUSIVE CAMINHÃO TOCO PBT 16.000 KG, POTÊNCIA DE 189 CV - DEPRECIAÇÃO. AF_06/2014</t>
        </is>
      </c>
      <c r="C2208" s="22" t="inlineStr">
        <is>
          <t>SINAPI</t>
        </is>
      </c>
      <c r="D2208" s="22" t="inlineStr">
        <is>
          <t>H</t>
        </is>
      </c>
      <c r="E2208" s="63" t="n">
        <v>1</v>
      </c>
      <c r="F2208" s="64">
        <f>'COMPOSICOES AUXILIARES'!G2199</f>
        <v/>
      </c>
      <c r="G2208" s="64">
        <f>TRUNC(TRUNC(E2208,8)*F2208,2)</f>
        <v/>
      </c>
      <c r="L2208" t="n">
        <v>1</v>
      </c>
      <c r="M2208" t="n">
        <v>27.52</v>
      </c>
      <c r="N2208">
        <f>(M2208-F2208)</f>
        <v/>
      </c>
    </row>
    <row r="2209" ht="46" customHeight="1">
      <c r="A2209" s="22" t="inlineStr">
        <is>
          <t>91466</t>
        </is>
      </c>
      <c r="B2209" s="23" t="inlineStr">
        <is>
          <t>GUINDAUTO HIDRÁULICO, CAPACIDADE MÁXIMA DE CARGA 6200 KG, MOMENTO MÁXIMO DE CARGA 11,7 TM, ALCANCE MÁXIMO HORIZONTAL 9,70 M, INCLUSIVE CAMINHÃO TOCO PBT 16.000 KG, POTÊNCIA DE 189 CV - IMPOSTOS E SEGUROS. AF_08/2015</t>
        </is>
      </c>
      <c r="C2209" s="22" t="inlineStr">
        <is>
          <t>SINAPI</t>
        </is>
      </c>
      <c r="D2209" s="22" t="inlineStr">
        <is>
          <t>H</t>
        </is>
      </c>
      <c r="E2209" s="63" t="n">
        <v>1</v>
      </c>
      <c r="F2209" s="64">
        <f>'COMPOSICOES AUXILIARES'!G2199</f>
        <v/>
      </c>
      <c r="G2209" s="64">
        <f>TRUNC(TRUNC(E2209,8)*F2209,2)</f>
        <v/>
      </c>
      <c r="L2209" t="n">
        <v>1</v>
      </c>
      <c r="M2209" t="n">
        <v>4.08</v>
      </c>
      <c r="N2209">
        <f>(M2209-F2209)</f>
        <v/>
      </c>
    </row>
    <row r="2210" ht="38" customHeight="1">
      <c r="A2210" s="22" t="inlineStr">
        <is>
          <t>89260</t>
        </is>
      </c>
      <c r="B2210" s="23" t="inlineStr">
        <is>
          <t>GUINDAUTO HIDRÁULICO, CAPACIDADE MÁXIMA DE CARGA 6200 KG, MOMENTO MÁXIMO DE CARGA 11,7 TM, ALCANCE MÁXIMO HORIZONTAL 9,70 M, INCLUSIVE CAMINHÃO TOCO PBT 16.000 KG, POTÊNCIA DE 189 CV - JUROS. AF_06/2014</t>
        </is>
      </c>
      <c r="C2210" s="22" t="inlineStr">
        <is>
          <t>SINAPI</t>
        </is>
      </c>
      <c r="D2210" s="22" t="inlineStr">
        <is>
          <t>H</t>
        </is>
      </c>
      <c r="E2210" s="63" t="n">
        <v>1</v>
      </c>
      <c r="F2210" s="64">
        <f>'COMPOSICOES AUXILIARES'!G2199</f>
        <v/>
      </c>
      <c r="G2210" s="64">
        <f>TRUNC(TRUNC(E2210,8)*F2210,2)</f>
        <v/>
      </c>
      <c r="L2210" t="n">
        <v>1</v>
      </c>
      <c r="M2210" t="n">
        <v>10.12</v>
      </c>
      <c r="N2210">
        <f>(M2210-F2210)</f>
        <v/>
      </c>
    </row>
    <row r="2211" ht="46" customHeight="1">
      <c r="A2211" s="22" t="inlineStr">
        <is>
          <t>89262</t>
        </is>
      </c>
      <c r="B2211" s="23" t="inlineStr">
        <is>
          <t>GUINDAUTO HIDRÁULICO, CAPACIDADE MÁXIMA DE CARGA 6200 KG, MOMENTO MÁXIMO DE CARGA 11,7 TM, ALCANCE MÁXIMO HORIZONTAL 9,70 M, INCLUSIVE CAMINHÃO TOCO PBT 16.000 KG, POTÊNCIA DE 189 CV - MANUTENÇÃO. AF_06/2014</t>
        </is>
      </c>
      <c r="C2211" s="22" t="inlineStr">
        <is>
          <t>SINAPI</t>
        </is>
      </c>
      <c r="D2211" s="22" t="inlineStr">
        <is>
          <t>H</t>
        </is>
      </c>
      <c r="E2211" s="63" t="n">
        <v>1</v>
      </c>
      <c r="F2211" s="64" t="n">
        <v>46.64</v>
      </c>
      <c r="G2211" s="64">
        <f>TRUNC(TRUNC(E2211,8)*F2211,2)</f>
        <v/>
      </c>
      <c r="L2211" t="n">
        <v>1</v>
      </c>
      <c r="M2211" t="n">
        <v>46.64</v>
      </c>
      <c r="N2211">
        <f>(M2211-F2211)</f>
        <v/>
      </c>
    </row>
    <row r="2212" ht="46" customHeight="1">
      <c r="A2212" s="22" t="inlineStr">
        <is>
          <t>91467</t>
        </is>
      </c>
      <c r="B2212" s="23" t="inlineStr">
        <is>
          <t>GUINDAUTO HIDRÁULICO, CAPACIDADE MÁXIMA DE CARGA 6200 KG, MOMENTO MÁXIMO DE CARGA 11,7 TM, ALCANCE MÁXIMO HORIZONTAL 9,70 M, INCLUSIVE CAMINHÃO TOCO PBT 16.000 KG, POTÊNCIA DE 189 CV - MATERIAIS NA OPERAÇÃO. AF_08/2015</t>
        </is>
      </c>
      <c r="C2212" s="22" t="inlineStr">
        <is>
          <t>SINAPI</t>
        </is>
      </c>
      <c r="D2212" s="22" t="inlineStr">
        <is>
          <t>H</t>
        </is>
      </c>
      <c r="E2212" s="63" t="n">
        <v>1</v>
      </c>
      <c r="F2212" s="64" t="n">
        <v>158.58</v>
      </c>
      <c r="G2212" s="64">
        <f>TRUNC(TRUNC(E2212,8)*F2212,2)</f>
        <v/>
      </c>
      <c r="L2212" t="n">
        <v>1</v>
      </c>
      <c r="M2212" t="n">
        <v>158.58</v>
      </c>
      <c r="N2212">
        <f>(M2212-F2212)</f>
        <v/>
      </c>
    </row>
    <row r="2213" ht="15" customHeight="1">
      <c r="A2213" s="2" t="inlineStr"/>
      <c r="B2213" s="2" t="inlineStr"/>
      <c r="C2213" s="2" t="inlineStr"/>
      <c r="D2213" s="2" t="inlineStr"/>
      <c r="E2213" s="26" t="inlineStr">
        <is>
          <t>TOTAL Serviço:</t>
        </is>
      </c>
      <c r="F2213" s="56" t="n"/>
      <c r="G2213" s="65">
        <f>SUM(G2208:G2212)</f>
        <v/>
      </c>
    </row>
    <row r="2214" ht="15" customHeight="1">
      <c r="A2214" s="2" t="inlineStr"/>
      <c r="B2214" s="2" t="inlineStr"/>
      <c r="C2214" s="2" t="inlineStr"/>
      <c r="D2214" s="2" t="inlineStr"/>
      <c r="E2214" s="28" t="inlineStr">
        <is>
          <t>VALOR:</t>
        </is>
      </c>
      <c r="F2214" s="56" t="n"/>
      <c r="G2214" s="66">
        <f>SUM(G2213,G2206)</f>
        <v/>
      </c>
    </row>
    <row r="2215" ht="15" customHeight="1">
      <c r="A2215" s="2" t="inlineStr"/>
      <c r="B2215" s="2" t="inlineStr"/>
      <c r="C2215" s="2" t="inlineStr"/>
      <c r="D2215" s="2" t="inlineStr"/>
      <c r="E2215" s="28" t="inlineStr">
        <is>
          <t>VALOR BDI (23.08%):</t>
        </is>
      </c>
      <c r="F2215" s="56" t="n"/>
      <c r="G2215" s="66">
        <f>ROUNDDOWN(G2214*BDI,2)</f>
        <v/>
      </c>
    </row>
    <row r="2216" ht="15" customHeight="1">
      <c r="A2216" s="2" t="inlineStr"/>
      <c r="B2216" s="2" t="inlineStr"/>
      <c r="C2216" s="2" t="inlineStr"/>
      <c r="D2216" s="2" t="inlineStr"/>
      <c r="E2216" s="28" t="inlineStr">
        <is>
          <t>VALOR COM BDI:</t>
        </is>
      </c>
      <c r="F2216" s="56" t="n"/>
      <c r="G2216" s="66">
        <f>G2215 + G2214</f>
        <v/>
      </c>
    </row>
    <row r="2217" ht="10" customHeight="1">
      <c r="A2217" s="2" t="inlineStr"/>
      <c r="B2217" s="2" t="inlineStr"/>
      <c r="C2217" s="2" t="inlineStr"/>
      <c r="D2217" s="2" t="inlineStr"/>
      <c r="E2217" s="18" t="inlineStr"/>
    </row>
    <row r="2218" ht="20" customHeight="1">
      <c r="A2218" s="19" t="inlineStr">
        <is>
          <t>​89259​ GUINDAUTO HIDRÁULICO, CAPACIDADE MÁXIMA DE CARGA 6200 KG, MOMENTO MÁXIMO DE CARGA 11,7 TM, ALCANCE MÁXIMO HORIZONTAL 9,70 M, INCLUSIVE CAMINHÃO TOCO PBT 16.000 KG, POTÊNCIA DE 189 CV - DEPRECIAÇÃO. AF_06/2014​ (H)</t>
        </is>
      </c>
      <c r="B2218" s="55" t="n"/>
      <c r="C2218" s="55" t="n"/>
      <c r="D2218" s="55" t="n"/>
      <c r="E2218" s="55" t="n"/>
      <c r="F2218" s="55" t="n"/>
      <c r="G2218" s="56" t="n"/>
    </row>
    <row r="2219" ht="15" customHeight="1">
      <c r="A2219" s="20" t="inlineStr">
        <is>
          <t>Equipamento</t>
        </is>
      </c>
      <c r="B2219" s="56" t="n"/>
      <c r="C2219" s="21" t="inlineStr">
        <is>
          <t>FONTE</t>
        </is>
      </c>
      <c r="D2219" s="21" t="inlineStr">
        <is>
          <t>UNID</t>
        </is>
      </c>
      <c r="E2219" s="21" t="inlineStr">
        <is>
          <t>COEFICIENTE</t>
        </is>
      </c>
      <c r="F2219" s="21" t="inlineStr">
        <is>
          <t>PREÇO UNITÁRIO</t>
        </is>
      </c>
      <c r="G2219" s="21" t="inlineStr">
        <is>
          <t>TOTAL</t>
        </is>
      </c>
    </row>
    <row r="2220" ht="38" customHeight="1">
      <c r="A2220" s="22" t="inlineStr">
        <is>
          <t>00037752</t>
        </is>
      </c>
      <c r="B2220" s="23" t="inlineStr">
        <is>
          <t>CAMINHAO TOCO, PESO BRUTO TOTAL 16000 KG, CARGA UTIL MAXIMA 11030 KG, DISTANCIA ENTRE EIXOS 5,41 M, POTENCIA 185 CV (INCLUI CABINE E CHASSI, NAO INCLUI CARROCERIA)</t>
        </is>
      </c>
      <c r="C2220" s="22" t="inlineStr">
        <is>
          <t>SINAPI</t>
        </is>
      </c>
      <c r="D2220" s="22" t="inlineStr">
        <is>
          <t>UN</t>
        </is>
      </c>
      <c r="E2220" s="63" t="n">
        <v>3.43e-05</v>
      </c>
      <c r="F2220" s="64" t="n">
        <v>571483.76</v>
      </c>
      <c r="G2220" s="64">
        <f>TRUNC(TRUNC(E2220,8)*F2220,2)</f>
        <v/>
      </c>
      <c r="M2220" t="n">
        <v>571483.76</v>
      </c>
      <c r="N2220">
        <f>(M2220-F2220)</f>
        <v/>
      </c>
    </row>
    <row r="2221" ht="46" customHeight="1">
      <c r="A2221" s="22" t="inlineStr">
        <is>
          <t>00003363</t>
        </is>
      </c>
      <c r="B2221" s="23" t="inlineStr">
        <is>
          <t>GUINDAUTO HIDRAULICO, CAPACIDADE MAXIMA DE CARGA 6200 KG, MOMENTO MAXIMO DE CARGA 11,7 TM, ALCANCE MAXIMO HORIZONTAL 9,70 M, PARA MONTAGEM SOBRE CHASSI DE CAMINHAO PBT MINIMO 13000 KG (INCLUI MONTAGEM, NAO INCLUI CAMINHAO)</t>
        </is>
      </c>
      <c r="C2221" s="22" t="inlineStr">
        <is>
          <t>SINAPI</t>
        </is>
      </c>
      <c r="D2221" s="22" t="inlineStr">
        <is>
          <t>UN</t>
        </is>
      </c>
      <c r="E2221" s="63" t="n">
        <v>5.51e-05</v>
      </c>
      <c r="F2221" s="64" t="n">
        <v>143750</v>
      </c>
      <c r="G2221" s="64">
        <f>TRUNC(TRUNC(E2221,8)*F2221,2)</f>
        <v/>
      </c>
      <c r="M2221" t="n">
        <v>143750</v>
      </c>
      <c r="N2221">
        <f>(M2221-F2221)</f>
        <v/>
      </c>
    </row>
    <row r="2222" ht="15" customHeight="1">
      <c r="A2222" s="2" t="inlineStr"/>
      <c r="B2222" s="2" t="inlineStr"/>
      <c r="C2222" s="2" t="inlineStr"/>
      <c r="D2222" s="2" t="inlineStr"/>
      <c r="E2222" s="26" t="inlineStr">
        <is>
          <t>TOTAL Equipamento:</t>
        </is>
      </c>
      <c r="F2222" s="56" t="n"/>
      <c r="G2222" s="65">
        <f>SUM(G2220:G2221)</f>
        <v/>
      </c>
    </row>
    <row r="2223" ht="15" customHeight="1">
      <c r="A2223" s="2" t="inlineStr"/>
      <c r="B2223" s="2" t="inlineStr"/>
      <c r="C2223" s="2" t="inlineStr"/>
      <c r="D2223" s="2" t="inlineStr"/>
      <c r="E2223" s="28" t="inlineStr">
        <is>
          <t>VALOR:</t>
        </is>
      </c>
      <c r="F2223" s="56" t="n"/>
      <c r="G2223" s="66">
        <f>ROUND(SUM(G2222),2)</f>
        <v/>
      </c>
    </row>
    <row r="2224" ht="15" customHeight="1">
      <c r="A2224" s="2" t="inlineStr"/>
      <c r="B2224" s="2" t="inlineStr"/>
      <c r="C2224" s="2" t="inlineStr"/>
      <c r="D2224" s="2" t="inlineStr"/>
      <c r="E2224" s="28" t="inlineStr">
        <is>
          <t>VALOR BDI (23.08%):</t>
        </is>
      </c>
      <c r="F2224" s="56" t="n"/>
      <c r="G2224" s="66">
        <f>ROUNDDOWN(G2223*BDI,2)</f>
        <v/>
      </c>
    </row>
    <row r="2225" ht="15" customHeight="1">
      <c r="A2225" s="2" t="inlineStr"/>
      <c r="B2225" s="2" t="inlineStr"/>
      <c r="C2225" s="2" t="inlineStr"/>
      <c r="D2225" s="2" t="inlineStr"/>
      <c r="E2225" s="28" t="inlineStr">
        <is>
          <t>VALOR COM BDI:</t>
        </is>
      </c>
      <c r="F2225" s="56" t="n"/>
      <c r="G2225" s="66">
        <f>G2224 + G2223</f>
        <v/>
      </c>
    </row>
    <row r="2226" ht="10" customHeight="1">
      <c r="A2226" s="2" t="inlineStr"/>
      <c r="B2226" s="2" t="inlineStr"/>
      <c r="C2226" s="2" t="inlineStr"/>
      <c r="D2226" s="2" t="inlineStr"/>
      <c r="E2226" s="18" t="inlineStr"/>
    </row>
    <row r="2227" ht="20" customHeight="1">
      <c r="A2227" s="19" t="inlineStr">
        <is>
          <t>​91466​ GUINDAUTO HIDRÁULICO, CAPACIDADE MÁXIMA DE CARGA 6200 KG, MOMENTO MÁXIMO DE CARGA 11,7 TM, ALCANCE MÁXIMO HORIZONTAL 9,70 M, INCLUSIVE CAMINHÃO TOCO PBT 16.000 KG, POTÊNCIA DE 189 CV - IMPOSTOS E SEGUROS. AF_08/2015​ (H)</t>
        </is>
      </c>
      <c r="B2227" s="55" t="n"/>
      <c r="C2227" s="55" t="n"/>
      <c r="D2227" s="55" t="n"/>
      <c r="E2227" s="55" t="n"/>
      <c r="F2227" s="55" t="n"/>
      <c r="G2227" s="56" t="n"/>
    </row>
    <row r="2228" ht="15" customHeight="1">
      <c r="A2228" s="20" t="inlineStr">
        <is>
          <t>Equipamento</t>
        </is>
      </c>
      <c r="B2228" s="56" t="n"/>
      <c r="C2228" s="21" t="inlineStr">
        <is>
          <t>FONTE</t>
        </is>
      </c>
      <c r="D2228" s="21" t="inlineStr">
        <is>
          <t>UNID</t>
        </is>
      </c>
      <c r="E2228" s="21" t="inlineStr">
        <is>
          <t>COEFICIENTE</t>
        </is>
      </c>
      <c r="F2228" s="21" t="inlineStr">
        <is>
          <t>PREÇO UNITÁRIO</t>
        </is>
      </c>
      <c r="G2228" s="21" t="inlineStr">
        <is>
          <t>TOTAL</t>
        </is>
      </c>
    </row>
    <row r="2229" ht="38" customHeight="1">
      <c r="A2229" s="22" t="inlineStr">
        <is>
          <t>00037752</t>
        </is>
      </c>
      <c r="B2229" s="23" t="inlineStr">
        <is>
          <t>CAMINHAO TOCO, PESO BRUTO TOTAL 16000 KG, CARGA UTIL MAXIMA 11030 KG, DISTANCIA ENTRE EIXOS 5,41 M, POTENCIA 185 CV (INCLUI CABINE E CHASSI, NAO INCLUI CARROCERIA)</t>
        </is>
      </c>
      <c r="C2229" s="22" t="inlineStr">
        <is>
          <t>SINAPI</t>
        </is>
      </c>
      <c r="D2229" s="22" t="inlineStr">
        <is>
          <t>UN</t>
        </is>
      </c>
      <c r="E2229" s="63" t="n">
        <v>5.7e-06</v>
      </c>
      <c r="F2229" s="64" t="n">
        <v>571483.76</v>
      </c>
      <c r="G2229" s="64">
        <f>TRUNC(TRUNC(E2229,8)*F2229,2)</f>
        <v/>
      </c>
      <c r="M2229" t="n">
        <v>571483.76</v>
      </c>
      <c r="N2229">
        <f>(M2229-F2229)</f>
        <v/>
      </c>
    </row>
    <row r="2230" ht="46" customHeight="1">
      <c r="A2230" s="22" t="inlineStr">
        <is>
          <t>00003363</t>
        </is>
      </c>
      <c r="B2230" s="23" t="inlineStr">
        <is>
          <t>GUINDAUTO HIDRAULICO, CAPACIDADE MAXIMA DE CARGA 6200 KG, MOMENTO MAXIMO DE CARGA 11,7 TM, ALCANCE MAXIMO HORIZONTAL 9,70 M, PARA MONTAGEM SOBRE CHASSI DE CAMINHAO PBT MINIMO 13000 KG (INCLUI MONTAGEM, NAO INCLUI CAMINHAO)</t>
        </is>
      </c>
      <c r="C2230" s="22" t="inlineStr">
        <is>
          <t>SINAPI</t>
        </is>
      </c>
      <c r="D2230" s="22" t="inlineStr">
        <is>
          <t>UN</t>
        </is>
      </c>
      <c r="E2230" s="63" t="n">
        <v>5.8e-06</v>
      </c>
      <c r="F2230" s="64" t="n">
        <v>143750</v>
      </c>
      <c r="G2230" s="64">
        <f>TRUNC(TRUNC(E2230,8)*F2230,2)</f>
        <v/>
      </c>
      <c r="M2230" t="n">
        <v>143750</v>
      </c>
      <c r="N2230">
        <f>(M2230-F2230)</f>
        <v/>
      </c>
    </row>
    <row r="2231" ht="15" customHeight="1">
      <c r="A2231" s="2" t="inlineStr"/>
      <c r="B2231" s="2" t="inlineStr"/>
      <c r="C2231" s="2" t="inlineStr"/>
      <c r="D2231" s="2" t="inlineStr"/>
      <c r="E2231" s="26" t="inlineStr">
        <is>
          <t>TOTAL Equipamento:</t>
        </is>
      </c>
      <c r="F2231" s="56" t="n"/>
      <c r="G2231" s="65">
        <f>SUM(G2229:G2230)</f>
        <v/>
      </c>
    </row>
    <row r="2232" ht="15" customHeight="1">
      <c r="A2232" s="2" t="inlineStr"/>
      <c r="B2232" s="2" t="inlineStr"/>
      <c r="C2232" s="2" t="inlineStr"/>
      <c r="D2232" s="2" t="inlineStr"/>
      <c r="E2232" s="28" t="inlineStr">
        <is>
          <t>VALOR:</t>
        </is>
      </c>
      <c r="F2232" s="56" t="n"/>
      <c r="G2232" s="66">
        <f>ROUND(SUM(G2231),2)</f>
        <v/>
      </c>
    </row>
    <row r="2233" ht="15" customHeight="1">
      <c r="A2233" s="2" t="inlineStr"/>
      <c r="B2233" s="2" t="inlineStr"/>
      <c r="C2233" s="2" t="inlineStr"/>
      <c r="D2233" s="2" t="inlineStr"/>
      <c r="E2233" s="28" t="inlineStr">
        <is>
          <t>VALOR BDI (23.08%):</t>
        </is>
      </c>
      <c r="F2233" s="56" t="n"/>
      <c r="G2233" s="66">
        <f>ROUNDDOWN(G2232*BDI,2)</f>
        <v/>
      </c>
    </row>
    <row r="2234" ht="15" customHeight="1">
      <c r="A2234" s="2" t="inlineStr"/>
      <c r="B2234" s="2" t="inlineStr"/>
      <c r="C2234" s="2" t="inlineStr"/>
      <c r="D2234" s="2" t="inlineStr"/>
      <c r="E2234" s="28" t="inlineStr">
        <is>
          <t>VALOR COM BDI:</t>
        </is>
      </c>
      <c r="F2234" s="56" t="n"/>
      <c r="G2234" s="66">
        <f>G2233 + G2232</f>
        <v/>
      </c>
    </row>
    <row r="2235" ht="10" customHeight="1">
      <c r="A2235" s="2" t="inlineStr"/>
      <c r="B2235" s="2" t="inlineStr"/>
      <c r="C2235" s="2" t="inlineStr"/>
      <c r="D2235" s="2" t="inlineStr"/>
      <c r="E2235" s="18" t="inlineStr"/>
    </row>
    <row r="2236" ht="20" customHeight="1">
      <c r="A2236" s="19" t="inlineStr">
        <is>
          <t>​89260​ GUINDAUTO HIDRÁULICO, CAPACIDADE MÁXIMA DE CARGA 6200 KG, MOMENTO MÁXIMO DE CARGA 11,7 TM, ALCANCE MÁXIMO HORIZONTAL 9,70 M, INCLUSIVE CAMINHÃO TOCO PBT 16.000 KG, POTÊNCIA DE 189 CV - JUROS. AF_06/2014​ (H)</t>
        </is>
      </c>
      <c r="B2236" s="55" t="n"/>
      <c r="C2236" s="55" t="n"/>
      <c r="D2236" s="55" t="n"/>
      <c r="E2236" s="55" t="n"/>
      <c r="F2236" s="55" t="n"/>
      <c r="G2236" s="56" t="n"/>
    </row>
    <row r="2237" ht="15" customHeight="1">
      <c r="A2237" s="20" t="inlineStr">
        <is>
          <t>Equipamento</t>
        </is>
      </c>
      <c r="B2237" s="56" t="n"/>
      <c r="C2237" s="21" t="inlineStr">
        <is>
          <t>FONTE</t>
        </is>
      </c>
      <c r="D2237" s="21" t="inlineStr">
        <is>
          <t>UNID</t>
        </is>
      </c>
      <c r="E2237" s="21" t="inlineStr">
        <is>
          <t>COEFICIENTE</t>
        </is>
      </c>
      <c r="F2237" s="21" t="inlineStr">
        <is>
          <t>PREÇO UNITÁRIO</t>
        </is>
      </c>
      <c r="G2237" s="21" t="inlineStr">
        <is>
          <t>TOTAL</t>
        </is>
      </c>
    </row>
    <row r="2238" ht="38" customHeight="1">
      <c r="A2238" s="22" t="inlineStr">
        <is>
          <t>00037752</t>
        </is>
      </c>
      <c r="B2238" s="23" t="inlineStr">
        <is>
          <t>CAMINHAO TOCO, PESO BRUTO TOTAL 16000 KG, CARGA UTIL MAXIMA 11030 KG, DISTANCIA ENTRE EIXOS 5,41 M, POTENCIA 185 CV (INCLUI CABINE E CHASSI, NAO INCLUI CARROCERIA)</t>
        </is>
      </c>
      <c r="C2238" s="22" t="inlineStr">
        <is>
          <t>SINAPI</t>
        </is>
      </c>
      <c r="D2238" s="22" t="inlineStr">
        <is>
          <t>UN</t>
        </is>
      </c>
      <c r="E2238" s="63" t="n">
        <v>1.41e-05</v>
      </c>
      <c r="F2238" s="64" t="n">
        <v>571483.76</v>
      </c>
      <c r="G2238" s="64">
        <f>TRUNC(TRUNC(E2238,8)*F2238,2)</f>
        <v/>
      </c>
      <c r="M2238" t="n">
        <v>571483.76</v>
      </c>
      <c r="N2238">
        <f>(M2238-F2238)</f>
        <v/>
      </c>
    </row>
    <row r="2239" ht="46" customHeight="1">
      <c r="A2239" s="22" t="inlineStr">
        <is>
          <t>00003363</t>
        </is>
      </c>
      <c r="B2239" s="23" t="inlineStr">
        <is>
          <t>GUINDAUTO HIDRAULICO, CAPACIDADE MAXIMA DE CARGA 6200 KG, MOMENTO MAXIMO DE CARGA 11,7 TM, ALCANCE MAXIMO HORIZONTAL 9,70 M, PARA MONTAGEM SOBRE CHASSI DE CAMINHAO PBT MINIMO 13000 KG (INCLUI MONTAGEM, NAO INCLUI CAMINHAO)</t>
        </is>
      </c>
      <c r="C2239" s="22" t="inlineStr">
        <is>
          <t>SINAPI</t>
        </is>
      </c>
      <c r="D2239" s="22" t="inlineStr">
        <is>
          <t>UN</t>
        </is>
      </c>
      <c r="E2239" s="63" t="n">
        <v>1.44e-05</v>
      </c>
      <c r="F2239" s="64" t="n">
        <v>143750</v>
      </c>
      <c r="G2239" s="64">
        <f>TRUNC(TRUNC(E2239,8)*F2239,2)</f>
        <v/>
      </c>
      <c r="M2239" t="n">
        <v>143750</v>
      </c>
      <c r="N2239">
        <f>(M2239-F2239)</f>
        <v/>
      </c>
    </row>
    <row r="2240" ht="15" customHeight="1">
      <c r="A2240" s="2" t="inlineStr"/>
      <c r="B2240" s="2" t="inlineStr"/>
      <c r="C2240" s="2" t="inlineStr"/>
      <c r="D2240" s="2" t="inlineStr"/>
      <c r="E2240" s="26" t="inlineStr">
        <is>
          <t>TOTAL Equipamento:</t>
        </is>
      </c>
      <c r="F2240" s="56" t="n"/>
      <c r="G2240" s="65">
        <f>SUM(G2238:G2239)</f>
        <v/>
      </c>
    </row>
    <row r="2241" ht="15" customHeight="1">
      <c r="A2241" s="2" t="inlineStr"/>
      <c r="B2241" s="2" t="inlineStr"/>
      <c r="C2241" s="2" t="inlineStr"/>
      <c r="D2241" s="2" t="inlineStr"/>
      <c r="E2241" s="28" t="inlineStr">
        <is>
          <t>VALOR:</t>
        </is>
      </c>
      <c r="F2241" s="56" t="n"/>
      <c r="G2241" s="66">
        <f>ROUND(SUM(G2240),2)</f>
        <v/>
      </c>
    </row>
    <row r="2242" ht="15" customHeight="1">
      <c r="A2242" s="2" t="inlineStr"/>
      <c r="B2242" s="2" t="inlineStr"/>
      <c r="C2242" s="2" t="inlineStr"/>
      <c r="D2242" s="2" t="inlineStr"/>
      <c r="E2242" s="28" t="inlineStr">
        <is>
          <t>VALOR BDI (23.08%):</t>
        </is>
      </c>
      <c r="F2242" s="56" t="n"/>
      <c r="G2242" s="66">
        <f>ROUNDDOWN(G2241*BDI,2)</f>
        <v/>
      </c>
    </row>
    <row r="2243" ht="15" customHeight="1">
      <c r="A2243" s="2" t="inlineStr"/>
      <c r="B2243" s="2" t="inlineStr"/>
      <c r="C2243" s="2" t="inlineStr"/>
      <c r="D2243" s="2" t="inlineStr"/>
      <c r="E2243" s="28" t="inlineStr">
        <is>
          <t>VALOR COM BDI:</t>
        </is>
      </c>
      <c r="F2243" s="56" t="n"/>
      <c r="G2243" s="66">
        <f>G2242 + G2241</f>
        <v/>
      </c>
    </row>
    <row r="2244" ht="10" customHeight="1">
      <c r="A2244" s="2" t="inlineStr"/>
      <c r="B2244" s="2" t="inlineStr"/>
      <c r="C2244" s="2" t="inlineStr"/>
      <c r="D2244" s="2" t="inlineStr"/>
      <c r="E2244" s="18" t="inlineStr"/>
    </row>
    <row r="2245" ht="20" customHeight="1">
      <c r="A2245" s="19" t="inlineStr">
        <is>
          <t>​89262​ GUINDAUTO HIDRÁULICO, CAPACIDADE MÁXIMA DE CARGA 6200 KG, MOMENTO MÁXIMO DE CARGA 11,7 TM, ALCANCE MÁXIMO HORIZONTAL 9,70 M, INCLUSIVE CAMINHÃO TOCO PBT 16.000 KG, POTÊNCIA DE 189 CV - MANUTENÇÃO. AF_06/2014​ (H)</t>
        </is>
      </c>
      <c r="B2245" s="55" t="n"/>
      <c r="C2245" s="55" t="n"/>
      <c r="D2245" s="55" t="n"/>
      <c r="E2245" s="55" t="n"/>
      <c r="F2245" s="55" t="n"/>
      <c r="G2245" s="56" t="n"/>
    </row>
    <row r="2246" ht="15" customHeight="1">
      <c r="A2246" s="20" t="inlineStr">
        <is>
          <t>Equipamento</t>
        </is>
      </c>
      <c r="B2246" s="56" t="n"/>
      <c r="C2246" s="21" t="inlineStr">
        <is>
          <t>FONTE</t>
        </is>
      </c>
      <c r="D2246" s="21" t="inlineStr">
        <is>
          <t>UNID</t>
        </is>
      </c>
      <c r="E2246" s="21" t="inlineStr">
        <is>
          <t>COEFICIENTE</t>
        </is>
      </c>
      <c r="F2246" s="21" t="inlineStr">
        <is>
          <t>PREÇO UNITÁRIO</t>
        </is>
      </c>
      <c r="G2246" s="21" t="inlineStr">
        <is>
          <t>TOTAL</t>
        </is>
      </c>
    </row>
    <row r="2247" ht="38" customHeight="1">
      <c r="A2247" s="22" t="inlineStr">
        <is>
          <t>00037752</t>
        </is>
      </c>
      <c r="B2247" s="23" t="inlineStr">
        <is>
          <t>CAMINHAO TOCO, PESO BRUTO TOTAL 16000 KG, CARGA UTIL MAXIMA 11030 KG, DISTANCIA ENTRE EIXOS 5,41 M, POTENCIA 185 CV (INCLUI CABINE E CHASSI, NAO INCLUI CARROCERIA)</t>
        </is>
      </c>
      <c r="C2247" s="22" t="inlineStr">
        <is>
          <t>SINAPI</t>
        </is>
      </c>
      <c r="D2247" s="22" t="inlineStr">
        <is>
          <t>UN</t>
        </is>
      </c>
      <c r="E2247" s="63" t="n">
        <v>6.43e-05</v>
      </c>
      <c r="F2247" s="64" t="n">
        <v>571483.76</v>
      </c>
      <c r="G2247" s="64">
        <f>TRUNC(TRUNC(E2247,8)*F2247,2)</f>
        <v/>
      </c>
      <c r="M2247" t="n">
        <v>571483.76</v>
      </c>
      <c r="N2247">
        <f>(M2247-F2247)</f>
        <v/>
      </c>
    </row>
    <row r="2248" ht="46" customHeight="1">
      <c r="A2248" s="22" t="inlineStr">
        <is>
          <t>00003363</t>
        </is>
      </c>
      <c r="B2248" s="23" t="inlineStr">
        <is>
          <t>GUINDAUTO HIDRAULICO, CAPACIDADE MAXIMA DE CARGA 6200 KG, MOMENTO MAXIMO DE CARGA 11,7 TM, ALCANCE MAXIMO HORIZONTAL 9,70 M, PARA MONTAGEM SOBRE CHASSI DE CAMINHAO PBT MINIMO 13000 KG (INCLUI MONTAGEM, NAO INCLUI CAMINHAO)</t>
        </is>
      </c>
      <c r="C2248" s="22" t="inlineStr">
        <is>
          <t>SINAPI</t>
        </is>
      </c>
      <c r="D2248" s="22" t="inlineStr">
        <is>
          <t>UN</t>
        </is>
      </c>
      <c r="E2248" s="63" t="n">
        <v>6.889999999999999e-05</v>
      </c>
      <c r="F2248" s="64" t="n">
        <v>143750</v>
      </c>
      <c r="G2248" s="64">
        <f>TRUNC(TRUNC(E2248,8)*F2248,2)</f>
        <v/>
      </c>
      <c r="M2248" t="n">
        <v>143750</v>
      </c>
      <c r="N2248">
        <f>(M2248-F2248)</f>
        <v/>
      </c>
    </row>
    <row r="2249" ht="15" customHeight="1">
      <c r="A2249" s="2" t="inlineStr"/>
      <c r="B2249" s="2" t="inlineStr"/>
      <c r="C2249" s="2" t="inlineStr"/>
      <c r="D2249" s="2" t="inlineStr"/>
      <c r="E2249" s="26" t="inlineStr">
        <is>
          <t>TOTAL Equipamento:</t>
        </is>
      </c>
      <c r="F2249" s="56" t="n"/>
      <c r="G2249" s="65">
        <f>SUM(G2247:G2248)</f>
        <v/>
      </c>
    </row>
    <row r="2250" ht="15" customHeight="1">
      <c r="A2250" s="2" t="inlineStr"/>
      <c r="B2250" s="2" t="inlineStr"/>
      <c r="C2250" s="2" t="inlineStr"/>
      <c r="D2250" s="2" t="inlineStr"/>
      <c r="E2250" s="28" t="inlineStr">
        <is>
          <t>VALOR:</t>
        </is>
      </c>
      <c r="F2250" s="56" t="n"/>
      <c r="G2250" s="66">
        <f>ROUND(SUM(G2249),2)</f>
        <v/>
      </c>
    </row>
    <row r="2251" ht="15" customHeight="1">
      <c r="A2251" s="2" t="inlineStr"/>
      <c r="B2251" s="2" t="inlineStr"/>
      <c r="C2251" s="2" t="inlineStr"/>
      <c r="D2251" s="2" t="inlineStr"/>
      <c r="E2251" s="28" t="inlineStr">
        <is>
          <t>VALOR BDI (23.08%):</t>
        </is>
      </c>
      <c r="F2251" s="56" t="n"/>
      <c r="G2251" s="66">
        <f>ROUNDDOWN(G2250*BDI,2)</f>
        <v/>
      </c>
    </row>
    <row r="2252" ht="15" customHeight="1">
      <c r="A2252" s="2" t="inlineStr"/>
      <c r="B2252" s="2" t="inlineStr"/>
      <c r="C2252" s="2" t="inlineStr"/>
      <c r="D2252" s="2" t="inlineStr"/>
      <c r="E2252" s="28" t="inlineStr">
        <is>
          <t>VALOR COM BDI:</t>
        </is>
      </c>
      <c r="F2252" s="56" t="n"/>
      <c r="G2252" s="66">
        <f>G2251 + G2250</f>
        <v/>
      </c>
    </row>
    <row r="2253" ht="10" customHeight="1">
      <c r="A2253" s="2" t="inlineStr"/>
      <c r="B2253" s="2" t="inlineStr"/>
      <c r="C2253" s="2" t="inlineStr"/>
      <c r="D2253" s="2" t="inlineStr"/>
      <c r="E2253" s="18" t="inlineStr"/>
    </row>
    <row r="2254" ht="20" customHeight="1">
      <c r="A2254" s="19" t="inlineStr">
        <is>
          <t>​91467​ GUINDAUTO HIDRÁULICO, CAPACIDADE MÁXIMA DE CARGA 6200 KG, MOMENTO MÁXIMO DE CARGA 11,7 TM, ALCANCE MÁXIMO HORIZONTAL 9,70 M, INCLUSIVE CAMINHÃO TOCO PBT 16.000 KG, POTÊNCIA DE 189 CV - MATERIAIS NA OPERAÇÃO. AF_08/2015​ (H)</t>
        </is>
      </c>
      <c r="B2254" s="55" t="n"/>
      <c r="C2254" s="55" t="n"/>
      <c r="D2254" s="55" t="n"/>
      <c r="E2254" s="55" t="n"/>
      <c r="F2254" s="55" t="n"/>
      <c r="G2254" s="56" t="n"/>
    </row>
    <row r="2255" ht="15" customHeight="1">
      <c r="A2255" s="20" t="inlineStr">
        <is>
          <t>Material</t>
        </is>
      </c>
      <c r="B2255" s="56" t="n"/>
      <c r="C2255" s="21" t="inlineStr">
        <is>
          <t>FONTE</t>
        </is>
      </c>
      <c r="D2255" s="21" t="inlineStr">
        <is>
          <t>UNID</t>
        </is>
      </c>
      <c r="E2255" s="21" t="inlineStr">
        <is>
          <t>COEFICIENTE</t>
        </is>
      </c>
      <c r="F2255" s="21" t="inlineStr">
        <is>
          <t>PREÇO UNITÁRIO</t>
        </is>
      </c>
      <c r="G2255" s="21" t="inlineStr">
        <is>
          <t>TOTAL</t>
        </is>
      </c>
    </row>
    <row r="2256" ht="21" customHeight="1">
      <c r="A2256" s="22" t="inlineStr">
        <is>
          <t>00004221</t>
        </is>
      </c>
      <c r="B2256" s="23" t="inlineStr">
        <is>
          <t>OLEO DIESEL COMBUSTIVEL COMUM METROPOLITANO S-10 OU S-500</t>
        </is>
      </c>
      <c r="C2256" s="22" t="inlineStr">
        <is>
          <t>SINAPI</t>
        </is>
      </c>
      <c r="D2256" s="22" t="inlineStr">
        <is>
          <t>L</t>
        </is>
      </c>
      <c r="E2256" s="63" t="n">
        <v>26.43</v>
      </c>
      <c r="F2256" s="64" t="n">
        <v>6</v>
      </c>
      <c r="G2256" s="64">
        <f>TRUNC(TRUNC(E2256,8)*F2256,2)</f>
        <v/>
      </c>
      <c r="L2256" t="n">
        <v>26.43</v>
      </c>
      <c r="M2256" t="n">
        <v>6</v>
      </c>
      <c r="N2256">
        <f>(M2256-F2256)</f>
        <v/>
      </c>
    </row>
    <row r="2257" ht="15" customHeight="1">
      <c r="A2257" s="2" t="inlineStr"/>
      <c r="B2257" s="2" t="inlineStr"/>
      <c r="C2257" s="2" t="inlineStr"/>
      <c r="D2257" s="2" t="inlineStr"/>
      <c r="E2257" s="26" t="inlineStr">
        <is>
          <t>TOTAL Material:</t>
        </is>
      </c>
      <c r="F2257" s="56" t="n"/>
      <c r="G2257" s="65">
        <f>SUM(G2256:G2256)</f>
        <v/>
      </c>
    </row>
    <row r="2258" ht="15" customHeight="1">
      <c r="A2258" s="2" t="inlineStr"/>
      <c r="B2258" s="2" t="inlineStr"/>
      <c r="C2258" s="2" t="inlineStr"/>
      <c r="D2258" s="2" t="inlineStr"/>
      <c r="E2258" s="28" t="inlineStr">
        <is>
          <t>VALOR:</t>
        </is>
      </c>
      <c r="F2258" s="56" t="n"/>
      <c r="G2258" s="66">
        <f>ROUND(SUM(G2257),2)</f>
        <v/>
      </c>
    </row>
    <row r="2259" ht="15" customHeight="1">
      <c r="A2259" s="2" t="inlineStr"/>
      <c r="B2259" s="2" t="inlineStr"/>
      <c r="C2259" s="2" t="inlineStr"/>
      <c r="D2259" s="2" t="inlineStr"/>
      <c r="E2259" s="28" t="inlineStr">
        <is>
          <t>VALOR BDI (23.08%):</t>
        </is>
      </c>
      <c r="F2259" s="56" t="n"/>
      <c r="G2259" s="66">
        <f>ROUNDDOWN(G2258*BDI,2)</f>
        <v/>
      </c>
    </row>
    <row r="2260" ht="15" customHeight="1">
      <c r="A2260" s="2" t="inlineStr"/>
      <c r="B2260" s="2" t="inlineStr"/>
      <c r="C2260" s="2" t="inlineStr"/>
      <c r="D2260" s="2" t="inlineStr"/>
      <c r="E2260" s="28" t="inlineStr">
        <is>
          <t>VALOR COM BDI:</t>
        </is>
      </c>
      <c r="F2260" s="56" t="n"/>
      <c r="G2260" s="66">
        <f>G2259 + G2258</f>
        <v/>
      </c>
    </row>
    <row r="2261" ht="10" customHeight="1">
      <c r="A2261" s="2" t="inlineStr"/>
      <c r="B2261" s="2" t="inlineStr"/>
      <c r="C2261" s="2" t="inlineStr"/>
      <c r="D2261" s="2" t="inlineStr"/>
      <c r="E2261" s="18" t="inlineStr"/>
    </row>
    <row r="2262" ht="20" customHeight="1">
      <c r="A2262" s="19" t="inlineStr">
        <is>
          <t>​96986​ HASTE DE ATERRAMENTO, DIÂMETRO 3/4", COM 3 METROS - FORNECIMENTO E INSTALAÇÃO. AF_08/2023​ (UN)</t>
        </is>
      </c>
      <c r="B2262" s="55" t="n"/>
      <c r="C2262" s="55" t="n"/>
      <c r="D2262" s="55" t="n"/>
      <c r="E2262" s="55" t="n"/>
      <c r="F2262" s="55" t="n"/>
      <c r="G2262" s="56" t="n"/>
    </row>
    <row r="2263" ht="15" customHeight="1">
      <c r="A2263" s="20" t="inlineStr">
        <is>
          <t>Material</t>
        </is>
      </c>
      <c r="B2263" s="56" t="n"/>
      <c r="C2263" s="21" t="inlineStr">
        <is>
          <t>FONTE</t>
        </is>
      </c>
      <c r="D2263" s="21" t="inlineStr">
        <is>
          <t>UNID</t>
        </is>
      </c>
      <c r="E2263" s="21" t="inlineStr">
        <is>
          <t>COEFICIENTE</t>
        </is>
      </c>
      <c r="F2263" s="21" t="inlineStr">
        <is>
          <t>PREÇO UNITÁRIO</t>
        </is>
      </c>
      <c r="G2263" s="21" t="inlineStr">
        <is>
          <t>TOTAL</t>
        </is>
      </c>
    </row>
    <row r="2264" ht="29" customHeight="1">
      <c r="A2264" s="22" t="inlineStr">
        <is>
          <t>00003378</t>
        </is>
      </c>
      <c r="B2264" s="23" t="inlineStr">
        <is>
          <t>HASTE DE ATERRAMENTO EM ACO COM 3,00 M DE COMPRIMENTO E DN = 3/4", REVESTIDA COM BAIXA CAMADA DE COBRE, SEM CONECTOR</t>
        </is>
      </c>
      <c r="C2264" s="22" t="inlineStr">
        <is>
          <t>SINAPI</t>
        </is>
      </c>
      <c r="D2264" s="22" t="inlineStr">
        <is>
          <t>UN</t>
        </is>
      </c>
      <c r="E2264" s="63" t="n">
        <v>1</v>
      </c>
      <c r="F2264" s="64">
        <f>ROUND(M2264*FATOR, 2)</f>
        <v/>
      </c>
      <c r="G2264" s="64">
        <f>TRUNC(TRUNC(E2264,8)*F2264,2)</f>
        <v/>
      </c>
      <c r="L2264" t="n">
        <v>1</v>
      </c>
      <c r="M2264" t="n">
        <v>79.77</v>
      </c>
      <c r="N2264">
        <f>(M2264-F2264)</f>
        <v/>
      </c>
    </row>
    <row r="2265" ht="15" customHeight="1">
      <c r="A2265" s="2" t="inlineStr"/>
      <c r="B2265" s="2" t="inlineStr"/>
      <c r="C2265" s="2" t="inlineStr"/>
      <c r="D2265" s="2" t="inlineStr"/>
      <c r="E2265" s="26" t="inlineStr">
        <is>
          <t>TOTAL Material:</t>
        </is>
      </c>
      <c r="F2265" s="56" t="n"/>
      <c r="G2265" s="65">
        <f>SUM(G2264:G2264)</f>
        <v/>
      </c>
    </row>
    <row r="2266" ht="15" customHeight="1">
      <c r="A2266" s="20" t="inlineStr">
        <is>
          <t>Mão de Obra com Encargos Complementares</t>
        </is>
      </c>
      <c r="B2266" s="56" t="n"/>
      <c r="C2266" s="21" t="inlineStr">
        <is>
          <t>FONTE</t>
        </is>
      </c>
      <c r="D2266" s="21" t="inlineStr">
        <is>
          <t>UNID</t>
        </is>
      </c>
      <c r="E2266" s="21" t="inlineStr">
        <is>
          <t>COEFICIENTE</t>
        </is>
      </c>
      <c r="F2266" s="21" t="inlineStr">
        <is>
          <t>PREÇO UNITÁRIO</t>
        </is>
      </c>
      <c r="G2266" s="21" t="inlineStr">
        <is>
          <t>TOTAL</t>
        </is>
      </c>
    </row>
    <row r="2267" ht="21" customHeight="1">
      <c r="A2267" s="22" t="inlineStr">
        <is>
          <t>88247</t>
        </is>
      </c>
      <c r="B2267" s="23" t="inlineStr">
        <is>
          <t>AUXILIAR DE ELETRICISTA COM ENCARGOS COMPLEMENTARES</t>
        </is>
      </c>
      <c r="C2267" s="22" t="inlineStr">
        <is>
          <t>SINAPI</t>
        </is>
      </c>
      <c r="D2267" s="22" t="inlineStr">
        <is>
          <t>H</t>
        </is>
      </c>
      <c r="E2267" s="63">
        <f>L2267*FATOR</f>
        <v/>
      </c>
      <c r="F2267" s="64">
        <f>'COMPOSICOES AUXILIARES'!G505</f>
        <v/>
      </c>
      <c r="G2267" s="64">
        <f>TRUNC(TRUNC(E2267,8)*F2267,2)</f>
        <v/>
      </c>
      <c r="L2267" t="n">
        <v>0.3882</v>
      </c>
      <c r="M2267" t="n">
        <v>25.22</v>
      </c>
      <c r="N2267">
        <f>(M2267-F2267)</f>
        <v/>
      </c>
    </row>
    <row r="2268" ht="15" customHeight="1">
      <c r="A2268" s="22" t="inlineStr">
        <is>
          <t>88264</t>
        </is>
      </c>
      <c r="B2268" s="23" t="inlineStr">
        <is>
          <t>ELETRICISTA COM ENCARGOS COMPLEMENTARES</t>
        </is>
      </c>
      <c r="C2268" s="22" t="inlineStr">
        <is>
          <t>SINAPI</t>
        </is>
      </c>
      <c r="D2268" s="22" t="inlineStr">
        <is>
          <t>H</t>
        </is>
      </c>
      <c r="E2268" s="63">
        <f>L2268*FATOR</f>
        <v/>
      </c>
      <c r="F2268" s="64">
        <f>'COMPOSICOES AUXILIARES'!G713</f>
        <v/>
      </c>
      <c r="G2268" s="64">
        <f>TRUNC(TRUNC(E2268,8)*F2268,2)</f>
        <v/>
      </c>
      <c r="L2268" t="n">
        <v>0.3882</v>
      </c>
      <c r="M2268" t="n">
        <v>30.96</v>
      </c>
      <c r="N2268">
        <f>(M2268-F2268)</f>
        <v/>
      </c>
    </row>
    <row r="2269" ht="18" customHeight="1">
      <c r="A2269" s="2" t="inlineStr"/>
      <c r="B2269" s="2" t="inlineStr"/>
      <c r="C2269" s="2" t="inlineStr"/>
      <c r="D2269" s="2" t="inlineStr"/>
      <c r="E2269" s="26" t="inlineStr">
        <is>
          <t>TOTAL Mão de Obra com Encargos Complementares:</t>
        </is>
      </c>
      <c r="F2269" s="56" t="n"/>
      <c r="G2269" s="65">
        <f>SUM(G2267:G2268)</f>
        <v/>
      </c>
    </row>
    <row r="2270" ht="15" customHeight="1">
      <c r="A2270" s="2" t="inlineStr"/>
      <c r="B2270" s="2" t="inlineStr"/>
      <c r="C2270" s="2" t="inlineStr"/>
      <c r="D2270" s="2" t="inlineStr"/>
      <c r="E2270" s="28" t="inlineStr">
        <is>
          <t>VALOR:</t>
        </is>
      </c>
      <c r="F2270" s="56" t="n"/>
      <c r="G2270" s="66">
        <f>SUM(G2265,G2269)</f>
        <v/>
      </c>
    </row>
    <row r="2271" ht="15" customHeight="1">
      <c r="A2271" s="2" t="inlineStr"/>
      <c r="B2271" s="2" t="inlineStr"/>
      <c r="C2271" s="2" t="inlineStr"/>
      <c r="D2271" s="2" t="inlineStr"/>
      <c r="E2271" s="28" t="inlineStr">
        <is>
          <t>VALOR BDI (23.08%):</t>
        </is>
      </c>
      <c r="F2271" s="56" t="n"/>
      <c r="G2271" s="66">
        <f>ROUNDDOWN(G2270*BDI,2)</f>
        <v/>
      </c>
    </row>
    <row r="2272" ht="15" customHeight="1">
      <c r="A2272" s="2" t="inlineStr"/>
      <c r="B2272" s="2" t="inlineStr"/>
      <c r="C2272" s="2" t="inlineStr"/>
      <c r="D2272" s="2" t="inlineStr"/>
      <c r="E2272" s="28" t="inlineStr">
        <is>
          <t>VALOR COM BDI:</t>
        </is>
      </c>
      <c r="F2272" s="56" t="n"/>
      <c r="G2272" s="66">
        <f>G2271 + G2270</f>
        <v/>
      </c>
    </row>
    <row r="2273" ht="10" customHeight="1">
      <c r="A2273" s="2" t="inlineStr"/>
      <c r="B2273" s="2" t="inlineStr"/>
      <c r="C2273" s="2" t="inlineStr"/>
      <c r="D2273" s="2" t="inlineStr"/>
      <c r="E2273" s="18" t="inlineStr"/>
    </row>
    <row r="2274" ht="20" customHeight="1">
      <c r="A2274" s="19" t="inlineStr">
        <is>
          <t>​88270​ IMPERMEABILIZADOR COM ENCARGOS COMPLEMENTARES​ (H)</t>
        </is>
      </c>
      <c r="B2274" s="55" t="n"/>
      <c r="C2274" s="55" t="n"/>
      <c r="D2274" s="55" t="n"/>
      <c r="E2274" s="55" t="n"/>
      <c r="F2274" s="55" t="n"/>
      <c r="G2274" s="56" t="n"/>
    </row>
    <row r="2275" ht="15" customHeight="1">
      <c r="A2275" s="20" t="inlineStr">
        <is>
          <t>Encargos Complementares</t>
        </is>
      </c>
      <c r="B2275" s="56" t="n"/>
      <c r="C2275" s="21" t="inlineStr">
        <is>
          <t>FONTE</t>
        </is>
      </c>
      <c r="D2275" s="21" t="inlineStr">
        <is>
          <t>UNID</t>
        </is>
      </c>
      <c r="E2275" s="21" t="inlineStr">
        <is>
          <t>COEFICIENTE</t>
        </is>
      </c>
      <c r="F2275" s="21" t="inlineStr">
        <is>
          <t>PREÇO UNITÁRIO</t>
        </is>
      </c>
      <c r="G2275" s="21" t="inlineStr">
        <is>
          <t>TOTAL</t>
        </is>
      </c>
    </row>
    <row r="2276" ht="21" customHeight="1">
      <c r="A2276" s="22" t="inlineStr">
        <is>
          <t>00037370</t>
        </is>
      </c>
      <c r="B2276" s="23" t="inlineStr">
        <is>
          <t>ALIMENTACAO - HORISTA (COLETADO CAIXA - ENCARGOS COMPLEMENTARES)</t>
        </is>
      </c>
      <c r="C2276" s="22" t="inlineStr">
        <is>
          <t>SINAPI</t>
        </is>
      </c>
      <c r="D2276" s="22" t="inlineStr">
        <is>
          <t>H</t>
        </is>
      </c>
      <c r="E2276" s="63" t="n">
        <v>1</v>
      </c>
      <c r="F2276" s="64" t="n">
        <v>3.62</v>
      </c>
      <c r="G2276" s="64">
        <f>TRUNC(TRUNC(E2276,8)*F2276,2)</f>
        <v/>
      </c>
      <c r="L2276" t="n">
        <v>1</v>
      </c>
      <c r="M2276" t="n">
        <v>3.62</v>
      </c>
      <c r="N2276">
        <f>(M2276-F2276)</f>
        <v/>
      </c>
    </row>
    <row r="2277" ht="21" customHeight="1">
      <c r="A2277" s="22" t="inlineStr">
        <is>
          <t>00043489</t>
        </is>
      </c>
      <c r="B2277" s="23" t="inlineStr">
        <is>
          <t>EPI - FAMILIA PEDREIRO - HORISTA (ENCARGOS COMPLEMENTARES - COLETADO CAIXA)</t>
        </is>
      </c>
      <c r="C2277" s="22" t="inlineStr">
        <is>
          <t>SINAPI</t>
        </is>
      </c>
      <c r="D2277" s="22" t="inlineStr">
        <is>
          <t>H</t>
        </is>
      </c>
      <c r="E2277" s="63" t="n">
        <v>1</v>
      </c>
      <c r="F2277" s="64" t="n">
        <v>1.31</v>
      </c>
      <c r="G2277" s="64">
        <f>TRUNC(TRUNC(E2277,8)*F2277,2)</f>
        <v/>
      </c>
      <c r="L2277" t="n">
        <v>1</v>
      </c>
      <c r="M2277" t="n">
        <v>1.31</v>
      </c>
      <c r="N2277">
        <f>(M2277-F2277)</f>
        <v/>
      </c>
    </row>
    <row r="2278" ht="21" customHeight="1">
      <c r="A2278" s="22" t="inlineStr">
        <is>
          <t>00037372</t>
        </is>
      </c>
      <c r="B2278" s="23" t="inlineStr">
        <is>
          <t>EXAMES - HORISTA (COLETADO CAIXA - ENCARGOS COMPLEMENTARES)</t>
        </is>
      </c>
      <c r="C2278" s="22" t="inlineStr">
        <is>
          <t>SINAPI</t>
        </is>
      </c>
      <c r="D2278" s="22" t="inlineStr">
        <is>
          <t>H</t>
        </is>
      </c>
      <c r="E2278" s="63" t="n">
        <v>1</v>
      </c>
      <c r="F2278" s="64" t="n">
        <v>1.43</v>
      </c>
      <c r="G2278" s="64">
        <f>TRUNC(TRUNC(E2278,8)*F2278,2)</f>
        <v/>
      </c>
      <c r="L2278" t="n">
        <v>1</v>
      </c>
      <c r="M2278" t="n">
        <v>1.43</v>
      </c>
      <c r="N2278">
        <f>(M2278-F2278)</f>
        <v/>
      </c>
    </row>
    <row r="2279" ht="21" customHeight="1">
      <c r="A2279" s="22" t="inlineStr">
        <is>
          <t>00043465</t>
        </is>
      </c>
      <c r="B2279" s="23" t="inlineStr">
        <is>
          <t>FERRAMENTAS - FAMILIA PEDREIRO - HORISTA (ENCARGOS COMPLEMENTARES - COLETADO CAIXA)</t>
        </is>
      </c>
      <c r="C2279" s="22" t="inlineStr">
        <is>
          <t>SINAPI</t>
        </is>
      </c>
      <c r="D2279" s="22" t="inlineStr">
        <is>
          <t>H</t>
        </is>
      </c>
      <c r="E2279" s="63" t="n">
        <v>1</v>
      </c>
      <c r="F2279" s="64" t="n">
        <v>0.78</v>
      </c>
      <c r="G2279" s="64">
        <f>TRUNC(TRUNC(E2279,8)*F2279,2)</f>
        <v/>
      </c>
      <c r="L2279" t="n">
        <v>1</v>
      </c>
      <c r="M2279" t="n">
        <v>0.78</v>
      </c>
      <c r="N2279">
        <f>(M2279-F2279)</f>
        <v/>
      </c>
    </row>
    <row r="2280" ht="21" customHeight="1">
      <c r="A2280" s="22" t="inlineStr">
        <is>
          <t>00037373</t>
        </is>
      </c>
      <c r="B2280" s="23" t="inlineStr">
        <is>
          <t>SEGURO - HORISTA (COLETADO CAIXA - ENCARGOS COMPLEMENTARES)</t>
        </is>
      </c>
      <c r="C2280" s="22" t="inlineStr">
        <is>
          <t>SINAPI</t>
        </is>
      </c>
      <c r="D2280" s="22" t="inlineStr">
        <is>
          <t>H</t>
        </is>
      </c>
      <c r="E2280" s="63" t="n">
        <v>1</v>
      </c>
      <c r="F2280" s="64" t="n">
        <v>0.08</v>
      </c>
      <c r="G2280" s="64">
        <f>TRUNC(TRUNC(E2280,8)*F2280,2)</f>
        <v/>
      </c>
      <c r="L2280" t="n">
        <v>1</v>
      </c>
      <c r="M2280" t="n">
        <v>0.08</v>
      </c>
      <c r="N2280">
        <f>(M2280-F2280)</f>
        <v/>
      </c>
    </row>
    <row r="2281" ht="21" customHeight="1">
      <c r="A2281" s="22" t="inlineStr">
        <is>
          <t>00037371</t>
        </is>
      </c>
      <c r="B2281" s="23" t="inlineStr">
        <is>
          <t>TRANSPORTE - HORISTA (COLETADO CAIXA - ENCARGOS COMPLEMENTARES)</t>
        </is>
      </c>
      <c r="C2281" s="22" t="inlineStr">
        <is>
          <t>SINAPI</t>
        </is>
      </c>
      <c r="D2281" s="22" t="inlineStr">
        <is>
          <t>H</t>
        </is>
      </c>
      <c r="E2281" s="63" t="n">
        <v>1</v>
      </c>
      <c r="F2281" s="64" t="n">
        <v>1.09</v>
      </c>
      <c r="G2281" s="64">
        <f>TRUNC(TRUNC(E2281,8)*F2281,2)</f>
        <v/>
      </c>
      <c r="L2281" t="n">
        <v>1</v>
      </c>
      <c r="M2281" t="n">
        <v>1.09</v>
      </c>
      <c r="N2281">
        <f>(M2281-F2281)</f>
        <v/>
      </c>
    </row>
    <row r="2282" ht="15" customHeight="1">
      <c r="A2282" s="2" t="inlineStr"/>
      <c r="B2282" s="2" t="inlineStr"/>
      <c r="C2282" s="2" t="inlineStr"/>
      <c r="D2282" s="2" t="inlineStr"/>
      <c r="E2282" s="26" t="inlineStr">
        <is>
          <t>TOTAL Encargos Complementares:</t>
        </is>
      </c>
      <c r="F2282" s="56" t="n"/>
      <c r="G2282" s="65">
        <f>SUM(G2276:G2281)</f>
        <v/>
      </c>
    </row>
    <row r="2283" ht="15" customHeight="1">
      <c r="A2283" s="20" t="inlineStr">
        <is>
          <t>Mão de Obra</t>
        </is>
      </c>
      <c r="B2283" s="56" t="n"/>
      <c r="C2283" s="21" t="inlineStr">
        <is>
          <t>FONTE</t>
        </is>
      </c>
      <c r="D2283" s="21" t="inlineStr">
        <is>
          <t>UNID</t>
        </is>
      </c>
      <c r="E2283" s="21" t="inlineStr">
        <is>
          <t>COEFICIENTE</t>
        </is>
      </c>
      <c r="F2283" s="21" t="inlineStr">
        <is>
          <t>PREÇO UNITÁRIO</t>
        </is>
      </c>
      <c r="G2283" s="21" t="inlineStr">
        <is>
          <t>TOTAL</t>
        </is>
      </c>
    </row>
    <row r="2284" ht="15" customHeight="1">
      <c r="A2284" s="22" t="inlineStr">
        <is>
          <t>00012873</t>
        </is>
      </c>
      <c r="B2284" s="23" t="inlineStr">
        <is>
          <t>IMPERMEABILIZADOR (HORISTA)</t>
        </is>
      </c>
      <c r="C2284" s="22" t="inlineStr">
        <is>
          <t>SINAPI</t>
        </is>
      </c>
      <c r="D2284" s="22" t="inlineStr">
        <is>
          <t>H</t>
        </is>
      </c>
      <c r="E2284" s="63">
        <f>L2284*FATOR</f>
        <v/>
      </c>
      <c r="F2284" s="64" t="n">
        <v>21.81</v>
      </c>
      <c r="G2284" s="64">
        <f>TRUNC(TRUNC(E2284,8)*F2284,2)</f>
        <v/>
      </c>
      <c r="L2284" t="n">
        <v>1</v>
      </c>
      <c r="M2284" t="n">
        <v>21.81</v>
      </c>
      <c r="N2284">
        <f>(M2284-F2284)</f>
        <v/>
      </c>
    </row>
    <row r="2285" ht="15" customHeight="1">
      <c r="A2285" s="2" t="inlineStr"/>
      <c r="B2285" s="2" t="inlineStr"/>
      <c r="C2285" s="2" t="inlineStr"/>
      <c r="D2285" s="2" t="inlineStr"/>
      <c r="E2285" s="26" t="inlineStr">
        <is>
          <t>TOTAL Mão de Obra:</t>
        </is>
      </c>
      <c r="F2285" s="56" t="n"/>
      <c r="G2285" s="65">
        <f>SUM(G2284:G2284)</f>
        <v/>
      </c>
    </row>
    <row r="2286" ht="15" customHeight="1">
      <c r="A2286" s="20" t="inlineStr">
        <is>
          <t>Serviço</t>
        </is>
      </c>
      <c r="B2286" s="56" t="n"/>
      <c r="C2286" s="21" t="inlineStr">
        <is>
          <t>FONTE</t>
        </is>
      </c>
      <c r="D2286" s="21" t="inlineStr">
        <is>
          <t>UNID</t>
        </is>
      </c>
      <c r="E2286" s="21" t="inlineStr">
        <is>
          <t>COEFICIENTE</t>
        </is>
      </c>
      <c r="F2286" s="21" t="inlineStr">
        <is>
          <t>PREÇO UNITÁRIO</t>
        </is>
      </c>
      <c r="G2286" s="21" t="inlineStr">
        <is>
          <t>TOTAL</t>
        </is>
      </c>
    </row>
    <row r="2287" ht="21" customHeight="1">
      <c r="A2287" s="22" t="inlineStr">
        <is>
          <t>95338</t>
        </is>
      </c>
      <c r="B2287" s="23" t="inlineStr">
        <is>
          <t>CURSO DE CAPACITAÇÃO PARA IMPERMEABILIZADOR (ENCARGOS COMPLEMENTARES) - HORISTA</t>
        </is>
      </c>
      <c r="C2287" s="22" t="inlineStr">
        <is>
          <t>SINAPI</t>
        </is>
      </c>
      <c r="D2287" s="22" t="inlineStr">
        <is>
          <t>H</t>
        </is>
      </c>
      <c r="E2287" s="63" t="n">
        <v>1</v>
      </c>
      <c r="F2287" s="64">
        <f>'COMPOSICOES AUXILIARES'!G1643</f>
        <v/>
      </c>
      <c r="G2287" s="64">
        <f>TRUNC(TRUNC(E2287,8)*F2287,2)</f>
        <v/>
      </c>
      <c r="L2287" t="n">
        <v>1</v>
      </c>
      <c r="M2287" t="n">
        <v>0.46</v>
      </c>
      <c r="N2287">
        <f>(M2287-F2287)</f>
        <v/>
      </c>
    </row>
    <row r="2288" ht="15" customHeight="1">
      <c r="A2288" s="2" t="inlineStr"/>
      <c r="B2288" s="2" t="inlineStr"/>
      <c r="C2288" s="2" t="inlineStr"/>
      <c r="D2288" s="2" t="inlineStr"/>
      <c r="E2288" s="26" t="inlineStr">
        <is>
          <t>TOTAL Serviço:</t>
        </is>
      </c>
      <c r="F2288" s="56" t="n"/>
      <c r="G2288" s="65">
        <f>SUM(G2287:G2287)</f>
        <v/>
      </c>
    </row>
    <row r="2289" ht="15" customHeight="1">
      <c r="A2289" s="2" t="inlineStr"/>
      <c r="B2289" s="2" t="inlineStr"/>
      <c r="C2289" s="2" t="inlineStr"/>
      <c r="D2289" s="2" t="inlineStr"/>
      <c r="E2289" s="28" t="inlineStr">
        <is>
          <t>VALOR:</t>
        </is>
      </c>
      <c r="F2289" s="56" t="n"/>
      <c r="G2289" s="66">
        <f>SUM(G2288,G2282,G2285)</f>
        <v/>
      </c>
    </row>
    <row r="2290" ht="15" customHeight="1">
      <c r="A2290" s="2" t="inlineStr"/>
      <c r="B2290" s="2" t="inlineStr"/>
      <c r="C2290" s="2" t="inlineStr"/>
      <c r="D2290" s="2" t="inlineStr"/>
      <c r="E2290" s="28" t="inlineStr">
        <is>
          <t>VALOR BDI (23.08%):</t>
        </is>
      </c>
      <c r="F2290" s="56" t="n"/>
      <c r="G2290" s="66">
        <f>ROUNDDOWN(G2289*BDI,2)</f>
        <v/>
      </c>
    </row>
    <row r="2291" ht="15" customHeight="1">
      <c r="A2291" s="2" t="inlineStr"/>
      <c r="B2291" s="2" t="inlineStr"/>
      <c r="C2291" s="2" t="inlineStr"/>
      <c r="D2291" s="2" t="inlineStr"/>
      <c r="E2291" s="28" t="inlineStr">
        <is>
          <t>VALOR COM BDI:</t>
        </is>
      </c>
      <c r="F2291" s="56" t="n"/>
      <c r="G2291" s="66">
        <f>G2290 + G2289</f>
        <v/>
      </c>
    </row>
    <row r="2292" ht="10" customHeight="1">
      <c r="A2292" s="2" t="inlineStr"/>
      <c r="B2292" s="2" t="inlineStr"/>
      <c r="C2292" s="2" t="inlineStr"/>
      <c r="D2292" s="2" t="inlineStr"/>
      <c r="E2292" s="18" t="inlineStr"/>
    </row>
    <row r="2293" ht="20" customHeight="1">
      <c r="A2293" s="19" t="inlineStr">
        <is>
          <t>​91952​ INTERRUPTOR SIMPLES (1 MÓDULO), 10A/250V, SEM SUPORTE E SEM PLACA - FORNECIMENTO E INSTALAÇÃO. AF_03/2023​ (UN)</t>
        </is>
      </c>
      <c r="B2293" s="55" t="n"/>
      <c r="C2293" s="55" t="n"/>
      <c r="D2293" s="55" t="n"/>
      <c r="E2293" s="55" t="n"/>
      <c r="F2293" s="55" t="n"/>
      <c r="G2293" s="56" t="n"/>
    </row>
    <row r="2294" ht="15" customHeight="1">
      <c r="A2294" s="20" t="inlineStr">
        <is>
          <t>Material</t>
        </is>
      </c>
      <c r="B2294" s="56" t="n"/>
      <c r="C2294" s="21" t="inlineStr">
        <is>
          <t>FONTE</t>
        </is>
      </c>
      <c r="D2294" s="21" t="inlineStr">
        <is>
          <t>UNID</t>
        </is>
      </c>
      <c r="E2294" s="21" t="inlineStr">
        <is>
          <t>COEFICIENTE</t>
        </is>
      </c>
      <c r="F2294" s="21" t="inlineStr">
        <is>
          <t>PREÇO UNITÁRIO</t>
        </is>
      </c>
      <c r="G2294" s="21" t="inlineStr">
        <is>
          <t>TOTAL</t>
        </is>
      </c>
    </row>
    <row r="2295" ht="15" customHeight="1">
      <c r="A2295" s="22" t="inlineStr">
        <is>
          <t>00038112</t>
        </is>
      </c>
      <c r="B2295" s="23" t="inlineStr">
        <is>
          <t>INTERRUPTOR SIMPLES 10A, 250V (APENAS MODULO)</t>
        </is>
      </c>
      <c r="C2295" s="22" t="inlineStr">
        <is>
          <t>SINAPI</t>
        </is>
      </c>
      <c r="D2295" s="22" t="inlineStr">
        <is>
          <t>UN</t>
        </is>
      </c>
      <c r="E2295" s="63" t="n">
        <v>1</v>
      </c>
      <c r="F2295" s="64">
        <f>ROUND(M2295*FATOR, 2)</f>
        <v/>
      </c>
      <c r="G2295" s="64">
        <f>TRUNC(TRUNC(E2295,8)*F2295,2)</f>
        <v/>
      </c>
      <c r="L2295" t="n">
        <v>1</v>
      </c>
      <c r="M2295" t="n">
        <v>6.8</v>
      </c>
      <c r="N2295">
        <f>(M2295-F2295)</f>
        <v/>
      </c>
    </row>
    <row r="2296" ht="15" customHeight="1">
      <c r="A2296" s="2" t="inlineStr"/>
      <c r="B2296" s="2" t="inlineStr"/>
      <c r="C2296" s="2" t="inlineStr"/>
      <c r="D2296" s="2" t="inlineStr"/>
      <c r="E2296" s="26" t="inlineStr">
        <is>
          <t>TOTAL Material:</t>
        </is>
      </c>
      <c r="F2296" s="56" t="n"/>
      <c r="G2296" s="65">
        <f>SUM(G2295:G2295)</f>
        <v/>
      </c>
    </row>
    <row r="2297" ht="15" customHeight="1">
      <c r="A2297" s="20" t="inlineStr">
        <is>
          <t>Mão de Obra com Encargos Complementares</t>
        </is>
      </c>
      <c r="B2297" s="56" t="n"/>
      <c r="C2297" s="21" t="inlineStr">
        <is>
          <t>FONTE</t>
        </is>
      </c>
      <c r="D2297" s="21" t="inlineStr">
        <is>
          <t>UNID</t>
        </is>
      </c>
      <c r="E2297" s="21" t="inlineStr">
        <is>
          <t>COEFICIENTE</t>
        </is>
      </c>
      <c r="F2297" s="21" t="inlineStr">
        <is>
          <t>PREÇO UNITÁRIO</t>
        </is>
      </c>
      <c r="G2297" s="21" t="inlineStr">
        <is>
          <t>TOTAL</t>
        </is>
      </c>
    </row>
    <row r="2298" ht="21" customHeight="1">
      <c r="A2298" s="22" t="inlineStr">
        <is>
          <t>88247</t>
        </is>
      </c>
      <c r="B2298" s="23" t="inlineStr">
        <is>
          <t>AUXILIAR DE ELETRICISTA COM ENCARGOS COMPLEMENTARES</t>
        </is>
      </c>
      <c r="C2298" s="22" t="inlineStr">
        <is>
          <t>SINAPI</t>
        </is>
      </c>
      <c r="D2298" s="22" t="inlineStr">
        <is>
          <t>H</t>
        </is>
      </c>
      <c r="E2298" s="63">
        <f>L2298*FATOR</f>
        <v/>
      </c>
      <c r="F2298" s="64">
        <f>'COMPOSICOES AUXILIARES'!G505</f>
        <v/>
      </c>
      <c r="G2298" s="64">
        <f>TRUNC(TRUNC(E2298,8)*F2298,2)</f>
        <v/>
      </c>
      <c r="L2298" t="n">
        <v>0.232</v>
      </c>
      <c r="M2298" t="n">
        <v>25.22</v>
      </c>
      <c r="N2298">
        <f>(M2298-F2298)</f>
        <v/>
      </c>
    </row>
    <row r="2299" ht="15" customHeight="1">
      <c r="A2299" s="22" t="inlineStr">
        <is>
          <t>88264</t>
        </is>
      </c>
      <c r="B2299" s="23" t="inlineStr">
        <is>
          <t>ELETRICISTA COM ENCARGOS COMPLEMENTARES</t>
        </is>
      </c>
      <c r="C2299" s="22" t="inlineStr">
        <is>
          <t>SINAPI</t>
        </is>
      </c>
      <c r="D2299" s="22" t="inlineStr">
        <is>
          <t>H</t>
        </is>
      </c>
      <c r="E2299" s="63">
        <f>L2299*FATOR</f>
        <v/>
      </c>
      <c r="F2299" s="64">
        <f>'COMPOSICOES AUXILIARES'!G713</f>
        <v/>
      </c>
      <c r="G2299" s="64">
        <f>TRUNC(TRUNC(E2299,8)*F2299,2)</f>
        <v/>
      </c>
      <c r="L2299" t="n">
        <v>0.232</v>
      </c>
      <c r="M2299" t="n">
        <v>30.96</v>
      </c>
      <c r="N2299">
        <f>(M2299-F2299)</f>
        <v/>
      </c>
    </row>
    <row r="2300" ht="18" customHeight="1">
      <c r="A2300" s="2" t="inlineStr"/>
      <c r="B2300" s="2" t="inlineStr"/>
      <c r="C2300" s="2" t="inlineStr"/>
      <c r="D2300" s="2" t="inlineStr"/>
      <c r="E2300" s="26" t="inlineStr">
        <is>
          <t>TOTAL Mão de Obra com Encargos Complementares:</t>
        </is>
      </c>
      <c r="F2300" s="56" t="n"/>
      <c r="G2300" s="65">
        <f>SUM(G2298:G2299)</f>
        <v/>
      </c>
    </row>
    <row r="2301" ht="15" customHeight="1">
      <c r="A2301" s="2" t="inlineStr"/>
      <c r="B2301" s="2" t="inlineStr"/>
      <c r="C2301" s="2" t="inlineStr"/>
      <c r="D2301" s="2" t="inlineStr"/>
      <c r="E2301" s="28" t="inlineStr">
        <is>
          <t>VALOR:</t>
        </is>
      </c>
      <c r="F2301" s="56" t="n"/>
      <c r="G2301" s="66">
        <f>SUM(G2296,G2300)</f>
        <v/>
      </c>
    </row>
    <row r="2302" ht="15" customHeight="1">
      <c r="A2302" s="2" t="inlineStr"/>
      <c r="B2302" s="2" t="inlineStr"/>
      <c r="C2302" s="2" t="inlineStr"/>
      <c r="D2302" s="2" t="inlineStr"/>
      <c r="E2302" s="28" t="inlineStr">
        <is>
          <t>VALOR BDI (23.08%):</t>
        </is>
      </c>
      <c r="F2302" s="56" t="n"/>
      <c r="G2302" s="66">
        <f>ROUNDDOWN(G2301*BDI,2)</f>
        <v/>
      </c>
    </row>
    <row r="2303" ht="15" customHeight="1">
      <c r="A2303" s="2" t="inlineStr"/>
      <c r="B2303" s="2" t="inlineStr"/>
      <c r="C2303" s="2" t="inlineStr"/>
      <c r="D2303" s="2" t="inlineStr"/>
      <c r="E2303" s="28" t="inlineStr">
        <is>
          <t>VALOR COM BDI:</t>
        </is>
      </c>
      <c r="F2303" s="56" t="n"/>
      <c r="G2303" s="66">
        <f>G2302 + G2301</f>
        <v/>
      </c>
    </row>
    <row r="2304" ht="10" customHeight="1">
      <c r="A2304" s="2" t="inlineStr"/>
      <c r="B2304" s="2" t="inlineStr"/>
      <c r="C2304" s="2" t="inlineStr"/>
      <c r="D2304" s="2" t="inlineStr"/>
      <c r="E2304" s="18" t="inlineStr"/>
    </row>
    <row r="2305" ht="20" customHeight="1">
      <c r="A2305" s="19" t="inlineStr">
        <is>
          <t>​91958​ INTERRUPTOR SIMPLES (2 MÓDULOS), 10A/250V, SEM SUPORTE E SEM PLACA - FORNECIMENTO E INSTALAÇÃO. AF_03/2023​ (UN)</t>
        </is>
      </c>
      <c r="B2305" s="55" t="n"/>
      <c r="C2305" s="55" t="n"/>
      <c r="D2305" s="55" t="n"/>
      <c r="E2305" s="55" t="n"/>
      <c r="F2305" s="55" t="n"/>
      <c r="G2305" s="56" t="n"/>
    </row>
    <row r="2306" ht="15" customHeight="1">
      <c r="A2306" s="20" t="inlineStr">
        <is>
          <t>Material</t>
        </is>
      </c>
      <c r="B2306" s="56" t="n"/>
      <c r="C2306" s="21" t="inlineStr">
        <is>
          <t>FONTE</t>
        </is>
      </c>
      <c r="D2306" s="21" t="inlineStr">
        <is>
          <t>UNID</t>
        </is>
      </c>
      <c r="E2306" s="21" t="inlineStr">
        <is>
          <t>COEFICIENTE</t>
        </is>
      </c>
      <c r="F2306" s="21" t="inlineStr">
        <is>
          <t>PREÇO UNITÁRIO</t>
        </is>
      </c>
      <c r="G2306" s="21" t="inlineStr">
        <is>
          <t>TOTAL</t>
        </is>
      </c>
    </row>
    <row r="2307" ht="15" customHeight="1">
      <c r="A2307" s="22" t="inlineStr">
        <is>
          <t>00038112</t>
        </is>
      </c>
      <c r="B2307" s="23" t="inlineStr">
        <is>
          <t>INTERRUPTOR SIMPLES 10A, 250V (APENAS MODULO)</t>
        </is>
      </c>
      <c r="C2307" s="22" t="inlineStr">
        <is>
          <t>SINAPI</t>
        </is>
      </c>
      <c r="D2307" s="22" t="inlineStr">
        <is>
          <t>UN</t>
        </is>
      </c>
      <c r="E2307" s="63" t="n">
        <v>2</v>
      </c>
      <c r="F2307" s="64" t="n">
        <v>6.8</v>
      </c>
      <c r="G2307" s="64">
        <f>TRUNC(TRUNC(E2307,8)*F2307,2)</f>
        <v/>
      </c>
      <c r="L2307" t="n">
        <v>2</v>
      </c>
      <c r="M2307" t="n">
        <v>6.8</v>
      </c>
      <c r="N2307">
        <f>(M2307-F2307)</f>
        <v/>
      </c>
    </row>
    <row r="2308" ht="15" customHeight="1">
      <c r="A2308" s="2" t="inlineStr"/>
      <c r="B2308" s="2" t="inlineStr"/>
      <c r="C2308" s="2" t="inlineStr"/>
      <c r="D2308" s="2" t="inlineStr"/>
      <c r="E2308" s="26" t="inlineStr">
        <is>
          <t>TOTAL Material:</t>
        </is>
      </c>
      <c r="F2308" s="56" t="n"/>
      <c r="G2308" s="65">
        <f>SUM(G2307:G2307)</f>
        <v/>
      </c>
    </row>
    <row r="2309" ht="15" customHeight="1">
      <c r="A2309" s="20" t="inlineStr">
        <is>
          <t>Mão de Obra com Encargos Complementares</t>
        </is>
      </c>
      <c r="B2309" s="56" t="n"/>
      <c r="C2309" s="21" t="inlineStr">
        <is>
          <t>FONTE</t>
        </is>
      </c>
      <c r="D2309" s="21" t="inlineStr">
        <is>
          <t>UNID</t>
        </is>
      </c>
      <c r="E2309" s="21" t="inlineStr">
        <is>
          <t>COEFICIENTE</t>
        </is>
      </c>
      <c r="F2309" s="21" t="inlineStr">
        <is>
          <t>PREÇO UNITÁRIO</t>
        </is>
      </c>
      <c r="G2309" s="21" t="inlineStr">
        <is>
          <t>TOTAL</t>
        </is>
      </c>
    </row>
    <row r="2310" ht="21" customHeight="1">
      <c r="A2310" s="22" t="inlineStr">
        <is>
          <t>88247</t>
        </is>
      </c>
      <c r="B2310" s="23" t="inlineStr">
        <is>
          <t>AUXILIAR DE ELETRICISTA COM ENCARGOS COMPLEMENTARES</t>
        </is>
      </c>
      <c r="C2310" s="22" t="inlineStr">
        <is>
          <t>SINAPI</t>
        </is>
      </c>
      <c r="D2310" s="22" t="inlineStr">
        <is>
          <t>H</t>
        </is>
      </c>
      <c r="E2310" s="63" t="n">
        <v>0.402</v>
      </c>
      <c r="F2310" s="64">
        <f>G505</f>
        <v/>
      </c>
      <c r="G2310" s="64">
        <f>TRUNC(TRUNC(E2310,8)*F2310,2)</f>
        <v/>
      </c>
      <c r="L2310" t="n">
        <v>0.402</v>
      </c>
      <c r="M2310" t="n">
        <v>25.22</v>
      </c>
      <c r="N2310">
        <f>(M2310-F2310)</f>
        <v/>
      </c>
    </row>
    <row r="2311" ht="15" customHeight="1">
      <c r="A2311" s="22" t="inlineStr">
        <is>
          <t>88264</t>
        </is>
      </c>
      <c r="B2311" s="23" t="inlineStr">
        <is>
          <t>ELETRICISTA COM ENCARGOS COMPLEMENTARES</t>
        </is>
      </c>
      <c r="C2311" s="22" t="inlineStr">
        <is>
          <t>SINAPI</t>
        </is>
      </c>
      <c r="D2311" s="22" t="inlineStr">
        <is>
          <t>H</t>
        </is>
      </c>
      <c r="E2311" s="63" t="n">
        <v>0.402</v>
      </c>
      <c r="F2311" s="64">
        <f>G1826</f>
        <v/>
      </c>
      <c r="G2311" s="64">
        <f>TRUNC(TRUNC(E2311,8)*F2311,2)</f>
        <v/>
      </c>
      <c r="L2311" t="n">
        <v>0.402</v>
      </c>
      <c r="M2311" t="n">
        <v>30.96</v>
      </c>
      <c r="N2311">
        <f>(M2311-F2311)</f>
        <v/>
      </c>
    </row>
    <row r="2312" ht="18" customHeight="1">
      <c r="A2312" s="2" t="inlineStr"/>
      <c r="B2312" s="2" t="inlineStr"/>
      <c r="C2312" s="2" t="inlineStr"/>
      <c r="D2312" s="2" t="inlineStr"/>
      <c r="E2312" s="26" t="inlineStr">
        <is>
          <t>TOTAL Mão de Obra com Encargos Complementares:</t>
        </is>
      </c>
      <c r="F2312" s="56" t="n"/>
      <c r="G2312" s="65">
        <f>SUM(G2310:G2311)</f>
        <v/>
      </c>
    </row>
    <row r="2313" ht="15" customHeight="1">
      <c r="A2313" s="2" t="inlineStr"/>
      <c r="B2313" s="2" t="inlineStr"/>
      <c r="C2313" s="2" t="inlineStr"/>
      <c r="D2313" s="2" t="inlineStr"/>
      <c r="E2313" s="28" t="inlineStr">
        <is>
          <t>VALOR:</t>
        </is>
      </c>
      <c r="F2313" s="56" t="n"/>
      <c r="G2313" s="66">
        <f>ROUND(SUM(G2308,G2312),2)</f>
        <v/>
      </c>
    </row>
    <row r="2314" ht="15" customHeight="1">
      <c r="A2314" s="2" t="inlineStr"/>
      <c r="B2314" s="2" t="inlineStr"/>
      <c r="C2314" s="2" t="inlineStr"/>
      <c r="D2314" s="2" t="inlineStr"/>
      <c r="E2314" s="28" t="inlineStr">
        <is>
          <t>VALOR BDI (23.08%):</t>
        </is>
      </c>
      <c r="F2314" s="56" t="n"/>
      <c r="G2314" s="66">
        <f>ROUNDDOWN(G2313*BDI,2)</f>
        <v/>
      </c>
    </row>
    <row r="2315" ht="15" customHeight="1">
      <c r="A2315" s="2" t="inlineStr"/>
      <c r="B2315" s="2" t="inlineStr"/>
      <c r="C2315" s="2" t="inlineStr"/>
      <c r="D2315" s="2" t="inlineStr"/>
      <c r="E2315" s="28" t="inlineStr">
        <is>
          <t>VALOR COM BDI:</t>
        </is>
      </c>
      <c r="F2315" s="56" t="n"/>
      <c r="G2315" s="66">
        <f>G2314 + G2313</f>
        <v/>
      </c>
    </row>
    <row r="2316" ht="10" customHeight="1">
      <c r="A2316" s="2" t="inlineStr"/>
      <c r="B2316" s="2" t="inlineStr"/>
      <c r="C2316" s="2" t="inlineStr"/>
      <c r="D2316" s="2" t="inlineStr"/>
      <c r="E2316" s="18" t="inlineStr"/>
    </row>
    <row r="2317" ht="20" customHeight="1">
      <c r="A2317" s="19" t="inlineStr">
        <is>
          <t>​91966​ INTERRUPTOR SIMPLES (3 MÓDULOS), 10A/250V, SEM SUPORTE E SEM PLACA - FORNECIMENTO E INSTALAÇÃO. AF_03/2023​ (UN)</t>
        </is>
      </c>
      <c r="B2317" s="55" t="n"/>
      <c r="C2317" s="55" t="n"/>
      <c r="D2317" s="55" t="n"/>
      <c r="E2317" s="55" t="n"/>
      <c r="F2317" s="55" t="n"/>
      <c r="G2317" s="56" t="n"/>
    </row>
    <row r="2318" ht="15" customHeight="1">
      <c r="A2318" s="20" t="inlineStr">
        <is>
          <t>Material</t>
        </is>
      </c>
      <c r="B2318" s="56" t="n"/>
      <c r="C2318" s="21" t="inlineStr">
        <is>
          <t>FONTE</t>
        </is>
      </c>
      <c r="D2318" s="21" t="inlineStr">
        <is>
          <t>UNID</t>
        </is>
      </c>
      <c r="E2318" s="21" t="inlineStr">
        <is>
          <t>COEFICIENTE</t>
        </is>
      </c>
      <c r="F2318" s="21" t="inlineStr">
        <is>
          <t>PREÇO UNITÁRIO</t>
        </is>
      </c>
      <c r="G2318" s="21" t="inlineStr">
        <is>
          <t>TOTAL</t>
        </is>
      </c>
    </row>
    <row r="2319" ht="15" customHeight="1">
      <c r="A2319" s="22" t="inlineStr">
        <is>
          <t>00038112</t>
        </is>
      </c>
      <c r="B2319" s="23" t="inlineStr">
        <is>
          <t>INTERRUPTOR SIMPLES 10A, 250V (APENAS MODULO)</t>
        </is>
      </c>
      <c r="C2319" s="22" t="inlineStr">
        <is>
          <t>SINAPI</t>
        </is>
      </c>
      <c r="D2319" s="22" t="inlineStr">
        <is>
          <t>UN</t>
        </is>
      </c>
      <c r="E2319" s="63" t="n">
        <v>3</v>
      </c>
      <c r="F2319" s="64" t="n">
        <v>6.8</v>
      </c>
      <c r="G2319" s="64">
        <f>TRUNC(TRUNC(E2319,8)*F2319,2)</f>
        <v/>
      </c>
      <c r="L2319" t="n">
        <v>3</v>
      </c>
      <c r="M2319" t="n">
        <v>6.8</v>
      </c>
      <c r="N2319">
        <f>(M2319-F2319)</f>
        <v/>
      </c>
    </row>
    <row r="2320" ht="15" customHeight="1">
      <c r="A2320" s="2" t="inlineStr"/>
      <c r="B2320" s="2" t="inlineStr"/>
      <c r="C2320" s="2" t="inlineStr"/>
      <c r="D2320" s="2" t="inlineStr"/>
      <c r="E2320" s="26" t="inlineStr">
        <is>
          <t>TOTAL Material:</t>
        </is>
      </c>
      <c r="F2320" s="56" t="n"/>
      <c r="G2320" s="65">
        <f>SUM(G2319:G2319)</f>
        <v/>
      </c>
    </row>
    <row r="2321" ht="15" customHeight="1">
      <c r="A2321" s="20" t="inlineStr">
        <is>
          <t>Mão de Obra com Encargos Complementares</t>
        </is>
      </c>
      <c r="B2321" s="56" t="n"/>
      <c r="C2321" s="21" t="inlineStr">
        <is>
          <t>FONTE</t>
        </is>
      </c>
      <c r="D2321" s="21" t="inlineStr">
        <is>
          <t>UNID</t>
        </is>
      </c>
      <c r="E2321" s="21" t="inlineStr">
        <is>
          <t>COEFICIENTE</t>
        </is>
      </c>
      <c r="F2321" s="21" t="inlineStr">
        <is>
          <t>PREÇO UNITÁRIO</t>
        </is>
      </c>
      <c r="G2321" s="21" t="inlineStr">
        <is>
          <t>TOTAL</t>
        </is>
      </c>
    </row>
    <row r="2322" ht="21" customHeight="1">
      <c r="A2322" s="22" t="inlineStr">
        <is>
          <t>88247</t>
        </is>
      </c>
      <c r="B2322" s="23" t="inlineStr">
        <is>
          <t>AUXILIAR DE ELETRICISTA COM ENCARGOS COMPLEMENTARES</t>
        </is>
      </c>
      <c r="C2322" s="22" t="inlineStr">
        <is>
          <t>SINAPI</t>
        </is>
      </c>
      <c r="D2322" s="22" t="inlineStr">
        <is>
          <t>H</t>
        </is>
      </c>
      <c r="E2322" s="63" t="n">
        <v>0.572</v>
      </c>
      <c r="F2322" s="64">
        <f>G505</f>
        <v/>
      </c>
      <c r="G2322" s="64">
        <f>TRUNC(TRUNC(E2322,8)*F2322,2)</f>
        <v/>
      </c>
      <c r="L2322" t="n">
        <v>0.572</v>
      </c>
      <c r="M2322" t="n">
        <v>25.22</v>
      </c>
      <c r="N2322">
        <f>(M2322-F2322)</f>
        <v/>
      </c>
    </row>
    <row r="2323" ht="15" customHeight="1">
      <c r="A2323" s="22" t="inlineStr">
        <is>
          <t>88264</t>
        </is>
      </c>
      <c r="B2323" s="23" t="inlineStr">
        <is>
          <t>ELETRICISTA COM ENCARGOS COMPLEMENTARES</t>
        </is>
      </c>
      <c r="C2323" s="22" t="inlineStr">
        <is>
          <t>SINAPI</t>
        </is>
      </c>
      <c r="D2323" s="22" t="inlineStr">
        <is>
          <t>H</t>
        </is>
      </c>
      <c r="E2323" s="63" t="n">
        <v>0.572</v>
      </c>
      <c r="F2323" s="64">
        <f>G1826</f>
        <v/>
      </c>
      <c r="G2323" s="64">
        <f>TRUNC(TRUNC(E2323,8)*F2323,2)</f>
        <v/>
      </c>
      <c r="L2323" t="n">
        <v>0.572</v>
      </c>
      <c r="M2323" t="n">
        <v>30.96</v>
      </c>
      <c r="N2323">
        <f>(M2323-F2323)</f>
        <v/>
      </c>
    </row>
    <row r="2324" ht="18" customHeight="1">
      <c r="A2324" s="2" t="inlineStr"/>
      <c r="B2324" s="2" t="inlineStr"/>
      <c r="C2324" s="2" t="inlineStr"/>
      <c r="D2324" s="2" t="inlineStr"/>
      <c r="E2324" s="26" t="inlineStr">
        <is>
          <t>TOTAL Mão de Obra com Encargos Complementares:</t>
        </is>
      </c>
      <c r="F2324" s="56" t="n"/>
      <c r="G2324" s="65">
        <f>SUM(G2322:G2323)</f>
        <v/>
      </c>
    </row>
    <row r="2325" ht="15" customHeight="1">
      <c r="A2325" s="2" t="inlineStr"/>
      <c r="B2325" s="2" t="inlineStr"/>
      <c r="C2325" s="2" t="inlineStr"/>
      <c r="D2325" s="2" t="inlineStr"/>
      <c r="E2325" s="28" t="inlineStr">
        <is>
          <t>VALOR:</t>
        </is>
      </c>
      <c r="F2325" s="56" t="n"/>
      <c r="G2325" s="66">
        <f>ROUND(SUM(G2320,G2324),2)</f>
        <v/>
      </c>
    </row>
    <row r="2326" ht="15" customHeight="1">
      <c r="A2326" s="2" t="inlineStr"/>
      <c r="B2326" s="2" t="inlineStr"/>
      <c r="C2326" s="2" t="inlineStr"/>
      <c r="D2326" s="2" t="inlineStr"/>
      <c r="E2326" s="28" t="inlineStr">
        <is>
          <t>VALOR BDI (23.08%):</t>
        </is>
      </c>
      <c r="F2326" s="56" t="n"/>
      <c r="G2326" s="66">
        <f>ROUNDDOWN(G2325*BDI,2)</f>
        <v/>
      </c>
    </row>
    <row r="2327" ht="15" customHeight="1">
      <c r="A2327" s="2" t="inlineStr"/>
      <c r="B2327" s="2" t="inlineStr"/>
      <c r="C2327" s="2" t="inlineStr"/>
      <c r="D2327" s="2" t="inlineStr"/>
      <c r="E2327" s="28" t="inlineStr">
        <is>
          <t>VALOR COM BDI:</t>
        </is>
      </c>
      <c r="F2327" s="56" t="n"/>
      <c r="G2327" s="66">
        <f>G2326 + G2325</f>
        <v/>
      </c>
    </row>
    <row r="2328" ht="10" customHeight="1">
      <c r="A2328" s="2" t="inlineStr"/>
      <c r="B2328" s="2" t="inlineStr"/>
      <c r="C2328" s="2" t="inlineStr"/>
      <c r="D2328" s="2" t="inlineStr"/>
      <c r="E2328" s="18" t="inlineStr"/>
    </row>
    <row r="2329" ht="20" customHeight="1">
      <c r="A2329" s="19" t="inlineStr">
        <is>
          <t>​88441​ JARDINEIRO COM ENCARGOS COMPLEMENTARES​ (H)</t>
        </is>
      </c>
      <c r="B2329" s="55" t="n"/>
      <c r="C2329" s="55" t="n"/>
      <c r="D2329" s="55" t="n"/>
      <c r="E2329" s="55" t="n"/>
      <c r="F2329" s="55" t="n"/>
      <c r="G2329" s="56" t="n"/>
    </row>
    <row r="2330" ht="15" customHeight="1">
      <c r="A2330" s="20" t="inlineStr">
        <is>
          <t>Encargos Complementares</t>
        </is>
      </c>
      <c r="B2330" s="56" t="n"/>
      <c r="C2330" s="21" t="inlineStr">
        <is>
          <t>FONTE</t>
        </is>
      </c>
      <c r="D2330" s="21" t="inlineStr">
        <is>
          <t>UNID</t>
        </is>
      </c>
      <c r="E2330" s="21" t="inlineStr">
        <is>
          <t>COEFICIENTE</t>
        </is>
      </c>
      <c r="F2330" s="21" t="inlineStr">
        <is>
          <t>PREÇO UNITÁRIO</t>
        </is>
      </c>
      <c r="G2330" s="21" t="inlineStr">
        <is>
          <t>TOTAL</t>
        </is>
      </c>
    </row>
    <row r="2331" ht="21" customHeight="1">
      <c r="A2331" s="22" t="inlineStr">
        <is>
          <t>00037370</t>
        </is>
      </c>
      <c r="B2331" s="23" t="inlineStr">
        <is>
          <t>ALIMENTACAO - HORISTA (COLETADO CAIXA - ENCARGOS COMPLEMENTARES)</t>
        </is>
      </c>
      <c r="C2331" s="22" t="inlineStr">
        <is>
          <t>SINAPI</t>
        </is>
      </c>
      <c r="D2331" s="22" t="inlineStr">
        <is>
          <t>H</t>
        </is>
      </c>
      <c r="E2331" s="63" t="n">
        <v>1</v>
      </c>
      <c r="F2331" s="64" t="n">
        <v>3.62</v>
      </c>
      <c r="G2331" s="64">
        <f>TRUNC(TRUNC(E2331,8)*F2331,2)</f>
        <v/>
      </c>
      <c r="L2331" t="n">
        <v>1</v>
      </c>
      <c r="M2331" t="n">
        <v>3.62</v>
      </c>
      <c r="N2331">
        <f>(M2331-F2331)</f>
        <v/>
      </c>
    </row>
    <row r="2332" ht="21" customHeight="1">
      <c r="A2332" s="22" t="inlineStr">
        <is>
          <t>00043489</t>
        </is>
      </c>
      <c r="B2332" s="23" t="inlineStr">
        <is>
          <t>EPI - FAMILIA PEDREIRO - HORISTA (ENCARGOS COMPLEMENTARES - COLETADO CAIXA)</t>
        </is>
      </c>
      <c r="C2332" s="22" t="inlineStr">
        <is>
          <t>SINAPI</t>
        </is>
      </c>
      <c r="D2332" s="22" t="inlineStr">
        <is>
          <t>H</t>
        </is>
      </c>
      <c r="E2332" s="63" t="n">
        <v>1</v>
      </c>
      <c r="F2332" s="64" t="n">
        <v>1.31</v>
      </c>
      <c r="G2332" s="64">
        <f>TRUNC(TRUNC(E2332,8)*F2332,2)</f>
        <v/>
      </c>
      <c r="L2332" t="n">
        <v>1</v>
      </c>
      <c r="M2332" t="n">
        <v>1.31</v>
      </c>
      <c r="N2332">
        <f>(M2332-F2332)</f>
        <v/>
      </c>
    </row>
    <row r="2333" ht="21" customHeight="1">
      <c r="A2333" s="22" t="inlineStr">
        <is>
          <t>00037372</t>
        </is>
      </c>
      <c r="B2333" s="23" t="inlineStr">
        <is>
          <t>EXAMES - HORISTA (COLETADO CAIXA - ENCARGOS COMPLEMENTARES)</t>
        </is>
      </c>
      <c r="C2333" s="22" t="inlineStr">
        <is>
          <t>SINAPI</t>
        </is>
      </c>
      <c r="D2333" s="22" t="inlineStr">
        <is>
          <t>H</t>
        </is>
      </c>
      <c r="E2333" s="63" t="n">
        <v>1</v>
      </c>
      <c r="F2333" s="64" t="n">
        <v>1.43</v>
      </c>
      <c r="G2333" s="64">
        <f>TRUNC(TRUNC(E2333,8)*F2333,2)</f>
        <v/>
      </c>
      <c r="L2333" t="n">
        <v>1</v>
      </c>
      <c r="M2333" t="n">
        <v>1.43</v>
      </c>
      <c r="N2333">
        <f>(M2333-F2333)</f>
        <v/>
      </c>
    </row>
    <row r="2334" ht="21" customHeight="1">
      <c r="A2334" s="22" t="inlineStr">
        <is>
          <t>00043465</t>
        </is>
      </c>
      <c r="B2334" s="23" t="inlineStr">
        <is>
          <t>FERRAMENTAS - FAMILIA PEDREIRO - HORISTA (ENCARGOS COMPLEMENTARES - COLETADO CAIXA)</t>
        </is>
      </c>
      <c r="C2334" s="22" t="inlineStr">
        <is>
          <t>SINAPI</t>
        </is>
      </c>
      <c r="D2334" s="22" t="inlineStr">
        <is>
          <t>H</t>
        </is>
      </c>
      <c r="E2334" s="63" t="n">
        <v>1</v>
      </c>
      <c r="F2334" s="64" t="n">
        <v>0.78</v>
      </c>
      <c r="G2334" s="64">
        <f>TRUNC(TRUNC(E2334,8)*F2334,2)</f>
        <v/>
      </c>
      <c r="L2334" t="n">
        <v>1</v>
      </c>
      <c r="M2334" t="n">
        <v>0.78</v>
      </c>
      <c r="N2334">
        <f>(M2334-F2334)</f>
        <v/>
      </c>
    </row>
    <row r="2335" ht="21" customHeight="1">
      <c r="A2335" s="22" t="inlineStr">
        <is>
          <t>00037373</t>
        </is>
      </c>
      <c r="B2335" s="23" t="inlineStr">
        <is>
          <t>SEGURO - HORISTA (COLETADO CAIXA - ENCARGOS COMPLEMENTARES)</t>
        </is>
      </c>
      <c r="C2335" s="22" t="inlineStr">
        <is>
          <t>SINAPI</t>
        </is>
      </c>
      <c r="D2335" s="22" t="inlineStr">
        <is>
          <t>H</t>
        </is>
      </c>
      <c r="E2335" s="63" t="n">
        <v>1</v>
      </c>
      <c r="F2335" s="64" t="n">
        <v>0.08</v>
      </c>
      <c r="G2335" s="64">
        <f>TRUNC(TRUNC(E2335,8)*F2335,2)</f>
        <v/>
      </c>
      <c r="L2335" t="n">
        <v>1</v>
      </c>
      <c r="M2335" t="n">
        <v>0.08</v>
      </c>
      <c r="N2335">
        <f>(M2335-F2335)</f>
        <v/>
      </c>
    </row>
    <row r="2336" ht="21" customHeight="1">
      <c r="A2336" s="22" t="inlineStr">
        <is>
          <t>00037371</t>
        </is>
      </c>
      <c r="B2336" s="23" t="inlineStr">
        <is>
          <t>TRANSPORTE - HORISTA (COLETADO CAIXA - ENCARGOS COMPLEMENTARES)</t>
        </is>
      </c>
      <c r="C2336" s="22" t="inlineStr">
        <is>
          <t>SINAPI</t>
        </is>
      </c>
      <c r="D2336" s="22" t="inlineStr">
        <is>
          <t>H</t>
        </is>
      </c>
      <c r="E2336" s="63" t="n">
        <v>1</v>
      </c>
      <c r="F2336" s="64" t="n">
        <v>1.09</v>
      </c>
      <c r="G2336" s="64">
        <f>TRUNC(TRUNC(E2336,8)*F2336,2)</f>
        <v/>
      </c>
      <c r="L2336" t="n">
        <v>1</v>
      </c>
      <c r="M2336" t="n">
        <v>1.09</v>
      </c>
      <c r="N2336">
        <f>(M2336-F2336)</f>
        <v/>
      </c>
    </row>
    <row r="2337" ht="15" customHeight="1">
      <c r="A2337" s="2" t="inlineStr"/>
      <c r="B2337" s="2" t="inlineStr"/>
      <c r="C2337" s="2" t="inlineStr"/>
      <c r="D2337" s="2" t="inlineStr"/>
      <c r="E2337" s="26" t="inlineStr">
        <is>
          <t>TOTAL Encargos Complementares:</t>
        </is>
      </c>
      <c r="F2337" s="56" t="n"/>
      <c r="G2337" s="65">
        <f>SUM(G2331:G2336)</f>
        <v/>
      </c>
    </row>
    <row r="2338" ht="15" customHeight="1">
      <c r="A2338" s="20" t="inlineStr">
        <is>
          <t>Mão de Obra</t>
        </is>
      </c>
      <c r="B2338" s="56" t="n"/>
      <c r="C2338" s="21" t="inlineStr">
        <is>
          <t>FONTE</t>
        </is>
      </c>
      <c r="D2338" s="21" t="inlineStr">
        <is>
          <t>UNID</t>
        </is>
      </c>
      <c r="E2338" s="21" t="inlineStr">
        <is>
          <t>COEFICIENTE</t>
        </is>
      </c>
      <c r="F2338" s="21" t="inlineStr">
        <is>
          <t>PREÇO UNITÁRIO</t>
        </is>
      </c>
      <c r="G2338" s="21" t="inlineStr">
        <is>
          <t>TOTAL</t>
        </is>
      </c>
    </row>
    <row r="2339" ht="15" customHeight="1">
      <c r="A2339" s="22" t="inlineStr">
        <is>
          <t>00044503</t>
        </is>
      </c>
      <c r="B2339" s="23" t="inlineStr">
        <is>
          <t>JARDINEIRO (HORISTA)</t>
        </is>
      </c>
      <c r="C2339" s="22" t="inlineStr">
        <is>
          <t>SINAPI</t>
        </is>
      </c>
      <c r="D2339" s="22" t="inlineStr">
        <is>
          <t>H</t>
        </is>
      </c>
      <c r="E2339" s="63">
        <f>L2339*FATOR</f>
        <v/>
      </c>
      <c r="F2339" s="64" t="n">
        <v>15.53</v>
      </c>
      <c r="G2339" s="64">
        <f>TRUNC(TRUNC(E2339,8)*F2339,2)</f>
        <v/>
      </c>
      <c r="L2339" t="n">
        <v>1</v>
      </c>
      <c r="M2339" t="n">
        <v>15.53</v>
      </c>
      <c r="N2339">
        <f>(M2339-F2339)</f>
        <v/>
      </c>
    </row>
    <row r="2340" ht="15" customHeight="1">
      <c r="A2340" s="2" t="inlineStr"/>
      <c r="B2340" s="2" t="inlineStr"/>
      <c r="C2340" s="2" t="inlineStr"/>
      <c r="D2340" s="2" t="inlineStr"/>
      <c r="E2340" s="26" t="inlineStr">
        <is>
          <t>TOTAL Mão de Obra:</t>
        </is>
      </c>
      <c r="F2340" s="56" t="n"/>
      <c r="G2340" s="65">
        <f>SUM(G2339:G2339)</f>
        <v/>
      </c>
    </row>
    <row r="2341" ht="15" customHeight="1">
      <c r="A2341" s="20" t="inlineStr">
        <is>
          <t>Serviço</t>
        </is>
      </c>
      <c r="B2341" s="56" t="n"/>
      <c r="C2341" s="21" t="inlineStr">
        <is>
          <t>FONTE</t>
        </is>
      </c>
      <c r="D2341" s="21" t="inlineStr">
        <is>
          <t>UNID</t>
        </is>
      </c>
      <c r="E2341" s="21" t="inlineStr">
        <is>
          <t>COEFICIENTE</t>
        </is>
      </c>
      <c r="F2341" s="21" t="inlineStr">
        <is>
          <t>PREÇO UNITÁRIO</t>
        </is>
      </c>
      <c r="G2341" s="21" t="inlineStr">
        <is>
          <t>TOTAL</t>
        </is>
      </c>
    </row>
    <row r="2342" ht="21" customHeight="1">
      <c r="A2342" s="22" t="inlineStr">
        <is>
          <t>95390</t>
        </is>
      </c>
      <c r="B2342" s="23" t="inlineStr">
        <is>
          <t>CURSO DE CAPACITAÇÃO PARA JARDINEIRO (ENCARGOS COMPLEMENTARES) - HORISTA</t>
        </is>
      </c>
      <c r="C2342" s="22" t="inlineStr">
        <is>
          <t>SINAPI</t>
        </is>
      </c>
      <c r="D2342" s="22" t="inlineStr">
        <is>
          <t>H</t>
        </is>
      </c>
      <c r="E2342" s="63" t="n">
        <v>1</v>
      </c>
      <c r="F2342" s="64">
        <f>'COMPOSICOES AUXILIARES'!G1651</f>
        <v/>
      </c>
      <c r="G2342" s="64">
        <f>TRUNC(TRUNC(E2342,8)*F2342,2)</f>
        <v/>
      </c>
      <c r="L2342" t="n">
        <v>1</v>
      </c>
      <c r="M2342" t="n">
        <v>0.07000000000000001</v>
      </c>
      <c r="N2342">
        <f>(M2342-F2342)</f>
        <v/>
      </c>
    </row>
    <row r="2343" ht="15" customHeight="1">
      <c r="A2343" s="2" t="inlineStr"/>
      <c r="B2343" s="2" t="inlineStr"/>
      <c r="C2343" s="2" t="inlineStr"/>
      <c r="D2343" s="2" t="inlineStr"/>
      <c r="E2343" s="26" t="inlineStr">
        <is>
          <t>TOTAL Serviço:</t>
        </is>
      </c>
      <c r="F2343" s="56" t="n"/>
      <c r="G2343" s="65">
        <f>SUM(G2342:G2342)</f>
        <v/>
      </c>
    </row>
    <row r="2344" ht="15" customHeight="1">
      <c r="A2344" s="2" t="inlineStr"/>
      <c r="B2344" s="2" t="inlineStr"/>
      <c r="C2344" s="2" t="inlineStr"/>
      <c r="D2344" s="2" t="inlineStr"/>
      <c r="E2344" s="28" t="inlineStr">
        <is>
          <t>VALOR:</t>
        </is>
      </c>
      <c r="F2344" s="56" t="n"/>
      <c r="G2344" s="66">
        <f>SUM(G2337,G2340,G2343)</f>
        <v/>
      </c>
    </row>
    <row r="2345" ht="15" customHeight="1">
      <c r="A2345" s="2" t="inlineStr"/>
      <c r="B2345" s="2" t="inlineStr"/>
      <c r="C2345" s="2" t="inlineStr"/>
      <c r="D2345" s="2" t="inlineStr"/>
      <c r="E2345" s="28" t="inlineStr">
        <is>
          <t>VALOR BDI (23.08%):</t>
        </is>
      </c>
      <c r="F2345" s="56" t="n"/>
      <c r="G2345" s="66">
        <f>ROUNDDOWN(G2344*BDI,2)</f>
        <v/>
      </c>
    </row>
    <row r="2346" ht="15" customHeight="1">
      <c r="A2346" s="2" t="inlineStr"/>
      <c r="B2346" s="2" t="inlineStr"/>
      <c r="C2346" s="2" t="inlineStr"/>
      <c r="D2346" s="2" t="inlineStr"/>
      <c r="E2346" s="28" t="inlineStr">
        <is>
          <t>VALOR COM BDI:</t>
        </is>
      </c>
      <c r="F2346" s="56" t="n"/>
      <c r="G2346" s="66">
        <f>G2345 + G2344</f>
        <v/>
      </c>
    </row>
    <row r="2347" ht="10" customHeight="1">
      <c r="A2347" s="2" t="inlineStr"/>
      <c r="B2347" s="2" t="inlineStr"/>
      <c r="C2347" s="2" t="inlineStr"/>
      <c r="D2347" s="2" t="inlineStr"/>
      <c r="E2347" s="18" t="inlineStr"/>
    </row>
    <row r="2348" ht="20" customHeight="1">
      <c r="A2348" s="19" t="inlineStr">
        <is>
          <t>​100716​ JATEAMENTO ABRASIVO COM GRANALHA DE AÇO EM PERFIL METÁLICO EM FÁBRICA. AF_01/2020​ (M2)</t>
        </is>
      </c>
      <c r="B2348" s="55" t="n"/>
      <c r="C2348" s="55" t="n"/>
      <c r="D2348" s="55" t="n"/>
      <c r="E2348" s="55" t="n"/>
      <c r="F2348" s="55" t="n"/>
      <c r="G2348" s="56" t="n"/>
    </row>
    <row r="2349" ht="15" customHeight="1">
      <c r="A2349" s="20" t="inlineStr">
        <is>
          <t>Equipamento Custo Horário</t>
        </is>
      </c>
      <c r="B2349" s="56" t="n"/>
      <c r="C2349" s="21" t="inlineStr">
        <is>
          <t>FONTE</t>
        </is>
      </c>
      <c r="D2349" s="21" t="inlineStr">
        <is>
          <t>UNID</t>
        </is>
      </c>
      <c r="E2349" s="21" t="inlineStr">
        <is>
          <t>COEFICIENTE</t>
        </is>
      </c>
      <c r="F2349" s="21" t="inlineStr">
        <is>
          <t>PREÇO UNITÁRIO</t>
        </is>
      </c>
      <c r="G2349" s="21" t="inlineStr">
        <is>
          <t>TOTAL</t>
        </is>
      </c>
    </row>
    <row r="2350" ht="46" customHeight="1">
      <c r="A2350" s="22" t="inlineStr">
        <is>
          <t>93409</t>
        </is>
      </c>
      <c r="B2350" s="23" t="inlineStr">
        <is>
          <t>MÁQUINA JATO DE PRESSAO PORTÁTIL, CAMARA DE 1 SAIDA, CAPACIDADE 280 L, DIAMETRO 670 MM, BICO DE JATO CURTO VENTURI DE 5/16", MANGUEIRA DE 1" COM COMPRESSOR DE AR REBOCÁVEL 189 PCM E MOTOR DIESEL 63 CV - CHI DIURNO. AF_05/2023</t>
        </is>
      </c>
      <c r="C2350" s="22" t="inlineStr">
        <is>
          <t>SINAPI</t>
        </is>
      </c>
      <c r="D2350" s="22" t="inlineStr">
        <is>
          <t>CHI</t>
        </is>
      </c>
      <c r="E2350" s="63" t="n">
        <v>0.0382</v>
      </c>
      <c r="F2350" s="64" t="n">
        <v>41.29</v>
      </c>
      <c r="G2350" s="64">
        <f>TRUNC(TRUNC(E2350,8)*F2350,2)</f>
        <v/>
      </c>
      <c r="L2350" t="n">
        <v>0.0382</v>
      </c>
      <c r="M2350" t="n">
        <v>41.29</v>
      </c>
      <c r="N2350">
        <f>(M2350-F2350)</f>
        <v/>
      </c>
    </row>
    <row r="2351" ht="46" customHeight="1">
      <c r="A2351" s="22" t="inlineStr">
        <is>
          <t>93408</t>
        </is>
      </c>
      <c r="B2351" s="23" t="inlineStr">
        <is>
          <t>MÁQUINA JATO DE PRESSAO PORTÁTIL, CAMARA DE 1 SAIDA, CAPACIDADE 280 L, DIAMETRO 670 MM, BICO DE JATO CURTO VENTURI DE 5/16", MANGUEIRA DE 1" COM COMPRESSOR DE AR REBOCÁVEL 189 PCM E MOTOR DIESEL 63 CV - CHP DIURNO. AF_05/2023</t>
        </is>
      </c>
      <c r="C2351" s="22" t="inlineStr">
        <is>
          <t>SINAPI</t>
        </is>
      </c>
      <c r="D2351" s="22" t="inlineStr">
        <is>
          <t>CHP</t>
        </is>
      </c>
      <c r="E2351" s="63" t="n">
        <v>0.0157</v>
      </c>
      <c r="F2351" s="64" t="n">
        <v>97.87</v>
      </c>
      <c r="G2351" s="64">
        <f>TRUNC(TRUNC(E2351,8)*F2351,2)</f>
        <v/>
      </c>
      <c r="L2351" t="n">
        <v>0.0157</v>
      </c>
      <c r="M2351" t="n">
        <v>97.87</v>
      </c>
      <c r="N2351">
        <f>(M2351-F2351)</f>
        <v/>
      </c>
    </row>
    <row r="2352" ht="18" customHeight="1">
      <c r="A2352" s="2" t="inlineStr"/>
      <c r="B2352" s="2" t="inlineStr"/>
      <c r="C2352" s="2" t="inlineStr"/>
      <c r="D2352" s="2" t="inlineStr"/>
      <c r="E2352" s="26" t="inlineStr">
        <is>
          <t>TOTAL Equipamento Custo Horário:</t>
        </is>
      </c>
      <c r="F2352" s="56" t="n"/>
      <c r="G2352" s="65">
        <f>SUM(G2350:G2351)</f>
        <v/>
      </c>
    </row>
    <row r="2353" ht="15" customHeight="1">
      <c r="A2353" s="20" t="inlineStr">
        <is>
          <t>Material</t>
        </is>
      </c>
      <c r="B2353" s="56" t="n"/>
      <c r="C2353" s="21" t="inlineStr">
        <is>
          <t>FONTE</t>
        </is>
      </c>
      <c r="D2353" s="21" t="inlineStr">
        <is>
          <t>UNID</t>
        </is>
      </c>
      <c r="E2353" s="21" t="inlineStr">
        <is>
          <t>COEFICIENTE</t>
        </is>
      </c>
      <c r="F2353" s="21" t="inlineStr">
        <is>
          <t>PREÇO UNITÁRIO</t>
        </is>
      </c>
      <c r="G2353" s="21" t="inlineStr">
        <is>
          <t>TOTAL</t>
        </is>
      </c>
    </row>
    <row r="2354" ht="21" customHeight="1">
      <c r="A2354" s="22" t="inlineStr">
        <is>
          <t>00036785</t>
        </is>
      </c>
      <c r="B2354" s="23" t="inlineStr">
        <is>
          <t>GRANALHA DE ACO, ANGULAR (GRIT), PARA JATEAMENTO, PENEIRA 1,41 A 1,19 MM (SAE G16)</t>
        </is>
      </c>
      <c r="C2354" s="22" t="inlineStr">
        <is>
          <t>SINAPI</t>
        </is>
      </c>
      <c r="D2354" s="22" t="inlineStr">
        <is>
          <t>SC25KG</t>
        </is>
      </c>
      <c r="E2354" s="63" t="n">
        <v>0.16</v>
      </c>
      <c r="F2354" s="64">
        <f>ROUND(M2354*FATOR, 2)</f>
        <v/>
      </c>
      <c r="G2354" s="64">
        <f>TRUNC(TRUNC(E2354,8)*F2354,2)</f>
        <v/>
      </c>
      <c r="L2354" t="n">
        <v>0.16</v>
      </c>
      <c r="M2354" t="n">
        <v>119.79</v>
      </c>
      <c r="N2354">
        <f>(M2354-F2354)</f>
        <v/>
      </c>
    </row>
    <row r="2355" ht="15" customHeight="1">
      <c r="A2355" s="2" t="inlineStr"/>
      <c r="B2355" s="2" t="inlineStr"/>
      <c r="C2355" s="2" t="inlineStr"/>
      <c r="D2355" s="2" t="inlineStr"/>
      <c r="E2355" s="26" t="inlineStr">
        <is>
          <t>TOTAL Material:</t>
        </is>
      </c>
      <c r="F2355" s="56" t="n"/>
      <c r="G2355" s="65">
        <f>SUM(G2354:G2354)</f>
        <v/>
      </c>
    </row>
    <row r="2356" ht="15" customHeight="1">
      <c r="A2356" s="20" t="inlineStr">
        <is>
          <t>Mão de Obra com Encargos Complementares</t>
        </is>
      </c>
      <c r="B2356" s="56" t="n"/>
      <c r="C2356" s="21" t="inlineStr">
        <is>
          <t>FONTE</t>
        </is>
      </c>
      <c r="D2356" s="21" t="inlineStr">
        <is>
          <t>UNID</t>
        </is>
      </c>
      <c r="E2356" s="21" t="inlineStr">
        <is>
          <t>COEFICIENTE</t>
        </is>
      </c>
      <c r="F2356" s="21" t="inlineStr">
        <is>
          <t>PREÇO UNITÁRIO</t>
        </is>
      </c>
      <c r="G2356" s="21" t="inlineStr">
        <is>
          <t>TOTAL</t>
        </is>
      </c>
    </row>
    <row r="2357" ht="21" customHeight="1">
      <c r="A2357" s="22" t="inlineStr">
        <is>
          <t>88306</t>
        </is>
      </c>
      <c r="B2357" s="23" t="inlineStr">
        <is>
          <t>OPERADOR JATO DE AREIA OU JATISTA COM ENCARGOS COMPLEMENTARES</t>
        </is>
      </c>
      <c r="C2357" s="22" t="inlineStr">
        <is>
          <t>SINAPI</t>
        </is>
      </c>
      <c r="D2357" s="22" t="inlineStr">
        <is>
          <t>H</t>
        </is>
      </c>
      <c r="E2357" s="63">
        <f>L2357*FATOR</f>
        <v/>
      </c>
      <c r="F2357" s="64">
        <f>G2868</f>
        <v/>
      </c>
      <c r="G2357" s="64">
        <f>TRUNC(TRUNC(E2357,8)*F2357,2)</f>
        <v/>
      </c>
      <c r="L2357" t="n">
        <v>0.0539</v>
      </c>
      <c r="M2357" t="n">
        <v>31.56</v>
      </c>
      <c r="N2357">
        <f>(M2357-F2357)</f>
        <v/>
      </c>
    </row>
    <row r="2358" ht="15" customHeight="1">
      <c r="A2358" s="22" t="inlineStr">
        <is>
          <t>88316</t>
        </is>
      </c>
      <c r="B2358" s="23" t="inlineStr">
        <is>
          <t>SERVENTE COM ENCARGOS COMPLEMENTARES</t>
        </is>
      </c>
      <c r="C2358" s="22" t="inlineStr">
        <is>
          <t>SINAPI</t>
        </is>
      </c>
      <c r="D2358" s="22" t="inlineStr">
        <is>
          <t>H</t>
        </is>
      </c>
      <c r="E2358" s="63">
        <f>L2358*FATOR</f>
        <v/>
      </c>
      <c r="F2358" s="64">
        <f>'COMPOSICOES AUXILIARES'!G161</f>
        <v/>
      </c>
      <c r="G2358" s="64">
        <f>TRUNC(TRUNC(E2358,8)*F2358,2)</f>
        <v/>
      </c>
      <c r="L2358" t="n">
        <v>0.0535</v>
      </c>
      <c r="M2358" t="n">
        <v>23.56</v>
      </c>
      <c r="N2358">
        <f>(M2358-F2358)</f>
        <v/>
      </c>
    </row>
    <row r="2359" ht="18" customHeight="1">
      <c r="A2359" s="2" t="inlineStr"/>
      <c r="B2359" s="2" t="inlineStr"/>
      <c r="C2359" s="2" t="inlineStr"/>
      <c r="D2359" s="2" t="inlineStr"/>
      <c r="E2359" s="26" t="inlineStr">
        <is>
          <t>TOTAL Mão de Obra com Encargos Complementares:</t>
        </is>
      </c>
      <c r="F2359" s="56" t="n"/>
      <c r="G2359" s="65">
        <f>SUM(G2357:G2358)</f>
        <v/>
      </c>
    </row>
    <row r="2360" ht="15" customHeight="1">
      <c r="A2360" s="2" t="inlineStr"/>
      <c r="B2360" s="2" t="inlineStr"/>
      <c r="C2360" s="2" t="inlineStr"/>
      <c r="D2360" s="2" t="inlineStr"/>
      <c r="E2360" s="28" t="inlineStr">
        <is>
          <t>VALOR:</t>
        </is>
      </c>
      <c r="F2360" s="56" t="n"/>
      <c r="G2360" s="66">
        <f>SUM(G2352,G2355,G2359)</f>
        <v/>
      </c>
    </row>
    <row r="2361" ht="15" customHeight="1">
      <c r="A2361" s="2" t="inlineStr"/>
      <c r="B2361" s="2" t="inlineStr"/>
      <c r="C2361" s="2" t="inlineStr"/>
      <c r="D2361" s="2" t="inlineStr"/>
      <c r="E2361" s="28" t="inlineStr">
        <is>
          <t>VALOR BDI (23.08%):</t>
        </is>
      </c>
      <c r="F2361" s="56" t="n"/>
      <c r="G2361" s="66">
        <f>ROUNDDOWN(G2360*BDI,2)</f>
        <v/>
      </c>
    </row>
    <row r="2362" ht="15" customHeight="1">
      <c r="A2362" s="2" t="inlineStr"/>
      <c r="B2362" s="2" t="inlineStr"/>
      <c r="C2362" s="2" t="inlineStr"/>
      <c r="D2362" s="2" t="inlineStr"/>
      <c r="E2362" s="28" t="inlineStr">
        <is>
          <t>VALOR COM BDI:</t>
        </is>
      </c>
      <c r="F2362" s="56" t="n"/>
      <c r="G2362" s="66">
        <f>G2361 + G2360</f>
        <v/>
      </c>
    </row>
    <row r="2363" ht="10" customHeight="1">
      <c r="A2363" s="2" t="inlineStr"/>
      <c r="B2363" s="2" t="inlineStr"/>
      <c r="C2363" s="2" t="inlineStr"/>
      <c r="D2363" s="2" t="inlineStr"/>
      <c r="E2363" s="18" t="inlineStr"/>
    </row>
    <row r="2364" ht="20" customHeight="1">
      <c r="A2364" s="19" t="inlineStr">
        <is>
          <t>​103670​ LANÇAMENTO COM USO DE BALDES, ADENSAMENTO E ACABAMENTO DE CONCRETO EM ESTRUTURAS. AF_02/2022​ (M3)</t>
        </is>
      </c>
      <c r="B2364" s="55" t="n"/>
      <c r="C2364" s="55" t="n"/>
      <c r="D2364" s="55" t="n"/>
      <c r="E2364" s="55" t="n"/>
      <c r="F2364" s="55" t="n"/>
      <c r="G2364" s="56" t="n"/>
    </row>
    <row r="2365" ht="15" customHeight="1">
      <c r="A2365" s="20" t="inlineStr">
        <is>
          <t>Equipamento Custo Horário</t>
        </is>
      </c>
      <c r="B2365" s="56" t="n"/>
      <c r="C2365" s="21" t="inlineStr">
        <is>
          <t>FONTE</t>
        </is>
      </c>
      <c r="D2365" s="21" t="inlineStr">
        <is>
          <t>UNID</t>
        </is>
      </c>
      <c r="E2365" s="21" t="inlineStr">
        <is>
          <t>COEFICIENTE</t>
        </is>
      </c>
      <c r="F2365" s="21" t="inlineStr">
        <is>
          <t>PREÇO UNITÁRIO</t>
        </is>
      </c>
      <c r="G2365" s="21" t="inlineStr">
        <is>
          <t>TOTAL</t>
        </is>
      </c>
    </row>
    <row r="2366" ht="29" customHeight="1">
      <c r="A2366" s="22" t="inlineStr">
        <is>
          <t>90587</t>
        </is>
      </c>
      <c r="B2366" s="23" t="inlineStr">
        <is>
          <t>VIBRADOR DE IMERSÃO, DIÂMETRO DE PONTEIRA 45MM, MOTOR ELÉTRICO TRIFÁSICO POTÊNCIA DE 2 CV - CHI DIURNO. AF_06/2015</t>
        </is>
      </c>
      <c r="C2366" s="22" t="inlineStr">
        <is>
          <t>SINAPI</t>
        </is>
      </c>
      <c r="D2366" s="22" t="inlineStr">
        <is>
          <t>CHI</t>
        </is>
      </c>
      <c r="E2366" s="63" t="n">
        <v>1.417</v>
      </c>
      <c r="F2366" s="64">
        <f>'COMPOSICOES AUXILIARES'!G1112</f>
        <v/>
      </c>
      <c r="G2366" s="64">
        <f>TRUNC(TRUNC(E2366,8)*F2366,2)</f>
        <v/>
      </c>
      <c r="L2366" t="n">
        <v>1.417</v>
      </c>
      <c r="M2366" t="n">
        <v>0.5600000000000001</v>
      </c>
      <c r="N2366">
        <f>(M2366-F2366)</f>
        <v/>
      </c>
    </row>
    <row r="2367" ht="29" customHeight="1">
      <c r="A2367" s="22" t="inlineStr">
        <is>
          <t>90586</t>
        </is>
      </c>
      <c r="B2367" s="23" t="inlineStr">
        <is>
          <t>VIBRADOR DE IMERSÃO, DIÂMETRO DE PONTEIRA 45MM, MOTOR ELÉTRICO TRIFÁSICO POTÊNCIA DE 2 CV - CHP DIURNO. AF_06/2015</t>
        </is>
      </c>
      <c r="C2367" s="22" t="inlineStr">
        <is>
          <t>SINAPI</t>
        </is>
      </c>
      <c r="D2367" s="22" t="inlineStr">
        <is>
          <t>CHP</t>
        </is>
      </c>
      <c r="E2367" s="63" t="n">
        <v>1.042</v>
      </c>
      <c r="F2367" s="64">
        <f>'COMPOSICOES AUXILIARES'!G1112</f>
        <v/>
      </c>
      <c r="G2367" s="64">
        <f>TRUNC(TRUNC(E2367,8)*F2367,2)</f>
        <v/>
      </c>
      <c r="L2367" t="n">
        <v>1.042</v>
      </c>
      <c r="M2367" t="n">
        <v>1.44</v>
      </c>
      <c r="N2367">
        <f>(M2367-F2367)</f>
        <v/>
      </c>
    </row>
    <row r="2368" ht="18" customHeight="1">
      <c r="A2368" s="2" t="inlineStr"/>
      <c r="B2368" s="2" t="inlineStr"/>
      <c r="C2368" s="2" t="inlineStr"/>
      <c r="D2368" s="2" t="inlineStr"/>
      <c r="E2368" s="26" t="inlineStr">
        <is>
          <t>TOTAL Equipamento Custo Horário:</t>
        </is>
      </c>
      <c r="F2368" s="56" t="n"/>
      <c r="G2368" s="65">
        <f>SUM(G2366:G2367)</f>
        <v/>
      </c>
    </row>
    <row r="2369" ht="15" customHeight="1">
      <c r="A2369" s="20" t="inlineStr">
        <is>
          <t>Mão de Obra com Encargos Complementares</t>
        </is>
      </c>
      <c r="B2369" s="56" t="n"/>
      <c r="C2369" s="21" t="inlineStr">
        <is>
          <t>FONTE</t>
        </is>
      </c>
      <c r="D2369" s="21" t="inlineStr">
        <is>
          <t>UNID</t>
        </is>
      </c>
      <c r="E2369" s="21" t="inlineStr">
        <is>
          <t>COEFICIENTE</t>
        </is>
      </c>
      <c r="F2369" s="21" t="inlineStr">
        <is>
          <t>PREÇO UNITÁRIO</t>
        </is>
      </c>
      <c r="G2369" s="21" t="inlineStr">
        <is>
          <t>TOTAL</t>
        </is>
      </c>
    </row>
    <row r="2370" ht="21" customHeight="1">
      <c r="A2370" s="22" t="inlineStr">
        <is>
          <t>88262</t>
        </is>
      </c>
      <c r="B2370" s="23" t="inlineStr">
        <is>
          <t>CARPINTEIRO DE FORMAS COM ENCARGOS COMPLEMENTARES</t>
        </is>
      </c>
      <c r="C2370" s="22" t="inlineStr">
        <is>
          <t>SINAPI</t>
        </is>
      </c>
      <c r="D2370" s="22" t="inlineStr">
        <is>
          <t>H</t>
        </is>
      </c>
      <c r="E2370" s="63">
        <f>L2370*FATOR</f>
        <v/>
      </c>
      <c r="F2370" s="64">
        <f>'COMPOSICOES AUXILIARES'!G943</f>
        <v/>
      </c>
      <c r="G2370" s="64">
        <f>TRUNC(TRUNC(E2370,8)*F2370,2)</f>
        <v/>
      </c>
      <c r="L2370" t="n">
        <v>2.459</v>
      </c>
      <c r="M2370" t="n">
        <v>30.15</v>
      </c>
      <c r="N2370">
        <f>(M2370-F2370)</f>
        <v/>
      </c>
    </row>
    <row r="2371" ht="15" customHeight="1">
      <c r="A2371" s="22" t="inlineStr">
        <is>
          <t>88309</t>
        </is>
      </c>
      <c r="B2371" s="23" t="inlineStr">
        <is>
          <t>PEDREIRO COM ENCARGOS COMPLEMENTARES</t>
        </is>
      </c>
      <c r="C2371" s="22" t="inlineStr">
        <is>
          <t>SINAPI</t>
        </is>
      </c>
      <c r="D2371" s="22" t="inlineStr">
        <is>
          <t>H</t>
        </is>
      </c>
      <c r="E2371" s="63">
        <f>L2371*FATOR</f>
        <v/>
      </c>
      <c r="F2371" s="64">
        <f>'COMPOSICOES AUXILIARES'!G1112</f>
        <v/>
      </c>
      <c r="G2371" s="64">
        <f>TRUNC(TRUNC(E2371,8)*F2371,2)</f>
        <v/>
      </c>
      <c r="L2371" t="n">
        <v>2.459</v>
      </c>
      <c r="M2371" t="n">
        <v>30.58</v>
      </c>
      <c r="N2371">
        <f>(M2371-F2371)</f>
        <v/>
      </c>
    </row>
    <row r="2372" ht="15" customHeight="1">
      <c r="A2372" s="22" t="inlineStr">
        <is>
          <t>88316</t>
        </is>
      </c>
      <c r="B2372" s="23" t="inlineStr">
        <is>
          <t>SERVENTE COM ENCARGOS COMPLEMENTARES</t>
        </is>
      </c>
      <c r="C2372" s="22" t="inlineStr">
        <is>
          <t>SINAPI</t>
        </is>
      </c>
      <c r="D2372" s="22" t="inlineStr">
        <is>
          <t>H</t>
        </is>
      </c>
      <c r="E2372" s="63">
        <f>L2372*FATOR</f>
        <v/>
      </c>
      <c r="F2372" s="64">
        <f>'COMPOSICOES AUXILIARES'!G161</f>
        <v/>
      </c>
      <c r="G2372" s="64">
        <f>TRUNC(TRUNC(E2372,8)*F2372,2)</f>
        <v/>
      </c>
      <c r="L2372" t="n">
        <v>7.377</v>
      </c>
      <c r="M2372" t="n">
        <v>23.56</v>
      </c>
      <c r="N2372">
        <f>(M2372-F2372)</f>
        <v/>
      </c>
    </row>
    <row r="2373" ht="18" customHeight="1">
      <c r="A2373" s="2" t="inlineStr"/>
      <c r="B2373" s="2" t="inlineStr"/>
      <c r="C2373" s="2" t="inlineStr"/>
      <c r="D2373" s="2" t="inlineStr"/>
      <c r="E2373" s="26" t="inlineStr">
        <is>
          <t>TOTAL Mão de Obra com Encargos Complementares:</t>
        </is>
      </c>
      <c r="F2373" s="56" t="n"/>
      <c r="G2373" s="65">
        <f>SUM(G2370:G2372)</f>
        <v/>
      </c>
    </row>
    <row r="2374" ht="15" customHeight="1">
      <c r="A2374" s="2" t="inlineStr"/>
      <c r="B2374" s="2" t="inlineStr"/>
      <c r="C2374" s="2" t="inlineStr"/>
      <c r="D2374" s="2" t="inlineStr"/>
      <c r="E2374" s="28" t="inlineStr">
        <is>
          <t>VALOR:</t>
        </is>
      </c>
      <c r="F2374" s="56" t="n"/>
      <c r="G2374" s="66">
        <f>SUM(G2368,G2373)</f>
        <v/>
      </c>
    </row>
    <row r="2375" ht="15" customHeight="1">
      <c r="A2375" s="2" t="inlineStr"/>
      <c r="B2375" s="2" t="inlineStr"/>
      <c r="C2375" s="2" t="inlineStr"/>
      <c r="D2375" s="2" t="inlineStr"/>
      <c r="E2375" s="28" t="inlineStr">
        <is>
          <t>VALOR BDI (23.08%):</t>
        </is>
      </c>
      <c r="F2375" s="56" t="n"/>
      <c r="G2375" s="66">
        <f>ROUNDDOWN(G2374*BDI,2)</f>
        <v/>
      </c>
    </row>
    <row r="2376" ht="15" customHeight="1">
      <c r="A2376" s="2" t="inlineStr"/>
      <c r="B2376" s="2" t="inlineStr"/>
      <c r="C2376" s="2" t="inlineStr"/>
      <c r="D2376" s="2" t="inlineStr"/>
      <c r="E2376" s="28" t="inlineStr">
        <is>
          <t>VALOR COM BDI:</t>
        </is>
      </c>
      <c r="F2376" s="56" t="n"/>
      <c r="G2376" s="66">
        <f>G2375 + G2374</f>
        <v/>
      </c>
    </row>
    <row r="2377" ht="10" customHeight="1">
      <c r="A2377" s="2" t="inlineStr"/>
      <c r="B2377" s="2" t="inlineStr"/>
      <c r="C2377" s="2" t="inlineStr"/>
      <c r="D2377" s="2" t="inlineStr"/>
      <c r="E2377" s="18" t="inlineStr"/>
    </row>
    <row r="2378" ht="20" customHeight="1">
      <c r="A2378" s="19" t="inlineStr">
        <is>
          <t>​C1604​ LANÇAMENTO E APLICAÇÃO DE CONCRETO S/ ELEVAÇÃO​ (M3)</t>
        </is>
      </c>
      <c r="B2378" s="55" t="n"/>
      <c r="C2378" s="55" t="n"/>
      <c r="D2378" s="55" t="n"/>
      <c r="E2378" s="55" t="n"/>
      <c r="F2378" s="55" t="n"/>
      <c r="G2378" s="56" t="n"/>
    </row>
    <row r="2379" ht="15" customHeight="1">
      <c r="A2379" s="20" t="inlineStr">
        <is>
          <t>Mão de Obra</t>
        </is>
      </c>
      <c r="B2379" s="56" t="n"/>
      <c r="C2379" s="21" t="inlineStr">
        <is>
          <t>FONTE</t>
        </is>
      </c>
      <c r="D2379" s="21" t="inlineStr">
        <is>
          <t>UNID</t>
        </is>
      </c>
      <c r="E2379" s="21" t="inlineStr">
        <is>
          <t>COEFICIENTE</t>
        </is>
      </c>
      <c r="F2379" s="21" t="inlineStr">
        <is>
          <t>PREÇO UNITÁRIO</t>
        </is>
      </c>
      <c r="G2379" s="21" t="inlineStr">
        <is>
          <t>TOTAL</t>
        </is>
      </c>
    </row>
    <row r="2380" ht="15" customHeight="1">
      <c r="A2380" s="22" t="inlineStr">
        <is>
          <t>I2391</t>
        </is>
      </c>
      <c r="B2380" s="23" t="inlineStr">
        <is>
          <t>PEDREIRO</t>
        </is>
      </c>
      <c r="C2380" s="22" t="inlineStr">
        <is>
          <t>SEINFRA</t>
        </is>
      </c>
      <c r="D2380" s="22" t="inlineStr">
        <is>
          <t>H</t>
        </is>
      </c>
      <c r="E2380" s="63">
        <f>L2380*FATOR</f>
        <v/>
      </c>
      <c r="F2380" s="67" t="n">
        <v>26.86</v>
      </c>
      <c r="G2380" s="67">
        <f>ROUND(ROUND(E2380,8)*F2380,4)</f>
        <v/>
      </c>
      <c r="L2380" t="n">
        <v>2</v>
      </c>
      <c r="M2380" t="n">
        <v>26.86</v>
      </c>
      <c r="N2380">
        <f>(M2380-F2380)</f>
        <v/>
      </c>
    </row>
    <row r="2381" ht="15" customHeight="1">
      <c r="A2381" s="22" t="inlineStr">
        <is>
          <t>I2543</t>
        </is>
      </c>
      <c r="B2381" s="23" t="inlineStr">
        <is>
          <t>SERVENTE</t>
        </is>
      </c>
      <c r="C2381" s="22" t="inlineStr">
        <is>
          <t>SEINFRA</t>
        </is>
      </c>
      <c r="D2381" s="22" t="inlineStr">
        <is>
          <t>H</t>
        </is>
      </c>
      <c r="E2381" s="63">
        <f>L2381*FATOR</f>
        <v/>
      </c>
      <c r="F2381" s="67" t="n">
        <v>20.26</v>
      </c>
      <c r="G2381" s="67">
        <f>ROUND(ROUND(E2381,8)*F2381,4)</f>
        <v/>
      </c>
      <c r="L2381" t="n">
        <v>6</v>
      </c>
      <c r="M2381" t="n">
        <v>20.26</v>
      </c>
      <c r="N2381">
        <f>(M2381-F2381)</f>
        <v/>
      </c>
    </row>
    <row r="2382" ht="15" customHeight="1">
      <c r="A2382" s="2" t="inlineStr"/>
      <c r="B2382" s="2" t="inlineStr"/>
      <c r="C2382" s="2" t="inlineStr"/>
      <c r="D2382" s="2" t="inlineStr"/>
      <c r="E2382" s="26" t="inlineStr">
        <is>
          <t>TOTAL Mão de Obra:</t>
        </is>
      </c>
      <c r="F2382" s="56" t="n"/>
      <c r="G2382" s="68">
        <f>SUM(G2380:G2381)</f>
        <v/>
      </c>
    </row>
    <row r="2383" ht="15" customHeight="1">
      <c r="A2383" s="2" t="inlineStr"/>
      <c r="B2383" s="2" t="inlineStr"/>
      <c r="C2383" s="2" t="inlineStr"/>
      <c r="D2383" s="2" t="inlineStr"/>
      <c r="E2383" s="28" t="inlineStr">
        <is>
          <t>VALOR:</t>
        </is>
      </c>
      <c r="F2383" s="56" t="n"/>
      <c r="G2383" s="66">
        <f>SUM(G2382)</f>
        <v/>
      </c>
    </row>
    <row r="2384" ht="15" customHeight="1">
      <c r="A2384" s="2" t="inlineStr"/>
      <c r="B2384" s="2" t="inlineStr"/>
      <c r="C2384" s="2" t="inlineStr"/>
      <c r="D2384" s="2" t="inlineStr"/>
      <c r="E2384" s="28" t="inlineStr">
        <is>
          <t>VALOR BDI (23.08%):</t>
        </is>
      </c>
      <c r="F2384" s="56" t="n"/>
      <c r="G2384" s="66">
        <f>ROUNDDOWN(G2383*BDI,2)</f>
        <v/>
      </c>
    </row>
    <row r="2385" ht="15" customHeight="1">
      <c r="A2385" s="2" t="inlineStr"/>
      <c r="B2385" s="2" t="inlineStr"/>
      <c r="C2385" s="2" t="inlineStr"/>
      <c r="D2385" s="2" t="inlineStr"/>
      <c r="E2385" s="28" t="inlineStr">
        <is>
          <t>VALOR COM BDI:</t>
        </is>
      </c>
      <c r="F2385" s="56" t="n"/>
      <c r="G2385" s="66">
        <f>G2384 + G2383</f>
        <v/>
      </c>
    </row>
    <row r="2386" ht="10" customHeight="1">
      <c r="A2386" s="2" t="inlineStr"/>
      <c r="B2386" s="2" t="inlineStr"/>
      <c r="C2386" s="2" t="inlineStr"/>
      <c r="D2386" s="2" t="inlineStr"/>
      <c r="E2386" s="18" t="inlineStr"/>
    </row>
    <row r="2387" ht="20" customHeight="1">
      <c r="A2387" s="19" t="inlineStr">
        <is>
          <t>​86903​ LAVATÓRIO LOUÇA BRANCA COM COLUNA, 45 X 55CM OU EQUIVALENTE, PADRÃO MÉDIO - FORNECIMENTO E INSTALAÇÃO. AF_01/2020​ (UN)</t>
        </is>
      </c>
      <c r="B2387" s="55" t="n"/>
      <c r="C2387" s="55" t="n"/>
      <c r="D2387" s="55" t="n"/>
      <c r="E2387" s="55" t="n"/>
      <c r="F2387" s="55" t="n"/>
      <c r="G2387" s="56" t="n"/>
    </row>
    <row r="2388" ht="15" customHeight="1">
      <c r="A2388" s="20" t="inlineStr">
        <is>
          <t>Material</t>
        </is>
      </c>
      <c r="B2388" s="56" t="n"/>
      <c r="C2388" s="21" t="inlineStr">
        <is>
          <t>FONTE</t>
        </is>
      </c>
      <c r="D2388" s="21" t="inlineStr">
        <is>
          <t>UNID</t>
        </is>
      </c>
      <c r="E2388" s="21" t="inlineStr">
        <is>
          <t>COEFICIENTE</t>
        </is>
      </c>
      <c r="F2388" s="21" t="inlineStr">
        <is>
          <t>PREÇO UNITÁRIO</t>
        </is>
      </c>
      <c r="G2388" s="21" t="inlineStr">
        <is>
          <t>TOTAL</t>
        </is>
      </c>
    </row>
    <row r="2389" ht="21" customHeight="1">
      <c r="A2389" s="22" t="inlineStr">
        <is>
          <t>00010426</t>
        </is>
      </c>
      <c r="B2389" s="23" t="inlineStr">
        <is>
          <t>LAVATORIO DE LOUCA BRANCA, COM COLUNA, DIMENSOES *54 X 44* CM (L X C)</t>
        </is>
      </c>
      <c r="C2389" s="22" t="inlineStr">
        <is>
          <t>SINAPI</t>
        </is>
      </c>
      <c r="D2389" s="22" t="inlineStr">
        <is>
          <t>UN</t>
        </is>
      </c>
      <c r="E2389" s="63" t="n">
        <v>1</v>
      </c>
      <c r="F2389" s="64">
        <f>ROUND(M2389*FATOR, 2)</f>
        <v/>
      </c>
      <c r="G2389" s="64">
        <f>TRUNC(TRUNC(E2389,8)*F2389,2)</f>
        <v/>
      </c>
      <c r="L2389" t="n">
        <v>1</v>
      </c>
      <c r="M2389" t="n">
        <v>196.33</v>
      </c>
      <c r="N2389">
        <f>(M2389-F2389)</f>
        <v/>
      </c>
    </row>
    <row r="2390" ht="29" customHeight="1">
      <c r="A2390" s="22" t="inlineStr">
        <is>
          <t>00004351</t>
        </is>
      </c>
      <c r="B2390" s="23" t="inlineStr">
        <is>
          <t>PARAFUSO NIQUELADO 3 1/2" COM ACABAMENTO CROMADO PARA FIXAR PECA SANITARIA, INCLUI PORCA CEGA, ARRUELA E BUCHA DE NYLON TAMANHO S-8</t>
        </is>
      </c>
      <c r="C2390" s="22" t="inlineStr">
        <is>
          <t>SINAPI</t>
        </is>
      </c>
      <c r="D2390" s="22" t="inlineStr">
        <is>
          <t>UN</t>
        </is>
      </c>
      <c r="E2390" s="63" t="n">
        <v>6</v>
      </c>
      <c r="F2390" s="64">
        <f>ROUND(M2390*FATOR, 2)</f>
        <v/>
      </c>
      <c r="G2390" s="64">
        <f>TRUNC(TRUNC(E2390,8)*F2390,2)</f>
        <v/>
      </c>
      <c r="L2390" t="n">
        <v>6</v>
      </c>
      <c r="M2390" t="n">
        <v>23.11</v>
      </c>
      <c r="N2390">
        <f>(M2390-F2390)</f>
        <v/>
      </c>
    </row>
    <row r="2391" ht="15" customHeight="1">
      <c r="A2391" s="22" t="inlineStr">
        <is>
          <t>00037329</t>
        </is>
      </c>
      <c r="B2391" s="23" t="inlineStr">
        <is>
          <t>REJUNTE EPOXI, QUALQUER COR</t>
        </is>
      </c>
      <c r="C2391" s="22" t="inlineStr">
        <is>
          <t>SINAPI</t>
        </is>
      </c>
      <c r="D2391" s="22" t="inlineStr">
        <is>
          <t>KG</t>
        </is>
      </c>
      <c r="E2391" s="63" t="n">
        <v>0.0866</v>
      </c>
      <c r="F2391" s="64">
        <f>ROUND(M2391*FATOR, 2)</f>
        <v/>
      </c>
      <c r="G2391" s="64">
        <f>TRUNC(TRUNC(E2391,8)*F2391,2)</f>
        <v/>
      </c>
      <c r="L2391" t="n">
        <v>0.0866</v>
      </c>
      <c r="M2391" t="n">
        <v>144.69</v>
      </c>
      <c r="N2391">
        <f>(M2391-F2391)</f>
        <v/>
      </c>
    </row>
    <row r="2392" ht="15" customHeight="1">
      <c r="A2392" s="2" t="inlineStr"/>
      <c r="B2392" s="2" t="inlineStr"/>
      <c r="C2392" s="2" t="inlineStr"/>
      <c r="D2392" s="2" t="inlineStr"/>
      <c r="E2392" s="26" t="inlineStr">
        <is>
          <t>TOTAL Material:</t>
        </is>
      </c>
      <c r="F2392" s="56" t="n"/>
      <c r="G2392" s="65">
        <f>SUM(G2389:G2391)</f>
        <v/>
      </c>
    </row>
    <row r="2393" ht="15" customHeight="1">
      <c r="A2393" s="20" t="inlineStr">
        <is>
          <t>Mão de Obra com Encargos Complementares</t>
        </is>
      </c>
      <c r="B2393" s="56" t="n"/>
      <c r="C2393" s="21" t="inlineStr">
        <is>
          <t>FONTE</t>
        </is>
      </c>
      <c r="D2393" s="21" t="inlineStr">
        <is>
          <t>UNID</t>
        </is>
      </c>
      <c r="E2393" s="21" t="inlineStr">
        <is>
          <t>COEFICIENTE</t>
        </is>
      </c>
      <c r="F2393" s="21" t="inlineStr">
        <is>
          <t>PREÇO UNITÁRIO</t>
        </is>
      </c>
      <c r="G2393" s="21" t="inlineStr">
        <is>
          <t>TOTAL</t>
        </is>
      </c>
    </row>
    <row r="2394" ht="21" customHeight="1">
      <c r="A2394" s="22" t="inlineStr">
        <is>
          <t>88267</t>
        </is>
      </c>
      <c r="B2394" s="23" t="inlineStr">
        <is>
          <t>ENCANADOR OU BOMBEIRO HIDRÁULICO COM ENCARGOS COMPLEMENTARES</t>
        </is>
      </c>
      <c r="C2394" s="22" t="inlineStr">
        <is>
          <t>SINAPI</t>
        </is>
      </c>
      <c r="D2394" s="22" t="inlineStr">
        <is>
          <t>H</t>
        </is>
      </c>
      <c r="E2394" s="63">
        <f>L2394*FATOR</f>
        <v/>
      </c>
      <c r="F2394" s="64">
        <f>'COMPOSICOES AUXILIARES'!G474</f>
        <v/>
      </c>
      <c r="G2394" s="64">
        <f>TRUNC(TRUNC(E2394,8)*F2394,2)</f>
        <v/>
      </c>
      <c r="L2394" t="n">
        <v>1.4667</v>
      </c>
      <c r="M2394" t="n">
        <v>29.86</v>
      </c>
      <c r="N2394">
        <f>(M2394-F2394)</f>
        <v/>
      </c>
    </row>
    <row r="2395" ht="15" customHeight="1">
      <c r="A2395" s="22" t="inlineStr">
        <is>
          <t>88316</t>
        </is>
      </c>
      <c r="B2395" s="23" t="inlineStr">
        <is>
          <t>SERVENTE COM ENCARGOS COMPLEMENTARES</t>
        </is>
      </c>
      <c r="C2395" s="22" t="inlineStr">
        <is>
          <t>SINAPI</t>
        </is>
      </c>
      <c r="D2395" s="22" t="inlineStr">
        <is>
          <t>H</t>
        </is>
      </c>
      <c r="E2395" s="63">
        <f>L2395*FATOR</f>
        <v/>
      </c>
      <c r="F2395" s="64">
        <f>'COMPOSICOES AUXILIARES'!G161</f>
        <v/>
      </c>
      <c r="G2395" s="64">
        <f>TRUNC(TRUNC(E2395,8)*F2395,2)</f>
        <v/>
      </c>
      <c r="L2395" t="n">
        <v>0.6516999999999999</v>
      </c>
      <c r="M2395" t="n">
        <v>23.56</v>
      </c>
      <c r="N2395">
        <f>(M2395-F2395)</f>
        <v/>
      </c>
    </row>
    <row r="2396" ht="18" customHeight="1">
      <c r="A2396" s="2" t="inlineStr"/>
      <c r="B2396" s="2" t="inlineStr"/>
      <c r="C2396" s="2" t="inlineStr"/>
      <c r="D2396" s="2" t="inlineStr"/>
      <c r="E2396" s="26" t="inlineStr">
        <is>
          <t>TOTAL Mão de Obra com Encargos Complementares:</t>
        </is>
      </c>
      <c r="F2396" s="56" t="n"/>
      <c r="G2396" s="65">
        <f>SUM(G2394:G2395)</f>
        <v/>
      </c>
    </row>
    <row r="2397" ht="15" customHeight="1">
      <c r="A2397" s="2" t="inlineStr"/>
      <c r="B2397" s="2" t="inlineStr"/>
      <c r="C2397" s="2" t="inlineStr"/>
      <c r="D2397" s="2" t="inlineStr"/>
      <c r="E2397" s="28" t="inlineStr">
        <is>
          <t>VALOR:</t>
        </is>
      </c>
      <c r="F2397" s="56" t="n"/>
      <c r="G2397" s="66">
        <f>SUM(G2392,G2396)</f>
        <v/>
      </c>
    </row>
    <row r="2398" ht="15" customHeight="1">
      <c r="A2398" s="2" t="inlineStr"/>
      <c r="B2398" s="2" t="inlineStr"/>
      <c r="C2398" s="2" t="inlineStr"/>
      <c r="D2398" s="2" t="inlineStr"/>
      <c r="E2398" s="28" t="inlineStr">
        <is>
          <t>VALOR BDI (23.08%):</t>
        </is>
      </c>
      <c r="F2398" s="56" t="n"/>
      <c r="G2398" s="66">
        <f>ROUNDDOWN(G2397*BDI,2)</f>
        <v/>
      </c>
    </row>
    <row r="2399" ht="15" customHeight="1">
      <c r="A2399" s="2" t="inlineStr"/>
      <c r="B2399" s="2" t="inlineStr"/>
      <c r="C2399" s="2" t="inlineStr"/>
      <c r="D2399" s="2" t="inlineStr"/>
      <c r="E2399" s="28" t="inlineStr">
        <is>
          <t>VALOR COM BDI:</t>
        </is>
      </c>
      <c r="F2399" s="56" t="n"/>
      <c r="G2399" s="66">
        <f>G2398 + G2397</f>
        <v/>
      </c>
    </row>
    <row r="2400" ht="10" customHeight="1">
      <c r="A2400" s="2" t="inlineStr"/>
      <c r="B2400" s="2" t="inlineStr"/>
      <c r="C2400" s="2" t="inlineStr"/>
      <c r="D2400" s="2" t="inlineStr"/>
      <c r="E2400" s="18" t="inlineStr"/>
    </row>
    <row r="2401" ht="20" customHeight="1">
      <c r="A2401" s="19" t="inlineStr">
        <is>
          <t>​I2714​ MAO DE OBRA DE OPERAÇÃO BET.ELET.580L​ (H)</t>
        </is>
      </c>
      <c r="B2401" s="55" t="n"/>
      <c r="C2401" s="55" t="n"/>
      <c r="D2401" s="55" t="n"/>
      <c r="E2401" s="55" t="n"/>
      <c r="F2401" s="55" t="n"/>
      <c r="G2401" s="56" t="n"/>
    </row>
    <row r="2402" ht="15" customHeight="1">
      <c r="A2402" s="20" t="inlineStr">
        <is>
          <t>Mão de Obra</t>
        </is>
      </c>
      <c r="B2402" s="56" t="n"/>
      <c r="C2402" s="21" t="inlineStr">
        <is>
          <t>FONTE</t>
        </is>
      </c>
      <c r="D2402" s="21" t="inlineStr">
        <is>
          <t>UNID</t>
        </is>
      </c>
      <c r="E2402" s="21" t="inlineStr">
        <is>
          <t>COEFICIENTE</t>
        </is>
      </c>
      <c r="F2402" s="21" t="inlineStr">
        <is>
          <t>PREÇO UNITÁRIO</t>
        </is>
      </c>
      <c r="G2402" s="21" t="inlineStr">
        <is>
          <t>TOTAL</t>
        </is>
      </c>
    </row>
    <row r="2403" ht="15" customHeight="1">
      <c r="A2403" s="22" t="inlineStr">
        <is>
          <t>I2548</t>
        </is>
      </c>
      <c r="B2403" s="23" t="inlineStr">
        <is>
          <t>OPERADOR DE BETONEIRA</t>
        </is>
      </c>
      <c r="C2403" s="22" t="inlineStr">
        <is>
          <t>SEINFRA</t>
        </is>
      </c>
      <c r="D2403" s="22" t="inlineStr">
        <is>
          <t>H</t>
        </is>
      </c>
      <c r="E2403" s="63" t="n">
        <v>1</v>
      </c>
      <c r="F2403" s="67" t="n">
        <v>23.71</v>
      </c>
      <c r="G2403" s="67">
        <f>ROUND(ROUND(E2403,8)*F2403,4)</f>
        <v/>
      </c>
      <c r="L2403" t="n">
        <v>1</v>
      </c>
      <c r="M2403" t="n">
        <v>23.71</v>
      </c>
      <c r="N2403">
        <f>(M2403-F2403)</f>
        <v/>
      </c>
    </row>
    <row r="2404" ht="15" customHeight="1">
      <c r="A2404" s="2" t="inlineStr"/>
      <c r="B2404" s="2" t="inlineStr"/>
      <c r="C2404" s="2" t="inlineStr"/>
      <c r="D2404" s="2" t="inlineStr"/>
      <c r="E2404" s="26" t="inlineStr">
        <is>
          <t>TOTAL Mão de Obra:</t>
        </is>
      </c>
      <c r="F2404" s="56" t="n"/>
      <c r="G2404" s="68">
        <f>SUM(G2403:G2403)</f>
        <v/>
      </c>
    </row>
    <row r="2405" ht="15" customHeight="1">
      <c r="A2405" s="2" t="inlineStr"/>
      <c r="B2405" s="2" t="inlineStr"/>
      <c r="C2405" s="2" t="inlineStr"/>
      <c r="D2405" s="2" t="inlineStr"/>
      <c r="E2405" s="28" t="inlineStr">
        <is>
          <t>VALOR:</t>
        </is>
      </c>
      <c r="F2405" s="56" t="n"/>
      <c r="G2405" s="66">
        <f>ROUND(SUM(G2404),2)</f>
        <v/>
      </c>
    </row>
    <row r="2406" ht="15" customHeight="1">
      <c r="A2406" s="2" t="inlineStr"/>
      <c r="B2406" s="2" t="inlineStr"/>
      <c r="C2406" s="2" t="inlineStr"/>
      <c r="D2406" s="2" t="inlineStr"/>
      <c r="E2406" s="28" t="inlineStr">
        <is>
          <t>VALOR BDI (23.08%):</t>
        </is>
      </c>
      <c r="F2406" s="56" t="n"/>
      <c r="G2406" s="66">
        <f>ROUNDDOWN(G2405*BDI,2)</f>
        <v/>
      </c>
    </row>
    <row r="2407" ht="15" customHeight="1">
      <c r="A2407" s="2" t="inlineStr"/>
      <c r="B2407" s="2" t="inlineStr"/>
      <c r="C2407" s="2" t="inlineStr"/>
      <c r="D2407" s="2" t="inlineStr"/>
      <c r="E2407" s="28" t="inlineStr">
        <is>
          <t>VALOR COM BDI:</t>
        </is>
      </c>
      <c r="F2407" s="56" t="n"/>
      <c r="G2407" s="66">
        <f>G2406 + G2405</f>
        <v/>
      </c>
    </row>
    <row r="2408" ht="10" customHeight="1">
      <c r="A2408" s="2" t="inlineStr"/>
      <c r="B2408" s="2" t="inlineStr"/>
      <c r="C2408" s="2" t="inlineStr"/>
      <c r="D2408" s="2" t="inlineStr"/>
      <c r="E2408" s="18" t="inlineStr"/>
    </row>
    <row r="2409" ht="20" customHeight="1">
      <c r="A2409" s="19" t="inlineStr">
        <is>
          <t>​88274​ MARMORISTA/GRANITEIRO COM ENCARGOS COMPLEMENTARES​ (H)</t>
        </is>
      </c>
      <c r="B2409" s="55" t="n"/>
      <c r="C2409" s="55" t="n"/>
      <c r="D2409" s="55" t="n"/>
      <c r="E2409" s="55" t="n"/>
      <c r="F2409" s="55" t="n"/>
      <c r="G2409" s="56" t="n"/>
    </row>
    <row r="2410" ht="15" customHeight="1">
      <c r="A2410" s="20" t="inlineStr">
        <is>
          <t>Encargos Complementares</t>
        </is>
      </c>
      <c r="B2410" s="56" t="n"/>
      <c r="C2410" s="21" t="inlineStr">
        <is>
          <t>FONTE</t>
        </is>
      </c>
      <c r="D2410" s="21" t="inlineStr">
        <is>
          <t>UNID</t>
        </is>
      </c>
      <c r="E2410" s="21" t="inlineStr">
        <is>
          <t>COEFICIENTE</t>
        </is>
      </c>
      <c r="F2410" s="21" t="inlineStr">
        <is>
          <t>PREÇO UNITÁRIO</t>
        </is>
      </c>
      <c r="G2410" s="21" t="inlineStr">
        <is>
          <t>TOTAL</t>
        </is>
      </c>
    </row>
    <row r="2411" ht="21" customHeight="1">
      <c r="A2411" s="22" t="inlineStr">
        <is>
          <t>00037370</t>
        </is>
      </c>
      <c r="B2411" s="23" t="inlineStr">
        <is>
          <t>ALIMENTACAO - HORISTA (COLETADO CAIXA - ENCARGOS COMPLEMENTARES)</t>
        </is>
      </c>
      <c r="C2411" s="22" t="inlineStr">
        <is>
          <t>SINAPI</t>
        </is>
      </c>
      <c r="D2411" s="22" t="inlineStr">
        <is>
          <t>H</t>
        </is>
      </c>
      <c r="E2411" s="63" t="n">
        <v>1</v>
      </c>
      <c r="F2411" s="64" t="n">
        <v>3.62</v>
      </c>
      <c r="G2411" s="64">
        <f>TRUNC(TRUNC(E2411,8)*F2411,2)</f>
        <v/>
      </c>
      <c r="L2411" t="n">
        <v>1</v>
      </c>
      <c r="M2411" t="n">
        <v>3.62</v>
      </c>
      <c r="N2411">
        <f>(M2411-F2411)</f>
        <v/>
      </c>
    </row>
    <row r="2412" ht="21" customHeight="1">
      <c r="A2412" s="22" t="inlineStr">
        <is>
          <t>00043489</t>
        </is>
      </c>
      <c r="B2412" s="23" t="inlineStr">
        <is>
          <t>EPI - FAMILIA PEDREIRO - HORISTA (ENCARGOS COMPLEMENTARES - COLETADO CAIXA)</t>
        </is>
      </c>
      <c r="C2412" s="22" t="inlineStr">
        <is>
          <t>SINAPI</t>
        </is>
      </c>
      <c r="D2412" s="22" t="inlineStr">
        <is>
          <t>H</t>
        </is>
      </c>
      <c r="E2412" s="63" t="n">
        <v>1</v>
      </c>
      <c r="F2412" s="64" t="n">
        <v>1.31</v>
      </c>
      <c r="G2412" s="64">
        <f>TRUNC(TRUNC(E2412,8)*F2412,2)</f>
        <v/>
      </c>
      <c r="L2412" t="n">
        <v>1</v>
      </c>
      <c r="M2412" t="n">
        <v>1.31</v>
      </c>
      <c r="N2412">
        <f>(M2412-F2412)</f>
        <v/>
      </c>
    </row>
    <row r="2413" ht="21" customHeight="1">
      <c r="A2413" s="22" t="inlineStr">
        <is>
          <t>00037372</t>
        </is>
      </c>
      <c r="B2413" s="23" t="inlineStr">
        <is>
          <t>EXAMES - HORISTA (COLETADO CAIXA - ENCARGOS COMPLEMENTARES)</t>
        </is>
      </c>
      <c r="C2413" s="22" t="inlineStr">
        <is>
          <t>SINAPI</t>
        </is>
      </c>
      <c r="D2413" s="22" t="inlineStr">
        <is>
          <t>H</t>
        </is>
      </c>
      <c r="E2413" s="63" t="n">
        <v>1</v>
      </c>
      <c r="F2413" s="64" t="n">
        <v>1.43</v>
      </c>
      <c r="G2413" s="64">
        <f>TRUNC(TRUNC(E2413,8)*F2413,2)</f>
        <v/>
      </c>
      <c r="L2413" t="n">
        <v>1</v>
      </c>
      <c r="M2413" t="n">
        <v>1.43</v>
      </c>
      <c r="N2413">
        <f>(M2413-F2413)</f>
        <v/>
      </c>
    </row>
    <row r="2414" ht="21" customHeight="1">
      <c r="A2414" s="22" t="inlineStr">
        <is>
          <t>00043465</t>
        </is>
      </c>
      <c r="B2414" s="23" t="inlineStr">
        <is>
          <t>FERRAMENTAS - FAMILIA PEDREIRO - HORISTA (ENCARGOS COMPLEMENTARES - COLETADO CAIXA)</t>
        </is>
      </c>
      <c r="C2414" s="22" t="inlineStr">
        <is>
          <t>SINAPI</t>
        </is>
      </c>
      <c r="D2414" s="22" t="inlineStr">
        <is>
          <t>H</t>
        </is>
      </c>
      <c r="E2414" s="63" t="n">
        <v>1</v>
      </c>
      <c r="F2414" s="64" t="n">
        <v>0.78</v>
      </c>
      <c r="G2414" s="64">
        <f>TRUNC(TRUNC(E2414,8)*F2414,2)</f>
        <v/>
      </c>
      <c r="L2414" t="n">
        <v>1</v>
      </c>
      <c r="M2414" t="n">
        <v>0.78</v>
      </c>
      <c r="N2414">
        <f>(M2414-F2414)</f>
        <v/>
      </c>
    </row>
    <row r="2415" ht="21" customHeight="1">
      <c r="A2415" s="22" t="inlineStr">
        <is>
          <t>00037373</t>
        </is>
      </c>
      <c r="B2415" s="23" t="inlineStr">
        <is>
          <t>SEGURO - HORISTA (COLETADO CAIXA - ENCARGOS COMPLEMENTARES)</t>
        </is>
      </c>
      <c r="C2415" s="22" t="inlineStr">
        <is>
          <t>SINAPI</t>
        </is>
      </c>
      <c r="D2415" s="22" t="inlineStr">
        <is>
          <t>H</t>
        </is>
      </c>
      <c r="E2415" s="63" t="n">
        <v>1</v>
      </c>
      <c r="F2415" s="64" t="n">
        <v>0.08</v>
      </c>
      <c r="G2415" s="64">
        <f>TRUNC(TRUNC(E2415,8)*F2415,2)</f>
        <v/>
      </c>
      <c r="L2415" t="n">
        <v>1</v>
      </c>
      <c r="M2415" t="n">
        <v>0.08</v>
      </c>
      <c r="N2415">
        <f>(M2415-F2415)</f>
        <v/>
      </c>
    </row>
    <row r="2416" ht="21" customHeight="1">
      <c r="A2416" s="22" t="inlineStr">
        <is>
          <t>00037371</t>
        </is>
      </c>
      <c r="B2416" s="23" t="inlineStr">
        <is>
          <t>TRANSPORTE - HORISTA (COLETADO CAIXA - ENCARGOS COMPLEMENTARES)</t>
        </is>
      </c>
      <c r="C2416" s="22" t="inlineStr">
        <is>
          <t>SINAPI</t>
        </is>
      </c>
      <c r="D2416" s="22" t="inlineStr">
        <is>
          <t>H</t>
        </is>
      </c>
      <c r="E2416" s="63" t="n">
        <v>1</v>
      </c>
      <c r="F2416" s="64" t="n">
        <v>1.09</v>
      </c>
      <c r="G2416" s="64">
        <f>TRUNC(TRUNC(E2416,8)*F2416,2)</f>
        <v/>
      </c>
      <c r="L2416" t="n">
        <v>1</v>
      </c>
      <c r="M2416" t="n">
        <v>1.09</v>
      </c>
      <c r="N2416">
        <f>(M2416-F2416)</f>
        <v/>
      </c>
    </row>
    <row r="2417" ht="15" customHeight="1">
      <c r="A2417" s="2" t="inlineStr"/>
      <c r="B2417" s="2" t="inlineStr"/>
      <c r="C2417" s="2" t="inlineStr"/>
      <c r="D2417" s="2" t="inlineStr"/>
      <c r="E2417" s="26" t="inlineStr">
        <is>
          <t>TOTAL Encargos Complementares:</t>
        </is>
      </c>
      <c r="F2417" s="56" t="n"/>
      <c r="G2417" s="65">
        <f>SUM(G2411:G2416)</f>
        <v/>
      </c>
    </row>
    <row r="2418" ht="15" customHeight="1">
      <c r="A2418" s="20" t="inlineStr">
        <is>
          <t>Mão de Obra</t>
        </is>
      </c>
      <c r="B2418" s="56" t="n"/>
      <c r="C2418" s="21" t="inlineStr">
        <is>
          <t>FONTE</t>
        </is>
      </c>
      <c r="D2418" s="21" t="inlineStr">
        <is>
          <t>UNID</t>
        </is>
      </c>
      <c r="E2418" s="21" t="inlineStr">
        <is>
          <t>COEFICIENTE</t>
        </is>
      </c>
      <c r="F2418" s="21" t="inlineStr">
        <is>
          <t>PREÇO UNITÁRIO</t>
        </is>
      </c>
      <c r="G2418" s="21" t="inlineStr">
        <is>
          <t>TOTAL</t>
        </is>
      </c>
    </row>
    <row r="2419" ht="15" customHeight="1">
      <c r="A2419" s="22" t="inlineStr">
        <is>
          <t>00004755</t>
        </is>
      </c>
      <c r="B2419" s="23" t="inlineStr">
        <is>
          <t>MARMORISTA / GRANITEIRO (HORISTA)</t>
        </is>
      </c>
      <c r="C2419" s="22" t="inlineStr">
        <is>
          <t>SINAPI</t>
        </is>
      </c>
      <c r="D2419" s="22" t="inlineStr">
        <is>
          <t>H</t>
        </is>
      </c>
      <c r="E2419" s="63">
        <f>L2419*FATOR</f>
        <v/>
      </c>
      <c r="F2419" s="64" t="n">
        <v>21.31</v>
      </c>
      <c r="G2419" s="64">
        <f>TRUNC(TRUNC(E2419,8)*F2419,2)</f>
        <v/>
      </c>
      <c r="L2419" t="n">
        <v>1</v>
      </c>
      <c r="M2419" t="n">
        <v>21.31</v>
      </c>
      <c r="N2419">
        <f>(M2419-F2419)</f>
        <v/>
      </c>
    </row>
    <row r="2420" ht="15" customHeight="1">
      <c r="A2420" s="2" t="inlineStr"/>
      <c r="B2420" s="2" t="inlineStr"/>
      <c r="C2420" s="2" t="inlineStr"/>
      <c r="D2420" s="2" t="inlineStr"/>
      <c r="E2420" s="26" t="inlineStr">
        <is>
          <t>TOTAL Mão de Obra:</t>
        </is>
      </c>
      <c r="F2420" s="56" t="n"/>
      <c r="G2420" s="65">
        <f>SUM(G2419:G2419)</f>
        <v/>
      </c>
    </row>
    <row r="2421" ht="15" customHeight="1">
      <c r="A2421" s="20" t="inlineStr">
        <is>
          <t>Serviço</t>
        </is>
      </c>
      <c r="B2421" s="56" t="n"/>
      <c r="C2421" s="21" t="inlineStr">
        <is>
          <t>FONTE</t>
        </is>
      </c>
      <c r="D2421" s="21" t="inlineStr">
        <is>
          <t>UNID</t>
        </is>
      </c>
      <c r="E2421" s="21" t="inlineStr">
        <is>
          <t>COEFICIENTE</t>
        </is>
      </c>
      <c r="F2421" s="21" t="inlineStr">
        <is>
          <t>PREÇO UNITÁRIO</t>
        </is>
      </c>
      <c r="G2421" s="21" t="inlineStr">
        <is>
          <t>TOTAL</t>
        </is>
      </c>
    </row>
    <row r="2422" ht="21" customHeight="1">
      <c r="A2422" s="22" t="inlineStr">
        <is>
          <t>95341</t>
        </is>
      </c>
      <c r="B2422" s="23" t="inlineStr">
        <is>
          <t>CURSO DE CAPACITAÇÃO PARA MARMORISTA/GRANITEIRO (ENCARGOS COMPLEMENTARES) - HORISTA</t>
        </is>
      </c>
      <c r="C2422" s="22" t="inlineStr">
        <is>
          <t>SINAPI</t>
        </is>
      </c>
      <c r="D2422" s="22" t="inlineStr">
        <is>
          <t>H</t>
        </is>
      </c>
      <c r="E2422" s="63" t="n">
        <v>1</v>
      </c>
      <c r="F2422" s="64">
        <f>'COMPOSICOES AUXILIARES'!G1659</f>
        <v/>
      </c>
      <c r="G2422" s="64">
        <f>TRUNC(TRUNC(E2422,8)*F2422,2)</f>
        <v/>
      </c>
      <c r="L2422" t="n">
        <v>1</v>
      </c>
      <c r="M2422" t="n">
        <v>0.31</v>
      </c>
      <c r="N2422">
        <f>(M2422-F2422)</f>
        <v/>
      </c>
    </row>
    <row r="2423" ht="15" customHeight="1">
      <c r="A2423" s="2" t="inlineStr"/>
      <c r="B2423" s="2" t="inlineStr"/>
      <c r="C2423" s="2" t="inlineStr"/>
      <c r="D2423" s="2" t="inlineStr"/>
      <c r="E2423" s="26" t="inlineStr">
        <is>
          <t>TOTAL Serviço:</t>
        </is>
      </c>
      <c r="F2423" s="56" t="n"/>
      <c r="G2423" s="65">
        <f>SUM(G2422:G2422)</f>
        <v/>
      </c>
    </row>
    <row r="2424" ht="15" customHeight="1">
      <c r="A2424" s="2" t="inlineStr"/>
      <c r="B2424" s="2" t="inlineStr"/>
      <c r="C2424" s="2" t="inlineStr"/>
      <c r="D2424" s="2" t="inlineStr"/>
      <c r="E2424" s="28" t="inlineStr">
        <is>
          <t>VALOR:</t>
        </is>
      </c>
      <c r="F2424" s="56" t="n"/>
      <c r="G2424" s="66">
        <f>SUM(G2417,G2420,G2423)</f>
        <v/>
      </c>
    </row>
    <row r="2425" ht="15" customHeight="1">
      <c r="A2425" s="2" t="inlineStr"/>
      <c r="B2425" s="2" t="inlineStr"/>
      <c r="C2425" s="2" t="inlineStr"/>
      <c r="D2425" s="2" t="inlineStr"/>
      <c r="E2425" s="28" t="inlineStr">
        <is>
          <t>VALOR BDI (23.08%):</t>
        </is>
      </c>
      <c r="F2425" s="56" t="n"/>
      <c r="G2425" s="66">
        <f>ROUNDDOWN(G2424*BDI,2)</f>
        <v/>
      </c>
    </row>
    <row r="2426" ht="15" customHeight="1">
      <c r="A2426" s="2" t="inlineStr"/>
      <c r="B2426" s="2" t="inlineStr"/>
      <c r="C2426" s="2" t="inlineStr"/>
      <c r="D2426" s="2" t="inlineStr"/>
      <c r="E2426" s="28" t="inlineStr">
        <is>
          <t>VALOR COM BDI:</t>
        </is>
      </c>
      <c r="F2426" s="56" t="n"/>
      <c r="G2426" s="66">
        <f>G2425 + G2424</f>
        <v/>
      </c>
    </row>
    <row r="2427" ht="10" customHeight="1">
      <c r="A2427" s="2" t="inlineStr"/>
      <c r="B2427" s="2" t="inlineStr"/>
      <c r="C2427" s="2" t="inlineStr"/>
      <c r="D2427" s="2" t="inlineStr"/>
      <c r="E2427" s="18" t="inlineStr"/>
    </row>
    <row r="2428" ht="20" customHeight="1">
      <c r="A2428" s="19" t="inlineStr">
        <is>
          <t>​I2747​ MATERIAL DE OPERAÇÃO DA CAMINHONETE SAVEIRO​ (H)</t>
        </is>
      </c>
      <c r="B2428" s="55" t="n"/>
      <c r="C2428" s="55" t="n"/>
      <c r="D2428" s="55" t="n"/>
      <c r="E2428" s="55" t="n"/>
      <c r="F2428" s="55" t="n"/>
      <c r="G2428" s="56" t="n"/>
    </row>
    <row r="2429" ht="15" customHeight="1">
      <c r="A2429" s="20" t="inlineStr">
        <is>
          <t>Material</t>
        </is>
      </c>
      <c r="B2429" s="56" t="n"/>
      <c r="C2429" s="21" t="inlineStr">
        <is>
          <t>FONTE</t>
        </is>
      </c>
      <c r="D2429" s="21" t="inlineStr">
        <is>
          <t>UNID</t>
        </is>
      </c>
      <c r="E2429" s="21" t="inlineStr">
        <is>
          <t>COEFICIENTE</t>
        </is>
      </c>
      <c r="F2429" s="21" t="inlineStr">
        <is>
          <t>PREÇO UNITÁRIO</t>
        </is>
      </c>
      <c r="G2429" s="21" t="inlineStr">
        <is>
          <t>TOTAL</t>
        </is>
      </c>
    </row>
    <row r="2430" ht="15" customHeight="1">
      <c r="A2430" s="22" t="inlineStr">
        <is>
          <t>I2707</t>
        </is>
      </c>
      <c r="B2430" s="23" t="inlineStr">
        <is>
          <t>GASOLINA</t>
        </is>
      </c>
      <c r="C2430" s="22" t="inlineStr">
        <is>
          <t>SEINFRA</t>
        </is>
      </c>
      <c r="D2430" s="22" t="inlineStr">
        <is>
          <t>L</t>
        </is>
      </c>
      <c r="E2430" s="63" t="n">
        <v>9.720000000000001</v>
      </c>
      <c r="F2430" s="67" t="n">
        <v>5.08</v>
      </c>
      <c r="G2430" s="67">
        <f>ROUND(ROUND(E2430,8)*F2430,4)</f>
        <v/>
      </c>
      <c r="L2430" t="n">
        <v>9.720000000000001</v>
      </c>
      <c r="M2430" t="n">
        <v>5.08</v>
      </c>
      <c r="N2430">
        <f>(M2430-F2430)</f>
        <v/>
      </c>
    </row>
    <row r="2431" ht="15" customHeight="1">
      <c r="A2431" s="2" t="inlineStr"/>
      <c r="B2431" s="2" t="inlineStr"/>
      <c r="C2431" s="2" t="inlineStr"/>
      <c r="D2431" s="2" t="inlineStr"/>
      <c r="E2431" s="26" t="inlineStr">
        <is>
          <t>TOTAL Material:</t>
        </is>
      </c>
      <c r="F2431" s="56" t="n"/>
      <c r="G2431" s="68">
        <f>SUM(G2430:G2430)</f>
        <v/>
      </c>
    </row>
    <row r="2432" ht="15" customHeight="1">
      <c r="A2432" s="2" t="inlineStr"/>
      <c r="B2432" s="2" t="inlineStr"/>
      <c r="C2432" s="2" t="inlineStr"/>
      <c r="D2432" s="2" t="inlineStr"/>
      <c r="E2432" s="28" t="inlineStr">
        <is>
          <t>VALOR:</t>
        </is>
      </c>
      <c r="F2432" s="56" t="n"/>
      <c r="G2432" s="66">
        <f>ROUND(SUM(G2431),2)</f>
        <v/>
      </c>
    </row>
    <row r="2433" ht="15" customHeight="1">
      <c r="A2433" s="2" t="inlineStr"/>
      <c r="B2433" s="2" t="inlineStr"/>
      <c r="C2433" s="2" t="inlineStr"/>
      <c r="D2433" s="2" t="inlineStr"/>
      <c r="E2433" s="28" t="inlineStr">
        <is>
          <t>VALOR BDI (23.08%):</t>
        </is>
      </c>
      <c r="F2433" s="56" t="n"/>
      <c r="G2433" s="66">
        <f>ROUNDDOWN(G2432*BDI,2)</f>
        <v/>
      </c>
    </row>
    <row r="2434" ht="15" customHeight="1">
      <c r="A2434" s="2" t="inlineStr"/>
      <c r="B2434" s="2" t="inlineStr"/>
      <c r="C2434" s="2" t="inlineStr"/>
      <c r="D2434" s="2" t="inlineStr"/>
      <c r="E2434" s="28" t="inlineStr">
        <is>
          <t>VALOR COM BDI:</t>
        </is>
      </c>
      <c r="F2434" s="56" t="n"/>
      <c r="G2434" s="66">
        <f>G2433 + G2432</f>
        <v/>
      </c>
    </row>
    <row r="2435" ht="10" customHeight="1">
      <c r="A2435" s="2" t="inlineStr"/>
      <c r="B2435" s="2" t="inlineStr"/>
      <c r="C2435" s="2" t="inlineStr"/>
      <c r="D2435" s="2" t="inlineStr"/>
      <c r="E2435" s="18" t="inlineStr"/>
    </row>
    <row r="2436" ht="20" customHeight="1">
      <c r="A2436" s="19" t="inlineStr">
        <is>
          <t>​I2752​ MATERIAL DE OPERAÇÃO DA CARREGADEIRA DE PNEUS (111 HP)​ (H)</t>
        </is>
      </c>
      <c r="B2436" s="55" t="n"/>
      <c r="C2436" s="55" t="n"/>
      <c r="D2436" s="55" t="n"/>
      <c r="E2436" s="55" t="n"/>
      <c r="F2436" s="55" t="n"/>
      <c r="G2436" s="56" t="n"/>
    </row>
    <row r="2437" ht="15" customHeight="1">
      <c r="A2437" s="20" t="inlineStr">
        <is>
          <t>Material</t>
        </is>
      </c>
      <c r="B2437" s="56" t="n"/>
      <c r="C2437" s="21" t="inlineStr">
        <is>
          <t>FONTE</t>
        </is>
      </c>
      <c r="D2437" s="21" t="inlineStr">
        <is>
          <t>UNID</t>
        </is>
      </c>
      <c r="E2437" s="21" t="inlineStr">
        <is>
          <t>COEFICIENTE</t>
        </is>
      </c>
      <c r="F2437" s="21" t="inlineStr">
        <is>
          <t>PREÇO UNITÁRIO</t>
        </is>
      </c>
      <c r="G2437" s="21" t="inlineStr">
        <is>
          <t>TOTAL</t>
        </is>
      </c>
    </row>
    <row r="2438" ht="15" customHeight="1">
      <c r="A2438" s="22" t="inlineStr">
        <is>
          <t>I2706</t>
        </is>
      </c>
      <c r="B2438" s="23" t="inlineStr">
        <is>
          <t>OLEO DIESEL</t>
        </is>
      </c>
      <c r="C2438" s="22" t="inlineStr">
        <is>
          <t>SEINFRA</t>
        </is>
      </c>
      <c r="D2438" s="22" t="inlineStr">
        <is>
          <t>L</t>
        </is>
      </c>
      <c r="E2438" s="63" t="n">
        <v>16.65</v>
      </c>
      <c r="F2438" s="67" t="n">
        <v>4.99</v>
      </c>
      <c r="G2438" s="67">
        <f>ROUND(ROUND(E2438,8)*F2438,4)</f>
        <v/>
      </c>
      <c r="L2438" t="n">
        <v>16.65</v>
      </c>
      <c r="M2438" t="n">
        <v>4.99</v>
      </c>
      <c r="N2438">
        <f>(M2438-F2438)</f>
        <v/>
      </c>
    </row>
    <row r="2439" ht="15" customHeight="1">
      <c r="A2439" s="2" t="inlineStr"/>
      <c r="B2439" s="2" t="inlineStr"/>
      <c r="C2439" s="2" t="inlineStr"/>
      <c r="D2439" s="2" t="inlineStr"/>
      <c r="E2439" s="26" t="inlineStr">
        <is>
          <t>TOTAL Material:</t>
        </is>
      </c>
      <c r="F2439" s="56" t="n"/>
      <c r="G2439" s="68">
        <f>SUM(G2438:G2438)</f>
        <v/>
      </c>
    </row>
    <row r="2440" ht="15" customHeight="1">
      <c r="A2440" s="2" t="inlineStr"/>
      <c r="B2440" s="2" t="inlineStr"/>
      <c r="C2440" s="2" t="inlineStr"/>
      <c r="D2440" s="2" t="inlineStr"/>
      <c r="E2440" s="28" t="inlineStr">
        <is>
          <t>VALOR:</t>
        </is>
      </c>
      <c r="F2440" s="56" t="n"/>
      <c r="G2440" s="66">
        <f>ROUND(SUM(G2439),2)</f>
        <v/>
      </c>
    </row>
    <row r="2441" ht="15" customHeight="1">
      <c r="A2441" s="2" t="inlineStr"/>
      <c r="B2441" s="2" t="inlineStr"/>
      <c r="C2441" s="2" t="inlineStr"/>
      <c r="D2441" s="2" t="inlineStr"/>
      <c r="E2441" s="28" t="inlineStr">
        <is>
          <t>VALOR BDI (23.08%):</t>
        </is>
      </c>
      <c r="F2441" s="56" t="n"/>
      <c r="G2441" s="66">
        <f>ROUNDDOWN(G2440*BDI,2)</f>
        <v/>
      </c>
    </row>
    <row r="2442" ht="15" customHeight="1">
      <c r="A2442" s="2" t="inlineStr"/>
      <c r="B2442" s="2" t="inlineStr"/>
      <c r="C2442" s="2" t="inlineStr"/>
      <c r="D2442" s="2" t="inlineStr"/>
      <c r="E2442" s="28" t="inlineStr">
        <is>
          <t>VALOR COM BDI:</t>
        </is>
      </c>
      <c r="F2442" s="56" t="n"/>
      <c r="G2442" s="66">
        <f>G2441 + G2440</f>
        <v/>
      </c>
    </row>
    <row r="2443" ht="10" customHeight="1">
      <c r="A2443" s="2" t="inlineStr"/>
      <c r="B2443" s="2" t="inlineStr"/>
      <c r="C2443" s="2" t="inlineStr"/>
      <c r="D2443" s="2" t="inlineStr"/>
      <c r="E2443" s="18" t="inlineStr"/>
    </row>
    <row r="2444" ht="20" customHeight="1">
      <c r="A2444" s="19" t="inlineStr">
        <is>
          <t>​I2721​ MATERIAL DE OPERAÇÃO DO CAMINHÃO BASCULANTE 6M3​ (H)</t>
        </is>
      </c>
      <c r="B2444" s="55" t="n"/>
      <c r="C2444" s="55" t="n"/>
      <c r="D2444" s="55" t="n"/>
      <c r="E2444" s="55" t="n"/>
      <c r="F2444" s="55" t="n"/>
      <c r="G2444" s="56" t="n"/>
    </row>
    <row r="2445" ht="15" customHeight="1">
      <c r="A2445" s="20" t="inlineStr">
        <is>
          <t>Material</t>
        </is>
      </c>
      <c r="B2445" s="56" t="n"/>
      <c r="C2445" s="21" t="inlineStr">
        <is>
          <t>FONTE</t>
        </is>
      </c>
      <c r="D2445" s="21" t="inlineStr">
        <is>
          <t>UNID</t>
        </is>
      </c>
      <c r="E2445" s="21" t="inlineStr">
        <is>
          <t>COEFICIENTE</t>
        </is>
      </c>
      <c r="F2445" s="21" t="inlineStr">
        <is>
          <t>PREÇO UNITÁRIO</t>
        </is>
      </c>
      <c r="G2445" s="21" t="inlineStr">
        <is>
          <t>TOTAL</t>
        </is>
      </c>
    </row>
    <row r="2446" ht="15" customHeight="1">
      <c r="A2446" s="22" t="inlineStr">
        <is>
          <t>I2706</t>
        </is>
      </c>
      <c r="B2446" s="23" t="inlineStr">
        <is>
          <t>OLEO DIESEL</t>
        </is>
      </c>
      <c r="C2446" s="22" t="inlineStr">
        <is>
          <t>SEINFRA</t>
        </is>
      </c>
      <c r="D2446" s="22" t="inlineStr">
        <is>
          <t>L</t>
        </is>
      </c>
      <c r="E2446" s="63" t="n">
        <v>13.6</v>
      </c>
      <c r="F2446" s="67" t="n">
        <v>4.99</v>
      </c>
      <c r="G2446" s="67">
        <f>ROUND(ROUND(E2446,8)*F2446,4)</f>
        <v/>
      </c>
      <c r="L2446" t="n">
        <v>13.6</v>
      </c>
      <c r="M2446" t="n">
        <v>4.99</v>
      </c>
      <c r="N2446">
        <f>(M2446-F2446)</f>
        <v/>
      </c>
    </row>
    <row r="2447" ht="15" customHeight="1">
      <c r="A2447" s="2" t="inlineStr"/>
      <c r="B2447" s="2" t="inlineStr"/>
      <c r="C2447" s="2" t="inlineStr"/>
      <c r="D2447" s="2" t="inlineStr"/>
      <c r="E2447" s="26" t="inlineStr">
        <is>
          <t>TOTAL Material:</t>
        </is>
      </c>
      <c r="F2447" s="56" t="n"/>
      <c r="G2447" s="68">
        <f>SUM(G2446:G2446)</f>
        <v/>
      </c>
    </row>
    <row r="2448" ht="15" customHeight="1">
      <c r="A2448" s="2" t="inlineStr"/>
      <c r="B2448" s="2" t="inlineStr"/>
      <c r="C2448" s="2" t="inlineStr"/>
      <c r="D2448" s="2" t="inlineStr"/>
      <c r="E2448" s="28" t="inlineStr">
        <is>
          <t>VALOR:</t>
        </is>
      </c>
      <c r="F2448" s="56" t="n"/>
      <c r="G2448" s="66">
        <f>ROUND(SUM(G2447),2)</f>
        <v/>
      </c>
    </row>
    <row r="2449" ht="15" customHeight="1">
      <c r="A2449" s="2" t="inlineStr"/>
      <c r="B2449" s="2" t="inlineStr"/>
      <c r="C2449" s="2" t="inlineStr"/>
      <c r="D2449" s="2" t="inlineStr"/>
      <c r="E2449" s="28" t="inlineStr">
        <is>
          <t>VALOR BDI (23.08%):</t>
        </is>
      </c>
      <c r="F2449" s="56" t="n"/>
      <c r="G2449" s="66">
        <f>ROUNDDOWN(G2448*BDI,2)</f>
        <v/>
      </c>
    </row>
    <row r="2450" ht="15" customHeight="1">
      <c r="A2450" s="2" t="inlineStr"/>
      <c r="B2450" s="2" t="inlineStr"/>
      <c r="C2450" s="2" t="inlineStr"/>
      <c r="D2450" s="2" t="inlineStr"/>
      <c r="E2450" s="28" t="inlineStr">
        <is>
          <t>VALOR COM BDI:</t>
        </is>
      </c>
      <c r="F2450" s="56" t="n"/>
      <c r="G2450" s="66">
        <f>G2449 + G2448</f>
        <v/>
      </c>
    </row>
    <row r="2451" ht="10" customHeight="1">
      <c r="A2451" s="2" t="inlineStr"/>
      <c r="B2451" s="2" t="inlineStr"/>
      <c r="C2451" s="2" t="inlineStr"/>
      <c r="D2451" s="2" t="inlineStr"/>
      <c r="E2451" s="18" t="inlineStr"/>
    </row>
    <row r="2452" ht="20" customHeight="1">
      <c r="A2452" s="19" t="inlineStr">
        <is>
          <t>​I2733​ MATERIAL DE OPERAÇÃO DO CAMINHÃO COMERC. EQUIP. C/ GUINDAUTO​ (H)</t>
        </is>
      </c>
      <c r="B2452" s="55" t="n"/>
      <c r="C2452" s="55" t="n"/>
      <c r="D2452" s="55" t="n"/>
      <c r="E2452" s="55" t="n"/>
      <c r="F2452" s="55" t="n"/>
      <c r="G2452" s="56" t="n"/>
    </row>
    <row r="2453" ht="15" customHeight="1">
      <c r="A2453" s="20" t="inlineStr">
        <is>
          <t>Material</t>
        </is>
      </c>
      <c r="B2453" s="56" t="n"/>
      <c r="C2453" s="21" t="inlineStr">
        <is>
          <t>FONTE</t>
        </is>
      </c>
      <c r="D2453" s="21" t="inlineStr">
        <is>
          <t>UNID</t>
        </is>
      </c>
      <c r="E2453" s="21" t="inlineStr">
        <is>
          <t>COEFICIENTE</t>
        </is>
      </c>
      <c r="F2453" s="21" t="inlineStr">
        <is>
          <t>PREÇO UNITÁRIO</t>
        </is>
      </c>
      <c r="G2453" s="21" t="inlineStr">
        <is>
          <t>TOTAL</t>
        </is>
      </c>
    </row>
    <row r="2454" ht="15" customHeight="1">
      <c r="A2454" s="22" t="inlineStr">
        <is>
          <t>I2706</t>
        </is>
      </c>
      <c r="B2454" s="23" t="inlineStr">
        <is>
          <t>OLEO DIESEL</t>
        </is>
      </c>
      <c r="C2454" s="22" t="inlineStr">
        <is>
          <t>SEINFRA</t>
        </is>
      </c>
      <c r="D2454" s="22" t="inlineStr">
        <is>
          <t>L</t>
        </is>
      </c>
      <c r="E2454" s="63" t="n">
        <v>13.6</v>
      </c>
      <c r="F2454" s="67" t="n">
        <v>4.99</v>
      </c>
      <c r="G2454" s="67">
        <f>ROUND(ROUND(E2454,8)*F2454,4)</f>
        <v/>
      </c>
      <c r="L2454" t="n">
        <v>13.6</v>
      </c>
      <c r="M2454" t="n">
        <v>4.99</v>
      </c>
      <c r="N2454">
        <f>(M2454-F2454)</f>
        <v/>
      </c>
    </row>
    <row r="2455" ht="15" customHeight="1">
      <c r="A2455" s="2" t="inlineStr"/>
      <c r="B2455" s="2" t="inlineStr"/>
      <c r="C2455" s="2" t="inlineStr"/>
      <c r="D2455" s="2" t="inlineStr"/>
      <c r="E2455" s="26" t="inlineStr">
        <is>
          <t>TOTAL Material:</t>
        </is>
      </c>
      <c r="F2455" s="56" t="n"/>
      <c r="G2455" s="68">
        <f>SUM(G2454:G2454)</f>
        <v/>
      </c>
    </row>
    <row r="2456" ht="15" customHeight="1">
      <c r="A2456" s="2" t="inlineStr"/>
      <c r="B2456" s="2" t="inlineStr"/>
      <c r="C2456" s="2" t="inlineStr"/>
      <c r="D2456" s="2" t="inlineStr"/>
      <c r="E2456" s="28" t="inlineStr">
        <is>
          <t>VALOR:</t>
        </is>
      </c>
      <c r="F2456" s="56" t="n"/>
      <c r="G2456" s="66">
        <f>ROUND(SUM(G2455),2)</f>
        <v/>
      </c>
    </row>
    <row r="2457" ht="15" customHeight="1">
      <c r="A2457" s="2" t="inlineStr"/>
      <c r="B2457" s="2" t="inlineStr"/>
      <c r="C2457" s="2" t="inlineStr"/>
      <c r="D2457" s="2" t="inlineStr"/>
      <c r="E2457" s="28" t="inlineStr">
        <is>
          <t>VALOR BDI (23.08%):</t>
        </is>
      </c>
      <c r="F2457" s="56" t="n"/>
      <c r="G2457" s="66">
        <f>ROUNDDOWN(G2456*BDI,2)</f>
        <v/>
      </c>
    </row>
    <row r="2458" ht="15" customHeight="1">
      <c r="A2458" s="2" t="inlineStr"/>
      <c r="B2458" s="2" t="inlineStr"/>
      <c r="C2458" s="2" t="inlineStr"/>
      <c r="D2458" s="2" t="inlineStr"/>
      <c r="E2458" s="28" t="inlineStr">
        <is>
          <t>VALOR COM BDI:</t>
        </is>
      </c>
      <c r="F2458" s="56" t="n"/>
      <c r="G2458" s="66">
        <f>G2457 + G2456</f>
        <v/>
      </c>
    </row>
    <row r="2459" ht="10" customHeight="1">
      <c r="A2459" s="2" t="inlineStr"/>
      <c r="B2459" s="2" t="inlineStr"/>
      <c r="C2459" s="2" t="inlineStr"/>
      <c r="D2459" s="2" t="inlineStr"/>
      <c r="E2459" s="18" t="inlineStr"/>
    </row>
    <row r="2460" ht="20" customHeight="1">
      <c r="A2460" s="19" t="inlineStr">
        <is>
          <t>​I2743​ MATERIAL DE OPERAÇÃO DO CAMINHÃO TANQUE 6.000 L​ (H)</t>
        </is>
      </c>
      <c r="B2460" s="55" t="n"/>
      <c r="C2460" s="55" t="n"/>
      <c r="D2460" s="55" t="n"/>
      <c r="E2460" s="55" t="n"/>
      <c r="F2460" s="55" t="n"/>
      <c r="G2460" s="56" t="n"/>
    </row>
    <row r="2461" ht="15" customHeight="1">
      <c r="A2461" s="20" t="inlineStr">
        <is>
          <t>Material</t>
        </is>
      </c>
      <c r="B2461" s="56" t="n"/>
      <c r="C2461" s="21" t="inlineStr">
        <is>
          <t>FONTE</t>
        </is>
      </c>
      <c r="D2461" s="21" t="inlineStr">
        <is>
          <t>UNID</t>
        </is>
      </c>
      <c r="E2461" s="21" t="inlineStr">
        <is>
          <t>COEFICIENTE</t>
        </is>
      </c>
      <c r="F2461" s="21" t="inlineStr">
        <is>
          <t>PREÇO UNITÁRIO</t>
        </is>
      </c>
      <c r="G2461" s="21" t="inlineStr">
        <is>
          <t>TOTAL</t>
        </is>
      </c>
    </row>
    <row r="2462" ht="15" customHeight="1">
      <c r="A2462" s="22" t="inlineStr">
        <is>
          <t>I2706</t>
        </is>
      </c>
      <c r="B2462" s="23" t="inlineStr">
        <is>
          <t>OLEO DIESEL</t>
        </is>
      </c>
      <c r="C2462" s="22" t="inlineStr">
        <is>
          <t>SEINFRA</t>
        </is>
      </c>
      <c r="D2462" s="22" t="inlineStr">
        <is>
          <t>L</t>
        </is>
      </c>
      <c r="E2462" s="63" t="n">
        <v>13.6</v>
      </c>
      <c r="F2462" s="67" t="n">
        <v>4.99</v>
      </c>
      <c r="G2462" s="67">
        <f>ROUND(ROUND(E2462,8)*F2462,4)</f>
        <v/>
      </c>
      <c r="L2462" t="n">
        <v>13.6</v>
      </c>
      <c r="M2462" t="n">
        <v>4.99</v>
      </c>
      <c r="N2462">
        <f>(M2462-F2462)</f>
        <v/>
      </c>
    </row>
    <row r="2463" ht="15" customHeight="1">
      <c r="A2463" s="2" t="inlineStr"/>
      <c r="B2463" s="2" t="inlineStr"/>
      <c r="C2463" s="2" t="inlineStr"/>
      <c r="D2463" s="2" t="inlineStr"/>
      <c r="E2463" s="26" t="inlineStr">
        <is>
          <t>TOTAL Material:</t>
        </is>
      </c>
      <c r="F2463" s="56" t="n"/>
      <c r="G2463" s="68">
        <f>SUM(G2462:G2462)</f>
        <v/>
      </c>
    </row>
    <row r="2464" ht="15" customHeight="1">
      <c r="A2464" s="2" t="inlineStr"/>
      <c r="B2464" s="2" t="inlineStr"/>
      <c r="C2464" s="2" t="inlineStr"/>
      <c r="D2464" s="2" t="inlineStr"/>
      <c r="E2464" s="28" t="inlineStr">
        <is>
          <t>VALOR:</t>
        </is>
      </c>
      <c r="F2464" s="56" t="n"/>
      <c r="G2464" s="66">
        <f>ROUND(SUM(G2463),2)</f>
        <v/>
      </c>
    </row>
    <row r="2465" ht="15" customHeight="1">
      <c r="A2465" s="2" t="inlineStr"/>
      <c r="B2465" s="2" t="inlineStr"/>
      <c r="C2465" s="2" t="inlineStr"/>
      <c r="D2465" s="2" t="inlineStr"/>
      <c r="E2465" s="28" t="inlineStr">
        <is>
          <t>VALOR BDI (23.08%):</t>
        </is>
      </c>
      <c r="F2465" s="56" t="n"/>
      <c r="G2465" s="66">
        <f>ROUNDDOWN(G2464*BDI,2)</f>
        <v/>
      </c>
    </row>
    <row r="2466" ht="15" customHeight="1">
      <c r="A2466" s="2" t="inlineStr"/>
      <c r="B2466" s="2" t="inlineStr"/>
      <c r="C2466" s="2" t="inlineStr"/>
      <c r="D2466" s="2" t="inlineStr"/>
      <c r="E2466" s="28" t="inlineStr">
        <is>
          <t>VALOR COM BDI:</t>
        </is>
      </c>
      <c r="F2466" s="56" t="n"/>
      <c r="G2466" s="66">
        <f>G2465 + G2464</f>
        <v/>
      </c>
    </row>
    <row r="2467" ht="10" customHeight="1">
      <c r="A2467" s="2" t="inlineStr"/>
      <c r="B2467" s="2" t="inlineStr"/>
      <c r="C2467" s="2" t="inlineStr"/>
      <c r="D2467" s="2" t="inlineStr"/>
      <c r="E2467" s="18" t="inlineStr"/>
    </row>
    <row r="2468" ht="20" customHeight="1">
      <c r="A2468" s="19" t="inlineStr">
        <is>
          <t>​I2771​ MATERIAL DE OPERAÇÃO DO COMPACTADOR DE PLACA VIBRATÓRIA (7 HP)​ (H)</t>
        </is>
      </c>
      <c r="B2468" s="55" t="n"/>
      <c r="C2468" s="55" t="n"/>
      <c r="D2468" s="55" t="n"/>
      <c r="E2468" s="55" t="n"/>
      <c r="F2468" s="55" t="n"/>
      <c r="G2468" s="56" t="n"/>
    </row>
    <row r="2469" ht="15" customHeight="1">
      <c r="A2469" s="20" t="inlineStr">
        <is>
          <t>Material</t>
        </is>
      </c>
      <c r="B2469" s="56" t="n"/>
      <c r="C2469" s="21" t="inlineStr">
        <is>
          <t>FONTE</t>
        </is>
      </c>
      <c r="D2469" s="21" t="inlineStr">
        <is>
          <t>UNID</t>
        </is>
      </c>
      <c r="E2469" s="21" t="inlineStr">
        <is>
          <t>COEFICIENTE</t>
        </is>
      </c>
      <c r="F2469" s="21" t="inlineStr">
        <is>
          <t>PREÇO UNITÁRIO</t>
        </is>
      </c>
      <c r="G2469" s="21" t="inlineStr">
        <is>
          <t>TOTAL</t>
        </is>
      </c>
    </row>
    <row r="2470" ht="15" customHeight="1">
      <c r="A2470" s="22" t="inlineStr">
        <is>
          <t>I2706</t>
        </is>
      </c>
      <c r="B2470" s="23" t="inlineStr">
        <is>
          <t>OLEO DIESEL</t>
        </is>
      </c>
      <c r="C2470" s="22" t="inlineStr">
        <is>
          <t>SEINFRA</t>
        </is>
      </c>
      <c r="D2470" s="22" t="inlineStr">
        <is>
          <t>L</t>
        </is>
      </c>
      <c r="E2470" s="63" t="n">
        <v>1.05</v>
      </c>
      <c r="F2470" s="67" t="n">
        <v>4.99</v>
      </c>
      <c r="G2470" s="67">
        <f>ROUND(ROUND(E2470,8)*F2470,4)</f>
        <v/>
      </c>
      <c r="L2470" t="n">
        <v>1.05</v>
      </c>
      <c r="M2470" t="n">
        <v>4.99</v>
      </c>
      <c r="N2470">
        <f>(M2470-F2470)</f>
        <v/>
      </c>
    </row>
    <row r="2471" ht="15" customHeight="1">
      <c r="A2471" s="2" t="inlineStr"/>
      <c r="B2471" s="2" t="inlineStr"/>
      <c r="C2471" s="2" t="inlineStr"/>
      <c r="D2471" s="2" t="inlineStr"/>
      <c r="E2471" s="26" t="inlineStr">
        <is>
          <t>TOTAL Material:</t>
        </is>
      </c>
      <c r="F2471" s="56" t="n"/>
      <c r="G2471" s="68">
        <f>SUM(G2470:G2470)</f>
        <v/>
      </c>
    </row>
    <row r="2472" ht="15" customHeight="1">
      <c r="A2472" s="2" t="inlineStr"/>
      <c r="B2472" s="2" t="inlineStr"/>
      <c r="C2472" s="2" t="inlineStr"/>
      <c r="D2472" s="2" t="inlineStr"/>
      <c r="E2472" s="28" t="inlineStr">
        <is>
          <t>VALOR:</t>
        </is>
      </c>
      <c r="F2472" s="56" t="n"/>
      <c r="G2472" s="66">
        <f>ROUND(SUM(G2471),2)</f>
        <v/>
      </c>
    </row>
    <row r="2473" ht="15" customHeight="1">
      <c r="A2473" s="2" t="inlineStr"/>
      <c r="B2473" s="2" t="inlineStr"/>
      <c r="C2473" s="2" t="inlineStr"/>
      <c r="D2473" s="2" t="inlineStr"/>
      <c r="E2473" s="28" t="inlineStr">
        <is>
          <t>VALOR BDI (23.08%):</t>
        </is>
      </c>
      <c r="F2473" s="56" t="n"/>
      <c r="G2473" s="66">
        <f>ROUNDDOWN(G2472*BDI,2)</f>
        <v/>
      </c>
    </row>
    <row r="2474" ht="15" customHeight="1">
      <c r="A2474" s="2" t="inlineStr"/>
      <c r="B2474" s="2" t="inlineStr"/>
      <c r="C2474" s="2" t="inlineStr"/>
      <c r="D2474" s="2" t="inlineStr"/>
      <c r="E2474" s="28" t="inlineStr">
        <is>
          <t>VALOR COM BDI:</t>
        </is>
      </c>
      <c r="F2474" s="56" t="n"/>
      <c r="G2474" s="66">
        <f>G2473 + G2472</f>
        <v/>
      </c>
    </row>
    <row r="2475" ht="10" customHeight="1">
      <c r="A2475" s="2" t="inlineStr"/>
      <c r="B2475" s="2" t="inlineStr"/>
      <c r="C2475" s="2" t="inlineStr"/>
      <c r="D2475" s="2" t="inlineStr"/>
      <c r="E2475" s="18" t="inlineStr"/>
    </row>
    <row r="2476" ht="20" customHeight="1">
      <c r="A2476" s="19" t="inlineStr">
        <is>
          <t>​I2841​ MATERIAL DE OPERAÇÃO DO TRATOR DE ESTEIRAS C/ LÂMINA E ESC. (155 HP)​ (H)</t>
        </is>
      </c>
      <c r="B2476" s="55" t="n"/>
      <c r="C2476" s="55" t="n"/>
      <c r="D2476" s="55" t="n"/>
      <c r="E2476" s="55" t="n"/>
      <c r="F2476" s="55" t="n"/>
      <c r="G2476" s="56" t="n"/>
    </row>
    <row r="2477" ht="15" customHeight="1">
      <c r="A2477" s="20" t="inlineStr">
        <is>
          <t>Material</t>
        </is>
      </c>
      <c r="B2477" s="56" t="n"/>
      <c r="C2477" s="21" t="inlineStr">
        <is>
          <t>FONTE</t>
        </is>
      </c>
      <c r="D2477" s="21" t="inlineStr">
        <is>
          <t>UNID</t>
        </is>
      </c>
      <c r="E2477" s="21" t="inlineStr">
        <is>
          <t>COEFICIENTE</t>
        </is>
      </c>
      <c r="F2477" s="21" t="inlineStr">
        <is>
          <t>PREÇO UNITÁRIO</t>
        </is>
      </c>
      <c r="G2477" s="21" t="inlineStr">
        <is>
          <t>TOTAL</t>
        </is>
      </c>
    </row>
    <row r="2478" ht="15" customHeight="1">
      <c r="A2478" s="22" t="inlineStr">
        <is>
          <t>I2706</t>
        </is>
      </c>
      <c r="B2478" s="23" t="inlineStr">
        <is>
          <t>OLEO DIESEL</t>
        </is>
      </c>
      <c r="C2478" s="22" t="inlineStr">
        <is>
          <t>SEINFRA</t>
        </is>
      </c>
      <c r="D2478" s="22" t="inlineStr">
        <is>
          <t>L</t>
        </is>
      </c>
      <c r="E2478" s="63" t="n">
        <v>23.25</v>
      </c>
      <c r="F2478" s="67">
        <f>ROUND(M2478*FATOR, 2)</f>
        <v/>
      </c>
      <c r="G2478" s="67">
        <f>ROUND(ROUND(E2478,8)*F2478,4)</f>
        <v/>
      </c>
      <c r="L2478" t="n">
        <v>23.25</v>
      </c>
      <c r="M2478" t="n">
        <v>4.99</v>
      </c>
      <c r="N2478">
        <f>(M2478-F2478)</f>
        <v/>
      </c>
    </row>
    <row r="2479" ht="15" customHeight="1">
      <c r="A2479" s="2" t="inlineStr"/>
      <c r="B2479" s="2" t="inlineStr"/>
      <c r="C2479" s="2" t="inlineStr"/>
      <c r="D2479" s="2" t="inlineStr"/>
      <c r="E2479" s="26" t="inlineStr">
        <is>
          <t>TOTAL Material:</t>
        </is>
      </c>
      <c r="F2479" s="56" t="n"/>
      <c r="G2479" s="68">
        <f>SUM(G2478:G2478)</f>
        <v/>
      </c>
    </row>
    <row r="2480" ht="15" customHeight="1">
      <c r="A2480" s="2" t="inlineStr"/>
      <c r="B2480" s="2" t="inlineStr"/>
      <c r="C2480" s="2" t="inlineStr"/>
      <c r="D2480" s="2" t="inlineStr"/>
      <c r="E2480" s="28" t="inlineStr">
        <is>
          <t>VALOR:</t>
        </is>
      </c>
      <c r="F2480" s="56" t="n"/>
      <c r="G2480" s="66">
        <f>SUM(G2479)</f>
        <v/>
      </c>
    </row>
    <row r="2481" ht="15" customHeight="1">
      <c r="A2481" s="2" t="inlineStr"/>
      <c r="B2481" s="2" t="inlineStr"/>
      <c r="C2481" s="2" t="inlineStr"/>
      <c r="D2481" s="2" t="inlineStr"/>
      <c r="E2481" s="28" t="inlineStr">
        <is>
          <t>VALOR BDI (23.08%):</t>
        </is>
      </c>
      <c r="F2481" s="56" t="n"/>
      <c r="G2481" s="66">
        <f>ROUNDDOWN(G2480*BDI,2)</f>
        <v/>
      </c>
    </row>
    <row r="2482" ht="15" customHeight="1">
      <c r="A2482" s="2" t="inlineStr"/>
      <c r="B2482" s="2" t="inlineStr"/>
      <c r="C2482" s="2" t="inlineStr"/>
      <c r="D2482" s="2" t="inlineStr"/>
      <c r="E2482" s="28" t="inlineStr">
        <is>
          <t>VALOR COM BDI:</t>
        </is>
      </c>
      <c r="F2482" s="56" t="n"/>
      <c r="G2482" s="66">
        <f>G2481 + G2480</f>
        <v/>
      </c>
    </row>
    <row r="2483" ht="10" customHeight="1">
      <c r="A2483" s="2" t="inlineStr"/>
      <c r="B2483" s="2" t="inlineStr"/>
      <c r="C2483" s="2" t="inlineStr"/>
      <c r="D2483" s="2" t="inlineStr"/>
      <c r="E2483" s="18" t="inlineStr"/>
    </row>
    <row r="2484" ht="20" customHeight="1">
      <c r="A2484" s="19" t="inlineStr">
        <is>
          <t>​100308​ MECÂNICO DE REFRIGERAÇÃO COM ENCARGOS COMPLEMENTARES​ (H)</t>
        </is>
      </c>
      <c r="B2484" s="55" t="n"/>
      <c r="C2484" s="55" t="n"/>
      <c r="D2484" s="55" t="n"/>
      <c r="E2484" s="55" t="n"/>
      <c r="F2484" s="55" t="n"/>
      <c r="G2484" s="56" t="n"/>
    </row>
    <row r="2485" ht="15" customHeight="1">
      <c r="A2485" s="20" t="inlineStr">
        <is>
          <t>Encargos Complementares</t>
        </is>
      </c>
      <c r="B2485" s="56" t="n"/>
      <c r="C2485" s="21" t="inlineStr">
        <is>
          <t>FONTE</t>
        </is>
      </c>
      <c r="D2485" s="21" t="inlineStr">
        <is>
          <t>UNID</t>
        </is>
      </c>
      <c r="E2485" s="21" t="inlineStr">
        <is>
          <t>COEFICIENTE</t>
        </is>
      </c>
      <c r="F2485" s="21" t="inlineStr">
        <is>
          <t>PREÇO UNITÁRIO</t>
        </is>
      </c>
      <c r="G2485" s="21" t="inlineStr">
        <is>
          <t>TOTAL</t>
        </is>
      </c>
    </row>
    <row r="2486" ht="21" customHeight="1">
      <c r="A2486" s="22" t="inlineStr">
        <is>
          <t>00037370</t>
        </is>
      </c>
      <c r="B2486" s="23" t="inlineStr">
        <is>
          <t>ALIMENTACAO - HORISTA (COLETADO CAIXA - ENCARGOS COMPLEMENTARES)</t>
        </is>
      </c>
      <c r="C2486" s="22" t="inlineStr">
        <is>
          <t>SINAPI</t>
        </is>
      </c>
      <c r="D2486" s="22" t="inlineStr">
        <is>
          <t>H</t>
        </is>
      </c>
      <c r="E2486" s="63" t="n">
        <v>1</v>
      </c>
      <c r="F2486" s="64" t="n">
        <v>3.62</v>
      </c>
      <c r="G2486" s="64">
        <f>TRUNC(TRUNC(E2486,8)*F2486,2)</f>
        <v/>
      </c>
      <c r="L2486" t="n">
        <v>1</v>
      </c>
      <c r="M2486" t="n">
        <v>3.62</v>
      </c>
      <c r="N2486">
        <f>(M2486-F2486)</f>
        <v/>
      </c>
    </row>
    <row r="2487" ht="21" customHeight="1">
      <c r="A2487" s="22" t="inlineStr">
        <is>
          <t>00043484</t>
        </is>
      </c>
      <c r="B2487" s="23" t="inlineStr">
        <is>
          <t>EPI - FAMILIA ELETRICISTA - HORISTA (ENCARGOS COMPLEMENTARES - COLETADO CAIXA)</t>
        </is>
      </c>
      <c r="C2487" s="22" t="inlineStr">
        <is>
          <t>SINAPI</t>
        </is>
      </c>
      <c r="D2487" s="22" t="inlineStr">
        <is>
          <t>H</t>
        </is>
      </c>
      <c r="E2487" s="63" t="n">
        <v>1</v>
      </c>
      <c r="F2487" s="64" t="n">
        <v>1.26</v>
      </c>
      <c r="G2487" s="64">
        <f>TRUNC(TRUNC(E2487,8)*F2487,2)</f>
        <v/>
      </c>
      <c r="L2487" t="n">
        <v>1</v>
      </c>
      <c r="M2487" t="n">
        <v>1.26</v>
      </c>
      <c r="N2487">
        <f>(M2487-F2487)</f>
        <v/>
      </c>
    </row>
    <row r="2488" ht="21" customHeight="1">
      <c r="A2488" s="22" t="inlineStr">
        <is>
          <t>00037372</t>
        </is>
      </c>
      <c r="B2488" s="23" t="inlineStr">
        <is>
          <t>EXAMES - HORISTA (COLETADO CAIXA - ENCARGOS COMPLEMENTARES)</t>
        </is>
      </c>
      <c r="C2488" s="22" t="inlineStr">
        <is>
          <t>SINAPI</t>
        </is>
      </c>
      <c r="D2488" s="22" t="inlineStr">
        <is>
          <t>H</t>
        </is>
      </c>
      <c r="E2488" s="63" t="n">
        <v>1</v>
      </c>
      <c r="F2488" s="64" t="n">
        <v>1.43</v>
      </c>
      <c r="G2488" s="64">
        <f>TRUNC(TRUNC(E2488,8)*F2488,2)</f>
        <v/>
      </c>
      <c r="L2488" t="n">
        <v>1</v>
      </c>
      <c r="M2488" t="n">
        <v>1.43</v>
      </c>
      <c r="N2488">
        <f>(M2488-F2488)</f>
        <v/>
      </c>
    </row>
    <row r="2489" ht="21" customHeight="1">
      <c r="A2489" s="22" t="inlineStr">
        <is>
          <t>00043460</t>
        </is>
      </c>
      <c r="B2489" s="23" t="inlineStr">
        <is>
          <t>FERRAMENTAS - FAMILIA ELETRICISTA - HORISTA (ENCARGOS COMPLEMENTARES - COLETADO CAIXA)</t>
        </is>
      </c>
      <c r="C2489" s="22" t="inlineStr">
        <is>
          <t>SINAPI</t>
        </is>
      </c>
      <c r="D2489" s="22" t="inlineStr">
        <is>
          <t>H</t>
        </is>
      </c>
      <c r="E2489" s="63" t="n">
        <v>1</v>
      </c>
      <c r="F2489" s="64" t="n">
        <v>0.86</v>
      </c>
      <c r="G2489" s="64">
        <f>TRUNC(TRUNC(E2489,8)*F2489,2)</f>
        <v/>
      </c>
      <c r="L2489" t="n">
        <v>1</v>
      </c>
      <c r="M2489" t="n">
        <v>0.86</v>
      </c>
      <c r="N2489">
        <f>(M2489-F2489)</f>
        <v/>
      </c>
    </row>
    <row r="2490" ht="21" customHeight="1">
      <c r="A2490" s="22" t="inlineStr">
        <is>
          <t>00037373</t>
        </is>
      </c>
      <c r="B2490" s="23" t="inlineStr">
        <is>
          <t>SEGURO - HORISTA (COLETADO CAIXA - ENCARGOS COMPLEMENTARES)</t>
        </is>
      </c>
      <c r="C2490" s="22" t="inlineStr">
        <is>
          <t>SINAPI</t>
        </is>
      </c>
      <c r="D2490" s="22" t="inlineStr">
        <is>
          <t>H</t>
        </is>
      </c>
      <c r="E2490" s="63" t="n">
        <v>1</v>
      </c>
      <c r="F2490" s="64" t="n">
        <v>0.08</v>
      </c>
      <c r="G2490" s="64">
        <f>TRUNC(TRUNC(E2490,8)*F2490,2)</f>
        <v/>
      </c>
      <c r="L2490" t="n">
        <v>1</v>
      </c>
      <c r="M2490" t="n">
        <v>0.08</v>
      </c>
      <c r="N2490">
        <f>(M2490-F2490)</f>
        <v/>
      </c>
    </row>
    <row r="2491" ht="21" customHeight="1">
      <c r="A2491" s="22" t="inlineStr">
        <is>
          <t>00037371</t>
        </is>
      </c>
      <c r="B2491" s="23" t="inlineStr">
        <is>
          <t>TRANSPORTE - HORISTA (COLETADO CAIXA - ENCARGOS COMPLEMENTARES)</t>
        </is>
      </c>
      <c r="C2491" s="22" t="inlineStr">
        <is>
          <t>SINAPI</t>
        </is>
      </c>
      <c r="D2491" s="22" t="inlineStr">
        <is>
          <t>H</t>
        </is>
      </c>
      <c r="E2491" s="63" t="n">
        <v>1</v>
      </c>
      <c r="F2491" s="64" t="n">
        <v>1.09</v>
      </c>
      <c r="G2491" s="64">
        <f>TRUNC(TRUNC(E2491,8)*F2491,2)</f>
        <v/>
      </c>
      <c r="L2491" t="n">
        <v>1</v>
      </c>
      <c r="M2491" t="n">
        <v>1.09</v>
      </c>
      <c r="N2491">
        <f>(M2491-F2491)</f>
        <v/>
      </c>
    </row>
    <row r="2492" ht="15" customHeight="1">
      <c r="A2492" s="2" t="inlineStr"/>
      <c r="B2492" s="2" t="inlineStr"/>
      <c r="C2492" s="2" t="inlineStr"/>
      <c r="D2492" s="2" t="inlineStr"/>
      <c r="E2492" s="26" t="inlineStr">
        <is>
          <t>TOTAL Encargos Complementares:</t>
        </is>
      </c>
      <c r="F2492" s="56" t="n"/>
      <c r="G2492" s="65">
        <f>SUM(G2486:G2491)</f>
        <v/>
      </c>
    </row>
    <row r="2493" ht="15" customHeight="1">
      <c r="A2493" s="20" t="inlineStr">
        <is>
          <t>Mão de Obra</t>
        </is>
      </c>
      <c r="B2493" s="56" t="n"/>
      <c r="C2493" s="21" t="inlineStr">
        <is>
          <t>FONTE</t>
        </is>
      </c>
      <c r="D2493" s="21" t="inlineStr">
        <is>
          <t>UNID</t>
        </is>
      </c>
      <c r="E2493" s="21" t="inlineStr">
        <is>
          <t>COEFICIENTE</t>
        </is>
      </c>
      <c r="F2493" s="21" t="inlineStr">
        <is>
          <t>PREÇO UNITÁRIO</t>
        </is>
      </c>
      <c r="G2493" s="21" t="inlineStr">
        <is>
          <t>TOTAL</t>
        </is>
      </c>
    </row>
    <row r="2494" ht="15" customHeight="1">
      <c r="A2494" s="22" t="inlineStr">
        <is>
          <t>00034794</t>
        </is>
      </c>
      <c r="B2494" s="23" t="inlineStr">
        <is>
          <t>MECANICO DE REFRIGERACAO (HORISTA)</t>
        </is>
      </c>
      <c r="C2494" s="22" t="inlineStr">
        <is>
          <t>SINAPI</t>
        </is>
      </c>
      <c r="D2494" s="22" t="inlineStr">
        <is>
          <t>H</t>
        </is>
      </c>
      <c r="E2494" s="63">
        <f>L2494*FATOR</f>
        <v/>
      </c>
      <c r="F2494" s="64" t="n">
        <v>21.53</v>
      </c>
      <c r="G2494" s="64">
        <f>TRUNC(TRUNC(E2494,8)*F2494,2)</f>
        <v/>
      </c>
      <c r="L2494" t="n">
        <v>1</v>
      </c>
      <c r="M2494" t="n">
        <v>21.53</v>
      </c>
      <c r="N2494">
        <f>(M2494-F2494)</f>
        <v/>
      </c>
    </row>
    <row r="2495" ht="15" customHeight="1">
      <c r="A2495" s="2" t="inlineStr"/>
      <c r="B2495" s="2" t="inlineStr"/>
      <c r="C2495" s="2" t="inlineStr"/>
      <c r="D2495" s="2" t="inlineStr"/>
      <c r="E2495" s="26" t="inlineStr">
        <is>
          <t>TOTAL Mão de Obra:</t>
        </is>
      </c>
      <c r="F2495" s="56" t="n"/>
      <c r="G2495" s="65">
        <f>SUM(G2494:G2494)</f>
        <v/>
      </c>
    </row>
    <row r="2496" ht="15" customHeight="1">
      <c r="A2496" s="20" t="inlineStr">
        <is>
          <t>Serviço</t>
        </is>
      </c>
      <c r="B2496" s="56" t="n"/>
      <c r="C2496" s="21" t="inlineStr">
        <is>
          <t>FONTE</t>
        </is>
      </c>
      <c r="D2496" s="21" t="inlineStr">
        <is>
          <t>UNID</t>
        </is>
      </c>
      <c r="E2496" s="21" t="inlineStr">
        <is>
          <t>COEFICIENTE</t>
        </is>
      </c>
      <c r="F2496" s="21" t="inlineStr">
        <is>
          <t>PREÇO UNITÁRIO</t>
        </is>
      </c>
      <c r="G2496" s="21" t="inlineStr">
        <is>
          <t>TOTAL</t>
        </is>
      </c>
    </row>
    <row r="2497" ht="21" customHeight="1">
      <c r="A2497" s="22" t="inlineStr">
        <is>
          <t>100298</t>
        </is>
      </c>
      <c r="B2497" s="23" t="inlineStr">
        <is>
          <t>CURSO DE CAPACITAÇÃO PARA MECÂNICO DE REFRIGERAÇÃO (ENCARGOS COMPLEMENTARES) - HORISTA</t>
        </is>
      </c>
      <c r="C2497" s="22" t="inlineStr">
        <is>
          <t>SINAPI</t>
        </is>
      </c>
      <c r="D2497" s="22" t="inlineStr">
        <is>
          <t>H</t>
        </is>
      </c>
      <c r="E2497" s="63" t="n">
        <v>1</v>
      </c>
      <c r="F2497" s="64">
        <f>'COMPOSICOES AUXILIARES'!G1675</f>
        <v/>
      </c>
      <c r="G2497" s="64">
        <f>TRUNC(TRUNC(E2497,8)*F2497,2)</f>
        <v/>
      </c>
      <c r="L2497" t="n">
        <v>1</v>
      </c>
      <c r="M2497" t="n">
        <v>0.59</v>
      </c>
      <c r="N2497">
        <f>(M2497-F2497)</f>
        <v/>
      </c>
    </row>
    <row r="2498" ht="15" customHeight="1">
      <c r="A2498" s="2" t="inlineStr"/>
      <c r="B2498" s="2" t="inlineStr"/>
      <c r="C2498" s="2" t="inlineStr"/>
      <c r="D2498" s="2" t="inlineStr"/>
      <c r="E2498" s="26" t="inlineStr">
        <is>
          <t>TOTAL Serviço:</t>
        </is>
      </c>
      <c r="F2498" s="56" t="n"/>
      <c r="G2498" s="65">
        <f>SUM(G2497:G2497)</f>
        <v/>
      </c>
    </row>
    <row r="2499" ht="15" customHeight="1">
      <c r="A2499" s="2" t="inlineStr"/>
      <c r="B2499" s="2" t="inlineStr"/>
      <c r="C2499" s="2" t="inlineStr"/>
      <c r="D2499" s="2" t="inlineStr"/>
      <c r="E2499" s="28" t="inlineStr">
        <is>
          <t>VALOR:</t>
        </is>
      </c>
      <c r="F2499" s="56" t="n"/>
      <c r="G2499" s="66">
        <f>SUM(G2498,G2492,G2495)</f>
        <v/>
      </c>
    </row>
    <row r="2500" ht="15" customHeight="1">
      <c r="A2500" s="2" t="inlineStr"/>
      <c r="B2500" s="2" t="inlineStr"/>
      <c r="C2500" s="2" t="inlineStr"/>
      <c r="D2500" s="2" t="inlineStr"/>
      <c r="E2500" s="28" t="inlineStr">
        <is>
          <t>VALOR BDI (23.08%):</t>
        </is>
      </c>
      <c r="F2500" s="56" t="n"/>
      <c r="G2500" s="66">
        <f>ROUNDDOWN(G2499*BDI,2)</f>
        <v/>
      </c>
    </row>
    <row r="2501" ht="15" customHeight="1">
      <c r="A2501" s="2" t="inlineStr"/>
      <c r="B2501" s="2" t="inlineStr"/>
      <c r="C2501" s="2" t="inlineStr"/>
      <c r="D2501" s="2" t="inlineStr"/>
      <c r="E2501" s="28" t="inlineStr">
        <is>
          <t>VALOR COM BDI:</t>
        </is>
      </c>
      <c r="F2501" s="56" t="n"/>
      <c r="G2501" s="66">
        <f>G2500 + G2499</f>
        <v/>
      </c>
    </row>
    <row r="2502" ht="10" customHeight="1">
      <c r="A2502" s="2" t="inlineStr"/>
      <c r="B2502" s="2" t="inlineStr"/>
      <c r="C2502" s="2" t="inlineStr"/>
      <c r="D2502" s="2" t="inlineStr"/>
      <c r="E2502" s="18" t="inlineStr"/>
    </row>
    <row r="2503" ht="20" customHeight="1">
      <c r="A2503" s="19" t="inlineStr">
        <is>
          <t>​88275​ MECÃNICO DE EQUIPAMENTOS PESADOS COM ENCARGOS COMPLEMENTARES​ (H)</t>
        </is>
      </c>
      <c r="B2503" s="55" t="n"/>
      <c r="C2503" s="55" t="n"/>
      <c r="D2503" s="55" t="n"/>
      <c r="E2503" s="55" t="n"/>
      <c r="F2503" s="55" t="n"/>
      <c r="G2503" s="56" t="n"/>
    </row>
    <row r="2504" ht="15" customHeight="1">
      <c r="A2504" s="20" t="inlineStr">
        <is>
          <t>Encargos Complementares</t>
        </is>
      </c>
      <c r="B2504" s="56" t="n"/>
      <c r="C2504" s="21" t="inlineStr">
        <is>
          <t>FONTE</t>
        </is>
      </c>
      <c r="D2504" s="21" t="inlineStr">
        <is>
          <t>UNID</t>
        </is>
      </c>
      <c r="E2504" s="21" t="inlineStr">
        <is>
          <t>COEFICIENTE</t>
        </is>
      </c>
      <c r="F2504" s="21" t="inlineStr">
        <is>
          <t>PREÇO UNITÁRIO</t>
        </is>
      </c>
      <c r="G2504" s="21" t="inlineStr">
        <is>
          <t>TOTAL</t>
        </is>
      </c>
    </row>
    <row r="2505" ht="21" customHeight="1">
      <c r="A2505" s="22" t="inlineStr">
        <is>
          <t>00037370</t>
        </is>
      </c>
      <c r="B2505" s="23" t="inlineStr">
        <is>
          <t>ALIMENTACAO - HORISTA (COLETADO CAIXA - ENCARGOS COMPLEMENTARES)</t>
        </is>
      </c>
      <c r="C2505" s="22" t="inlineStr">
        <is>
          <t>SINAPI</t>
        </is>
      </c>
      <c r="D2505" s="22" t="inlineStr">
        <is>
          <t>H</t>
        </is>
      </c>
      <c r="E2505" s="63" t="n">
        <v>1</v>
      </c>
      <c r="F2505" s="64" t="n">
        <v>3.62</v>
      </c>
      <c r="G2505" s="64">
        <f>TRUNC(TRUNC(E2505,8)*F2505,2)</f>
        <v/>
      </c>
      <c r="L2505" t="n">
        <v>1</v>
      </c>
      <c r="M2505" t="n">
        <v>3.62</v>
      </c>
      <c r="N2505">
        <f>(M2505-F2505)</f>
        <v/>
      </c>
    </row>
    <row r="2506" ht="21" customHeight="1">
      <c r="A2506" s="22" t="inlineStr">
        <is>
          <t>00043488</t>
        </is>
      </c>
      <c r="B2506" s="23" t="inlineStr">
        <is>
          <t>EPI - FAMILIA OPERADOR ESCAVADEIRA - HORISTA (ENCARGOS COMPLEMENTARES - COLETADO CAIXA)</t>
        </is>
      </c>
      <c r="C2506" s="22" t="inlineStr">
        <is>
          <t>SINAPI</t>
        </is>
      </c>
      <c r="D2506" s="22" t="inlineStr">
        <is>
          <t>H</t>
        </is>
      </c>
      <c r="E2506" s="63" t="n">
        <v>1</v>
      </c>
      <c r="F2506" s="64" t="n">
        <v>0.89</v>
      </c>
      <c r="G2506" s="64">
        <f>TRUNC(TRUNC(E2506,8)*F2506,2)</f>
        <v/>
      </c>
      <c r="L2506" t="n">
        <v>1</v>
      </c>
      <c r="M2506" t="n">
        <v>0.89</v>
      </c>
      <c r="N2506">
        <f>(M2506-F2506)</f>
        <v/>
      </c>
    </row>
    <row r="2507" ht="21" customHeight="1">
      <c r="A2507" s="22" t="inlineStr">
        <is>
          <t>00037372</t>
        </is>
      </c>
      <c r="B2507" s="23" t="inlineStr">
        <is>
          <t>EXAMES - HORISTA (COLETADO CAIXA - ENCARGOS COMPLEMENTARES)</t>
        </is>
      </c>
      <c r="C2507" s="22" t="inlineStr">
        <is>
          <t>SINAPI</t>
        </is>
      </c>
      <c r="D2507" s="22" t="inlineStr">
        <is>
          <t>H</t>
        </is>
      </c>
      <c r="E2507" s="63" t="n">
        <v>1</v>
      </c>
      <c r="F2507" s="64" t="n">
        <v>1.43</v>
      </c>
      <c r="G2507" s="64">
        <f>TRUNC(TRUNC(E2507,8)*F2507,2)</f>
        <v/>
      </c>
      <c r="L2507" t="n">
        <v>1</v>
      </c>
      <c r="M2507" t="n">
        <v>1.43</v>
      </c>
      <c r="N2507">
        <f>(M2507-F2507)</f>
        <v/>
      </c>
    </row>
    <row r="2508" ht="29" customHeight="1">
      <c r="A2508" s="22" t="inlineStr">
        <is>
          <t>00043464</t>
        </is>
      </c>
      <c r="B2508" s="23" t="inlineStr">
        <is>
          <t>FERRAMENTAS - FAMILIA OPERADOR ESCAVADEIRA - HORISTA (ENCARGOS COMPLEMENTARES - COLETADO CAIXA)</t>
        </is>
      </c>
      <c r="C2508" s="22" t="inlineStr">
        <is>
          <t>SINAPI</t>
        </is>
      </c>
      <c r="D2508" s="22" t="inlineStr">
        <is>
          <t>H</t>
        </is>
      </c>
      <c r="E2508" s="63" t="n">
        <v>1</v>
      </c>
      <c r="F2508" s="64" t="n">
        <v>0.01</v>
      </c>
      <c r="G2508" s="64">
        <f>TRUNC(TRUNC(E2508,8)*F2508,2)</f>
        <v/>
      </c>
      <c r="L2508" t="n">
        <v>1</v>
      </c>
      <c r="M2508" t="n">
        <v>0.01</v>
      </c>
      <c r="N2508">
        <f>(M2508-F2508)</f>
        <v/>
      </c>
    </row>
    <row r="2509" ht="21" customHeight="1">
      <c r="A2509" s="22" t="inlineStr">
        <is>
          <t>00037373</t>
        </is>
      </c>
      <c r="B2509" s="23" t="inlineStr">
        <is>
          <t>SEGURO - HORISTA (COLETADO CAIXA - ENCARGOS COMPLEMENTARES)</t>
        </is>
      </c>
      <c r="C2509" s="22" t="inlineStr">
        <is>
          <t>SINAPI</t>
        </is>
      </c>
      <c r="D2509" s="22" t="inlineStr">
        <is>
          <t>H</t>
        </is>
      </c>
      <c r="E2509" s="63" t="n">
        <v>1</v>
      </c>
      <c r="F2509" s="64" t="n">
        <v>0.08</v>
      </c>
      <c r="G2509" s="64">
        <f>TRUNC(TRUNC(E2509,8)*F2509,2)</f>
        <v/>
      </c>
      <c r="L2509" t="n">
        <v>1</v>
      </c>
      <c r="M2509" t="n">
        <v>0.08</v>
      </c>
      <c r="N2509">
        <f>(M2509-F2509)</f>
        <v/>
      </c>
    </row>
    <row r="2510" ht="21" customHeight="1">
      <c r="A2510" s="22" t="inlineStr">
        <is>
          <t>00037371</t>
        </is>
      </c>
      <c r="B2510" s="23" t="inlineStr">
        <is>
          <t>TRANSPORTE - HORISTA (COLETADO CAIXA - ENCARGOS COMPLEMENTARES)</t>
        </is>
      </c>
      <c r="C2510" s="22" t="inlineStr">
        <is>
          <t>SINAPI</t>
        </is>
      </c>
      <c r="D2510" s="22" t="inlineStr">
        <is>
          <t>H</t>
        </is>
      </c>
      <c r="E2510" s="63" t="n">
        <v>1</v>
      </c>
      <c r="F2510" s="64" t="n">
        <v>1.09</v>
      </c>
      <c r="G2510" s="64">
        <f>TRUNC(TRUNC(E2510,8)*F2510,2)</f>
        <v/>
      </c>
      <c r="L2510" t="n">
        <v>1</v>
      </c>
      <c r="M2510" t="n">
        <v>1.09</v>
      </c>
      <c r="N2510">
        <f>(M2510-F2510)</f>
        <v/>
      </c>
    </row>
    <row r="2511" ht="15" customHeight="1">
      <c r="A2511" s="2" t="inlineStr"/>
      <c r="B2511" s="2" t="inlineStr"/>
      <c r="C2511" s="2" t="inlineStr"/>
      <c r="D2511" s="2" t="inlineStr"/>
      <c r="E2511" s="26" t="inlineStr">
        <is>
          <t>TOTAL Encargos Complementares:</t>
        </is>
      </c>
      <c r="F2511" s="56" t="n"/>
      <c r="G2511" s="65">
        <f>SUM(G2505:G2510)</f>
        <v/>
      </c>
    </row>
    <row r="2512" ht="15" customHeight="1">
      <c r="A2512" s="20" t="inlineStr">
        <is>
          <t>Mão de Obra</t>
        </is>
      </c>
      <c r="B2512" s="56" t="n"/>
      <c r="C2512" s="21" t="inlineStr">
        <is>
          <t>FONTE</t>
        </is>
      </c>
      <c r="D2512" s="21" t="inlineStr">
        <is>
          <t>UNID</t>
        </is>
      </c>
      <c r="E2512" s="21" t="inlineStr">
        <is>
          <t>COEFICIENTE</t>
        </is>
      </c>
      <c r="F2512" s="21" t="inlineStr">
        <is>
          <t>PREÇO UNITÁRIO</t>
        </is>
      </c>
      <c r="G2512" s="21" t="inlineStr">
        <is>
          <t>TOTAL</t>
        </is>
      </c>
    </row>
    <row r="2513" ht="15" customHeight="1">
      <c r="A2513" s="22" t="inlineStr">
        <is>
          <t>00004058</t>
        </is>
      </c>
      <c r="B2513" s="23" t="inlineStr">
        <is>
          <t>MECANICO DE EQUIPAMENTOS PESADOS (HORISTA)</t>
        </is>
      </c>
      <c r="C2513" s="22" t="inlineStr">
        <is>
          <t>SINAPI</t>
        </is>
      </c>
      <c r="D2513" s="22" t="inlineStr">
        <is>
          <t>H</t>
        </is>
      </c>
      <c r="E2513" s="63">
        <f>L2513*FATOR</f>
        <v/>
      </c>
      <c r="F2513" s="64" t="n">
        <v>33.34</v>
      </c>
      <c r="G2513" s="64">
        <f>TRUNC(TRUNC(E2513,8)*F2513,2)</f>
        <v/>
      </c>
      <c r="L2513" t="n">
        <v>1</v>
      </c>
      <c r="M2513" t="n">
        <v>33.34</v>
      </c>
      <c r="N2513">
        <f>(M2513-F2513)</f>
        <v/>
      </c>
    </row>
    <row r="2514" ht="15" customHeight="1">
      <c r="A2514" s="2" t="inlineStr"/>
      <c r="B2514" s="2" t="inlineStr"/>
      <c r="C2514" s="2" t="inlineStr"/>
      <c r="D2514" s="2" t="inlineStr"/>
      <c r="E2514" s="26" t="inlineStr">
        <is>
          <t>TOTAL Mão de Obra:</t>
        </is>
      </c>
      <c r="F2514" s="56" t="n"/>
      <c r="G2514" s="65">
        <f>SUM(G2513:G2513)</f>
        <v/>
      </c>
    </row>
    <row r="2515" ht="15" customHeight="1">
      <c r="A2515" s="20" t="inlineStr">
        <is>
          <t>Serviço</t>
        </is>
      </c>
      <c r="B2515" s="56" t="n"/>
      <c r="C2515" s="21" t="inlineStr">
        <is>
          <t>FONTE</t>
        </is>
      </c>
      <c r="D2515" s="21" t="inlineStr">
        <is>
          <t>UNID</t>
        </is>
      </c>
      <c r="E2515" s="21" t="inlineStr">
        <is>
          <t>COEFICIENTE</t>
        </is>
      </c>
      <c r="F2515" s="21" t="inlineStr">
        <is>
          <t>PREÇO UNITÁRIO</t>
        </is>
      </c>
      <c r="G2515" s="21" t="inlineStr">
        <is>
          <t>TOTAL</t>
        </is>
      </c>
    </row>
    <row r="2516" ht="29" customHeight="1">
      <c r="A2516" s="22" t="inlineStr">
        <is>
          <t>95342</t>
        </is>
      </c>
      <c r="B2516" s="23" t="inlineStr">
        <is>
          <t>CURSO DE CAPACITAÇÃO PARA MECÂNICO DE EQUIPAMENTOS PESADOS (ENCARGOS COMPLEMENTARES) - HORISTA</t>
        </is>
      </c>
      <c r="C2516" s="22" t="inlineStr">
        <is>
          <t>SINAPI</t>
        </is>
      </c>
      <c r="D2516" s="22" t="inlineStr">
        <is>
          <t>H</t>
        </is>
      </c>
      <c r="E2516" s="63" t="n">
        <v>1</v>
      </c>
      <c r="F2516" s="64">
        <f>'COMPOSICOES AUXILIARES'!G1667</f>
        <v/>
      </c>
      <c r="G2516" s="64">
        <f>TRUNC(TRUNC(E2516,8)*F2516,2)</f>
        <v/>
      </c>
      <c r="L2516" t="n">
        <v>1</v>
      </c>
      <c r="M2516" t="n">
        <v>0.27</v>
      </c>
      <c r="N2516">
        <f>(M2516-F2516)</f>
        <v/>
      </c>
    </row>
    <row r="2517" ht="15" customHeight="1">
      <c r="A2517" s="2" t="inlineStr"/>
      <c r="B2517" s="2" t="inlineStr"/>
      <c r="C2517" s="2" t="inlineStr"/>
      <c r="D2517" s="2" t="inlineStr"/>
      <c r="E2517" s="26" t="inlineStr">
        <is>
          <t>TOTAL Serviço:</t>
        </is>
      </c>
      <c r="F2517" s="56" t="n"/>
      <c r="G2517" s="65">
        <f>SUM(G2516:G2516)</f>
        <v/>
      </c>
    </row>
    <row r="2518" ht="15" customHeight="1">
      <c r="A2518" s="2" t="inlineStr"/>
      <c r="B2518" s="2" t="inlineStr"/>
      <c r="C2518" s="2" t="inlineStr"/>
      <c r="D2518" s="2" t="inlineStr"/>
      <c r="E2518" s="28" t="inlineStr">
        <is>
          <t>VALOR:</t>
        </is>
      </c>
      <c r="F2518" s="56" t="n"/>
      <c r="G2518" s="66">
        <f>SUM(G2514,G2517,G2511)</f>
        <v/>
      </c>
    </row>
    <row r="2519" ht="15" customHeight="1">
      <c r="A2519" s="2" t="inlineStr"/>
      <c r="B2519" s="2" t="inlineStr"/>
      <c r="C2519" s="2" t="inlineStr"/>
      <c r="D2519" s="2" t="inlineStr"/>
      <c r="E2519" s="28" t="inlineStr">
        <is>
          <t>VALOR BDI (23.08%):</t>
        </is>
      </c>
      <c r="F2519" s="56" t="n"/>
      <c r="G2519" s="66">
        <f>ROUNDDOWN(G2518*BDI,2)</f>
        <v/>
      </c>
    </row>
    <row r="2520" ht="15" customHeight="1">
      <c r="A2520" s="2" t="inlineStr"/>
      <c r="B2520" s="2" t="inlineStr"/>
      <c r="C2520" s="2" t="inlineStr"/>
      <c r="D2520" s="2" t="inlineStr"/>
      <c r="E2520" s="28" t="inlineStr">
        <is>
          <t>VALOR COM BDI:</t>
        </is>
      </c>
      <c r="F2520" s="56" t="n"/>
      <c r="G2520" s="66">
        <f>G2519 + G2518</f>
        <v/>
      </c>
    </row>
    <row r="2521" ht="10" customHeight="1">
      <c r="A2521" s="2" t="inlineStr"/>
      <c r="B2521" s="2" t="inlineStr"/>
      <c r="C2521" s="2" t="inlineStr"/>
      <c r="D2521" s="2" t="inlineStr"/>
      <c r="E2521" s="18" t="inlineStr"/>
    </row>
    <row r="2522" ht="20" customHeight="1">
      <c r="A2522" s="19" t="inlineStr">
        <is>
          <t>​88392​ MISTURADOR DE ARGAMASSA, EIXO HORIZONTAL, CAPACIDADE DE MISTURA 300 KG, MOTOR ELÉTRICO POTÊNCIA 5 CV - CHI DIURNO. AF_05/2023​ (CHI)</t>
        </is>
      </c>
      <c r="B2522" s="55" t="n"/>
      <c r="C2522" s="55" t="n"/>
      <c r="D2522" s="55" t="n"/>
      <c r="E2522" s="55" t="n"/>
      <c r="F2522" s="55" t="n"/>
      <c r="G2522" s="56" t="n"/>
    </row>
    <row r="2523" ht="15" customHeight="1">
      <c r="A2523" s="20" t="inlineStr">
        <is>
          <t>Serviço</t>
        </is>
      </c>
      <c r="B2523" s="56" t="n"/>
      <c r="C2523" s="21" t="inlineStr">
        <is>
          <t>FONTE</t>
        </is>
      </c>
      <c r="D2523" s="21" t="inlineStr">
        <is>
          <t>UNID</t>
        </is>
      </c>
      <c r="E2523" s="21" t="inlineStr">
        <is>
          <t>COEFICIENTE</t>
        </is>
      </c>
      <c r="F2523" s="21" t="inlineStr">
        <is>
          <t>PREÇO UNITÁRIO</t>
        </is>
      </c>
      <c r="G2523" s="21" t="inlineStr">
        <is>
          <t>TOTAL</t>
        </is>
      </c>
    </row>
    <row r="2524" ht="29" customHeight="1">
      <c r="A2524" s="22" t="inlineStr">
        <is>
          <t>88387</t>
        </is>
      </c>
      <c r="B2524" s="23" t="inlineStr">
        <is>
          <t>MISTURADOR DE ARGAMASSA, EIXO HORIZONTAL, CAPACIDADE DE MISTURA 300 KG, MOTOR ELÉTRICO POTÊNCIA 5 CV - DEPRECIAÇÃO. AF_05/2023</t>
        </is>
      </c>
      <c r="C2524" s="22" t="inlineStr">
        <is>
          <t>SINAPI</t>
        </is>
      </c>
      <c r="D2524" s="22" t="inlineStr">
        <is>
          <t>H</t>
        </is>
      </c>
      <c r="E2524" s="63" t="n">
        <v>1</v>
      </c>
      <c r="F2524" s="64" t="n">
        <v>0.89</v>
      </c>
      <c r="G2524" s="64">
        <f>TRUNC(TRUNC(E2524,8)*F2524,2)</f>
        <v/>
      </c>
      <c r="L2524" t="n">
        <v>1</v>
      </c>
      <c r="M2524" t="n">
        <v>0.89</v>
      </c>
      <c r="N2524">
        <f>(M2524-F2524)</f>
        <v/>
      </c>
    </row>
    <row r="2525" ht="29" customHeight="1">
      <c r="A2525" s="22" t="inlineStr">
        <is>
          <t>88389</t>
        </is>
      </c>
      <c r="B2525" s="23" t="inlineStr">
        <is>
          <t>MISTURADOR DE ARGAMASSA, EIXO HORIZONTAL, CAPACIDADE DE MISTURA 300 KG, MOTOR ELÉTRICO POTÊNCIA 5 CV - JUROS. AF_05/2023</t>
        </is>
      </c>
      <c r="C2525" s="22" t="inlineStr">
        <is>
          <t>SINAPI</t>
        </is>
      </c>
      <c r="D2525" s="22" t="inlineStr">
        <is>
          <t>H</t>
        </is>
      </c>
      <c r="E2525" s="63" t="n">
        <v>1</v>
      </c>
      <c r="F2525" s="64" t="n">
        <v>0.2</v>
      </c>
      <c r="G2525" s="64">
        <f>TRUNC(TRUNC(E2525,8)*F2525,2)</f>
        <v/>
      </c>
      <c r="L2525" t="n">
        <v>1</v>
      </c>
      <c r="M2525" t="n">
        <v>0.2</v>
      </c>
      <c r="N2525">
        <f>(M2525-F2525)</f>
        <v/>
      </c>
    </row>
    <row r="2526" ht="15" customHeight="1">
      <c r="A2526" s="2" t="inlineStr"/>
      <c r="B2526" s="2" t="inlineStr"/>
      <c r="C2526" s="2" t="inlineStr"/>
      <c r="D2526" s="2" t="inlineStr"/>
      <c r="E2526" s="26" t="inlineStr">
        <is>
          <t>TOTAL Serviço:</t>
        </is>
      </c>
      <c r="F2526" s="56" t="n"/>
      <c r="G2526" s="65">
        <f>SUM(G2524:G2525)</f>
        <v/>
      </c>
    </row>
    <row r="2527" ht="15" customHeight="1">
      <c r="A2527" s="2" t="inlineStr"/>
      <c r="B2527" s="2" t="inlineStr"/>
      <c r="C2527" s="2" t="inlineStr"/>
      <c r="D2527" s="2" t="inlineStr"/>
      <c r="E2527" s="28" t="inlineStr">
        <is>
          <t>VALOR:</t>
        </is>
      </c>
      <c r="F2527" s="56" t="n"/>
      <c r="G2527" s="66">
        <f>ROUND(SUM(G2526),2)</f>
        <v/>
      </c>
    </row>
    <row r="2528" ht="15" customHeight="1">
      <c r="A2528" s="2" t="inlineStr"/>
      <c r="B2528" s="2" t="inlineStr"/>
      <c r="C2528" s="2" t="inlineStr"/>
      <c r="D2528" s="2" t="inlineStr"/>
      <c r="E2528" s="28" t="inlineStr">
        <is>
          <t>VALOR BDI (23.08%):</t>
        </is>
      </c>
      <c r="F2528" s="56" t="n"/>
      <c r="G2528" s="66">
        <f>ROUNDDOWN(G2527*BDI,2)</f>
        <v/>
      </c>
    </row>
    <row r="2529" ht="15" customHeight="1">
      <c r="A2529" s="2" t="inlineStr"/>
      <c r="B2529" s="2" t="inlineStr"/>
      <c r="C2529" s="2" t="inlineStr"/>
      <c r="D2529" s="2" t="inlineStr"/>
      <c r="E2529" s="28" t="inlineStr">
        <is>
          <t>VALOR COM BDI:</t>
        </is>
      </c>
      <c r="F2529" s="56" t="n"/>
      <c r="G2529" s="66">
        <f>G2528 + G2527</f>
        <v/>
      </c>
    </row>
    <row r="2530" ht="10" customHeight="1">
      <c r="A2530" s="2" t="inlineStr"/>
      <c r="B2530" s="2" t="inlineStr"/>
      <c r="C2530" s="2" t="inlineStr"/>
      <c r="D2530" s="2" t="inlineStr"/>
      <c r="E2530" s="18" t="inlineStr"/>
    </row>
    <row r="2531" ht="20" customHeight="1">
      <c r="A2531" s="19" t="inlineStr">
        <is>
          <t>​88386​ MISTURADOR DE ARGAMASSA, EIXO HORIZONTAL, CAPACIDADE DE MISTURA 300 KG, MOTOR ELÉTRICO POTÊNCIA 5 CV - CHP DIURNO. AF_05/2023​ (CHP)</t>
        </is>
      </c>
      <c r="B2531" s="55" t="n"/>
      <c r="C2531" s="55" t="n"/>
      <c r="D2531" s="55" t="n"/>
      <c r="E2531" s="55" t="n"/>
      <c r="F2531" s="55" t="n"/>
      <c r="G2531" s="56" t="n"/>
    </row>
    <row r="2532" ht="15" customHeight="1">
      <c r="A2532" s="20" t="inlineStr">
        <is>
          <t>Serviço</t>
        </is>
      </c>
      <c r="B2532" s="56" t="n"/>
      <c r="C2532" s="21" t="inlineStr">
        <is>
          <t>FONTE</t>
        </is>
      </c>
      <c r="D2532" s="21" t="inlineStr">
        <is>
          <t>UNID</t>
        </is>
      </c>
      <c r="E2532" s="21" t="inlineStr">
        <is>
          <t>COEFICIENTE</t>
        </is>
      </c>
      <c r="F2532" s="21" t="inlineStr">
        <is>
          <t>PREÇO UNITÁRIO</t>
        </is>
      </c>
      <c r="G2532" s="21" t="inlineStr">
        <is>
          <t>TOTAL</t>
        </is>
      </c>
    </row>
    <row r="2533" ht="29" customHeight="1">
      <c r="A2533" s="22" t="inlineStr">
        <is>
          <t>88387</t>
        </is>
      </c>
      <c r="B2533" s="23" t="inlineStr">
        <is>
          <t>MISTURADOR DE ARGAMASSA, EIXO HORIZONTAL, CAPACIDADE DE MISTURA 300 KG, MOTOR ELÉTRICO POTÊNCIA 5 CV - DEPRECIAÇÃO. AF_05/2023</t>
        </is>
      </c>
      <c r="C2533" s="22" t="inlineStr">
        <is>
          <t>SINAPI</t>
        </is>
      </c>
      <c r="D2533" s="22" t="inlineStr">
        <is>
          <t>H</t>
        </is>
      </c>
      <c r="E2533" s="63" t="n">
        <v>1</v>
      </c>
      <c r="F2533" s="64" t="n">
        <v>0.89</v>
      </c>
      <c r="G2533" s="64">
        <f>TRUNC(TRUNC(E2533,8)*F2533,2)</f>
        <v/>
      </c>
      <c r="L2533" t="n">
        <v>1</v>
      </c>
      <c r="M2533" t="n">
        <v>0.89</v>
      </c>
      <c r="N2533">
        <f>(M2533-F2533)</f>
        <v/>
      </c>
    </row>
    <row r="2534" ht="29" customHeight="1">
      <c r="A2534" s="22" t="inlineStr">
        <is>
          <t>88389</t>
        </is>
      </c>
      <c r="B2534" s="23" t="inlineStr">
        <is>
          <t>MISTURADOR DE ARGAMASSA, EIXO HORIZONTAL, CAPACIDADE DE MISTURA 300 KG, MOTOR ELÉTRICO POTÊNCIA 5 CV - JUROS. AF_05/2023</t>
        </is>
      </c>
      <c r="C2534" s="22" t="inlineStr">
        <is>
          <t>SINAPI</t>
        </is>
      </c>
      <c r="D2534" s="22" t="inlineStr">
        <is>
          <t>H</t>
        </is>
      </c>
      <c r="E2534" s="63" t="n">
        <v>1</v>
      </c>
      <c r="F2534" s="64" t="n">
        <v>0.2</v>
      </c>
      <c r="G2534" s="64">
        <f>TRUNC(TRUNC(E2534,8)*F2534,2)</f>
        <v/>
      </c>
      <c r="L2534" t="n">
        <v>1</v>
      </c>
      <c r="M2534" t="n">
        <v>0.2</v>
      </c>
      <c r="N2534">
        <f>(M2534-F2534)</f>
        <v/>
      </c>
    </row>
    <row r="2535" ht="29" customHeight="1">
      <c r="A2535" s="22" t="inlineStr">
        <is>
          <t>88390</t>
        </is>
      </c>
      <c r="B2535" s="23" t="inlineStr">
        <is>
          <t>MISTURADOR DE ARGAMASSA, EIXO HORIZONTAL, CAPACIDADE DE MISTURA 300 KG, MOTOR ELÉTRICO POTÊNCIA 5 CV - MANUTENÇÃO. AF_05/2023</t>
        </is>
      </c>
      <c r="C2535" s="22" t="inlineStr">
        <is>
          <t>SINAPI</t>
        </is>
      </c>
      <c r="D2535" s="22" t="inlineStr">
        <is>
          <t>H</t>
        </is>
      </c>
      <c r="E2535" s="63" t="n">
        <v>1</v>
      </c>
      <c r="F2535" s="64" t="n">
        <v>0.98</v>
      </c>
      <c r="G2535" s="64">
        <f>TRUNC(TRUNC(E2535,8)*F2535,2)</f>
        <v/>
      </c>
      <c r="L2535" t="n">
        <v>1</v>
      </c>
      <c r="M2535" t="n">
        <v>0.98</v>
      </c>
      <c r="N2535">
        <f>(M2535-F2535)</f>
        <v/>
      </c>
    </row>
    <row r="2536" ht="29" customHeight="1">
      <c r="A2536" s="22" t="inlineStr">
        <is>
          <t>88391</t>
        </is>
      </c>
      <c r="B2536" s="23" t="inlineStr">
        <is>
          <t>MISTURADOR DE ARGAMASSA, EIXO HORIZONTAL, CAPACIDADE DE MISTURA 300 KG, MOTOR ELÉTRICO POTÊNCIA 5 CV - MATERIAIS NA OPERAÇÃO. AF_05/2023</t>
        </is>
      </c>
      <c r="C2536" s="22" t="inlineStr">
        <is>
          <t>SINAPI</t>
        </is>
      </c>
      <c r="D2536" s="22" t="inlineStr">
        <is>
          <t>H</t>
        </is>
      </c>
      <c r="E2536" s="63" t="n">
        <v>1</v>
      </c>
      <c r="F2536" s="64" t="n">
        <v>3.16</v>
      </c>
      <c r="G2536" s="64">
        <f>TRUNC(TRUNC(E2536,8)*F2536,2)</f>
        <v/>
      </c>
      <c r="L2536" t="n">
        <v>1</v>
      </c>
      <c r="M2536" t="n">
        <v>3.16</v>
      </c>
      <c r="N2536">
        <f>(M2536-F2536)</f>
        <v/>
      </c>
    </row>
    <row r="2537" ht="15" customHeight="1">
      <c r="A2537" s="2" t="inlineStr"/>
      <c r="B2537" s="2" t="inlineStr"/>
      <c r="C2537" s="2" t="inlineStr"/>
      <c r="D2537" s="2" t="inlineStr"/>
      <c r="E2537" s="26" t="inlineStr">
        <is>
          <t>TOTAL Serviço:</t>
        </is>
      </c>
      <c r="F2537" s="56" t="n"/>
      <c r="G2537" s="65">
        <f>SUM(G2533:G2536)</f>
        <v/>
      </c>
    </row>
    <row r="2538" ht="15" customHeight="1">
      <c r="A2538" s="2" t="inlineStr"/>
      <c r="B2538" s="2" t="inlineStr"/>
      <c r="C2538" s="2" t="inlineStr"/>
      <c r="D2538" s="2" t="inlineStr"/>
      <c r="E2538" s="28" t="inlineStr">
        <is>
          <t>VALOR:</t>
        </is>
      </c>
      <c r="F2538" s="56" t="n"/>
      <c r="G2538" s="66">
        <f>ROUND(SUM(G2537),2)</f>
        <v/>
      </c>
    </row>
    <row r="2539" ht="15" customHeight="1">
      <c r="A2539" s="2" t="inlineStr"/>
      <c r="B2539" s="2" t="inlineStr"/>
      <c r="C2539" s="2" t="inlineStr"/>
      <c r="D2539" s="2" t="inlineStr"/>
      <c r="E2539" s="28" t="inlineStr">
        <is>
          <t>VALOR BDI (23.08%):</t>
        </is>
      </c>
      <c r="F2539" s="56" t="n"/>
      <c r="G2539" s="66">
        <f>ROUNDDOWN(G2538*BDI,2)</f>
        <v/>
      </c>
    </row>
    <row r="2540" ht="15" customHeight="1">
      <c r="A2540" s="2" t="inlineStr"/>
      <c r="B2540" s="2" t="inlineStr"/>
      <c r="C2540" s="2" t="inlineStr"/>
      <c r="D2540" s="2" t="inlineStr"/>
      <c r="E2540" s="28" t="inlineStr">
        <is>
          <t>VALOR COM BDI:</t>
        </is>
      </c>
      <c r="F2540" s="56" t="n"/>
      <c r="G2540" s="66">
        <f>G2539 + G2538</f>
        <v/>
      </c>
    </row>
    <row r="2541" ht="10" customHeight="1">
      <c r="A2541" s="2" t="inlineStr"/>
      <c r="B2541" s="2" t="inlineStr"/>
      <c r="C2541" s="2" t="inlineStr"/>
      <c r="D2541" s="2" t="inlineStr"/>
      <c r="E2541" s="18" t="inlineStr"/>
    </row>
    <row r="2542" ht="20" customHeight="1">
      <c r="A2542" s="19" t="inlineStr">
        <is>
          <t>​88387​ MISTURADOR DE ARGAMASSA, EIXO HORIZONTAL, CAPACIDADE DE MISTURA 300 KG, MOTOR ELÉTRICO POTÊNCIA 5 CV - DEPRECIAÇÃO. AF_05/2023​ (H)</t>
        </is>
      </c>
      <c r="B2542" s="55" t="n"/>
      <c r="C2542" s="55" t="n"/>
      <c r="D2542" s="55" t="n"/>
      <c r="E2542" s="55" t="n"/>
      <c r="F2542" s="55" t="n"/>
      <c r="G2542" s="56" t="n"/>
    </row>
    <row r="2543" ht="15" customHeight="1">
      <c r="A2543" s="20" t="inlineStr">
        <is>
          <t>Equipamento</t>
        </is>
      </c>
      <c r="B2543" s="56" t="n"/>
      <c r="C2543" s="21" t="inlineStr">
        <is>
          <t>FONTE</t>
        </is>
      </c>
      <c r="D2543" s="21" t="inlineStr">
        <is>
          <t>UNID</t>
        </is>
      </c>
      <c r="E2543" s="21" t="inlineStr">
        <is>
          <t>COEFICIENTE</t>
        </is>
      </c>
      <c r="F2543" s="21" t="inlineStr">
        <is>
          <t>PREÇO UNITÁRIO</t>
        </is>
      </c>
      <c r="G2543" s="21" t="inlineStr">
        <is>
          <t>TOTAL</t>
        </is>
      </c>
    </row>
    <row r="2544" ht="29" customHeight="1">
      <c r="A2544" s="22" t="inlineStr">
        <is>
          <t>00037544</t>
        </is>
      </c>
      <c r="B2544" s="23" t="inlineStr">
        <is>
          <t>MISTURADOR DE ARGAMASSA, EIXO HORIZONTAL, CAPACIDADE DE MISTURA 300 KG, MOTOR ELETRICO TRIFASICO 220/380 V, POTENCIA 5 CV</t>
        </is>
      </c>
      <c r="C2544" s="22" t="inlineStr">
        <is>
          <t>SINAPI</t>
        </is>
      </c>
      <c r="D2544" s="22" t="inlineStr">
        <is>
          <t>UN</t>
        </is>
      </c>
      <c r="E2544" s="63" t="n">
        <v>6.4e-05</v>
      </c>
      <c r="F2544" s="64" t="n">
        <v>14007.81</v>
      </c>
      <c r="G2544" s="64">
        <f>TRUNC(TRUNC(E2544,8)*F2544,2)</f>
        <v/>
      </c>
      <c r="M2544" t="n">
        <v>14007.81</v>
      </c>
      <c r="N2544">
        <f>(M2544-F2544)</f>
        <v/>
      </c>
    </row>
    <row r="2545" ht="15" customHeight="1">
      <c r="A2545" s="2" t="inlineStr"/>
      <c r="B2545" s="2" t="inlineStr"/>
      <c r="C2545" s="2" t="inlineStr"/>
      <c r="D2545" s="2" t="inlineStr"/>
      <c r="E2545" s="26" t="inlineStr">
        <is>
          <t>TOTAL Equipamento:</t>
        </is>
      </c>
      <c r="F2545" s="56" t="n"/>
      <c r="G2545" s="65">
        <f>SUM(G2544:G2544)</f>
        <v/>
      </c>
    </row>
    <row r="2546" ht="15" customHeight="1">
      <c r="A2546" s="2" t="inlineStr"/>
      <c r="B2546" s="2" t="inlineStr"/>
      <c r="C2546" s="2" t="inlineStr"/>
      <c r="D2546" s="2" t="inlineStr"/>
      <c r="E2546" s="28" t="inlineStr">
        <is>
          <t>VALOR:</t>
        </is>
      </c>
      <c r="F2546" s="56" t="n"/>
      <c r="G2546" s="66">
        <f>ROUND(SUM(G2545),2)</f>
        <v/>
      </c>
    </row>
    <row r="2547" ht="15" customHeight="1">
      <c r="A2547" s="2" t="inlineStr"/>
      <c r="B2547" s="2" t="inlineStr"/>
      <c r="C2547" s="2" t="inlineStr"/>
      <c r="D2547" s="2" t="inlineStr"/>
      <c r="E2547" s="28" t="inlineStr">
        <is>
          <t>VALOR BDI (23.08%):</t>
        </is>
      </c>
      <c r="F2547" s="56" t="n"/>
      <c r="G2547" s="66">
        <f>ROUNDDOWN(G2546*BDI,2)</f>
        <v/>
      </c>
    </row>
    <row r="2548" ht="15" customHeight="1">
      <c r="A2548" s="2" t="inlineStr"/>
      <c r="B2548" s="2" t="inlineStr"/>
      <c r="C2548" s="2" t="inlineStr"/>
      <c r="D2548" s="2" t="inlineStr"/>
      <c r="E2548" s="28" t="inlineStr">
        <is>
          <t>VALOR COM BDI:</t>
        </is>
      </c>
      <c r="F2548" s="56" t="n"/>
      <c r="G2548" s="66">
        <f>G2547 + G2546</f>
        <v/>
      </c>
    </row>
    <row r="2549" ht="10" customHeight="1">
      <c r="A2549" s="2" t="inlineStr"/>
      <c r="B2549" s="2" t="inlineStr"/>
      <c r="C2549" s="2" t="inlineStr"/>
      <c r="D2549" s="2" t="inlineStr"/>
      <c r="E2549" s="18" t="inlineStr"/>
    </row>
    <row r="2550" ht="20" customHeight="1">
      <c r="A2550" s="19" t="inlineStr">
        <is>
          <t>​88389​ MISTURADOR DE ARGAMASSA, EIXO HORIZONTAL, CAPACIDADE DE MISTURA 300 KG, MOTOR ELÉTRICO POTÊNCIA 5 CV - JUROS. AF_05/2023​ (H)</t>
        </is>
      </c>
      <c r="B2550" s="55" t="n"/>
      <c r="C2550" s="55" t="n"/>
      <c r="D2550" s="55" t="n"/>
      <c r="E2550" s="55" t="n"/>
      <c r="F2550" s="55" t="n"/>
      <c r="G2550" s="56" t="n"/>
    </row>
    <row r="2551" ht="15" customHeight="1">
      <c r="A2551" s="20" t="inlineStr">
        <is>
          <t>Equipamento</t>
        </is>
      </c>
      <c r="B2551" s="56" t="n"/>
      <c r="C2551" s="21" t="inlineStr">
        <is>
          <t>FONTE</t>
        </is>
      </c>
      <c r="D2551" s="21" t="inlineStr">
        <is>
          <t>UNID</t>
        </is>
      </c>
      <c r="E2551" s="21" t="inlineStr">
        <is>
          <t>COEFICIENTE</t>
        </is>
      </c>
      <c r="F2551" s="21" t="inlineStr">
        <is>
          <t>PREÇO UNITÁRIO</t>
        </is>
      </c>
      <c r="G2551" s="21" t="inlineStr">
        <is>
          <t>TOTAL</t>
        </is>
      </c>
    </row>
    <row r="2552" ht="29" customHeight="1">
      <c r="A2552" s="22" t="inlineStr">
        <is>
          <t>00037544</t>
        </is>
      </c>
      <c r="B2552" s="23" t="inlineStr">
        <is>
          <t>MISTURADOR DE ARGAMASSA, EIXO HORIZONTAL, CAPACIDADE DE MISTURA 300 KG, MOTOR ELETRICO TRIFASICO 220/380 V, POTENCIA 5 CV</t>
        </is>
      </c>
      <c r="C2552" s="22" t="inlineStr">
        <is>
          <t>SINAPI</t>
        </is>
      </c>
      <c r="D2552" s="22" t="inlineStr">
        <is>
          <t>UN</t>
        </is>
      </c>
      <c r="E2552" s="63" t="n">
        <v>1.48e-05</v>
      </c>
      <c r="F2552" s="64" t="n">
        <v>14007.81</v>
      </c>
      <c r="G2552" s="64">
        <f>TRUNC(TRUNC(E2552,8)*F2552,2)</f>
        <v/>
      </c>
      <c r="M2552" t="n">
        <v>14007.81</v>
      </c>
      <c r="N2552">
        <f>(M2552-F2552)</f>
        <v/>
      </c>
    </row>
    <row r="2553" ht="15" customHeight="1">
      <c r="A2553" s="2" t="inlineStr"/>
      <c r="B2553" s="2" t="inlineStr"/>
      <c r="C2553" s="2" t="inlineStr"/>
      <c r="D2553" s="2" t="inlineStr"/>
      <c r="E2553" s="26" t="inlineStr">
        <is>
          <t>TOTAL Equipamento:</t>
        </is>
      </c>
      <c r="F2553" s="56" t="n"/>
      <c r="G2553" s="65">
        <f>SUM(G2552:G2552)</f>
        <v/>
      </c>
    </row>
    <row r="2554" ht="15" customHeight="1">
      <c r="A2554" s="2" t="inlineStr"/>
      <c r="B2554" s="2" t="inlineStr"/>
      <c r="C2554" s="2" t="inlineStr"/>
      <c r="D2554" s="2" t="inlineStr"/>
      <c r="E2554" s="28" t="inlineStr">
        <is>
          <t>VALOR:</t>
        </is>
      </c>
      <c r="F2554" s="56" t="n"/>
      <c r="G2554" s="66">
        <f>ROUND(SUM(G2553),2)</f>
        <v/>
      </c>
    </row>
    <row r="2555" ht="15" customHeight="1">
      <c r="A2555" s="2" t="inlineStr"/>
      <c r="B2555" s="2" t="inlineStr"/>
      <c r="C2555" s="2" t="inlineStr"/>
      <c r="D2555" s="2" t="inlineStr"/>
      <c r="E2555" s="28" t="inlineStr">
        <is>
          <t>VALOR BDI (23.08%):</t>
        </is>
      </c>
      <c r="F2555" s="56" t="n"/>
      <c r="G2555" s="66">
        <f>ROUNDDOWN(G2554*BDI,2)</f>
        <v/>
      </c>
    </row>
    <row r="2556" ht="15" customHeight="1">
      <c r="A2556" s="2" t="inlineStr"/>
      <c r="B2556" s="2" t="inlineStr"/>
      <c r="C2556" s="2" t="inlineStr"/>
      <c r="D2556" s="2" t="inlineStr"/>
      <c r="E2556" s="28" t="inlineStr">
        <is>
          <t>VALOR COM BDI:</t>
        </is>
      </c>
      <c r="F2556" s="56" t="n"/>
      <c r="G2556" s="66">
        <f>G2555 + G2554</f>
        <v/>
      </c>
    </row>
    <row r="2557" ht="10" customHeight="1">
      <c r="A2557" s="2" t="inlineStr"/>
      <c r="B2557" s="2" t="inlineStr"/>
      <c r="C2557" s="2" t="inlineStr"/>
      <c r="D2557" s="2" t="inlineStr"/>
      <c r="E2557" s="18" t="inlineStr"/>
    </row>
    <row r="2558" ht="20" customHeight="1">
      <c r="A2558" s="19" t="inlineStr">
        <is>
          <t>​88390​ MISTURADOR DE ARGAMASSA, EIXO HORIZONTAL, CAPACIDADE DE MISTURA 300 KG, MOTOR ELÉTRICO POTÊNCIA 5 CV - MANUTENÇÃO. AF_05/2023​ (H)</t>
        </is>
      </c>
      <c r="B2558" s="55" t="n"/>
      <c r="C2558" s="55" t="n"/>
      <c r="D2558" s="55" t="n"/>
      <c r="E2558" s="55" t="n"/>
      <c r="F2558" s="55" t="n"/>
      <c r="G2558" s="56" t="n"/>
    </row>
    <row r="2559" ht="15" customHeight="1">
      <c r="A2559" s="20" t="inlineStr">
        <is>
          <t>Equipamento</t>
        </is>
      </c>
      <c r="B2559" s="56" t="n"/>
      <c r="C2559" s="21" t="inlineStr">
        <is>
          <t>FONTE</t>
        </is>
      </c>
      <c r="D2559" s="21" t="inlineStr">
        <is>
          <t>UNID</t>
        </is>
      </c>
      <c r="E2559" s="21" t="inlineStr">
        <is>
          <t>COEFICIENTE</t>
        </is>
      </c>
      <c r="F2559" s="21" t="inlineStr">
        <is>
          <t>PREÇO UNITÁRIO</t>
        </is>
      </c>
      <c r="G2559" s="21" t="inlineStr">
        <is>
          <t>TOTAL</t>
        </is>
      </c>
    </row>
    <row r="2560" ht="29" customHeight="1">
      <c r="A2560" s="22" t="inlineStr">
        <is>
          <t>00037544</t>
        </is>
      </c>
      <c r="B2560" s="23" t="inlineStr">
        <is>
          <t>MISTURADOR DE ARGAMASSA, EIXO HORIZONTAL, CAPACIDADE DE MISTURA 300 KG, MOTOR ELETRICO TRIFASICO 220/380 V, POTENCIA 5 CV</t>
        </is>
      </c>
      <c r="C2560" s="22" t="inlineStr">
        <is>
          <t>SINAPI</t>
        </is>
      </c>
      <c r="D2560" s="22" t="inlineStr">
        <is>
          <t>UN</t>
        </is>
      </c>
      <c r="E2560" s="63" t="n">
        <v>6.999999999999999e-05</v>
      </c>
      <c r="F2560" s="64" t="n">
        <v>14007.81</v>
      </c>
      <c r="G2560" s="64">
        <f>TRUNC(TRUNC(E2560,8)*F2560,2)</f>
        <v/>
      </c>
      <c r="M2560" t="n">
        <v>14007.81</v>
      </c>
      <c r="N2560">
        <f>(M2560-F2560)</f>
        <v/>
      </c>
    </row>
    <row r="2561" ht="15" customHeight="1">
      <c r="A2561" s="2" t="inlineStr"/>
      <c r="B2561" s="2" t="inlineStr"/>
      <c r="C2561" s="2" t="inlineStr"/>
      <c r="D2561" s="2" t="inlineStr"/>
      <c r="E2561" s="26" t="inlineStr">
        <is>
          <t>TOTAL Equipamento:</t>
        </is>
      </c>
      <c r="F2561" s="56" t="n"/>
      <c r="G2561" s="65">
        <f>SUM(G2560:G2560)</f>
        <v/>
      </c>
    </row>
    <row r="2562" ht="15" customHeight="1">
      <c r="A2562" s="2" t="inlineStr"/>
      <c r="B2562" s="2" t="inlineStr"/>
      <c r="C2562" s="2" t="inlineStr"/>
      <c r="D2562" s="2" t="inlineStr"/>
      <c r="E2562" s="28" t="inlineStr">
        <is>
          <t>VALOR:</t>
        </is>
      </c>
      <c r="F2562" s="56" t="n"/>
      <c r="G2562" s="66">
        <f>ROUND(SUM(G2561),2)</f>
        <v/>
      </c>
    </row>
    <row r="2563" ht="15" customHeight="1">
      <c r="A2563" s="2" t="inlineStr"/>
      <c r="B2563" s="2" t="inlineStr"/>
      <c r="C2563" s="2" t="inlineStr"/>
      <c r="D2563" s="2" t="inlineStr"/>
      <c r="E2563" s="28" t="inlineStr">
        <is>
          <t>VALOR BDI (23.08%):</t>
        </is>
      </c>
      <c r="F2563" s="56" t="n"/>
      <c r="G2563" s="66">
        <f>ROUNDDOWN(G2562*BDI,2)</f>
        <v/>
      </c>
    </row>
    <row r="2564" ht="15" customHeight="1">
      <c r="A2564" s="2" t="inlineStr"/>
      <c r="B2564" s="2" t="inlineStr"/>
      <c r="C2564" s="2" t="inlineStr"/>
      <c r="D2564" s="2" t="inlineStr"/>
      <c r="E2564" s="28" t="inlineStr">
        <is>
          <t>VALOR COM BDI:</t>
        </is>
      </c>
      <c r="F2564" s="56" t="n"/>
      <c r="G2564" s="66">
        <f>G2563 + G2562</f>
        <v/>
      </c>
    </row>
    <row r="2565" ht="10" customHeight="1">
      <c r="A2565" s="2" t="inlineStr"/>
      <c r="B2565" s="2" t="inlineStr"/>
      <c r="C2565" s="2" t="inlineStr"/>
      <c r="D2565" s="2" t="inlineStr"/>
      <c r="E2565" s="18" t="inlineStr"/>
    </row>
    <row r="2566" ht="20" customHeight="1">
      <c r="A2566" s="19" t="inlineStr">
        <is>
          <t>​88391​ MISTURADOR DE ARGAMASSA, EIXO HORIZONTAL, CAPACIDADE DE MISTURA 300 KG, MOTOR ELÉTRICO POTÊNCIA 5 CV - MATERIAIS NA OPERAÇÃO. AF_05/2023​ (H)</t>
        </is>
      </c>
      <c r="B2566" s="55" t="n"/>
      <c r="C2566" s="55" t="n"/>
      <c r="D2566" s="55" t="n"/>
      <c r="E2566" s="55" t="n"/>
      <c r="F2566" s="55" t="n"/>
      <c r="G2566" s="56" t="n"/>
    </row>
    <row r="2567" ht="15" customHeight="1">
      <c r="A2567" s="20" t="inlineStr">
        <is>
          <t>Especiais</t>
        </is>
      </c>
      <c r="B2567" s="56" t="n"/>
      <c r="C2567" s="21" t="inlineStr">
        <is>
          <t>FONTE</t>
        </is>
      </c>
      <c r="D2567" s="21" t="inlineStr">
        <is>
          <t>UNID</t>
        </is>
      </c>
      <c r="E2567" s="21" t="inlineStr">
        <is>
          <t>COEFICIENTE</t>
        </is>
      </c>
      <c r="F2567" s="21">
        <f>G2570</f>
        <v/>
      </c>
      <c r="G2567" s="21" t="inlineStr">
        <is>
          <t>TOTAL</t>
        </is>
      </c>
    </row>
    <row r="2568" ht="21" customHeight="1">
      <c r="A2568" s="22" t="inlineStr">
        <is>
          <t>00002705</t>
        </is>
      </c>
      <c r="B2568" s="23" t="inlineStr">
        <is>
          <t>ENERGIA ELETRICA ATE 2000 KWH INDUSTRIAL, SEM DEMANDA</t>
        </is>
      </c>
      <c r="C2568" s="22" t="inlineStr">
        <is>
          <t>SINAPI</t>
        </is>
      </c>
      <c r="D2568" s="22" t="inlineStr">
        <is>
          <t>KWH</t>
        </is>
      </c>
      <c r="E2568" s="63" t="n">
        <v>3.13</v>
      </c>
      <c r="F2568" s="64" t="n">
        <v>1.01</v>
      </c>
      <c r="G2568" s="64">
        <f>TRUNC(TRUNC(E2568,8)*F2568,2)</f>
        <v/>
      </c>
      <c r="L2568" t="n">
        <v>3.13</v>
      </c>
      <c r="M2568" t="n">
        <v>1.01</v>
      </c>
      <c r="N2568">
        <f>(M2568-F2568)</f>
        <v/>
      </c>
    </row>
    <row r="2569" ht="15" customHeight="1">
      <c r="A2569" s="2" t="inlineStr"/>
      <c r="B2569" s="2" t="inlineStr"/>
      <c r="C2569" s="2" t="inlineStr"/>
      <c r="D2569" s="2" t="inlineStr"/>
      <c r="E2569" s="26" t="inlineStr">
        <is>
          <t>TOTAL Especiais:</t>
        </is>
      </c>
      <c r="F2569" s="56" t="n"/>
      <c r="G2569" s="65">
        <f>SUM(G2568:G2568)</f>
        <v/>
      </c>
    </row>
    <row r="2570" ht="15" customHeight="1">
      <c r="A2570" s="2" t="inlineStr"/>
      <c r="B2570" s="2" t="inlineStr"/>
      <c r="C2570" s="2" t="inlineStr"/>
      <c r="D2570" s="2" t="inlineStr"/>
      <c r="E2570" s="28" t="inlineStr">
        <is>
          <t>VALOR:</t>
        </is>
      </c>
      <c r="F2570" s="56" t="n"/>
      <c r="G2570" s="66">
        <f>ROUND(SUM(G2569),2)</f>
        <v/>
      </c>
    </row>
    <row r="2571" ht="15" customHeight="1">
      <c r="A2571" s="2" t="inlineStr"/>
      <c r="B2571" s="2" t="inlineStr"/>
      <c r="C2571" s="2" t="inlineStr"/>
      <c r="D2571" s="2" t="inlineStr"/>
      <c r="E2571" s="28" t="inlineStr">
        <is>
          <t>VALOR BDI (23.08%):</t>
        </is>
      </c>
      <c r="F2571" s="56" t="n"/>
      <c r="G2571" s="66">
        <f>ROUNDDOWN(G2570*BDI,2)</f>
        <v/>
      </c>
    </row>
    <row r="2572" ht="15" customHeight="1">
      <c r="A2572" s="2" t="inlineStr"/>
      <c r="B2572" s="2" t="inlineStr"/>
      <c r="C2572" s="2" t="inlineStr"/>
      <c r="D2572" s="2" t="inlineStr"/>
      <c r="E2572" s="28" t="inlineStr">
        <is>
          <t>VALOR COM BDI:</t>
        </is>
      </c>
      <c r="F2572" s="56" t="n"/>
      <c r="G2572" s="66">
        <f>G2571 + G2570</f>
        <v/>
      </c>
    </row>
    <row r="2573" ht="10" customHeight="1">
      <c r="A2573" s="2" t="inlineStr"/>
      <c r="B2573" s="2" t="inlineStr"/>
      <c r="C2573" s="2" t="inlineStr"/>
      <c r="D2573" s="2" t="inlineStr"/>
      <c r="E2573" s="18" t="inlineStr"/>
    </row>
    <row r="2574" ht="20" customHeight="1">
      <c r="A2574" s="19" t="inlineStr">
        <is>
          <t>​88278​ MONTADOR DE ESTRUTURAS METÁLICAS COM ENCARGOS COMPLEMENTARES​ (H)</t>
        </is>
      </c>
      <c r="B2574" s="55" t="n"/>
      <c r="C2574" s="55" t="n"/>
      <c r="D2574" s="55" t="n"/>
      <c r="E2574" s="55" t="n"/>
      <c r="F2574" s="55" t="n"/>
      <c r="G2574" s="56" t="n"/>
    </row>
    <row r="2575" ht="15" customHeight="1">
      <c r="A2575" s="20" t="inlineStr">
        <is>
          <t>Encargos Complementares</t>
        </is>
      </c>
      <c r="B2575" s="56" t="n"/>
      <c r="C2575" s="21" t="inlineStr">
        <is>
          <t>FONTE</t>
        </is>
      </c>
      <c r="D2575" s="21" t="inlineStr">
        <is>
          <t>UNID</t>
        </is>
      </c>
      <c r="E2575" s="21" t="inlineStr">
        <is>
          <t>COEFICIENTE</t>
        </is>
      </c>
      <c r="F2575" s="21" t="inlineStr">
        <is>
          <t>PREÇO UNITÁRIO</t>
        </is>
      </c>
      <c r="G2575" s="21" t="inlineStr">
        <is>
          <t>TOTAL</t>
        </is>
      </c>
    </row>
    <row r="2576" ht="21" customHeight="1">
      <c r="A2576" s="22" t="inlineStr">
        <is>
          <t>00037370</t>
        </is>
      </c>
      <c r="B2576" s="23" t="inlineStr">
        <is>
          <t>ALIMENTACAO - HORISTA (COLETADO CAIXA - ENCARGOS COMPLEMENTARES)</t>
        </is>
      </c>
      <c r="C2576" s="22" t="inlineStr">
        <is>
          <t>SINAPI</t>
        </is>
      </c>
      <c r="D2576" s="22" t="inlineStr">
        <is>
          <t>H</t>
        </is>
      </c>
      <c r="E2576" s="63" t="n">
        <v>1</v>
      </c>
      <c r="F2576" s="64" t="n">
        <v>3.62</v>
      </c>
      <c r="G2576" s="64">
        <f>TRUNC(TRUNC(E2576,8)*F2576,2)</f>
        <v/>
      </c>
      <c r="L2576" t="n">
        <v>1</v>
      </c>
      <c r="M2576" t="n">
        <v>3.62</v>
      </c>
      <c r="N2576">
        <f>(M2576-F2576)</f>
        <v/>
      </c>
    </row>
    <row r="2577" ht="21" customHeight="1">
      <c r="A2577" s="22" t="inlineStr">
        <is>
          <t>00043488</t>
        </is>
      </c>
      <c r="B2577" s="23" t="inlineStr">
        <is>
          <t>EPI - FAMILIA OPERADOR ESCAVADEIRA - HORISTA (ENCARGOS COMPLEMENTARES - COLETADO CAIXA)</t>
        </is>
      </c>
      <c r="C2577" s="22" t="inlineStr">
        <is>
          <t>SINAPI</t>
        </is>
      </c>
      <c r="D2577" s="22" t="inlineStr">
        <is>
          <t>H</t>
        </is>
      </c>
      <c r="E2577" s="63" t="n">
        <v>1</v>
      </c>
      <c r="F2577" s="64" t="n">
        <v>0.89</v>
      </c>
      <c r="G2577" s="64">
        <f>TRUNC(TRUNC(E2577,8)*F2577,2)</f>
        <v/>
      </c>
      <c r="L2577" t="n">
        <v>1</v>
      </c>
      <c r="M2577" t="n">
        <v>0.89</v>
      </c>
      <c r="N2577">
        <f>(M2577-F2577)</f>
        <v/>
      </c>
    </row>
    <row r="2578" ht="21" customHeight="1">
      <c r="A2578" s="22" t="inlineStr">
        <is>
          <t>00037372</t>
        </is>
      </c>
      <c r="B2578" s="23" t="inlineStr">
        <is>
          <t>EXAMES - HORISTA (COLETADO CAIXA - ENCARGOS COMPLEMENTARES)</t>
        </is>
      </c>
      <c r="C2578" s="22" t="inlineStr">
        <is>
          <t>SINAPI</t>
        </is>
      </c>
      <c r="D2578" s="22" t="inlineStr">
        <is>
          <t>H</t>
        </is>
      </c>
      <c r="E2578" s="63" t="n">
        <v>1</v>
      </c>
      <c r="F2578" s="64" t="n">
        <v>1.43</v>
      </c>
      <c r="G2578" s="64">
        <f>TRUNC(TRUNC(E2578,8)*F2578,2)</f>
        <v/>
      </c>
      <c r="L2578" t="n">
        <v>1</v>
      </c>
      <c r="M2578" t="n">
        <v>1.43</v>
      </c>
      <c r="N2578">
        <f>(M2578-F2578)</f>
        <v/>
      </c>
    </row>
    <row r="2579" ht="29" customHeight="1">
      <c r="A2579" s="22" t="inlineStr">
        <is>
          <t>00043464</t>
        </is>
      </c>
      <c r="B2579" s="23" t="inlineStr">
        <is>
          <t>FERRAMENTAS - FAMILIA OPERADOR ESCAVADEIRA - HORISTA (ENCARGOS COMPLEMENTARES - COLETADO CAIXA)</t>
        </is>
      </c>
      <c r="C2579" s="22" t="inlineStr">
        <is>
          <t>SINAPI</t>
        </is>
      </c>
      <c r="D2579" s="22" t="inlineStr">
        <is>
          <t>H</t>
        </is>
      </c>
      <c r="E2579" s="63" t="n">
        <v>1</v>
      </c>
      <c r="F2579" s="64" t="n">
        <v>0.01</v>
      </c>
      <c r="G2579" s="64">
        <f>TRUNC(TRUNC(E2579,8)*F2579,2)</f>
        <v/>
      </c>
      <c r="L2579" t="n">
        <v>1</v>
      </c>
      <c r="M2579" t="n">
        <v>0.01</v>
      </c>
      <c r="N2579">
        <f>(M2579-F2579)</f>
        <v/>
      </c>
    </row>
    <row r="2580" ht="21" customHeight="1">
      <c r="A2580" s="22" t="inlineStr">
        <is>
          <t>00037373</t>
        </is>
      </c>
      <c r="B2580" s="23" t="inlineStr">
        <is>
          <t>SEGURO - HORISTA (COLETADO CAIXA - ENCARGOS COMPLEMENTARES)</t>
        </is>
      </c>
      <c r="C2580" s="22" t="inlineStr">
        <is>
          <t>SINAPI</t>
        </is>
      </c>
      <c r="D2580" s="22" t="inlineStr">
        <is>
          <t>H</t>
        </is>
      </c>
      <c r="E2580" s="63" t="n">
        <v>1</v>
      </c>
      <c r="F2580" s="64" t="n">
        <v>0.08</v>
      </c>
      <c r="G2580" s="64">
        <f>TRUNC(TRUNC(E2580,8)*F2580,2)</f>
        <v/>
      </c>
      <c r="L2580" t="n">
        <v>1</v>
      </c>
      <c r="M2580" t="n">
        <v>0.08</v>
      </c>
      <c r="N2580">
        <f>(M2580-F2580)</f>
        <v/>
      </c>
    </row>
    <row r="2581" ht="21" customHeight="1">
      <c r="A2581" s="22" t="inlineStr">
        <is>
          <t>00037371</t>
        </is>
      </c>
      <c r="B2581" s="23" t="inlineStr">
        <is>
          <t>TRANSPORTE - HORISTA (COLETADO CAIXA - ENCARGOS COMPLEMENTARES)</t>
        </is>
      </c>
      <c r="C2581" s="22" t="inlineStr">
        <is>
          <t>SINAPI</t>
        </is>
      </c>
      <c r="D2581" s="22" t="inlineStr">
        <is>
          <t>H</t>
        </is>
      </c>
      <c r="E2581" s="63" t="n">
        <v>1</v>
      </c>
      <c r="F2581" s="64" t="n">
        <v>1.09</v>
      </c>
      <c r="G2581" s="64">
        <f>TRUNC(TRUNC(E2581,8)*F2581,2)</f>
        <v/>
      </c>
      <c r="L2581" t="n">
        <v>1</v>
      </c>
      <c r="M2581" t="n">
        <v>1.09</v>
      </c>
      <c r="N2581">
        <f>(M2581-F2581)</f>
        <v/>
      </c>
    </row>
    <row r="2582" ht="15" customHeight="1">
      <c r="A2582" s="2" t="inlineStr"/>
      <c r="B2582" s="2" t="inlineStr"/>
      <c r="C2582" s="2" t="inlineStr"/>
      <c r="D2582" s="2" t="inlineStr"/>
      <c r="E2582" s="26" t="inlineStr">
        <is>
          <t>TOTAL Encargos Complementares:</t>
        </is>
      </c>
      <c r="F2582" s="56" t="n"/>
      <c r="G2582" s="65">
        <f>SUM(G2576:G2581)</f>
        <v/>
      </c>
    </row>
    <row r="2583" ht="15" customHeight="1">
      <c r="A2583" s="20" t="inlineStr">
        <is>
          <t>Mão de Obra</t>
        </is>
      </c>
      <c r="B2583" s="56" t="n"/>
      <c r="C2583" s="21" t="inlineStr">
        <is>
          <t>FONTE</t>
        </is>
      </c>
      <c r="D2583" s="21" t="inlineStr">
        <is>
          <t>UNID</t>
        </is>
      </c>
      <c r="E2583" s="21" t="inlineStr">
        <is>
          <t>COEFICIENTE</t>
        </is>
      </c>
      <c r="F2583" s="21" t="inlineStr">
        <is>
          <t>PREÇO UNITÁRIO</t>
        </is>
      </c>
      <c r="G2583" s="21" t="inlineStr">
        <is>
          <t>TOTAL</t>
        </is>
      </c>
    </row>
    <row r="2584" ht="15" customHeight="1">
      <c r="A2584" s="22" t="inlineStr">
        <is>
          <t>00044497</t>
        </is>
      </c>
      <c r="B2584" s="23" t="inlineStr">
        <is>
          <t>MONTADOR DE ESTRUTURAS METALICAS HORISTA</t>
        </is>
      </c>
      <c r="C2584" s="22" t="inlineStr">
        <is>
          <t>SINAPI</t>
        </is>
      </c>
      <c r="D2584" s="22" t="inlineStr">
        <is>
          <t>H</t>
        </is>
      </c>
      <c r="E2584" s="63">
        <f>L2584*FATOR</f>
        <v/>
      </c>
      <c r="F2584" s="64" t="n">
        <v>20.19</v>
      </c>
      <c r="G2584" s="64">
        <f>TRUNC(TRUNC(E2584,8)*F2584,2)</f>
        <v/>
      </c>
      <c r="L2584" t="n">
        <v>1</v>
      </c>
      <c r="M2584" t="n">
        <v>20.19</v>
      </c>
      <c r="N2584">
        <f>(M2584-F2584)</f>
        <v/>
      </c>
    </row>
    <row r="2585" ht="15" customHeight="1">
      <c r="A2585" s="2" t="inlineStr"/>
      <c r="B2585" s="2" t="inlineStr"/>
      <c r="C2585" s="2" t="inlineStr"/>
      <c r="D2585" s="2" t="inlineStr"/>
      <c r="E2585" s="26" t="inlineStr">
        <is>
          <t>TOTAL Mão de Obra:</t>
        </is>
      </c>
      <c r="F2585" s="56" t="n"/>
      <c r="G2585" s="65">
        <f>SUM(G2584:G2584)</f>
        <v/>
      </c>
    </row>
    <row r="2586" ht="15" customHeight="1">
      <c r="A2586" s="20" t="inlineStr">
        <is>
          <t>Serviço</t>
        </is>
      </c>
      <c r="B2586" s="56" t="n"/>
      <c r="C2586" s="21" t="inlineStr">
        <is>
          <t>FONTE</t>
        </is>
      </c>
      <c r="D2586" s="21" t="inlineStr">
        <is>
          <t>UNID</t>
        </is>
      </c>
      <c r="E2586" s="21" t="inlineStr">
        <is>
          <t>COEFICIENTE</t>
        </is>
      </c>
      <c r="F2586" s="21" t="inlineStr">
        <is>
          <t>PREÇO UNITÁRIO</t>
        </is>
      </c>
      <c r="G2586" s="21" t="inlineStr">
        <is>
          <t>TOTAL</t>
        </is>
      </c>
    </row>
    <row r="2587" ht="21" customHeight="1">
      <c r="A2587" s="22" t="inlineStr">
        <is>
          <t>95344</t>
        </is>
      </c>
      <c r="B2587" s="23" t="inlineStr">
        <is>
          <t>CURSO DE CAPACITAÇÃO PARA MONTADOR DE ESTRUTURA METÁLICA (ENCARGOS COMPLEMENTARES) - HORISTA</t>
        </is>
      </c>
      <c r="C2587" s="22" t="inlineStr">
        <is>
          <t>SINAPI</t>
        </is>
      </c>
      <c r="D2587" s="22" t="inlineStr">
        <is>
          <t>H</t>
        </is>
      </c>
      <c r="E2587" s="63" t="n">
        <v>1</v>
      </c>
      <c r="F2587" s="64">
        <f>'COMPOSICOES AUXILIARES'!G1683</f>
        <v/>
      </c>
      <c r="G2587" s="64">
        <f>TRUNC(TRUNC(E2587,8)*F2587,2)</f>
        <v/>
      </c>
      <c r="L2587" t="n">
        <v>1</v>
      </c>
      <c r="M2587" t="n">
        <v>0.23</v>
      </c>
      <c r="N2587">
        <f>(M2587-F2587)</f>
        <v/>
      </c>
    </row>
    <row r="2588" ht="15" customHeight="1">
      <c r="A2588" s="2" t="inlineStr"/>
      <c r="B2588" s="2" t="inlineStr"/>
      <c r="C2588" s="2" t="inlineStr"/>
      <c r="D2588" s="2" t="inlineStr"/>
      <c r="E2588" s="26" t="inlineStr">
        <is>
          <t>TOTAL Serviço:</t>
        </is>
      </c>
      <c r="F2588" s="56" t="n"/>
      <c r="G2588" s="65">
        <f>SUM(G2587:G2587)</f>
        <v/>
      </c>
    </row>
    <row r="2589" ht="15" customHeight="1">
      <c r="A2589" s="2" t="inlineStr"/>
      <c r="B2589" s="2" t="inlineStr"/>
      <c r="C2589" s="2" t="inlineStr"/>
      <c r="D2589" s="2" t="inlineStr"/>
      <c r="E2589" s="28" t="inlineStr">
        <is>
          <t>VALOR:</t>
        </is>
      </c>
      <c r="F2589" s="56" t="n"/>
      <c r="G2589" s="66">
        <f>SUM(G2585,G2588,G2582)</f>
        <v/>
      </c>
    </row>
    <row r="2590" ht="15" customHeight="1">
      <c r="A2590" s="2" t="inlineStr"/>
      <c r="B2590" s="2" t="inlineStr"/>
      <c r="C2590" s="2" t="inlineStr"/>
      <c r="D2590" s="2" t="inlineStr"/>
      <c r="E2590" s="28" t="inlineStr">
        <is>
          <t>VALOR BDI (23.08%):</t>
        </is>
      </c>
      <c r="F2590" s="56" t="n"/>
      <c r="G2590" s="66">
        <f>ROUNDDOWN(G2589*BDI,2)</f>
        <v/>
      </c>
    </row>
    <row r="2591" ht="15" customHeight="1">
      <c r="A2591" s="2" t="inlineStr"/>
      <c r="B2591" s="2" t="inlineStr"/>
      <c r="C2591" s="2" t="inlineStr"/>
      <c r="D2591" s="2" t="inlineStr"/>
      <c r="E2591" s="28" t="inlineStr">
        <is>
          <t>VALOR COM BDI:</t>
        </is>
      </c>
      <c r="F2591" s="56" t="n"/>
      <c r="G2591" s="66">
        <f>G2590 + G2589</f>
        <v/>
      </c>
    </row>
    <row r="2592" ht="10" customHeight="1">
      <c r="A2592" s="2" t="inlineStr"/>
      <c r="B2592" s="2" t="inlineStr"/>
      <c r="C2592" s="2" t="inlineStr"/>
      <c r="D2592" s="2" t="inlineStr"/>
      <c r="E2592" s="18" t="inlineStr"/>
    </row>
    <row r="2593" ht="20" customHeight="1">
      <c r="A2593" s="19" t="inlineStr">
        <is>
          <t>​92526​ MONTAGEM E DESMONTAGEM DE FÔRMA DE LAJE MACIÇA, PÉ-DIREITO SIMPLES, EM CHAPA DE MADEIRA COMPENSADA PLASTIFICADA, 10 UTILIZAÇÕES. AF_09/2020​ (M2)</t>
        </is>
      </c>
      <c r="B2593" s="55" t="n"/>
      <c r="C2593" s="55" t="n"/>
      <c r="D2593" s="55" t="n"/>
      <c r="E2593" s="55" t="n"/>
      <c r="F2593" s="55" t="n"/>
      <c r="G2593" s="56" t="n"/>
    </row>
    <row r="2594" ht="15" customHeight="1">
      <c r="A2594" s="20" t="inlineStr">
        <is>
          <t>Equipamento</t>
        </is>
      </c>
      <c r="B2594" s="56" t="n"/>
      <c r="C2594" s="21" t="inlineStr">
        <is>
          <t>FONTE</t>
        </is>
      </c>
      <c r="D2594" s="21" t="inlineStr">
        <is>
          <t>UNID</t>
        </is>
      </c>
      <c r="E2594" s="21" t="inlineStr">
        <is>
          <t>COEFICIENTE</t>
        </is>
      </c>
      <c r="F2594" s="21" t="inlineStr">
        <is>
          <t>PREÇO UNITÁRIO</t>
        </is>
      </c>
      <c r="G2594" s="21" t="inlineStr">
        <is>
          <t>TOTAL</t>
        </is>
      </c>
    </row>
    <row r="2595" ht="38" customHeight="1">
      <c r="A2595" s="22" t="inlineStr">
        <is>
          <t>00010749</t>
        </is>
      </c>
      <c r="B2595" s="23" t="inlineStr">
        <is>
          <t>LOCACAO DE ESCORA METALICA TELESCOPICA, COM ALTURA REGULAVEL DE *1,80* A *3,20* M, COM CAPACIDADE DE CARGA DE NO MINIMO 1000 KGF (10 KN), INCLUSO TRIPE E FORCADO</t>
        </is>
      </c>
      <c r="C2595" s="22" t="inlineStr">
        <is>
          <t>SINAPI</t>
        </is>
      </c>
      <c r="D2595" s="22" t="inlineStr">
        <is>
          <t>UNXMES</t>
        </is>
      </c>
      <c r="E2595" s="63" t="n">
        <v>0.397</v>
      </c>
      <c r="F2595" s="64">
        <f>ROUND(M2595*FATOR, 2)</f>
        <v/>
      </c>
      <c r="G2595" s="64">
        <f>TRUNC(TRUNC(E2595,8)*F2595,2)</f>
        <v/>
      </c>
      <c r="L2595" t="n">
        <v>0.397</v>
      </c>
      <c r="M2595" t="n">
        <v>22.98</v>
      </c>
      <c r="N2595">
        <f>(M2595-F2595)</f>
        <v/>
      </c>
    </row>
    <row r="2596" ht="15" customHeight="1">
      <c r="A2596" s="2" t="inlineStr"/>
      <c r="B2596" s="2" t="inlineStr"/>
      <c r="C2596" s="2" t="inlineStr"/>
      <c r="D2596" s="2" t="inlineStr"/>
      <c r="E2596" s="26" t="inlineStr">
        <is>
          <t>TOTAL Equipamento:</t>
        </is>
      </c>
      <c r="F2596" s="56" t="n"/>
      <c r="G2596" s="65">
        <f>SUM(G2595:G2595)</f>
        <v/>
      </c>
    </row>
    <row r="2597" ht="15" customHeight="1">
      <c r="A2597" s="20" t="inlineStr">
        <is>
          <t>Material</t>
        </is>
      </c>
      <c r="B2597" s="56" t="n"/>
      <c r="C2597" s="21" t="inlineStr">
        <is>
          <t>FONTE</t>
        </is>
      </c>
      <c r="D2597" s="21" t="inlineStr">
        <is>
          <t>UNID</t>
        </is>
      </c>
      <c r="E2597" s="21" t="inlineStr">
        <is>
          <t>COEFICIENTE</t>
        </is>
      </c>
      <c r="F2597" s="21" t="inlineStr">
        <is>
          <t>PREÇO UNITÁRIO</t>
        </is>
      </c>
      <c r="G2597" s="21" t="inlineStr">
        <is>
          <t>TOTAL</t>
        </is>
      </c>
    </row>
    <row r="2598" ht="21" customHeight="1">
      <c r="A2598" s="22" t="inlineStr">
        <is>
          <t>00002692</t>
        </is>
      </c>
      <c r="B2598" s="23" t="inlineStr">
        <is>
          <t>DESMOLDANTE PROTETOR PARA FORMAS DE MADEIRA, DE BASE OLEOSA EMULSIONADA EM AGUA</t>
        </is>
      </c>
      <c r="C2598" s="22" t="inlineStr">
        <is>
          <t>SINAPI</t>
        </is>
      </c>
      <c r="D2598" s="22" t="inlineStr">
        <is>
          <t>L</t>
        </is>
      </c>
      <c r="E2598" s="63" t="n">
        <v>0.004</v>
      </c>
      <c r="F2598" s="64">
        <f>ROUND(M2598*FATOR, 2)</f>
        <v/>
      </c>
      <c r="G2598" s="64">
        <f>TRUNC(TRUNC(E2598,8)*F2598,2)</f>
        <v/>
      </c>
      <c r="L2598" t="n">
        <v>0.004</v>
      </c>
      <c r="M2598" t="n">
        <v>8.06</v>
      </c>
      <c r="N2598">
        <f>(M2598-F2598)</f>
        <v/>
      </c>
    </row>
    <row r="2599" ht="21" customHeight="1">
      <c r="A2599" s="22" t="inlineStr">
        <is>
          <t>00040270</t>
        </is>
      </c>
      <c r="B2599" s="23" t="inlineStr">
        <is>
          <t>VIGA DE ESCORAMENTO H20, DE MADEIRA, PESO DE 5,00 A 5,20 KG/M, COM EXTREMIDADES PLASTICAS</t>
        </is>
      </c>
      <c r="C2599" s="22" t="inlineStr">
        <is>
          <t>SINAPI</t>
        </is>
      </c>
      <c r="D2599" s="22" t="inlineStr">
        <is>
          <t>M</t>
        </is>
      </c>
      <c r="E2599" s="63" t="n">
        <v>0.038</v>
      </c>
      <c r="F2599" s="64">
        <f>ROUND(M2599*FATOR, 2)</f>
        <v/>
      </c>
      <c r="G2599" s="64">
        <f>TRUNC(TRUNC(E2599,8)*F2599,2)</f>
        <v/>
      </c>
      <c r="L2599" t="n">
        <v>0.038</v>
      </c>
      <c r="M2599" t="n">
        <v>133.03</v>
      </c>
      <c r="N2599">
        <f>(M2599-F2599)</f>
        <v/>
      </c>
    </row>
    <row r="2600" ht="15" customHeight="1">
      <c r="A2600" s="2" t="inlineStr"/>
      <c r="B2600" s="2" t="inlineStr"/>
      <c r="C2600" s="2" t="inlineStr"/>
      <c r="D2600" s="2" t="inlineStr"/>
      <c r="E2600" s="26" t="inlineStr">
        <is>
          <t>TOTAL Material:</t>
        </is>
      </c>
      <c r="F2600" s="56" t="n"/>
      <c r="G2600" s="65">
        <f>SUM(G2598:G2599)</f>
        <v/>
      </c>
    </row>
    <row r="2601" ht="15" customHeight="1">
      <c r="A2601" s="20" t="inlineStr">
        <is>
          <t>Mão de Obra com Encargos Complementares</t>
        </is>
      </c>
      <c r="B2601" s="56" t="n"/>
      <c r="C2601" s="21" t="inlineStr">
        <is>
          <t>FONTE</t>
        </is>
      </c>
      <c r="D2601" s="21" t="inlineStr">
        <is>
          <t>UNID</t>
        </is>
      </c>
      <c r="E2601" s="21" t="inlineStr">
        <is>
          <t>COEFICIENTE</t>
        </is>
      </c>
      <c r="F2601" s="21" t="inlineStr">
        <is>
          <t>PREÇO UNITÁRIO</t>
        </is>
      </c>
      <c r="G2601" s="21" t="inlineStr">
        <is>
          <t>TOTAL</t>
        </is>
      </c>
    </row>
    <row r="2602" ht="21" customHeight="1">
      <c r="A2602" s="22" t="inlineStr">
        <is>
          <t>88239</t>
        </is>
      </c>
      <c r="B2602" s="23" t="inlineStr">
        <is>
          <t>AJUDANTE DE CARPINTEIRO COM ENCARGOS COMPLEMENTARES</t>
        </is>
      </c>
      <c r="C2602" s="22" t="inlineStr">
        <is>
          <t>SINAPI</t>
        </is>
      </c>
      <c r="D2602" s="22" t="inlineStr">
        <is>
          <t>H</t>
        </is>
      </c>
      <c r="E2602" s="63">
        <f>L2602*FATOR</f>
        <v/>
      </c>
      <c r="F2602" s="64">
        <f>'COMPOSICOES AUXILIARES'!G68</f>
        <v/>
      </c>
      <c r="G2602" s="64">
        <f>TRUNC(TRUNC(E2602,8)*F2602,2)</f>
        <v/>
      </c>
      <c r="L2602" t="n">
        <v>0.092</v>
      </c>
      <c r="M2602" t="n">
        <v>24.61</v>
      </c>
      <c r="N2602">
        <f>(M2602-F2602)</f>
        <v/>
      </c>
    </row>
    <row r="2603" ht="21" customHeight="1">
      <c r="A2603" s="22" t="inlineStr">
        <is>
          <t>88262</t>
        </is>
      </c>
      <c r="B2603" s="23" t="inlineStr">
        <is>
          <t>CARPINTEIRO DE FORMAS COM ENCARGOS COMPLEMENTARES</t>
        </is>
      </c>
      <c r="C2603" s="22" t="inlineStr">
        <is>
          <t>SINAPI</t>
        </is>
      </c>
      <c r="D2603" s="22" t="inlineStr">
        <is>
          <t>H</t>
        </is>
      </c>
      <c r="E2603" s="63">
        <f>L2603*FATOR</f>
        <v/>
      </c>
      <c r="F2603" s="64">
        <f>'COMPOSICOES AUXILIARES'!G943</f>
        <v/>
      </c>
      <c r="G2603" s="64">
        <f>TRUNC(TRUNC(E2603,8)*F2603,2)</f>
        <v/>
      </c>
      <c r="L2603" t="n">
        <v>0.502</v>
      </c>
      <c r="M2603" t="n">
        <v>30.15</v>
      </c>
      <c r="N2603">
        <f>(M2603-F2603)</f>
        <v/>
      </c>
    </row>
    <row r="2604" ht="18" customHeight="1">
      <c r="A2604" s="2" t="inlineStr"/>
      <c r="B2604" s="2" t="inlineStr"/>
      <c r="C2604" s="2" t="inlineStr"/>
      <c r="D2604" s="2" t="inlineStr"/>
      <c r="E2604" s="26" t="inlineStr">
        <is>
          <t>TOTAL Mão de Obra com Encargos Complementares:</t>
        </is>
      </c>
      <c r="F2604" s="56" t="n"/>
      <c r="G2604" s="65">
        <f>SUM(G2602:G2603)</f>
        <v/>
      </c>
    </row>
    <row r="2605" ht="15" customHeight="1">
      <c r="A2605" s="20" t="inlineStr">
        <is>
          <t>Serviço</t>
        </is>
      </c>
      <c r="B2605" s="56" t="n"/>
      <c r="C2605" s="21" t="inlineStr">
        <is>
          <t>FONTE</t>
        </is>
      </c>
      <c r="D2605" s="21" t="inlineStr">
        <is>
          <t>UNID</t>
        </is>
      </c>
      <c r="E2605" s="21" t="inlineStr">
        <is>
          <t>COEFICIENTE</t>
        </is>
      </c>
      <c r="F2605" s="21" t="inlineStr">
        <is>
          <t>PREÇO UNITÁRIO</t>
        </is>
      </c>
      <c r="G2605" s="21" t="inlineStr">
        <is>
          <t>TOTAL</t>
        </is>
      </c>
    </row>
    <row r="2606" ht="29" customHeight="1">
      <c r="A2606" s="22" t="inlineStr">
        <is>
          <t>92268</t>
        </is>
      </c>
      <c r="B2606" s="23" t="inlineStr">
        <is>
          <t>FABRICAÇÃO DE FÔRMA PARA LAJES, EM CHAPA DE MADEIRA COMPENSADA PLASTIFICADA, E = 18 MM. AF_09/2020</t>
        </is>
      </c>
      <c r="C2606" s="22" t="inlineStr">
        <is>
          <t>SINAPI</t>
        </is>
      </c>
      <c r="D2606" s="22" t="inlineStr">
        <is>
          <t>M2</t>
        </is>
      </c>
      <c r="E2606" s="63" t="n">
        <v>0.136</v>
      </c>
      <c r="F2606" s="64">
        <f>'COMPOSICOES AUXILIARES'!G2087</f>
        <v/>
      </c>
      <c r="G2606" s="64">
        <f>TRUNC(TRUNC(E2606,8)*F2606,2)</f>
        <v/>
      </c>
      <c r="L2606" t="n">
        <v>0.136</v>
      </c>
      <c r="M2606" t="n">
        <v>103.84</v>
      </c>
      <c r="N2606">
        <f>(M2606-F2606)</f>
        <v/>
      </c>
    </row>
    <row r="2607" ht="15" customHeight="1">
      <c r="A2607" s="2" t="inlineStr"/>
      <c r="B2607" s="2" t="inlineStr"/>
      <c r="C2607" s="2" t="inlineStr"/>
      <c r="D2607" s="2" t="inlineStr"/>
      <c r="E2607" s="26" t="inlineStr">
        <is>
          <t>TOTAL Serviço:</t>
        </is>
      </c>
      <c r="F2607" s="56" t="n"/>
      <c r="G2607" s="65">
        <f>SUM(G2606:G2606)</f>
        <v/>
      </c>
    </row>
    <row r="2608" ht="15" customHeight="1">
      <c r="A2608" s="2" t="inlineStr"/>
      <c r="B2608" s="2" t="inlineStr"/>
      <c r="C2608" s="2" t="inlineStr"/>
      <c r="D2608" s="2" t="inlineStr"/>
      <c r="E2608" s="28" t="inlineStr">
        <is>
          <t>VALOR:</t>
        </is>
      </c>
      <c r="F2608" s="56" t="n"/>
      <c r="G2608" s="66">
        <f>SUM(G2600,G2604,G2596,G2607)</f>
        <v/>
      </c>
    </row>
    <row r="2609" ht="15" customHeight="1">
      <c r="A2609" s="2" t="inlineStr"/>
      <c r="B2609" s="2" t="inlineStr"/>
      <c r="C2609" s="2" t="inlineStr"/>
      <c r="D2609" s="2" t="inlineStr"/>
      <c r="E2609" s="28" t="inlineStr">
        <is>
          <t>VALOR BDI (23.08%):</t>
        </is>
      </c>
      <c r="F2609" s="56" t="n"/>
      <c r="G2609" s="66">
        <f>ROUNDDOWN(G2608*BDI,2)</f>
        <v/>
      </c>
    </row>
    <row r="2610" ht="15" customHeight="1">
      <c r="A2610" s="2" t="inlineStr"/>
      <c r="B2610" s="2" t="inlineStr"/>
      <c r="C2610" s="2" t="inlineStr"/>
      <c r="D2610" s="2" t="inlineStr"/>
      <c r="E2610" s="28" t="inlineStr">
        <is>
          <t>VALOR COM BDI:</t>
        </is>
      </c>
      <c r="F2610" s="56" t="n"/>
      <c r="G2610" s="66">
        <f>G2609 + G2608</f>
        <v/>
      </c>
    </row>
    <row r="2611" ht="10" customHeight="1">
      <c r="A2611" s="2" t="inlineStr"/>
      <c r="B2611" s="2" t="inlineStr"/>
      <c r="C2611" s="2" t="inlineStr"/>
      <c r="D2611" s="2" t="inlineStr"/>
      <c r="E2611" s="18" t="inlineStr"/>
    </row>
    <row r="2612" ht="20" customHeight="1">
      <c r="A2612" s="19" t="inlineStr">
        <is>
          <t>​88281​ MOTORISTA DE BASCULANTE COM ENCARGOS COMPLEMENTARES​ (H)</t>
        </is>
      </c>
      <c r="B2612" s="55" t="n"/>
      <c r="C2612" s="55" t="n"/>
      <c r="D2612" s="55" t="n"/>
      <c r="E2612" s="55" t="n"/>
      <c r="F2612" s="55" t="n"/>
      <c r="G2612" s="56" t="n"/>
    </row>
    <row r="2613" ht="15" customHeight="1">
      <c r="A2613" s="20" t="inlineStr">
        <is>
          <t>Encargos Complementares</t>
        </is>
      </c>
      <c r="B2613" s="56" t="n"/>
      <c r="C2613" s="21" t="inlineStr">
        <is>
          <t>FONTE</t>
        </is>
      </c>
      <c r="D2613" s="21" t="inlineStr">
        <is>
          <t>UNID</t>
        </is>
      </c>
      <c r="E2613" s="21" t="inlineStr">
        <is>
          <t>COEFICIENTE</t>
        </is>
      </c>
      <c r="F2613" s="21" t="inlineStr">
        <is>
          <t>PREÇO UNITÁRIO</t>
        </is>
      </c>
      <c r="G2613" s="21" t="inlineStr">
        <is>
          <t>TOTAL</t>
        </is>
      </c>
    </row>
    <row r="2614" ht="21" customHeight="1">
      <c r="A2614" s="22" t="inlineStr">
        <is>
          <t>00037370</t>
        </is>
      </c>
      <c r="B2614" s="23" t="inlineStr">
        <is>
          <t>ALIMENTACAO - HORISTA (COLETADO CAIXA - ENCARGOS COMPLEMENTARES)</t>
        </is>
      </c>
      <c r="C2614" s="22" t="inlineStr">
        <is>
          <t>SINAPI</t>
        </is>
      </c>
      <c r="D2614" s="22" t="inlineStr">
        <is>
          <t>H</t>
        </is>
      </c>
      <c r="E2614" s="63" t="n">
        <v>1</v>
      </c>
      <c r="F2614" s="64" t="n">
        <v>3.62</v>
      </c>
      <c r="G2614" s="64">
        <f>TRUNC(TRUNC(E2614,8)*F2614,2)</f>
        <v/>
      </c>
      <c r="L2614" t="n">
        <v>1</v>
      </c>
      <c r="M2614" t="n">
        <v>3.62</v>
      </c>
      <c r="N2614">
        <f>(M2614-F2614)</f>
        <v/>
      </c>
    </row>
    <row r="2615" ht="21" customHeight="1">
      <c r="A2615" s="22" t="inlineStr">
        <is>
          <t>00043488</t>
        </is>
      </c>
      <c r="B2615" s="23" t="inlineStr">
        <is>
          <t>EPI - FAMILIA OPERADOR ESCAVADEIRA - HORISTA (ENCARGOS COMPLEMENTARES - COLETADO CAIXA)</t>
        </is>
      </c>
      <c r="C2615" s="22" t="inlineStr">
        <is>
          <t>SINAPI</t>
        </is>
      </c>
      <c r="D2615" s="22" t="inlineStr">
        <is>
          <t>H</t>
        </is>
      </c>
      <c r="E2615" s="63" t="n">
        <v>1</v>
      </c>
      <c r="F2615" s="64" t="n">
        <v>0.89</v>
      </c>
      <c r="G2615" s="64">
        <f>TRUNC(TRUNC(E2615,8)*F2615,2)</f>
        <v/>
      </c>
      <c r="L2615" t="n">
        <v>1</v>
      </c>
      <c r="M2615" t="n">
        <v>0.89</v>
      </c>
      <c r="N2615">
        <f>(M2615-F2615)</f>
        <v/>
      </c>
    </row>
    <row r="2616" ht="21" customHeight="1">
      <c r="A2616" s="22" t="inlineStr">
        <is>
          <t>00037372</t>
        </is>
      </c>
      <c r="B2616" s="23" t="inlineStr">
        <is>
          <t>EXAMES - HORISTA (COLETADO CAIXA - ENCARGOS COMPLEMENTARES)</t>
        </is>
      </c>
      <c r="C2616" s="22" t="inlineStr">
        <is>
          <t>SINAPI</t>
        </is>
      </c>
      <c r="D2616" s="22" t="inlineStr">
        <is>
          <t>H</t>
        </is>
      </c>
      <c r="E2616" s="63" t="n">
        <v>1</v>
      </c>
      <c r="F2616" s="64" t="n">
        <v>1.43</v>
      </c>
      <c r="G2616" s="64">
        <f>TRUNC(TRUNC(E2616,8)*F2616,2)</f>
        <v/>
      </c>
      <c r="L2616" t="n">
        <v>1</v>
      </c>
      <c r="M2616" t="n">
        <v>1.43</v>
      </c>
      <c r="N2616">
        <f>(M2616-F2616)</f>
        <v/>
      </c>
    </row>
    <row r="2617" ht="29" customHeight="1">
      <c r="A2617" s="22" t="inlineStr">
        <is>
          <t>00043464</t>
        </is>
      </c>
      <c r="B2617" s="23" t="inlineStr">
        <is>
          <t>FERRAMENTAS - FAMILIA OPERADOR ESCAVADEIRA - HORISTA (ENCARGOS COMPLEMENTARES - COLETADO CAIXA)</t>
        </is>
      </c>
      <c r="C2617" s="22" t="inlineStr">
        <is>
          <t>SINAPI</t>
        </is>
      </c>
      <c r="D2617" s="22" t="inlineStr">
        <is>
          <t>H</t>
        </is>
      </c>
      <c r="E2617" s="63" t="n">
        <v>1</v>
      </c>
      <c r="F2617" s="64" t="n">
        <v>0.01</v>
      </c>
      <c r="G2617" s="64">
        <f>TRUNC(TRUNC(E2617,8)*F2617,2)</f>
        <v/>
      </c>
      <c r="L2617" t="n">
        <v>1</v>
      </c>
      <c r="M2617" t="n">
        <v>0.01</v>
      </c>
      <c r="N2617">
        <f>(M2617-F2617)</f>
        <v/>
      </c>
    </row>
    <row r="2618" ht="21" customHeight="1">
      <c r="A2618" s="22" t="inlineStr">
        <is>
          <t>00037373</t>
        </is>
      </c>
      <c r="B2618" s="23" t="inlineStr">
        <is>
          <t>SEGURO - HORISTA (COLETADO CAIXA - ENCARGOS COMPLEMENTARES)</t>
        </is>
      </c>
      <c r="C2618" s="22" t="inlineStr">
        <is>
          <t>SINAPI</t>
        </is>
      </c>
      <c r="D2618" s="22" t="inlineStr">
        <is>
          <t>H</t>
        </is>
      </c>
      <c r="E2618" s="63" t="n">
        <v>1</v>
      </c>
      <c r="F2618" s="64" t="n">
        <v>0.08</v>
      </c>
      <c r="G2618" s="64">
        <f>TRUNC(TRUNC(E2618,8)*F2618,2)</f>
        <v/>
      </c>
      <c r="L2618" t="n">
        <v>1</v>
      </c>
      <c r="M2618" t="n">
        <v>0.08</v>
      </c>
      <c r="N2618">
        <f>(M2618-F2618)</f>
        <v/>
      </c>
    </row>
    <row r="2619" ht="21" customHeight="1">
      <c r="A2619" s="22" t="inlineStr">
        <is>
          <t>00037371</t>
        </is>
      </c>
      <c r="B2619" s="23" t="inlineStr">
        <is>
          <t>TRANSPORTE - HORISTA (COLETADO CAIXA - ENCARGOS COMPLEMENTARES)</t>
        </is>
      </c>
      <c r="C2619" s="22" t="inlineStr">
        <is>
          <t>SINAPI</t>
        </is>
      </c>
      <c r="D2619" s="22" t="inlineStr">
        <is>
          <t>H</t>
        </is>
      </c>
      <c r="E2619" s="63" t="n">
        <v>1</v>
      </c>
      <c r="F2619" s="64" t="n">
        <v>1.09</v>
      </c>
      <c r="G2619" s="64">
        <f>TRUNC(TRUNC(E2619,8)*F2619,2)</f>
        <v/>
      </c>
      <c r="L2619" t="n">
        <v>1</v>
      </c>
      <c r="M2619" t="n">
        <v>1.09</v>
      </c>
      <c r="N2619">
        <f>(M2619-F2619)</f>
        <v/>
      </c>
    </row>
    <row r="2620" ht="15" customHeight="1">
      <c r="A2620" s="2" t="inlineStr"/>
      <c r="B2620" s="2" t="inlineStr"/>
      <c r="C2620" s="2" t="inlineStr"/>
      <c r="D2620" s="2" t="inlineStr"/>
      <c r="E2620" s="26" t="inlineStr">
        <is>
          <t>TOTAL Encargos Complementares:</t>
        </is>
      </c>
      <c r="F2620" s="56" t="n"/>
      <c r="G2620" s="65">
        <f>SUM(G2614:G2619)</f>
        <v/>
      </c>
    </row>
    <row r="2621" ht="15" customHeight="1">
      <c r="A2621" s="20" t="inlineStr">
        <is>
          <t>Mão de Obra</t>
        </is>
      </c>
      <c r="B2621" s="56" t="n"/>
      <c r="C2621" s="21" t="inlineStr">
        <is>
          <t>FONTE</t>
        </is>
      </c>
      <c r="D2621" s="21" t="inlineStr">
        <is>
          <t>UNID</t>
        </is>
      </c>
      <c r="E2621" s="21" t="inlineStr">
        <is>
          <t>COEFICIENTE</t>
        </is>
      </c>
      <c r="F2621" s="21" t="inlineStr">
        <is>
          <t>PREÇO UNITÁRIO</t>
        </is>
      </c>
      <c r="G2621" s="21" t="inlineStr">
        <is>
          <t>TOTAL</t>
        </is>
      </c>
    </row>
    <row r="2622" ht="15" customHeight="1">
      <c r="A2622" s="22" t="inlineStr">
        <is>
          <t>00020020</t>
        </is>
      </c>
      <c r="B2622" s="23" t="inlineStr">
        <is>
          <t>MOTORISTA DE CAMINHAO-BASCULANTE (HORISTA)</t>
        </is>
      </c>
      <c r="C2622" s="22" t="inlineStr">
        <is>
          <t>SINAPI</t>
        </is>
      </c>
      <c r="D2622" s="22" t="inlineStr">
        <is>
          <t>H</t>
        </is>
      </c>
      <c r="E2622" s="63" t="n">
        <v>1</v>
      </c>
      <c r="F2622" s="64" t="n">
        <v>28.26</v>
      </c>
      <c r="G2622" s="64">
        <f>TRUNC(TRUNC(E2622,8)*F2622,2)</f>
        <v/>
      </c>
      <c r="L2622" t="n">
        <v>1</v>
      </c>
      <c r="M2622" t="n">
        <v>28.26</v>
      </c>
      <c r="N2622">
        <f>(M2622-F2622)</f>
        <v/>
      </c>
    </row>
    <row r="2623" ht="15" customHeight="1">
      <c r="A2623" s="2" t="inlineStr"/>
      <c r="B2623" s="2" t="inlineStr"/>
      <c r="C2623" s="2" t="inlineStr"/>
      <c r="D2623" s="2" t="inlineStr"/>
      <c r="E2623" s="26" t="inlineStr">
        <is>
          <t>TOTAL Mão de Obra:</t>
        </is>
      </c>
      <c r="F2623" s="56" t="n"/>
      <c r="G2623" s="65">
        <f>SUM(G2622:G2622)</f>
        <v/>
      </c>
    </row>
    <row r="2624" ht="15" customHeight="1">
      <c r="A2624" s="20" t="inlineStr">
        <is>
          <t>Serviço</t>
        </is>
      </c>
      <c r="B2624" s="56" t="n"/>
      <c r="C2624" s="21" t="inlineStr">
        <is>
          <t>FONTE</t>
        </is>
      </c>
      <c r="D2624" s="21" t="inlineStr">
        <is>
          <t>UNID</t>
        </is>
      </c>
      <c r="E2624" s="21" t="inlineStr">
        <is>
          <t>COEFICIENTE</t>
        </is>
      </c>
      <c r="F2624" s="21" t="inlineStr">
        <is>
          <t>PREÇO UNITÁRIO</t>
        </is>
      </c>
      <c r="G2624" s="21" t="inlineStr">
        <is>
          <t>TOTAL</t>
        </is>
      </c>
    </row>
    <row r="2625" ht="21" customHeight="1">
      <c r="A2625" s="22" t="inlineStr">
        <is>
          <t>95346</t>
        </is>
      </c>
      <c r="B2625" s="23" t="inlineStr">
        <is>
          <t>CURSO DE CAPACITAÇÃO PARA MOTORISTA DE BASCULANTE (ENCARGOS COMPLEMENTARES) - HORISTA</t>
        </is>
      </c>
      <c r="C2625" s="22" t="inlineStr">
        <is>
          <t>SINAPI</t>
        </is>
      </c>
      <c r="D2625" s="22" t="inlineStr">
        <is>
          <t>H</t>
        </is>
      </c>
      <c r="E2625" s="63" t="n">
        <v>1</v>
      </c>
      <c r="F2625" s="64">
        <f>G1691</f>
        <v/>
      </c>
      <c r="G2625" s="64">
        <f>TRUNC(TRUNC(E2625,8)*F2625,2)</f>
        <v/>
      </c>
      <c r="L2625" t="n">
        <v>1</v>
      </c>
      <c r="M2625" t="n">
        <v>0.14</v>
      </c>
      <c r="N2625">
        <f>(M2625-F2625)</f>
        <v/>
      </c>
    </row>
    <row r="2626" ht="15" customHeight="1">
      <c r="A2626" s="2" t="inlineStr"/>
      <c r="B2626" s="2" t="inlineStr"/>
      <c r="C2626" s="2" t="inlineStr"/>
      <c r="D2626" s="2" t="inlineStr"/>
      <c r="E2626" s="26" t="inlineStr">
        <is>
          <t>TOTAL Serviço:</t>
        </is>
      </c>
      <c r="F2626" s="56" t="n"/>
      <c r="G2626" s="65">
        <f>SUM(G2625:G2625)</f>
        <v/>
      </c>
    </row>
    <row r="2627" ht="15" customHeight="1">
      <c r="A2627" s="2" t="inlineStr"/>
      <c r="B2627" s="2" t="inlineStr"/>
      <c r="C2627" s="2" t="inlineStr"/>
      <c r="D2627" s="2" t="inlineStr"/>
      <c r="E2627" s="28" t="inlineStr">
        <is>
          <t>VALOR:</t>
        </is>
      </c>
      <c r="F2627" s="56" t="n"/>
      <c r="G2627" s="66">
        <f>ROUND(SUM(G2620,G2623,G2626),2)</f>
        <v/>
      </c>
    </row>
    <row r="2628" ht="15" customHeight="1">
      <c r="A2628" s="2" t="inlineStr"/>
      <c r="B2628" s="2" t="inlineStr"/>
      <c r="C2628" s="2" t="inlineStr"/>
      <c r="D2628" s="2" t="inlineStr"/>
      <c r="E2628" s="28" t="inlineStr">
        <is>
          <t>VALOR BDI (23.08%):</t>
        </is>
      </c>
      <c r="F2628" s="56" t="n"/>
      <c r="G2628" s="66">
        <f>ROUNDDOWN(G2627*BDI,2)</f>
        <v/>
      </c>
    </row>
    <row r="2629" ht="15" customHeight="1">
      <c r="A2629" s="2" t="inlineStr"/>
      <c r="B2629" s="2" t="inlineStr"/>
      <c r="C2629" s="2" t="inlineStr"/>
      <c r="D2629" s="2" t="inlineStr"/>
      <c r="E2629" s="28" t="inlineStr">
        <is>
          <t>VALOR COM BDI:</t>
        </is>
      </c>
      <c r="F2629" s="56" t="n"/>
      <c r="G2629" s="66">
        <f>G2628 + G2627</f>
        <v/>
      </c>
    </row>
    <row r="2630" ht="10" customHeight="1">
      <c r="A2630" s="2" t="inlineStr"/>
      <c r="B2630" s="2" t="inlineStr"/>
      <c r="C2630" s="2" t="inlineStr"/>
      <c r="D2630" s="2" t="inlineStr"/>
      <c r="E2630" s="18" t="inlineStr"/>
    </row>
    <row r="2631" ht="20" customHeight="1">
      <c r="A2631" s="19" t="inlineStr">
        <is>
          <t>​88282​ MOTORISTA DE CAMINHÃO COM ENCARGOS COMPLEMENTARES​ (H)</t>
        </is>
      </c>
      <c r="B2631" s="55" t="n"/>
      <c r="C2631" s="55" t="n"/>
      <c r="D2631" s="55" t="n"/>
      <c r="E2631" s="55" t="n"/>
      <c r="F2631" s="55" t="n"/>
      <c r="G2631" s="56" t="n"/>
    </row>
    <row r="2632" ht="15" customHeight="1">
      <c r="A2632" s="20" t="inlineStr">
        <is>
          <t>Encargos Complementares</t>
        </is>
      </c>
      <c r="B2632" s="56" t="n"/>
      <c r="C2632" s="21" t="inlineStr">
        <is>
          <t>FONTE</t>
        </is>
      </c>
      <c r="D2632" s="21" t="inlineStr">
        <is>
          <t>UNID</t>
        </is>
      </c>
      <c r="E2632" s="21" t="inlineStr">
        <is>
          <t>COEFICIENTE</t>
        </is>
      </c>
      <c r="F2632" s="21" t="inlineStr">
        <is>
          <t>PREÇO UNITÁRIO</t>
        </is>
      </c>
      <c r="G2632" s="21" t="inlineStr">
        <is>
          <t>TOTAL</t>
        </is>
      </c>
    </row>
    <row r="2633" ht="21" customHeight="1">
      <c r="A2633" s="22" t="inlineStr">
        <is>
          <t>00037370</t>
        </is>
      </c>
      <c r="B2633" s="23" t="inlineStr">
        <is>
          <t>ALIMENTACAO - HORISTA (COLETADO CAIXA - ENCARGOS COMPLEMENTARES)</t>
        </is>
      </c>
      <c r="C2633" s="22" t="inlineStr">
        <is>
          <t>SINAPI</t>
        </is>
      </c>
      <c r="D2633" s="22" t="inlineStr">
        <is>
          <t>H</t>
        </is>
      </c>
      <c r="E2633" s="63" t="n">
        <v>1</v>
      </c>
      <c r="F2633" s="64" t="n">
        <v>3.62</v>
      </c>
      <c r="G2633" s="64">
        <f>TRUNC(TRUNC(E2633,8)*F2633,2)</f>
        <v/>
      </c>
      <c r="L2633" t="n">
        <v>1</v>
      </c>
      <c r="M2633" t="n">
        <v>3.62</v>
      </c>
      <c r="N2633">
        <f>(M2633-F2633)</f>
        <v/>
      </c>
    </row>
    <row r="2634" ht="21" customHeight="1">
      <c r="A2634" s="22" t="inlineStr">
        <is>
          <t>00043488</t>
        </is>
      </c>
      <c r="B2634" s="23" t="inlineStr">
        <is>
          <t>EPI - FAMILIA OPERADOR ESCAVADEIRA - HORISTA (ENCARGOS COMPLEMENTARES - COLETADO CAIXA)</t>
        </is>
      </c>
      <c r="C2634" s="22" t="inlineStr">
        <is>
          <t>SINAPI</t>
        </is>
      </c>
      <c r="D2634" s="22" t="inlineStr">
        <is>
          <t>H</t>
        </is>
      </c>
      <c r="E2634" s="63" t="n">
        <v>1</v>
      </c>
      <c r="F2634" s="64" t="n">
        <v>0.89</v>
      </c>
      <c r="G2634" s="64">
        <f>TRUNC(TRUNC(E2634,8)*F2634,2)</f>
        <v/>
      </c>
      <c r="L2634" t="n">
        <v>1</v>
      </c>
      <c r="M2634" t="n">
        <v>0.89</v>
      </c>
      <c r="N2634">
        <f>(M2634-F2634)</f>
        <v/>
      </c>
    </row>
    <row r="2635" ht="21" customHeight="1">
      <c r="A2635" s="22" t="inlineStr">
        <is>
          <t>00037372</t>
        </is>
      </c>
      <c r="B2635" s="23" t="inlineStr">
        <is>
          <t>EXAMES - HORISTA (COLETADO CAIXA - ENCARGOS COMPLEMENTARES)</t>
        </is>
      </c>
      <c r="C2635" s="22" t="inlineStr">
        <is>
          <t>SINAPI</t>
        </is>
      </c>
      <c r="D2635" s="22" t="inlineStr">
        <is>
          <t>H</t>
        </is>
      </c>
      <c r="E2635" s="63" t="n">
        <v>1</v>
      </c>
      <c r="F2635" s="64" t="n">
        <v>1.43</v>
      </c>
      <c r="G2635" s="64">
        <f>TRUNC(TRUNC(E2635,8)*F2635,2)</f>
        <v/>
      </c>
      <c r="L2635" t="n">
        <v>1</v>
      </c>
      <c r="M2635" t="n">
        <v>1.43</v>
      </c>
      <c r="N2635">
        <f>(M2635-F2635)</f>
        <v/>
      </c>
    </row>
    <row r="2636" ht="29" customHeight="1">
      <c r="A2636" s="22" t="inlineStr">
        <is>
          <t>00043464</t>
        </is>
      </c>
      <c r="B2636" s="23" t="inlineStr">
        <is>
          <t>FERRAMENTAS - FAMILIA OPERADOR ESCAVADEIRA - HORISTA (ENCARGOS COMPLEMENTARES - COLETADO CAIXA)</t>
        </is>
      </c>
      <c r="C2636" s="22" t="inlineStr">
        <is>
          <t>SINAPI</t>
        </is>
      </c>
      <c r="D2636" s="22" t="inlineStr">
        <is>
          <t>H</t>
        </is>
      </c>
      <c r="E2636" s="63" t="n">
        <v>1</v>
      </c>
      <c r="F2636" s="64" t="n">
        <v>0.01</v>
      </c>
      <c r="G2636" s="64">
        <f>TRUNC(TRUNC(E2636,8)*F2636,2)</f>
        <v/>
      </c>
      <c r="L2636" t="n">
        <v>1</v>
      </c>
      <c r="M2636" t="n">
        <v>0.01</v>
      </c>
      <c r="N2636">
        <f>(M2636-F2636)</f>
        <v/>
      </c>
    </row>
    <row r="2637" ht="21" customHeight="1">
      <c r="A2637" s="22" t="inlineStr">
        <is>
          <t>00037373</t>
        </is>
      </c>
      <c r="B2637" s="23" t="inlineStr">
        <is>
          <t>SEGURO - HORISTA (COLETADO CAIXA - ENCARGOS COMPLEMENTARES)</t>
        </is>
      </c>
      <c r="C2637" s="22" t="inlineStr">
        <is>
          <t>SINAPI</t>
        </is>
      </c>
      <c r="D2637" s="22" t="inlineStr">
        <is>
          <t>H</t>
        </is>
      </c>
      <c r="E2637" s="63" t="n">
        <v>1</v>
      </c>
      <c r="F2637" s="64" t="n">
        <v>0.08</v>
      </c>
      <c r="G2637" s="64">
        <f>TRUNC(TRUNC(E2637,8)*F2637,2)</f>
        <v/>
      </c>
      <c r="L2637" t="n">
        <v>1</v>
      </c>
      <c r="M2637" t="n">
        <v>0.08</v>
      </c>
      <c r="N2637">
        <f>(M2637-F2637)</f>
        <v/>
      </c>
    </row>
    <row r="2638" ht="21" customHeight="1">
      <c r="A2638" s="22" t="inlineStr">
        <is>
          <t>00037371</t>
        </is>
      </c>
      <c r="B2638" s="23" t="inlineStr">
        <is>
          <t>TRANSPORTE - HORISTA (COLETADO CAIXA - ENCARGOS COMPLEMENTARES)</t>
        </is>
      </c>
      <c r="C2638" s="22" t="inlineStr">
        <is>
          <t>SINAPI</t>
        </is>
      </c>
      <c r="D2638" s="22" t="inlineStr">
        <is>
          <t>H</t>
        </is>
      </c>
      <c r="E2638" s="63" t="n">
        <v>1</v>
      </c>
      <c r="F2638" s="64" t="n">
        <v>1.09</v>
      </c>
      <c r="G2638" s="64">
        <f>TRUNC(TRUNC(E2638,8)*F2638,2)</f>
        <v/>
      </c>
      <c r="L2638" t="n">
        <v>1</v>
      </c>
      <c r="M2638" t="n">
        <v>1.09</v>
      </c>
      <c r="N2638">
        <f>(M2638-F2638)</f>
        <v/>
      </c>
    </row>
    <row r="2639" ht="15" customHeight="1">
      <c r="A2639" s="2" t="inlineStr"/>
      <c r="B2639" s="2" t="inlineStr"/>
      <c r="C2639" s="2" t="inlineStr"/>
      <c r="D2639" s="2" t="inlineStr"/>
      <c r="E2639" s="26" t="inlineStr">
        <is>
          <t>TOTAL Encargos Complementares:</t>
        </is>
      </c>
      <c r="F2639" s="56" t="n"/>
      <c r="G2639" s="65">
        <f>SUM(G2633:G2638)</f>
        <v/>
      </c>
    </row>
    <row r="2640" ht="15" customHeight="1">
      <c r="A2640" s="20" t="inlineStr">
        <is>
          <t>Mão de Obra</t>
        </is>
      </c>
      <c r="B2640" s="56" t="n"/>
      <c r="C2640" s="21" t="inlineStr">
        <is>
          <t>FONTE</t>
        </is>
      </c>
      <c r="D2640" s="21" t="inlineStr">
        <is>
          <t>UNID</t>
        </is>
      </c>
      <c r="E2640" s="21" t="inlineStr">
        <is>
          <t>COEFICIENTE</t>
        </is>
      </c>
      <c r="F2640" s="21" t="inlineStr">
        <is>
          <t>PREÇO UNITÁRIO</t>
        </is>
      </c>
      <c r="G2640" s="21" t="inlineStr">
        <is>
          <t>TOTAL</t>
        </is>
      </c>
    </row>
    <row r="2641" ht="15" customHeight="1">
      <c r="A2641" s="22" t="inlineStr">
        <is>
          <t>00004093</t>
        </is>
      </c>
      <c r="B2641" s="23" t="inlineStr">
        <is>
          <t>MOTORISTA DE CAMINHAO (HORISTA)</t>
        </is>
      </c>
      <c r="C2641" s="22" t="inlineStr">
        <is>
          <t>SINAPI</t>
        </is>
      </c>
      <c r="D2641" s="22" t="inlineStr">
        <is>
          <t>H</t>
        </is>
      </c>
      <c r="E2641" s="63" t="n">
        <v>1</v>
      </c>
      <c r="F2641" s="64" t="n">
        <v>27.21</v>
      </c>
      <c r="G2641" s="64">
        <f>TRUNC(TRUNC(E2641,8)*F2641,2)</f>
        <v/>
      </c>
      <c r="L2641" t="n">
        <v>1</v>
      </c>
      <c r="M2641" t="n">
        <v>27.21</v>
      </c>
      <c r="N2641">
        <f>(M2641-F2641)</f>
        <v/>
      </c>
    </row>
    <row r="2642" ht="15" customHeight="1">
      <c r="A2642" s="2" t="inlineStr"/>
      <c r="B2642" s="2" t="inlineStr"/>
      <c r="C2642" s="2" t="inlineStr"/>
      <c r="D2642" s="2" t="inlineStr"/>
      <c r="E2642" s="26" t="inlineStr">
        <is>
          <t>TOTAL Mão de Obra:</t>
        </is>
      </c>
      <c r="F2642" s="56" t="n"/>
      <c r="G2642" s="65">
        <f>SUM(G2641:G2641)</f>
        <v/>
      </c>
    </row>
    <row r="2643" ht="15" customHeight="1">
      <c r="A2643" s="20" t="inlineStr">
        <is>
          <t>Serviço</t>
        </is>
      </c>
      <c r="B2643" s="56" t="n"/>
      <c r="C2643" s="21" t="inlineStr">
        <is>
          <t>FONTE</t>
        </is>
      </c>
      <c r="D2643" s="21" t="inlineStr">
        <is>
          <t>UNID</t>
        </is>
      </c>
      <c r="E2643" s="21" t="inlineStr">
        <is>
          <t>COEFICIENTE</t>
        </is>
      </c>
      <c r="F2643" s="21" t="inlineStr">
        <is>
          <t>PREÇO UNITÁRIO</t>
        </is>
      </c>
      <c r="G2643" s="21" t="inlineStr">
        <is>
          <t>TOTAL</t>
        </is>
      </c>
    </row>
    <row r="2644" ht="21" customHeight="1">
      <c r="A2644" s="22" t="inlineStr">
        <is>
          <t>95347</t>
        </is>
      </c>
      <c r="B2644" s="23" t="inlineStr">
        <is>
          <t>CURSO DE CAPACITAÇÃO PARA MOTORISTA DE CAMINHÃO (ENCARGOS COMPLEMENTARES) - HORISTA</t>
        </is>
      </c>
      <c r="C2644" s="22" t="inlineStr">
        <is>
          <t>SINAPI</t>
        </is>
      </c>
      <c r="D2644" s="22" t="inlineStr">
        <is>
          <t>H</t>
        </is>
      </c>
      <c r="E2644" s="63" t="n">
        <v>1</v>
      </c>
      <c r="F2644" s="64">
        <f>G1699</f>
        <v/>
      </c>
      <c r="G2644" s="64">
        <f>TRUNC(TRUNC(E2644,8)*F2644,2)</f>
        <v/>
      </c>
      <c r="L2644" t="n">
        <v>1</v>
      </c>
      <c r="M2644" t="n">
        <v>0.13</v>
      </c>
      <c r="N2644">
        <f>(M2644-F2644)</f>
        <v/>
      </c>
    </row>
    <row r="2645" ht="15" customHeight="1">
      <c r="A2645" s="2" t="inlineStr"/>
      <c r="B2645" s="2" t="inlineStr"/>
      <c r="C2645" s="2" t="inlineStr"/>
      <c r="D2645" s="2" t="inlineStr"/>
      <c r="E2645" s="26" t="inlineStr">
        <is>
          <t>TOTAL Serviço:</t>
        </is>
      </c>
      <c r="F2645" s="56" t="n"/>
      <c r="G2645" s="65">
        <f>SUM(G2644:G2644)</f>
        <v/>
      </c>
    </row>
    <row r="2646" ht="15" customHeight="1">
      <c r="A2646" s="2" t="inlineStr"/>
      <c r="B2646" s="2" t="inlineStr"/>
      <c r="C2646" s="2" t="inlineStr"/>
      <c r="D2646" s="2" t="inlineStr"/>
      <c r="E2646" s="28" t="inlineStr">
        <is>
          <t>VALOR:</t>
        </is>
      </c>
      <c r="F2646" s="56" t="n"/>
      <c r="G2646" s="66">
        <f>ROUND(SUM(G2639,G2642,G2645),2)</f>
        <v/>
      </c>
    </row>
    <row r="2647" ht="15" customHeight="1">
      <c r="A2647" s="2" t="inlineStr"/>
      <c r="B2647" s="2" t="inlineStr"/>
      <c r="C2647" s="2" t="inlineStr"/>
      <c r="D2647" s="2" t="inlineStr"/>
      <c r="E2647" s="28" t="inlineStr">
        <is>
          <t>VALOR BDI (23.08%):</t>
        </is>
      </c>
      <c r="F2647" s="56" t="n"/>
      <c r="G2647" s="66">
        <f>ROUNDDOWN(G2646*BDI,2)</f>
        <v/>
      </c>
    </row>
    <row r="2648" ht="15" customHeight="1">
      <c r="A2648" s="2" t="inlineStr"/>
      <c r="B2648" s="2" t="inlineStr"/>
      <c r="C2648" s="2" t="inlineStr"/>
      <c r="D2648" s="2" t="inlineStr"/>
      <c r="E2648" s="28" t="inlineStr">
        <is>
          <t>VALOR COM BDI:</t>
        </is>
      </c>
      <c r="F2648" s="56" t="n"/>
      <c r="G2648" s="66">
        <f>G2647 + G2646</f>
        <v/>
      </c>
    </row>
    <row r="2649" ht="10" customHeight="1">
      <c r="A2649" s="2" t="inlineStr"/>
      <c r="B2649" s="2" t="inlineStr"/>
      <c r="C2649" s="2" t="inlineStr"/>
      <c r="D2649" s="2" t="inlineStr"/>
      <c r="E2649" s="18" t="inlineStr"/>
    </row>
    <row r="2650" ht="20" customHeight="1">
      <c r="A2650" s="19" t="inlineStr">
        <is>
          <t>​88286​ MOTORISTA OPERADOR DE MUNCK COM ENCARGOS COMPLEMENTARES​ (H)</t>
        </is>
      </c>
      <c r="B2650" s="55" t="n"/>
      <c r="C2650" s="55" t="n"/>
      <c r="D2650" s="55" t="n"/>
      <c r="E2650" s="55" t="n"/>
      <c r="F2650" s="55" t="n"/>
      <c r="G2650" s="56" t="n"/>
    </row>
    <row r="2651" ht="15" customHeight="1">
      <c r="A2651" s="20" t="inlineStr">
        <is>
          <t>Encargos Complementares</t>
        </is>
      </c>
      <c r="B2651" s="56" t="n"/>
      <c r="C2651" s="21" t="inlineStr">
        <is>
          <t>FONTE</t>
        </is>
      </c>
      <c r="D2651" s="21" t="inlineStr">
        <is>
          <t>UNID</t>
        </is>
      </c>
      <c r="E2651" s="21" t="inlineStr">
        <is>
          <t>COEFICIENTE</t>
        </is>
      </c>
      <c r="F2651" s="21" t="inlineStr">
        <is>
          <t>PREÇO UNITÁRIO</t>
        </is>
      </c>
      <c r="G2651" s="21" t="inlineStr">
        <is>
          <t>TOTAL</t>
        </is>
      </c>
    </row>
    <row r="2652" ht="21" customHeight="1">
      <c r="A2652" s="22" t="inlineStr">
        <is>
          <t>00037370</t>
        </is>
      </c>
      <c r="B2652" s="23" t="inlineStr">
        <is>
          <t>ALIMENTACAO - HORISTA (COLETADO CAIXA - ENCARGOS COMPLEMENTARES)</t>
        </is>
      </c>
      <c r="C2652" s="22" t="inlineStr">
        <is>
          <t>SINAPI</t>
        </is>
      </c>
      <c r="D2652" s="22" t="inlineStr">
        <is>
          <t>H</t>
        </is>
      </c>
      <c r="E2652" s="63" t="n">
        <v>1</v>
      </c>
      <c r="F2652" s="64" t="n">
        <v>3.62</v>
      </c>
      <c r="G2652" s="64">
        <f>TRUNC(TRUNC(E2652,8)*F2652,2)</f>
        <v/>
      </c>
      <c r="L2652" t="n">
        <v>1</v>
      </c>
      <c r="M2652" t="n">
        <v>3.62</v>
      </c>
      <c r="N2652">
        <f>(M2652-F2652)</f>
        <v/>
      </c>
    </row>
    <row r="2653" ht="21" customHeight="1">
      <c r="A2653" s="22" t="inlineStr">
        <is>
          <t>00043488</t>
        </is>
      </c>
      <c r="B2653" s="23" t="inlineStr">
        <is>
          <t>EPI - FAMILIA OPERADOR ESCAVADEIRA - HORISTA (ENCARGOS COMPLEMENTARES - COLETADO CAIXA)</t>
        </is>
      </c>
      <c r="C2653" s="22" t="inlineStr">
        <is>
          <t>SINAPI</t>
        </is>
      </c>
      <c r="D2653" s="22" t="inlineStr">
        <is>
          <t>H</t>
        </is>
      </c>
      <c r="E2653" s="63" t="n">
        <v>1</v>
      </c>
      <c r="F2653" s="64" t="n">
        <v>0.89</v>
      </c>
      <c r="G2653" s="64">
        <f>TRUNC(TRUNC(E2653,8)*F2653,2)</f>
        <v/>
      </c>
      <c r="L2653" t="n">
        <v>1</v>
      </c>
      <c r="M2653" t="n">
        <v>0.89</v>
      </c>
      <c r="N2653">
        <f>(M2653-F2653)</f>
        <v/>
      </c>
    </row>
    <row r="2654" ht="21" customHeight="1">
      <c r="A2654" s="22" t="inlineStr">
        <is>
          <t>00037372</t>
        </is>
      </c>
      <c r="B2654" s="23" t="inlineStr">
        <is>
          <t>EXAMES - HORISTA (COLETADO CAIXA - ENCARGOS COMPLEMENTARES)</t>
        </is>
      </c>
      <c r="C2654" s="22" t="inlineStr">
        <is>
          <t>SINAPI</t>
        </is>
      </c>
      <c r="D2654" s="22" t="inlineStr">
        <is>
          <t>H</t>
        </is>
      </c>
      <c r="E2654" s="63" t="n">
        <v>1</v>
      </c>
      <c r="F2654" s="64" t="n">
        <v>1.43</v>
      </c>
      <c r="G2654" s="64">
        <f>TRUNC(TRUNC(E2654,8)*F2654,2)</f>
        <v/>
      </c>
      <c r="L2654" t="n">
        <v>1</v>
      </c>
      <c r="M2654" t="n">
        <v>1.43</v>
      </c>
      <c r="N2654">
        <f>(M2654-F2654)</f>
        <v/>
      </c>
    </row>
    <row r="2655" ht="29" customHeight="1">
      <c r="A2655" s="22" t="inlineStr">
        <is>
          <t>00043464</t>
        </is>
      </c>
      <c r="B2655" s="23" t="inlineStr">
        <is>
          <t>FERRAMENTAS - FAMILIA OPERADOR ESCAVADEIRA - HORISTA (ENCARGOS COMPLEMENTARES - COLETADO CAIXA)</t>
        </is>
      </c>
      <c r="C2655" s="22" t="inlineStr">
        <is>
          <t>SINAPI</t>
        </is>
      </c>
      <c r="D2655" s="22" t="inlineStr">
        <is>
          <t>H</t>
        </is>
      </c>
      <c r="E2655" s="63" t="n">
        <v>1</v>
      </c>
      <c r="F2655" s="64" t="n">
        <v>0.01</v>
      </c>
      <c r="G2655" s="64">
        <f>TRUNC(TRUNC(E2655,8)*F2655,2)</f>
        <v/>
      </c>
      <c r="L2655" t="n">
        <v>1</v>
      </c>
      <c r="M2655" t="n">
        <v>0.01</v>
      </c>
      <c r="N2655">
        <f>(M2655-F2655)</f>
        <v/>
      </c>
    </row>
    <row r="2656" ht="21" customHeight="1">
      <c r="A2656" s="22" t="inlineStr">
        <is>
          <t>00037373</t>
        </is>
      </c>
      <c r="B2656" s="23" t="inlineStr">
        <is>
          <t>SEGURO - HORISTA (COLETADO CAIXA - ENCARGOS COMPLEMENTARES)</t>
        </is>
      </c>
      <c r="C2656" s="22" t="inlineStr">
        <is>
          <t>SINAPI</t>
        </is>
      </c>
      <c r="D2656" s="22" t="inlineStr">
        <is>
          <t>H</t>
        </is>
      </c>
      <c r="E2656" s="63" t="n">
        <v>1</v>
      </c>
      <c r="F2656" s="64" t="n">
        <v>0.08</v>
      </c>
      <c r="G2656" s="64">
        <f>TRUNC(TRUNC(E2656,8)*F2656,2)</f>
        <v/>
      </c>
      <c r="L2656" t="n">
        <v>1</v>
      </c>
      <c r="M2656" t="n">
        <v>0.08</v>
      </c>
      <c r="N2656">
        <f>(M2656-F2656)</f>
        <v/>
      </c>
    </row>
    <row r="2657" ht="21" customHeight="1">
      <c r="A2657" s="22" t="inlineStr">
        <is>
          <t>00037371</t>
        </is>
      </c>
      <c r="B2657" s="23" t="inlineStr">
        <is>
          <t>TRANSPORTE - HORISTA (COLETADO CAIXA - ENCARGOS COMPLEMENTARES)</t>
        </is>
      </c>
      <c r="C2657" s="22" t="inlineStr">
        <is>
          <t>SINAPI</t>
        </is>
      </c>
      <c r="D2657" s="22" t="inlineStr">
        <is>
          <t>H</t>
        </is>
      </c>
      <c r="E2657" s="63" t="n">
        <v>1</v>
      </c>
      <c r="F2657" s="64" t="n">
        <v>1.09</v>
      </c>
      <c r="G2657" s="64">
        <f>TRUNC(TRUNC(E2657,8)*F2657,2)</f>
        <v/>
      </c>
      <c r="L2657" t="n">
        <v>1</v>
      </c>
      <c r="M2657" t="n">
        <v>1.09</v>
      </c>
      <c r="N2657">
        <f>(M2657-F2657)</f>
        <v/>
      </c>
    </row>
    <row r="2658" ht="15" customHeight="1">
      <c r="A2658" s="2" t="inlineStr"/>
      <c r="B2658" s="2" t="inlineStr"/>
      <c r="C2658" s="2" t="inlineStr"/>
      <c r="D2658" s="2" t="inlineStr"/>
      <c r="E2658" s="26" t="inlineStr">
        <is>
          <t>TOTAL Encargos Complementares:</t>
        </is>
      </c>
      <c r="F2658" s="56" t="n"/>
      <c r="G2658" s="65">
        <f>SUM(G2652:G2657)</f>
        <v/>
      </c>
    </row>
    <row r="2659" ht="15" customHeight="1">
      <c r="A2659" s="20" t="inlineStr">
        <is>
          <t>Mão de Obra</t>
        </is>
      </c>
      <c r="B2659" s="56" t="n"/>
      <c r="C2659" s="21" t="inlineStr">
        <is>
          <t>FONTE</t>
        </is>
      </c>
      <c r="D2659" s="21" t="inlineStr">
        <is>
          <t>UNID</t>
        </is>
      </c>
      <c r="E2659" s="21" t="inlineStr">
        <is>
          <t>COEFICIENTE</t>
        </is>
      </c>
      <c r="F2659" s="21" t="inlineStr">
        <is>
          <t>PREÇO UNITÁRIO</t>
        </is>
      </c>
      <c r="G2659" s="21" t="inlineStr">
        <is>
          <t>TOTAL</t>
        </is>
      </c>
    </row>
    <row r="2660" ht="21" customHeight="1">
      <c r="A2660" s="22" t="inlineStr">
        <is>
          <t>00004096</t>
        </is>
      </c>
      <c r="B2660" s="23" t="inlineStr">
        <is>
          <t>MOTORISTA OPERADOR DE CAMINHAO COM MUNCK (HORISTA)</t>
        </is>
      </c>
      <c r="C2660" s="22" t="inlineStr">
        <is>
          <t>SINAPI</t>
        </is>
      </c>
      <c r="D2660" s="22" t="inlineStr">
        <is>
          <t>H</t>
        </is>
      </c>
      <c r="E2660" s="63" t="n">
        <v>1</v>
      </c>
      <c r="F2660" s="64" t="n">
        <v>30.5</v>
      </c>
      <c r="G2660" s="64">
        <f>TRUNC(TRUNC(E2660,8)*F2660,2)</f>
        <v/>
      </c>
      <c r="L2660" t="n">
        <v>1</v>
      </c>
      <c r="M2660" t="n">
        <v>30.5</v>
      </c>
      <c r="N2660">
        <f>(M2660-F2660)</f>
        <v/>
      </c>
    </row>
    <row r="2661" ht="15" customHeight="1">
      <c r="A2661" s="2" t="inlineStr"/>
      <c r="B2661" s="2" t="inlineStr"/>
      <c r="C2661" s="2" t="inlineStr"/>
      <c r="D2661" s="2" t="inlineStr"/>
      <c r="E2661" s="26" t="inlineStr">
        <is>
          <t>TOTAL Mão de Obra:</t>
        </is>
      </c>
      <c r="F2661" s="56" t="n"/>
      <c r="G2661" s="65">
        <f>SUM(G2660:G2660)</f>
        <v/>
      </c>
    </row>
    <row r="2662" ht="15" customHeight="1">
      <c r="A2662" s="20" t="inlineStr">
        <is>
          <t>Serviço</t>
        </is>
      </c>
      <c r="B2662" s="56" t="n"/>
      <c r="C2662" s="21" t="inlineStr">
        <is>
          <t>FONTE</t>
        </is>
      </c>
      <c r="D2662" s="21" t="inlineStr">
        <is>
          <t>UNID</t>
        </is>
      </c>
      <c r="E2662" s="21" t="inlineStr">
        <is>
          <t>COEFICIENTE</t>
        </is>
      </c>
      <c r="F2662" s="21" t="inlineStr">
        <is>
          <t>PREÇO UNITÁRIO</t>
        </is>
      </c>
      <c r="G2662" s="21" t="inlineStr">
        <is>
          <t>TOTAL</t>
        </is>
      </c>
    </row>
    <row r="2663" ht="21" customHeight="1">
      <c r="A2663" s="22" t="inlineStr">
        <is>
          <t>95351</t>
        </is>
      </c>
      <c r="B2663" s="23" t="inlineStr">
        <is>
          <t>CURSO DE CAPACITAÇÃO PARA MOTORISTA OPERADOR DE MUNCK (ENCARGOS COMPLEMENTARES) - HORISTA</t>
        </is>
      </c>
      <c r="C2663" s="22" t="inlineStr">
        <is>
          <t>SINAPI</t>
        </is>
      </c>
      <c r="D2663" s="22" t="inlineStr">
        <is>
          <t>H</t>
        </is>
      </c>
      <c r="E2663" s="63" t="n">
        <v>1</v>
      </c>
      <c r="F2663" s="64">
        <f>G1707</f>
        <v/>
      </c>
      <c r="G2663" s="64">
        <f>TRUNC(TRUNC(E2663,8)*F2663,2)</f>
        <v/>
      </c>
      <c r="L2663" t="n">
        <v>1</v>
      </c>
      <c r="M2663" t="n">
        <v>0.49</v>
      </c>
      <c r="N2663">
        <f>(M2663-F2663)</f>
        <v/>
      </c>
    </row>
    <row r="2664" ht="15" customHeight="1">
      <c r="A2664" s="2" t="inlineStr"/>
      <c r="B2664" s="2" t="inlineStr"/>
      <c r="C2664" s="2" t="inlineStr"/>
      <c r="D2664" s="2" t="inlineStr"/>
      <c r="E2664" s="26" t="inlineStr">
        <is>
          <t>TOTAL Serviço:</t>
        </is>
      </c>
      <c r="F2664" s="56" t="n"/>
      <c r="G2664" s="65">
        <f>SUM(G2663:G2663)</f>
        <v/>
      </c>
    </row>
    <row r="2665" ht="15" customHeight="1">
      <c r="A2665" s="2" t="inlineStr"/>
      <c r="B2665" s="2" t="inlineStr"/>
      <c r="C2665" s="2" t="inlineStr"/>
      <c r="D2665" s="2" t="inlineStr"/>
      <c r="E2665" s="28" t="inlineStr">
        <is>
          <t>VALOR:</t>
        </is>
      </c>
      <c r="F2665" s="56" t="n"/>
      <c r="G2665" s="66">
        <f>ROUND(SUM(G2658,G2661,G2664),2)</f>
        <v/>
      </c>
    </row>
    <row r="2666" ht="15" customHeight="1">
      <c r="A2666" s="2" t="inlineStr"/>
      <c r="B2666" s="2" t="inlineStr"/>
      <c r="C2666" s="2" t="inlineStr"/>
      <c r="D2666" s="2" t="inlineStr"/>
      <c r="E2666" s="28" t="inlineStr">
        <is>
          <t>VALOR BDI (23.08%):</t>
        </is>
      </c>
      <c r="F2666" s="56" t="n"/>
      <c r="G2666" s="66">
        <f>ROUNDDOWN(G2665*BDI,2)</f>
        <v/>
      </c>
    </row>
    <row r="2667" ht="15" customHeight="1">
      <c r="A2667" s="2" t="inlineStr"/>
      <c r="B2667" s="2" t="inlineStr"/>
      <c r="C2667" s="2" t="inlineStr"/>
      <c r="D2667" s="2" t="inlineStr"/>
      <c r="E2667" s="28" t="inlineStr">
        <is>
          <t>VALOR COM BDI:</t>
        </is>
      </c>
      <c r="F2667" s="56" t="n"/>
      <c r="G2667" s="66">
        <f>G2666 + G2665</f>
        <v/>
      </c>
    </row>
    <row r="2668" ht="10" customHeight="1">
      <c r="A2668" s="2" t="inlineStr"/>
      <c r="B2668" s="2" t="inlineStr"/>
      <c r="C2668" s="2" t="inlineStr"/>
      <c r="D2668" s="2" t="inlineStr"/>
      <c r="E2668" s="18" t="inlineStr"/>
    </row>
    <row r="2669" ht="27" customHeight="1">
      <c r="A2669" s="19" t="inlineStr">
        <is>
          <t>​93409​ MÁQUINA JATO DE PRESSAO PORTÁTIL, CAMARA DE 1 SAIDA, CAPACIDADE 280 L, DIAMETRO 670 MM, BICO DE JATO CURTO VENTURI DE 5/16", MANGUEIRA DE 1" COM COMPRESSOR DE AR REBOCÁVEL 189 PCM E MOTOR DIESEL 63 CV - CHI DIURNO. AF_05/2023​ (CHI)</t>
        </is>
      </c>
      <c r="B2669" s="55" t="n"/>
      <c r="C2669" s="55" t="n"/>
      <c r="D2669" s="55" t="n"/>
      <c r="E2669" s="55" t="n"/>
      <c r="F2669" s="55" t="n"/>
      <c r="G2669" s="56" t="n"/>
    </row>
    <row r="2670" ht="15" customHeight="1">
      <c r="A2670" s="20" t="inlineStr">
        <is>
          <t>Mão de Obra com Encargos Complementares</t>
        </is>
      </c>
      <c r="B2670" s="56" t="n"/>
      <c r="C2670" s="21" t="inlineStr">
        <is>
          <t>FONTE</t>
        </is>
      </c>
      <c r="D2670" s="21" t="inlineStr">
        <is>
          <t>UNID</t>
        </is>
      </c>
      <c r="E2670" s="21" t="inlineStr">
        <is>
          <t>COEFICIENTE</t>
        </is>
      </c>
      <c r="F2670" s="21" t="inlineStr">
        <is>
          <t>PREÇO UNITÁRIO</t>
        </is>
      </c>
      <c r="G2670" s="21" t="inlineStr">
        <is>
          <t>TOTAL</t>
        </is>
      </c>
    </row>
    <row r="2671" ht="21" customHeight="1">
      <c r="A2671" s="22" t="inlineStr">
        <is>
          <t>88306</t>
        </is>
      </c>
      <c r="B2671" s="23" t="inlineStr">
        <is>
          <t>OPERADOR JATO DE AREIA OU JATISTA COM ENCARGOS COMPLEMENTARES</t>
        </is>
      </c>
      <c r="C2671" s="22" t="inlineStr">
        <is>
          <t>SINAPI</t>
        </is>
      </c>
      <c r="D2671" s="22" t="inlineStr">
        <is>
          <t>H</t>
        </is>
      </c>
      <c r="E2671" s="63" t="n">
        <v>1</v>
      </c>
      <c r="F2671" s="64">
        <f>G2868</f>
        <v/>
      </c>
      <c r="G2671" s="64">
        <f>TRUNC(TRUNC(E2671,8)*F2671,2)</f>
        <v/>
      </c>
      <c r="L2671" t="n">
        <v>1</v>
      </c>
      <c r="M2671" t="n">
        <v>31.56</v>
      </c>
      <c r="N2671">
        <f>(M2671-F2671)</f>
        <v/>
      </c>
    </row>
    <row r="2672" ht="18" customHeight="1">
      <c r="A2672" s="2" t="inlineStr"/>
      <c r="B2672" s="2" t="inlineStr"/>
      <c r="C2672" s="2" t="inlineStr"/>
      <c r="D2672" s="2" t="inlineStr"/>
      <c r="E2672" s="26" t="inlineStr">
        <is>
          <t>TOTAL Mão de Obra com Encargos Complementares:</t>
        </is>
      </c>
      <c r="F2672" s="56" t="n"/>
      <c r="G2672" s="65">
        <f>SUM(G2671:G2671)</f>
        <v/>
      </c>
    </row>
    <row r="2673" ht="15" customHeight="1">
      <c r="A2673" s="20" t="inlineStr">
        <is>
          <t>Serviço</t>
        </is>
      </c>
      <c r="B2673" s="56" t="n"/>
      <c r="C2673" s="21" t="inlineStr">
        <is>
          <t>FONTE</t>
        </is>
      </c>
      <c r="D2673" s="21" t="inlineStr">
        <is>
          <t>UNID</t>
        </is>
      </c>
      <c r="E2673" s="21" t="inlineStr">
        <is>
          <t>COEFICIENTE</t>
        </is>
      </c>
      <c r="F2673" s="21" t="inlineStr">
        <is>
          <t>PREÇO UNITÁRIO</t>
        </is>
      </c>
      <c r="G2673" s="21" t="inlineStr">
        <is>
          <t>TOTAL</t>
        </is>
      </c>
    </row>
    <row r="2674" ht="46" customHeight="1">
      <c r="A2674" s="22" t="inlineStr">
        <is>
          <t>93404</t>
        </is>
      </c>
      <c r="B2674" s="23" t="inlineStr">
        <is>
          <t>MÁQUINA JATO DE PRESSAO PORTÁTIL, CAMARA DE 1 SAIDA, CAPACIDADE 280 L, DIAMETRO 670 MM, BICO DE JATO CURTO VENTURI DE 5/16", MANGUEIRA DE 1" COM COMPRESSOR DE AR REBOCÁVEL 189 PCM E MOTOR DIESEL 63 CV - DEPRECIAÇÃO. AF_05/2023</t>
        </is>
      </c>
      <c r="C2674" s="22" t="inlineStr">
        <is>
          <t>SINAPI</t>
        </is>
      </c>
      <c r="D2674" s="22" t="inlineStr">
        <is>
          <t>H</t>
        </is>
      </c>
      <c r="E2674" s="63" t="n">
        <v>1</v>
      </c>
      <c r="F2674" s="64" t="n">
        <v>7.75</v>
      </c>
      <c r="G2674" s="64">
        <f>TRUNC(TRUNC(E2674,8)*F2674,2)</f>
        <v/>
      </c>
      <c r="L2674" t="n">
        <v>1</v>
      </c>
      <c r="M2674" t="n">
        <v>7.75</v>
      </c>
      <c r="N2674">
        <f>(M2674-F2674)</f>
        <v/>
      </c>
    </row>
    <row r="2675" ht="46" customHeight="1">
      <c r="A2675" s="22" t="inlineStr">
        <is>
          <t>93405</t>
        </is>
      </c>
      <c r="B2675" s="23" t="inlineStr">
        <is>
          <t>MÁQUINA JATO DE PRESSAO PORTÁTIL, CAMARA DE 1 SAIDA, CAPACIDADE 280 L, DIAMETRO 670 MM, BICO DE JATO CURTO VENTURI DE 5/16", MANGUEIRA DE 1" COM COMPRESSOR DE AR REBOCÁVEL 189 PCM E MOTOR DIESEL 63 CV - JUROS. AF_05/2023</t>
        </is>
      </c>
      <c r="C2675" s="22" t="inlineStr">
        <is>
          <t>SINAPI</t>
        </is>
      </c>
      <c r="D2675" s="22" t="inlineStr">
        <is>
          <t>H</t>
        </is>
      </c>
      <c r="E2675" s="63" t="n">
        <v>1</v>
      </c>
      <c r="F2675" s="64" t="n">
        <v>1.98</v>
      </c>
      <c r="G2675" s="64">
        <f>TRUNC(TRUNC(E2675,8)*F2675,2)</f>
        <v/>
      </c>
      <c r="L2675" t="n">
        <v>1</v>
      </c>
      <c r="M2675" t="n">
        <v>1.98</v>
      </c>
      <c r="N2675">
        <f>(M2675-F2675)</f>
        <v/>
      </c>
    </row>
    <row r="2676" ht="15" customHeight="1">
      <c r="A2676" s="2" t="inlineStr"/>
      <c r="B2676" s="2" t="inlineStr"/>
      <c r="C2676" s="2" t="inlineStr"/>
      <c r="D2676" s="2" t="inlineStr"/>
      <c r="E2676" s="26" t="inlineStr">
        <is>
          <t>TOTAL Serviço:</t>
        </is>
      </c>
      <c r="F2676" s="56" t="n"/>
      <c r="G2676" s="65">
        <f>SUM(G2674:G2675)</f>
        <v/>
      </c>
    </row>
    <row r="2677" ht="15" customHeight="1">
      <c r="A2677" s="2" t="inlineStr"/>
      <c r="B2677" s="2" t="inlineStr"/>
      <c r="C2677" s="2" t="inlineStr"/>
      <c r="D2677" s="2" t="inlineStr"/>
      <c r="E2677" s="28" t="inlineStr">
        <is>
          <t>VALOR:</t>
        </is>
      </c>
      <c r="F2677" s="56" t="n"/>
      <c r="G2677" s="66">
        <f>ROUND(SUM(G2672,G2676),2)</f>
        <v/>
      </c>
    </row>
    <row r="2678" ht="15" customHeight="1">
      <c r="A2678" s="2" t="inlineStr"/>
      <c r="B2678" s="2" t="inlineStr"/>
      <c r="C2678" s="2" t="inlineStr"/>
      <c r="D2678" s="2" t="inlineStr"/>
      <c r="E2678" s="28" t="inlineStr">
        <is>
          <t>VALOR BDI (23.08%):</t>
        </is>
      </c>
      <c r="F2678" s="56" t="n"/>
      <c r="G2678" s="66">
        <f>ROUNDDOWN(G2677*BDI,2)</f>
        <v/>
      </c>
    </row>
    <row r="2679" ht="15" customHeight="1">
      <c r="A2679" s="2" t="inlineStr"/>
      <c r="B2679" s="2" t="inlineStr"/>
      <c r="C2679" s="2" t="inlineStr"/>
      <c r="D2679" s="2" t="inlineStr"/>
      <c r="E2679" s="28" t="inlineStr">
        <is>
          <t>VALOR COM BDI:</t>
        </is>
      </c>
      <c r="F2679" s="56" t="n"/>
      <c r="G2679" s="66">
        <f>G2678 + G2677</f>
        <v/>
      </c>
    </row>
    <row r="2680" ht="10" customHeight="1">
      <c r="A2680" s="2" t="inlineStr"/>
      <c r="B2680" s="2" t="inlineStr"/>
      <c r="C2680" s="2" t="inlineStr"/>
      <c r="D2680" s="2" t="inlineStr"/>
      <c r="E2680" s="18" t="inlineStr"/>
    </row>
    <row r="2681" ht="27" customHeight="1">
      <c r="A2681" s="19" t="inlineStr">
        <is>
          <t>​93408​ MÁQUINA JATO DE PRESSAO PORTÁTIL, CAMARA DE 1 SAIDA, CAPACIDADE 280 L, DIAMETRO 670 MM, BICO DE JATO CURTO VENTURI DE 5/16", MANGUEIRA DE 1" COM COMPRESSOR DE AR REBOCÁVEL 189 PCM E MOTOR DIESEL 63 CV - CHP DIURNO. AF_05/2023​ (CHP)</t>
        </is>
      </c>
      <c r="B2681" s="55" t="n"/>
      <c r="C2681" s="55" t="n"/>
      <c r="D2681" s="55" t="n"/>
      <c r="E2681" s="55" t="n"/>
      <c r="F2681" s="55" t="n"/>
      <c r="G2681" s="56" t="n"/>
    </row>
    <row r="2682" ht="15" customHeight="1">
      <c r="A2682" s="20" t="inlineStr">
        <is>
          <t>Mão de Obra com Encargos Complementares</t>
        </is>
      </c>
      <c r="B2682" s="56" t="n"/>
      <c r="C2682" s="21" t="inlineStr">
        <is>
          <t>FONTE</t>
        </is>
      </c>
      <c r="D2682" s="21" t="inlineStr">
        <is>
          <t>UNID</t>
        </is>
      </c>
      <c r="E2682" s="21" t="inlineStr">
        <is>
          <t>COEFICIENTE</t>
        </is>
      </c>
      <c r="F2682" s="21" t="inlineStr">
        <is>
          <t>PREÇO UNITÁRIO</t>
        </is>
      </c>
      <c r="G2682" s="21" t="inlineStr">
        <is>
          <t>TOTAL</t>
        </is>
      </c>
    </row>
    <row r="2683" ht="21" customHeight="1">
      <c r="A2683" s="22" t="inlineStr">
        <is>
          <t>88306</t>
        </is>
      </c>
      <c r="B2683" s="23" t="inlineStr">
        <is>
          <t>OPERADOR JATO DE AREIA OU JATISTA COM ENCARGOS COMPLEMENTARES</t>
        </is>
      </c>
      <c r="C2683" s="22" t="inlineStr">
        <is>
          <t>SINAPI</t>
        </is>
      </c>
      <c r="D2683" s="22" t="inlineStr">
        <is>
          <t>H</t>
        </is>
      </c>
      <c r="E2683" s="63" t="n">
        <v>1</v>
      </c>
      <c r="F2683" s="64">
        <f>G2868</f>
        <v/>
      </c>
      <c r="G2683" s="64">
        <f>TRUNC(TRUNC(E2683,8)*F2683,2)</f>
        <v/>
      </c>
      <c r="L2683" t="n">
        <v>1</v>
      </c>
      <c r="M2683" t="n">
        <v>31.56</v>
      </c>
      <c r="N2683">
        <f>(M2683-F2683)</f>
        <v/>
      </c>
    </row>
    <row r="2684" ht="18" customHeight="1">
      <c r="A2684" s="2" t="inlineStr"/>
      <c r="B2684" s="2" t="inlineStr"/>
      <c r="C2684" s="2" t="inlineStr"/>
      <c r="D2684" s="2" t="inlineStr"/>
      <c r="E2684" s="26" t="inlineStr">
        <is>
          <t>TOTAL Mão de Obra com Encargos Complementares:</t>
        </is>
      </c>
      <c r="F2684" s="56" t="n"/>
      <c r="G2684" s="65">
        <f>SUM(G2683:G2683)</f>
        <v/>
      </c>
    </row>
    <row r="2685" ht="15" customHeight="1">
      <c r="A2685" s="20" t="inlineStr">
        <is>
          <t>Serviço</t>
        </is>
      </c>
      <c r="B2685" s="56" t="n"/>
      <c r="C2685" s="21" t="inlineStr">
        <is>
          <t>FONTE</t>
        </is>
      </c>
      <c r="D2685" s="21" t="inlineStr">
        <is>
          <t>UNID</t>
        </is>
      </c>
      <c r="E2685" s="21" t="inlineStr">
        <is>
          <t>COEFICIENTE</t>
        </is>
      </c>
      <c r="F2685" s="21" t="inlineStr">
        <is>
          <t>PREÇO UNITÁRIO</t>
        </is>
      </c>
      <c r="G2685" s="21" t="inlineStr">
        <is>
          <t>TOTAL</t>
        </is>
      </c>
    </row>
    <row r="2686" ht="46" customHeight="1">
      <c r="A2686" s="22" t="inlineStr">
        <is>
          <t>93404</t>
        </is>
      </c>
      <c r="B2686" s="23" t="inlineStr">
        <is>
          <t>MÁQUINA JATO DE PRESSAO PORTÁTIL, CAMARA DE 1 SAIDA, CAPACIDADE 280 L, DIAMETRO 670 MM, BICO DE JATO CURTO VENTURI DE 5/16", MANGUEIRA DE 1" COM COMPRESSOR DE AR REBOCÁVEL 189 PCM E MOTOR DIESEL 63 CV - DEPRECIAÇÃO. AF_05/2023</t>
        </is>
      </c>
      <c r="C2686" s="22" t="inlineStr">
        <is>
          <t>SINAPI</t>
        </is>
      </c>
      <c r="D2686" s="22" t="inlineStr">
        <is>
          <t>H</t>
        </is>
      </c>
      <c r="E2686" s="63" t="n">
        <v>1</v>
      </c>
      <c r="F2686" s="64" t="n">
        <v>7.75</v>
      </c>
      <c r="G2686" s="64">
        <f>TRUNC(TRUNC(E2686,8)*F2686,2)</f>
        <v/>
      </c>
      <c r="L2686" t="n">
        <v>1</v>
      </c>
      <c r="M2686" t="n">
        <v>7.75</v>
      </c>
      <c r="N2686">
        <f>(M2686-F2686)</f>
        <v/>
      </c>
    </row>
    <row r="2687" ht="46" customHeight="1">
      <c r="A2687" s="22" t="inlineStr">
        <is>
          <t>93405</t>
        </is>
      </c>
      <c r="B2687" s="23" t="inlineStr">
        <is>
          <t>MÁQUINA JATO DE PRESSAO PORTÁTIL, CAMARA DE 1 SAIDA, CAPACIDADE 280 L, DIAMETRO 670 MM, BICO DE JATO CURTO VENTURI DE 5/16", MANGUEIRA DE 1" COM COMPRESSOR DE AR REBOCÁVEL 189 PCM E MOTOR DIESEL 63 CV - JUROS. AF_05/2023</t>
        </is>
      </c>
      <c r="C2687" s="22" t="inlineStr">
        <is>
          <t>SINAPI</t>
        </is>
      </c>
      <c r="D2687" s="22" t="inlineStr">
        <is>
          <t>H</t>
        </is>
      </c>
      <c r="E2687" s="63" t="n">
        <v>1</v>
      </c>
      <c r="F2687" s="64" t="n">
        <v>1.98</v>
      </c>
      <c r="G2687" s="64">
        <f>TRUNC(TRUNC(E2687,8)*F2687,2)</f>
        <v/>
      </c>
      <c r="L2687" t="n">
        <v>1</v>
      </c>
      <c r="M2687" t="n">
        <v>1.98</v>
      </c>
      <c r="N2687">
        <f>(M2687-F2687)</f>
        <v/>
      </c>
    </row>
    <row r="2688" ht="46" customHeight="1">
      <c r="A2688" s="22" t="inlineStr">
        <is>
          <t>93406</t>
        </is>
      </c>
      <c r="B2688" s="23" t="inlineStr">
        <is>
          <t>MÁQUINA JATO DE PRESSAO PORTÁTIL, CAMARA DE 1 SAIDA, CAPACIDADE 280 L, DIAMETRO 670 MM, BICO DE JATO CURTO VENTURI DE 5/16", MANGUEIRA DE 1" COM COMPRESSOR DE AR REBOCÁVEL 189 PCM E MOTOR DIESEL 63 CV - MANUTENÇÃO. AF_05/2023</t>
        </is>
      </c>
      <c r="C2688" s="22" t="inlineStr">
        <is>
          <t>SINAPI</t>
        </is>
      </c>
      <c r="D2688" s="22" t="inlineStr">
        <is>
          <t>H</t>
        </is>
      </c>
      <c r="E2688" s="63" t="n">
        <v>1</v>
      </c>
      <c r="F2688" s="64" t="n">
        <v>9.300000000000001</v>
      </c>
      <c r="G2688" s="64">
        <f>TRUNC(TRUNC(E2688,8)*F2688,2)</f>
        <v/>
      </c>
      <c r="L2688" t="n">
        <v>1</v>
      </c>
      <c r="M2688" t="n">
        <v>9.300000000000001</v>
      </c>
      <c r="N2688">
        <f>(M2688-F2688)</f>
        <v/>
      </c>
    </row>
    <row r="2689" ht="46" customHeight="1">
      <c r="A2689" s="22" t="inlineStr">
        <is>
          <t>93407</t>
        </is>
      </c>
      <c r="B2689" s="23" t="inlineStr">
        <is>
          <t>MÁQUINA JATO DE PRESSAO PORTÁTIL, CAMARA DE 1 SAIDA, CAPACIDADE 280 L, DIAMETRO 670 MM, BICO DE JATO CURTO VENTURI DE 5/16", MANGUEIRA DE 1" COM COMPRESSOR DE AR REBOCÁVEL 189 PCM E MOTOR DIESEL 63 CV - MATERIAIS NA OPERAÇÃO. AF_05/2023</t>
        </is>
      </c>
      <c r="C2689" s="22" t="inlineStr">
        <is>
          <t>SINAPI</t>
        </is>
      </c>
      <c r="D2689" s="22" t="inlineStr">
        <is>
          <t>H</t>
        </is>
      </c>
      <c r="E2689" s="63" t="n">
        <v>1</v>
      </c>
      <c r="F2689" s="64" t="n">
        <v>47.28</v>
      </c>
      <c r="G2689" s="64">
        <f>TRUNC(TRUNC(E2689,8)*F2689,2)</f>
        <v/>
      </c>
      <c r="L2689" t="n">
        <v>1</v>
      </c>
      <c r="M2689" t="n">
        <v>47.28</v>
      </c>
      <c r="N2689">
        <f>(M2689-F2689)</f>
        <v/>
      </c>
    </row>
    <row r="2690" ht="15" customHeight="1">
      <c r="A2690" s="2" t="inlineStr"/>
      <c r="B2690" s="2" t="inlineStr"/>
      <c r="C2690" s="2" t="inlineStr"/>
      <c r="D2690" s="2" t="inlineStr"/>
      <c r="E2690" s="26" t="inlineStr">
        <is>
          <t>TOTAL Serviço:</t>
        </is>
      </c>
      <c r="F2690" s="56" t="n"/>
      <c r="G2690" s="65">
        <f>SUM(G2686:G2689)</f>
        <v/>
      </c>
    </row>
    <row r="2691" ht="15" customHeight="1">
      <c r="A2691" s="2" t="inlineStr"/>
      <c r="B2691" s="2" t="inlineStr"/>
      <c r="C2691" s="2" t="inlineStr"/>
      <c r="D2691" s="2" t="inlineStr"/>
      <c r="E2691" s="28" t="inlineStr">
        <is>
          <t>VALOR:</t>
        </is>
      </c>
      <c r="F2691" s="56" t="n"/>
      <c r="G2691" s="66">
        <f>ROUND(SUM(G2684,G2690),2)</f>
        <v/>
      </c>
    </row>
    <row r="2692" ht="15" customHeight="1">
      <c r="A2692" s="2" t="inlineStr"/>
      <c r="B2692" s="2" t="inlineStr"/>
      <c r="C2692" s="2" t="inlineStr"/>
      <c r="D2692" s="2" t="inlineStr"/>
      <c r="E2692" s="28" t="inlineStr">
        <is>
          <t>VALOR BDI (23.08%):</t>
        </is>
      </c>
      <c r="F2692" s="56" t="n"/>
      <c r="G2692" s="66">
        <f>ROUNDDOWN(G2691*BDI,2)</f>
        <v/>
      </c>
    </row>
    <row r="2693" ht="15" customHeight="1">
      <c r="A2693" s="2" t="inlineStr"/>
      <c r="B2693" s="2" t="inlineStr"/>
      <c r="C2693" s="2" t="inlineStr"/>
      <c r="D2693" s="2" t="inlineStr"/>
      <c r="E2693" s="28" t="inlineStr">
        <is>
          <t>VALOR COM BDI:</t>
        </is>
      </c>
      <c r="F2693" s="56" t="n"/>
      <c r="G2693" s="66">
        <f>G2692 + G2691</f>
        <v/>
      </c>
    </row>
    <row r="2694" ht="10" customHeight="1">
      <c r="A2694" s="2" t="inlineStr"/>
      <c r="B2694" s="2" t="inlineStr"/>
      <c r="C2694" s="2" t="inlineStr"/>
      <c r="D2694" s="2" t="inlineStr"/>
      <c r="E2694" s="18" t="inlineStr"/>
    </row>
    <row r="2695" ht="27" customHeight="1">
      <c r="A2695" s="19" t="inlineStr">
        <is>
          <t>​93404​ MÁQUINA JATO DE PRESSAO PORTÁTIL, CAMARA DE 1 SAIDA, CAPACIDADE 280 L, DIAMETRO 670 MM, BICO DE JATO CURTO VENTURI DE 5/16", MANGUEIRA DE 1" COM COMPRESSOR DE AR REBOCÁVEL 189 PCM E MOTOR DIESEL 63 CV - DEPRECIAÇÃO. AF_05/2023​ (H)</t>
        </is>
      </c>
      <c r="B2695" s="55" t="n"/>
      <c r="C2695" s="55" t="n"/>
      <c r="D2695" s="55" t="n"/>
      <c r="E2695" s="55" t="n"/>
      <c r="F2695" s="55" t="n"/>
      <c r="G2695" s="56" t="n"/>
    </row>
    <row r="2696" ht="15" customHeight="1">
      <c r="A2696" s="20" t="inlineStr">
        <is>
          <t>Equipamento</t>
        </is>
      </c>
      <c r="B2696" s="56" t="n"/>
      <c r="C2696" s="21" t="inlineStr">
        <is>
          <t>FONTE</t>
        </is>
      </c>
      <c r="D2696" s="21" t="inlineStr">
        <is>
          <t>UNID</t>
        </is>
      </c>
      <c r="E2696" s="21" t="inlineStr">
        <is>
          <t>COEFICIENTE</t>
        </is>
      </c>
      <c r="F2696" s="21" t="inlineStr">
        <is>
          <t>PREÇO UNITÁRIO</t>
        </is>
      </c>
      <c r="G2696" s="21" t="inlineStr">
        <is>
          <t>TOTAL</t>
        </is>
      </c>
    </row>
    <row r="2697" ht="29" customHeight="1">
      <c r="A2697" s="22" t="inlineStr">
        <is>
          <t>00036522</t>
        </is>
      </c>
      <c r="B2697" s="23" t="inlineStr">
        <is>
          <t>COMPRESSOR DE AR REBOCAVEL, VAZAO 189 PCM, PRESSAO EFETIVA DE TRABALHO 102 PSI, MOTOR DIESEL, POTENCIA 63 CV</t>
        </is>
      </c>
      <c r="C2697" s="22" t="inlineStr">
        <is>
          <t>SINAPI</t>
        </is>
      </c>
      <c r="D2697" s="22" t="inlineStr">
        <is>
          <t>UN</t>
        </is>
      </c>
      <c r="E2697" s="63" t="n">
        <v>5.33e-05</v>
      </c>
      <c r="F2697" s="64" t="n">
        <v>98734.35000000001</v>
      </c>
      <c r="G2697" s="64">
        <f>TRUNC(TRUNC(E2697,8)*F2697,2)</f>
        <v/>
      </c>
      <c r="M2697" t="n">
        <v>98734.35000000001</v>
      </c>
      <c r="N2697">
        <f>(M2697-F2697)</f>
        <v/>
      </c>
    </row>
    <row r="2698" ht="46" customHeight="1">
      <c r="A2698" s="22" t="inlineStr">
        <is>
          <t>00039813</t>
        </is>
      </c>
      <c r="B2698" s="23" t="inlineStr">
        <is>
          <t>MAQUINA TIPO VASO/TANQUE/JATO DE PRESSAO PORTATIL P/ JATEAMENTO, CONTROLE AUTOMATICO E REMOTO, CAMARA DE 1 SAIDA, 280 L, DIAM. *670* MM, BICO JATO CURTO VENTURI 5/16", MANGUEIRA 1" DE 10 M, COMPLETA (VALVULAS POP UP E DOSADORA, FUNDO CONICO ETC)</t>
        </is>
      </c>
      <c r="C2698" s="22" t="inlineStr">
        <is>
          <t>SINAPI</t>
        </is>
      </c>
      <c r="D2698" s="22" t="inlineStr">
        <is>
          <t>UN</t>
        </is>
      </c>
      <c r="E2698" s="63" t="n">
        <v>6.4e-05</v>
      </c>
      <c r="F2698" s="64" t="n">
        <v>38997.88</v>
      </c>
      <c r="G2698" s="64">
        <f>TRUNC(TRUNC(E2698,8)*F2698,2)</f>
        <v/>
      </c>
      <c r="M2698" t="n">
        <v>38997.88</v>
      </c>
      <c r="N2698">
        <f>(M2698-F2698)</f>
        <v/>
      </c>
    </row>
    <row r="2699" ht="15" customHeight="1">
      <c r="A2699" s="2" t="inlineStr"/>
      <c r="B2699" s="2" t="inlineStr"/>
      <c r="C2699" s="2" t="inlineStr"/>
      <c r="D2699" s="2" t="inlineStr"/>
      <c r="E2699" s="26" t="inlineStr">
        <is>
          <t>TOTAL Equipamento:</t>
        </is>
      </c>
      <c r="F2699" s="56" t="n"/>
      <c r="G2699" s="65">
        <f>SUM(G2697:G2698)</f>
        <v/>
      </c>
    </row>
    <row r="2700" ht="15" customHeight="1">
      <c r="A2700" s="2" t="inlineStr"/>
      <c r="B2700" s="2" t="inlineStr"/>
      <c r="C2700" s="2" t="inlineStr"/>
      <c r="D2700" s="2" t="inlineStr"/>
      <c r="E2700" s="28" t="inlineStr">
        <is>
          <t>VALOR:</t>
        </is>
      </c>
      <c r="F2700" s="56" t="n"/>
      <c r="G2700" s="66">
        <f>ROUND(SUM(G2699),2)</f>
        <v/>
      </c>
    </row>
    <row r="2701" ht="15" customHeight="1">
      <c r="A2701" s="2" t="inlineStr"/>
      <c r="B2701" s="2" t="inlineStr"/>
      <c r="C2701" s="2" t="inlineStr"/>
      <c r="D2701" s="2" t="inlineStr"/>
      <c r="E2701" s="28" t="inlineStr">
        <is>
          <t>VALOR BDI (23.08%):</t>
        </is>
      </c>
      <c r="F2701" s="56" t="n"/>
      <c r="G2701" s="66">
        <f>ROUNDDOWN(G2700*BDI,2)</f>
        <v/>
      </c>
    </row>
    <row r="2702" ht="15" customHeight="1">
      <c r="A2702" s="2" t="inlineStr"/>
      <c r="B2702" s="2" t="inlineStr"/>
      <c r="C2702" s="2" t="inlineStr"/>
      <c r="D2702" s="2" t="inlineStr"/>
      <c r="E2702" s="28" t="inlineStr">
        <is>
          <t>VALOR COM BDI:</t>
        </is>
      </c>
      <c r="F2702" s="56" t="n"/>
      <c r="G2702" s="66">
        <f>G2701 + G2700</f>
        <v/>
      </c>
    </row>
    <row r="2703" ht="10" customHeight="1">
      <c r="A2703" s="2" t="inlineStr"/>
      <c r="B2703" s="2" t="inlineStr"/>
      <c r="C2703" s="2" t="inlineStr"/>
      <c r="D2703" s="2" t="inlineStr"/>
      <c r="E2703" s="18" t="inlineStr"/>
    </row>
    <row r="2704" ht="20" customHeight="1">
      <c r="A2704" s="19" t="inlineStr">
        <is>
          <t>​93405​ MÁQUINA JATO DE PRESSAO PORTÁTIL, CAMARA DE 1 SAIDA, CAPACIDADE 280 L, DIAMETRO 670 MM, BICO DE JATO CURTO VENTURI DE 5/16", MANGUEIRA DE 1" COM COMPRESSOR DE AR REBOCÁVEL 189 PCM E MOTOR DIESEL 63 CV - JUROS. AF_05/2023​ (H)</t>
        </is>
      </c>
      <c r="B2704" s="55" t="n"/>
      <c r="C2704" s="55" t="n"/>
      <c r="D2704" s="55" t="n"/>
      <c r="E2704" s="55" t="n"/>
      <c r="F2704" s="55" t="n"/>
      <c r="G2704" s="56" t="n"/>
    </row>
    <row r="2705" ht="15" customHeight="1">
      <c r="A2705" s="20" t="inlineStr">
        <is>
          <t>Equipamento</t>
        </is>
      </c>
      <c r="B2705" s="56" t="n"/>
      <c r="C2705" s="21" t="inlineStr">
        <is>
          <t>FONTE</t>
        </is>
      </c>
      <c r="D2705" s="21" t="inlineStr">
        <is>
          <t>UNID</t>
        </is>
      </c>
      <c r="E2705" s="21" t="inlineStr">
        <is>
          <t>COEFICIENTE</t>
        </is>
      </c>
      <c r="F2705" s="21" t="inlineStr">
        <is>
          <t>PREÇO UNITÁRIO</t>
        </is>
      </c>
      <c r="G2705" s="21" t="inlineStr">
        <is>
          <t>TOTAL</t>
        </is>
      </c>
    </row>
    <row r="2706" ht="29" customHeight="1">
      <c r="A2706" s="22" t="inlineStr">
        <is>
          <t>00036522</t>
        </is>
      </c>
      <c r="B2706" s="23" t="inlineStr">
        <is>
          <t>COMPRESSOR DE AR REBOCAVEL, VAZAO 189 PCM, PRESSAO EFETIVA DE TRABALHO 102 PSI, MOTOR DIESEL, POTENCIA 63 CV</t>
        </is>
      </c>
      <c r="C2706" s="22" t="inlineStr">
        <is>
          <t>SINAPI</t>
        </is>
      </c>
      <c r="D2706" s="22" t="inlineStr">
        <is>
          <t>UN</t>
        </is>
      </c>
      <c r="E2706" s="63" t="n">
        <v>1.43e-05</v>
      </c>
      <c r="F2706" s="64" t="n">
        <v>98734.35000000001</v>
      </c>
      <c r="G2706" s="64">
        <f>TRUNC(TRUNC(E2706,8)*F2706,2)</f>
        <v/>
      </c>
      <c r="M2706" t="n">
        <v>98734.35000000001</v>
      </c>
      <c r="N2706">
        <f>(M2706-F2706)</f>
        <v/>
      </c>
    </row>
    <row r="2707" ht="46" customHeight="1">
      <c r="A2707" s="22" t="inlineStr">
        <is>
          <t>00039813</t>
        </is>
      </c>
      <c r="B2707" s="23" t="inlineStr">
        <is>
          <t>MAQUINA TIPO VASO/TANQUE/JATO DE PRESSAO PORTATIL P/ JATEAMENTO, CONTROLE AUTOMATICO E REMOTO, CAMARA DE 1 SAIDA, 280 L, DIAM. *670* MM, BICO JATO CURTO VENTURI 5/16", MANGUEIRA 1" DE 10 M, COMPLETA (VALVULAS POP UP E DOSADORA, FUNDO CONICO ETC)</t>
        </is>
      </c>
      <c r="C2707" s="22" t="inlineStr">
        <is>
          <t>SINAPI</t>
        </is>
      </c>
      <c r="D2707" s="22" t="inlineStr">
        <is>
          <t>UN</t>
        </is>
      </c>
      <c r="E2707" s="63" t="n">
        <v>1.48e-05</v>
      </c>
      <c r="F2707" s="64" t="n">
        <v>38997.88</v>
      </c>
      <c r="G2707" s="64">
        <f>TRUNC(TRUNC(E2707,8)*F2707,2)</f>
        <v/>
      </c>
      <c r="M2707" t="n">
        <v>38997.88</v>
      </c>
      <c r="N2707">
        <f>(M2707-F2707)</f>
        <v/>
      </c>
    </row>
    <row r="2708" ht="15" customHeight="1">
      <c r="A2708" s="2" t="inlineStr"/>
      <c r="B2708" s="2" t="inlineStr"/>
      <c r="C2708" s="2" t="inlineStr"/>
      <c r="D2708" s="2" t="inlineStr"/>
      <c r="E2708" s="26" t="inlineStr">
        <is>
          <t>TOTAL Equipamento:</t>
        </is>
      </c>
      <c r="F2708" s="56" t="n"/>
      <c r="G2708" s="65">
        <f>SUM(G2706:G2707)</f>
        <v/>
      </c>
    </row>
    <row r="2709" ht="15" customHeight="1">
      <c r="A2709" s="2" t="inlineStr"/>
      <c r="B2709" s="2" t="inlineStr"/>
      <c r="C2709" s="2" t="inlineStr"/>
      <c r="D2709" s="2" t="inlineStr"/>
      <c r="E2709" s="28" t="inlineStr">
        <is>
          <t>VALOR:</t>
        </is>
      </c>
      <c r="F2709" s="56" t="n"/>
      <c r="G2709" s="66">
        <f>ROUND(SUM(G2708),2)</f>
        <v/>
      </c>
    </row>
    <row r="2710" ht="15" customHeight="1">
      <c r="A2710" s="2" t="inlineStr"/>
      <c r="B2710" s="2" t="inlineStr"/>
      <c r="C2710" s="2" t="inlineStr"/>
      <c r="D2710" s="2" t="inlineStr"/>
      <c r="E2710" s="28" t="inlineStr">
        <is>
          <t>VALOR BDI (23.08%):</t>
        </is>
      </c>
      <c r="F2710" s="56" t="n"/>
      <c r="G2710" s="66">
        <f>ROUNDDOWN(G2709*BDI,2)</f>
        <v/>
      </c>
    </row>
    <row r="2711" ht="15" customHeight="1">
      <c r="A2711" s="2" t="inlineStr"/>
      <c r="B2711" s="2" t="inlineStr"/>
      <c r="C2711" s="2" t="inlineStr"/>
      <c r="D2711" s="2" t="inlineStr"/>
      <c r="E2711" s="28" t="inlineStr">
        <is>
          <t>VALOR COM BDI:</t>
        </is>
      </c>
      <c r="F2711" s="56" t="n"/>
      <c r="G2711" s="66">
        <f>G2710 + G2709</f>
        <v/>
      </c>
    </row>
    <row r="2712" ht="10" customHeight="1">
      <c r="A2712" s="2" t="inlineStr"/>
      <c r="B2712" s="2" t="inlineStr"/>
      <c r="C2712" s="2" t="inlineStr"/>
      <c r="D2712" s="2" t="inlineStr"/>
      <c r="E2712" s="18" t="inlineStr"/>
    </row>
    <row r="2713" ht="27" customHeight="1">
      <c r="A2713" s="19" t="inlineStr">
        <is>
          <t>​93406​ MÁQUINA JATO DE PRESSAO PORTÁTIL, CAMARA DE 1 SAIDA, CAPACIDADE 280 L, DIAMETRO 670 MM, BICO DE JATO CURTO VENTURI DE 5/16", MANGUEIRA DE 1" COM COMPRESSOR DE AR REBOCÁVEL 189 PCM E MOTOR DIESEL 63 CV - MANUTENÇÃO. AF_05/2023​ (H)</t>
        </is>
      </c>
      <c r="B2713" s="55" t="n"/>
      <c r="C2713" s="55" t="n"/>
      <c r="D2713" s="55" t="n"/>
      <c r="E2713" s="55" t="n"/>
      <c r="F2713" s="55" t="n"/>
      <c r="G2713" s="56" t="n"/>
    </row>
    <row r="2714" ht="15" customHeight="1">
      <c r="A2714" s="20" t="inlineStr">
        <is>
          <t>Equipamento</t>
        </is>
      </c>
      <c r="B2714" s="56" t="n"/>
      <c r="C2714" s="21" t="inlineStr">
        <is>
          <t>FONTE</t>
        </is>
      </c>
      <c r="D2714" s="21" t="inlineStr">
        <is>
          <t>UNID</t>
        </is>
      </c>
      <c r="E2714" s="21" t="inlineStr">
        <is>
          <t>COEFICIENTE</t>
        </is>
      </c>
      <c r="F2714" s="21" t="inlineStr">
        <is>
          <t>PREÇO UNITÁRIO</t>
        </is>
      </c>
      <c r="G2714" s="21" t="inlineStr">
        <is>
          <t>TOTAL</t>
        </is>
      </c>
    </row>
    <row r="2715" ht="29" customHeight="1">
      <c r="A2715" s="22" t="inlineStr">
        <is>
          <t>00036522</t>
        </is>
      </c>
      <c r="B2715" s="23" t="inlineStr">
        <is>
          <t>COMPRESSOR DE AR REBOCAVEL, VAZAO 189 PCM, PRESSAO EFETIVA DE TRABALHO 102 PSI, MOTOR DIESEL, POTENCIA 63 CV</t>
        </is>
      </c>
      <c r="C2715" s="22" t="inlineStr">
        <is>
          <t>SINAPI</t>
        </is>
      </c>
      <c r="D2715" s="22" t="inlineStr">
        <is>
          <t>UN</t>
        </is>
      </c>
      <c r="E2715" s="63" t="n">
        <v>6.669999999999999e-05</v>
      </c>
      <c r="F2715" s="64" t="n">
        <v>98734.35000000001</v>
      </c>
      <c r="G2715" s="64">
        <f>TRUNC(TRUNC(E2715,8)*F2715,2)</f>
        <v/>
      </c>
      <c r="M2715" t="n">
        <v>98734.35000000001</v>
      </c>
      <c r="N2715">
        <f>(M2715-F2715)</f>
        <v/>
      </c>
    </row>
    <row r="2716" ht="46" customHeight="1">
      <c r="A2716" s="22" t="inlineStr">
        <is>
          <t>00039813</t>
        </is>
      </c>
      <c r="B2716" s="23" t="inlineStr">
        <is>
          <t>MAQUINA TIPO VASO/TANQUE/JATO DE PRESSAO PORTATIL P/ JATEAMENTO, CONTROLE AUTOMATICO E REMOTO, CAMARA DE 1 SAIDA, 280 L, DIAM. *670* MM, BICO JATO CURTO VENTURI 5/16", MANGUEIRA 1" DE 10 M, COMPLETA (VALVULAS POP UP E DOSADORA, FUNDO CONICO ETC)</t>
        </is>
      </c>
      <c r="C2716" s="22" t="inlineStr">
        <is>
          <t>SINAPI</t>
        </is>
      </c>
      <c r="D2716" s="22" t="inlineStr">
        <is>
          <t>UN</t>
        </is>
      </c>
      <c r="E2716" s="63" t="n">
        <v>6.999999999999999e-05</v>
      </c>
      <c r="F2716" s="64" t="n">
        <v>38997.88</v>
      </c>
      <c r="G2716" s="64">
        <f>TRUNC(TRUNC(E2716,8)*F2716,2)</f>
        <v/>
      </c>
      <c r="M2716" t="n">
        <v>38997.88</v>
      </c>
      <c r="N2716">
        <f>(M2716-F2716)</f>
        <v/>
      </c>
    </row>
    <row r="2717" ht="15" customHeight="1">
      <c r="A2717" s="2" t="inlineStr"/>
      <c r="B2717" s="2" t="inlineStr"/>
      <c r="C2717" s="2" t="inlineStr"/>
      <c r="D2717" s="2" t="inlineStr"/>
      <c r="E2717" s="26" t="inlineStr">
        <is>
          <t>TOTAL Equipamento:</t>
        </is>
      </c>
      <c r="F2717" s="56" t="n"/>
      <c r="G2717" s="65">
        <f>SUM(G2715:G2716)</f>
        <v/>
      </c>
    </row>
    <row r="2718" ht="15" customHeight="1">
      <c r="A2718" s="2" t="inlineStr"/>
      <c r="B2718" s="2" t="inlineStr"/>
      <c r="C2718" s="2" t="inlineStr"/>
      <c r="D2718" s="2" t="inlineStr"/>
      <c r="E2718" s="28" t="inlineStr">
        <is>
          <t>VALOR:</t>
        </is>
      </c>
      <c r="F2718" s="56" t="n"/>
      <c r="G2718" s="66">
        <f>ROUND(SUM(G2717),2)</f>
        <v/>
      </c>
    </row>
    <row r="2719" ht="15" customHeight="1">
      <c r="A2719" s="2" t="inlineStr"/>
      <c r="B2719" s="2" t="inlineStr"/>
      <c r="C2719" s="2" t="inlineStr"/>
      <c r="D2719" s="2" t="inlineStr"/>
      <c r="E2719" s="28" t="inlineStr">
        <is>
          <t>VALOR BDI (23.08%):</t>
        </is>
      </c>
      <c r="F2719" s="56" t="n"/>
      <c r="G2719" s="66">
        <f>ROUNDDOWN(G2718*BDI,2)</f>
        <v/>
      </c>
    </row>
    <row r="2720" ht="15" customHeight="1">
      <c r="A2720" s="2" t="inlineStr"/>
      <c r="B2720" s="2" t="inlineStr"/>
      <c r="C2720" s="2" t="inlineStr"/>
      <c r="D2720" s="2" t="inlineStr"/>
      <c r="E2720" s="28" t="inlineStr">
        <is>
          <t>VALOR COM BDI:</t>
        </is>
      </c>
      <c r="F2720" s="56" t="n"/>
      <c r="G2720" s="66">
        <f>G2719 + G2718</f>
        <v/>
      </c>
    </row>
    <row r="2721" ht="10" customHeight="1">
      <c r="A2721" s="2" t="inlineStr"/>
      <c r="B2721" s="2" t="inlineStr"/>
      <c r="C2721" s="2" t="inlineStr"/>
      <c r="D2721" s="2" t="inlineStr"/>
      <c r="E2721" s="18" t="inlineStr"/>
    </row>
    <row r="2722" ht="27" customHeight="1">
      <c r="A2722" s="19" t="inlineStr">
        <is>
          <t>​93407​ MÁQUINA JATO DE PRESSAO PORTÁTIL, CAMARA DE 1 SAIDA, CAPACIDADE 280 L, DIAMETRO 670 MM, BICO DE JATO CURTO VENTURI DE 5/16", MANGUEIRA DE 1" COM COMPRESSOR DE AR REBOCÁVEL 189 PCM E MOTOR DIESEL 63 CV - MATERIAIS NA OPERAÇÃO. AF_05/2023​ (H)</t>
        </is>
      </c>
      <c r="B2722" s="55" t="n"/>
      <c r="C2722" s="55" t="n"/>
      <c r="D2722" s="55" t="n"/>
      <c r="E2722" s="55" t="n"/>
      <c r="F2722" s="55" t="n"/>
      <c r="G2722" s="56" t="n"/>
    </row>
    <row r="2723" ht="15" customHeight="1">
      <c r="A2723" s="20" t="inlineStr">
        <is>
          <t>Material</t>
        </is>
      </c>
      <c r="B2723" s="56" t="n"/>
      <c r="C2723" s="21" t="inlineStr">
        <is>
          <t>FONTE</t>
        </is>
      </c>
      <c r="D2723" s="21" t="inlineStr">
        <is>
          <t>UNID</t>
        </is>
      </c>
      <c r="E2723" s="21" t="inlineStr">
        <is>
          <t>COEFICIENTE</t>
        </is>
      </c>
      <c r="F2723" s="21" t="inlineStr">
        <is>
          <t>PREÇO UNITÁRIO</t>
        </is>
      </c>
      <c r="G2723" s="21" t="inlineStr">
        <is>
          <t>TOTAL</t>
        </is>
      </c>
    </row>
    <row r="2724" ht="21" customHeight="1">
      <c r="A2724" s="22" t="inlineStr">
        <is>
          <t>00004221</t>
        </is>
      </c>
      <c r="B2724" s="23" t="inlineStr">
        <is>
          <t>OLEO DIESEL COMBUSTIVEL COMUM METROPOLITANO S-10 OU S-500</t>
        </is>
      </c>
      <c r="C2724" s="22" t="inlineStr">
        <is>
          <t>SINAPI</t>
        </is>
      </c>
      <c r="D2724" s="22" t="inlineStr">
        <is>
          <t>L</t>
        </is>
      </c>
      <c r="E2724" s="63" t="n">
        <v>7.88</v>
      </c>
      <c r="F2724" s="64" t="n">
        <v>6</v>
      </c>
      <c r="G2724" s="64">
        <f>TRUNC(TRUNC(E2724,8)*F2724,2)</f>
        <v/>
      </c>
      <c r="L2724" t="n">
        <v>7.88</v>
      </c>
      <c r="M2724" t="n">
        <v>6</v>
      </c>
      <c r="N2724">
        <f>(M2724-F2724)</f>
        <v/>
      </c>
    </row>
    <row r="2725" ht="15" customHeight="1">
      <c r="A2725" s="2" t="inlineStr"/>
      <c r="B2725" s="2" t="inlineStr"/>
      <c r="C2725" s="2" t="inlineStr"/>
      <c r="D2725" s="2" t="inlineStr"/>
      <c r="E2725" s="26" t="inlineStr">
        <is>
          <t>TOTAL Material:</t>
        </is>
      </c>
      <c r="F2725" s="56" t="n"/>
      <c r="G2725" s="65">
        <f>SUM(G2724:G2724)</f>
        <v/>
      </c>
    </row>
    <row r="2726" ht="15" customHeight="1">
      <c r="A2726" s="2" t="inlineStr"/>
      <c r="B2726" s="2" t="inlineStr"/>
      <c r="C2726" s="2" t="inlineStr"/>
      <c r="D2726" s="2" t="inlineStr"/>
      <c r="E2726" s="28" t="inlineStr">
        <is>
          <t>VALOR:</t>
        </is>
      </c>
      <c r="F2726" s="56" t="n"/>
      <c r="G2726" s="66">
        <f>ROUND(SUM(G2725),2)</f>
        <v/>
      </c>
    </row>
    <row r="2727" ht="15" customHeight="1">
      <c r="A2727" s="2" t="inlineStr"/>
      <c r="B2727" s="2" t="inlineStr"/>
      <c r="C2727" s="2" t="inlineStr"/>
      <c r="D2727" s="2" t="inlineStr"/>
      <c r="E2727" s="28" t="inlineStr">
        <is>
          <t>VALOR BDI (23.08%):</t>
        </is>
      </c>
      <c r="F2727" s="56" t="n"/>
      <c r="G2727" s="66">
        <f>ROUNDDOWN(G2726*BDI,2)</f>
        <v/>
      </c>
    </row>
    <row r="2728" ht="15" customHeight="1">
      <c r="A2728" s="2" t="inlineStr"/>
      <c r="B2728" s="2" t="inlineStr"/>
      <c r="C2728" s="2" t="inlineStr"/>
      <c r="D2728" s="2" t="inlineStr"/>
      <c r="E2728" s="28" t="inlineStr">
        <is>
          <t>VALOR COM BDI:</t>
        </is>
      </c>
      <c r="F2728" s="56" t="n"/>
      <c r="G2728" s="66">
        <f>G2727 + G2726</f>
        <v/>
      </c>
    </row>
    <row r="2729" ht="10" customHeight="1">
      <c r="A2729" s="2" t="inlineStr"/>
      <c r="B2729" s="2" t="inlineStr"/>
      <c r="C2729" s="2" t="inlineStr"/>
      <c r="D2729" s="2" t="inlineStr"/>
      <c r="E2729" s="18" t="inlineStr"/>
    </row>
    <row r="2730" ht="20" customHeight="1">
      <c r="A2730" s="19" t="inlineStr">
        <is>
          <t>​I2748​ MÃO DE OBRA DE OPERAÇÃO DA CAMINHONETE SAVEIRO​ (H)</t>
        </is>
      </c>
      <c r="B2730" s="55" t="n"/>
      <c r="C2730" s="55" t="n"/>
      <c r="D2730" s="55" t="n"/>
      <c r="E2730" s="55" t="n"/>
      <c r="F2730" s="55" t="n"/>
      <c r="G2730" s="56" t="n"/>
    </row>
    <row r="2731" ht="15" customHeight="1">
      <c r="A2731" s="20" t="inlineStr">
        <is>
          <t>Mão de Obra</t>
        </is>
      </c>
      <c r="B2731" s="56" t="n"/>
      <c r="C2731" s="21" t="inlineStr">
        <is>
          <t>FONTE</t>
        </is>
      </c>
      <c r="D2731" s="21" t="inlineStr">
        <is>
          <t>UNID</t>
        </is>
      </c>
      <c r="E2731" s="21" t="inlineStr">
        <is>
          <t>COEFICIENTE</t>
        </is>
      </c>
      <c r="F2731" s="21" t="inlineStr">
        <is>
          <t>PREÇO UNITÁRIO</t>
        </is>
      </c>
      <c r="G2731" s="21" t="inlineStr">
        <is>
          <t>TOTAL</t>
        </is>
      </c>
    </row>
    <row r="2732" ht="15" customHeight="1">
      <c r="A2732" s="22" t="inlineStr">
        <is>
          <t>I2380</t>
        </is>
      </c>
      <c r="B2732" s="23" t="inlineStr">
        <is>
          <t>MOTORISTA</t>
        </is>
      </c>
      <c r="C2732" s="22" t="inlineStr">
        <is>
          <t>SEINFRA</t>
        </is>
      </c>
      <c r="D2732" s="22" t="inlineStr">
        <is>
          <t>H</t>
        </is>
      </c>
      <c r="E2732" s="63" t="n">
        <v>1</v>
      </c>
      <c r="F2732" s="67" t="n">
        <v>20.86</v>
      </c>
      <c r="G2732" s="67">
        <f>ROUND(ROUND(E2732,8)*F2732,4)</f>
        <v/>
      </c>
      <c r="L2732" t="n">
        <v>1</v>
      </c>
      <c r="M2732" t="n">
        <v>20.86</v>
      </c>
      <c r="N2732">
        <f>(M2732-F2732)</f>
        <v/>
      </c>
    </row>
    <row r="2733" ht="15" customHeight="1">
      <c r="A2733" s="2" t="inlineStr"/>
      <c r="B2733" s="2" t="inlineStr"/>
      <c r="C2733" s="2" t="inlineStr"/>
      <c r="D2733" s="2" t="inlineStr"/>
      <c r="E2733" s="26" t="inlineStr">
        <is>
          <t>TOTAL Mão de Obra:</t>
        </is>
      </c>
      <c r="F2733" s="56" t="n"/>
      <c r="G2733" s="68">
        <f>SUM(G2732:G2732)</f>
        <v/>
      </c>
    </row>
    <row r="2734" ht="15" customHeight="1">
      <c r="A2734" s="2" t="inlineStr"/>
      <c r="B2734" s="2" t="inlineStr"/>
      <c r="C2734" s="2" t="inlineStr"/>
      <c r="D2734" s="2" t="inlineStr"/>
      <c r="E2734" s="28" t="inlineStr">
        <is>
          <t>VALOR:</t>
        </is>
      </c>
      <c r="F2734" s="56" t="n"/>
      <c r="G2734" s="66">
        <f>ROUND(SUM(G2733),2)</f>
        <v/>
      </c>
    </row>
    <row r="2735" ht="15" customHeight="1">
      <c r="A2735" s="2" t="inlineStr"/>
      <c r="B2735" s="2" t="inlineStr"/>
      <c r="C2735" s="2" t="inlineStr"/>
      <c r="D2735" s="2" t="inlineStr"/>
      <c r="E2735" s="28" t="inlineStr">
        <is>
          <t>VALOR BDI (23.08%):</t>
        </is>
      </c>
      <c r="F2735" s="56" t="n"/>
      <c r="G2735" s="66">
        <f>ROUNDDOWN(G2734*BDI,2)</f>
        <v/>
      </c>
    </row>
    <row r="2736" ht="15" customHeight="1">
      <c r="A2736" s="2" t="inlineStr"/>
      <c r="B2736" s="2" t="inlineStr"/>
      <c r="C2736" s="2" t="inlineStr"/>
      <c r="D2736" s="2" t="inlineStr"/>
      <c r="E2736" s="28" t="inlineStr">
        <is>
          <t>VALOR COM BDI:</t>
        </is>
      </c>
      <c r="F2736" s="56" t="n"/>
      <c r="G2736" s="66">
        <f>G2735 + G2734</f>
        <v/>
      </c>
    </row>
    <row r="2737" ht="10" customHeight="1">
      <c r="A2737" s="2" t="inlineStr"/>
      <c r="B2737" s="2" t="inlineStr"/>
      <c r="C2737" s="2" t="inlineStr"/>
      <c r="D2737" s="2" t="inlineStr"/>
      <c r="E2737" s="18" t="inlineStr"/>
    </row>
    <row r="2738" ht="20" customHeight="1">
      <c r="A2738" s="19" t="inlineStr">
        <is>
          <t>​I2753​ MÃO DE OBRA DE OPERAÇÃO DA CARREGADEIRA DE PNEUS (111 HP)​ (H)</t>
        </is>
      </c>
      <c r="B2738" s="55" t="n"/>
      <c r="C2738" s="55" t="n"/>
      <c r="D2738" s="55" t="n"/>
      <c r="E2738" s="55" t="n"/>
      <c r="F2738" s="55" t="n"/>
      <c r="G2738" s="56" t="n"/>
    </row>
    <row r="2739" ht="15" customHeight="1">
      <c r="A2739" s="20" t="inlineStr">
        <is>
          <t>Mão de Obra</t>
        </is>
      </c>
      <c r="B2739" s="56" t="n"/>
      <c r="C2739" s="21" t="inlineStr">
        <is>
          <t>FONTE</t>
        </is>
      </c>
      <c r="D2739" s="21" t="inlineStr">
        <is>
          <t>UNID</t>
        </is>
      </c>
      <c r="E2739" s="21" t="inlineStr">
        <is>
          <t>COEFICIENTE</t>
        </is>
      </c>
      <c r="F2739" s="21" t="inlineStr">
        <is>
          <t>PREÇO UNITÁRIO</t>
        </is>
      </c>
      <c r="G2739" s="21" t="inlineStr">
        <is>
          <t>TOTAL</t>
        </is>
      </c>
    </row>
    <row r="2740" ht="15" customHeight="1">
      <c r="A2740" s="22" t="inlineStr">
        <is>
          <t>I2550</t>
        </is>
      </c>
      <c r="B2740" s="23" t="inlineStr">
        <is>
          <t>OPERADOR DE CARREGADEIRA</t>
        </is>
      </c>
      <c r="C2740" s="22" t="inlineStr">
        <is>
          <t>SEINFRA</t>
        </is>
      </c>
      <c r="D2740" s="22" t="inlineStr">
        <is>
          <t>H</t>
        </is>
      </c>
      <c r="E2740" s="63" t="n">
        <v>1</v>
      </c>
      <c r="F2740" s="67" t="n">
        <v>32.45</v>
      </c>
      <c r="G2740" s="67">
        <f>ROUND(ROUND(E2740,8)*F2740,4)</f>
        <v/>
      </c>
      <c r="L2740" t="n">
        <v>1</v>
      </c>
      <c r="M2740" t="n">
        <v>32.45</v>
      </c>
      <c r="N2740">
        <f>(M2740-F2740)</f>
        <v/>
      </c>
    </row>
    <row r="2741" ht="15" customHeight="1">
      <c r="A2741" s="2" t="inlineStr"/>
      <c r="B2741" s="2" t="inlineStr"/>
      <c r="C2741" s="2" t="inlineStr"/>
      <c r="D2741" s="2" t="inlineStr"/>
      <c r="E2741" s="26" t="inlineStr">
        <is>
          <t>TOTAL Mão de Obra:</t>
        </is>
      </c>
      <c r="F2741" s="56" t="n"/>
      <c r="G2741" s="68">
        <f>SUM(G2740:G2740)</f>
        <v/>
      </c>
    </row>
    <row r="2742" ht="15" customHeight="1">
      <c r="A2742" s="2" t="inlineStr"/>
      <c r="B2742" s="2" t="inlineStr"/>
      <c r="C2742" s="2" t="inlineStr"/>
      <c r="D2742" s="2" t="inlineStr"/>
      <c r="E2742" s="28" t="inlineStr">
        <is>
          <t>VALOR:</t>
        </is>
      </c>
      <c r="F2742" s="56" t="n"/>
      <c r="G2742" s="66">
        <f>ROUND(SUM(G2741),2)</f>
        <v/>
      </c>
    </row>
    <row r="2743" ht="15" customHeight="1">
      <c r="A2743" s="2" t="inlineStr"/>
      <c r="B2743" s="2" t="inlineStr"/>
      <c r="C2743" s="2" t="inlineStr"/>
      <c r="D2743" s="2" t="inlineStr"/>
      <c r="E2743" s="28" t="inlineStr">
        <is>
          <t>VALOR BDI (23.08%):</t>
        </is>
      </c>
      <c r="F2743" s="56" t="n"/>
      <c r="G2743" s="66">
        <f>ROUNDDOWN(G2742*BDI,2)</f>
        <v/>
      </c>
    </row>
    <row r="2744" ht="15" customHeight="1">
      <c r="A2744" s="2" t="inlineStr"/>
      <c r="B2744" s="2" t="inlineStr"/>
      <c r="C2744" s="2" t="inlineStr"/>
      <c r="D2744" s="2" t="inlineStr"/>
      <c r="E2744" s="28" t="inlineStr">
        <is>
          <t>VALOR COM BDI:</t>
        </is>
      </c>
      <c r="F2744" s="56" t="n"/>
      <c r="G2744" s="66">
        <f>G2743 + G2742</f>
        <v/>
      </c>
    </row>
    <row r="2745" ht="10" customHeight="1">
      <c r="A2745" s="2" t="inlineStr"/>
      <c r="B2745" s="2" t="inlineStr"/>
      <c r="C2745" s="2" t="inlineStr"/>
      <c r="D2745" s="2" t="inlineStr"/>
      <c r="E2745" s="18" t="inlineStr"/>
    </row>
    <row r="2746" ht="20" customHeight="1">
      <c r="A2746" s="19" t="inlineStr">
        <is>
          <t>​I2722​ MÃO DE OBRA DE OPERAÇÃO DO CAMINHÃO BASCULANTE 6M3​ (H)</t>
        </is>
      </c>
      <c r="B2746" s="55" t="n"/>
      <c r="C2746" s="55" t="n"/>
      <c r="D2746" s="55" t="n"/>
      <c r="E2746" s="55" t="n"/>
      <c r="F2746" s="55" t="n"/>
      <c r="G2746" s="56" t="n"/>
    </row>
    <row r="2747" ht="15" customHeight="1">
      <c r="A2747" s="20" t="inlineStr">
        <is>
          <t>Mão de Obra</t>
        </is>
      </c>
      <c r="B2747" s="56" t="n"/>
      <c r="C2747" s="21" t="inlineStr">
        <is>
          <t>FONTE</t>
        </is>
      </c>
      <c r="D2747" s="21" t="inlineStr">
        <is>
          <t>UNID</t>
        </is>
      </c>
      <c r="E2747" s="21" t="inlineStr">
        <is>
          <t>COEFICIENTE</t>
        </is>
      </c>
      <c r="F2747" s="21" t="inlineStr">
        <is>
          <t>PREÇO UNITÁRIO</t>
        </is>
      </c>
      <c r="G2747" s="21" t="inlineStr">
        <is>
          <t>TOTAL</t>
        </is>
      </c>
    </row>
    <row r="2748" ht="15" customHeight="1">
      <c r="A2748" s="22" t="inlineStr">
        <is>
          <t>I2545</t>
        </is>
      </c>
      <c r="B2748" s="23" t="inlineStr">
        <is>
          <t>MOTORISTA DE CAMINHÃO</t>
        </is>
      </c>
      <c r="C2748" s="22" t="inlineStr">
        <is>
          <t>SEINFRA</t>
        </is>
      </c>
      <c r="D2748" s="22" t="inlineStr">
        <is>
          <t>H</t>
        </is>
      </c>
      <c r="E2748" s="63" t="n">
        <v>1</v>
      </c>
      <c r="F2748" s="67" t="n">
        <v>27.46</v>
      </c>
      <c r="G2748" s="67">
        <f>ROUND(ROUND(E2748,8)*F2748,4)</f>
        <v/>
      </c>
      <c r="L2748" t="n">
        <v>1</v>
      </c>
      <c r="M2748" t="n">
        <v>27.46</v>
      </c>
      <c r="N2748">
        <f>(M2748-F2748)</f>
        <v/>
      </c>
    </row>
    <row r="2749" ht="15" customHeight="1">
      <c r="A2749" s="2" t="inlineStr"/>
      <c r="B2749" s="2" t="inlineStr"/>
      <c r="C2749" s="2" t="inlineStr"/>
      <c r="D2749" s="2" t="inlineStr"/>
      <c r="E2749" s="26" t="inlineStr">
        <is>
          <t>TOTAL Mão de Obra:</t>
        </is>
      </c>
      <c r="F2749" s="56" t="n"/>
      <c r="G2749" s="68">
        <f>SUM(G2748:G2748)</f>
        <v/>
      </c>
    </row>
    <row r="2750" ht="15" customHeight="1">
      <c r="A2750" s="2" t="inlineStr"/>
      <c r="B2750" s="2" t="inlineStr"/>
      <c r="C2750" s="2" t="inlineStr"/>
      <c r="D2750" s="2" t="inlineStr"/>
      <c r="E2750" s="28" t="inlineStr">
        <is>
          <t>VALOR:</t>
        </is>
      </c>
      <c r="F2750" s="56" t="n"/>
      <c r="G2750" s="66">
        <f>ROUND(SUM(G2749),2)</f>
        <v/>
      </c>
    </row>
    <row r="2751" ht="15" customHeight="1">
      <c r="A2751" s="2" t="inlineStr"/>
      <c r="B2751" s="2" t="inlineStr"/>
      <c r="C2751" s="2" t="inlineStr"/>
      <c r="D2751" s="2" t="inlineStr"/>
      <c r="E2751" s="28" t="inlineStr">
        <is>
          <t>VALOR BDI (23.08%):</t>
        </is>
      </c>
      <c r="F2751" s="56" t="n"/>
      <c r="G2751" s="66">
        <f>ROUNDDOWN(G2750*BDI,2)</f>
        <v/>
      </c>
    </row>
    <row r="2752" ht="15" customHeight="1">
      <c r="A2752" s="2" t="inlineStr"/>
      <c r="B2752" s="2" t="inlineStr"/>
      <c r="C2752" s="2" t="inlineStr"/>
      <c r="D2752" s="2" t="inlineStr"/>
      <c r="E2752" s="28" t="inlineStr">
        <is>
          <t>VALOR COM BDI:</t>
        </is>
      </c>
      <c r="F2752" s="56" t="n"/>
      <c r="G2752" s="66">
        <f>G2751 + G2750</f>
        <v/>
      </c>
    </row>
    <row r="2753" ht="10" customHeight="1">
      <c r="A2753" s="2" t="inlineStr"/>
      <c r="B2753" s="2" t="inlineStr"/>
      <c r="C2753" s="2" t="inlineStr"/>
      <c r="D2753" s="2" t="inlineStr"/>
      <c r="E2753" s="18" t="inlineStr"/>
    </row>
    <row r="2754" ht="20" customHeight="1">
      <c r="A2754" s="19" t="inlineStr">
        <is>
          <t>​I2734​ MÃO DE OBRA DE OPERAÇÃO DO CAMINHÃO COMERC. EQUIP. C/ GUINDAUTO​ (H)</t>
        </is>
      </c>
      <c r="B2754" s="55" t="n"/>
      <c r="C2754" s="55" t="n"/>
      <c r="D2754" s="55" t="n"/>
      <c r="E2754" s="55" t="n"/>
      <c r="F2754" s="55" t="n"/>
      <c r="G2754" s="56" t="n"/>
    </row>
    <row r="2755" ht="15" customHeight="1">
      <c r="A2755" s="20" t="inlineStr">
        <is>
          <t>Mão de Obra</t>
        </is>
      </c>
      <c r="B2755" s="56" t="n"/>
      <c r="C2755" s="21" t="inlineStr">
        <is>
          <t>FONTE</t>
        </is>
      </c>
      <c r="D2755" s="21" t="inlineStr">
        <is>
          <t>UNID</t>
        </is>
      </c>
      <c r="E2755" s="21" t="inlineStr">
        <is>
          <t>COEFICIENTE</t>
        </is>
      </c>
      <c r="F2755" s="21" t="inlineStr">
        <is>
          <t>PREÇO UNITÁRIO</t>
        </is>
      </c>
      <c r="G2755" s="21" t="inlineStr">
        <is>
          <t>TOTAL</t>
        </is>
      </c>
    </row>
    <row r="2756" ht="15" customHeight="1">
      <c r="A2756" s="22" t="inlineStr">
        <is>
          <t>I2545</t>
        </is>
      </c>
      <c r="B2756" s="23" t="inlineStr">
        <is>
          <t>MOTORISTA DE CAMINHÃO</t>
        </is>
      </c>
      <c r="C2756" s="22" t="inlineStr">
        <is>
          <t>SEINFRA</t>
        </is>
      </c>
      <c r="D2756" s="22" t="inlineStr">
        <is>
          <t>H</t>
        </is>
      </c>
      <c r="E2756" s="63" t="n">
        <v>1</v>
      </c>
      <c r="F2756" s="67" t="n">
        <v>27.46</v>
      </c>
      <c r="G2756" s="67">
        <f>ROUND(ROUND(E2756,8)*F2756,4)</f>
        <v/>
      </c>
      <c r="L2756" t="n">
        <v>1</v>
      </c>
      <c r="M2756" t="n">
        <v>27.46</v>
      </c>
      <c r="N2756">
        <f>(M2756-F2756)</f>
        <v/>
      </c>
    </row>
    <row r="2757" ht="15" customHeight="1">
      <c r="A2757" s="2" t="inlineStr"/>
      <c r="B2757" s="2" t="inlineStr"/>
      <c r="C2757" s="2" t="inlineStr"/>
      <c r="D2757" s="2" t="inlineStr"/>
      <c r="E2757" s="26" t="inlineStr">
        <is>
          <t>TOTAL Mão de Obra:</t>
        </is>
      </c>
      <c r="F2757" s="56" t="n"/>
      <c r="G2757" s="68">
        <f>SUM(G2756:G2756)</f>
        <v/>
      </c>
    </row>
    <row r="2758" ht="15" customHeight="1">
      <c r="A2758" s="2" t="inlineStr"/>
      <c r="B2758" s="2" t="inlineStr"/>
      <c r="C2758" s="2" t="inlineStr"/>
      <c r="D2758" s="2" t="inlineStr"/>
      <c r="E2758" s="28" t="inlineStr">
        <is>
          <t>VALOR:</t>
        </is>
      </c>
      <c r="F2758" s="56" t="n"/>
      <c r="G2758" s="66">
        <f>ROUND(SUM(G2757),2)</f>
        <v/>
      </c>
    </row>
    <row r="2759" ht="15" customHeight="1">
      <c r="A2759" s="2" t="inlineStr"/>
      <c r="B2759" s="2" t="inlineStr"/>
      <c r="C2759" s="2" t="inlineStr"/>
      <c r="D2759" s="2" t="inlineStr"/>
      <c r="E2759" s="28" t="inlineStr">
        <is>
          <t>VALOR BDI (23.08%):</t>
        </is>
      </c>
      <c r="F2759" s="56" t="n"/>
      <c r="G2759" s="66">
        <f>ROUNDDOWN(G2758*BDI,2)</f>
        <v/>
      </c>
    </row>
    <row r="2760" ht="15" customHeight="1">
      <c r="A2760" s="2" t="inlineStr"/>
      <c r="B2760" s="2" t="inlineStr"/>
      <c r="C2760" s="2" t="inlineStr"/>
      <c r="D2760" s="2" t="inlineStr"/>
      <c r="E2760" s="28" t="inlineStr">
        <is>
          <t>VALOR COM BDI:</t>
        </is>
      </c>
      <c r="F2760" s="56" t="n"/>
      <c r="G2760" s="66">
        <f>G2759 + G2758</f>
        <v/>
      </c>
    </row>
    <row r="2761" ht="10" customHeight="1">
      <c r="A2761" s="2" t="inlineStr"/>
      <c r="B2761" s="2" t="inlineStr"/>
      <c r="C2761" s="2" t="inlineStr"/>
      <c r="D2761" s="2" t="inlineStr"/>
      <c r="E2761" s="18" t="inlineStr"/>
    </row>
    <row r="2762" ht="20" customHeight="1">
      <c r="A2762" s="19" t="inlineStr">
        <is>
          <t>​I2744​ MÃO DE OBRA DE OPERAÇÃO DO CAMINHÃO TANQUE 6.000 L​ (H)</t>
        </is>
      </c>
      <c r="B2762" s="55" t="n"/>
      <c r="C2762" s="55" t="n"/>
      <c r="D2762" s="55" t="n"/>
      <c r="E2762" s="55" t="n"/>
      <c r="F2762" s="55" t="n"/>
      <c r="G2762" s="56" t="n"/>
    </row>
    <row r="2763" ht="15" customHeight="1">
      <c r="A2763" s="20" t="inlineStr">
        <is>
          <t>Mão de Obra</t>
        </is>
      </c>
      <c r="B2763" s="56" t="n"/>
      <c r="C2763" s="21" t="inlineStr">
        <is>
          <t>FONTE</t>
        </is>
      </c>
      <c r="D2763" s="21" t="inlineStr">
        <is>
          <t>UNID</t>
        </is>
      </c>
      <c r="E2763" s="21" t="inlineStr">
        <is>
          <t>COEFICIENTE</t>
        </is>
      </c>
      <c r="F2763" s="21" t="inlineStr">
        <is>
          <t>PREÇO UNITÁRIO</t>
        </is>
      </c>
      <c r="G2763" s="21" t="inlineStr">
        <is>
          <t>TOTAL</t>
        </is>
      </c>
    </row>
    <row r="2764" ht="15" customHeight="1">
      <c r="A2764" s="22" t="inlineStr">
        <is>
          <t>I2545</t>
        </is>
      </c>
      <c r="B2764" s="23" t="inlineStr">
        <is>
          <t>MOTORISTA DE CAMINHÃO</t>
        </is>
      </c>
      <c r="C2764" s="22" t="inlineStr">
        <is>
          <t>SEINFRA</t>
        </is>
      </c>
      <c r="D2764" s="22" t="inlineStr">
        <is>
          <t>H</t>
        </is>
      </c>
      <c r="E2764" s="63" t="n">
        <v>1</v>
      </c>
      <c r="F2764" s="67" t="n">
        <v>27.46</v>
      </c>
      <c r="G2764" s="67">
        <f>ROUND(ROUND(E2764,8)*F2764,4)</f>
        <v/>
      </c>
      <c r="L2764" t="n">
        <v>1</v>
      </c>
      <c r="M2764" t="n">
        <v>27.46</v>
      </c>
      <c r="N2764">
        <f>(M2764-F2764)</f>
        <v/>
      </c>
    </row>
    <row r="2765" ht="15" customHeight="1">
      <c r="A2765" s="2" t="inlineStr"/>
      <c r="B2765" s="2" t="inlineStr"/>
      <c r="C2765" s="2" t="inlineStr"/>
      <c r="D2765" s="2" t="inlineStr"/>
      <c r="E2765" s="26" t="inlineStr">
        <is>
          <t>TOTAL Mão de Obra:</t>
        </is>
      </c>
      <c r="F2765" s="56" t="n"/>
      <c r="G2765" s="68">
        <f>SUM(G2764:G2764)</f>
        <v/>
      </c>
    </row>
    <row r="2766" ht="15" customHeight="1">
      <c r="A2766" s="2" t="inlineStr"/>
      <c r="B2766" s="2" t="inlineStr"/>
      <c r="C2766" s="2" t="inlineStr"/>
      <c r="D2766" s="2" t="inlineStr"/>
      <c r="E2766" s="28" t="inlineStr">
        <is>
          <t>VALOR:</t>
        </is>
      </c>
      <c r="F2766" s="56" t="n"/>
      <c r="G2766" s="66">
        <f>ROUND(SUM(G2765),2)</f>
        <v/>
      </c>
    </row>
    <row r="2767" ht="15" customHeight="1">
      <c r="A2767" s="2" t="inlineStr"/>
      <c r="B2767" s="2" t="inlineStr"/>
      <c r="C2767" s="2" t="inlineStr"/>
      <c r="D2767" s="2" t="inlineStr"/>
      <c r="E2767" s="28" t="inlineStr">
        <is>
          <t>VALOR BDI (23.08%):</t>
        </is>
      </c>
      <c r="F2767" s="56" t="n"/>
      <c r="G2767" s="66">
        <f>ROUNDDOWN(G2766*BDI,2)</f>
        <v/>
      </c>
    </row>
    <row r="2768" ht="15" customHeight="1">
      <c r="A2768" s="2" t="inlineStr"/>
      <c r="B2768" s="2" t="inlineStr"/>
      <c r="C2768" s="2" t="inlineStr"/>
      <c r="D2768" s="2" t="inlineStr"/>
      <c r="E2768" s="28" t="inlineStr">
        <is>
          <t>VALOR COM BDI:</t>
        </is>
      </c>
      <c r="F2768" s="56" t="n"/>
      <c r="G2768" s="66">
        <f>G2767 + G2766</f>
        <v/>
      </c>
    </row>
    <row r="2769" ht="10" customHeight="1">
      <c r="A2769" s="2" t="inlineStr"/>
      <c r="B2769" s="2" t="inlineStr"/>
      <c r="C2769" s="2" t="inlineStr"/>
      <c r="D2769" s="2" t="inlineStr"/>
      <c r="E2769" s="18" t="inlineStr"/>
    </row>
    <row r="2770" ht="20" customHeight="1">
      <c r="A2770" s="19" t="inlineStr">
        <is>
          <t>​I2772​ MÃO DE OBRA DE OPERAÇÃO DO COMPACTADOR DE PLACA VIBRATÓRIA (7 HP)​ (H)</t>
        </is>
      </c>
      <c r="B2770" s="55" t="n"/>
      <c r="C2770" s="55" t="n"/>
      <c r="D2770" s="55" t="n"/>
      <c r="E2770" s="55" t="n"/>
      <c r="F2770" s="55" t="n"/>
      <c r="G2770" s="56" t="n"/>
    </row>
    <row r="2771" ht="15" customHeight="1">
      <c r="A2771" s="20" t="inlineStr">
        <is>
          <t>Mão de Obra</t>
        </is>
      </c>
      <c r="B2771" s="56" t="n"/>
      <c r="C2771" s="21" t="inlineStr">
        <is>
          <t>FONTE</t>
        </is>
      </c>
      <c r="D2771" s="21" t="inlineStr">
        <is>
          <t>UNID</t>
        </is>
      </c>
      <c r="E2771" s="21" t="inlineStr">
        <is>
          <t>COEFICIENTE</t>
        </is>
      </c>
      <c r="F2771" s="21" t="inlineStr">
        <is>
          <t>PREÇO UNITÁRIO</t>
        </is>
      </c>
      <c r="G2771" s="21" t="inlineStr">
        <is>
          <t>TOTAL</t>
        </is>
      </c>
    </row>
    <row r="2772" ht="15" customHeight="1">
      <c r="A2772" s="22" t="inlineStr">
        <is>
          <t>I2552</t>
        </is>
      </c>
      <c r="B2772" s="23" t="inlineStr">
        <is>
          <t>OPERADOR DE COMPACTADOR DE PLACA VIBRATORIA</t>
        </is>
      </c>
      <c r="C2772" s="22" t="inlineStr">
        <is>
          <t>SEINFRA</t>
        </is>
      </c>
      <c r="D2772" s="22" t="inlineStr">
        <is>
          <t>H</t>
        </is>
      </c>
      <c r="E2772" s="63" t="n">
        <v>1</v>
      </c>
      <c r="F2772" s="67" t="n">
        <v>23.71</v>
      </c>
      <c r="G2772" s="67">
        <f>ROUND(ROUND(E2772,8)*F2772,4)</f>
        <v/>
      </c>
      <c r="L2772" t="n">
        <v>1</v>
      </c>
      <c r="M2772" t="n">
        <v>23.71</v>
      </c>
      <c r="N2772">
        <f>(M2772-F2772)</f>
        <v/>
      </c>
    </row>
    <row r="2773" ht="15" customHeight="1">
      <c r="A2773" s="2" t="inlineStr"/>
      <c r="B2773" s="2" t="inlineStr"/>
      <c r="C2773" s="2" t="inlineStr"/>
      <c r="D2773" s="2" t="inlineStr"/>
      <c r="E2773" s="26" t="inlineStr">
        <is>
          <t>TOTAL Mão de Obra:</t>
        </is>
      </c>
      <c r="F2773" s="56" t="n"/>
      <c r="G2773" s="68">
        <f>SUM(G2772:G2772)</f>
        <v/>
      </c>
    </row>
    <row r="2774" ht="15" customHeight="1">
      <c r="A2774" s="2" t="inlineStr"/>
      <c r="B2774" s="2" t="inlineStr"/>
      <c r="C2774" s="2" t="inlineStr"/>
      <c r="D2774" s="2" t="inlineStr"/>
      <c r="E2774" s="28" t="inlineStr">
        <is>
          <t>VALOR:</t>
        </is>
      </c>
      <c r="F2774" s="56" t="n"/>
      <c r="G2774" s="66">
        <f>ROUND(SUM(G2773),2)</f>
        <v/>
      </c>
    </row>
    <row r="2775" ht="15" customHeight="1">
      <c r="A2775" s="2" t="inlineStr"/>
      <c r="B2775" s="2" t="inlineStr"/>
      <c r="C2775" s="2" t="inlineStr"/>
      <c r="D2775" s="2" t="inlineStr"/>
      <c r="E2775" s="28" t="inlineStr">
        <is>
          <t>VALOR BDI (23.08%):</t>
        </is>
      </c>
      <c r="F2775" s="56" t="n"/>
      <c r="G2775" s="66">
        <f>ROUNDDOWN(G2774*BDI,2)</f>
        <v/>
      </c>
    </row>
    <row r="2776" ht="15" customHeight="1">
      <c r="A2776" s="2" t="inlineStr"/>
      <c r="B2776" s="2" t="inlineStr"/>
      <c r="C2776" s="2" t="inlineStr"/>
      <c r="D2776" s="2" t="inlineStr"/>
      <c r="E2776" s="28" t="inlineStr">
        <is>
          <t>VALOR COM BDI:</t>
        </is>
      </c>
      <c r="F2776" s="56" t="n"/>
      <c r="G2776" s="66">
        <f>G2775 + G2774</f>
        <v/>
      </c>
    </row>
    <row r="2777" ht="10" customHeight="1">
      <c r="A2777" s="2" t="inlineStr"/>
      <c r="B2777" s="2" t="inlineStr"/>
      <c r="C2777" s="2" t="inlineStr"/>
      <c r="D2777" s="2" t="inlineStr"/>
      <c r="E2777" s="18" t="inlineStr"/>
    </row>
    <row r="2778" ht="20" customHeight="1">
      <c r="A2778" s="19" t="inlineStr">
        <is>
          <t>​I2842​ MÃO DE OBRA DE OPERAÇÃO DO TRATOR DE ESTEIRAS C/ LÂMINA E ESC. (155 HP)​ (H)</t>
        </is>
      </c>
      <c r="B2778" s="55" t="n"/>
      <c r="C2778" s="55" t="n"/>
      <c r="D2778" s="55" t="n"/>
      <c r="E2778" s="55" t="n"/>
      <c r="F2778" s="55" t="n"/>
      <c r="G2778" s="56" t="n"/>
    </row>
    <row r="2779" ht="15" customHeight="1">
      <c r="A2779" s="20" t="inlineStr">
        <is>
          <t>Mão de Obra</t>
        </is>
      </c>
      <c r="B2779" s="56" t="n"/>
      <c r="C2779" s="21" t="inlineStr">
        <is>
          <t>FONTE</t>
        </is>
      </c>
      <c r="D2779" s="21" t="inlineStr">
        <is>
          <t>UNID</t>
        </is>
      </c>
      <c r="E2779" s="21" t="inlineStr">
        <is>
          <t>COEFICIENTE</t>
        </is>
      </c>
      <c r="F2779" s="21" t="inlineStr">
        <is>
          <t>PREÇO UNITÁRIO</t>
        </is>
      </c>
      <c r="G2779" s="21" t="inlineStr">
        <is>
          <t>TOTAL</t>
        </is>
      </c>
    </row>
    <row r="2780" ht="15" customHeight="1">
      <c r="A2780" s="22" t="inlineStr">
        <is>
          <t>I2562</t>
        </is>
      </c>
      <c r="B2780" s="23" t="inlineStr">
        <is>
          <t>OPERADOR DE TRATOR DE ESTEIRAS</t>
        </is>
      </c>
      <c r="C2780" s="22" t="inlineStr">
        <is>
          <t>SEINFRA</t>
        </is>
      </c>
      <c r="D2780" s="22" t="inlineStr">
        <is>
          <t>H</t>
        </is>
      </c>
      <c r="E2780" s="63">
        <f>L2780*FATOR</f>
        <v/>
      </c>
      <c r="F2780" s="67" t="n">
        <v>32.45</v>
      </c>
      <c r="G2780" s="67">
        <f>ROUND(ROUND(E2780,8)*F2780,4)</f>
        <v/>
      </c>
      <c r="L2780" t="n">
        <v>1</v>
      </c>
      <c r="M2780" t="n">
        <v>32.45</v>
      </c>
      <c r="N2780">
        <f>(M2780-F2780)</f>
        <v/>
      </c>
    </row>
    <row r="2781" ht="15" customHeight="1">
      <c r="A2781" s="2" t="inlineStr"/>
      <c r="B2781" s="2" t="inlineStr"/>
      <c r="C2781" s="2" t="inlineStr"/>
      <c r="D2781" s="2" t="inlineStr"/>
      <c r="E2781" s="26" t="inlineStr">
        <is>
          <t>TOTAL Mão de Obra:</t>
        </is>
      </c>
      <c r="F2781" s="56" t="n"/>
      <c r="G2781" s="68">
        <f>SUM(G2780:G2780)</f>
        <v/>
      </c>
    </row>
    <row r="2782" ht="15" customHeight="1">
      <c r="A2782" s="2" t="inlineStr"/>
      <c r="B2782" s="2" t="inlineStr"/>
      <c r="C2782" s="2" t="inlineStr"/>
      <c r="D2782" s="2" t="inlineStr"/>
      <c r="E2782" s="28" t="inlineStr">
        <is>
          <t>VALOR:</t>
        </is>
      </c>
      <c r="F2782" s="56" t="n"/>
      <c r="G2782" s="66">
        <f>SUM(G2781)</f>
        <v/>
      </c>
    </row>
    <row r="2783" ht="15" customHeight="1">
      <c r="A2783" s="2" t="inlineStr"/>
      <c r="B2783" s="2" t="inlineStr"/>
      <c r="C2783" s="2" t="inlineStr"/>
      <c r="D2783" s="2" t="inlineStr"/>
      <c r="E2783" s="28" t="inlineStr">
        <is>
          <t>VALOR BDI (23.08%):</t>
        </is>
      </c>
      <c r="F2783" s="56" t="n"/>
      <c r="G2783" s="66">
        <f>ROUNDDOWN(G2782*BDI,2)</f>
        <v/>
      </c>
    </row>
    <row r="2784" ht="15" customHeight="1">
      <c r="A2784" s="2" t="inlineStr"/>
      <c r="B2784" s="2" t="inlineStr"/>
      <c r="C2784" s="2" t="inlineStr"/>
      <c r="D2784" s="2" t="inlineStr"/>
      <c r="E2784" s="28" t="inlineStr">
        <is>
          <t>VALOR COM BDI:</t>
        </is>
      </c>
      <c r="F2784" s="56" t="n"/>
      <c r="G2784" s="66">
        <f>G2783 + G2782</f>
        <v/>
      </c>
    </row>
    <row r="2785" ht="10" customHeight="1">
      <c r="A2785" s="2" t="inlineStr"/>
      <c r="B2785" s="2" t="inlineStr"/>
      <c r="C2785" s="2" t="inlineStr"/>
      <c r="D2785" s="2" t="inlineStr"/>
      <c r="E2785" s="18" t="inlineStr"/>
    </row>
    <row r="2786" ht="20" customHeight="1">
      <c r="A2786" s="19" t="inlineStr">
        <is>
          <t>​I0758​ NÍVEL (CHP)​ (H)</t>
        </is>
      </c>
      <c r="B2786" s="55" t="n"/>
      <c r="C2786" s="55" t="n"/>
      <c r="D2786" s="55" t="n"/>
      <c r="E2786" s="55" t="n"/>
      <c r="F2786" s="55" t="n"/>
      <c r="G2786" s="56" t="n"/>
    </row>
    <row r="2787" ht="15" customHeight="1">
      <c r="A2787" s="20" t="inlineStr">
        <is>
          <t>Geral</t>
        </is>
      </c>
      <c r="B2787" s="56" t="n"/>
      <c r="C2787" s="21" t="inlineStr">
        <is>
          <t>FONTE</t>
        </is>
      </c>
      <c r="D2787" s="21" t="inlineStr">
        <is>
          <t>UNID</t>
        </is>
      </c>
      <c r="E2787" s="21" t="inlineStr">
        <is>
          <t>COEFICIENTE</t>
        </is>
      </c>
      <c r="F2787" s="21">
        <f>G677</f>
        <v/>
      </c>
      <c r="G2787" s="21" t="inlineStr">
        <is>
          <t>TOTAL</t>
        </is>
      </c>
    </row>
    <row r="2788" ht="15" customHeight="1">
      <c r="A2788" s="22" t="inlineStr">
        <is>
          <t>I2701</t>
        </is>
      </c>
      <c r="B2788" s="23" t="inlineStr">
        <is>
          <t>DEPRECIAÇÃO</t>
        </is>
      </c>
      <c r="C2788" s="22" t="inlineStr">
        <is>
          <t>SEINFRA</t>
        </is>
      </c>
      <c r="D2788" s="22" t="inlineStr">
        <is>
          <t>H</t>
        </is>
      </c>
      <c r="E2788" s="63" t="n">
        <v>0.5768</v>
      </c>
      <c r="F2788" s="67">
        <f>'COMPOSICOES AUXILIARES'!G677</f>
        <v/>
      </c>
      <c r="G2788" s="67">
        <f>ROUND(ROUND(E2788,8)*F2788,4)</f>
        <v/>
      </c>
      <c r="L2788" t="n">
        <v>0.5768</v>
      </c>
      <c r="M2788" t="n">
        <v>1</v>
      </c>
      <c r="N2788">
        <f>(M2788-F2788)</f>
        <v/>
      </c>
    </row>
    <row r="2789" ht="15" customHeight="1">
      <c r="A2789" s="22" t="inlineStr">
        <is>
          <t>I2702</t>
        </is>
      </c>
      <c r="B2789" s="23" t="inlineStr">
        <is>
          <t>JUROS</t>
        </is>
      </c>
      <c r="C2789" s="22" t="inlineStr">
        <is>
          <t>SEINFRA</t>
        </is>
      </c>
      <c r="D2789" s="22" t="inlineStr">
        <is>
          <t>H</t>
        </is>
      </c>
      <c r="E2789" s="63" t="n">
        <v>0.2379</v>
      </c>
      <c r="F2789" s="67">
        <f>'COMPOSICOES AUXILIARES'!G677</f>
        <v/>
      </c>
      <c r="G2789" s="67">
        <f>ROUND(ROUND(E2789,8)*F2789,4)</f>
        <v/>
      </c>
      <c r="L2789" t="n">
        <v>0.2379</v>
      </c>
      <c r="M2789" t="n">
        <v>1</v>
      </c>
      <c r="N2789">
        <f>(M2789-F2789)</f>
        <v/>
      </c>
    </row>
    <row r="2790" ht="15" customHeight="1">
      <c r="A2790" s="22" t="inlineStr">
        <is>
          <t>I2703</t>
        </is>
      </c>
      <c r="B2790" s="23" t="inlineStr">
        <is>
          <t>MANUTENÇÃO</t>
        </is>
      </c>
      <c r="C2790" s="22" t="inlineStr">
        <is>
          <t>SEINFRA</t>
        </is>
      </c>
      <c r="D2790" s="22" t="inlineStr">
        <is>
          <t>H</t>
        </is>
      </c>
      <c r="E2790" s="63" t="n">
        <v>0.3605</v>
      </c>
      <c r="F2790" s="67">
        <f>'COMPOSICOES AUXILIARES'!G677</f>
        <v/>
      </c>
      <c r="G2790" s="67">
        <f>ROUND(ROUND(E2790,8)*F2790,4)</f>
        <v/>
      </c>
      <c r="L2790" t="n">
        <v>0.3605</v>
      </c>
      <c r="M2790" t="n">
        <v>1</v>
      </c>
      <c r="N2790">
        <f>(M2790-F2790)</f>
        <v/>
      </c>
    </row>
    <row r="2791" ht="15" customHeight="1">
      <c r="A2791" s="2" t="inlineStr"/>
      <c r="B2791" s="2" t="inlineStr"/>
      <c r="C2791" s="2" t="inlineStr"/>
      <c r="D2791" s="2" t="inlineStr"/>
      <c r="E2791" s="26" t="inlineStr">
        <is>
          <t>TOTAL Geral:</t>
        </is>
      </c>
      <c r="F2791" s="56" t="n"/>
      <c r="G2791" s="68">
        <f>SUM(G2788:G2790)</f>
        <v/>
      </c>
    </row>
    <row r="2792" ht="15" customHeight="1">
      <c r="A2792" s="2" t="inlineStr"/>
      <c r="B2792" s="2" t="inlineStr"/>
      <c r="C2792" s="2" t="inlineStr"/>
      <c r="D2792" s="2" t="inlineStr"/>
      <c r="E2792" s="28" t="inlineStr">
        <is>
          <t>VALOR:</t>
        </is>
      </c>
      <c r="F2792" s="56" t="n"/>
      <c r="G2792" s="66">
        <f>SUM(G2791)</f>
        <v/>
      </c>
    </row>
    <row r="2793" ht="15" customHeight="1">
      <c r="A2793" s="2" t="inlineStr"/>
      <c r="B2793" s="2" t="inlineStr"/>
      <c r="C2793" s="2" t="inlineStr"/>
      <c r="D2793" s="2" t="inlineStr"/>
      <c r="E2793" s="28" t="inlineStr">
        <is>
          <t>VALOR BDI (23.08%):</t>
        </is>
      </c>
      <c r="F2793" s="56" t="n"/>
      <c r="G2793" s="66">
        <f>ROUNDDOWN(G2792*BDI,2)</f>
        <v/>
      </c>
    </row>
    <row r="2794" ht="15" customHeight="1">
      <c r="A2794" s="2" t="inlineStr"/>
      <c r="B2794" s="2" t="inlineStr"/>
      <c r="C2794" s="2" t="inlineStr"/>
      <c r="D2794" s="2" t="inlineStr"/>
      <c r="E2794" s="28" t="inlineStr">
        <is>
          <t>VALOR COM BDI:</t>
        </is>
      </c>
      <c r="F2794" s="56" t="n"/>
      <c r="G2794" s="66">
        <f>G2793 + G2792</f>
        <v/>
      </c>
    </row>
    <row r="2795" ht="10" customHeight="1">
      <c r="A2795" s="2" t="inlineStr"/>
      <c r="B2795" s="2" t="inlineStr"/>
      <c r="C2795" s="2" t="inlineStr"/>
      <c r="D2795" s="2" t="inlineStr"/>
      <c r="E2795" s="18" t="inlineStr"/>
    </row>
    <row r="2796" ht="20" customHeight="1">
      <c r="A2796" s="19" t="inlineStr">
        <is>
          <t>​88377​ OPERADOR DE BETONEIRA ESTACIONÁRIA/MISTURADOR COM ENCARGOS COMPLEMENTARES​ (H)</t>
        </is>
      </c>
      <c r="B2796" s="55" t="n"/>
      <c r="C2796" s="55" t="n"/>
      <c r="D2796" s="55" t="n"/>
      <c r="E2796" s="55" t="n"/>
      <c r="F2796" s="55" t="n"/>
      <c r="G2796" s="56" t="n"/>
    </row>
    <row r="2797" ht="15" customHeight="1">
      <c r="A2797" s="20" t="inlineStr">
        <is>
          <t>Encargos Complementares</t>
        </is>
      </c>
      <c r="B2797" s="56" t="n"/>
      <c r="C2797" s="21" t="inlineStr">
        <is>
          <t>FONTE</t>
        </is>
      </c>
      <c r="D2797" s="21" t="inlineStr">
        <is>
          <t>UNID</t>
        </is>
      </c>
      <c r="E2797" s="21" t="inlineStr">
        <is>
          <t>COEFICIENTE</t>
        </is>
      </c>
      <c r="F2797" s="21" t="inlineStr">
        <is>
          <t>PREÇO UNITÁRIO</t>
        </is>
      </c>
      <c r="G2797" s="21" t="inlineStr">
        <is>
          <t>TOTAL</t>
        </is>
      </c>
    </row>
    <row r="2798" ht="21" customHeight="1">
      <c r="A2798" s="22" t="inlineStr">
        <is>
          <t>00037370</t>
        </is>
      </c>
      <c r="B2798" s="23" t="inlineStr">
        <is>
          <t>ALIMENTACAO - HORISTA (COLETADO CAIXA - ENCARGOS COMPLEMENTARES)</t>
        </is>
      </c>
      <c r="C2798" s="22" t="inlineStr">
        <is>
          <t>SINAPI</t>
        </is>
      </c>
      <c r="D2798" s="22" t="inlineStr">
        <is>
          <t>H</t>
        </is>
      </c>
      <c r="E2798" s="63" t="n">
        <v>1</v>
      </c>
      <c r="F2798" s="64" t="n">
        <v>3.62</v>
      </c>
      <c r="G2798" s="64">
        <f>TRUNC(TRUNC(E2798,8)*F2798,2)</f>
        <v/>
      </c>
      <c r="L2798" t="n">
        <v>1</v>
      </c>
      <c r="M2798" t="n">
        <v>3.62</v>
      </c>
      <c r="N2798">
        <f>(M2798-F2798)</f>
        <v/>
      </c>
    </row>
    <row r="2799" ht="21" customHeight="1">
      <c r="A2799" s="22" t="inlineStr">
        <is>
          <t>00043488</t>
        </is>
      </c>
      <c r="B2799" s="23" t="inlineStr">
        <is>
          <t>EPI - FAMILIA OPERADOR ESCAVADEIRA - HORISTA (ENCARGOS COMPLEMENTARES - COLETADO CAIXA)</t>
        </is>
      </c>
      <c r="C2799" s="22" t="inlineStr">
        <is>
          <t>SINAPI</t>
        </is>
      </c>
      <c r="D2799" s="22" t="inlineStr">
        <is>
          <t>H</t>
        </is>
      </c>
      <c r="E2799" s="63" t="n">
        <v>1</v>
      </c>
      <c r="F2799" s="64" t="n">
        <v>0.89</v>
      </c>
      <c r="G2799" s="64">
        <f>TRUNC(TRUNC(E2799,8)*F2799,2)</f>
        <v/>
      </c>
      <c r="L2799" t="n">
        <v>1</v>
      </c>
      <c r="M2799" t="n">
        <v>0.89</v>
      </c>
      <c r="N2799">
        <f>(M2799-F2799)</f>
        <v/>
      </c>
    </row>
    <row r="2800" ht="21" customHeight="1">
      <c r="A2800" s="22" t="inlineStr">
        <is>
          <t>00037372</t>
        </is>
      </c>
      <c r="B2800" s="23" t="inlineStr">
        <is>
          <t>EXAMES - HORISTA (COLETADO CAIXA - ENCARGOS COMPLEMENTARES)</t>
        </is>
      </c>
      <c r="C2800" s="22" t="inlineStr">
        <is>
          <t>SINAPI</t>
        </is>
      </c>
      <c r="D2800" s="22" t="inlineStr">
        <is>
          <t>H</t>
        </is>
      </c>
      <c r="E2800" s="63" t="n">
        <v>1</v>
      </c>
      <c r="F2800" s="64" t="n">
        <v>1.43</v>
      </c>
      <c r="G2800" s="64">
        <f>TRUNC(TRUNC(E2800,8)*F2800,2)</f>
        <v/>
      </c>
      <c r="L2800" t="n">
        <v>1</v>
      </c>
      <c r="M2800" t="n">
        <v>1.43</v>
      </c>
      <c r="N2800">
        <f>(M2800-F2800)</f>
        <v/>
      </c>
    </row>
    <row r="2801" ht="29" customHeight="1">
      <c r="A2801" s="22" t="inlineStr">
        <is>
          <t>00043464</t>
        </is>
      </c>
      <c r="B2801" s="23" t="inlineStr">
        <is>
          <t>FERRAMENTAS - FAMILIA OPERADOR ESCAVADEIRA - HORISTA (ENCARGOS COMPLEMENTARES - COLETADO CAIXA)</t>
        </is>
      </c>
      <c r="C2801" s="22" t="inlineStr">
        <is>
          <t>SINAPI</t>
        </is>
      </c>
      <c r="D2801" s="22" t="inlineStr">
        <is>
          <t>H</t>
        </is>
      </c>
      <c r="E2801" s="63" t="n">
        <v>1</v>
      </c>
      <c r="F2801" s="64" t="n">
        <v>0.01</v>
      </c>
      <c r="G2801" s="64">
        <f>TRUNC(TRUNC(E2801,8)*F2801,2)</f>
        <v/>
      </c>
      <c r="L2801" t="n">
        <v>1</v>
      </c>
      <c r="M2801" t="n">
        <v>0.01</v>
      </c>
      <c r="N2801">
        <f>(M2801-F2801)</f>
        <v/>
      </c>
    </row>
    <row r="2802" ht="21" customHeight="1">
      <c r="A2802" s="22" t="inlineStr">
        <is>
          <t>00037373</t>
        </is>
      </c>
      <c r="B2802" s="23" t="inlineStr">
        <is>
          <t>SEGURO - HORISTA (COLETADO CAIXA - ENCARGOS COMPLEMENTARES)</t>
        </is>
      </c>
      <c r="C2802" s="22" t="inlineStr">
        <is>
          <t>SINAPI</t>
        </is>
      </c>
      <c r="D2802" s="22" t="inlineStr">
        <is>
          <t>H</t>
        </is>
      </c>
      <c r="E2802" s="63" t="n">
        <v>1</v>
      </c>
      <c r="F2802" s="64" t="n">
        <v>0.08</v>
      </c>
      <c r="G2802" s="64">
        <f>TRUNC(TRUNC(E2802,8)*F2802,2)</f>
        <v/>
      </c>
      <c r="L2802" t="n">
        <v>1</v>
      </c>
      <c r="M2802" t="n">
        <v>0.08</v>
      </c>
      <c r="N2802">
        <f>(M2802-F2802)</f>
        <v/>
      </c>
    </row>
    <row r="2803" ht="21" customHeight="1">
      <c r="A2803" s="22" t="inlineStr">
        <is>
          <t>00037371</t>
        </is>
      </c>
      <c r="B2803" s="23" t="inlineStr">
        <is>
          <t>TRANSPORTE - HORISTA (COLETADO CAIXA - ENCARGOS COMPLEMENTARES)</t>
        </is>
      </c>
      <c r="C2803" s="22" t="inlineStr">
        <is>
          <t>SINAPI</t>
        </is>
      </c>
      <c r="D2803" s="22" t="inlineStr">
        <is>
          <t>H</t>
        </is>
      </c>
      <c r="E2803" s="63" t="n">
        <v>1</v>
      </c>
      <c r="F2803" s="64" t="n">
        <v>1.09</v>
      </c>
      <c r="G2803" s="64">
        <f>TRUNC(TRUNC(E2803,8)*F2803,2)</f>
        <v/>
      </c>
      <c r="L2803" t="n">
        <v>1</v>
      </c>
      <c r="M2803" t="n">
        <v>1.09</v>
      </c>
      <c r="N2803">
        <f>(M2803-F2803)</f>
        <v/>
      </c>
    </row>
    <row r="2804" ht="15" customHeight="1">
      <c r="A2804" s="2" t="inlineStr"/>
      <c r="B2804" s="2" t="inlineStr"/>
      <c r="C2804" s="2" t="inlineStr"/>
      <c r="D2804" s="2" t="inlineStr"/>
      <c r="E2804" s="26" t="inlineStr">
        <is>
          <t>TOTAL Encargos Complementares:</t>
        </is>
      </c>
      <c r="F2804" s="56" t="n"/>
      <c r="G2804" s="65">
        <f>SUM(G2798:G2803)</f>
        <v/>
      </c>
    </row>
    <row r="2805" ht="15" customHeight="1">
      <c r="A2805" s="20" t="inlineStr">
        <is>
          <t>Mão de Obra</t>
        </is>
      </c>
      <c r="B2805" s="56" t="n"/>
      <c r="C2805" s="21" t="inlineStr">
        <is>
          <t>FONTE</t>
        </is>
      </c>
      <c r="D2805" s="21" t="inlineStr">
        <is>
          <t>UNID</t>
        </is>
      </c>
      <c r="E2805" s="21" t="inlineStr">
        <is>
          <t>COEFICIENTE</t>
        </is>
      </c>
      <c r="F2805" s="21" t="inlineStr">
        <is>
          <t>PREÇO UNITÁRIO</t>
        </is>
      </c>
      <c r="G2805" s="21" t="inlineStr">
        <is>
          <t>TOTAL</t>
        </is>
      </c>
    </row>
    <row r="2806" ht="21" customHeight="1">
      <c r="A2806" s="22" t="inlineStr">
        <is>
          <t>00037666</t>
        </is>
      </c>
      <c r="B2806" s="23" t="inlineStr">
        <is>
          <t>OPERADOR DE BETONEIRA ESTACIONARIA / MISTURADOR (HORISTA)</t>
        </is>
      </c>
      <c r="C2806" s="22" t="inlineStr">
        <is>
          <t>SINAPI</t>
        </is>
      </c>
      <c r="D2806" s="22" t="inlineStr">
        <is>
          <t>H</t>
        </is>
      </c>
      <c r="E2806" s="63">
        <f>L2806*FATOR</f>
        <v/>
      </c>
      <c r="F2806" s="64" t="n">
        <v>22.13</v>
      </c>
      <c r="G2806" s="64">
        <f>TRUNC(TRUNC(E2806,8)*F2806,2)</f>
        <v/>
      </c>
      <c r="L2806" t="n">
        <v>1</v>
      </c>
      <c r="M2806" t="n">
        <v>22.13</v>
      </c>
      <c r="N2806">
        <f>(M2806-F2806)</f>
        <v/>
      </c>
    </row>
    <row r="2807" ht="15" customHeight="1">
      <c r="A2807" s="2" t="inlineStr"/>
      <c r="B2807" s="2" t="inlineStr"/>
      <c r="C2807" s="2" t="inlineStr"/>
      <c r="D2807" s="2" t="inlineStr"/>
      <c r="E2807" s="26" t="inlineStr">
        <is>
          <t>TOTAL Mão de Obra:</t>
        </is>
      </c>
      <c r="F2807" s="56" t="n"/>
      <c r="G2807" s="65">
        <f>SUM(G2806:G2806)</f>
        <v/>
      </c>
    </row>
    <row r="2808" ht="15" customHeight="1">
      <c r="A2808" s="20" t="inlineStr">
        <is>
          <t>Serviço</t>
        </is>
      </c>
      <c r="B2808" s="56" t="n"/>
      <c r="C2808" s="21" t="inlineStr">
        <is>
          <t>FONTE</t>
        </is>
      </c>
      <c r="D2808" s="21" t="inlineStr">
        <is>
          <t>UNID</t>
        </is>
      </c>
      <c r="E2808" s="21" t="inlineStr">
        <is>
          <t>COEFICIENTE</t>
        </is>
      </c>
      <c r="F2808" s="21" t="inlineStr">
        <is>
          <t>PREÇO UNITÁRIO</t>
        </is>
      </c>
      <c r="G2808" s="21" t="inlineStr">
        <is>
          <t>TOTAL</t>
        </is>
      </c>
    </row>
    <row r="2809" ht="29" customHeight="1">
      <c r="A2809" s="22" t="inlineStr">
        <is>
          <t>95389</t>
        </is>
      </c>
      <c r="B2809" s="23" t="inlineStr">
        <is>
          <t>CURSO DE CAPACITAÇÃO PARA OPERADOR DE BETONEIRA ESTACIONÁRIA/MISTURADOR (ENCARGOS COMPLEMENTARES) - HORISTA</t>
        </is>
      </c>
      <c r="C2809" s="22" t="inlineStr">
        <is>
          <t>SINAPI</t>
        </is>
      </c>
      <c r="D2809" s="22" t="inlineStr">
        <is>
          <t>H</t>
        </is>
      </c>
      <c r="E2809" s="63" t="n">
        <v>1</v>
      </c>
      <c r="F2809" s="64">
        <f>'COMPOSICOES AUXILIARES'!G1715</f>
        <v/>
      </c>
      <c r="G2809" s="64">
        <f>TRUNC(TRUNC(E2809,8)*F2809,2)</f>
        <v/>
      </c>
      <c r="L2809" t="n">
        <v>1</v>
      </c>
      <c r="M2809" t="n">
        <v>0.18</v>
      </c>
      <c r="N2809">
        <f>(M2809-F2809)</f>
        <v/>
      </c>
    </row>
    <row r="2810" ht="15" customHeight="1">
      <c r="A2810" s="2" t="inlineStr"/>
      <c r="B2810" s="2" t="inlineStr"/>
      <c r="C2810" s="2" t="inlineStr"/>
      <c r="D2810" s="2" t="inlineStr"/>
      <c r="E2810" s="26" t="inlineStr">
        <is>
          <t>TOTAL Serviço:</t>
        </is>
      </c>
      <c r="F2810" s="56" t="n"/>
      <c r="G2810" s="65">
        <f>SUM(G2809:G2809)</f>
        <v/>
      </c>
    </row>
    <row r="2811" ht="15" customHeight="1">
      <c r="A2811" s="2" t="inlineStr"/>
      <c r="B2811" s="2" t="inlineStr"/>
      <c r="C2811" s="2" t="inlineStr"/>
      <c r="D2811" s="2" t="inlineStr"/>
      <c r="E2811" s="28" t="inlineStr">
        <is>
          <t>VALOR:</t>
        </is>
      </c>
      <c r="F2811" s="56" t="n"/>
      <c r="G2811" s="66">
        <f>SUM(G2810,G2804,G2807)</f>
        <v/>
      </c>
    </row>
    <row r="2812" ht="15" customHeight="1">
      <c r="A2812" s="2" t="inlineStr"/>
      <c r="B2812" s="2" t="inlineStr"/>
      <c r="C2812" s="2" t="inlineStr"/>
      <c r="D2812" s="2" t="inlineStr"/>
      <c r="E2812" s="28" t="inlineStr">
        <is>
          <t>VALOR BDI (23.08%):</t>
        </is>
      </c>
      <c r="F2812" s="56" t="n"/>
      <c r="G2812" s="66">
        <f>ROUNDDOWN(G2811*BDI,2)</f>
        <v/>
      </c>
    </row>
    <row r="2813" ht="15" customHeight="1">
      <c r="A2813" s="2" t="inlineStr"/>
      <c r="B2813" s="2" t="inlineStr"/>
      <c r="C2813" s="2" t="inlineStr"/>
      <c r="D2813" s="2" t="inlineStr"/>
      <c r="E2813" s="28" t="inlineStr">
        <is>
          <t>VALOR COM BDI:</t>
        </is>
      </c>
      <c r="F2813" s="56" t="n"/>
      <c r="G2813" s="66">
        <f>G2812 + G2811</f>
        <v/>
      </c>
    </row>
    <row r="2814" ht="10" customHeight="1">
      <c r="A2814" s="2" t="inlineStr"/>
      <c r="B2814" s="2" t="inlineStr"/>
      <c r="C2814" s="2" t="inlineStr"/>
      <c r="D2814" s="2" t="inlineStr"/>
      <c r="E2814" s="18" t="inlineStr"/>
    </row>
    <row r="2815" ht="20" customHeight="1">
      <c r="A2815" s="19" t="inlineStr">
        <is>
          <t>​88294​ OPERADOR DE ESCAVADEIRA COM ENCARGOS COMPLEMENTARES​ (H)</t>
        </is>
      </c>
      <c r="B2815" s="55" t="n"/>
      <c r="C2815" s="55" t="n"/>
      <c r="D2815" s="55" t="n"/>
      <c r="E2815" s="55" t="n"/>
      <c r="F2815" s="55" t="n"/>
      <c r="G2815" s="56" t="n"/>
    </row>
    <row r="2816" ht="15" customHeight="1">
      <c r="A2816" s="20" t="inlineStr">
        <is>
          <t>Encargos Complementares</t>
        </is>
      </c>
      <c r="B2816" s="56" t="n"/>
      <c r="C2816" s="21" t="inlineStr">
        <is>
          <t>FONTE</t>
        </is>
      </c>
      <c r="D2816" s="21" t="inlineStr">
        <is>
          <t>UNID</t>
        </is>
      </c>
      <c r="E2816" s="21" t="inlineStr">
        <is>
          <t>COEFICIENTE</t>
        </is>
      </c>
      <c r="F2816" s="21" t="inlineStr">
        <is>
          <t>PREÇO UNITÁRIO</t>
        </is>
      </c>
      <c r="G2816" s="21" t="inlineStr">
        <is>
          <t>TOTAL</t>
        </is>
      </c>
    </row>
    <row r="2817" ht="21" customHeight="1">
      <c r="A2817" s="22" t="inlineStr">
        <is>
          <t>00037370</t>
        </is>
      </c>
      <c r="B2817" s="23" t="inlineStr">
        <is>
          <t>ALIMENTACAO - HORISTA (COLETADO CAIXA - ENCARGOS COMPLEMENTARES)</t>
        </is>
      </c>
      <c r="C2817" s="22" t="inlineStr">
        <is>
          <t>SINAPI</t>
        </is>
      </c>
      <c r="D2817" s="22" t="inlineStr">
        <is>
          <t>H</t>
        </is>
      </c>
      <c r="E2817" s="63" t="n">
        <v>1</v>
      </c>
      <c r="F2817" s="64" t="n">
        <v>3.62</v>
      </c>
      <c r="G2817" s="64">
        <f>TRUNC(TRUNC(E2817,8)*F2817,2)</f>
        <v/>
      </c>
      <c r="L2817" t="n">
        <v>1</v>
      </c>
      <c r="M2817" t="n">
        <v>3.62</v>
      </c>
      <c r="N2817">
        <f>(M2817-F2817)</f>
        <v/>
      </c>
    </row>
    <row r="2818" ht="21" customHeight="1">
      <c r="A2818" s="22" t="inlineStr">
        <is>
          <t>00043488</t>
        </is>
      </c>
      <c r="B2818" s="23" t="inlineStr">
        <is>
          <t>EPI - FAMILIA OPERADOR ESCAVADEIRA - HORISTA (ENCARGOS COMPLEMENTARES - COLETADO CAIXA)</t>
        </is>
      </c>
      <c r="C2818" s="22" t="inlineStr">
        <is>
          <t>SINAPI</t>
        </is>
      </c>
      <c r="D2818" s="22" t="inlineStr">
        <is>
          <t>H</t>
        </is>
      </c>
      <c r="E2818" s="63" t="n">
        <v>1</v>
      </c>
      <c r="F2818" s="64" t="n">
        <v>0.89</v>
      </c>
      <c r="G2818" s="64">
        <f>TRUNC(TRUNC(E2818,8)*F2818,2)</f>
        <v/>
      </c>
      <c r="L2818" t="n">
        <v>1</v>
      </c>
      <c r="M2818" t="n">
        <v>0.89</v>
      </c>
      <c r="N2818">
        <f>(M2818-F2818)</f>
        <v/>
      </c>
    </row>
    <row r="2819" ht="21" customHeight="1">
      <c r="A2819" s="22" t="inlineStr">
        <is>
          <t>00037372</t>
        </is>
      </c>
      <c r="B2819" s="23" t="inlineStr">
        <is>
          <t>EXAMES - HORISTA (COLETADO CAIXA - ENCARGOS COMPLEMENTARES)</t>
        </is>
      </c>
      <c r="C2819" s="22" t="inlineStr">
        <is>
          <t>SINAPI</t>
        </is>
      </c>
      <c r="D2819" s="22" t="inlineStr">
        <is>
          <t>H</t>
        </is>
      </c>
      <c r="E2819" s="63" t="n">
        <v>1</v>
      </c>
      <c r="F2819" s="64" t="n">
        <v>1.43</v>
      </c>
      <c r="G2819" s="64">
        <f>TRUNC(TRUNC(E2819,8)*F2819,2)</f>
        <v/>
      </c>
      <c r="L2819" t="n">
        <v>1</v>
      </c>
      <c r="M2819" t="n">
        <v>1.43</v>
      </c>
      <c r="N2819">
        <f>(M2819-F2819)</f>
        <v/>
      </c>
    </row>
    <row r="2820" ht="29" customHeight="1">
      <c r="A2820" s="22" t="inlineStr">
        <is>
          <t>00043464</t>
        </is>
      </c>
      <c r="B2820" s="23" t="inlineStr">
        <is>
          <t>FERRAMENTAS - FAMILIA OPERADOR ESCAVADEIRA - HORISTA (ENCARGOS COMPLEMENTARES - COLETADO CAIXA)</t>
        </is>
      </c>
      <c r="C2820" s="22" t="inlineStr">
        <is>
          <t>SINAPI</t>
        </is>
      </c>
      <c r="D2820" s="22" t="inlineStr">
        <is>
          <t>H</t>
        </is>
      </c>
      <c r="E2820" s="63" t="n">
        <v>1</v>
      </c>
      <c r="F2820" s="64" t="n">
        <v>0.01</v>
      </c>
      <c r="G2820" s="64">
        <f>TRUNC(TRUNC(E2820,8)*F2820,2)</f>
        <v/>
      </c>
      <c r="L2820" t="n">
        <v>1</v>
      </c>
      <c r="M2820" t="n">
        <v>0.01</v>
      </c>
      <c r="N2820">
        <f>(M2820-F2820)</f>
        <v/>
      </c>
    </row>
    <row r="2821" ht="21" customHeight="1">
      <c r="A2821" s="22" t="inlineStr">
        <is>
          <t>00037373</t>
        </is>
      </c>
      <c r="B2821" s="23" t="inlineStr">
        <is>
          <t>SEGURO - HORISTA (COLETADO CAIXA - ENCARGOS COMPLEMENTARES)</t>
        </is>
      </c>
      <c r="C2821" s="22" t="inlineStr">
        <is>
          <t>SINAPI</t>
        </is>
      </c>
      <c r="D2821" s="22" t="inlineStr">
        <is>
          <t>H</t>
        </is>
      </c>
      <c r="E2821" s="63" t="n">
        <v>1</v>
      </c>
      <c r="F2821" s="64" t="n">
        <v>0.08</v>
      </c>
      <c r="G2821" s="64">
        <f>TRUNC(TRUNC(E2821,8)*F2821,2)</f>
        <v/>
      </c>
      <c r="L2821" t="n">
        <v>1</v>
      </c>
      <c r="M2821" t="n">
        <v>0.08</v>
      </c>
      <c r="N2821">
        <f>(M2821-F2821)</f>
        <v/>
      </c>
    </row>
    <row r="2822" ht="21" customHeight="1">
      <c r="A2822" s="22" t="inlineStr">
        <is>
          <t>00037371</t>
        </is>
      </c>
      <c r="B2822" s="23" t="inlineStr">
        <is>
          <t>TRANSPORTE - HORISTA (COLETADO CAIXA - ENCARGOS COMPLEMENTARES)</t>
        </is>
      </c>
      <c r="C2822" s="22" t="inlineStr">
        <is>
          <t>SINAPI</t>
        </is>
      </c>
      <c r="D2822" s="22" t="inlineStr">
        <is>
          <t>H</t>
        </is>
      </c>
      <c r="E2822" s="63" t="n">
        <v>1</v>
      </c>
      <c r="F2822" s="64" t="n">
        <v>1.09</v>
      </c>
      <c r="G2822" s="64">
        <f>TRUNC(TRUNC(E2822,8)*F2822,2)</f>
        <v/>
      </c>
      <c r="L2822" t="n">
        <v>1</v>
      </c>
      <c r="M2822" t="n">
        <v>1.09</v>
      </c>
      <c r="N2822">
        <f>(M2822-F2822)</f>
        <v/>
      </c>
    </row>
    <row r="2823" ht="15" customHeight="1">
      <c r="A2823" s="2" t="inlineStr"/>
      <c r="B2823" s="2" t="inlineStr"/>
      <c r="C2823" s="2" t="inlineStr"/>
      <c r="D2823" s="2" t="inlineStr"/>
      <c r="E2823" s="26" t="inlineStr">
        <is>
          <t>TOTAL Encargos Complementares:</t>
        </is>
      </c>
      <c r="F2823" s="56" t="n"/>
      <c r="G2823" s="65">
        <f>SUM(G2817:G2822)</f>
        <v/>
      </c>
    </row>
    <row r="2824" ht="15" customHeight="1">
      <c r="A2824" s="20" t="inlineStr">
        <is>
          <t>Mão de Obra</t>
        </is>
      </c>
      <c r="B2824" s="56" t="n"/>
      <c r="C2824" s="21" t="inlineStr">
        <is>
          <t>FONTE</t>
        </is>
      </c>
      <c r="D2824" s="21" t="inlineStr">
        <is>
          <t>UNID</t>
        </is>
      </c>
      <c r="E2824" s="21" t="inlineStr">
        <is>
          <t>COEFICIENTE</t>
        </is>
      </c>
      <c r="F2824" s="21" t="inlineStr">
        <is>
          <t>PREÇO UNITÁRIO</t>
        </is>
      </c>
      <c r="G2824" s="21" t="inlineStr">
        <is>
          <t>TOTAL</t>
        </is>
      </c>
    </row>
    <row r="2825" ht="15" customHeight="1">
      <c r="A2825" s="22" t="inlineStr">
        <is>
          <t>00004234</t>
        </is>
      </c>
      <c r="B2825" s="23" t="inlineStr">
        <is>
          <t>OPERADOR DE ESCAVADEIRA (HORISTA)</t>
        </is>
      </c>
      <c r="C2825" s="22" t="inlineStr">
        <is>
          <t>SINAPI</t>
        </is>
      </c>
      <c r="D2825" s="22" t="inlineStr">
        <is>
          <t>H</t>
        </is>
      </c>
      <c r="E2825" s="63" t="n">
        <v>1</v>
      </c>
      <c r="F2825" s="64" t="n">
        <v>28.69</v>
      </c>
      <c r="G2825" s="64">
        <f>TRUNC(TRUNC(E2825,8)*F2825,2)</f>
        <v/>
      </c>
      <c r="L2825" t="n">
        <v>1</v>
      </c>
      <c r="M2825" t="n">
        <v>28.69</v>
      </c>
      <c r="N2825">
        <f>(M2825-F2825)</f>
        <v/>
      </c>
    </row>
    <row r="2826" ht="15" customHeight="1">
      <c r="A2826" s="2" t="inlineStr"/>
      <c r="B2826" s="2" t="inlineStr"/>
      <c r="C2826" s="2" t="inlineStr"/>
      <c r="D2826" s="2" t="inlineStr"/>
      <c r="E2826" s="26" t="inlineStr">
        <is>
          <t>TOTAL Mão de Obra:</t>
        </is>
      </c>
      <c r="F2826" s="56" t="n"/>
      <c r="G2826" s="65">
        <f>SUM(G2825:G2825)</f>
        <v/>
      </c>
    </row>
    <row r="2827" ht="15" customHeight="1">
      <c r="A2827" s="20" t="inlineStr">
        <is>
          <t>Serviço</t>
        </is>
      </c>
      <c r="B2827" s="56" t="n"/>
      <c r="C2827" s="21" t="inlineStr">
        <is>
          <t>FONTE</t>
        </is>
      </c>
      <c r="D2827" s="21" t="inlineStr">
        <is>
          <t>UNID</t>
        </is>
      </c>
      <c r="E2827" s="21" t="inlineStr">
        <is>
          <t>COEFICIENTE</t>
        </is>
      </c>
      <c r="F2827" s="21" t="inlineStr">
        <is>
          <t>PREÇO UNITÁRIO</t>
        </is>
      </c>
      <c r="G2827" s="21" t="inlineStr">
        <is>
          <t>TOTAL</t>
        </is>
      </c>
    </row>
    <row r="2828" ht="21" customHeight="1">
      <c r="A2828" s="22" t="inlineStr">
        <is>
          <t>95357</t>
        </is>
      </c>
      <c r="B2828" s="23" t="inlineStr">
        <is>
          <t>CURSO DE CAPACITAÇÃO PARA OPERADOR DE ESCAVADEIRA (ENCARGOS COMPLEMENTARES) - HORISTA</t>
        </is>
      </c>
      <c r="C2828" s="22" t="inlineStr">
        <is>
          <t>SINAPI</t>
        </is>
      </c>
      <c r="D2828" s="22" t="inlineStr">
        <is>
          <t>H</t>
        </is>
      </c>
      <c r="E2828" s="63" t="n">
        <v>1</v>
      </c>
      <c r="F2828" s="64">
        <f>G1723</f>
        <v/>
      </c>
      <c r="G2828" s="64">
        <f>TRUNC(TRUNC(E2828,8)*F2828,2)</f>
        <v/>
      </c>
      <c r="L2828" t="n">
        <v>1</v>
      </c>
      <c r="M2828" t="n">
        <v>0.33</v>
      </c>
      <c r="N2828">
        <f>(M2828-F2828)</f>
        <v/>
      </c>
    </row>
    <row r="2829" ht="15" customHeight="1">
      <c r="A2829" s="2" t="inlineStr"/>
      <c r="B2829" s="2" t="inlineStr"/>
      <c r="C2829" s="2" t="inlineStr"/>
      <c r="D2829" s="2" t="inlineStr"/>
      <c r="E2829" s="26" t="inlineStr">
        <is>
          <t>TOTAL Serviço:</t>
        </is>
      </c>
      <c r="F2829" s="56" t="n"/>
      <c r="G2829" s="65">
        <f>SUM(G2828:G2828)</f>
        <v/>
      </c>
    </row>
    <row r="2830" ht="15" customHeight="1">
      <c r="A2830" s="2" t="inlineStr"/>
      <c r="B2830" s="2" t="inlineStr"/>
      <c r="C2830" s="2" t="inlineStr"/>
      <c r="D2830" s="2" t="inlineStr"/>
      <c r="E2830" s="28" t="inlineStr">
        <is>
          <t>VALOR:</t>
        </is>
      </c>
      <c r="F2830" s="56" t="n"/>
      <c r="G2830" s="66">
        <f>ROUND(SUM(G2823,G2826,G2829),2)</f>
        <v/>
      </c>
    </row>
    <row r="2831" ht="15" customHeight="1">
      <c r="A2831" s="2" t="inlineStr"/>
      <c r="B2831" s="2" t="inlineStr"/>
      <c r="C2831" s="2" t="inlineStr"/>
      <c r="D2831" s="2" t="inlineStr"/>
      <c r="E2831" s="28" t="inlineStr">
        <is>
          <t>VALOR BDI (23.08%):</t>
        </is>
      </c>
      <c r="F2831" s="56" t="n"/>
      <c r="G2831" s="66">
        <f>ROUNDDOWN(G2830*BDI,2)</f>
        <v/>
      </c>
    </row>
    <row r="2832" ht="15" customHeight="1">
      <c r="A2832" s="2" t="inlineStr"/>
      <c r="B2832" s="2" t="inlineStr"/>
      <c r="C2832" s="2" t="inlineStr"/>
      <c r="D2832" s="2" t="inlineStr"/>
      <c r="E2832" s="28" t="inlineStr">
        <is>
          <t>VALOR COM BDI:</t>
        </is>
      </c>
      <c r="F2832" s="56" t="n"/>
      <c r="G2832" s="66">
        <f>G2831 + G2830</f>
        <v/>
      </c>
    </row>
    <row r="2833" ht="10" customHeight="1">
      <c r="A2833" s="2" t="inlineStr"/>
      <c r="B2833" s="2" t="inlineStr"/>
      <c r="C2833" s="2" t="inlineStr"/>
      <c r="D2833" s="2" t="inlineStr"/>
      <c r="E2833" s="18" t="inlineStr"/>
    </row>
    <row r="2834" ht="20" customHeight="1">
      <c r="A2834" s="19" t="inlineStr">
        <is>
          <t>​88297​ OPERADOR DE MÁQUINAS E EQUIPAMENTOS COM ENCARGOS COMPLEMENTARES​ (H)</t>
        </is>
      </c>
      <c r="B2834" s="55" t="n"/>
      <c r="C2834" s="55" t="n"/>
      <c r="D2834" s="55" t="n"/>
      <c r="E2834" s="55" t="n"/>
      <c r="F2834" s="55" t="n"/>
      <c r="G2834" s="56" t="n"/>
    </row>
    <row r="2835" ht="15" customHeight="1">
      <c r="A2835" s="20" t="inlineStr">
        <is>
          <t>Encargos Complementares</t>
        </is>
      </c>
      <c r="B2835" s="56" t="n"/>
      <c r="C2835" s="21" t="inlineStr">
        <is>
          <t>FONTE</t>
        </is>
      </c>
      <c r="D2835" s="21" t="inlineStr">
        <is>
          <t>UNID</t>
        </is>
      </c>
      <c r="E2835" s="21" t="inlineStr">
        <is>
          <t>COEFICIENTE</t>
        </is>
      </c>
      <c r="F2835" s="21" t="inlineStr">
        <is>
          <t>PREÇO UNITÁRIO</t>
        </is>
      </c>
      <c r="G2835" s="21" t="inlineStr">
        <is>
          <t>TOTAL</t>
        </is>
      </c>
    </row>
    <row r="2836" ht="21" customHeight="1">
      <c r="A2836" s="22" t="inlineStr">
        <is>
          <t>00037370</t>
        </is>
      </c>
      <c r="B2836" s="23" t="inlineStr">
        <is>
          <t>ALIMENTACAO - HORISTA (COLETADO CAIXA - ENCARGOS COMPLEMENTARES)</t>
        </is>
      </c>
      <c r="C2836" s="22" t="inlineStr">
        <is>
          <t>SINAPI</t>
        </is>
      </c>
      <c r="D2836" s="22" t="inlineStr">
        <is>
          <t>H</t>
        </is>
      </c>
      <c r="E2836" s="63" t="n">
        <v>1</v>
      </c>
      <c r="F2836" s="64" t="n">
        <v>3.62</v>
      </c>
      <c r="G2836" s="64">
        <f>TRUNC(TRUNC(E2836,8)*F2836,2)</f>
        <v/>
      </c>
      <c r="L2836" t="n">
        <v>1</v>
      </c>
      <c r="M2836" t="n">
        <v>3.62</v>
      </c>
      <c r="N2836">
        <f>(M2836-F2836)</f>
        <v/>
      </c>
    </row>
    <row r="2837" ht="21" customHeight="1">
      <c r="A2837" s="22" t="inlineStr">
        <is>
          <t>00043488</t>
        </is>
      </c>
      <c r="B2837" s="23" t="inlineStr">
        <is>
          <t>EPI - FAMILIA OPERADOR ESCAVADEIRA - HORISTA (ENCARGOS COMPLEMENTARES - COLETADO CAIXA)</t>
        </is>
      </c>
      <c r="C2837" s="22" t="inlineStr">
        <is>
          <t>SINAPI</t>
        </is>
      </c>
      <c r="D2837" s="22" t="inlineStr">
        <is>
          <t>H</t>
        </is>
      </c>
      <c r="E2837" s="63" t="n">
        <v>1</v>
      </c>
      <c r="F2837" s="64" t="n">
        <v>0.89</v>
      </c>
      <c r="G2837" s="64">
        <f>TRUNC(TRUNC(E2837,8)*F2837,2)</f>
        <v/>
      </c>
      <c r="L2837" t="n">
        <v>1</v>
      </c>
      <c r="M2837" t="n">
        <v>0.89</v>
      </c>
      <c r="N2837">
        <f>(M2837-F2837)</f>
        <v/>
      </c>
    </row>
    <row r="2838" ht="21" customHeight="1">
      <c r="A2838" s="22" t="inlineStr">
        <is>
          <t>00037372</t>
        </is>
      </c>
      <c r="B2838" s="23" t="inlineStr">
        <is>
          <t>EXAMES - HORISTA (COLETADO CAIXA - ENCARGOS COMPLEMENTARES)</t>
        </is>
      </c>
      <c r="C2838" s="22" t="inlineStr">
        <is>
          <t>SINAPI</t>
        </is>
      </c>
      <c r="D2838" s="22" t="inlineStr">
        <is>
          <t>H</t>
        </is>
      </c>
      <c r="E2838" s="63" t="n">
        <v>1</v>
      </c>
      <c r="F2838" s="64" t="n">
        <v>1.43</v>
      </c>
      <c r="G2838" s="64">
        <f>TRUNC(TRUNC(E2838,8)*F2838,2)</f>
        <v/>
      </c>
      <c r="L2838" t="n">
        <v>1</v>
      </c>
      <c r="M2838" t="n">
        <v>1.43</v>
      </c>
      <c r="N2838">
        <f>(M2838-F2838)</f>
        <v/>
      </c>
    </row>
    <row r="2839" ht="29" customHeight="1">
      <c r="A2839" s="22" t="inlineStr">
        <is>
          <t>00043464</t>
        </is>
      </c>
      <c r="B2839" s="23" t="inlineStr">
        <is>
          <t>FERRAMENTAS - FAMILIA OPERADOR ESCAVADEIRA - HORISTA (ENCARGOS COMPLEMENTARES - COLETADO CAIXA)</t>
        </is>
      </c>
      <c r="C2839" s="22" t="inlineStr">
        <is>
          <t>SINAPI</t>
        </is>
      </c>
      <c r="D2839" s="22" t="inlineStr">
        <is>
          <t>H</t>
        </is>
      </c>
      <c r="E2839" s="63" t="n">
        <v>1</v>
      </c>
      <c r="F2839" s="64" t="n">
        <v>0.01</v>
      </c>
      <c r="G2839" s="64">
        <f>TRUNC(TRUNC(E2839,8)*F2839,2)</f>
        <v/>
      </c>
      <c r="L2839" t="n">
        <v>1</v>
      </c>
      <c r="M2839" t="n">
        <v>0.01</v>
      </c>
      <c r="N2839">
        <f>(M2839-F2839)</f>
        <v/>
      </c>
    </row>
    <row r="2840" ht="21" customHeight="1">
      <c r="A2840" s="22" t="inlineStr">
        <is>
          <t>00037373</t>
        </is>
      </c>
      <c r="B2840" s="23" t="inlineStr">
        <is>
          <t>SEGURO - HORISTA (COLETADO CAIXA - ENCARGOS COMPLEMENTARES)</t>
        </is>
      </c>
      <c r="C2840" s="22" t="inlineStr">
        <is>
          <t>SINAPI</t>
        </is>
      </c>
      <c r="D2840" s="22" t="inlineStr">
        <is>
          <t>H</t>
        </is>
      </c>
      <c r="E2840" s="63" t="n">
        <v>1</v>
      </c>
      <c r="F2840" s="64" t="n">
        <v>0.08</v>
      </c>
      <c r="G2840" s="64">
        <f>TRUNC(TRUNC(E2840,8)*F2840,2)</f>
        <v/>
      </c>
      <c r="L2840" t="n">
        <v>1</v>
      </c>
      <c r="M2840" t="n">
        <v>0.08</v>
      </c>
      <c r="N2840">
        <f>(M2840-F2840)</f>
        <v/>
      </c>
    </row>
    <row r="2841" ht="21" customHeight="1">
      <c r="A2841" s="22" t="inlineStr">
        <is>
          <t>00037371</t>
        </is>
      </c>
      <c r="B2841" s="23" t="inlineStr">
        <is>
          <t>TRANSPORTE - HORISTA (COLETADO CAIXA - ENCARGOS COMPLEMENTARES)</t>
        </is>
      </c>
      <c r="C2841" s="22" t="inlineStr">
        <is>
          <t>SINAPI</t>
        </is>
      </c>
      <c r="D2841" s="22" t="inlineStr">
        <is>
          <t>H</t>
        </is>
      </c>
      <c r="E2841" s="63" t="n">
        <v>1</v>
      </c>
      <c r="F2841" s="64" t="n">
        <v>1.09</v>
      </c>
      <c r="G2841" s="64">
        <f>TRUNC(TRUNC(E2841,8)*F2841,2)</f>
        <v/>
      </c>
      <c r="L2841" t="n">
        <v>1</v>
      </c>
      <c r="M2841" t="n">
        <v>1.09</v>
      </c>
      <c r="N2841">
        <f>(M2841-F2841)</f>
        <v/>
      </c>
    </row>
    <row r="2842" ht="15" customHeight="1">
      <c r="A2842" s="2" t="inlineStr"/>
      <c r="B2842" s="2" t="inlineStr"/>
      <c r="C2842" s="2" t="inlineStr"/>
      <c r="D2842" s="2" t="inlineStr"/>
      <c r="E2842" s="26" t="inlineStr">
        <is>
          <t>TOTAL Encargos Complementares:</t>
        </is>
      </c>
      <c r="F2842" s="56" t="n"/>
      <c r="G2842" s="65">
        <f>SUM(G2836:G2841)</f>
        <v/>
      </c>
    </row>
    <row r="2843" ht="15" customHeight="1">
      <c r="A2843" s="20" t="inlineStr">
        <is>
          <t>Mão de Obra</t>
        </is>
      </c>
      <c r="B2843" s="56" t="n"/>
      <c r="C2843" s="21" t="inlineStr">
        <is>
          <t>FONTE</t>
        </is>
      </c>
      <c r="D2843" s="21" t="inlineStr">
        <is>
          <t>UNID</t>
        </is>
      </c>
      <c r="E2843" s="21" t="inlineStr">
        <is>
          <t>COEFICIENTE</t>
        </is>
      </c>
      <c r="F2843" s="21" t="inlineStr">
        <is>
          <t>PREÇO UNITÁRIO</t>
        </is>
      </c>
      <c r="G2843" s="21" t="inlineStr">
        <is>
          <t>TOTAL</t>
        </is>
      </c>
    </row>
    <row r="2844" ht="21" customHeight="1">
      <c r="A2844" s="22" t="inlineStr">
        <is>
          <t>00004230</t>
        </is>
      </c>
      <c r="B2844" s="23" t="inlineStr">
        <is>
          <t>OPERADOR DE MAQUINAS E TRATORES DIVERSOS - TERRAPLANAGEM (HORISTA)</t>
        </is>
      </c>
      <c r="C2844" s="22" t="inlineStr">
        <is>
          <t>SINAPI</t>
        </is>
      </c>
      <c r="D2844" s="22" t="inlineStr">
        <is>
          <t>H</t>
        </is>
      </c>
      <c r="E2844" s="63" t="n">
        <v>1</v>
      </c>
      <c r="F2844" s="64" t="n">
        <v>28.15</v>
      </c>
      <c r="G2844" s="64">
        <f>TRUNC(TRUNC(E2844,8)*F2844,2)</f>
        <v/>
      </c>
      <c r="L2844" t="n">
        <v>1</v>
      </c>
      <c r="M2844" t="n">
        <v>28.15</v>
      </c>
      <c r="N2844">
        <f>(M2844-F2844)</f>
        <v/>
      </c>
    </row>
    <row r="2845" ht="15" customHeight="1">
      <c r="A2845" s="2" t="inlineStr"/>
      <c r="B2845" s="2" t="inlineStr"/>
      <c r="C2845" s="2" t="inlineStr"/>
      <c r="D2845" s="2" t="inlineStr"/>
      <c r="E2845" s="26" t="inlineStr">
        <is>
          <t>TOTAL Mão de Obra:</t>
        </is>
      </c>
      <c r="F2845" s="56" t="n"/>
      <c r="G2845" s="65">
        <f>SUM(G2844:G2844)</f>
        <v/>
      </c>
    </row>
    <row r="2846" ht="15" customHeight="1">
      <c r="A2846" s="20" t="inlineStr">
        <is>
          <t>Serviço</t>
        </is>
      </c>
      <c r="B2846" s="56" t="n"/>
      <c r="C2846" s="21" t="inlineStr">
        <is>
          <t>FONTE</t>
        </is>
      </c>
      <c r="D2846" s="21" t="inlineStr">
        <is>
          <t>UNID</t>
        </is>
      </c>
      <c r="E2846" s="21" t="inlineStr">
        <is>
          <t>COEFICIENTE</t>
        </is>
      </c>
      <c r="F2846" s="21" t="inlineStr">
        <is>
          <t>PREÇO UNITÁRIO</t>
        </is>
      </c>
      <c r="G2846" s="21" t="inlineStr">
        <is>
          <t>TOTAL</t>
        </is>
      </c>
    </row>
    <row r="2847" ht="29" customHeight="1">
      <c r="A2847" s="22" t="inlineStr">
        <is>
          <t>95360</t>
        </is>
      </c>
      <c r="B2847" s="23" t="inlineStr">
        <is>
          <t>CURSO DE CAPACITAÇÃO PARA OPERADOR DE MÁQUINAS E EQUIPAMENTOS (ENCARGOS COMPLEMENTARES) - HORISTA</t>
        </is>
      </c>
      <c r="C2847" s="22" t="inlineStr">
        <is>
          <t>SINAPI</t>
        </is>
      </c>
      <c r="D2847" s="22" t="inlineStr">
        <is>
          <t>H</t>
        </is>
      </c>
      <c r="E2847" s="63" t="n">
        <v>1</v>
      </c>
      <c r="F2847" s="64">
        <f>G1731</f>
        <v/>
      </c>
      <c r="G2847" s="64">
        <f>TRUNC(TRUNC(E2847,8)*F2847,2)</f>
        <v/>
      </c>
      <c r="L2847" t="n">
        <v>1</v>
      </c>
      <c r="M2847" t="n">
        <v>0.32</v>
      </c>
      <c r="N2847">
        <f>(M2847-F2847)</f>
        <v/>
      </c>
    </row>
    <row r="2848" ht="15" customHeight="1">
      <c r="A2848" s="2" t="inlineStr"/>
      <c r="B2848" s="2" t="inlineStr"/>
      <c r="C2848" s="2" t="inlineStr"/>
      <c r="D2848" s="2" t="inlineStr"/>
      <c r="E2848" s="26" t="inlineStr">
        <is>
          <t>TOTAL Serviço:</t>
        </is>
      </c>
      <c r="F2848" s="56" t="n"/>
      <c r="G2848" s="65">
        <f>SUM(G2847:G2847)</f>
        <v/>
      </c>
    </row>
    <row r="2849" ht="15" customHeight="1">
      <c r="A2849" s="2" t="inlineStr"/>
      <c r="B2849" s="2" t="inlineStr"/>
      <c r="C2849" s="2" t="inlineStr"/>
      <c r="D2849" s="2" t="inlineStr"/>
      <c r="E2849" s="28" t="inlineStr">
        <is>
          <t>VALOR:</t>
        </is>
      </c>
      <c r="F2849" s="56" t="n"/>
      <c r="G2849" s="66">
        <f>ROUND(SUM(G2842,G2845,G2848),2)</f>
        <v/>
      </c>
    </row>
    <row r="2850" ht="15" customHeight="1">
      <c r="A2850" s="2" t="inlineStr"/>
      <c r="B2850" s="2" t="inlineStr"/>
      <c r="C2850" s="2" t="inlineStr"/>
      <c r="D2850" s="2" t="inlineStr"/>
      <c r="E2850" s="28" t="inlineStr">
        <is>
          <t>VALOR BDI (23.08%):</t>
        </is>
      </c>
      <c r="F2850" s="56" t="n"/>
      <c r="G2850" s="66">
        <f>ROUNDDOWN(G2849*BDI,2)</f>
        <v/>
      </c>
    </row>
    <row r="2851" ht="15" customHeight="1">
      <c r="A2851" s="2" t="inlineStr"/>
      <c r="B2851" s="2" t="inlineStr"/>
      <c r="C2851" s="2" t="inlineStr"/>
      <c r="D2851" s="2" t="inlineStr"/>
      <c r="E2851" s="28" t="inlineStr">
        <is>
          <t>VALOR COM BDI:</t>
        </is>
      </c>
      <c r="F2851" s="56" t="n"/>
      <c r="G2851" s="66">
        <f>G2850 + G2849</f>
        <v/>
      </c>
    </row>
    <row r="2852" ht="10" customHeight="1">
      <c r="A2852" s="2" t="inlineStr"/>
      <c r="B2852" s="2" t="inlineStr"/>
      <c r="C2852" s="2" t="inlineStr"/>
      <c r="D2852" s="2" t="inlineStr"/>
      <c r="E2852" s="18" t="inlineStr"/>
    </row>
    <row r="2853" ht="20" customHeight="1">
      <c r="A2853" s="19" t="inlineStr">
        <is>
          <t>​88306​ OPERADOR JATO DE AREIA OU JATISTA COM ENCARGOS COMPLEMENTARES​ (H)</t>
        </is>
      </c>
      <c r="B2853" s="55" t="n"/>
      <c r="C2853" s="55" t="n"/>
      <c r="D2853" s="55" t="n"/>
      <c r="E2853" s="55" t="n"/>
      <c r="F2853" s="55" t="n"/>
      <c r="G2853" s="56" t="n"/>
    </row>
    <row r="2854" ht="15" customHeight="1">
      <c r="A2854" s="20" t="inlineStr">
        <is>
          <t>Encargos Complementares</t>
        </is>
      </c>
      <c r="B2854" s="56" t="n"/>
      <c r="C2854" s="21" t="inlineStr">
        <is>
          <t>FONTE</t>
        </is>
      </c>
      <c r="D2854" s="21" t="inlineStr">
        <is>
          <t>UNID</t>
        </is>
      </c>
      <c r="E2854" s="21" t="inlineStr">
        <is>
          <t>COEFICIENTE</t>
        </is>
      </c>
      <c r="F2854" s="21" t="inlineStr">
        <is>
          <t>PREÇO UNITÁRIO</t>
        </is>
      </c>
      <c r="G2854" s="21" t="inlineStr">
        <is>
          <t>TOTAL</t>
        </is>
      </c>
    </row>
    <row r="2855" ht="21" customHeight="1">
      <c r="A2855" s="22" t="inlineStr">
        <is>
          <t>00037370</t>
        </is>
      </c>
      <c r="B2855" s="23" t="inlineStr">
        <is>
          <t>ALIMENTACAO - HORISTA (COLETADO CAIXA - ENCARGOS COMPLEMENTARES)</t>
        </is>
      </c>
      <c r="C2855" s="22" t="inlineStr">
        <is>
          <t>SINAPI</t>
        </is>
      </c>
      <c r="D2855" s="22" t="inlineStr">
        <is>
          <t>H</t>
        </is>
      </c>
      <c r="E2855" s="63" t="n">
        <v>1</v>
      </c>
      <c r="F2855" s="64" t="n">
        <v>3.62</v>
      </c>
      <c r="G2855" s="64">
        <f>TRUNC(TRUNC(E2855,8)*F2855,2)</f>
        <v/>
      </c>
      <c r="L2855" t="n">
        <v>1</v>
      </c>
      <c r="M2855" t="n">
        <v>3.62</v>
      </c>
      <c r="N2855">
        <f>(M2855-F2855)</f>
        <v/>
      </c>
    </row>
    <row r="2856" ht="21" customHeight="1">
      <c r="A2856" s="22" t="inlineStr">
        <is>
          <t>00043488</t>
        </is>
      </c>
      <c r="B2856" s="23" t="inlineStr">
        <is>
          <t>EPI - FAMILIA OPERADOR ESCAVADEIRA - HORISTA (ENCARGOS COMPLEMENTARES - COLETADO CAIXA)</t>
        </is>
      </c>
      <c r="C2856" s="22" t="inlineStr">
        <is>
          <t>SINAPI</t>
        </is>
      </c>
      <c r="D2856" s="22" t="inlineStr">
        <is>
          <t>H</t>
        </is>
      </c>
      <c r="E2856" s="63" t="n">
        <v>1</v>
      </c>
      <c r="F2856" s="64" t="n">
        <v>0.89</v>
      </c>
      <c r="G2856" s="64">
        <f>TRUNC(TRUNC(E2856,8)*F2856,2)</f>
        <v/>
      </c>
      <c r="L2856" t="n">
        <v>1</v>
      </c>
      <c r="M2856" t="n">
        <v>0.89</v>
      </c>
      <c r="N2856">
        <f>(M2856-F2856)</f>
        <v/>
      </c>
    </row>
    <row r="2857" ht="21" customHeight="1">
      <c r="A2857" s="22" t="inlineStr">
        <is>
          <t>00037372</t>
        </is>
      </c>
      <c r="B2857" s="23" t="inlineStr">
        <is>
          <t>EXAMES - HORISTA (COLETADO CAIXA - ENCARGOS COMPLEMENTARES)</t>
        </is>
      </c>
      <c r="C2857" s="22" t="inlineStr">
        <is>
          <t>SINAPI</t>
        </is>
      </c>
      <c r="D2857" s="22" t="inlineStr">
        <is>
          <t>H</t>
        </is>
      </c>
      <c r="E2857" s="63" t="n">
        <v>1</v>
      </c>
      <c r="F2857" s="64" t="n">
        <v>1.43</v>
      </c>
      <c r="G2857" s="64">
        <f>TRUNC(TRUNC(E2857,8)*F2857,2)</f>
        <v/>
      </c>
      <c r="L2857" t="n">
        <v>1</v>
      </c>
      <c r="M2857" t="n">
        <v>1.43</v>
      </c>
      <c r="N2857">
        <f>(M2857-F2857)</f>
        <v/>
      </c>
    </row>
    <row r="2858" ht="29" customHeight="1">
      <c r="A2858" s="22" t="inlineStr">
        <is>
          <t>00043464</t>
        </is>
      </c>
      <c r="B2858" s="23" t="inlineStr">
        <is>
          <t>FERRAMENTAS - FAMILIA OPERADOR ESCAVADEIRA - HORISTA (ENCARGOS COMPLEMENTARES - COLETADO CAIXA)</t>
        </is>
      </c>
      <c r="C2858" s="22" t="inlineStr">
        <is>
          <t>SINAPI</t>
        </is>
      </c>
      <c r="D2858" s="22" t="inlineStr">
        <is>
          <t>H</t>
        </is>
      </c>
      <c r="E2858" s="63" t="n">
        <v>1</v>
      </c>
      <c r="F2858" s="64" t="n">
        <v>0.01</v>
      </c>
      <c r="G2858" s="64">
        <f>TRUNC(TRUNC(E2858,8)*F2858,2)</f>
        <v/>
      </c>
      <c r="L2858" t="n">
        <v>1</v>
      </c>
      <c r="M2858" t="n">
        <v>0.01</v>
      </c>
      <c r="N2858">
        <f>(M2858-F2858)</f>
        <v/>
      </c>
    </row>
    <row r="2859" ht="21" customHeight="1">
      <c r="A2859" s="22" t="inlineStr">
        <is>
          <t>00037373</t>
        </is>
      </c>
      <c r="B2859" s="23" t="inlineStr">
        <is>
          <t>SEGURO - HORISTA (COLETADO CAIXA - ENCARGOS COMPLEMENTARES)</t>
        </is>
      </c>
      <c r="C2859" s="22" t="inlineStr">
        <is>
          <t>SINAPI</t>
        </is>
      </c>
      <c r="D2859" s="22" t="inlineStr">
        <is>
          <t>H</t>
        </is>
      </c>
      <c r="E2859" s="63" t="n">
        <v>1</v>
      </c>
      <c r="F2859" s="64" t="n">
        <v>0.08</v>
      </c>
      <c r="G2859" s="64">
        <f>TRUNC(TRUNC(E2859,8)*F2859,2)</f>
        <v/>
      </c>
      <c r="L2859" t="n">
        <v>1</v>
      </c>
      <c r="M2859" t="n">
        <v>0.08</v>
      </c>
      <c r="N2859">
        <f>(M2859-F2859)</f>
        <v/>
      </c>
    </row>
    <row r="2860" ht="21" customHeight="1">
      <c r="A2860" s="22" t="inlineStr">
        <is>
          <t>00037371</t>
        </is>
      </c>
      <c r="B2860" s="23" t="inlineStr">
        <is>
          <t>TRANSPORTE - HORISTA (COLETADO CAIXA - ENCARGOS COMPLEMENTARES)</t>
        </is>
      </c>
      <c r="C2860" s="22" t="inlineStr">
        <is>
          <t>SINAPI</t>
        </is>
      </c>
      <c r="D2860" s="22" t="inlineStr">
        <is>
          <t>H</t>
        </is>
      </c>
      <c r="E2860" s="63" t="n">
        <v>1</v>
      </c>
      <c r="F2860" s="64" t="n">
        <v>1.09</v>
      </c>
      <c r="G2860" s="64">
        <f>TRUNC(TRUNC(E2860,8)*F2860,2)</f>
        <v/>
      </c>
      <c r="L2860" t="n">
        <v>1</v>
      </c>
      <c r="M2860" t="n">
        <v>1.09</v>
      </c>
      <c r="N2860">
        <f>(M2860-F2860)</f>
        <v/>
      </c>
    </row>
    <row r="2861" ht="15" customHeight="1">
      <c r="A2861" s="2" t="inlineStr"/>
      <c r="B2861" s="2" t="inlineStr"/>
      <c r="C2861" s="2" t="inlineStr"/>
      <c r="D2861" s="2" t="inlineStr"/>
      <c r="E2861" s="26" t="inlineStr">
        <is>
          <t>TOTAL Encargos Complementares:</t>
        </is>
      </c>
      <c r="F2861" s="56" t="n"/>
      <c r="G2861" s="65">
        <f>SUM(G2855:G2860)</f>
        <v/>
      </c>
    </row>
    <row r="2862" ht="15" customHeight="1">
      <c r="A2862" s="20" t="inlineStr">
        <is>
          <t>Mão de Obra</t>
        </is>
      </c>
      <c r="B2862" s="56" t="n"/>
      <c r="C2862" s="21" t="inlineStr">
        <is>
          <t>FONTE</t>
        </is>
      </c>
      <c r="D2862" s="21" t="inlineStr">
        <is>
          <t>UNID</t>
        </is>
      </c>
      <c r="E2862" s="21" t="inlineStr">
        <is>
          <t>COEFICIENTE</t>
        </is>
      </c>
      <c r="F2862" s="21" t="inlineStr">
        <is>
          <t>PREÇO UNITÁRIO</t>
        </is>
      </c>
      <c r="G2862" s="21" t="inlineStr">
        <is>
          <t>TOTAL</t>
        </is>
      </c>
    </row>
    <row r="2863" ht="15" customHeight="1">
      <c r="A2863" s="22" t="inlineStr">
        <is>
          <t>00004251</t>
        </is>
      </c>
      <c r="B2863" s="23" t="inlineStr">
        <is>
          <t>OPERADOR DE JATO ABRASIVO OU JATISTA (HORISTA)</t>
        </is>
      </c>
      <c r="C2863" s="22" t="inlineStr">
        <is>
          <t>SINAPI</t>
        </is>
      </c>
      <c r="D2863" s="22" t="inlineStr">
        <is>
          <t>H</t>
        </is>
      </c>
      <c r="E2863" s="63" t="n">
        <v>1</v>
      </c>
      <c r="F2863" s="64" t="n">
        <v>24.17</v>
      </c>
      <c r="G2863" s="64">
        <f>TRUNC(TRUNC(E2863,8)*F2863,2)</f>
        <v/>
      </c>
      <c r="L2863" t="n">
        <v>1</v>
      </c>
      <c r="M2863" t="n">
        <v>24.17</v>
      </c>
      <c r="N2863">
        <f>(M2863-F2863)</f>
        <v/>
      </c>
    </row>
    <row r="2864" ht="15" customHeight="1">
      <c r="A2864" s="2" t="inlineStr"/>
      <c r="B2864" s="2" t="inlineStr"/>
      <c r="C2864" s="2" t="inlineStr"/>
      <c r="D2864" s="2" t="inlineStr"/>
      <c r="E2864" s="26" t="inlineStr">
        <is>
          <t>TOTAL Mão de Obra:</t>
        </is>
      </c>
      <c r="F2864" s="56" t="n"/>
      <c r="G2864" s="65">
        <f>SUM(G2863:G2863)</f>
        <v/>
      </c>
    </row>
    <row r="2865" ht="15" customHeight="1">
      <c r="A2865" s="20" t="inlineStr">
        <is>
          <t>Serviço</t>
        </is>
      </c>
      <c r="B2865" s="56" t="n"/>
      <c r="C2865" s="21" t="inlineStr">
        <is>
          <t>FONTE</t>
        </is>
      </c>
      <c r="D2865" s="21" t="inlineStr">
        <is>
          <t>UNID</t>
        </is>
      </c>
      <c r="E2865" s="21" t="inlineStr">
        <is>
          <t>COEFICIENTE</t>
        </is>
      </c>
      <c r="F2865" s="21" t="inlineStr">
        <is>
          <t>PREÇO UNITÁRIO</t>
        </is>
      </c>
      <c r="G2865" s="21" t="inlineStr">
        <is>
          <t>TOTAL</t>
        </is>
      </c>
    </row>
    <row r="2866" ht="21" customHeight="1">
      <c r="A2866" s="22" t="inlineStr">
        <is>
          <t>95368</t>
        </is>
      </c>
      <c r="B2866" s="23" t="inlineStr">
        <is>
          <t>CURSO DE CAPACITAÇÃO PARA OPERADOR JATO DE AREIA OU JATISTA (ENCARGOS COMPLEMENTARES) - HORISTA</t>
        </is>
      </c>
      <c r="C2866" s="22" t="inlineStr">
        <is>
          <t>SINAPI</t>
        </is>
      </c>
      <c r="D2866" s="22" t="inlineStr">
        <is>
          <t>H</t>
        </is>
      </c>
      <c r="E2866" s="63" t="n">
        <v>1</v>
      </c>
      <c r="F2866" s="64">
        <f>G1739</f>
        <v/>
      </c>
      <c r="G2866" s="64">
        <f>TRUNC(TRUNC(E2866,8)*F2866,2)</f>
        <v/>
      </c>
      <c r="L2866" t="n">
        <v>1</v>
      </c>
      <c r="M2866" t="n">
        <v>0.27</v>
      </c>
      <c r="N2866">
        <f>(M2866-F2866)</f>
        <v/>
      </c>
    </row>
    <row r="2867" ht="15" customHeight="1">
      <c r="A2867" s="2" t="inlineStr"/>
      <c r="B2867" s="2" t="inlineStr"/>
      <c r="C2867" s="2" t="inlineStr"/>
      <c r="D2867" s="2" t="inlineStr"/>
      <c r="E2867" s="26" t="inlineStr">
        <is>
          <t>TOTAL Serviço:</t>
        </is>
      </c>
      <c r="F2867" s="56" t="n"/>
      <c r="G2867" s="65">
        <f>SUM(G2866:G2866)</f>
        <v/>
      </c>
    </row>
    <row r="2868" ht="15" customHeight="1">
      <c r="A2868" s="2" t="inlineStr"/>
      <c r="B2868" s="2" t="inlineStr"/>
      <c r="C2868" s="2" t="inlineStr"/>
      <c r="D2868" s="2" t="inlineStr"/>
      <c r="E2868" s="28" t="inlineStr">
        <is>
          <t>VALOR:</t>
        </is>
      </c>
      <c r="F2868" s="56" t="n"/>
      <c r="G2868" s="66">
        <f>ROUND(SUM(G2861,G2864,G2867),2)</f>
        <v/>
      </c>
    </row>
    <row r="2869" ht="15" customHeight="1">
      <c r="A2869" s="2" t="inlineStr"/>
      <c r="B2869" s="2" t="inlineStr"/>
      <c r="C2869" s="2" t="inlineStr"/>
      <c r="D2869" s="2" t="inlineStr"/>
      <c r="E2869" s="28" t="inlineStr">
        <is>
          <t>VALOR BDI (23.08%):</t>
        </is>
      </c>
      <c r="F2869" s="56" t="n"/>
      <c r="G2869" s="66">
        <f>ROUNDDOWN(G2868*BDI,2)</f>
        <v/>
      </c>
    </row>
    <row r="2870" ht="15" customHeight="1">
      <c r="A2870" s="2" t="inlineStr"/>
      <c r="B2870" s="2" t="inlineStr"/>
      <c r="C2870" s="2" t="inlineStr"/>
      <c r="D2870" s="2" t="inlineStr"/>
      <c r="E2870" s="28" t="inlineStr">
        <is>
          <t>VALOR COM BDI:</t>
        </is>
      </c>
      <c r="F2870" s="56" t="n"/>
      <c r="G2870" s="66">
        <f>G2869 + G2868</f>
        <v/>
      </c>
    </row>
    <row r="2871" ht="10" customHeight="1">
      <c r="A2871" s="2" t="inlineStr"/>
      <c r="B2871" s="2" t="inlineStr"/>
      <c r="C2871" s="2" t="inlineStr"/>
      <c r="D2871" s="2" t="inlineStr"/>
      <c r="E2871" s="18" t="inlineStr"/>
    </row>
    <row r="2872" ht="20" customHeight="1">
      <c r="A2872" s="19" t="inlineStr">
        <is>
          <t>​88309​ PEDREIRO COM ENCARGOS COMPLEMENTARES​ (H)</t>
        </is>
      </c>
      <c r="B2872" s="55" t="n"/>
      <c r="C2872" s="55" t="n"/>
      <c r="D2872" s="55" t="n"/>
      <c r="E2872" s="55" t="n"/>
      <c r="F2872" s="55" t="n"/>
      <c r="G2872" s="56" t="n"/>
    </row>
    <row r="2873" ht="15" customHeight="1">
      <c r="A2873" s="20" t="inlineStr">
        <is>
          <t>Encargos Complementares</t>
        </is>
      </c>
      <c r="B2873" s="56" t="n"/>
      <c r="C2873" s="21" t="inlineStr">
        <is>
          <t>FONTE</t>
        </is>
      </c>
      <c r="D2873" s="21" t="inlineStr">
        <is>
          <t>UNID</t>
        </is>
      </c>
      <c r="E2873" s="21" t="inlineStr">
        <is>
          <t>COEFICIENTE</t>
        </is>
      </c>
      <c r="F2873" s="21" t="inlineStr">
        <is>
          <t>PREÇO UNITÁRIO</t>
        </is>
      </c>
      <c r="G2873" s="21" t="inlineStr">
        <is>
          <t>TOTAL</t>
        </is>
      </c>
    </row>
    <row r="2874" ht="21" customHeight="1">
      <c r="A2874" s="22" t="inlineStr">
        <is>
          <t>00037370</t>
        </is>
      </c>
      <c r="B2874" s="23" t="inlineStr">
        <is>
          <t>ALIMENTACAO - HORISTA (COLETADO CAIXA - ENCARGOS COMPLEMENTARES)</t>
        </is>
      </c>
      <c r="C2874" s="22" t="inlineStr">
        <is>
          <t>SINAPI</t>
        </is>
      </c>
      <c r="D2874" s="22" t="inlineStr">
        <is>
          <t>H</t>
        </is>
      </c>
      <c r="E2874" s="63" t="n">
        <v>1</v>
      </c>
      <c r="F2874" s="64" t="n">
        <v>3.62</v>
      </c>
      <c r="G2874" s="64">
        <f>TRUNC(TRUNC(E2874,8)*F2874,2)</f>
        <v/>
      </c>
      <c r="L2874" t="n">
        <v>1</v>
      </c>
      <c r="M2874" t="n">
        <v>3.62</v>
      </c>
      <c r="N2874">
        <f>(M2874-F2874)</f>
        <v/>
      </c>
    </row>
    <row r="2875" ht="21" customHeight="1">
      <c r="A2875" s="22" t="inlineStr">
        <is>
          <t>00043489</t>
        </is>
      </c>
      <c r="B2875" s="23" t="inlineStr">
        <is>
          <t>EPI - FAMILIA PEDREIRO - HORISTA (ENCARGOS COMPLEMENTARES - COLETADO CAIXA)</t>
        </is>
      </c>
      <c r="C2875" s="22" t="inlineStr">
        <is>
          <t>SINAPI</t>
        </is>
      </c>
      <c r="D2875" s="22" t="inlineStr">
        <is>
          <t>H</t>
        </is>
      </c>
      <c r="E2875" s="63" t="n">
        <v>1</v>
      </c>
      <c r="F2875" s="64" t="n">
        <v>1.31</v>
      </c>
      <c r="G2875" s="64">
        <f>TRUNC(TRUNC(E2875,8)*F2875,2)</f>
        <v/>
      </c>
      <c r="L2875" t="n">
        <v>1</v>
      </c>
      <c r="M2875" t="n">
        <v>1.31</v>
      </c>
      <c r="N2875">
        <f>(M2875-F2875)</f>
        <v/>
      </c>
    </row>
    <row r="2876" ht="21" customHeight="1">
      <c r="A2876" s="22" t="inlineStr">
        <is>
          <t>00037372</t>
        </is>
      </c>
      <c r="B2876" s="23" t="inlineStr">
        <is>
          <t>EXAMES - HORISTA (COLETADO CAIXA - ENCARGOS COMPLEMENTARES)</t>
        </is>
      </c>
      <c r="C2876" s="22" t="inlineStr">
        <is>
          <t>SINAPI</t>
        </is>
      </c>
      <c r="D2876" s="22" t="inlineStr">
        <is>
          <t>H</t>
        </is>
      </c>
      <c r="E2876" s="63" t="n">
        <v>1</v>
      </c>
      <c r="F2876" s="64" t="n">
        <v>1.43</v>
      </c>
      <c r="G2876" s="64">
        <f>TRUNC(TRUNC(E2876,8)*F2876,2)</f>
        <v/>
      </c>
      <c r="L2876" t="n">
        <v>1</v>
      </c>
      <c r="M2876" t="n">
        <v>1.43</v>
      </c>
      <c r="N2876">
        <f>(M2876-F2876)</f>
        <v/>
      </c>
    </row>
    <row r="2877" ht="21" customHeight="1">
      <c r="A2877" s="22" t="inlineStr">
        <is>
          <t>00043465</t>
        </is>
      </c>
      <c r="B2877" s="23" t="inlineStr">
        <is>
          <t>FERRAMENTAS - FAMILIA PEDREIRO - HORISTA (ENCARGOS COMPLEMENTARES - COLETADO CAIXA)</t>
        </is>
      </c>
      <c r="C2877" s="22" t="inlineStr">
        <is>
          <t>SINAPI</t>
        </is>
      </c>
      <c r="D2877" s="22" t="inlineStr">
        <is>
          <t>H</t>
        </is>
      </c>
      <c r="E2877" s="63" t="n">
        <v>1</v>
      </c>
      <c r="F2877" s="64" t="n">
        <v>0.78</v>
      </c>
      <c r="G2877" s="64">
        <f>TRUNC(TRUNC(E2877,8)*F2877,2)</f>
        <v/>
      </c>
      <c r="L2877" t="n">
        <v>1</v>
      </c>
      <c r="M2877" t="n">
        <v>0.78</v>
      </c>
      <c r="N2877">
        <f>(M2877-F2877)</f>
        <v/>
      </c>
    </row>
    <row r="2878" ht="21" customHeight="1">
      <c r="A2878" s="22" t="inlineStr">
        <is>
          <t>00037373</t>
        </is>
      </c>
      <c r="B2878" s="23" t="inlineStr">
        <is>
          <t>SEGURO - HORISTA (COLETADO CAIXA - ENCARGOS COMPLEMENTARES)</t>
        </is>
      </c>
      <c r="C2878" s="22" t="inlineStr">
        <is>
          <t>SINAPI</t>
        </is>
      </c>
      <c r="D2878" s="22" t="inlineStr">
        <is>
          <t>H</t>
        </is>
      </c>
      <c r="E2878" s="63" t="n">
        <v>1</v>
      </c>
      <c r="F2878" s="64" t="n">
        <v>0.08</v>
      </c>
      <c r="G2878" s="64">
        <f>TRUNC(TRUNC(E2878,8)*F2878,2)</f>
        <v/>
      </c>
      <c r="L2878" t="n">
        <v>1</v>
      </c>
      <c r="M2878" t="n">
        <v>0.08</v>
      </c>
      <c r="N2878">
        <f>(M2878-F2878)</f>
        <v/>
      </c>
    </row>
    <row r="2879" ht="21" customHeight="1">
      <c r="A2879" s="22" t="inlineStr">
        <is>
          <t>00037371</t>
        </is>
      </c>
      <c r="B2879" s="23" t="inlineStr">
        <is>
          <t>TRANSPORTE - HORISTA (COLETADO CAIXA - ENCARGOS COMPLEMENTARES)</t>
        </is>
      </c>
      <c r="C2879" s="22" t="inlineStr">
        <is>
          <t>SINAPI</t>
        </is>
      </c>
      <c r="D2879" s="22" t="inlineStr">
        <is>
          <t>H</t>
        </is>
      </c>
      <c r="E2879" s="63" t="n">
        <v>1</v>
      </c>
      <c r="F2879" s="64" t="n">
        <v>1.09</v>
      </c>
      <c r="G2879" s="64">
        <f>TRUNC(TRUNC(E2879,8)*F2879,2)</f>
        <v/>
      </c>
      <c r="L2879" t="n">
        <v>1</v>
      </c>
      <c r="M2879" t="n">
        <v>1.09</v>
      </c>
      <c r="N2879">
        <f>(M2879-F2879)</f>
        <v/>
      </c>
    </row>
    <row r="2880" ht="15" customHeight="1">
      <c r="A2880" s="2" t="inlineStr"/>
      <c r="B2880" s="2" t="inlineStr"/>
      <c r="C2880" s="2" t="inlineStr"/>
      <c r="D2880" s="2" t="inlineStr"/>
      <c r="E2880" s="26" t="inlineStr">
        <is>
          <t>TOTAL Encargos Complementares:</t>
        </is>
      </c>
      <c r="F2880" s="56" t="n"/>
      <c r="G2880" s="65">
        <f>SUM(G2874:G2879)</f>
        <v/>
      </c>
    </row>
    <row r="2881" ht="15" customHeight="1">
      <c r="A2881" s="20" t="inlineStr">
        <is>
          <t>Mão de Obra</t>
        </is>
      </c>
      <c r="B2881" s="56" t="n"/>
      <c r="C2881" s="21" t="inlineStr">
        <is>
          <t>FONTE</t>
        </is>
      </c>
      <c r="D2881" s="21" t="inlineStr">
        <is>
          <t>UNID</t>
        </is>
      </c>
      <c r="E2881" s="21" t="inlineStr">
        <is>
          <t>COEFICIENTE</t>
        </is>
      </c>
      <c r="F2881" s="21" t="inlineStr">
        <is>
          <t>PREÇO UNITÁRIO</t>
        </is>
      </c>
      <c r="G2881" s="21" t="inlineStr">
        <is>
          <t>TOTAL</t>
        </is>
      </c>
    </row>
    <row r="2882" ht="15" customHeight="1">
      <c r="A2882" s="22" t="inlineStr">
        <is>
          <t>00004750</t>
        </is>
      </c>
      <c r="B2882" s="23" t="inlineStr">
        <is>
          <t>PEDREIRO (HORISTA)</t>
        </is>
      </c>
      <c r="C2882" s="22" t="inlineStr">
        <is>
          <t>SINAPI</t>
        </is>
      </c>
      <c r="D2882" s="22" t="inlineStr">
        <is>
          <t>H</t>
        </is>
      </c>
      <c r="E2882" s="63">
        <f>L2882*FATOR</f>
        <v/>
      </c>
      <c r="F2882" s="64" t="n">
        <v>21.81</v>
      </c>
      <c r="G2882" s="64">
        <f>TRUNC(TRUNC(E2882,8)*F2882,2)</f>
        <v/>
      </c>
      <c r="L2882" t="n">
        <v>1</v>
      </c>
      <c r="M2882" t="n">
        <v>21.81</v>
      </c>
      <c r="N2882">
        <f>(M2882-F2882)</f>
        <v/>
      </c>
    </row>
    <row r="2883" ht="15" customHeight="1">
      <c r="A2883" s="2" t="inlineStr"/>
      <c r="B2883" s="2" t="inlineStr"/>
      <c r="C2883" s="2" t="inlineStr"/>
      <c r="D2883" s="2" t="inlineStr"/>
      <c r="E2883" s="26" t="inlineStr">
        <is>
          <t>TOTAL Mão de Obra:</t>
        </is>
      </c>
      <c r="F2883" s="56" t="n"/>
      <c r="G2883" s="65">
        <f>SUM(G2882:G2882)</f>
        <v/>
      </c>
    </row>
    <row r="2884" ht="15" customHeight="1">
      <c r="A2884" s="20" t="inlineStr">
        <is>
          <t>Serviço</t>
        </is>
      </c>
      <c r="B2884" s="56" t="n"/>
      <c r="C2884" s="21" t="inlineStr">
        <is>
          <t>FONTE</t>
        </is>
      </c>
      <c r="D2884" s="21" t="inlineStr">
        <is>
          <t>UNID</t>
        </is>
      </c>
      <c r="E2884" s="21" t="inlineStr">
        <is>
          <t>COEFICIENTE</t>
        </is>
      </c>
      <c r="F2884" s="21" t="inlineStr">
        <is>
          <t>PREÇO UNITÁRIO</t>
        </is>
      </c>
      <c r="G2884" s="21" t="inlineStr">
        <is>
          <t>TOTAL</t>
        </is>
      </c>
    </row>
    <row r="2885" ht="21" customHeight="1">
      <c r="A2885" s="22" t="inlineStr">
        <is>
          <t>95371</t>
        </is>
      </c>
      <c r="B2885" s="23" t="inlineStr">
        <is>
          <t>CURSO DE CAPACITAÇÃO PARA PEDREIRO (ENCARGOS COMPLEMENTARES) - HORISTA</t>
        </is>
      </c>
      <c r="C2885" s="22" t="inlineStr">
        <is>
          <t>SINAPI</t>
        </is>
      </c>
      <c r="D2885" s="22" t="inlineStr">
        <is>
          <t>H</t>
        </is>
      </c>
      <c r="E2885" s="63" t="n">
        <v>1</v>
      </c>
      <c r="F2885" s="64">
        <f>'COMPOSICOES AUXILIARES'!G1747</f>
        <v/>
      </c>
      <c r="G2885" s="64">
        <f>TRUNC(TRUNC(E2885,8)*F2885,2)</f>
        <v/>
      </c>
      <c r="L2885" t="n">
        <v>1</v>
      </c>
      <c r="M2885" t="n">
        <v>0.46</v>
      </c>
      <c r="N2885">
        <f>(M2885-F2885)</f>
        <v/>
      </c>
    </row>
    <row r="2886" ht="15" customHeight="1">
      <c r="A2886" s="2" t="inlineStr"/>
      <c r="B2886" s="2" t="inlineStr"/>
      <c r="C2886" s="2" t="inlineStr"/>
      <c r="D2886" s="2" t="inlineStr"/>
      <c r="E2886" s="26" t="inlineStr">
        <is>
          <t>TOTAL Serviço:</t>
        </is>
      </c>
      <c r="F2886" s="56" t="n"/>
      <c r="G2886" s="65">
        <f>SUM(G2885:G2885)</f>
        <v/>
      </c>
    </row>
    <row r="2887" ht="15" customHeight="1">
      <c r="A2887" s="2" t="inlineStr"/>
      <c r="B2887" s="2" t="inlineStr"/>
      <c r="C2887" s="2" t="inlineStr"/>
      <c r="D2887" s="2" t="inlineStr"/>
      <c r="E2887" s="28" t="inlineStr">
        <is>
          <t>VALOR:</t>
        </is>
      </c>
      <c r="F2887" s="56" t="n"/>
      <c r="G2887" s="66">
        <f>SUM(G2880,G2883,G2886)</f>
        <v/>
      </c>
    </row>
    <row r="2888" ht="15" customHeight="1">
      <c r="A2888" s="2" t="inlineStr"/>
      <c r="B2888" s="2" t="inlineStr"/>
      <c r="C2888" s="2" t="inlineStr"/>
      <c r="D2888" s="2" t="inlineStr"/>
      <c r="E2888" s="28" t="inlineStr">
        <is>
          <t>VALOR BDI (23.08%):</t>
        </is>
      </c>
      <c r="F2888" s="56" t="n"/>
      <c r="G2888" s="66">
        <f>ROUNDDOWN(G2887*BDI,2)</f>
        <v/>
      </c>
    </row>
    <row r="2889" ht="15" customHeight="1">
      <c r="A2889" s="2" t="inlineStr"/>
      <c r="B2889" s="2" t="inlineStr"/>
      <c r="C2889" s="2" t="inlineStr"/>
      <c r="D2889" s="2" t="inlineStr"/>
      <c r="E2889" s="28" t="inlineStr">
        <is>
          <t>VALOR COM BDI:</t>
        </is>
      </c>
      <c r="F2889" s="56" t="n"/>
      <c r="G2889" s="66">
        <f>G2888 + G2887</f>
        <v/>
      </c>
    </row>
    <row r="2890" ht="10" customHeight="1">
      <c r="A2890" s="2" t="inlineStr"/>
      <c r="B2890" s="2" t="inlineStr"/>
      <c r="C2890" s="2" t="inlineStr"/>
      <c r="D2890" s="2" t="inlineStr"/>
      <c r="E2890" s="18" t="inlineStr"/>
    </row>
    <row r="2891" ht="20" customHeight="1">
      <c r="A2891" s="19" t="inlineStr">
        <is>
          <t>​97740​ PEÇA CIRCULAR PRÉ-MOLDADA, VOLUME DE CONCRETO ACIMA DE 100 LITROS, TAXA DE AÇO APROXIMADA DE 30KG/M³. AF_03/2024​ (M3)</t>
        </is>
      </c>
      <c r="B2891" s="55" t="n"/>
      <c r="C2891" s="55" t="n"/>
      <c r="D2891" s="55" t="n"/>
      <c r="E2891" s="55" t="n"/>
      <c r="F2891" s="55" t="n"/>
      <c r="G2891" s="56" t="n"/>
    </row>
    <row r="2892" ht="15" customHeight="1">
      <c r="A2892" s="20" t="inlineStr">
        <is>
          <t>Equipamento Custo Horário</t>
        </is>
      </c>
      <c r="B2892" s="56" t="n"/>
      <c r="C2892" s="21" t="inlineStr">
        <is>
          <t>FONTE</t>
        </is>
      </c>
      <c r="D2892" s="21" t="inlineStr">
        <is>
          <t>UNID</t>
        </is>
      </c>
      <c r="E2892" s="21" t="inlineStr">
        <is>
          <t>COEFICIENTE</t>
        </is>
      </c>
      <c r="F2892" s="21" t="inlineStr">
        <is>
          <t>PREÇO UNITÁRIO</t>
        </is>
      </c>
      <c r="G2892" s="21" t="inlineStr">
        <is>
          <t>TOTAL</t>
        </is>
      </c>
    </row>
    <row r="2893" ht="29" customHeight="1">
      <c r="A2893" s="22" t="inlineStr">
        <is>
          <t>91693</t>
        </is>
      </c>
      <c r="B2893" s="23" t="inlineStr">
        <is>
          <t>SERRA CIRCULAR DE BANCADA COM MOTOR ELÉTRICO POTÊNCIA DE 5HP, COM COIFA PARA DISCO 10" - CHI DIURNO. AF_08/2015</t>
        </is>
      </c>
      <c r="C2893" s="22" t="inlineStr">
        <is>
          <t>SINAPI</t>
        </is>
      </c>
      <c r="D2893" s="22" t="inlineStr">
        <is>
          <t>CHI</t>
        </is>
      </c>
      <c r="E2893" s="63" t="n">
        <v>0.5938</v>
      </c>
      <c r="F2893" s="64">
        <f>'COMPOSICOES AUXILIARES'!G2054</f>
        <v/>
      </c>
      <c r="G2893" s="64">
        <f>TRUNC(TRUNC(E2893,8)*F2893,2)</f>
        <v/>
      </c>
      <c r="L2893" t="n">
        <v>0.5938</v>
      </c>
      <c r="M2893" t="n">
        <v>35.72</v>
      </c>
      <c r="N2893">
        <f>(M2893-F2893)</f>
        <v/>
      </c>
    </row>
    <row r="2894" ht="29" customHeight="1">
      <c r="A2894" s="22" t="inlineStr">
        <is>
          <t>91692</t>
        </is>
      </c>
      <c r="B2894" s="23" t="inlineStr">
        <is>
          <t>SERRA CIRCULAR DE BANCADA COM MOTOR ELÉTRICO POTÊNCIA DE 5HP, COM COIFA PARA DISCO 10" - CHP DIURNO. AF_08/2015</t>
        </is>
      </c>
      <c r="C2894" s="22" t="inlineStr">
        <is>
          <t>SINAPI</t>
        </is>
      </c>
      <c r="D2894" s="22" t="inlineStr">
        <is>
          <t>CHP</t>
        </is>
      </c>
      <c r="E2894" s="63" t="n">
        <v>0.2675</v>
      </c>
      <c r="F2894" s="64">
        <f>'COMPOSICOES AUXILIARES'!G2054</f>
        <v/>
      </c>
      <c r="G2894" s="64">
        <f>TRUNC(TRUNC(E2894,8)*F2894,2)</f>
        <v/>
      </c>
      <c r="L2894" t="n">
        <v>0.2675</v>
      </c>
      <c r="M2894" t="n">
        <v>37.16</v>
      </c>
      <c r="N2894">
        <f>(M2894-F2894)</f>
        <v/>
      </c>
    </row>
    <row r="2895" ht="29" customHeight="1">
      <c r="A2895" s="22" t="inlineStr">
        <is>
          <t>90587</t>
        </is>
      </c>
      <c r="B2895" s="23" t="inlineStr">
        <is>
          <t>VIBRADOR DE IMERSÃO, DIÂMETRO DE PONTEIRA 45MM, MOTOR ELÉTRICO TRIFÁSICO POTÊNCIA DE 2 CV - CHI DIURNO. AF_06/2015</t>
        </is>
      </c>
      <c r="C2895" s="22" t="inlineStr">
        <is>
          <t>SINAPI</t>
        </is>
      </c>
      <c r="D2895" s="22" t="inlineStr">
        <is>
          <t>CHI</t>
        </is>
      </c>
      <c r="E2895" s="63" t="n">
        <v>2.7986</v>
      </c>
      <c r="F2895" s="64">
        <f>'COMPOSICOES AUXILIARES'!G1112</f>
        <v/>
      </c>
      <c r="G2895" s="64">
        <f>TRUNC(TRUNC(E2895,8)*F2895,2)</f>
        <v/>
      </c>
      <c r="L2895" t="n">
        <v>2.7986</v>
      </c>
      <c r="M2895" t="n">
        <v>0.5600000000000001</v>
      </c>
      <c r="N2895">
        <f>(M2895-F2895)</f>
        <v/>
      </c>
    </row>
    <row r="2896" ht="29" customHeight="1">
      <c r="A2896" s="22" t="inlineStr">
        <is>
          <t>90586</t>
        </is>
      </c>
      <c r="B2896" s="23" t="inlineStr">
        <is>
          <t>VIBRADOR DE IMERSÃO, DIÂMETRO DE PONTEIRA 45MM, MOTOR ELÉTRICO TRIFÁSICO POTÊNCIA DE 2 CV - CHP DIURNO. AF_06/2015</t>
        </is>
      </c>
      <c r="C2896" s="22" t="inlineStr">
        <is>
          <t>SINAPI</t>
        </is>
      </c>
      <c r="D2896" s="22" t="inlineStr">
        <is>
          <t>CHP</t>
        </is>
      </c>
      <c r="E2896" s="63" t="n">
        <v>1.0264</v>
      </c>
      <c r="F2896" s="64">
        <f>'COMPOSICOES AUXILIARES'!G1112</f>
        <v/>
      </c>
      <c r="G2896" s="64">
        <f>TRUNC(TRUNC(E2896,8)*F2896,2)</f>
        <v/>
      </c>
      <c r="L2896" t="n">
        <v>1.0264</v>
      </c>
      <c r="M2896" t="n">
        <v>1.44</v>
      </c>
      <c r="N2896">
        <f>(M2896-F2896)</f>
        <v/>
      </c>
    </row>
    <row r="2897" ht="18" customHeight="1">
      <c r="A2897" s="2" t="inlineStr"/>
      <c r="B2897" s="2" t="inlineStr"/>
      <c r="C2897" s="2" t="inlineStr"/>
      <c r="D2897" s="2" t="inlineStr"/>
      <c r="E2897" s="26" t="inlineStr">
        <is>
          <t>TOTAL Equipamento Custo Horário:</t>
        </is>
      </c>
      <c r="F2897" s="56" t="n"/>
      <c r="G2897" s="65">
        <f>SUM(G2893:G2896)</f>
        <v/>
      </c>
    </row>
    <row r="2898" ht="15" customHeight="1">
      <c r="A2898" s="20" t="inlineStr">
        <is>
          <t>Material</t>
        </is>
      </c>
      <c r="B2898" s="56" t="n"/>
      <c r="C2898" s="21" t="inlineStr">
        <is>
          <t>FONTE</t>
        </is>
      </c>
      <c r="D2898" s="21" t="inlineStr">
        <is>
          <t>UNID</t>
        </is>
      </c>
      <c r="E2898" s="21" t="inlineStr">
        <is>
          <t>COEFICIENTE</t>
        </is>
      </c>
      <c r="F2898" s="21" t="inlineStr">
        <is>
          <t>PREÇO UNITÁRIO</t>
        </is>
      </c>
      <c r="G2898" s="21" t="inlineStr">
        <is>
          <t>TOTAL</t>
        </is>
      </c>
    </row>
    <row r="2899" ht="29" customHeight="1">
      <c r="A2899" s="22" t="inlineStr">
        <is>
          <t>00001358</t>
        </is>
      </c>
      <c r="B2899" s="23" t="inlineStr">
        <is>
          <t>CHAPA/PAINEL DE MADEIRA COMPENSADA RESINADA (MADEIRITE RESINADO ROSA) PARA FORMA DE CONCRETO, DE 2200 X 1100 MM, E = 17 MM</t>
        </is>
      </c>
      <c r="C2899" s="22" t="inlineStr">
        <is>
          <t>SINAPI</t>
        </is>
      </c>
      <c r="D2899" s="22" t="inlineStr">
        <is>
          <t>M2</t>
        </is>
      </c>
      <c r="E2899" s="63" t="n">
        <v>6.7614</v>
      </c>
      <c r="F2899" s="64">
        <f>ROUND(M2899*FATOR, 2)</f>
        <v/>
      </c>
      <c r="G2899" s="64">
        <f>TRUNC(TRUNC(E2899,8)*F2899,2)</f>
        <v/>
      </c>
      <c r="L2899" t="n">
        <v>6.7614</v>
      </c>
      <c r="M2899" t="n">
        <v>57.71</v>
      </c>
      <c r="N2899">
        <f>(M2899-F2899)</f>
        <v/>
      </c>
    </row>
    <row r="2900" ht="29" customHeight="1">
      <c r="A2900" s="22" t="inlineStr">
        <is>
          <t>00043682</t>
        </is>
      </c>
      <c r="B2900" s="23" t="inlineStr">
        <is>
          <t>CHAPA/PAINEL DE MADEIRA COMPENSADA RESINADA (MADEIRITE RESINADO ROSA) PARA FORMA DE CONCRETO, DE 2200 X 1100 MM, E = 6 MM</t>
        </is>
      </c>
      <c r="C2900" s="22" t="inlineStr">
        <is>
          <t>SINAPI</t>
        </is>
      </c>
      <c r="D2900" s="22" t="inlineStr">
        <is>
          <t>M2</t>
        </is>
      </c>
      <c r="E2900" s="63" t="n">
        <v>0.3189</v>
      </c>
      <c r="F2900" s="64">
        <f>ROUND(M2900*FATOR, 2)</f>
        <v/>
      </c>
      <c r="G2900" s="64">
        <f>TRUNC(TRUNC(E2900,8)*F2900,2)</f>
        <v/>
      </c>
      <c r="L2900" t="n">
        <v>0.3189</v>
      </c>
      <c r="M2900" t="n">
        <v>21.95</v>
      </c>
      <c r="N2900">
        <f>(M2900-F2900)</f>
        <v/>
      </c>
    </row>
    <row r="2901" ht="21" customHeight="1">
      <c r="A2901" s="22" t="inlineStr">
        <is>
          <t>00002692</t>
        </is>
      </c>
      <c r="B2901" s="23" t="inlineStr">
        <is>
          <t>DESMOLDANTE PROTETOR PARA FORMAS DE MADEIRA, DE BASE OLEOSA EMULSIONADA EM AGUA</t>
        </is>
      </c>
      <c r="C2901" s="22" t="inlineStr">
        <is>
          <t>SINAPI</t>
        </is>
      </c>
      <c r="D2901" s="22" t="inlineStr">
        <is>
          <t>L</t>
        </is>
      </c>
      <c r="E2901" s="63" t="n">
        <v>0.035</v>
      </c>
      <c r="F2901" s="64">
        <f>ROUND(M2901*FATOR, 2)</f>
        <v/>
      </c>
      <c r="G2901" s="64">
        <f>TRUNC(TRUNC(E2901,8)*F2901,2)</f>
        <v/>
      </c>
      <c r="L2901" t="n">
        <v>0.035</v>
      </c>
      <c r="M2901" t="n">
        <v>8.06</v>
      </c>
      <c r="N2901">
        <f>(M2901-F2901)</f>
        <v/>
      </c>
    </row>
    <row r="2902" ht="15" customHeight="1">
      <c r="A2902" s="22" t="inlineStr">
        <is>
          <t>00039995</t>
        </is>
      </c>
      <c r="B2902" s="23" t="inlineStr">
        <is>
          <t>POLIESTIRENO EXPANDIDO/EPS (ISOPOR), TIPO 2F, BLOCO</t>
        </is>
      </c>
      <c r="C2902" s="22" t="inlineStr">
        <is>
          <t>SINAPI</t>
        </is>
      </c>
      <c r="D2902" s="22" t="inlineStr">
        <is>
          <t>M3</t>
        </is>
      </c>
      <c r="E2902" s="63" t="n">
        <v>0.2475</v>
      </c>
      <c r="F2902" s="64">
        <f>ROUND(M2902*FATOR, 2)</f>
        <v/>
      </c>
      <c r="G2902" s="64">
        <f>TRUNC(TRUNC(E2902,8)*F2902,2)</f>
        <v/>
      </c>
      <c r="L2902" t="n">
        <v>0.2475</v>
      </c>
      <c r="M2902" t="n">
        <v>439.92</v>
      </c>
      <c r="N2902">
        <f>(M2902-F2902)</f>
        <v/>
      </c>
    </row>
    <row r="2903" ht="21" customHeight="1">
      <c r="A2903" s="22" t="inlineStr">
        <is>
          <t>00004491</t>
        </is>
      </c>
      <c r="B2903" s="23" t="inlineStr">
        <is>
          <t>PONTALETE *7,5 X 7,5* CM EM PINUS, MISTA OU EQUIVALENTE DA REGIAO - BRUTA</t>
        </is>
      </c>
      <c r="C2903" s="22" t="inlineStr">
        <is>
          <t>SINAPI</t>
        </is>
      </c>
      <c r="D2903" s="22" t="inlineStr">
        <is>
          <t>M</t>
        </is>
      </c>
      <c r="E2903" s="63" t="n">
        <v>1.4216</v>
      </c>
      <c r="F2903" s="64">
        <f>ROUND(M2903*FATOR, 2)</f>
        <v/>
      </c>
      <c r="G2903" s="64">
        <f>TRUNC(TRUNC(E2903,8)*F2903,2)</f>
        <v/>
      </c>
      <c r="L2903" t="n">
        <v>1.4216</v>
      </c>
      <c r="M2903" t="n">
        <v>11.05</v>
      </c>
      <c r="N2903">
        <f>(M2903-F2903)</f>
        <v/>
      </c>
    </row>
    <row r="2904" ht="15" customHeight="1">
      <c r="A2904" s="22" t="inlineStr">
        <is>
          <t>00020247</t>
        </is>
      </c>
      <c r="B2904" s="23" t="inlineStr">
        <is>
          <t>PREGO DE ACO POLIDO COM CABECA 15 X 15 (1 1/4 X 13)</t>
        </is>
      </c>
      <c r="C2904" s="22" t="inlineStr">
        <is>
          <t>SINAPI</t>
        </is>
      </c>
      <c r="D2904" s="22" t="inlineStr">
        <is>
          <t>KG</t>
        </is>
      </c>
      <c r="E2904" s="63" t="n">
        <v>0.2954</v>
      </c>
      <c r="F2904" s="64">
        <f>ROUND(M2904*FATOR, 2)</f>
        <v/>
      </c>
      <c r="G2904" s="64">
        <f>TRUNC(TRUNC(E2904,8)*F2904,2)</f>
        <v/>
      </c>
      <c r="L2904" t="n">
        <v>0.2954</v>
      </c>
      <c r="M2904" t="n">
        <v>15.71</v>
      </c>
      <c r="N2904">
        <f>(M2904-F2904)</f>
        <v/>
      </c>
    </row>
    <row r="2905" ht="15" customHeight="1">
      <c r="A2905" s="22" t="inlineStr">
        <is>
          <t>00005073</t>
        </is>
      </c>
      <c r="B2905" s="23" t="inlineStr">
        <is>
          <t>PREGO DE ACO POLIDO COM CABECA 17 X 24 (2 1/4 X 11)</t>
        </is>
      </c>
      <c r="C2905" s="22" t="inlineStr">
        <is>
          <t>SINAPI</t>
        </is>
      </c>
      <c r="D2905" s="22" t="inlineStr">
        <is>
          <t>KG</t>
        </is>
      </c>
      <c r="E2905" s="63" t="n">
        <v>0.1843</v>
      </c>
      <c r="F2905" s="64">
        <f>ROUND(M2905*FATOR, 2)</f>
        <v/>
      </c>
      <c r="G2905" s="64">
        <f>TRUNC(TRUNC(E2905,8)*F2905,2)</f>
        <v/>
      </c>
      <c r="L2905" t="n">
        <v>0.1843</v>
      </c>
      <c r="M2905" t="n">
        <v>14.46</v>
      </c>
      <c r="N2905">
        <f>(M2905-F2905)</f>
        <v/>
      </c>
    </row>
    <row r="2906" ht="21" customHeight="1">
      <c r="A2906" s="22" t="inlineStr">
        <is>
          <t>00004517</t>
        </is>
      </c>
      <c r="B2906" s="23" t="inlineStr">
        <is>
          <t>SARRAFO *2,5 X 7,5* CM EM PINUS, MISTA OU EQUIVALENTE DA REGIAO - BRUTA</t>
        </is>
      </c>
      <c r="C2906" s="22" t="inlineStr">
        <is>
          <t>SINAPI</t>
        </is>
      </c>
      <c r="D2906" s="22" t="inlineStr">
        <is>
          <t>M</t>
        </is>
      </c>
      <c r="E2906" s="63" t="n">
        <v>6.25</v>
      </c>
      <c r="F2906" s="64">
        <f>ROUND(M2906*FATOR, 2)</f>
        <v/>
      </c>
      <c r="G2906" s="64">
        <f>TRUNC(TRUNC(E2906,8)*F2906,2)</f>
        <v/>
      </c>
      <c r="L2906" t="n">
        <v>6.25</v>
      </c>
      <c r="M2906" t="n">
        <v>3.87</v>
      </c>
      <c r="N2906">
        <f>(M2906-F2906)</f>
        <v/>
      </c>
    </row>
    <row r="2907" ht="15" customHeight="1">
      <c r="A2907" s="2" t="inlineStr"/>
      <c r="B2907" s="2" t="inlineStr"/>
      <c r="C2907" s="2" t="inlineStr"/>
      <c r="D2907" s="2" t="inlineStr"/>
      <c r="E2907" s="26" t="inlineStr">
        <is>
          <t>TOTAL Material:</t>
        </is>
      </c>
      <c r="F2907" s="56" t="n"/>
      <c r="G2907" s="65">
        <f>SUM(G2899:G2906)</f>
        <v/>
      </c>
    </row>
    <row r="2908" ht="15" customHeight="1">
      <c r="A2908" s="20" t="inlineStr">
        <is>
          <t>Mão de Obra com Encargos Complementares</t>
        </is>
      </c>
      <c r="B2908" s="56" t="n"/>
      <c r="C2908" s="21" t="inlineStr">
        <is>
          <t>FONTE</t>
        </is>
      </c>
      <c r="D2908" s="21" t="inlineStr">
        <is>
          <t>UNID</t>
        </is>
      </c>
      <c r="E2908" s="21" t="inlineStr">
        <is>
          <t>COEFICIENTE</t>
        </is>
      </c>
      <c r="F2908" s="21" t="inlineStr">
        <is>
          <t>PREÇO UNITÁRIO</t>
        </is>
      </c>
      <c r="G2908" s="21" t="inlineStr">
        <is>
          <t>TOTAL</t>
        </is>
      </c>
    </row>
    <row r="2909" ht="21" customHeight="1">
      <c r="A2909" s="22" t="inlineStr">
        <is>
          <t>88239</t>
        </is>
      </c>
      <c r="B2909" s="23" t="inlineStr">
        <is>
          <t>AJUDANTE DE CARPINTEIRO COM ENCARGOS COMPLEMENTARES</t>
        </is>
      </c>
      <c r="C2909" s="22" t="inlineStr">
        <is>
          <t>SINAPI</t>
        </is>
      </c>
      <c r="D2909" s="22" t="inlineStr">
        <is>
          <t>H</t>
        </is>
      </c>
      <c r="E2909" s="63">
        <f>L2909*FATOR</f>
        <v/>
      </c>
      <c r="F2909" s="64">
        <f>'COMPOSICOES AUXILIARES'!G68</f>
        <v/>
      </c>
      <c r="G2909" s="64">
        <f>TRUNC(TRUNC(E2909,8)*F2909,2)</f>
        <v/>
      </c>
      <c r="L2909" t="n">
        <v>0.8613</v>
      </c>
      <c r="M2909" t="n">
        <v>24.61</v>
      </c>
      <c r="N2909">
        <f>(M2909-F2909)</f>
        <v/>
      </c>
    </row>
    <row r="2910" ht="21" customHeight="1">
      <c r="A2910" s="22" t="inlineStr">
        <is>
          <t>88261</t>
        </is>
      </c>
      <c r="B2910" s="23" t="inlineStr">
        <is>
          <t>CARPINTEIRO DE ESQUADRIAS COM ENCARGOS COMPLEMENTARES</t>
        </is>
      </c>
      <c r="C2910" s="22" t="inlineStr">
        <is>
          <t>SINAPI</t>
        </is>
      </c>
      <c r="D2910" s="22" t="inlineStr">
        <is>
          <t>H</t>
        </is>
      </c>
      <c r="E2910" s="63">
        <f>L2910*FATOR</f>
        <v/>
      </c>
      <c r="F2910" s="64">
        <f>'COMPOSICOES AUXILIARES'!G924</f>
        <v/>
      </c>
      <c r="G2910" s="64">
        <f>TRUNC(TRUNC(E2910,8)*F2910,2)</f>
        <v/>
      </c>
      <c r="L2910" t="n">
        <v>4.3066</v>
      </c>
      <c r="M2910" t="n">
        <v>29.16</v>
      </c>
      <c r="N2910">
        <f>(M2910-F2910)</f>
        <v/>
      </c>
    </row>
    <row r="2911" ht="15" customHeight="1">
      <c r="A2911" s="22" t="inlineStr">
        <is>
          <t>88309</t>
        </is>
      </c>
      <c r="B2911" s="23" t="inlineStr">
        <is>
          <t>PEDREIRO COM ENCARGOS COMPLEMENTARES</t>
        </is>
      </c>
      <c r="C2911" s="22" t="inlineStr">
        <is>
          <t>SINAPI</t>
        </is>
      </c>
      <c r="D2911" s="22" t="inlineStr">
        <is>
          <t>H</t>
        </is>
      </c>
      <c r="E2911" s="63">
        <f>L2911*FATOR</f>
        <v/>
      </c>
      <c r="F2911" s="64">
        <f>'COMPOSICOES AUXILIARES'!G1112</f>
        <v/>
      </c>
      <c r="G2911" s="64">
        <f>TRUNC(TRUNC(E2911,8)*F2911,2)</f>
        <v/>
      </c>
      <c r="L2911" t="n">
        <v>7.3795</v>
      </c>
      <c r="M2911" t="n">
        <v>30.58</v>
      </c>
      <c r="N2911">
        <f>(M2911-F2911)</f>
        <v/>
      </c>
    </row>
    <row r="2912" ht="15" customHeight="1">
      <c r="A2912" s="22" t="inlineStr">
        <is>
          <t>88316</t>
        </is>
      </c>
      <c r="B2912" s="23" t="inlineStr">
        <is>
          <t>SERVENTE COM ENCARGOS COMPLEMENTARES</t>
        </is>
      </c>
      <c r="C2912" s="22" t="inlineStr">
        <is>
          <t>SINAPI</t>
        </is>
      </c>
      <c r="D2912" s="22" t="inlineStr">
        <is>
          <t>H</t>
        </is>
      </c>
      <c r="E2912" s="63">
        <f>L2912*FATOR</f>
        <v/>
      </c>
      <c r="F2912" s="64">
        <f>'COMPOSICOES AUXILIARES'!G161</f>
        <v/>
      </c>
      <c r="G2912" s="64">
        <f>TRUNC(TRUNC(E2912,8)*F2912,2)</f>
        <v/>
      </c>
      <c r="L2912" t="n">
        <v>7.3795</v>
      </c>
      <c r="M2912" t="n">
        <v>23.56</v>
      </c>
      <c r="N2912">
        <f>(M2912-F2912)</f>
        <v/>
      </c>
    </row>
    <row r="2913" ht="18" customHeight="1">
      <c r="A2913" s="2" t="inlineStr"/>
      <c r="B2913" s="2" t="inlineStr"/>
      <c r="C2913" s="2" t="inlineStr"/>
      <c r="D2913" s="2" t="inlineStr"/>
      <c r="E2913" s="26" t="inlineStr">
        <is>
          <t>TOTAL Mão de Obra com Encargos Complementares:</t>
        </is>
      </c>
      <c r="F2913" s="56" t="n"/>
      <c r="G2913" s="65">
        <f>SUM(G2909:G2912)</f>
        <v/>
      </c>
    </row>
    <row r="2914" ht="15" customHeight="1">
      <c r="A2914" s="20" t="inlineStr">
        <is>
          <t>Serviço</t>
        </is>
      </c>
      <c r="B2914" s="56" t="n"/>
      <c r="C2914" s="21" t="inlineStr">
        <is>
          <t>FONTE</t>
        </is>
      </c>
      <c r="D2914" s="21" t="inlineStr">
        <is>
          <t>UNID</t>
        </is>
      </c>
      <c r="E2914" s="21" t="inlineStr">
        <is>
          <t>COEFICIENTE</t>
        </is>
      </c>
      <c r="F2914" s="21" t="inlineStr">
        <is>
          <t>PREÇO UNITÁRIO</t>
        </is>
      </c>
      <c r="G2914" s="21" t="inlineStr">
        <is>
          <t>TOTAL</t>
        </is>
      </c>
    </row>
    <row r="2915" ht="29" customHeight="1">
      <c r="A2915" s="22" t="inlineStr">
        <is>
          <t>92768</t>
        </is>
      </c>
      <c r="B2915" s="23" t="inlineStr">
        <is>
          <t>ARMAÇÃO DE LAJE DE ESTRUTURA CONVENCIONAL DE CONCRETO ARMADO UTILIZANDO AÇO CA-60 DE 5,0 MM - MONTAGEM. AF_06/2022</t>
        </is>
      </c>
      <c r="C2915" s="22" t="inlineStr">
        <is>
          <t>SINAPI</t>
        </is>
      </c>
      <c r="D2915" s="22" t="inlineStr">
        <is>
          <t>KG</t>
        </is>
      </c>
      <c r="E2915" s="63" t="n">
        <v>32.6798</v>
      </c>
      <c r="F2915" s="64">
        <f>'COMPOSICOES AUXILIARES'!G461</f>
        <v/>
      </c>
      <c r="G2915" s="64">
        <f>TRUNC(TRUNC(E2915,8)*F2915,2)</f>
        <v/>
      </c>
      <c r="L2915" t="n">
        <v>32.6798</v>
      </c>
      <c r="M2915" t="n">
        <v>13.2</v>
      </c>
      <c r="N2915">
        <f>(M2915-F2915)</f>
        <v/>
      </c>
    </row>
    <row r="2916" ht="29" customHeight="1">
      <c r="A2916" s="22" t="inlineStr">
        <is>
          <t>94972</t>
        </is>
      </c>
      <c r="B2916" s="23" t="inlineStr">
        <is>
          <t>CONCRETO FCK = 30MPA, TRAÇO 1:2,1:2,5 (EM MASSA SECA DE CIMENTO/ AREIA MÉDIA/ BRITA 1) - PREPARO MECÂNICO COM BETONEIRA 600 L. AF_05/2021</t>
        </is>
      </c>
      <c r="C2916" s="22" t="inlineStr">
        <is>
          <t>SINAPI</t>
        </is>
      </c>
      <c r="D2916" s="22" t="inlineStr">
        <is>
          <t>M3</t>
        </is>
      </c>
      <c r="E2916" s="63" t="n">
        <v>1.103</v>
      </c>
      <c r="F2916" s="64">
        <f>'COMPOSICOES AUXILIARES'!G1232</f>
        <v/>
      </c>
      <c r="G2916" s="64">
        <f>TRUNC(TRUNC(E2916,8)*F2916,2)</f>
        <v/>
      </c>
      <c r="L2916" t="n">
        <v>1.103</v>
      </c>
      <c r="M2916" t="n">
        <v>535.17</v>
      </c>
      <c r="N2916">
        <f>(M2916-F2916)</f>
        <v/>
      </c>
    </row>
    <row r="2917" ht="15" customHeight="1">
      <c r="A2917" s="2" t="inlineStr"/>
      <c r="B2917" s="2" t="inlineStr"/>
      <c r="C2917" s="2" t="inlineStr"/>
      <c r="D2917" s="2" t="inlineStr"/>
      <c r="E2917" s="26" t="inlineStr">
        <is>
          <t>TOTAL Serviço:</t>
        </is>
      </c>
      <c r="F2917" s="56" t="n"/>
      <c r="G2917" s="65">
        <f>SUM(G2915:G2916)</f>
        <v/>
      </c>
    </row>
    <row r="2918" ht="15" customHeight="1">
      <c r="A2918" s="2" t="inlineStr"/>
      <c r="B2918" s="2" t="inlineStr"/>
      <c r="C2918" s="2" t="inlineStr"/>
      <c r="D2918" s="2" t="inlineStr"/>
      <c r="E2918" s="28" t="inlineStr">
        <is>
          <t>VALOR:</t>
        </is>
      </c>
      <c r="F2918" s="56" t="n"/>
      <c r="G2918" s="66">
        <f>SUM(G2897,G2913,G2907,G2917)</f>
        <v/>
      </c>
    </row>
    <row r="2919" ht="15" customHeight="1">
      <c r="A2919" s="2" t="inlineStr"/>
      <c r="B2919" s="2" t="inlineStr"/>
      <c r="C2919" s="2" t="inlineStr"/>
      <c r="D2919" s="2" t="inlineStr"/>
      <c r="E2919" s="28" t="inlineStr">
        <is>
          <t>VALOR BDI (23.08%):</t>
        </is>
      </c>
      <c r="F2919" s="56" t="n"/>
      <c r="G2919" s="66">
        <f>ROUNDDOWN(G2918*BDI,2)</f>
        <v/>
      </c>
    </row>
    <row r="2920" ht="15" customHeight="1">
      <c r="A2920" s="2" t="inlineStr"/>
      <c r="B2920" s="2" t="inlineStr"/>
      <c r="C2920" s="2" t="inlineStr"/>
      <c r="D2920" s="2" t="inlineStr"/>
      <c r="E2920" s="28" t="inlineStr">
        <is>
          <t>VALOR COM BDI:</t>
        </is>
      </c>
      <c r="F2920" s="56" t="n"/>
      <c r="G2920" s="66">
        <f>G2919 + G2918</f>
        <v/>
      </c>
    </row>
    <row r="2921" ht="10" customHeight="1">
      <c r="A2921" s="2" t="inlineStr"/>
      <c r="B2921" s="2" t="inlineStr"/>
      <c r="C2921" s="2" t="inlineStr"/>
      <c r="D2921" s="2" t="inlineStr"/>
      <c r="E2921" s="18" t="inlineStr"/>
    </row>
    <row r="2922" ht="20" customHeight="1">
      <c r="A2922" s="19" t="inlineStr">
        <is>
          <t>​97738​ PEÇA CIRCULAR PRÉ-MOLDADA, VOLUME DE CONCRETO DE 10 A 30 LITROS, TAXA DE FIBRA DE POLIPROPILENO APROXIMADA DE 6 KG/M³. AF_03/2024_PS​ (M3)</t>
        </is>
      </c>
      <c r="B2922" s="55" t="n"/>
      <c r="C2922" s="55" t="n"/>
      <c r="D2922" s="55" t="n"/>
      <c r="E2922" s="55" t="n"/>
      <c r="F2922" s="55" t="n"/>
      <c r="G2922" s="56" t="n"/>
    </row>
    <row r="2923" ht="15" customHeight="1">
      <c r="A2923" s="20" t="inlineStr">
        <is>
          <t>Equipamento Custo Horário</t>
        </is>
      </c>
      <c r="B2923" s="56" t="n"/>
      <c r="C2923" s="21" t="inlineStr">
        <is>
          <t>FONTE</t>
        </is>
      </c>
      <c r="D2923" s="21" t="inlineStr">
        <is>
          <t>UNID</t>
        </is>
      </c>
      <c r="E2923" s="21" t="inlineStr">
        <is>
          <t>COEFICIENTE</t>
        </is>
      </c>
      <c r="F2923" s="21" t="inlineStr">
        <is>
          <t>PREÇO UNITÁRIO</t>
        </is>
      </c>
      <c r="G2923" s="21" t="inlineStr">
        <is>
          <t>TOTAL</t>
        </is>
      </c>
    </row>
    <row r="2924" ht="29" customHeight="1">
      <c r="A2924" s="22" t="inlineStr">
        <is>
          <t>91693</t>
        </is>
      </c>
      <c r="B2924" s="23" t="inlineStr">
        <is>
          <t>SERRA CIRCULAR DE BANCADA COM MOTOR ELÉTRICO POTÊNCIA DE 5HP, COM COIFA PARA DISCO 10" - CHI DIURNO. AF_08/2015</t>
        </is>
      </c>
      <c r="C2924" s="22" t="inlineStr">
        <is>
          <t>SINAPI</t>
        </is>
      </c>
      <c r="D2924" s="22" t="inlineStr">
        <is>
          <t>CHI</t>
        </is>
      </c>
      <c r="E2924" s="63" t="n">
        <v>3.4271</v>
      </c>
      <c r="F2924" s="64">
        <f>'COMPOSICOES AUXILIARES'!G2054</f>
        <v/>
      </c>
      <c r="G2924" s="64">
        <f>TRUNC(TRUNC(E2924,8)*F2924,2)</f>
        <v/>
      </c>
      <c r="L2924" t="n">
        <v>3.4271</v>
      </c>
      <c r="M2924" t="n">
        <v>35.72</v>
      </c>
      <c r="N2924">
        <f>(M2924-F2924)</f>
        <v/>
      </c>
    </row>
    <row r="2925" ht="29" customHeight="1">
      <c r="A2925" s="22" t="inlineStr">
        <is>
          <t>91692</t>
        </is>
      </c>
      <c r="B2925" s="23" t="inlineStr">
        <is>
          <t>SERRA CIRCULAR DE BANCADA COM MOTOR ELÉTRICO POTÊNCIA DE 5HP, COM COIFA PARA DISCO 10" - CHP DIURNO. AF_08/2015</t>
        </is>
      </c>
      <c r="C2925" s="22" t="inlineStr">
        <is>
          <t>SINAPI</t>
        </is>
      </c>
      <c r="D2925" s="22" t="inlineStr">
        <is>
          <t>CHP</t>
        </is>
      </c>
      <c r="E2925" s="63" t="n">
        <v>0.8801</v>
      </c>
      <c r="F2925" s="64">
        <f>'COMPOSICOES AUXILIARES'!G2054</f>
        <v/>
      </c>
      <c r="G2925" s="64">
        <f>TRUNC(TRUNC(E2925,8)*F2925,2)</f>
        <v/>
      </c>
      <c r="L2925" t="n">
        <v>0.8801</v>
      </c>
      <c r="M2925" t="n">
        <v>37.16</v>
      </c>
      <c r="N2925">
        <f>(M2925-F2925)</f>
        <v/>
      </c>
    </row>
    <row r="2926" ht="29" customHeight="1">
      <c r="A2926" s="22" t="inlineStr">
        <is>
          <t>90587</t>
        </is>
      </c>
      <c r="B2926" s="23" t="inlineStr">
        <is>
          <t>VIBRADOR DE IMERSÃO, DIÂMETRO DE PONTEIRA 45MM, MOTOR ELÉTRICO TRIFÁSICO POTÊNCIA DE 2 CV - CHI DIURNO. AF_06/2015</t>
        </is>
      </c>
      <c r="C2926" s="22" t="inlineStr">
        <is>
          <t>SINAPI</t>
        </is>
      </c>
      <c r="D2926" s="22" t="inlineStr">
        <is>
          <t>CHI</t>
        </is>
      </c>
      <c r="E2926" s="63" t="n">
        <v>18.0917</v>
      </c>
      <c r="F2926" s="64">
        <f>'COMPOSICOES AUXILIARES'!G1112</f>
        <v/>
      </c>
      <c r="G2926" s="64">
        <f>TRUNC(TRUNC(E2926,8)*F2926,2)</f>
        <v/>
      </c>
      <c r="L2926" t="n">
        <v>18.0917</v>
      </c>
      <c r="M2926" t="n">
        <v>0.5600000000000001</v>
      </c>
      <c r="N2926">
        <f>(M2926-F2926)</f>
        <v/>
      </c>
    </row>
    <row r="2927" ht="29" customHeight="1">
      <c r="A2927" s="22" t="inlineStr">
        <is>
          <t>90586</t>
        </is>
      </c>
      <c r="B2927" s="23" t="inlineStr">
        <is>
          <t>VIBRADOR DE IMERSÃO, DIÂMETRO DE PONTEIRA 45MM, MOTOR ELÉTRICO TRIFÁSICO POTÊNCIA DE 2 CV - CHP DIURNO. AF_06/2015</t>
        </is>
      </c>
      <c r="C2927" s="22" t="inlineStr">
        <is>
          <t>SINAPI</t>
        </is>
      </c>
      <c r="D2927" s="22" t="inlineStr">
        <is>
          <t>CHP</t>
        </is>
      </c>
      <c r="E2927" s="63" t="n">
        <v>6.635</v>
      </c>
      <c r="F2927" s="64">
        <f>'COMPOSICOES AUXILIARES'!G1112</f>
        <v/>
      </c>
      <c r="G2927" s="64">
        <f>TRUNC(TRUNC(E2927,8)*F2927,2)</f>
        <v/>
      </c>
      <c r="L2927" t="n">
        <v>6.635</v>
      </c>
      <c r="M2927" t="n">
        <v>1.44</v>
      </c>
      <c r="N2927">
        <f>(M2927-F2927)</f>
        <v/>
      </c>
    </row>
    <row r="2928" ht="18" customHeight="1">
      <c r="A2928" s="2" t="inlineStr"/>
      <c r="B2928" s="2" t="inlineStr"/>
      <c r="C2928" s="2" t="inlineStr"/>
      <c r="D2928" s="2" t="inlineStr"/>
      <c r="E2928" s="26" t="inlineStr">
        <is>
          <t>TOTAL Equipamento Custo Horário:</t>
        </is>
      </c>
      <c r="F2928" s="56" t="n"/>
      <c r="G2928" s="65">
        <f>SUM(G2924:G2927)</f>
        <v/>
      </c>
    </row>
    <row r="2929" ht="15" customHeight="1">
      <c r="A2929" s="20" t="inlineStr">
        <is>
          <t>Material</t>
        </is>
      </c>
      <c r="B2929" s="56" t="n"/>
      <c r="C2929" s="21" t="inlineStr">
        <is>
          <t>FONTE</t>
        </is>
      </c>
      <c r="D2929" s="21" t="inlineStr">
        <is>
          <t>UNID</t>
        </is>
      </c>
      <c r="E2929" s="21" t="inlineStr">
        <is>
          <t>COEFICIENTE</t>
        </is>
      </c>
      <c r="F2929" s="21" t="inlineStr">
        <is>
          <t>PREÇO UNITÁRIO</t>
        </is>
      </c>
      <c r="G2929" s="21" t="inlineStr">
        <is>
          <t>TOTAL</t>
        </is>
      </c>
    </row>
    <row r="2930" ht="29" customHeight="1">
      <c r="A2930" s="22" t="inlineStr">
        <is>
          <t>00043677</t>
        </is>
      </c>
      <c r="B2930" s="23" t="inlineStr">
        <is>
          <t>CHAPA/PAINEL DE MADEIRA COMPENSADA RESINADA (MADEIRITE RESINADO ROSA) PARA FORMA DE CONCRETO, DE 2200 X 1100 MM, E = 20 MM</t>
        </is>
      </c>
      <c r="C2930" s="22" t="inlineStr">
        <is>
          <t>SINAPI</t>
        </is>
      </c>
      <c r="D2930" s="22" t="inlineStr">
        <is>
          <t>M2</t>
        </is>
      </c>
      <c r="E2930" s="63" t="n">
        <v>13.0514</v>
      </c>
      <c r="F2930" s="64">
        <f>ROUND(M2930*FATOR, 2)</f>
        <v/>
      </c>
      <c r="G2930" s="64">
        <f>TRUNC(TRUNC(E2930,8)*F2930,2)</f>
        <v/>
      </c>
      <c r="L2930" t="n">
        <v>13.0514</v>
      </c>
      <c r="M2930" t="n">
        <v>71.59999999999999</v>
      </c>
      <c r="N2930">
        <f>(M2930-F2930)</f>
        <v/>
      </c>
    </row>
    <row r="2931" ht="29" customHeight="1">
      <c r="A2931" s="22" t="inlineStr">
        <is>
          <t>00043682</t>
        </is>
      </c>
      <c r="B2931" s="23" t="inlineStr">
        <is>
          <t>CHAPA/PAINEL DE MADEIRA COMPENSADA RESINADA (MADEIRITE RESINADO ROSA) PARA FORMA DE CONCRETO, DE 2200 X 1100 MM, E = 6 MM</t>
        </is>
      </c>
      <c r="C2931" s="22" t="inlineStr">
        <is>
          <t>SINAPI</t>
        </is>
      </c>
      <c r="D2931" s="22" t="inlineStr">
        <is>
          <t>M2</t>
        </is>
      </c>
      <c r="E2931" s="63" t="n">
        <v>0.6074000000000001</v>
      </c>
      <c r="F2931" s="64">
        <f>ROUND(M2931*FATOR, 2)</f>
        <v/>
      </c>
      <c r="G2931" s="64">
        <f>TRUNC(TRUNC(E2931,8)*F2931,2)</f>
        <v/>
      </c>
      <c r="L2931" t="n">
        <v>0.6074000000000001</v>
      </c>
      <c r="M2931" t="n">
        <v>21.95</v>
      </c>
      <c r="N2931">
        <f>(M2931-F2931)</f>
        <v/>
      </c>
    </row>
    <row r="2932" ht="21" customHeight="1">
      <c r="A2932" s="22" t="inlineStr">
        <is>
          <t>00002692</t>
        </is>
      </c>
      <c r="B2932" s="23" t="inlineStr">
        <is>
          <t>DESMOLDANTE PROTETOR PARA FORMAS DE MADEIRA, DE BASE OLEOSA EMULSIONADA EM AGUA</t>
        </is>
      </c>
      <c r="C2932" s="22" t="inlineStr">
        <is>
          <t>SINAPI</t>
        </is>
      </c>
      <c r="D2932" s="22" t="inlineStr">
        <is>
          <t>L</t>
        </is>
      </c>
      <c r="E2932" s="63" t="n">
        <v>0.0667</v>
      </c>
      <c r="F2932" s="64">
        <f>ROUND(M2932*FATOR, 2)</f>
        <v/>
      </c>
      <c r="G2932" s="64">
        <f>TRUNC(TRUNC(E2932,8)*F2932,2)</f>
        <v/>
      </c>
      <c r="L2932" t="n">
        <v>0.0667</v>
      </c>
      <c r="M2932" t="n">
        <v>8.06</v>
      </c>
      <c r="N2932">
        <f>(M2932-F2932)</f>
        <v/>
      </c>
    </row>
    <row r="2933" ht="29" customHeight="1">
      <c r="A2933" s="22" t="inlineStr">
        <is>
          <t>00039014</t>
        </is>
      </c>
      <c r="B2933" s="23" t="inlineStr">
        <is>
          <t>FIBRA DE ACO PARA REFORCO DO CONCRETO, SOLTA, TIPO A-I, FATOR DE FORMA *50* L / D, COMPRIMENTO DE *30* MM E RESISTENCIA A TRACAO DO ACO MAIOR 1000 MPA</t>
        </is>
      </c>
      <c r="C2933" s="22" t="inlineStr">
        <is>
          <t>SINAPI</t>
        </is>
      </c>
      <c r="D2933" s="22" t="inlineStr">
        <is>
          <t>KG</t>
        </is>
      </c>
      <c r="E2933" s="63" t="n">
        <v>6</v>
      </c>
      <c r="F2933" s="64">
        <f>ROUND(M2933*FATOR, 2)</f>
        <v/>
      </c>
      <c r="G2933" s="64">
        <f>TRUNC(TRUNC(E2933,8)*F2933,2)</f>
        <v/>
      </c>
      <c r="L2933" t="n">
        <v>6</v>
      </c>
      <c r="M2933" t="n">
        <v>9.32</v>
      </c>
      <c r="N2933">
        <f>(M2933-F2933)</f>
        <v/>
      </c>
    </row>
    <row r="2934" ht="15" customHeight="1">
      <c r="A2934" s="22" t="inlineStr">
        <is>
          <t>00020247</t>
        </is>
      </c>
      <c r="B2934" s="23" t="inlineStr">
        <is>
          <t>PREGO DE ACO POLIDO COM CABECA 15 X 15 (1 1/4 X 13)</t>
        </is>
      </c>
      <c r="C2934" s="22" t="inlineStr">
        <is>
          <t>SINAPI</t>
        </is>
      </c>
      <c r="D2934" s="22" t="inlineStr">
        <is>
          <t>KG</t>
        </is>
      </c>
      <c r="E2934" s="63" t="n">
        <v>2.1276</v>
      </c>
      <c r="F2934" s="64">
        <f>ROUND(M2934*FATOR, 2)</f>
        <v/>
      </c>
      <c r="G2934" s="64">
        <f>TRUNC(TRUNC(E2934,8)*F2934,2)</f>
        <v/>
      </c>
      <c r="L2934" t="n">
        <v>2.1276</v>
      </c>
      <c r="M2934" t="n">
        <v>15.71</v>
      </c>
      <c r="N2934">
        <f>(M2934-F2934)</f>
        <v/>
      </c>
    </row>
    <row r="2935" ht="15" customHeight="1">
      <c r="A2935" s="2" t="inlineStr"/>
      <c r="B2935" s="2" t="inlineStr"/>
      <c r="C2935" s="2" t="inlineStr"/>
      <c r="D2935" s="2" t="inlineStr"/>
      <c r="E2935" s="26" t="inlineStr">
        <is>
          <t>TOTAL Material:</t>
        </is>
      </c>
      <c r="F2935" s="56" t="n"/>
      <c r="G2935" s="65">
        <f>SUM(G2930:G2934)</f>
        <v/>
      </c>
    </row>
    <row r="2936" ht="15" customHeight="1">
      <c r="A2936" s="20" t="inlineStr">
        <is>
          <t>Mão de Obra com Encargos Complementares</t>
        </is>
      </c>
      <c r="B2936" s="56" t="n"/>
      <c r="C2936" s="21" t="inlineStr">
        <is>
          <t>FONTE</t>
        </is>
      </c>
      <c r="D2936" s="21" t="inlineStr">
        <is>
          <t>UNID</t>
        </is>
      </c>
      <c r="E2936" s="21" t="inlineStr">
        <is>
          <t>COEFICIENTE</t>
        </is>
      </c>
      <c r="F2936" s="21" t="inlineStr">
        <is>
          <t>PREÇO UNITÁRIO</t>
        </is>
      </c>
      <c r="G2936" s="21" t="inlineStr">
        <is>
          <t>TOTAL</t>
        </is>
      </c>
    </row>
    <row r="2937" ht="21" customHeight="1">
      <c r="A2937" s="22" t="inlineStr">
        <is>
          <t>88239</t>
        </is>
      </c>
      <c r="B2937" s="23" t="inlineStr">
        <is>
          <t>AJUDANTE DE CARPINTEIRO COM ENCARGOS COMPLEMENTARES</t>
        </is>
      </c>
      <c r="C2937" s="22" t="inlineStr">
        <is>
          <t>SINAPI</t>
        </is>
      </c>
      <c r="D2937" s="22" t="inlineStr">
        <is>
          <t>H</t>
        </is>
      </c>
      <c r="E2937" s="63">
        <f>L2937*FATOR</f>
        <v/>
      </c>
      <c r="F2937" s="64">
        <f>'COMPOSICOES AUXILIARES'!G68</f>
        <v/>
      </c>
      <c r="G2937" s="64">
        <f>TRUNC(TRUNC(E2937,8)*F2937,2)</f>
        <v/>
      </c>
      <c r="L2937" t="n">
        <v>4.3072</v>
      </c>
      <c r="M2937" t="n">
        <v>24.61</v>
      </c>
      <c r="N2937">
        <f>(M2937-F2937)</f>
        <v/>
      </c>
    </row>
    <row r="2938" ht="21" customHeight="1">
      <c r="A2938" s="22" t="inlineStr">
        <is>
          <t>88261</t>
        </is>
      </c>
      <c r="B2938" s="23" t="inlineStr">
        <is>
          <t>CARPINTEIRO DE ESQUADRIAS COM ENCARGOS COMPLEMENTARES</t>
        </is>
      </c>
      <c r="C2938" s="22" t="inlineStr">
        <is>
          <t>SINAPI</t>
        </is>
      </c>
      <c r="D2938" s="22" t="inlineStr">
        <is>
          <t>H</t>
        </is>
      </c>
      <c r="E2938" s="63">
        <f>L2938*FATOR</f>
        <v/>
      </c>
      <c r="F2938" s="64">
        <f>'COMPOSICOES AUXILIARES'!G924</f>
        <v/>
      </c>
      <c r="G2938" s="64">
        <f>TRUNC(TRUNC(E2938,8)*F2938,2)</f>
        <v/>
      </c>
      <c r="L2938" t="n">
        <v>21.5358</v>
      </c>
      <c r="M2938" t="n">
        <v>29.16</v>
      </c>
      <c r="N2938">
        <f>(M2938-F2938)</f>
        <v/>
      </c>
    </row>
    <row r="2939" ht="15" customHeight="1">
      <c r="A2939" s="22" t="inlineStr">
        <is>
          <t>88309</t>
        </is>
      </c>
      <c r="B2939" s="23" t="inlineStr">
        <is>
          <t>PEDREIRO COM ENCARGOS COMPLEMENTARES</t>
        </is>
      </c>
      <c r="C2939" s="22" t="inlineStr">
        <is>
          <t>SINAPI</t>
        </is>
      </c>
      <c r="D2939" s="22" t="inlineStr">
        <is>
          <t>H</t>
        </is>
      </c>
      <c r="E2939" s="63">
        <f>L2939*FATOR</f>
        <v/>
      </c>
      <c r="F2939" s="64">
        <f>'COMPOSICOES AUXILIARES'!G1112</f>
        <v/>
      </c>
      <c r="G2939" s="64">
        <f>TRUNC(TRUNC(E2939,8)*F2939,2)</f>
        <v/>
      </c>
      <c r="L2939" t="n">
        <v>31.7545</v>
      </c>
      <c r="M2939" t="n">
        <v>30.58</v>
      </c>
      <c r="N2939">
        <f>(M2939-F2939)</f>
        <v/>
      </c>
    </row>
    <row r="2940" ht="15" customHeight="1">
      <c r="A2940" s="22" t="inlineStr">
        <is>
          <t>88316</t>
        </is>
      </c>
      <c r="B2940" s="23" t="inlineStr">
        <is>
          <t>SERVENTE COM ENCARGOS COMPLEMENTARES</t>
        </is>
      </c>
      <c r="C2940" s="22" t="inlineStr">
        <is>
          <t>SINAPI</t>
        </is>
      </c>
      <c r="D2940" s="22" t="inlineStr">
        <is>
          <t>H</t>
        </is>
      </c>
      <c r="E2940" s="63">
        <f>L2940*FATOR</f>
        <v/>
      </c>
      <c r="F2940" s="64">
        <f>'COMPOSICOES AUXILIARES'!G161</f>
        <v/>
      </c>
      <c r="G2940" s="64">
        <f>TRUNC(TRUNC(E2940,8)*F2940,2)</f>
        <v/>
      </c>
      <c r="L2940" t="n">
        <v>31.7545</v>
      </c>
      <c r="M2940" t="n">
        <v>23.56</v>
      </c>
      <c r="N2940">
        <f>(M2940-F2940)</f>
        <v/>
      </c>
    </row>
    <row r="2941" ht="18" customHeight="1">
      <c r="A2941" s="2" t="inlineStr"/>
      <c r="B2941" s="2" t="inlineStr"/>
      <c r="C2941" s="2" t="inlineStr"/>
      <c r="D2941" s="2" t="inlineStr"/>
      <c r="E2941" s="26" t="inlineStr">
        <is>
          <t>TOTAL Mão de Obra com Encargos Complementares:</t>
        </is>
      </c>
      <c r="F2941" s="56" t="n"/>
      <c r="G2941" s="65">
        <f>SUM(G2937:G2940)</f>
        <v/>
      </c>
    </row>
    <row r="2942" ht="15" customHeight="1">
      <c r="A2942" s="20" t="inlineStr">
        <is>
          <t>Serviço</t>
        </is>
      </c>
      <c r="B2942" s="56" t="n"/>
      <c r="C2942" s="21" t="inlineStr">
        <is>
          <t>FONTE</t>
        </is>
      </c>
      <c r="D2942" s="21" t="inlineStr">
        <is>
          <t>UNID</t>
        </is>
      </c>
      <c r="E2942" s="21" t="inlineStr">
        <is>
          <t>COEFICIENTE</t>
        </is>
      </c>
      <c r="F2942" s="21" t="inlineStr">
        <is>
          <t>PREÇO UNITÁRIO</t>
        </is>
      </c>
      <c r="G2942" s="21" t="inlineStr">
        <is>
          <t>TOTAL</t>
        </is>
      </c>
    </row>
    <row r="2943" ht="29" customHeight="1">
      <c r="A2943" s="22" t="inlineStr">
        <is>
          <t>94971</t>
        </is>
      </c>
      <c r="B2943" s="23" t="inlineStr">
        <is>
          <t>CONCRETO FCK = 25MPA, TRAÇO 1:2,3:2,7 (EM MASSA SECA DE CIMENTO/ AREIA MÉDIA/ BRITA 1) - PREPARO MECÂNICO COM BETONEIRA 600 L. AF_05/2021</t>
        </is>
      </c>
      <c r="C2943" s="22" t="inlineStr">
        <is>
          <t>SINAPI</t>
        </is>
      </c>
      <c r="D2943" s="22" t="inlineStr">
        <is>
          <t>M3</t>
        </is>
      </c>
      <c r="E2943" s="63" t="n">
        <v>1.2</v>
      </c>
      <c r="F2943" s="64">
        <f>'COMPOSICOES AUXILIARES'!G1214</f>
        <v/>
      </c>
      <c r="G2943" s="64">
        <f>TRUNC(TRUNC(E2943,8)*F2943,2)</f>
        <v/>
      </c>
      <c r="L2943" t="n">
        <v>1.2</v>
      </c>
      <c r="M2943" t="n">
        <v>518.99</v>
      </c>
      <c r="N2943">
        <f>(M2943-F2943)</f>
        <v/>
      </c>
    </row>
    <row r="2944" ht="15" customHeight="1">
      <c r="A2944" s="2" t="inlineStr"/>
      <c r="B2944" s="2" t="inlineStr"/>
      <c r="C2944" s="2" t="inlineStr"/>
      <c r="D2944" s="2" t="inlineStr"/>
      <c r="E2944" s="26" t="inlineStr">
        <is>
          <t>TOTAL Serviço:</t>
        </is>
      </c>
      <c r="F2944" s="56" t="n"/>
      <c r="G2944" s="65">
        <f>SUM(G2943:G2943)</f>
        <v/>
      </c>
    </row>
    <row r="2945" ht="15" customHeight="1">
      <c r="A2945" s="2" t="inlineStr"/>
      <c r="B2945" s="2" t="inlineStr"/>
      <c r="C2945" s="2" t="inlineStr"/>
      <c r="D2945" s="2" t="inlineStr"/>
      <c r="E2945" s="28" t="inlineStr">
        <is>
          <t>VALOR:</t>
        </is>
      </c>
      <c r="F2945" s="56" t="n"/>
      <c r="G2945" s="66">
        <f>SUM(G2928,G2944,G2941,G2935)</f>
        <v/>
      </c>
    </row>
    <row r="2946" ht="15" customHeight="1">
      <c r="A2946" s="2" t="inlineStr"/>
      <c r="B2946" s="2" t="inlineStr"/>
      <c r="C2946" s="2" t="inlineStr"/>
      <c r="D2946" s="2" t="inlineStr"/>
      <c r="E2946" s="28" t="inlineStr">
        <is>
          <t>VALOR BDI (23.08%):</t>
        </is>
      </c>
      <c r="F2946" s="56" t="n"/>
      <c r="G2946" s="66">
        <f>ROUNDDOWN(G2945*BDI,2)</f>
        <v/>
      </c>
    </row>
    <row r="2947" ht="15" customHeight="1">
      <c r="A2947" s="2" t="inlineStr"/>
      <c r="B2947" s="2" t="inlineStr"/>
      <c r="C2947" s="2" t="inlineStr"/>
      <c r="D2947" s="2" t="inlineStr"/>
      <c r="E2947" s="28" t="inlineStr">
        <is>
          <t>VALOR COM BDI:</t>
        </is>
      </c>
      <c r="F2947" s="56" t="n"/>
      <c r="G2947" s="66">
        <f>G2946 + G2945</f>
        <v/>
      </c>
    </row>
    <row r="2948" ht="10" customHeight="1">
      <c r="A2948" s="2" t="inlineStr"/>
      <c r="B2948" s="2" t="inlineStr"/>
      <c r="C2948" s="2" t="inlineStr"/>
      <c r="D2948" s="2" t="inlineStr"/>
      <c r="E2948" s="18" t="inlineStr"/>
    </row>
    <row r="2949" ht="20" customHeight="1">
      <c r="A2949" s="19" t="inlineStr">
        <is>
          <t>​97739​ PEÇA CIRCULAR PRÉ-MOLDADA, VOLUME DE CONCRETO DE 30 A 100 LITROS, TAXA DE AÇO APROXIMADA DE 30KG/M³. AF_03/2024​ (M3)</t>
        </is>
      </c>
      <c r="B2949" s="55" t="n"/>
      <c r="C2949" s="55" t="n"/>
      <c r="D2949" s="55" t="n"/>
      <c r="E2949" s="55" t="n"/>
      <c r="F2949" s="55" t="n"/>
      <c r="G2949" s="56" t="n"/>
    </row>
    <row r="2950" ht="15" customHeight="1">
      <c r="A2950" s="20" t="inlineStr">
        <is>
          <t>Equipamento Custo Horário</t>
        </is>
      </c>
      <c r="B2950" s="56" t="n"/>
      <c r="C2950" s="21" t="inlineStr">
        <is>
          <t>FONTE</t>
        </is>
      </c>
      <c r="D2950" s="21" t="inlineStr">
        <is>
          <t>UNID</t>
        </is>
      </c>
      <c r="E2950" s="21" t="inlineStr">
        <is>
          <t>COEFICIENTE</t>
        </is>
      </c>
      <c r="F2950" s="21" t="inlineStr">
        <is>
          <t>PREÇO UNITÁRIO</t>
        </is>
      </c>
      <c r="G2950" s="21" t="inlineStr">
        <is>
          <t>TOTAL</t>
        </is>
      </c>
    </row>
    <row r="2951" ht="29" customHeight="1">
      <c r="A2951" s="22" t="inlineStr">
        <is>
          <t>91693</t>
        </is>
      </c>
      <c r="B2951" s="23" t="inlineStr">
        <is>
          <t>SERRA CIRCULAR DE BANCADA COM MOTOR ELÉTRICO POTÊNCIA DE 5HP, COM COIFA PARA DISCO 10" - CHI DIURNO. AF_08/2015</t>
        </is>
      </c>
      <c r="C2951" s="22" t="inlineStr">
        <is>
          <t>SINAPI</t>
        </is>
      </c>
      <c r="D2951" s="22" t="inlineStr">
        <is>
          <t>CHI</t>
        </is>
      </c>
      <c r="E2951" s="63" t="n">
        <v>1.1233</v>
      </c>
      <c r="F2951" s="64">
        <f>'COMPOSICOES AUXILIARES'!G2054</f>
        <v/>
      </c>
      <c r="G2951" s="64">
        <f>TRUNC(TRUNC(E2951,8)*F2951,2)</f>
        <v/>
      </c>
      <c r="L2951" t="n">
        <v>1.1233</v>
      </c>
      <c r="M2951" t="n">
        <v>35.72</v>
      </c>
      <c r="N2951">
        <f>(M2951-F2951)</f>
        <v/>
      </c>
    </row>
    <row r="2952" ht="29" customHeight="1">
      <c r="A2952" s="22" t="inlineStr">
        <is>
          <t>91692</t>
        </is>
      </c>
      <c r="B2952" s="23" t="inlineStr">
        <is>
          <t>SERRA CIRCULAR DE BANCADA COM MOTOR ELÉTRICO POTÊNCIA DE 5HP, COM COIFA PARA DISCO 10" - CHP DIURNO. AF_08/2015</t>
        </is>
      </c>
      <c r="C2952" s="22" t="inlineStr">
        <is>
          <t>SINAPI</t>
        </is>
      </c>
      <c r="D2952" s="22" t="inlineStr">
        <is>
          <t>CHP</t>
        </is>
      </c>
      <c r="E2952" s="63" t="n">
        <v>0.4398</v>
      </c>
      <c r="F2952" s="64">
        <f>'COMPOSICOES AUXILIARES'!G2054</f>
        <v/>
      </c>
      <c r="G2952" s="64">
        <f>TRUNC(TRUNC(E2952,8)*F2952,2)</f>
        <v/>
      </c>
      <c r="L2952" t="n">
        <v>0.4398</v>
      </c>
      <c r="M2952" t="n">
        <v>37.16</v>
      </c>
      <c r="N2952">
        <f>(M2952-F2952)</f>
        <v/>
      </c>
    </row>
    <row r="2953" ht="29" customHeight="1">
      <c r="A2953" s="22" t="inlineStr">
        <is>
          <t>90587</t>
        </is>
      </c>
      <c r="B2953" s="23" t="inlineStr">
        <is>
          <t>VIBRADOR DE IMERSÃO, DIÂMETRO DE PONTEIRA 45MM, MOTOR ELÉTRICO TRIFÁSICO POTÊNCIA DE 2 CV - CHI DIURNO. AF_06/2015</t>
        </is>
      </c>
      <c r="C2953" s="22" t="inlineStr">
        <is>
          <t>SINAPI</t>
        </is>
      </c>
      <c r="D2953" s="22" t="inlineStr">
        <is>
          <t>CHI</t>
        </is>
      </c>
      <c r="E2953" s="63" t="n">
        <v>12.6542</v>
      </c>
      <c r="F2953" s="64">
        <f>'COMPOSICOES AUXILIARES'!G1112</f>
        <v/>
      </c>
      <c r="G2953" s="64">
        <f>TRUNC(TRUNC(E2953,8)*F2953,2)</f>
        <v/>
      </c>
      <c r="L2953" t="n">
        <v>12.6542</v>
      </c>
      <c r="M2953" t="n">
        <v>0.5600000000000001</v>
      </c>
      <c r="N2953">
        <f>(M2953-F2953)</f>
        <v/>
      </c>
    </row>
    <row r="2954" ht="29" customHeight="1">
      <c r="A2954" s="22" t="inlineStr">
        <is>
          <t>90586</t>
        </is>
      </c>
      <c r="B2954" s="23" t="inlineStr">
        <is>
          <t>VIBRADOR DE IMERSÃO, DIÂMETRO DE PONTEIRA 45MM, MOTOR ELÉTRICO TRIFÁSICO POTÊNCIA DE 2 CV - CHP DIURNO. AF_06/2015</t>
        </is>
      </c>
      <c r="C2954" s="22" t="inlineStr">
        <is>
          <t>SINAPI</t>
        </is>
      </c>
      <c r="D2954" s="22" t="inlineStr">
        <is>
          <t>CHP</t>
        </is>
      </c>
      <c r="E2954" s="63" t="n">
        <v>4.6408</v>
      </c>
      <c r="F2954" s="64">
        <f>'COMPOSICOES AUXILIARES'!G1112</f>
        <v/>
      </c>
      <c r="G2954" s="64">
        <f>TRUNC(TRUNC(E2954,8)*F2954,2)</f>
        <v/>
      </c>
      <c r="L2954" t="n">
        <v>4.6408</v>
      </c>
      <c r="M2954" t="n">
        <v>1.44</v>
      </c>
      <c r="N2954">
        <f>(M2954-F2954)</f>
        <v/>
      </c>
    </row>
    <row r="2955" ht="18" customHeight="1">
      <c r="A2955" s="2" t="inlineStr"/>
      <c r="B2955" s="2" t="inlineStr"/>
      <c r="C2955" s="2" t="inlineStr"/>
      <c r="D2955" s="2" t="inlineStr"/>
      <c r="E2955" s="26" t="inlineStr">
        <is>
          <t>TOTAL Equipamento Custo Horário:</t>
        </is>
      </c>
      <c r="F2955" s="56" t="n"/>
      <c r="G2955" s="65">
        <f>SUM(G2951:G2954)</f>
        <v/>
      </c>
    </row>
    <row r="2956" ht="15" customHeight="1">
      <c r="A2956" s="20" t="inlineStr">
        <is>
          <t>Material</t>
        </is>
      </c>
      <c r="B2956" s="56" t="n"/>
      <c r="C2956" s="21" t="inlineStr">
        <is>
          <t>FONTE</t>
        </is>
      </c>
      <c r="D2956" s="21" t="inlineStr">
        <is>
          <t>UNID</t>
        </is>
      </c>
      <c r="E2956" s="21" t="inlineStr">
        <is>
          <t>COEFICIENTE</t>
        </is>
      </c>
      <c r="F2956" s="21" t="inlineStr">
        <is>
          <t>PREÇO UNITÁRIO</t>
        </is>
      </c>
      <c r="G2956" s="21" t="inlineStr">
        <is>
          <t>TOTAL</t>
        </is>
      </c>
    </row>
    <row r="2957" ht="29" customHeight="1">
      <c r="A2957" s="22" t="inlineStr">
        <is>
          <t>00001358</t>
        </is>
      </c>
      <c r="B2957" s="23" t="inlineStr">
        <is>
          <t>CHAPA/PAINEL DE MADEIRA COMPENSADA RESINADA (MADEIRITE RESINADO ROSA) PARA FORMA DE CONCRETO, DE 2200 X 1100 MM, E = 17 MM</t>
        </is>
      </c>
      <c r="C2957" s="22" t="inlineStr">
        <is>
          <t>SINAPI</t>
        </is>
      </c>
      <c r="D2957" s="22" t="inlineStr">
        <is>
          <t>M2</t>
        </is>
      </c>
      <c r="E2957" s="63" t="n">
        <v>8.422499999999999</v>
      </c>
      <c r="F2957" s="64">
        <f>ROUND(M2957*FATOR, 2)</f>
        <v/>
      </c>
      <c r="G2957" s="64">
        <f>TRUNC(TRUNC(E2957,8)*F2957,2)</f>
        <v/>
      </c>
      <c r="L2957" t="n">
        <v>8.422499999999999</v>
      </c>
      <c r="M2957" t="n">
        <v>57.71</v>
      </c>
      <c r="N2957">
        <f>(M2957-F2957)</f>
        <v/>
      </c>
    </row>
    <row r="2958" ht="29" customHeight="1">
      <c r="A2958" s="22" t="inlineStr">
        <is>
          <t>00043682</t>
        </is>
      </c>
      <c r="B2958" s="23" t="inlineStr">
        <is>
          <t>CHAPA/PAINEL DE MADEIRA COMPENSADA RESINADA (MADEIRITE RESINADO ROSA) PARA FORMA DE CONCRETO, DE 2200 X 1100 MM, E = 6 MM</t>
        </is>
      </c>
      <c r="C2958" s="22" t="inlineStr">
        <is>
          <t>SINAPI</t>
        </is>
      </c>
      <c r="D2958" s="22" t="inlineStr">
        <is>
          <t>M2</t>
        </is>
      </c>
      <c r="E2958" s="63" t="n">
        <v>0.6074000000000001</v>
      </c>
      <c r="F2958" s="64">
        <f>ROUND(M2958*FATOR, 2)</f>
        <v/>
      </c>
      <c r="G2958" s="64">
        <f>TRUNC(TRUNC(E2958,8)*F2958,2)</f>
        <v/>
      </c>
      <c r="L2958" t="n">
        <v>0.6074000000000001</v>
      </c>
      <c r="M2958" t="n">
        <v>21.95</v>
      </c>
      <c r="N2958">
        <f>(M2958-F2958)</f>
        <v/>
      </c>
    </row>
    <row r="2959" ht="21" customHeight="1">
      <c r="A2959" s="22" t="inlineStr">
        <is>
          <t>00002692</t>
        </is>
      </c>
      <c r="B2959" s="23" t="inlineStr">
        <is>
          <t>DESMOLDANTE PROTETOR PARA FORMAS DE MADEIRA, DE BASE OLEOSA EMULSIONADA EM AGUA</t>
        </is>
      </c>
      <c r="C2959" s="22" t="inlineStr">
        <is>
          <t>SINAPI</t>
        </is>
      </c>
      <c r="D2959" s="22" t="inlineStr">
        <is>
          <t>L</t>
        </is>
      </c>
      <c r="E2959" s="63" t="n">
        <v>0.0667</v>
      </c>
      <c r="F2959" s="64">
        <f>ROUND(M2959*FATOR, 2)</f>
        <v/>
      </c>
      <c r="G2959" s="64">
        <f>TRUNC(TRUNC(E2959,8)*F2959,2)</f>
        <v/>
      </c>
      <c r="L2959" t="n">
        <v>0.0667</v>
      </c>
      <c r="M2959" t="n">
        <v>8.06</v>
      </c>
      <c r="N2959">
        <f>(M2959-F2959)</f>
        <v/>
      </c>
    </row>
    <row r="2960" ht="21" customHeight="1">
      <c r="A2960" s="22" t="inlineStr">
        <is>
          <t>00004491</t>
        </is>
      </c>
      <c r="B2960" s="23" t="inlineStr">
        <is>
          <t>PONTALETE *7,5 X 7,5* CM EM PINUS, MISTA OU EQUIVALENTE DA REGIAO - BRUTA</t>
        </is>
      </c>
      <c r="C2960" s="22" t="inlineStr">
        <is>
          <t>SINAPI</t>
        </is>
      </c>
      <c r="D2960" s="22" t="inlineStr">
        <is>
          <t>M</t>
        </is>
      </c>
      <c r="E2960" s="63" t="n">
        <v>5.0545</v>
      </c>
      <c r="F2960" s="64">
        <f>ROUND(M2960*FATOR, 2)</f>
        <v/>
      </c>
      <c r="G2960" s="64">
        <f>TRUNC(TRUNC(E2960,8)*F2960,2)</f>
        <v/>
      </c>
      <c r="L2960" t="n">
        <v>5.0545</v>
      </c>
      <c r="M2960" t="n">
        <v>11.05</v>
      </c>
      <c r="N2960">
        <f>(M2960-F2960)</f>
        <v/>
      </c>
    </row>
    <row r="2961" ht="15" customHeight="1">
      <c r="A2961" s="22" t="inlineStr">
        <is>
          <t>00020247</t>
        </is>
      </c>
      <c r="B2961" s="23" t="inlineStr">
        <is>
          <t>PREGO DE ACO POLIDO COM CABECA 15 X 15 (1 1/4 X 13)</t>
        </is>
      </c>
      <c r="C2961" s="22" t="inlineStr">
        <is>
          <t>SINAPI</t>
        </is>
      </c>
      <c r="D2961" s="22" t="inlineStr">
        <is>
          <t>KG</t>
        </is>
      </c>
      <c r="E2961" s="63" t="n">
        <v>0.4377</v>
      </c>
      <c r="F2961" s="64">
        <f>ROUND(M2961*FATOR, 2)</f>
        <v/>
      </c>
      <c r="G2961" s="64">
        <f>TRUNC(TRUNC(E2961,8)*F2961,2)</f>
        <v/>
      </c>
      <c r="L2961" t="n">
        <v>0.4377</v>
      </c>
      <c r="M2961" t="n">
        <v>15.71</v>
      </c>
      <c r="N2961">
        <f>(M2961-F2961)</f>
        <v/>
      </c>
    </row>
    <row r="2962" ht="15" customHeight="1">
      <c r="A2962" s="22" t="inlineStr">
        <is>
          <t>00005073</t>
        </is>
      </c>
      <c r="B2962" s="23" t="inlineStr">
        <is>
          <t>PREGO DE ACO POLIDO COM CABECA 17 X 24 (2 1/4 X 11)</t>
        </is>
      </c>
      <c r="C2962" s="22" t="inlineStr">
        <is>
          <t>SINAPI</t>
        </is>
      </c>
      <c r="D2962" s="22" t="inlineStr">
        <is>
          <t>KG</t>
        </is>
      </c>
      <c r="E2962" s="63" t="n">
        <v>0.6552</v>
      </c>
      <c r="F2962" s="64">
        <f>ROUND(M2962*FATOR, 2)</f>
        <v/>
      </c>
      <c r="G2962" s="64">
        <f>TRUNC(TRUNC(E2962,8)*F2962,2)</f>
        <v/>
      </c>
      <c r="L2962" t="n">
        <v>0.6552</v>
      </c>
      <c r="M2962" t="n">
        <v>14.46</v>
      </c>
      <c r="N2962">
        <f>(M2962-F2962)</f>
        <v/>
      </c>
    </row>
    <row r="2963" ht="15" customHeight="1">
      <c r="A2963" s="2" t="inlineStr"/>
      <c r="B2963" s="2" t="inlineStr"/>
      <c r="C2963" s="2" t="inlineStr"/>
      <c r="D2963" s="2" t="inlineStr"/>
      <c r="E2963" s="26" t="inlineStr">
        <is>
          <t>TOTAL Material:</t>
        </is>
      </c>
      <c r="F2963" s="56" t="n"/>
      <c r="G2963" s="65">
        <f>SUM(G2957:G2962)</f>
        <v/>
      </c>
    </row>
    <row r="2964" ht="15" customHeight="1">
      <c r="A2964" s="20" t="inlineStr">
        <is>
          <t>Mão de Obra com Encargos Complementares</t>
        </is>
      </c>
      <c r="B2964" s="56" t="n"/>
      <c r="C2964" s="21" t="inlineStr">
        <is>
          <t>FONTE</t>
        </is>
      </c>
      <c r="D2964" s="21" t="inlineStr">
        <is>
          <t>UNID</t>
        </is>
      </c>
      <c r="E2964" s="21" t="inlineStr">
        <is>
          <t>COEFICIENTE</t>
        </is>
      </c>
      <c r="F2964" s="21" t="inlineStr">
        <is>
          <t>PREÇO UNITÁRIO</t>
        </is>
      </c>
      <c r="G2964" s="21" t="inlineStr">
        <is>
          <t>TOTAL</t>
        </is>
      </c>
    </row>
    <row r="2965" ht="21" customHeight="1">
      <c r="A2965" s="22" t="inlineStr">
        <is>
          <t>88239</t>
        </is>
      </c>
      <c r="B2965" s="23" t="inlineStr">
        <is>
          <t>AJUDANTE DE CARPINTEIRO COM ENCARGOS COMPLEMENTARES</t>
        </is>
      </c>
      <c r="C2965" s="22" t="inlineStr">
        <is>
          <t>SINAPI</t>
        </is>
      </c>
      <c r="D2965" s="22" t="inlineStr">
        <is>
          <t>H</t>
        </is>
      </c>
      <c r="E2965" s="63">
        <f>L2965*FATOR</f>
        <v/>
      </c>
      <c r="F2965" s="64">
        <f>'COMPOSICOES AUXILIARES'!G68</f>
        <v/>
      </c>
      <c r="G2965" s="64">
        <f>TRUNC(TRUNC(E2965,8)*F2965,2)</f>
        <v/>
      </c>
      <c r="L2965" t="n">
        <v>1.5632</v>
      </c>
      <c r="M2965" t="n">
        <v>24.61</v>
      </c>
      <c r="N2965">
        <f>(M2965-F2965)</f>
        <v/>
      </c>
    </row>
    <row r="2966" ht="21" customHeight="1">
      <c r="A2966" s="22" t="inlineStr">
        <is>
          <t>88261</t>
        </is>
      </c>
      <c r="B2966" s="23" t="inlineStr">
        <is>
          <t>CARPINTEIRO DE ESQUADRIAS COM ENCARGOS COMPLEMENTARES</t>
        </is>
      </c>
      <c r="C2966" s="22" t="inlineStr">
        <is>
          <t>SINAPI</t>
        </is>
      </c>
      <c r="D2966" s="22" t="inlineStr">
        <is>
          <t>H</t>
        </is>
      </c>
      <c r="E2966" s="63">
        <f>L2966*FATOR</f>
        <v/>
      </c>
      <c r="F2966" s="64">
        <f>'COMPOSICOES AUXILIARES'!G924</f>
        <v/>
      </c>
      <c r="G2966" s="64">
        <f>TRUNC(TRUNC(E2966,8)*F2966,2)</f>
        <v/>
      </c>
      <c r="L2966" t="n">
        <v>7.8158</v>
      </c>
      <c r="M2966" t="n">
        <v>29.16</v>
      </c>
      <c r="N2966">
        <f>(M2966-F2966)</f>
        <v/>
      </c>
    </row>
    <row r="2967" ht="15" customHeight="1">
      <c r="A2967" s="22" t="inlineStr">
        <is>
          <t>88309</t>
        </is>
      </c>
      <c r="B2967" s="23" t="inlineStr">
        <is>
          <t>PEDREIRO COM ENCARGOS COMPLEMENTARES</t>
        </is>
      </c>
      <c r="C2967" s="22" t="inlineStr">
        <is>
          <t>SINAPI</t>
        </is>
      </c>
      <c r="D2967" s="22" t="inlineStr">
        <is>
          <t>H</t>
        </is>
      </c>
      <c r="E2967" s="63">
        <f>L2967*FATOR</f>
        <v/>
      </c>
      <c r="F2967" s="64">
        <f>'COMPOSICOES AUXILIARES'!G1112</f>
        <v/>
      </c>
      <c r="G2967" s="64">
        <f>TRUNC(TRUNC(E2967,8)*F2967,2)</f>
        <v/>
      </c>
      <c r="L2967" t="n">
        <v>22.0181</v>
      </c>
      <c r="M2967" t="n">
        <v>30.58</v>
      </c>
      <c r="N2967">
        <f>(M2967-F2967)</f>
        <v/>
      </c>
    </row>
    <row r="2968" ht="15" customHeight="1">
      <c r="A2968" s="22" t="inlineStr">
        <is>
          <t>88316</t>
        </is>
      </c>
      <c r="B2968" s="23" t="inlineStr">
        <is>
          <t>SERVENTE COM ENCARGOS COMPLEMENTARES</t>
        </is>
      </c>
      <c r="C2968" s="22" t="inlineStr">
        <is>
          <t>SINAPI</t>
        </is>
      </c>
      <c r="D2968" s="22" t="inlineStr">
        <is>
          <t>H</t>
        </is>
      </c>
      <c r="E2968" s="63">
        <f>L2968*FATOR</f>
        <v/>
      </c>
      <c r="F2968" s="64">
        <f>'COMPOSICOES AUXILIARES'!G161</f>
        <v/>
      </c>
      <c r="G2968" s="64">
        <f>TRUNC(TRUNC(E2968,8)*F2968,2)</f>
        <v/>
      </c>
      <c r="L2968" t="n">
        <v>22.0181</v>
      </c>
      <c r="M2968" t="n">
        <v>23.56</v>
      </c>
      <c r="N2968">
        <f>(M2968-F2968)</f>
        <v/>
      </c>
    </row>
    <row r="2969" ht="18" customHeight="1">
      <c r="A2969" s="2" t="inlineStr"/>
      <c r="B2969" s="2" t="inlineStr"/>
      <c r="C2969" s="2" t="inlineStr"/>
      <c r="D2969" s="2" t="inlineStr"/>
      <c r="E2969" s="26" t="inlineStr">
        <is>
          <t>TOTAL Mão de Obra com Encargos Complementares:</t>
        </is>
      </c>
      <c r="F2969" s="56" t="n"/>
      <c r="G2969" s="65">
        <f>SUM(G2965:G2968)</f>
        <v/>
      </c>
    </row>
    <row r="2970" ht="15" customHeight="1">
      <c r="A2970" s="20" t="inlineStr">
        <is>
          <t>Serviço</t>
        </is>
      </c>
      <c r="B2970" s="56" t="n"/>
      <c r="C2970" s="21" t="inlineStr">
        <is>
          <t>FONTE</t>
        </is>
      </c>
      <c r="D2970" s="21" t="inlineStr">
        <is>
          <t>UNID</t>
        </is>
      </c>
      <c r="E2970" s="21" t="inlineStr">
        <is>
          <t>COEFICIENTE</t>
        </is>
      </c>
      <c r="F2970" s="21" t="inlineStr">
        <is>
          <t>PREÇO UNITÁRIO</t>
        </is>
      </c>
      <c r="G2970" s="21" t="inlineStr">
        <is>
          <t>TOTAL</t>
        </is>
      </c>
    </row>
    <row r="2971" ht="29" customHeight="1">
      <c r="A2971" s="22" t="inlineStr">
        <is>
          <t>92767</t>
        </is>
      </c>
      <c r="B2971" s="23" t="inlineStr">
        <is>
          <t>ARMAÇÃO DE LAJE DE ESTRUTURA CONVENCIONAL DE CONCRETO ARMADO UTILIZANDO AÇO CA-60 DE 4,2 MM - MONTAGEM. AF_06/2022</t>
        </is>
      </c>
      <c r="C2971" s="22" t="inlineStr">
        <is>
          <t>SINAPI</t>
        </is>
      </c>
      <c r="D2971" s="22" t="inlineStr">
        <is>
          <t>KG</t>
        </is>
      </c>
      <c r="E2971" s="63" t="n">
        <v>21.9997</v>
      </c>
      <c r="F2971" s="64">
        <f>'COMPOSICOES AUXILIARES'!G445</f>
        <v/>
      </c>
      <c r="G2971" s="64">
        <f>TRUNC(TRUNC(E2971,8)*F2971,2)</f>
        <v/>
      </c>
      <c r="L2971" t="n">
        <v>21.9997</v>
      </c>
      <c r="M2971" t="n">
        <v>15.32</v>
      </c>
      <c r="N2971">
        <f>(M2971-F2971)</f>
        <v/>
      </c>
    </row>
    <row r="2972" ht="29" customHeight="1">
      <c r="A2972" s="22" t="inlineStr">
        <is>
          <t>94972</t>
        </is>
      </c>
      <c r="B2972" s="23" t="inlineStr">
        <is>
          <t>CONCRETO FCK = 30MPA, TRAÇO 1:2,1:2,5 (EM MASSA SECA DE CIMENTO/ AREIA MÉDIA/ BRITA 1) - PREPARO MECÂNICO COM BETONEIRA 600 L. AF_05/2021</t>
        </is>
      </c>
      <c r="C2972" s="22" t="inlineStr">
        <is>
          <t>SINAPI</t>
        </is>
      </c>
      <c r="D2972" s="22" t="inlineStr">
        <is>
          <t>M3</t>
        </is>
      </c>
      <c r="E2972" s="63" t="n">
        <v>1.2</v>
      </c>
      <c r="F2972" s="64">
        <f>'COMPOSICOES AUXILIARES'!G1232</f>
        <v/>
      </c>
      <c r="G2972" s="64">
        <f>TRUNC(TRUNC(E2972,8)*F2972,2)</f>
        <v/>
      </c>
      <c r="L2972" t="n">
        <v>1.2</v>
      </c>
      <c r="M2972" t="n">
        <v>535.17</v>
      </c>
      <c r="N2972">
        <f>(M2972-F2972)</f>
        <v/>
      </c>
    </row>
    <row r="2973" ht="15" customHeight="1">
      <c r="A2973" s="2" t="inlineStr"/>
      <c r="B2973" s="2" t="inlineStr"/>
      <c r="C2973" s="2" t="inlineStr"/>
      <c r="D2973" s="2" t="inlineStr"/>
      <c r="E2973" s="26" t="inlineStr">
        <is>
          <t>TOTAL Serviço:</t>
        </is>
      </c>
      <c r="F2973" s="56" t="n"/>
      <c r="G2973" s="65">
        <f>SUM(G2971:G2972)</f>
        <v/>
      </c>
    </row>
    <row r="2974" ht="15" customHeight="1">
      <c r="A2974" s="2" t="inlineStr"/>
      <c r="B2974" s="2" t="inlineStr"/>
      <c r="C2974" s="2" t="inlineStr"/>
      <c r="D2974" s="2" t="inlineStr"/>
      <c r="E2974" s="28" t="inlineStr">
        <is>
          <t>VALOR:</t>
        </is>
      </c>
      <c r="F2974" s="56" t="n"/>
      <c r="G2974" s="66">
        <f>SUM(G2969,G2963,G2955,G2973)</f>
        <v/>
      </c>
    </row>
    <row r="2975" ht="15" customHeight="1">
      <c r="A2975" s="2" t="inlineStr"/>
      <c r="B2975" s="2" t="inlineStr"/>
      <c r="C2975" s="2" t="inlineStr"/>
      <c r="D2975" s="2" t="inlineStr"/>
      <c r="E2975" s="28" t="inlineStr">
        <is>
          <t>VALOR BDI (23.08%):</t>
        </is>
      </c>
      <c r="F2975" s="56" t="n"/>
      <c r="G2975" s="66">
        <f>ROUNDDOWN(G2974*BDI,2)</f>
        <v/>
      </c>
    </row>
    <row r="2976" ht="15" customHeight="1">
      <c r="A2976" s="2" t="inlineStr"/>
      <c r="B2976" s="2" t="inlineStr"/>
      <c r="C2976" s="2" t="inlineStr"/>
      <c r="D2976" s="2" t="inlineStr"/>
      <c r="E2976" s="28" t="inlineStr">
        <is>
          <t>VALOR COM BDI:</t>
        </is>
      </c>
      <c r="F2976" s="56" t="n"/>
      <c r="G2976" s="66">
        <f>G2975 + G2974</f>
        <v/>
      </c>
    </row>
    <row r="2977" ht="10" customHeight="1">
      <c r="A2977" s="2" t="inlineStr"/>
      <c r="B2977" s="2" t="inlineStr"/>
      <c r="C2977" s="2" t="inlineStr"/>
      <c r="D2977" s="2" t="inlineStr"/>
      <c r="E2977" s="18" t="inlineStr"/>
    </row>
    <row r="2978" ht="20" customHeight="1">
      <c r="A2978" s="19" t="inlineStr">
        <is>
          <t>​97734​ PEÇA RETANGULAR PRÉ-MOLDADA, VOLUME DE CONCRETO DE 10 A 30 LITROS, TAXA DE AÇO APROXIMADA DE 30KG/M³. AF_03/2024​ (M3)</t>
        </is>
      </c>
      <c r="B2978" s="55" t="n"/>
      <c r="C2978" s="55" t="n"/>
      <c r="D2978" s="55" t="n"/>
      <c r="E2978" s="55" t="n"/>
      <c r="F2978" s="55" t="n"/>
      <c r="G2978" s="56" t="n"/>
    </row>
    <row r="2979" ht="15" customHeight="1">
      <c r="A2979" s="20" t="inlineStr">
        <is>
          <t>Equipamento Custo Horário</t>
        </is>
      </c>
      <c r="B2979" s="56" t="n"/>
      <c r="C2979" s="21" t="inlineStr">
        <is>
          <t>FONTE</t>
        </is>
      </c>
      <c r="D2979" s="21" t="inlineStr">
        <is>
          <t>UNID</t>
        </is>
      </c>
      <c r="E2979" s="21" t="inlineStr">
        <is>
          <t>COEFICIENTE</t>
        </is>
      </c>
      <c r="F2979" s="21" t="inlineStr">
        <is>
          <t>PREÇO UNITÁRIO</t>
        </is>
      </c>
      <c r="G2979" s="21" t="inlineStr">
        <is>
          <t>TOTAL</t>
        </is>
      </c>
    </row>
    <row r="2980" ht="29" customHeight="1">
      <c r="A2980" s="22" t="inlineStr">
        <is>
          <t>91693</t>
        </is>
      </c>
      <c r="B2980" s="23" t="inlineStr">
        <is>
          <t>SERRA CIRCULAR DE BANCADA COM MOTOR ELÉTRICO POTÊNCIA DE 5HP, COM COIFA PARA DISCO 10" - CHI DIURNO. AF_08/2015</t>
        </is>
      </c>
      <c r="C2980" s="22" t="inlineStr">
        <is>
          <t>SINAPI</t>
        </is>
      </c>
      <c r="D2980" s="22" t="inlineStr">
        <is>
          <t>CHI</t>
        </is>
      </c>
      <c r="E2980" s="63" t="n">
        <v>0.7043</v>
      </c>
      <c r="F2980" s="64">
        <f>'COMPOSICOES AUXILIARES'!G2054</f>
        <v/>
      </c>
      <c r="G2980" s="64">
        <f>TRUNC(TRUNC(E2980,8)*F2980,2)</f>
        <v/>
      </c>
      <c r="L2980" t="n">
        <v>0.7043</v>
      </c>
      <c r="M2980" t="n">
        <v>35.72</v>
      </c>
      <c r="N2980">
        <f>(M2980-F2980)</f>
        <v/>
      </c>
    </row>
    <row r="2981" ht="29" customHeight="1">
      <c r="A2981" s="22" t="inlineStr">
        <is>
          <t>91692</t>
        </is>
      </c>
      <c r="B2981" s="23" t="inlineStr">
        <is>
          <t>SERRA CIRCULAR DE BANCADA COM MOTOR ELÉTRICO POTÊNCIA DE 5HP, COM COIFA PARA DISCO 10" - CHP DIURNO. AF_08/2015</t>
        </is>
      </c>
      <c r="C2981" s="22" t="inlineStr">
        <is>
          <t>SINAPI</t>
        </is>
      </c>
      <c r="D2981" s="22" t="inlineStr">
        <is>
          <t>CHP</t>
        </is>
      </c>
      <c r="E2981" s="63" t="n">
        <v>0.4877</v>
      </c>
      <c r="F2981" s="64">
        <f>'COMPOSICOES AUXILIARES'!G2054</f>
        <v/>
      </c>
      <c r="G2981" s="64">
        <f>TRUNC(TRUNC(E2981,8)*F2981,2)</f>
        <v/>
      </c>
      <c r="L2981" t="n">
        <v>0.4877</v>
      </c>
      <c r="M2981" t="n">
        <v>37.16</v>
      </c>
      <c r="N2981">
        <f>(M2981-F2981)</f>
        <v/>
      </c>
    </row>
    <row r="2982" ht="29" customHeight="1">
      <c r="A2982" s="22" t="inlineStr">
        <is>
          <t>90587</t>
        </is>
      </c>
      <c r="B2982" s="23" t="inlineStr">
        <is>
          <t>VIBRADOR DE IMERSÃO, DIÂMETRO DE PONTEIRA 45MM, MOTOR ELÉTRICO TRIFÁSICO POTÊNCIA DE 2 CV - CHI DIURNO. AF_06/2015</t>
        </is>
      </c>
      <c r="C2982" s="22" t="inlineStr">
        <is>
          <t>SINAPI</t>
        </is>
      </c>
      <c r="D2982" s="22" t="inlineStr">
        <is>
          <t>CHI</t>
        </is>
      </c>
      <c r="E2982" s="63" t="n">
        <v>18.0917</v>
      </c>
      <c r="F2982" s="64">
        <f>'COMPOSICOES AUXILIARES'!G1112</f>
        <v/>
      </c>
      <c r="G2982" s="64">
        <f>TRUNC(TRUNC(E2982,8)*F2982,2)</f>
        <v/>
      </c>
      <c r="L2982" t="n">
        <v>18.0917</v>
      </c>
      <c r="M2982" t="n">
        <v>0.5600000000000001</v>
      </c>
      <c r="N2982">
        <f>(M2982-F2982)</f>
        <v/>
      </c>
    </row>
    <row r="2983" ht="29" customHeight="1">
      <c r="A2983" s="22" t="inlineStr">
        <is>
          <t>90586</t>
        </is>
      </c>
      <c r="B2983" s="23" t="inlineStr">
        <is>
          <t>VIBRADOR DE IMERSÃO, DIÂMETRO DE PONTEIRA 45MM, MOTOR ELÉTRICO TRIFÁSICO POTÊNCIA DE 2 CV - CHP DIURNO. AF_06/2015</t>
        </is>
      </c>
      <c r="C2983" s="22" t="inlineStr">
        <is>
          <t>SINAPI</t>
        </is>
      </c>
      <c r="D2983" s="22" t="inlineStr">
        <is>
          <t>CHP</t>
        </is>
      </c>
      <c r="E2983" s="63" t="n">
        <v>6.635</v>
      </c>
      <c r="F2983" s="64">
        <f>'COMPOSICOES AUXILIARES'!G1112</f>
        <v/>
      </c>
      <c r="G2983" s="64">
        <f>TRUNC(TRUNC(E2983,8)*F2983,2)</f>
        <v/>
      </c>
      <c r="L2983" t="n">
        <v>6.635</v>
      </c>
      <c r="M2983" t="n">
        <v>1.44</v>
      </c>
      <c r="N2983">
        <f>(M2983-F2983)</f>
        <v/>
      </c>
    </row>
    <row r="2984" ht="18" customHeight="1">
      <c r="A2984" s="2" t="inlineStr"/>
      <c r="B2984" s="2" t="inlineStr"/>
      <c r="C2984" s="2" t="inlineStr"/>
      <c r="D2984" s="2" t="inlineStr"/>
      <c r="E2984" s="26" t="inlineStr">
        <is>
          <t>TOTAL Equipamento Custo Horário:</t>
        </is>
      </c>
      <c r="F2984" s="56" t="n"/>
      <c r="G2984" s="65">
        <f>SUM(G2980:G2983)</f>
        <v/>
      </c>
    </row>
    <row r="2985" ht="15" customHeight="1">
      <c r="A2985" s="20" t="inlineStr">
        <is>
          <t>Material</t>
        </is>
      </c>
      <c r="B2985" s="56" t="n"/>
      <c r="C2985" s="21" t="inlineStr">
        <is>
          <t>FONTE</t>
        </is>
      </c>
      <c r="D2985" s="21" t="inlineStr">
        <is>
          <t>UNID</t>
        </is>
      </c>
      <c r="E2985" s="21" t="inlineStr">
        <is>
          <t>COEFICIENTE</t>
        </is>
      </c>
      <c r="F2985" s="21" t="inlineStr">
        <is>
          <t>PREÇO UNITÁRIO</t>
        </is>
      </c>
      <c r="G2985" s="21" t="inlineStr">
        <is>
          <t>TOTAL</t>
        </is>
      </c>
    </row>
    <row r="2986" ht="29" customHeight="1">
      <c r="A2986" s="22" t="inlineStr">
        <is>
          <t>00001358</t>
        </is>
      </c>
      <c r="B2986" s="23" t="inlineStr">
        <is>
          <t>CHAPA/PAINEL DE MADEIRA COMPENSADA RESINADA (MADEIRITE RESINADO ROSA) PARA FORMA DE CONCRETO, DE 2200 X 1100 MM, E = 17 MM</t>
        </is>
      </c>
      <c r="C2986" s="22" t="inlineStr">
        <is>
          <t>SINAPI</t>
        </is>
      </c>
      <c r="D2986" s="22" t="inlineStr">
        <is>
          <t>M2</t>
        </is>
      </c>
      <c r="E2986" s="63" t="n">
        <v>1.9404</v>
      </c>
      <c r="F2986" s="64">
        <f>ROUND(M2986*FATOR, 2)</f>
        <v/>
      </c>
      <c r="G2986" s="64">
        <f>TRUNC(TRUNC(E2986,8)*F2986,2)</f>
        <v/>
      </c>
      <c r="L2986" t="n">
        <v>1.9404</v>
      </c>
      <c r="M2986" t="n">
        <v>57.71</v>
      </c>
      <c r="N2986">
        <f>(M2986-F2986)</f>
        <v/>
      </c>
    </row>
    <row r="2987" ht="21" customHeight="1">
      <c r="A2987" s="22" t="inlineStr">
        <is>
          <t>00002692</t>
        </is>
      </c>
      <c r="B2987" s="23" t="inlineStr">
        <is>
          <t>DESMOLDANTE PROTETOR PARA FORMAS DE MADEIRA, DE BASE OLEOSA EMULSIONADA EM AGUA</t>
        </is>
      </c>
      <c r="C2987" s="22" t="inlineStr">
        <is>
          <t>SINAPI</t>
        </is>
      </c>
      <c r="D2987" s="22" t="inlineStr">
        <is>
          <t>L</t>
        </is>
      </c>
      <c r="E2987" s="63" t="n">
        <v>0.0833</v>
      </c>
      <c r="F2987" s="64">
        <f>ROUND(M2987*FATOR, 2)</f>
        <v/>
      </c>
      <c r="G2987" s="64">
        <f>TRUNC(TRUNC(E2987,8)*F2987,2)</f>
        <v/>
      </c>
      <c r="L2987" t="n">
        <v>0.0833</v>
      </c>
      <c r="M2987" t="n">
        <v>8.06</v>
      </c>
      <c r="N2987">
        <f>(M2987-F2987)</f>
        <v/>
      </c>
    </row>
    <row r="2988" ht="15" customHeight="1">
      <c r="A2988" s="22" t="inlineStr">
        <is>
          <t>00020247</t>
        </is>
      </c>
      <c r="B2988" s="23" t="inlineStr">
        <is>
          <t>PREGO DE ACO POLIDO COM CABECA 15 X 15 (1 1/4 X 13)</t>
        </is>
      </c>
      <c r="C2988" s="22" t="inlineStr">
        <is>
          <t>SINAPI</t>
        </is>
      </c>
      <c r="D2988" s="22" t="inlineStr">
        <is>
          <t>KG</t>
        </is>
      </c>
      <c r="E2988" s="63" t="n">
        <v>0.4365</v>
      </c>
      <c r="F2988" s="64">
        <f>ROUND(M2988*FATOR, 2)</f>
        <v/>
      </c>
      <c r="G2988" s="64">
        <f>TRUNC(TRUNC(E2988,8)*F2988,2)</f>
        <v/>
      </c>
      <c r="L2988" t="n">
        <v>0.4365</v>
      </c>
      <c r="M2988" t="n">
        <v>15.71</v>
      </c>
      <c r="N2988">
        <f>(M2988-F2988)</f>
        <v/>
      </c>
    </row>
    <row r="2989" ht="21" customHeight="1">
      <c r="A2989" s="22" t="inlineStr">
        <is>
          <t>00004517</t>
        </is>
      </c>
      <c r="B2989" s="23" t="inlineStr">
        <is>
          <t>SARRAFO *2,5 X 7,5* CM EM PINUS, MISTA OU EQUIVALENTE DA REGIAO - BRUTA</t>
        </is>
      </c>
      <c r="C2989" s="22" t="inlineStr">
        <is>
          <t>SINAPI</t>
        </is>
      </c>
      <c r="D2989" s="22" t="inlineStr">
        <is>
          <t>M</t>
        </is>
      </c>
      <c r="E2989" s="63" t="n">
        <v>5.6283</v>
      </c>
      <c r="F2989" s="64">
        <f>ROUND(M2989*FATOR, 2)</f>
        <v/>
      </c>
      <c r="G2989" s="64">
        <f>TRUNC(TRUNC(E2989,8)*F2989,2)</f>
        <v/>
      </c>
      <c r="L2989" t="n">
        <v>5.6283</v>
      </c>
      <c r="M2989" t="n">
        <v>3.87</v>
      </c>
      <c r="N2989">
        <f>(M2989-F2989)</f>
        <v/>
      </c>
    </row>
    <row r="2990" ht="15" customHeight="1">
      <c r="A2990" s="2" t="inlineStr"/>
      <c r="B2990" s="2" t="inlineStr"/>
      <c r="C2990" s="2" t="inlineStr"/>
      <c r="D2990" s="2" t="inlineStr"/>
      <c r="E2990" s="26" t="inlineStr">
        <is>
          <t>TOTAL Material:</t>
        </is>
      </c>
      <c r="F2990" s="56" t="n"/>
      <c r="G2990" s="65">
        <f>SUM(G2986:G2989)</f>
        <v/>
      </c>
    </row>
    <row r="2991" ht="15" customHeight="1">
      <c r="A2991" s="20" t="inlineStr">
        <is>
          <t>Mão de Obra com Encargos Complementares</t>
        </is>
      </c>
      <c r="B2991" s="56" t="n"/>
      <c r="C2991" s="21" t="inlineStr">
        <is>
          <t>FONTE</t>
        </is>
      </c>
      <c r="D2991" s="21" t="inlineStr">
        <is>
          <t>UNID</t>
        </is>
      </c>
      <c r="E2991" s="21" t="inlineStr">
        <is>
          <t>COEFICIENTE</t>
        </is>
      </c>
      <c r="F2991" s="21" t="inlineStr">
        <is>
          <t>PREÇO UNITÁRIO</t>
        </is>
      </c>
      <c r="G2991" s="21" t="inlineStr">
        <is>
          <t>TOTAL</t>
        </is>
      </c>
    </row>
    <row r="2992" ht="21" customHeight="1">
      <c r="A2992" s="22" t="inlineStr">
        <is>
          <t>88239</t>
        </is>
      </c>
      <c r="B2992" s="23" t="inlineStr">
        <is>
          <t>AJUDANTE DE CARPINTEIRO COM ENCARGOS COMPLEMENTARES</t>
        </is>
      </c>
      <c r="C2992" s="22" t="inlineStr">
        <is>
          <t>SINAPI</t>
        </is>
      </c>
      <c r="D2992" s="22" t="inlineStr">
        <is>
          <t>H</t>
        </is>
      </c>
      <c r="E2992" s="63">
        <f>L2992*FATOR</f>
        <v/>
      </c>
      <c r="F2992" s="64">
        <f>'COMPOSICOES AUXILIARES'!G68</f>
        <v/>
      </c>
      <c r="G2992" s="64">
        <f>TRUNC(TRUNC(E2992,8)*F2992,2)</f>
        <v/>
      </c>
      <c r="L2992" t="n">
        <v>1.192</v>
      </c>
      <c r="M2992" t="n">
        <v>24.61</v>
      </c>
      <c r="N2992">
        <f>(M2992-F2992)</f>
        <v/>
      </c>
    </row>
    <row r="2993" ht="21" customHeight="1">
      <c r="A2993" s="22" t="inlineStr">
        <is>
          <t>88261</t>
        </is>
      </c>
      <c r="B2993" s="23" t="inlineStr">
        <is>
          <t>CARPINTEIRO DE ESQUADRIAS COM ENCARGOS COMPLEMENTARES</t>
        </is>
      </c>
      <c r="C2993" s="22" t="inlineStr">
        <is>
          <t>SINAPI</t>
        </is>
      </c>
      <c r="D2993" s="22" t="inlineStr">
        <is>
          <t>H</t>
        </is>
      </c>
      <c r="E2993" s="63">
        <f>L2993*FATOR</f>
        <v/>
      </c>
      <c r="F2993" s="64">
        <f>'COMPOSICOES AUXILIARES'!G924</f>
        <v/>
      </c>
      <c r="G2993" s="64">
        <f>TRUNC(TRUNC(E2993,8)*F2993,2)</f>
        <v/>
      </c>
      <c r="L2993" t="n">
        <v>5.96</v>
      </c>
      <c r="M2993" t="n">
        <v>29.16</v>
      </c>
      <c r="N2993">
        <f>(M2993-F2993)</f>
        <v/>
      </c>
    </row>
    <row r="2994" ht="15" customHeight="1">
      <c r="A2994" s="22" t="inlineStr">
        <is>
          <t>88309</t>
        </is>
      </c>
      <c r="B2994" s="23" t="inlineStr">
        <is>
          <t>PEDREIRO COM ENCARGOS COMPLEMENTARES</t>
        </is>
      </c>
      <c r="C2994" s="22" t="inlineStr">
        <is>
          <t>SINAPI</t>
        </is>
      </c>
      <c r="D2994" s="22" t="inlineStr">
        <is>
          <t>H</t>
        </is>
      </c>
      <c r="E2994" s="63">
        <f>L2994*FATOR</f>
        <v/>
      </c>
      <c r="F2994" s="64">
        <f>'COMPOSICOES AUXILIARES'!G1112</f>
        <v/>
      </c>
      <c r="G2994" s="64">
        <f>TRUNC(TRUNC(E2994,8)*F2994,2)</f>
        <v/>
      </c>
      <c r="L2994" t="n">
        <v>31.3499</v>
      </c>
      <c r="M2994" t="n">
        <v>30.58</v>
      </c>
      <c r="N2994">
        <f>(M2994-F2994)</f>
        <v/>
      </c>
    </row>
    <row r="2995" ht="15" customHeight="1">
      <c r="A2995" s="22" t="inlineStr">
        <is>
          <t>88316</t>
        </is>
      </c>
      <c r="B2995" s="23" t="inlineStr">
        <is>
          <t>SERVENTE COM ENCARGOS COMPLEMENTARES</t>
        </is>
      </c>
      <c r="C2995" s="22" t="inlineStr">
        <is>
          <t>SINAPI</t>
        </is>
      </c>
      <c r="D2995" s="22" t="inlineStr">
        <is>
          <t>H</t>
        </is>
      </c>
      <c r="E2995" s="63">
        <f>L2995*FATOR</f>
        <v/>
      </c>
      <c r="F2995" s="64">
        <f>'COMPOSICOES AUXILIARES'!G161</f>
        <v/>
      </c>
      <c r="G2995" s="64">
        <f>TRUNC(TRUNC(E2995,8)*F2995,2)</f>
        <v/>
      </c>
      <c r="L2995" t="n">
        <v>31.3499</v>
      </c>
      <c r="M2995" t="n">
        <v>23.56</v>
      </c>
      <c r="N2995">
        <f>(M2995-F2995)</f>
        <v/>
      </c>
    </row>
    <row r="2996" ht="18" customHeight="1">
      <c r="A2996" s="2" t="inlineStr"/>
      <c r="B2996" s="2" t="inlineStr"/>
      <c r="C2996" s="2" t="inlineStr"/>
      <c r="D2996" s="2" t="inlineStr"/>
      <c r="E2996" s="26" t="inlineStr">
        <is>
          <t>TOTAL Mão de Obra com Encargos Complementares:</t>
        </is>
      </c>
      <c r="F2996" s="56" t="n"/>
      <c r="G2996" s="65">
        <f>SUM(G2992:G2995)</f>
        <v/>
      </c>
    </row>
    <row r="2997" ht="15" customHeight="1">
      <c r="A2997" s="20" t="inlineStr">
        <is>
          <t>Serviço</t>
        </is>
      </c>
      <c r="B2997" s="56" t="n"/>
      <c r="C2997" s="21" t="inlineStr">
        <is>
          <t>FONTE</t>
        </is>
      </c>
      <c r="D2997" s="21" t="inlineStr">
        <is>
          <t>UNID</t>
        </is>
      </c>
      <c r="E2997" s="21" t="inlineStr">
        <is>
          <t>COEFICIENTE</t>
        </is>
      </c>
      <c r="F2997" s="21" t="inlineStr">
        <is>
          <t>PREÇO UNITÁRIO</t>
        </is>
      </c>
      <c r="G2997" s="21" t="inlineStr">
        <is>
          <t>TOTAL</t>
        </is>
      </c>
    </row>
    <row r="2998" ht="29" customHeight="1">
      <c r="A2998" s="22" t="inlineStr">
        <is>
          <t>92767</t>
        </is>
      </c>
      <c r="B2998" s="23" t="inlineStr">
        <is>
          <t>ARMAÇÃO DE LAJE DE ESTRUTURA CONVENCIONAL DE CONCRETO ARMADO UTILIZANDO AÇO CA-60 DE 4,2 MM - MONTAGEM. AF_06/2022</t>
        </is>
      </c>
      <c r="C2998" s="22" t="inlineStr">
        <is>
          <t>SINAPI</t>
        </is>
      </c>
      <c r="D2998" s="22" t="inlineStr">
        <is>
          <t>KG</t>
        </is>
      </c>
      <c r="E2998" s="63" t="n">
        <v>27.8988</v>
      </c>
      <c r="F2998" s="64">
        <f>'COMPOSICOES AUXILIARES'!G445</f>
        <v/>
      </c>
      <c r="G2998" s="64">
        <f>TRUNC(TRUNC(E2998,8)*F2998,2)</f>
        <v/>
      </c>
      <c r="L2998" t="n">
        <v>27.8988</v>
      </c>
      <c r="M2998" t="n">
        <v>15.32</v>
      </c>
      <c r="N2998">
        <f>(M2998-F2998)</f>
        <v/>
      </c>
    </row>
    <row r="2999" ht="29" customHeight="1">
      <c r="A2999" s="22" t="inlineStr">
        <is>
          <t>94971</t>
        </is>
      </c>
      <c r="B2999" s="23" t="inlineStr">
        <is>
          <t>CONCRETO FCK = 25MPA, TRAÇO 1:2,3:2,7 (EM MASSA SECA DE CIMENTO/ AREIA MÉDIA/ BRITA 1) - PREPARO MECÂNICO COM BETONEIRA 600 L. AF_05/2021</t>
        </is>
      </c>
      <c r="C2999" s="22" t="inlineStr">
        <is>
          <t>SINAPI</t>
        </is>
      </c>
      <c r="D2999" s="22" t="inlineStr">
        <is>
          <t>M3</t>
        </is>
      </c>
      <c r="E2999" s="63" t="n">
        <v>1.2</v>
      </c>
      <c r="F2999" s="64">
        <f>'COMPOSICOES AUXILIARES'!G1214</f>
        <v/>
      </c>
      <c r="G2999" s="64">
        <f>TRUNC(TRUNC(E2999,8)*F2999,2)</f>
        <v/>
      </c>
      <c r="L2999" t="n">
        <v>1.2</v>
      </c>
      <c r="M2999" t="n">
        <v>518.99</v>
      </c>
      <c r="N2999">
        <f>(M2999-F2999)</f>
        <v/>
      </c>
    </row>
    <row r="3000" ht="15" customHeight="1">
      <c r="A3000" s="2" t="inlineStr"/>
      <c r="B3000" s="2" t="inlineStr"/>
      <c r="C3000" s="2" t="inlineStr"/>
      <c r="D3000" s="2" t="inlineStr"/>
      <c r="E3000" s="26" t="inlineStr">
        <is>
          <t>TOTAL Serviço:</t>
        </is>
      </c>
      <c r="F3000" s="56" t="n"/>
      <c r="G3000" s="65">
        <f>SUM(G2998:G2999)</f>
        <v/>
      </c>
    </row>
    <row r="3001" ht="15" customHeight="1">
      <c r="A3001" s="2" t="inlineStr"/>
      <c r="B3001" s="2" t="inlineStr"/>
      <c r="C3001" s="2" t="inlineStr"/>
      <c r="D3001" s="2" t="inlineStr"/>
      <c r="E3001" s="28" t="inlineStr">
        <is>
          <t>VALOR:</t>
        </is>
      </c>
      <c r="F3001" s="56" t="n"/>
      <c r="G3001" s="66">
        <f>SUM(G2984,G3000,G2996,G2990)</f>
        <v/>
      </c>
    </row>
    <row r="3002" ht="15" customHeight="1">
      <c r="A3002" s="2" t="inlineStr"/>
      <c r="B3002" s="2" t="inlineStr"/>
      <c r="C3002" s="2" t="inlineStr"/>
      <c r="D3002" s="2" t="inlineStr"/>
      <c r="E3002" s="28" t="inlineStr">
        <is>
          <t>VALOR BDI (23.08%):</t>
        </is>
      </c>
      <c r="F3002" s="56" t="n"/>
      <c r="G3002" s="66">
        <f>ROUNDDOWN(G3001*BDI,2)</f>
        <v/>
      </c>
    </row>
    <row r="3003" ht="15" customHeight="1">
      <c r="A3003" s="2" t="inlineStr"/>
      <c r="B3003" s="2" t="inlineStr"/>
      <c r="C3003" s="2" t="inlineStr"/>
      <c r="D3003" s="2" t="inlineStr"/>
      <c r="E3003" s="28" t="inlineStr">
        <is>
          <t>VALOR COM BDI:</t>
        </is>
      </c>
      <c r="F3003" s="56" t="n"/>
      <c r="G3003" s="66">
        <f>G3002 + G3001</f>
        <v/>
      </c>
    </row>
    <row r="3004" ht="10" customHeight="1">
      <c r="A3004" s="2" t="inlineStr"/>
      <c r="B3004" s="2" t="inlineStr"/>
      <c r="C3004" s="2" t="inlineStr"/>
      <c r="D3004" s="2" t="inlineStr"/>
      <c r="E3004" s="18" t="inlineStr"/>
    </row>
    <row r="3005" ht="20" customHeight="1">
      <c r="A3005" s="19" t="inlineStr">
        <is>
          <t>​97735​ PEÇA RETANGULAR PRÉ-MOLDADA, VOLUME DE CONCRETO DE 30 A 100 LITROS, TAXA DE AÇO APROXIMADA DE 30KG/M³. AF_03/2024​ (M3)</t>
        </is>
      </c>
      <c r="B3005" s="55" t="n"/>
      <c r="C3005" s="55" t="n"/>
      <c r="D3005" s="55" t="n"/>
      <c r="E3005" s="55" t="n"/>
      <c r="F3005" s="55" t="n"/>
      <c r="G3005" s="56" t="n"/>
    </row>
    <row r="3006" ht="15" customHeight="1">
      <c r="A3006" s="20" t="inlineStr">
        <is>
          <t>Equipamento Custo Horário</t>
        </is>
      </c>
      <c r="B3006" s="56" t="n"/>
      <c r="C3006" s="21" t="inlineStr">
        <is>
          <t>FONTE</t>
        </is>
      </c>
      <c r="D3006" s="21" t="inlineStr">
        <is>
          <t>UNID</t>
        </is>
      </c>
      <c r="E3006" s="21" t="inlineStr">
        <is>
          <t>COEFICIENTE</t>
        </is>
      </c>
      <c r="F3006" s="21" t="inlineStr">
        <is>
          <t>PREÇO UNITÁRIO</t>
        </is>
      </c>
      <c r="G3006" s="21" t="inlineStr">
        <is>
          <t>TOTAL</t>
        </is>
      </c>
    </row>
    <row r="3007" ht="29" customHeight="1">
      <c r="A3007" s="22" t="inlineStr">
        <is>
          <t>91693</t>
        </is>
      </c>
      <c r="B3007" s="23" t="inlineStr">
        <is>
          <t>SERRA CIRCULAR DE BANCADA COM MOTOR ELÉTRICO POTÊNCIA DE 5HP, COM COIFA PARA DISCO 10" - CHI DIURNO. AF_08/2015</t>
        </is>
      </c>
      <c r="C3007" s="22" t="inlineStr">
        <is>
          <t>SINAPI</t>
        </is>
      </c>
      <c r="D3007" s="22" t="inlineStr">
        <is>
          <t>CHI</t>
        </is>
      </c>
      <c r="E3007" s="63" t="n">
        <v>0.4226</v>
      </c>
      <c r="F3007" s="64">
        <f>'COMPOSICOES AUXILIARES'!G2054</f>
        <v/>
      </c>
      <c r="G3007" s="64">
        <f>TRUNC(TRUNC(E3007,8)*F3007,2)</f>
        <v/>
      </c>
      <c r="L3007" t="n">
        <v>0.4226</v>
      </c>
      <c r="M3007" t="n">
        <v>35.72</v>
      </c>
      <c r="N3007">
        <f>(M3007-F3007)</f>
        <v/>
      </c>
    </row>
    <row r="3008" ht="29" customHeight="1">
      <c r="A3008" s="22" t="inlineStr">
        <is>
          <t>91692</t>
        </is>
      </c>
      <c r="B3008" s="23" t="inlineStr">
        <is>
          <t>SERRA CIRCULAR DE BANCADA COM MOTOR ELÉTRICO POTÊNCIA DE 5HP, COM COIFA PARA DISCO 10" - CHP DIURNO. AF_08/2015</t>
        </is>
      </c>
      <c r="C3008" s="22" t="inlineStr">
        <is>
          <t>SINAPI</t>
        </is>
      </c>
      <c r="D3008" s="22" t="inlineStr">
        <is>
          <t>CHP</t>
        </is>
      </c>
      <c r="E3008" s="63" t="n">
        <v>0.313</v>
      </c>
      <c r="F3008" s="64">
        <f>'COMPOSICOES AUXILIARES'!G2054</f>
        <v/>
      </c>
      <c r="G3008" s="64">
        <f>TRUNC(TRUNC(E3008,8)*F3008,2)</f>
        <v/>
      </c>
      <c r="L3008" t="n">
        <v>0.313</v>
      </c>
      <c r="M3008" t="n">
        <v>37.16</v>
      </c>
      <c r="N3008">
        <f>(M3008-F3008)</f>
        <v/>
      </c>
    </row>
    <row r="3009" ht="29" customHeight="1">
      <c r="A3009" s="22" t="inlineStr">
        <is>
          <t>90587</t>
        </is>
      </c>
      <c r="B3009" s="23" t="inlineStr">
        <is>
          <t>VIBRADOR DE IMERSÃO, DIÂMETRO DE PONTEIRA 45MM, MOTOR ELÉTRICO TRIFÁSICO POTÊNCIA DE 2 CV - CHI DIURNO. AF_06/2015</t>
        </is>
      </c>
      <c r="C3009" s="22" t="inlineStr">
        <is>
          <t>SINAPI</t>
        </is>
      </c>
      <c r="D3009" s="22" t="inlineStr">
        <is>
          <t>CHI</t>
        </is>
      </c>
      <c r="E3009" s="63" t="n">
        <v>12.7788</v>
      </c>
      <c r="F3009" s="64">
        <f>'COMPOSICOES AUXILIARES'!G1112</f>
        <v/>
      </c>
      <c r="G3009" s="64">
        <f>TRUNC(TRUNC(E3009,8)*F3009,2)</f>
        <v/>
      </c>
      <c r="L3009" t="n">
        <v>12.7788</v>
      </c>
      <c r="M3009" t="n">
        <v>0.5600000000000001</v>
      </c>
      <c r="N3009">
        <f>(M3009-F3009)</f>
        <v/>
      </c>
    </row>
    <row r="3010" ht="29" customHeight="1">
      <c r="A3010" s="22" t="inlineStr">
        <is>
          <t>90586</t>
        </is>
      </c>
      <c r="B3010" s="23" t="inlineStr">
        <is>
          <t>VIBRADOR DE IMERSÃO, DIÂMETRO DE PONTEIRA 45MM, MOTOR ELÉTRICO TRIFÁSICO POTÊNCIA DE 2 CV - CHP DIURNO. AF_06/2015</t>
        </is>
      </c>
      <c r="C3010" s="22" t="inlineStr">
        <is>
          <t>SINAPI</t>
        </is>
      </c>
      <c r="D3010" s="22" t="inlineStr">
        <is>
          <t>CHP</t>
        </is>
      </c>
      <c r="E3010" s="63" t="n">
        <v>4.6865</v>
      </c>
      <c r="F3010" s="64">
        <f>'COMPOSICOES AUXILIARES'!G1112</f>
        <v/>
      </c>
      <c r="G3010" s="64">
        <f>TRUNC(TRUNC(E3010,8)*F3010,2)</f>
        <v/>
      </c>
      <c r="L3010" t="n">
        <v>4.6865</v>
      </c>
      <c r="M3010" t="n">
        <v>1.44</v>
      </c>
      <c r="N3010">
        <f>(M3010-F3010)</f>
        <v/>
      </c>
    </row>
    <row r="3011" ht="18" customHeight="1">
      <c r="A3011" s="2" t="inlineStr"/>
      <c r="B3011" s="2" t="inlineStr"/>
      <c r="C3011" s="2" t="inlineStr"/>
      <c r="D3011" s="2" t="inlineStr"/>
      <c r="E3011" s="26" t="inlineStr">
        <is>
          <t>TOTAL Equipamento Custo Horário:</t>
        </is>
      </c>
      <c r="F3011" s="56" t="n"/>
      <c r="G3011" s="65">
        <f>SUM(G3007:G3010)</f>
        <v/>
      </c>
    </row>
    <row r="3012" ht="15" customHeight="1">
      <c r="A3012" s="20" t="inlineStr">
        <is>
          <t>Material</t>
        </is>
      </c>
      <c r="B3012" s="56" t="n"/>
      <c r="C3012" s="21" t="inlineStr">
        <is>
          <t>FONTE</t>
        </is>
      </c>
      <c r="D3012" s="21" t="inlineStr">
        <is>
          <t>UNID</t>
        </is>
      </c>
      <c r="E3012" s="21" t="inlineStr">
        <is>
          <t>COEFICIENTE</t>
        </is>
      </c>
      <c r="F3012" s="21" t="inlineStr">
        <is>
          <t>PREÇO UNITÁRIO</t>
        </is>
      </c>
      <c r="G3012" s="21" t="inlineStr">
        <is>
          <t>TOTAL</t>
        </is>
      </c>
    </row>
    <row r="3013" ht="29" customHeight="1">
      <c r="A3013" s="22" t="inlineStr">
        <is>
          <t>00001358</t>
        </is>
      </c>
      <c r="B3013" s="23" t="inlineStr">
        <is>
          <t>CHAPA/PAINEL DE MADEIRA COMPENSADA RESINADA (MADEIRITE RESINADO ROSA) PARA FORMA DE CONCRETO, DE 2200 X 1100 MM, E = 17 MM</t>
        </is>
      </c>
      <c r="C3013" s="22" t="inlineStr">
        <is>
          <t>SINAPI</t>
        </is>
      </c>
      <c r="D3013" s="22" t="inlineStr">
        <is>
          <t>M2</t>
        </is>
      </c>
      <c r="E3013" s="63" t="n">
        <v>1.3112</v>
      </c>
      <c r="F3013" s="64">
        <f>ROUND(M3013*FATOR, 2)</f>
        <v/>
      </c>
      <c r="G3013" s="64">
        <f>TRUNC(TRUNC(E3013,8)*F3013,2)</f>
        <v/>
      </c>
      <c r="L3013" t="n">
        <v>1.3112</v>
      </c>
      <c r="M3013" t="n">
        <v>57.71</v>
      </c>
      <c r="N3013">
        <f>(M3013-F3013)</f>
        <v/>
      </c>
    </row>
    <row r="3014" ht="21" customHeight="1">
      <c r="A3014" s="22" t="inlineStr">
        <is>
          <t>00002692</t>
        </is>
      </c>
      <c r="B3014" s="23" t="inlineStr">
        <is>
          <t>DESMOLDANTE PROTETOR PARA FORMAS DE MADEIRA, DE BASE OLEOSA EMULSIONADA EM AGUA</t>
        </is>
      </c>
      <c r="C3014" s="22" t="inlineStr">
        <is>
          <t>SINAPI</t>
        </is>
      </c>
      <c r="D3014" s="22" t="inlineStr">
        <is>
          <t>L</t>
        </is>
      </c>
      <c r="E3014" s="63" t="n">
        <v>0.0567</v>
      </c>
      <c r="F3014" s="64">
        <f>ROUND(M3014*FATOR, 2)</f>
        <v/>
      </c>
      <c r="G3014" s="64">
        <f>TRUNC(TRUNC(E3014,8)*F3014,2)</f>
        <v/>
      </c>
      <c r="L3014" t="n">
        <v>0.0567</v>
      </c>
      <c r="M3014" t="n">
        <v>8.06</v>
      </c>
      <c r="N3014">
        <f>(M3014-F3014)</f>
        <v/>
      </c>
    </row>
    <row r="3015" ht="15" customHeight="1">
      <c r="A3015" s="22" t="inlineStr">
        <is>
          <t>00020247</t>
        </is>
      </c>
      <c r="B3015" s="23" t="inlineStr">
        <is>
          <t>PREGO DE ACO POLIDO COM CABECA 15 X 15 (1 1/4 X 13)</t>
        </is>
      </c>
      <c r="C3015" s="22" t="inlineStr">
        <is>
          <t>SINAPI</t>
        </is>
      </c>
      <c r="D3015" s="22" t="inlineStr">
        <is>
          <t>KG</t>
        </is>
      </c>
      <c r="E3015" s="63" t="n">
        <v>0.2619</v>
      </c>
      <c r="F3015" s="64">
        <f>ROUND(M3015*FATOR, 2)</f>
        <v/>
      </c>
      <c r="G3015" s="64">
        <f>TRUNC(TRUNC(E3015,8)*F3015,2)</f>
        <v/>
      </c>
      <c r="L3015" t="n">
        <v>0.2619</v>
      </c>
      <c r="M3015" t="n">
        <v>15.71</v>
      </c>
      <c r="N3015">
        <f>(M3015-F3015)</f>
        <v/>
      </c>
    </row>
    <row r="3016" ht="21" customHeight="1">
      <c r="A3016" s="22" t="inlineStr">
        <is>
          <t>00004517</t>
        </is>
      </c>
      <c r="B3016" s="23" t="inlineStr">
        <is>
          <t>SARRAFO *2,5 X 7,5* CM EM PINUS, MISTA OU EQUIVALENTE DA REGIAO - BRUTA</t>
        </is>
      </c>
      <c r="C3016" s="22" t="inlineStr">
        <is>
          <t>SINAPI</t>
        </is>
      </c>
      <c r="D3016" s="22" t="inlineStr">
        <is>
          <t>M</t>
        </is>
      </c>
      <c r="E3016" s="63" t="n">
        <v>4.477</v>
      </c>
      <c r="F3016" s="64">
        <f>ROUND(M3016*FATOR, 2)</f>
        <v/>
      </c>
      <c r="G3016" s="64">
        <f>TRUNC(TRUNC(E3016,8)*F3016,2)</f>
        <v/>
      </c>
      <c r="L3016" t="n">
        <v>4.477</v>
      </c>
      <c r="M3016" t="n">
        <v>3.87</v>
      </c>
      <c r="N3016">
        <f>(M3016-F3016)</f>
        <v/>
      </c>
    </row>
    <row r="3017" ht="15" customHeight="1">
      <c r="A3017" s="2" t="inlineStr"/>
      <c r="B3017" s="2" t="inlineStr"/>
      <c r="C3017" s="2" t="inlineStr"/>
      <c r="D3017" s="2" t="inlineStr"/>
      <c r="E3017" s="26" t="inlineStr">
        <is>
          <t>TOTAL Material:</t>
        </is>
      </c>
      <c r="F3017" s="56" t="n"/>
      <c r="G3017" s="65">
        <f>SUM(G3013:G3016)</f>
        <v/>
      </c>
    </row>
    <row r="3018" ht="15" customHeight="1">
      <c r="A3018" s="20" t="inlineStr">
        <is>
          <t>Mão de Obra com Encargos Complementares</t>
        </is>
      </c>
      <c r="B3018" s="56" t="n"/>
      <c r="C3018" s="21" t="inlineStr">
        <is>
          <t>FONTE</t>
        </is>
      </c>
      <c r="D3018" s="21" t="inlineStr">
        <is>
          <t>UNID</t>
        </is>
      </c>
      <c r="E3018" s="21" t="inlineStr">
        <is>
          <t>COEFICIENTE</t>
        </is>
      </c>
      <c r="F3018" s="21" t="inlineStr">
        <is>
          <t>PREÇO UNITÁRIO</t>
        </is>
      </c>
      <c r="G3018" s="21" t="inlineStr">
        <is>
          <t>TOTAL</t>
        </is>
      </c>
    </row>
    <row r="3019" ht="21" customHeight="1">
      <c r="A3019" s="22" t="inlineStr">
        <is>
          <t>88239</t>
        </is>
      </c>
      <c r="B3019" s="23" t="inlineStr">
        <is>
          <t>AJUDANTE DE CARPINTEIRO COM ENCARGOS COMPLEMENTARES</t>
        </is>
      </c>
      <c r="C3019" s="22" t="inlineStr">
        <is>
          <t>SINAPI</t>
        </is>
      </c>
      <c r="D3019" s="22" t="inlineStr">
        <is>
          <t>H</t>
        </is>
      </c>
      <c r="E3019" s="63">
        <f>L3019*FATOR</f>
        <v/>
      </c>
      <c r="F3019" s="64">
        <f>'COMPOSICOES AUXILIARES'!G68</f>
        <v/>
      </c>
      <c r="G3019" s="64">
        <f>TRUNC(TRUNC(E3019,8)*F3019,2)</f>
        <v/>
      </c>
      <c r="L3019" t="n">
        <v>0.7356</v>
      </c>
      <c r="M3019" t="n">
        <v>24.61</v>
      </c>
      <c r="N3019">
        <f>(M3019-F3019)</f>
        <v/>
      </c>
    </row>
    <row r="3020" ht="21" customHeight="1">
      <c r="A3020" s="22" t="inlineStr">
        <is>
          <t>88261</t>
        </is>
      </c>
      <c r="B3020" s="23" t="inlineStr">
        <is>
          <t>CARPINTEIRO DE ESQUADRIAS COM ENCARGOS COMPLEMENTARES</t>
        </is>
      </c>
      <c r="C3020" s="22" t="inlineStr">
        <is>
          <t>SINAPI</t>
        </is>
      </c>
      <c r="D3020" s="22" t="inlineStr">
        <is>
          <t>H</t>
        </is>
      </c>
      <c r="E3020" s="63">
        <f>L3020*FATOR</f>
        <v/>
      </c>
      <c r="F3020" s="64">
        <f>'COMPOSICOES AUXILIARES'!G924</f>
        <v/>
      </c>
      <c r="G3020" s="64">
        <f>TRUNC(TRUNC(E3020,8)*F3020,2)</f>
        <v/>
      </c>
      <c r="L3020" t="n">
        <v>3.678</v>
      </c>
      <c r="M3020" t="n">
        <v>29.16</v>
      </c>
      <c r="N3020">
        <f>(M3020-F3020)</f>
        <v/>
      </c>
    </row>
    <row r="3021" ht="15" customHeight="1">
      <c r="A3021" s="22" t="inlineStr">
        <is>
          <t>88309</t>
        </is>
      </c>
      <c r="B3021" s="23" t="inlineStr">
        <is>
          <t>PEDREIRO COM ENCARGOS COMPLEMENTARES</t>
        </is>
      </c>
      <c r="C3021" s="22" t="inlineStr">
        <is>
          <t>SINAPI</t>
        </is>
      </c>
      <c r="D3021" s="22" t="inlineStr">
        <is>
          <t>H</t>
        </is>
      </c>
      <c r="E3021" s="63">
        <f>L3021*FATOR</f>
        <v/>
      </c>
      <c r="F3021" s="64">
        <f>'COMPOSICOES AUXILIARES'!G1112</f>
        <v/>
      </c>
      <c r="G3021" s="64">
        <f>TRUNC(TRUNC(E3021,8)*F3021,2)</f>
        <v/>
      </c>
      <c r="L3021" t="n">
        <v>22.4974</v>
      </c>
      <c r="M3021" t="n">
        <v>30.58</v>
      </c>
      <c r="N3021">
        <f>(M3021-F3021)</f>
        <v/>
      </c>
    </row>
    <row r="3022" ht="15" customHeight="1">
      <c r="A3022" s="22" t="inlineStr">
        <is>
          <t>88316</t>
        </is>
      </c>
      <c r="B3022" s="23" t="inlineStr">
        <is>
          <t>SERVENTE COM ENCARGOS COMPLEMENTARES</t>
        </is>
      </c>
      <c r="C3022" s="22" t="inlineStr">
        <is>
          <t>SINAPI</t>
        </is>
      </c>
      <c r="D3022" s="22" t="inlineStr">
        <is>
          <t>H</t>
        </is>
      </c>
      <c r="E3022" s="63">
        <f>L3022*FATOR</f>
        <v/>
      </c>
      <c r="F3022" s="64">
        <f>'COMPOSICOES AUXILIARES'!G161</f>
        <v/>
      </c>
      <c r="G3022" s="64">
        <f>TRUNC(TRUNC(E3022,8)*F3022,2)</f>
        <v/>
      </c>
      <c r="L3022" t="n">
        <v>22.4974</v>
      </c>
      <c r="M3022" t="n">
        <v>23.56</v>
      </c>
      <c r="N3022">
        <f>(M3022-F3022)</f>
        <v/>
      </c>
    </row>
    <row r="3023" ht="18" customHeight="1">
      <c r="A3023" s="2" t="inlineStr"/>
      <c r="B3023" s="2" t="inlineStr"/>
      <c r="C3023" s="2" t="inlineStr"/>
      <c r="D3023" s="2" t="inlineStr"/>
      <c r="E3023" s="26" t="inlineStr">
        <is>
          <t>TOTAL Mão de Obra com Encargos Complementares:</t>
        </is>
      </c>
      <c r="F3023" s="56" t="n"/>
      <c r="G3023" s="65">
        <f>SUM(G3019:G3022)</f>
        <v/>
      </c>
    </row>
    <row r="3024" ht="15" customHeight="1">
      <c r="A3024" s="20" t="inlineStr">
        <is>
          <t>Serviço</t>
        </is>
      </c>
      <c r="B3024" s="56" t="n"/>
      <c r="C3024" s="21" t="inlineStr">
        <is>
          <t>FONTE</t>
        </is>
      </c>
      <c r="D3024" s="21" t="inlineStr">
        <is>
          <t>UNID</t>
        </is>
      </c>
      <c r="E3024" s="21" t="inlineStr">
        <is>
          <t>COEFICIENTE</t>
        </is>
      </c>
      <c r="F3024" s="21" t="inlineStr">
        <is>
          <t>PREÇO UNITÁRIO</t>
        </is>
      </c>
      <c r="G3024" s="21" t="inlineStr">
        <is>
          <t>TOTAL</t>
        </is>
      </c>
    </row>
    <row r="3025" ht="29" customHeight="1">
      <c r="A3025" s="22" t="inlineStr">
        <is>
          <t>92767</t>
        </is>
      </c>
      <c r="B3025" s="23" t="inlineStr">
        <is>
          <t>ARMAÇÃO DE LAJE DE ESTRUTURA CONVENCIONAL DE CONCRETO ARMADO UTILIZANDO AÇO CA-60 DE 4,2 MM - MONTAGEM. AF_06/2022</t>
        </is>
      </c>
      <c r="C3025" s="22" t="inlineStr">
        <is>
          <t>SINAPI</t>
        </is>
      </c>
      <c r="D3025" s="22" t="inlineStr">
        <is>
          <t>KG</t>
        </is>
      </c>
      <c r="E3025" s="63" t="n">
        <v>28.9369</v>
      </c>
      <c r="F3025" s="64">
        <f>'COMPOSICOES AUXILIARES'!G445</f>
        <v/>
      </c>
      <c r="G3025" s="64">
        <f>TRUNC(TRUNC(E3025,8)*F3025,2)</f>
        <v/>
      </c>
      <c r="L3025" t="n">
        <v>28.9369</v>
      </c>
      <c r="M3025" t="n">
        <v>15.32</v>
      </c>
      <c r="N3025">
        <f>(M3025-F3025)</f>
        <v/>
      </c>
    </row>
    <row r="3026" ht="29" customHeight="1">
      <c r="A3026" s="22" t="inlineStr">
        <is>
          <t>94972</t>
        </is>
      </c>
      <c r="B3026" s="23" t="inlineStr">
        <is>
          <t>CONCRETO FCK = 30MPA, TRAÇO 1:2,1:2,5 (EM MASSA SECA DE CIMENTO/ AREIA MÉDIA/ BRITA 1) - PREPARO MECÂNICO COM BETONEIRA 600 L. AF_05/2021</t>
        </is>
      </c>
      <c r="C3026" s="22" t="inlineStr">
        <is>
          <t>SINAPI</t>
        </is>
      </c>
      <c r="D3026" s="22" t="inlineStr">
        <is>
          <t>M3</t>
        </is>
      </c>
      <c r="E3026" s="63" t="n">
        <v>1.2</v>
      </c>
      <c r="F3026" s="64">
        <f>'COMPOSICOES AUXILIARES'!G1232</f>
        <v/>
      </c>
      <c r="G3026" s="64">
        <f>TRUNC(TRUNC(E3026,8)*F3026,2)</f>
        <v/>
      </c>
      <c r="L3026" t="n">
        <v>1.2</v>
      </c>
      <c r="M3026" t="n">
        <v>535.17</v>
      </c>
      <c r="N3026">
        <f>(M3026-F3026)</f>
        <v/>
      </c>
    </row>
    <row r="3027" ht="15" customHeight="1">
      <c r="A3027" s="2" t="inlineStr"/>
      <c r="B3027" s="2" t="inlineStr"/>
      <c r="C3027" s="2" t="inlineStr"/>
      <c r="D3027" s="2" t="inlineStr"/>
      <c r="E3027" s="26" t="inlineStr">
        <is>
          <t>TOTAL Serviço:</t>
        </is>
      </c>
      <c r="F3027" s="56" t="n"/>
      <c r="G3027" s="65">
        <f>SUM(G3025:G3026)</f>
        <v/>
      </c>
    </row>
    <row r="3028" ht="15" customHeight="1">
      <c r="A3028" s="2" t="inlineStr"/>
      <c r="B3028" s="2" t="inlineStr"/>
      <c r="C3028" s="2" t="inlineStr"/>
      <c r="D3028" s="2" t="inlineStr"/>
      <c r="E3028" s="28" t="inlineStr">
        <is>
          <t>VALOR:</t>
        </is>
      </c>
      <c r="F3028" s="56" t="n"/>
      <c r="G3028" s="66">
        <f>SUM(G3017,G3011,G3027,G3023)</f>
        <v/>
      </c>
    </row>
    <row r="3029" ht="15" customHeight="1">
      <c r="A3029" s="2" t="inlineStr"/>
      <c r="B3029" s="2" t="inlineStr"/>
      <c r="C3029" s="2" t="inlineStr"/>
      <c r="D3029" s="2" t="inlineStr"/>
      <c r="E3029" s="28" t="inlineStr">
        <is>
          <t>VALOR BDI (23.08%):</t>
        </is>
      </c>
      <c r="F3029" s="56" t="n"/>
      <c r="G3029" s="66">
        <f>ROUNDDOWN(G3028*BDI,2)</f>
        <v/>
      </c>
    </row>
    <row r="3030" ht="15" customHeight="1">
      <c r="A3030" s="2" t="inlineStr"/>
      <c r="B3030" s="2" t="inlineStr"/>
      <c r="C3030" s="2" t="inlineStr"/>
      <c r="D3030" s="2" t="inlineStr"/>
      <c r="E3030" s="28" t="inlineStr">
        <is>
          <t>VALOR COM BDI:</t>
        </is>
      </c>
      <c r="F3030" s="56" t="n"/>
      <c r="G3030" s="66">
        <f>G3029 + G3028</f>
        <v/>
      </c>
    </row>
    <row r="3031" ht="10" customHeight="1">
      <c r="A3031" s="2" t="inlineStr"/>
      <c r="B3031" s="2" t="inlineStr"/>
      <c r="C3031" s="2" t="inlineStr"/>
      <c r="D3031" s="2" t="inlineStr"/>
      <c r="E3031" s="18" t="inlineStr"/>
    </row>
    <row r="3032" ht="20" customHeight="1">
      <c r="A3032" s="19" t="inlineStr">
        <is>
          <t>​88310​ PINTOR COM ENCARGOS COMPLEMENTARES​ (H)</t>
        </is>
      </c>
      <c r="B3032" s="55" t="n"/>
      <c r="C3032" s="55" t="n"/>
      <c r="D3032" s="55" t="n"/>
      <c r="E3032" s="55" t="n"/>
      <c r="F3032" s="55" t="n"/>
      <c r="G3032" s="56" t="n"/>
    </row>
    <row r="3033" ht="15" customHeight="1">
      <c r="A3033" s="20" t="inlineStr">
        <is>
          <t>Encargos Complementares</t>
        </is>
      </c>
      <c r="B3033" s="56" t="n"/>
      <c r="C3033" s="21" t="inlineStr">
        <is>
          <t>FONTE</t>
        </is>
      </c>
      <c r="D3033" s="21" t="inlineStr">
        <is>
          <t>UNID</t>
        </is>
      </c>
      <c r="E3033" s="21" t="inlineStr">
        <is>
          <t>COEFICIENTE</t>
        </is>
      </c>
      <c r="F3033" s="21" t="inlineStr">
        <is>
          <t>PREÇO UNITÁRIO</t>
        </is>
      </c>
      <c r="G3033" s="21" t="inlineStr">
        <is>
          <t>TOTAL</t>
        </is>
      </c>
    </row>
    <row r="3034" ht="21" customHeight="1">
      <c r="A3034" s="22" t="inlineStr">
        <is>
          <t>00037370</t>
        </is>
      </c>
      <c r="B3034" s="23" t="inlineStr">
        <is>
          <t>ALIMENTACAO - HORISTA (COLETADO CAIXA - ENCARGOS COMPLEMENTARES)</t>
        </is>
      </c>
      <c r="C3034" s="22" t="inlineStr">
        <is>
          <t>SINAPI</t>
        </is>
      </c>
      <c r="D3034" s="22" t="inlineStr">
        <is>
          <t>H</t>
        </is>
      </c>
      <c r="E3034" s="63" t="n">
        <v>1</v>
      </c>
      <c r="F3034" s="64" t="n">
        <v>3.62</v>
      </c>
      <c r="G3034" s="64">
        <f>TRUNC(TRUNC(E3034,8)*F3034,2)</f>
        <v/>
      </c>
      <c r="L3034" t="n">
        <v>1</v>
      </c>
      <c r="M3034" t="n">
        <v>3.62</v>
      </c>
      <c r="N3034">
        <f>(M3034-F3034)</f>
        <v/>
      </c>
    </row>
    <row r="3035" ht="21" customHeight="1">
      <c r="A3035" s="22" t="inlineStr">
        <is>
          <t>00043490</t>
        </is>
      </c>
      <c r="B3035" s="23" t="inlineStr">
        <is>
          <t>EPI - FAMILIA PINTOR - HORISTA (ENCARGOS COMPLEMENTARES - COLETADO CAIXA)</t>
        </is>
      </c>
      <c r="C3035" s="22" t="inlineStr">
        <is>
          <t>SINAPI</t>
        </is>
      </c>
      <c r="D3035" s="22" t="inlineStr">
        <is>
          <t>H</t>
        </is>
      </c>
      <c r="E3035" s="63" t="n">
        <v>1</v>
      </c>
      <c r="F3035" s="64" t="n">
        <v>1.85</v>
      </c>
      <c r="G3035" s="64">
        <f>TRUNC(TRUNC(E3035,8)*F3035,2)</f>
        <v/>
      </c>
      <c r="L3035" t="n">
        <v>1</v>
      </c>
      <c r="M3035" t="n">
        <v>1.85</v>
      </c>
      <c r="N3035">
        <f>(M3035-F3035)</f>
        <v/>
      </c>
    </row>
    <row r="3036" ht="21" customHeight="1">
      <c r="A3036" s="22" t="inlineStr">
        <is>
          <t>00037372</t>
        </is>
      </c>
      <c r="B3036" s="23" t="inlineStr">
        <is>
          <t>EXAMES - HORISTA (COLETADO CAIXA - ENCARGOS COMPLEMENTARES)</t>
        </is>
      </c>
      <c r="C3036" s="22" t="inlineStr">
        <is>
          <t>SINAPI</t>
        </is>
      </c>
      <c r="D3036" s="22" t="inlineStr">
        <is>
          <t>H</t>
        </is>
      </c>
      <c r="E3036" s="63" t="n">
        <v>1</v>
      </c>
      <c r="F3036" s="64" t="n">
        <v>1.43</v>
      </c>
      <c r="G3036" s="64">
        <f>TRUNC(TRUNC(E3036,8)*F3036,2)</f>
        <v/>
      </c>
      <c r="L3036" t="n">
        <v>1</v>
      </c>
      <c r="M3036" t="n">
        <v>1.43</v>
      </c>
      <c r="N3036">
        <f>(M3036-F3036)</f>
        <v/>
      </c>
    </row>
    <row r="3037" ht="21" customHeight="1">
      <c r="A3037" s="22" t="inlineStr">
        <is>
          <t>00043466</t>
        </is>
      </c>
      <c r="B3037" s="23" t="inlineStr">
        <is>
          <t>FERRAMENTAS - FAMILIA PINTOR - HORISTA (ENCARGOS COMPLEMENTARES - COLETADO CAIXA)</t>
        </is>
      </c>
      <c r="C3037" s="22" t="inlineStr">
        <is>
          <t>SINAPI</t>
        </is>
      </c>
      <c r="D3037" s="22" t="inlineStr">
        <is>
          <t>H</t>
        </is>
      </c>
      <c r="E3037" s="63" t="n">
        <v>1</v>
      </c>
      <c r="F3037" s="64" t="n">
        <v>2.05</v>
      </c>
      <c r="G3037" s="64">
        <f>TRUNC(TRUNC(E3037,8)*F3037,2)</f>
        <v/>
      </c>
      <c r="L3037" t="n">
        <v>1</v>
      </c>
      <c r="M3037" t="n">
        <v>2.05</v>
      </c>
      <c r="N3037">
        <f>(M3037-F3037)</f>
        <v/>
      </c>
    </row>
    <row r="3038" ht="21" customHeight="1">
      <c r="A3038" s="22" t="inlineStr">
        <is>
          <t>00037373</t>
        </is>
      </c>
      <c r="B3038" s="23" t="inlineStr">
        <is>
          <t>SEGURO - HORISTA (COLETADO CAIXA - ENCARGOS COMPLEMENTARES)</t>
        </is>
      </c>
      <c r="C3038" s="22" t="inlineStr">
        <is>
          <t>SINAPI</t>
        </is>
      </c>
      <c r="D3038" s="22" t="inlineStr">
        <is>
          <t>H</t>
        </is>
      </c>
      <c r="E3038" s="63" t="n">
        <v>1</v>
      </c>
      <c r="F3038" s="64" t="n">
        <v>0.08</v>
      </c>
      <c r="G3038" s="64">
        <f>TRUNC(TRUNC(E3038,8)*F3038,2)</f>
        <v/>
      </c>
      <c r="L3038" t="n">
        <v>1</v>
      </c>
      <c r="M3038" t="n">
        <v>0.08</v>
      </c>
      <c r="N3038">
        <f>(M3038-F3038)</f>
        <v/>
      </c>
    </row>
    <row r="3039" ht="21" customHeight="1">
      <c r="A3039" s="22" t="inlineStr">
        <is>
          <t>00037371</t>
        </is>
      </c>
      <c r="B3039" s="23" t="inlineStr">
        <is>
          <t>TRANSPORTE - HORISTA (COLETADO CAIXA - ENCARGOS COMPLEMENTARES)</t>
        </is>
      </c>
      <c r="C3039" s="22" t="inlineStr">
        <is>
          <t>SINAPI</t>
        </is>
      </c>
      <c r="D3039" s="22" t="inlineStr">
        <is>
          <t>H</t>
        </is>
      </c>
      <c r="E3039" s="63" t="n">
        <v>1</v>
      </c>
      <c r="F3039" s="64" t="n">
        <v>1.09</v>
      </c>
      <c r="G3039" s="64">
        <f>TRUNC(TRUNC(E3039,8)*F3039,2)</f>
        <v/>
      </c>
      <c r="L3039" t="n">
        <v>1</v>
      </c>
      <c r="M3039" t="n">
        <v>1.09</v>
      </c>
      <c r="N3039">
        <f>(M3039-F3039)</f>
        <v/>
      </c>
    </row>
    <row r="3040" ht="15" customHeight="1">
      <c r="A3040" s="2" t="inlineStr"/>
      <c r="B3040" s="2" t="inlineStr"/>
      <c r="C3040" s="2" t="inlineStr"/>
      <c r="D3040" s="2" t="inlineStr"/>
      <c r="E3040" s="26" t="inlineStr">
        <is>
          <t>TOTAL Encargos Complementares:</t>
        </is>
      </c>
      <c r="F3040" s="56" t="n"/>
      <c r="G3040" s="65">
        <f>SUM(G3034:G3039)</f>
        <v/>
      </c>
    </row>
    <row r="3041" ht="15" customHeight="1">
      <c r="A3041" s="20" t="inlineStr">
        <is>
          <t>Mão de Obra</t>
        </is>
      </c>
      <c r="B3041" s="56" t="n"/>
      <c r="C3041" s="21" t="inlineStr">
        <is>
          <t>FONTE</t>
        </is>
      </c>
      <c r="D3041" s="21" t="inlineStr">
        <is>
          <t>UNID</t>
        </is>
      </c>
      <c r="E3041" s="21" t="inlineStr">
        <is>
          <t>COEFICIENTE</t>
        </is>
      </c>
      <c r="F3041" s="21" t="inlineStr">
        <is>
          <t>PREÇO UNITÁRIO</t>
        </is>
      </c>
      <c r="G3041" s="21" t="inlineStr">
        <is>
          <t>TOTAL</t>
        </is>
      </c>
    </row>
    <row r="3042" ht="15" customHeight="1">
      <c r="A3042" s="22" t="inlineStr">
        <is>
          <t>00004783</t>
        </is>
      </c>
      <c r="B3042" s="23" t="inlineStr">
        <is>
          <t>PINTOR (HORISTA)</t>
        </is>
      </c>
      <c r="C3042" s="22" t="inlineStr">
        <is>
          <t>SINAPI</t>
        </is>
      </c>
      <c r="D3042" s="22" t="inlineStr">
        <is>
          <t>H</t>
        </is>
      </c>
      <c r="E3042" s="63">
        <f>L3042*FATOR</f>
        <v/>
      </c>
      <c r="F3042" s="64" t="n">
        <v>21.81</v>
      </c>
      <c r="G3042" s="64">
        <f>TRUNC(TRUNC(E3042,8)*F3042,2)</f>
        <v/>
      </c>
      <c r="L3042" t="n">
        <v>1</v>
      </c>
      <c r="M3042" t="n">
        <v>21.81</v>
      </c>
      <c r="N3042">
        <f>(M3042-F3042)</f>
        <v/>
      </c>
    </row>
    <row r="3043" ht="15" customHeight="1">
      <c r="A3043" s="2" t="inlineStr"/>
      <c r="B3043" s="2" t="inlineStr"/>
      <c r="C3043" s="2" t="inlineStr"/>
      <c r="D3043" s="2" t="inlineStr"/>
      <c r="E3043" s="26" t="inlineStr">
        <is>
          <t>TOTAL Mão de Obra:</t>
        </is>
      </c>
      <c r="F3043" s="56" t="n"/>
      <c r="G3043" s="65">
        <f>SUM(G3042:G3042)</f>
        <v/>
      </c>
    </row>
    <row r="3044" ht="15" customHeight="1">
      <c r="A3044" s="20" t="inlineStr">
        <is>
          <t>Serviço</t>
        </is>
      </c>
      <c r="B3044" s="56" t="n"/>
      <c r="C3044" s="21" t="inlineStr">
        <is>
          <t>FONTE</t>
        </is>
      </c>
      <c r="D3044" s="21" t="inlineStr">
        <is>
          <t>UNID</t>
        </is>
      </c>
      <c r="E3044" s="21" t="inlineStr">
        <is>
          <t>COEFICIENTE</t>
        </is>
      </c>
      <c r="F3044" s="21" t="inlineStr">
        <is>
          <t>PREÇO UNITÁRIO</t>
        </is>
      </c>
      <c r="G3044" s="21" t="inlineStr">
        <is>
          <t>TOTAL</t>
        </is>
      </c>
    </row>
    <row r="3045" ht="21" customHeight="1">
      <c r="A3045" s="22" t="inlineStr">
        <is>
          <t>95372</t>
        </is>
      </c>
      <c r="B3045" s="23" t="inlineStr">
        <is>
          <t>CURSO DE CAPACITAÇÃO PARA PINTOR (ENCARGOS COMPLEMENTARES) - HORISTA</t>
        </is>
      </c>
      <c r="C3045" s="22" t="inlineStr">
        <is>
          <t>SINAPI</t>
        </is>
      </c>
      <c r="D3045" s="22" t="inlineStr">
        <is>
          <t>H</t>
        </is>
      </c>
      <c r="E3045" s="63" t="n">
        <v>1</v>
      </c>
      <c r="F3045" s="64">
        <f>'COMPOSICOES AUXILIARES'!G1755</f>
        <v/>
      </c>
      <c r="G3045" s="64">
        <f>TRUNC(TRUNC(E3045,8)*F3045,2)</f>
        <v/>
      </c>
      <c r="L3045" t="n">
        <v>1</v>
      </c>
      <c r="M3045" t="n">
        <v>0.32</v>
      </c>
      <c r="N3045">
        <f>(M3045-F3045)</f>
        <v/>
      </c>
    </row>
    <row r="3046" ht="15" customHeight="1">
      <c r="A3046" s="2" t="inlineStr"/>
      <c r="B3046" s="2" t="inlineStr"/>
      <c r="C3046" s="2" t="inlineStr"/>
      <c r="D3046" s="2" t="inlineStr"/>
      <c r="E3046" s="26" t="inlineStr">
        <is>
          <t>TOTAL Serviço:</t>
        </is>
      </c>
      <c r="F3046" s="56" t="n"/>
      <c r="G3046" s="65">
        <f>SUM(G3045:G3045)</f>
        <v/>
      </c>
    </row>
    <row r="3047" ht="15" customHeight="1">
      <c r="A3047" s="2" t="inlineStr"/>
      <c r="B3047" s="2" t="inlineStr"/>
      <c r="C3047" s="2" t="inlineStr"/>
      <c r="D3047" s="2" t="inlineStr"/>
      <c r="E3047" s="28" t="inlineStr">
        <is>
          <t>VALOR:</t>
        </is>
      </c>
      <c r="F3047" s="56" t="n"/>
      <c r="G3047" s="66">
        <f>SUM(G3040,G3043,G3046)</f>
        <v/>
      </c>
    </row>
    <row r="3048" ht="15" customHeight="1">
      <c r="A3048" s="2" t="inlineStr"/>
      <c r="B3048" s="2" t="inlineStr"/>
      <c r="C3048" s="2" t="inlineStr"/>
      <c r="D3048" s="2" t="inlineStr"/>
      <c r="E3048" s="28" t="inlineStr">
        <is>
          <t>VALOR BDI (23.08%):</t>
        </is>
      </c>
      <c r="F3048" s="56" t="n"/>
      <c r="G3048" s="66">
        <f>ROUNDDOWN(G3047*BDI,2)</f>
        <v/>
      </c>
    </row>
    <row r="3049" ht="15" customHeight="1">
      <c r="A3049" s="2" t="inlineStr"/>
      <c r="B3049" s="2" t="inlineStr"/>
      <c r="C3049" s="2" t="inlineStr"/>
      <c r="D3049" s="2" t="inlineStr"/>
      <c r="E3049" s="28" t="inlineStr">
        <is>
          <t>VALOR COM BDI:</t>
        </is>
      </c>
      <c r="F3049" s="56" t="n"/>
      <c r="G3049" s="66">
        <f>G3048 + G3047</f>
        <v/>
      </c>
    </row>
    <row r="3050" ht="10" customHeight="1">
      <c r="A3050" s="2" t="inlineStr"/>
      <c r="B3050" s="2" t="inlineStr"/>
      <c r="C3050" s="2" t="inlineStr"/>
      <c r="D3050" s="2" t="inlineStr"/>
      <c r="E3050" s="18" t="inlineStr"/>
    </row>
    <row r="3051" ht="20" customHeight="1">
      <c r="A3051" s="19" t="inlineStr">
        <is>
          <t>​100719​ PINTURA COM TINTA ALQUÍDICA DE FUNDO (TIPO ZARCÃO) PULVERIZADA SOBRE PERFIL METÁLICO EXECUTADO EM FÁBRICA (POR DEMÃO). AF_01/2020_PE​ (M2)</t>
        </is>
      </c>
      <c r="B3051" s="55" t="n"/>
      <c r="C3051" s="55" t="n"/>
      <c r="D3051" s="55" t="n"/>
      <c r="E3051" s="55" t="n"/>
      <c r="F3051" s="55" t="n"/>
      <c r="G3051" s="56" t="n"/>
    </row>
    <row r="3052" ht="15" customHeight="1">
      <c r="A3052" s="20" t="inlineStr">
        <is>
          <t>Material</t>
        </is>
      </c>
      <c r="B3052" s="56" t="n"/>
      <c r="C3052" s="21" t="inlineStr">
        <is>
          <t>FONTE</t>
        </is>
      </c>
      <c r="D3052" s="21" t="inlineStr">
        <is>
          <t>UNID</t>
        </is>
      </c>
      <c r="E3052" s="21" t="inlineStr">
        <is>
          <t>COEFICIENTE</t>
        </is>
      </c>
      <c r="F3052" s="21" t="inlineStr">
        <is>
          <t>PREÇO UNITÁRIO</t>
        </is>
      </c>
      <c r="G3052" s="21" t="inlineStr">
        <is>
          <t>TOTAL</t>
        </is>
      </c>
    </row>
    <row r="3053" ht="15" customHeight="1">
      <c r="A3053" s="22" t="inlineStr">
        <is>
          <t>00005318</t>
        </is>
      </c>
      <c r="B3053" s="23" t="inlineStr">
        <is>
          <t>DILUENTE AGUARRAS</t>
        </is>
      </c>
      <c r="C3053" s="22" t="inlineStr">
        <is>
          <t>SINAPI</t>
        </is>
      </c>
      <c r="D3053" s="22" t="inlineStr">
        <is>
          <t>L</t>
        </is>
      </c>
      <c r="E3053" s="63" t="n">
        <v>0.0575</v>
      </c>
      <c r="F3053" s="64">
        <f>ROUND(M3053*FATOR, 2)</f>
        <v/>
      </c>
      <c r="G3053" s="64">
        <f>TRUNC(TRUNC(E3053,8)*F3053,2)</f>
        <v/>
      </c>
      <c r="L3053" t="n">
        <v>0.0575</v>
      </c>
      <c r="M3053" t="n">
        <v>23.98</v>
      </c>
      <c r="N3053">
        <f>(M3053-F3053)</f>
        <v/>
      </c>
    </row>
    <row r="3054" ht="21" customHeight="1">
      <c r="A3054" s="22" t="inlineStr">
        <is>
          <t>00007307</t>
        </is>
      </c>
      <c r="B3054" s="23" t="inlineStr">
        <is>
          <t>FUNDO ANTICORROSIVO PARA METAIS FERROSOS (ZARCAO)</t>
        </is>
      </c>
      <c r="C3054" s="22" t="inlineStr">
        <is>
          <t>SINAPI</t>
        </is>
      </c>
      <c r="D3054" s="22" t="inlineStr">
        <is>
          <t>L</t>
        </is>
      </c>
      <c r="E3054" s="63" t="n">
        <v>0.1908</v>
      </c>
      <c r="F3054" s="64">
        <f>ROUND(M3054*FATOR, 2)</f>
        <v/>
      </c>
      <c r="G3054" s="64">
        <f>TRUNC(TRUNC(E3054,8)*F3054,2)</f>
        <v/>
      </c>
      <c r="L3054" t="n">
        <v>0.1908</v>
      </c>
      <c r="M3054" t="n">
        <v>48.68</v>
      </c>
      <c r="N3054">
        <f>(M3054-F3054)</f>
        <v/>
      </c>
    </row>
    <row r="3055" ht="15" customHeight="1">
      <c r="A3055" s="2" t="inlineStr"/>
      <c r="B3055" s="2" t="inlineStr"/>
      <c r="C3055" s="2" t="inlineStr"/>
      <c r="D3055" s="2" t="inlineStr"/>
      <c r="E3055" s="26" t="inlineStr">
        <is>
          <t>TOTAL Material:</t>
        </is>
      </c>
      <c r="F3055" s="56" t="n"/>
      <c r="G3055" s="65">
        <f>SUM(G3053:G3054)</f>
        <v/>
      </c>
    </row>
    <row r="3056" ht="15" customHeight="1">
      <c r="A3056" s="20" t="inlineStr">
        <is>
          <t>Mão de Obra com Encargos Complementares</t>
        </is>
      </c>
      <c r="B3056" s="56" t="n"/>
      <c r="C3056" s="21" t="inlineStr">
        <is>
          <t>FONTE</t>
        </is>
      </c>
      <c r="D3056" s="21" t="inlineStr">
        <is>
          <t>UNID</t>
        </is>
      </c>
      <c r="E3056" s="21" t="inlineStr">
        <is>
          <t>COEFICIENTE</t>
        </is>
      </c>
      <c r="F3056" s="21" t="inlineStr">
        <is>
          <t>PREÇO UNITÁRIO</t>
        </is>
      </c>
      <c r="G3056" s="21" t="inlineStr">
        <is>
          <t>TOTAL</t>
        </is>
      </c>
    </row>
    <row r="3057" ht="15" customHeight="1">
      <c r="A3057" s="22" t="inlineStr">
        <is>
          <t>88310</t>
        </is>
      </c>
      <c r="B3057" s="23" t="inlineStr">
        <is>
          <t>PINTOR COM ENCARGOS COMPLEMENTARES</t>
        </is>
      </c>
      <c r="C3057" s="22" t="inlineStr">
        <is>
          <t>SINAPI</t>
        </is>
      </c>
      <c r="D3057" s="22" t="inlineStr">
        <is>
          <t>H</t>
        </is>
      </c>
      <c r="E3057" s="63">
        <f>L3057*FATOR</f>
        <v/>
      </c>
      <c r="F3057" s="64">
        <f>'COMPOSICOES AUXILIARES'!G3047</f>
        <v/>
      </c>
      <c r="G3057" s="64">
        <f>TRUNC(TRUNC(E3057,8)*F3057,2)</f>
        <v/>
      </c>
      <c r="L3057" t="n">
        <v>0.0635</v>
      </c>
      <c r="M3057" t="n">
        <v>32.25</v>
      </c>
      <c r="N3057">
        <f>(M3057-F3057)</f>
        <v/>
      </c>
    </row>
    <row r="3058" ht="18" customHeight="1">
      <c r="A3058" s="2" t="inlineStr"/>
      <c r="B3058" s="2" t="inlineStr"/>
      <c r="C3058" s="2" t="inlineStr"/>
      <c r="D3058" s="2" t="inlineStr"/>
      <c r="E3058" s="26" t="inlineStr">
        <is>
          <t>TOTAL Mão de Obra com Encargos Complementares:</t>
        </is>
      </c>
      <c r="F3058" s="56" t="n"/>
      <c r="G3058" s="65">
        <f>SUM(G3057:G3057)</f>
        <v/>
      </c>
    </row>
    <row r="3059" ht="15" customHeight="1">
      <c r="A3059" s="2" t="inlineStr"/>
      <c r="B3059" s="2" t="inlineStr"/>
      <c r="C3059" s="2" t="inlineStr"/>
      <c r="D3059" s="2" t="inlineStr"/>
      <c r="E3059" s="28" t="inlineStr">
        <is>
          <t>VALOR:</t>
        </is>
      </c>
      <c r="F3059" s="56" t="n"/>
      <c r="G3059" s="66">
        <f>SUM(G3058,G3055)</f>
        <v/>
      </c>
    </row>
    <row r="3060" ht="15" customHeight="1">
      <c r="A3060" s="2" t="inlineStr"/>
      <c r="B3060" s="2" t="inlineStr"/>
      <c r="C3060" s="2" t="inlineStr"/>
      <c r="D3060" s="2" t="inlineStr"/>
      <c r="E3060" s="28" t="inlineStr">
        <is>
          <t>VALOR BDI (23.08%):</t>
        </is>
      </c>
      <c r="F3060" s="56" t="n"/>
      <c r="G3060" s="66">
        <f>ROUNDDOWN(G3059*BDI,2)</f>
        <v/>
      </c>
    </row>
    <row r="3061" ht="15" customHeight="1">
      <c r="A3061" s="2" t="inlineStr"/>
      <c r="B3061" s="2" t="inlineStr"/>
      <c r="C3061" s="2" t="inlineStr"/>
      <c r="D3061" s="2" t="inlineStr"/>
      <c r="E3061" s="28" t="inlineStr">
        <is>
          <t>VALOR COM BDI:</t>
        </is>
      </c>
      <c r="F3061" s="56" t="n"/>
      <c r="G3061" s="66">
        <f>G3060 + G3059</f>
        <v/>
      </c>
    </row>
    <row r="3062" ht="10" customHeight="1">
      <c r="A3062" s="2" t="inlineStr"/>
      <c r="B3062" s="2" t="inlineStr"/>
      <c r="C3062" s="2" t="inlineStr"/>
      <c r="D3062" s="2" t="inlineStr"/>
      <c r="E3062" s="18" t="inlineStr"/>
    </row>
    <row r="3063" ht="20" customHeight="1">
      <c r="A3063" s="19" t="inlineStr">
        <is>
          <t>​102234​ PINTURA IMUNIZANTE PARA MADEIRA, 2 DEMÃOS. AF_01/2021​ (M2)</t>
        </is>
      </c>
      <c r="B3063" s="55" t="n"/>
      <c r="C3063" s="55" t="n"/>
      <c r="D3063" s="55" t="n"/>
      <c r="E3063" s="55" t="n"/>
      <c r="F3063" s="55" t="n"/>
      <c r="G3063" s="56" t="n"/>
    </row>
    <row r="3064" ht="15" customHeight="1">
      <c r="A3064" s="20" t="inlineStr">
        <is>
          <t>Material</t>
        </is>
      </c>
      <c r="B3064" s="56" t="n"/>
      <c r="C3064" s="21" t="inlineStr">
        <is>
          <t>FONTE</t>
        </is>
      </c>
      <c r="D3064" s="21" t="inlineStr">
        <is>
          <t>UNID</t>
        </is>
      </c>
      <c r="E3064" s="21" t="inlineStr">
        <is>
          <t>COEFICIENTE</t>
        </is>
      </c>
      <c r="F3064" s="21" t="inlineStr">
        <is>
          <t>PREÇO UNITÁRIO</t>
        </is>
      </c>
      <c r="G3064" s="21" t="inlineStr">
        <is>
          <t>TOTAL</t>
        </is>
      </c>
    </row>
    <row r="3065" ht="15" customHeight="1">
      <c r="A3065" s="22" t="inlineStr">
        <is>
          <t>00007340</t>
        </is>
      </c>
      <c r="B3065" s="23" t="inlineStr">
        <is>
          <t>IMUNIZANTE PARA MADEIRA, INCOLOR</t>
        </is>
      </c>
      <c r="C3065" s="22" t="inlineStr">
        <is>
          <t>SINAPI</t>
        </is>
      </c>
      <c r="D3065" s="22" t="inlineStr">
        <is>
          <t>L</t>
        </is>
      </c>
      <c r="E3065" s="63" t="n">
        <v>0.3257</v>
      </c>
      <c r="F3065" s="64">
        <f>ROUND(M3065*FATOR, 2)</f>
        <v/>
      </c>
      <c r="G3065" s="64">
        <f>TRUNC(TRUNC(E3065,8)*F3065,2)</f>
        <v/>
      </c>
      <c r="L3065" t="n">
        <v>0.3257</v>
      </c>
      <c r="M3065" t="n">
        <v>26.86</v>
      </c>
      <c r="N3065">
        <f>(M3065-F3065)</f>
        <v/>
      </c>
    </row>
    <row r="3066" ht="15" customHeight="1">
      <c r="A3066" s="2" t="inlineStr"/>
      <c r="B3066" s="2" t="inlineStr"/>
      <c r="C3066" s="2" t="inlineStr"/>
      <c r="D3066" s="2" t="inlineStr"/>
      <c r="E3066" s="26" t="inlineStr">
        <is>
          <t>TOTAL Material:</t>
        </is>
      </c>
      <c r="F3066" s="56" t="n"/>
      <c r="G3066" s="65">
        <f>SUM(G3065:G3065)</f>
        <v/>
      </c>
    </row>
    <row r="3067" ht="15" customHeight="1">
      <c r="A3067" s="20" t="inlineStr">
        <is>
          <t>Mão de Obra com Encargos Complementares</t>
        </is>
      </c>
      <c r="B3067" s="56" t="n"/>
      <c r="C3067" s="21" t="inlineStr">
        <is>
          <t>FONTE</t>
        </is>
      </c>
      <c r="D3067" s="21" t="inlineStr">
        <is>
          <t>UNID</t>
        </is>
      </c>
      <c r="E3067" s="21" t="inlineStr">
        <is>
          <t>COEFICIENTE</t>
        </is>
      </c>
      <c r="F3067" s="21" t="inlineStr">
        <is>
          <t>PREÇO UNITÁRIO</t>
        </is>
      </c>
      <c r="G3067" s="21" t="inlineStr">
        <is>
          <t>TOTAL</t>
        </is>
      </c>
    </row>
    <row r="3068" ht="15" customHeight="1">
      <c r="A3068" s="22" t="inlineStr">
        <is>
          <t>88310</t>
        </is>
      </c>
      <c r="B3068" s="23" t="inlineStr">
        <is>
          <t>PINTOR COM ENCARGOS COMPLEMENTARES</t>
        </is>
      </c>
      <c r="C3068" s="22" t="inlineStr">
        <is>
          <t>SINAPI</t>
        </is>
      </c>
      <c r="D3068" s="22" t="inlineStr">
        <is>
          <t>H</t>
        </is>
      </c>
      <c r="E3068" s="63">
        <f>L3068*FATOR</f>
        <v/>
      </c>
      <c r="F3068" s="64">
        <f>'COMPOSICOES AUXILIARES'!G3047</f>
        <v/>
      </c>
      <c r="G3068" s="64">
        <f>TRUNC(TRUNC(E3068,8)*F3068,2)</f>
        <v/>
      </c>
      <c r="L3068" t="n">
        <v>0.4529</v>
      </c>
      <c r="M3068" t="n">
        <v>32.25</v>
      </c>
      <c r="N3068">
        <f>(M3068-F3068)</f>
        <v/>
      </c>
    </row>
    <row r="3069" ht="18" customHeight="1">
      <c r="A3069" s="2" t="inlineStr"/>
      <c r="B3069" s="2" t="inlineStr"/>
      <c r="C3069" s="2" t="inlineStr"/>
      <c r="D3069" s="2" t="inlineStr"/>
      <c r="E3069" s="26" t="inlineStr">
        <is>
          <t>TOTAL Mão de Obra com Encargos Complementares:</t>
        </is>
      </c>
      <c r="F3069" s="56" t="n"/>
      <c r="G3069" s="65">
        <f>SUM(G3068:G3068)</f>
        <v/>
      </c>
    </row>
    <row r="3070" ht="15" customHeight="1">
      <c r="A3070" s="2" t="inlineStr"/>
      <c r="B3070" s="2" t="inlineStr"/>
      <c r="C3070" s="2" t="inlineStr"/>
      <c r="D3070" s="2" t="inlineStr"/>
      <c r="E3070" s="28" t="inlineStr">
        <is>
          <t>VALOR:</t>
        </is>
      </c>
      <c r="F3070" s="56" t="n"/>
      <c r="G3070" s="66">
        <f>SUM(G3066,G3069)</f>
        <v/>
      </c>
    </row>
    <row r="3071" ht="15" customHeight="1">
      <c r="A3071" s="2" t="inlineStr"/>
      <c r="B3071" s="2" t="inlineStr"/>
      <c r="C3071" s="2" t="inlineStr"/>
      <c r="D3071" s="2" t="inlineStr"/>
      <c r="E3071" s="28" t="inlineStr">
        <is>
          <t>VALOR BDI (23.08%):</t>
        </is>
      </c>
      <c r="F3071" s="56" t="n"/>
      <c r="G3071" s="66">
        <f>ROUNDDOWN(G3070*BDI,2)</f>
        <v/>
      </c>
    </row>
    <row r="3072" ht="15" customHeight="1">
      <c r="A3072" s="2" t="inlineStr"/>
      <c r="B3072" s="2" t="inlineStr"/>
      <c r="C3072" s="2" t="inlineStr"/>
      <c r="D3072" s="2" t="inlineStr"/>
      <c r="E3072" s="28" t="inlineStr">
        <is>
          <t>VALOR COM BDI:</t>
        </is>
      </c>
      <c r="F3072" s="56" t="n"/>
      <c r="G3072" s="66">
        <f>G3071 + G3070</f>
        <v/>
      </c>
    </row>
    <row r="3073" ht="10" customHeight="1">
      <c r="A3073" s="2" t="inlineStr"/>
      <c r="B3073" s="2" t="inlineStr"/>
      <c r="C3073" s="2" t="inlineStr"/>
      <c r="D3073" s="2" t="inlineStr"/>
      <c r="E3073" s="18" t="inlineStr"/>
    </row>
    <row r="3074" ht="20" customHeight="1">
      <c r="A3074" s="19" t="inlineStr">
        <is>
          <t>​C1915​ PISO CIMENTADO C/ ARGAMASSA DE CIMENTO E AREIA S/ PENEIRAR, TRAÇO 1:4, ESP.= 1.5cm​ (M2)</t>
        </is>
      </c>
      <c r="B3074" s="55" t="n"/>
      <c r="C3074" s="55" t="n"/>
      <c r="D3074" s="55" t="n"/>
      <c r="E3074" s="55" t="n"/>
      <c r="F3074" s="55" t="n"/>
      <c r="G3074" s="56" t="n"/>
    </row>
    <row r="3075" ht="15" customHeight="1">
      <c r="A3075" s="20" t="inlineStr">
        <is>
          <t>Material</t>
        </is>
      </c>
      <c r="B3075" s="56" t="n"/>
      <c r="C3075" s="21" t="inlineStr">
        <is>
          <t>FONTE</t>
        </is>
      </c>
      <c r="D3075" s="21" t="inlineStr">
        <is>
          <t>UNID</t>
        </is>
      </c>
      <c r="E3075" s="21" t="inlineStr">
        <is>
          <t>COEFICIENTE</t>
        </is>
      </c>
      <c r="F3075" s="21" t="inlineStr">
        <is>
          <t>PREÇO UNITÁRIO</t>
        </is>
      </c>
      <c r="G3075" s="21" t="inlineStr">
        <is>
          <t>TOTAL</t>
        </is>
      </c>
    </row>
    <row r="3076" ht="15" customHeight="1">
      <c r="A3076" s="22" t="inlineStr">
        <is>
          <t>I0109</t>
        </is>
      </c>
      <c r="B3076" s="23" t="inlineStr">
        <is>
          <t>AREIA MEDIA</t>
        </is>
      </c>
      <c r="C3076" s="22" t="inlineStr">
        <is>
          <t>SEINFRA</t>
        </is>
      </c>
      <c r="D3076" s="22" t="inlineStr">
        <is>
          <t>M3</t>
        </is>
      </c>
      <c r="E3076" s="63" t="n">
        <v>0.0182</v>
      </c>
      <c r="F3076" s="67">
        <f>ROUND(M3076*FATOR, 2)</f>
        <v/>
      </c>
      <c r="G3076" s="67">
        <f>ROUND(ROUND(E3076,8)*F3076,4)</f>
        <v/>
      </c>
      <c r="L3076" t="n">
        <v>0.0182</v>
      </c>
      <c r="M3076" t="n">
        <v>83.58</v>
      </c>
      <c r="N3076">
        <f>(M3076-F3076)</f>
        <v/>
      </c>
    </row>
    <row r="3077" ht="15" customHeight="1">
      <c r="A3077" s="22" t="inlineStr">
        <is>
          <t>I0805</t>
        </is>
      </c>
      <c r="B3077" s="23" t="inlineStr">
        <is>
          <t>CIMENTO PORTLAND</t>
        </is>
      </c>
      <c r="C3077" s="22" t="inlineStr">
        <is>
          <t>SEINFRA</t>
        </is>
      </c>
      <c r="D3077" s="22" t="inlineStr">
        <is>
          <t>KG</t>
        </is>
      </c>
      <c r="E3077" s="63" t="n">
        <v>5.48</v>
      </c>
      <c r="F3077" s="67">
        <f>ROUND(M3077*FATOR, 2)</f>
        <v/>
      </c>
      <c r="G3077" s="67">
        <f>ROUND(ROUND(E3077,8)*F3077,4)</f>
        <v/>
      </c>
      <c r="L3077" t="n">
        <v>5.48</v>
      </c>
      <c r="M3077" t="n">
        <v>0.71</v>
      </c>
      <c r="N3077">
        <f>(M3077-F3077)</f>
        <v/>
      </c>
    </row>
    <row r="3078" ht="15" customHeight="1">
      <c r="A3078" s="2" t="inlineStr"/>
      <c r="B3078" s="2" t="inlineStr"/>
      <c r="C3078" s="2" t="inlineStr"/>
      <c r="D3078" s="2" t="inlineStr"/>
      <c r="E3078" s="26" t="inlineStr">
        <is>
          <t>TOTAL Material:</t>
        </is>
      </c>
      <c r="F3078" s="56" t="n"/>
      <c r="G3078" s="68">
        <f>SUM(G3076:G3077)</f>
        <v/>
      </c>
    </row>
    <row r="3079" ht="15" customHeight="1">
      <c r="A3079" s="20" t="inlineStr">
        <is>
          <t>Mão de Obra</t>
        </is>
      </c>
      <c r="B3079" s="56" t="n"/>
      <c r="C3079" s="21" t="inlineStr">
        <is>
          <t>FONTE</t>
        </is>
      </c>
      <c r="D3079" s="21" t="inlineStr">
        <is>
          <t>UNID</t>
        </is>
      </c>
      <c r="E3079" s="21" t="inlineStr">
        <is>
          <t>COEFICIENTE</t>
        </is>
      </c>
      <c r="F3079" s="21" t="inlineStr">
        <is>
          <t>PREÇO UNITÁRIO</t>
        </is>
      </c>
      <c r="G3079" s="21" t="inlineStr">
        <is>
          <t>TOTAL</t>
        </is>
      </c>
    </row>
    <row r="3080" ht="15" customHeight="1">
      <c r="A3080" s="22" t="inlineStr">
        <is>
          <t>I2391</t>
        </is>
      </c>
      <c r="B3080" s="23" t="inlineStr">
        <is>
          <t>PEDREIRO</t>
        </is>
      </c>
      <c r="C3080" s="22" t="inlineStr">
        <is>
          <t>SEINFRA</t>
        </is>
      </c>
      <c r="D3080" s="22" t="inlineStr">
        <is>
          <t>H</t>
        </is>
      </c>
      <c r="E3080" s="63">
        <f>L3080*FATOR</f>
        <v/>
      </c>
      <c r="F3080" s="67" t="n">
        <v>26.86</v>
      </c>
      <c r="G3080" s="67">
        <f>ROUND(ROUND(E3080,8)*F3080,4)</f>
        <v/>
      </c>
      <c r="L3080" t="n">
        <v>1</v>
      </c>
      <c r="M3080" t="n">
        <v>26.86</v>
      </c>
      <c r="N3080">
        <f>(M3080-F3080)</f>
        <v/>
      </c>
    </row>
    <row r="3081" ht="15" customHeight="1">
      <c r="A3081" s="22" t="inlineStr">
        <is>
          <t>I2543</t>
        </is>
      </c>
      <c r="B3081" s="23" t="inlineStr">
        <is>
          <t>SERVENTE</t>
        </is>
      </c>
      <c r="C3081" s="22" t="inlineStr">
        <is>
          <t>SEINFRA</t>
        </is>
      </c>
      <c r="D3081" s="22" t="inlineStr">
        <is>
          <t>H</t>
        </is>
      </c>
      <c r="E3081" s="63">
        <f>L3081*FATOR</f>
        <v/>
      </c>
      <c r="F3081" s="67" t="n">
        <v>20.26</v>
      </c>
      <c r="G3081" s="67">
        <f>ROUND(ROUND(E3081,8)*F3081,4)</f>
        <v/>
      </c>
      <c r="L3081" t="n">
        <v>1.15</v>
      </c>
      <c r="M3081" t="n">
        <v>20.26</v>
      </c>
      <c r="N3081">
        <f>(M3081-F3081)</f>
        <v/>
      </c>
    </row>
    <row r="3082" ht="15" customHeight="1">
      <c r="A3082" s="2" t="inlineStr"/>
      <c r="B3082" s="2" t="inlineStr"/>
      <c r="C3082" s="2" t="inlineStr"/>
      <c r="D3082" s="2" t="inlineStr"/>
      <c r="E3082" s="26" t="inlineStr">
        <is>
          <t>TOTAL Mão de Obra:</t>
        </is>
      </c>
      <c r="F3082" s="56" t="n"/>
      <c r="G3082" s="68">
        <f>SUM(G3080:G3081)</f>
        <v/>
      </c>
    </row>
    <row r="3083" ht="15" customHeight="1">
      <c r="A3083" s="2" t="inlineStr"/>
      <c r="B3083" s="2" t="inlineStr"/>
      <c r="C3083" s="2" t="inlineStr"/>
      <c r="D3083" s="2" t="inlineStr"/>
      <c r="E3083" s="28" t="inlineStr">
        <is>
          <t>VALOR:</t>
        </is>
      </c>
      <c r="F3083" s="56" t="n"/>
      <c r="G3083" s="66">
        <f>SUM(G3082,G3078)</f>
        <v/>
      </c>
    </row>
    <row r="3084" ht="15" customHeight="1">
      <c r="A3084" s="2" t="inlineStr"/>
      <c r="B3084" s="2" t="inlineStr"/>
      <c r="C3084" s="2" t="inlineStr"/>
      <c r="D3084" s="2" t="inlineStr"/>
      <c r="E3084" s="28" t="inlineStr">
        <is>
          <t>VALOR BDI (23.08%):</t>
        </is>
      </c>
      <c r="F3084" s="56" t="n"/>
      <c r="G3084" s="66">
        <f>ROUNDDOWN(G3083*BDI,2)</f>
        <v/>
      </c>
    </row>
    <row r="3085" ht="15" customHeight="1">
      <c r="A3085" s="2" t="inlineStr"/>
      <c r="B3085" s="2" t="inlineStr"/>
      <c r="C3085" s="2" t="inlineStr"/>
      <c r="D3085" s="2" t="inlineStr"/>
      <c r="E3085" s="28" t="inlineStr">
        <is>
          <t>VALOR COM BDI:</t>
        </is>
      </c>
      <c r="F3085" s="56" t="n"/>
      <c r="G3085" s="66">
        <f>G3084 + G3083</f>
        <v/>
      </c>
    </row>
    <row r="3086" ht="10" customHeight="1">
      <c r="A3086" s="2" t="inlineStr"/>
      <c r="B3086" s="2" t="inlineStr"/>
      <c r="C3086" s="2" t="inlineStr"/>
      <c r="D3086" s="2" t="inlineStr"/>
      <c r="E3086" s="18" t="inlineStr"/>
    </row>
    <row r="3087" ht="20" customHeight="1">
      <c r="A3087" s="19" t="inlineStr">
        <is>
          <t>​98679​ PISO CIMENTADO, TRAÇO 1:3 (CIMENTO E AREIA), ACABAMENTO LISO, ESPESSURA 2,0 CM, PREPARO MECÂNICO DA ARGAMASSA. AF_09/2020​ (M2)</t>
        </is>
      </c>
      <c r="B3087" s="55" t="n"/>
      <c r="C3087" s="55" t="n"/>
      <c r="D3087" s="55" t="n"/>
      <c r="E3087" s="55" t="n"/>
      <c r="F3087" s="55" t="n"/>
      <c r="G3087" s="56" t="n"/>
    </row>
    <row r="3088" ht="15" customHeight="1">
      <c r="A3088" s="20" t="inlineStr">
        <is>
          <t>Material</t>
        </is>
      </c>
      <c r="B3088" s="56" t="n"/>
      <c r="C3088" s="21" t="inlineStr">
        <is>
          <t>FONTE</t>
        </is>
      </c>
      <c r="D3088" s="21" t="inlineStr">
        <is>
          <t>UNID</t>
        </is>
      </c>
      <c r="E3088" s="21" t="inlineStr">
        <is>
          <t>COEFICIENTE</t>
        </is>
      </c>
      <c r="F3088" s="21" t="inlineStr">
        <is>
          <t>PREÇO UNITÁRIO</t>
        </is>
      </c>
      <c r="G3088" s="21" t="inlineStr">
        <is>
          <t>TOTAL</t>
        </is>
      </c>
    </row>
    <row r="3089" ht="15" customHeight="1">
      <c r="A3089" s="22" t="inlineStr">
        <is>
          <t>00001379</t>
        </is>
      </c>
      <c r="B3089" s="23" t="inlineStr">
        <is>
          <t>CIMENTO PORTLAND COMPOSTO CP II-32</t>
        </is>
      </c>
      <c r="C3089" s="22" t="inlineStr">
        <is>
          <t>SINAPI</t>
        </is>
      </c>
      <c r="D3089" s="22" t="inlineStr">
        <is>
          <t>KG</t>
        </is>
      </c>
      <c r="E3089" s="63" t="n">
        <v>0.5</v>
      </c>
      <c r="F3089" s="64">
        <f>ROUND(M3089*FATOR, 2)</f>
        <v/>
      </c>
      <c r="G3089" s="64">
        <f>TRUNC(TRUNC(E3089,8)*F3089,2)</f>
        <v/>
      </c>
      <c r="L3089" t="n">
        <v>0.5</v>
      </c>
      <c r="M3089" t="n">
        <v>0.74</v>
      </c>
      <c r="N3089">
        <f>(M3089-F3089)</f>
        <v/>
      </c>
    </row>
    <row r="3090" ht="21" customHeight="1">
      <c r="A3090" s="22" t="inlineStr">
        <is>
          <t>00003671</t>
        </is>
      </c>
      <c r="B3090" s="23" t="inlineStr">
        <is>
          <t>JUNTA PLASTICA DE DILATACAO PARA PISOS, COR CINZA, 17 X 3 MM (ALTURA X ESPESSURA)</t>
        </is>
      </c>
      <c r="C3090" s="22" t="inlineStr">
        <is>
          <t>SINAPI</t>
        </is>
      </c>
      <c r="D3090" s="22" t="inlineStr">
        <is>
          <t>M</t>
        </is>
      </c>
      <c r="E3090" s="63" t="n">
        <v>1.67</v>
      </c>
      <c r="F3090" s="64">
        <f>ROUND(M3090*FATOR, 2)</f>
        <v/>
      </c>
      <c r="G3090" s="64">
        <f>TRUNC(TRUNC(E3090,8)*F3090,2)</f>
        <v/>
      </c>
      <c r="L3090" t="n">
        <v>1.67</v>
      </c>
      <c r="M3090" t="n">
        <v>1.37</v>
      </c>
      <c r="N3090">
        <f>(M3090-F3090)</f>
        <v/>
      </c>
    </row>
    <row r="3091" ht="15" customHeight="1">
      <c r="A3091" s="2" t="inlineStr"/>
      <c r="B3091" s="2" t="inlineStr"/>
      <c r="C3091" s="2" t="inlineStr"/>
      <c r="D3091" s="2" t="inlineStr"/>
      <c r="E3091" s="26" t="inlineStr">
        <is>
          <t>TOTAL Material:</t>
        </is>
      </c>
      <c r="F3091" s="56" t="n"/>
      <c r="G3091" s="65">
        <f>SUM(G3089:G3090)</f>
        <v/>
      </c>
    </row>
    <row r="3092" ht="15" customHeight="1">
      <c r="A3092" s="20" t="inlineStr">
        <is>
          <t>Mão de Obra com Encargos Complementares</t>
        </is>
      </c>
      <c r="B3092" s="56" t="n"/>
      <c r="C3092" s="21" t="inlineStr">
        <is>
          <t>FONTE</t>
        </is>
      </c>
      <c r="D3092" s="21" t="inlineStr">
        <is>
          <t>UNID</t>
        </is>
      </c>
      <c r="E3092" s="21" t="inlineStr">
        <is>
          <t>COEFICIENTE</t>
        </is>
      </c>
      <c r="F3092" s="21" t="inlineStr">
        <is>
          <t>PREÇO UNITÁRIO</t>
        </is>
      </c>
      <c r="G3092" s="21" t="inlineStr">
        <is>
          <t>TOTAL</t>
        </is>
      </c>
    </row>
    <row r="3093" ht="15" customHeight="1">
      <c r="A3093" s="22" t="inlineStr">
        <is>
          <t>88309</t>
        </is>
      </c>
      <c r="B3093" s="23" t="inlineStr">
        <is>
          <t>PEDREIRO COM ENCARGOS COMPLEMENTARES</t>
        </is>
      </c>
      <c r="C3093" s="22" t="inlineStr">
        <is>
          <t>SINAPI</t>
        </is>
      </c>
      <c r="D3093" s="22" t="inlineStr">
        <is>
          <t>H</t>
        </is>
      </c>
      <c r="E3093" s="63">
        <f>L3093*FATOR</f>
        <v/>
      </c>
      <c r="F3093" s="64">
        <f>'COMPOSICOES AUXILIARES'!G1112</f>
        <v/>
      </c>
      <c r="G3093" s="64">
        <f>TRUNC(TRUNC(E3093,8)*F3093,2)</f>
        <v/>
      </c>
      <c r="L3093" t="n">
        <v>0.354</v>
      </c>
      <c r="M3093" t="n">
        <v>30.58</v>
      </c>
      <c r="N3093">
        <f>(M3093-F3093)</f>
        <v/>
      </c>
    </row>
    <row r="3094" ht="15" customHeight="1">
      <c r="A3094" s="22" t="inlineStr">
        <is>
          <t>88316</t>
        </is>
      </c>
      <c r="B3094" s="23" t="inlineStr">
        <is>
          <t>SERVENTE COM ENCARGOS COMPLEMENTARES</t>
        </is>
      </c>
      <c r="C3094" s="22" t="inlineStr">
        <is>
          <t>SINAPI</t>
        </is>
      </c>
      <c r="D3094" s="22" t="inlineStr">
        <is>
          <t>H</t>
        </is>
      </c>
      <c r="E3094" s="63">
        <f>L3094*FATOR</f>
        <v/>
      </c>
      <c r="F3094" s="64">
        <f>'COMPOSICOES AUXILIARES'!G161</f>
        <v/>
      </c>
      <c r="G3094" s="64">
        <f>TRUNC(TRUNC(E3094,8)*F3094,2)</f>
        <v/>
      </c>
      <c r="L3094" t="n">
        <v>0.177</v>
      </c>
      <c r="M3094" t="n">
        <v>23.56</v>
      </c>
      <c r="N3094">
        <f>(M3094-F3094)</f>
        <v/>
      </c>
    </row>
    <row r="3095" ht="18" customHeight="1">
      <c r="A3095" s="2" t="inlineStr"/>
      <c r="B3095" s="2" t="inlineStr"/>
      <c r="C3095" s="2" t="inlineStr"/>
      <c r="D3095" s="2" t="inlineStr"/>
      <c r="E3095" s="26" t="inlineStr">
        <is>
          <t>TOTAL Mão de Obra com Encargos Complementares:</t>
        </is>
      </c>
      <c r="F3095" s="56" t="n"/>
      <c r="G3095" s="65">
        <f>SUM(G3093:G3094)</f>
        <v/>
      </c>
    </row>
    <row r="3096" ht="15" customHeight="1">
      <c r="A3096" s="20" t="inlineStr">
        <is>
          <t>Serviço</t>
        </is>
      </c>
      <c r="B3096" s="56" t="n"/>
      <c r="C3096" s="21" t="inlineStr">
        <is>
          <t>FONTE</t>
        </is>
      </c>
      <c r="D3096" s="21" t="inlineStr">
        <is>
          <t>UNID</t>
        </is>
      </c>
      <c r="E3096" s="21" t="inlineStr">
        <is>
          <t>COEFICIENTE</t>
        </is>
      </c>
      <c r="F3096" s="21" t="inlineStr">
        <is>
          <t>PREÇO UNITÁRIO</t>
        </is>
      </c>
      <c r="G3096" s="21" t="inlineStr">
        <is>
          <t>TOTAL</t>
        </is>
      </c>
    </row>
    <row r="3097" ht="29" customHeight="1">
      <c r="A3097" s="22" t="inlineStr">
        <is>
          <t>87298</t>
        </is>
      </c>
      <c r="B3097" s="23" t="inlineStr">
        <is>
          <t>ARGAMASSA TRAÇO 1:3 (EM VOLUME DE CIMENTO E AREIA MÉDIA ÚMIDA) PARA CONTRAPISO, PREPARO MECÂNICO COM BETONEIRA 400 L. AF_08/2019</t>
        </is>
      </c>
      <c r="C3097" s="22" t="inlineStr">
        <is>
          <t>SINAPI</t>
        </is>
      </c>
      <c r="D3097" s="22" t="inlineStr">
        <is>
          <t>M3</t>
        </is>
      </c>
      <c r="E3097" s="63" t="n">
        <v>0.031</v>
      </c>
      <c r="F3097" s="64">
        <f>'COMPOSICOES AUXILIARES'!G296</f>
        <v/>
      </c>
      <c r="G3097" s="64">
        <f>TRUNC(TRUNC(E3097,8)*F3097,2)</f>
        <v/>
      </c>
      <c r="L3097" t="n">
        <v>0.031</v>
      </c>
      <c r="M3097" t="n">
        <v>723.08</v>
      </c>
      <c r="N3097">
        <f>(M3097-F3097)</f>
        <v/>
      </c>
    </row>
    <row r="3098" ht="15" customHeight="1">
      <c r="A3098" s="2" t="inlineStr"/>
      <c r="B3098" s="2" t="inlineStr"/>
      <c r="C3098" s="2" t="inlineStr"/>
      <c r="D3098" s="2" t="inlineStr"/>
      <c r="E3098" s="26" t="inlineStr">
        <is>
          <t>TOTAL Serviço:</t>
        </is>
      </c>
      <c r="F3098" s="56" t="n"/>
      <c r="G3098" s="65">
        <f>SUM(G3097:G3097)</f>
        <v/>
      </c>
    </row>
    <row r="3099" ht="15" customHeight="1">
      <c r="A3099" s="2" t="inlineStr"/>
      <c r="B3099" s="2" t="inlineStr"/>
      <c r="C3099" s="2" t="inlineStr"/>
      <c r="D3099" s="2" t="inlineStr"/>
      <c r="E3099" s="28" t="inlineStr">
        <is>
          <t>VALOR:</t>
        </is>
      </c>
      <c r="F3099" s="56" t="n"/>
      <c r="G3099" s="66">
        <f>SUM(G3098,G3091,G3095)</f>
        <v/>
      </c>
    </row>
    <row r="3100" ht="15" customHeight="1">
      <c r="A3100" s="2" t="inlineStr"/>
      <c r="B3100" s="2" t="inlineStr"/>
      <c r="C3100" s="2" t="inlineStr"/>
      <c r="D3100" s="2" t="inlineStr"/>
      <c r="E3100" s="28" t="inlineStr">
        <is>
          <t>VALOR BDI (23.08%):</t>
        </is>
      </c>
      <c r="F3100" s="56" t="n"/>
      <c r="G3100" s="66">
        <f>ROUNDDOWN(G3099*BDI,2)</f>
        <v/>
      </c>
    </row>
    <row r="3101" ht="15" customHeight="1">
      <c r="A3101" s="2" t="inlineStr"/>
      <c r="B3101" s="2" t="inlineStr"/>
      <c r="C3101" s="2" t="inlineStr"/>
      <c r="D3101" s="2" t="inlineStr"/>
      <c r="E3101" s="28" t="inlineStr">
        <is>
          <t>VALOR COM BDI:</t>
        </is>
      </c>
      <c r="F3101" s="56" t="n"/>
      <c r="G3101" s="66">
        <f>G3100 + G3099</f>
        <v/>
      </c>
    </row>
    <row r="3102" ht="10" customHeight="1">
      <c r="A3102" s="2" t="inlineStr"/>
      <c r="B3102" s="2" t="inlineStr"/>
      <c r="C3102" s="2" t="inlineStr"/>
      <c r="D3102" s="2" t="inlineStr"/>
      <c r="E3102" s="18" t="inlineStr"/>
    </row>
    <row r="3103" ht="27" customHeight="1">
      <c r="A3103" s="19" t="inlineStr">
        <is>
          <t>​104162​ PISO EM GRANILITE, MARMORITE OU GRANITINA EM AMBIENTES INTERNOS, COM ESPESSURA DE 8 MM, INCLUSO MISTURA EM BETONEIRA, COLOCAÇÃO DAS JUNTAS, APLICAÇÃO DO PISO, 4 POLIMENTOS COM POLITRIZ, ESTUCAMENTO, SELADOR E CERA. AF_06/2022​ (M2)</t>
        </is>
      </c>
      <c r="B3103" s="55" t="n"/>
      <c r="C3103" s="55" t="n"/>
      <c r="D3103" s="55" t="n"/>
      <c r="E3103" s="55" t="n"/>
      <c r="F3103" s="55" t="n"/>
      <c r="G3103" s="56" t="n"/>
    </row>
    <row r="3104" ht="15" customHeight="1">
      <c r="A3104" s="20" t="inlineStr">
        <is>
          <t>Equipamento Custo Horário</t>
        </is>
      </c>
      <c r="B3104" s="56" t="n"/>
      <c r="C3104" s="21" t="inlineStr">
        <is>
          <t>FONTE</t>
        </is>
      </c>
      <c r="D3104" s="21" t="inlineStr">
        <is>
          <t>UNID</t>
        </is>
      </c>
      <c r="E3104" s="21" t="inlineStr">
        <is>
          <t>COEFICIENTE</t>
        </is>
      </c>
      <c r="F3104" s="21" t="inlineStr">
        <is>
          <t>PREÇO UNITÁRIO</t>
        </is>
      </c>
      <c r="G3104" s="21" t="inlineStr">
        <is>
          <t>TOTAL</t>
        </is>
      </c>
    </row>
    <row r="3105" ht="38" customHeight="1">
      <c r="A3105" s="22" t="inlineStr">
        <is>
          <t>89226</t>
        </is>
      </c>
      <c r="B3105" s="23" t="inlineStr">
        <is>
          <t>BETONEIRA CAPACIDADE NOMINAL DE 600 L, CAPACIDADE DE MISTURA 360 L, MOTOR ELÉTRICO TRIFÁSICO POTÊNCIA DE 4 CV, SEM CARREGADOR - CHI DIURNO. AF_05/2023</t>
        </is>
      </c>
      <c r="C3105" s="22" t="inlineStr">
        <is>
          <t>SINAPI</t>
        </is>
      </c>
      <c r="D3105" s="22" t="inlineStr">
        <is>
          <t>CHI</t>
        </is>
      </c>
      <c r="E3105" s="63" t="n">
        <v>0.0759</v>
      </c>
      <c r="F3105" s="64">
        <f>'COMPOSICOES AUXILIARES'!G235</f>
        <v/>
      </c>
      <c r="G3105" s="64">
        <f>TRUNC(TRUNC(E3105,8)*F3105,2)</f>
        <v/>
      </c>
      <c r="L3105" t="n">
        <v>0.0759</v>
      </c>
      <c r="M3105" t="n">
        <v>1.68</v>
      </c>
      <c r="N3105">
        <f>(M3105-F3105)</f>
        <v/>
      </c>
    </row>
    <row r="3106" ht="38" customHeight="1">
      <c r="A3106" s="22" t="inlineStr">
        <is>
          <t>89225</t>
        </is>
      </c>
      <c r="B3106" s="23" t="inlineStr">
        <is>
          <t>BETONEIRA CAPACIDADE NOMINAL DE 600 L, CAPACIDADE DE MISTURA 360 L, MOTOR ELÉTRICO TRIFÁSICO POTÊNCIA DE 4 CV, SEM CARREGADOR - CHP DIURNO. AF_05/2023</t>
        </is>
      </c>
      <c r="C3106" s="22" t="inlineStr">
        <is>
          <t>SINAPI</t>
        </is>
      </c>
      <c r="D3106" s="22" t="inlineStr">
        <is>
          <t>CHP</t>
        </is>
      </c>
      <c r="E3106" s="63" t="n">
        <v>0.0254</v>
      </c>
      <c r="F3106" s="64">
        <f>'COMPOSICOES AUXILIARES'!G235</f>
        <v/>
      </c>
      <c r="G3106" s="64">
        <f>TRUNC(TRUNC(E3106,8)*F3106,2)</f>
        <v/>
      </c>
      <c r="L3106" t="n">
        <v>0.0254</v>
      </c>
      <c r="M3106" t="n">
        <v>5.7</v>
      </c>
      <c r="N3106">
        <f>(M3106-F3106)</f>
        <v/>
      </c>
    </row>
    <row r="3107" ht="29" customHeight="1">
      <c r="A3107" s="22" t="inlineStr">
        <is>
          <t>95277</t>
        </is>
      </c>
      <c r="B3107" s="23" t="inlineStr">
        <is>
          <t>POLIDORA DE PISO (POLITRIZ), PESO DE 100KG, DIÂMETRO 450 MM, MOTOR ELÉTRICO, POTÊNCIA 4 HP - CHI DIURNO. AF_05/2023</t>
        </is>
      </c>
      <c r="C3107" s="22" t="inlineStr">
        <is>
          <t>SINAPI</t>
        </is>
      </c>
      <c r="D3107" s="22" t="inlineStr">
        <is>
          <t>CHI</t>
        </is>
      </c>
      <c r="E3107" s="63" t="n">
        <v>0.2164</v>
      </c>
      <c r="F3107" s="64" t="n">
        <v>0.72</v>
      </c>
      <c r="G3107" s="64">
        <f>TRUNC(TRUNC(E3107,8)*F3107,2)</f>
        <v/>
      </c>
      <c r="L3107" t="n">
        <v>0.2164</v>
      </c>
      <c r="M3107" t="n">
        <v>0.72</v>
      </c>
      <c r="N3107">
        <f>(M3107-F3107)</f>
        <v/>
      </c>
    </row>
    <row r="3108" ht="29" customHeight="1">
      <c r="A3108" s="22" t="inlineStr">
        <is>
          <t>95276</t>
        </is>
      </c>
      <c r="B3108" s="23" t="inlineStr">
        <is>
          <t>POLIDORA DE PISO (POLITRIZ), PESO DE 100KG, DIÂMETRO 450 MM, MOTOR ELÉTRICO, POTÊNCIA 4 HP - CHP DIURNO. AF_05/2023</t>
        </is>
      </c>
      <c r="C3108" s="22" t="inlineStr">
        <is>
          <t>SINAPI</t>
        </is>
      </c>
      <c r="D3108" s="22" t="inlineStr">
        <is>
          <t>CHP</t>
        </is>
      </c>
      <c r="E3108" s="63" t="n">
        <v>0.09030000000000001</v>
      </c>
      <c r="F3108" s="64" t="n">
        <v>3.74</v>
      </c>
      <c r="G3108" s="64">
        <f>TRUNC(TRUNC(E3108,8)*F3108,2)</f>
        <v/>
      </c>
      <c r="L3108" t="n">
        <v>0.09030000000000001</v>
      </c>
      <c r="M3108" t="n">
        <v>3.74</v>
      </c>
      <c r="N3108">
        <f>(M3108-F3108)</f>
        <v/>
      </c>
    </row>
    <row r="3109" ht="18" customHeight="1">
      <c r="A3109" s="2" t="inlineStr"/>
      <c r="B3109" s="2" t="inlineStr"/>
      <c r="C3109" s="2" t="inlineStr"/>
      <c r="D3109" s="2" t="inlineStr"/>
      <c r="E3109" s="26" t="inlineStr">
        <is>
          <t>TOTAL Equipamento Custo Horário:</t>
        </is>
      </c>
      <c r="F3109" s="56" t="n"/>
      <c r="G3109" s="65">
        <f>SUM(G3105:G3108)</f>
        <v/>
      </c>
    </row>
    <row r="3110" ht="15" customHeight="1">
      <c r="A3110" s="20" t="inlineStr">
        <is>
          <t>Material</t>
        </is>
      </c>
      <c r="B3110" s="56" t="n"/>
      <c r="C3110" s="21" t="inlineStr">
        <is>
          <t>FONTE</t>
        </is>
      </c>
      <c r="D3110" s="21" t="inlineStr">
        <is>
          <t>UNID</t>
        </is>
      </c>
      <c r="E3110" s="21" t="inlineStr">
        <is>
          <t>COEFICIENTE</t>
        </is>
      </c>
      <c r="F3110" s="21" t="inlineStr">
        <is>
          <t>PREÇO UNITÁRIO</t>
        </is>
      </c>
      <c r="G3110" s="21" t="inlineStr">
        <is>
          <t>TOTAL</t>
        </is>
      </c>
    </row>
    <row r="3111" ht="15" customHeight="1">
      <c r="A3111" s="22" t="inlineStr">
        <is>
          <t>00041967</t>
        </is>
      </c>
      <c r="B3111" s="23" t="inlineStr">
        <is>
          <t>CERA LIQUIDA INCOLOR MULTIPISO</t>
        </is>
      </c>
      <c r="C3111" s="22" t="inlineStr">
        <is>
          <t>SINAPI</t>
        </is>
      </c>
      <c r="D3111" s="22" t="inlineStr">
        <is>
          <t>L</t>
        </is>
      </c>
      <c r="E3111" s="63" t="n">
        <v>0.0125</v>
      </c>
      <c r="F3111" s="64">
        <f>ROUND(M3111*FATOR, 2)</f>
        <v/>
      </c>
      <c r="G3111" s="64">
        <f>TRUNC(TRUNC(E3111,8)*F3111,2)</f>
        <v/>
      </c>
      <c r="L3111" t="n">
        <v>0.0125</v>
      </c>
      <c r="M3111" t="n">
        <v>25.03</v>
      </c>
      <c r="N3111">
        <f>(M3111-F3111)</f>
        <v/>
      </c>
    </row>
    <row r="3112" ht="21" customHeight="1">
      <c r="A3112" s="22" t="inlineStr">
        <is>
          <t>00044528</t>
        </is>
      </c>
      <c r="B3112" s="23" t="inlineStr">
        <is>
          <t>CIMENTO PORTLAND ESTRUTURAL BRANCO CPB - 32 OU CPB - 40</t>
        </is>
      </c>
      <c r="C3112" s="22" t="inlineStr">
        <is>
          <t>SINAPI</t>
        </is>
      </c>
      <c r="D3112" s="22" t="inlineStr">
        <is>
          <t>KG</t>
        </is>
      </c>
      <c r="E3112" s="63" t="n">
        <v>10</v>
      </c>
      <c r="F3112" s="64">
        <f>ROUND(M3112*FATOR, 2)</f>
        <v/>
      </c>
      <c r="G3112" s="64">
        <f>TRUNC(TRUNC(E3112,8)*F3112,2)</f>
        <v/>
      </c>
      <c r="L3112" t="n">
        <v>10</v>
      </c>
      <c r="M3112" t="n">
        <v>3.94</v>
      </c>
      <c r="N3112">
        <f>(M3112-F3112)</f>
        <v/>
      </c>
    </row>
    <row r="3113" ht="29" customHeight="1">
      <c r="A3113" s="22" t="inlineStr">
        <is>
          <t>00004824</t>
        </is>
      </c>
      <c r="B3113" s="23" t="inlineStr">
        <is>
          <t>GRANILHA/ GRANA/ PEDRISCO OU AGREGADO EM MARMORE/ GRANITO/ QUARTZO E CALCARIO, PRETO, CINZA, PALHA OU BRANCO</t>
        </is>
      </c>
      <c r="C3113" s="22" t="inlineStr">
        <is>
          <t>SINAPI</t>
        </is>
      </c>
      <c r="D3113" s="22" t="inlineStr">
        <is>
          <t>KG</t>
        </is>
      </c>
      <c r="E3113" s="63" t="n">
        <v>20</v>
      </c>
      <c r="F3113" s="64">
        <f>ROUND(M3113*FATOR, 2)</f>
        <v/>
      </c>
      <c r="G3113" s="64">
        <f>TRUNC(TRUNC(E3113,8)*F3113,2)</f>
        <v/>
      </c>
      <c r="L3113" t="n">
        <v>20</v>
      </c>
      <c r="M3113" t="n">
        <v>0.75</v>
      </c>
      <c r="N3113">
        <f>(M3113-F3113)</f>
        <v/>
      </c>
    </row>
    <row r="3114" ht="21" customHeight="1">
      <c r="A3114" s="22" t="inlineStr">
        <is>
          <t>00003671</t>
        </is>
      </c>
      <c r="B3114" s="23" t="inlineStr">
        <is>
          <t>JUNTA PLASTICA DE DILATACAO PARA PISOS, COR CINZA, 17 X 3 MM (ALTURA X ESPESSURA)</t>
        </is>
      </c>
      <c r="C3114" s="22" t="inlineStr">
        <is>
          <t>SINAPI</t>
        </is>
      </c>
      <c r="D3114" s="22" t="inlineStr">
        <is>
          <t>M</t>
        </is>
      </c>
      <c r="E3114" s="63" t="n">
        <v>1.67</v>
      </c>
      <c r="F3114" s="64">
        <f>ROUND(M3114*FATOR, 2)</f>
        <v/>
      </c>
      <c r="G3114" s="64">
        <f>TRUNC(TRUNC(E3114,8)*F3114,2)</f>
        <v/>
      </c>
      <c r="L3114" t="n">
        <v>1.67</v>
      </c>
      <c r="M3114" t="n">
        <v>1.37</v>
      </c>
      <c r="N3114">
        <f>(M3114-F3114)</f>
        <v/>
      </c>
    </row>
    <row r="3115" ht="15" customHeight="1">
      <c r="A3115" s="22" t="inlineStr">
        <is>
          <t>00006085</t>
        </is>
      </c>
      <c r="B3115" s="23" t="inlineStr">
        <is>
          <t>SELADOR ACRILICO OPACO PREMIUM INTERIOR/EXTERIOR</t>
        </is>
      </c>
      <c r="C3115" s="22" t="inlineStr">
        <is>
          <t>SINAPI</t>
        </is>
      </c>
      <c r="D3115" s="22" t="inlineStr">
        <is>
          <t>L</t>
        </is>
      </c>
      <c r="E3115" s="63" t="n">
        <v>0.04</v>
      </c>
      <c r="F3115" s="64">
        <f>ROUND(M3115*FATOR, 2)</f>
        <v/>
      </c>
      <c r="G3115" s="64">
        <f>TRUNC(TRUNC(E3115,8)*F3115,2)</f>
        <v/>
      </c>
      <c r="L3115" t="n">
        <v>0.04</v>
      </c>
      <c r="M3115" t="n">
        <v>12.23</v>
      </c>
      <c r="N3115">
        <f>(M3115-F3115)</f>
        <v/>
      </c>
    </row>
    <row r="3116" ht="15" customHeight="1">
      <c r="A3116" s="2" t="inlineStr"/>
      <c r="B3116" s="2" t="inlineStr"/>
      <c r="C3116" s="2" t="inlineStr"/>
      <c r="D3116" s="2" t="inlineStr"/>
      <c r="E3116" s="26" t="inlineStr">
        <is>
          <t>TOTAL Material:</t>
        </is>
      </c>
      <c r="F3116" s="56" t="n"/>
      <c r="G3116" s="65">
        <f>SUM(G3111:G3115)</f>
        <v/>
      </c>
    </row>
    <row r="3117" ht="15" customHeight="1">
      <c r="A3117" s="20" t="inlineStr">
        <is>
          <t>Mão de Obra com Encargos Complementares</t>
        </is>
      </c>
      <c r="B3117" s="56" t="n"/>
      <c r="C3117" s="21" t="inlineStr">
        <is>
          <t>FONTE</t>
        </is>
      </c>
      <c r="D3117" s="21" t="inlineStr">
        <is>
          <t>UNID</t>
        </is>
      </c>
      <c r="E3117" s="21" t="inlineStr">
        <is>
          <t>COEFICIENTE</t>
        </is>
      </c>
      <c r="F3117" s="21" t="inlineStr">
        <is>
          <t>PREÇO UNITÁRIO</t>
        </is>
      </c>
      <c r="G3117" s="21" t="inlineStr">
        <is>
          <t>TOTAL</t>
        </is>
      </c>
    </row>
    <row r="3118" ht="21" customHeight="1">
      <c r="A3118" s="22" t="inlineStr">
        <is>
          <t>88274</t>
        </is>
      </c>
      <c r="B3118" s="23" t="inlineStr">
        <is>
          <t>MARMORISTA/GRANITEIRO COM ENCARGOS COMPLEMENTARES</t>
        </is>
      </c>
      <c r="C3118" s="22" t="inlineStr">
        <is>
          <t>SINAPI</t>
        </is>
      </c>
      <c r="D3118" s="22" t="inlineStr">
        <is>
          <t>H</t>
        </is>
      </c>
      <c r="E3118" s="63">
        <f>L3118*FATOR</f>
        <v/>
      </c>
      <c r="F3118" s="64">
        <f>'COMPOSICOES AUXILIARES'!G2424</f>
        <v/>
      </c>
      <c r="G3118" s="64">
        <f>TRUNC(TRUNC(E3118,8)*F3118,2)</f>
        <v/>
      </c>
      <c r="L3118" t="n">
        <v>1.0956</v>
      </c>
      <c r="M3118" t="n">
        <v>29.93</v>
      </c>
      <c r="N3118">
        <f>(M3118-F3118)</f>
        <v/>
      </c>
    </row>
    <row r="3119" ht="15" customHeight="1">
      <c r="A3119" s="22" t="inlineStr">
        <is>
          <t>88316</t>
        </is>
      </c>
      <c r="B3119" s="23" t="inlineStr">
        <is>
          <t>SERVENTE COM ENCARGOS COMPLEMENTARES</t>
        </is>
      </c>
      <c r="C3119" s="22" t="inlineStr">
        <is>
          <t>SINAPI</t>
        </is>
      </c>
      <c r="D3119" s="22" t="inlineStr">
        <is>
          <t>H</t>
        </is>
      </c>
      <c r="E3119" s="63">
        <f>L3119*FATOR</f>
        <v/>
      </c>
      <c r="F3119" s="64">
        <f>'COMPOSICOES AUXILIARES'!G161</f>
        <v/>
      </c>
      <c r="G3119" s="64">
        <f>TRUNC(TRUNC(E3119,8)*F3119,2)</f>
        <v/>
      </c>
      <c r="L3119" t="n">
        <v>0.4972</v>
      </c>
      <c r="M3119" t="n">
        <v>23.56</v>
      </c>
      <c r="N3119">
        <f>(M3119-F3119)</f>
        <v/>
      </c>
    </row>
    <row r="3120" ht="18" customHeight="1">
      <c r="A3120" s="2" t="inlineStr"/>
      <c r="B3120" s="2" t="inlineStr"/>
      <c r="C3120" s="2" t="inlineStr"/>
      <c r="D3120" s="2" t="inlineStr"/>
      <c r="E3120" s="26" t="inlineStr">
        <is>
          <t>TOTAL Mão de Obra com Encargos Complementares:</t>
        </is>
      </c>
      <c r="F3120" s="56" t="n"/>
      <c r="G3120" s="65">
        <f>SUM(G3118:G3119)</f>
        <v/>
      </c>
    </row>
    <row r="3121" ht="15" customHeight="1">
      <c r="A3121" s="2" t="inlineStr"/>
      <c r="B3121" s="2" t="inlineStr"/>
      <c r="C3121" s="2" t="inlineStr"/>
      <c r="D3121" s="2" t="inlineStr"/>
      <c r="E3121" s="28" t="inlineStr">
        <is>
          <t>VALOR:</t>
        </is>
      </c>
      <c r="F3121" s="56" t="n"/>
      <c r="G3121" s="66">
        <f>SUM(G3120,G3116,G3109)</f>
        <v/>
      </c>
    </row>
    <row r="3122" ht="15" customHeight="1">
      <c r="A3122" s="2" t="inlineStr"/>
      <c r="B3122" s="2" t="inlineStr"/>
      <c r="C3122" s="2" t="inlineStr"/>
      <c r="D3122" s="2" t="inlineStr"/>
      <c r="E3122" s="28" t="inlineStr">
        <is>
          <t>VALOR BDI (23.08%):</t>
        </is>
      </c>
      <c r="F3122" s="56" t="n"/>
      <c r="G3122" s="66">
        <f>ROUNDDOWN(G3121*BDI,2)</f>
        <v/>
      </c>
    </row>
    <row r="3123" ht="15" customHeight="1">
      <c r="A3123" s="2" t="inlineStr"/>
      <c r="B3123" s="2" t="inlineStr"/>
      <c r="C3123" s="2" t="inlineStr"/>
      <c r="D3123" s="2" t="inlineStr"/>
      <c r="E3123" s="28" t="inlineStr">
        <is>
          <t>VALOR COM BDI:</t>
        </is>
      </c>
      <c r="F3123" s="56" t="n"/>
      <c r="G3123" s="66">
        <f>G3122 + G3121</f>
        <v/>
      </c>
    </row>
    <row r="3124" ht="10" customHeight="1">
      <c r="A3124" s="2" t="inlineStr"/>
      <c r="B3124" s="2" t="inlineStr"/>
      <c r="C3124" s="2" t="inlineStr"/>
      <c r="D3124" s="2" t="inlineStr"/>
      <c r="E3124" s="18" t="inlineStr"/>
    </row>
    <row r="3125" ht="20" customHeight="1">
      <c r="A3125" s="19" t="inlineStr">
        <is>
          <t>​95277​ POLIDORA DE PISO (POLITRIZ), PESO DE 100KG, DIÂMETRO 450 MM, MOTOR ELÉTRICO, POTÊNCIA 4 HP - CHI DIURNO. AF_05/2023​ (CHI)</t>
        </is>
      </c>
      <c r="B3125" s="55" t="n"/>
      <c r="C3125" s="55" t="n"/>
      <c r="D3125" s="55" t="n"/>
      <c r="E3125" s="55" t="n"/>
      <c r="F3125" s="55" t="n"/>
      <c r="G3125" s="56" t="n"/>
    </row>
    <row r="3126" ht="15" customHeight="1">
      <c r="A3126" s="20" t="inlineStr">
        <is>
          <t>Serviço</t>
        </is>
      </c>
      <c r="B3126" s="56" t="n"/>
      <c r="C3126" s="21" t="inlineStr">
        <is>
          <t>FONTE</t>
        </is>
      </c>
      <c r="D3126" s="21" t="inlineStr">
        <is>
          <t>UNID</t>
        </is>
      </c>
      <c r="E3126" s="21" t="inlineStr">
        <is>
          <t>COEFICIENTE</t>
        </is>
      </c>
      <c r="F3126" s="21" t="inlineStr">
        <is>
          <t>PREÇO UNITÁRIO</t>
        </is>
      </c>
      <c r="G3126" s="21" t="inlineStr">
        <is>
          <t>TOTAL</t>
        </is>
      </c>
    </row>
    <row r="3127" ht="29" customHeight="1">
      <c r="A3127" s="22" t="inlineStr">
        <is>
          <t>95272</t>
        </is>
      </c>
      <c r="B3127" s="23" t="inlineStr">
        <is>
          <t>POLIDORA DE PISO (POLITRIZ), PESO DE 100KG, DIÂMETRO 450 MM, MOTOR ELÉTRICO, POTÊNCIA 4 HP - DEPRECIAÇÃO. AF_05/2023</t>
        </is>
      </c>
      <c r="C3127" s="22" t="inlineStr">
        <is>
          <t>SINAPI</t>
        </is>
      </c>
      <c r="D3127" s="22" t="inlineStr">
        <is>
          <t>H</t>
        </is>
      </c>
      <c r="E3127" s="63" t="n">
        <v>1</v>
      </c>
      <c r="F3127" s="64" t="n">
        <v>0.59</v>
      </c>
      <c r="G3127" s="64">
        <f>TRUNC(TRUNC(E3127,8)*F3127,2)</f>
        <v/>
      </c>
      <c r="L3127" t="n">
        <v>1</v>
      </c>
      <c r="M3127" t="n">
        <v>0.59</v>
      </c>
      <c r="N3127">
        <f>(M3127-F3127)</f>
        <v/>
      </c>
    </row>
    <row r="3128" ht="29" customHeight="1">
      <c r="A3128" s="22" t="inlineStr">
        <is>
          <t>95273</t>
        </is>
      </c>
      <c r="B3128" s="23" t="inlineStr">
        <is>
          <t>POLIDORA DE PISO (POLITRIZ), PESO DE 100KG, DIÂMETRO 450 MM, MOTOR ELÉTRICO, POTÊNCIA 4 HP - JUROS. AF_05/2023</t>
        </is>
      </c>
      <c r="C3128" s="22" t="inlineStr">
        <is>
          <t>SINAPI</t>
        </is>
      </c>
      <c r="D3128" s="22" t="inlineStr">
        <is>
          <t>H</t>
        </is>
      </c>
      <c r="E3128" s="63" t="n">
        <v>1</v>
      </c>
      <c r="F3128" s="64" t="n">
        <v>0.13</v>
      </c>
      <c r="G3128" s="64">
        <f>TRUNC(TRUNC(E3128,8)*F3128,2)</f>
        <v/>
      </c>
      <c r="L3128" t="n">
        <v>1</v>
      </c>
      <c r="M3128" t="n">
        <v>0.13</v>
      </c>
      <c r="N3128">
        <f>(M3128-F3128)</f>
        <v/>
      </c>
    </row>
    <row r="3129" ht="15" customHeight="1">
      <c r="A3129" s="2" t="inlineStr"/>
      <c r="B3129" s="2" t="inlineStr"/>
      <c r="C3129" s="2" t="inlineStr"/>
      <c r="D3129" s="2" t="inlineStr"/>
      <c r="E3129" s="26" t="inlineStr">
        <is>
          <t>TOTAL Serviço:</t>
        </is>
      </c>
      <c r="F3129" s="56" t="n"/>
      <c r="G3129" s="65">
        <f>SUM(G3127:G3128)</f>
        <v/>
      </c>
    </row>
    <row r="3130" ht="15" customHeight="1">
      <c r="A3130" s="2" t="inlineStr"/>
      <c r="B3130" s="2" t="inlineStr"/>
      <c r="C3130" s="2" t="inlineStr"/>
      <c r="D3130" s="2" t="inlineStr"/>
      <c r="E3130" s="28" t="inlineStr">
        <is>
          <t>VALOR:</t>
        </is>
      </c>
      <c r="F3130" s="56" t="n"/>
      <c r="G3130" s="66">
        <f>SUM(G3129)</f>
        <v/>
      </c>
    </row>
    <row r="3131" ht="15" customHeight="1">
      <c r="A3131" s="2" t="inlineStr"/>
      <c r="B3131" s="2" t="inlineStr"/>
      <c r="C3131" s="2" t="inlineStr"/>
      <c r="D3131" s="2" t="inlineStr"/>
      <c r="E3131" s="28" t="inlineStr">
        <is>
          <t>VALOR BDI (23.08%):</t>
        </is>
      </c>
      <c r="F3131" s="56" t="n"/>
      <c r="G3131" s="66">
        <f>ROUNDDOWN(G3130*BDI,2)</f>
        <v/>
      </c>
    </row>
    <row r="3132" ht="15" customHeight="1">
      <c r="A3132" s="2" t="inlineStr"/>
      <c r="B3132" s="2" t="inlineStr"/>
      <c r="C3132" s="2" t="inlineStr"/>
      <c r="D3132" s="2" t="inlineStr"/>
      <c r="E3132" s="28" t="inlineStr">
        <is>
          <t>VALOR COM BDI:</t>
        </is>
      </c>
      <c r="F3132" s="56" t="n"/>
      <c r="G3132" s="66">
        <f>G3131 + G3130</f>
        <v/>
      </c>
    </row>
    <row r="3133" ht="10" customHeight="1">
      <c r="A3133" s="2" t="inlineStr"/>
      <c r="B3133" s="2" t="inlineStr"/>
      <c r="C3133" s="2" t="inlineStr"/>
      <c r="D3133" s="2" t="inlineStr"/>
      <c r="E3133" s="18" t="inlineStr"/>
    </row>
    <row r="3134" ht="20" customHeight="1">
      <c r="A3134" s="19" t="inlineStr">
        <is>
          <t>​95276​ POLIDORA DE PISO (POLITRIZ), PESO DE 100KG, DIÂMETRO 450 MM, MOTOR ELÉTRICO, POTÊNCIA 4 HP - CHP DIURNO. AF_05/2023​ (CHP)</t>
        </is>
      </c>
      <c r="B3134" s="55" t="n"/>
      <c r="C3134" s="55" t="n"/>
      <c r="D3134" s="55" t="n"/>
      <c r="E3134" s="55" t="n"/>
      <c r="F3134" s="55" t="n"/>
      <c r="G3134" s="56" t="n"/>
    </row>
    <row r="3135" ht="15" customHeight="1">
      <c r="A3135" s="20" t="inlineStr">
        <is>
          <t>Serviço</t>
        </is>
      </c>
      <c r="B3135" s="56" t="n"/>
      <c r="C3135" s="21" t="inlineStr">
        <is>
          <t>FONTE</t>
        </is>
      </c>
      <c r="D3135" s="21" t="inlineStr">
        <is>
          <t>UNID</t>
        </is>
      </c>
      <c r="E3135" s="21" t="inlineStr">
        <is>
          <t>COEFICIENTE</t>
        </is>
      </c>
      <c r="F3135" s="21" t="inlineStr">
        <is>
          <t>PREÇO UNITÁRIO</t>
        </is>
      </c>
      <c r="G3135" s="21" t="inlineStr">
        <is>
          <t>TOTAL</t>
        </is>
      </c>
    </row>
    <row r="3136" ht="29" customHeight="1">
      <c r="A3136" s="22" t="inlineStr">
        <is>
          <t>95272</t>
        </is>
      </c>
      <c r="B3136" s="23" t="inlineStr">
        <is>
          <t>POLIDORA DE PISO (POLITRIZ), PESO DE 100KG, DIÂMETRO 450 MM, MOTOR ELÉTRICO, POTÊNCIA 4 HP - DEPRECIAÇÃO. AF_05/2023</t>
        </is>
      </c>
      <c r="C3136" s="22" t="inlineStr">
        <is>
          <t>SINAPI</t>
        </is>
      </c>
      <c r="D3136" s="22" t="inlineStr">
        <is>
          <t>H</t>
        </is>
      </c>
      <c r="E3136" s="63" t="n">
        <v>1</v>
      </c>
      <c r="F3136" s="64">
        <f>'COMPOSICOES AUXILIARES'!G3130</f>
        <v/>
      </c>
      <c r="G3136" s="64">
        <f>TRUNC(TRUNC(E3136,8)*F3136,2)</f>
        <v/>
      </c>
      <c r="L3136" t="n">
        <v>1</v>
      </c>
      <c r="M3136" t="n">
        <v>0.59</v>
      </c>
      <c r="N3136">
        <f>(M3136-F3136)</f>
        <v/>
      </c>
    </row>
    <row r="3137" ht="29" customHeight="1">
      <c r="A3137" s="22" t="inlineStr">
        <is>
          <t>95273</t>
        </is>
      </c>
      <c r="B3137" s="23" t="inlineStr">
        <is>
          <t>POLIDORA DE PISO (POLITRIZ), PESO DE 100KG, DIÂMETRO 450 MM, MOTOR ELÉTRICO, POTÊNCIA 4 HP - JUROS. AF_05/2023</t>
        </is>
      </c>
      <c r="C3137" s="22" t="inlineStr">
        <is>
          <t>SINAPI</t>
        </is>
      </c>
      <c r="D3137" s="22" t="inlineStr">
        <is>
          <t>H</t>
        </is>
      </c>
      <c r="E3137" s="63" t="n">
        <v>1</v>
      </c>
      <c r="F3137" s="64">
        <f>'COMPOSICOES AUXILIARES'!G3130</f>
        <v/>
      </c>
      <c r="G3137" s="64">
        <f>TRUNC(TRUNC(E3137,8)*F3137,2)</f>
        <v/>
      </c>
      <c r="L3137" t="n">
        <v>1</v>
      </c>
      <c r="M3137" t="n">
        <v>0.13</v>
      </c>
      <c r="N3137">
        <f>(M3137-F3137)</f>
        <v/>
      </c>
    </row>
    <row r="3138" ht="29" customHeight="1">
      <c r="A3138" s="22" t="inlineStr">
        <is>
          <t>95274</t>
        </is>
      </c>
      <c r="B3138" s="23" t="inlineStr">
        <is>
          <t>POLIDORA DE PISO (POLITRIZ), PESO DE 100KG, DIÂMETRO 450 MM, MOTOR ELÉTRICO, POTÊNCIA 4 HP - MANUTENÇÃO. AF_05/2023</t>
        </is>
      </c>
      <c r="C3138" s="22" t="inlineStr">
        <is>
          <t>SINAPI</t>
        </is>
      </c>
      <c r="D3138" s="22" t="inlineStr">
        <is>
          <t>H</t>
        </is>
      </c>
      <c r="E3138" s="63" t="n">
        <v>1</v>
      </c>
      <c r="F3138" s="64" t="n">
        <v>0.46</v>
      </c>
      <c r="G3138" s="64">
        <f>TRUNC(TRUNC(E3138,8)*F3138,2)</f>
        <v/>
      </c>
      <c r="L3138" t="n">
        <v>1</v>
      </c>
      <c r="M3138" t="n">
        <v>0.46</v>
      </c>
      <c r="N3138">
        <f>(M3138-F3138)</f>
        <v/>
      </c>
    </row>
    <row r="3139" ht="29" customHeight="1">
      <c r="A3139" s="22" t="inlineStr">
        <is>
          <t>95275</t>
        </is>
      </c>
      <c r="B3139" s="23" t="inlineStr">
        <is>
          <t>POLIDORA DE PISO (POLITRIZ), PESO DE 100KG, DIÂMETRO 450 MM, MOTOR ELÉTRICO, POTÊNCIA 4 HP - MATERIAIS NA OPERAÇÃO. AF_05/2023</t>
        </is>
      </c>
      <c r="C3139" s="22" t="inlineStr">
        <is>
          <t>SINAPI</t>
        </is>
      </c>
      <c r="D3139" s="22" t="inlineStr">
        <is>
          <t>H</t>
        </is>
      </c>
      <c r="E3139" s="63" t="n">
        <v>1</v>
      </c>
      <c r="F3139" s="64" t="n">
        <v>2.56</v>
      </c>
      <c r="G3139" s="64">
        <f>TRUNC(TRUNC(E3139,8)*F3139,2)</f>
        <v/>
      </c>
      <c r="L3139" t="n">
        <v>1</v>
      </c>
      <c r="M3139" t="n">
        <v>2.56</v>
      </c>
      <c r="N3139">
        <f>(M3139-F3139)</f>
        <v/>
      </c>
    </row>
    <row r="3140" ht="15" customHeight="1">
      <c r="A3140" s="2" t="inlineStr"/>
      <c r="B3140" s="2" t="inlineStr"/>
      <c r="C3140" s="2" t="inlineStr"/>
      <c r="D3140" s="2" t="inlineStr"/>
      <c r="E3140" s="26" t="inlineStr">
        <is>
          <t>TOTAL Serviço:</t>
        </is>
      </c>
      <c r="F3140" s="56" t="n"/>
      <c r="G3140" s="65">
        <f>SUM(G3136:G3139)</f>
        <v/>
      </c>
    </row>
    <row r="3141" ht="15" customHeight="1">
      <c r="A3141" s="2" t="inlineStr"/>
      <c r="B3141" s="2" t="inlineStr"/>
      <c r="C3141" s="2" t="inlineStr"/>
      <c r="D3141" s="2" t="inlineStr"/>
      <c r="E3141" s="28" t="inlineStr">
        <is>
          <t>VALOR:</t>
        </is>
      </c>
      <c r="F3141" s="56" t="n"/>
      <c r="G3141" s="66">
        <f>SUM(G3140)</f>
        <v/>
      </c>
    </row>
    <row r="3142" ht="15" customHeight="1">
      <c r="A3142" s="2" t="inlineStr"/>
      <c r="B3142" s="2" t="inlineStr"/>
      <c r="C3142" s="2" t="inlineStr"/>
      <c r="D3142" s="2" t="inlineStr"/>
      <c r="E3142" s="28" t="inlineStr">
        <is>
          <t>VALOR BDI (23.08%):</t>
        </is>
      </c>
      <c r="F3142" s="56" t="n"/>
      <c r="G3142" s="66">
        <f>ROUNDDOWN(G3141*BDI,2)</f>
        <v/>
      </c>
    </row>
    <row r="3143" ht="15" customHeight="1">
      <c r="A3143" s="2" t="inlineStr"/>
      <c r="B3143" s="2" t="inlineStr"/>
      <c r="C3143" s="2" t="inlineStr"/>
      <c r="D3143" s="2" t="inlineStr"/>
      <c r="E3143" s="28" t="inlineStr">
        <is>
          <t>VALOR COM BDI:</t>
        </is>
      </c>
      <c r="F3143" s="56" t="n"/>
      <c r="G3143" s="66">
        <f>G3142 + G3141</f>
        <v/>
      </c>
    </row>
    <row r="3144" ht="10" customHeight="1">
      <c r="A3144" s="2" t="inlineStr"/>
      <c r="B3144" s="2" t="inlineStr"/>
      <c r="C3144" s="2" t="inlineStr"/>
      <c r="D3144" s="2" t="inlineStr"/>
      <c r="E3144" s="18" t="inlineStr"/>
    </row>
    <row r="3145" ht="20" customHeight="1">
      <c r="A3145" s="19" t="inlineStr">
        <is>
          <t>​95272​ POLIDORA DE PISO (POLITRIZ), PESO DE 100KG, DIÂMETRO 450 MM, MOTOR ELÉTRICO, POTÊNCIA 4 HP - DEPRECIAÇÃO. AF_05/2023​ (H)</t>
        </is>
      </c>
      <c r="B3145" s="55" t="n"/>
      <c r="C3145" s="55" t="n"/>
      <c r="D3145" s="55" t="n"/>
      <c r="E3145" s="55" t="n"/>
      <c r="F3145" s="55" t="n"/>
      <c r="G3145" s="56" t="n"/>
    </row>
    <row r="3146" ht="15" customHeight="1">
      <c r="A3146" s="20" t="inlineStr">
        <is>
          <t>Equipamento</t>
        </is>
      </c>
      <c r="B3146" s="56" t="n"/>
      <c r="C3146" s="21" t="inlineStr">
        <is>
          <t>FONTE</t>
        </is>
      </c>
      <c r="D3146" s="21" t="inlineStr">
        <is>
          <t>UNID</t>
        </is>
      </c>
      <c r="E3146" s="21" t="inlineStr">
        <is>
          <t>COEFICIENTE</t>
        </is>
      </c>
      <c r="F3146" s="21" t="inlineStr">
        <is>
          <t>PREÇO UNITÁRIO</t>
        </is>
      </c>
      <c r="G3146" s="21" t="inlineStr">
        <is>
          <t>TOTAL</t>
        </is>
      </c>
    </row>
    <row r="3147" ht="29" customHeight="1">
      <c r="A3147" s="22" t="inlineStr">
        <is>
          <t>00013954</t>
        </is>
      </c>
      <c r="B3147" s="23" t="inlineStr">
        <is>
          <t>POLIDORA DE PISO (POLITRIZ) ELETRICA, MOTOR MONOFASICO DE 4 HP, PESO DE 100 KG, DIAMETRO DO TRABALHO DE 450 MM</t>
        </is>
      </c>
      <c r="C3147" s="22" t="inlineStr">
        <is>
          <t>SINAPI</t>
        </is>
      </c>
      <c r="D3147" s="22" t="inlineStr">
        <is>
          <t>UN</t>
        </is>
      </c>
      <c r="E3147" s="63" t="n">
        <v>6.4e-05</v>
      </c>
      <c r="F3147" s="64" t="n">
        <v>9323.440000000001</v>
      </c>
      <c r="G3147" s="64">
        <f>TRUNC(TRUNC(E3147,8)*F3147,2)</f>
        <v/>
      </c>
      <c r="M3147" t="n">
        <v>9323.440000000001</v>
      </c>
      <c r="N3147">
        <f>(M3147-F3147)</f>
        <v/>
      </c>
    </row>
    <row r="3148" ht="15" customHeight="1">
      <c r="A3148" s="2" t="inlineStr"/>
      <c r="B3148" s="2" t="inlineStr"/>
      <c r="C3148" s="2" t="inlineStr"/>
      <c r="D3148" s="2" t="inlineStr"/>
      <c r="E3148" s="26" t="inlineStr">
        <is>
          <t>TOTAL Equipamento:</t>
        </is>
      </c>
      <c r="F3148" s="56" t="n"/>
      <c r="G3148" s="65">
        <f>SUM(G3147:G3147)</f>
        <v/>
      </c>
    </row>
    <row r="3149" ht="15" customHeight="1">
      <c r="A3149" s="2" t="inlineStr"/>
      <c r="B3149" s="2" t="inlineStr"/>
      <c r="C3149" s="2" t="inlineStr"/>
      <c r="D3149" s="2" t="inlineStr"/>
      <c r="E3149" s="28" t="inlineStr">
        <is>
          <t>VALOR:</t>
        </is>
      </c>
      <c r="F3149" s="56" t="n"/>
      <c r="G3149" s="66">
        <f>ROUND(SUM(G3148),2)</f>
        <v/>
      </c>
    </row>
    <row r="3150" ht="15" customHeight="1">
      <c r="A3150" s="2" t="inlineStr"/>
      <c r="B3150" s="2" t="inlineStr"/>
      <c r="C3150" s="2" t="inlineStr"/>
      <c r="D3150" s="2" t="inlineStr"/>
      <c r="E3150" s="28" t="inlineStr">
        <is>
          <t>VALOR BDI (23.08%):</t>
        </is>
      </c>
      <c r="F3150" s="56" t="n"/>
      <c r="G3150" s="66">
        <f>ROUNDDOWN(G3149*BDI,2)</f>
        <v/>
      </c>
    </row>
    <row r="3151" ht="15" customHeight="1">
      <c r="A3151" s="2" t="inlineStr"/>
      <c r="B3151" s="2" t="inlineStr"/>
      <c r="C3151" s="2" t="inlineStr"/>
      <c r="D3151" s="2" t="inlineStr"/>
      <c r="E3151" s="28" t="inlineStr">
        <is>
          <t>VALOR COM BDI:</t>
        </is>
      </c>
      <c r="F3151" s="56" t="n"/>
      <c r="G3151" s="66">
        <f>G3150 + G3149</f>
        <v/>
      </c>
    </row>
    <row r="3152" ht="10" customHeight="1">
      <c r="A3152" s="2" t="inlineStr"/>
      <c r="B3152" s="2" t="inlineStr"/>
      <c r="C3152" s="2" t="inlineStr"/>
      <c r="D3152" s="2" t="inlineStr"/>
      <c r="E3152" s="18" t="inlineStr"/>
    </row>
    <row r="3153" ht="20" customHeight="1">
      <c r="A3153" s="19" t="inlineStr">
        <is>
          <t>​95273​ POLIDORA DE PISO (POLITRIZ), PESO DE 100KG, DIÂMETRO 450 MM, MOTOR ELÉTRICO, POTÊNCIA 4 HP - JUROS. AF_05/2023​ (H)</t>
        </is>
      </c>
      <c r="B3153" s="55" t="n"/>
      <c r="C3153" s="55" t="n"/>
      <c r="D3153" s="55" t="n"/>
      <c r="E3153" s="55" t="n"/>
      <c r="F3153" s="55" t="n"/>
      <c r="G3153" s="56" t="n"/>
    </row>
    <row r="3154" ht="15" customHeight="1">
      <c r="A3154" s="20" t="inlineStr">
        <is>
          <t>Equipamento</t>
        </is>
      </c>
      <c r="B3154" s="56" t="n"/>
      <c r="C3154" s="21" t="inlineStr">
        <is>
          <t>FONTE</t>
        </is>
      </c>
      <c r="D3154" s="21" t="inlineStr">
        <is>
          <t>UNID</t>
        </is>
      </c>
      <c r="E3154" s="21" t="inlineStr">
        <is>
          <t>COEFICIENTE</t>
        </is>
      </c>
      <c r="F3154" s="21" t="inlineStr">
        <is>
          <t>PREÇO UNITÁRIO</t>
        </is>
      </c>
      <c r="G3154" s="21" t="inlineStr">
        <is>
          <t>TOTAL</t>
        </is>
      </c>
    </row>
    <row r="3155" ht="29" customHeight="1">
      <c r="A3155" s="22" t="inlineStr">
        <is>
          <t>00013954</t>
        </is>
      </c>
      <c r="B3155" s="23" t="inlineStr">
        <is>
          <t>POLIDORA DE PISO (POLITRIZ) ELETRICA, MOTOR MONOFASICO DE 4 HP, PESO DE 100 KG, DIAMETRO DO TRABALHO DE 450 MM</t>
        </is>
      </c>
      <c r="C3155" s="22" t="inlineStr">
        <is>
          <t>SINAPI</t>
        </is>
      </c>
      <c r="D3155" s="22" t="inlineStr">
        <is>
          <t>UN</t>
        </is>
      </c>
      <c r="E3155" s="63" t="n">
        <v>1.48e-05</v>
      </c>
      <c r="F3155" s="64" t="n">
        <v>9323.440000000001</v>
      </c>
      <c r="G3155" s="64">
        <f>TRUNC(TRUNC(E3155,8)*F3155,2)</f>
        <v/>
      </c>
      <c r="M3155" t="n">
        <v>9323.440000000001</v>
      </c>
      <c r="N3155">
        <f>(M3155-F3155)</f>
        <v/>
      </c>
    </row>
    <row r="3156" ht="15" customHeight="1">
      <c r="A3156" s="2" t="inlineStr"/>
      <c r="B3156" s="2" t="inlineStr"/>
      <c r="C3156" s="2" t="inlineStr"/>
      <c r="D3156" s="2" t="inlineStr"/>
      <c r="E3156" s="26" t="inlineStr">
        <is>
          <t>TOTAL Equipamento:</t>
        </is>
      </c>
      <c r="F3156" s="56" t="n"/>
      <c r="G3156" s="65">
        <f>SUM(G3155:G3155)</f>
        <v/>
      </c>
    </row>
    <row r="3157" ht="15" customHeight="1">
      <c r="A3157" s="2" t="inlineStr"/>
      <c r="B3157" s="2" t="inlineStr"/>
      <c r="C3157" s="2" t="inlineStr"/>
      <c r="D3157" s="2" t="inlineStr"/>
      <c r="E3157" s="28" t="inlineStr">
        <is>
          <t>VALOR:</t>
        </is>
      </c>
      <c r="F3157" s="56" t="n"/>
      <c r="G3157" s="66">
        <f>ROUND(SUM(G3156),2)</f>
        <v/>
      </c>
    </row>
    <row r="3158" ht="15" customHeight="1">
      <c r="A3158" s="2" t="inlineStr"/>
      <c r="B3158" s="2" t="inlineStr"/>
      <c r="C3158" s="2" t="inlineStr"/>
      <c r="D3158" s="2" t="inlineStr"/>
      <c r="E3158" s="28" t="inlineStr">
        <is>
          <t>VALOR BDI (23.08%):</t>
        </is>
      </c>
      <c r="F3158" s="56" t="n"/>
      <c r="G3158" s="66">
        <f>ROUNDDOWN(G3157*BDI,2)</f>
        <v/>
      </c>
    </row>
    <row r="3159" ht="15" customHeight="1">
      <c r="A3159" s="2" t="inlineStr"/>
      <c r="B3159" s="2" t="inlineStr"/>
      <c r="C3159" s="2" t="inlineStr"/>
      <c r="D3159" s="2" t="inlineStr"/>
      <c r="E3159" s="28" t="inlineStr">
        <is>
          <t>VALOR COM BDI:</t>
        </is>
      </c>
      <c r="F3159" s="56" t="n"/>
      <c r="G3159" s="66">
        <f>G3158 + G3157</f>
        <v/>
      </c>
    </row>
    <row r="3160" ht="10" customHeight="1">
      <c r="A3160" s="2" t="inlineStr"/>
      <c r="B3160" s="2" t="inlineStr"/>
      <c r="C3160" s="2" t="inlineStr"/>
      <c r="D3160" s="2" t="inlineStr"/>
      <c r="E3160" s="18" t="inlineStr"/>
    </row>
    <row r="3161" ht="20" customHeight="1">
      <c r="A3161" s="19" t="inlineStr">
        <is>
          <t>​95274​ POLIDORA DE PISO (POLITRIZ), PESO DE 100KG, DIÂMETRO 450 MM, MOTOR ELÉTRICO, POTÊNCIA 4 HP - MANUTENÇÃO. AF_05/2023​ (H)</t>
        </is>
      </c>
      <c r="B3161" s="55" t="n"/>
      <c r="C3161" s="55" t="n"/>
      <c r="D3161" s="55" t="n"/>
      <c r="E3161" s="55" t="n"/>
      <c r="F3161" s="55" t="n"/>
      <c r="G3161" s="56" t="n"/>
    </row>
    <row r="3162" ht="15" customHeight="1">
      <c r="A3162" s="20" t="inlineStr">
        <is>
          <t>Equipamento</t>
        </is>
      </c>
      <c r="B3162" s="56" t="n"/>
      <c r="C3162" s="21" t="inlineStr">
        <is>
          <t>FONTE</t>
        </is>
      </c>
      <c r="D3162" s="21" t="inlineStr">
        <is>
          <t>UNID</t>
        </is>
      </c>
      <c r="E3162" s="21" t="inlineStr">
        <is>
          <t>COEFICIENTE</t>
        </is>
      </c>
      <c r="F3162" s="21" t="inlineStr">
        <is>
          <t>PREÇO UNITÁRIO</t>
        </is>
      </c>
      <c r="G3162" s="21" t="inlineStr">
        <is>
          <t>TOTAL</t>
        </is>
      </c>
    </row>
    <row r="3163" ht="29" customHeight="1">
      <c r="A3163" s="22" t="inlineStr">
        <is>
          <t>00013954</t>
        </is>
      </c>
      <c r="B3163" s="23" t="inlineStr">
        <is>
          <t>POLIDORA DE PISO (POLITRIZ) ELETRICA, MOTOR MONOFASICO DE 4 HP, PESO DE 100 KG, DIAMETRO DO TRABALHO DE 450 MM</t>
        </is>
      </c>
      <c r="C3163" s="22" t="inlineStr">
        <is>
          <t>SINAPI</t>
        </is>
      </c>
      <c r="D3163" s="22" t="inlineStr">
        <is>
          <t>UN</t>
        </is>
      </c>
      <c r="E3163" s="63" t="n">
        <v>5e-05</v>
      </c>
      <c r="F3163" s="64" t="n">
        <v>9323.440000000001</v>
      </c>
      <c r="G3163" s="64">
        <f>TRUNC(TRUNC(E3163,8)*F3163,2)</f>
        <v/>
      </c>
      <c r="M3163" t="n">
        <v>9323.440000000001</v>
      </c>
      <c r="N3163">
        <f>(M3163-F3163)</f>
        <v/>
      </c>
    </row>
    <row r="3164" ht="15" customHeight="1">
      <c r="A3164" s="2" t="inlineStr"/>
      <c r="B3164" s="2" t="inlineStr"/>
      <c r="C3164" s="2" t="inlineStr"/>
      <c r="D3164" s="2" t="inlineStr"/>
      <c r="E3164" s="26" t="inlineStr">
        <is>
          <t>TOTAL Equipamento:</t>
        </is>
      </c>
      <c r="F3164" s="56" t="n"/>
      <c r="G3164" s="65">
        <f>SUM(G3163:G3163)</f>
        <v/>
      </c>
    </row>
    <row r="3165" ht="15" customHeight="1">
      <c r="A3165" s="2" t="inlineStr"/>
      <c r="B3165" s="2" t="inlineStr"/>
      <c r="C3165" s="2" t="inlineStr"/>
      <c r="D3165" s="2" t="inlineStr"/>
      <c r="E3165" s="28" t="inlineStr">
        <is>
          <t>VALOR:</t>
        </is>
      </c>
      <c r="F3165" s="56" t="n"/>
      <c r="G3165" s="66">
        <f>ROUND(SUM(G3164),2)</f>
        <v/>
      </c>
    </row>
    <row r="3166" ht="15" customHeight="1">
      <c r="A3166" s="2" t="inlineStr"/>
      <c r="B3166" s="2" t="inlineStr"/>
      <c r="C3166" s="2" t="inlineStr"/>
      <c r="D3166" s="2" t="inlineStr"/>
      <c r="E3166" s="28" t="inlineStr">
        <is>
          <t>VALOR BDI (23.08%):</t>
        </is>
      </c>
      <c r="F3166" s="56" t="n"/>
      <c r="G3166" s="66">
        <f>ROUNDDOWN(G3165*BDI,2)</f>
        <v/>
      </c>
    </row>
    <row r="3167" ht="15" customHeight="1">
      <c r="A3167" s="2" t="inlineStr"/>
      <c r="B3167" s="2" t="inlineStr"/>
      <c r="C3167" s="2" t="inlineStr"/>
      <c r="D3167" s="2" t="inlineStr"/>
      <c r="E3167" s="28" t="inlineStr">
        <is>
          <t>VALOR COM BDI:</t>
        </is>
      </c>
      <c r="F3167" s="56" t="n"/>
      <c r="G3167" s="66">
        <f>G3166 + G3165</f>
        <v/>
      </c>
    </row>
    <row r="3168" ht="10" customHeight="1">
      <c r="A3168" s="2" t="inlineStr"/>
      <c r="B3168" s="2" t="inlineStr"/>
      <c r="C3168" s="2" t="inlineStr"/>
      <c r="D3168" s="2" t="inlineStr"/>
      <c r="E3168" s="18" t="inlineStr"/>
    </row>
    <row r="3169" ht="20" customHeight="1">
      <c r="A3169" s="19" t="inlineStr">
        <is>
          <t>​95275​ POLIDORA DE PISO (POLITRIZ), PESO DE 100KG, DIÂMETRO 450 MM, MOTOR ELÉTRICO, POTÊNCIA 4 HP - MATERIAIS NA OPERAÇÃO. AF_05/2023​ (H)</t>
        </is>
      </c>
      <c r="B3169" s="55" t="n"/>
      <c r="C3169" s="55" t="n"/>
      <c r="D3169" s="55" t="n"/>
      <c r="E3169" s="55" t="n"/>
      <c r="F3169" s="55" t="n"/>
      <c r="G3169" s="56" t="n"/>
    </row>
    <row r="3170" ht="15" customHeight="1">
      <c r="A3170" s="20" t="inlineStr">
        <is>
          <t>Especiais</t>
        </is>
      </c>
      <c r="B3170" s="56" t="n"/>
      <c r="C3170" s="21" t="inlineStr">
        <is>
          <t>FONTE</t>
        </is>
      </c>
      <c r="D3170" s="21" t="inlineStr">
        <is>
          <t>UNID</t>
        </is>
      </c>
      <c r="E3170" s="21" t="inlineStr">
        <is>
          <t>COEFICIENTE</t>
        </is>
      </c>
      <c r="F3170" s="21">
        <f>G2570</f>
        <v/>
      </c>
      <c r="G3170" s="21" t="inlineStr">
        <is>
          <t>TOTAL</t>
        </is>
      </c>
    </row>
    <row r="3171" ht="21" customHeight="1">
      <c r="A3171" s="22" t="inlineStr">
        <is>
          <t>00002705</t>
        </is>
      </c>
      <c r="B3171" s="23" t="inlineStr">
        <is>
          <t>ENERGIA ELETRICA ATE 2000 KWH INDUSTRIAL, SEM DEMANDA</t>
        </is>
      </c>
      <c r="C3171" s="22" t="inlineStr">
        <is>
          <t>SINAPI</t>
        </is>
      </c>
      <c r="D3171" s="22" t="inlineStr">
        <is>
          <t>KWH</t>
        </is>
      </c>
      <c r="E3171" s="63" t="n">
        <v>2.54</v>
      </c>
      <c r="F3171" s="64" t="n">
        <v>1.01</v>
      </c>
      <c r="G3171" s="64">
        <f>TRUNC(TRUNC(E3171,8)*F3171,2)</f>
        <v/>
      </c>
      <c r="L3171" t="n">
        <v>2.54</v>
      </c>
      <c r="M3171" t="n">
        <v>1.01</v>
      </c>
      <c r="N3171">
        <f>(M3171-F3171)</f>
        <v/>
      </c>
    </row>
    <row r="3172" ht="15" customHeight="1">
      <c r="A3172" s="2" t="inlineStr"/>
      <c r="B3172" s="2" t="inlineStr"/>
      <c r="C3172" s="2" t="inlineStr"/>
      <c r="D3172" s="2" t="inlineStr"/>
      <c r="E3172" s="26" t="inlineStr">
        <is>
          <t>TOTAL Especiais:</t>
        </is>
      </c>
      <c r="F3172" s="56" t="n"/>
      <c r="G3172" s="65">
        <f>SUM(G3171:G3171)</f>
        <v/>
      </c>
    </row>
    <row r="3173" ht="15" customHeight="1">
      <c r="A3173" s="2" t="inlineStr"/>
      <c r="B3173" s="2" t="inlineStr"/>
      <c r="C3173" s="2" t="inlineStr"/>
      <c r="D3173" s="2" t="inlineStr"/>
      <c r="E3173" s="28" t="inlineStr">
        <is>
          <t>VALOR:</t>
        </is>
      </c>
      <c r="F3173" s="56" t="n"/>
      <c r="G3173" s="66">
        <f>ROUND(SUM(G3172),2)</f>
        <v/>
      </c>
    </row>
    <row r="3174" ht="15" customHeight="1">
      <c r="A3174" s="2" t="inlineStr"/>
      <c r="B3174" s="2" t="inlineStr"/>
      <c r="C3174" s="2" t="inlineStr"/>
      <c r="D3174" s="2" t="inlineStr"/>
      <c r="E3174" s="28" t="inlineStr">
        <is>
          <t>VALOR BDI (23.08%):</t>
        </is>
      </c>
      <c r="F3174" s="56" t="n"/>
      <c r="G3174" s="66">
        <f>ROUNDDOWN(G3173*BDI,2)</f>
        <v/>
      </c>
    </row>
    <row r="3175" ht="15" customHeight="1">
      <c r="A3175" s="2" t="inlineStr"/>
      <c r="B3175" s="2" t="inlineStr"/>
      <c r="C3175" s="2" t="inlineStr"/>
      <c r="D3175" s="2" t="inlineStr"/>
      <c r="E3175" s="28" t="inlineStr">
        <is>
          <t>VALOR COM BDI:</t>
        </is>
      </c>
      <c r="F3175" s="56" t="n"/>
      <c r="G3175" s="66">
        <f>G3174 + G3173</f>
        <v/>
      </c>
    </row>
    <row r="3176" ht="10" customHeight="1">
      <c r="A3176" s="2" t="inlineStr"/>
      <c r="B3176" s="2" t="inlineStr"/>
      <c r="C3176" s="2" t="inlineStr"/>
      <c r="D3176" s="2" t="inlineStr"/>
      <c r="E3176" s="18" t="inlineStr"/>
    </row>
    <row r="3177" ht="20" customHeight="1">
      <c r="A3177" s="19" t="inlineStr">
        <is>
          <t>​101624​ PREPARO DE FUNDO DE VALA COM LARGURA MAIOR OU IGUAL A 1,5 M E MENOR QUE 2,5 M, COM CAMADA DE BRITA, LANÇAMENTO MECANIZADO. AF_08/2020​ (M3)</t>
        </is>
      </c>
      <c r="B3177" s="55" t="n"/>
      <c r="C3177" s="55" t="n"/>
      <c r="D3177" s="55" t="n"/>
      <c r="E3177" s="55" t="n"/>
      <c r="F3177" s="55" t="n"/>
      <c r="G3177" s="56" t="n"/>
    </row>
    <row r="3178" ht="15" customHeight="1">
      <c r="A3178" s="20" t="inlineStr">
        <is>
          <t>Equipamento Custo Horário</t>
        </is>
      </c>
      <c r="B3178" s="56" t="n"/>
      <c r="C3178" s="21" t="inlineStr">
        <is>
          <t>FONTE</t>
        </is>
      </c>
      <c r="D3178" s="21" t="inlineStr">
        <is>
          <t>UNID</t>
        </is>
      </c>
      <c r="E3178" s="21" t="inlineStr">
        <is>
          <t>COEFICIENTE</t>
        </is>
      </c>
      <c r="F3178" s="21" t="inlineStr">
        <is>
          <t>PREÇO UNITÁRIO</t>
        </is>
      </c>
      <c r="G3178" s="21" t="inlineStr">
        <is>
          <t>TOTAL</t>
        </is>
      </c>
    </row>
    <row r="3179" ht="29" customHeight="1">
      <c r="A3179" s="22" t="inlineStr">
        <is>
          <t>91534</t>
        </is>
      </c>
      <c r="B3179" s="23" t="inlineStr">
        <is>
          <t>COMPACTADOR DE SOLOS DE PERCUSSÃO (SOQUETE) COM MOTOR A GASOLINA 4 TEMPOS, POTÊNCIA 4 CV - CHI DIURNO. AF_08/2015</t>
        </is>
      </c>
      <c r="C3179" s="22" t="inlineStr">
        <is>
          <t>SINAPI</t>
        </is>
      </c>
      <c r="D3179" s="22" t="inlineStr">
        <is>
          <t>CHI</t>
        </is>
      </c>
      <c r="E3179" s="63" t="n">
        <v>0.0302</v>
      </c>
      <c r="F3179" s="64">
        <f>'COMPOSICOES AUXILIARES'!G989</f>
        <v/>
      </c>
      <c r="G3179" s="64">
        <f>TRUNC(TRUNC(E3179,8)*F3179,2)</f>
        <v/>
      </c>
      <c r="L3179" t="n">
        <v>0.0302</v>
      </c>
      <c r="M3179" t="n">
        <v>36.75</v>
      </c>
      <c r="N3179">
        <f>(M3179-F3179)</f>
        <v/>
      </c>
    </row>
    <row r="3180" ht="29" customHeight="1">
      <c r="A3180" s="22" t="inlineStr">
        <is>
          <t>91533</t>
        </is>
      </c>
      <c r="B3180" s="23" t="inlineStr">
        <is>
          <t>COMPACTADOR DE SOLOS DE PERCUSSÃO (SOQUETE) COM MOTOR A GASOLINA 4 TEMPOS, POTÊNCIA 4 CV - CHP DIURNO. AF_08/2015</t>
        </is>
      </c>
      <c r="C3180" s="22" t="inlineStr">
        <is>
          <t>SINAPI</t>
        </is>
      </c>
      <c r="D3180" s="22" t="inlineStr">
        <is>
          <t>CHP</t>
        </is>
      </c>
      <c r="E3180" s="63" t="n">
        <v>0.0325</v>
      </c>
      <c r="F3180" s="64">
        <f>'COMPOSICOES AUXILIARES'!G1003</f>
        <v/>
      </c>
      <c r="G3180" s="64">
        <f>TRUNC(TRUNC(E3180,8)*F3180,2)</f>
        <v/>
      </c>
      <c r="L3180" t="n">
        <v>0.0325</v>
      </c>
      <c r="M3180" t="n">
        <v>44.39</v>
      </c>
      <c r="N3180">
        <f>(M3180-F3180)</f>
        <v/>
      </c>
    </row>
    <row r="3181" ht="46" customHeight="1">
      <c r="A3181" s="22" t="inlineStr">
        <is>
          <t>5679</t>
        </is>
      </c>
      <c r="B3181" s="23" t="inlineStr">
        <is>
          <t>RETROESCAVADEIRA SOBRE RODAS COM CARREGADEIRA, TRAÇÃO 4X4, POTÊNCIA LÍQ. 88 HP, CAÇAMBA CARREG. CAP. MÍN. 1 M3, CAÇAMBA RETRO CAP. 0,26 M3, PESO OPERACIONAL MÍN. 6.674 KG, PROFUNDIDADE ESCAVAÇÃO MÁX. 4,37 M - CHI DIURNO. AF_06/2014</t>
        </is>
      </c>
      <c r="C3181" s="22" t="inlineStr">
        <is>
          <t>SINAPI</t>
        </is>
      </c>
      <c r="D3181" s="22" t="inlineStr">
        <is>
          <t>CHI</t>
        </is>
      </c>
      <c r="E3181" s="63" t="n">
        <v>0.3972</v>
      </c>
      <c r="F3181" s="64" t="n">
        <v>69.12</v>
      </c>
      <c r="G3181" s="64">
        <f>TRUNC(TRUNC(E3181,8)*F3181,2)</f>
        <v/>
      </c>
      <c r="L3181" t="n">
        <v>0.3972</v>
      </c>
      <c r="M3181" t="n">
        <v>69.12</v>
      </c>
      <c r="N3181">
        <f>(M3181-F3181)</f>
        <v/>
      </c>
    </row>
    <row r="3182" ht="46" customHeight="1">
      <c r="A3182" s="22" t="inlineStr">
        <is>
          <t>5678</t>
        </is>
      </c>
      <c r="B3182" s="23" t="inlineStr">
        <is>
          <t>RETROESCAVADEIRA SOBRE RODAS COM CARREGADEIRA, TRAÇÃO 4X4, POTÊNCIA LÍQ. 88 HP, CAÇAMBA CARREG. CAP. MÍN. 1 M3, CAÇAMBA RETRO CAP. 0,26 M3, PESO OPERACIONAL MÍN. 6.674 KG, PROFUNDIDADE ESCAVAÇÃO MÁX. 4,37 M - CHP DIURNO. AF_06/2014</t>
        </is>
      </c>
      <c r="C3182" s="22" t="inlineStr">
        <is>
          <t>SINAPI</t>
        </is>
      </c>
      <c r="D3182" s="22" t="inlineStr">
        <is>
          <t>CHP</t>
        </is>
      </c>
      <c r="E3182" s="63" t="n">
        <v>0.0794</v>
      </c>
      <c r="F3182" s="64" t="n">
        <v>152.91</v>
      </c>
      <c r="G3182" s="64">
        <f>TRUNC(TRUNC(E3182,8)*F3182,2)</f>
        <v/>
      </c>
      <c r="L3182" t="n">
        <v>0.0794</v>
      </c>
      <c r="M3182" t="n">
        <v>152.91</v>
      </c>
      <c r="N3182">
        <f>(M3182-F3182)</f>
        <v/>
      </c>
    </row>
    <row r="3183" ht="18" customHeight="1">
      <c r="A3183" s="2" t="inlineStr"/>
      <c r="B3183" s="2" t="inlineStr"/>
      <c r="C3183" s="2" t="inlineStr"/>
      <c r="D3183" s="2" t="inlineStr"/>
      <c r="E3183" s="26" t="inlineStr">
        <is>
          <t>TOTAL Equipamento Custo Horário:</t>
        </is>
      </c>
      <c r="F3183" s="56" t="n"/>
      <c r="G3183" s="65">
        <f>SUM(G3179:G3182)</f>
        <v/>
      </c>
    </row>
    <row r="3184" ht="15" customHeight="1">
      <c r="A3184" s="20" t="inlineStr">
        <is>
          <t>Material</t>
        </is>
      </c>
      <c r="B3184" s="56" t="n"/>
      <c r="C3184" s="21" t="inlineStr">
        <is>
          <t>FONTE</t>
        </is>
      </c>
      <c r="D3184" s="21" t="inlineStr">
        <is>
          <t>UNID</t>
        </is>
      </c>
      <c r="E3184" s="21" t="inlineStr">
        <is>
          <t>COEFICIENTE</t>
        </is>
      </c>
      <c r="F3184" s="21" t="inlineStr">
        <is>
          <t>PREÇO UNITÁRIO</t>
        </is>
      </c>
      <c r="G3184" s="21" t="inlineStr">
        <is>
          <t>TOTAL</t>
        </is>
      </c>
    </row>
    <row r="3185" ht="21" customHeight="1">
      <c r="A3185" s="22" t="inlineStr">
        <is>
          <t>00004720</t>
        </is>
      </c>
      <c r="B3185" s="23" t="inlineStr">
        <is>
          <t>PEDRA BRITADA N. 0, OU PEDRISCO (4,8 A 9,5 MM) POSTO PEDREIRA/FORNECEDOR, SEM FRETE</t>
        </is>
      </c>
      <c r="C3185" s="22" t="inlineStr">
        <is>
          <t>SINAPI</t>
        </is>
      </c>
      <c r="D3185" s="22" t="inlineStr">
        <is>
          <t>M3</t>
        </is>
      </c>
      <c r="E3185" s="63" t="n">
        <v>1.1</v>
      </c>
      <c r="F3185" s="64">
        <f>ROUND(M3185*FATOR, 2)</f>
        <v/>
      </c>
      <c r="G3185" s="64">
        <f>TRUNC(TRUNC(E3185,8)*F3185,2)</f>
        <v/>
      </c>
      <c r="L3185" t="n">
        <v>1.1</v>
      </c>
      <c r="M3185" t="n">
        <v>128.17</v>
      </c>
      <c r="N3185">
        <f>(M3185-F3185)</f>
        <v/>
      </c>
    </row>
    <row r="3186" ht="15" customHeight="1">
      <c r="A3186" s="2" t="inlineStr"/>
      <c r="B3186" s="2" t="inlineStr"/>
      <c r="C3186" s="2" t="inlineStr"/>
      <c r="D3186" s="2" t="inlineStr"/>
      <c r="E3186" s="26" t="inlineStr">
        <is>
          <t>TOTAL Material:</t>
        </is>
      </c>
      <c r="F3186" s="56" t="n"/>
      <c r="G3186" s="65">
        <f>SUM(G3185:G3185)</f>
        <v/>
      </c>
    </row>
    <row r="3187" ht="15" customHeight="1">
      <c r="A3187" s="20" t="inlineStr">
        <is>
          <t>Mão de Obra com Encargos Complementares</t>
        </is>
      </c>
      <c r="B3187" s="56" t="n"/>
      <c r="C3187" s="21" t="inlineStr">
        <is>
          <t>FONTE</t>
        </is>
      </c>
      <c r="D3187" s="21" t="inlineStr">
        <is>
          <t>UNID</t>
        </is>
      </c>
      <c r="E3187" s="21" t="inlineStr">
        <is>
          <t>COEFICIENTE</t>
        </is>
      </c>
      <c r="F3187" s="21" t="inlineStr">
        <is>
          <t>PREÇO UNITÁRIO</t>
        </is>
      </c>
      <c r="G3187" s="21" t="inlineStr">
        <is>
          <t>TOTAL</t>
        </is>
      </c>
    </row>
    <row r="3188" ht="15" customHeight="1">
      <c r="A3188" s="22" t="inlineStr">
        <is>
          <t>88309</t>
        </is>
      </c>
      <c r="B3188" s="23" t="inlineStr">
        <is>
          <t>PEDREIRO COM ENCARGOS COMPLEMENTARES</t>
        </is>
      </c>
      <c r="C3188" s="22" t="inlineStr">
        <is>
          <t>SINAPI</t>
        </is>
      </c>
      <c r="D3188" s="22" t="inlineStr">
        <is>
          <t>H</t>
        </is>
      </c>
      <c r="E3188" s="63">
        <f>L3188*FATOR</f>
        <v/>
      </c>
      <c r="F3188" s="64">
        <f>'COMPOSICOES AUXILIARES'!G1112</f>
        <v/>
      </c>
      <c r="G3188" s="64">
        <f>TRUNC(TRUNC(E3188,8)*F3188,2)</f>
        <v/>
      </c>
      <c r="L3188" t="n">
        <v>0.572</v>
      </c>
      <c r="M3188" t="n">
        <v>30.58</v>
      </c>
      <c r="N3188">
        <f>(M3188-F3188)</f>
        <v/>
      </c>
    </row>
    <row r="3189" ht="15" customHeight="1">
      <c r="A3189" s="22" t="inlineStr">
        <is>
          <t>88316</t>
        </is>
      </c>
      <c r="B3189" s="23" t="inlineStr">
        <is>
          <t>SERVENTE COM ENCARGOS COMPLEMENTARES</t>
        </is>
      </c>
      <c r="C3189" s="22" t="inlineStr">
        <is>
          <t>SINAPI</t>
        </is>
      </c>
      <c r="D3189" s="22" t="inlineStr">
        <is>
          <t>H</t>
        </is>
      </c>
      <c r="E3189" s="63">
        <f>L3189*FATOR</f>
        <v/>
      </c>
      <c r="F3189" s="64">
        <f>'COMPOSICOES AUXILIARES'!G161</f>
        <v/>
      </c>
      <c r="G3189" s="64">
        <f>TRUNC(TRUNC(E3189,8)*F3189,2)</f>
        <v/>
      </c>
      <c r="L3189" t="n">
        <v>0.8579</v>
      </c>
      <c r="M3189" t="n">
        <v>23.56</v>
      </c>
      <c r="N3189">
        <f>(M3189-F3189)</f>
        <v/>
      </c>
    </row>
    <row r="3190" ht="18" customHeight="1">
      <c r="A3190" s="2" t="inlineStr"/>
      <c r="B3190" s="2" t="inlineStr"/>
      <c r="C3190" s="2" t="inlineStr"/>
      <c r="D3190" s="2" t="inlineStr"/>
      <c r="E3190" s="26" t="inlineStr">
        <is>
          <t>TOTAL Mão de Obra com Encargos Complementares:</t>
        </is>
      </c>
      <c r="F3190" s="56" t="n"/>
      <c r="G3190" s="65">
        <f>SUM(G3188:G3189)</f>
        <v/>
      </c>
    </row>
    <row r="3191" ht="15" customHeight="1">
      <c r="A3191" s="2" t="inlineStr"/>
      <c r="B3191" s="2" t="inlineStr"/>
      <c r="C3191" s="2" t="inlineStr"/>
      <c r="D3191" s="2" t="inlineStr"/>
      <c r="E3191" s="28" t="inlineStr">
        <is>
          <t>VALOR:</t>
        </is>
      </c>
      <c r="F3191" s="56" t="n"/>
      <c r="G3191" s="66">
        <f>SUM(G3186,G3190,G3183)</f>
        <v/>
      </c>
    </row>
    <row r="3192" ht="15" customHeight="1">
      <c r="A3192" s="2" t="inlineStr"/>
      <c r="B3192" s="2" t="inlineStr"/>
      <c r="C3192" s="2" t="inlineStr"/>
      <c r="D3192" s="2" t="inlineStr"/>
      <c r="E3192" s="28" t="inlineStr">
        <is>
          <t>VALOR BDI (23.08%):</t>
        </is>
      </c>
      <c r="F3192" s="56" t="n"/>
      <c r="G3192" s="66">
        <f>ROUNDDOWN(G3191*BDI,2)</f>
        <v/>
      </c>
    </row>
    <row r="3193" ht="15" customHeight="1">
      <c r="A3193" s="2" t="inlineStr"/>
      <c r="B3193" s="2" t="inlineStr"/>
      <c r="C3193" s="2" t="inlineStr"/>
      <c r="D3193" s="2" t="inlineStr"/>
      <c r="E3193" s="28" t="inlineStr">
        <is>
          <t>VALOR COM BDI:</t>
        </is>
      </c>
      <c r="F3193" s="56" t="n"/>
      <c r="G3193" s="66">
        <f>G3192 + G3191</f>
        <v/>
      </c>
    </row>
    <row r="3194" ht="10" customHeight="1">
      <c r="A3194" s="2" t="inlineStr"/>
      <c r="B3194" s="2" t="inlineStr"/>
      <c r="C3194" s="2" t="inlineStr"/>
      <c r="D3194" s="2" t="inlineStr"/>
      <c r="E3194" s="18" t="inlineStr"/>
    </row>
    <row r="3195" ht="20" customHeight="1">
      <c r="A3195" s="19" t="inlineStr">
        <is>
          <t>​101616​ PREPARO DE FUNDO DE VALA COM LARGURA MENOR QUE 1,5 M (ACERTO DO SOLO NATURAL). AF_08/2020​ (M2)</t>
        </is>
      </c>
      <c r="B3195" s="55" t="n"/>
      <c r="C3195" s="55" t="n"/>
      <c r="D3195" s="55" t="n"/>
      <c r="E3195" s="55" t="n"/>
      <c r="F3195" s="55" t="n"/>
      <c r="G3195" s="56" t="n"/>
    </row>
    <row r="3196" ht="15" customHeight="1">
      <c r="A3196" s="20" t="inlineStr">
        <is>
          <t>Equipamento Custo Horário</t>
        </is>
      </c>
      <c r="B3196" s="56" t="n"/>
      <c r="C3196" s="21" t="inlineStr">
        <is>
          <t>FONTE</t>
        </is>
      </c>
      <c r="D3196" s="21" t="inlineStr">
        <is>
          <t>UNID</t>
        </is>
      </c>
      <c r="E3196" s="21" t="inlineStr">
        <is>
          <t>COEFICIENTE</t>
        </is>
      </c>
      <c r="F3196" s="21" t="inlineStr">
        <is>
          <t>PREÇO UNITÁRIO</t>
        </is>
      </c>
      <c r="G3196" s="21" t="inlineStr">
        <is>
          <t>TOTAL</t>
        </is>
      </c>
    </row>
    <row r="3197" ht="29" customHeight="1">
      <c r="A3197" s="22" t="inlineStr">
        <is>
          <t>91534</t>
        </is>
      </c>
      <c r="B3197" s="23" t="inlineStr">
        <is>
          <t>COMPACTADOR DE SOLOS DE PERCUSSÃO (SOQUETE) COM MOTOR A GASOLINA 4 TEMPOS, POTÊNCIA 4 CV - CHI DIURNO. AF_08/2015</t>
        </is>
      </c>
      <c r="C3197" s="22" t="inlineStr">
        <is>
          <t>SINAPI</t>
        </is>
      </c>
      <c r="D3197" s="22" t="inlineStr">
        <is>
          <t>CHI</t>
        </is>
      </c>
      <c r="E3197" s="63" t="n">
        <v>0.0036</v>
      </c>
      <c r="F3197" s="64">
        <f>'COMPOSICOES AUXILIARES'!G989</f>
        <v/>
      </c>
      <c r="G3197" s="64">
        <f>TRUNC(TRUNC(E3197,8)*F3197,2)</f>
        <v/>
      </c>
      <c r="L3197" t="n">
        <v>0.0036</v>
      </c>
      <c r="M3197" t="n">
        <v>36.75</v>
      </c>
      <c r="N3197">
        <f>(M3197-F3197)</f>
        <v/>
      </c>
    </row>
    <row r="3198" ht="29" customHeight="1">
      <c r="A3198" s="22" t="inlineStr">
        <is>
          <t>91533</t>
        </is>
      </c>
      <c r="B3198" s="23" t="inlineStr">
        <is>
          <t>COMPACTADOR DE SOLOS DE PERCUSSÃO (SOQUETE) COM MOTOR A GASOLINA 4 TEMPOS, POTÊNCIA 4 CV - CHP DIURNO. AF_08/2015</t>
        </is>
      </c>
      <c r="C3198" s="22" t="inlineStr">
        <is>
          <t>SINAPI</t>
        </is>
      </c>
      <c r="D3198" s="22" t="inlineStr">
        <is>
          <t>CHP</t>
        </is>
      </c>
      <c r="E3198" s="63" t="n">
        <v>0.0036</v>
      </c>
      <c r="F3198" s="64">
        <f>'COMPOSICOES AUXILIARES'!G1003</f>
        <v/>
      </c>
      <c r="G3198" s="64">
        <f>TRUNC(TRUNC(E3198,8)*F3198,2)</f>
        <v/>
      </c>
      <c r="L3198" t="n">
        <v>0.0036</v>
      </c>
      <c r="M3198" t="n">
        <v>44.39</v>
      </c>
      <c r="N3198">
        <f>(M3198-F3198)</f>
        <v/>
      </c>
    </row>
    <row r="3199" ht="18" customHeight="1">
      <c r="A3199" s="2" t="inlineStr"/>
      <c r="B3199" s="2" t="inlineStr"/>
      <c r="C3199" s="2" t="inlineStr"/>
      <c r="D3199" s="2" t="inlineStr"/>
      <c r="E3199" s="26" t="inlineStr">
        <is>
          <t>TOTAL Equipamento Custo Horário:</t>
        </is>
      </c>
      <c r="F3199" s="56" t="n"/>
      <c r="G3199" s="65">
        <f>SUM(G3197:G3198)</f>
        <v/>
      </c>
    </row>
    <row r="3200" ht="15" customHeight="1">
      <c r="A3200" s="20" t="inlineStr">
        <is>
          <t>Mão de Obra com Encargos Complementares</t>
        </is>
      </c>
      <c r="B3200" s="56" t="n"/>
      <c r="C3200" s="21" t="inlineStr">
        <is>
          <t>FONTE</t>
        </is>
      </c>
      <c r="D3200" s="21" t="inlineStr">
        <is>
          <t>UNID</t>
        </is>
      </c>
      <c r="E3200" s="21" t="inlineStr">
        <is>
          <t>COEFICIENTE</t>
        </is>
      </c>
      <c r="F3200" s="21" t="inlineStr">
        <is>
          <t>PREÇO UNITÁRIO</t>
        </is>
      </c>
      <c r="G3200" s="21" t="inlineStr">
        <is>
          <t>TOTAL</t>
        </is>
      </c>
    </row>
    <row r="3201" ht="15" customHeight="1">
      <c r="A3201" s="22" t="inlineStr">
        <is>
          <t>88309</t>
        </is>
      </c>
      <c r="B3201" s="23" t="inlineStr">
        <is>
          <t>PEDREIRO COM ENCARGOS COMPLEMENTARES</t>
        </is>
      </c>
      <c r="C3201" s="22" t="inlineStr">
        <is>
          <t>SINAPI</t>
        </is>
      </c>
      <c r="D3201" s="22" t="inlineStr">
        <is>
          <t>H</t>
        </is>
      </c>
      <c r="E3201" s="63">
        <f>L3201*FATOR</f>
        <v/>
      </c>
      <c r="F3201" s="64">
        <f>'COMPOSICOES AUXILIARES'!G1112</f>
        <v/>
      </c>
      <c r="G3201" s="64">
        <f>TRUNC(TRUNC(E3201,8)*F3201,2)</f>
        <v/>
      </c>
      <c r="L3201" t="n">
        <v>0.102</v>
      </c>
      <c r="M3201" t="n">
        <v>30.58</v>
      </c>
      <c r="N3201">
        <f>(M3201-F3201)</f>
        <v/>
      </c>
    </row>
    <row r="3202" ht="15" customHeight="1">
      <c r="A3202" s="22" t="inlineStr">
        <is>
          <t>88316</t>
        </is>
      </c>
      <c r="B3202" s="23" t="inlineStr">
        <is>
          <t>SERVENTE COM ENCARGOS COMPLEMENTARES</t>
        </is>
      </c>
      <c r="C3202" s="22" t="inlineStr">
        <is>
          <t>SINAPI</t>
        </is>
      </c>
      <c r="D3202" s="22" t="inlineStr">
        <is>
          <t>H</t>
        </is>
      </c>
      <c r="E3202" s="63">
        <f>L3202*FATOR</f>
        <v/>
      </c>
      <c r="F3202" s="64">
        <f>'COMPOSICOES AUXILIARES'!G161</f>
        <v/>
      </c>
      <c r="G3202" s="64">
        <f>TRUNC(TRUNC(E3202,8)*F3202,2)</f>
        <v/>
      </c>
      <c r="L3202" t="n">
        <v>0.1531</v>
      </c>
      <c r="M3202" t="n">
        <v>23.56</v>
      </c>
      <c r="N3202">
        <f>(M3202-F3202)</f>
        <v/>
      </c>
    </row>
    <row r="3203" ht="18" customHeight="1">
      <c r="A3203" s="2" t="inlineStr"/>
      <c r="B3203" s="2" t="inlineStr"/>
      <c r="C3203" s="2" t="inlineStr"/>
      <c r="D3203" s="2" t="inlineStr"/>
      <c r="E3203" s="26" t="inlineStr">
        <is>
          <t>TOTAL Mão de Obra com Encargos Complementares:</t>
        </is>
      </c>
      <c r="F3203" s="56" t="n"/>
      <c r="G3203" s="65">
        <f>SUM(G3201:G3202)</f>
        <v/>
      </c>
    </row>
    <row r="3204" ht="15" customHeight="1">
      <c r="A3204" s="2" t="inlineStr"/>
      <c r="B3204" s="2" t="inlineStr"/>
      <c r="C3204" s="2" t="inlineStr"/>
      <c r="D3204" s="2" t="inlineStr"/>
      <c r="E3204" s="28" t="inlineStr">
        <is>
          <t>VALOR:</t>
        </is>
      </c>
      <c r="F3204" s="56" t="n"/>
      <c r="G3204" s="66">
        <f>SUM(G3203,G3199)</f>
        <v/>
      </c>
    </row>
    <row r="3205" ht="15" customHeight="1">
      <c r="A3205" s="2" t="inlineStr"/>
      <c r="B3205" s="2" t="inlineStr"/>
      <c r="C3205" s="2" t="inlineStr"/>
      <c r="D3205" s="2" t="inlineStr"/>
      <c r="E3205" s="28" t="inlineStr">
        <is>
          <t>VALOR BDI (23.08%):</t>
        </is>
      </c>
      <c r="F3205" s="56" t="n"/>
      <c r="G3205" s="66">
        <f>ROUNDDOWN(G3204*BDI,2)</f>
        <v/>
      </c>
    </row>
    <row r="3206" ht="15" customHeight="1">
      <c r="A3206" s="2" t="inlineStr"/>
      <c r="B3206" s="2" t="inlineStr"/>
      <c r="C3206" s="2" t="inlineStr"/>
      <c r="D3206" s="2" t="inlineStr"/>
      <c r="E3206" s="28" t="inlineStr">
        <is>
          <t>VALOR COM BDI:</t>
        </is>
      </c>
      <c r="F3206" s="56" t="n"/>
      <c r="G3206" s="66">
        <f>G3205 + G3204</f>
        <v/>
      </c>
    </row>
    <row r="3207" ht="10" customHeight="1">
      <c r="A3207" s="2" t="inlineStr"/>
      <c r="B3207" s="2" t="inlineStr"/>
      <c r="C3207" s="2" t="inlineStr"/>
      <c r="D3207" s="2" t="inlineStr"/>
      <c r="E3207" s="18" t="inlineStr"/>
    </row>
    <row r="3208" ht="20" customHeight="1">
      <c r="A3208" s="19" t="inlineStr">
        <is>
          <t>​101618​ PREPARO DE FUNDO DE VALA COM LARGURA MENOR QUE 1,5 M, COM CAMADA DE AREIA, LANÇAMENTO MANUAL. AF_08/2020​ (M3)</t>
        </is>
      </c>
      <c r="B3208" s="55" t="n"/>
      <c r="C3208" s="55" t="n"/>
      <c r="D3208" s="55" t="n"/>
      <c r="E3208" s="55" t="n"/>
      <c r="F3208" s="55" t="n"/>
      <c r="G3208" s="56" t="n"/>
    </row>
    <row r="3209" ht="15" customHeight="1">
      <c r="A3209" s="20" t="inlineStr">
        <is>
          <t>Equipamento Custo Horário</t>
        </is>
      </c>
      <c r="B3209" s="56" t="n"/>
      <c r="C3209" s="21" t="inlineStr">
        <is>
          <t>FONTE</t>
        </is>
      </c>
      <c r="D3209" s="21" t="inlineStr">
        <is>
          <t>UNID</t>
        </is>
      </c>
      <c r="E3209" s="21" t="inlineStr">
        <is>
          <t>COEFICIENTE</t>
        </is>
      </c>
      <c r="F3209" s="21" t="inlineStr">
        <is>
          <t>PREÇO UNITÁRIO</t>
        </is>
      </c>
      <c r="G3209" s="21" t="inlineStr">
        <is>
          <t>TOTAL</t>
        </is>
      </c>
    </row>
    <row r="3210" ht="29" customHeight="1">
      <c r="A3210" s="22" t="inlineStr">
        <is>
          <t>91534</t>
        </is>
      </c>
      <c r="B3210" s="23" t="inlineStr">
        <is>
          <t>COMPACTADOR DE SOLOS DE PERCUSSÃO (SOQUETE) COM MOTOR A GASOLINA 4 TEMPOS, POTÊNCIA 4 CV - CHI DIURNO. AF_08/2015</t>
        </is>
      </c>
      <c r="C3210" s="22" t="inlineStr">
        <is>
          <t>SINAPI</t>
        </is>
      </c>
      <c r="D3210" s="22" t="inlineStr">
        <is>
          <t>CHI</t>
        </is>
      </c>
      <c r="E3210" s="63" t="n">
        <v>0.06660000000000001</v>
      </c>
      <c r="F3210" s="64">
        <f>'COMPOSICOES AUXILIARES'!G989</f>
        <v/>
      </c>
      <c r="G3210" s="64">
        <f>TRUNC(TRUNC(E3210,8)*F3210,2)</f>
        <v/>
      </c>
      <c r="L3210" t="n">
        <v>0.06660000000000001</v>
      </c>
      <c r="M3210" t="n">
        <v>36.75</v>
      </c>
      <c r="N3210">
        <f>(M3210-F3210)</f>
        <v/>
      </c>
    </row>
    <row r="3211" ht="29" customHeight="1">
      <c r="A3211" s="22" t="inlineStr">
        <is>
          <t>91533</t>
        </is>
      </c>
      <c r="B3211" s="23" t="inlineStr">
        <is>
          <t>COMPACTADOR DE SOLOS DE PERCUSSÃO (SOQUETE) COM MOTOR A GASOLINA 4 TEMPOS, POTÊNCIA 4 CV - CHP DIURNO. AF_08/2015</t>
        </is>
      </c>
      <c r="C3211" s="22" t="inlineStr">
        <is>
          <t>SINAPI</t>
        </is>
      </c>
      <c r="D3211" s="22" t="inlineStr">
        <is>
          <t>CHP</t>
        </is>
      </c>
      <c r="E3211" s="63" t="n">
        <v>0.0718</v>
      </c>
      <c r="F3211" s="64">
        <f>'COMPOSICOES AUXILIARES'!G1003</f>
        <v/>
      </c>
      <c r="G3211" s="64">
        <f>TRUNC(TRUNC(E3211,8)*F3211,2)</f>
        <v/>
      </c>
      <c r="L3211" t="n">
        <v>0.0718</v>
      </c>
      <c r="M3211" t="n">
        <v>44.39</v>
      </c>
      <c r="N3211">
        <f>(M3211-F3211)</f>
        <v/>
      </c>
    </row>
    <row r="3212" ht="18" customHeight="1">
      <c r="A3212" s="2" t="inlineStr"/>
      <c r="B3212" s="2" t="inlineStr"/>
      <c r="C3212" s="2" t="inlineStr"/>
      <c r="D3212" s="2" t="inlineStr"/>
      <c r="E3212" s="26" t="inlineStr">
        <is>
          <t>TOTAL Equipamento Custo Horário:</t>
        </is>
      </c>
      <c r="F3212" s="56" t="n"/>
      <c r="G3212" s="65">
        <f>SUM(G3210:G3211)</f>
        <v/>
      </c>
    </row>
    <row r="3213" ht="15" customHeight="1">
      <c r="A3213" s="20" t="inlineStr">
        <is>
          <t>Material</t>
        </is>
      </c>
      <c r="B3213" s="56" t="n"/>
      <c r="C3213" s="21" t="inlineStr">
        <is>
          <t>FONTE</t>
        </is>
      </c>
      <c r="D3213" s="21" t="inlineStr">
        <is>
          <t>UNID</t>
        </is>
      </c>
      <c r="E3213" s="21" t="inlineStr">
        <is>
          <t>COEFICIENTE</t>
        </is>
      </c>
      <c r="F3213" s="21" t="inlineStr">
        <is>
          <t>PREÇO UNITÁRIO</t>
        </is>
      </c>
      <c r="G3213" s="21" t="inlineStr">
        <is>
          <t>TOTAL</t>
        </is>
      </c>
    </row>
    <row r="3214" ht="21" customHeight="1">
      <c r="A3214" s="22" t="inlineStr">
        <is>
          <t>00000370</t>
        </is>
      </c>
      <c r="B3214" s="23" t="inlineStr">
        <is>
          <t>AREIA MEDIA - POSTO JAZIDA/FORNECEDOR (RETIRADO NA JAZIDA, SEM TRANSPORTE)</t>
        </is>
      </c>
      <c r="C3214" s="22" t="inlineStr">
        <is>
          <t>SINAPI</t>
        </is>
      </c>
      <c r="D3214" s="22" t="inlineStr">
        <is>
          <t>M3</t>
        </is>
      </c>
      <c r="E3214" s="63" t="n">
        <v>1.1</v>
      </c>
      <c r="F3214" s="64">
        <f>ROUND(M3214*FATOR, 2)</f>
        <v/>
      </c>
      <c r="G3214" s="64">
        <f>TRUNC(TRUNC(E3214,8)*F3214,2)</f>
        <v/>
      </c>
      <c r="L3214" t="n">
        <v>1.1</v>
      </c>
      <c r="M3214" t="n">
        <v>130</v>
      </c>
      <c r="N3214">
        <f>(M3214-F3214)</f>
        <v/>
      </c>
    </row>
    <row r="3215" ht="15" customHeight="1">
      <c r="A3215" s="2" t="inlineStr"/>
      <c r="B3215" s="2" t="inlineStr"/>
      <c r="C3215" s="2" t="inlineStr"/>
      <c r="D3215" s="2" t="inlineStr"/>
      <c r="E3215" s="26" t="inlineStr">
        <is>
          <t>TOTAL Material:</t>
        </is>
      </c>
      <c r="F3215" s="56" t="n"/>
      <c r="G3215" s="65">
        <f>SUM(G3214:G3214)</f>
        <v/>
      </c>
    </row>
    <row r="3216" ht="15" customHeight="1">
      <c r="A3216" s="20" t="inlineStr">
        <is>
          <t>Mão de Obra com Encargos Complementares</t>
        </is>
      </c>
      <c r="B3216" s="56" t="n"/>
      <c r="C3216" s="21" t="inlineStr">
        <is>
          <t>FONTE</t>
        </is>
      </c>
      <c r="D3216" s="21" t="inlineStr">
        <is>
          <t>UNID</t>
        </is>
      </c>
      <c r="E3216" s="21" t="inlineStr">
        <is>
          <t>COEFICIENTE</t>
        </is>
      </c>
      <c r="F3216" s="21" t="inlineStr">
        <is>
          <t>PREÇO UNITÁRIO</t>
        </is>
      </c>
      <c r="G3216" s="21" t="inlineStr">
        <is>
          <t>TOTAL</t>
        </is>
      </c>
    </row>
    <row r="3217" ht="15" customHeight="1">
      <c r="A3217" s="22" t="inlineStr">
        <is>
          <t>88309</t>
        </is>
      </c>
      <c r="B3217" s="23" t="inlineStr">
        <is>
          <t>PEDREIRO COM ENCARGOS COMPLEMENTARES</t>
        </is>
      </c>
      <c r="C3217" s="22" t="inlineStr">
        <is>
          <t>SINAPI</t>
        </is>
      </c>
      <c r="D3217" s="22" t="inlineStr">
        <is>
          <t>H</t>
        </is>
      </c>
      <c r="E3217" s="63">
        <f>L3217*FATOR</f>
        <v/>
      </c>
      <c r="F3217" s="64">
        <f>'COMPOSICOES AUXILIARES'!G1112</f>
        <v/>
      </c>
      <c r="G3217" s="64">
        <f>TRUNC(TRUNC(E3217,8)*F3217,2)</f>
        <v/>
      </c>
      <c r="L3217" t="n">
        <v>2.0219</v>
      </c>
      <c r="M3217" t="n">
        <v>30.58</v>
      </c>
      <c r="N3217">
        <f>(M3217-F3217)</f>
        <v/>
      </c>
    </row>
    <row r="3218" ht="15" customHeight="1">
      <c r="A3218" s="22" t="inlineStr">
        <is>
          <t>88316</t>
        </is>
      </c>
      <c r="B3218" s="23" t="inlineStr">
        <is>
          <t>SERVENTE COM ENCARGOS COMPLEMENTARES</t>
        </is>
      </c>
      <c r="C3218" s="22" t="inlineStr">
        <is>
          <t>SINAPI</t>
        </is>
      </c>
      <c r="D3218" s="22" t="inlineStr">
        <is>
          <t>H</t>
        </is>
      </c>
      <c r="E3218" s="63">
        <f>L3218*FATOR</f>
        <v/>
      </c>
      <c r="F3218" s="64">
        <f>'COMPOSICOES AUXILIARES'!G161</f>
        <v/>
      </c>
      <c r="G3218" s="64">
        <f>TRUNC(TRUNC(E3218,8)*F3218,2)</f>
        <v/>
      </c>
      <c r="L3218" t="n">
        <v>3.0329</v>
      </c>
      <c r="M3218" t="n">
        <v>23.56</v>
      </c>
      <c r="N3218">
        <f>(M3218-F3218)</f>
        <v/>
      </c>
    </row>
    <row r="3219" ht="18" customHeight="1">
      <c r="A3219" s="2" t="inlineStr"/>
      <c r="B3219" s="2" t="inlineStr"/>
      <c r="C3219" s="2" t="inlineStr"/>
      <c r="D3219" s="2" t="inlineStr"/>
      <c r="E3219" s="26" t="inlineStr">
        <is>
          <t>TOTAL Mão de Obra com Encargos Complementares:</t>
        </is>
      </c>
      <c r="F3219" s="56" t="n"/>
      <c r="G3219" s="65">
        <f>SUM(G3217:G3218)</f>
        <v/>
      </c>
    </row>
    <row r="3220" ht="15" customHeight="1">
      <c r="A3220" s="2" t="inlineStr"/>
      <c r="B3220" s="2" t="inlineStr"/>
      <c r="C3220" s="2" t="inlineStr"/>
      <c r="D3220" s="2" t="inlineStr"/>
      <c r="E3220" s="28" t="inlineStr">
        <is>
          <t>VALOR:</t>
        </is>
      </c>
      <c r="F3220" s="56" t="n"/>
      <c r="G3220" s="66">
        <f>SUM(G3219,G3212,G3215)</f>
        <v/>
      </c>
    </row>
    <row r="3221" ht="15" customHeight="1">
      <c r="A3221" s="2" t="inlineStr"/>
      <c r="B3221" s="2" t="inlineStr"/>
      <c r="C3221" s="2" t="inlineStr"/>
      <c r="D3221" s="2" t="inlineStr"/>
      <c r="E3221" s="28" t="inlineStr">
        <is>
          <t>VALOR BDI (23.08%):</t>
        </is>
      </c>
      <c r="F3221" s="56" t="n"/>
      <c r="G3221" s="66">
        <f>ROUNDDOWN(G3220*BDI,2)</f>
        <v/>
      </c>
    </row>
    <row r="3222" ht="15" customHeight="1">
      <c r="A3222" s="2" t="inlineStr"/>
      <c r="B3222" s="2" t="inlineStr"/>
      <c r="C3222" s="2" t="inlineStr"/>
      <c r="D3222" s="2" t="inlineStr"/>
      <c r="E3222" s="28" t="inlineStr">
        <is>
          <t>VALOR COM BDI:</t>
        </is>
      </c>
      <c r="F3222" s="56" t="n"/>
      <c r="G3222" s="66">
        <f>G3221 + G3220</f>
        <v/>
      </c>
    </row>
    <row r="3223" ht="10" customHeight="1">
      <c r="A3223" s="2" t="inlineStr"/>
      <c r="B3223" s="2" t="inlineStr"/>
      <c r="C3223" s="2" t="inlineStr"/>
      <c r="D3223" s="2" t="inlineStr"/>
      <c r="E3223" s="18" t="inlineStr"/>
    </row>
    <row r="3224" ht="20" customHeight="1">
      <c r="A3224" s="19" t="inlineStr">
        <is>
          <t>​101619​ PREPARO DE FUNDO DE VALA COM LARGURA MENOR QUE 1,5 M, COM CAMADA DE BRITA, LANÇAMENTO MANUAL. AF_08/2020​ (M3)</t>
        </is>
      </c>
      <c r="B3224" s="55" t="n"/>
      <c r="C3224" s="55" t="n"/>
      <c r="D3224" s="55" t="n"/>
      <c r="E3224" s="55" t="n"/>
      <c r="F3224" s="55" t="n"/>
      <c r="G3224" s="56" t="n"/>
    </row>
    <row r="3225" ht="15" customHeight="1">
      <c r="A3225" s="20" t="inlineStr">
        <is>
          <t>Equipamento Custo Horário</t>
        </is>
      </c>
      <c r="B3225" s="56" t="n"/>
      <c r="C3225" s="21" t="inlineStr">
        <is>
          <t>FONTE</t>
        </is>
      </c>
      <c r="D3225" s="21" t="inlineStr">
        <is>
          <t>UNID</t>
        </is>
      </c>
      <c r="E3225" s="21" t="inlineStr">
        <is>
          <t>COEFICIENTE</t>
        </is>
      </c>
      <c r="F3225" s="21" t="inlineStr">
        <is>
          <t>PREÇO UNITÁRIO</t>
        </is>
      </c>
      <c r="G3225" s="21" t="inlineStr">
        <is>
          <t>TOTAL</t>
        </is>
      </c>
    </row>
    <row r="3226" ht="29" customHeight="1">
      <c r="A3226" s="22" t="inlineStr">
        <is>
          <t>91534</t>
        </is>
      </c>
      <c r="B3226" s="23" t="inlineStr">
        <is>
          <t>COMPACTADOR DE SOLOS DE PERCUSSÃO (SOQUETE) COM MOTOR A GASOLINA 4 TEMPOS, POTÊNCIA 4 CV - CHI DIURNO. AF_08/2015</t>
        </is>
      </c>
      <c r="C3226" s="22" t="inlineStr">
        <is>
          <t>SINAPI</t>
        </is>
      </c>
      <c r="D3226" s="22" t="inlineStr">
        <is>
          <t>CHI</t>
        </is>
      </c>
      <c r="E3226" s="63" t="n">
        <v>0.06660000000000001</v>
      </c>
      <c r="F3226" s="64">
        <f>'COMPOSICOES AUXILIARES'!G989</f>
        <v/>
      </c>
      <c r="G3226" s="64">
        <f>TRUNC(TRUNC(E3226,8)*F3226,2)</f>
        <v/>
      </c>
      <c r="L3226" t="n">
        <v>0.06660000000000001</v>
      </c>
      <c r="M3226" t="n">
        <v>36.75</v>
      </c>
      <c r="N3226">
        <f>(M3226-F3226)</f>
        <v/>
      </c>
    </row>
    <row r="3227" ht="29" customHeight="1">
      <c r="A3227" s="22" t="inlineStr">
        <is>
          <t>91533</t>
        </is>
      </c>
      <c r="B3227" s="23" t="inlineStr">
        <is>
          <t>COMPACTADOR DE SOLOS DE PERCUSSÃO (SOQUETE) COM MOTOR A GASOLINA 4 TEMPOS, POTÊNCIA 4 CV - CHP DIURNO. AF_08/2015</t>
        </is>
      </c>
      <c r="C3227" s="22" t="inlineStr">
        <is>
          <t>SINAPI</t>
        </is>
      </c>
      <c r="D3227" s="22" t="inlineStr">
        <is>
          <t>CHP</t>
        </is>
      </c>
      <c r="E3227" s="63" t="n">
        <v>0.0718</v>
      </c>
      <c r="F3227" s="64">
        <f>'COMPOSICOES AUXILIARES'!G1003</f>
        <v/>
      </c>
      <c r="G3227" s="64">
        <f>TRUNC(TRUNC(E3227,8)*F3227,2)</f>
        <v/>
      </c>
      <c r="L3227" t="n">
        <v>0.0718</v>
      </c>
      <c r="M3227" t="n">
        <v>44.39</v>
      </c>
      <c r="N3227">
        <f>(M3227-F3227)</f>
        <v/>
      </c>
    </row>
    <row r="3228" ht="18" customHeight="1">
      <c r="A3228" s="2" t="inlineStr"/>
      <c r="B3228" s="2" t="inlineStr"/>
      <c r="C3228" s="2" t="inlineStr"/>
      <c r="D3228" s="2" t="inlineStr"/>
      <c r="E3228" s="26" t="inlineStr">
        <is>
          <t>TOTAL Equipamento Custo Horário:</t>
        </is>
      </c>
      <c r="F3228" s="56" t="n"/>
      <c r="G3228" s="65">
        <f>SUM(G3226:G3227)</f>
        <v/>
      </c>
    </row>
    <row r="3229" ht="15" customHeight="1">
      <c r="A3229" s="20" t="inlineStr">
        <is>
          <t>Material</t>
        </is>
      </c>
      <c r="B3229" s="56" t="n"/>
      <c r="C3229" s="21" t="inlineStr">
        <is>
          <t>FONTE</t>
        </is>
      </c>
      <c r="D3229" s="21" t="inlineStr">
        <is>
          <t>UNID</t>
        </is>
      </c>
      <c r="E3229" s="21" t="inlineStr">
        <is>
          <t>COEFICIENTE</t>
        </is>
      </c>
      <c r="F3229" s="21" t="inlineStr">
        <is>
          <t>PREÇO UNITÁRIO</t>
        </is>
      </c>
      <c r="G3229" s="21" t="inlineStr">
        <is>
          <t>TOTAL</t>
        </is>
      </c>
    </row>
    <row r="3230" ht="21" customHeight="1">
      <c r="A3230" s="22" t="inlineStr">
        <is>
          <t>00004720</t>
        </is>
      </c>
      <c r="B3230" s="23" t="inlineStr">
        <is>
          <t>PEDRA BRITADA N. 0, OU PEDRISCO (4,8 A 9,5 MM) POSTO PEDREIRA/FORNECEDOR, SEM FRETE</t>
        </is>
      </c>
      <c r="C3230" s="22" t="inlineStr">
        <is>
          <t>SINAPI</t>
        </is>
      </c>
      <c r="D3230" s="22" t="inlineStr">
        <is>
          <t>M3</t>
        </is>
      </c>
      <c r="E3230" s="63" t="n">
        <v>1.1</v>
      </c>
      <c r="F3230" s="64">
        <f>ROUND(M3230*FATOR, 2)</f>
        <v/>
      </c>
      <c r="G3230" s="64">
        <f>TRUNC(TRUNC(E3230,8)*F3230,2)</f>
        <v/>
      </c>
      <c r="L3230" t="n">
        <v>1.1</v>
      </c>
      <c r="M3230" t="n">
        <v>128.17</v>
      </c>
      <c r="N3230">
        <f>(M3230-F3230)</f>
        <v/>
      </c>
    </row>
    <row r="3231" ht="15" customHeight="1">
      <c r="A3231" s="2" t="inlineStr"/>
      <c r="B3231" s="2" t="inlineStr"/>
      <c r="C3231" s="2" t="inlineStr"/>
      <c r="D3231" s="2" t="inlineStr"/>
      <c r="E3231" s="26" t="inlineStr">
        <is>
          <t>TOTAL Material:</t>
        </is>
      </c>
      <c r="F3231" s="56" t="n"/>
      <c r="G3231" s="65">
        <f>SUM(G3230:G3230)</f>
        <v/>
      </c>
    </row>
    <row r="3232" ht="15" customHeight="1">
      <c r="A3232" s="20" t="inlineStr">
        <is>
          <t>Mão de Obra com Encargos Complementares</t>
        </is>
      </c>
      <c r="B3232" s="56" t="n"/>
      <c r="C3232" s="21" t="inlineStr">
        <is>
          <t>FONTE</t>
        </is>
      </c>
      <c r="D3232" s="21" t="inlineStr">
        <is>
          <t>UNID</t>
        </is>
      </c>
      <c r="E3232" s="21" t="inlineStr">
        <is>
          <t>COEFICIENTE</t>
        </is>
      </c>
      <c r="F3232" s="21" t="inlineStr">
        <is>
          <t>PREÇO UNITÁRIO</t>
        </is>
      </c>
      <c r="G3232" s="21" t="inlineStr">
        <is>
          <t>TOTAL</t>
        </is>
      </c>
    </row>
    <row r="3233" ht="15" customHeight="1">
      <c r="A3233" s="22" t="inlineStr">
        <is>
          <t>88309</t>
        </is>
      </c>
      <c r="B3233" s="23" t="inlineStr">
        <is>
          <t>PEDREIRO COM ENCARGOS COMPLEMENTARES</t>
        </is>
      </c>
      <c r="C3233" s="22" t="inlineStr">
        <is>
          <t>SINAPI</t>
        </is>
      </c>
      <c r="D3233" s="22" t="inlineStr">
        <is>
          <t>H</t>
        </is>
      </c>
      <c r="E3233" s="63">
        <f>L3233*FATOR</f>
        <v/>
      </c>
      <c r="F3233" s="64">
        <f>'COMPOSICOES AUXILIARES'!G1112</f>
        <v/>
      </c>
      <c r="G3233" s="64">
        <f>TRUNC(TRUNC(E3233,8)*F3233,2)</f>
        <v/>
      </c>
      <c r="L3233" t="n">
        <v>2.4938</v>
      </c>
      <c r="M3233" t="n">
        <v>30.58</v>
      </c>
      <c r="N3233">
        <f>(M3233-F3233)</f>
        <v/>
      </c>
    </row>
    <row r="3234" ht="15" customHeight="1">
      <c r="A3234" s="22" t="inlineStr">
        <is>
          <t>88316</t>
        </is>
      </c>
      <c r="B3234" s="23" t="inlineStr">
        <is>
          <t>SERVENTE COM ENCARGOS COMPLEMENTARES</t>
        </is>
      </c>
      <c r="C3234" s="22" t="inlineStr">
        <is>
          <t>SINAPI</t>
        </is>
      </c>
      <c r="D3234" s="22" t="inlineStr">
        <is>
          <t>H</t>
        </is>
      </c>
      <c r="E3234" s="63">
        <f>L3234*FATOR</f>
        <v/>
      </c>
      <c r="F3234" s="64">
        <f>'COMPOSICOES AUXILIARES'!G161</f>
        <v/>
      </c>
      <c r="G3234" s="64">
        <f>TRUNC(TRUNC(E3234,8)*F3234,2)</f>
        <v/>
      </c>
      <c r="L3234" t="n">
        <v>3.7407</v>
      </c>
      <c r="M3234" t="n">
        <v>23.56</v>
      </c>
      <c r="N3234">
        <f>(M3234-F3234)</f>
        <v/>
      </c>
    </row>
    <row r="3235" ht="18" customHeight="1">
      <c r="A3235" s="2" t="inlineStr"/>
      <c r="B3235" s="2" t="inlineStr"/>
      <c r="C3235" s="2" t="inlineStr"/>
      <c r="D3235" s="2" t="inlineStr"/>
      <c r="E3235" s="26" t="inlineStr">
        <is>
          <t>TOTAL Mão de Obra com Encargos Complementares:</t>
        </is>
      </c>
      <c r="F3235" s="56" t="n"/>
      <c r="G3235" s="65">
        <f>SUM(G3233:G3234)</f>
        <v/>
      </c>
    </row>
    <row r="3236" ht="15" customHeight="1">
      <c r="A3236" s="2" t="inlineStr"/>
      <c r="B3236" s="2" t="inlineStr"/>
      <c r="C3236" s="2" t="inlineStr"/>
      <c r="D3236" s="2" t="inlineStr"/>
      <c r="E3236" s="28" t="inlineStr">
        <is>
          <t>VALOR:</t>
        </is>
      </c>
      <c r="F3236" s="56" t="n"/>
      <c r="G3236" s="66">
        <f>SUM(G3235,G3228,G3231)</f>
        <v/>
      </c>
    </row>
    <row r="3237" ht="15" customHeight="1">
      <c r="A3237" s="2" t="inlineStr"/>
      <c r="B3237" s="2" t="inlineStr"/>
      <c r="C3237" s="2" t="inlineStr"/>
      <c r="D3237" s="2" t="inlineStr"/>
      <c r="E3237" s="28" t="inlineStr">
        <is>
          <t>VALOR BDI (23.08%):</t>
        </is>
      </c>
      <c r="F3237" s="56" t="n"/>
      <c r="G3237" s="66">
        <f>ROUNDDOWN(G3236*BDI,2)</f>
        <v/>
      </c>
    </row>
    <row r="3238" ht="15" customHeight="1">
      <c r="A3238" s="2" t="inlineStr"/>
      <c r="B3238" s="2" t="inlineStr"/>
      <c r="C3238" s="2" t="inlineStr"/>
      <c r="D3238" s="2" t="inlineStr"/>
      <c r="E3238" s="28" t="inlineStr">
        <is>
          <t>VALOR COM BDI:</t>
        </is>
      </c>
      <c r="F3238" s="56" t="n"/>
      <c r="G3238" s="66">
        <f>G3237 + G3236</f>
        <v/>
      </c>
    </row>
    <row r="3239" ht="10" customHeight="1">
      <c r="A3239" s="2" t="inlineStr"/>
      <c r="B3239" s="2" t="inlineStr"/>
      <c r="C3239" s="2" t="inlineStr"/>
      <c r="D3239" s="2" t="inlineStr"/>
      <c r="E3239" s="18" t="inlineStr"/>
    </row>
    <row r="3240" ht="27" customHeight="1">
      <c r="A3240" s="19" t="inlineStr">
        <is>
          <t>​5679​ RETROESCAVADEIRA SOBRE RODAS COM CARREGADEIRA, TRAÇÃO 4X4, POTÊNCIA LÍQ. 88 HP, CAÇAMBA CARREG. CAP. MÍN. 1 M3, CAÇAMBA RETRO CAP. 0,26 M3, PESO OPERACIONAL MÍN. 6.674 KG, PROFUNDIDADE ESCAVAÇÃO MÁX. 4,37 M - CHI DIURNO. AF_06/2014​ (CHI)</t>
        </is>
      </c>
      <c r="B3240" s="55" t="n"/>
      <c r="C3240" s="55" t="n"/>
      <c r="D3240" s="55" t="n"/>
      <c r="E3240" s="55" t="n"/>
      <c r="F3240" s="55" t="n"/>
      <c r="G3240" s="56" t="n"/>
    </row>
    <row r="3241" ht="15" customHeight="1">
      <c r="A3241" s="20" t="inlineStr">
        <is>
          <t>Mão de Obra com Encargos Complementares</t>
        </is>
      </c>
      <c r="B3241" s="56" t="n"/>
      <c r="C3241" s="21" t="inlineStr">
        <is>
          <t>FONTE</t>
        </is>
      </c>
      <c r="D3241" s="21" t="inlineStr">
        <is>
          <t>UNID</t>
        </is>
      </c>
      <c r="E3241" s="21" t="inlineStr">
        <is>
          <t>COEFICIENTE</t>
        </is>
      </c>
      <c r="F3241" s="21" t="inlineStr">
        <is>
          <t>PREÇO UNITÁRIO</t>
        </is>
      </c>
      <c r="G3241" s="21" t="inlineStr">
        <is>
          <t>TOTAL</t>
        </is>
      </c>
    </row>
    <row r="3242" ht="21" customHeight="1">
      <c r="A3242" s="22" t="inlineStr">
        <is>
          <t>88294</t>
        </is>
      </c>
      <c r="B3242" s="23" t="inlineStr">
        <is>
          <t>OPERADOR DE ESCAVADEIRA COM ENCARGOS COMPLEMENTARES</t>
        </is>
      </c>
      <c r="C3242" s="22" t="inlineStr">
        <is>
          <t>SINAPI</t>
        </is>
      </c>
      <c r="D3242" s="22" t="inlineStr">
        <is>
          <t>H</t>
        </is>
      </c>
      <c r="E3242" s="63">
        <f>L3242*FATOR</f>
        <v/>
      </c>
      <c r="F3242" s="64">
        <f>'COMPOSICOES AUXILIARES'!G1978</f>
        <v/>
      </c>
      <c r="G3242" s="64">
        <f>TRUNC(TRUNC(E3242,8)*F3242,2)</f>
        <v/>
      </c>
      <c r="L3242" t="n">
        <v>1</v>
      </c>
      <c r="M3242" t="n">
        <v>36.14</v>
      </c>
      <c r="N3242">
        <f>(M3242-F3242)</f>
        <v/>
      </c>
    </row>
    <row r="3243" ht="18" customHeight="1">
      <c r="A3243" s="2" t="inlineStr"/>
      <c r="B3243" s="2" t="inlineStr"/>
      <c r="C3243" s="2" t="inlineStr"/>
      <c r="D3243" s="2" t="inlineStr"/>
      <c r="E3243" s="26" t="inlineStr">
        <is>
          <t>TOTAL Mão de Obra com Encargos Complementares:</t>
        </is>
      </c>
      <c r="F3243" s="56" t="n"/>
      <c r="G3243" s="65">
        <f>SUM(G3242:G3242)</f>
        <v/>
      </c>
    </row>
    <row r="3244" ht="15" customHeight="1">
      <c r="A3244" s="20" t="inlineStr">
        <is>
          <t>Serviço</t>
        </is>
      </c>
      <c r="B3244" s="56" t="n"/>
      <c r="C3244" s="21" t="inlineStr">
        <is>
          <t>FONTE</t>
        </is>
      </c>
      <c r="D3244" s="21" t="inlineStr">
        <is>
          <t>UNID</t>
        </is>
      </c>
      <c r="E3244" s="21" t="inlineStr">
        <is>
          <t>COEFICIENTE</t>
        </is>
      </c>
      <c r="F3244" s="21" t="inlineStr">
        <is>
          <t>PREÇO UNITÁRIO</t>
        </is>
      </c>
      <c r="G3244" s="21" t="inlineStr">
        <is>
          <t>TOTAL</t>
        </is>
      </c>
    </row>
    <row r="3245" ht="46" customHeight="1">
      <c r="A3245" s="22" t="inlineStr">
        <is>
          <t>88857</t>
        </is>
      </c>
      <c r="B3245" s="23" t="inlineStr">
        <is>
          <t>RETROESCAVADEIRA SOBRE RODAS COM CARREGADEIRA, TRAÇÃO 4X4, POTÊNCIA LÍQ. 88 HP, CAÇAMBA CARREG. CAP. MÍN. 1 M3, CAÇAMBA RETRO CAP. 0,26 M3, PESO OPERACIONAL MÍN. 6.674 KG, PROFUNDIDADE ESCAVAÇÃO MÁX. 4,37 M - DEPRECIAÇÃO. AF_06/2014</t>
        </is>
      </c>
      <c r="C3245" s="22" t="inlineStr">
        <is>
          <t>SINAPI</t>
        </is>
      </c>
      <c r="D3245" s="22" t="inlineStr">
        <is>
          <t>H</t>
        </is>
      </c>
      <c r="E3245" s="63" t="n">
        <v>1</v>
      </c>
      <c r="F3245" s="64" t="n">
        <v>26.09</v>
      </c>
      <c r="G3245" s="64">
        <f>TRUNC(TRUNC(E3245,8)*F3245,2)</f>
        <v/>
      </c>
      <c r="L3245" t="n">
        <v>1</v>
      </c>
      <c r="M3245" t="n">
        <v>26.09</v>
      </c>
      <c r="N3245">
        <f>(M3245-F3245)</f>
        <v/>
      </c>
    </row>
    <row r="3246" ht="46" customHeight="1">
      <c r="A3246" s="22" t="inlineStr">
        <is>
          <t>88858</t>
        </is>
      </c>
      <c r="B3246" s="23" t="inlineStr">
        <is>
          <t>RETROESCAVADEIRA SOBRE RODAS COM CARREGADEIRA, TRAÇÃO 4X4, POTÊNCIA LÍQ. 88 HP, CAÇAMBA CARREG. CAP. MÍN. 1 M3, CAÇAMBA RETRO CAP. 0,26 M3, PESO OPERACIONAL MÍN. 6.674 KG, PROFUNDIDADE ESCAVAÇÃO MÁX. 4,37 M - JUROS. AF_06/2014</t>
        </is>
      </c>
      <c r="C3246" s="22" t="inlineStr">
        <is>
          <t>SINAPI</t>
        </is>
      </c>
      <c r="D3246" s="22" t="inlineStr">
        <is>
          <t>H</t>
        </is>
      </c>
      <c r="E3246" s="63" t="n">
        <v>1</v>
      </c>
      <c r="F3246" s="64" t="n">
        <v>6.89</v>
      </c>
      <c r="G3246" s="64">
        <f>TRUNC(TRUNC(E3246,8)*F3246,2)</f>
        <v/>
      </c>
      <c r="L3246" t="n">
        <v>1</v>
      </c>
      <c r="M3246" t="n">
        <v>6.89</v>
      </c>
      <c r="N3246">
        <f>(M3246-F3246)</f>
        <v/>
      </c>
    </row>
    <row r="3247" ht="15" customHeight="1">
      <c r="A3247" s="2" t="inlineStr"/>
      <c r="B3247" s="2" t="inlineStr"/>
      <c r="C3247" s="2" t="inlineStr"/>
      <c r="D3247" s="2" t="inlineStr"/>
      <c r="E3247" s="26" t="inlineStr">
        <is>
          <t>TOTAL Serviço:</t>
        </is>
      </c>
      <c r="F3247" s="56" t="n"/>
      <c r="G3247" s="65">
        <f>SUM(G3245:G3246)</f>
        <v/>
      </c>
    </row>
    <row r="3248" ht="15" customHeight="1">
      <c r="A3248" s="2" t="inlineStr"/>
      <c r="B3248" s="2" t="inlineStr"/>
      <c r="C3248" s="2" t="inlineStr"/>
      <c r="D3248" s="2" t="inlineStr"/>
      <c r="E3248" s="28" t="inlineStr">
        <is>
          <t>VALOR:</t>
        </is>
      </c>
      <c r="F3248" s="56" t="n"/>
      <c r="G3248" s="66">
        <f>SUM(G3243,G3247)</f>
        <v/>
      </c>
    </row>
    <row r="3249" ht="15" customHeight="1">
      <c r="A3249" s="2" t="inlineStr"/>
      <c r="B3249" s="2" t="inlineStr"/>
      <c r="C3249" s="2" t="inlineStr"/>
      <c r="D3249" s="2" t="inlineStr"/>
      <c r="E3249" s="28" t="inlineStr">
        <is>
          <t>VALOR BDI (23.08%):</t>
        </is>
      </c>
      <c r="F3249" s="56" t="n"/>
      <c r="G3249" s="66">
        <f>ROUNDDOWN(G3248*BDI,2)</f>
        <v/>
      </c>
    </row>
    <row r="3250" ht="15" customHeight="1">
      <c r="A3250" s="2" t="inlineStr"/>
      <c r="B3250" s="2" t="inlineStr"/>
      <c r="C3250" s="2" t="inlineStr"/>
      <c r="D3250" s="2" t="inlineStr"/>
      <c r="E3250" s="28" t="inlineStr">
        <is>
          <t>VALOR COM BDI:</t>
        </is>
      </c>
      <c r="F3250" s="56" t="n"/>
      <c r="G3250" s="66">
        <f>G3249 + G3248</f>
        <v/>
      </c>
    </row>
    <row r="3251" ht="10" customHeight="1">
      <c r="A3251" s="2" t="inlineStr"/>
      <c r="B3251" s="2" t="inlineStr"/>
      <c r="C3251" s="2" t="inlineStr"/>
      <c r="D3251" s="2" t="inlineStr"/>
      <c r="E3251" s="18" t="inlineStr"/>
    </row>
    <row r="3252" ht="27" customHeight="1">
      <c r="A3252" s="19" t="inlineStr">
        <is>
          <t>​5678​ RETROESCAVADEIRA SOBRE RODAS COM CARREGADEIRA, TRAÇÃO 4X4, POTÊNCIA LÍQ. 88 HP, CAÇAMBA CARREG. CAP. MÍN. 1 M3, CAÇAMBA RETRO CAP. 0,26 M3, PESO OPERACIONAL MÍN. 6.674 KG, PROFUNDIDADE ESCAVAÇÃO MÁX. 4,37 M - CHP DIURNO. AF_06/2014​ (CHP)</t>
        </is>
      </c>
      <c r="B3252" s="55" t="n"/>
      <c r="C3252" s="55" t="n"/>
      <c r="D3252" s="55" t="n"/>
      <c r="E3252" s="55" t="n"/>
      <c r="F3252" s="55" t="n"/>
      <c r="G3252" s="56" t="n"/>
    </row>
    <row r="3253" ht="15" customHeight="1">
      <c r="A3253" s="20" t="inlineStr">
        <is>
          <t>Mão de Obra com Encargos Complementares</t>
        </is>
      </c>
      <c r="B3253" s="56" t="n"/>
      <c r="C3253" s="21" t="inlineStr">
        <is>
          <t>FONTE</t>
        </is>
      </c>
      <c r="D3253" s="21" t="inlineStr">
        <is>
          <t>UNID</t>
        </is>
      </c>
      <c r="E3253" s="21" t="inlineStr">
        <is>
          <t>COEFICIENTE</t>
        </is>
      </c>
      <c r="F3253" s="21" t="inlineStr">
        <is>
          <t>PREÇO UNITÁRIO</t>
        </is>
      </c>
      <c r="G3253" s="21" t="inlineStr">
        <is>
          <t>TOTAL</t>
        </is>
      </c>
    </row>
    <row r="3254" ht="21" customHeight="1">
      <c r="A3254" s="22" t="inlineStr">
        <is>
          <t>88294</t>
        </is>
      </c>
      <c r="B3254" s="23" t="inlineStr">
        <is>
          <t>OPERADOR DE ESCAVADEIRA COM ENCARGOS COMPLEMENTARES</t>
        </is>
      </c>
      <c r="C3254" s="22" t="inlineStr">
        <is>
          <t>SINAPI</t>
        </is>
      </c>
      <c r="D3254" s="22" t="inlineStr">
        <is>
          <t>H</t>
        </is>
      </c>
      <c r="E3254" s="63">
        <f>L3254*FATOR</f>
        <v/>
      </c>
      <c r="F3254" s="64">
        <f>'COMPOSICOES AUXILIARES'!G1978</f>
        <v/>
      </c>
      <c r="G3254" s="64">
        <f>TRUNC(TRUNC(E3254,8)*F3254,2)</f>
        <v/>
      </c>
      <c r="L3254" t="n">
        <v>1</v>
      </c>
      <c r="M3254" t="n">
        <v>36.14</v>
      </c>
      <c r="N3254">
        <f>(M3254-F3254)</f>
        <v/>
      </c>
    </row>
    <row r="3255" ht="18" customHeight="1">
      <c r="A3255" s="2" t="inlineStr"/>
      <c r="B3255" s="2" t="inlineStr"/>
      <c r="C3255" s="2" t="inlineStr"/>
      <c r="D3255" s="2" t="inlineStr"/>
      <c r="E3255" s="26" t="inlineStr">
        <is>
          <t>TOTAL Mão de Obra com Encargos Complementares:</t>
        </is>
      </c>
      <c r="F3255" s="56" t="n"/>
      <c r="G3255" s="65">
        <f>SUM(G3254:G3254)</f>
        <v/>
      </c>
    </row>
    <row r="3256" ht="15" customHeight="1">
      <c r="A3256" s="20" t="inlineStr">
        <is>
          <t>Serviço</t>
        </is>
      </c>
      <c r="B3256" s="56" t="n"/>
      <c r="C3256" s="21" t="inlineStr">
        <is>
          <t>FONTE</t>
        </is>
      </c>
      <c r="D3256" s="21" t="inlineStr">
        <is>
          <t>UNID</t>
        </is>
      </c>
      <c r="E3256" s="21" t="inlineStr">
        <is>
          <t>COEFICIENTE</t>
        </is>
      </c>
      <c r="F3256" s="21" t="inlineStr">
        <is>
          <t>PREÇO UNITÁRIO</t>
        </is>
      </c>
      <c r="G3256" s="21" t="inlineStr">
        <is>
          <t>TOTAL</t>
        </is>
      </c>
    </row>
    <row r="3257" ht="46" customHeight="1">
      <c r="A3257" s="22" t="inlineStr">
        <is>
          <t>88857</t>
        </is>
      </c>
      <c r="B3257" s="23" t="inlineStr">
        <is>
          <t>RETROESCAVADEIRA SOBRE RODAS COM CARREGADEIRA, TRAÇÃO 4X4, POTÊNCIA LÍQ. 88 HP, CAÇAMBA CARREG. CAP. MÍN. 1 M3, CAÇAMBA RETRO CAP. 0,26 M3, PESO OPERACIONAL MÍN. 6.674 KG, PROFUNDIDADE ESCAVAÇÃO MÁX. 4,37 M - DEPRECIAÇÃO. AF_06/2014</t>
        </is>
      </c>
      <c r="C3257" s="22" t="inlineStr">
        <is>
          <t>SINAPI</t>
        </is>
      </c>
      <c r="D3257" s="22" t="inlineStr">
        <is>
          <t>H</t>
        </is>
      </c>
      <c r="E3257" s="63" t="n">
        <v>1</v>
      </c>
      <c r="F3257" s="64">
        <f>'COMPOSICOES AUXILIARES'!G3248</f>
        <v/>
      </c>
      <c r="G3257" s="64">
        <f>TRUNC(TRUNC(E3257,8)*F3257,2)</f>
        <v/>
      </c>
      <c r="L3257" t="n">
        <v>1</v>
      </c>
      <c r="M3257" t="n">
        <v>26.09</v>
      </c>
      <c r="N3257">
        <f>(M3257-F3257)</f>
        <v/>
      </c>
    </row>
    <row r="3258" ht="46" customHeight="1">
      <c r="A3258" s="22" t="inlineStr">
        <is>
          <t>88858</t>
        </is>
      </c>
      <c r="B3258" s="23" t="inlineStr">
        <is>
          <t>RETROESCAVADEIRA SOBRE RODAS COM CARREGADEIRA, TRAÇÃO 4X4, POTÊNCIA LÍQ. 88 HP, CAÇAMBA CARREG. CAP. MÍN. 1 M3, CAÇAMBA RETRO CAP. 0,26 M3, PESO OPERACIONAL MÍN. 6.674 KG, PROFUNDIDADE ESCAVAÇÃO MÁX. 4,37 M - JUROS. AF_06/2014</t>
        </is>
      </c>
      <c r="C3258" s="22" t="inlineStr">
        <is>
          <t>SINAPI</t>
        </is>
      </c>
      <c r="D3258" s="22" t="inlineStr">
        <is>
          <t>H</t>
        </is>
      </c>
      <c r="E3258" s="63" t="n">
        <v>1</v>
      </c>
      <c r="F3258" s="64">
        <f>'COMPOSICOES AUXILIARES'!G3248</f>
        <v/>
      </c>
      <c r="G3258" s="64">
        <f>TRUNC(TRUNC(E3258,8)*F3258,2)</f>
        <v/>
      </c>
      <c r="L3258" t="n">
        <v>1</v>
      </c>
      <c r="M3258" t="n">
        <v>6.89</v>
      </c>
      <c r="N3258">
        <f>(M3258-F3258)</f>
        <v/>
      </c>
    </row>
    <row r="3259" ht="46" customHeight="1">
      <c r="A3259" s="22" t="inlineStr">
        <is>
          <t>5664</t>
        </is>
      </c>
      <c r="B3259" s="23" t="inlineStr">
        <is>
          <t>RETROESCAVADEIRA SOBRE RODAS COM CARREGADEIRA, TRAÇÃO 4X4, POTÊNCIA LÍQ. 88 HP, CAÇAMBA CARREG. CAP. MÍN. 1 M3, CAÇAMBA RETRO CAP. 0,26 M3, PESO OPERACIONAL MÍN. 6.674 KG, PROFUNDIDADE ESCAVAÇÃO MÁX. 4,37 M - MANUTENÇÃO. AF_06/2014</t>
        </is>
      </c>
      <c r="C3259" s="22" t="inlineStr">
        <is>
          <t>SINAPI</t>
        </is>
      </c>
      <c r="D3259" s="22" t="inlineStr">
        <is>
          <t>H</t>
        </is>
      </c>
      <c r="E3259" s="63" t="n">
        <v>1</v>
      </c>
      <c r="F3259" s="64" t="n">
        <v>32.61</v>
      </c>
      <c r="G3259" s="64">
        <f>TRUNC(TRUNC(E3259,8)*F3259,2)</f>
        <v/>
      </c>
      <c r="L3259" t="n">
        <v>1</v>
      </c>
      <c r="M3259" t="n">
        <v>32.61</v>
      </c>
      <c r="N3259">
        <f>(M3259-F3259)</f>
        <v/>
      </c>
    </row>
    <row r="3260" ht="46" customHeight="1">
      <c r="A3260" s="22" t="inlineStr">
        <is>
          <t>53786</t>
        </is>
      </c>
      <c r="B3260" s="23" t="inlineStr">
        <is>
          <t>RETROESCAVADEIRA SOBRE RODAS COM CARREGADEIRA, TRAÇÃO 4X4, POTÊNCIA LÍQ. 88 HP, CAÇAMBA CARREG. CAP. MÍN. 1 M3, CAÇAMBA RETRO CAP. 0,26 M3, PESO OPERACIONAL MÍN. 6.674 KG, PROFUNDIDADE ESCAVAÇÃO MÁX. 4,37 M - MATERIAIS NA OPERAÇÃO. AF_06/2014</t>
        </is>
      </c>
      <c r="C3260" s="22" t="inlineStr">
        <is>
          <t>SINAPI</t>
        </is>
      </c>
      <c r="D3260" s="22" t="inlineStr">
        <is>
          <t>H</t>
        </is>
      </c>
      <c r="E3260" s="63" t="n">
        <v>1</v>
      </c>
      <c r="F3260" s="64" t="n">
        <v>51.18</v>
      </c>
      <c r="G3260" s="64">
        <f>TRUNC(TRUNC(E3260,8)*F3260,2)</f>
        <v/>
      </c>
      <c r="L3260" t="n">
        <v>1</v>
      </c>
      <c r="M3260" t="n">
        <v>51.18</v>
      </c>
      <c r="N3260">
        <f>(M3260-F3260)</f>
        <v/>
      </c>
    </row>
    <row r="3261" ht="15" customHeight="1">
      <c r="A3261" s="2" t="inlineStr"/>
      <c r="B3261" s="2" t="inlineStr"/>
      <c r="C3261" s="2" t="inlineStr"/>
      <c r="D3261" s="2" t="inlineStr"/>
      <c r="E3261" s="26" t="inlineStr">
        <is>
          <t>TOTAL Serviço:</t>
        </is>
      </c>
      <c r="F3261" s="56" t="n"/>
      <c r="G3261" s="65">
        <f>SUM(G3257:G3260)</f>
        <v/>
      </c>
    </row>
    <row r="3262" ht="15" customHeight="1">
      <c r="A3262" s="2" t="inlineStr"/>
      <c r="B3262" s="2" t="inlineStr"/>
      <c r="C3262" s="2" t="inlineStr"/>
      <c r="D3262" s="2" t="inlineStr"/>
      <c r="E3262" s="28" t="inlineStr">
        <is>
          <t>VALOR:</t>
        </is>
      </c>
      <c r="F3262" s="56" t="n"/>
      <c r="G3262" s="66">
        <f>SUM(G3261,G3255)</f>
        <v/>
      </c>
    </row>
    <row r="3263" ht="15" customHeight="1">
      <c r="A3263" s="2" t="inlineStr"/>
      <c r="B3263" s="2" t="inlineStr"/>
      <c r="C3263" s="2" t="inlineStr"/>
      <c r="D3263" s="2" t="inlineStr"/>
      <c r="E3263" s="28" t="inlineStr">
        <is>
          <t>VALOR BDI (23.08%):</t>
        </is>
      </c>
      <c r="F3263" s="56" t="n"/>
      <c r="G3263" s="66">
        <f>ROUNDDOWN(G3262*BDI,2)</f>
        <v/>
      </c>
    </row>
    <row r="3264" ht="15" customHeight="1">
      <c r="A3264" s="2" t="inlineStr"/>
      <c r="B3264" s="2" t="inlineStr"/>
      <c r="C3264" s="2" t="inlineStr"/>
      <c r="D3264" s="2" t="inlineStr"/>
      <c r="E3264" s="28" t="inlineStr">
        <is>
          <t>VALOR COM BDI:</t>
        </is>
      </c>
      <c r="F3264" s="56" t="n"/>
      <c r="G3264" s="66">
        <f>G3263 + G3262</f>
        <v/>
      </c>
    </row>
    <row r="3265" ht="10" customHeight="1">
      <c r="A3265" s="2" t="inlineStr"/>
      <c r="B3265" s="2" t="inlineStr"/>
      <c r="C3265" s="2" t="inlineStr"/>
      <c r="D3265" s="2" t="inlineStr"/>
      <c r="E3265" s="18" t="inlineStr"/>
    </row>
    <row r="3266" ht="27" customHeight="1">
      <c r="A3266" s="19" t="inlineStr">
        <is>
          <t>​88857​ RETROESCAVADEIRA SOBRE RODAS COM CARREGADEIRA, TRAÇÃO 4X4, POTÊNCIA LÍQ. 88 HP, CAÇAMBA CARREG. CAP. MÍN. 1 M3, CAÇAMBA RETRO CAP. 0,26 M3, PESO OPERACIONAL MÍN. 6.674 KG, PROFUNDIDADE ESCAVAÇÃO MÁX. 4,37 M - DEPRECIAÇÃO. AF_06/2014​ (H)</t>
        </is>
      </c>
      <c r="B3266" s="55" t="n"/>
      <c r="C3266" s="55" t="n"/>
      <c r="D3266" s="55" t="n"/>
      <c r="E3266" s="55" t="n"/>
      <c r="F3266" s="55" t="n"/>
      <c r="G3266" s="56" t="n"/>
    </row>
    <row r="3267" ht="15" customHeight="1">
      <c r="A3267" s="20" t="inlineStr">
        <is>
          <t>Equipamento</t>
        </is>
      </c>
      <c r="B3267" s="56" t="n"/>
      <c r="C3267" s="21" t="inlineStr">
        <is>
          <t>FONTE</t>
        </is>
      </c>
      <c r="D3267" s="21" t="inlineStr">
        <is>
          <t>UNID</t>
        </is>
      </c>
      <c r="E3267" s="21" t="inlineStr">
        <is>
          <t>COEFICIENTE</t>
        </is>
      </c>
      <c r="F3267" s="21" t="inlineStr">
        <is>
          <t>PREÇO UNITÁRIO</t>
        </is>
      </c>
      <c r="G3267" s="21" t="inlineStr">
        <is>
          <t>TOTAL</t>
        </is>
      </c>
    </row>
    <row r="3268" ht="55" customHeight="1">
      <c r="A3268" s="22" t="inlineStr">
        <is>
          <t>00036531</t>
        </is>
      </c>
      <c r="B3268" s="23" t="inlineStr">
        <is>
          <t>RETROESCAVADEIRA SOBRE RODAS COM CARREGADEIRA, TRACAO 4 X 4, POTENCIA LIQUIDA 88 HP, PESO OPERACIONAL MINIMO DE 6674 KG, CAPACIDADE DA CARREGADEIRA DE 1,00 M3 E DA RETROESCAVADEIRA MINIMA DE 0,26 M3, PROFUNDIDADE DE ESCAVACAO MAXIMA DE 4,37 M</t>
        </is>
      </c>
      <c r="C3268" s="22" t="inlineStr">
        <is>
          <t>SINAPI</t>
        </is>
      </c>
      <c r="D3268" s="22" t="inlineStr">
        <is>
          <t>UN</t>
        </is>
      </c>
      <c r="E3268" s="63" t="n">
        <v>5.6e-05</v>
      </c>
      <c r="F3268" s="64" t="n">
        <v>465945.09</v>
      </c>
      <c r="G3268" s="64">
        <f>TRUNC(TRUNC(E3268,8)*F3268,2)</f>
        <v/>
      </c>
      <c r="M3268" t="n">
        <v>465945.09</v>
      </c>
      <c r="N3268">
        <f>(M3268-F3268)</f>
        <v/>
      </c>
    </row>
    <row r="3269" ht="15" customHeight="1">
      <c r="A3269" s="2" t="inlineStr"/>
      <c r="B3269" s="2" t="inlineStr"/>
      <c r="C3269" s="2" t="inlineStr"/>
      <c r="D3269" s="2" t="inlineStr"/>
      <c r="E3269" s="26" t="inlineStr">
        <is>
          <t>TOTAL Equipamento:</t>
        </is>
      </c>
      <c r="F3269" s="56" t="n"/>
      <c r="G3269" s="65">
        <f>SUM(G3268:G3268)</f>
        <v/>
      </c>
    </row>
    <row r="3270" ht="15" customHeight="1">
      <c r="A3270" s="2" t="inlineStr"/>
      <c r="B3270" s="2" t="inlineStr"/>
      <c r="C3270" s="2" t="inlineStr"/>
      <c r="D3270" s="2" t="inlineStr"/>
      <c r="E3270" s="28" t="inlineStr">
        <is>
          <t>VALOR:</t>
        </is>
      </c>
      <c r="F3270" s="56" t="n"/>
      <c r="G3270" s="66">
        <f>ROUND(SUM(G3269),2)</f>
        <v/>
      </c>
    </row>
    <row r="3271" ht="15" customHeight="1">
      <c r="A3271" s="2" t="inlineStr"/>
      <c r="B3271" s="2" t="inlineStr"/>
      <c r="C3271" s="2" t="inlineStr"/>
      <c r="D3271" s="2" t="inlineStr"/>
      <c r="E3271" s="28" t="inlineStr">
        <is>
          <t>VALOR BDI (23.08%):</t>
        </is>
      </c>
      <c r="F3271" s="56" t="n"/>
      <c r="G3271" s="66">
        <f>ROUNDDOWN(G3270*BDI,2)</f>
        <v/>
      </c>
    </row>
    <row r="3272" ht="15" customHeight="1">
      <c r="A3272" s="2" t="inlineStr"/>
      <c r="B3272" s="2" t="inlineStr"/>
      <c r="C3272" s="2" t="inlineStr"/>
      <c r="D3272" s="2" t="inlineStr"/>
      <c r="E3272" s="28" t="inlineStr">
        <is>
          <t>VALOR COM BDI:</t>
        </is>
      </c>
      <c r="F3272" s="56" t="n"/>
      <c r="G3272" s="66">
        <f>G3271 + G3270</f>
        <v/>
      </c>
    </row>
    <row r="3273" ht="10" customHeight="1">
      <c r="A3273" s="2" t="inlineStr"/>
      <c r="B3273" s="2" t="inlineStr"/>
      <c r="C3273" s="2" t="inlineStr"/>
      <c r="D3273" s="2" t="inlineStr"/>
      <c r="E3273" s="18" t="inlineStr"/>
    </row>
    <row r="3274" ht="20" customHeight="1">
      <c r="A3274" s="19" t="inlineStr">
        <is>
          <t>​88858​ RETROESCAVADEIRA SOBRE RODAS COM CARREGADEIRA, TRAÇÃO 4X4, POTÊNCIA LÍQ. 88 HP, CAÇAMBA CARREG. CAP. MÍN. 1 M3, CAÇAMBA RETRO CAP. 0,26 M3, PESO OPERACIONAL MÍN. 6.674 KG, PROFUNDIDADE ESCAVAÇÃO MÁX. 4,37 M - JUROS. AF_06/2014​ (H)</t>
        </is>
      </c>
      <c r="B3274" s="55" t="n"/>
      <c r="C3274" s="55" t="n"/>
      <c r="D3274" s="55" t="n"/>
      <c r="E3274" s="55" t="n"/>
      <c r="F3274" s="55" t="n"/>
      <c r="G3274" s="56" t="n"/>
    </row>
    <row r="3275" ht="15" customHeight="1">
      <c r="A3275" s="20" t="inlineStr">
        <is>
          <t>Equipamento</t>
        </is>
      </c>
      <c r="B3275" s="56" t="n"/>
      <c r="C3275" s="21" t="inlineStr">
        <is>
          <t>FONTE</t>
        </is>
      </c>
      <c r="D3275" s="21" t="inlineStr">
        <is>
          <t>UNID</t>
        </is>
      </c>
      <c r="E3275" s="21" t="inlineStr">
        <is>
          <t>COEFICIENTE</t>
        </is>
      </c>
      <c r="F3275" s="21" t="inlineStr">
        <is>
          <t>PREÇO UNITÁRIO</t>
        </is>
      </c>
      <c r="G3275" s="21" t="inlineStr">
        <is>
          <t>TOTAL</t>
        </is>
      </c>
    </row>
    <row r="3276" ht="55" customHeight="1">
      <c r="A3276" s="22" t="inlineStr">
        <is>
          <t>00036531</t>
        </is>
      </c>
      <c r="B3276" s="23" t="inlineStr">
        <is>
          <t>RETROESCAVADEIRA SOBRE RODAS COM CARREGADEIRA, TRACAO 4 X 4, POTENCIA LIQUIDA 88 HP, PESO OPERACIONAL MINIMO DE 6674 KG, CAPACIDADE DA CARREGADEIRA DE 1,00 M3 E DA RETROESCAVADEIRA MINIMA DE 0,26 M3, PROFUNDIDADE DE ESCAVACAO MAXIMA DE 4,37 M</t>
        </is>
      </c>
      <c r="C3276" s="22" t="inlineStr">
        <is>
          <t>SINAPI</t>
        </is>
      </c>
      <c r="D3276" s="22" t="inlineStr">
        <is>
          <t>UN</t>
        </is>
      </c>
      <c r="E3276" s="63" t="n">
        <v>1.48e-05</v>
      </c>
      <c r="F3276" s="64" t="n">
        <v>465945.09</v>
      </c>
      <c r="G3276" s="64">
        <f>TRUNC(TRUNC(E3276,8)*F3276,2)</f>
        <v/>
      </c>
      <c r="M3276" t="n">
        <v>465945.09</v>
      </c>
      <c r="N3276">
        <f>(M3276-F3276)</f>
        <v/>
      </c>
    </row>
    <row r="3277" ht="15" customHeight="1">
      <c r="A3277" s="2" t="inlineStr"/>
      <c r="B3277" s="2" t="inlineStr"/>
      <c r="C3277" s="2" t="inlineStr"/>
      <c r="D3277" s="2" t="inlineStr"/>
      <c r="E3277" s="26" t="inlineStr">
        <is>
          <t>TOTAL Equipamento:</t>
        </is>
      </c>
      <c r="F3277" s="56" t="n"/>
      <c r="G3277" s="65">
        <f>SUM(G3276:G3276)</f>
        <v/>
      </c>
    </row>
    <row r="3278" ht="15" customHeight="1">
      <c r="A3278" s="2" t="inlineStr"/>
      <c r="B3278" s="2" t="inlineStr"/>
      <c r="C3278" s="2" t="inlineStr"/>
      <c r="D3278" s="2" t="inlineStr"/>
      <c r="E3278" s="28" t="inlineStr">
        <is>
          <t>VALOR:</t>
        </is>
      </c>
      <c r="F3278" s="56" t="n"/>
      <c r="G3278" s="66">
        <f>ROUND(SUM(G3277),2)</f>
        <v/>
      </c>
    </row>
    <row r="3279" ht="15" customHeight="1">
      <c r="A3279" s="2" t="inlineStr"/>
      <c r="B3279" s="2" t="inlineStr"/>
      <c r="C3279" s="2" t="inlineStr"/>
      <c r="D3279" s="2" t="inlineStr"/>
      <c r="E3279" s="28" t="inlineStr">
        <is>
          <t>VALOR BDI (23.08%):</t>
        </is>
      </c>
      <c r="F3279" s="56" t="n"/>
      <c r="G3279" s="66">
        <f>ROUNDDOWN(G3278*BDI,2)</f>
        <v/>
      </c>
    </row>
    <row r="3280" ht="15" customHeight="1">
      <c r="A3280" s="2" t="inlineStr"/>
      <c r="B3280" s="2" t="inlineStr"/>
      <c r="C3280" s="2" t="inlineStr"/>
      <c r="D3280" s="2" t="inlineStr"/>
      <c r="E3280" s="28" t="inlineStr">
        <is>
          <t>VALOR COM BDI:</t>
        </is>
      </c>
      <c r="F3280" s="56" t="n"/>
      <c r="G3280" s="66">
        <f>G3279 + G3278</f>
        <v/>
      </c>
    </row>
    <row r="3281" ht="10" customHeight="1">
      <c r="A3281" s="2" t="inlineStr"/>
      <c r="B3281" s="2" t="inlineStr"/>
      <c r="C3281" s="2" t="inlineStr"/>
      <c r="D3281" s="2" t="inlineStr"/>
      <c r="E3281" s="18" t="inlineStr"/>
    </row>
    <row r="3282" ht="27" customHeight="1">
      <c r="A3282" s="19" t="inlineStr">
        <is>
          <t>​5664​ RETROESCAVADEIRA SOBRE RODAS COM CARREGADEIRA, TRAÇÃO 4X4, POTÊNCIA LÍQ. 88 HP, CAÇAMBA CARREG. CAP. MÍN. 1 M3, CAÇAMBA RETRO CAP. 0,26 M3, PESO OPERACIONAL MÍN. 6.674 KG, PROFUNDIDADE ESCAVAÇÃO MÁX. 4,37 M - MANUTENÇÃO. AF_06/2014​ (H)</t>
        </is>
      </c>
      <c r="B3282" s="55" t="n"/>
      <c r="C3282" s="55" t="n"/>
      <c r="D3282" s="55" t="n"/>
      <c r="E3282" s="55" t="n"/>
      <c r="F3282" s="55" t="n"/>
      <c r="G3282" s="56" t="n"/>
    </row>
    <row r="3283" ht="15" customHeight="1">
      <c r="A3283" s="20" t="inlineStr">
        <is>
          <t>Equipamento</t>
        </is>
      </c>
      <c r="B3283" s="56" t="n"/>
      <c r="C3283" s="21" t="inlineStr">
        <is>
          <t>FONTE</t>
        </is>
      </c>
      <c r="D3283" s="21" t="inlineStr">
        <is>
          <t>UNID</t>
        </is>
      </c>
      <c r="E3283" s="21" t="inlineStr">
        <is>
          <t>COEFICIENTE</t>
        </is>
      </c>
      <c r="F3283" s="21" t="inlineStr">
        <is>
          <t>PREÇO UNITÁRIO</t>
        </is>
      </c>
      <c r="G3283" s="21" t="inlineStr">
        <is>
          <t>TOTAL</t>
        </is>
      </c>
    </row>
    <row r="3284" ht="55" customHeight="1">
      <c r="A3284" s="22" t="inlineStr">
        <is>
          <t>00036531</t>
        </is>
      </c>
      <c r="B3284" s="23" t="inlineStr">
        <is>
          <t>RETROESCAVADEIRA SOBRE RODAS COM CARREGADEIRA, TRACAO 4 X 4, POTENCIA LIQUIDA 88 HP, PESO OPERACIONAL MINIMO DE 6674 KG, CAPACIDADE DA CARREGADEIRA DE 1,00 M3 E DA RETROESCAVADEIRA MINIMA DE 0,26 M3, PROFUNDIDADE DE ESCAVACAO MAXIMA DE 4,37 M</t>
        </is>
      </c>
      <c r="C3284" s="22" t="inlineStr">
        <is>
          <t>SINAPI</t>
        </is>
      </c>
      <c r="D3284" s="22" t="inlineStr">
        <is>
          <t>UN</t>
        </is>
      </c>
      <c r="E3284" s="63" t="n">
        <v>6.999999999999999e-05</v>
      </c>
      <c r="F3284" s="64" t="n">
        <v>465945.09</v>
      </c>
      <c r="G3284" s="64">
        <f>TRUNC(TRUNC(E3284,8)*F3284,2)</f>
        <v/>
      </c>
      <c r="M3284" t="n">
        <v>465945.09</v>
      </c>
      <c r="N3284">
        <f>(M3284-F3284)</f>
        <v/>
      </c>
    </row>
    <row r="3285" ht="15" customHeight="1">
      <c r="A3285" s="2" t="inlineStr"/>
      <c r="B3285" s="2" t="inlineStr"/>
      <c r="C3285" s="2" t="inlineStr"/>
      <c r="D3285" s="2" t="inlineStr"/>
      <c r="E3285" s="26" t="inlineStr">
        <is>
          <t>TOTAL Equipamento:</t>
        </is>
      </c>
      <c r="F3285" s="56" t="n"/>
      <c r="G3285" s="65">
        <f>SUM(G3284:G3284)</f>
        <v/>
      </c>
    </row>
    <row r="3286" ht="15" customHeight="1">
      <c r="A3286" s="2" t="inlineStr"/>
      <c r="B3286" s="2" t="inlineStr"/>
      <c r="C3286" s="2" t="inlineStr"/>
      <c r="D3286" s="2" t="inlineStr"/>
      <c r="E3286" s="28" t="inlineStr">
        <is>
          <t>VALOR:</t>
        </is>
      </c>
      <c r="F3286" s="56" t="n"/>
      <c r="G3286" s="66">
        <f>ROUND(SUM(G3285),2)</f>
        <v/>
      </c>
    </row>
    <row r="3287" ht="15" customHeight="1">
      <c r="A3287" s="2" t="inlineStr"/>
      <c r="B3287" s="2" t="inlineStr"/>
      <c r="C3287" s="2" t="inlineStr"/>
      <c r="D3287" s="2" t="inlineStr"/>
      <c r="E3287" s="28" t="inlineStr">
        <is>
          <t>VALOR BDI (23.08%):</t>
        </is>
      </c>
      <c r="F3287" s="56" t="n"/>
      <c r="G3287" s="66">
        <f>ROUNDDOWN(G3286*BDI,2)</f>
        <v/>
      </c>
    </row>
    <row r="3288" ht="15" customHeight="1">
      <c r="A3288" s="2" t="inlineStr"/>
      <c r="B3288" s="2" t="inlineStr"/>
      <c r="C3288" s="2" t="inlineStr"/>
      <c r="D3288" s="2" t="inlineStr"/>
      <c r="E3288" s="28" t="inlineStr">
        <is>
          <t>VALOR COM BDI:</t>
        </is>
      </c>
      <c r="F3288" s="56" t="n"/>
      <c r="G3288" s="66">
        <f>G3287 + G3286</f>
        <v/>
      </c>
    </row>
    <row r="3289" ht="10" customHeight="1">
      <c r="A3289" s="2" t="inlineStr"/>
      <c r="B3289" s="2" t="inlineStr"/>
      <c r="C3289" s="2" t="inlineStr"/>
      <c r="D3289" s="2" t="inlineStr"/>
      <c r="E3289" s="18" t="inlineStr"/>
    </row>
    <row r="3290" ht="27" customHeight="1">
      <c r="A3290" s="19" t="inlineStr">
        <is>
          <t>​53786​ RETROESCAVADEIRA SOBRE RODAS COM CARREGADEIRA, TRAÇÃO 4X4, POTÊNCIA LÍQ. 88 HP, CAÇAMBA CARREG. CAP. MÍN. 1 M3, CAÇAMBA RETRO CAP. 0,26 M3, PESO OPERACIONAL MÍN. 6.674 KG, PROFUNDIDADE ESCAVAÇÃO MÁX. 4,37 M - MATERIAIS NA OPERAÇÃO. AF_06/2014​ (H)</t>
        </is>
      </c>
      <c r="B3290" s="55" t="n"/>
      <c r="C3290" s="55" t="n"/>
      <c r="D3290" s="55" t="n"/>
      <c r="E3290" s="55" t="n"/>
      <c r="F3290" s="55" t="n"/>
      <c r="G3290" s="56" t="n"/>
    </row>
    <row r="3291" ht="15" customHeight="1">
      <c r="A3291" s="20" t="inlineStr">
        <is>
          <t>Material</t>
        </is>
      </c>
      <c r="B3291" s="56" t="n"/>
      <c r="C3291" s="21" t="inlineStr">
        <is>
          <t>FONTE</t>
        </is>
      </c>
      <c r="D3291" s="21" t="inlineStr">
        <is>
          <t>UNID</t>
        </is>
      </c>
      <c r="E3291" s="21" t="inlineStr">
        <is>
          <t>COEFICIENTE</t>
        </is>
      </c>
      <c r="F3291" s="21" t="inlineStr">
        <is>
          <t>PREÇO UNITÁRIO</t>
        </is>
      </c>
      <c r="G3291" s="21" t="inlineStr">
        <is>
          <t>TOTAL</t>
        </is>
      </c>
    </row>
    <row r="3292" ht="21" customHeight="1">
      <c r="A3292" s="22" t="inlineStr">
        <is>
          <t>00004221</t>
        </is>
      </c>
      <c r="B3292" s="23" t="inlineStr">
        <is>
          <t>OLEO DIESEL COMBUSTIVEL COMUM METROPOLITANO S-10 OU S-500</t>
        </is>
      </c>
      <c r="C3292" s="22" t="inlineStr">
        <is>
          <t>SINAPI</t>
        </is>
      </c>
      <c r="D3292" s="22" t="inlineStr">
        <is>
          <t>L</t>
        </is>
      </c>
      <c r="E3292" s="63" t="n">
        <v>8.529999999999999</v>
      </c>
      <c r="F3292" s="64" t="n">
        <v>6</v>
      </c>
      <c r="G3292" s="64">
        <f>TRUNC(TRUNC(E3292,8)*F3292,2)</f>
        <v/>
      </c>
      <c r="L3292" t="n">
        <v>8.529999999999999</v>
      </c>
      <c r="M3292" t="n">
        <v>6</v>
      </c>
      <c r="N3292">
        <f>(M3292-F3292)</f>
        <v/>
      </c>
    </row>
    <row r="3293" ht="15" customHeight="1">
      <c r="A3293" s="2" t="inlineStr"/>
      <c r="B3293" s="2" t="inlineStr"/>
      <c r="C3293" s="2" t="inlineStr"/>
      <c r="D3293" s="2" t="inlineStr"/>
      <c r="E3293" s="26" t="inlineStr">
        <is>
          <t>TOTAL Material:</t>
        </is>
      </c>
      <c r="F3293" s="56" t="n"/>
      <c r="G3293" s="65">
        <f>SUM(G3292:G3292)</f>
        <v/>
      </c>
    </row>
    <row r="3294" ht="15" customHeight="1">
      <c r="A3294" s="2" t="inlineStr"/>
      <c r="B3294" s="2" t="inlineStr"/>
      <c r="C3294" s="2" t="inlineStr"/>
      <c r="D3294" s="2" t="inlineStr"/>
      <c r="E3294" s="28" t="inlineStr">
        <is>
          <t>VALOR:</t>
        </is>
      </c>
      <c r="F3294" s="56" t="n"/>
      <c r="G3294" s="66">
        <f>ROUND(SUM(G3293),2)</f>
        <v/>
      </c>
    </row>
    <row r="3295" ht="15" customHeight="1">
      <c r="A3295" s="2" t="inlineStr"/>
      <c r="B3295" s="2" t="inlineStr"/>
      <c r="C3295" s="2" t="inlineStr"/>
      <c r="D3295" s="2" t="inlineStr"/>
      <c r="E3295" s="28" t="inlineStr">
        <is>
          <t>VALOR BDI (23.08%):</t>
        </is>
      </c>
      <c r="F3295" s="56" t="n"/>
      <c r="G3295" s="66">
        <f>ROUNDDOWN(G3294*BDI,2)</f>
        <v/>
      </c>
    </row>
    <row r="3296" ht="15" customHeight="1">
      <c r="A3296" s="2" t="inlineStr"/>
      <c r="B3296" s="2" t="inlineStr"/>
      <c r="C3296" s="2" t="inlineStr"/>
      <c r="D3296" s="2" t="inlineStr"/>
      <c r="E3296" s="28" t="inlineStr">
        <is>
          <t>VALOR COM BDI:</t>
        </is>
      </c>
      <c r="F3296" s="56" t="n"/>
      <c r="G3296" s="66">
        <f>G3295 + G3294</f>
        <v/>
      </c>
    </row>
    <row r="3297" ht="10" customHeight="1">
      <c r="A3297" s="2" t="inlineStr"/>
      <c r="B3297" s="2" t="inlineStr"/>
      <c r="C3297" s="2" t="inlineStr"/>
      <c r="D3297" s="2" t="inlineStr"/>
      <c r="E3297" s="18" t="inlineStr"/>
    </row>
    <row r="3298" ht="20" customHeight="1">
      <c r="A3298" s="19" t="inlineStr">
        <is>
          <t>​91693​ SERRA CIRCULAR DE BANCADA COM MOTOR ELÉTRICO POTÊNCIA DE 5HP, COM COIFA PARA DISCO 10" - CHI DIURNO. AF_08/2015​ (CHI)</t>
        </is>
      </c>
      <c r="B3298" s="55" t="n"/>
      <c r="C3298" s="55" t="n"/>
      <c r="D3298" s="55" t="n"/>
      <c r="E3298" s="55" t="n"/>
      <c r="F3298" s="55" t="n"/>
      <c r="G3298" s="56" t="n"/>
    </row>
    <row r="3299" ht="15" customHeight="1">
      <c r="A3299" s="20" t="inlineStr">
        <is>
          <t>Mão de Obra com Encargos Complementares</t>
        </is>
      </c>
      <c r="B3299" s="56" t="n"/>
      <c r="C3299" s="21" t="inlineStr">
        <is>
          <t>FONTE</t>
        </is>
      </c>
      <c r="D3299" s="21" t="inlineStr">
        <is>
          <t>UNID</t>
        </is>
      </c>
      <c r="E3299" s="21" t="inlineStr">
        <is>
          <t>COEFICIENTE</t>
        </is>
      </c>
      <c r="F3299" s="21" t="inlineStr">
        <is>
          <t>PREÇO UNITÁRIO</t>
        </is>
      </c>
      <c r="G3299" s="21" t="inlineStr">
        <is>
          <t>TOTAL</t>
        </is>
      </c>
    </row>
    <row r="3300" ht="21" customHeight="1">
      <c r="A3300" s="22" t="inlineStr">
        <is>
          <t>88297</t>
        </is>
      </c>
      <c r="B3300" s="23" t="inlineStr">
        <is>
          <t>OPERADOR DE MÁQUINAS E EQUIPAMENTOS COM ENCARGOS COMPLEMENTARES</t>
        </is>
      </c>
      <c r="C3300" s="22" t="inlineStr">
        <is>
          <t>SINAPI</t>
        </is>
      </c>
      <c r="D3300" s="22" t="inlineStr">
        <is>
          <t>H</t>
        </is>
      </c>
      <c r="E3300" s="63">
        <f>L3300*FATOR</f>
        <v/>
      </c>
      <c r="F3300" s="64">
        <f>'COMPOSICOES AUXILIARES'!G989</f>
        <v/>
      </c>
      <c r="G3300" s="64">
        <f>TRUNC(TRUNC(E3300,8)*F3300,2)</f>
        <v/>
      </c>
      <c r="L3300" t="n">
        <v>1</v>
      </c>
      <c r="M3300" t="n">
        <v>35.59</v>
      </c>
      <c r="N3300">
        <f>(M3300-F3300)</f>
        <v/>
      </c>
    </row>
    <row r="3301" ht="18" customHeight="1">
      <c r="A3301" s="2" t="inlineStr"/>
      <c r="B3301" s="2" t="inlineStr"/>
      <c r="C3301" s="2" t="inlineStr"/>
      <c r="D3301" s="2" t="inlineStr"/>
      <c r="E3301" s="26" t="inlineStr">
        <is>
          <t>TOTAL Mão de Obra com Encargos Complementares:</t>
        </is>
      </c>
      <c r="F3301" s="56" t="n"/>
      <c r="G3301" s="65">
        <f>SUM(G3300:G3300)</f>
        <v/>
      </c>
    </row>
    <row r="3302" ht="15" customHeight="1">
      <c r="A3302" s="20" t="inlineStr">
        <is>
          <t>Serviço</t>
        </is>
      </c>
      <c r="B3302" s="56" t="n"/>
      <c r="C3302" s="21" t="inlineStr">
        <is>
          <t>FONTE</t>
        </is>
      </c>
      <c r="D3302" s="21" t="inlineStr">
        <is>
          <t>UNID</t>
        </is>
      </c>
      <c r="E3302" s="21" t="inlineStr">
        <is>
          <t>COEFICIENTE</t>
        </is>
      </c>
      <c r="F3302" s="21" t="inlineStr">
        <is>
          <t>PREÇO UNITÁRIO</t>
        </is>
      </c>
      <c r="G3302" s="21" t="inlineStr">
        <is>
          <t>TOTAL</t>
        </is>
      </c>
    </row>
    <row r="3303" ht="29" customHeight="1">
      <c r="A3303" s="22" t="inlineStr">
        <is>
          <t>91688</t>
        </is>
      </c>
      <c r="B3303" s="23" t="inlineStr">
        <is>
          <t>SERRA CIRCULAR DE BANCADA COM MOTOR ELÉTRICO POTÊNCIA DE 5HP, COM COIFA PARA DISCO 10" - DEPRECIAÇÃO. AF_08/2015</t>
        </is>
      </c>
      <c r="C3303" s="22" t="inlineStr">
        <is>
          <t>SINAPI</t>
        </is>
      </c>
      <c r="D3303" s="22" t="inlineStr">
        <is>
          <t>H</t>
        </is>
      </c>
      <c r="E3303" s="63" t="n">
        <v>1</v>
      </c>
      <c r="F3303" s="64" t="n">
        <v>0.11</v>
      </c>
      <c r="G3303" s="64">
        <f>TRUNC(TRUNC(E3303,8)*F3303,2)</f>
        <v/>
      </c>
      <c r="L3303" t="n">
        <v>1</v>
      </c>
      <c r="M3303" t="n">
        <v>0.11</v>
      </c>
      <c r="N3303">
        <f>(M3303-F3303)</f>
        <v/>
      </c>
    </row>
    <row r="3304" ht="29" customHeight="1">
      <c r="A3304" s="22" t="inlineStr">
        <is>
          <t>91689</t>
        </is>
      </c>
      <c r="B3304" s="23" t="inlineStr">
        <is>
          <t>SERRA CIRCULAR DE BANCADA COM MOTOR ELÉTRICO POTÊNCIA DE 5HP, COM COIFA PARA DISCO 10" - JUROS. AF_08/2015</t>
        </is>
      </c>
      <c r="C3304" s="22" t="inlineStr">
        <is>
          <t>SINAPI</t>
        </is>
      </c>
      <c r="D3304" s="22" t="inlineStr">
        <is>
          <t>H</t>
        </is>
      </c>
      <c r="E3304" s="63" t="n">
        <v>1</v>
      </c>
      <c r="F3304" s="64" t="n">
        <v>0.02</v>
      </c>
      <c r="G3304" s="64">
        <f>TRUNC(TRUNC(E3304,8)*F3304,2)</f>
        <v/>
      </c>
      <c r="L3304" t="n">
        <v>1</v>
      </c>
      <c r="M3304" t="n">
        <v>0.02</v>
      </c>
      <c r="N3304">
        <f>(M3304-F3304)</f>
        <v/>
      </c>
    </row>
    <row r="3305" ht="15" customHeight="1">
      <c r="A3305" s="2" t="inlineStr"/>
      <c r="B3305" s="2" t="inlineStr"/>
      <c r="C3305" s="2" t="inlineStr"/>
      <c r="D3305" s="2" t="inlineStr"/>
      <c r="E3305" s="26" t="inlineStr">
        <is>
          <t>TOTAL Serviço:</t>
        </is>
      </c>
      <c r="F3305" s="56" t="n"/>
      <c r="G3305" s="65">
        <f>SUM(G3303:G3304)</f>
        <v/>
      </c>
    </row>
    <row r="3306" ht="15" customHeight="1">
      <c r="A3306" s="2" t="inlineStr"/>
      <c r="B3306" s="2" t="inlineStr"/>
      <c r="C3306" s="2" t="inlineStr"/>
      <c r="D3306" s="2" t="inlineStr"/>
      <c r="E3306" s="28" t="inlineStr">
        <is>
          <t>VALOR:</t>
        </is>
      </c>
      <c r="F3306" s="56" t="n"/>
      <c r="G3306" s="66">
        <f>SUM(G3305,G3301)</f>
        <v/>
      </c>
    </row>
    <row r="3307" ht="15" customHeight="1">
      <c r="A3307" s="2" t="inlineStr"/>
      <c r="B3307" s="2" t="inlineStr"/>
      <c r="C3307" s="2" t="inlineStr"/>
      <c r="D3307" s="2" t="inlineStr"/>
      <c r="E3307" s="28" t="inlineStr">
        <is>
          <t>VALOR BDI (23.08%):</t>
        </is>
      </c>
      <c r="F3307" s="56" t="n"/>
      <c r="G3307" s="66">
        <f>ROUNDDOWN(G3306*BDI,2)</f>
        <v/>
      </c>
    </row>
    <row r="3308" ht="15" customHeight="1">
      <c r="A3308" s="2" t="inlineStr"/>
      <c r="B3308" s="2" t="inlineStr"/>
      <c r="C3308" s="2" t="inlineStr"/>
      <c r="D3308" s="2" t="inlineStr"/>
      <c r="E3308" s="28" t="inlineStr">
        <is>
          <t>VALOR COM BDI:</t>
        </is>
      </c>
      <c r="F3308" s="56" t="n"/>
      <c r="G3308" s="66">
        <f>G3307 + G3306</f>
        <v/>
      </c>
    </row>
    <row r="3309" ht="10" customHeight="1">
      <c r="A3309" s="2" t="inlineStr"/>
      <c r="B3309" s="2" t="inlineStr"/>
      <c r="C3309" s="2" t="inlineStr"/>
      <c r="D3309" s="2" t="inlineStr"/>
      <c r="E3309" s="18" t="inlineStr"/>
    </row>
    <row r="3310" ht="20" customHeight="1">
      <c r="A3310" s="19" t="inlineStr">
        <is>
          <t>​91692​ SERRA CIRCULAR DE BANCADA COM MOTOR ELÉTRICO POTÊNCIA DE 5HP, COM COIFA PARA DISCO 10" - CHP DIURNO. AF_08/2015​ (CHP)</t>
        </is>
      </c>
      <c r="B3310" s="55" t="n"/>
      <c r="C3310" s="55" t="n"/>
      <c r="D3310" s="55" t="n"/>
      <c r="E3310" s="55" t="n"/>
      <c r="F3310" s="55" t="n"/>
      <c r="G3310" s="56" t="n"/>
    </row>
    <row r="3311" ht="15" customHeight="1">
      <c r="A3311" s="20" t="inlineStr">
        <is>
          <t>Mão de Obra com Encargos Complementares</t>
        </is>
      </c>
      <c r="B3311" s="56" t="n"/>
      <c r="C3311" s="21" t="inlineStr">
        <is>
          <t>FONTE</t>
        </is>
      </c>
      <c r="D3311" s="21" t="inlineStr">
        <is>
          <t>UNID</t>
        </is>
      </c>
      <c r="E3311" s="21" t="inlineStr">
        <is>
          <t>COEFICIENTE</t>
        </is>
      </c>
      <c r="F3311" s="21" t="inlineStr">
        <is>
          <t>PREÇO UNITÁRIO</t>
        </is>
      </c>
      <c r="G3311" s="21" t="inlineStr">
        <is>
          <t>TOTAL</t>
        </is>
      </c>
    </row>
    <row r="3312" ht="21" customHeight="1">
      <c r="A3312" s="22" t="inlineStr">
        <is>
          <t>88297</t>
        </is>
      </c>
      <c r="B3312" s="23" t="inlineStr">
        <is>
          <t>OPERADOR DE MÁQUINAS E EQUIPAMENTOS COM ENCARGOS COMPLEMENTARES</t>
        </is>
      </c>
      <c r="C3312" s="22" t="inlineStr">
        <is>
          <t>SINAPI</t>
        </is>
      </c>
      <c r="D3312" s="22" t="inlineStr">
        <is>
          <t>H</t>
        </is>
      </c>
      <c r="E3312" s="63">
        <f>L3312*FATOR</f>
        <v/>
      </c>
      <c r="F3312" s="64">
        <f>'COMPOSICOES AUXILIARES'!G989</f>
        <v/>
      </c>
      <c r="G3312" s="64">
        <f>TRUNC(TRUNC(E3312,8)*F3312,2)</f>
        <v/>
      </c>
      <c r="L3312" t="n">
        <v>1</v>
      </c>
      <c r="M3312" t="n">
        <v>35.59</v>
      </c>
      <c r="N3312">
        <f>(M3312-F3312)</f>
        <v/>
      </c>
    </row>
    <row r="3313" ht="18" customHeight="1">
      <c r="A3313" s="2" t="inlineStr"/>
      <c r="B3313" s="2" t="inlineStr"/>
      <c r="C3313" s="2" t="inlineStr"/>
      <c r="D3313" s="2" t="inlineStr"/>
      <c r="E3313" s="26" t="inlineStr">
        <is>
          <t>TOTAL Mão de Obra com Encargos Complementares:</t>
        </is>
      </c>
      <c r="F3313" s="56" t="n"/>
      <c r="G3313" s="65">
        <f>SUM(G3312:G3312)</f>
        <v/>
      </c>
    </row>
    <row r="3314" ht="15" customHeight="1">
      <c r="A3314" s="20" t="inlineStr">
        <is>
          <t>Serviço</t>
        </is>
      </c>
      <c r="B3314" s="56" t="n"/>
      <c r="C3314" s="21" t="inlineStr">
        <is>
          <t>FONTE</t>
        </is>
      </c>
      <c r="D3314" s="21" t="inlineStr">
        <is>
          <t>UNID</t>
        </is>
      </c>
      <c r="E3314" s="21" t="inlineStr">
        <is>
          <t>COEFICIENTE</t>
        </is>
      </c>
      <c r="F3314" s="21" t="inlineStr">
        <is>
          <t>PREÇO UNITÁRIO</t>
        </is>
      </c>
      <c r="G3314" s="21" t="inlineStr">
        <is>
          <t>TOTAL</t>
        </is>
      </c>
    </row>
    <row r="3315" ht="29" customHeight="1">
      <c r="A3315" s="22" t="inlineStr">
        <is>
          <t>91688</t>
        </is>
      </c>
      <c r="B3315" s="23" t="inlineStr">
        <is>
          <t>SERRA CIRCULAR DE BANCADA COM MOTOR ELÉTRICO POTÊNCIA DE 5HP, COM COIFA PARA DISCO 10" - DEPRECIAÇÃO. AF_08/2015</t>
        </is>
      </c>
      <c r="C3315" s="22" t="inlineStr">
        <is>
          <t>SINAPI</t>
        </is>
      </c>
      <c r="D3315" s="22" t="inlineStr">
        <is>
          <t>H</t>
        </is>
      </c>
      <c r="E3315" s="63" t="n">
        <v>1</v>
      </c>
      <c r="F3315" s="64">
        <f>'COMPOSICOES AUXILIARES'!G3306</f>
        <v/>
      </c>
      <c r="G3315" s="64">
        <f>TRUNC(TRUNC(E3315,8)*F3315,2)</f>
        <v/>
      </c>
      <c r="L3315" t="n">
        <v>1</v>
      </c>
      <c r="M3315" t="n">
        <v>0.11</v>
      </c>
      <c r="N3315">
        <f>(M3315-F3315)</f>
        <v/>
      </c>
    </row>
    <row r="3316" ht="29" customHeight="1">
      <c r="A3316" s="22" t="inlineStr">
        <is>
          <t>91689</t>
        </is>
      </c>
      <c r="B3316" s="23" t="inlineStr">
        <is>
          <t>SERRA CIRCULAR DE BANCADA COM MOTOR ELÉTRICO POTÊNCIA DE 5HP, COM COIFA PARA DISCO 10" - JUROS. AF_08/2015</t>
        </is>
      </c>
      <c r="C3316" s="22" t="inlineStr">
        <is>
          <t>SINAPI</t>
        </is>
      </c>
      <c r="D3316" s="22" t="inlineStr">
        <is>
          <t>H</t>
        </is>
      </c>
      <c r="E3316" s="63" t="n">
        <v>1</v>
      </c>
      <c r="F3316" s="64">
        <f>'COMPOSICOES AUXILIARES'!G3306</f>
        <v/>
      </c>
      <c r="G3316" s="64">
        <f>TRUNC(TRUNC(E3316,8)*F3316,2)</f>
        <v/>
      </c>
      <c r="L3316" t="n">
        <v>1</v>
      </c>
      <c r="M3316" t="n">
        <v>0.02</v>
      </c>
      <c r="N3316">
        <f>(M3316-F3316)</f>
        <v/>
      </c>
    </row>
    <row r="3317" ht="29" customHeight="1">
      <c r="A3317" s="22" t="inlineStr">
        <is>
          <t>91690</t>
        </is>
      </c>
      <c r="B3317" s="23" t="inlineStr">
        <is>
          <t>SERRA CIRCULAR DE BANCADA COM MOTOR ELÉTRICO POTÊNCIA DE 5HP, COM COIFA PARA DISCO 10" - MANUTENÇÃO. AF_08/2015</t>
        </is>
      </c>
      <c r="C3317" s="22" t="inlineStr">
        <is>
          <t>SINAPI</t>
        </is>
      </c>
      <c r="D3317" s="22" t="inlineStr">
        <is>
          <t>H</t>
        </is>
      </c>
      <c r="E3317" s="63" t="n">
        <v>1</v>
      </c>
      <c r="F3317" s="64" t="n">
        <v>0.07000000000000001</v>
      </c>
      <c r="G3317" s="64">
        <f>TRUNC(TRUNC(E3317,8)*F3317,2)</f>
        <v/>
      </c>
      <c r="L3317" t="n">
        <v>1</v>
      </c>
      <c r="M3317" t="n">
        <v>0.07000000000000001</v>
      </c>
      <c r="N3317">
        <f>(M3317-F3317)</f>
        <v/>
      </c>
    </row>
    <row r="3318" ht="29" customHeight="1">
      <c r="A3318" s="22" t="inlineStr">
        <is>
          <t>91691</t>
        </is>
      </c>
      <c r="B3318" s="23" t="inlineStr">
        <is>
          <t>SERRA CIRCULAR DE BANCADA COM MOTOR ELÉTRICO POTÊNCIA DE 5HP, COM COIFA PARA DISCO 10" - MATERIAIS NA OPERAÇÃO. AF_08/2015</t>
        </is>
      </c>
      <c r="C3318" s="22" t="inlineStr">
        <is>
          <t>SINAPI</t>
        </is>
      </c>
      <c r="D3318" s="22" t="inlineStr">
        <is>
          <t>H</t>
        </is>
      </c>
      <c r="E3318" s="63" t="n">
        <v>1</v>
      </c>
      <c r="F3318" s="64" t="n">
        <v>1.37</v>
      </c>
      <c r="G3318" s="64">
        <f>TRUNC(TRUNC(E3318,8)*F3318,2)</f>
        <v/>
      </c>
      <c r="L3318" t="n">
        <v>1</v>
      </c>
      <c r="M3318" t="n">
        <v>1.37</v>
      </c>
      <c r="N3318">
        <f>(M3318-F3318)</f>
        <v/>
      </c>
    </row>
    <row r="3319" ht="15" customHeight="1">
      <c r="A3319" s="2" t="inlineStr"/>
      <c r="B3319" s="2" t="inlineStr"/>
      <c r="C3319" s="2" t="inlineStr"/>
      <c r="D3319" s="2" t="inlineStr"/>
      <c r="E3319" s="26" t="inlineStr">
        <is>
          <t>TOTAL Serviço:</t>
        </is>
      </c>
      <c r="F3319" s="56" t="n"/>
      <c r="G3319" s="65">
        <f>SUM(G3315:G3318)</f>
        <v/>
      </c>
    </row>
    <row r="3320" ht="15" customHeight="1">
      <c r="A3320" s="2" t="inlineStr"/>
      <c r="B3320" s="2" t="inlineStr"/>
      <c r="C3320" s="2" t="inlineStr"/>
      <c r="D3320" s="2" t="inlineStr"/>
      <c r="E3320" s="28" t="inlineStr">
        <is>
          <t>VALOR:</t>
        </is>
      </c>
      <c r="F3320" s="56" t="n"/>
      <c r="G3320" s="66">
        <f>SUM(G3313,G3319)</f>
        <v/>
      </c>
    </row>
    <row r="3321" ht="15" customHeight="1">
      <c r="A3321" s="2" t="inlineStr"/>
      <c r="B3321" s="2" t="inlineStr"/>
      <c r="C3321" s="2" t="inlineStr"/>
      <c r="D3321" s="2" t="inlineStr"/>
      <c r="E3321" s="28" t="inlineStr">
        <is>
          <t>VALOR BDI (23.08%):</t>
        </is>
      </c>
      <c r="F3321" s="56" t="n"/>
      <c r="G3321" s="66">
        <f>ROUNDDOWN(G3320*BDI,2)</f>
        <v/>
      </c>
    </row>
    <row r="3322" ht="15" customHeight="1">
      <c r="A3322" s="2" t="inlineStr"/>
      <c r="B3322" s="2" t="inlineStr"/>
      <c r="C3322" s="2" t="inlineStr"/>
      <c r="D3322" s="2" t="inlineStr"/>
      <c r="E3322" s="28" t="inlineStr">
        <is>
          <t>VALOR COM BDI:</t>
        </is>
      </c>
      <c r="F3322" s="56" t="n"/>
      <c r="G3322" s="66">
        <f>G3321 + G3320</f>
        <v/>
      </c>
    </row>
    <row r="3323" ht="10" customHeight="1">
      <c r="A3323" s="2" t="inlineStr"/>
      <c r="B3323" s="2" t="inlineStr"/>
      <c r="C3323" s="2" t="inlineStr"/>
      <c r="D3323" s="2" t="inlineStr"/>
      <c r="E3323" s="18" t="inlineStr"/>
    </row>
    <row r="3324" ht="20" customHeight="1">
      <c r="A3324" s="19" t="inlineStr">
        <is>
          <t>​91688​ SERRA CIRCULAR DE BANCADA COM MOTOR ELÉTRICO POTÊNCIA DE 5HP, COM COIFA PARA DISCO 10" - DEPRECIAÇÃO. AF_08/2015​ (H)</t>
        </is>
      </c>
      <c r="B3324" s="55" t="n"/>
      <c r="C3324" s="55" t="n"/>
      <c r="D3324" s="55" t="n"/>
      <c r="E3324" s="55" t="n"/>
      <c r="F3324" s="55" t="n"/>
      <c r="G3324" s="56" t="n"/>
    </row>
    <row r="3325" ht="15" customHeight="1">
      <c r="A3325" s="20" t="inlineStr">
        <is>
          <t>Equipamento</t>
        </is>
      </c>
      <c r="B3325" s="56" t="n"/>
      <c r="C3325" s="21" t="inlineStr">
        <is>
          <t>FONTE</t>
        </is>
      </c>
      <c r="D3325" s="21" t="inlineStr">
        <is>
          <t>UNID</t>
        </is>
      </c>
      <c r="E3325" s="21" t="inlineStr">
        <is>
          <t>COEFICIENTE</t>
        </is>
      </c>
      <c r="F3325" s="21" t="inlineStr">
        <is>
          <t>PREÇO UNITÁRIO</t>
        </is>
      </c>
      <c r="G3325" s="21" t="inlineStr">
        <is>
          <t>TOTAL</t>
        </is>
      </c>
    </row>
    <row r="3326" ht="29" customHeight="1">
      <c r="A3326" s="22" t="inlineStr">
        <is>
          <t>00014618</t>
        </is>
      </c>
      <c r="B3326" s="23" t="inlineStr">
        <is>
          <t>SERRA CIRCULAR DE BANCADA COM MOTOR ELETRICO, POTENCIA DE *1600* W, PARA DISCO DE DIAMETRO DE 10" (250 MM)</t>
        </is>
      </c>
      <c r="C3326" s="22" t="inlineStr">
        <is>
          <t>SINAPI</t>
        </is>
      </c>
      <c r="D3326" s="22" t="inlineStr">
        <is>
          <t>UN</t>
        </is>
      </c>
      <c r="E3326" s="63" t="n">
        <v>7.2e-05</v>
      </c>
      <c r="F3326" s="64" t="n">
        <v>1577.47</v>
      </c>
      <c r="G3326" s="64">
        <f>TRUNC(TRUNC(E3326,8)*F3326,2)</f>
        <v/>
      </c>
      <c r="M3326" t="n">
        <v>1577.47</v>
      </c>
      <c r="N3326">
        <f>(M3326-F3326)</f>
        <v/>
      </c>
    </row>
    <row r="3327" ht="15" customHeight="1">
      <c r="A3327" s="2" t="inlineStr"/>
      <c r="B3327" s="2" t="inlineStr"/>
      <c r="C3327" s="2" t="inlineStr"/>
      <c r="D3327" s="2" t="inlineStr"/>
      <c r="E3327" s="26" t="inlineStr">
        <is>
          <t>TOTAL Equipamento:</t>
        </is>
      </c>
      <c r="F3327" s="56" t="n"/>
      <c r="G3327" s="65">
        <f>SUM(G3326:G3326)</f>
        <v/>
      </c>
    </row>
    <row r="3328" ht="15" customHeight="1">
      <c r="A3328" s="2" t="inlineStr"/>
      <c r="B3328" s="2" t="inlineStr"/>
      <c r="C3328" s="2" t="inlineStr"/>
      <c r="D3328" s="2" t="inlineStr"/>
      <c r="E3328" s="28" t="inlineStr">
        <is>
          <t>VALOR:</t>
        </is>
      </c>
      <c r="F3328" s="56" t="n"/>
      <c r="G3328" s="66">
        <f>ROUND(SUM(G3327),2)</f>
        <v/>
      </c>
    </row>
    <row r="3329" ht="15" customHeight="1">
      <c r="A3329" s="2" t="inlineStr"/>
      <c r="B3329" s="2" t="inlineStr"/>
      <c r="C3329" s="2" t="inlineStr"/>
      <c r="D3329" s="2" t="inlineStr"/>
      <c r="E3329" s="28" t="inlineStr">
        <is>
          <t>VALOR BDI (23.08%):</t>
        </is>
      </c>
      <c r="F3329" s="56" t="n"/>
      <c r="G3329" s="66">
        <f>ROUNDDOWN(G3328*BDI,2)</f>
        <v/>
      </c>
    </row>
    <row r="3330" ht="15" customHeight="1">
      <c r="A3330" s="2" t="inlineStr"/>
      <c r="B3330" s="2" t="inlineStr"/>
      <c r="C3330" s="2" t="inlineStr"/>
      <c r="D3330" s="2" t="inlineStr"/>
      <c r="E3330" s="28" t="inlineStr">
        <is>
          <t>VALOR COM BDI:</t>
        </is>
      </c>
      <c r="F3330" s="56" t="n"/>
      <c r="G3330" s="66">
        <f>G3329 + G3328</f>
        <v/>
      </c>
    </row>
    <row r="3331" ht="10" customHeight="1">
      <c r="A3331" s="2" t="inlineStr"/>
      <c r="B3331" s="2" t="inlineStr"/>
      <c r="C3331" s="2" t="inlineStr"/>
      <c r="D3331" s="2" t="inlineStr"/>
      <c r="E3331" s="18" t="inlineStr"/>
    </row>
    <row r="3332" ht="20" customHeight="1">
      <c r="A3332" s="19" t="inlineStr">
        <is>
          <t>​91689​ SERRA CIRCULAR DE BANCADA COM MOTOR ELÉTRICO POTÊNCIA DE 5HP, COM COIFA PARA DISCO 10" - JUROS. AF_08/2015​ (H)</t>
        </is>
      </c>
      <c r="B3332" s="55" t="n"/>
      <c r="C3332" s="55" t="n"/>
      <c r="D3332" s="55" t="n"/>
      <c r="E3332" s="55" t="n"/>
      <c r="F3332" s="55" t="n"/>
      <c r="G3332" s="56" t="n"/>
    </row>
    <row r="3333" ht="15" customHeight="1">
      <c r="A3333" s="20" t="inlineStr">
        <is>
          <t>Equipamento</t>
        </is>
      </c>
      <c r="B3333" s="56" t="n"/>
      <c r="C3333" s="21" t="inlineStr">
        <is>
          <t>FONTE</t>
        </is>
      </c>
      <c r="D3333" s="21" t="inlineStr">
        <is>
          <t>UNID</t>
        </is>
      </c>
      <c r="E3333" s="21" t="inlineStr">
        <is>
          <t>COEFICIENTE</t>
        </is>
      </c>
      <c r="F3333" s="21" t="inlineStr">
        <is>
          <t>PREÇO UNITÁRIO</t>
        </is>
      </c>
      <c r="G3333" s="21" t="inlineStr">
        <is>
          <t>TOTAL</t>
        </is>
      </c>
    </row>
    <row r="3334" ht="29" customHeight="1">
      <c r="A3334" s="22" t="inlineStr">
        <is>
          <t>00014618</t>
        </is>
      </c>
      <c r="B3334" s="23" t="inlineStr">
        <is>
          <t>SERRA CIRCULAR DE BANCADA COM MOTOR ELETRICO, POTENCIA DE *1600* W, PARA DISCO DE DIAMETRO DE 10" (250 MM)</t>
        </is>
      </c>
      <c r="C3334" s="22" t="inlineStr">
        <is>
          <t>SINAPI</t>
        </is>
      </c>
      <c r="D3334" s="22" t="inlineStr">
        <is>
          <t>UN</t>
        </is>
      </c>
      <c r="E3334" s="63" t="n">
        <v>1.48e-05</v>
      </c>
      <c r="F3334" s="64" t="n">
        <v>1577.47</v>
      </c>
      <c r="G3334" s="64">
        <f>TRUNC(TRUNC(E3334,8)*F3334,2)</f>
        <v/>
      </c>
      <c r="M3334" t="n">
        <v>1577.47</v>
      </c>
      <c r="N3334">
        <f>(M3334-F3334)</f>
        <v/>
      </c>
    </row>
    <row r="3335" ht="15" customHeight="1">
      <c r="A3335" s="2" t="inlineStr"/>
      <c r="B3335" s="2" t="inlineStr"/>
      <c r="C3335" s="2" t="inlineStr"/>
      <c r="D3335" s="2" t="inlineStr"/>
      <c r="E3335" s="26" t="inlineStr">
        <is>
          <t>TOTAL Equipamento:</t>
        </is>
      </c>
      <c r="F3335" s="56" t="n"/>
      <c r="G3335" s="65">
        <f>SUM(G3334:G3334)</f>
        <v/>
      </c>
    </row>
    <row r="3336" ht="15" customHeight="1">
      <c r="A3336" s="2" t="inlineStr"/>
      <c r="B3336" s="2" t="inlineStr"/>
      <c r="C3336" s="2" t="inlineStr"/>
      <c r="D3336" s="2" t="inlineStr"/>
      <c r="E3336" s="28" t="inlineStr">
        <is>
          <t>VALOR:</t>
        </is>
      </c>
      <c r="F3336" s="56" t="n"/>
      <c r="G3336" s="66">
        <f>ROUND(SUM(G3335),2)</f>
        <v/>
      </c>
    </row>
    <row r="3337" ht="15" customHeight="1">
      <c r="A3337" s="2" t="inlineStr"/>
      <c r="B3337" s="2" t="inlineStr"/>
      <c r="C3337" s="2" t="inlineStr"/>
      <c r="D3337" s="2" t="inlineStr"/>
      <c r="E3337" s="28" t="inlineStr">
        <is>
          <t>VALOR BDI (23.08%):</t>
        </is>
      </c>
      <c r="F3337" s="56" t="n"/>
      <c r="G3337" s="66">
        <f>ROUNDDOWN(G3336*BDI,2)</f>
        <v/>
      </c>
    </row>
    <row r="3338" ht="15" customHeight="1">
      <c r="A3338" s="2" t="inlineStr"/>
      <c r="B3338" s="2" t="inlineStr"/>
      <c r="C3338" s="2" t="inlineStr"/>
      <c r="D3338" s="2" t="inlineStr"/>
      <c r="E3338" s="28" t="inlineStr">
        <is>
          <t>VALOR COM BDI:</t>
        </is>
      </c>
      <c r="F3338" s="56" t="n"/>
      <c r="G3338" s="66">
        <f>G3337 + G3336</f>
        <v/>
      </c>
    </row>
    <row r="3339" ht="10" customHeight="1">
      <c r="A3339" s="2" t="inlineStr"/>
      <c r="B3339" s="2" t="inlineStr"/>
      <c r="C3339" s="2" t="inlineStr"/>
      <c r="D3339" s="2" t="inlineStr"/>
      <c r="E3339" s="18" t="inlineStr"/>
    </row>
    <row r="3340" ht="20" customHeight="1">
      <c r="A3340" s="19" t="inlineStr">
        <is>
          <t>​91690​ SERRA CIRCULAR DE BANCADA COM MOTOR ELÉTRICO POTÊNCIA DE 5HP, COM COIFA PARA DISCO 10" - MANUTENÇÃO. AF_08/2015​ (H)</t>
        </is>
      </c>
      <c r="B3340" s="55" t="n"/>
      <c r="C3340" s="55" t="n"/>
      <c r="D3340" s="55" t="n"/>
      <c r="E3340" s="55" t="n"/>
      <c r="F3340" s="55" t="n"/>
      <c r="G3340" s="56" t="n"/>
    </row>
    <row r="3341" ht="15" customHeight="1">
      <c r="A3341" s="20" t="inlineStr">
        <is>
          <t>Equipamento</t>
        </is>
      </c>
      <c r="B3341" s="56" t="n"/>
      <c r="C3341" s="21" t="inlineStr">
        <is>
          <t>FONTE</t>
        </is>
      </c>
      <c r="D3341" s="21" t="inlineStr">
        <is>
          <t>UNID</t>
        </is>
      </c>
      <c r="E3341" s="21" t="inlineStr">
        <is>
          <t>COEFICIENTE</t>
        </is>
      </c>
      <c r="F3341" s="21" t="inlineStr">
        <is>
          <t>PREÇO UNITÁRIO</t>
        </is>
      </c>
      <c r="G3341" s="21" t="inlineStr">
        <is>
          <t>TOTAL</t>
        </is>
      </c>
    </row>
    <row r="3342" ht="29" customHeight="1">
      <c r="A3342" s="22" t="inlineStr">
        <is>
          <t>00014618</t>
        </is>
      </c>
      <c r="B3342" s="23" t="inlineStr">
        <is>
          <t>SERRA CIRCULAR DE BANCADA COM MOTOR ELETRICO, POTENCIA DE *1600* W, PARA DISCO DE DIAMETRO DE 10" (250 MM)</t>
        </is>
      </c>
      <c r="C3342" s="22" t="inlineStr">
        <is>
          <t>SINAPI</t>
        </is>
      </c>
      <c r="D3342" s="22" t="inlineStr">
        <is>
          <t>UN</t>
        </is>
      </c>
      <c r="E3342" s="63" t="n">
        <v>5e-05</v>
      </c>
      <c r="F3342" s="64" t="n">
        <v>1577.47</v>
      </c>
      <c r="G3342" s="64">
        <f>TRUNC(TRUNC(E3342,8)*F3342,2)</f>
        <v/>
      </c>
      <c r="M3342" t="n">
        <v>1577.47</v>
      </c>
      <c r="N3342">
        <f>(M3342-F3342)</f>
        <v/>
      </c>
    </row>
    <row r="3343" ht="15" customHeight="1">
      <c r="A3343" s="2" t="inlineStr"/>
      <c r="B3343" s="2" t="inlineStr"/>
      <c r="C3343" s="2" t="inlineStr"/>
      <c r="D3343" s="2" t="inlineStr"/>
      <c r="E3343" s="26" t="inlineStr">
        <is>
          <t>TOTAL Equipamento:</t>
        </is>
      </c>
      <c r="F3343" s="56" t="n"/>
      <c r="G3343" s="65">
        <f>SUM(G3342:G3342)</f>
        <v/>
      </c>
    </row>
    <row r="3344" ht="15" customHeight="1">
      <c r="A3344" s="2" t="inlineStr"/>
      <c r="B3344" s="2" t="inlineStr"/>
      <c r="C3344" s="2" t="inlineStr"/>
      <c r="D3344" s="2" t="inlineStr"/>
      <c r="E3344" s="28" t="inlineStr">
        <is>
          <t>VALOR:</t>
        </is>
      </c>
      <c r="F3344" s="56" t="n"/>
      <c r="G3344" s="66">
        <f>ROUND(SUM(G3343),2)</f>
        <v/>
      </c>
    </row>
    <row r="3345" ht="15" customHeight="1">
      <c r="A3345" s="2" t="inlineStr"/>
      <c r="B3345" s="2" t="inlineStr"/>
      <c r="C3345" s="2" t="inlineStr"/>
      <c r="D3345" s="2" t="inlineStr"/>
      <c r="E3345" s="28" t="inlineStr">
        <is>
          <t>VALOR BDI (23.08%):</t>
        </is>
      </c>
      <c r="F3345" s="56" t="n"/>
      <c r="G3345" s="66">
        <f>ROUNDDOWN(G3344*BDI,2)</f>
        <v/>
      </c>
    </row>
    <row r="3346" ht="15" customHeight="1">
      <c r="A3346" s="2" t="inlineStr"/>
      <c r="B3346" s="2" t="inlineStr"/>
      <c r="C3346" s="2" t="inlineStr"/>
      <c r="D3346" s="2" t="inlineStr"/>
      <c r="E3346" s="28" t="inlineStr">
        <is>
          <t>VALOR COM BDI:</t>
        </is>
      </c>
      <c r="F3346" s="56" t="n"/>
      <c r="G3346" s="66">
        <f>G3345 + G3344</f>
        <v/>
      </c>
    </row>
    <row r="3347" ht="10" customHeight="1">
      <c r="A3347" s="2" t="inlineStr"/>
      <c r="B3347" s="2" t="inlineStr"/>
      <c r="C3347" s="2" t="inlineStr"/>
      <c r="D3347" s="2" t="inlineStr"/>
      <c r="E3347" s="18" t="inlineStr"/>
    </row>
    <row r="3348" ht="20" customHeight="1">
      <c r="A3348" s="19" t="inlineStr">
        <is>
          <t>​91691​ SERRA CIRCULAR DE BANCADA COM MOTOR ELÉTRICO POTÊNCIA DE 5HP, COM COIFA PARA DISCO 10" - MATERIAIS NA OPERAÇÃO. AF_08/2015​ (H)</t>
        </is>
      </c>
      <c r="B3348" s="55" t="n"/>
      <c r="C3348" s="55" t="n"/>
      <c r="D3348" s="55" t="n"/>
      <c r="E3348" s="55" t="n"/>
      <c r="F3348" s="55" t="n"/>
      <c r="G3348" s="56" t="n"/>
    </row>
    <row r="3349" ht="15" customHeight="1">
      <c r="A3349" s="20" t="inlineStr">
        <is>
          <t>Especiais</t>
        </is>
      </c>
      <c r="B3349" s="56" t="n"/>
      <c r="C3349" s="21" t="inlineStr">
        <is>
          <t>FONTE</t>
        </is>
      </c>
      <c r="D3349" s="21" t="inlineStr">
        <is>
          <t>UNID</t>
        </is>
      </c>
      <c r="E3349" s="21" t="inlineStr">
        <is>
          <t>COEFICIENTE</t>
        </is>
      </c>
      <c r="F3349" s="21">
        <f>G2570</f>
        <v/>
      </c>
      <c r="G3349" s="21" t="inlineStr">
        <is>
          <t>TOTAL</t>
        </is>
      </c>
    </row>
    <row r="3350" ht="21" customHeight="1">
      <c r="A3350" s="22" t="inlineStr">
        <is>
          <t>00002705</t>
        </is>
      </c>
      <c r="B3350" s="23" t="inlineStr">
        <is>
          <t>ENERGIA ELETRICA ATE 2000 KWH INDUSTRIAL, SEM DEMANDA</t>
        </is>
      </c>
      <c r="C3350" s="22" t="inlineStr">
        <is>
          <t>SINAPI</t>
        </is>
      </c>
      <c r="D3350" s="22" t="inlineStr">
        <is>
          <t>KWH</t>
        </is>
      </c>
      <c r="E3350" s="63" t="n">
        <v>1.36</v>
      </c>
      <c r="F3350" s="64" t="n">
        <v>1.01</v>
      </c>
      <c r="G3350" s="64">
        <f>TRUNC(TRUNC(E3350,8)*F3350,2)</f>
        <v/>
      </c>
      <c r="L3350" t="n">
        <v>1.36</v>
      </c>
      <c r="M3350" t="n">
        <v>1.01</v>
      </c>
      <c r="N3350">
        <f>(M3350-F3350)</f>
        <v/>
      </c>
    </row>
    <row r="3351" ht="15" customHeight="1">
      <c r="A3351" s="2" t="inlineStr"/>
      <c r="B3351" s="2" t="inlineStr"/>
      <c r="C3351" s="2" t="inlineStr"/>
      <c r="D3351" s="2" t="inlineStr"/>
      <c r="E3351" s="26" t="inlineStr">
        <is>
          <t>TOTAL Especiais:</t>
        </is>
      </c>
      <c r="F3351" s="56" t="n"/>
      <c r="G3351" s="65">
        <f>SUM(G3350:G3350)</f>
        <v/>
      </c>
    </row>
    <row r="3352" ht="15" customHeight="1">
      <c r="A3352" s="2" t="inlineStr"/>
      <c r="B3352" s="2" t="inlineStr"/>
      <c r="C3352" s="2" t="inlineStr"/>
      <c r="D3352" s="2" t="inlineStr"/>
      <c r="E3352" s="28" t="inlineStr">
        <is>
          <t>VALOR:</t>
        </is>
      </c>
      <c r="F3352" s="56" t="n"/>
      <c r="G3352" s="66">
        <f>ROUND(SUM(G3351),2)</f>
        <v/>
      </c>
    </row>
    <row r="3353" ht="15" customHeight="1">
      <c r="A3353" s="2" t="inlineStr"/>
      <c r="B3353" s="2" t="inlineStr"/>
      <c r="C3353" s="2" t="inlineStr"/>
      <c r="D3353" s="2" t="inlineStr"/>
      <c r="E3353" s="28" t="inlineStr">
        <is>
          <t>VALOR BDI (23.08%):</t>
        </is>
      </c>
      <c r="F3353" s="56" t="n"/>
      <c r="G3353" s="66">
        <f>ROUNDDOWN(G3352*BDI,2)</f>
        <v/>
      </c>
    </row>
    <row r="3354" ht="15" customHeight="1">
      <c r="A3354" s="2" t="inlineStr"/>
      <c r="B3354" s="2" t="inlineStr"/>
      <c r="C3354" s="2" t="inlineStr"/>
      <c r="D3354" s="2" t="inlineStr"/>
      <c r="E3354" s="28" t="inlineStr">
        <is>
          <t>VALOR COM BDI:</t>
        </is>
      </c>
      <c r="F3354" s="56" t="n"/>
      <c r="G3354" s="66">
        <f>G3353 + G3352</f>
        <v/>
      </c>
    </row>
    <row r="3355" ht="10" customHeight="1">
      <c r="A3355" s="2" t="inlineStr"/>
      <c r="B3355" s="2" t="inlineStr"/>
      <c r="C3355" s="2" t="inlineStr"/>
      <c r="D3355" s="2" t="inlineStr"/>
      <c r="E3355" s="18" t="inlineStr"/>
    </row>
    <row r="3356" ht="20" customHeight="1">
      <c r="A3356" s="19" t="inlineStr">
        <is>
          <t>​88315​ SERRALHEIRO COM ENCARGOS COMPLEMENTARES​ (H)</t>
        </is>
      </c>
      <c r="B3356" s="55" t="n"/>
      <c r="C3356" s="55" t="n"/>
      <c r="D3356" s="55" t="n"/>
      <c r="E3356" s="55" t="n"/>
      <c r="F3356" s="55" t="n"/>
      <c r="G3356" s="56" t="n"/>
    </row>
    <row r="3357" ht="15" customHeight="1">
      <c r="A3357" s="20" t="inlineStr">
        <is>
          <t>Encargos Complementares</t>
        </is>
      </c>
      <c r="B3357" s="56" t="n"/>
      <c r="C3357" s="21" t="inlineStr">
        <is>
          <t>FONTE</t>
        </is>
      </c>
      <c r="D3357" s="21" t="inlineStr">
        <is>
          <t>UNID</t>
        </is>
      </c>
      <c r="E3357" s="21" t="inlineStr">
        <is>
          <t>COEFICIENTE</t>
        </is>
      </c>
      <c r="F3357" s="21" t="inlineStr">
        <is>
          <t>PREÇO UNITÁRIO</t>
        </is>
      </c>
      <c r="G3357" s="21" t="inlineStr">
        <is>
          <t>TOTAL</t>
        </is>
      </c>
    </row>
    <row r="3358" ht="21" customHeight="1">
      <c r="A3358" s="22" t="inlineStr">
        <is>
          <t>00037370</t>
        </is>
      </c>
      <c r="B3358" s="23" t="inlineStr">
        <is>
          <t>ALIMENTACAO - HORISTA (COLETADO CAIXA - ENCARGOS COMPLEMENTARES)</t>
        </is>
      </c>
      <c r="C3358" s="22" t="inlineStr">
        <is>
          <t>SINAPI</t>
        </is>
      </c>
      <c r="D3358" s="22" t="inlineStr">
        <is>
          <t>H</t>
        </is>
      </c>
      <c r="E3358" s="63" t="n">
        <v>1</v>
      </c>
      <c r="F3358" s="64" t="n">
        <v>3.62</v>
      </c>
      <c r="G3358" s="64">
        <f>TRUNC(TRUNC(E3358,8)*F3358,2)</f>
        <v/>
      </c>
      <c r="L3358" t="n">
        <v>1</v>
      </c>
      <c r="M3358" t="n">
        <v>3.62</v>
      </c>
      <c r="N3358">
        <f>(M3358-F3358)</f>
        <v/>
      </c>
    </row>
    <row r="3359" ht="21" customHeight="1">
      <c r="A3359" s="22" t="inlineStr">
        <is>
          <t>00043489</t>
        </is>
      </c>
      <c r="B3359" s="23" t="inlineStr">
        <is>
          <t>EPI - FAMILIA PEDREIRO - HORISTA (ENCARGOS COMPLEMENTARES - COLETADO CAIXA)</t>
        </is>
      </c>
      <c r="C3359" s="22" t="inlineStr">
        <is>
          <t>SINAPI</t>
        </is>
      </c>
      <c r="D3359" s="22" t="inlineStr">
        <is>
          <t>H</t>
        </is>
      </c>
      <c r="E3359" s="63" t="n">
        <v>1</v>
      </c>
      <c r="F3359" s="64" t="n">
        <v>1.31</v>
      </c>
      <c r="G3359" s="64">
        <f>TRUNC(TRUNC(E3359,8)*F3359,2)</f>
        <v/>
      </c>
      <c r="L3359" t="n">
        <v>1</v>
      </c>
      <c r="M3359" t="n">
        <v>1.31</v>
      </c>
      <c r="N3359">
        <f>(M3359-F3359)</f>
        <v/>
      </c>
    </row>
    <row r="3360" ht="21" customHeight="1">
      <c r="A3360" s="22" t="inlineStr">
        <is>
          <t>00037372</t>
        </is>
      </c>
      <c r="B3360" s="23" t="inlineStr">
        <is>
          <t>EXAMES - HORISTA (COLETADO CAIXA - ENCARGOS COMPLEMENTARES)</t>
        </is>
      </c>
      <c r="C3360" s="22" t="inlineStr">
        <is>
          <t>SINAPI</t>
        </is>
      </c>
      <c r="D3360" s="22" t="inlineStr">
        <is>
          <t>H</t>
        </is>
      </c>
      <c r="E3360" s="63" t="n">
        <v>1</v>
      </c>
      <c r="F3360" s="64" t="n">
        <v>1.43</v>
      </c>
      <c r="G3360" s="64">
        <f>TRUNC(TRUNC(E3360,8)*F3360,2)</f>
        <v/>
      </c>
      <c r="L3360" t="n">
        <v>1</v>
      </c>
      <c r="M3360" t="n">
        <v>1.43</v>
      </c>
      <c r="N3360">
        <f>(M3360-F3360)</f>
        <v/>
      </c>
    </row>
    <row r="3361" ht="21" customHeight="1">
      <c r="A3361" s="22" t="inlineStr">
        <is>
          <t>00043465</t>
        </is>
      </c>
      <c r="B3361" s="23" t="inlineStr">
        <is>
          <t>FERRAMENTAS - FAMILIA PEDREIRO - HORISTA (ENCARGOS COMPLEMENTARES - COLETADO CAIXA)</t>
        </is>
      </c>
      <c r="C3361" s="22" t="inlineStr">
        <is>
          <t>SINAPI</t>
        </is>
      </c>
      <c r="D3361" s="22" t="inlineStr">
        <is>
          <t>H</t>
        </is>
      </c>
      <c r="E3361" s="63" t="n">
        <v>1</v>
      </c>
      <c r="F3361" s="64" t="n">
        <v>0.78</v>
      </c>
      <c r="G3361" s="64">
        <f>TRUNC(TRUNC(E3361,8)*F3361,2)</f>
        <v/>
      </c>
      <c r="L3361" t="n">
        <v>1</v>
      </c>
      <c r="M3361" t="n">
        <v>0.78</v>
      </c>
      <c r="N3361">
        <f>(M3361-F3361)</f>
        <v/>
      </c>
    </row>
    <row r="3362" ht="21" customHeight="1">
      <c r="A3362" s="22" t="inlineStr">
        <is>
          <t>00037373</t>
        </is>
      </c>
      <c r="B3362" s="23" t="inlineStr">
        <is>
          <t>SEGURO - HORISTA (COLETADO CAIXA - ENCARGOS COMPLEMENTARES)</t>
        </is>
      </c>
      <c r="C3362" s="22" t="inlineStr">
        <is>
          <t>SINAPI</t>
        </is>
      </c>
      <c r="D3362" s="22" t="inlineStr">
        <is>
          <t>H</t>
        </is>
      </c>
      <c r="E3362" s="63" t="n">
        <v>1</v>
      </c>
      <c r="F3362" s="64" t="n">
        <v>0.08</v>
      </c>
      <c r="G3362" s="64">
        <f>TRUNC(TRUNC(E3362,8)*F3362,2)</f>
        <v/>
      </c>
      <c r="L3362" t="n">
        <v>1</v>
      </c>
      <c r="M3362" t="n">
        <v>0.08</v>
      </c>
      <c r="N3362">
        <f>(M3362-F3362)</f>
        <v/>
      </c>
    </row>
    <row r="3363" ht="21" customHeight="1">
      <c r="A3363" s="22" t="inlineStr">
        <is>
          <t>00037371</t>
        </is>
      </c>
      <c r="B3363" s="23" t="inlineStr">
        <is>
          <t>TRANSPORTE - HORISTA (COLETADO CAIXA - ENCARGOS COMPLEMENTARES)</t>
        </is>
      </c>
      <c r="C3363" s="22" t="inlineStr">
        <is>
          <t>SINAPI</t>
        </is>
      </c>
      <c r="D3363" s="22" t="inlineStr">
        <is>
          <t>H</t>
        </is>
      </c>
      <c r="E3363" s="63" t="n">
        <v>1</v>
      </c>
      <c r="F3363" s="64" t="n">
        <v>1.09</v>
      </c>
      <c r="G3363" s="64">
        <f>TRUNC(TRUNC(E3363,8)*F3363,2)</f>
        <v/>
      </c>
      <c r="L3363" t="n">
        <v>1</v>
      </c>
      <c r="M3363" t="n">
        <v>1.09</v>
      </c>
      <c r="N3363">
        <f>(M3363-F3363)</f>
        <v/>
      </c>
    </row>
    <row r="3364" ht="15" customHeight="1">
      <c r="A3364" s="2" t="inlineStr"/>
      <c r="B3364" s="2" t="inlineStr"/>
      <c r="C3364" s="2" t="inlineStr"/>
      <c r="D3364" s="2" t="inlineStr"/>
      <c r="E3364" s="26" t="inlineStr">
        <is>
          <t>TOTAL Encargos Complementares:</t>
        </is>
      </c>
      <c r="F3364" s="56" t="n"/>
      <c r="G3364" s="65">
        <f>SUM(G3358:G3363)</f>
        <v/>
      </c>
    </row>
    <row r="3365" ht="15" customHeight="1">
      <c r="A3365" s="20" t="inlineStr">
        <is>
          <t>Mão de Obra</t>
        </is>
      </c>
      <c r="B3365" s="56" t="n"/>
      <c r="C3365" s="21" t="inlineStr">
        <is>
          <t>FONTE</t>
        </is>
      </c>
      <c r="D3365" s="21" t="inlineStr">
        <is>
          <t>UNID</t>
        </is>
      </c>
      <c r="E3365" s="21" t="inlineStr">
        <is>
          <t>COEFICIENTE</t>
        </is>
      </c>
      <c r="F3365" s="21" t="inlineStr">
        <is>
          <t>PREÇO UNITÁRIO</t>
        </is>
      </c>
      <c r="G3365" s="21" t="inlineStr">
        <is>
          <t>TOTAL</t>
        </is>
      </c>
    </row>
    <row r="3366" ht="15" customHeight="1">
      <c r="A3366" s="22" t="inlineStr">
        <is>
          <t>00006110</t>
        </is>
      </c>
      <c r="B3366" s="23" t="inlineStr">
        <is>
          <t>SERRALHEIRO (HORISTA)</t>
        </is>
      </c>
      <c r="C3366" s="22" t="inlineStr">
        <is>
          <t>SINAPI</t>
        </is>
      </c>
      <c r="D3366" s="22" t="inlineStr">
        <is>
          <t>H</t>
        </is>
      </c>
      <c r="E3366" s="63" t="n">
        <v>1</v>
      </c>
      <c r="F3366" s="64" t="n">
        <v>21.81</v>
      </c>
      <c r="G3366" s="64">
        <f>TRUNC(TRUNC(E3366,8)*F3366,2)</f>
        <v/>
      </c>
      <c r="L3366" t="n">
        <v>1</v>
      </c>
      <c r="M3366" t="n">
        <v>21.81</v>
      </c>
      <c r="N3366">
        <f>(M3366-F3366)</f>
        <v/>
      </c>
    </row>
    <row r="3367" ht="15" customHeight="1">
      <c r="A3367" s="2" t="inlineStr"/>
      <c r="B3367" s="2" t="inlineStr"/>
      <c r="C3367" s="2" t="inlineStr"/>
      <c r="D3367" s="2" t="inlineStr"/>
      <c r="E3367" s="26" t="inlineStr">
        <is>
          <t>TOTAL Mão de Obra:</t>
        </is>
      </c>
      <c r="F3367" s="56" t="n"/>
      <c r="G3367" s="65">
        <f>SUM(G3366:G3366)</f>
        <v/>
      </c>
    </row>
    <row r="3368" ht="15" customHeight="1">
      <c r="A3368" s="20" t="inlineStr">
        <is>
          <t>Serviço</t>
        </is>
      </c>
      <c r="B3368" s="56" t="n"/>
      <c r="C3368" s="21" t="inlineStr">
        <is>
          <t>FONTE</t>
        </is>
      </c>
      <c r="D3368" s="21" t="inlineStr">
        <is>
          <t>UNID</t>
        </is>
      </c>
      <c r="E3368" s="21" t="inlineStr">
        <is>
          <t>COEFICIENTE</t>
        </is>
      </c>
      <c r="F3368" s="21" t="inlineStr">
        <is>
          <t>PREÇO UNITÁRIO</t>
        </is>
      </c>
      <c r="G3368" s="21" t="inlineStr">
        <is>
          <t>TOTAL</t>
        </is>
      </c>
    </row>
    <row r="3369" ht="21" customHeight="1">
      <c r="A3369" s="22" t="inlineStr">
        <is>
          <t>95377</t>
        </is>
      </c>
      <c r="B3369" s="23" t="inlineStr">
        <is>
          <t>CURSO DE CAPACITAÇÃO PARA SERRALHEIRO (ENCARGOS COMPLEMENTARES) - HORISTA</t>
        </is>
      </c>
      <c r="C3369" s="22" t="inlineStr">
        <is>
          <t>SINAPI</t>
        </is>
      </c>
      <c r="D3369" s="22" t="inlineStr">
        <is>
          <t>H</t>
        </is>
      </c>
      <c r="E3369" s="63" t="n">
        <v>1</v>
      </c>
      <c r="F3369" s="64">
        <f>G1763</f>
        <v/>
      </c>
      <c r="G3369" s="64">
        <f>TRUNC(TRUNC(E3369,8)*F3369,2)</f>
        <v/>
      </c>
      <c r="L3369" t="n">
        <v>1</v>
      </c>
      <c r="M3369" t="n">
        <v>0.25</v>
      </c>
      <c r="N3369">
        <f>(M3369-F3369)</f>
        <v/>
      </c>
    </row>
    <row r="3370" ht="15" customHeight="1">
      <c r="A3370" s="2" t="inlineStr"/>
      <c r="B3370" s="2" t="inlineStr"/>
      <c r="C3370" s="2" t="inlineStr"/>
      <c r="D3370" s="2" t="inlineStr"/>
      <c r="E3370" s="26" t="inlineStr">
        <is>
          <t>TOTAL Serviço:</t>
        </is>
      </c>
      <c r="F3370" s="56" t="n"/>
      <c r="G3370" s="65">
        <f>SUM(G3369:G3369)</f>
        <v/>
      </c>
    </row>
    <row r="3371" ht="15" customHeight="1">
      <c r="A3371" s="2" t="inlineStr"/>
      <c r="B3371" s="2" t="inlineStr"/>
      <c r="C3371" s="2" t="inlineStr"/>
      <c r="D3371" s="2" t="inlineStr"/>
      <c r="E3371" s="28" t="inlineStr">
        <is>
          <t>VALOR:</t>
        </is>
      </c>
      <c r="F3371" s="56" t="n"/>
      <c r="G3371" s="66">
        <f>ROUND(SUM(G3364,G3367,G3370),2)</f>
        <v/>
      </c>
    </row>
    <row r="3372" ht="15" customHeight="1">
      <c r="A3372" s="2" t="inlineStr"/>
      <c r="B3372" s="2" t="inlineStr"/>
      <c r="C3372" s="2" t="inlineStr"/>
      <c r="D3372" s="2" t="inlineStr"/>
      <c r="E3372" s="28" t="inlineStr">
        <is>
          <t>VALOR BDI (23.08%):</t>
        </is>
      </c>
      <c r="F3372" s="56" t="n"/>
      <c r="G3372" s="66">
        <f>ROUNDDOWN(G3371*BDI,2)</f>
        <v/>
      </c>
    </row>
    <row r="3373" ht="15" customHeight="1">
      <c r="A3373" s="2" t="inlineStr"/>
      <c r="B3373" s="2" t="inlineStr"/>
      <c r="C3373" s="2" t="inlineStr"/>
      <c r="D3373" s="2" t="inlineStr"/>
      <c r="E3373" s="28" t="inlineStr">
        <is>
          <t>VALOR COM BDI:</t>
        </is>
      </c>
      <c r="F3373" s="56" t="n"/>
      <c r="G3373" s="66">
        <f>G3372 + G3371</f>
        <v/>
      </c>
    </row>
    <row r="3374" ht="10" customHeight="1">
      <c r="A3374" s="2" t="inlineStr"/>
      <c r="B3374" s="2" t="inlineStr"/>
      <c r="C3374" s="2" t="inlineStr"/>
      <c r="D3374" s="2" t="inlineStr"/>
      <c r="E3374" s="18" t="inlineStr"/>
    </row>
    <row r="3375" ht="20" customHeight="1">
      <c r="A3375" s="19" t="inlineStr">
        <is>
          <t>​88316​ SERVENTE COM ENCARGOS COMPLEMENTARES​ (H)</t>
        </is>
      </c>
      <c r="B3375" s="55" t="n"/>
      <c r="C3375" s="55" t="n"/>
      <c r="D3375" s="55" t="n"/>
      <c r="E3375" s="55" t="n"/>
      <c r="F3375" s="55" t="n"/>
      <c r="G3375" s="56" t="n"/>
    </row>
    <row r="3376" ht="15" customHeight="1">
      <c r="A3376" s="20" t="inlineStr">
        <is>
          <t>Encargos Complementares</t>
        </is>
      </c>
      <c r="B3376" s="56" t="n"/>
      <c r="C3376" s="21" t="inlineStr">
        <is>
          <t>FONTE</t>
        </is>
      </c>
      <c r="D3376" s="21" t="inlineStr">
        <is>
          <t>UNID</t>
        </is>
      </c>
      <c r="E3376" s="21" t="inlineStr">
        <is>
          <t>COEFICIENTE</t>
        </is>
      </c>
      <c r="F3376" s="21" t="inlineStr">
        <is>
          <t>PREÇO UNITÁRIO</t>
        </is>
      </c>
      <c r="G3376" s="21" t="inlineStr">
        <is>
          <t>TOTAL</t>
        </is>
      </c>
    </row>
    <row r="3377" ht="21" customHeight="1">
      <c r="A3377" s="22" t="inlineStr">
        <is>
          <t>00037370</t>
        </is>
      </c>
      <c r="B3377" s="23" t="inlineStr">
        <is>
          <t>ALIMENTACAO - HORISTA (COLETADO CAIXA - ENCARGOS COMPLEMENTARES)</t>
        </is>
      </c>
      <c r="C3377" s="22" t="inlineStr">
        <is>
          <t>SINAPI</t>
        </is>
      </c>
      <c r="D3377" s="22" t="inlineStr">
        <is>
          <t>H</t>
        </is>
      </c>
      <c r="E3377" s="63" t="n">
        <v>1</v>
      </c>
      <c r="F3377" s="64" t="n">
        <v>3.62</v>
      </c>
      <c r="G3377" s="64">
        <f>TRUNC(TRUNC(E3377,8)*F3377,2)</f>
        <v/>
      </c>
      <c r="L3377" t="n">
        <v>1</v>
      </c>
      <c r="M3377" t="n">
        <v>3.62</v>
      </c>
      <c r="N3377">
        <f>(M3377-F3377)</f>
        <v/>
      </c>
    </row>
    <row r="3378" ht="21" customHeight="1">
      <c r="A3378" s="22" t="inlineStr">
        <is>
          <t>00043491</t>
        </is>
      </c>
      <c r="B3378" s="23" t="inlineStr">
        <is>
          <t>EPI - FAMILIA SERVENTE - HORISTA (ENCARGOS COMPLEMENTARES - COLETADO CAIXA)</t>
        </is>
      </c>
      <c r="C3378" s="22" t="inlineStr">
        <is>
          <t>SINAPI</t>
        </is>
      </c>
      <c r="D3378" s="22" t="inlineStr">
        <is>
          <t>H</t>
        </is>
      </c>
      <c r="E3378" s="63" t="n">
        <v>1</v>
      </c>
      <c r="F3378" s="64" t="n">
        <v>1.39</v>
      </c>
      <c r="G3378" s="64">
        <f>TRUNC(TRUNC(E3378,8)*F3378,2)</f>
        <v/>
      </c>
      <c r="L3378" t="n">
        <v>1</v>
      </c>
      <c r="M3378" t="n">
        <v>1.39</v>
      </c>
      <c r="N3378">
        <f>(M3378-F3378)</f>
        <v/>
      </c>
    </row>
    <row r="3379" ht="21" customHeight="1">
      <c r="A3379" s="22" t="inlineStr">
        <is>
          <t>00037372</t>
        </is>
      </c>
      <c r="B3379" s="23" t="inlineStr">
        <is>
          <t>EXAMES - HORISTA (COLETADO CAIXA - ENCARGOS COMPLEMENTARES)</t>
        </is>
      </c>
      <c r="C3379" s="22" t="inlineStr">
        <is>
          <t>SINAPI</t>
        </is>
      </c>
      <c r="D3379" s="22" t="inlineStr">
        <is>
          <t>H</t>
        </is>
      </c>
      <c r="E3379" s="63" t="n">
        <v>1</v>
      </c>
      <c r="F3379" s="64" t="n">
        <v>1.43</v>
      </c>
      <c r="G3379" s="64">
        <f>TRUNC(TRUNC(E3379,8)*F3379,2)</f>
        <v/>
      </c>
      <c r="L3379" t="n">
        <v>1</v>
      </c>
      <c r="M3379" t="n">
        <v>1.43</v>
      </c>
      <c r="N3379">
        <f>(M3379-F3379)</f>
        <v/>
      </c>
    </row>
    <row r="3380" ht="21" customHeight="1">
      <c r="A3380" s="22" t="inlineStr">
        <is>
          <t>00043467</t>
        </is>
      </c>
      <c r="B3380" s="23" t="inlineStr">
        <is>
          <t>FERRAMENTAS - FAMILIA SERVENTE - HORISTA (ENCARGOS COMPLEMENTARES - COLETADO CAIXA)</t>
        </is>
      </c>
      <c r="C3380" s="22" t="inlineStr">
        <is>
          <t>SINAPI</t>
        </is>
      </c>
      <c r="D3380" s="22" t="inlineStr">
        <is>
          <t>H</t>
        </is>
      </c>
      <c r="E3380" s="63" t="n">
        <v>1</v>
      </c>
      <c r="F3380" s="64" t="n">
        <v>0.61</v>
      </c>
      <c r="G3380" s="64">
        <f>TRUNC(TRUNC(E3380,8)*F3380,2)</f>
        <v/>
      </c>
      <c r="L3380" t="n">
        <v>1</v>
      </c>
      <c r="M3380" t="n">
        <v>0.61</v>
      </c>
      <c r="N3380">
        <f>(M3380-F3380)</f>
        <v/>
      </c>
    </row>
    <row r="3381" ht="21" customHeight="1">
      <c r="A3381" s="22" t="inlineStr">
        <is>
          <t>00037373</t>
        </is>
      </c>
      <c r="B3381" s="23" t="inlineStr">
        <is>
          <t>SEGURO - HORISTA (COLETADO CAIXA - ENCARGOS COMPLEMENTARES)</t>
        </is>
      </c>
      <c r="C3381" s="22" t="inlineStr">
        <is>
          <t>SINAPI</t>
        </is>
      </c>
      <c r="D3381" s="22" t="inlineStr">
        <is>
          <t>H</t>
        </is>
      </c>
      <c r="E3381" s="63" t="n">
        <v>1</v>
      </c>
      <c r="F3381" s="64" t="n">
        <v>0.08</v>
      </c>
      <c r="G3381" s="64">
        <f>TRUNC(TRUNC(E3381,8)*F3381,2)</f>
        <v/>
      </c>
      <c r="L3381" t="n">
        <v>1</v>
      </c>
      <c r="M3381" t="n">
        <v>0.08</v>
      </c>
      <c r="N3381">
        <f>(M3381-F3381)</f>
        <v/>
      </c>
    </row>
    <row r="3382" ht="21" customHeight="1">
      <c r="A3382" s="22" t="inlineStr">
        <is>
          <t>00037371</t>
        </is>
      </c>
      <c r="B3382" s="23" t="inlineStr">
        <is>
          <t>TRANSPORTE - HORISTA (COLETADO CAIXA - ENCARGOS COMPLEMENTARES)</t>
        </is>
      </c>
      <c r="C3382" s="22" t="inlineStr">
        <is>
          <t>SINAPI</t>
        </is>
      </c>
      <c r="D3382" s="22" t="inlineStr">
        <is>
          <t>H</t>
        </is>
      </c>
      <c r="E3382" s="63" t="n">
        <v>1</v>
      </c>
      <c r="F3382" s="64" t="n">
        <v>1.09</v>
      </c>
      <c r="G3382" s="64">
        <f>TRUNC(TRUNC(E3382,8)*F3382,2)</f>
        <v/>
      </c>
      <c r="L3382" t="n">
        <v>1</v>
      </c>
      <c r="M3382" t="n">
        <v>1.09</v>
      </c>
      <c r="N3382">
        <f>(M3382-F3382)</f>
        <v/>
      </c>
    </row>
    <row r="3383" ht="15" customHeight="1">
      <c r="A3383" s="2" t="inlineStr"/>
      <c r="B3383" s="2" t="inlineStr"/>
      <c r="C3383" s="2" t="inlineStr"/>
      <c r="D3383" s="2" t="inlineStr"/>
      <c r="E3383" s="26" t="inlineStr">
        <is>
          <t>TOTAL Encargos Complementares:</t>
        </is>
      </c>
      <c r="F3383" s="56" t="n"/>
      <c r="G3383" s="65">
        <f>SUM(G3377:G3382)</f>
        <v/>
      </c>
    </row>
    <row r="3384" ht="15" customHeight="1">
      <c r="A3384" s="20" t="inlineStr">
        <is>
          <t>Mão de Obra</t>
        </is>
      </c>
      <c r="B3384" s="56" t="n"/>
      <c r="C3384" s="21" t="inlineStr">
        <is>
          <t>FONTE</t>
        </is>
      </c>
      <c r="D3384" s="21" t="inlineStr">
        <is>
          <t>UNID</t>
        </is>
      </c>
      <c r="E3384" s="21" t="inlineStr">
        <is>
          <t>COEFICIENTE</t>
        </is>
      </c>
      <c r="F3384" s="21" t="inlineStr">
        <is>
          <t>PREÇO UNITÁRIO</t>
        </is>
      </c>
      <c r="G3384" s="21" t="inlineStr">
        <is>
          <t>TOTAL</t>
        </is>
      </c>
    </row>
    <row r="3385" ht="15" customHeight="1">
      <c r="A3385" s="22" t="inlineStr">
        <is>
          <t>00006111</t>
        </is>
      </c>
      <c r="B3385" s="23" t="inlineStr">
        <is>
          <t>SERVENTE DE OBRAS (HORISTA)</t>
        </is>
      </c>
      <c r="C3385" s="22" t="inlineStr">
        <is>
          <t>SINAPI</t>
        </is>
      </c>
      <c r="D3385" s="22" t="inlineStr">
        <is>
          <t>H</t>
        </is>
      </c>
      <c r="E3385" s="63">
        <f>L3385*FATOR</f>
        <v/>
      </c>
      <c r="F3385" s="64" t="n">
        <v>15.03</v>
      </c>
      <c r="G3385" s="64">
        <f>TRUNC(TRUNC(E3385,8)*F3385,2)</f>
        <v/>
      </c>
      <c r="L3385" t="n">
        <v>1</v>
      </c>
      <c r="M3385" t="n">
        <v>15.03</v>
      </c>
      <c r="N3385">
        <f>(M3385-F3385)</f>
        <v/>
      </c>
    </row>
    <row r="3386" ht="15" customHeight="1">
      <c r="A3386" s="2" t="inlineStr"/>
      <c r="B3386" s="2" t="inlineStr"/>
      <c r="C3386" s="2" t="inlineStr"/>
      <c r="D3386" s="2" t="inlineStr"/>
      <c r="E3386" s="26" t="inlineStr">
        <is>
          <t>TOTAL Mão de Obra:</t>
        </is>
      </c>
      <c r="F3386" s="56" t="n"/>
      <c r="G3386" s="65">
        <f>SUM(G3385:G3385)</f>
        <v/>
      </c>
    </row>
    <row r="3387" ht="15" customHeight="1">
      <c r="A3387" s="20" t="inlineStr">
        <is>
          <t>Serviço</t>
        </is>
      </c>
      <c r="B3387" s="56" t="n"/>
      <c r="C3387" s="21" t="inlineStr">
        <is>
          <t>FONTE</t>
        </is>
      </c>
      <c r="D3387" s="21" t="inlineStr">
        <is>
          <t>UNID</t>
        </is>
      </c>
      <c r="E3387" s="21" t="inlineStr">
        <is>
          <t>COEFICIENTE</t>
        </is>
      </c>
      <c r="F3387" s="21" t="inlineStr">
        <is>
          <t>PREÇO UNITÁRIO</t>
        </is>
      </c>
      <c r="G3387" s="21" t="inlineStr">
        <is>
          <t>TOTAL</t>
        </is>
      </c>
    </row>
    <row r="3388" ht="21" customHeight="1">
      <c r="A3388" s="22" t="inlineStr">
        <is>
          <t>95378</t>
        </is>
      </c>
      <c r="B3388" s="23" t="inlineStr">
        <is>
          <t>CURSO DE CAPACITAÇÃO PARA SERVENTE (ENCARGOS COMPLEMENTARES) - HORISTA</t>
        </is>
      </c>
      <c r="C3388" s="22" t="inlineStr">
        <is>
          <t>SINAPI</t>
        </is>
      </c>
      <c r="D3388" s="22" t="inlineStr">
        <is>
          <t>H</t>
        </is>
      </c>
      <c r="E3388" s="63" t="n">
        <v>1</v>
      </c>
      <c r="F3388" s="64">
        <f>'COMPOSICOES AUXILIARES'!G1771</f>
        <v/>
      </c>
      <c r="G3388" s="64">
        <f>TRUNC(TRUNC(E3388,8)*F3388,2)</f>
        <v/>
      </c>
      <c r="L3388" t="n">
        <v>1</v>
      </c>
      <c r="M3388" t="n">
        <v>0.31</v>
      </c>
      <c r="N3388">
        <f>(M3388-F3388)</f>
        <v/>
      </c>
    </row>
    <row r="3389" ht="15" customHeight="1">
      <c r="A3389" s="2" t="inlineStr"/>
      <c r="B3389" s="2" t="inlineStr"/>
      <c r="C3389" s="2" t="inlineStr"/>
      <c r="D3389" s="2" t="inlineStr"/>
      <c r="E3389" s="26" t="inlineStr">
        <is>
          <t>TOTAL Serviço:</t>
        </is>
      </c>
      <c r="F3389" s="56" t="n"/>
      <c r="G3389" s="65">
        <f>SUM(G3388:G3388)</f>
        <v/>
      </c>
    </row>
    <row r="3390" ht="15" customHeight="1">
      <c r="A3390" s="2" t="inlineStr"/>
      <c r="B3390" s="2" t="inlineStr"/>
      <c r="C3390" s="2" t="inlineStr"/>
      <c r="D3390" s="2" t="inlineStr"/>
      <c r="E3390" s="28" t="inlineStr">
        <is>
          <t>VALOR:</t>
        </is>
      </c>
      <c r="F3390" s="56" t="n"/>
      <c r="G3390" s="66">
        <f>SUM(G3386,G3389,G3383)</f>
        <v/>
      </c>
    </row>
    <row r="3391" ht="15" customHeight="1">
      <c r="A3391" s="2" t="inlineStr"/>
      <c r="B3391" s="2" t="inlineStr"/>
      <c r="C3391" s="2" t="inlineStr"/>
      <c r="D3391" s="2" t="inlineStr"/>
      <c r="E3391" s="28" t="inlineStr">
        <is>
          <t>VALOR BDI (23.08%):</t>
        </is>
      </c>
      <c r="F3391" s="56" t="n"/>
      <c r="G3391" s="66">
        <f>ROUNDDOWN(G3390*BDI,2)</f>
        <v/>
      </c>
    </row>
    <row r="3392" ht="15" customHeight="1">
      <c r="A3392" s="2" t="inlineStr"/>
      <c r="B3392" s="2" t="inlineStr"/>
      <c r="C3392" s="2" t="inlineStr"/>
      <c r="D3392" s="2" t="inlineStr"/>
      <c r="E3392" s="28" t="inlineStr">
        <is>
          <t>VALOR COM BDI:</t>
        </is>
      </c>
      <c r="F3392" s="56" t="n"/>
      <c r="G3392" s="66">
        <f>G3391 + G3390</f>
        <v/>
      </c>
    </row>
    <row r="3393" ht="10" customHeight="1">
      <c r="A3393" s="2" t="inlineStr"/>
      <c r="B3393" s="2" t="inlineStr"/>
      <c r="C3393" s="2" t="inlineStr"/>
      <c r="D3393" s="2" t="inlineStr"/>
      <c r="E3393" s="18" t="inlineStr"/>
    </row>
    <row r="3394" ht="20" customHeight="1">
      <c r="A3394" s="19" t="inlineStr">
        <is>
          <t>​86881​ SIFÃO DO TIPO GARRAFA EM METAL CROMADO 1 X 1.1/2" - FORNECIMENTO E INSTALAÇÃO. AF_01/2020​ (UN)</t>
        </is>
      </c>
      <c r="B3394" s="55" t="n"/>
      <c r="C3394" s="55" t="n"/>
      <c r="D3394" s="55" t="n"/>
      <c r="E3394" s="55" t="n"/>
      <c r="F3394" s="55" t="n"/>
      <c r="G3394" s="56" t="n"/>
    </row>
    <row r="3395" ht="15" customHeight="1">
      <c r="A3395" s="20" t="inlineStr">
        <is>
          <t>Material</t>
        </is>
      </c>
      <c r="B3395" s="56" t="n"/>
      <c r="C3395" s="21" t="inlineStr">
        <is>
          <t>FONTE</t>
        </is>
      </c>
      <c r="D3395" s="21" t="inlineStr">
        <is>
          <t>UNID</t>
        </is>
      </c>
      <c r="E3395" s="21" t="inlineStr">
        <is>
          <t>COEFICIENTE</t>
        </is>
      </c>
      <c r="F3395" s="21" t="inlineStr">
        <is>
          <t>PREÇO UNITÁRIO</t>
        </is>
      </c>
      <c r="G3395" s="21" t="inlineStr">
        <is>
          <t>TOTAL</t>
        </is>
      </c>
    </row>
    <row r="3396" ht="21" customHeight="1">
      <c r="A3396" s="22" t="inlineStr">
        <is>
          <t>00003146</t>
        </is>
      </c>
      <c r="B3396" s="23" t="inlineStr">
        <is>
          <t>FITA VEDA ROSCA, EM PTFE, ROLO DE 18 MM X 10 M (L X C)</t>
        </is>
      </c>
      <c r="C3396" s="22" t="inlineStr">
        <is>
          <t>SINAPI</t>
        </is>
      </c>
      <c r="D3396" s="22" t="inlineStr">
        <is>
          <t>UN</t>
        </is>
      </c>
      <c r="E3396" s="63" t="n">
        <v>0.0332</v>
      </c>
      <c r="F3396" s="64">
        <f>ROUND(M3396*FATOR, 2)</f>
        <v/>
      </c>
      <c r="G3396" s="64">
        <f>TRUNC(TRUNC(E3396,8)*F3396,2)</f>
        <v/>
      </c>
      <c r="L3396" t="n">
        <v>0.0332</v>
      </c>
      <c r="M3396" t="n">
        <v>4</v>
      </c>
      <c r="N3396">
        <f>(M3396-F3396)</f>
        <v/>
      </c>
    </row>
    <row r="3397" ht="21" customHeight="1">
      <c r="A3397" s="22" t="inlineStr">
        <is>
          <t>00006136</t>
        </is>
      </c>
      <c r="B3397" s="23" t="inlineStr">
        <is>
          <t>SIFAO EM METAL CROMADO PARA PIA OU LAVATORIO, 1 X 1.1/2"</t>
        </is>
      </c>
      <c r="C3397" s="22" t="inlineStr">
        <is>
          <t>SINAPI</t>
        </is>
      </c>
      <c r="D3397" s="22" t="inlineStr">
        <is>
          <t>UN</t>
        </is>
      </c>
      <c r="E3397" s="63" t="n">
        <v>1</v>
      </c>
      <c r="F3397" s="64">
        <f>ROUND(M3397*FATOR, 2)</f>
        <v/>
      </c>
      <c r="G3397" s="64">
        <f>TRUNC(TRUNC(E3397,8)*F3397,2)</f>
        <v/>
      </c>
      <c r="L3397" t="n">
        <v>1</v>
      </c>
      <c r="M3397" t="n">
        <v>234.9</v>
      </c>
      <c r="N3397">
        <f>(M3397-F3397)</f>
        <v/>
      </c>
    </row>
    <row r="3398" ht="15" customHeight="1">
      <c r="A3398" s="2" t="inlineStr"/>
      <c r="B3398" s="2" t="inlineStr"/>
      <c r="C3398" s="2" t="inlineStr"/>
      <c r="D3398" s="2" t="inlineStr"/>
      <c r="E3398" s="26" t="inlineStr">
        <is>
          <t>TOTAL Material:</t>
        </is>
      </c>
      <c r="F3398" s="56" t="n"/>
      <c r="G3398" s="65">
        <f>SUM(G3396:G3397)</f>
        <v/>
      </c>
    </row>
    <row r="3399" ht="15" customHeight="1">
      <c r="A3399" s="20" t="inlineStr">
        <is>
          <t>Mão de Obra com Encargos Complementares</t>
        </is>
      </c>
      <c r="B3399" s="56" t="n"/>
      <c r="C3399" s="21" t="inlineStr">
        <is>
          <t>FONTE</t>
        </is>
      </c>
      <c r="D3399" s="21" t="inlineStr">
        <is>
          <t>UNID</t>
        </is>
      </c>
      <c r="E3399" s="21" t="inlineStr">
        <is>
          <t>COEFICIENTE</t>
        </is>
      </c>
      <c r="F3399" s="21" t="inlineStr">
        <is>
          <t>PREÇO UNITÁRIO</t>
        </is>
      </c>
      <c r="G3399" s="21" t="inlineStr">
        <is>
          <t>TOTAL</t>
        </is>
      </c>
    </row>
    <row r="3400" ht="21" customHeight="1">
      <c r="A3400" s="22" t="inlineStr">
        <is>
          <t>88267</t>
        </is>
      </c>
      <c r="B3400" s="23" t="inlineStr">
        <is>
          <t>ENCANADOR OU BOMBEIRO HIDRÁULICO COM ENCARGOS COMPLEMENTARES</t>
        </is>
      </c>
      <c r="C3400" s="22" t="inlineStr">
        <is>
          <t>SINAPI</t>
        </is>
      </c>
      <c r="D3400" s="22" t="inlineStr">
        <is>
          <t>H</t>
        </is>
      </c>
      <c r="E3400" s="63">
        <f>L3400*FATOR</f>
        <v/>
      </c>
      <c r="F3400" s="64">
        <f>'COMPOSICOES AUXILIARES'!G474</f>
        <v/>
      </c>
      <c r="G3400" s="64">
        <f>TRUNC(TRUNC(E3400,8)*F3400,2)</f>
        <v/>
      </c>
      <c r="L3400" t="n">
        <v>0.2734</v>
      </c>
      <c r="M3400" t="n">
        <v>29.86</v>
      </c>
      <c r="N3400">
        <f>(M3400-F3400)</f>
        <v/>
      </c>
    </row>
    <row r="3401" ht="15" customHeight="1">
      <c r="A3401" s="22" t="inlineStr">
        <is>
          <t>88316</t>
        </is>
      </c>
      <c r="B3401" s="23" t="inlineStr">
        <is>
          <t>SERVENTE COM ENCARGOS COMPLEMENTARES</t>
        </is>
      </c>
      <c r="C3401" s="22" t="inlineStr">
        <is>
          <t>SINAPI</t>
        </is>
      </c>
      <c r="D3401" s="22" t="inlineStr">
        <is>
          <t>H</t>
        </is>
      </c>
      <c r="E3401" s="63">
        <f>L3401*FATOR</f>
        <v/>
      </c>
      <c r="F3401" s="64">
        <f>'COMPOSICOES AUXILIARES'!G161</f>
        <v/>
      </c>
      <c r="G3401" s="64">
        <f>TRUNC(TRUNC(E3401,8)*F3401,2)</f>
        <v/>
      </c>
      <c r="L3401" t="n">
        <v>0.0862</v>
      </c>
      <c r="M3401" t="n">
        <v>23.56</v>
      </c>
      <c r="N3401">
        <f>(M3401-F3401)</f>
        <v/>
      </c>
    </row>
    <row r="3402" ht="18" customHeight="1">
      <c r="A3402" s="2" t="inlineStr"/>
      <c r="B3402" s="2" t="inlineStr"/>
      <c r="C3402" s="2" t="inlineStr"/>
      <c r="D3402" s="2" t="inlineStr"/>
      <c r="E3402" s="26" t="inlineStr">
        <is>
          <t>TOTAL Mão de Obra com Encargos Complementares:</t>
        </is>
      </c>
      <c r="F3402" s="56" t="n"/>
      <c r="G3402" s="65">
        <f>SUM(G3400:G3401)</f>
        <v/>
      </c>
    </row>
    <row r="3403" ht="15" customHeight="1">
      <c r="A3403" s="2" t="inlineStr"/>
      <c r="B3403" s="2" t="inlineStr"/>
      <c r="C3403" s="2" t="inlineStr"/>
      <c r="D3403" s="2" t="inlineStr"/>
      <c r="E3403" s="28" t="inlineStr">
        <is>
          <t>VALOR:</t>
        </is>
      </c>
      <c r="F3403" s="56" t="n"/>
      <c r="G3403" s="66">
        <f>SUM(G3402,G3398)</f>
        <v/>
      </c>
    </row>
    <row r="3404" ht="15" customHeight="1">
      <c r="A3404" s="2" t="inlineStr"/>
      <c r="B3404" s="2" t="inlineStr"/>
      <c r="C3404" s="2" t="inlineStr"/>
      <c r="D3404" s="2" t="inlineStr"/>
      <c r="E3404" s="28" t="inlineStr">
        <is>
          <t>VALOR BDI (23.08%):</t>
        </is>
      </c>
      <c r="F3404" s="56" t="n"/>
      <c r="G3404" s="66">
        <f>ROUNDDOWN(G3403*BDI,2)</f>
        <v/>
      </c>
    </row>
    <row r="3405" ht="15" customHeight="1">
      <c r="A3405" s="2" t="inlineStr"/>
      <c r="B3405" s="2" t="inlineStr"/>
      <c r="C3405" s="2" t="inlineStr"/>
      <c r="D3405" s="2" t="inlineStr"/>
      <c r="E3405" s="28" t="inlineStr">
        <is>
          <t>VALOR COM BDI:</t>
        </is>
      </c>
      <c r="F3405" s="56" t="n"/>
      <c r="G3405" s="66">
        <f>G3404 + G3403</f>
        <v/>
      </c>
    </row>
    <row r="3406" ht="10" customHeight="1">
      <c r="A3406" s="2" t="inlineStr"/>
      <c r="B3406" s="2" t="inlineStr"/>
      <c r="C3406" s="2" t="inlineStr"/>
      <c r="D3406" s="2" t="inlineStr"/>
      <c r="E3406" s="18" t="inlineStr"/>
    </row>
    <row r="3407" ht="20" customHeight="1">
      <c r="A3407" s="19" t="inlineStr">
        <is>
          <t>​88317​ SOLDADOR COM ENCARGOS COMPLEMENTARES​ (H)</t>
        </is>
      </c>
      <c r="B3407" s="55" t="n"/>
      <c r="C3407" s="55" t="n"/>
      <c r="D3407" s="55" t="n"/>
      <c r="E3407" s="55" t="n"/>
      <c r="F3407" s="55" t="n"/>
      <c r="G3407" s="56" t="n"/>
    </row>
    <row r="3408" ht="15" customHeight="1">
      <c r="A3408" s="20" t="inlineStr">
        <is>
          <t>Encargos Complementares</t>
        </is>
      </c>
      <c r="B3408" s="56" t="n"/>
      <c r="C3408" s="21" t="inlineStr">
        <is>
          <t>FONTE</t>
        </is>
      </c>
      <c r="D3408" s="21" t="inlineStr">
        <is>
          <t>UNID</t>
        </is>
      </c>
      <c r="E3408" s="21" t="inlineStr">
        <is>
          <t>COEFICIENTE</t>
        </is>
      </c>
      <c r="F3408" s="21" t="inlineStr">
        <is>
          <t>PREÇO UNITÁRIO</t>
        </is>
      </c>
      <c r="G3408" s="21" t="inlineStr">
        <is>
          <t>TOTAL</t>
        </is>
      </c>
    </row>
    <row r="3409" ht="21" customHeight="1">
      <c r="A3409" s="22" t="inlineStr">
        <is>
          <t>00037370</t>
        </is>
      </c>
      <c r="B3409" s="23" t="inlineStr">
        <is>
          <t>ALIMENTACAO - HORISTA (COLETADO CAIXA - ENCARGOS COMPLEMENTARES)</t>
        </is>
      </c>
      <c r="C3409" s="22" t="inlineStr">
        <is>
          <t>SINAPI</t>
        </is>
      </c>
      <c r="D3409" s="22" t="inlineStr">
        <is>
          <t>H</t>
        </is>
      </c>
      <c r="E3409" s="63" t="n">
        <v>1</v>
      </c>
      <c r="F3409" s="64" t="n">
        <v>3.62</v>
      </c>
      <c r="G3409" s="64">
        <f>TRUNC(TRUNC(E3409,8)*F3409,2)</f>
        <v/>
      </c>
      <c r="L3409" t="n">
        <v>1</v>
      </c>
      <c r="M3409" t="n">
        <v>3.62</v>
      </c>
      <c r="N3409">
        <f>(M3409-F3409)</f>
        <v/>
      </c>
    </row>
    <row r="3410" ht="21" customHeight="1">
      <c r="A3410" s="22" t="inlineStr">
        <is>
          <t>00043492</t>
        </is>
      </c>
      <c r="B3410" s="23" t="inlineStr">
        <is>
          <t>EPI - FAMILIA SOLDADOR - HORISTA (ENCARGOS COMPLEMENTARES - COLETADO CAIXA)</t>
        </is>
      </c>
      <c r="C3410" s="22" t="inlineStr">
        <is>
          <t>SINAPI</t>
        </is>
      </c>
      <c r="D3410" s="22" t="inlineStr">
        <is>
          <t>H</t>
        </is>
      </c>
      <c r="E3410" s="63" t="n">
        <v>1</v>
      </c>
      <c r="F3410" s="64" t="n">
        <v>1.82</v>
      </c>
      <c r="G3410" s="64">
        <f>TRUNC(TRUNC(E3410,8)*F3410,2)</f>
        <v/>
      </c>
      <c r="L3410" t="n">
        <v>1</v>
      </c>
      <c r="M3410" t="n">
        <v>1.82</v>
      </c>
      <c r="N3410">
        <f>(M3410-F3410)</f>
        <v/>
      </c>
    </row>
    <row r="3411" ht="21" customHeight="1">
      <c r="A3411" s="22" t="inlineStr">
        <is>
          <t>00037372</t>
        </is>
      </c>
      <c r="B3411" s="23" t="inlineStr">
        <is>
          <t>EXAMES - HORISTA (COLETADO CAIXA - ENCARGOS COMPLEMENTARES)</t>
        </is>
      </c>
      <c r="C3411" s="22" t="inlineStr">
        <is>
          <t>SINAPI</t>
        </is>
      </c>
      <c r="D3411" s="22" t="inlineStr">
        <is>
          <t>H</t>
        </is>
      </c>
      <c r="E3411" s="63" t="n">
        <v>1</v>
      </c>
      <c r="F3411" s="64" t="n">
        <v>1.43</v>
      </c>
      <c r="G3411" s="64">
        <f>TRUNC(TRUNC(E3411,8)*F3411,2)</f>
        <v/>
      </c>
      <c r="L3411" t="n">
        <v>1</v>
      </c>
      <c r="M3411" t="n">
        <v>1.43</v>
      </c>
      <c r="N3411">
        <f>(M3411-F3411)</f>
        <v/>
      </c>
    </row>
    <row r="3412" ht="21" customHeight="1">
      <c r="A3412" s="22" t="inlineStr">
        <is>
          <t>00043468</t>
        </is>
      </c>
      <c r="B3412" s="23" t="inlineStr">
        <is>
          <t>FERRAMENTAS - FAMILIA SOLDADOR - HORISTA (ENCARGOS COMPLEMENTARES - COLETADO CAIXA)</t>
        </is>
      </c>
      <c r="C3412" s="22" t="inlineStr">
        <is>
          <t>SINAPI</t>
        </is>
      </c>
      <c r="D3412" s="22" t="inlineStr">
        <is>
          <t>H</t>
        </is>
      </c>
      <c r="E3412" s="63" t="n">
        <v>1</v>
      </c>
      <c r="F3412" s="64" t="n">
        <v>1.21</v>
      </c>
      <c r="G3412" s="64">
        <f>TRUNC(TRUNC(E3412,8)*F3412,2)</f>
        <v/>
      </c>
      <c r="L3412" t="n">
        <v>1</v>
      </c>
      <c r="M3412" t="n">
        <v>1.21</v>
      </c>
      <c r="N3412">
        <f>(M3412-F3412)</f>
        <v/>
      </c>
    </row>
    <row r="3413" ht="21" customHeight="1">
      <c r="A3413" s="22" t="inlineStr">
        <is>
          <t>00037373</t>
        </is>
      </c>
      <c r="B3413" s="23" t="inlineStr">
        <is>
          <t>SEGURO - HORISTA (COLETADO CAIXA - ENCARGOS COMPLEMENTARES)</t>
        </is>
      </c>
      <c r="C3413" s="22" t="inlineStr">
        <is>
          <t>SINAPI</t>
        </is>
      </c>
      <c r="D3413" s="22" t="inlineStr">
        <is>
          <t>H</t>
        </is>
      </c>
      <c r="E3413" s="63" t="n">
        <v>1</v>
      </c>
      <c r="F3413" s="64" t="n">
        <v>0.08</v>
      </c>
      <c r="G3413" s="64">
        <f>TRUNC(TRUNC(E3413,8)*F3413,2)</f>
        <v/>
      </c>
      <c r="L3413" t="n">
        <v>1</v>
      </c>
      <c r="M3413" t="n">
        <v>0.08</v>
      </c>
      <c r="N3413">
        <f>(M3413-F3413)</f>
        <v/>
      </c>
    </row>
    <row r="3414" ht="21" customHeight="1">
      <c r="A3414" s="22" t="inlineStr">
        <is>
          <t>00037371</t>
        </is>
      </c>
      <c r="B3414" s="23" t="inlineStr">
        <is>
          <t>TRANSPORTE - HORISTA (COLETADO CAIXA - ENCARGOS COMPLEMENTARES)</t>
        </is>
      </c>
      <c r="C3414" s="22" t="inlineStr">
        <is>
          <t>SINAPI</t>
        </is>
      </c>
      <c r="D3414" s="22" t="inlineStr">
        <is>
          <t>H</t>
        </is>
      </c>
      <c r="E3414" s="63" t="n">
        <v>1</v>
      </c>
      <c r="F3414" s="64" t="n">
        <v>1.09</v>
      </c>
      <c r="G3414" s="64">
        <f>TRUNC(TRUNC(E3414,8)*F3414,2)</f>
        <v/>
      </c>
      <c r="L3414" t="n">
        <v>1</v>
      </c>
      <c r="M3414" t="n">
        <v>1.09</v>
      </c>
      <c r="N3414">
        <f>(M3414-F3414)</f>
        <v/>
      </c>
    </row>
    <row r="3415" ht="15" customHeight="1">
      <c r="A3415" s="2" t="inlineStr"/>
      <c r="B3415" s="2" t="inlineStr"/>
      <c r="C3415" s="2" t="inlineStr"/>
      <c r="D3415" s="2" t="inlineStr"/>
      <c r="E3415" s="26" t="inlineStr">
        <is>
          <t>TOTAL Encargos Complementares:</t>
        </is>
      </c>
      <c r="F3415" s="56" t="n"/>
      <c r="G3415" s="65">
        <f>SUM(G3409:G3414)</f>
        <v/>
      </c>
    </row>
    <row r="3416" ht="15" customHeight="1">
      <c r="A3416" s="20" t="inlineStr">
        <is>
          <t>Mão de Obra</t>
        </is>
      </c>
      <c r="B3416" s="56" t="n"/>
      <c r="C3416" s="21" t="inlineStr">
        <is>
          <t>FONTE</t>
        </is>
      </c>
      <c r="D3416" s="21" t="inlineStr">
        <is>
          <t>UNID</t>
        </is>
      </c>
      <c r="E3416" s="21" t="inlineStr">
        <is>
          <t>COEFICIENTE</t>
        </is>
      </c>
      <c r="F3416" s="21" t="inlineStr">
        <is>
          <t>PREÇO UNITÁRIO</t>
        </is>
      </c>
      <c r="G3416" s="21" t="inlineStr">
        <is>
          <t>TOTAL</t>
        </is>
      </c>
    </row>
    <row r="3417" ht="15" customHeight="1">
      <c r="A3417" s="22" t="inlineStr">
        <is>
          <t>00006160</t>
        </is>
      </c>
      <c r="B3417" s="23" t="inlineStr">
        <is>
          <t>SOLDADOR (HORISTA)</t>
        </is>
      </c>
      <c r="C3417" s="22" t="inlineStr">
        <is>
          <t>SINAPI</t>
        </is>
      </c>
      <c r="D3417" s="22" t="inlineStr">
        <is>
          <t>H</t>
        </is>
      </c>
      <c r="E3417" s="63">
        <f>L3417*FATOR</f>
        <v/>
      </c>
      <c r="F3417" s="64" t="n">
        <v>21.81</v>
      </c>
      <c r="G3417" s="64">
        <f>TRUNC(TRUNC(E3417,8)*F3417,2)</f>
        <v/>
      </c>
      <c r="L3417" t="n">
        <v>1</v>
      </c>
      <c r="M3417" t="n">
        <v>21.81</v>
      </c>
      <c r="N3417">
        <f>(M3417-F3417)</f>
        <v/>
      </c>
    </row>
    <row r="3418" ht="15" customHeight="1">
      <c r="A3418" s="2" t="inlineStr"/>
      <c r="B3418" s="2" t="inlineStr"/>
      <c r="C3418" s="2" t="inlineStr"/>
      <c r="D3418" s="2" t="inlineStr"/>
      <c r="E3418" s="26" t="inlineStr">
        <is>
          <t>TOTAL Mão de Obra:</t>
        </is>
      </c>
      <c r="F3418" s="56" t="n"/>
      <c r="G3418" s="65">
        <f>SUM(G3417:G3417)</f>
        <v/>
      </c>
    </row>
    <row r="3419" ht="15" customHeight="1">
      <c r="A3419" s="20" t="inlineStr">
        <is>
          <t>Serviço</t>
        </is>
      </c>
      <c r="B3419" s="56" t="n"/>
      <c r="C3419" s="21" t="inlineStr">
        <is>
          <t>FONTE</t>
        </is>
      </c>
      <c r="D3419" s="21" t="inlineStr">
        <is>
          <t>UNID</t>
        </is>
      </c>
      <c r="E3419" s="21" t="inlineStr">
        <is>
          <t>COEFICIENTE</t>
        </is>
      </c>
      <c r="F3419" s="21" t="inlineStr">
        <is>
          <t>PREÇO UNITÁRIO</t>
        </is>
      </c>
      <c r="G3419" s="21" t="inlineStr">
        <is>
          <t>TOTAL</t>
        </is>
      </c>
    </row>
    <row r="3420" ht="21" customHeight="1">
      <c r="A3420" s="22" t="inlineStr">
        <is>
          <t>95379</t>
        </is>
      </c>
      <c r="B3420" s="23" t="inlineStr">
        <is>
          <t>CURSO DE CAPACITAÇÃO PARA SOLDADOR (ENCARGOS COMPLEMENTARES) - HORISTA</t>
        </is>
      </c>
      <c r="C3420" s="22" t="inlineStr">
        <is>
          <t>SINAPI</t>
        </is>
      </c>
      <c r="D3420" s="22" t="inlineStr">
        <is>
          <t>H</t>
        </is>
      </c>
      <c r="E3420" s="63" t="n">
        <v>1</v>
      </c>
      <c r="F3420" s="64">
        <f>'COMPOSICOES AUXILIARES'!G1779</f>
        <v/>
      </c>
      <c r="G3420" s="64">
        <f>TRUNC(TRUNC(E3420,8)*F3420,2)</f>
        <v/>
      </c>
      <c r="L3420" t="n">
        <v>1</v>
      </c>
      <c r="M3420" t="n">
        <v>0.25</v>
      </c>
      <c r="N3420">
        <f>(M3420-F3420)</f>
        <v/>
      </c>
    </row>
    <row r="3421" ht="15" customHeight="1">
      <c r="A3421" s="2" t="inlineStr"/>
      <c r="B3421" s="2" t="inlineStr"/>
      <c r="C3421" s="2" t="inlineStr"/>
      <c r="D3421" s="2" t="inlineStr"/>
      <c r="E3421" s="26" t="inlineStr">
        <is>
          <t>TOTAL Serviço:</t>
        </is>
      </c>
      <c r="F3421" s="56" t="n"/>
      <c r="G3421" s="65">
        <f>SUM(G3420:G3420)</f>
        <v/>
      </c>
    </row>
    <row r="3422" ht="15" customHeight="1">
      <c r="A3422" s="2" t="inlineStr"/>
      <c r="B3422" s="2" t="inlineStr"/>
      <c r="C3422" s="2" t="inlineStr"/>
      <c r="D3422" s="2" t="inlineStr"/>
      <c r="E3422" s="28" t="inlineStr">
        <is>
          <t>VALOR:</t>
        </is>
      </c>
      <c r="F3422" s="56" t="n"/>
      <c r="G3422" s="66">
        <f>SUM(G3418,G3421,G3415)</f>
        <v/>
      </c>
    </row>
    <row r="3423" ht="15" customHeight="1">
      <c r="A3423" s="2" t="inlineStr"/>
      <c r="B3423" s="2" t="inlineStr"/>
      <c r="C3423" s="2" t="inlineStr"/>
      <c r="D3423" s="2" t="inlineStr"/>
      <c r="E3423" s="28" t="inlineStr">
        <is>
          <t>VALOR BDI (23.08%):</t>
        </is>
      </c>
      <c r="F3423" s="56" t="n"/>
      <c r="G3423" s="66">
        <f>ROUNDDOWN(G3422*BDI,2)</f>
        <v/>
      </c>
    </row>
    <row r="3424" ht="15" customHeight="1">
      <c r="A3424" s="2" t="inlineStr"/>
      <c r="B3424" s="2" t="inlineStr"/>
      <c r="C3424" s="2" t="inlineStr"/>
      <c r="D3424" s="2" t="inlineStr"/>
      <c r="E3424" s="28" t="inlineStr">
        <is>
          <t>VALOR COM BDI:</t>
        </is>
      </c>
      <c r="F3424" s="56" t="n"/>
      <c r="G3424" s="66">
        <f>G3423 + G3422</f>
        <v/>
      </c>
    </row>
    <row r="3425" ht="10" customHeight="1">
      <c r="A3425" s="2" t="inlineStr"/>
      <c r="B3425" s="2" t="inlineStr"/>
      <c r="C3425" s="2" t="inlineStr"/>
      <c r="D3425" s="2" t="inlineStr"/>
      <c r="E3425" s="18" t="inlineStr"/>
    </row>
    <row r="3426" ht="20" customHeight="1">
      <c r="A3426" s="19" t="inlineStr">
        <is>
          <t>​91946​ SUPORTE PARAFUSADO COM PLACA DE ENCAIXE 4" X 2" MÉDIO (1,30 M DO PISO) PARA PONTO ELÉTRICO - FORNECIMENTO E INSTALAÇÃO. AF_03/2023​ (UN)</t>
        </is>
      </c>
      <c r="B3426" s="55" t="n"/>
      <c r="C3426" s="55" t="n"/>
      <c r="D3426" s="55" t="n"/>
      <c r="E3426" s="55" t="n"/>
      <c r="F3426" s="55" t="n"/>
      <c r="G3426" s="56" t="n"/>
    </row>
    <row r="3427" ht="15" customHeight="1">
      <c r="A3427" s="20" t="inlineStr">
        <is>
          <t>Material</t>
        </is>
      </c>
      <c r="B3427" s="56" t="n"/>
      <c r="C3427" s="21" t="inlineStr">
        <is>
          <t>FONTE</t>
        </is>
      </c>
      <c r="D3427" s="21" t="inlineStr">
        <is>
          <t>UNID</t>
        </is>
      </c>
      <c r="E3427" s="21" t="inlineStr">
        <is>
          <t>COEFICIENTE</t>
        </is>
      </c>
      <c r="F3427" s="21" t="inlineStr">
        <is>
          <t>PREÇO UNITÁRIO</t>
        </is>
      </c>
      <c r="G3427" s="21" t="inlineStr">
        <is>
          <t>TOTAL</t>
        </is>
      </c>
    </row>
    <row r="3428" ht="21" customHeight="1">
      <c r="A3428" s="22" t="inlineStr">
        <is>
          <t>00038094</t>
        </is>
      </c>
      <c r="B3428" s="23" t="inlineStr">
        <is>
          <t>ESPELHO / PLACA DE 3 POSTOS 4" X 2", PARA INSTALACAO DE TOMADAS E INTERRUPTORES</t>
        </is>
      </c>
      <c r="C3428" s="22" t="inlineStr">
        <is>
          <t>SINAPI</t>
        </is>
      </c>
      <c r="D3428" s="22" t="inlineStr">
        <is>
          <t>UN</t>
        </is>
      </c>
      <c r="E3428" s="63" t="n">
        <v>1</v>
      </c>
      <c r="F3428" s="64">
        <f>ROUND(M3428*FATOR, 2)</f>
        <v/>
      </c>
      <c r="G3428" s="64">
        <f>TRUNC(TRUNC(E3428,8)*F3428,2)</f>
        <v/>
      </c>
      <c r="L3428" t="n">
        <v>1</v>
      </c>
      <c r="M3428" t="n">
        <v>2.88</v>
      </c>
      <c r="N3428">
        <f>(M3428-F3428)</f>
        <v/>
      </c>
    </row>
    <row r="3429" ht="29" customHeight="1">
      <c r="A3429" s="22" t="inlineStr">
        <is>
          <t>00038099</t>
        </is>
      </c>
      <c r="B3429" s="23" t="inlineStr">
        <is>
          <t>SUPORTE DE FIXACAO PARA ESPELHO / PLACA 4" X 2", PARA 3 MODULOS, PARA INSTALACAO DE TOMADAS E INTERRUPTORES (SOMENTE SUPORTE)</t>
        </is>
      </c>
      <c r="C3429" s="22" t="inlineStr">
        <is>
          <t>SINAPI</t>
        </is>
      </c>
      <c r="D3429" s="22" t="inlineStr">
        <is>
          <t>UN</t>
        </is>
      </c>
      <c r="E3429" s="63" t="n">
        <v>1</v>
      </c>
      <c r="F3429" s="64">
        <f>ROUND(M3429*FATOR, 2)</f>
        <v/>
      </c>
      <c r="G3429" s="64">
        <f>TRUNC(TRUNC(E3429,8)*F3429,2)</f>
        <v/>
      </c>
      <c r="L3429" t="n">
        <v>1</v>
      </c>
      <c r="M3429" t="n">
        <v>1.49</v>
      </c>
      <c r="N3429">
        <f>(M3429-F3429)</f>
        <v/>
      </c>
    </row>
    <row r="3430" ht="15" customHeight="1">
      <c r="A3430" s="2" t="inlineStr"/>
      <c r="B3430" s="2" t="inlineStr"/>
      <c r="C3430" s="2" t="inlineStr"/>
      <c r="D3430" s="2" t="inlineStr"/>
      <c r="E3430" s="26" t="inlineStr">
        <is>
          <t>TOTAL Material:</t>
        </is>
      </c>
      <c r="F3430" s="56" t="n"/>
      <c r="G3430" s="65">
        <f>SUM(G3428:G3429)</f>
        <v/>
      </c>
    </row>
    <row r="3431" ht="15" customHeight="1">
      <c r="A3431" s="20" t="inlineStr">
        <is>
          <t>Mão de Obra com Encargos Complementares</t>
        </is>
      </c>
      <c r="B3431" s="56" t="n"/>
      <c r="C3431" s="21" t="inlineStr">
        <is>
          <t>FONTE</t>
        </is>
      </c>
      <c r="D3431" s="21" t="inlineStr">
        <is>
          <t>UNID</t>
        </is>
      </c>
      <c r="E3431" s="21" t="inlineStr">
        <is>
          <t>COEFICIENTE</t>
        </is>
      </c>
      <c r="F3431" s="21" t="inlineStr">
        <is>
          <t>PREÇO UNITÁRIO</t>
        </is>
      </c>
      <c r="G3431" s="21" t="inlineStr">
        <is>
          <t>TOTAL</t>
        </is>
      </c>
    </row>
    <row r="3432" ht="21" customHeight="1">
      <c r="A3432" s="22" t="inlineStr">
        <is>
          <t>88247</t>
        </is>
      </c>
      <c r="B3432" s="23" t="inlineStr">
        <is>
          <t>AUXILIAR DE ELETRICISTA COM ENCARGOS COMPLEMENTARES</t>
        </is>
      </c>
      <c r="C3432" s="22" t="inlineStr">
        <is>
          <t>SINAPI</t>
        </is>
      </c>
      <c r="D3432" s="22" t="inlineStr">
        <is>
          <t>H</t>
        </is>
      </c>
      <c r="E3432" s="63">
        <f>L3432*FATOR</f>
        <v/>
      </c>
      <c r="F3432" s="64">
        <f>'COMPOSICOES AUXILIARES'!G505</f>
        <v/>
      </c>
      <c r="G3432" s="64">
        <f>TRUNC(TRUNC(E3432,8)*F3432,2)</f>
        <v/>
      </c>
      <c r="L3432" t="n">
        <v>0.128</v>
      </c>
      <c r="M3432" t="n">
        <v>25.22</v>
      </c>
      <c r="N3432">
        <f>(M3432-F3432)</f>
        <v/>
      </c>
    </row>
    <row r="3433" ht="15" customHeight="1">
      <c r="A3433" s="22" t="inlineStr">
        <is>
          <t>88264</t>
        </is>
      </c>
      <c r="B3433" s="23" t="inlineStr">
        <is>
          <t>ELETRICISTA COM ENCARGOS COMPLEMENTARES</t>
        </is>
      </c>
      <c r="C3433" s="22" t="inlineStr">
        <is>
          <t>SINAPI</t>
        </is>
      </c>
      <c r="D3433" s="22" t="inlineStr">
        <is>
          <t>H</t>
        </is>
      </c>
      <c r="E3433" s="63">
        <f>L3433*FATOR</f>
        <v/>
      </c>
      <c r="F3433" s="64">
        <f>'COMPOSICOES AUXILIARES'!G713</f>
        <v/>
      </c>
      <c r="G3433" s="64">
        <f>TRUNC(TRUNC(E3433,8)*F3433,2)</f>
        <v/>
      </c>
      <c r="L3433" t="n">
        <v>0.128</v>
      </c>
      <c r="M3433" t="n">
        <v>30.96</v>
      </c>
      <c r="N3433">
        <f>(M3433-F3433)</f>
        <v/>
      </c>
    </row>
    <row r="3434" ht="18" customHeight="1">
      <c r="A3434" s="2" t="inlineStr"/>
      <c r="B3434" s="2" t="inlineStr"/>
      <c r="C3434" s="2" t="inlineStr"/>
      <c r="D3434" s="2" t="inlineStr"/>
      <c r="E3434" s="26" t="inlineStr">
        <is>
          <t>TOTAL Mão de Obra com Encargos Complementares:</t>
        </is>
      </c>
      <c r="F3434" s="56" t="n"/>
      <c r="G3434" s="65">
        <f>SUM(G3432:G3433)</f>
        <v/>
      </c>
    </row>
    <row r="3435" ht="15" customHeight="1">
      <c r="A3435" s="2" t="inlineStr"/>
      <c r="B3435" s="2" t="inlineStr"/>
      <c r="C3435" s="2" t="inlineStr"/>
      <c r="D3435" s="2" t="inlineStr"/>
      <c r="E3435" s="28" t="inlineStr">
        <is>
          <t>VALOR:</t>
        </is>
      </c>
      <c r="F3435" s="56" t="n"/>
      <c r="G3435" s="66">
        <f>SUM(G3434,G3430)</f>
        <v/>
      </c>
    </row>
    <row r="3436" ht="15" customHeight="1">
      <c r="A3436" s="2" t="inlineStr"/>
      <c r="B3436" s="2" t="inlineStr"/>
      <c r="C3436" s="2" t="inlineStr"/>
      <c r="D3436" s="2" t="inlineStr"/>
      <c r="E3436" s="28" t="inlineStr">
        <is>
          <t>VALOR BDI (23.08%):</t>
        </is>
      </c>
      <c r="F3436" s="56" t="n"/>
      <c r="G3436" s="66">
        <f>ROUNDDOWN(G3435*BDI,2)</f>
        <v/>
      </c>
    </row>
    <row r="3437" ht="15" customHeight="1">
      <c r="A3437" s="2" t="inlineStr"/>
      <c r="B3437" s="2" t="inlineStr"/>
      <c r="C3437" s="2" t="inlineStr"/>
      <c r="D3437" s="2" t="inlineStr"/>
      <c r="E3437" s="28" t="inlineStr">
        <is>
          <t>VALOR COM BDI:</t>
        </is>
      </c>
      <c r="F3437" s="56" t="n"/>
      <c r="G3437" s="66">
        <f>G3436 + G3435</f>
        <v/>
      </c>
    </row>
    <row r="3438" ht="10" customHeight="1">
      <c r="A3438" s="2" t="inlineStr"/>
      <c r="B3438" s="2" t="inlineStr"/>
      <c r="C3438" s="2" t="inlineStr"/>
      <c r="D3438" s="2" t="inlineStr"/>
      <c r="E3438" s="18" t="inlineStr"/>
    </row>
    <row r="3439" ht="20" customHeight="1">
      <c r="A3439" s="19" t="inlineStr">
        <is>
          <t>​I0775​ TEODOLITO (CHP)​ (H)</t>
        </is>
      </c>
      <c r="B3439" s="55" t="n"/>
      <c r="C3439" s="55" t="n"/>
      <c r="D3439" s="55" t="n"/>
      <c r="E3439" s="55" t="n"/>
      <c r="F3439" s="55" t="n"/>
      <c r="G3439" s="56" t="n"/>
    </row>
    <row r="3440" ht="15" customHeight="1">
      <c r="A3440" s="20" t="inlineStr">
        <is>
          <t>Geral</t>
        </is>
      </c>
      <c r="B3440" s="56" t="n"/>
      <c r="C3440" s="21" t="inlineStr">
        <is>
          <t>FONTE</t>
        </is>
      </c>
      <c r="D3440" s="21" t="inlineStr">
        <is>
          <t>UNID</t>
        </is>
      </c>
      <c r="E3440" s="21" t="inlineStr">
        <is>
          <t>COEFICIENTE</t>
        </is>
      </c>
      <c r="F3440" s="21">
        <f>G677</f>
        <v/>
      </c>
      <c r="G3440" s="21" t="inlineStr">
        <is>
          <t>TOTAL</t>
        </is>
      </c>
    </row>
    <row r="3441" ht="15" customHeight="1">
      <c r="A3441" s="22" t="inlineStr">
        <is>
          <t>I2701</t>
        </is>
      </c>
      <c r="B3441" s="23" t="inlineStr">
        <is>
          <t>DEPRECIAÇÃO</t>
        </is>
      </c>
      <c r="C3441" s="22" t="inlineStr">
        <is>
          <t>SEINFRA</t>
        </is>
      </c>
      <c r="D3441" s="22" t="inlineStr">
        <is>
          <t>H</t>
        </is>
      </c>
      <c r="E3441" s="63" t="n">
        <v>1.1388</v>
      </c>
      <c r="F3441" s="67">
        <f>'COMPOSICOES AUXILIARES'!G677</f>
        <v/>
      </c>
      <c r="G3441" s="67">
        <f>ROUND(ROUND(E3441,8)*F3441,4)</f>
        <v/>
      </c>
      <c r="L3441" t="n">
        <v>1.1388</v>
      </c>
      <c r="M3441" t="n">
        <v>1</v>
      </c>
      <c r="N3441">
        <f>(M3441-F3441)</f>
        <v/>
      </c>
    </row>
    <row r="3442" ht="15" customHeight="1">
      <c r="A3442" s="22" t="inlineStr">
        <is>
          <t>I2702</t>
        </is>
      </c>
      <c r="B3442" s="23" t="inlineStr">
        <is>
          <t>JUROS</t>
        </is>
      </c>
      <c r="C3442" s="22" t="inlineStr">
        <is>
          <t>SEINFRA</t>
        </is>
      </c>
      <c r="D3442" s="22" t="inlineStr">
        <is>
          <t>H</t>
        </is>
      </c>
      <c r="E3442" s="63" t="n">
        <v>0.4697</v>
      </c>
      <c r="F3442" s="67">
        <f>'COMPOSICOES AUXILIARES'!G677</f>
        <v/>
      </c>
      <c r="G3442" s="67">
        <f>ROUND(ROUND(E3442,8)*F3442,4)</f>
        <v/>
      </c>
      <c r="L3442" t="n">
        <v>0.4697</v>
      </c>
      <c r="M3442" t="n">
        <v>1</v>
      </c>
      <c r="N3442">
        <f>(M3442-F3442)</f>
        <v/>
      </c>
    </row>
    <row r="3443" ht="15" customHeight="1">
      <c r="A3443" s="22" t="inlineStr">
        <is>
          <t>I2703</t>
        </is>
      </c>
      <c r="B3443" s="23" t="inlineStr">
        <is>
          <t>MANUTENÇÃO</t>
        </is>
      </c>
      <c r="C3443" s="22" t="inlineStr">
        <is>
          <t>SEINFRA</t>
        </is>
      </c>
      <c r="D3443" s="22" t="inlineStr">
        <is>
          <t>H</t>
        </is>
      </c>
      <c r="E3443" s="63" t="n">
        <v>0.7117</v>
      </c>
      <c r="F3443" s="67">
        <f>'COMPOSICOES AUXILIARES'!G677</f>
        <v/>
      </c>
      <c r="G3443" s="67">
        <f>ROUND(ROUND(E3443,8)*F3443,4)</f>
        <v/>
      </c>
      <c r="L3443" t="n">
        <v>0.7117</v>
      </c>
      <c r="M3443" t="n">
        <v>1</v>
      </c>
      <c r="N3443">
        <f>(M3443-F3443)</f>
        <v/>
      </c>
    </row>
    <row r="3444" ht="15" customHeight="1">
      <c r="A3444" s="2" t="inlineStr"/>
      <c r="B3444" s="2" t="inlineStr"/>
      <c r="C3444" s="2" t="inlineStr"/>
      <c r="D3444" s="2" t="inlineStr"/>
      <c r="E3444" s="26" t="inlineStr">
        <is>
          <t>TOTAL Geral:</t>
        </is>
      </c>
      <c r="F3444" s="56" t="n"/>
      <c r="G3444" s="68">
        <f>SUM(G3441:G3443)</f>
        <v/>
      </c>
    </row>
    <row r="3445" ht="15" customHeight="1">
      <c r="A3445" s="2" t="inlineStr"/>
      <c r="B3445" s="2" t="inlineStr"/>
      <c r="C3445" s="2" t="inlineStr"/>
      <c r="D3445" s="2" t="inlineStr"/>
      <c r="E3445" s="28" t="inlineStr">
        <is>
          <t>VALOR:</t>
        </is>
      </c>
      <c r="F3445" s="56" t="n"/>
      <c r="G3445" s="66">
        <f>SUM(G3444)</f>
        <v/>
      </c>
    </row>
    <row r="3446" ht="15" customHeight="1">
      <c r="A3446" s="2" t="inlineStr"/>
      <c r="B3446" s="2" t="inlineStr"/>
      <c r="C3446" s="2" t="inlineStr"/>
      <c r="D3446" s="2" t="inlineStr"/>
      <c r="E3446" s="28" t="inlineStr">
        <is>
          <t>VALOR BDI (23.08%):</t>
        </is>
      </c>
      <c r="F3446" s="56" t="n"/>
      <c r="G3446" s="66">
        <f>ROUNDDOWN(G3445*BDI,2)</f>
        <v/>
      </c>
    </row>
    <row r="3447" ht="15" customHeight="1">
      <c r="A3447" s="2" t="inlineStr"/>
      <c r="B3447" s="2" t="inlineStr"/>
      <c r="C3447" s="2" t="inlineStr"/>
      <c r="D3447" s="2" t="inlineStr"/>
      <c r="E3447" s="28" t="inlineStr">
        <is>
          <t>VALOR COM BDI:</t>
        </is>
      </c>
      <c r="F3447" s="56" t="n"/>
      <c r="G3447" s="66">
        <f>G3446 + G3445</f>
        <v/>
      </c>
    </row>
    <row r="3448" ht="10" customHeight="1">
      <c r="A3448" s="2" t="inlineStr"/>
      <c r="B3448" s="2" t="inlineStr"/>
      <c r="C3448" s="2" t="inlineStr"/>
      <c r="D3448" s="2" t="inlineStr"/>
      <c r="E3448" s="18" t="inlineStr"/>
    </row>
    <row r="3449" ht="20" customHeight="1">
      <c r="A3449" s="19" t="inlineStr">
        <is>
          <t>​91990​ TOMADA ALTA DE EMBUTIR (1 MÓDULO), 2P+T 10 A, SEM SUPORTE E SEM PLACA - FORNECIMENTO E INSTALAÇÃO. AF_03/2023​ (UN)</t>
        </is>
      </c>
      <c r="B3449" s="55" t="n"/>
      <c r="C3449" s="55" t="n"/>
      <c r="D3449" s="55" t="n"/>
      <c r="E3449" s="55" t="n"/>
      <c r="F3449" s="55" t="n"/>
      <c r="G3449" s="56" t="n"/>
    </row>
    <row r="3450" ht="15" customHeight="1">
      <c r="A3450" s="20" t="inlineStr">
        <is>
          <t>Material</t>
        </is>
      </c>
      <c r="B3450" s="56" t="n"/>
      <c r="C3450" s="21" t="inlineStr">
        <is>
          <t>FONTE</t>
        </is>
      </c>
      <c r="D3450" s="21" t="inlineStr">
        <is>
          <t>UNID</t>
        </is>
      </c>
      <c r="E3450" s="21" t="inlineStr">
        <is>
          <t>COEFICIENTE</t>
        </is>
      </c>
      <c r="F3450" s="21" t="inlineStr">
        <is>
          <t>PREÇO UNITÁRIO</t>
        </is>
      </c>
      <c r="G3450" s="21" t="inlineStr">
        <is>
          <t>TOTAL</t>
        </is>
      </c>
    </row>
    <row r="3451" ht="15" customHeight="1">
      <c r="A3451" s="22" t="inlineStr">
        <is>
          <t>00038101</t>
        </is>
      </c>
      <c r="B3451" s="23" t="inlineStr">
        <is>
          <t>TOMADA 2P+T 10A, 250V (APENAS MODULO)</t>
        </is>
      </c>
      <c r="C3451" s="22" t="inlineStr">
        <is>
          <t>SINAPI</t>
        </is>
      </c>
      <c r="D3451" s="22" t="inlineStr">
        <is>
          <t>UN</t>
        </is>
      </c>
      <c r="E3451" s="63" t="n">
        <v>1</v>
      </c>
      <c r="F3451" s="64">
        <f>ROUND(M3451*FATOR, 2)</f>
        <v/>
      </c>
      <c r="G3451" s="64">
        <f>TRUNC(TRUNC(E3451,8)*F3451,2)</f>
        <v/>
      </c>
      <c r="L3451" t="n">
        <v>1</v>
      </c>
      <c r="M3451" t="n">
        <v>7.74</v>
      </c>
      <c r="N3451">
        <f>(M3451-F3451)</f>
        <v/>
      </c>
    </row>
    <row r="3452" ht="15" customHeight="1">
      <c r="A3452" s="2" t="inlineStr"/>
      <c r="B3452" s="2" t="inlineStr"/>
      <c r="C3452" s="2" t="inlineStr"/>
      <c r="D3452" s="2" t="inlineStr"/>
      <c r="E3452" s="26" t="inlineStr">
        <is>
          <t>TOTAL Material:</t>
        </is>
      </c>
      <c r="F3452" s="56" t="n"/>
      <c r="G3452" s="65">
        <f>SUM(G3451:G3451)</f>
        <v/>
      </c>
    </row>
    <row r="3453" ht="15" customHeight="1">
      <c r="A3453" s="20" t="inlineStr">
        <is>
          <t>Mão de Obra com Encargos Complementares</t>
        </is>
      </c>
      <c r="B3453" s="56" t="n"/>
      <c r="C3453" s="21" t="inlineStr">
        <is>
          <t>FONTE</t>
        </is>
      </c>
      <c r="D3453" s="21" t="inlineStr">
        <is>
          <t>UNID</t>
        </is>
      </c>
      <c r="E3453" s="21" t="inlineStr">
        <is>
          <t>COEFICIENTE</t>
        </is>
      </c>
      <c r="F3453" s="21" t="inlineStr">
        <is>
          <t>PREÇO UNITÁRIO</t>
        </is>
      </c>
      <c r="G3453" s="21" t="inlineStr">
        <is>
          <t>TOTAL</t>
        </is>
      </c>
    </row>
    <row r="3454" ht="21" customHeight="1">
      <c r="A3454" s="22" t="inlineStr">
        <is>
          <t>88247</t>
        </is>
      </c>
      <c r="B3454" s="23" t="inlineStr">
        <is>
          <t>AUXILIAR DE ELETRICISTA COM ENCARGOS COMPLEMENTARES</t>
        </is>
      </c>
      <c r="C3454" s="22" t="inlineStr">
        <is>
          <t>SINAPI</t>
        </is>
      </c>
      <c r="D3454" s="22" t="inlineStr">
        <is>
          <t>H</t>
        </is>
      </c>
      <c r="E3454" s="63">
        <f>L3454*FATOR</f>
        <v/>
      </c>
      <c r="F3454" s="64">
        <f>'COMPOSICOES AUXILIARES'!G505</f>
        <v/>
      </c>
      <c r="G3454" s="64">
        <f>TRUNC(TRUNC(E3454,8)*F3454,2)</f>
        <v/>
      </c>
      <c r="L3454" t="n">
        <v>0.511</v>
      </c>
      <c r="M3454" t="n">
        <v>25.22</v>
      </c>
      <c r="N3454">
        <f>(M3454-F3454)</f>
        <v/>
      </c>
    </row>
    <row r="3455" ht="15" customHeight="1">
      <c r="A3455" s="22" t="inlineStr">
        <is>
          <t>88264</t>
        </is>
      </c>
      <c r="B3455" s="23" t="inlineStr">
        <is>
          <t>ELETRICISTA COM ENCARGOS COMPLEMENTARES</t>
        </is>
      </c>
      <c r="C3455" s="22" t="inlineStr">
        <is>
          <t>SINAPI</t>
        </is>
      </c>
      <c r="D3455" s="22" t="inlineStr">
        <is>
          <t>H</t>
        </is>
      </c>
      <c r="E3455" s="63">
        <f>L3455*FATOR</f>
        <v/>
      </c>
      <c r="F3455" s="64">
        <f>'COMPOSICOES AUXILIARES'!G713</f>
        <v/>
      </c>
      <c r="G3455" s="64">
        <f>TRUNC(TRUNC(E3455,8)*F3455,2)</f>
        <v/>
      </c>
      <c r="L3455" t="n">
        <v>0.511</v>
      </c>
      <c r="M3455" t="n">
        <v>30.96</v>
      </c>
      <c r="N3455">
        <f>(M3455-F3455)</f>
        <v/>
      </c>
    </row>
    <row r="3456" ht="18" customHeight="1">
      <c r="A3456" s="2" t="inlineStr"/>
      <c r="B3456" s="2" t="inlineStr"/>
      <c r="C3456" s="2" t="inlineStr"/>
      <c r="D3456" s="2" t="inlineStr"/>
      <c r="E3456" s="26" t="inlineStr">
        <is>
          <t>TOTAL Mão de Obra com Encargos Complementares:</t>
        </is>
      </c>
      <c r="F3456" s="56" t="n"/>
      <c r="G3456" s="65">
        <f>SUM(G3454:G3455)</f>
        <v/>
      </c>
    </row>
    <row r="3457" ht="15" customHeight="1">
      <c r="A3457" s="2" t="inlineStr"/>
      <c r="B3457" s="2" t="inlineStr"/>
      <c r="C3457" s="2" t="inlineStr"/>
      <c r="D3457" s="2" t="inlineStr"/>
      <c r="E3457" s="28" t="inlineStr">
        <is>
          <t>VALOR:</t>
        </is>
      </c>
      <c r="F3457" s="56" t="n"/>
      <c r="G3457" s="66">
        <f>SUM(G3456,G3452)</f>
        <v/>
      </c>
    </row>
    <row r="3458" ht="15" customHeight="1">
      <c r="A3458" s="2" t="inlineStr"/>
      <c r="B3458" s="2" t="inlineStr"/>
      <c r="C3458" s="2" t="inlineStr"/>
      <c r="D3458" s="2" t="inlineStr"/>
      <c r="E3458" s="28" t="inlineStr">
        <is>
          <t>VALOR BDI (23.08%):</t>
        </is>
      </c>
      <c r="F3458" s="56" t="n"/>
      <c r="G3458" s="66">
        <f>ROUNDDOWN(G3457*BDI,2)</f>
        <v/>
      </c>
    </row>
    <row r="3459" ht="15" customHeight="1">
      <c r="A3459" s="2" t="inlineStr"/>
      <c r="B3459" s="2" t="inlineStr"/>
      <c r="C3459" s="2" t="inlineStr"/>
      <c r="D3459" s="2" t="inlineStr"/>
      <c r="E3459" s="28" t="inlineStr">
        <is>
          <t>VALOR COM BDI:</t>
        </is>
      </c>
      <c r="F3459" s="56" t="n"/>
      <c r="G3459" s="66">
        <f>G3458 + G3457</f>
        <v/>
      </c>
    </row>
    <row r="3460" ht="10" customHeight="1">
      <c r="A3460" s="2" t="inlineStr"/>
      <c r="B3460" s="2" t="inlineStr"/>
      <c r="C3460" s="2" t="inlineStr"/>
      <c r="D3460" s="2" t="inlineStr"/>
      <c r="E3460" s="18" t="inlineStr"/>
    </row>
    <row r="3461" ht="20" customHeight="1">
      <c r="A3461" s="19" t="inlineStr">
        <is>
          <t>​91991​ TOMADA ALTA DE EMBUTIR (1 MÓDULO), 2P+T 20 A, SEM SUPORTE E SEM PLACA - FORNECIMENTO E INSTALAÇÃO. AF_03/2023​ (UN)</t>
        </is>
      </c>
      <c r="B3461" s="55" t="n"/>
      <c r="C3461" s="55" t="n"/>
      <c r="D3461" s="55" t="n"/>
      <c r="E3461" s="55" t="n"/>
      <c r="F3461" s="55" t="n"/>
      <c r="G3461" s="56" t="n"/>
    </row>
    <row r="3462" ht="15" customHeight="1">
      <c r="A3462" s="20" t="inlineStr">
        <is>
          <t>Material</t>
        </is>
      </c>
      <c r="B3462" s="56" t="n"/>
      <c r="C3462" s="21" t="inlineStr">
        <is>
          <t>FONTE</t>
        </is>
      </c>
      <c r="D3462" s="21" t="inlineStr">
        <is>
          <t>UNID</t>
        </is>
      </c>
      <c r="E3462" s="21" t="inlineStr">
        <is>
          <t>COEFICIENTE</t>
        </is>
      </c>
      <c r="F3462" s="21" t="inlineStr">
        <is>
          <t>PREÇO UNITÁRIO</t>
        </is>
      </c>
      <c r="G3462" s="21" t="inlineStr">
        <is>
          <t>TOTAL</t>
        </is>
      </c>
    </row>
    <row r="3463" ht="15" customHeight="1">
      <c r="A3463" s="22" t="inlineStr">
        <is>
          <t>00038102</t>
        </is>
      </c>
      <c r="B3463" s="23" t="inlineStr">
        <is>
          <t>TOMADA 2P+T 20A, 250V (APENAS MODULO)</t>
        </is>
      </c>
      <c r="C3463" s="22" t="inlineStr">
        <is>
          <t>SINAPI</t>
        </is>
      </c>
      <c r="D3463" s="22" t="inlineStr">
        <is>
          <t>UN</t>
        </is>
      </c>
      <c r="E3463" s="63" t="n">
        <v>1</v>
      </c>
      <c r="F3463" s="64">
        <f>ROUND(M3463*FATOR, 2)</f>
        <v/>
      </c>
      <c r="G3463" s="64">
        <f>TRUNC(TRUNC(E3463,8)*F3463,2)</f>
        <v/>
      </c>
      <c r="L3463" t="n">
        <v>1</v>
      </c>
      <c r="M3463" t="n">
        <v>9.91</v>
      </c>
      <c r="N3463">
        <f>(M3463-F3463)</f>
        <v/>
      </c>
    </row>
    <row r="3464" ht="15" customHeight="1">
      <c r="A3464" s="2" t="inlineStr"/>
      <c r="B3464" s="2" t="inlineStr"/>
      <c r="C3464" s="2" t="inlineStr"/>
      <c r="D3464" s="2" t="inlineStr"/>
      <c r="E3464" s="26" t="inlineStr">
        <is>
          <t>TOTAL Material:</t>
        </is>
      </c>
      <c r="F3464" s="56" t="n"/>
      <c r="G3464" s="65">
        <f>SUM(G3463:G3463)</f>
        <v/>
      </c>
    </row>
    <row r="3465" ht="15" customHeight="1">
      <c r="A3465" s="20" t="inlineStr">
        <is>
          <t>Mão de Obra com Encargos Complementares</t>
        </is>
      </c>
      <c r="B3465" s="56" t="n"/>
      <c r="C3465" s="21" t="inlineStr">
        <is>
          <t>FONTE</t>
        </is>
      </c>
      <c r="D3465" s="21" t="inlineStr">
        <is>
          <t>UNID</t>
        </is>
      </c>
      <c r="E3465" s="21" t="inlineStr">
        <is>
          <t>COEFICIENTE</t>
        </is>
      </c>
      <c r="F3465" s="21" t="inlineStr">
        <is>
          <t>PREÇO UNITÁRIO</t>
        </is>
      </c>
      <c r="G3465" s="21" t="inlineStr">
        <is>
          <t>TOTAL</t>
        </is>
      </c>
    </row>
    <row r="3466" ht="21" customHeight="1">
      <c r="A3466" s="22" t="inlineStr">
        <is>
          <t>88247</t>
        </is>
      </c>
      <c r="B3466" s="23" t="inlineStr">
        <is>
          <t>AUXILIAR DE ELETRICISTA COM ENCARGOS COMPLEMENTARES</t>
        </is>
      </c>
      <c r="C3466" s="22" t="inlineStr">
        <is>
          <t>SINAPI</t>
        </is>
      </c>
      <c r="D3466" s="22" t="inlineStr">
        <is>
          <t>H</t>
        </is>
      </c>
      <c r="E3466" s="63">
        <f>L3466*FATOR</f>
        <v/>
      </c>
      <c r="F3466" s="64">
        <f>'COMPOSICOES AUXILIARES'!G505</f>
        <v/>
      </c>
      <c r="G3466" s="64">
        <f>TRUNC(TRUNC(E3466,8)*F3466,2)</f>
        <v/>
      </c>
      <c r="L3466" t="n">
        <v>0.511</v>
      </c>
      <c r="M3466" t="n">
        <v>25.22</v>
      </c>
      <c r="N3466">
        <f>(M3466-F3466)</f>
        <v/>
      </c>
    </row>
    <row r="3467" ht="15" customHeight="1">
      <c r="A3467" s="22" t="inlineStr">
        <is>
          <t>88264</t>
        </is>
      </c>
      <c r="B3467" s="23" t="inlineStr">
        <is>
          <t>ELETRICISTA COM ENCARGOS COMPLEMENTARES</t>
        </is>
      </c>
      <c r="C3467" s="22" t="inlineStr">
        <is>
          <t>SINAPI</t>
        </is>
      </c>
      <c r="D3467" s="22" t="inlineStr">
        <is>
          <t>H</t>
        </is>
      </c>
      <c r="E3467" s="63">
        <f>L3467*FATOR</f>
        <v/>
      </c>
      <c r="F3467" s="64">
        <f>'COMPOSICOES AUXILIARES'!G713</f>
        <v/>
      </c>
      <c r="G3467" s="64">
        <f>TRUNC(TRUNC(E3467,8)*F3467,2)</f>
        <v/>
      </c>
      <c r="L3467" t="n">
        <v>0.511</v>
      </c>
      <c r="M3467" t="n">
        <v>30.96</v>
      </c>
      <c r="N3467">
        <f>(M3467-F3467)</f>
        <v/>
      </c>
    </row>
    <row r="3468" ht="18" customHeight="1">
      <c r="A3468" s="2" t="inlineStr"/>
      <c r="B3468" s="2" t="inlineStr"/>
      <c r="C3468" s="2" t="inlineStr"/>
      <c r="D3468" s="2" t="inlineStr"/>
      <c r="E3468" s="26" t="inlineStr">
        <is>
          <t>TOTAL Mão de Obra com Encargos Complementares:</t>
        </is>
      </c>
      <c r="F3468" s="56" t="n"/>
      <c r="G3468" s="65">
        <f>SUM(G3466:G3467)</f>
        <v/>
      </c>
    </row>
    <row r="3469" ht="15" customHeight="1">
      <c r="A3469" s="2" t="inlineStr"/>
      <c r="B3469" s="2" t="inlineStr"/>
      <c r="C3469" s="2" t="inlineStr"/>
      <c r="D3469" s="2" t="inlineStr"/>
      <c r="E3469" s="28" t="inlineStr">
        <is>
          <t>VALOR:</t>
        </is>
      </c>
      <c r="F3469" s="56" t="n"/>
      <c r="G3469" s="66">
        <f>SUM(G3464,G3468)</f>
        <v/>
      </c>
    </row>
    <row r="3470" ht="15" customHeight="1">
      <c r="A3470" s="2" t="inlineStr"/>
      <c r="B3470" s="2" t="inlineStr"/>
      <c r="C3470" s="2" t="inlineStr"/>
      <c r="D3470" s="2" t="inlineStr"/>
      <c r="E3470" s="28" t="inlineStr">
        <is>
          <t>VALOR BDI (23.08%):</t>
        </is>
      </c>
      <c r="F3470" s="56" t="n"/>
      <c r="G3470" s="66">
        <f>ROUNDDOWN(G3469*BDI,2)</f>
        <v/>
      </c>
    </row>
    <row r="3471" ht="15" customHeight="1">
      <c r="A3471" s="2" t="inlineStr"/>
      <c r="B3471" s="2" t="inlineStr"/>
      <c r="C3471" s="2" t="inlineStr"/>
      <c r="D3471" s="2" t="inlineStr"/>
      <c r="E3471" s="28" t="inlineStr">
        <is>
          <t>VALOR COM BDI:</t>
        </is>
      </c>
      <c r="F3471" s="56" t="n"/>
      <c r="G3471" s="66">
        <f>G3470 + G3469</f>
        <v/>
      </c>
    </row>
    <row r="3472" ht="10" customHeight="1">
      <c r="A3472" s="2" t="inlineStr"/>
      <c r="B3472" s="2" t="inlineStr"/>
      <c r="C3472" s="2" t="inlineStr"/>
      <c r="D3472" s="2" t="inlineStr"/>
      <c r="E3472" s="18" t="inlineStr"/>
    </row>
    <row r="3473" ht="20" customHeight="1">
      <c r="A3473" s="19" t="inlineStr">
        <is>
          <t>​91999​ TOMADA BAIXA DE EMBUTIR (1 MÓDULO), 2P+T 20 A, SEM SUPORTE E SEM PLACA - FORNECIMENTO E INSTALAÇÃO. AF_03/2023​ (UN)</t>
        </is>
      </c>
      <c r="B3473" s="55" t="n"/>
      <c r="C3473" s="55" t="n"/>
      <c r="D3473" s="55" t="n"/>
      <c r="E3473" s="55" t="n"/>
      <c r="F3473" s="55" t="n"/>
      <c r="G3473" s="56" t="n"/>
    </row>
    <row r="3474" ht="15" customHeight="1">
      <c r="A3474" s="20" t="inlineStr">
        <is>
          <t>Material</t>
        </is>
      </c>
      <c r="B3474" s="56" t="n"/>
      <c r="C3474" s="21" t="inlineStr">
        <is>
          <t>FONTE</t>
        </is>
      </c>
      <c r="D3474" s="21" t="inlineStr">
        <is>
          <t>UNID</t>
        </is>
      </c>
      <c r="E3474" s="21" t="inlineStr">
        <is>
          <t>COEFICIENTE</t>
        </is>
      </c>
      <c r="F3474" s="21" t="inlineStr">
        <is>
          <t>PREÇO UNITÁRIO</t>
        </is>
      </c>
      <c r="G3474" s="21" t="inlineStr">
        <is>
          <t>TOTAL</t>
        </is>
      </c>
    </row>
    <row r="3475" ht="15" customHeight="1">
      <c r="A3475" s="22" t="inlineStr">
        <is>
          <t>00038102</t>
        </is>
      </c>
      <c r="B3475" s="23" t="inlineStr">
        <is>
          <t>TOMADA 2P+T 20A, 250V (APENAS MODULO)</t>
        </is>
      </c>
      <c r="C3475" s="22" t="inlineStr">
        <is>
          <t>SINAPI</t>
        </is>
      </c>
      <c r="D3475" s="22" t="inlineStr">
        <is>
          <t>UN</t>
        </is>
      </c>
      <c r="E3475" s="63" t="n">
        <v>1</v>
      </c>
      <c r="F3475" s="64">
        <f>ROUND(M3475*FATOR, 2)</f>
        <v/>
      </c>
      <c r="G3475" s="64">
        <f>TRUNC(TRUNC(E3475,8)*F3475,2)</f>
        <v/>
      </c>
      <c r="L3475" t="n">
        <v>1</v>
      </c>
      <c r="M3475" t="n">
        <v>9.91</v>
      </c>
      <c r="N3475">
        <f>(M3475-F3475)</f>
        <v/>
      </c>
    </row>
    <row r="3476" ht="15" customHeight="1">
      <c r="A3476" s="2" t="inlineStr"/>
      <c r="B3476" s="2" t="inlineStr"/>
      <c r="C3476" s="2" t="inlineStr"/>
      <c r="D3476" s="2" t="inlineStr"/>
      <c r="E3476" s="26" t="inlineStr">
        <is>
          <t>TOTAL Material:</t>
        </is>
      </c>
      <c r="F3476" s="56" t="n"/>
      <c r="G3476" s="65">
        <f>SUM(G3475:G3475)</f>
        <v/>
      </c>
    </row>
    <row r="3477" ht="15" customHeight="1">
      <c r="A3477" s="20" t="inlineStr">
        <is>
          <t>Mão de Obra com Encargos Complementares</t>
        </is>
      </c>
      <c r="B3477" s="56" t="n"/>
      <c r="C3477" s="21" t="inlineStr">
        <is>
          <t>FONTE</t>
        </is>
      </c>
      <c r="D3477" s="21" t="inlineStr">
        <is>
          <t>UNID</t>
        </is>
      </c>
      <c r="E3477" s="21" t="inlineStr">
        <is>
          <t>COEFICIENTE</t>
        </is>
      </c>
      <c r="F3477" s="21" t="inlineStr">
        <is>
          <t>PREÇO UNITÁRIO</t>
        </is>
      </c>
      <c r="G3477" s="21" t="inlineStr">
        <is>
          <t>TOTAL</t>
        </is>
      </c>
    </row>
    <row r="3478" ht="21" customHeight="1">
      <c r="A3478" s="22" t="inlineStr">
        <is>
          <t>88247</t>
        </is>
      </c>
      <c r="B3478" s="23" t="inlineStr">
        <is>
          <t>AUXILIAR DE ELETRICISTA COM ENCARGOS COMPLEMENTARES</t>
        </is>
      </c>
      <c r="C3478" s="22" t="inlineStr">
        <is>
          <t>SINAPI</t>
        </is>
      </c>
      <c r="D3478" s="22" t="inlineStr">
        <is>
          <t>H</t>
        </is>
      </c>
      <c r="E3478" s="63">
        <f>L3478*FATOR</f>
        <v/>
      </c>
      <c r="F3478" s="64">
        <f>'COMPOSICOES AUXILIARES'!G505</f>
        <v/>
      </c>
      <c r="G3478" s="64">
        <f>TRUNC(TRUNC(E3478,8)*F3478,2)</f>
        <v/>
      </c>
      <c r="L3478" t="n">
        <v>0.242</v>
      </c>
      <c r="M3478" t="n">
        <v>25.22</v>
      </c>
      <c r="N3478">
        <f>(M3478-F3478)</f>
        <v/>
      </c>
    </row>
    <row r="3479" ht="15" customHeight="1">
      <c r="A3479" s="22" t="inlineStr">
        <is>
          <t>88264</t>
        </is>
      </c>
      <c r="B3479" s="23" t="inlineStr">
        <is>
          <t>ELETRICISTA COM ENCARGOS COMPLEMENTARES</t>
        </is>
      </c>
      <c r="C3479" s="22" t="inlineStr">
        <is>
          <t>SINAPI</t>
        </is>
      </c>
      <c r="D3479" s="22" t="inlineStr">
        <is>
          <t>H</t>
        </is>
      </c>
      <c r="E3479" s="63">
        <f>L3479*FATOR</f>
        <v/>
      </c>
      <c r="F3479" s="64">
        <f>'COMPOSICOES AUXILIARES'!G713</f>
        <v/>
      </c>
      <c r="G3479" s="64">
        <f>TRUNC(TRUNC(E3479,8)*F3479,2)</f>
        <v/>
      </c>
      <c r="L3479" t="n">
        <v>0.242</v>
      </c>
      <c r="M3479" t="n">
        <v>30.96</v>
      </c>
      <c r="N3479">
        <f>(M3479-F3479)</f>
        <v/>
      </c>
    </row>
    <row r="3480" ht="18" customHeight="1">
      <c r="A3480" s="2" t="inlineStr"/>
      <c r="B3480" s="2" t="inlineStr"/>
      <c r="C3480" s="2" t="inlineStr"/>
      <c r="D3480" s="2" t="inlineStr"/>
      <c r="E3480" s="26" t="inlineStr">
        <is>
          <t>TOTAL Mão de Obra com Encargos Complementares:</t>
        </is>
      </c>
      <c r="F3480" s="56" t="n"/>
      <c r="G3480" s="65">
        <f>SUM(G3478:G3479)</f>
        <v/>
      </c>
    </row>
    <row r="3481" ht="15" customHeight="1">
      <c r="A3481" s="2" t="inlineStr"/>
      <c r="B3481" s="2" t="inlineStr"/>
      <c r="C3481" s="2" t="inlineStr"/>
      <c r="D3481" s="2" t="inlineStr"/>
      <c r="E3481" s="28" t="inlineStr">
        <is>
          <t>VALOR:</t>
        </is>
      </c>
      <c r="F3481" s="56" t="n"/>
      <c r="G3481" s="66">
        <f>SUM(G3480,G3476)</f>
        <v/>
      </c>
    </row>
    <row r="3482" ht="15" customHeight="1">
      <c r="A3482" s="2" t="inlineStr"/>
      <c r="B3482" s="2" t="inlineStr"/>
      <c r="C3482" s="2" t="inlineStr"/>
      <c r="D3482" s="2" t="inlineStr"/>
      <c r="E3482" s="28" t="inlineStr">
        <is>
          <t>VALOR BDI (23.08%):</t>
        </is>
      </c>
      <c r="F3482" s="56" t="n"/>
      <c r="G3482" s="66">
        <f>ROUNDDOWN(G3481*BDI,2)</f>
        <v/>
      </c>
    </row>
    <row r="3483" ht="15" customHeight="1">
      <c r="A3483" s="2" t="inlineStr"/>
      <c r="B3483" s="2" t="inlineStr"/>
      <c r="C3483" s="2" t="inlineStr"/>
      <c r="D3483" s="2" t="inlineStr"/>
      <c r="E3483" s="28" t="inlineStr">
        <is>
          <t>VALOR COM BDI:</t>
        </is>
      </c>
      <c r="F3483" s="56" t="n"/>
      <c r="G3483" s="66">
        <f>G3482 + G3481</f>
        <v/>
      </c>
    </row>
    <row r="3484" ht="10" customHeight="1">
      <c r="A3484" s="2" t="inlineStr"/>
      <c r="B3484" s="2" t="inlineStr"/>
      <c r="C3484" s="2" t="inlineStr"/>
      <c r="D3484" s="2" t="inlineStr"/>
      <c r="E3484" s="18" t="inlineStr"/>
    </row>
    <row r="3485" ht="20" customHeight="1">
      <c r="A3485" s="19" t="inlineStr">
        <is>
          <t>​92006​ TOMADA BAIXA DE EMBUTIR (2 MÓDULOS), 2P+T 10 A, SEM SUPORTE E SEM PLACA - FORNECIMENTO E INSTALAÇÃO. AF_03/2023​ (UN)</t>
        </is>
      </c>
      <c r="B3485" s="55" t="n"/>
      <c r="C3485" s="55" t="n"/>
      <c r="D3485" s="55" t="n"/>
      <c r="E3485" s="55" t="n"/>
      <c r="F3485" s="55" t="n"/>
      <c r="G3485" s="56" t="n"/>
    </row>
    <row r="3486" ht="15" customHeight="1">
      <c r="A3486" s="20" t="inlineStr">
        <is>
          <t>Material</t>
        </is>
      </c>
      <c r="B3486" s="56" t="n"/>
      <c r="C3486" s="21" t="inlineStr">
        <is>
          <t>FONTE</t>
        </is>
      </c>
      <c r="D3486" s="21" t="inlineStr">
        <is>
          <t>UNID</t>
        </is>
      </c>
      <c r="E3486" s="21" t="inlineStr">
        <is>
          <t>COEFICIENTE</t>
        </is>
      </c>
      <c r="F3486" s="21" t="inlineStr">
        <is>
          <t>PREÇO UNITÁRIO</t>
        </is>
      </c>
      <c r="G3486" s="21" t="inlineStr">
        <is>
          <t>TOTAL</t>
        </is>
      </c>
    </row>
    <row r="3487" ht="15" customHeight="1">
      <c r="A3487" s="22" t="inlineStr">
        <is>
          <t>00038101</t>
        </is>
      </c>
      <c r="B3487" s="23" t="inlineStr">
        <is>
          <t>TOMADA 2P+T 10A, 250V (APENAS MODULO)</t>
        </is>
      </c>
      <c r="C3487" s="22" t="inlineStr">
        <is>
          <t>SINAPI</t>
        </is>
      </c>
      <c r="D3487" s="22" t="inlineStr">
        <is>
          <t>UN</t>
        </is>
      </c>
      <c r="E3487" s="63" t="n">
        <v>2</v>
      </c>
      <c r="F3487" s="64">
        <f>ROUND(M3487*FATOR, 2)</f>
        <v/>
      </c>
      <c r="G3487" s="64">
        <f>TRUNC(TRUNC(E3487,8)*F3487,2)</f>
        <v/>
      </c>
      <c r="L3487" t="n">
        <v>2</v>
      </c>
      <c r="M3487" t="n">
        <v>7.74</v>
      </c>
      <c r="N3487">
        <f>(M3487-F3487)</f>
        <v/>
      </c>
    </row>
    <row r="3488" ht="15" customHeight="1">
      <c r="A3488" s="2" t="inlineStr"/>
      <c r="B3488" s="2" t="inlineStr"/>
      <c r="C3488" s="2" t="inlineStr"/>
      <c r="D3488" s="2" t="inlineStr"/>
      <c r="E3488" s="26" t="inlineStr">
        <is>
          <t>TOTAL Material:</t>
        </is>
      </c>
      <c r="F3488" s="56" t="n"/>
      <c r="G3488" s="65">
        <f>SUM(G3487:G3487)</f>
        <v/>
      </c>
    </row>
    <row r="3489" ht="15" customHeight="1">
      <c r="A3489" s="20" t="inlineStr">
        <is>
          <t>Mão de Obra com Encargos Complementares</t>
        </is>
      </c>
      <c r="B3489" s="56" t="n"/>
      <c r="C3489" s="21" t="inlineStr">
        <is>
          <t>FONTE</t>
        </is>
      </c>
      <c r="D3489" s="21" t="inlineStr">
        <is>
          <t>UNID</t>
        </is>
      </c>
      <c r="E3489" s="21" t="inlineStr">
        <is>
          <t>COEFICIENTE</t>
        </is>
      </c>
      <c r="F3489" s="21" t="inlineStr">
        <is>
          <t>PREÇO UNITÁRIO</t>
        </is>
      </c>
      <c r="G3489" s="21" t="inlineStr">
        <is>
          <t>TOTAL</t>
        </is>
      </c>
    </row>
    <row r="3490" ht="21" customHeight="1">
      <c r="A3490" s="22" t="inlineStr">
        <is>
          <t>88247</t>
        </is>
      </c>
      <c r="B3490" s="23" t="inlineStr">
        <is>
          <t>AUXILIAR DE ELETRICISTA COM ENCARGOS COMPLEMENTARES</t>
        </is>
      </c>
      <c r="C3490" s="22" t="inlineStr">
        <is>
          <t>SINAPI</t>
        </is>
      </c>
      <c r="D3490" s="22" t="inlineStr">
        <is>
          <t>H</t>
        </is>
      </c>
      <c r="E3490" s="63">
        <f>L3490*FATOR</f>
        <v/>
      </c>
      <c r="F3490" s="64">
        <f>'COMPOSICOES AUXILIARES'!G505</f>
        <v/>
      </c>
      <c r="G3490" s="64">
        <f>TRUNC(TRUNC(E3490,8)*F3490,2)</f>
        <v/>
      </c>
      <c r="L3490" t="n">
        <v>0.421</v>
      </c>
      <c r="M3490" t="n">
        <v>25.22</v>
      </c>
      <c r="N3490">
        <f>(M3490-F3490)</f>
        <v/>
      </c>
    </row>
    <row r="3491" ht="15" customHeight="1">
      <c r="A3491" s="22" t="inlineStr">
        <is>
          <t>88264</t>
        </is>
      </c>
      <c r="B3491" s="23" t="inlineStr">
        <is>
          <t>ELETRICISTA COM ENCARGOS COMPLEMENTARES</t>
        </is>
      </c>
      <c r="C3491" s="22" t="inlineStr">
        <is>
          <t>SINAPI</t>
        </is>
      </c>
      <c r="D3491" s="22" t="inlineStr">
        <is>
          <t>H</t>
        </is>
      </c>
      <c r="E3491" s="63">
        <f>L3491*FATOR</f>
        <v/>
      </c>
      <c r="F3491" s="64">
        <f>'COMPOSICOES AUXILIARES'!G713</f>
        <v/>
      </c>
      <c r="G3491" s="64">
        <f>TRUNC(TRUNC(E3491,8)*F3491,2)</f>
        <v/>
      </c>
      <c r="L3491" t="n">
        <v>0.421</v>
      </c>
      <c r="M3491" t="n">
        <v>30.96</v>
      </c>
      <c r="N3491">
        <f>(M3491-F3491)</f>
        <v/>
      </c>
    </row>
    <row r="3492" ht="18" customHeight="1">
      <c r="A3492" s="2" t="inlineStr"/>
      <c r="B3492" s="2" t="inlineStr"/>
      <c r="C3492" s="2" t="inlineStr"/>
      <c r="D3492" s="2" t="inlineStr"/>
      <c r="E3492" s="26" t="inlineStr">
        <is>
          <t>TOTAL Mão de Obra com Encargos Complementares:</t>
        </is>
      </c>
      <c r="F3492" s="56" t="n"/>
      <c r="G3492" s="65">
        <f>SUM(G3490:G3491)</f>
        <v/>
      </c>
    </row>
    <row r="3493" ht="15" customHeight="1">
      <c r="A3493" s="2" t="inlineStr"/>
      <c r="B3493" s="2" t="inlineStr"/>
      <c r="C3493" s="2" t="inlineStr"/>
      <c r="D3493" s="2" t="inlineStr"/>
      <c r="E3493" s="28" t="inlineStr">
        <is>
          <t>VALOR:</t>
        </is>
      </c>
      <c r="F3493" s="56" t="n"/>
      <c r="G3493" s="66">
        <f>SUM(G3488,G3492)</f>
        <v/>
      </c>
    </row>
    <row r="3494" ht="15" customHeight="1">
      <c r="A3494" s="2" t="inlineStr"/>
      <c r="B3494" s="2" t="inlineStr"/>
      <c r="C3494" s="2" t="inlineStr"/>
      <c r="D3494" s="2" t="inlineStr"/>
      <c r="E3494" s="28" t="inlineStr">
        <is>
          <t>VALOR BDI (23.08%):</t>
        </is>
      </c>
      <c r="F3494" s="56" t="n"/>
      <c r="G3494" s="66">
        <f>ROUNDDOWN(G3493*BDI,2)</f>
        <v/>
      </c>
    </row>
    <row r="3495" ht="15" customHeight="1">
      <c r="A3495" s="2" t="inlineStr"/>
      <c r="B3495" s="2" t="inlineStr"/>
      <c r="C3495" s="2" t="inlineStr"/>
      <c r="D3495" s="2" t="inlineStr"/>
      <c r="E3495" s="28" t="inlineStr">
        <is>
          <t>VALOR COM BDI:</t>
        </is>
      </c>
      <c r="F3495" s="56" t="n"/>
      <c r="G3495" s="66">
        <f>G3494 + G3493</f>
        <v/>
      </c>
    </row>
    <row r="3496" ht="10" customHeight="1">
      <c r="A3496" s="2" t="inlineStr"/>
      <c r="B3496" s="2" t="inlineStr"/>
      <c r="C3496" s="2" t="inlineStr"/>
      <c r="D3496" s="2" t="inlineStr"/>
      <c r="E3496" s="18" t="inlineStr"/>
    </row>
    <row r="3497" ht="20" customHeight="1">
      <c r="A3497" s="19" t="inlineStr">
        <is>
          <t>​92007​ TOMADA BAIXA DE EMBUTIR (2 MÓDULOS), 2P+T 20 A, SEM SUPORTE E SEM PLACA - FORNECIMENTO E INSTALAÇÃO. AF_03/2023​ (UN)</t>
        </is>
      </c>
      <c r="B3497" s="55" t="n"/>
      <c r="C3497" s="55" t="n"/>
      <c r="D3497" s="55" t="n"/>
      <c r="E3497" s="55" t="n"/>
      <c r="F3497" s="55" t="n"/>
      <c r="G3497" s="56" t="n"/>
    </row>
    <row r="3498" ht="15" customHeight="1">
      <c r="A3498" s="20" t="inlineStr">
        <is>
          <t>Material</t>
        </is>
      </c>
      <c r="B3498" s="56" t="n"/>
      <c r="C3498" s="21" t="inlineStr">
        <is>
          <t>FONTE</t>
        </is>
      </c>
      <c r="D3498" s="21" t="inlineStr">
        <is>
          <t>UNID</t>
        </is>
      </c>
      <c r="E3498" s="21" t="inlineStr">
        <is>
          <t>COEFICIENTE</t>
        </is>
      </c>
      <c r="F3498" s="21" t="inlineStr">
        <is>
          <t>PREÇO UNITÁRIO</t>
        </is>
      </c>
      <c r="G3498" s="21" t="inlineStr">
        <is>
          <t>TOTAL</t>
        </is>
      </c>
    </row>
    <row r="3499" ht="15" customHeight="1">
      <c r="A3499" s="22" t="inlineStr">
        <is>
          <t>00038102</t>
        </is>
      </c>
      <c r="B3499" s="23" t="inlineStr">
        <is>
          <t>TOMADA 2P+T 20A, 250V (APENAS MODULO)</t>
        </is>
      </c>
      <c r="C3499" s="22" t="inlineStr">
        <is>
          <t>SINAPI</t>
        </is>
      </c>
      <c r="D3499" s="22" t="inlineStr">
        <is>
          <t>UN</t>
        </is>
      </c>
      <c r="E3499" s="63" t="n">
        <v>2</v>
      </c>
      <c r="F3499" s="64" t="n">
        <v>9.91</v>
      </c>
      <c r="G3499" s="64">
        <f>TRUNC(TRUNC(E3499,8)*F3499,2)</f>
        <v/>
      </c>
      <c r="L3499" t="n">
        <v>2</v>
      </c>
      <c r="M3499" t="n">
        <v>9.91</v>
      </c>
      <c r="N3499">
        <f>(M3499-F3499)</f>
        <v/>
      </c>
    </row>
    <row r="3500" ht="15" customHeight="1">
      <c r="A3500" s="2" t="inlineStr"/>
      <c r="B3500" s="2" t="inlineStr"/>
      <c r="C3500" s="2" t="inlineStr"/>
      <c r="D3500" s="2" t="inlineStr"/>
      <c r="E3500" s="26" t="inlineStr">
        <is>
          <t>TOTAL Material:</t>
        </is>
      </c>
      <c r="F3500" s="56" t="n"/>
      <c r="G3500" s="65">
        <f>SUM(G3499:G3499)</f>
        <v/>
      </c>
    </row>
    <row r="3501" ht="15" customHeight="1">
      <c r="A3501" s="20" t="inlineStr">
        <is>
          <t>Mão de Obra com Encargos Complementares</t>
        </is>
      </c>
      <c r="B3501" s="56" t="n"/>
      <c r="C3501" s="21" t="inlineStr">
        <is>
          <t>FONTE</t>
        </is>
      </c>
      <c r="D3501" s="21" t="inlineStr">
        <is>
          <t>UNID</t>
        </is>
      </c>
      <c r="E3501" s="21" t="inlineStr">
        <is>
          <t>COEFICIENTE</t>
        </is>
      </c>
      <c r="F3501" s="21" t="inlineStr">
        <is>
          <t>PREÇO UNITÁRIO</t>
        </is>
      </c>
      <c r="G3501" s="21" t="inlineStr">
        <is>
          <t>TOTAL</t>
        </is>
      </c>
    </row>
    <row r="3502" ht="21" customHeight="1">
      <c r="A3502" s="22" t="inlineStr">
        <is>
          <t>88247</t>
        </is>
      </c>
      <c r="B3502" s="23" t="inlineStr">
        <is>
          <t>AUXILIAR DE ELETRICISTA COM ENCARGOS COMPLEMENTARES</t>
        </is>
      </c>
      <c r="C3502" s="22" t="inlineStr">
        <is>
          <t>SINAPI</t>
        </is>
      </c>
      <c r="D3502" s="22" t="inlineStr">
        <is>
          <t>H</t>
        </is>
      </c>
      <c r="E3502" s="63" t="n">
        <v>0.421</v>
      </c>
      <c r="F3502" s="64">
        <f>G505</f>
        <v/>
      </c>
      <c r="G3502" s="64">
        <f>TRUNC(TRUNC(E3502,8)*F3502,2)</f>
        <v/>
      </c>
      <c r="L3502" t="n">
        <v>0.421</v>
      </c>
      <c r="M3502" t="n">
        <v>25.22</v>
      </c>
      <c r="N3502">
        <f>(M3502-F3502)</f>
        <v/>
      </c>
    </row>
    <row r="3503" ht="15" customHeight="1">
      <c r="A3503" s="22" t="inlineStr">
        <is>
          <t>88264</t>
        </is>
      </c>
      <c r="B3503" s="23" t="inlineStr">
        <is>
          <t>ELETRICISTA COM ENCARGOS COMPLEMENTARES</t>
        </is>
      </c>
      <c r="C3503" s="22" t="inlineStr">
        <is>
          <t>SINAPI</t>
        </is>
      </c>
      <c r="D3503" s="22" t="inlineStr">
        <is>
          <t>H</t>
        </is>
      </c>
      <c r="E3503" s="63" t="n">
        <v>0.421</v>
      </c>
      <c r="F3503" s="64">
        <f>G1826</f>
        <v/>
      </c>
      <c r="G3503" s="64">
        <f>TRUNC(TRUNC(E3503,8)*F3503,2)</f>
        <v/>
      </c>
      <c r="L3503" t="n">
        <v>0.421</v>
      </c>
      <c r="M3503" t="n">
        <v>30.96</v>
      </c>
      <c r="N3503">
        <f>(M3503-F3503)</f>
        <v/>
      </c>
    </row>
    <row r="3504" ht="18" customHeight="1">
      <c r="A3504" s="2" t="inlineStr"/>
      <c r="B3504" s="2" t="inlineStr"/>
      <c r="C3504" s="2" t="inlineStr"/>
      <c r="D3504" s="2" t="inlineStr"/>
      <c r="E3504" s="26" t="inlineStr">
        <is>
          <t>TOTAL Mão de Obra com Encargos Complementares:</t>
        </is>
      </c>
      <c r="F3504" s="56" t="n"/>
      <c r="G3504" s="65">
        <f>SUM(G3502:G3503)</f>
        <v/>
      </c>
    </row>
    <row r="3505" ht="15" customHeight="1">
      <c r="A3505" s="2" t="inlineStr"/>
      <c r="B3505" s="2" t="inlineStr"/>
      <c r="C3505" s="2" t="inlineStr"/>
      <c r="D3505" s="2" t="inlineStr"/>
      <c r="E3505" s="28" t="inlineStr">
        <is>
          <t>VALOR:</t>
        </is>
      </c>
      <c r="F3505" s="56" t="n"/>
      <c r="G3505" s="66">
        <f>ROUND(SUM(G3500,G3504),2)</f>
        <v/>
      </c>
    </row>
    <row r="3506" ht="15" customHeight="1">
      <c r="A3506" s="2" t="inlineStr"/>
      <c r="B3506" s="2" t="inlineStr"/>
      <c r="C3506" s="2" t="inlineStr"/>
      <c r="D3506" s="2" t="inlineStr"/>
      <c r="E3506" s="28" t="inlineStr">
        <is>
          <t>VALOR BDI (23.08%):</t>
        </is>
      </c>
      <c r="F3506" s="56" t="n"/>
      <c r="G3506" s="66">
        <f>ROUNDDOWN(G3505*BDI,2)</f>
        <v/>
      </c>
    </row>
    <row r="3507" ht="15" customHeight="1">
      <c r="A3507" s="2" t="inlineStr"/>
      <c r="B3507" s="2" t="inlineStr"/>
      <c r="C3507" s="2" t="inlineStr"/>
      <c r="D3507" s="2" t="inlineStr"/>
      <c r="E3507" s="28" t="inlineStr">
        <is>
          <t>VALOR COM BDI:</t>
        </is>
      </c>
      <c r="F3507" s="56" t="n"/>
      <c r="G3507" s="66">
        <f>G3506 + G3505</f>
        <v/>
      </c>
    </row>
    <row r="3508" ht="10" customHeight="1">
      <c r="A3508" s="2" t="inlineStr"/>
      <c r="B3508" s="2" t="inlineStr"/>
      <c r="C3508" s="2" t="inlineStr"/>
      <c r="D3508" s="2" t="inlineStr"/>
      <c r="E3508" s="18" t="inlineStr"/>
    </row>
    <row r="3509" ht="20" customHeight="1">
      <c r="A3509" s="19" t="inlineStr">
        <is>
          <t>​91994​ TOMADA MÉDIA DE EMBUTIR (1 MÓDULO), 2P+T 10 A, SEM SUPORTE E SEM PLACA - FORNECIMENTO E INSTALAÇÃO. AF_03/2023​ (UN)</t>
        </is>
      </c>
      <c r="B3509" s="55" t="n"/>
      <c r="C3509" s="55" t="n"/>
      <c r="D3509" s="55" t="n"/>
      <c r="E3509" s="55" t="n"/>
      <c r="F3509" s="55" t="n"/>
      <c r="G3509" s="56" t="n"/>
    </row>
    <row r="3510" ht="15" customHeight="1">
      <c r="A3510" s="20" t="inlineStr">
        <is>
          <t>Material</t>
        </is>
      </c>
      <c r="B3510" s="56" t="n"/>
      <c r="C3510" s="21" t="inlineStr">
        <is>
          <t>FONTE</t>
        </is>
      </c>
      <c r="D3510" s="21" t="inlineStr">
        <is>
          <t>UNID</t>
        </is>
      </c>
      <c r="E3510" s="21" t="inlineStr">
        <is>
          <t>COEFICIENTE</t>
        </is>
      </c>
      <c r="F3510" s="21" t="inlineStr">
        <is>
          <t>PREÇO UNITÁRIO</t>
        </is>
      </c>
      <c r="G3510" s="21" t="inlineStr">
        <is>
          <t>TOTAL</t>
        </is>
      </c>
    </row>
    <row r="3511" ht="15" customHeight="1">
      <c r="A3511" s="22" t="inlineStr">
        <is>
          <t>00038101</t>
        </is>
      </c>
      <c r="B3511" s="23" t="inlineStr">
        <is>
          <t>TOMADA 2P+T 10A, 250V (APENAS MODULO)</t>
        </is>
      </c>
      <c r="C3511" s="22" t="inlineStr">
        <is>
          <t>SINAPI</t>
        </is>
      </c>
      <c r="D3511" s="22" t="inlineStr">
        <is>
          <t>UN</t>
        </is>
      </c>
      <c r="E3511" s="63" t="n">
        <v>1</v>
      </c>
      <c r="F3511" s="64">
        <f>ROUND(M3511*FATOR, 2)</f>
        <v/>
      </c>
      <c r="G3511" s="64">
        <f>TRUNC(TRUNC(E3511,8)*F3511,2)</f>
        <v/>
      </c>
      <c r="L3511" t="n">
        <v>1</v>
      </c>
      <c r="M3511" t="n">
        <v>7.74</v>
      </c>
      <c r="N3511">
        <f>(M3511-F3511)</f>
        <v/>
      </c>
    </row>
    <row r="3512" ht="15" customHeight="1">
      <c r="A3512" s="2" t="inlineStr"/>
      <c r="B3512" s="2" t="inlineStr"/>
      <c r="C3512" s="2" t="inlineStr"/>
      <c r="D3512" s="2" t="inlineStr"/>
      <c r="E3512" s="26" t="inlineStr">
        <is>
          <t>TOTAL Material:</t>
        </is>
      </c>
      <c r="F3512" s="56" t="n"/>
      <c r="G3512" s="65">
        <f>SUM(G3511:G3511)</f>
        <v/>
      </c>
    </row>
    <row r="3513" ht="15" customHeight="1">
      <c r="A3513" s="20" t="inlineStr">
        <is>
          <t>Mão de Obra com Encargos Complementares</t>
        </is>
      </c>
      <c r="B3513" s="56" t="n"/>
      <c r="C3513" s="21" t="inlineStr">
        <is>
          <t>FONTE</t>
        </is>
      </c>
      <c r="D3513" s="21" t="inlineStr">
        <is>
          <t>UNID</t>
        </is>
      </c>
      <c r="E3513" s="21" t="inlineStr">
        <is>
          <t>COEFICIENTE</t>
        </is>
      </c>
      <c r="F3513" s="21" t="inlineStr">
        <is>
          <t>PREÇO UNITÁRIO</t>
        </is>
      </c>
      <c r="G3513" s="21" t="inlineStr">
        <is>
          <t>TOTAL</t>
        </is>
      </c>
    </row>
    <row r="3514" ht="21" customHeight="1">
      <c r="A3514" s="22" t="inlineStr">
        <is>
          <t>88247</t>
        </is>
      </c>
      <c r="B3514" s="23" t="inlineStr">
        <is>
          <t>AUXILIAR DE ELETRICISTA COM ENCARGOS COMPLEMENTARES</t>
        </is>
      </c>
      <c r="C3514" s="22" t="inlineStr">
        <is>
          <t>SINAPI</t>
        </is>
      </c>
      <c r="D3514" s="22" t="inlineStr">
        <is>
          <t>H</t>
        </is>
      </c>
      <c r="E3514" s="63">
        <f>L3514*FATOR</f>
        <v/>
      </c>
      <c r="F3514" s="64">
        <f>'COMPOSICOES AUXILIARES'!G505</f>
        <v/>
      </c>
      <c r="G3514" s="64">
        <f>TRUNC(TRUNC(E3514,8)*F3514,2)</f>
        <v/>
      </c>
      <c r="L3514" t="n">
        <v>0.317</v>
      </c>
      <c r="M3514" t="n">
        <v>25.22</v>
      </c>
      <c r="N3514">
        <f>(M3514-F3514)</f>
        <v/>
      </c>
    </row>
    <row r="3515" ht="15" customHeight="1">
      <c r="A3515" s="22" t="inlineStr">
        <is>
          <t>88264</t>
        </is>
      </c>
      <c r="B3515" s="23" t="inlineStr">
        <is>
          <t>ELETRICISTA COM ENCARGOS COMPLEMENTARES</t>
        </is>
      </c>
      <c r="C3515" s="22" t="inlineStr">
        <is>
          <t>SINAPI</t>
        </is>
      </c>
      <c r="D3515" s="22" t="inlineStr">
        <is>
          <t>H</t>
        </is>
      </c>
      <c r="E3515" s="63">
        <f>L3515*FATOR</f>
        <v/>
      </c>
      <c r="F3515" s="64">
        <f>'COMPOSICOES AUXILIARES'!G713</f>
        <v/>
      </c>
      <c r="G3515" s="64">
        <f>TRUNC(TRUNC(E3515,8)*F3515,2)</f>
        <v/>
      </c>
      <c r="L3515" t="n">
        <v>0.317</v>
      </c>
      <c r="M3515" t="n">
        <v>30.96</v>
      </c>
      <c r="N3515">
        <f>(M3515-F3515)</f>
        <v/>
      </c>
    </row>
    <row r="3516" ht="18" customHeight="1">
      <c r="A3516" s="2" t="inlineStr"/>
      <c r="B3516" s="2" t="inlineStr"/>
      <c r="C3516" s="2" t="inlineStr"/>
      <c r="D3516" s="2" t="inlineStr"/>
      <c r="E3516" s="26" t="inlineStr">
        <is>
          <t>TOTAL Mão de Obra com Encargos Complementares:</t>
        </is>
      </c>
      <c r="F3516" s="56" t="n"/>
      <c r="G3516" s="65">
        <f>SUM(G3514:G3515)</f>
        <v/>
      </c>
    </row>
    <row r="3517" ht="15" customHeight="1">
      <c r="A3517" s="2" t="inlineStr"/>
      <c r="B3517" s="2" t="inlineStr"/>
      <c r="C3517" s="2" t="inlineStr"/>
      <c r="D3517" s="2" t="inlineStr"/>
      <c r="E3517" s="28" t="inlineStr">
        <is>
          <t>VALOR:</t>
        </is>
      </c>
      <c r="F3517" s="56" t="n"/>
      <c r="G3517" s="66">
        <f>SUM(G3512,G3516)</f>
        <v/>
      </c>
    </row>
    <row r="3518" ht="15" customHeight="1">
      <c r="A3518" s="2" t="inlineStr"/>
      <c r="B3518" s="2" t="inlineStr"/>
      <c r="C3518" s="2" t="inlineStr"/>
      <c r="D3518" s="2" t="inlineStr"/>
      <c r="E3518" s="28" t="inlineStr">
        <is>
          <t>VALOR BDI (23.08%):</t>
        </is>
      </c>
      <c r="F3518" s="56" t="n"/>
      <c r="G3518" s="66">
        <f>ROUNDDOWN(G3517*BDI,2)</f>
        <v/>
      </c>
    </row>
    <row r="3519" ht="15" customHeight="1">
      <c r="A3519" s="2" t="inlineStr"/>
      <c r="B3519" s="2" t="inlineStr"/>
      <c r="C3519" s="2" t="inlineStr"/>
      <c r="D3519" s="2" t="inlineStr"/>
      <c r="E3519" s="28" t="inlineStr">
        <is>
          <t>VALOR COM BDI:</t>
        </is>
      </c>
      <c r="F3519" s="56" t="n"/>
      <c r="G3519" s="66">
        <f>G3518 + G3517</f>
        <v/>
      </c>
    </row>
    <row r="3520" ht="10" customHeight="1">
      <c r="A3520" s="2" t="inlineStr"/>
      <c r="B3520" s="2" t="inlineStr"/>
      <c r="C3520" s="2" t="inlineStr"/>
      <c r="D3520" s="2" t="inlineStr"/>
      <c r="E3520" s="18" t="inlineStr"/>
    </row>
    <row r="3521" ht="20" customHeight="1">
      <c r="A3521" s="19" t="inlineStr">
        <is>
          <t>​91995​ TOMADA MÉDIA DE EMBUTIR (1 MÓDULO), 2P+T 20 A, SEM SUPORTE E SEM PLACA - FORNECIMENTO E INSTALAÇÃO. AF_03/2023​ (UN)</t>
        </is>
      </c>
      <c r="B3521" s="55" t="n"/>
      <c r="C3521" s="55" t="n"/>
      <c r="D3521" s="55" t="n"/>
      <c r="E3521" s="55" t="n"/>
      <c r="F3521" s="55" t="n"/>
      <c r="G3521" s="56" t="n"/>
    </row>
    <row r="3522" ht="15" customHeight="1">
      <c r="A3522" s="20" t="inlineStr">
        <is>
          <t>Material</t>
        </is>
      </c>
      <c r="B3522" s="56" t="n"/>
      <c r="C3522" s="21" t="inlineStr">
        <is>
          <t>FONTE</t>
        </is>
      </c>
      <c r="D3522" s="21" t="inlineStr">
        <is>
          <t>UNID</t>
        </is>
      </c>
      <c r="E3522" s="21" t="inlineStr">
        <is>
          <t>COEFICIENTE</t>
        </is>
      </c>
      <c r="F3522" s="21" t="inlineStr">
        <is>
          <t>PREÇO UNITÁRIO</t>
        </is>
      </c>
      <c r="G3522" s="21" t="inlineStr">
        <is>
          <t>TOTAL</t>
        </is>
      </c>
    </row>
    <row r="3523" ht="15" customHeight="1">
      <c r="A3523" s="22" t="inlineStr">
        <is>
          <t>00038102</t>
        </is>
      </c>
      <c r="B3523" s="23" t="inlineStr">
        <is>
          <t>TOMADA 2P+T 20A, 250V (APENAS MODULO)</t>
        </is>
      </c>
      <c r="C3523" s="22" t="inlineStr">
        <is>
          <t>SINAPI</t>
        </is>
      </c>
      <c r="D3523" s="22" t="inlineStr">
        <is>
          <t>UN</t>
        </is>
      </c>
      <c r="E3523" s="63" t="n">
        <v>1</v>
      </c>
      <c r="F3523" s="64">
        <f>ROUND(M3523*FATOR, 2)</f>
        <v/>
      </c>
      <c r="G3523" s="64">
        <f>TRUNC(TRUNC(E3523,8)*F3523,2)</f>
        <v/>
      </c>
      <c r="L3523" t="n">
        <v>1</v>
      </c>
      <c r="M3523" t="n">
        <v>9.91</v>
      </c>
      <c r="N3523">
        <f>(M3523-F3523)</f>
        <v/>
      </c>
    </row>
    <row r="3524" ht="15" customHeight="1">
      <c r="A3524" s="2" t="inlineStr"/>
      <c r="B3524" s="2" t="inlineStr"/>
      <c r="C3524" s="2" t="inlineStr"/>
      <c r="D3524" s="2" t="inlineStr"/>
      <c r="E3524" s="26" t="inlineStr">
        <is>
          <t>TOTAL Material:</t>
        </is>
      </c>
      <c r="F3524" s="56" t="n"/>
      <c r="G3524" s="65">
        <f>SUM(G3523:G3523)</f>
        <v/>
      </c>
    </row>
    <row r="3525" ht="15" customHeight="1">
      <c r="A3525" s="20" t="inlineStr">
        <is>
          <t>Mão de Obra com Encargos Complementares</t>
        </is>
      </c>
      <c r="B3525" s="56" t="n"/>
      <c r="C3525" s="21" t="inlineStr">
        <is>
          <t>FONTE</t>
        </is>
      </c>
      <c r="D3525" s="21" t="inlineStr">
        <is>
          <t>UNID</t>
        </is>
      </c>
      <c r="E3525" s="21" t="inlineStr">
        <is>
          <t>COEFICIENTE</t>
        </is>
      </c>
      <c r="F3525" s="21" t="inlineStr">
        <is>
          <t>PREÇO UNITÁRIO</t>
        </is>
      </c>
      <c r="G3525" s="21" t="inlineStr">
        <is>
          <t>TOTAL</t>
        </is>
      </c>
    </row>
    <row r="3526" ht="21" customHeight="1">
      <c r="A3526" s="22" t="inlineStr">
        <is>
          <t>88247</t>
        </is>
      </c>
      <c r="B3526" s="23" t="inlineStr">
        <is>
          <t>AUXILIAR DE ELETRICISTA COM ENCARGOS COMPLEMENTARES</t>
        </is>
      </c>
      <c r="C3526" s="22" t="inlineStr">
        <is>
          <t>SINAPI</t>
        </is>
      </c>
      <c r="D3526" s="22" t="inlineStr">
        <is>
          <t>H</t>
        </is>
      </c>
      <c r="E3526" s="63">
        <f>L3526*FATOR</f>
        <v/>
      </c>
      <c r="F3526" s="64">
        <f>'COMPOSICOES AUXILIARES'!G505</f>
        <v/>
      </c>
      <c r="G3526" s="64">
        <f>TRUNC(TRUNC(E3526,8)*F3526,2)</f>
        <v/>
      </c>
      <c r="L3526" t="n">
        <v>0.317</v>
      </c>
      <c r="M3526" t="n">
        <v>25.22</v>
      </c>
      <c r="N3526">
        <f>(M3526-F3526)</f>
        <v/>
      </c>
    </row>
    <row r="3527" ht="15" customHeight="1">
      <c r="A3527" s="22" t="inlineStr">
        <is>
          <t>88264</t>
        </is>
      </c>
      <c r="B3527" s="23" t="inlineStr">
        <is>
          <t>ELETRICISTA COM ENCARGOS COMPLEMENTARES</t>
        </is>
      </c>
      <c r="C3527" s="22" t="inlineStr">
        <is>
          <t>SINAPI</t>
        </is>
      </c>
      <c r="D3527" s="22" t="inlineStr">
        <is>
          <t>H</t>
        </is>
      </c>
      <c r="E3527" s="63">
        <f>L3527*FATOR</f>
        <v/>
      </c>
      <c r="F3527" s="64">
        <f>'COMPOSICOES AUXILIARES'!G713</f>
        <v/>
      </c>
      <c r="G3527" s="64">
        <f>TRUNC(TRUNC(E3527,8)*F3527,2)</f>
        <v/>
      </c>
      <c r="L3527" t="n">
        <v>0.317</v>
      </c>
      <c r="M3527" t="n">
        <v>30.96</v>
      </c>
      <c r="N3527">
        <f>(M3527-F3527)</f>
        <v/>
      </c>
    </row>
    <row r="3528" ht="18" customHeight="1">
      <c r="A3528" s="2" t="inlineStr"/>
      <c r="B3528" s="2" t="inlineStr"/>
      <c r="C3528" s="2" t="inlineStr"/>
      <c r="D3528" s="2" t="inlineStr"/>
      <c r="E3528" s="26" t="inlineStr">
        <is>
          <t>TOTAL Mão de Obra com Encargos Complementares:</t>
        </is>
      </c>
      <c r="F3528" s="56" t="n"/>
      <c r="G3528" s="65">
        <f>SUM(G3526:G3527)</f>
        <v/>
      </c>
    </row>
    <row r="3529" ht="15" customHeight="1">
      <c r="A3529" s="2" t="inlineStr"/>
      <c r="B3529" s="2" t="inlineStr"/>
      <c r="C3529" s="2" t="inlineStr"/>
      <c r="D3529" s="2" t="inlineStr"/>
      <c r="E3529" s="28" t="inlineStr">
        <is>
          <t>VALOR:</t>
        </is>
      </c>
      <c r="F3529" s="56" t="n"/>
      <c r="G3529" s="66">
        <f>SUM(G3528,G3524)</f>
        <v/>
      </c>
    </row>
    <row r="3530" ht="15" customHeight="1">
      <c r="A3530" s="2" t="inlineStr"/>
      <c r="B3530" s="2" t="inlineStr"/>
      <c r="C3530" s="2" t="inlineStr"/>
      <c r="D3530" s="2" t="inlineStr"/>
      <c r="E3530" s="28" t="inlineStr">
        <is>
          <t>VALOR BDI (23.08%):</t>
        </is>
      </c>
      <c r="F3530" s="56" t="n"/>
      <c r="G3530" s="66">
        <f>ROUNDDOWN(G3529*BDI,2)</f>
        <v/>
      </c>
    </row>
    <row r="3531" ht="15" customHeight="1">
      <c r="A3531" s="2" t="inlineStr"/>
      <c r="B3531" s="2" t="inlineStr"/>
      <c r="C3531" s="2" t="inlineStr"/>
      <c r="D3531" s="2" t="inlineStr"/>
      <c r="E3531" s="28" t="inlineStr">
        <is>
          <t>VALOR COM BDI:</t>
        </is>
      </c>
      <c r="F3531" s="56" t="n"/>
      <c r="G3531" s="66">
        <f>G3530 + G3529</f>
        <v/>
      </c>
    </row>
    <row r="3532" ht="10" customHeight="1">
      <c r="A3532" s="2" t="inlineStr"/>
      <c r="B3532" s="2" t="inlineStr"/>
      <c r="C3532" s="2" t="inlineStr"/>
      <c r="D3532" s="2" t="inlineStr"/>
      <c r="E3532" s="18" t="inlineStr"/>
    </row>
    <row r="3533" ht="20" customHeight="1">
      <c r="A3533" s="19" t="inlineStr">
        <is>
          <t>​92002​ TOMADA MÉDIA DE EMBUTIR (2 MÓDULOS), 2P+T 10 A, SEM SUPORTE E SEM PLACA - FORNECIMENTO E INSTALAÇÃO. AF_03/2023​ (UN)</t>
        </is>
      </c>
      <c r="B3533" s="55" t="n"/>
      <c r="C3533" s="55" t="n"/>
      <c r="D3533" s="55" t="n"/>
      <c r="E3533" s="55" t="n"/>
      <c r="F3533" s="55" t="n"/>
      <c r="G3533" s="56" t="n"/>
    </row>
    <row r="3534" ht="15" customHeight="1">
      <c r="A3534" s="20" t="inlineStr">
        <is>
          <t>Material</t>
        </is>
      </c>
      <c r="B3534" s="56" t="n"/>
      <c r="C3534" s="21" t="inlineStr">
        <is>
          <t>FONTE</t>
        </is>
      </c>
      <c r="D3534" s="21" t="inlineStr">
        <is>
          <t>UNID</t>
        </is>
      </c>
      <c r="E3534" s="21" t="inlineStr">
        <is>
          <t>COEFICIENTE</t>
        </is>
      </c>
      <c r="F3534" s="21" t="inlineStr">
        <is>
          <t>PREÇO UNITÁRIO</t>
        </is>
      </c>
      <c r="G3534" s="21" t="inlineStr">
        <is>
          <t>TOTAL</t>
        </is>
      </c>
    </row>
    <row r="3535" ht="15" customHeight="1">
      <c r="A3535" s="22" t="inlineStr">
        <is>
          <t>00038101</t>
        </is>
      </c>
      <c r="B3535" s="23" t="inlineStr">
        <is>
          <t>TOMADA 2P+T 10A, 250V (APENAS MODULO)</t>
        </is>
      </c>
      <c r="C3535" s="22" t="inlineStr">
        <is>
          <t>SINAPI</t>
        </is>
      </c>
      <c r="D3535" s="22" t="inlineStr">
        <is>
          <t>UN</t>
        </is>
      </c>
      <c r="E3535" s="63" t="n">
        <v>2</v>
      </c>
      <c r="F3535" s="64" t="n">
        <v>7.74</v>
      </c>
      <c r="G3535" s="64">
        <f>TRUNC(TRUNC(E3535,8)*F3535,2)</f>
        <v/>
      </c>
      <c r="L3535" t="n">
        <v>2</v>
      </c>
      <c r="M3535" t="n">
        <v>7.74</v>
      </c>
      <c r="N3535">
        <f>(M3535-F3535)</f>
        <v/>
      </c>
    </row>
    <row r="3536" ht="15" customHeight="1">
      <c r="A3536" s="2" t="inlineStr"/>
      <c r="B3536" s="2" t="inlineStr"/>
      <c r="C3536" s="2" t="inlineStr"/>
      <c r="D3536" s="2" t="inlineStr"/>
      <c r="E3536" s="26" t="inlineStr">
        <is>
          <t>TOTAL Material:</t>
        </is>
      </c>
      <c r="F3536" s="56" t="n"/>
      <c r="G3536" s="65">
        <f>SUM(G3535:G3535)</f>
        <v/>
      </c>
    </row>
    <row r="3537" ht="15" customHeight="1">
      <c r="A3537" s="20" t="inlineStr">
        <is>
          <t>Mão de Obra com Encargos Complementares</t>
        </is>
      </c>
      <c r="B3537" s="56" t="n"/>
      <c r="C3537" s="21" t="inlineStr">
        <is>
          <t>FONTE</t>
        </is>
      </c>
      <c r="D3537" s="21" t="inlineStr">
        <is>
          <t>UNID</t>
        </is>
      </c>
      <c r="E3537" s="21" t="inlineStr">
        <is>
          <t>COEFICIENTE</t>
        </is>
      </c>
      <c r="F3537" s="21" t="inlineStr">
        <is>
          <t>PREÇO UNITÁRIO</t>
        </is>
      </c>
      <c r="G3537" s="21" t="inlineStr">
        <is>
          <t>TOTAL</t>
        </is>
      </c>
    </row>
    <row r="3538" ht="21" customHeight="1">
      <c r="A3538" s="22" t="inlineStr">
        <is>
          <t>88247</t>
        </is>
      </c>
      <c r="B3538" s="23" t="inlineStr">
        <is>
          <t>AUXILIAR DE ELETRICISTA COM ENCARGOS COMPLEMENTARES</t>
        </is>
      </c>
      <c r="C3538" s="22" t="inlineStr">
        <is>
          <t>SINAPI</t>
        </is>
      </c>
      <c r="D3538" s="22" t="inlineStr">
        <is>
          <t>H</t>
        </is>
      </c>
      <c r="E3538" s="63" t="n">
        <v>0.572</v>
      </c>
      <c r="F3538" s="64">
        <f>G505</f>
        <v/>
      </c>
      <c r="G3538" s="64">
        <f>TRUNC(TRUNC(E3538,8)*F3538,2)</f>
        <v/>
      </c>
      <c r="L3538" t="n">
        <v>0.572</v>
      </c>
      <c r="M3538" t="n">
        <v>25.22</v>
      </c>
      <c r="N3538">
        <f>(M3538-F3538)</f>
        <v/>
      </c>
    </row>
    <row r="3539" ht="15" customHeight="1">
      <c r="A3539" s="22" t="inlineStr">
        <is>
          <t>88264</t>
        </is>
      </c>
      <c r="B3539" s="23" t="inlineStr">
        <is>
          <t>ELETRICISTA COM ENCARGOS COMPLEMENTARES</t>
        </is>
      </c>
      <c r="C3539" s="22" t="inlineStr">
        <is>
          <t>SINAPI</t>
        </is>
      </c>
      <c r="D3539" s="22" t="inlineStr">
        <is>
          <t>H</t>
        </is>
      </c>
      <c r="E3539" s="63" t="n">
        <v>0.572</v>
      </c>
      <c r="F3539" s="64">
        <f>G1826</f>
        <v/>
      </c>
      <c r="G3539" s="64">
        <f>TRUNC(TRUNC(E3539,8)*F3539,2)</f>
        <v/>
      </c>
      <c r="L3539" t="n">
        <v>0.572</v>
      </c>
      <c r="M3539" t="n">
        <v>30.96</v>
      </c>
      <c r="N3539">
        <f>(M3539-F3539)</f>
        <v/>
      </c>
    </row>
    <row r="3540" ht="18" customHeight="1">
      <c r="A3540" s="2" t="inlineStr"/>
      <c r="B3540" s="2" t="inlineStr"/>
      <c r="C3540" s="2" t="inlineStr"/>
      <c r="D3540" s="2" t="inlineStr"/>
      <c r="E3540" s="26" t="inlineStr">
        <is>
          <t>TOTAL Mão de Obra com Encargos Complementares:</t>
        </is>
      </c>
      <c r="F3540" s="56" t="n"/>
      <c r="G3540" s="65">
        <f>SUM(G3538:G3539)</f>
        <v/>
      </c>
    </row>
    <row r="3541" ht="15" customHeight="1">
      <c r="A3541" s="2" t="inlineStr"/>
      <c r="B3541" s="2" t="inlineStr"/>
      <c r="C3541" s="2" t="inlineStr"/>
      <c r="D3541" s="2" t="inlineStr"/>
      <c r="E3541" s="28" t="inlineStr">
        <is>
          <t>VALOR:</t>
        </is>
      </c>
      <c r="F3541" s="56" t="n"/>
      <c r="G3541" s="66">
        <f>ROUND(SUM(G3536,G3540),2)</f>
        <v/>
      </c>
    </row>
    <row r="3542" ht="15" customHeight="1">
      <c r="A3542" s="2" t="inlineStr"/>
      <c r="B3542" s="2" t="inlineStr"/>
      <c r="C3542" s="2" t="inlineStr"/>
      <c r="D3542" s="2" t="inlineStr"/>
      <c r="E3542" s="28" t="inlineStr">
        <is>
          <t>VALOR BDI (23.08%):</t>
        </is>
      </c>
      <c r="F3542" s="56" t="n"/>
      <c r="G3542" s="66">
        <f>ROUNDDOWN(G3541*BDI,2)</f>
        <v/>
      </c>
    </row>
    <row r="3543" ht="15" customHeight="1">
      <c r="A3543" s="2" t="inlineStr"/>
      <c r="B3543" s="2" t="inlineStr"/>
      <c r="C3543" s="2" t="inlineStr"/>
      <c r="D3543" s="2" t="inlineStr"/>
      <c r="E3543" s="28" t="inlineStr">
        <is>
          <t>VALOR COM BDI:</t>
        </is>
      </c>
      <c r="F3543" s="56" t="n"/>
      <c r="G3543" s="66">
        <f>G3542 + G3541</f>
        <v/>
      </c>
    </row>
    <row r="3544" ht="10" customHeight="1">
      <c r="A3544" s="2" t="inlineStr"/>
      <c r="B3544" s="2" t="inlineStr"/>
      <c r="C3544" s="2" t="inlineStr"/>
      <c r="D3544" s="2" t="inlineStr"/>
      <c r="E3544" s="18" t="inlineStr"/>
    </row>
    <row r="3545" ht="20" customHeight="1">
      <c r="A3545" s="19" t="inlineStr">
        <is>
          <t>​92003​ TOMADA MÉDIA DE EMBUTIR (2 MÓDULOS), 2P+T 20 A, SEM SUPORTE E SEM PLACA - FORNECIMENTO E INSTALAÇÃO. AF_03/2023​ (UN)</t>
        </is>
      </c>
      <c r="B3545" s="55" t="n"/>
      <c r="C3545" s="55" t="n"/>
      <c r="D3545" s="55" t="n"/>
      <c r="E3545" s="55" t="n"/>
      <c r="F3545" s="55" t="n"/>
      <c r="G3545" s="56" t="n"/>
    </row>
    <row r="3546" ht="15" customHeight="1">
      <c r="A3546" s="20" t="inlineStr">
        <is>
          <t>Material</t>
        </is>
      </c>
      <c r="B3546" s="56" t="n"/>
      <c r="C3546" s="21" t="inlineStr">
        <is>
          <t>FONTE</t>
        </is>
      </c>
      <c r="D3546" s="21" t="inlineStr">
        <is>
          <t>UNID</t>
        </is>
      </c>
      <c r="E3546" s="21" t="inlineStr">
        <is>
          <t>COEFICIENTE</t>
        </is>
      </c>
      <c r="F3546" s="21" t="inlineStr">
        <is>
          <t>PREÇO UNITÁRIO</t>
        </is>
      </c>
      <c r="G3546" s="21" t="inlineStr">
        <is>
          <t>TOTAL</t>
        </is>
      </c>
    </row>
    <row r="3547" ht="15" customHeight="1">
      <c r="A3547" s="22" t="inlineStr">
        <is>
          <t>00038102</t>
        </is>
      </c>
      <c r="B3547" s="23" t="inlineStr">
        <is>
          <t>TOMADA 2P+T 20A, 250V (APENAS MODULO)</t>
        </is>
      </c>
      <c r="C3547" s="22" t="inlineStr">
        <is>
          <t>SINAPI</t>
        </is>
      </c>
      <c r="D3547" s="22" t="inlineStr">
        <is>
          <t>UN</t>
        </is>
      </c>
      <c r="E3547" s="63" t="n">
        <v>2</v>
      </c>
      <c r="F3547" s="64" t="n">
        <v>9.91</v>
      </c>
      <c r="G3547" s="64">
        <f>TRUNC(TRUNC(E3547,8)*F3547,2)</f>
        <v/>
      </c>
      <c r="L3547" t="n">
        <v>2</v>
      </c>
      <c r="M3547" t="n">
        <v>9.91</v>
      </c>
      <c r="N3547">
        <f>(M3547-F3547)</f>
        <v/>
      </c>
    </row>
    <row r="3548" ht="15" customHeight="1">
      <c r="A3548" s="2" t="inlineStr"/>
      <c r="B3548" s="2" t="inlineStr"/>
      <c r="C3548" s="2" t="inlineStr"/>
      <c r="D3548" s="2" t="inlineStr"/>
      <c r="E3548" s="26" t="inlineStr">
        <is>
          <t>TOTAL Material:</t>
        </is>
      </c>
      <c r="F3548" s="56" t="n"/>
      <c r="G3548" s="65">
        <f>SUM(G3547:G3547)</f>
        <v/>
      </c>
    </row>
    <row r="3549" ht="15" customHeight="1">
      <c r="A3549" s="20" t="inlineStr">
        <is>
          <t>Mão de Obra com Encargos Complementares</t>
        </is>
      </c>
      <c r="B3549" s="56" t="n"/>
      <c r="C3549" s="21" t="inlineStr">
        <is>
          <t>FONTE</t>
        </is>
      </c>
      <c r="D3549" s="21" t="inlineStr">
        <is>
          <t>UNID</t>
        </is>
      </c>
      <c r="E3549" s="21" t="inlineStr">
        <is>
          <t>COEFICIENTE</t>
        </is>
      </c>
      <c r="F3549" s="21" t="inlineStr">
        <is>
          <t>PREÇO UNITÁRIO</t>
        </is>
      </c>
      <c r="G3549" s="21" t="inlineStr">
        <is>
          <t>TOTAL</t>
        </is>
      </c>
    </row>
    <row r="3550" ht="21" customHeight="1">
      <c r="A3550" s="22" t="inlineStr">
        <is>
          <t>88247</t>
        </is>
      </c>
      <c r="B3550" s="23" t="inlineStr">
        <is>
          <t>AUXILIAR DE ELETRICISTA COM ENCARGOS COMPLEMENTARES</t>
        </is>
      </c>
      <c r="C3550" s="22" t="inlineStr">
        <is>
          <t>SINAPI</t>
        </is>
      </c>
      <c r="D3550" s="22" t="inlineStr">
        <is>
          <t>H</t>
        </is>
      </c>
      <c r="E3550" s="63" t="n">
        <v>0.572</v>
      </c>
      <c r="F3550" s="64">
        <f>G505</f>
        <v/>
      </c>
      <c r="G3550" s="64">
        <f>TRUNC(TRUNC(E3550,8)*F3550,2)</f>
        <v/>
      </c>
      <c r="L3550" t="n">
        <v>0.572</v>
      </c>
      <c r="M3550" t="n">
        <v>25.22</v>
      </c>
      <c r="N3550">
        <f>(M3550-F3550)</f>
        <v/>
      </c>
    </row>
    <row r="3551" ht="15" customHeight="1">
      <c r="A3551" s="22" t="inlineStr">
        <is>
          <t>88264</t>
        </is>
      </c>
      <c r="B3551" s="23" t="inlineStr">
        <is>
          <t>ELETRICISTA COM ENCARGOS COMPLEMENTARES</t>
        </is>
      </c>
      <c r="C3551" s="22" t="inlineStr">
        <is>
          <t>SINAPI</t>
        </is>
      </c>
      <c r="D3551" s="22" t="inlineStr">
        <is>
          <t>H</t>
        </is>
      </c>
      <c r="E3551" s="63" t="n">
        <v>0.572</v>
      </c>
      <c r="F3551" s="64">
        <f>G1826</f>
        <v/>
      </c>
      <c r="G3551" s="64">
        <f>TRUNC(TRUNC(E3551,8)*F3551,2)</f>
        <v/>
      </c>
      <c r="L3551" t="n">
        <v>0.572</v>
      </c>
      <c r="M3551" t="n">
        <v>30.96</v>
      </c>
      <c r="N3551">
        <f>(M3551-F3551)</f>
        <v/>
      </c>
    </row>
    <row r="3552" ht="18" customHeight="1">
      <c r="A3552" s="2" t="inlineStr"/>
      <c r="B3552" s="2" t="inlineStr"/>
      <c r="C3552" s="2" t="inlineStr"/>
      <c r="D3552" s="2" t="inlineStr"/>
      <c r="E3552" s="26" t="inlineStr">
        <is>
          <t>TOTAL Mão de Obra com Encargos Complementares:</t>
        </is>
      </c>
      <c r="F3552" s="56" t="n"/>
      <c r="G3552" s="65">
        <f>SUM(G3550:G3551)</f>
        <v/>
      </c>
    </row>
    <row r="3553" ht="15" customHeight="1">
      <c r="A3553" s="2" t="inlineStr"/>
      <c r="B3553" s="2" t="inlineStr"/>
      <c r="C3553" s="2" t="inlineStr"/>
      <c r="D3553" s="2" t="inlineStr"/>
      <c r="E3553" s="28" t="inlineStr">
        <is>
          <t>VALOR:</t>
        </is>
      </c>
      <c r="F3553" s="56" t="n"/>
      <c r="G3553" s="66">
        <f>ROUND(SUM(G3548,G3552),2)</f>
        <v/>
      </c>
    </row>
    <row r="3554" ht="15" customHeight="1">
      <c r="A3554" s="2" t="inlineStr"/>
      <c r="B3554" s="2" t="inlineStr"/>
      <c r="C3554" s="2" t="inlineStr"/>
      <c r="D3554" s="2" t="inlineStr"/>
      <c r="E3554" s="28" t="inlineStr">
        <is>
          <t>VALOR BDI (23.08%):</t>
        </is>
      </c>
      <c r="F3554" s="56" t="n"/>
      <c r="G3554" s="66">
        <f>ROUNDDOWN(G3553*BDI,2)</f>
        <v/>
      </c>
    </row>
    <row r="3555" ht="15" customHeight="1">
      <c r="A3555" s="2" t="inlineStr"/>
      <c r="B3555" s="2" t="inlineStr"/>
      <c r="C3555" s="2" t="inlineStr"/>
      <c r="D3555" s="2" t="inlineStr"/>
      <c r="E3555" s="28" t="inlineStr">
        <is>
          <t>VALOR COM BDI:</t>
        </is>
      </c>
      <c r="F3555" s="56" t="n"/>
      <c r="G3555" s="66">
        <f>G3554 + G3553</f>
        <v/>
      </c>
    </row>
    <row r="3556" ht="10" customHeight="1">
      <c r="A3556" s="2" t="inlineStr"/>
      <c r="B3556" s="2" t="inlineStr"/>
      <c r="C3556" s="2" t="inlineStr"/>
      <c r="D3556" s="2" t="inlineStr"/>
      <c r="E3556" s="18" t="inlineStr"/>
    </row>
    <row r="3557" ht="20" customHeight="1">
      <c r="A3557" s="19" t="inlineStr">
        <is>
          <t>​86915​ TORNEIRA CROMADA DE MESA, 1/2" OU 3/4", PARA LAVATÓRIO, PADRÃO MÉDIO - FORNECIMENTO E INSTALAÇÃO. AF_01/2020​ (UN)</t>
        </is>
      </c>
      <c r="B3557" s="55" t="n"/>
      <c r="C3557" s="55" t="n"/>
      <c r="D3557" s="55" t="n"/>
      <c r="E3557" s="55" t="n"/>
      <c r="F3557" s="55" t="n"/>
      <c r="G3557" s="56" t="n"/>
    </row>
    <row r="3558" ht="15" customHeight="1">
      <c r="A3558" s="20" t="inlineStr">
        <is>
          <t>Material</t>
        </is>
      </c>
      <c r="B3558" s="56" t="n"/>
      <c r="C3558" s="21" t="inlineStr">
        <is>
          <t>FONTE</t>
        </is>
      </c>
      <c r="D3558" s="21" t="inlineStr">
        <is>
          <t>UNID</t>
        </is>
      </c>
      <c r="E3558" s="21" t="inlineStr">
        <is>
          <t>COEFICIENTE</t>
        </is>
      </c>
      <c r="F3558" s="21" t="inlineStr">
        <is>
          <t>PREÇO UNITÁRIO</t>
        </is>
      </c>
      <c r="G3558" s="21" t="inlineStr">
        <is>
          <t>TOTAL</t>
        </is>
      </c>
    </row>
    <row r="3559" ht="21" customHeight="1">
      <c r="A3559" s="22" t="inlineStr">
        <is>
          <t>00003146</t>
        </is>
      </c>
      <c r="B3559" s="23" t="inlineStr">
        <is>
          <t>FITA VEDA ROSCA, EM PTFE, ROLO DE 18 MM X 10 M (L X C)</t>
        </is>
      </c>
      <c r="C3559" s="22" t="inlineStr">
        <is>
          <t>SINAPI</t>
        </is>
      </c>
      <c r="D3559" s="22" t="inlineStr">
        <is>
          <t>UN</t>
        </is>
      </c>
      <c r="E3559" s="63" t="n">
        <v>0.021</v>
      </c>
      <c r="F3559" s="64">
        <f>ROUND(M3559*FATOR, 2)</f>
        <v/>
      </c>
      <c r="G3559" s="64">
        <f>TRUNC(TRUNC(E3559,8)*F3559,2)</f>
        <v/>
      </c>
      <c r="L3559" t="n">
        <v>0.021</v>
      </c>
      <c r="M3559" t="n">
        <v>4</v>
      </c>
      <c r="N3559">
        <f>(M3559-F3559)</f>
        <v/>
      </c>
    </row>
    <row r="3560" ht="21" customHeight="1">
      <c r="A3560" s="22" t="inlineStr">
        <is>
          <t>00036791</t>
        </is>
      </c>
      <c r="B3560" s="23" t="inlineStr">
        <is>
          <t>TORNEIRA METALICA CROMADA DE MESA PARA LAVATORIO, BICA ALTA, COM AREJADOR</t>
        </is>
      </c>
      <c r="C3560" s="22" t="inlineStr">
        <is>
          <t>SINAPI</t>
        </is>
      </c>
      <c r="D3560" s="22" t="inlineStr">
        <is>
          <t>UN</t>
        </is>
      </c>
      <c r="E3560" s="63" t="n">
        <v>1</v>
      </c>
      <c r="F3560" s="64">
        <f>ROUND(M3560*FATOR, 2)</f>
        <v/>
      </c>
      <c r="G3560" s="64">
        <f>TRUNC(TRUNC(E3560,8)*F3560,2)</f>
        <v/>
      </c>
      <c r="L3560" t="n">
        <v>1</v>
      </c>
      <c r="M3560" t="n">
        <v>144.63</v>
      </c>
      <c r="N3560">
        <f>(M3560-F3560)</f>
        <v/>
      </c>
    </row>
    <row r="3561" ht="15" customHeight="1">
      <c r="A3561" s="2" t="inlineStr"/>
      <c r="B3561" s="2" t="inlineStr"/>
      <c r="C3561" s="2" t="inlineStr"/>
      <c r="D3561" s="2" t="inlineStr"/>
      <c r="E3561" s="26" t="inlineStr">
        <is>
          <t>TOTAL Material:</t>
        </is>
      </c>
      <c r="F3561" s="56" t="n"/>
      <c r="G3561" s="65">
        <f>SUM(G3559:G3560)</f>
        <v/>
      </c>
    </row>
    <row r="3562" ht="15" customHeight="1">
      <c r="A3562" s="20" t="inlineStr">
        <is>
          <t>Mão de Obra com Encargos Complementares</t>
        </is>
      </c>
      <c r="B3562" s="56" t="n"/>
      <c r="C3562" s="21" t="inlineStr">
        <is>
          <t>FONTE</t>
        </is>
      </c>
      <c r="D3562" s="21" t="inlineStr">
        <is>
          <t>UNID</t>
        </is>
      </c>
      <c r="E3562" s="21" t="inlineStr">
        <is>
          <t>COEFICIENTE</t>
        </is>
      </c>
      <c r="F3562" s="21" t="inlineStr">
        <is>
          <t>PREÇO UNITÁRIO</t>
        </is>
      </c>
      <c r="G3562" s="21" t="inlineStr">
        <is>
          <t>TOTAL</t>
        </is>
      </c>
    </row>
    <row r="3563" ht="21" customHeight="1">
      <c r="A3563" s="22" t="inlineStr">
        <is>
          <t>88267</t>
        </is>
      </c>
      <c r="B3563" s="23" t="inlineStr">
        <is>
          <t>ENCANADOR OU BOMBEIRO HIDRÁULICO COM ENCARGOS COMPLEMENTARES</t>
        </is>
      </c>
      <c r="C3563" s="22" t="inlineStr">
        <is>
          <t>SINAPI</t>
        </is>
      </c>
      <c r="D3563" s="22" t="inlineStr">
        <is>
          <t>H</t>
        </is>
      </c>
      <c r="E3563" s="63">
        <f>L3563*FATOR</f>
        <v/>
      </c>
      <c r="F3563" s="64">
        <f>'COMPOSICOES AUXILIARES'!G474</f>
        <v/>
      </c>
      <c r="G3563" s="64">
        <f>TRUNC(TRUNC(E3563,8)*F3563,2)</f>
        <v/>
      </c>
      <c r="L3563" t="n">
        <v>0.096</v>
      </c>
      <c r="M3563" t="n">
        <v>29.86</v>
      </c>
      <c r="N3563">
        <f>(M3563-F3563)</f>
        <v/>
      </c>
    </row>
    <row r="3564" ht="15" customHeight="1">
      <c r="A3564" s="22" t="inlineStr">
        <is>
          <t>88316</t>
        </is>
      </c>
      <c r="B3564" s="23" t="inlineStr">
        <is>
          <t>SERVENTE COM ENCARGOS COMPLEMENTARES</t>
        </is>
      </c>
      <c r="C3564" s="22" t="inlineStr">
        <is>
          <t>SINAPI</t>
        </is>
      </c>
      <c r="D3564" s="22" t="inlineStr">
        <is>
          <t>H</t>
        </is>
      </c>
      <c r="E3564" s="63">
        <f>L3564*FATOR</f>
        <v/>
      </c>
      <c r="F3564" s="64">
        <f>'COMPOSICOES AUXILIARES'!G161</f>
        <v/>
      </c>
      <c r="G3564" s="64">
        <f>TRUNC(TRUNC(E3564,8)*F3564,2)</f>
        <v/>
      </c>
      <c r="L3564" t="n">
        <v>0.0303</v>
      </c>
      <c r="M3564" t="n">
        <v>23.56</v>
      </c>
      <c r="N3564">
        <f>(M3564-F3564)</f>
        <v/>
      </c>
    </row>
    <row r="3565" ht="18" customHeight="1">
      <c r="A3565" s="2" t="inlineStr"/>
      <c r="B3565" s="2" t="inlineStr"/>
      <c r="C3565" s="2" t="inlineStr"/>
      <c r="D3565" s="2" t="inlineStr"/>
      <c r="E3565" s="26" t="inlineStr">
        <is>
          <t>TOTAL Mão de Obra com Encargos Complementares:</t>
        </is>
      </c>
      <c r="F3565" s="56" t="n"/>
      <c r="G3565" s="65">
        <f>SUM(G3563:G3564)</f>
        <v/>
      </c>
    </row>
    <row r="3566" ht="15" customHeight="1">
      <c r="A3566" s="2" t="inlineStr"/>
      <c r="B3566" s="2" t="inlineStr"/>
      <c r="C3566" s="2" t="inlineStr"/>
      <c r="D3566" s="2" t="inlineStr"/>
      <c r="E3566" s="28" t="inlineStr">
        <is>
          <t>VALOR:</t>
        </is>
      </c>
      <c r="F3566" s="56" t="n"/>
      <c r="G3566" s="66">
        <f>SUM(G3561,G3565)</f>
        <v/>
      </c>
    </row>
    <row r="3567" ht="15" customHeight="1">
      <c r="A3567" s="2" t="inlineStr"/>
      <c r="B3567" s="2" t="inlineStr"/>
      <c r="C3567" s="2" t="inlineStr"/>
      <c r="D3567" s="2" t="inlineStr"/>
      <c r="E3567" s="28" t="inlineStr">
        <is>
          <t>VALOR BDI (23.08%):</t>
        </is>
      </c>
      <c r="F3567" s="56" t="n"/>
      <c r="G3567" s="66">
        <f>ROUNDDOWN(G3566*BDI,2)</f>
        <v/>
      </c>
    </row>
    <row r="3568" ht="15" customHeight="1">
      <c r="A3568" s="2" t="inlineStr"/>
      <c r="B3568" s="2" t="inlineStr"/>
      <c r="C3568" s="2" t="inlineStr"/>
      <c r="D3568" s="2" t="inlineStr"/>
      <c r="E3568" s="28" t="inlineStr">
        <is>
          <t>VALOR COM BDI:</t>
        </is>
      </c>
      <c r="F3568" s="56" t="n"/>
      <c r="G3568" s="66">
        <f>G3567 + G3566</f>
        <v/>
      </c>
    </row>
    <row r="3569" ht="10" customHeight="1">
      <c r="A3569" s="2" t="inlineStr"/>
      <c r="B3569" s="2" t="inlineStr"/>
      <c r="C3569" s="2" t="inlineStr"/>
      <c r="D3569" s="2" t="inlineStr"/>
      <c r="E3569" s="18" t="inlineStr"/>
    </row>
    <row r="3570" ht="20" customHeight="1">
      <c r="A3570" s="19" t="inlineStr">
        <is>
          <t>​100952​ TRANSPORTE COM CAMINHÃO CARROCERIA COM GUINDAUTO (MUNCK), MOMENTO MÁXIMO DE CARGA 11,7 TM, EM VIA URBANA PAVIMENTADA, DMT ATÉ 30KM (UNIDADE: TXKM). AF_07/2020​ (TXKM)</t>
        </is>
      </c>
      <c r="B3570" s="55" t="n"/>
      <c r="C3570" s="55" t="n"/>
      <c r="D3570" s="55" t="n"/>
      <c r="E3570" s="55" t="n"/>
      <c r="F3570" s="55" t="n"/>
      <c r="G3570" s="56" t="n"/>
    </row>
    <row r="3571" ht="15" customHeight="1">
      <c r="A3571" s="20" t="inlineStr">
        <is>
          <t>Equipamento Custo Horário</t>
        </is>
      </c>
      <c r="B3571" s="56" t="n"/>
      <c r="C3571" s="21" t="inlineStr">
        <is>
          <t>FONTE</t>
        </is>
      </c>
      <c r="D3571" s="21" t="inlineStr">
        <is>
          <t>UNID</t>
        </is>
      </c>
      <c r="E3571" s="21" t="inlineStr">
        <is>
          <t>COEFICIENTE</t>
        </is>
      </c>
      <c r="F3571" s="21" t="inlineStr">
        <is>
          <t>PREÇO UNITÁRIO</t>
        </is>
      </c>
      <c r="G3571" s="21" t="inlineStr">
        <is>
          <t>TOTAL</t>
        </is>
      </c>
    </row>
    <row r="3572" ht="46" customHeight="1">
      <c r="A3572" s="22" t="inlineStr">
        <is>
          <t>5930</t>
        </is>
      </c>
      <c r="B3572" s="23" t="inlineStr">
        <is>
          <t>GUINDAUTO HIDRÁULICO, CAPACIDADE MÁXIMA DE CARGA 6200 KG, MOMENTO MÁXIMO DE CARGA 11,7 TM, ALCANCE MÁXIMO HORIZONTAL 9,70 M, INCLUSIVE CAMINHÃO TOCO PBT 16.000 KG, POTÊNCIA DE 189 CV - CHI DIURNO. AF_06/2014</t>
        </is>
      </c>
      <c r="C3572" s="22" t="inlineStr">
        <is>
          <t>SINAPI</t>
        </is>
      </c>
      <c r="D3572" s="22" t="inlineStr">
        <is>
          <t>CHI</t>
        </is>
      </c>
      <c r="E3572" s="63" t="n">
        <v>0.004</v>
      </c>
      <c r="F3572" s="64">
        <f>'COMPOSICOES AUXILIARES'!G474</f>
        <v/>
      </c>
      <c r="G3572" s="64">
        <f>TRUNC(TRUNC(E3572,8)*F3572,2)</f>
        <v/>
      </c>
      <c r="L3572" t="n">
        <v>0.004</v>
      </c>
      <c r="M3572" t="n">
        <v>79.83</v>
      </c>
      <c r="N3572">
        <f>(M3572-F3572)</f>
        <v/>
      </c>
    </row>
    <row r="3573" ht="46" customHeight="1">
      <c r="A3573" s="22" t="inlineStr">
        <is>
          <t>5928</t>
        </is>
      </c>
      <c r="B3573" s="23" t="inlineStr">
        <is>
          <t>GUINDAUTO HIDRÁULICO, CAPACIDADE MÁXIMA DE CARGA 6200 KG, MOMENTO MÁXIMO DE CARGA 11,7 TM, ALCANCE MÁXIMO HORIZONTAL 9,70 M, INCLUSIVE CAMINHÃO TOCO PBT 16.000 KG, POTÊNCIA DE 189 CV - CHP DIURNO. AF_06/2014</t>
        </is>
      </c>
      <c r="C3573" s="22" t="inlineStr">
        <is>
          <t>SINAPI</t>
        </is>
      </c>
      <c r="D3573" s="22" t="inlineStr">
        <is>
          <t>CHP</t>
        </is>
      </c>
      <c r="E3573" s="63" t="n">
        <v>0.009299999999999999</v>
      </c>
      <c r="F3573" s="64">
        <f>'COMPOSICOES AUXILIARES'!G474</f>
        <v/>
      </c>
      <c r="G3573" s="64">
        <f>TRUNC(TRUNC(E3573,8)*F3573,2)</f>
        <v/>
      </c>
      <c r="L3573" t="n">
        <v>0.009299999999999999</v>
      </c>
      <c r="M3573" t="n">
        <v>285.05</v>
      </c>
      <c r="N3573">
        <f>(M3573-F3573)</f>
        <v/>
      </c>
    </row>
    <row r="3574" ht="18" customHeight="1">
      <c r="A3574" s="2" t="inlineStr"/>
      <c r="B3574" s="2" t="inlineStr"/>
      <c r="C3574" s="2" t="inlineStr"/>
      <c r="D3574" s="2" t="inlineStr"/>
      <c r="E3574" s="26" t="inlineStr">
        <is>
          <t>TOTAL Equipamento Custo Horário:</t>
        </is>
      </c>
      <c r="F3574" s="56" t="n"/>
      <c r="G3574" s="65">
        <f>SUM(G3572:G3573)</f>
        <v/>
      </c>
    </row>
    <row r="3575" ht="15" customHeight="1">
      <c r="A3575" s="2" t="inlineStr"/>
      <c r="B3575" s="2" t="inlineStr"/>
      <c r="C3575" s="2" t="inlineStr"/>
      <c r="D3575" s="2" t="inlineStr"/>
      <c r="E3575" s="28" t="inlineStr">
        <is>
          <t>VALOR:</t>
        </is>
      </c>
      <c r="F3575" s="56" t="n"/>
      <c r="G3575" s="66">
        <f>SUM(G3574)</f>
        <v/>
      </c>
    </row>
    <row r="3576" ht="15" customHeight="1">
      <c r="A3576" s="2" t="inlineStr"/>
      <c r="B3576" s="2" t="inlineStr"/>
      <c r="C3576" s="2" t="inlineStr"/>
      <c r="D3576" s="2" t="inlineStr"/>
      <c r="E3576" s="28" t="inlineStr">
        <is>
          <t>VALOR BDI (23.08%):</t>
        </is>
      </c>
      <c r="F3576" s="56" t="n"/>
      <c r="G3576" s="66">
        <f>ROUNDDOWN(G3575*BDI,2)</f>
        <v/>
      </c>
    </row>
    <row r="3577" ht="15" customHeight="1">
      <c r="A3577" s="2" t="inlineStr"/>
      <c r="B3577" s="2" t="inlineStr"/>
      <c r="C3577" s="2" t="inlineStr"/>
      <c r="D3577" s="2" t="inlineStr"/>
      <c r="E3577" s="28" t="inlineStr">
        <is>
          <t>VALOR COM BDI:</t>
        </is>
      </c>
      <c r="F3577" s="56" t="n"/>
      <c r="G3577" s="66">
        <f>G3576 + G3575</f>
        <v/>
      </c>
    </row>
    <row r="3578" ht="10" customHeight="1">
      <c r="A3578" s="2" t="inlineStr"/>
      <c r="B3578" s="2" t="inlineStr"/>
      <c r="C3578" s="2" t="inlineStr"/>
      <c r="D3578" s="2" t="inlineStr"/>
      <c r="E3578" s="18" t="inlineStr"/>
    </row>
    <row r="3579" ht="20" customHeight="1">
      <c r="A3579" s="19" t="inlineStr">
        <is>
          <t>​100205​ TRANSPORTE HORIZONTAL COM JERICA DE 60 L, DE MASSA/ GRANEL (UNIDADE: M3XKM). AF_07/2019​ (M3XKM)</t>
        </is>
      </c>
      <c r="B3579" s="55" t="n"/>
      <c r="C3579" s="55" t="n"/>
      <c r="D3579" s="55" t="n"/>
      <c r="E3579" s="55" t="n"/>
      <c r="F3579" s="55" t="n"/>
      <c r="G3579" s="56" t="n"/>
    </row>
    <row r="3580" ht="15" customHeight="1">
      <c r="A3580" s="20" t="inlineStr">
        <is>
          <t>Mão de Obra com Encargos Complementares</t>
        </is>
      </c>
      <c r="B3580" s="56" t="n"/>
      <c r="C3580" s="21" t="inlineStr">
        <is>
          <t>FONTE</t>
        </is>
      </c>
      <c r="D3580" s="21" t="inlineStr">
        <is>
          <t>UNID</t>
        </is>
      </c>
      <c r="E3580" s="21" t="inlineStr">
        <is>
          <t>COEFICIENTE</t>
        </is>
      </c>
      <c r="F3580" s="21" t="inlineStr">
        <is>
          <t>PREÇO UNITÁRIO</t>
        </is>
      </c>
      <c r="G3580" s="21" t="inlineStr">
        <is>
          <t>TOTAL</t>
        </is>
      </c>
    </row>
    <row r="3581" ht="15" customHeight="1">
      <c r="A3581" s="22" t="inlineStr">
        <is>
          <t>88316</t>
        </is>
      </c>
      <c r="B3581" s="23" t="inlineStr">
        <is>
          <t>SERVENTE COM ENCARGOS COMPLEMENTARES</t>
        </is>
      </c>
      <c r="C3581" s="22" t="inlineStr">
        <is>
          <t>SINAPI</t>
        </is>
      </c>
      <c r="D3581" s="22" t="inlineStr">
        <is>
          <t>H</t>
        </is>
      </c>
      <c r="E3581" s="63">
        <f>L3581*FATOR</f>
        <v/>
      </c>
      <c r="F3581" s="64">
        <f>'COMPOSICOES AUXILIARES'!G161</f>
        <v/>
      </c>
      <c r="G3581" s="64">
        <f>TRUNC(TRUNC(E3581,8)*F3581,2)</f>
        <v/>
      </c>
      <c r="L3581" t="n">
        <v>68.3065</v>
      </c>
      <c r="M3581" t="n">
        <v>23.56</v>
      </c>
      <c r="N3581">
        <f>(M3581-F3581)</f>
        <v/>
      </c>
    </row>
    <row r="3582" ht="18" customHeight="1">
      <c r="A3582" s="2" t="inlineStr"/>
      <c r="B3582" s="2" t="inlineStr"/>
      <c r="C3582" s="2" t="inlineStr"/>
      <c r="D3582" s="2" t="inlineStr"/>
      <c r="E3582" s="26" t="inlineStr">
        <is>
          <t>TOTAL Mão de Obra com Encargos Complementares:</t>
        </is>
      </c>
      <c r="F3582" s="56" t="n"/>
      <c r="G3582" s="65">
        <f>SUM(G3581:G3581)</f>
        <v/>
      </c>
    </row>
    <row r="3583" ht="15" customHeight="1">
      <c r="A3583" s="2" t="inlineStr"/>
      <c r="B3583" s="2" t="inlineStr"/>
      <c r="C3583" s="2" t="inlineStr"/>
      <c r="D3583" s="2" t="inlineStr"/>
      <c r="E3583" s="28" t="inlineStr">
        <is>
          <t>VALOR:</t>
        </is>
      </c>
      <c r="F3583" s="56" t="n"/>
      <c r="G3583" s="66">
        <f>SUM(G3582)</f>
        <v/>
      </c>
    </row>
    <row r="3584" ht="15" customHeight="1">
      <c r="A3584" s="2" t="inlineStr"/>
      <c r="B3584" s="2" t="inlineStr"/>
      <c r="C3584" s="2" t="inlineStr"/>
      <c r="D3584" s="2" t="inlineStr"/>
      <c r="E3584" s="28" t="inlineStr">
        <is>
          <t>VALOR BDI (23.08%):</t>
        </is>
      </c>
      <c r="F3584" s="56" t="n"/>
      <c r="G3584" s="66">
        <f>ROUNDDOWN(G3583*BDI,2)</f>
        <v/>
      </c>
    </row>
    <row r="3585" ht="15" customHeight="1">
      <c r="A3585" s="2" t="inlineStr"/>
      <c r="B3585" s="2" t="inlineStr"/>
      <c r="C3585" s="2" t="inlineStr"/>
      <c r="D3585" s="2" t="inlineStr"/>
      <c r="E3585" s="28" t="inlineStr">
        <is>
          <t>VALOR COM BDI:</t>
        </is>
      </c>
      <c r="F3585" s="56" t="n"/>
      <c r="G3585" s="66">
        <f>G3584 + G3583</f>
        <v/>
      </c>
    </row>
    <row r="3586" ht="10" customHeight="1">
      <c r="A3586" s="2" t="inlineStr"/>
      <c r="B3586" s="2" t="inlineStr"/>
      <c r="C3586" s="2" t="inlineStr"/>
      <c r="D3586" s="2" t="inlineStr"/>
      <c r="E3586" s="18" t="inlineStr"/>
    </row>
    <row r="3587" ht="20" customHeight="1">
      <c r="A3587" s="19" t="inlineStr">
        <is>
          <t>​100231​ TRANSPORTE VERTICAL MANUAL, 1 PAVIMENTO, DE SACOS DE 20 KG (UNIDADE: KG). AF_07/2019​ (KG)</t>
        </is>
      </c>
      <c r="B3587" s="55" t="n"/>
      <c r="C3587" s="55" t="n"/>
      <c r="D3587" s="55" t="n"/>
      <c r="E3587" s="55" t="n"/>
      <c r="F3587" s="55" t="n"/>
      <c r="G3587" s="56" t="n"/>
    </row>
    <row r="3588" ht="15" customHeight="1">
      <c r="A3588" s="20" t="inlineStr">
        <is>
          <t>Mão de Obra com Encargos Complementares</t>
        </is>
      </c>
      <c r="B3588" s="56" t="n"/>
      <c r="C3588" s="21" t="inlineStr">
        <is>
          <t>FONTE</t>
        </is>
      </c>
      <c r="D3588" s="21" t="inlineStr">
        <is>
          <t>UNID</t>
        </is>
      </c>
      <c r="E3588" s="21" t="inlineStr">
        <is>
          <t>COEFICIENTE</t>
        </is>
      </c>
      <c r="F3588" s="21" t="inlineStr">
        <is>
          <t>PREÇO UNITÁRIO</t>
        </is>
      </c>
      <c r="G3588" s="21" t="inlineStr">
        <is>
          <t>TOTAL</t>
        </is>
      </c>
    </row>
    <row r="3589" ht="15" customHeight="1">
      <c r="A3589" s="22" t="inlineStr">
        <is>
          <t>88316</t>
        </is>
      </c>
      <c r="B3589" s="23" t="inlineStr">
        <is>
          <t>SERVENTE COM ENCARGOS COMPLEMENTARES</t>
        </is>
      </c>
      <c r="C3589" s="22" t="inlineStr">
        <is>
          <t>SINAPI</t>
        </is>
      </c>
      <c r="D3589" s="22" t="inlineStr">
        <is>
          <t>H</t>
        </is>
      </c>
      <c r="E3589" s="63">
        <f>L3589*FATOR</f>
        <v/>
      </c>
      <c r="F3589" s="64">
        <f>'COMPOSICOES AUXILIARES'!G161</f>
        <v/>
      </c>
      <c r="G3589" s="64">
        <f>TRUNC(TRUNC(E3589,8)*F3589,2)</f>
        <v/>
      </c>
      <c r="L3589" t="n">
        <v>0.0018</v>
      </c>
      <c r="M3589" t="n">
        <v>23.56</v>
      </c>
      <c r="N3589">
        <f>(M3589-F3589)</f>
        <v/>
      </c>
    </row>
    <row r="3590" ht="18" customHeight="1">
      <c r="A3590" s="2" t="inlineStr"/>
      <c r="B3590" s="2" t="inlineStr"/>
      <c r="C3590" s="2" t="inlineStr"/>
      <c r="D3590" s="2" t="inlineStr"/>
      <c r="E3590" s="26" t="inlineStr">
        <is>
          <t>TOTAL Mão de Obra com Encargos Complementares:</t>
        </is>
      </c>
      <c r="F3590" s="56" t="n"/>
      <c r="G3590" s="65">
        <f>SUM(G3589:G3589)</f>
        <v/>
      </c>
    </row>
    <row r="3591" ht="15" customHeight="1">
      <c r="A3591" s="2" t="inlineStr"/>
      <c r="B3591" s="2" t="inlineStr"/>
      <c r="C3591" s="2" t="inlineStr"/>
      <c r="D3591" s="2" t="inlineStr"/>
      <c r="E3591" s="28" t="inlineStr">
        <is>
          <t>VALOR:</t>
        </is>
      </c>
      <c r="F3591" s="56" t="n"/>
      <c r="G3591" s="66">
        <f>SUM(G3590)</f>
        <v/>
      </c>
    </row>
    <row r="3592" ht="15" customHeight="1">
      <c r="A3592" s="2" t="inlineStr"/>
      <c r="B3592" s="2" t="inlineStr"/>
      <c r="C3592" s="2" t="inlineStr"/>
      <c r="D3592" s="2" t="inlineStr"/>
      <c r="E3592" s="28" t="inlineStr">
        <is>
          <t>VALOR BDI (23.08%):</t>
        </is>
      </c>
      <c r="F3592" s="56" t="n"/>
      <c r="G3592" s="66">
        <f>ROUNDDOWN(G3591*BDI,2)</f>
        <v/>
      </c>
    </row>
    <row r="3593" ht="15" customHeight="1">
      <c r="A3593" s="2" t="inlineStr"/>
      <c r="B3593" s="2" t="inlineStr"/>
      <c r="C3593" s="2" t="inlineStr"/>
      <c r="D3593" s="2" t="inlineStr"/>
      <c r="E3593" s="28" t="inlineStr">
        <is>
          <t>VALOR COM BDI:</t>
        </is>
      </c>
      <c r="F3593" s="56" t="n"/>
      <c r="G3593" s="66">
        <f>G3592 + G3591</f>
        <v/>
      </c>
    </row>
    <row r="3594" ht="10" customHeight="1">
      <c r="A3594" s="2" t="inlineStr"/>
      <c r="B3594" s="2" t="inlineStr"/>
      <c r="C3594" s="2" t="inlineStr"/>
      <c r="D3594" s="2" t="inlineStr"/>
      <c r="E3594" s="18" t="inlineStr"/>
    </row>
    <row r="3595" ht="20" customHeight="1">
      <c r="A3595" s="19" t="inlineStr">
        <is>
          <t>​I0779​ TRATOR DE ESTEIRAS C/LÂMINA E ESC. HP 155 (CHP)​ (H)</t>
        </is>
      </c>
      <c r="B3595" s="55" t="n"/>
      <c r="C3595" s="55" t="n"/>
      <c r="D3595" s="55" t="n"/>
      <c r="E3595" s="55" t="n"/>
      <c r="F3595" s="55" t="n"/>
      <c r="G3595" s="56" t="n"/>
    </row>
    <row r="3596" ht="15" customHeight="1">
      <c r="A3596" s="20" t="inlineStr">
        <is>
          <t>Geral</t>
        </is>
      </c>
      <c r="B3596" s="56" t="n"/>
      <c r="C3596" s="21" t="inlineStr">
        <is>
          <t>FONTE</t>
        </is>
      </c>
      <c r="D3596" s="21" t="inlineStr">
        <is>
          <t>UNID</t>
        </is>
      </c>
      <c r="E3596" s="21" t="inlineStr">
        <is>
          <t>COEFICIENTE</t>
        </is>
      </c>
      <c r="F3596" s="21">
        <f>G677</f>
        <v/>
      </c>
      <c r="G3596" s="21" t="inlineStr">
        <is>
          <t>TOTAL</t>
        </is>
      </c>
    </row>
    <row r="3597" ht="21" customHeight="1">
      <c r="A3597" s="22" t="inlineStr">
        <is>
          <t>I2842</t>
        </is>
      </c>
      <c r="B3597" s="23" t="inlineStr">
        <is>
          <t>MÃO DE OBRA DE OPERAÇÃO DO TRATOR DE ESTEIRAS C/ LÂMINA E ESC. (155 HP)</t>
        </is>
      </c>
      <c r="C3597" s="22" t="inlineStr">
        <is>
          <t>SEINFRA</t>
        </is>
      </c>
      <c r="D3597" s="22" t="inlineStr">
        <is>
          <t>H</t>
        </is>
      </c>
      <c r="E3597" s="63" t="n">
        <v>1</v>
      </c>
      <c r="F3597" s="67">
        <f>'COMPOSICOES AUXILIARES'!G2782</f>
        <v/>
      </c>
      <c r="G3597" s="67">
        <f>ROUND(ROUND(E3597,8)*F3597,4)</f>
        <v/>
      </c>
      <c r="L3597" t="n">
        <v>1</v>
      </c>
      <c r="M3597" t="n">
        <v>32.45</v>
      </c>
      <c r="N3597">
        <f>(M3597-F3597)</f>
        <v/>
      </c>
    </row>
    <row r="3598" ht="21" customHeight="1">
      <c r="A3598" s="22" t="inlineStr">
        <is>
          <t>I2841</t>
        </is>
      </c>
      <c r="B3598" s="23" t="inlineStr">
        <is>
          <t>MATERIAL DE OPERAÇÃO DO TRATOR DE ESTEIRAS C/ LÂMINA E ESC. (155 HP)</t>
        </is>
      </c>
      <c r="C3598" s="22" t="inlineStr">
        <is>
          <t>SEINFRA</t>
        </is>
      </c>
      <c r="D3598" s="22" t="inlineStr">
        <is>
          <t>H</t>
        </is>
      </c>
      <c r="E3598" s="63" t="n">
        <v>1</v>
      </c>
      <c r="F3598" s="67">
        <f>'COMPOSICOES AUXILIARES'!G2480</f>
        <v/>
      </c>
      <c r="G3598" s="67">
        <f>ROUND(ROUND(E3598,8)*F3598,4)</f>
        <v/>
      </c>
      <c r="L3598" t="n">
        <v>1</v>
      </c>
      <c r="M3598" t="n">
        <v>116.0175</v>
      </c>
      <c r="N3598">
        <f>(M3598-F3598)</f>
        <v/>
      </c>
    </row>
    <row r="3599" ht="15" customHeight="1">
      <c r="A3599" s="22" t="inlineStr">
        <is>
          <t>I2701</t>
        </is>
      </c>
      <c r="B3599" s="23" t="inlineStr">
        <is>
          <t>DEPRECIAÇÃO</t>
        </is>
      </c>
      <c r="C3599" s="22" t="inlineStr">
        <is>
          <t>SEINFRA</t>
        </is>
      </c>
      <c r="D3599" s="22" t="inlineStr">
        <is>
          <t>H</t>
        </is>
      </c>
      <c r="E3599" s="63" t="n">
        <v>45.5809</v>
      </c>
      <c r="F3599" s="67">
        <f>'COMPOSICOES AUXILIARES'!G677</f>
        <v/>
      </c>
      <c r="G3599" s="67">
        <f>ROUND(ROUND(E3599,8)*F3599,4)</f>
        <v/>
      </c>
      <c r="L3599" t="n">
        <v>45.5809</v>
      </c>
      <c r="M3599" t="n">
        <v>1</v>
      </c>
      <c r="N3599">
        <f>(M3599-F3599)</f>
        <v/>
      </c>
    </row>
    <row r="3600" ht="15" customHeight="1">
      <c r="A3600" s="22" t="inlineStr">
        <is>
          <t>I2702</t>
        </is>
      </c>
      <c r="B3600" s="23" t="inlineStr">
        <is>
          <t>JUROS</t>
        </is>
      </c>
      <c r="C3600" s="22" t="inlineStr">
        <is>
          <t>SEINFRA</t>
        </is>
      </c>
      <c r="D3600" s="22" t="inlineStr">
        <is>
          <t>H</t>
        </is>
      </c>
      <c r="E3600" s="63" t="n">
        <v>18.8021</v>
      </c>
      <c r="F3600" s="67">
        <f>'COMPOSICOES AUXILIARES'!G677</f>
        <v/>
      </c>
      <c r="G3600" s="67">
        <f>ROUND(ROUND(E3600,8)*F3600,4)</f>
        <v/>
      </c>
      <c r="L3600" t="n">
        <v>18.8021</v>
      </c>
      <c r="M3600" t="n">
        <v>1</v>
      </c>
      <c r="N3600">
        <f>(M3600-F3600)</f>
        <v/>
      </c>
    </row>
    <row r="3601" ht="15" customHeight="1">
      <c r="A3601" s="22" t="inlineStr">
        <is>
          <t>I2703</t>
        </is>
      </c>
      <c r="B3601" s="23" t="inlineStr">
        <is>
          <t>MANUTENÇÃO</t>
        </is>
      </c>
      <c r="C3601" s="22" t="inlineStr">
        <is>
          <t>SEINFRA</t>
        </is>
      </c>
      <c r="D3601" s="22" t="inlineStr">
        <is>
          <t>H</t>
        </is>
      </c>
      <c r="E3601" s="63" t="n">
        <v>68.37139999999999</v>
      </c>
      <c r="F3601" s="67">
        <f>'COMPOSICOES AUXILIARES'!G677</f>
        <v/>
      </c>
      <c r="G3601" s="67">
        <f>ROUND(ROUND(E3601,8)*F3601,4)</f>
        <v/>
      </c>
      <c r="L3601" t="n">
        <v>68.37139999999999</v>
      </c>
      <c r="M3601" t="n">
        <v>1</v>
      </c>
      <c r="N3601">
        <f>(M3601-F3601)</f>
        <v/>
      </c>
    </row>
    <row r="3602" ht="15" customHeight="1">
      <c r="A3602" s="2" t="inlineStr"/>
      <c r="B3602" s="2" t="inlineStr"/>
      <c r="C3602" s="2" t="inlineStr"/>
      <c r="D3602" s="2" t="inlineStr"/>
      <c r="E3602" s="26" t="inlineStr">
        <is>
          <t>TOTAL Geral:</t>
        </is>
      </c>
      <c r="F3602" s="56" t="n"/>
      <c r="G3602" s="68">
        <f>SUM(G3597:G3601)</f>
        <v/>
      </c>
    </row>
    <row r="3603" ht="15" customHeight="1">
      <c r="A3603" s="2" t="inlineStr"/>
      <c r="B3603" s="2" t="inlineStr"/>
      <c r="C3603" s="2" t="inlineStr"/>
      <c r="D3603" s="2" t="inlineStr"/>
      <c r="E3603" s="28" t="inlineStr">
        <is>
          <t>VALOR:</t>
        </is>
      </c>
      <c r="F3603" s="56" t="n"/>
      <c r="G3603" s="66">
        <f>SUM(G3602)</f>
        <v/>
      </c>
    </row>
    <row r="3604" ht="15" customHeight="1">
      <c r="A3604" s="2" t="inlineStr"/>
      <c r="B3604" s="2" t="inlineStr"/>
      <c r="C3604" s="2" t="inlineStr"/>
      <c r="D3604" s="2" t="inlineStr"/>
      <c r="E3604" s="28" t="inlineStr">
        <is>
          <t>VALOR BDI (23.08%):</t>
        </is>
      </c>
      <c r="F3604" s="56" t="n"/>
      <c r="G3604" s="66">
        <f>ROUNDDOWN(G3603*BDI,2)</f>
        <v/>
      </c>
    </row>
    <row r="3605" ht="15" customHeight="1">
      <c r="A3605" s="2" t="inlineStr"/>
      <c r="B3605" s="2" t="inlineStr"/>
      <c r="C3605" s="2" t="inlineStr"/>
      <c r="D3605" s="2" t="inlineStr"/>
      <c r="E3605" s="28" t="inlineStr">
        <is>
          <t>VALOR COM BDI:</t>
        </is>
      </c>
      <c r="F3605" s="56" t="n"/>
      <c r="G3605" s="66">
        <f>G3604 + G3603</f>
        <v/>
      </c>
    </row>
    <row r="3606" ht="10" customHeight="1">
      <c r="A3606" s="2" t="inlineStr"/>
      <c r="B3606" s="2" t="inlineStr"/>
      <c r="C3606" s="2" t="inlineStr"/>
      <c r="D3606" s="2" t="inlineStr"/>
      <c r="E3606" s="18" t="inlineStr"/>
    </row>
    <row r="3607" ht="20" customHeight="1">
      <c r="A3607" s="19" t="inlineStr">
        <is>
          <t>​89031​ TRATOR DE ESTEIRAS, POTÊNCIA 100 HP, PESO OPERACIONAL 9,4 T, COM LÂMINA 2,19 M3 - CHI DIURNO. AF_06/2014​ (CHI)</t>
        </is>
      </c>
      <c r="B3607" s="55" t="n"/>
      <c r="C3607" s="55" t="n"/>
      <c r="D3607" s="55" t="n"/>
      <c r="E3607" s="55" t="n"/>
      <c r="F3607" s="55" t="n"/>
      <c r="G3607" s="56" t="n"/>
    </row>
    <row r="3608" ht="15" customHeight="1">
      <c r="A3608" s="20" t="inlineStr">
        <is>
          <t>Mão de Obra com Encargos Complementares</t>
        </is>
      </c>
      <c r="B3608" s="56" t="n"/>
      <c r="C3608" s="21" t="inlineStr">
        <is>
          <t>FONTE</t>
        </is>
      </c>
      <c r="D3608" s="21" t="inlineStr">
        <is>
          <t>UNID</t>
        </is>
      </c>
      <c r="E3608" s="21" t="inlineStr">
        <is>
          <t>COEFICIENTE</t>
        </is>
      </c>
      <c r="F3608" s="21" t="inlineStr">
        <is>
          <t>PREÇO UNITÁRIO</t>
        </is>
      </c>
      <c r="G3608" s="21" t="inlineStr">
        <is>
          <t>TOTAL</t>
        </is>
      </c>
    </row>
    <row r="3609" ht="15" customHeight="1">
      <c r="A3609" s="22" t="inlineStr">
        <is>
          <t>88324</t>
        </is>
      </c>
      <c r="B3609" s="23" t="inlineStr">
        <is>
          <t>TRATORISTA COM ENCARGOS COMPLEMENTARES</t>
        </is>
      </c>
      <c r="C3609" s="22" t="inlineStr">
        <is>
          <t>SINAPI</t>
        </is>
      </c>
      <c r="D3609" s="22" t="inlineStr">
        <is>
          <t>H</t>
        </is>
      </c>
      <c r="E3609" s="63">
        <f>L3609*FATOR</f>
        <v/>
      </c>
      <c r="F3609" s="64">
        <f>G3680</f>
        <v/>
      </c>
      <c r="G3609" s="64">
        <f>TRUNC(TRUNC(E3609,8)*F3609,2)</f>
        <v/>
      </c>
      <c r="L3609" t="n">
        <v>1</v>
      </c>
      <c r="M3609" t="n">
        <v>35.59</v>
      </c>
      <c r="N3609">
        <f>(M3609-F3609)</f>
        <v/>
      </c>
    </row>
    <row r="3610" ht="18" customHeight="1">
      <c r="A3610" s="2" t="inlineStr"/>
      <c r="B3610" s="2" t="inlineStr"/>
      <c r="C3610" s="2" t="inlineStr"/>
      <c r="D3610" s="2" t="inlineStr"/>
      <c r="E3610" s="26" t="inlineStr">
        <is>
          <t>TOTAL Mão de Obra com Encargos Complementares:</t>
        </is>
      </c>
      <c r="F3610" s="56" t="n"/>
      <c r="G3610" s="65">
        <f>SUM(G3609:G3609)</f>
        <v/>
      </c>
    </row>
    <row r="3611" ht="15" customHeight="1">
      <c r="A3611" s="20" t="inlineStr">
        <is>
          <t>Serviço</t>
        </is>
      </c>
      <c r="B3611" s="56" t="n"/>
      <c r="C3611" s="21" t="inlineStr">
        <is>
          <t>FONTE</t>
        </is>
      </c>
      <c r="D3611" s="21" t="inlineStr">
        <is>
          <t>UNID</t>
        </is>
      </c>
      <c r="E3611" s="21" t="inlineStr">
        <is>
          <t>COEFICIENTE</t>
        </is>
      </c>
      <c r="F3611" s="21" t="inlineStr">
        <is>
          <t>PREÇO UNITÁRIO</t>
        </is>
      </c>
      <c r="G3611" s="21" t="inlineStr">
        <is>
          <t>TOTAL</t>
        </is>
      </c>
    </row>
    <row r="3612" ht="29" customHeight="1">
      <c r="A3612" s="22" t="inlineStr">
        <is>
          <t>89029</t>
        </is>
      </c>
      <c r="B3612" s="23" t="inlineStr">
        <is>
          <t>TRATOR DE ESTEIRAS, POTÊNCIA 100 HP, PESO OPERACIONAL 9,4 T, COM LÂMINA 2,19 M3 - DEPRECIAÇÃO. AF_06/2014</t>
        </is>
      </c>
      <c r="C3612" s="22" t="inlineStr">
        <is>
          <t>SINAPI</t>
        </is>
      </c>
      <c r="D3612" s="22" t="inlineStr">
        <is>
          <t>H</t>
        </is>
      </c>
      <c r="E3612" s="63" t="n">
        <v>1</v>
      </c>
      <c r="F3612" s="64" t="n">
        <v>33.58</v>
      </c>
      <c r="G3612" s="64">
        <f>TRUNC(TRUNC(E3612,8)*F3612,2)</f>
        <v/>
      </c>
      <c r="L3612" t="n">
        <v>1</v>
      </c>
      <c r="M3612" t="n">
        <v>33.58</v>
      </c>
      <c r="N3612">
        <f>(M3612-F3612)</f>
        <v/>
      </c>
    </row>
    <row r="3613" ht="29" customHeight="1">
      <c r="A3613" s="22" t="inlineStr">
        <is>
          <t>89030</t>
        </is>
      </c>
      <c r="B3613" s="23" t="inlineStr">
        <is>
          <t>TRATOR DE ESTEIRAS, POTÊNCIA 100 HP, PESO OPERACIONAL 9,4 T, COM LÂMINA 2,19 M3 - JUROS. AF_06/2014</t>
        </is>
      </c>
      <c r="C3613" s="22" t="inlineStr">
        <is>
          <t>SINAPI</t>
        </is>
      </c>
      <c r="D3613" s="22" t="inlineStr">
        <is>
          <t>H</t>
        </is>
      </c>
      <c r="E3613" s="63" t="n">
        <v>1</v>
      </c>
      <c r="F3613" s="64" t="n">
        <v>14.79</v>
      </c>
      <c r="G3613" s="64">
        <f>TRUNC(TRUNC(E3613,8)*F3613,2)</f>
        <v/>
      </c>
      <c r="L3613" t="n">
        <v>1</v>
      </c>
      <c r="M3613" t="n">
        <v>14.79</v>
      </c>
      <c r="N3613">
        <f>(M3613-F3613)</f>
        <v/>
      </c>
    </row>
    <row r="3614" ht="15" customHeight="1">
      <c r="A3614" s="2" t="inlineStr"/>
      <c r="B3614" s="2" t="inlineStr"/>
      <c r="C3614" s="2" t="inlineStr"/>
      <c r="D3614" s="2" t="inlineStr"/>
      <c r="E3614" s="26" t="inlineStr">
        <is>
          <t>TOTAL Serviço:</t>
        </is>
      </c>
      <c r="F3614" s="56" t="n"/>
      <c r="G3614" s="65">
        <f>SUM(G3612:G3613)</f>
        <v/>
      </c>
    </row>
    <row r="3615" ht="15" customHeight="1">
      <c r="A3615" s="2" t="inlineStr"/>
      <c r="B3615" s="2" t="inlineStr"/>
      <c r="C3615" s="2" t="inlineStr"/>
      <c r="D3615" s="2" t="inlineStr"/>
      <c r="E3615" s="28" t="inlineStr">
        <is>
          <t>VALOR:</t>
        </is>
      </c>
      <c r="F3615" s="56" t="n"/>
      <c r="G3615" s="66">
        <f>SUM(G3614)</f>
        <v/>
      </c>
    </row>
    <row r="3616" ht="15" customHeight="1">
      <c r="A3616" s="2" t="inlineStr"/>
      <c r="B3616" s="2" t="inlineStr"/>
      <c r="C3616" s="2" t="inlineStr"/>
      <c r="D3616" s="2" t="inlineStr"/>
      <c r="E3616" s="28" t="inlineStr">
        <is>
          <t>VALOR BDI (23.08%):</t>
        </is>
      </c>
      <c r="F3616" s="56" t="n"/>
      <c r="G3616" s="66">
        <f>ROUNDDOWN(G3615*BDI,2)</f>
        <v/>
      </c>
    </row>
    <row r="3617" ht="15" customHeight="1">
      <c r="A3617" s="2" t="inlineStr"/>
      <c r="B3617" s="2" t="inlineStr"/>
      <c r="C3617" s="2" t="inlineStr"/>
      <c r="D3617" s="2" t="inlineStr"/>
      <c r="E3617" s="28" t="inlineStr">
        <is>
          <t>VALOR COM BDI:</t>
        </is>
      </c>
      <c r="F3617" s="56" t="n"/>
      <c r="G3617" s="66">
        <f>G3616 + G3615</f>
        <v/>
      </c>
    </row>
    <row r="3618" ht="10" customHeight="1">
      <c r="A3618" s="2" t="inlineStr"/>
      <c r="B3618" s="2" t="inlineStr"/>
      <c r="C3618" s="2" t="inlineStr"/>
      <c r="D3618" s="2" t="inlineStr"/>
      <c r="E3618" s="18" t="inlineStr"/>
    </row>
    <row r="3619" ht="20" customHeight="1">
      <c r="A3619" s="19" t="inlineStr">
        <is>
          <t>​89032​ TRATOR DE ESTEIRAS, POTÊNCIA 100 HP, PESO OPERACIONAL 9,4 T, COM LÂMINA 2,19 M3 - CHP DIURNO. AF_06/2014​ (CHP)</t>
        </is>
      </c>
      <c r="B3619" s="55" t="n"/>
      <c r="C3619" s="55" t="n"/>
      <c r="D3619" s="55" t="n"/>
      <c r="E3619" s="55" t="n"/>
      <c r="F3619" s="55" t="n"/>
      <c r="G3619" s="56" t="n"/>
    </row>
    <row r="3620" ht="15" customHeight="1">
      <c r="A3620" s="20" t="inlineStr">
        <is>
          <t>Mão de Obra com Encargos Complementares</t>
        </is>
      </c>
      <c r="B3620" s="56" t="n"/>
      <c r="C3620" s="21" t="inlineStr">
        <is>
          <t>FONTE</t>
        </is>
      </c>
      <c r="D3620" s="21" t="inlineStr">
        <is>
          <t>UNID</t>
        </is>
      </c>
      <c r="E3620" s="21" t="inlineStr">
        <is>
          <t>COEFICIENTE</t>
        </is>
      </c>
      <c r="F3620" s="21" t="inlineStr">
        <is>
          <t>PREÇO UNITÁRIO</t>
        </is>
      </c>
      <c r="G3620" s="21" t="inlineStr">
        <is>
          <t>TOTAL</t>
        </is>
      </c>
    </row>
    <row r="3621" ht="15" customHeight="1">
      <c r="A3621" s="22" t="inlineStr">
        <is>
          <t>88324</t>
        </is>
      </c>
      <c r="B3621" s="23" t="inlineStr">
        <is>
          <t>TRATORISTA COM ENCARGOS COMPLEMENTARES</t>
        </is>
      </c>
      <c r="C3621" s="22" t="inlineStr">
        <is>
          <t>SINAPI</t>
        </is>
      </c>
      <c r="D3621" s="22" t="inlineStr">
        <is>
          <t>H</t>
        </is>
      </c>
      <c r="E3621" s="63">
        <f>L3621*FATOR</f>
        <v/>
      </c>
      <c r="F3621" s="64">
        <f>'COMPOSICOES AUXILIARES'!G3615</f>
        <v/>
      </c>
      <c r="G3621" s="64">
        <f>TRUNC(TRUNC(E3621,8)*F3621,2)</f>
        <v/>
      </c>
      <c r="L3621" t="n">
        <v>1</v>
      </c>
      <c r="M3621" t="n">
        <v>35.59</v>
      </c>
      <c r="N3621">
        <f>(M3621-F3621)</f>
        <v/>
      </c>
    </row>
    <row r="3622" ht="18" customHeight="1">
      <c r="A3622" s="2" t="inlineStr"/>
      <c r="B3622" s="2" t="inlineStr"/>
      <c r="C3622" s="2" t="inlineStr"/>
      <c r="D3622" s="2" t="inlineStr"/>
      <c r="E3622" s="26" t="inlineStr">
        <is>
          <t>TOTAL Mão de Obra com Encargos Complementares:</t>
        </is>
      </c>
      <c r="F3622" s="56" t="n"/>
      <c r="G3622" s="65">
        <f>SUM(G3621:G3621)</f>
        <v/>
      </c>
    </row>
    <row r="3623" ht="15" customHeight="1">
      <c r="A3623" s="20" t="inlineStr">
        <is>
          <t>Serviço</t>
        </is>
      </c>
      <c r="B3623" s="56" t="n"/>
      <c r="C3623" s="21" t="inlineStr">
        <is>
          <t>FONTE</t>
        </is>
      </c>
      <c r="D3623" s="21" t="inlineStr">
        <is>
          <t>UNID</t>
        </is>
      </c>
      <c r="E3623" s="21" t="inlineStr">
        <is>
          <t>COEFICIENTE</t>
        </is>
      </c>
      <c r="F3623" s="21" t="inlineStr">
        <is>
          <t>PREÇO UNITÁRIO</t>
        </is>
      </c>
      <c r="G3623" s="21" t="inlineStr">
        <is>
          <t>TOTAL</t>
        </is>
      </c>
    </row>
    <row r="3624" ht="29" customHeight="1">
      <c r="A3624" s="22" t="inlineStr">
        <is>
          <t>89029</t>
        </is>
      </c>
      <c r="B3624" s="23" t="inlineStr">
        <is>
          <t>TRATOR DE ESTEIRAS, POTÊNCIA 100 HP, PESO OPERACIONAL 9,4 T, COM LÂMINA 2,19 M3 - DEPRECIAÇÃO. AF_06/2014</t>
        </is>
      </c>
      <c r="C3624" s="22" t="inlineStr">
        <is>
          <t>SINAPI</t>
        </is>
      </c>
      <c r="D3624" s="22" t="inlineStr">
        <is>
          <t>H</t>
        </is>
      </c>
      <c r="E3624" s="63" t="n">
        <v>1</v>
      </c>
      <c r="F3624" s="64">
        <f>'COMPOSICOES AUXILIARES'!G3615</f>
        <v/>
      </c>
      <c r="G3624" s="64">
        <f>TRUNC(TRUNC(E3624,8)*F3624,2)</f>
        <v/>
      </c>
      <c r="L3624" t="n">
        <v>1</v>
      </c>
      <c r="M3624" t="n">
        <v>33.58</v>
      </c>
      <c r="N3624">
        <f>(M3624-F3624)</f>
        <v/>
      </c>
    </row>
    <row r="3625" ht="29" customHeight="1">
      <c r="A3625" s="22" t="inlineStr">
        <is>
          <t>89030</t>
        </is>
      </c>
      <c r="B3625" s="23" t="inlineStr">
        <is>
          <t>TRATOR DE ESTEIRAS, POTÊNCIA 100 HP, PESO OPERACIONAL 9,4 T, COM LÂMINA 2,19 M3 - JUROS. AF_06/2014</t>
        </is>
      </c>
      <c r="C3625" s="22" t="inlineStr">
        <is>
          <t>SINAPI</t>
        </is>
      </c>
      <c r="D3625" s="22" t="inlineStr">
        <is>
          <t>H</t>
        </is>
      </c>
      <c r="E3625" s="63" t="n">
        <v>1</v>
      </c>
      <c r="F3625" s="64">
        <f>'COMPOSICOES AUXILIARES'!G3615</f>
        <v/>
      </c>
      <c r="G3625" s="64">
        <f>TRUNC(TRUNC(E3625,8)*F3625,2)</f>
        <v/>
      </c>
      <c r="L3625" t="n">
        <v>1</v>
      </c>
      <c r="M3625" t="n">
        <v>14.79</v>
      </c>
      <c r="N3625">
        <f>(M3625-F3625)</f>
        <v/>
      </c>
    </row>
    <row r="3626" ht="29" customHeight="1">
      <c r="A3626" s="22" t="inlineStr">
        <is>
          <t>5724</t>
        </is>
      </c>
      <c r="B3626" s="23" t="inlineStr">
        <is>
          <t>TRATOR DE ESTEIRAS, POTÊNCIA 100 HP, PESO OPERACIONAL 9,4 T, COM LÂMINA 2,19 M3 - MANUTENÇÃO. AF_06/2014</t>
        </is>
      </c>
      <c r="C3626" s="22" t="inlineStr">
        <is>
          <t>SINAPI</t>
        </is>
      </c>
      <c r="D3626" s="22" t="inlineStr">
        <is>
          <t>H</t>
        </is>
      </c>
      <c r="E3626" s="63" t="n">
        <v>1</v>
      </c>
      <c r="F3626" s="64" t="n">
        <v>60.04</v>
      </c>
      <c r="G3626" s="64">
        <f>TRUNC(TRUNC(E3626,8)*F3626,2)</f>
        <v/>
      </c>
      <c r="L3626" t="n">
        <v>1</v>
      </c>
      <c r="M3626" t="n">
        <v>60.04</v>
      </c>
      <c r="N3626">
        <f>(M3626-F3626)</f>
        <v/>
      </c>
    </row>
    <row r="3627" ht="29" customHeight="1">
      <c r="A3627" s="22" t="inlineStr">
        <is>
          <t>53817</t>
        </is>
      </c>
      <c r="B3627" s="23" t="inlineStr">
        <is>
          <t>TRATOR DE ESTEIRAS, POTÊNCIA 100 HP, PESO OPERACIONAL 9,4 T, COM LÂMINA 2,19 M3 - MATERIAIS NA OPERAÇÃO. AF_06/2014</t>
        </is>
      </c>
      <c r="C3627" s="22" t="inlineStr">
        <is>
          <t>SINAPI</t>
        </is>
      </c>
      <c r="D3627" s="22" t="inlineStr">
        <is>
          <t>H</t>
        </is>
      </c>
      <c r="E3627" s="63" t="n">
        <v>1</v>
      </c>
      <c r="F3627" s="64" t="n">
        <v>62.64</v>
      </c>
      <c r="G3627" s="64">
        <f>TRUNC(TRUNC(E3627,8)*F3627,2)</f>
        <v/>
      </c>
      <c r="L3627" t="n">
        <v>1</v>
      </c>
      <c r="M3627" t="n">
        <v>62.64</v>
      </c>
      <c r="N3627">
        <f>(M3627-F3627)</f>
        <v/>
      </c>
    </row>
    <row r="3628" ht="15" customHeight="1">
      <c r="A3628" s="2" t="inlineStr"/>
      <c r="B3628" s="2" t="inlineStr"/>
      <c r="C3628" s="2" t="inlineStr"/>
      <c r="D3628" s="2" t="inlineStr"/>
      <c r="E3628" s="26" t="inlineStr">
        <is>
          <t>TOTAL Serviço:</t>
        </is>
      </c>
      <c r="F3628" s="56" t="n"/>
      <c r="G3628" s="65">
        <f>SUM(G3624:G3627)</f>
        <v/>
      </c>
    </row>
    <row r="3629" ht="15" customHeight="1">
      <c r="A3629" s="2" t="inlineStr"/>
      <c r="B3629" s="2" t="inlineStr"/>
      <c r="C3629" s="2" t="inlineStr"/>
      <c r="D3629" s="2" t="inlineStr"/>
      <c r="E3629" s="28" t="inlineStr">
        <is>
          <t>VALOR:</t>
        </is>
      </c>
      <c r="F3629" s="56" t="n"/>
      <c r="G3629" s="66">
        <f>SUM(G3628,G3622)</f>
        <v/>
      </c>
    </row>
    <row r="3630" ht="15" customHeight="1">
      <c r="A3630" s="2" t="inlineStr"/>
      <c r="B3630" s="2" t="inlineStr"/>
      <c r="C3630" s="2" t="inlineStr"/>
      <c r="D3630" s="2" t="inlineStr"/>
      <c r="E3630" s="28" t="inlineStr">
        <is>
          <t>VALOR BDI (23.08%):</t>
        </is>
      </c>
      <c r="F3630" s="56" t="n"/>
      <c r="G3630" s="66">
        <f>ROUNDDOWN(G3629*BDI,2)</f>
        <v/>
      </c>
    </row>
    <row r="3631" ht="15" customHeight="1">
      <c r="A3631" s="2" t="inlineStr"/>
      <c r="B3631" s="2" t="inlineStr"/>
      <c r="C3631" s="2" t="inlineStr"/>
      <c r="D3631" s="2" t="inlineStr"/>
      <c r="E3631" s="28" t="inlineStr">
        <is>
          <t>VALOR COM BDI:</t>
        </is>
      </c>
      <c r="F3631" s="56" t="n"/>
      <c r="G3631" s="66">
        <f>G3630 + G3629</f>
        <v/>
      </c>
    </row>
    <row r="3632" ht="10" customHeight="1">
      <c r="A3632" s="2" t="inlineStr"/>
      <c r="B3632" s="2" t="inlineStr"/>
      <c r="C3632" s="2" t="inlineStr"/>
      <c r="D3632" s="2" t="inlineStr"/>
      <c r="E3632" s="18" t="inlineStr"/>
    </row>
    <row r="3633" ht="20" customHeight="1">
      <c r="A3633" s="19" t="inlineStr">
        <is>
          <t>​89029​ TRATOR DE ESTEIRAS, POTÊNCIA 100 HP, PESO OPERACIONAL 9,4 T, COM LÂMINA 2,19 M3 - DEPRECIAÇÃO. AF_06/2014​ (H)</t>
        </is>
      </c>
      <c r="B3633" s="55" t="n"/>
      <c r="C3633" s="55" t="n"/>
      <c r="D3633" s="55" t="n"/>
      <c r="E3633" s="55" t="n"/>
      <c r="F3633" s="55" t="n"/>
      <c r="G3633" s="56" t="n"/>
    </row>
    <row r="3634" ht="15" customHeight="1">
      <c r="A3634" s="20" t="inlineStr">
        <is>
          <t>Equipamento</t>
        </is>
      </c>
      <c r="B3634" s="56" t="n"/>
      <c r="C3634" s="21" t="inlineStr">
        <is>
          <t>FONTE</t>
        </is>
      </c>
      <c r="D3634" s="21" t="inlineStr">
        <is>
          <t>UNID</t>
        </is>
      </c>
      <c r="E3634" s="21" t="inlineStr">
        <is>
          <t>COEFICIENTE</t>
        </is>
      </c>
      <c r="F3634" s="21" t="inlineStr">
        <is>
          <t>PREÇO UNITÁRIO</t>
        </is>
      </c>
      <c r="G3634" s="21" t="inlineStr">
        <is>
          <t>TOTAL</t>
        </is>
      </c>
    </row>
    <row r="3635" ht="29" customHeight="1">
      <c r="A3635" s="22" t="inlineStr">
        <is>
          <t>00007622</t>
        </is>
      </c>
      <c r="B3635" s="23" t="inlineStr">
        <is>
          <t>TRATOR DE ESTEIRAS, POTENCIA DE 100 HP, PESO OPERACIONAL DE 9,4 T, COM LAMINA COM CAPACIDADE DE 2,19 M3</t>
        </is>
      </c>
      <c r="C3635" s="22" t="inlineStr">
        <is>
          <t>SINAPI</t>
        </is>
      </c>
      <c r="D3635" s="22" t="inlineStr">
        <is>
          <t>UN</t>
        </is>
      </c>
      <c r="E3635" s="63" t="n">
        <v>3.11e-05</v>
      </c>
      <c r="F3635" s="75" t="n">
        <v>1079918</v>
      </c>
      <c r="G3635" s="64">
        <f>TRUNC(TRUNC(E3635,8)*F3635,2)</f>
        <v/>
      </c>
      <c r="M3635" t="n">
        <v>1079918</v>
      </c>
      <c r="N3635">
        <f>(M3635-F3635)</f>
        <v/>
      </c>
    </row>
    <row r="3636" ht="15" customHeight="1">
      <c r="A3636" s="2" t="inlineStr"/>
      <c r="B3636" s="2" t="inlineStr"/>
      <c r="C3636" s="2" t="inlineStr"/>
      <c r="D3636" s="2" t="inlineStr"/>
      <c r="E3636" s="26" t="inlineStr">
        <is>
          <t>TOTAL Equipamento:</t>
        </is>
      </c>
      <c r="F3636" s="56" t="n"/>
      <c r="G3636" s="65">
        <f>SUM(G3635:G3635)</f>
        <v/>
      </c>
    </row>
    <row r="3637" ht="15" customHeight="1">
      <c r="A3637" s="2" t="inlineStr"/>
      <c r="B3637" s="2" t="inlineStr"/>
      <c r="C3637" s="2" t="inlineStr"/>
      <c r="D3637" s="2" t="inlineStr"/>
      <c r="E3637" s="28" t="inlineStr">
        <is>
          <t>VALOR:</t>
        </is>
      </c>
      <c r="F3637" s="56" t="n"/>
      <c r="G3637" s="66">
        <f>ROUND(SUM(G3636),2)</f>
        <v/>
      </c>
    </row>
    <row r="3638" ht="15" customHeight="1">
      <c r="A3638" s="2" t="inlineStr"/>
      <c r="B3638" s="2" t="inlineStr"/>
      <c r="C3638" s="2" t="inlineStr"/>
      <c r="D3638" s="2" t="inlineStr"/>
      <c r="E3638" s="28" t="inlineStr">
        <is>
          <t>VALOR BDI (23.08%):</t>
        </is>
      </c>
      <c r="F3638" s="56" t="n"/>
      <c r="G3638" s="66">
        <f>ROUNDDOWN(G3637*BDI,2)</f>
        <v/>
      </c>
    </row>
    <row r="3639" ht="15" customHeight="1">
      <c r="A3639" s="2" t="inlineStr"/>
      <c r="B3639" s="2" t="inlineStr"/>
      <c r="C3639" s="2" t="inlineStr"/>
      <c r="D3639" s="2" t="inlineStr"/>
      <c r="E3639" s="28" t="inlineStr">
        <is>
          <t>VALOR COM BDI:</t>
        </is>
      </c>
      <c r="F3639" s="56" t="n"/>
      <c r="G3639" s="66">
        <f>G3638 + G3637</f>
        <v/>
      </c>
    </row>
    <row r="3640" ht="10" customHeight="1">
      <c r="A3640" s="2" t="inlineStr"/>
      <c r="B3640" s="2" t="inlineStr"/>
      <c r="C3640" s="2" t="inlineStr"/>
      <c r="D3640" s="2" t="inlineStr"/>
      <c r="E3640" s="18" t="inlineStr"/>
    </row>
    <row r="3641" ht="20" customHeight="1">
      <c r="A3641" s="19" t="inlineStr">
        <is>
          <t>​89030​ TRATOR DE ESTEIRAS, POTÊNCIA 100 HP, PESO OPERACIONAL 9,4 T, COM LÂMINA 2,19 M3 - JUROS. AF_06/2014​ (H)</t>
        </is>
      </c>
      <c r="B3641" s="55" t="n"/>
      <c r="C3641" s="55" t="n"/>
      <c r="D3641" s="55" t="n"/>
      <c r="E3641" s="55" t="n"/>
      <c r="F3641" s="55" t="n"/>
      <c r="G3641" s="56" t="n"/>
    </row>
    <row r="3642" ht="15" customHeight="1">
      <c r="A3642" s="20" t="inlineStr">
        <is>
          <t>Equipamento</t>
        </is>
      </c>
      <c r="B3642" s="56" t="n"/>
      <c r="C3642" s="21" t="inlineStr">
        <is>
          <t>FONTE</t>
        </is>
      </c>
      <c r="D3642" s="21" t="inlineStr">
        <is>
          <t>UNID</t>
        </is>
      </c>
      <c r="E3642" s="21" t="inlineStr">
        <is>
          <t>COEFICIENTE</t>
        </is>
      </c>
      <c r="F3642" s="21" t="inlineStr">
        <is>
          <t>PREÇO UNITÁRIO</t>
        </is>
      </c>
      <c r="G3642" s="21" t="inlineStr">
        <is>
          <t>TOTAL</t>
        </is>
      </c>
    </row>
    <row r="3643" ht="29" customHeight="1">
      <c r="A3643" s="22" t="inlineStr">
        <is>
          <t>00007622</t>
        </is>
      </c>
      <c r="B3643" s="23" t="inlineStr">
        <is>
          <t>TRATOR DE ESTEIRAS, POTENCIA DE 100 HP, PESO OPERACIONAL DE 9,4 T, COM LAMINA COM CAPACIDADE DE 2,19 M3</t>
        </is>
      </c>
      <c r="C3643" s="22" t="inlineStr">
        <is>
          <t>SINAPI</t>
        </is>
      </c>
      <c r="D3643" s="22" t="inlineStr">
        <is>
          <t>UN</t>
        </is>
      </c>
      <c r="E3643" s="63" t="n">
        <v>1.37e-05</v>
      </c>
      <c r="F3643" s="75" t="n">
        <v>1079918</v>
      </c>
      <c r="G3643" s="64">
        <f>TRUNC(TRUNC(E3643,8)*F3643,2)</f>
        <v/>
      </c>
      <c r="M3643" t="n">
        <v>1079918</v>
      </c>
      <c r="N3643">
        <f>(M3643-F3643)</f>
        <v/>
      </c>
    </row>
    <row r="3644" ht="15" customHeight="1">
      <c r="A3644" s="2" t="inlineStr"/>
      <c r="B3644" s="2" t="inlineStr"/>
      <c r="C3644" s="2" t="inlineStr"/>
      <c r="D3644" s="2" t="inlineStr"/>
      <c r="E3644" s="26" t="inlineStr">
        <is>
          <t>TOTAL Equipamento:</t>
        </is>
      </c>
      <c r="F3644" s="56" t="n"/>
      <c r="G3644" s="65">
        <f>SUM(G3643:G3643)</f>
        <v/>
      </c>
    </row>
    <row r="3645" ht="15" customHeight="1">
      <c r="A3645" s="2" t="inlineStr"/>
      <c r="B3645" s="2" t="inlineStr"/>
      <c r="C3645" s="2" t="inlineStr"/>
      <c r="D3645" s="2" t="inlineStr"/>
      <c r="E3645" s="28" t="inlineStr">
        <is>
          <t>VALOR:</t>
        </is>
      </c>
      <c r="F3645" s="56" t="n"/>
      <c r="G3645" s="66">
        <f>ROUND(SUM(G3644),2)</f>
        <v/>
      </c>
    </row>
    <row r="3646" ht="15" customHeight="1">
      <c r="A3646" s="2" t="inlineStr"/>
      <c r="B3646" s="2" t="inlineStr"/>
      <c r="C3646" s="2" t="inlineStr"/>
      <c r="D3646" s="2" t="inlineStr"/>
      <c r="E3646" s="28" t="inlineStr">
        <is>
          <t>VALOR BDI (23.08%):</t>
        </is>
      </c>
      <c r="F3646" s="56" t="n"/>
      <c r="G3646" s="66">
        <f>ROUNDDOWN(G3645*BDI,2)</f>
        <v/>
      </c>
    </row>
    <row r="3647" ht="15" customHeight="1">
      <c r="A3647" s="2" t="inlineStr"/>
      <c r="B3647" s="2" t="inlineStr"/>
      <c r="C3647" s="2" t="inlineStr"/>
      <c r="D3647" s="2" t="inlineStr"/>
      <c r="E3647" s="28" t="inlineStr">
        <is>
          <t>VALOR COM BDI:</t>
        </is>
      </c>
      <c r="F3647" s="56" t="n"/>
      <c r="G3647" s="66">
        <f>G3646 + G3645</f>
        <v/>
      </c>
    </row>
    <row r="3648" ht="10" customHeight="1">
      <c r="A3648" s="2" t="inlineStr"/>
      <c r="B3648" s="2" t="inlineStr"/>
      <c r="C3648" s="2" t="inlineStr"/>
      <c r="D3648" s="2" t="inlineStr"/>
      <c r="E3648" s="18" t="inlineStr"/>
    </row>
    <row r="3649" ht="20" customHeight="1">
      <c r="A3649" s="19" t="inlineStr">
        <is>
          <t>​5724​ TRATOR DE ESTEIRAS, POTÊNCIA 100 HP, PESO OPERACIONAL 9,4 T, COM LÂMINA 2,19 M3 - MANUTENÇÃO. AF_06/2014​ (H)</t>
        </is>
      </c>
      <c r="B3649" s="55" t="n"/>
      <c r="C3649" s="55" t="n"/>
      <c r="D3649" s="55" t="n"/>
      <c r="E3649" s="55" t="n"/>
      <c r="F3649" s="55" t="n"/>
      <c r="G3649" s="56" t="n"/>
    </row>
    <row r="3650" ht="15" customHeight="1">
      <c r="A3650" s="20" t="inlineStr">
        <is>
          <t>Equipamento</t>
        </is>
      </c>
      <c r="B3650" s="56" t="n"/>
      <c r="C3650" s="21" t="inlineStr">
        <is>
          <t>FONTE</t>
        </is>
      </c>
      <c r="D3650" s="21" t="inlineStr">
        <is>
          <t>UNID</t>
        </is>
      </c>
      <c r="E3650" s="21" t="inlineStr">
        <is>
          <t>COEFICIENTE</t>
        </is>
      </c>
      <c r="F3650" s="21" t="inlineStr">
        <is>
          <t>PREÇO UNITÁRIO</t>
        </is>
      </c>
      <c r="G3650" s="21" t="inlineStr">
        <is>
          <t>TOTAL</t>
        </is>
      </c>
    </row>
    <row r="3651" ht="29" customHeight="1">
      <c r="A3651" s="22" t="inlineStr">
        <is>
          <t>00007622</t>
        </is>
      </c>
      <c r="B3651" s="23" t="inlineStr">
        <is>
          <t>TRATOR DE ESTEIRAS, POTENCIA DE 100 HP, PESO OPERACIONAL DE 9,4 T, COM LAMINA COM CAPACIDADE DE 2,19 M3</t>
        </is>
      </c>
      <c r="C3651" s="22" t="inlineStr">
        <is>
          <t>SINAPI</t>
        </is>
      </c>
      <c r="D3651" s="22" t="inlineStr">
        <is>
          <t>UN</t>
        </is>
      </c>
      <c r="E3651" s="63" t="n">
        <v>5.56e-05</v>
      </c>
      <c r="F3651" s="75" t="n">
        <v>1079918</v>
      </c>
      <c r="G3651" s="64">
        <f>TRUNC(TRUNC(E3651,8)*F3651,2)</f>
        <v/>
      </c>
      <c r="M3651" t="n">
        <v>1079918</v>
      </c>
      <c r="N3651">
        <f>(M3651-F3651)</f>
        <v/>
      </c>
    </row>
    <row r="3652" ht="15" customHeight="1">
      <c r="A3652" s="2" t="inlineStr"/>
      <c r="B3652" s="2" t="inlineStr"/>
      <c r="C3652" s="2" t="inlineStr"/>
      <c r="D3652" s="2" t="inlineStr"/>
      <c r="E3652" s="26" t="inlineStr">
        <is>
          <t>TOTAL Equipamento:</t>
        </is>
      </c>
      <c r="F3652" s="56" t="n"/>
      <c r="G3652" s="65">
        <f>SUM(G3651:G3651)</f>
        <v/>
      </c>
    </row>
    <row r="3653" ht="15" customHeight="1">
      <c r="A3653" s="2" t="inlineStr"/>
      <c r="B3653" s="2" t="inlineStr"/>
      <c r="C3653" s="2" t="inlineStr"/>
      <c r="D3653" s="2" t="inlineStr"/>
      <c r="E3653" s="28" t="inlineStr">
        <is>
          <t>VALOR:</t>
        </is>
      </c>
      <c r="F3653" s="56" t="n"/>
      <c r="G3653" s="66">
        <f>ROUND(SUM(G3652),2)</f>
        <v/>
      </c>
    </row>
    <row r="3654" ht="15" customHeight="1">
      <c r="A3654" s="2" t="inlineStr"/>
      <c r="B3654" s="2" t="inlineStr"/>
      <c r="C3654" s="2" t="inlineStr"/>
      <c r="D3654" s="2" t="inlineStr"/>
      <c r="E3654" s="28" t="inlineStr">
        <is>
          <t>VALOR BDI (23.08%):</t>
        </is>
      </c>
      <c r="F3654" s="56" t="n"/>
      <c r="G3654" s="66">
        <f>ROUNDDOWN(G3653*BDI,2)</f>
        <v/>
      </c>
    </row>
    <row r="3655" ht="15" customHeight="1">
      <c r="A3655" s="2" t="inlineStr"/>
      <c r="B3655" s="2" t="inlineStr"/>
      <c r="C3655" s="2" t="inlineStr"/>
      <c r="D3655" s="2" t="inlineStr"/>
      <c r="E3655" s="28" t="inlineStr">
        <is>
          <t>VALOR COM BDI:</t>
        </is>
      </c>
      <c r="F3655" s="56" t="n"/>
      <c r="G3655" s="66">
        <f>G3654 + G3653</f>
        <v/>
      </c>
    </row>
    <row r="3656" ht="10" customHeight="1">
      <c r="A3656" s="2" t="inlineStr"/>
      <c r="B3656" s="2" t="inlineStr"/>
      <c r="C3656" s="2" t="inlineStr"/>
      <c r="D3656" s="2" t="inlineStr"/>
      <c r="E3656" s="18" t="inlineStr"/>
    </row>
    <row r="3657" ht="20" customHeight="1">
      <c r="A3657" s="19" t="inlineStr">
        <is>
          <t>​53817​ TRATOR DE ESTEIRAS, POTÊNCIA 100 HP, PESO OPERACIONAL 9,4 T, COM LÂMINA 2,19 M3 - MATERIAIS NA OPERAÇÃO. AF_06/2014​ (H)</t>
        </is>
      </c>
      <c r="B3657" s="55" t="n"/>
      <c r="C3657" s="55" t="n"/>
      <c r="D3657" s="55" t="n"/>
      <c r="E3657" s="55" t="n"/>
      <c r="F3657" s="55" t="n"/>
      <c r="G3657" s="56" t="n"/>
    </row>
    <row r="3658" ht="15" customHeight="1">
      <c r="A3658" s="20" t="inlineStr">
        <is>
          <t>Material</t>
        </is>
      </c>
      <c r="B3658" s="56" t="n"/>
      <c r="C3658" s="21" t="inlineStr">
        <is>
          <t>FONTE</t>
        </is>
      </c>
      <c r="D3658" s="21" t="inlineStr">
        <is>
          <t>UNID</t>
        </is>
      </c>
      <c r="E3658" s="21" t="inlineStr">
        <is>
          <t>COEFICIENTE</t>
        </is>
      </c>
      <c r="F3658" s="21" t="inlineStr">
        <is>
          <t>PREÇO UNITÁRIO</t>
        </is>
      </c>
      <c r="G3658" s="21" t="inlineStr">
        <is>
          <t>TOTAL</t>
        </is>
      </c>
    </row>
    <row r="3659" ht="21" customHeight="1">
      <c r="A3659" s="22" t="inlineStr">
        <is>
          <t>00004221</t>
        </is>
      </c>
      <c r="B3659" s="23" t="inlineStr">
        <is>
          <t>OLEO DIESEL COMBUSTIVEL COMUM METROPOLITANO S-10 OU S-500</t>
        </is>
      </c>
      <c r="C3659" s="22" t="inlineStr">
        <is>
          <t>SINAPI</t>
        </is>
      </c>
      <c r="D3659" s="22" t="inlineStr">
        <is>
          <t>L</t>
        </is>
      </c>
      <c r="E3659" s="63" t="n">
        <v>10.44</v>
      </c>
      <c r="F3659" s="64" t="n">
        <v>6</v>
      </c>
      <c r="G3659" s="64">
        <f>TRUNC(TRUNC(E3659,8)*F3659,2)</f>
        <v/>
      </c>
      <c r="L3659" t="n">
        <v>10.44</v>
      </c>
      <c r="M3659" t="n">
        <v>6</v>
      </c>
      <c r="N3659">
        <f>(M3659-F3659)</f>
        <v/>
      </c>
    </row>
    <row r="3660" ht="15" customHeight="1">
      <c r="A3660" s="2" t="inlineStr"/>
      <c r="B3660" s="2" t="inlineStr"/>
      <c r="C3660" s="2" t="inlineStr"/>
      <c r="D3660" s="2" t="inlineStr"/>
      <c r="E3660" s="26" t="inlineStr">
        <is>
          <t>TOTAL Material:</t>
        </is>
      </c>
      <c r="F3660" s="56" t="n"/>
      <c r="G3660" s="65">
        <f>SUM(G3659:G3659)</f>
        <v/>
      </c>
    </row>
    <row r="3661" ht="15" customHeight="1">
      <c r="A3661" s="2" t="inlineStr"/>
      <c r="B3661" s="2" t="inlineStr"/>
      <c r="C3661" s="2" t="inlineStr"/>
      <c r="D3661" s="2" t="inlineStr"/>
      <c r="E3661" s="28" t="inlineStr">
        <is>
          <t>VALOR:</t>
        </is>
      </c>
      <c r="F3661" s="56" t="n"/>
      <c r="G3661" s="66">
        <f>ROUND(SUM(G3660),2)</f>
        <v/>
      </c>
    </row>
    <row r="3662" ht="15" customHeight="1">
      <c r="A3662" s="2" t="inlineStr"/>
      <c r="B3662" s="2" t="inlineStr"/>
      <c r="C3662" s="2" t="inlineStr"/>
      <c r="D3662" s="2" t="inlineStr"/>
      <c r="E3662" s="28" t="inlineStr">
        <is>
          <t>VALOR BDI (23.08%):</t>
        </is>
      </c>
      <c r="F3662" s="56" t="n"/>
      <c r="G3662" s="66">
        <f>ROUNDDOWN(G3661*BDI,2)</f>
        <v/>
      </c>
    </row>
    <row r="3663" ht="15" customHeight="1">
      <c r="A3663" s="2" t="inlineStr"/>
      <c r="B3663" s="2" t="inlineStr"/>
      <c r="C3663" s="2" t="inlineStr"/>
      <c r="D3663" s="2" t="inlineStr"/>
      <c r="E3663" s="28" t="inlineStr">
        <is>
          <t>VALOR COM BDI:</t>
        </is>
      </c>
      <c r="F3663" s="56" t="n"/>
      <c r="G3663" s="66">
        <f>G3662 + G3661</f>
        <v/>
      </c>
    </row>
    <row r="3664" ht="10" customHeight="1">
      <c r="A3664" s="2" t="inlineStr"/>
      <c r="B3664" s="2" t="inlineStr"/>
      <c r="C3664" s="2" t="inlineStr"/>
      <c r="D3664" s="2" t="inlineStr"/>
      <c r="E3664" s="18" t="inlineStr"/>
    </row>
    <row r="3665" ht="20" customHeight="1">
      <c r="A3665" s="19" t="inlineStr">
        <is>
          <t>​88324​ TRATORISTA COM ENCARGOS COMPLEMENTARES​ (H)</t>
        </is>
      </c>
      <c r="B3665" s="55" t="n"/>
      <c r="C3665" s="55" t="n"/>
      <c r="D3665" s="55" t="n"/>
      <c r="E3665" s="55" t="n"/>
      <c r="F3665" s="55" t="n"/>
      <c r="G3665" s="56" t="n"/>
    </row>
    <row r="3666" ht="15" customHeight="1">
      <c r="A3666" s="20" t="inlineStr">
        <is>
          <t>Encargos Complementares</t>
        </is>
      </c>
      <c r="B3666" s="56" t="n"/>
      <c r="C3666" s="21" t="inlineStr">
        <is>
          <t>FONTE</t>
        </is>
      </c>
      <c r="D3666" s="21" t="inlineStr">
        <is>
          <t>UNID</t>
        </is>
      </c>
      <c r="E3666" s="21" t="inlineStr">
        <is>
          <t>COEFICIENTE</t>
        </is>
      </c>
      <c r="F3666" s="21" t="inlineStr">
        <is>
          <t>PREÇO UNITÁRIO</t>
        </is>
      </c>
      <c r="G3666" s="21" t="inlineStr">
        <is>
          <t>TOTAL</t>
        </is>
      </c>
    </row>
    <row r="3667" ht="21" customHeight="1">
      <c r="A3667" s="22" t="inlineStr">
        <is>
          <t>00037370</t>
        </is>
      </c>
      <c r="B3667" s="23" t="inlineStr">
        <is>
          <t>ALIMENTACAO - HORISTA (COLETADO CAIXA - ENCARGOS COMPLEMENTARES)</t>
        </is>
      </c>
      <c r="C3667" s="22" t="inlineStr">
        <is>
          <t>SINAPI</t>
        </is>
      </c>
      <c r="D3667" s="22" t="inlineStr">
        <is>
          <t>H</t>
        </is>
      </c>
      <c r="E3667" s="63" t="n">
        <v>1</v>
      </c>
      <c r="F3667" s="64" t="n">
        <v>3.62</v>
      </c>
      <c r="G3667" s="64">
        <f>TRUNC(TRUNC(E3667,8)*F3667,2)</f>
        <v/>
      </c>
      <c r="L3667" t="n">
        <v>1</v>
      </c>
      <c r="M3667" t="n">
        <v>3.62</v>
      </c>
      <c r="N3667">
        <f>(M3667-F3667)</f>
        <v/>
      </c>
    </row>
    <row r="3668" ht="21" customHeight="1">
      <c r="A3668" s="22" t="inlineStr">
        <is>
          <t>00043488</t>
        </is>
      </c>
      <c r="B3668" s="23" t="inlineStr">
        <is>
          <t>EPI - FAMILIA OPERADOR ESCAVADEIRA - HORISTA (ENCARGOS COMPLEMENTARES - COLETADO CAIXA)</t>
        </is>
      </c>
      <c r="C3668" s="22" t="inlineStr">
        <is>
          <t>SINAPI</t>
        </is>
      </c>
      <c r="D3668" s="22" t="inlineStr">
        <is>
          <t>H</t>
        </is>
      </c>
      <c r="E3668" s="63" t="n">
        <v>1</v>
      </c>
      <c r="F3668" s="64" t="n">
        <v>0.89</v>
      </c>
      <c r="G3668" s="64">
        <f>TRUNC(TRUNC(E3668,8)*F3668,2)</f>
        <v/>
      </c>
      <c r="L3668" t="n">
        <v>1</v>
      </c>
      <c r="M3668" t="n">
        <v>0.89</v>
      </c>
      <c r="N3668">
        <f>(M3668-F3668)</f>
        <v/>
      </c>
    </row>
    <row r="3669" ht="21" customHeight="1">
      <c r="A3669" s="22" t="inlineStr">
        <is>
          <t>00037372</t>
        </is>
      </c>
      <c r="B3669" s="23" t="inlineStr">
        <is>
          <t>EXAMES - HORISTA (COLETADO CAIXA - ENCARGOS COMPLEMENTARES)</t>
        </is>
      </c>
      <c r="C3669" s="22" t="inlineStr">
        <is>
          <t>SINAPI</t>
        </is>
      </c>
      <c r="D3669" s="22" t="inlineStr">
        <is>
          <t>H</t>
        </is>
      </c>
      <c r="E3669" s="63" t="n">
        <v>1</v>
      </c>
      <c r="F3669" s="64" t="n">
        <v>1.43</v>
      </c>
      <c r="G3669" s="64">
        <f>TRUNC(TRUNC(E3669,8)*F3669,2)</f>
        <v/>
      </c>
      <c r="L3669" t="n">
        <v>1</v>
      </c>
      <c r="M3669" t="n">
        <v>1.43</v>
      </c>
      <c r="N3669">
        <f>(M3669-F3669)</f>
        <v/>
      </c>
    </row>
    <row r="3670" ht="29" customHeight="1">
      <c r="A3670" s="22" t="inlineStr">
        <is>
          <t>00043464</t>
        </is>
      </c>
      <c r="B3670" s="23" t="inlineStr">
        <is>
          <t>FERRAMENTAS - FAMILIA OPERADOR ESCAVADEIRA - HORISTA (ENCARGOS COMPLEMENTARES - COLETADO CAIXA)</t>
        </is>
      </c>
      <c r="C3670" s="22" t="inlineStr">
        <is>
          <t>SINAPI</t>
        </is>
      </c>
      <c r="D3670" s="22" t="inlineStr">
        <is>
          <t>H</t>
        </is>
      </c>
      <c r="E3670" s="63" t="n">
        <v>1</v>
      </c>
      <c r="F3670" s="64" t="n">
        <v>0.01</v>
      </c>
      <c r="G3670" s="64">
        <f>TRUNC(TRUNC(E3670,8)*F3670,2)</f>
        <v/>
      </c>
      <c r="L3670" t="n">
        <v>1</v>
      </c>
      <c r="M3670" t="n">
        <v>0.01</v>
      </c>
      <c r="N3670">
        <f>(M3670-F3670)</f>
        <v/>
      </c>
    </row>
    <row r="3671" ht="21" customHeight="1">
      <c r="A3671" s="22" t="inlineStr">
        <is>
          <t>00037373</t>
        </is>
      </c>
      <c r="B3671" s="23" t="inlineStr">
        <is>
          <t>SEGURO - HORISTA (COLETADO CAIXA - ENCARGOS COMPLEMENTARES)</t>
        </is>
      </c>
      <c r="C3671" s="22" t="inlineStr">
        <is>
          <t>SINAPI</t>
        </is>
      </c>
      <c r="D3671" s="22" t="inlineStr">
        <is>
          <t>H</t>
        </is>
      </c>
      <c r="E3671" s="63" t="n">
        <v>1</v>
      </c>
      <c r="F3671" s="64" t="n">
        <v>0.08</v>
      </c>
      <c r="G3671" s="64">
        <f>TRUNC(TRUNC(E3671,8)*F3671,2)</f>
        <v/>
      </c>
      <c r="L3671" t="n">
        <v>1</v>
      </c>
      <c r="M3671" t="n">
        <v>0.08</v>
      </c>
      <c r="N3671">
        <f>(M3671-F3671)</f>
        <v/>
      </c>
    </row>
    <row r="3672" ht="21" customHeight="1">
      <c r="A3672" s="22" t="inlineStr">
        <is>
          <t>00037371</t>
        </is>
      </c>
      <c r="B3672" s="23" t="inlineStr">
        <is>
          <t>TRANSPORTE - HORISTA (COLETADO CAIXA - ENCARGOS COMPLEMENTARES)</t>
        </is>
      </c>
      <c r="C3672" s="22" t="inlineStr">
        <is>
          <t>SINAPI</t>
        </is>
      </c>
      <c r="D3672" s="22" t="inlineStr">
        <is>
          <t>H</t>
        </is>
      </c>
      <c r="E3672" s="63" t="n">
        <v>1</v>
      </c>
      <c r="F3672" s="64" t="n">
        <v>1.09</v>
      </c>
      <c r="G3672" s="64">
        <f>TRUNC(TRUNC(E3672,8)*F3672,2)</f>
        <v/>
      </c>
      <c r="L3672" t="n">
        <v>1</v>
      </c>
      <c r="M3672" t="n">
        <v>1.09</v>
      </c>
      <c r="N3672">
        <f>(M3672-F3672)</f>
        <v/>
      </c>
    </row>
    <row r="3673" ht="15" customHeight="1">
      <c r="A3673" s="2" t="inlineStr"/>
      <c r="B3673" s="2" t="inlineStr"/>
      <c r="C3673" s="2" t="inlineStr"/>
      <c r="D3673" s="2" t="inlineStr"/>
      <c r="E3673" s="26" t="inlineStr">
        <is>
          <t>TOTAL Encargos Complementares:</t>
        </is>
      </c>
      <c r="F3673" s="56" t="n"/>
      <c r="G3673" s="65">
        <f>SUM(G3667:G3672)</f>
        <v/>
      </c>
    </row>
    <row r="3674" ht="15" customHeight="1">
      <c r="A3674" s="20" t="inlineStr">
        <is>
          <t>Mão de Obra</t>
        </is>
      </c>
      <c r="B3674" s="56" t="n"/>
      <c r="C3674" s="21" t="inlineStr">
        <is>
          <t>FONTE</t>
        </is>
      </c>
      <c r="D3674" s="21" t="inlineStr">
        <is>
          <t>UNID</t>
        </is>
      </c>
      <c r="E3674" s="21" t="inlineStr">
        <is>
          <t>COEFICIENTE</t>
        </is>
      </c>
      <c r="F3674" s="21" t="inlineStr">
        <is>
          <t>PREÇO UNITÁRIO</t>
        </is>
      </c>
      <c r="G3674" s="21" t="inlineStr">
        <is>
          <t>TOTAL</t>
        </is>
      </c>
    </row>
    <row r="3675" ht="21" customHeight="1">
      <c r="A3675" s="22" t="inlineStr">
        <is>
          <t>00004230</t>
        </is>
      </c>
      <c r="B3675" s="23" t="inlineStr">
        <is>
          <t>OPERADOR DE MAQUINAS E TRATORES DIVERSOS - TERRAPLANAGEM (HORISTA)</t>
        </is>
      </c>
      <c r="C3675" s="22" t="inlineStr">
        <is>
          <t>SINAPI</t>
        </is>
      </c>
      <c r="D3675" s="22" t="inlineStr">
        <is>
          <t>H</t>
        </is>
      </c>
      <c r="E3675" s="63" t="n">
        <v>1</v>
      </c>
      <c r="F3675" s="64" t="n">
        <v>28.15</v>
      </c>
      <c r="G3675" s="64">
        <f>TRUNC(TRUNC(E3675,8)*F3675,2)</f>
        <v/>
      </c>
      <c r="L3675" t="n">
        <v>1</v>
      </c>
      <c r="M3675" t="n">
        <v>28.15</v>
      </c>
      <c r="N3675">
        <f>(M3675-F3675)</f>
        <v/>
      </c>
    </row>
    <row r="3676" ht="15" customHeight="1">
      <c r="A3676" s="2" t="inlineStr"/>
      <c r="B3676" s="2" t="inlineStr"/>
      <c r="C3676" s="2" t="inlineStr"/>
      <c r="D3676" s="2" t="inlineStr"/>
      <c r="E3676" s="26" t="inlineStr">
        <is>
          <t>TOTAL Mão de Obra:</t>
        </is>
      </c>
      <c r="F3676" s="56" t="n"/>
      <c r="G3676" s="65">
        <f>SUM(G3675:G3675)</f>
        <v/>
      </c>
    </row>
    <row r="3677" ht="15" customHeight="1">
      <c r="A3677" s="20" t="inlineStr">
        <is>
          <t>Serviço</t>
        </is>
      </c>
      <c r="B3677" s="56" t="n"/>
      <c r="C3677" s="21" t="inlineStr">
        <is>
          <t>FONTE</t>
        </is>
      </c>
      <c r="D3677" s="21" t="inlineStr">
        <is>
          <t>UNID</t>
        </is>
      </c>
      <c r="E3677" s="21" t="inlineStr">
        <is>
          <t>COEFICIENTE</t>
        </is>
      </c>
      <c r="F3677" s="21" t="inlineStr">
        <is>
          <t>PREÇO UNITÁRIO</t>
        </is>
      </c>
      <c r="G3677" s="21" t="inlineStr">
        <is>
          <t>TOTAL</t>
        </is>
      </c>
    </row>
    <row r="3678" ht="21" customHeight="1">
      <c r="A3678" s="22" t="inlineStr">
        <is>
          <t>95386</t>
        </is>
      </c>
      <c r="B3678" s="23" t="inlineStr">
        <is>
          <t>CURSO DE CAPACITAÇÃO PARA TRATORISTA (ENCARGOS COMPLEMENTARES) - HORISTA</t>
        </is>
      </c>
      <c r="C3678" s="22" t="inlineStr">
        <is>
          <t>SINAPI</t>
        </is>
      </c>
      <c r="D3678" s="22" t="inlineStr">
        <is>
          <t>H</t>
        </is>
      </c>
      <c r="E3678" s="63" t="n">
        <v>1</v>
      </c>
      <c r="F3678" s="64">
        <f>G1787</f>
        <v/>
      </c>
      <c r="G3678" s="64">
        <f>TRUNC(TRUNC(E3678,8)*F3678,2)</f>
        <v/>
      </c>
      <c r="L3678" t="n">
        <v>1</v>
      </c>
      <c r="M3678" t="n">
        <v>0.32</v>
      </c>
      <c r="N3678">
        <f>(M3678-F3678)</f>
        <v/>
      </c>
    </row>
    <row r="3679" ht="15" customHeight="1">
      <c r="A3679" s="2" t="inlineStr"/>
      <c r="B3679" s="2" t="inlineStr"/>
      <c r="C3679" s="2" t="inlineStr"/>
      <c r="D3679" s="2" t="inlineStr"/>
      <c r="E3679" s="26" t="inlineStr">
        <is>
          <t>TOTAL Serviço:</t>
        </is>
      </c>
      <c r="F3679" s="56" t="n"/>
      <c r="G3679" s="65">
        <f>SUM(G3678:G3678)</f>
        <v/>
      </c>
    </row>
    <row r="3680" ht="15" customHeight="1">
      <c r="A3680" s="2" t="inlineStr"/>
      <c r="B3680" s="2" t="inlineStr"/>
      <c r="C3680" s="2" t="inlineStr"/>
      <c r="D3680" s="2" t="inlineStr"/>
      <c r="E3680" s="28" t="inlineStr">
        <is>
          <t>VALOR:</t>
        </is>
      </c>
      <c r="F3680" s="56" t="n"/>
      <c r="G3680" s="66">
        <f>ROUND(SUM(G3673,G3676,G3679),2)</f>
        <v/>
      </c>
    </row>
    <row r="3681" ht="15" customHeight="1">
      <c r="A3681" s="2" t="inlineStr"/>
      <c r="B3681" s="2" t="inlineStr"/>
      <c r="C3681" s="2" t="inlineStr"/>
      <c r="D3681" s="2" t="inlineStr"/>
      <c r="E3681" s="28" t="inlineStr">
        <is>
          <t>VALOR BDI (23.08%):</t>
        </is>
      </c>
      <c r="F3681" s="56" t="n"/>
      <c r="G3681" s="66">
        <f>ROUNDDOWN(G3680*BDI,2)</f>
        <v/>
      </c>
    </row>
    <row r="3682" ht="15" customHeight="1">
      <c r="A3682" s="2" t="inlineStr"/>
      <c r="B3682" s="2" t="inlineStr"/>
      <c r="C3682" s="2" t="inlineStr"/>
      <c r="D3682" s="2" t="inlineStr"/>
      <c r="E3682" s="28" t="inlineStr">
        <is>
          <t>VALOR COM BDI:</t>
        </is>
      </c>
      <c r="F3682" s="56" t="n"/>
      <c r="G3682" s="66">
        <f>G3681 + G3680</f>
        <v/>
      </c>
    </row>
    <row r="3683" ht="10" customHeight="1">
      <c r="A3683" s="2" t="inlineStr"/>
      <c r="B3683" s="2" t="inlineStr"/>
      <c r="C3683" s="2" t="inlineStr"/>
      <c r="D3683" s="2" t="inlineStr"/>
      <c r="E3683" s="18" t="inlineStr"/>
    </row>
    <row r="3684" ht="20" customHeight="1">
      <c r="A3684" s="19" t="inlineStr">
        <is>
          <t>​89355​ TUBO, PVC, SOLDÁVEL, DE 20MM, INSTALADO EM RAMAL OU SUB-RAMAL DE ÁGUA - FORNECIMENTO E INSTALAÇÃO. AF_06/2022​ (M)</t>
        </is>
      </c>
      <c r="B3684" s="55" t="n"/>
      <c r="C3684" s="55" t="n"/>
      <c r="D3684" s="55" t="n"/>
      <c r="E3684" s="55" t="n"/>
      <c r="F3684" s="55" t="n"/>
      <c r="G3684" s="56" t="n"/>
    </row>
    <row r="3685" ht="15" customHeight="1">
      <c r="A3685" s="20" t="inlineStr">
        <is>
          <t>Material</t>
        </is>
      </c>
      <c r="B3685" s="56" t="n"/>
      <c r="C3685" s="21" t="inlineStr">
        <is>
          <t>FONTE</t>
        </is>
      </c>
      <c r="D3685" s="21" t="inlineStr">
        <is>
          <t>UNID</t>
        </is>
      </c>
      <c r="E3685" s="21" t="inlineStr">
        <is>
          <t>COEFICIENTE</t>
        </is>
      </c>
      <c r="F3685" s="21" t="inlineStr">
        <is>
          <t>PREÇO UNITÁRIO</t>
        </is>
      </c>
      <c r="G3685" s="21" t="inlineStr">
        <is>
          <t>TOTAL</t>
        </is>
      </c>
    </row>
    <row r="3686" ht="15" customHeight="1">
      <c r="A3686" s="22" t="inlineStr">
        <is>
          <t>00038383</t>
        </is>
      </c>
      <c r="B3686" s="23" t="inlineStr">
        <is>
          <t>LIXA D'AGUA EM FOLHA, COR PRETA, GRAO 100</t>
        </is>
      </c>
      <c r="C3686" s="22" t="inlineStr">
        <is>
          <t>SINAPI</t>
        </is>
      </c>
      <c r="D3686" s="22" t="inlineStr">
        <is>
          <t>UN</t>
        </is>
      </c>
      <c r="E3686" s="63" t="n">
        <v>0.0765</v>
      </c>
      <c r="F3686" s="64">
        <f>ROUND(M3686*FATOR, 2)</f>
        <v/>
      </c>
      <c r="G3686" s="64">
        <f>TRUNC(TRUNC(E3686,8)*F3686,2)</f>
        <v/>
      </c>
      <c r="L3686" t="n">
        <v>0.0765</v>
      </c>
      <c r="M3686" t="n">
        <v>1.65</v>
      </c>
      <c r="N3686">
        <f>(M3686-F3686)</f>
        <v/>
      </c>
    </row>
    <row r="3687" ht="15" customHeight="1">
      <c r="A3687" s="22" t="inlineStr">
        <is>
          <t>00009867</t>
        </is>
      </c>
      <c r="B3687" s="23" t="inlineStr">
        <is>
          <t>TUBO PVC, SOLDAVEL, DE 20 MM, AGUA FRIA (NBR-5648)</t>
        </is>
      </c>
      <c r="C3687" s="22" t="inlineStr">
        <is>
          <t>SINAPI</t>
        </is>
      </c>
      <c r="D3687" s="22" t="inlineStr">
        <is>
          <t>M</t>
        </is>
      </c>
      <c r="E3687" s="63" t="n">
        <v>1.0493</v>
      </c>
      <c r="F3687" s="64">
        <f>ROUND(M3687*FATOR, 2)</f>
        <v/>
      </c>
      <c r="G3687" s="64">
        <f>TRUNC(TRUNC(E3687,8)*F3687,2)</f>
        <v/>
      </c>
      <c r="L3687" t="n">
        <v>1.0493</v>
      </c>
      <c r="M3687" t="n">
        <v>3.83</v>
      </c>
      <c r="N3687">
        <f>(M3687-F3687)</f>
        <v/>
      </c>
    </row>
    <row r="3688" ht="15" customHeight="1">
      <c r="A3688" s="2" t="inlineStr"/>
      <c r="B3688" s="2" t="inlineStr"/>
      <c r="C3688" s="2" t="inlineStr"/>
      <c r="D3688" s="2" t="inlineStr"/>
      <c r="E3688" s="26" t="inlineStr">
        <is>
          <t>TOTAL Material:</t>
        </is>
      </c>
      <c r="F3688" s="56" t="n"/>
      <c r="G3688" s="65">
        <f>SUM(G3686:G3687)</f>
        <v/>
      </c>
    </row>
    <row r="3689" ht="15" customHeight="1">
      <c r="A3689" s="20" t="inlineStr">
        <is>
          <t>Mão de Obra com Encargos Complementares</t>
        </is>
      </c>
      <c r="B3689" s="56" t="n"/>
      <c r="C3689" s="21" t="inlineStr">
        <is>
          <t>FONTE</t>
        </is>
      </c>
      <c r="D3689" s="21" t="inlineStr">
        <is>
          <t>UNID</t>
        </is>
      </c>
      <c r="E3689" s="21" t="inlineStr">
        <is>
          <t>COEFICIENTE</t>
        </is>
      </c>
      <c r="F3689" s="21" t="inlineStr">
        <is>
          <t>PREÇO UNITÁRIO</t>
        </is>
      </c>
      <c r="G3689" s="21" t="inlineStr">
        <is>
          <t>TOTAL</t>
        </is>
      </c>
    </row>
    <row r="3690" ht="21" customHeight="1">
      <c r="A3690" s="22" t="inlineStr">
        <is>
          <t>88248</t>
        </is>
      </c>
      <c r="B3690" s="23" t="inlineStr">
        <is>
          <t>AUXILIAR DE ENCANADOR OU BOMBEIRO HIDRÁULICO COM ENCARGOS COMPLEMENTARES</t>
        </is>
      </c>
      <c r="C3690" s="22" t="inlineStr">
        <is>
          <t>SINAPI</t>
        </is>
      </c>
      <c r="D3690" s="22" t="inlineStr">
        <is>
          <t>H</t>
        </is>
      </c>
      <c r="E3690" s="63">
        <f>L3690*FATOR</f>
        <v/>
      </c>
      <c r="F3690" s="64">
        <f>'COMPOSICOES AUXILIARES'!G474</f>
        <v/>
      </c>
      <c r="G3690" s="64">
        <f>TRUNC(TRUNC(E3690,8)*F3690,2)</f>
        <v/>
      </c>
      <c r="L3690" t="n">
        <v>0.3279</v>
      </c>
      <c r="M3690" t="n">
        <v>24.23</v>
      </c>
      <c r="N3690">
        <f>(M3690-F3690)</f>
        <v/>
      </c>
    </row>
    <row r="3691" ht="21" customHeight="1">
      <c r="A3691" s="22" t="inlineStr">
        <is>
          <t>88267</t>
        </is>
      </c>
      <c r="B3691" s="23" t="inlineStr">
        <is>
          <t>ENCANADOR OU BOMBEIRO HIDRÁULICO COM ENCARGOS COMPLEMENTARES</t>
        </is>
      </c>
      <c r="C3691" s="22" t="inlineStr">
        <is>
          <t>SINAPI</t>
        </is>
      </c>
      <c r="D3691" s="22" t="inlineStr">
        <is>
          <t>H</t>
        </is>
      </c>
      <c r="E3691" s="63">
        <f>L3691*FATOR</f>
        <v/>
      </c>
      <c r="F3691" s="64">
        <f>'COMPOSICOES AUXILIARES'!G474</f>
        <v/>
      </c>
      <c r="G3691" s="64">
        <f>TRUNC(TRUNC(E3691,8)*F3691,2)</f>
        <v/>
      </c>
      <c r="L3691" t="n">
        <v>0.3279</v>
      </c>
      <c r="M3691" t="n">
        <v>29.86</v>
      </c>
      <c r="N3691">
        <f>(M3691-F3691)</f>
        <v/>
      </c>
    </row>
    <row r="3692" ht="18" customHeight="1">
      <c r="A3692" s="2" t="inlineStr"/>
      <c r="B3692" s="2" t="inlineStr"/>
      <c r="C3692" s="2" t="inlineStr"/>
      <c r="D3692" s="2" t="inlineStr"/>
      <c r="E3692" s="26" t="inlineStr">
        <is>
          <t>TOTAL Mão de Obra com Encargos Complementares:</t>
        </is>
      </c>
      <c r="F3692" s="56" t="n"/>
      <c r="G3692" s="65">
        <f>SUM(G3690:G3691)</f>
        <v/>
      </c>
    </row>
    <row r="3693" ht="15" customHeight="1">
      <c r="A3693" s="2" t="inlineStr"/>
      <c r="B3693" s="2" t="inlineStr"/>
      <c r="C3693" s="2" t="inlineStr"/>
      <c r="D3693" s="2" t="inlineStr"/>
      <c r="E3693" s="28" t="inlineStr">
        <is>
          <t>VALOR:</t>
        </is>
      </c>
      <c r="F3693" s="56" t="n"/>
      <c r="G3693" s="66">
        <f>SUM(G3688,G3692)</f>
        <v/>
      </c>
    </row>
    <row r="3694" ht="15" customHeight="1">
      <c r="A3694" s="2" t="inlineStr"/>
      <c r="B3694" s="2" t="inlineStr"/>
      <c r="C3694" s="2" t="inlineStr"/>
      <c r="D3694" s="2" t="inlineStr"/>
      <c r="E3694" s="28" t="inlineStr">
        <is>
          <t>VALOR BDI (23.08%):</t>
        </is>
      </c>
      <c r="F3694" s="56" t="n"/>
      <c r="G3694" s="66">
        <f>ROUNDDOWN(G3693*BDI,2)</f>
        <v/>
      </c>
    </row>
    <row r="3695" ht="15" customHeight="1">
      <c r="A3695" s="2" t="inlineStr"/>
      <c r="B3695" s="2" t="inlineStr"/>
      <c r="C3695" s="2" t="inlineStr"/>
      <c r="D3695" s="2" t="inlineStr"/>
      <c r="E3695" s="28" t="inlineStr">
        <is>
          <t>VALOR COM BDI:</t>
        </is>
      </c>
      <c r="F3695" s="56" t="n"/>
      <c r="G3695" s="66">
        <f>G3694 + G3693</f>
        <v/>
      </c>
    </row>
    <row r="3696" ht="10" customHeight="1">
      <c r="A3696" s="2" t="inlineStr"/>
      <c r="B3696" s="2" t="inlineStr"/>
      <c r="C3696" s="2" t="inlineStr"/>
      <c r="D3696" s="2" t="inlineStr"/>
      <c r="E3696" s="18" t="inlineStr"/>
    </row>
    <row r="3697" ht="20" customHeight="1">
      <c r="A3697" s="19" t="inlineStr">
        <is>
          <t>​102909​ UNIDADE DOSADORA AIRLESS TIPO HOT SPRAY - MATERIAIS NA OPERAÇÃO. AF_05/2023​ (H)</t>
        </is>
      </c>
      <c r="B3697" s="55" t="n"/>
      <c r="C3697" s="55" t="n"/>
      <c r="D3697" s="55" t="n"/>
      <c r="E3697" s="55" t="n"/>
      <c r="F3697" s="55" t="n"/>
      <c r="G3697" s="56" t="n"/>
    </row>
    <row r="3698" ht="15" customHeight="1">
      <c r="A3698" s="20" t="inlineStr">
        <is>
          <t>Especiais</t>
        </is>
      </c>
      <c r="B3698" s="56" t="n"/>
      <c r="C3698" s="21" t="inlineStr">
        <is>
          <t>FONTE</t>
        </is>
      </c>
      <c r="D3698" s="21" t="inlineStr">
        <is>
          <t>UNID</t>
        </is>
      </c>
      <c r="E3698" s="21" t="inlineStr">
        <is>
          <t>COEFICIENTE</t>
        </is>
      </c>
      <c r="F3698" s="21">
        <f>G2570</f>
        <v/>
      </c>
      <c r="G3698" s="21" t="inlineStr">
        <is>
          <t>TOTAL</t>
        </is>
      </c>
    </row>
    <row r="3699" ht="21" customHeight="1">
      <c r="A3699" s="22" t="inlineStr">
        <is>
          <t>00002705</t>
        </is>
      </c>
      <c r="B3699" s="23" t="inlineStr">
        <is>
          <t>ENERGIA ELETRICA ATE 2000 KWH INDUSTRIAL, SEM DEMANDA</t>
        </is>
      </c>
      <c r="C3699" s="22" t="inlineStr">
        <is>
          <t>SINAPI</t>
        </is>
      </c>
      <c r="D3699" s="22" t="inlineStr">
        <is>
          <t>KWH</t>
        </is>
      </c>
      <c r="E3699" s="63" t="n">
        <v>4.08</v>
      </c>
      <c r="F3699" s="64">
        <f>ROUND(M3699*FATOR, 2)</f>
        <v/>
      </c>
      <c r="G3699" s="64">
        <f>TRUNC(TRUNC(E3699,8)*F3699,2)</f>
        <v/>
      </c>
      <c r="L3699" t="n">
        <v>4.08</v>
      </c>
      <c r="M3699" t="n">
        <v>1.01</v>
      </c>
      <c r="N3699">
        <f>(M3699-F3699)</f>
        <v/>
      </c>
    </row>
    <row r="3700" ht="15" customHeight="1">
      <c r="A3700" s="2" t="inlineStr"/>
      <c r="B3700" s="2" t="inlineStr"/>
      <c r="C3700" s="2" t="inlineStr"/>
      <c r="D3700" s="2" t="inlineStr"/>
      <c r="E3700" s="26" t="inlineStr">
        <is>
          <t>TOTAL Especiais:</t>
        </is>
      </c>
      <c r="F3700" s="56" t="n"/>
      <c r="G3700" s="65">
        <f>SUM(G3699:G3699)</f>
        <v/>
      </c>
    </row>
    <row r="3701" ht="15" customHeight="1">
      <c r="A3701" s="2" t="inlineStr"/>
      <c r="B3701" s="2" t="inlineStr"/>
      <c r="C3701" s="2" t="inlineStr"/>
      <c r="D3701" s="2" t="inlineStr"/>
      <c r="E3701" s="28" t="inlineStr">
        <is>
          <t>VALOR:</t>
        </is>
      </c>
      <c r="F3701" s="56" t="n"/>
      <c r="G3701" s="66">
        <f>SUM(G3700)</f>
        <v/>
      </c>
    </row>
    <row r="3702" ht="15" customHeight="1">
      <c r="A3702" s="2" t="inlineStr"/>
      <c r="B3702" s="2" t="inlineStr"/>
      <c r="C3702" s="2" t="inlineStr"/>
      <c r="D3702" s="2" t="inlineStr"/>
      <c r="E3702" s="28" t="inlineStr">
        <is>
          <t>VALOR BDI (23.08%):</t>
        </is>
      </c>
      <c r="F3702" s="56" t="n"/>
      <c r="G3702" s="66">
        <f>ROUNDDOWN(G3701*BDI,2)</f>
        <v/>
      </c>
    </row>
    <row r="3703" ht="15" customHeight="1">
      <c r="A3703" s="2" t="inlineStr"/>
      <c r="B3703" s="2" t="inlineStr"/>
      <c r="C3703" s="2" t="inlineStr"/>
      <c r="D3703" s="2" t="inlineStr"/>
      <c r="E3703" s="28" t="inlineStr">
        <is>
          <t>VALOR COM BDI:</t>
        </is>
      </c>
      <c r="F3703" s="56" t="n"/>
      <c r="G3703" s="66">
        <f>G3702 + G3701</f>
        <v/>
      </c>
    </row>
    <row r="3704" ht="10" customHeight="1">
      <c r="A3704" s="2" t="inlineStr"/>
      <c r="B3704" s="2" t="inlineStr"/>
      <c r="C3704" s="2" t="inlineStr"/>
      <c r="D3704" s="2" t="inlineStr"/>
      <c r="E3704" s="18" t="inlineStr"/>
    </row>
    <row r="3705" ht="20" customHeight="1">
      <c r="A3705" s="19" t="inlineStr">
        <is>
          <t>​86888​ VASO SANITÁRIO SIFONADO COM CAIXA ACOPLADA LOUÇA BRANCA - FORNECIMENTO E INSTALAÇÃO. AF_01/2020​ (UN)</t>
        </is>
      </c>
      <c r="B3705" s="55" t="n"/>
      <c r="C3705" s="55" t="n"/>
      <c r="D3705" s="55" t="n"/>
      <c r="E3705" s="55" t="n"/>
      <c r="F3705" s="55" t="n"/>
      <c r="G3705" s="56" t="n"/>
    </row>
    <row r="3706" ht="15" customHeight="1">
      <c r="A3706" s="20" t="inlineStr">
        <is>
          <t>Material</t>
        </is>
      </c>
      <c r="B3706" s="56" t="n"/>
      <c r="C3706" s="21" t="inlineStr">
        <is>
          <t>FONTE</t>
        </is>
      </c>
      <c r="D3706" s="21" t="inlineStr">
        <is>
          <t>UNID</t>
        </is>
      </c>
      <c r="E3706" s="21" t="inlineStr">
        <is>
          <t>COEFICIENTE</t>
        </is>
      </c>
      <c r="F3706" s="21" t="inlineStr">
        <is>
          <t>PREÇO UNITÁRIO</t>
        </is>
      </c>
      <c r="G3706" s="21" t="inlineStr">
        <is>
          <t>TOTAL</t>
        </is>
      </c>
    </row>
    <row r="3707" ht="21" customHeight="1">
      <c r="A3707" s="22" t="inlineStr">
        <is>
          <t>00006138</t>
        </is>
      </c>
      <c r="B3707" s="23" t="inlineStr">
        <is>
          <t>ANEL DE VEDACAO, PVC FLEXIVEL, 100 MM, PARA SAIDA DE BACIA / VASO SANITARIO</t>
        </is>
      </c>
      <c r="C3707" s="22" t="inlineStr">
        <is>
          <t>SINAPI</t>
        </is>
      </c>
      <c r="D3707" s="22" t="inlineStr">
        <is>
          <t>UN</t>
        </is>
      </c>
      <c r="E3707" s="63" t="n">
        <v>1</v>
      </c>
      <c r="F3707" s="64">
        <f>ROUND(M3707*FATOR, 2)</f>
        <v/>
      </c>
      <c r="G3707" s="64">
        <f>TRUNC(TRUNC(E3707,8)*F3707,2)</f>
        <v/>
      </c>
      <c r="L3707" t="n">
        <v>1</v>
      </c>
      <c r="M3707" t="n">
        <v>14.24</v>
      </c>
      <c r="N3707">
        <f>(M3707-F3707)</f>
        <v/>
      </c>
    </row>
    <row r="3708" ht="21" customHeight="1">
      <c r="A3708" s="22" t="inlineStr">
        <is>
          <t>00010422</t>
        </is>
      </c>
      <c r="B3708" s="23" t="inlineStr">
        <is>
          <t>BACIA SANITARIA (VASO) COM CAIXA ACOPLADA, SIFAO APARENTE, DE LOUCA BRANCA (SEM ASSENTO)</t>
        </is>
      </c>
      <c r="C3708" s="22" t="inlineStr">
        <is>
          <t>SINAPI</t>
        </is>
      </c>
      <c r="D3708" s="22" t="inlineStr">
        <is>
          <t>UN</t>
        </is>
      </c>
      <c r="E3708" s="63" t="n">
        <v>1</v>
      </c>
      <c r="F3708" s="64">
        <f>ROUND(M3708*FATOR, 2)</f>
        <v/>
      </c>
      <c r="G3708" s="64">
        <f>TRUNC(TRUNC(E3708,8)*F3708,2)</f>
        <v/>
      </c>
      <c r="L3708" t="n">
        <v>1</v>
      </c>
      <c r="M3708" t="n">
        <v>411.22</v>
      </c>
      <c r="N3708">
        <f>(M3708-F3708)</f>
        <v/>
      </c>
    </row>
    <row r="3709" ht="29" customHeight="1">
      <c r="A3709" s="22" t="inlineStr">
        <is>
          <t>00004384</t>
        </is>
      </c>
      <c r="B3709" s="23" t="inlineStr">
        <is>
          <t>PARAFUSO NIQUELADO COM ACABAMENTO CROMADO PARA FIXAR PECA SANITARIA, INCLUI PORCA CEGA, ARRUELA E BUCHA DE NYLON TAMANHO S-10</t>
        </is>
      </c>
      <c r="C3709" s="22" t="inlineStr">
        <is>
          <t>SINAPI</t>
        </is>
      </c>
      <c r="D3709" s="22" t="inlineStr">
        <is>
          <t>UN</t>
        </is>
      </c>
      <c r="E3709" s="63" t="n">
        <v>2</v>
      </c>
      <c r="F3709" s="64">
        <f>ROUND(M3709*FATOR, 2)</f>
        <v/>
      </c>
      <c r="G3709" s="64">
        <f>TRUNC(TRUNC(E3709,8)*F3709,2)</f>
        <v/>
      </c>
      <c r="L3709" t="n">
        <v>2</v>
      </c>
      <c r="M3709" t="n">
        <v>31.17</v>
      </c>
      <c r="N3709">
        <f>(M3709-F3709)</f>
        <v/>
      </c>
    </row>
    <row r="3710" ht="15" customHeight="1">
      <c r="A3710" s="22" t="inlineStr">
        <is>
          <t>00037329</t>
        </is>
      </c>
      <c r="B3710" s="23" t="inlineStr">
        <is>
          <t>REJUNTE EPOXI, QUALQUER COR</t>
        </is>
      </c>
      <c r="C3710" s="22" t="inlineStr">
        <is>
          <t>SINAPI</t>
        </is>
      </c>
      <c r="D3710" s="22" t="inlineStr">
        <is>
          <t>KG</t>
        </is>
      </c>
      <c r="E3710" s="63" t="n">
        <v>0.0881</v>
      </c>
      <c r="F3710" s="64">
        <f>ROUND(M3710*FATOR, 2)</f>
        <v/>
      </c>
      <c r="G3710" s="64">
        <f>TRUNC(TRUNC(E3710,8)*F3710,2)</f>
        <v/>
      </c>
      <c r="L3710" t="n">
        <v>0.0881</v>
      </c>
      <c r="M3710" t="n">
        <v>144.69</v>
      </c>
      <c r="N3710">
        <f>(M3710-F3710)</f>
        <v/>
      </c>
    </row>
    <row r="3711" ht="15" customHeight="1">
      <c r="A3711" s="2" t="inlineStr"/>
      <c r="B3711" s="2" t="inlineStr"/>
      <c r="C3711" s="2" t="inlineStr"/>
      <c r="D3711" s="2" t="inlineStr"/>
      <c r="E3711" s="26" t="inlineStr">
        <is>
          <t>TOTAL Material:</t>
        </is>
      </c>
      <c r="F3711" s="56" t="n"/>
      <c r="G3711" s="65">
        <f>SUM(G3707:G3710)</f>
        <v/>
      </c>
    </row>
    <row r="3712" ht="15" customHeight="1">
      <c r="A3712" s="20" t="inlineStr">
        <is>
          <t>Mão de Obra com Encargos Complementares</t>
        </is>
      </c>
      <c r="B3712" s="56" t="n"/>
      <c r="C3712" s="21" t="inlineStr">
        <is>
          <t>FONTE</t>
        </is>
      </c>
      <c r="D3712" s="21" t="inlineStr">
        <is>
          <t>UNID</t>
        </is>
      </c>
      <c r="E3712" s="21" t="inlineStr">
        <is>
          <t>COEFICIENTE</t>
        </is>
      </c>
      <c r="F3712" s="21" t="inlineStr">
        <is>
          <t>PREÇO UNITÁRIO</t>
        </is>
      </c>
      <c r="G3712" s="21" t="inlineStr">
        <is>
          <t>TOTAL</t>
        </is>
      </c>
    </row>
    <row r="3713" ht="21" customHeight="1">
      <c r="A3713" s="22" t="inlineStr">
        <is>
          <t>88267</t>
        </is>
      </c>
      <c r="B3713" s="23" t="inlineStr">
        <is>
          <t>ENCANADOR OU BOMBEIRO HIDRÁULICO COM ENCARGOS COMPLEMENTARES</t>
        </is>
      </c>
      <c r="C3713" s="22" t="inlineStr">
        <is>
          <t>SINAPI</t>
        </is>
      </c>
      <c r="D3713" s="22" t="inlineStr">
        <is>
          <t>H</t>
        </is>
      </c>
      <c r="E3713" s="63">
        <f>L3713*FATOR</f>
        <v/>
      </c>
      <c r="F3713" s="64">
        <f>'COMPOSICOES AUXILIARES'!G474</f>
        <v/>
      </c>
      <c r="G3713" s="64">
        <f>TRUNC(TRUNC(E3713,8)*F3713,2)</f>
        <v/>
      </c>
      <c r="L3713" t="n">
        <v>0.7791</v>
      </c>
      <c r="M3713" t="n">
        <v>29.86</v>
      </c>
      <c r="N3713">
        <f>(M3713-F3713)</f>
        <v/>
      </c>
    </row>
    <row r="3714" ht="15" customHeight="1">
      <c r="A3714" s="22" t="inlineStr">
        <is>
          <t>88316</t>
        </is>
      </c>
      <c r="B3714" s="23" t="inlineStr">
        <is>
          <t>SERVENTE COM ENCARGOS COMPLEMENTARES</t>
        </is>
      </c>
      <c r="C3714" s="22" t="inlineStr">
        <is>
          <t>SINAPI</t>
        </is>
      </c>
      <c r="D3714" s="22" t="inlineStr">
        <is>
          <t>H</t>
        </is>
      </c>
      <c r="E3714" s="63">
        <f>L3714*FATOR</f>
        <v/>
      </c>
      <c r="F3714" s="64">
        <f>'COMPOSICOES AUXILIARES'!G161</f>
        <v/>
      </c>
      <c r="G3714" s="64">
        <f>TRUNC(TRUNC(E3714,8)*F3714,2)</f>
        <v/>
      </c>
      <c r="L3714" t="n">
        <v>0.4384</v>
      </c>
      <c r="M3714" t="n">
        <v>23.56</v>
      </c>
      <c r="N3714">
        <f>(M3714-F3714)</f>
        <v/>
      </c>
    </row>
    <row r="3715" ht="18" customHeight="1">
      <c r="A3715" s="2" t="inlineStr"/>
      <c r="B3715" s="2" t="inlineStr"/>
      <c r="C3715" s="2" t="inlineStr"/>
      <c r="D3715" s="2" t="inlineStr"/>
      <c r="E3715" s="26" t="inlineStr">
        <is>
          <t>TOTAL Mão de Obra com Encargos Complementares:</t>
        </is>
      </c>
      <c r="F3715" s="56" t="n"/>
      <c r="G3715" s="65">
        <f>SUM(G3713:G3714)</f>
        <v/>
      </c>
    </row>
    <row r="3716" ht="15" customHeight="1">
      <c r="A3716" s="2" t="inlineStr"/>
      <c r="B3716" s="2" t="inlineStr"/>
      <c r="C3716" s="2" t="inlineStr"/>
      <c r="D3716" s="2" t="inlineStr"/>
      <c r="E3716" s="28" t="inlineStr">
        <is>
          <t>VALOR:</t>
        </is>
      </c>
      <c r="F3716" s="56" t="n"/>
      <c r="G3716" s="66">
        <f>SUM(G3715,G3711)</f>
        <v/>
      </c>
    </row>
    <row r="3717" ht="15" customHeight="1">
      <c r="A3717" s="2" t="inlineStr"/>
      <c r="B3717" s="2" t="inlineStr"/>
      <c r="C3717" s="2" t="inlineStr"/>
      <c r="D3717" s="2" t="inlineStr"/>
      <c r="E3717" s="28" t="inlineStr">
        <is>
          <t>VALOR BDI (23.08%):</t>
        </is>
      </c>
      <c r="F3717" s="56" t="n"/>
      <c r="G3717" s="66">
        <f>ROUNDDOWN(G3716*BDI,2)</f>
        <v/>
      </c>
    </row>
    <row r="3718" ht="15" customHeight="1">
      <c r="A3718" s="2" t="inlineStr"/>
      <c r="B3718" s="2" t="inlineStr"/>
      <c r="C3718" s="2" t="inlineStr"/>
      <c r="D3718" s="2" t="inlineStr"/>
      <c r="E3718" s="28" t="inlineStr">
        <is>
          <t>VALOR COM BDI:</t>
        </is>
      </c>
      <c r="F3718" s="56" t="n"/>
      <c r="G3718" s="66">
        <f>G3717 + G3716</f>
        <v/>
      </c>
    </row>
    <row r="3719" ht="10" customHeight="1">
      <c r="A3719" s="2" t="inlineStr"/>
      <c r="B3719" s="2" t="inlineStr"/>
      <c r="C3719" s="2" t="inlineStr"/>
      <c r="D3719" s="2" t="inlineStr"/>
      <c r="E3719" s="18" t="inlineStr"/>
    </row>
    <row r="3720" ht="20" customHeight="1">
      <c r="A3720" s="19" t="inlineStr">
        <is>
          <t>​90587​ VIBRADOR DE IMERSÃO, DIÂMETRO DE PONTEIRA 45MM, MOTOR ELÉTRICO TRIFÁSICO POTÊNCIA DE 2 CV - CHI DIURNO. AF_06/2015​ (CHI)</t>
        </is>
      </c>
      <c r="B3720" s="55" t="n"/>
      <c r="C3720" s="55" t="n"/>
      <c r="D3720" s="55" t="n"/>
      <c r="E3720" s="55" t="n"/>
      <c r="F3720" s="55" t="n"/>
      <c r="G3720" s="56" t="n"/>
    </row>
    <row r="3721" ht="15" customHeight="1">
      <c r="A3721" s="20" t="inlineStr">
        <is>
          <t>Serviço</t>
        </is>
      </c>
      <c r="B3721" s="56" t="n"/>
      <c r="C3721" s="21" t="inlineStr">
        <is>
          <t>FONTE</t>
        </is>
      </c>
      <c r="D3721" s="21" t="inlineStr">
        <is>
          <t>UNID</t>
        </is>
      </c>
      <c r="E3721" s="21" t="inlineStr">
        <is>
          <t>COEFICIENTE</t>
        </is>
      </c>
      <c r="F3721" s="21" t="inlineStr">
        <is>
          <t>PREÇO UNITÁRIO</t>
        </is>
      </c>
      <c r="G3721" s="21" t="inlineStr">
        <is>
          <t>TOTAL</t>
        </is>
      </c>
    </row>
    <row r="3722" ht="29" customHeight="1">
      <c r="A3722" s="22" t="inlineStr">
        <is>
          <t>90582</t>
        </is>
      </c>
      <c r="B3722" s="23" t="inlineStr">
        <is>
          <t>VIBRADOR DE IMERSÃO, DIÂMETRO DE PONTEIRA 45MM, MOTOR ELÉTRICO TRIFÁSICO POTÊNCIA DE 2 CV - DEPRECIAÇÃO. AF_06/2015</t>
        </is>
      </c>
      <c r="C3722" s="22" t="inlineStr">
        <is>
          <t>SINAPI</t>
        </is>
      </c>
      <c r="D3722" s="22" t="inlineStr">
        <is>
          <t>H</t>
        </is>
      </c>
      <c r="E3722" s="63" t="n">
        <v>1</v>
      </c>
      <c r="F3722" s="64" t="n">
        <v>0.46</v>
      </c>
      <c r="G3722" s="64">
        <f>TRUNC(TRUNC(E3722,8)*F3722,2)</f>
        <v/>
      </c>
      <c r="L3722" t="n">
        <v>1</v>
      </c>
      <c r="M3722" t="n">
        <v>0.46</v>
      </c>
      <c r="N3722">
        <f>(M3722-F3722)</f>
        <v/>
      </c>
    </row>
    <row r="3723" ht="29" customHeight="1">
      <c r="A3723" s="22" t="inlineStr">
        <is>
          <t>90583</t>
        </is>
      </c>
      <c r="B3723" s="23" t="inlineStr">
        <is>
          <t>VIBRADOR DE IMERSÃO, DIÂMETRO DE PONTEIRA 45MM, MOTOR ELÉTRICO TRIFÁSICO POTÊNCIA DE 2 CV - JUROS. AF_06/2015</t>
        </is>
      </c>
      <c r="C3723" s="22" t="inlineStr">
        <is>
          <t>SINAPI</t>
        </is>
      </c>
      <c r="D3723" s="22" t="inlineStr">
        <is>
          <t>H</t>
        </is>
      </c>
      <c r="E3723" s="63" t="n">
        <v>1</v>
      </c>
      <c r="F3723" s="64" t="n">
        <v>0.1</v>
      </c>
      <c r="G3723" s="64">
        <f>TRUNC(TRUNC(E3723,8)*F3723,2)</f>
        <v/>
      </c>
      <c r="L3723" t="n">
        <v>1</v>
      </c>
      <c r="M3723" t="n">
        <v>0.1</v>
      </c>
      <c r="N3723">
        <f>(M3723-F3723)</f>
        <v/>
      </c>
    </row>
    <row r="3724" ht="15" customHeight="1">
      <c r="A3724" s="2" t="inlineStr"/>
      <c r="B3724" s="2" t="inlineStr"/>
      <c r="C3724" s="2" t="inlineStr"/>
      <c r="D3724" s="2" t="inlineStr"/>
      <c r="E3724" s="26" t="inlineStr">
        <is>
          <t>TOTAL Serviço:</t>
        </is>
      </c>
      <c r="F3724" s="56" t="n"/>
      <c r="G3724" s="65">
        <f>SUM(G3722:G3723)</f>
        <v/>
      </c>
    </row>
    <row r="3725" ht="15" customHeight="1">
      <c r="A3725" s="2" t="inlineStr"/>
      <c r="B3725" s="2" t="inlineStr"/>
      <c r="C3725" s="2" t="inlineStr"/>
      <c r="D3725" s="2" t="inlineStr"/>
      <c r="E3725" s="28" t="inlineStr">
        <is>
          <t>VALOR:</t>
        </is>
      </c>
      <c r="F3725" s="56" t="n"/>
      <c r="G3725" s="66">
        <f>SUM(G3724)</f>
        <v/>
      </c>
    </row>
    <row r="3726" ht="15" customHeight="1">
      <c r="A3726" s="2" t="inlineStr"/>
      <c r="B3726" s="2" t="inlineStr"/>
      <c r="C3726" s="2" t="inlineStr"/>
      <c r="D3726" s="2" t="inlineStr"/>
      <c r="E3726" s="28" t="inlineStr">
        <is>
          <t>VALOR BDI (23.08%):</t>
        </is>
      </c>
      <c r="F3726" s="56" t="n"/>
      <c r="G3726" s="66">
        <f>ROUNDDOWN(G3725*BDI,2)</f>
        <v/>
      </c>
    </row>
    <row r="3727" ht="15" customHeight="1">
      <c r="A3727" s="2" t="inlineStr"/>
      <c r="B3727" s="2" t="inlineStr"/>
      <c r="C3727" s="2" t="inlineStr"/>
      <c r="D3727" s="2" t="inlineStr"/>
      <c r="E3727" s="28" t="inlineStr">
        <is>
          <t>VALOR COM BDI:</t>
        </is>
      </c>
      <c r="F3727" s="56" t="n"/>
      <c r="G3727" s="66">
        <f>G3726 + G3725</f>
        <v/>
      </c>
    </row>
    <row r="3728" ht="10" customHeight="1">
      <c r="A3728" s="2" t="inlineStr"/>
      <c r="B3728" s="2" t="inlineStr"/>
      <c r="C3728" s="2" t="inlineStr"/>
      <c r="D3728" s="2" t="inlineStr"/>
      <c r="E3728" s="18" t="inlineStr"/>
    </row>
    <row r="3729" ht="20" customHeight="1">
      <c r="A3729" s="19" t="inlineStr">
        <is>
          <t>​90586​ VIBRADOR DE IMERSÃO, DIÂMETRO DE PONTEIRA 45MM, MOTOR ELÉTRICO TRIFÁSICO POTÊNCIA DE 2 CV - CHP DIURNO. AF_06/2015​ (CHP)</t>
        </is>
      </c>
      <c r="B3729" s="55" t="n"/>
      <c r="C3729" s="55" t="n"/>
      <c r="D3729" s="55" t="n"/>
      <c r="E3729" s="55" t="n"/>
      <c r="F3729" s="55" t="n"/>
      <c r="G3729" s="56" t="n"/>
    </row>
    <row r="3730" ht="15" customHeight="1">
      <c r="A3730" s="20" t="inlineStr">
        <is>
          <t>Serviço</t>
        </is>
      </c>
      <c r="B3730" s="56" t="n"/>
      <c r="C3730" s="21" t="inlineStr">
        <is>
          <t>FONTE</t>
        </is>
      </c>
      <c r="D3730" s="21" t="inlineStr">
        <is>
          <t>UNID</t>
        </is>
      </c>
      <c r="E3730" s="21" t="inlineStr">
        <is>
          <t>COEFICIENTE</t>
        </is>
      </c>
      <c r="F3730" s="21" t="inlineStr">
        <is>
          <t>PREÇO UNITÁRIO</t>
        </is>
      </c>
      <c r="G3730" s="21" t="inlineStr">
        <is>
          <t>TOTAL</t>
        </is>
      </c>
    </row>
    <row r="3731" ht="29" customHeight="1">
      <c r="A3731" s="22" t="inlineStr">
        <is>
          <t>90582</t>
        </is>
      </c>
      <c r="B3731" s="23" t="inlineStr">
        <is>
          <t>VIBRADOR DE IMERSÃO, DIÂMETRO DE PONTEIRA 45MM, MOTOR ELÉTRICO TRIFÁSICO POTÊNCIA DE 2 CV - DEPRECIAÇÃO. AF_06/2015</t>
        </is>
      </c>
      <c r="C3731" s="22" t="inlineStr">
        <is>
          <t>SINAPI</t>
        </is>
      </c>
      <c r="D3731" s="22" t="inlineStr">
        <is>
          <t>H</t>
        </is>
      </c>
      <c r="E3731" s="63" t="n">
        <v>1</v>
      </c>
      <c r="F3731" s="64">
        <f>'COMPOSICOES AUXILIARES'!G3725</f>
        <v/>
      </c>
      <c r="G3731" s="64">
        <f>TRUNC(TRUNC(E3731,8)*F3731,2)</f>
        <v/>
      </c>
      <c r="L3731" t="n">
        <v>1</v>
      </c>
      <c r="M3731" t="n">
        <v>0.46</v>
      </c>
      <c r="N3731">
        <f>(M3731-F3731)</f>
        <v/>
      </c>
    </row>
    <row r="3732" ht="29" customHeight="1">
      <c r="A3732" s="22" t="inlineStr">
        <is>
          <t>90583</t>
        </is>
      </c>
      <c r="B3732" s="23" t="inlineStr">
        <is>
          <t>VIBRADOR DE IMERSÃO, DIÂMETRO DE PONTEIRA 45MM, MOTOR ELÉTRICO TRIFÁSICO POTÊNCIA DE 2 CV - JUROS. AF_06/2015</t>
        </is>
      </c>
      <c r="C3732" s="22" t="inlineStr">
        <is>
          <t>SINAPI</t>
        </is>
      </c>
      <c r="D3732" s="22" t="inlineStr">
        <is>
          <t>H</t>
        </is>
      </c>
      <c r="E3732" s="63" t="n">
        <v>1</v>
      </c>
      <c r="F3732" s="64">
        <f>'COMPOSICOES AUXILIARES'!G3725</f>
        <v/>
      </c>
      <c r="G3732" s="64">
        <f>TRUNC(TRUNC(E3732,8)*F3732,2)</f>
        <v/>
      </c>
      <c r="L3732" t="n">
        <v>1</v>
      </c>
      <c r="M3732" t="n">
        <v>0.1</v>
      </c>
      <c r="N3732">
        <f>(M3732-F3732)</f>
        <v/>
      </c>
    </row>
    <row r="3733" ht="29" customHeight="1">
      <c r="A3733" s="22" t="inlineStr">
        <is>
          <t>90584</t>
        </is>
      </c>
      <c r="B3733" s="23" t="inlineStr">
        <is>
          <t>VIBRADOR DE IMERSÃO, DIÂMETRO DE PONTEIRA 45MM, MOTOR ELÉTRICO TRIFÁSICO POTÊNCIA DE 2 CV - MANUTENÇÃO. AF_06/2015</t>
        </is>
      </c>
      <c r="C3733" s="22" t="inlineStr">
        <is>
          <t>SINAPI</t>
        </is>
      </c>
      <c r="D3733" s="22" t="inlineStr">
        <is>
          <t>H</t>
        </is>
      </c>
      <c r="E3733" s="63" t="n">
        <v>1</v>
      </c>
      <c r="F3733" s="64" t="n">
        <v>0.36</v>
      </c>
      <c r="G3733" s="64">
        <f>TRUNC(TRUNC(E3733,8)*F3733,2)</f>
        <v/>
      </c>
      <c r="L3733" t="n">
        <v>1</v>
      </c>
      <c r="M3733" t="n">
        <v>0.36</v>
      </c>
      <c r="N3733">
        <f>(M3733-F3733)</f>
        <v/>
      </c>
    </row>
    <row r="3734" ht="29" customHeight="1">
      <c r="A3734" s="22" t="inlineStr">
        <is>
          <t>90585</t>
        </is>
      </c>
      <c r="B3734" s="23" t="inlineStr">
        <is>
          <t>VIBRADOR DE IMERSÃO, DIÂMETRO DE PONTEIRA 45MM, MOTOR ELÉTRICO TRIFÁSICO POTÊNCIA DE 2 CV - MATERIAIS NA OPERAÇÃO. AF_06/2015</t>
        </is>
      </c>
      <c r="C3734" s="22" t="inlineStr">
        <is>
          <t>SINAPI</t>
        </is>
      </c>
      <c r="D3734" s="22" t="inlineStr">
        <is>
          <t>H</t>
        </is>
      </c>
      <c r="E3734" s="63" t="n">
        <v>1</v>
      </c>
      <c r="F3734" s="64" t="n">
        <v>0.52</v>
      </c>
      <c r="G3734" s="64">
        <f>TRUNC(TRUNC(E3734,8)*F3734,2)</f>
        <v/>
      </c>
      <c r="L3734" t="n">
        <v>1</v>
      </c>
      <c r="M3734" t="n">
        <v>0.52</v>
      </c>
      <c r="N3734">
        <f>(M3734-F3734)</f>
        <v/>
      </c>
    </row>
    <row r="3735" ht="15" customHeight="1">
      <c r="A3735" s="2" t="inlineStr"/>
      <c r="B3735" s="2" t="inlineStr"/>
      <c r="C3735" s="2" t="inlineStr"/>
      <c r="D3735" s="2" t="inlineStr"/>
      <c r="E3735" s="26" t="inlineStr">
        <is>
          <t>TOTAL Serviço:</t>
        </is>
      </c>
      <c r="F3735" s="56" t="n"/>
      <c r="G3735" s="65">
        <f>SUM(G3731:G3734)</f>
        <v/>
      </c>
    </row>
    <row r="3736" ht="15" customHeight="1">
      <c r="A3736" s="2" t="inlineStr"/>
      <c r="B3736" s="2" t="inlineStr"/>
      <c r="C3736" s="2" t="inlineStr"/>
      <c r="D3736" s="2" t="inlineStr"/>
      <c r="E3736" s="28" t="inlineStr">
        <is>
          <t>VALOR:</t>
        </is>
      </c>
      <c r="F3736" s="56" t="n"/>
      <c r="G3736" s="66">
        <f>SUM(G3735)</f>
        <v/>
      </c>
    </row>
    <row r="3737" ht="15" customHeight="1">
      <c r="A3737" s="2" t="inlineStr"/>
      <c r="B3737" s="2" t="inlineStr"/>
      <c r="C3737" s="2" t="inlineStr"/>
      <c r="D3737" s="2" t="inlineStr"/>
      <c r="E3737" s="28" t="inlineStr">
        <is>
          <t>VALOR BDI (23.08%):</t>
        </is>
      </c>
      <c r="F3737" s="56" t="n"/>
      <c r="G3737" s="66">
        <f>ROUNDDOWN(G3736*BDI,2)</f>
        <v/>
      </c>
    </row>
    <row r="3738" ht="15" customHeight="1">
      <c r="A3738" s="2" t="inlineStr"/>
      <c r="B3738" s="2" t="inlineStr"/>
      <c r="C3738" s="2" t="inlineStr"/>
      <c r="D3738" s="2" t="inlineStr"/>
      <c r="E3738" s="28" t="inlineStr">
        <is>
          <t>VALOR COM BDI:</t>
        </is>
      </c>
      <c r="F3738" s="56" t="n"/>
      <c r="G3738" s="66">
        <f>G3737 + G3736</f>
        <v/>
      </c>
    </row>
    <row r="3739" ht="10" customHeight="1">
      <c r="A3739" s="2" t="inlineStr"/>
      <c r="B3739" s="2" t="inlineStr"/>
      <c r="C3739" s="2" t="inlineStr"/>
      <c r="D3739" s="2" t="inlineStr"/>
      <c r="E3739" s="18" t="inlineStr"/>
    </row>
    <row r="3740" ht="20" customHeight="1">
      <c r="A3740" s="19" t="inlineStr">
        <is>
          <t>​90582​ VIBRADOR DE IMERSÃO, DIÂMETRO DE PONTEIRA 45MM, MOTOR ELÉTRICO TRIFÁSICO POTÊNCIA DE 2 CV - DEPRECIAÇÃO. AF_06/2015​ (H)</t>
        </is>
      </c>
      <c r="B3740" s="55" t="n"/>
      <c r="C3740" s="55" t="n"/>
      <c r="D3740" s="55" t="n"/>
      <c r="E3740" s="55" t="n"/>
      <c r="F3740" s="55" t="n"/>
      <c r="G3740" s="56" t="n"/>
    </row>
    <row r="3741" ht="15" customHeight="1">
      <c r="A3741" s="20" t="inlineStr">
        <is>
          <t>Equipamento</t>
        </is>
      </c>
      <c r="B3741" s="56" t="n"/>
      <c r="C3741" s="21" t="inlineStr">
        <is>
          <t>FONTE</t>
        </is>
      </c>
      <c r="D3741" s="21" t="inlineStr">
        <is>
          <t>UNID</t>
        </is>
      </c>
      <c r="E3741" s="21" t="inlineStr">
        <is>
          <t>COEFICIENTE</t>
        </is>
      </c>
      <c r="F3741" s="21" t="inlineStr">
        <is>
          <t>PREÇO UNITÁRIO</t>
        </is>
      </c>
      <c r="G3741" s="21" t="inlineStr">
        <is>
          <t>TOTAL</t>
        </is>
      </c>
    </row>
    <row r="3742" ht="21" customHeight="1">
      <c r="A3742" s="22" t="inlineStr">
        <is>
          <t>00013896</t>
        </is>
      </c>
      <c r="B3742" s="23" t="inlineStr">
        <is>
          <t>VIBRADOR DE IMERSAO, DIAMETRO DA PONTEIRA DE *45* MM, COM MOTOR ELETRICO TRIFASICO DE 2 HP (2 CV)</t>
        </is>
      </c>
      <c r="C3742" s="22" t="inlineStr">
        <is>
          <t>SINAPI</t>
        </is>
      </c>
      <c r="D3742" s="22" t="inlineStr">
        <is>
          <t>UN</t>
        </is>
      </c>
      <c r="E3742" s="63" t="n">
        <v>0.000128</v>
      </c>
      <c r="F3742" s="64" t="n">
        <v>3626.47</v>
      </c>
      <c r="G3742" s="64">
        <f>TRUNC(TRUNC(E3742,8)*F3742,2)</f>
        <v/>
      </c>
      <c r="L3742" t="n">
        <v>0.000128</v>
      </c>
      <c r="M3742" t="n">
        <v>3626.47</v>
      </c>
      <c r="N3742">
        <f>(M3742-F3742)</f>
        <v/>
      </c>
    </row>
    <row r="3743" ht="15" customHeight="1">
      <c r="A3743" s="2" t="inlineStr"/>
      <c r="B3743" s="2" t="inlineStr"/>
      <c r="C3743" s="2" t="inlineStr"/>
      <c r="D3743" s="2" t="inlineStr"/>
      <c r="E3743" s="26" t="inlineStr">
        <is>
          <t>TOTAL Equipamento:</t>
        </is>
      </c>
      <c r="F3743" s="56" t="n"/>
      <c r="G3743" s="65">
        <f>SUM(G3742:G3742)</f>
        <v/>
      </c>
    </row>
    <row r="3744" ht="15" customHeight="1">
      <c r="A3744" s="2" t="inlineStr"/>
      <c r="B3744" s="2" t="inlineStr"/>
      <c r="C3744" s="2" t="inlineStr"/>
      <c r="D3744" s="2" t="inlineStr"/>
      <c r="E3744" s="28" t="inlineStr">
        <is>
          <t>VALOR:</t>
        </is>
      </c>
      <c r="F3744" s="56" t="n"/>
      <c r="G3744" s="66">
        <f>ROUND(SUM(G3743),2)</f>
        <v/>
      </c>
    </row>
    <row r="3745" ht="15" customHeight="1">
      <c r="A3745" s="2" t="inlineStr"/>
      <c r="B3745" s="2" t="inlineStr"/>
      <c r="C3745" s="2" t="inlineStr"/>
      <c r="D3745" s="2" t="inlineStr"/>
      <c r="E3745" s="28" t="inlineStr">
        <is>
          <t>VALOR BDI (23.08%):</t>
        </is>
      </c>
      <c r="F3745" s="56" t="n"/>
      <c r="G3745" s="66">
        <f>ROUNDDOWN(G3744*BDI,2)</f>
        <v/>
      </c>
    </row>
    <row r="3746" ht="15" customHeight="1">
      <c r="A3746" s="2" t="inlineStr"/>
      <c r="B3746" s="2" t="inlineStr"/>
      <c r="C3746" s="2" t="inlineStr"/>
      <c r="D3746" s="2" t="inlineStr"/>
      <c r="E3746" s="28" t="inlineStr">
        <is>
          <t>VALOR COM BDI:</t>
        </is>
      </c>
      <c r="F3746" s="56" t="n"/>
      <c r="G3746" s="66">
        <f>G3745 + G3744</f>
        <v/>
      </c>
    </row>
    <row r="3747" ht="10" customHeight="1">
      <c r="A3747" s="2" t="inlineStr"/>
      <c r="B3747" s="2" t="inlineStr"/>
      <c r="C3747" s="2" t="inlineStr"/>
      <c r="D3747" s="2" t="inlineStr"/>
      <c r="E3747" s="18" t="inlineStr"/>
    </row>
    <row r="3748" ht="20" customHeight="1">
      <c r="A3748" s="19" t="inlineStr">
        <is>
          <t>​90583​ VIBRADOR DE IMERSÃO, DIÂMETRO DE PONTEIRA 45MM, MOTOR ELÉTRICO TRIFÁSICO POTÊNCIA DE 2 CV - JUROS. AF_06/2015​ (H)</t>
        </is>
      </c>
      <c r="B3748" s="55" t="n"/>
      <c r="C3748" s="55" t="n"/>
      <c r="D3748" s="55" t="n"/>
      <c r="E3748" s="55" t="n"/>
      <c r="F3748" s="55" t="n"/>
      <c r="G3748" s="56" t="n"/>
    </row>
    <row r="3749" ht="15" customHeight="1">
      <c r="A3749" s="20" t="inlineStr">
        <is>
          <t>Equipamento</t>
        </is>
      </c>
      <c r="B3749" s="56" t="n"/>
      <c r="C3749" s="21" t="inlineStr">
        <is>
          <t>FONTE</t>
        </is>
      </c>
      <c r="D3749" s="21" t="inlineStr">
        <is>
          <t>UNID</t>
        </is>
      </c>
      <c r="E3749" s="21" t="inlineStr">
        <is>
          <t>COEFICIENTE</t>
        </is>
      </c>
      <c r="F3749" s="21" t="inlineStr">
        <is>
          <t>PREÇO UNITÁRIO</t>
        </is>
      </c>
      <c r="G3749" s="21" t="inlineStr">
        <is>
          <t>TOTAL</t>
        </is>
      </c>
    </row>
    <row r="3750" ht="21" customHeight="1">
      <c r="A3750" s="22" t="inlineStr">
        <is>
          <t>00013896</t>
        </is>
      </c>
      <c r="B3750" s="23" t="inlineStr">
        <is>
          <t>VIBRADOR DE IMERSAO, DIAMETRO DA PONTEIRA DE *45* MM, COM MOTOR ELETRICO TRIFASICO DE 2 HP (2 CV)</t>
        </is>
      </c>
      <c r="C3750" s="22" t="inlineStr">
        <is>
          <t>SINAPI</t>
        </is>
      </c>
      <c r="D3750" s="22" t="inlineStr">
        <is>
          <t>UN</t>
        </is>
      </c>
      <c r="E3750" s="63" t="n">
        <v>2.96e-05</v>
      </c>
      <c r="F3750" s="64" t="n">
        <v>3626.47</v>
      </c>
      <c r="G3750" s="64">
        <f>TRUNC(TRUNC(E3750,8)*F3750,2)</f>
        <v/>
      </c>
      <c r="M3750" t="n">
        <v>3626.47</v>
      </c>
      <c r="N3750">
        <f>(M3750-F3750)</f>
        <v/>
      </c>
    </row>
    <row r="3751" ht="15" customHeight="1">
      <c r="A3751" s="2" t="inlineStr"/>
      <c r="B3751" s="2" t="inlineStr"/>
      <c r="C3751" s="2" t="inlineStr"/>
      <c r="D3751" s="2" t="inlineStr"/>
      <c r="E3751" s="26" t="inlineStr">
        <is>
          <t>TOTAL Equipamento:</t>
        </is>
      </c>
      <c r="F3751" s="56" t="n"/>
      <c r="G3751" s="65">
        <f>SUM(G3750:G3750)</f>
        <v/>
      </c>
    </row>
    <row r="3752" ht="15" customHeight="1">
      <c r="A3752" s="2" t="inlineStr"/>
      <c r="B3752" s="2" t="inlineStr"/>
      <c r="C3752" s="2" t="inlineStr"/>
      <c r="D3752" s="2" t="inlineStr"/>
      <c r="E3752" s="28" t="inlineStr">
        <is>
          <t>VALOR:</t>
        </is>
      </c>
      <c r="F3752" s="56" t="n"/>
      <c r="G3752" s="66">
        <f>ROUND(SUM(G3751),2)</f>
        <v/>
      </c>
    </row>
    <row r="3753" ht="15" customHeight="1">
      <c r="A3753" s="2" t="inlineStr"/>
      <c r="B3753" s="2" t="inlineStr"/>
      <c r="C3753" s="2" t="inlineStr"/>
      <c r="D3753" s="2" t="inlineStr"/>
      <c r="E3753" s="28" t="inlineStr">
        <is>
          <t>VALOR BDI (23.08%):</t>
        </is>
      </c>
      <c r="F3753" s="56" t="n"/>
      <c r="G3753" s="66">
        <f>ROUNDDOWN(G3752*BDI,2)</f>
        <v/>
      </c>
    </row>
    <row r="3754" ht="15" customHeight="1">
      <c r="A3754" s="2" t="inlineStr"/>
      <c r="B3754" s="2" t="inlineStr"/>
      <c r="C3754" s="2" t="inlineStr"/>
      <c r="D3754" s="2" t="inlineStr"/>
      <c r="E3754" s="28" t="inlineStr">
        <is>
          <t>VALOR COM BDI:</t>
        </is>
      </c>
      <c r="F3754" s="56" t="n"/>
      <c r="G3754" s="66">
        <f>G3753 + G3752</f>
        <v/>
      </c>
    </row>
    <row r="3755" ht="10" customHeight="1">
      <c r="A3755" s="2" t="inlineStr"/>
      <c r="B3755" s="2" t="inlineStr"/>
      <c r="C3755" s="2" t="inlineStr"/>
      <c r="D3755" s="2" t="inlineStr"/>
      <c r="E3755" s="18" t="inlineStr"/>
    </row>
    <row r="3756" ht="20" customHeight="1">
      <c r="A3756" s="19" t="inlineStr">
        <is>
          <t>​90584​ VIBRADOR DE IMERSÃO, DIÂMETRO DE PONTEIRA 45MM, MOTOR ELÉTRICO TRIFÁSICO POTÊNCIA DE 2 CV - MANUTENÇÃO. AF_06/2015​ (H)</t>
        </is>
      </c>
      <c r="B3756" s="55" t="n"/>
      <c r="C3756" s="55" t="n"/>
      <c r="D3756" s="55" t="n"/>
      <c r="E3756" s="55" t="n"/>
      <c r="F3756" s="55" t="n"/>
      <c r="G3756" s="56" t="n"/>
    </row>
    <row r="3757" ht="15" customHeight="1">
      <c r="A3757" s="20" t="inlineStr">
        <is>
          <t>Equipamento</t>
        </is>
      </c>
      <c r="B3757" s="56" t="n"/>
      <c r="C3757" s="21" t="inlineStr">
        <is>
          <t>FONTE</t>
        </is>
      </c>
      <c r="D3757" s="21" t="inlineStr">
        <is>
          <t>UNID</t>
        </is>
      </c>
      <c r="E3757" s="21" t="inlineStr">
        <is>
          <t>COEFICIENTE</t>
        </is>
      </c>
      <c r="F3757" s="21" t="inlineStr">
        <is>
          <t>PREÇO UNITÁRIO</t>
        </is>
      </c>
      <c r="G3757" s="21" t="inlineStr">
        <is>
          <t>TOTAL</t>
        </is>
      </c>
    </row>
    <row r="3758" ht="21" customHeight="1">
      <c r="A3758" s="22" t="inlineStr">
        <is>
          <t>00013896</t>
        </is>
      </c>
      <c r="B3758" s="23" t="inlineStr">
        <is>
          <t>VIBRADOR DE IMERSAO, DIAMETRO DA PONTEIRA DE *45* MM, COM MOTOR ELETRICO TRIFASICO DE 2 HP (2 CV)</t>
        </is>
      </c>
      <c r="C3758" s="22" t="inlineStr">
        <is>
          <t>SINAPI</t>
        </is>
      </c>
      <c r="D3758" s="22" t="inlineStr">
        <is>
          <t>UN</t>
        </is>
      </c>
      <c r="E3758" s="63" t="n">
        <v>0.0001</v>
      </c>
      <c r="F3758" s="64" t="n">
        <v>3626.47</v>
      </c>
      <c r="G3758" s="64">
        <f>TRUNC(TRUNC(E3758,8)*F3758,2)</f>
        <v/>
      </c>
      <c r="L3758" t="n">
        <v>0.0001</v>
      </c>
      <c r="M3758" t="n">
        <v>3626.47</v>
      </c>
      <c r="N3758">
        <f>(M3758-F3758)</f>
        <v/>
      </c>
    </row>
    <row r="3759" ht="15" customHeight="1">
      <c r="A3759" s="2" t="inlineStr"/>
      <c r="B3759" s="2" t="inlineStr"/>
      <c r="C3759" s="2" t="inlineStr"/>
      <c r="D3759" s="2" t="inlineStr"/>
      <c r="E3759" s="26" t="inlineStr">
        <is>
          <t>TOTAL Equipamento:</t>
        </is>
      </c>
      <c r="F3759" s="56" t="n"/>
      <c r="G3759" s="65">
        <f>SUM(G3758:G3758)</f>
        <v/>
      </c>
    </row>
    <row r="3760" ht="15" customHeight="1">
      <c r="A3760" s="2" t="inlineStr"/>
      <c r="B3760" s="2" t="inlineStr"/>
      <c r="C3760" s="2" t="inlineStr"/>
      <c r="D3760" s="2" t="inlineStr"/>
      <c r="E3760" s="28" t="inlineStr">
        <is>
          <t>VALOR:</t>
        </is>
      </c>
      <c r="F3760" s="56" t="n"/>
      <c r="G3760" s="66">
        <f>ROUND(SUM(G3759),2)</f>
        <v/>
      </c>
    </row>
    <row r="3761" ht="15" customHeight="1">
      <c r="A3761" s="2" t="inlineStr"/>
      <c r="B3761" s="2" t="inlineStr"/>
      <c r="C3761" s="2" t="inlineStr"/>
      <c r="D3761" s="2" t="inlineStr"/>
      <c r="E3761" s="28" t="inlineStr">
        <is>
          <t>VALOR BDI (23.08%):</t>
        </is>
      </c>
      <c r="F3761" s="56" t="n"/>
      <c r="G3761" s="66">
        <f>ROUNDDOWN(G3760*BDI,2)</f>
        <v/>
      </c>
    </row>
    <row r="3762" ht="15" customHeight="1">
      <c r="A3762" s="2" t="inlineStr"/>
      <c r="B3762" s="2" t="inlineStr"/>
      <c r="C3762" s="2" t="inlineStr"/>
      <c r="D3762" s="2" t="inlineStr"/>
      <c r="E3762" s="28" t="inlineStr">
        <is>
          <t>VALOR COM BDI:</t>
        </is>
      </c>
      <c r="F3762" s="56" t="n"/>
      <c r="G3762" s="66">
        <f>G3761 + G3760</f>
        <v/>
      </c>
    </row>
    <row r="3763" ht="10" customHeight="1">
      <c r="A3763" s="2" t="inlineStr"/>
      <c r="B3763" s="2" t="inlineStr"/>
      <c r="C3763" s="2" t="inlineStr"/>
      <c r="D3763" s="2" t="inlineStr"/>
      <c r="E3763" s="18" t="inlineStr"/>
    </row>
    <row r="3764" ht="20" customHeight="1">
      <c r="A3764" s="19" t="inlineStr">
        <is>
          <t>​90585​ VIBRADOR DE IMERSÃO, DIÂMETRO DE PONTEIRA 45MM, MOTOR ELÉTRICO TRIFÁSICO POTÊNCIA DE 2 CV - MATERIAIS NA OPERAÇÃO. AF_06/2015​ (H)</t>
        </is>
      </c>
      <c r="B3764" s="55" t="n"/>
      <c r="C3764" s="55" t="n"/>
      <c r="D3764" s="55" t="n"/>
      <c r="E3764" s="55" t="n"/>
      <c r="F3764" s="55" t="n"/>
      <c r="G3764" s="56" t="n"/>
    </row>
    <row r="3765" ht="15" customHeight="1">
      <c r="A3765" s="20" t="inlineStr">
        <is>
          <t>Especiais</t>
        </is>
      </c>
      <c r="B3765" s="56" t="n"/>
      <c r="C3765" s="21" t="inlineStr">
        <is>
          <t>FONTE</t>
        </is>
      </c>
      <c r="D3765" s="21" t="inlineStr">
        <is>
          <t>UNID</t>
        </is>
      </c>
      <c r="E3765" s="21" t="inlineStr">
        <is>
          <t>COEFICIENTE</t>
        </is>
      </c>
      <c r="F3765" s="21">
        <f>G2570</f>
        <v/>
      </c>
      <c r="G3765" s="21" t="inlineStr">
        <is>
          <t>TOTAL</t>
        </is>
      </c>
    </row>
    <row r="3766" ht="21" customHeight="1">
      <c r="A3766" s="22" t="inlineStr">
        <is>
          <t>00002705</t>
        </is>
      </c>
      <c r="B3766" s="23" t="inlineStr">
        <is>
          <t>ENERGIA ELETRICA ATE 2000 KWH INDUSTRIAL, SEM DEMANDA</t>
        </is>
      </c>
      <c r="C3766" s="22" t="inlineStr">
        <is>
          <t>SINAPI</t>
        </is>
      </c>
      <c r="D3766" s="22" t="inlineStr">
        <is>
          <t>KWH</t>
        </is>
      </c>
      <c r="E3766" s="63" t="n">
        <v>0.52</v>
      </c>
      <c r="F3766" s="64" t="n">
        <v>1.01</v>
      </c>
      <c r="G3766" s="64">
        <f>TRUNC(TRUNC(E3766,8)*F3766,2)</f>
        <v/>
      </c>
      <c r="L3766" t="n">
        <v>0.52</v>
      </c>
      <c r="M3766" t="n">
        <v>1.01</v>
      </c>
      <c r="N3766">
        <f>(M3766-F3766)</f>
        <v/>
      </c>
    </row>
    <row r="3767" ht="15" customHeight="1">
      <c r="A3767" s="2" t="inlineStr"/>
      <c r="B3767" s="2" t="inlineStr"/>
      <c r="C3767" s="2" t="inlineStr"/>
      <c r="D3767" s="2" t="inlineStr"/>
      <c r="E3767" s="26" t="inlineStr">
        <is>
          <t>TOTAL Especiais:</t>
        </is>
      </c>
      <c r="F3767" s="56" t="n"/>
      <c r="G3767" s="65">
        <f>SUM(G3766:G3766)</f>
        <v/>
      </c>
    </row>
    <row r="3768" ht="15" customHeight="1">
      <c r="A3768" s="2" t="inlineStr"/>
      <c r="B3768" s="2" t="inlineStr"/>
      <c r="C3768" s="2" t="inlineStr"/>
      <c r="D3768" s="2" t="inlineStr"/>
      <c r="E3768" s="28" t="inlineStr">
        <is>
          <t>VALOR:</t>
        </is>
      </c>
      <c r="F3768" s="56" t="n"/>
      <c r="G3768" s="66">
        <f>ROUND(SUM(G3767),2)</f>
        <v/>
      </c>
    </row>
    <row r="3769" ht="15" customHeight="1">
      <c r="A3769" s="2" t="inlineStr"/>
      <c r="B3769" s="2" t="inlineStr"/>
      <c r="C3769" s="2" t="inlineStr"/>
      <c r="D3769" s="2" t="inlineStr"/>
      <c r="E3769" s="28" t="inlineStr">
        <is>
          <t>VALOR BDI (23.08%):</t>
        </is>
      </c>
      <c r="F3769" s="56" t="n"/>
      <c r="G3769" s="66">
        <f>ROUNDDOWN(G3768*BDI,2)</f>
        <v/>
      </c>
    </row>
    <row r="3770" ht="15" customHeight="1">
      <c r="A3770" s="2" t="inlineStr"/>
      <c r="B3770" s="2" t="inlineStr"/>
      <c r="C3770" s="2" t="inlineStr"/>
      <c r="D3770" s="2" t="inlineStr"/>
      <c r="E3770" s="28" t="inlineStr">
        <is>
          <t>VALOR COM BDI:</t>
        </is>
      </c>
      <c r="F3770" s="56" t="n"/>
      <c r="G3770" s="66">
        <f>G3769 + G3768</f>
        <v/>
      </c>
    </row>
    <row r="3771" ht="10" customHeight="1">
      <c r="A3771" s="2" t="inlineStr"/>
      <c r="B3771" s="2" t="inlineStr"/>
      <c r="C3771" s="2" t="inlineStr"/>
      <c r="D3771" s="2" t="inlineStr"/>
      <c r="E3771" s="18" t="inlineStr"/>
    </row>
    <row r="3772" ht="20" customHeight="1">
      <c r="A3772" s="19" t="inlineStr">
        <is>
          <t>​88325​ VIDRACEIRO COM ENCARGOS COMPLEMENTARES​ (H)</t>
        </is>
      </c>
      <c r="B3772" s="55" t="n"/>
      <c r="C3772" s="55" t="n"/>
      <c r="D3772" s="55" t="n"/>
      <c r="E3772" s="55" t="n"/>
      <c r="F3772" s="55" t="n"/>
      <c r="G3772" s="56" t="n"/>
    </row>
    <row r="3773" ht="15" customHeight="1">
      <c r="A3773" s="20" t="inlineStr">
        <is>
          <t>Encargos Complementares</t>
        </is>
      </c>
      <c r="B3773" s="56" t="n"/>
      <c r="C3773" s="21" t="inlineStr">
        <is>
          <t>FONTE</t>
        </is>
      </c>
      <c r="D3773" s="21" t="inlineStr">
        <is>
          <t>UNID</t>
        </is>
      </c>
      <c r="E3773" s="21" t="inlineStr">
        <is>
          <t>COEFICIENTE</t>
        </is>
      </c>
      <c r="F3773" s="21" t="inlineStr">
        <is>
          <t>PREÇO UNITÁRIO</t>
        </is>
      </c>
      <c r="G3773" s="21" t="inlineStr">
        <is>
          <t>TOTAL</t>
        </is>
      </c>
    </row>
    <row r="3774" ht="21" customHeight="1">
      <c r="A3774" s="22" t="inlineStr">
        <is>
          <t>00037370</t>
        </is>
      </c>
      <c r="B3774" s="23" t="inlineStr">
        <is>
          <t>ALIMENTACAO - HORISTA (COLETADO CAIXA - ENCARGOS COMPLEMENTARES)</t>
        </is>
      </c>
      <c r="C3774" s="22" t="inlineStr">
        <is>
          <t>SINAPI</t>
        </is>
      </c>
      <c r="D3774" s="22" t="inlineStr">
        <is>
          <t>H</t>
        </is>
      </c>
      <c r="E3774" s="63" t="n">
        <v>1</v>
      </c>
      <c r="F3774" s="64" t="n">
        <v>3.62</v>
      </c>
      <c r="G3774" s="64">
        <f>TRUNC(TRUNC(E3774,8)*F3774,2)</f>
        <v/>
      </c>
      <c r="L3774" t="n">
        <v>1</v>
      </c>
      <c r="M3774" t="n">
        <v>3.62</v>
      </c>
      <c r="N3774">
        <f>(M3774-F3774)</f>
        <v/>
      </c>
    </row>
    <row r="3775" ht="21" customHeight="1">
      <c r="A3775" s="22" t="inlineStr">
        <is>
          <t>00043489</t>
        </is>
      </c>
      <c r="B3775" s="23" t="inlineStr">
        <is>
          <t>EPI - FAMILIA PEDREIRO - HORISTA (ENCARGOS COMPLEMENTARES - COLETADO CAIXA)</t>
        </is>
      </c>
      <c r="C3775" s="22" t="inlineStr">
        <is>
          <t>SINAPI</t>
        </is>
      </c>
      <c r="D3775" s="22" t="inlineStr">
        <is>
          <t>H</t>
        </is>
      </c>
      <c r="E3775" s="63" t="n">
        <v>1</v>
      </c>
      <c r="F3775" s="64" t="n">
        <v>1.31</v>
      </c>
      <c r="G3775" s="64">
        <f>TRUNC(TRUNC(E3775,8)*F3775,2)</f>
        <v/>
      </c>
      <c r="L3775" t="n">
        <v>1</v>
      </c>
      <c r="M3775" t="n">
        <v>1.31</v>
      </c>
      <c r="N3775">
        <f>(M3775-F3775)</f>
        <v/>
      </c>
    </row>
    <row r="3776" ht="21" customHeight="1">
      <c r="A3776" s="22" t="inlineStr">
        <is>
          <t>00037372</t>
        </is>
      </c>
      <c r="B3776" s="23" t="inlineStr">
        <is>
          <t>EXAMES - HORISTA (COLETADO CAIXA - ENCARGOS COMPLEMENTARES)</t>
        </is>
      </c>
      <c r="C3776" s="22" t="inlineStr">
        <is>
          <t>SINAPI</t>
        </is>
      </c>
      <c r="D3776" s="22" t="inlineStr">
        <is>
          <t>H</t>
        </is>
      </c>
      <c r="E3776" s="63" t="n">
        <v>1</v>
      </c>
      <c r="F3776" s="64" t="n">
        <v>1.43</v>
      </c>
      <c r="G3776" s="64">
        <f>TRUNC(TRUNC(E3776,8)*F3776,2)</f>
        <v/>
      </c>
      <c r="L3776" t="n">
        <v>1</v>
      </c>
      <c r="M3776" t="n">
        <v>1.43</v>
      </c>
      <c r="N3776">
        <f>(M3776-F3776)</f>
        <v/>
      </c>
    </row>
    <row r="3777" ht="21" customHeight="1">
      <c r="A3777" s="22" t="inlineStr">
        <is>
          <t>00043465</t>
        </is>
      </c>
      <c r="B3777" s="23" t="inlineStr">
        <is>
          <t>FERRAMENTAS - FAMILIA PEDREIRO - HORISTA (ENCARGOS COMPLEMENTARES - COLETADO CAIXA)</t>
        </is>
      </c>
      <c r="C3777" s="22" t="inlineStr">
        <is>
          <t>SINAPI</t>
        </is>
      </c>
      <c r="D3777" s="22" t="inlineStr">
        <is>
          <t>H</t>
        </is>
      </c>
      <c r="E3777" s="63" t="n">
        <v>1</v>
      </c>
      <c r="F3777" s="64" t="n">
        <v>0.78</v>
      </c>
      <c r="G3777" s="64">
        <f>TRUNC(TRUNC(E3777,8)*F3777,2)</f>
        <v/>
      </c>
      <c r="L3777" t="n">
        <v>1</v>
      </c>
      <c r="M3777" t="n">
        <v>0.78</v>
      </c>
      <c r="N3777">
        <f>(M3777-F3777)</f>
        <v/>
      </c>
    </row>
    <row r="3778" ht="21" customHeight="1">
      <c r="A3778" s="22" t="inlineStr">
        <is>
          <t>00037373</t>
        </is>
      </c>
      <c r="B3778" s="23" t="inlineStr">
        <is>
          <t>SEGURO - HORISTA (COLETADO CAIXA - ENCARGOS COMPLEMENTARES)</t>
        </is>
      </c>
      <c r="C3778" s="22" t="inlineStr">
        <is>
          <t>SINAPI</t>
        </is>
      </c>
      <c r="D3778" s="22" t="inlineStr">
        <is>
          <t>H</t>
        </is>
      </c>
      <c r="E3778" s="63" t="n">
        <v>1</v>
      </c>
      <c r="F3778" s="64" t="n">
        <v>0.08</v>
      </c>
      <c r="G3778" s="64">
        <f>TRUNC(TRUNC(E3778,8)*F3778,2)</f>
        <v/>
      </c>
      <c r="L3778" t="n">
        <v>1</v>
      </c>
      <c r="M3778" t="n">
        <v>0.08</v>
      </c>
      <c r="N3778">
        <f>(M3778-F3778)</f>
        <v/>
      </c>
    </row>
    <row r="3779" ht="21" customHeight="1">
      <c r="A3779" s="22" t="inlineStr">
        <is>
          <t>00037371</t>
        </is>
      </c>
      <c r="B3779" s="23" t="inlineStr">
        <is>
          <t>TRANSPORTE - HORISTA (COLETADO CAIXA - ENCARGOS COMPLEMENTARES)</t>
        </is>
      </c>
      <c r="C3779" s="22" t="inlineStr">
        <is>
          <t>SINAPI</t>
        </is>
      </c>
      <c r="D3779" s="22" t="inlineStr">
        <is>
          <t>H</t>
        </is>
      </c>
      <c r="E3779" s="63" t="n">
        <v>1</v>
      </c>
      <c r="F3779" s="64" t="n">
        <v>1.09</v>
      </c>
      <c r="G3779" s="64">
        <f>TRUNC(TRUNC(E3779,8)*F3779,2)</f>
        <v/>
      </c>
      <c r="L3779" t="n">
        <v>1</v>
      </c>
      <c r="M3779" t="n">
        <v>1.09</v>
      </c>
      <c r="N3779">
        <f>(M3779-F3779)</f>
        <v/>
      </c>
    </row>
    <row r="3780" ht="15" customHeight="1">
      <c r="A3780" s="2" t="inlineStr"/>
      <c r="B3780" s="2" t="inlineStr"/>
      <c r="C3780" s="2" t="inlineStr"/>
      <c r="D3780" s="2" t="inlineStr"/>
      <c r="E3780" s="26" t="inlineStr">
        <is>
          <t>TOTAL Encargos Complementares:</t>
        </is>
      </c>
      <c r="F3780" s="56" t="n"/>
      <c r="G3780" s="65">
        <f>SUM(G3774:G3779)</f>
        <v/>
      </c>
    </row>
    <row r="3781" ht="15" customHeight="1">
      <c r="A3781" s="20" t="inlineStr">
        <is>
          <t>Mão de Obra</t>
        </is>
      </c>
      <c r="B3781" s="56" t="n"/>
      <c r="C3781" s="21" t="inlineStr">
        <is>
          <t>FONTE</t>
        </is>
      </c>
      <c r="D3781" s="21" t="inlineStr">
        <is>
          <t>UNID</t>
        </is>
      </c>
      <c r="E3781" s="21" t="inlineStr">
        <is>
          <t>COEFICIENTE</t>
        </is>
      </c>
      <c r="F3781" s="21" t="inlineStr">
        <is>
          <t>PREÇO UNITÁRIO</t>
        </is>
      </c>
      <c r="G3781" s="21" t="inlineStr">
        <is>
          <t>TOTAL</t>
        </is>
      </c>
    </row>
    <row r="3782" ht="15" customHeight="1">
      <c r="A3782" s="22" t="inlineStr">
        <is>
          <t>00010489</t>
        </is>
      </c>
      <c r="B3782" s="23" t="inlineStr">
        <is>
          <t>VIDRACEIRO (HORISTA)</t>
        </is>
      </c>
      <c r="C3782" s="22" t="inlineStr">
        <is>
          <t>SINAPI</t>
        </is>
      </c>
      <c r="D3782" s="22" t="inlineStr">
        <is>
          <t>H</t>
        </is>
      </c>
      <c r="E3782" s="63">
        <f>L3782*FATOR</f>
        <v/>
      </c>
      <c r="F3782" s="64" t="n">
        <v>16.58</v>
      </c>
      <c r="G3782" s="64">
        <f>TRUNC(TRUNC(E3782,8)*F3782,2)</f>
        <v/>
      </c>
      <c r="L3782" t="n">
        <v>1</v>
      </c>
      <c r="M3782" t="n">
        <v>16.58</v>
      </c>
      <c r="N3782">
        <f>(M3782-F3782)</f>
        <v/>
      </c>
    </row>
    <row r="3783" ht="15" customHeight="1">
      <c r="A3783" s="2" t="inlineStr"/>
      <c r="B3783" s="2" t="inlineStr"/>
      <c r="C3783" s="2" t="inlineStr"/>
      <c r="D3783" s="2" t="inlineStr"/>
      <c r="E3783" s="26" t="inlineStr">
        <is>
          <t>TOTAL Mão de Obra:</t>
        </is>
      </c>
      <c r="F3783" s="56" t="n"/>
      <c r="G3783" s="65">
        <f>SUM(G3782:G3782)</f>
        <v/>
      </c>
    </row>
    <row r="3784" ht="15" customHeight="1">
      <c r="A3784" s="20" t="inlineStr">
        <is>
          <t>Serviço</t>
        </is>
      </c>
      <c r="B3784" s="56" t="n"/>
      <c r="C3784" s="21" t="inlineStr">
        <is>
          <t>FONTE</t>
        </is>
      </c>
      <c r="D3784" s="21" t="inlineStr">
        <is>
          <t>UNID</t>
        </is>
      </c>
      <c r="E3784" s="21" t="inlineStr">
        <is>
          <t>COEFICIENTE</t>
        </is>
      </c>
      <c r="F3784" s="21" t="inlineStr">
        <is>
          <t>PREÇO UNITÁRIO</t>
        </is>
      </c>
      <c r="G3784" s="21" t="inlineStr">
        <is>
          <t>TOTAL</t>
        </is>
      </c>
    </row>
    <row r="3785" ht="21" customHeight="1">
      <c r="A3785" s="22" t="inlineStr">
        <is>
          <t>95387</t>
        </is>
      </c>
      <c r="B3785" s="23" t="inlineStr">
        <is>
          <t>CURSO DE CAPACITAÇÃO PARA VIDRACEIRO (ENCARGOS COMPLEMENTARES) - HORISTA</t>
        </is>
      </c>
      <c r="C3785" s="22" t="inlineStr">
        <is>
          <t>SINAPI</t>
        </is>
      </c>
      <c r="D3785" s="22" t="inlineStr">
        <is>
          <t>H</t>
        </is>
      </c>
      <c r="E3785" s="63" t="n">
        <v>1</v>
      </c>
      <c r="F3785" s="64">
        <f>'COMPOSICOES AUXILIARES'!G1795</f>
        <v/>
      </c>
      <c r="G3785" s="64">
        <f>TRUNC(TRUNC(E3785,8)*F3785,2)</f>
        <v/>
      </c>
      <c r="L3785" t="n">
        <v>1</v>
      </c>
      <c r="M3785" t="n">
        <v>0.24</v>
      </c>
      <c r="N3785">
        <f>(M3785-F3785)</f>
        <v/>
      </c>
    </row>
    <row r="3786" ht="15" customHeight="1">
      <c r="A3786" s="2" t="inlineStr"/>
      <c r="B3786" s="2" t="inlineStr"/>
      <c r="C3786" s="2" t="inlineStr"/>
      <c r="D3786" s="2" t="inlineStr"/>
      <c r="E3786" s="26" t="inlineStr">
        <is>
          <t>TOTAL Serviço:</t>
        </is>
      </c>
      <c r="F3786" s="56" t="n"/>
      <c r="G3786" s="65">
        <f>SUM(G3785:G3785)</f>
        <v/>
      </c>
    </row>
    <row r="3787" ht="15" customHeight="1">
      <c r="A3787" s="2" t="inlineStr"/>
      <c r="B3787" s="2" t="inlineStr"/>
      <c r="C3787" s="2" t="inlineStr"/>
      <c r="D3787" s="2" t="inlineStr"/>
      <c r="E3787" s="28" t="inlineStr">
        <is>
          <t>VALOR:</t>
        </is>
      </c>
      <c r="F3787" s="56" t="n"/>
      <c r="G3787" s="66">
        <f>SUM(G3786,G3780,G3783)</f>
        <v/>
      </c>
    </row>
    <row r="3788" ht="15" customHeight="1">
      <c r="A3788" s="2" t="inlineStr"/>
      <c r="B3788" s="2" t="inlineStr"/>
      <c r="C3788" s="2" t="inlineStr"/>
      <c r="D3788" s="2" t="inlineStr"/>
      <c r="E3788" s="28" t="inlineStr">
        <is>
          <t>VALOR BDI (23.08%):</t>
        </is>
      </c>
      <c r="F3788" s="56" t="n"/>
      <c r="G3788" s="66">
        <f>ROUNDDOWN(G3787*BDI,2)</f>
        <v/>
      </c>
    </row>
    <row r="3789" ht="15" customHeight="1">
      <c r="A3789" s="2" t="inlineStr"/>
      <c r="B3789" s="2" t="inlineStr"/>
      <c r="C3789" s="2" t="inlineStr"/>
      <c r="D3789" s="2" t="inlineStr"/>
      <c r="E3789" s="28" t="inlineStr">
        <is>
          <t>VALOR COM BDI:</t>
        </is>
      </c>
      <c r="F3789" s="56" t="n"/>
      <c r="G3789" s="66">
        <f>G3788 + G3787</f>
        <v/>
      </c>
    </row>
    <row r="3790" ht="10" customHeight="1">
      <c r="A3790" s="2" t="inlineStr"/>
      <c r="B3790" s="2" t="inlineStr"/>
      <c r="C3790" s="2" t="inlineStr"/>
      <c r="D3790" s="2" t="inlineStr"/>
      <c r="E3790" s="18" t="inlineStr"/>
    </row>
    <row r="3791" ht="20" customHeight="1">
      <c r="A3791" s="19" t="inlineStr">
        <is>
          <t>​86877​ VÁLVULA EM METAL CROMADO 1.1/2" X 1.1/2" PARA TANQUE OU LAVATÓRIO, COM OU SEM LADRÃO - FORNECIMENTO E INSTALAÇÃO. AF_01/2020​ (UN)</t>
        </is>
      </c>
      <c r="B3791" s="55" t="n"/>
      <c r="C3791" s="55" t="n"/>
      <c r="D3791" s="55" t="n"/>
      <c r="E3791" s="55" t="n"/>
      <c r="F3791" s="55" t="n"/>
      <c r="G3791" s="56" t="n"/>
    </row>
    <row r="3792" ht="15" customHeight="1">
      <c r="A3792" s="20" t="inlineStr">
        <is>
          <t>Material</t>
        </is>
      </c>
      <c r="B3792" s="56" t="n"/>
      <c r="C3792" s="21" t="inlineStr">
        <is>
          <t>FONTE</t>
        </is>
      </c>
      <c r="D3792" s="21" t="inlineStr">
        <is>
          <t>UNID</t>
        </is>
      </c>
      <c r="E3792" s="21" t="inlineStr">
        <is>
          <t>COEFICIENTE</t>
        </is>
      </c>
      <c r="F3792" s="21" t="inlineStr">
        <is>
          <t>PREÇO UNITÁRIO</t>
        </is>
      </c>
      <c r="G3792" s="21" t="inlineStr">
        <is>
          <t>TOTAL</t>
        </is>
      </c>
    </row>
    <row r="3793" ht="21" customHeight="1">
      <c r="A3793" s="22" t="inlineStr">
        <is>
          <t>00003146</t>
        </is>
      </c>
      <c r="B3793" s="23" t="inlineStr">
        <is>
          <t>FITA VEDA ROSCA, EM PTFE, ROLO DE 18 MM X 10 M (L X C)</t>
        </is>
      </c>
      <c r="C3793" s="22" t="inlineStr">
        <is>
          <t>SINAPI</t>
        </is>
      </c>
      <c r="D3793" s="22" t="inlineStr">
        <is>
          <t>UN</t>
        </is>
      </c>
      <c r="E3793" s="63" t="n">
        <v>0.048</v>
      </c>
      <c r="F3793" s="64">
        <f>ROUND(M3793*FATOR, 2)</f>
        <v/>
      </c>
      <c r="G3793" s="64">
        <f>TRUNC(TRUNC(E3793,8)*F3793,2)</f>
        <v/>
      </c>
      <c r="L3793" t="n">
        <v>0.048</v>
      </c>
      <c r="M3793" t="n">
        <v>4</v>
      </c>
      <c r="N3793">
        <f>(M3793-F3793)</f>
        <v/>
      </c>
    </row>
    <row r="3794" ht="21" customHeight="1">
      <c r="A3794" s="22" t="inlineStr">
        <is>
          <t>00037588</t>
        </is>
      </c>
      <c r="B3794" s="23" t="inlineStr">
        <is>
          <t>VALVULA DE ESCOAMENTO PARA TANQUE, EM METAL CROMADO, 1.1/2", SEM LADRAO, COM TAMPAO PLASTICO</t>
        </is>
      </c>
      <c r="C3794" s="22" t="inlineStr">
        <is>
          <t>SINAPI</t>
        </is>
      </c>
      <c r="D3794" s="22" t="inlineStr">
        <is>
          <t>UN</t>
        </is>
      </c>
      <c r="E3794" s="63" t="n">
        <v>1</v>
      </c>
      <c r="F3794" s="64">
        <f>ROUND(M3794*FATOR, 2)</f>
        <v/>
      </c>
      <c r="G3794" s="64">
        <f>TRUNC(TRUNC(E3794,8)*F3794,2)</f>
        <v/>
      </c>
      <c r="L3794" t="n">
        <v>1</v>
      </c>
      <c r="M3794" t="n">
        <v>73.89</v>
      </c>
      <c r="N3794">
        <f>(M3794-F3794)</f>
        <v/>
      </c>
    </row>
    <row r="3795" ht="15" customHeight="1">
      <c r="A3795" s="2" t="inlineStr"/>
      <c r="B3795" s="2" t="inlineStr"/>
      <c r="C3795" s="2" t="inlineStr"/>
      <c r="D3795" s="2" t="inlineStr"/>
      <c r="E3795" s="26" t="inlineStr">
        <is>
          <t>TOTAL Material:</t>
        </is>
      </c>
      <c r="F3795" s="56" t="n"/>
      <c r="G3795" s="65">
        <f>SUM(G3793:G3794)</f>
        <v/>
      </c>
    </row>
    <row r="3796" ht="15" customHeight="1">
      <c r="A3796" s="20" t="inlineStr">
        <is>
          <t>Mão de Obra com Encargos Complementares</t>
        </is>
      </c>
      <c r="B3796" s="56" t="n"/>
      <c r="C3796" s="21" t="inlineStr">
        <is>
          <t>FONTE</t>
        </is>
      </c>
      <c r="D3796" s="21" t="inlineStr">
        <is>
          <t>UNID</t>
        </is>
      </c>
      <c r="E3796" s="21" t="inlineStr">
        <is>
          <t>COEFICIENTE</t>
        </is>
      </c>
      <c r="F3796" s="21" t="inlineStr">
        <is>
          <t>PREÇO UNITÁRIO</t>
        </is>
      </c>
      <c r="G3796" s="21" t="inlineStr">
        <is>
          <t>TOTAL</t>
        </is>
      </c>
    </row>
    <row r="3797" ht="21" customHeight="1">
      <c r="A3797" s="22" t="inlineStr">
        <is>
          <t>88267</t>
        </is>
      </c>
      <c r="B3797" s="23" t="inlineStr">
        <is>
          <t>ENCANADOR OU BOMBEIRO HIDRÁULICO COM ENCARGOS COMPLEMENTARES</t>
        </is>
      </c>
      <c r="C3797" s="22" t="inlineStr">
        <is>
          <t>SINAPI</t>
        </is>
      </c>
      <c r="D3797" s="22" t="inlineStr">
        <is>
          <t>H</t>
        </is>
      </c>
      <c r="E3797" s="63">
        <f>L3797*FATOR</f>
        <v/>
      </c>
      <c r="F3797" s="64">
        <f>'COMPOSICOES AUXILIARES'!G474</f>
        <v/>
      </c>
      <c r="G3797" s="64">
        <f>TRUNC(TRUNC(E3797,8)*F3797,2)</f>
        <v/>
      </c>
      <c r="L3797" t="n">
        <v>0.174</v>
      </c>
      <c r="M3797" t="n">
        <v>29.86</v>
      </c>
      <c r="N3797">
        <f>(M3797-F3797)</f>
        <v/>
      </c>
    </row>
    <row r="3798" ht="15" customHeight="1">
      <c r="A3798" s="22" t="inlineStr">
        <is>
          <t>88316</t>
        </is>
      </c>
      <c r="B3798" s="23" t="inlineStr">
        <is>
          <t>SERVENTE COM ENCARGOS COMPLEMENTARES</t>
        </is>
      </c>
      <c r="C3798" s="22" t="inlineStr">
        <is>
          <t>SINAPI</t>
        </is>
      </c>
      <c r="D3798" s="22" t="inlineStr">
        <is>
          <t>H</t>
        </is>
      </c>
      <c r="E3798" s="63">
        <f>L3798*FATOR</f>
        <v/>
      </c>
      <c r="F3798" s="64">
        <f>'COMPOSICOES AUXILIARES'!G161</f>
        <v/>
      </c>
      <c r="G3798" s="64">
        <f>TRUNC(TRUNC(E3798,8)*F3798,2)</f>
        <v/>
      </c>
      <c r="L3798" t="n">
        <v>0.0548</v>
      </c>
      <c r="M3798" t="n">
        <v>23.56</v>
      </c>
      <c r="N3798">
        <f>(M3798-F3798)</f>
        <v/>
      </c>
    </row>
    <row r="3799" ht="18" customHeight="1">
      <c r="A3799" s="2" t="inlineStr"/>
      <c r="B3799" s="2" t="inlineStr"/>
      <c r="C3799" s="2" t="inlineStr"/>
      <c r="D3799" s="2" t="inlineStr"/>
      <c r="E3799" s="26" t="inlineStr">
        <is>
          <t>TOTAL Mão de Obra com Encargos Complementares:</t>
        </is>
      </c>
      <c r="F3799" s="56" t="n"/>
      <c r="G3799" s="65">
        <f>SUM(G3797:G3798)</f>
        <v/>
      </c>
    </row>
    <row r="3800" ht="15" customHeight="1">
      <c r="A3800" s="2" t="inlineStr"/>
      <c r="B3800" s="2" t="inlineStr"/>
      <c r="C3800" s="2" t="inlineStr"/>
      <c r="D3800" s="2" t="inlineStr"/>
      <c r="E3800" s="28" t="inlineStr">
        <is>
          <t>VALOR:</t>
        </is>
      </c>
      <c r="F3800" s="56" t="n"/>
      <c r="G3800" s="66">
        <f>SUM(G3795,G3799)</f>
        <v/>
      </c>
    </row>
    <row r="3801" ht="15" customHeight="1">
      <c r="A3801" s="2" t="inlineStr"/>
      <c r="B3801" s="2" t="inlineStr"/>
      <c r="C3801" s="2" t="inlineStr"/>
      <c r="D3801" s="2" t="inlineStr"/>
      <c r="E3801" s="28" t="inlineStr">
        <is>
          <t>VALOR BDI (23.08%):</t>
        </is>
      </c>
      <c r="F3801" s="56" t="n"/>
      <c r="G3801" s="66">
        <f>ROUNDDOWN(G3800*BDI,2)</f>
        <v/>
      </c>
    </row>
    <row r="3802" ht="15" customHeight="1">
      <c r="A3802" s="2" t="inlineStr"/>
      <c r="B3802" s="2" t="inlineStr"/>
      <c r="C3802" s="2" t="inlineStr"/>
      <c r="D3802" s="2" t="inlineStr"/>
      <c r="E3802" s="28" t="inlineStr">
        <is>
          <t>VALOR COM BDI:</t>
        </is>
      </c>
      <c r="F3802" s="56" t="n"/>
      <c r="G3802" s="66">
        <f>G3801 + G3800</f>
        <v/>
      </c>
    </row>
  </sheetData>
  <mergeCells count="2713">
    <mergeCell ref="E2386:G2386"/>
    <mergeCell ref="A854:B854"/>
    <mergeCell ref="A3740:G3740"/>
    <mergeCell ref="E834:F834"/>
    <mergeCell ref="A1337:B1337"/>
    <mergeCell ref="A3580:B3580"/>
    <mergeCell ref="E371:F371"/>
    <mergeCell ref="E2946:F2946"/>
    <mergeCell ref="E3288:F3288"/>
    <mergeCell ref="E836:F836"/>
    <mergeCell ref="E1159:F1159"/>
    <mergeCell ref="E2193:F2193"/>
    <mergeCell ref="A2696:B2696"/>
    <mergeCell ref="A766:G766"/>
    <mergeCell ref="E3700:F3700"/>
    <mergeCell ref="E1038:G1038"/>
    <mergeCell ref="E3281:G3281"/>
    <mergeCell ref="E2518:F2518"/>
    <mergeCell ref="A2853:G2853"/>
    <mergeCell ref="A1328:B1328"/>
    <mergeCell ref="E2947:F2947"/>
    <mergeCell ref="A2512:B2512"/>
    <mergeCell ref="E2520:F2520"/>
    <mergeCell ref="E3124:G3124"/>
    <mergeCell ref="E3247:F3247"/>
    <mergeCell ref="A2843:B2843"/>
    <mergeCell ref="E2521:G2521"/>
    <mergeCell ref="E1638:G1638"/>
    <mergeCell ref="A784:G784"/>
    <mergeCell ref="E2088:F2088"/>
    <mergeCell ref="E3278:F3278"/>
    <mergeCell ref="A3665:G3665"/>
    <mergeCell ref="E3578:G3578"/>
    <mergeCell ref="E1948:F1948"/>
    <mergeCell ref="E1491:F1491"/>
    <mergeCell ref="E2974:F2974"/>
    <mergeCell ref="E1056:F1056"/>
    <mergeCell ref="E1485:F1485"/>
    <mergeCell ref="A595:B595"/>
    <mergeCell ref="E2973:F2973"/>
    <mergeCell ref="E1066:G1066"/>
    <mergeCell ref="E311:G311"/>
    <mergeCell ref="E1064:F1064"/>
    <mergeCell ref="E1362:F1362"/>
    <mergeCell ref="E1662:G1662"/>
    <mergeCell ref="E3307:F3307"/>
    <mergeCell ref="E2852:G2852"/>
    <mergeCell ref="E2546:F2546"/>
    <mergeCell ref="E3301:F3301"/>
    <mergeCell ref="A1751:G1751"/>
    <mergeCell ref="E3152:G3152"/>
    <mergeCell ref="E761:F761"/>
    <mergeCell ref="E1365:G1365"/>
    <mergeCell ref="A655:B655"/>
    <mergeCell ref="E2427:G2427"/>
    <mergeCell ref="A192:B192"/>
    <mergeCell ref="E3329:F3329"/>
    <mergeCell ref="E3746:F3746"/>
    <mergeCell ref="E1661:F1661"/>
    <mergeCell ref="E3050:G3050"/>
    <mergeCell ref="E1959:F1959"/>
    <mergeCell ref="A2437:B2437"/>
    <mergeCell ref="E1198:F1198"/>
    <mergeCell ref="E473:F473"/>
    <mergeCell ref="A2190:G2190"/>
    <mergeCell ref="A3200:B3200"/>
    <mergeCell ref="A3498:B3498"/>
    <mergeCell ref="E2259:F2259"/>
    <mergeCell ref="E174:F174"/>
    <mergeCell ref="E2897:F2897"/>
    <mergeCell ref="E3204:F3204"/>
    <mergeCell ref="E1417:F1417"/>
    <mergeCell ref="E3660:F3660"/>
    <mergeCell ref="E2592:G2592"/>
    <mergeCell ref="E2890:G2890"/>
    <mergeCell ref="E474:F474"/>
    <mergeCell ref="E1112:F1112"/>
    <mergeCell ref="E774:G774"/>
    <mergeCell ref="E772:F772"/>
    <mergeCell ref="A639:B639"/>
    <mergeCell ref="A1495:G1495"/>
    <mergeCell ref="E2173:F2173"/>
    <mergeCell ref="E2435:G2435"/>
    <mergeCell ref="A2884:B2884"/>
    <mergeCell ref="A3549:B3549"/>
    <mergeCell ref="A205:B205"/>
    <mergeCell ref="A65:B65"/>
    <mergeCell ref="A1909:G1909"/>
    <mergeCell ref="E1128:F1128"/>
    <mergeCell ref="E69:F69"/>
    <mergeCell ref="E464:G464"/>
    <mergeCell ref="E3800:F3800"/>
    <mergeCell ref="A3310:G3310"/>
    <mergeCell ref="E2917:F2917"/>
    <mergeCell ref="E1130:F1130"/>
    <mergeCell ref="E1428:F1428"/>
    <mergeCell ref="E369:F369"/>
    <mergeCell ref="E3373:F3373"/>
    <mergeCell ref="E1884:F1884"/>
    <mergeCell ref="E2155:F2155"/>
    <mergeCell ref="E3802:F3802"/>
    <mergeCell ref="E485:F485"/>
    <mergeCell ref="E3584:F3584"/>
    <mergeCell ref="E3673:F3673"/>
    <mergeCell ref="E2761:G2761"/>
    <mergeCell ref="E2315:F2315"/>
    <mergeCell ref="A994:B994"/>
    <mergeCell ref="A449:G449"/>
    <mergeCell ref="E2186:F2186"/>
    <mergeCell ref="A2808:B2808"/>
    <mergeCell ref="E543:F543"/>
    <mergeCell ref="A2080:B2080"/>
    <mergeCell ref="A260:B260"/>
    <mergeCell ref="A3562:B3562"/>
    <mergeCell ref="A1784:B1784"/>
    <mergeCell ref="E545:F545"/>
    <mergeCell ref="A2204:B2204"/>
    <mergeCell ref="E90:G90"/>
    <mergeCell ref="E88:F88"/>
    <mergeCell ref="E2969:F2969"/>
    <mergeCell ref="E1272:F1272"/>
    <mergeCell ref="E1299:F1299"/>
    <mergeCell ref="E2325:F2325"/>
    <mergeCell ref="A3781:B3781"/>
    <mergeCell ref="E1904:F1904"/>
    <mergeCell ref="E967:F967"/>
    <mergeCell ref="E2026:F2026"/>
    <mergeCell ref="E1143:F1143"/>
    <mergeCell ref="E3726:F3726"/>
    <mergeCell ref="E3386:F3386"/>
    <mergeCell ref="E3269:F3269"/>
    <mergeCell ref="E1599:F1599"/>
    <mergeCell ref="E3305:F3305"/>
    <mergeCell ref="A434:B434"/>
    <mergeCell ref="E3603:F3603"/>
    <mergeCell ref="E2842:F2842"/>
    <mergeCell ref="A2593:G2593"/>
    <mergeCell ref="E2721:G2721"/>
    <mergeCell ref="E391:G391"/>
    <mergeCell ref="A2108:B2108"/>
    <mergeCell ref="A1049:B1049"/>
    <mergeCell ref="E869:F869"/>
    <mergeCell ref="A321:B321"/>
    <mergeCell ref="A1032:B1032"/>
    <mergeCell ref="E3448:G3448"/>
    <mergeCell ref="E3142:F3142"/>
    <mergeCell ref="A1563:G1563"/>
    <mergeCell ref="E3606:G3606"/>
    <mergeCell ref="A3051:G3051"/>
    <mergeCell ref="A3465:B3465"/>
    <mergeCell ref="E1955:F1955"/>
    <mergeCell ref="E416:G416"/>
    <mergeCell ref="E2384:F2384"/>
    <mergeCell ref="A2746:G2746"/>
    <mergeCell ref="A3196:B3196"/>
    <mergeCell ref="A289:B289"/>
    <mergeCell ref="E3287:F3287"/>
    <mergeCell ref="E1957:F1957"/>
    <mergeCell ref="E1932:F1932"/>
    <mergeCell ref="A3792:B3792"/>
    <mergeCell ref="A3649:G3649"/>
    <mergeCell ref="E1502:G1502"/>
    <mergeCell ref="E3445:F3445"/>
    <mergeCell ref="E2684:F2684"/>
    <mergeCell ref="E1652:F1652"/>
    <mergeCell ref="A1792:B1792"/>
    <mergeCell ref="E1204:F1204"/>
    <mergeCell ref="E2257:F2257"/>
    <mergeCell ref="E2555:F2555"/>
    <mergeCell ref="E3447:F3447"/>
    <mergeCell ref="E3747:G3747"/>
    <mergeCell ref="E3745:F3745"/>
    <mergeCell ref="E1960:G1960"/>
    <mergeCell ref="E2984:F2984"/>
    <mergeCell ref="E3011:F3011"/>
    <mergeCell ref="E1197:F1197"/>
    <mergeCell ref="E2565:G2565"/>
    <mergeCell ref="E3616:F3616"/>
    <mergeCell ref="A305:B305"/>
    <mergeCell ref="A2275:B2275"/>
    <mergeCell ref="E770:F770"/>
    <mergeCell ref="A3178:B3178"/>
    <mergeCell ref="A1823:B1823"/>
    <mergeCell ref="E584:F584"/>
    <mergeCell ref="A2575:B2575"/>
    <mergeCell ref="A2873:B2873"/>
    <mergeCell ref="E3313:F3313"/>
    <mergeCell ref="E1985:F1985"/>
    <mergeCell ref="A3522:B3522"/>
    <mergeCell ref="A361:B361"/>
    <mergeCell ref="E1522:F1522"/>
    <mergeCell ref="A3791:G3791"/>
    <mergeCell ref="E2397:F2397"/>
    <mergeCell ref="E925:F925"/>
    <mergeCell ref="A2004:G2004"/>
    <mergeCell ref="E1978:F1978"/>
    <mergeCell ref="A3209:B3209"/>
    <mergeCell ref="E917:F917"/>
    <mergeCell ref="E2285:F2285"/>
    <mergeCell ref="E1217:G1217"/>
    <mergeCell ref="E1215:F1215"/>
    <mergeCell ref="E498:F498"/>
    <mergeCell ref="E489:G489"/>
    <mergeCell ref="E183:F183"/>
    <mergeCell ref="E796:F796"/>
    <mergeCell ref="A2477:B2477"/>
    <mergeCell ref="E3458:F3458"/>
    <mergeCell ref="B32:C32"/>
    <mergeCell ref="E3371:F3371"/>
    <mergeCell ref="E3346:F3346"/>
    <mergeCell ref="A2601:B2601"/>
    <mergeCell ref="E1096:F1096"/>
    <mergeCell ref="E3066:F3066"/>
    <mergeCell ref="E1525:F1525"/>
    <mergeCell ref="A1121:B1121"/>
    <mergeCell ref="A1413:B1413"/>
    <mergeCell ref="A3720:G3720"/>
    <mergeCell ref="E1518:G1518"/>
    <mergeCell ref="E1698:F1698"/>
    <mergeCell ref="A1421:B1421"/>
    <mergeCell ref="A3558:B3558"/>
    <mergeCell ref="A3689:B3689"/>
    <mergeCell ref="A345:B345"/>
    <mergeCell ref="E2425:F2425"/>
    <mergeCell ref="A1935:G1935"/>
    <mergeCell ref="E936:F936"/>
    <mergeCell ref="A2531:G2531"/>
    <mergeCell ref="E2784:F2784"/>
    <mergeCell ref="E3082:F3082"/>
    <mergeCell ref="E2304:G2304"/>
    <mergeCell ref="A2805:B2805"/>
    <mergeCell ref="E1541:F1541"/>
    <mergeCell ref="E3084:F3084"/>
    <mergeCell ref="E2627:F2627"/>
    <mergeCell ref="E2665:F2665"/>
    <mergeCell ref="E1115:G1115"/>
    <mergeCell ref="E809:F809"/>
    <mergeCell ref="E2024:F2024"/>
    <mergeCell ref="E3392:F3392"/>
    <mergeCell ref="E2202:G2202"/>
    <mergeCell ref="A100:B100"/>
    <mergeCell ref="E3682:F3682"/>
    <mergeCell ref="A255:G255"/>
    <mergeCell ref="A529:B529"/>
    <mergeCell ref="E3085:F3085"/>
    <mergeCell ref="A705:B705"/>
    <mergeCell ref="E2324:F2324"/>
    <mergeCell ref="E2630:G2630"/>
    <mergeCell ref="E3383:F3383"/>
    <mergeCell ref="A1358:G1358"/>
    <mergeCell ref="A1134:B1134"/>
    <mergeCell ref="A1432:B1432"/>
    <mergeCell ref="E1442:G1442"/>
    <mergeCell ref="E351:F351"/>
    <mergeCell ref="A829:B829"/>
    <mergeCell ref="E867:F867"/>
    <mergeCell ref="E2355:F2355"/>
    <mergeCell ref="A3588:B3588"/>
    <mergeCell ref="E956:F956"/>
    <mergeCell ref="E135:F135"/>
    <mergeCell ref="A2862:B2862"/>
    <mergeCell ref="E870:G870"/>
    <mergeCell ref="A733:B733"/>
    <mergeCell ref="E868:F868"/>
    <mergeCell ref="E107:F107"/>
    <mergeCell ref="E2807:F2807"/>
    <mergeCell ref="E143:F143"/>
    <mergeCell ref="E441:F441"/>
    <mergeCell ref="E741:G741"/>
    <mergeCell ref="E739:F739"/>
    <mergeCell ref="A2704:G2704"/>
    <mergeCell ref="A120:B120"/>
    <mergeCell ref="A758:B758"/>
    <mergeCell ref="E2352:F2352"/>
    <mergeCell ref="A301:B301"/>
    <mergeCell ref="A2246:B2246"/>
    <mergeCell ref="B696:C696"/>
    <mergeCell ref="A1512:B1512"/>
    <mergeCell ref="E2223:F2223"/>
    <mergeCell ref="A2117:B2117"/>
    <mergeCell ref="A3730:B3730"/>
    <mergeCell ref="A2762:G2762"/>
    <mergeCell ref="E1465:F1465"/>
    <mergeCell ref="E582:F582"/>
    <mergeCell ref="E125:F125"/>
    <mergeCell ref="E2070:F2070"/>
    <mergeCell ref="E2368:F2368"/>
    <mergeCell ref="A2846:B2846"/>
    <mergeCell ref="A3213:B3213"/>
    <mergeCell ref="E581:F581"/>
    <mergeCell ref="E3552:F3552"/>
    <mergeCell ref="E1765:F1765"/>
    <mergeCell ref="E3156:F3156"/>
    <mergeCell ref="A3634:B3634"/>
    <mergeCell ref="E3769:F3769"/>
    <mergeCell ref="E583:F583"/>
    <mergeCell ref="E1636:F1636"/>
    <mergeCell ref="E1181:G1181"/>
    <mergeCell ref="E3464:F3464"/>
    <mergeCell ref="E3149:F3149"/>
    <mergeCell ref="E3456:F3456"/>
    <mergeCell ref="E3754:F3754"/>
    <mergeCell ref="E1969:G1969"/>
    <mergeCell ref="E3335:F3335"/>
    <mergeCell ref="A2170:B2170"/>
    <mergeCell ref="A3658:B3658"/>
    <mergeCell ref="A929:B929"/>
    <mergeCell ref="A627:G627"/>
    <mergeCell ref="A1656:B1656"/>
    <mergeCell ref="E295:F295"/>
    <mergeCell ref="A2028:G2028"/>
    <mergeCell ref="E2719:F2719"/>
    <mergeCell ref="E1994:F1994"/>
    <mergeCell ref="A1744:B1744"/>
    <mergeCell ref="E3482:F3482"/>
    <mergeCell ref="E505:F505"/>
    <mergeCell ref="A2476:G2476"/>
    <mergeCell ref="E2450:F2450"/>
    <mergeCell ref="E1057:F1057"/>
    <mergeCell ref="E636:F636"/>
    <mergeCell ref="E1357:G1357"/>
    <mergeCell ref="E296:F296"/>
    <mergeCell ref="E3055:F3055"/>
    <mergeCell ref="E1241:F1241"/>
    <mergeCell ref="E3353:F3353"/>
    <mergeCell ref="E1539:F1539"/>
    <mergeCell ref="E507:F507"/>
    <mergeCell ref="E52:G52"/>
    <mergeCell ref="E2750:F2750"/>
    <mergeCell ref="E3048:F3048"/>
    <mergeCell ref="E1234:F1234"/>
    <mergeCell ref="E1568:F1568"/>
    <mergeCell ref="A1775:G1775"/>
    <mergeCell ref="E652:F652"/>
    <mergeCell ref="A1885:B1885"/>
    <mergeCell ref="A2183:B2183"/>
    <mergeCell ref="A37:C37"/>
    <mergeCell ref="A73:B73"/>
    <mergeCell ref="E1692:F1692"/>
    <mergeCell ref="A1443:G1443"/>
    <mergeCell ref="A2341:B2341"/>
    <mergeCell ref="E3656:G3656"/>
    <mergeCell ref="A2075:G2075"/>
    <mergeCell ref="E1707:F1707"/>
    <mergeCell ref="A3244:B3244"/>
    <mergeCell ref="A1728:B1728"/>
    <mergeCell ref="E51:F51"/>
    <mergeCell ref="A1588:B1588"/>
    <mergeCell ref="A1743:G1743"/>
    <mergeCell ref="E2434:F2434"/>
    <mergeCell ref="E2768:F2768"/>
    <mergeCell ref="E1709:F1709"/>
    <mergeCell ref="E954:F954"/>
    <mergeCell ref="E3495:F3495"/>
    <mergeCell ref="E2769:G2769"/>
    <mergeCell ref="E2463:F2463"/>
    <mergeCell ref="E1404:F1404"/>
    <mergeCell ref="E649:F649"/>
    <mergeCell ref="E1708:F1708"/>
    <mergeCell ref="E2346:F2346"/>
    <mergeCell ref="E3190:F3190"/>
    <mergeCell ref="E2131:F2131"/>
    <mergeCell ref="E3251:G3251"/>
    <mergeCell ref="E520:F520"/>
    <mergeCell ref="E678:F678"/>
    <mergeCell ref="E2008:F2008"/>
    <mergeCell ref="E3192:F3192"/>
    <mergeCell ref="E1405:F1405"/>
    <mergeCell ref="A240:B240"/>
    <mergeCell ref="E2794:F2794"/>
    <mergeCell ref="A1187:B1187"/>
    <mergeCell ref="A729:G729"/>
    <mergeCell ref="E254:G254"/>
    <mergeCell ref="A117:B117"/>
    <mergeCell ref="A272:G272"/>
    <mergeCell ref="A111:B111"/>
    <mergeCell ref="A3153:G3153"/>
    <mergeCell ref="A2428:G2428"/>
    <mergeCell ref="E667:F667"/>
    <mergeCell ref="E3548:F3548"/>
    <mergeCell ref="E368:F368"/>
    <mergeCell ref="A1899:B1899"/>
    <mergeCell ref="E247:F247"/>
    <mergeCell ref="E3121:F3121"/>
    <mergeCell ref="E1334:F1334"/>
    <mergeCell ref="E3279:F3279"/>
    <mergeCell ref="E879:G879"/>
    <mergeCell ref="E3577:F3577"/>
    <mergeCell ref="E1763:F1763"/>
    <mergeCell ref="A442:B442"/>
    <mergeCell ref="E3120:F3120"/>
    <mergeCell ref="E968:G968"/>
    <mergeCell ref="A2685:B2685"/>
    <mergeCell ref="A1169:B1169"/>
    <mergeCell ref="E1634:F1634"/>
    <mergeCell ref="A1385:G1385"/>
    <mergeCell ref="E3122:F3122"/>
    <mergeCell ref="E3760:F3760"/>
    <mergeCell ref="E3116:F3116"/>
    <mergeCell ref="E2361:F2361"/>
    <mergeCell ref="E2703:G2703"/>
    <mergeCell ref="E2519:F2519"/>
    <mergeCell ref="E388:F388"/>
    <mergeCell ref="A3773:B3773"/>
    <mergeCell ref="A3018:B3018"/>
    <mergeCell ref="E1779:F1779"/>
    <mergeCell ref="E1062:F1062"/>
    <mergeCell ref="A3012:B3012"/>
    <mergeCell ref="E2848:F2848"/>
    <mergeCell ref="E1789:F1789"/>
    <mergeCell ref="E1474:F1474"/>
    <mergeCell ref="E390:F390"/>
    <mergeCell ref="E2123:F2123"/>
    <mergeCell ref="A3440:B3440"/>
    <mergeCell ref="A2143:G2143"/>
    <mergeCell ref="E2079:F2079"/>
    <mergeCell ref="A356:G356"/>
    <mergeCell ref="E1660:F1660"/>
    <mergeCell ref="E3569:G3569"/>
    <mergeCell ref="A654:G654"/>
    <mergeCell ref="E1345:F1345"/>
    <mergeCell ref="E2850:F2850"/>
    <mergeCell ref="E1782:G1782"/>
    <mergeCell ref="E3148:F3148"/>
    <mergeCell ref="E2089:F2089"/>
    <mergeCell ref="A1083:G1083"/>
    <mergeCell ref="A1983:B1983"/>
    <mergeCell ref="E3140:F3140"/>
    <mergeCell ref="E2423:F2423"/>
    <mergeCell ref="E3262:F3262"/>
    <mergeCell ref="E592:F592"/>
    <mergeCell ref="A1556:B1556"/>
    <mergeCell ref="E3175:F3175"/>
    <mergeCell ref="E3150:F3150"/>
    <mergeCell ref="E1363:F1363"/>
    <mergeCell ref="A2283:B2283"/>
    <mergeCell ref="A2739:B2739"/>
    <mergeCell ref="A1680:B1680"/>
    <mergeCell ref="A3765:B3765"/>
    <mergeCell ref="E1654:G1654"/>
    <mergeCell ref="A801:G801"/>
    <mergeCell ref="E2105:F2105"/>
    <mergeCell ref="A2583:B2583"/>
    <mergeCell ref="A3642:B3642"/>
    <mergeCell ref="A1986:B1986"/>
    <mergeCell ref="A910:B910"/>
    <mergeCell ref="E923:F923"/>
    <mergeCell ref="E3166:F3166"/>
    <mergeCell ref="E626:G626"/>
    <mergeCell ref="E320:F320"/>
    <mergeCell ref="A3684:G3684"/>
    <mergeCell ref="E1373:F1373"/>
    <mergeCell ref="E1808:F1808"/>
    <mergeCell ref="E2861:F2861"/>
    <mergeCell ref="E1802:F1802"/>
    <mergeCell ref="A1254:B1254"/>
    <mergeCell ref="A2669:G2669"/>
    <mergeCell ref="E2590:F2590"/>
    <mergeCell ref="E3194:G3194"/>
    <mergeCell ref="E2888:F2888"/>
    <mergeCell ref="E3186:F3186"/>
    <mergeCell ref="E2431:F2431"/>
    <mergeCell ref="E1374:F1374"/>
    <mergeCell ref="A209:B209"/>
    <mergeCell ref="E2765:F2765"/>
    <mergeCell ref="A814:B814"/>
    <mergeCell ref="E3530:F3530"/>
    <mergeCell ref="A1401:B1401"/>
    <mergeCell ref="A2970:B2970"/>
    <mergeCell ref="A3784:B3784"/>
    <mergeCell ref="A1183:B1183"/>
    <mergeCell ref="E3496:G3496"/>
    <mergeCell ref="E3488:F3488"/>
    <mergeCell ref="E3219:F3219"/>
    <mergeCell ref="A3266:G3266"/>
    <mergeCell ref="E33:F33"/>
    <mergeCell ref="E1005:F1005"/>
    <mergeCell ref="E1515:F1515"/>
    <mergeCell ref="E1303:F1303"/>
    <mergeCell ref="A3384:B3384"/>
    <mergeCell ref="E1434:F1434"/>
    <mergeCell ref="E2451:G2451"/>
    <mergeCell ref="E3519:F3519"/>
    <mergeCell ref="E1094:F1094"/>
    <mergeCell ref="E35:F35"/>
    <mergeCell ref="E1732:F1732"/>
    <mergeCell ref="E700:F700"/>
    <mergeCell ref="E3220:F3220"/>
    <mergeCell ref="E3520:G3520"/>
    <mergeCell ref="E1305:F1305"/>
    <mergeCell ref="E1427:F1427"/>
    <mergeCell ref="E3250:F3250"/>
    <mergeCell ref="E28:F28"/>
    <mergeCell ref="E2795:G2795"/>
    <mergeCell ref="E2793:F2793"/>
    <mergeCell ref="E2945:F2945"/>
    <mergeCell ref="E1429:F1429"/>
    <mergeCell ref="A3110:B3110"/>
    <mergeCell ref="A3408:B3408"/>
    <mergeCell ref="E238:G238"/>
    <mergeCell ref="A1325:B1325"/>
    <mergeCell ref="A985:B985"/>
    <mergeCell ref="A2228:B2228"/>
    <mergeCell ref="E1295:G1295"/>
    <mergeCell ref="A2566:G2566"/>
    <mergeCell ref="A1923:B1923"/>
    <mergeCell ref="E3390:F3390"/>
    <mergeCell ref="E684:F684"/>
    <mergeCell ref="E3688:F3688"/>
    <mergeCell ref="E2629:F2629"/>
    <mergeCell ref="A2379:B2379"/>
    <mergeCell ref="A1496:B1496"/>
    <mergeCell ref="E415:F415"/>
    <mergeCell ref="E686:F686"/>
    <mergeCell ref="E992:G992"/>
    <mergeCell ref="A2107:G2107"/>
    <mergeCell ref="E2935:F2935"/>
    <mergeCell ref="E2201:F2201"/>
    <mergeCell ref="E1020:F1020"/>
    <mergeCell ref="E387:F387"/>
    <mergeCell ref="E1142:F1142"/>
    <mergeCell ref="E565:G565"/>
    <mergeCell ref="E1747:F1747"/>
    <mergeCell ref="E715:F715"/>
    <mergeCell ref="E1905:F1905"/>
    <mergeCell ref="A277:B277"/>
    <mergeCell ref="E3446:F3446"/>
    <mergeCell ref="E3133:G3133"/>
    <mergeCell ref="E1346:G1346"/>
    <mergeCell ref="A3224:G3224"/>
    <mergeCell ref="A611:B611"/>
    <mergeCell ref="A2063:B2063"/>
    <mergeCell ref="A11:G11"/>
    <mergeCell ref="A2099:B2099"/>
    <mergeCell ref="A285:B285"/>
    <mergeCell ref="E860:F860"/>
    <mergeCell ref="E105:F105"/>
    <mergeCell ref="A2254:G2254"/>
    <mergeCell ref="E99:F99"/>
    <mergeCell ref="A2092:B2092"/>
    <mergeCell ref="E1046:F1046"/>
    <mergeCell ref="E1500:F1500"/>
    <mergeCell ref="E1475:F1475"/>
    <mergeCell ref="E1466:G1466"/>
    <mergeCell ref="E1160:F1160"/>
    <mergeCell ref="E1458:F1458"/>
    <mergeCell ref="E2648:F2648"/>
    <mergeCell ref="E2132:F2132"/>
    <mergeCell ref="E1887:F1887"/>
    <mergeCell ref="E1675:F1675"/>
    <mergeCell ref="A2908:B2908"/>
    <mergeCell ref="E2561:F2561"/>
    <mergeCell ref="E3614:F3614"/>
    <mergeCell ref="E136:F136"/>
    <mergeCell ref="E1766:G1766"/>
    <mergeCell ref="E1827:F1827"/>
    <mergeCell ref="E2098:F2098"/>
    <mergeCell ref="E3157:F3157"/>
    <mergeCell ref="E617:G617"/>
    <mergeCell ref="E2432:F2432"/>
    <mergeCell ref="E102:F102"/>
    <mergeCell ref="E3622:F3622"/>
    <mergeCell ref="E400:F400"/>
    <mergeCell ref="E190:G190"/>
    <mergeCell ref="A603:B603"/>
    <mergeCell ref="E3159:F3159"/>
    <mergeCell ref="E3763:G3763"/>
    <mergeCell ref="E1678:G1678"/>
    <mergeCell ref="E1372:F1372"/>
    <mergeCell ref="E3457:F3457"/>
    <mergeCell ref="A937:B937"/>
    <mergeCell ref="A91:G91"/>
    <mergeCell ref="E3615:F3615"/>
    <mergeCell ref="A1268:B1268"/>
    <mergeCell ref="A2178:G2178"/>
    <mergeCell ref="E2272:F2272"/>
    <mergeCell ref="A1873:G1873"/>
    <mergeCell ref="A3513:B3513"/>
    <mergeCell ref="E3604:F3604"/>
    <mergeCell ref="E2572:F2572"/>
    <mergeCell ref="E3762:F3762"/>
    <mergeCell ref="E3028:F3028"/>
    <mergeCell ref="E2573:G2573"/>
    <mergeCell ref="E637:G637"/>
    <mergeCell ref="E26:F26"/>
    <mergeCell ref="E3030:F3030"/>
    <mergeCell ref="E1216:F1216"/>
    <mergeCell ref="E3328:F3328"/>
    <mergeCell ref="E2269:F2269"/>
    <mergeCell ref="E1514:F1514"/>
    <mergeCell ref="A2020:G2020"/>
    <mergeCell ref="E203:G203"/>
    <mergeCell ref="E1087:F1087"/>
    <mergeCell ref="A3290:G3290"/>
    <mergeCell ref="A838:G838"/>
    <mergeCell ref="A2349:B2349"/>
    <mergeCell ref="E1543:F1543"/>
    <mergeCell ref="E2300:F2300"/>
    <mergeCell ref="A1410:B1410"/>
    <mergeCell ref="E2777:G2777"/>
    <mergeCell ref="E50:F50"/>
    <mergeCell ref="A1281:B1281"/>
    <mergeCell ref="A222:B222"/>
    <mergeCell ref="A3748:G3748"/>
    <mergeCell ref="A1296:G1296"/>
    <mergeCell ref="E1232:F1232"/>
    <mergeCell ref="E2600:F2600"/>
    <mergeCell ref="A2763:B2763"/>
    <mergeCell ref="A1892:G1892"/>
    <mergeCell ref="E1111:F1111"/>
    <mergeCell ref="A2682:B2682"/>
    <mergeCell ref="E1418:F1418"/>
    <mergeCell ref="E1103:F1103"/>
    <mergeCell ref="E1532:F1532"/>
    <mergeCell ref="E1138:F1138"/>
    <mergeCell ref="E1113:F1113"/>
    <mergeCell ref="E352:F352"/>
    <mergeCell ref="A2191:B2191"/>
    <mergeCell ref="E2347:G2347"/>
    <mergeCell ref="E3102:G3102"/>
    <mergeCell ref="E2199:F2199"/>
    <mergeCell ref="A248:B248"/>
    <mergeCell ref="A1487:G1487"/>
    <mergeCell ref="A406:B406"/>
    <mergeCell ref="A1736:B1736"/>
    <mergeCell ref="E2499:F2499"/>
    <mergeCell ref="A3005:G3005"/>
    <mergeCell ref="A2393:B2393"/>
    <mergeCell ref="A1218:G1218"/>
    <mergeCell ref="A1309:B1309"/>
    <mergeCell ref="E70:F70"/>
    <mergeCell ref="E3532:G3532"/>
    <mergeCell ref="A1647:G1647"/>
    <mergeCell ref="E2313:F2313"/>
    <mergeCell ref="E1558:F1558"/>
    <mergeCell ref="A2816:B2816"/>
    <mergeCell ref="E526:F526"/>
    <mergeCell ref="E1917:F1917"/>
    <mergeCell ref="E3285:F3285"/>
    <mergeCell ref="A2550:G2550"/>
    <mergeCell ref="A465:G465"/>
    <mergeCell ref="A2824:B2824"/>
    <mergeCell ref="E1560:F1560"/>
    <mergeCell ref="A2245:G2245"/>
    <mergeCell ref="E851:F851"/>
    <mergeCell ref="E3585:F3585"/>
    <mergeCell ref="E432:G432"/>
    <mergeCell ref="E703:G703"/>
    <mergeCell ref="E2646:F2646"/>
    <mergeCell ref="E1037:F1037"/>
    <mergeCell ref="E861:G861"/>
    <mergeCell ref="E2944:F2944"/>
    <mergeCell ref="E3286:F3286"/>
    <mergeCell ref="E3280:F3280"/>
    <mergeCell ref="E2106:G2106"/>
    <mergeCell ref="E2517:F2517"/>
    <mergeCell ref="E2639:F2639"/>
    <mergeCell ref="A1151:B1151"/>
    <mergeCell ref="E1030:G1030"/>
    <mergeCell ref="E740:F740"/>
    <mergeCell ref="A2421:B2421"/>
    <mergeCell ref="E2649:G2649"/>
    <mergeCell ref="E2729:G2729"/>
    <mergeCell ref="E755:F755"/>
    <mergeCell ref="E2243:F2243"/>
    <mergeCell ref="A178:G178"/>
    <mergeCell ref="E1482:F1482"/>
    <mergeCell ref="E2672:F2672"/>
    <mergeCell ref="E3725:F3725"/>
    <mergeCell ref="E1177:F1177"/>
    <mergeCell ref="E1790:G1790"/>
    <mergeCell ref="E1484:F1484"/>
    <mergeCell ref="A478:G478"/>
    <mergeCell ref="A1116:G1116"/>
    <mergeCell ref="A1953:C1953"/>
    <mergeCell ref="E3727:F3727"/>
    <mergeCell ref="E1642:F1642"/>
    <mergeCell ref="E887:F887"/>
    <mergeCell ref="E3295:F3295"/>
    <mergeCell ref="E3270:F3270"/>
    <mergeCell ref="E1179:F1179"/>
    <mergeCell ref="E1483:F1483"/>
    <mergeCell ref="A20:B20"/>
    <mergeCell ref="A2263:B2263"/>
    <mergeCell ref="E1058:G1058"/>
    <mergeCell ref="E2265:F2265"/>
    <mergeCell ref="E2240:F2240"/>
    <mergeCell ref="E453:F453"/>
    <mergeCell ref="E3753:F3753"/>
    <mergeCell ref="A959:G959"/>
    <mergeCell ref="A204:G204"/>
    <mergeCell ref="E3176:G3176"/>
    <mergeCell ref="E3632:G3632"/>
    <mergeCell ref="E2871:G2871"/>
    <mergeCell ref="A349:B349"/>
    <mergeCell ref="A647:B647"/>
    <mergeCell ref="A918:B918"/>
    <mergeCell ref="E1055:F1055"/>
    <mergeCell ref="E2385:F2385"/>
    <mergeCell ref="A2650:G2650"/>
    <mergeCell ref="E1353:F1353"/>
    <mergeCell ref="A1831:B1831"/>
    <mergeCell ref="A1076:B1076"/>
    <mergeCell ref="E1869:F1869"/>
    <mergeCell ref="A2469:B2469"/>
    <mergeCell ref="E2596:F2596"/>
    <mergeCell ref="E2710:F2710"/>
    <mergeCell ref="E1355:F1355"/>
    <mergeCell ref="E600:F600"/>
    <mergeCell ref="A2317:G2317"/>
    <mergeCell ref="E1653:F1653"/>
    <mergeCell ref="E2169:F2169"/>
    <mergeCell ref="E892:F892"/>
    <mergeCell ref="E137:F137"/>
    <mergeCell ref="E1870:F1870"/>
    <mergeCell ref="E173:F173"/>
    <mergeCell ref="E811:F811"/>
    <mergeCell ref="E3352:F3352"/>
    <mergeCell ref="A3103:G3103"/>
    <mergeCell ref="E3308:F3308"/>
    <mergeCell ref="E3652:F3652"/>
    <mergeCell ref="E1829:G1829"/>
    <mergeCell ref="A3546:B3546"/>
    <mergeCell ref="A3677:B3677"/>
    <mergeCell ref="A62:B62"/>
    <mergeCell ref="A333:B333"/>
    <mergeCell ref="E3556:G3556"/>
    <mergeCell ref="B2127:C2127"/>
    <mergeCell ref="A491:B491"/>
    <mergeCell ref="A3241:B3241"/>
    <mergeCell ref="E372:G372"/>
    <mergeCell ref="A2787:B2787"/>
    <mergeCell ref="A2032:B2032"/>
    <mergeCell ref="A586:G586"/>
    <mergeCell ref="A2059:B2059"/>
    <mergeCell ref="A2330:B2330"/>
    <mergeCell ref="E3370:F3370"/>
    <mergeCell ref="E1583:F1583"/>
    <mergeCell ref="E524:F524"/>
    <mergeCell ref="E3799:F3799"/>
    <mergeCell ref="E822:F822"/>
    <mergeCell ref="E67:F67"/>
    <mergeCell ref="E2767:F2767"/>
    <mergeCell ref="A3729:G3729"/>
    <mergeCell ref="E1129:F1129"/>
    <mergeCell ref="E219:F219"/>
    <mergeCell ref="E3372:F3372"/>
    <mergeCell ref="E1891:G1891"/>
    <mergeCell ref="E1585:F1585"/>
    <mergeCell ref="A718:B718"/>
    <mergeCell ref="E2312:F2312"/>
    <mergeCell ref="E527:G527"/>
    <mergeCell ref="E1551:F1551"/>
    <mergeCell ref="A1147:B1147"/>
    <mergeCell ref="A1031:G1031"/>
    <mergeCell ref="E2610:F2610"/>
    <mergeCell ref="A3232:B3232"/>
    <mergeCell ref="E1430:G1430"/>
    <mergeCell ref="A842:B842"/>
    <mergeCell ref="E3367:F3367"/>
    <mergeCell ref="A3756:G3756"/>
    <mergeCell ref="E252:F252"/>
    <mergeCell ref="A1:G1"/>
    <mergeCell ref="A1447:B1447"/>
    <mergeCell ref="E2814:G2814"/>
    <mergeCell ref="A2956:B2956"/>
    <mergeCell ref="A3449:G3449"/>
    <mergeCell ref="A3146:B3146"/>
    <mergeCell ref="A1631:G1631"/>
    <mergeCell ref="E237:F237"/>
    <mergeCell ref="E3512:F3512"/>
    <mergeCell ref="A2964:B2964"/>
    <mergeCell ref="E2996:F2996"/>
    <mergeCell ref="E1725:F1725"/>
    <mergeCell ref="E666:F666"/>
    <mergeCell ref="E964:F964"/>
    <mergeCell ref="A1776:B1776"/>
    <mergeCell ref="E2234:F2234"/>
    <mergeCell ref="E3296:F3296"/>
    <mergeCell ref="E2025:F2025"/>
    <mergeCell ref="E966:F966"/>
    <mergeCell ref="E1570:G1570"/>
    <mergeCell ref="E1264:F1264"/>
    <mergeCell ref="E2699:F2699"/>
    <mergeCell ref="E2244:G2244"/>
    <mergeCell ref="E1598:F1598"/>
    <mergeCell ref="E3566:F3566"/>
    <mergeCell ref="E3724:F3724"/>
    <mergeCell ref="A2559:B2559"/>
    <mergeCell ref="A3620:B3620"/>
    <mergeCell ref="A1982:G1982"/>
    <mergeCell ref="E563:F563"/>
    <mergeCell ref="E3436:F3436"/>
    <mergeCell ref="A2135:C2135"/>
    <mergeCell ref="E894:F894"/>
    <mergeCell ref="E1780:F1780"/>
    <mergeCell ref="E108:F108"/>
    <mergeCell ref="E2376:F2376"/>
    <mergeCell ref="E598:F598"/>
    <mergeCell ref="E1651:F1651"/>
    <mergeCell ref="E1949:F1949"/>
    <mergeCell ref="E1494:G1494"/>
    <mergeCell ref="E162:F162"/>
    <mergeCell ref="E3437:F3437"/>
    <mergeCell ref="A4:B4"/>
    <mergeCell ref="E2676:F2676"/>
    <mergeCell ref="E591:F591"/>
    <mergeCell ref="E3289:G3289"/>
    <mergeCell ref="A454:B454"/>
    <mergeCell ref="E3739:G3739"/>
    <mergeCell ref="E2407:F2407"/>
    <mergeCell ref="E2678:F2678"/>
    <mergeCell ref="A3333:B3333"/>
    <mergeCell ref="E3737:F3737"/>
    <mergeCell ref="A1099:G1099"/>
    <mergeCell ref="A2914:B2914"/>
    <mergeCell ref="A1855:B1855"/>
    <mergeCell ref="A1397:G1397"/>
    <mergeCell ref="A785:B785"/>
    <mergeCell ref="A1695:G1695"/>
    <mergeCell ref="E2557:G2557"/>
    <mergeCell ref="A880:G880"/>
    <mergeCell ref="E2709:F2709"/>
    <mergeCell ref="A373:G373"/>
    <mergeCell ref="E309:F309"/>
    <mergeCell ref="E1677:F1677"/>
    <mergeCell ref="A1703:G1703"/>
    <mergeCell ref="A1846:B1846"/>
    <mergeCell ref="A3394:G3394"/>
    <mergeCell ref="A969:G969"/>
    <mergeCell ref="E188:F188"/>
    <mergeCell ref="E3795:F3795"/>
    <mergeCell ref="E2396:F2396"/>
    <mergeCell ref="E924:F924"/>
    <mergeCell ref="E1670:G1670"/>
    <mergeCell ref="E1977:F1977"/>
    <mergeCell ref="E3061:F3061"/>
    <mergeCell ref="A84:B84"/>
    <mergeCell ref="A385:B385"/>
    <mergeCell ref="E2308:F2308"/>
    <mergeCell ref="E2302:F2302"/>
    <mergeCell ref="E3492:F3492"/>
    <mergeCell ref="A2898:B2898"/>
    <mergeCell ref="A1866:B1866"/>
    <mergeCell ref="A566:G566"/>
    <mergeCell ref="A3570:G3570"/>
    <mergeCell ref="A2815:G2815"/>
    <mergeCell ref="A1874:B1874"/>
    <mergeCell ref="E635:F635"/>
    <mergeCell ref="A81:B81"/>
    <mergeCell ref="A694:C694"/>
    <mergeCell ref="E208:F208"/>
    <mergeCell ref="E2611:G2611"/>
    <mergeCell ref="E2791:F2791"/>
    <mergeCell ref="E1392:F1392"/>
    <mergeCell ref="E3518:F3518"/>
    <mergeCell ref="E3203:F3203"/>
    <mergeCell ref="A2013:B2013"/>
    <mergeCell ref="E1901:F1901"/>
    <mergeCell ref="A226:B226"/>
    <mergeCell ref="E1723:F1723"/>
    <mergeCell ref="E3091:F3091"/>
    <mergeCell ref="E2776:F2776"/>
    <mergeCell ref="E3389:F3389"/>
    <mergeCell ref="A3283:B3283"/>
    <mergeCell ref="E2031:F2031"/>
    <mergeCell ref="A3712:B3712"/>
    <mergeCell ref="E2023:F2023"/>
    <mergeCell ref="E1262:F1262"/>
    <mergeCell ref="A742:G742"/>
    <mergeCell ref="A397:B397"/>
    <mergeCell ref="A1767:G1767"/>
    <mergeCell ref="A928:G928"/>
    <mergeCell ref="A2936:B2936"/>
    <mergeCell ref="A826:B826"/>
    <mergeCell ref="A1124:B1124"/>
    <mergeCell ref="A1164:G1164"/>
    <mergeCell ref="E1320:F1320"/>
    <mergeCell ref="A2096:B2096"/>
    <mergeCell ref="E1749:F1749"/>
    <mergeCell ref="E3529:F3529"/>
    <mergeCell ref="E1322:F1322"/>
    <mergeCell ref="A2401:G2401"/>
    <mergeCell ref="E1620:F1620"/>
    <mergeCell ref="E561:F561"/>
    <mergeCell ref="E3565:F3565"/>
    <mergeCell ref="E2810:F2810"/>
    <mergeCell ref="E859:F859"/>
    <mergeCell ref="E2804:F2804"/>
    <mergeCell ref="A610:G610"/>
    <mergeCell ref="A2436:G2436"/>
    <mergeCell ref="E2049:F2049"/>
    <mergeCell ref="E2226:G2226"/>
    <mergeCell ref="E1920:F1920"/>
    <mergeCell ref="E852:G852"/>
    <mergeCell ref="A3497:G3497"/>
    <mergeCell ref="E2680:G2680"/>
    <mergeCell ref="E264:F264"/>
    <mergeCell ref="E2647:F2647"/>
    <mergeCell ref="E562:F562"/>
    <mergeCell ref="E1921:G1921"/>
    <mergeCell ref="A1366:G1366"/>
    <mergeCell ref="A3427:B3427"/>
    <mergeCell ref="A1640:B1640"/>
    <mergeCell ref="E3435:F3435"/>
    <mergeCell ref="A2543:B2543"/>
    <mergeCell ref="A458:B458"/>
    <mergeCell ref="E1462:F1462"/>
    <mergeCell ref="E403:F403"/>
    <mergeCell ref="E701:F701"/>
    <mergeCell ref="A344:G344"/>
    <mergeCell ref="E280:F280"/>
    <mergeCell ref="E1035:F1035"/>
    <mergeCell ref="E3438:G3438"/>
    <mergeCell ref="E1464:F1464"/>
    <mergeCell ref="E1762:F1762"/>
    <mergeCell ref="A3299:B3299"/>
    <mergeCell ref="E1307:G1307"/>
    <mergeCell ref="E1981:G1981"/>
    <mergeCell ref="E2734:F2734"/>
    <mergeCell ref="A2754:G2754"/>
    <mergeCell ref="E1973:F1973"/>
    <mergeCell ref="E702:F702"/>
    <mergeCell ref="B1605:C1605"/>
    <mergeCell ref="E186:F186"/>
    <mergeCell ref="E2823:F2823"/>
    <mergeCell ref="E1764:F1764"/>
    <mergeCell ref="E283:G283"/>
    <mergeCell ref="E732:F732"/>
    <mergeCell ref="E1036:F1036"/>
    <mergeCell ref="E2062:F2062"/>
    <mergeCell ref="E2700:F2700"/>
    <mergeCell ref="E2736:F2736"/>
    <mergeCell ref="A1267:G1267"/>
    <mergeCell ref="E3761:F3761"/>
    <mergeCell ref="A171:B171"/>
    <mergeCell ref="E3158:F3158"/>
    <mergeCell ref="A898:B898"/>
    <mergeCell ref="A1420:G1420"/>
    <mergeCell ref="A239:G239"/>
    <mergeCell ref="E908:G908"/>
    <mergeCell ref="A1727:G1727"/>
    <mergeCell ref="A2923:B2923"/>
    <mergeCell ref="E1361:F1361"/>
    <mergeCell ref="A993:G993"/>
    <mergeCell ref="A2714:B2714"/>
    <mergeCell ref="A2597:B2597"/>
    <mergeCell ref="A3650:B3650"/>
    <mergeCell ref="A166:B166"/>
    <mergeCell ref="E2447:F2447"/>
    <mergeCell ref="E1388:F1388"/>
    <mergeCell ref="E633:F633"/>
    <mergeCell ref="E2718:F2718"/>
    <mergeCell ref="A2164:B2164"/>
    <mergeCell ref="E2121:F2121"/>
    <mergeCell ref="E3174:F3174"/>
    <mergeCell ref="E2449:F2449"/>
    <mergeCell ref="E2571:F2571"/>
    <mergeCell ref="E1992:F1992"/>
    <mergeCell ref="A3225:B3225"/>
    <mergeCell ref="E2292:G2292"/>
    <mergeCell ref="E1231:F1231"/>
    <mergeCell ref="E2442:F2442"/>
    <mergeCell ref="E812:G812"/>
    <mergeCell ref="E1383:F1383"/>
    <mergeCell ref="A2309:B2309"/>
    <mergeCell ref="E288:F288"/>
    <mergeCell ref="E2749:F2749"/>
    <mergeCell ref="E2116:F2116"/>
    <mergeCell ref="E3484:G3484"/>
    <mergeCell ref="E3476:F3476"/>
    <mergeCell ref="E1995:G1995"/>
    <mergeCell ref="A110:G110"/>
    <mergeCell ref="A499:B499"/>
    <mergeCell ref="E2661:F2661"/>
    <mergeCell ref="A2922:G2922"/>
    <mergeCell ref="A3579:G3579"/>
    <mergeCell ref="E2589:F2589"/>
    <mergeCell ref="E1530:F1530"/>
    <mergeCell ref="A3067:B3067"/>
    <mergeCell ref="E1828:F1828"/>
    <mergeCell ref="A2306:B2306"/>
    <mergeCell ref="A3365:B3365"/>
    <mergeCell ref="A3587:G3587"/>
    <mergeCell ref="E3561:F3561"/>
    <mergeCell ref="E1407:F1407"/>
    <mergeCell ref="E348:F348"/>
    <mergeCell ref="A2523:B2523"/>
    <mergeCell ref="E2343:F2343"/>
    <mergeCell ref="A2640:B2640"/>
    <mergeCell ref="E2775:F2775"/>
    <mergeCell ref="E2591:F2591"/>
    <mergeCell ref="E944:F944"/>
    <mergeCell ref="E3098:F3098"/>
    <mergeCell ref="E2889:F2889"/>
    <mergeCell ref="A1580:B1580"/>
    <mergeCell ref="E341:F341"/>
    <mergeCell ref="E1531:F1531"/>
    <mergeCell ref="E3406:G3406"/>
    <mergeCell ref="E3100:F3100"/>
    <mergeCell ref="E2345:F2345"/>
    <mergeCell ref="E3404:F3404"/>
    <mergeCell ref="E3398:F3398"/>
    <mergeCell ref="E3704:G3704"/>
    <mergeCell ref="E220:G220"/>
    <mergeCell ref="E1865:F1865"/>
    <mergeCell ref="E2163:F2163"/>
    <mergeCell ref="A3721:B3721"/>
    <mergeCell ref="E1702:G1702"/>
    <mergeCell ref="E2645:F2645"/>
    <mergeCell ref="A2125:G2125"/>
    <mergeCell ref="E1710:G1710"/>
    <mergeCell ref="E3101:F3101"/>
    <mergeCell ref="A3607:G3607"/>
    <mergeCell ref="A1604:C1604"/>
    <mergeCell ref="A1936:B1936"/>
    <mergeCell ref="E2188:F2188"/>
    <mergeCell ref="A537:B537"/>
    <mergeCell ref="A1059:G1059"/>
    <mergeCell ref="A638:G638"/>
    <mergeCell ref="A2997:B2997"/>
    <mergeCell ref="A1067:G1067"/>
    <mergeCell ref="E1733:F1733"/>
    <mergeCell ref="A2991:B2991"/>
    <mergeCell ref="E3703:F3703"/>
    <mergeCell ref="E1453:F1453"/>
    <mergeCell ref="E2813:F2813"/>
    <mergeCell ref="E1026:F1026"/>
    <mergeCell ref="E3248:F3248"/>
    <mergeCell ref="E2514:F2514"/>
    <mergeCell ref="E3540:F3540"/>
    <mergeCell ref="E3576:F3576"/>
    <mergeCell ref="A265:B265"/>
    <mergeCell ref="A3208:G3208"/>
    <mergeCell ref="E3425:G3425"/>
    <mergeCell ref="E1028:F1028"/>
    <mergeCell ref="E571:F571"/>
    <mergeCell ref="E3575:F3575"/>
    <mergeCell ref="E1755:F1755"/>
    <mergeCell ref="A1351:B1351"/>
    <mergeCell ref="A2410:B2410"/>
    <mergeCell ref="A1624:B1624"/>
    <mergeCell ref="E3243:F3243"/>
    <mergeCell ref="A53:G53"/>
    <mergeCell ref="E1173:F1173"/>
    <mergeCell ref="A1535:G1535"/>
    <mergeCell ref="A2262:G2262"/>
    <mergeCell ref="A2778:G2778"/>
    <mergeCell ref="A3431:B3431"/>
    <mergeCell ref="A2126:C2126"/>
    <mergeCell ref="E1517:F1517"/>
    <mergeCell ref="E1788:F1788"/>
    <mergeCell ref="E3602:F3602"/>
    <mergeCell ref="E2086:F2086"/>
    <mergeCell ref="E1771:F1771"/>
    <mergeCell ref="E712:F712"/>
    <mergeCell ref="E1054:F1054"/>
    <mergeCell ref="A1223:B1223"/>
    <mergeCell ref="E413:F413"/>
    <mergeCell ref="E1781:F1781"/>
    <mergeCell ref="A43:C43"/>
    <mergeCell ref="E3172:F3172"/>
    <mergeCell ref="E2140:F2140"/>
    <mergeCell ref="E1773:F1773"/>
    <mergeCell ref="E2832:F2832"/>
    <mergeCell ref="E1047:G1047"/>
    <mergeCell ref="E1354:F1354"/>
    <mergeCell ref="E3261:F3261"/>
    <mergeCell ref="E2867:F2867"/>
    <mergeCell ref="E1774:G1774"/>
    <mergeCell ref="E713:F713"/>
    <mergeCell ref="E2440:F2440"/>
    <mergeCell ref="E2744:F2744"/>
    <mergeCell ref="E3770:F3770"/>
    <mergeCell ref="A3521:G3521"/>
    <mergeCell ref="A1250:B1250"/>
    <mergeCell ref="A1548:B1548"/>
    <mergeCell ref="E1266:G1266"/>
    <mergeCell ref="E2074:G2074"/>
    <mergeCell ref="E1499:F1499"/>
    <mergeCell ref="A3252:G3252"/>
    <mergeCell ref="E1072:F1072"/>
    <mergeCell ref="A704:G704"/>
    <mergeCell ref="E2585:F2585"/>
    <mergeCell ref="E1501:F1501"/>
    <mergeCell ref="A1133:G1133"/>
    <mergeCell ref="E773:F773"/>
    <mergeCell ref="A793:G793"/>
    <mergeCell ref="A1431:G1431"/>
    <mergeCell ref="E1065:F1065"/>
    <mergeCell ref="A1467:G1467"/>
    <mergeCell ref="E1196:F1196"/>
    <mergeCell ref="A1759:G1759"/>
    <mergeCell ref="E3646:F3646"/>
    <mergeCell ref="A2949:G2949"/>
    <mergeCell ref="E2466:F2466"/>
    <mergeCell ref="E1073:F1073"/>
    <mergeCell ref="E2282:F2282"/>
    <mergeCell ref="E1825:F1825"/>
    <mergeCell ref="E2887:F2887"/>
    <mergeCell ref="E2459:G2459"/>
    <mergeCell ref="E645:G645"/>
    <mergeCell ref="E2886:F2886"/>
    <mergeCell ref="A366:B366"/>
    <mergeCell ref="A1696:B1696"/>
    <mergeCell ref="A2631:G2631"/>
    <mergeCell ref="E1408:G1408"/>
    <mergeCell ref="E1400:F1400"/>
    <mergeCell ref="A2662:B2662"/>
    <mergeCell ref="E370:F370"/>
    <mergeCell ref="A417:G417"/>
    <mergeCell ref="A1922:G1922"/>
    <mergeCell ref="A2453:B2453"/>
    <mergeCell ref="E1279:G1279"/>
    <mergeCell ref="E1214:F1214"/>
    <mergeCell ref="A2021:B2021"/>
    <mergeCell ref="A717:G717"/>
    <mergeCell ref="E1545:F1545"/>
    <mergeCell ref="A2365:B2365"/>
    <mergeCell ref="E2913:F2913"/>
    <mergeCell ref="E488:F488"/>
    <mergeCell ref="A2321:B2321"/>
    <mergeCell ref="A1146:G1146"/>
    <mergeCell ref="A1289:B1289"/>
    <mergeCell ref="E365:F365"/>
    <mergeCell ref="E25:F25"/>
    <mergeCell ref="A3092:B3092"/>
    <mergeCell ref="E2608:F2608"/>
    <mergeCell ref="E1731:F1731"/>
    <mergeCell ref="E699:F699"/>
    <mergeCell ref="E2189:G2189"/>
    <mergeCell ref="E1845:F1845"/>
    <mergeCell ref="E2187:F2187"/>
    <mergeCell ref="E788:F788"/>
    <mergeCell ref="E1426:F1426"/>
    <mergeCell ref="E2785:G2785"/>
    <mergeCell ref="E1724:F1724"/>
    <mergeCell ref="E665:F665"/>
    <mergeCell ref="A559:B559"/>
    <mergeCell ref="E3212:F3212"/>
    <mergeCell ref="E1734:G1734"/>
    <mergeCell ref="E2057:G2057"/>
    <mergeCell ref="E83:F83"/>
    <mergeCell ref="A982:B982"/>
    <mergeCell ref="A2076:B2076"/>
    <mergeCell ref="E3567:F3567"/>
    <mergeCell ref="A256:B256"/>
    <mergeCell ref="E1600:F1600"/>
    <mergeCell ref="E1871:F1871"/>
    <mergeCell ref="E2626:F2626"/>
    <mergeCell ref="A1317:B1317"/>
    <mergeCell ref="E1566:F1566"/>
    <mergeCell ref="B44:C44"/>
    <mergeCell ref="E2628:F2628"/>
    <mergeCell ref="E841:F841"/>
    <mergeCell ref="E86:F86"/>
    <mergeCell ref="A2558:G2558"/>
    <mergeCell ref="E80:F80"/>
    <mergeCell ref="E384:F384"/>
    <mergeCell ref="E2111:F2111"/>
    <mergeCell ref="E536:F536"/>
    <mergeCell ref="E1350:F1350"/>
    <mergeCell ref="E2540:F2540"/>
    <mergeCell ref="A3619:G3619"/>
    <mergeCell ref="E2225:F2225"/>
    <mergeCell ref="E2200:F2200"/>
    <mergeCell ref="E1141:F1141"/>
    <mergeCell ref="E3593:F3593"/>
    <mergeCell ref="E1439:F1439"/>
    <mergeCell ref="B683:C683"/>
    <mergeCell ref="A2219:B2219"/>
    <mergeCell ref="A730:B730"/>
    <mergeCell ref="E2711:F2711"/>
    <mergeCell ref="A2429:B2429"/>
    <mergeCell ref="E3594:G3594"/>
    <mergeCell ref="E2833:G2833"/>
    <mergeCell ref="E106:F106"/>
    <mergeCell ref="E2556:F2556"/>
    <mergeCell ref="A2891:G2891"/>
    <mergeCell ref="A1459:B1459"/>
    <mergeCell ref="E1795:F1795"/>
    <mergeCell ref="A72:G72"/>
    <mergeCell ref="A1842:G1842"/>
    <mergeCell ref="E2251:F2251"/>
    <mergeCell ref="A1974:B1974"/>
    <mergeCell ref="E771:F771"/>
    <mergeCell ref="E1797:F1797"/>
    <mergeCell ref="E1063:F1063"/>
    <mergeCell ref="E3583:F3583"/>
    <mergeCell ref="E1498:F1498"/>
    <mergeCell ref="E1798:G1798"/>
    <mergeCell ref="E1492:F1492"/>
    <mergeCell ref="E1796:F1796"/>
    <mergeCell ref="E3735:F3735"/>
    <mergeCell ref="E1071:F1071"/>
    <mergeCell ref="E310:F310"/>
    <mergeCell ref="E2553:F2553"/>
    <mergeCell ref="E2851:F2851"/>
    <mergeCell ref="E3743:F3743"/>
    <mergeCell ref="E1195:F1195"/>
    <mergeCell ref="E1074:G1074"/>
    <mergeCell ref="A2747:B2747"/>
    <mergeCell ref="A1688:B1688"/>
    <mergeCell ref="E1508:F1508"/>
    <mergeCell ref="A960:B960"/>
    <mergeCell ref="A2305:G2305"/>
    <mergeCell ref="A2144:B2144"/>
    <mergeCell ref="A1389:B1389"/>
    <mergeCell ref="A3474:B3474"/>
    <mergeCell ref="E2095:F2095"/>
    <mergeCell ref="E29:G29"/>
    <mergeCell ref="E2727:F2727"/>
    <mergeCell ref="E1668:F1668"/>
    <mergeCell ref="E3663:F3663"/>
    <mergeCell ref="E1966:F1966"/>
    <mergeCell ref="E907:F907"/>
    <mergeCell ref="E2693:F2693"/>
    <mergeCell ref="E486:F486"/>
    <mergeCell ref="E2481:F2481"/>
    <mergeCell ref="E1090:G1090"/>
    <mergeCell ref="E906:F906"/>
    <mergeCell ref="E3000:F3000"/>
    <mergeCell ref="E3027:F3027"/>
    <mergeCell ref="E1968:F1968"/>
    <mergeCell ref="E1213:F1213"/>
    <mergeCell ref="E2185:F2185"/>
    <mergeCell ref="E1967:F1967"/>
    <mergeCell ref="E2781:F2781"/>
    <mergeCell ref="E3327:F3327"/>
    <mergeCell ref="E481:F481"/>
    <mergeCell ref="E939:F939"/>
    <mergeCell ref="B38:C38"/>
    <mergeCell ref="E810:F810"/>
    <mergeCell ref="A3282:G3282"/>
    <mergeCell ref="E49:F49"/>
    <mergeCell ref="E1233:F1233"/>
    <mergeCell ref="B40:C40"/>
    <mergeCell ref="E163:F163"/>
    <mergeCell ref="E2928:F2928"/>
    <mergeCell ref="E680:G680"/>
    <mergeCell ref="E2623:F2623"/>
    <mergeCell ref="E716:G716"/>
    <mergeCell ref="E1837:F1837"/>
    <mergeCell ref="E1145:G1145"/>
    <mergeCell ref="E1898:F1898"/>
    <mergeCell ref="E2502:G2502"/>
    <mergeCell ref="E2327:F2327"/>
    <mergeCell ref="B41:C41"/>
    <mergeCell ref="E980:G980"/>
    <mergeCell ref="E3223:G3223"/>
    <mergeCell ref="E2198:F2198"/>
    <mergeCell ref="E2320:F2320"/>
    <mergeCell ref="E3680:F3680"/>
    <mergeCell ref="A2515:B2515"/>
    <mergeCell ref="A889:G889"/>
    <mergeCell ref="E977:F977"/>
    <mergeCell ref="A3698:B3698"/>
    <mergeCell ref="E2337:F2337"/>
    <mergeCell ref="E525:F525"/>
    <mergeCell ref="A3134:G3134"/>
    <mergeCell ref="E848:F848"/>
    <mergeCell ref="E2038:F2038"/>
    <mergeCell ref="E1277:F1277"/>
    <mergeCell ref="A1639:G1639"/>
    <mergeCell ref="E1575:F1575"/>
    <mergeCell ref="B697:C697"/>
    <mergeCell ref="B691:C691"/>
    <mergeCell ref="E1926:F1926"/>
    <mergeCell ref="E1611:F1611"/>
    <mergeCell ref="E2224:F2224"/>
    <mergeCell ref="E850:F850"/>
    <mergeCell ref="E3099:F3099"/>
    <mergeCell ref="E431:F431"/>
    <mergeCell ref="E1621:F1621"/>
    <mergeCell ref="E1577:F1577"/>
    <mergeCell ref="E1919:F1919"/>
    <mergeCell ref="E2217:G2217"/>
    <mergeCell ref="E124:F124"/>
    <mergeCell ref="A2418:B2418"/>
    <mergeCell ref="A1359:B1359"/>
    <mergeCell ref="B692:C692"/>
    <mergeCell ref="E3618:G3618"/>
    <mergeCell ref="A1060:B1060"/>
    <mergeCell ref="A602:G602"/>
    <mergeCell ref="A1970:G1970"/>
    <mergeCell ref="E3610:F3610"/>
    <mergeCell ref="A293:B293"/>
    <mergeCell ref="A1236:G1236"/>
    <mergeCell ref="A2329:G2329"/>
    <mergeCell ref="E1637:F1637"/>
    <mergeCell ref="E876:F876"/>
    <mergeCell ref="E2066:F2066"/>
    <mergeCell ref="A3145:G3145"/>
    <mergeCell ref="E1332:F1332"/>
    <mergeCell ref="E151:F151"/>
    <mergeCell ref="A3356:G3356"/>
    <mergeCell ref="E878:F878"/>
    <mergeCell ref="E123:F123"/>
    <mergeCell ref="E150:F150"/>
    <mergeCell ref="E421:F421"/>
    <mergeCell ref="A628:B628"/>
    <mergeCell ref="E2664:F2664"/>
    <mergeCell ref="E2:G2"/>
    <mergeCell ref="E573:F573"/>
    <mergeCell ref="E877:F877"/>
    <mergeCell ref="E2725:F2725"/>
    <mergeCell ref="E3023:F3023"/>
    <mergeCell ref="A3501:B3501"/>
    <mergeCell ref="E3751:F3751"/>
    <mergeCell ref="A1571:G1571"/>
    <mergeCell ref="E3630:F3630"/>
    <mergeCell ref="E152:F152"/>
    <mergeCell ref="E3452:F3452"/>
    <mergeCell ref="E756:G756"/>
    <mergeCell ref="A317:B317"/>
    <mergeCell ref="E2666:F2666"/>
    <mergeCell ref="E1659:F1659"/>
    <mergeCell ref="A1528:B1528"/>
    <mergeCell ref="E3331:G3331"/>
    <mergeCell ref="A767:B767"/>
    <mergeCell ref="A12:B12"/>
    <mergeCell ref="A2255:B2255"/>
    <mergeCell ref="E3752:F3752"/>
    <mergeCell ref="E1510:G1510"/>
    <mergeCell ref="E589:F589"/>
    <mergeCell ref="A221:G221"/>
    <mergeCell ref="E2142:G2142"/>
    <mergeCell ref="E1018:F1018"/>
    <mergeCell ref="A470:B470"/>
    <mergeCell ref="A1587:G1587"/>
    <mergeCell ref="E1316:F1316"/>
    <mergeCell ref="E2751:F2751"/>
    <mergeCell ref="A3229:B3229"/>
    <mergeCell ref="E3049:F3049"/>
    <mergeCell ref="E3755:G3755"/>
    <mergeCell ref="E1650:F1650"/>
    <mergeCell ref="E2288:F2288"/>
    <mergeCell ref="E501:F501"/>
    <mergeCell ref="E134:F134"/>
    <mergeCell ref="A1711:G1711"/>
    <mergeCell ref="E292:F292"/>
    <mergeCell ref="E808:F808"/>
    <mergeCell ref="E2296:F2296"/>
    <mergeCell ref="E2290:F2290"/>
    <mergeCell ref="E2588:F2588"/>
    <mergeCell ref="E3480:F3480"/>
    <mergeCell ref="E2467:G2467"/>
    <mergeCell ref="E1406:F1406"/>
    <mergeCell ref="E3351:F3351"/>
    <mergeCell ref="E1862:F1862"/>
    <mergeCell ref="E3780:F3780"/>
    <mergeCell ref="E1993:F1993"/>
    <mergeCell ref="E3046:F3046"/>
    <mergeCell ref="E2291:F2291"/>
    <mergeCell ref="B39:C39"/>
    <mergeCell ref="A1424:B1424"/>
    <mergeCell ref="E1872:G1872"/>
    <mergeCell ref="A127:G127"/>
    <mergeCell ref="A1615:G1615"/>
    <mergeCell ref="A2029:B2029"/>
    <mergeCell ref="A997:B997"/>
    <mergeCell ref="E2735:F2735"/>
    <mergeCell ref="A2942:B2942"/>
    <mergeCell ref="A2485:B2485"/>
    <mergeCell ref="E3191:F3191"/>
    <mergeCell ref="A1760:B1760"/>
    <mergeCell ref="E643:F643"/>
    <mergeCell ref="A1297:B1297"/>
    <mergeCell ref="E2009:F2009"/>
    <mergeCell ref="E1554:G1554"/>
    <mergeCell ref="E3193:F3193"/>
    <mergeCell ref="E216:F216"/>
    <mergeCell ref="E2975:F2975"/>
    <mergeCell ref="E523:F523"/>
    <mergeCell ref="B1537:C1537"/>
    <mergeCell ref="E821:F821"/>
    <mergeCell ref="E943:F943"/>
    <mergeCell ref="E2766:F2766"/>
    <mergeCell ref="E3702:F3702"/>
    <mergeCell ref="E979:F979"/>
    <mergeCell ref="E218:F218"/>
    <mergeCell ref="E3493:F3493"/>
    <mergeCell ref="A3125:G3125"/>
    <mergeCell ref="E1706:F1706"/>
    <mergeCell ref="E2759:F2759"/>
    <mergeCell ref="E945:F945"/>
    <mergeCell ref="A839:B839"/>
    <mergeCell ref="E2976:F2976"/>
    <mergeCell ref="E824:G824"/>
    <mergeCell ref="A1444:B1444"/>
    <mergeCell ref="A1596:B1596"/>
    <mergeCell ref="A1139:B1139"/>
    <mergeCell ref="A1023:G1023"/>
    <mergeCell ref="E1304:F1304"/>
    <mergeCell ref="A2621:B2621"/>
    <mergeCell ref="E234:F234"/>
    <mergeCell ref="E3696:G3696"/>
    <mergeCell ref="A1902:B1902"/>
    <mergeCell ref="E2360:F2360"/>
    <mergeCell ref="A2722:G2722"/>
    <mergeCell ref="A1663:G1663"/>
    <mergeCell ref="E1635:F1635"/>
    <mergeCell ref="E1933:F1933"/>
    <mergeCell ref="E236:F236"/>
    <mergeCell ref="A567:B567"/>
    <mergeCell ref="E1478:G1478"/>
    <mergeCell ref="A3485:G3485"/>
    <mergeCell ref="E2668:G2668"/>
    <mergeCell ref="E2362:F2362"/>
    <mergeCell ref="E3415:F3415"/>
    <mergeCell ref="E1934:G1934"/>
    <mergeCell ref="E1628:F1628"/>
    <mergeCell ref="E544:F544"/>
    <mergeCell ref="A438:B438"/>
    <mergeCell ref="E1717:F1717"/>
    <mergeCell ref="E658:F658"/>
    <mergeCell ref="E2233:F2233"/>
    <mergeCell ref="E3423:F3423"/>
    <mergeCell ref="E446:F446"/>
    <mergeCell ref="A1165:B1165"/>
    <mergeCell ref="A3311:B3311"/>
    <mergeCell ref="E875:F875"/>
    <mergeCell ref="A1679:G1679"/>
    <mergeCell ref="E2541:G2541"/>
    <mergeCell ref="E2691:F2691"/>
    <mergeCell ref="E1930:F1930"/>
    <mergeCell ref="A3611:B3611"/>
    <mergeCell ref="E3418:F3418"/>
    <mergeCell ref="A3169:G3169"/>
    <mergeCell ref="A2551:B2551"/>
    <mergeCell ref="E989:F989"/>
    <mergeCell ref="A3741:B3741"/>
    <mergeCell ref="E3297:G3297"/>
    <mergeCell ref="A2348:G2348"/>
    <mergeCell ref="E138:G138"/>
    <mergeCell ref="E3591:F3591"/>
    <mergeCell ref="A3314:B3314"/>
    <mergeCell ref="A337:B337"/>
    <mergeCell ref="E1612:F1612"/>
    <mergeCell ref="E1770:F1770"/>
    <mergeCell ref="E893:F893"/>
    <mergeCell ref="E1045:F1045"/>
    <mergeCell ref="E2375:F2375"/>
    <mergeCell ref="E1343:F1343"/>
    <mergeCell ref="E2831:F2831"/>
    <mergeCell ref="E1772:F1772"/>
    <mergeCell ref="E161:F161"/>
    <mergeCell ref="E896:G896"/>
    <mergeCell ref="E590:F590"/>
    <mergeCell ref="E1643:F1643"/>
    <mergeCell ref="E3471:F3471"/>
    <mergeCell ref="E3131:F3131"/>
    <mergeCell ref="E2072:F2072"/>
    <mergeCell ref="A776:B776"/>
    <mergeCell ref="E3647:F3647"/>
    <mergeCell ref="E2712:G2712"/>
    <mergeCell ref="E3648:G3648"/>
    <mergeCell ref="E1951:G1951"/>
    <mergeCell ref="E164:G164"/>
    <mergeCell ref="E1674:F1674"/>
    <mergeCell ref="A31:C31"/>
    <mergeCell ref="E615:F615"/>
    <mergeCell ref="E2103:F2103"/>
    <mergeCell ref="A2266:B2266"/>
    <mergeCell ref="E316:F316"/>
    <mergeCell ref="A1091:G1091"/>
    <mergeCell ref="E1027:F1027"/>
    <mergeCell ref="A479:B479"/>
    <mergeCell ref="E614:F614"/>
    <mergeCell ref="E1369:F1369"/>
    <mergeCell ref="E2760:F2760"/>
    <mergeCell ref="E1676:F1676"/>
    <mergeCell ref="A670:G670"/>
    <mergeCell ref="E606:F606"/>
    <mergeCell ref="A1308:G1308"/>
    <mergeCell ref="E187:F187"/>
    <mergeCell ref="A2796:G2796"/>
    <mergeCell ref="E616:F616"/>
    <mergeCell ref="E1669:F1669"/>
    <mergeCell ref="A510:B510"/>
    <mergeCell ref="E3060:F3060"/>
    <mergeCell ref="E153:G153"/>
    <mergeCell ref="E189:F189"/>
    <mergeCell ref="E487:F487"/>
    <mergeCell ref="E2457:F2457"/>
    <mergeCell ref="E3787:F3787"/>
    <mergeCell ref="E609:G609"/>
    <mergeCell ref="E2000:F2000"/>
    <mergeCell ref="A1863:B1863"/>
    <mergeCell ref="E1275:F1275"/>
    <mergeCell ref="A1324:G1324"/>
    <mergeCell ref="E3789:F3789"/>
    <mergeCell ref="E2757:F2757"/>
    <mergeCell ref="E2002:F2002"/>
    <mergeCell ref="A2353:B2353"/>
    <mergeCell ref="A2651:B2651"/>
    <mergeCell ref="E3790:G3790"/>
    <mergeCell ref="A2503:G2503"/>
    <mergeCell ref="E354:F354"/>
    <mergeCell ref="A3075:B3075"/>
    <mergeCell ref="E1003:F1003"/>
    <mergeCell ref="E2773:F2773"/>
    <mergeCell ref="E3517:F3517"/>
    <mergeCell ref="E3508:G3508"/>
    <mergeCell ref="E1730:F1730"/>
    <mergeCell ref="A1479:G1479"/>
    <mergeCell ref="E1415:F1415"/>
    <mergeCell ref="A1893:B1893"/>
    <mergeCell ref="E2441:F2441"/>
    <mergeCell ref="E2783:F2783"/>
    <mergeCell ref="E996:F996"/>
    <mergeCell ref="A2834:G2834"/>
    <mergeCell ref="A863:B863"/>
    <mergeCell ref="E3500:F3500"/>
    <mergeCell ref="E3719:G3719"/>
    <mergeCell ref="E988:F988"/>
    <mergeCell ref="E1601:F1601"/>
    <mergeCell ref="E1715:F1715"/>
    <mergeCell ref="E3083:F3083"/>
    <mergeCell ref="E685:F685"/>
    <mergeCell ref="E1594:G1594"/>
    <mergeCell ref="E1288:F1288"/>
    <mergeCell ref="A518:B518"/>
    <mergeCell ref="E2015:F2015"/>
    <mergeCell ref="E2501:F2501"/>
    <mergeCell ref="A2979:B2979"/>
    <mergeCell ref="E714:F714"/>
    <mergeCell ref="A1192:B1192"/>
    <mergeCell ref="A1347:G1347"/>
    <mergeCell ref="E1718:G1718"/>
    <mergeCell ref="E3228:F3228"/>
    <mergeCell ref="A2338:B2338"/>
    <mergeCell ref="A3706:B3706"/>
    <mergeCell ref="E1441:F1441"/>
    <mergeCell ref="E42:F42"/>
    <mergeCell ref="E558:F558"/>
    <mergeCell ref="E259:F259"/>
    <mergeCell ref="E253:F253"/>
    <mergeCell ref="A422:B422"/>
    <mergeCell ref="A2522:G2522"/>
    <mergeCell ref="E1619:F1619"/>
    <mergeCell ref="E1741:F1741"/>
    <mergeCell ref="E2498:F2498"/>
    <mergeCell ref="E1586:G1586"/>
    <mergeCell ref="E2102:F2102"/>
    <mergeCell ref="E3554:F3554"/>
    <mergeCell ref="A1174:B1174"/>
    <mergeCell ref="E1622:G1622"/>
    <mergeCell ref="E2977:G2977"/>
    <mergeCell ref="E2829:F2829"/>
    <mergeCell ref="E698:F698"/>
    <mergeCell ref="A144:B144"/>
    <mergeCell ref="A1632:B1632"/>
    <mergeCell ref="E3129:F3129"/>
    <mergeCell ref="E429:F429"/>
    <mergeCell ref="A1205:B1205"/>
    <mergeCell ref="A450:B450"/>
    <mergeCell ref="E858:F858"/>
    <mergeCell ref="E401:F401"/>
    <mergeCell ref="E693:F693"/>
    <mergeCell ref="E2128:F2128"/>
    <mergeCell ref="E2399:F2399"/>
    <mergeCell ref="E2400:G2400"/>
    <mergeCell ref="E1754:F1754"/>
    <mergeCell ref="E1375:F1375"/>
    <mergeCell ref="E1335:G1335"/>
    <mergeCell ref="E1667:F1667"/>
    <mergeCell ref="E2726:F2726"/>
    <mergeCell ref="E3574:F3574"/>
    <mergeCell ref="A392:G392"/>
    <mergeCell ref="E1787:F1787"/>
    <mergeCell ref="E724:F724"/>
    <mergeCell ref="E2728:F2728"/>
    <mergeCell ref="E2273:G2273"/>
    <mergeCell ref="A3349:B3349"/>
    <mergeCell ref="A2624:B2624"/>
    <mergeCell ref="A3044:B3044"/>
    <mergeCell ref="E1683:F1683"/>
    <mergeCell ref="A890:B890"/>
    <mergeCell ref="E3628:F3628"/>
    <mergeCell ref="A374:B374"/>
    <mergeCell ref="E1086:F1086"/>
    <mergeCell ref="E27:F27"/>
    <mergeCell ref="A1564:B1564"/>
    <mergeCell ref="A1719:G1719"/>
    <mergeCell ref="E325:F325"/>
    <mergeCell ref="A3533:G3533"/>
    <mergeCell ref="E2270:F2270"/>
    <mergeCell ref="E1509:F1509"/>
    <mergeCell ref="E116:F116"/>
    <mergeCell ref="E1807:F1807"/>
    <mergeCell ref="E414:F414"/>
    <mergeCell ref="A682:C682"/>
    <mergeCell ref="E3173:F3173"/>
    <mergeCell ref="E196:F196"/>
    <mergeCell ref="E1088:F1088"/>
    <mergeCell ref="E1686:G1686"/>
    <mergeCell ref="E1380:F1380"/>
    <mergeCell ref="E625:F625"/>
    <mergeCell ref="E3629:F3629"/>
    <mergeCell ref="E2570:F2570"/>
    <mergeCell ref="E1538:F1538"/>
    <mergeCell ref="E1809:F1809"/>
    <mergeCell ref="E2868:F2868"/>
    <mergeCell ref="E1081:F1081"/>
    <mergeCell ref="E22:F22"/>
    <mergeCell ref="E3542:F3542"/>
    <mergeCell ref="E1694:G1694"/>
    <mergeCell ref="E3631:F3631"/>
    <mergeCell ref="A521:B521"/>
    <mergeCell ref="A405:G405"/>
    <mergeCell ref="E2870:F2870"/>
    <mergeCell ref="A3104:B3104"/>
    <mergeCell ref="A1704:B1704"/>
    <mergeCell ref="A3064:B3064"/>
    <mergeCell ref="A2218:G2218"/>
    <mergeCell ref="A2461:B2461"/>
    <mergeCell ref="E3524:F3524"/>
    <mergeCell ref="E2289:F2289"/>
    <mergeCell ref="E3255:F3255"/>
    <mergeCell ref="E2500:F2500"/>
    <mergeCell ref="E1739:F1739"/>
    <mergeCell ref="E2792:F2792"/>
    <mergeCell ref="E2037:F2037"/>
    <mergeCell ref="E340:F340"/>
    <mergeCell ref="E3221:F3221"/>
    <mergeCell ref="A547:G547"/>
    <mergeCell ref="E3555:F3555"/>
    <mergeCell ref="A244:B244"/>
    <mergeCell ref="A1519:G1519"/>
    <mergeCell ref="A3:G3"/>
    <mergeCell ref="E2495:F2495"/>
    <mergeCell ref="A3117:B3117"/>
    <mergeCell ref="A1783:G1783"/>
    <mergeCell ref="E3237:F3237"/>
    <mergeCell ref="E68:F68"/>
    <mergeCell ref="A3416:B3416"/>
    <mergeCell ref="E725:F725"/>
    <mergeCell ref="E2941:F2941"/>
    <mergeCell ref="E2213:F2213"/>
    <mergeCell ref="E1758:G1758"/>
    <mergeCell ref="E1452:F1452"/>
    <mergeCell ref="E2642:F2642"/>
    <mergeCell ref="E3695:F3695"/>
    <mergeCell ref="E2363:G2363"/>
    <mergeCell ref="E849:F849"/>
    <mergeCell ref="E2215:F2215"/>
    <mergeCell ref="E3151:F3151"/>
    <mergeCell ref="E728:G728"/>
    <mergeCell ref="E726:F726"/>
    <mergeCell ref="A1348:B1348"/>
    <mergeCell ref="E2811:F2811"/>
    <mergeCell ref="E271:G271"/>
    <mergeCell ref="A1503:G1503"/>
    <mergeCell ref="A1648:B1648"/>
    <mergeCell ref="A2468:G2468"/>
    <mergeCell ref="A1961:G1961"/>
    <mergeCell ref="E1180:F1180"/>
    <mergeCell ref="A2673:B2673"/>
    <mergeCell ref="E1470:F1470"/>
    <mergeCell ref="E753:F753"/>
    <mergeCell ref="E2241:F2241"/>
    <mergeCell ref="E2564:F2564"/>
    <mergeCell ref="E2539:F2539"/>
    <mergeCell ref="E752:F752"/>
    <mergeCell ref="A1527:G1527"/>
    <mergeCell ref="E1778:F1778"/>
    <mergeCell ref="E2443:G2443"/>
    <mergeCell ref="E2864:F2864"/>
    <mergeCell ref="E412:F412"/>
    <mergeCell ref="E754:F754"/>
    <mergeCell ref="E3164:F3164"/>
    <mergeCell ref="A948:B948"/>
    <mergeCell ref="E2745:G2745"/>
    <mergeCell ref="A3462:B3462"/>
    <mergeCell ref="E958:G958"/>
    <mergeCell ref="E3472:G3472"/>
    <mergeCell ref="E9:F9"/>
    <mergeCell ref="E895:F895"/>
    <mergeCell ref="A2612:G2612"/>
    <mergeCell ref="A2755:B2755"/>
    <mergeCell ref="A825:G825"/>
    <mergeCell ref="A2770:G2770"/>
    <mergeCell ref="E3040:F3040"/>
    <mergeCell ref="A3375:G3375"/>
    <mergeCell ref="E3653:F3653"/>
    <mergeCell ref="E1524:F1524"/>
    <mergeCell ref="A970:B970"/>
    <mergeCell ref="E738:F738"/>
    <mergeCell ref="E3767:F3767"/>
    <mergeCell ref="E461:F461"/>
    <mergeCell ref="E2158:G2158"/>
    <mergeCell ref="E2465:F2465"/>
    <mergeCell ref="E3655:F3655"/>
    <mergeCell ref="B1963:C1963"/>
    <mergeCell ref="E469:F469"/>
    <mergeCell ref="E2124:G2124"/>
    <mergeCell ref="E2122:F2122"/>
    <mergeCell ref="A357:B357"/>
    <mergeCell ref="A2786:G2786"/>
    <mergeCell ref="E978:F978"/>
    <mergeCell ref="A1084:B1084"/>
    <mergeCell ref="A329:B329"/>
    <mergeCell ref="A2659:B2659"/>
    <mergeCell ref="A3088:B3088"/>
    <mergeCell ref="E823:F823"/>
    <mergeCell ref="A663:B663"/>
    <mergeCell ref="E1849:F1849"/>
    <mergeCell ref="A540:B540"/>
    <mergeCell ref="E608:F608"/>
    <mergeCell ref="A853:G853"/>
    <mergeCell ref="A2542:G2542"/>
    <mergeCell ref="E1123:F1123"/>
    <mergeCell ref="E64:F64"/>
    <mergeCell ref="A2356:B2356"/>
    <mergeCell ref="A3595:G3595"/>
    <mergeCell ref="E660:F660"/>
    <mergeCell ref="E1850:F1850"/>
    <mergeCell ref="E1247:F1247"/>
    <mergeCell ref="E1423:F1423"/>
    <mergeCell ref="E355:G355"/>
    <mergeCell ref="E2607:F2607"/>
    <mergeCell ref="A3298:G3298"/>
    <mergeCell ref="E820:F820"/>
    <mergeCell ref="E2150:F2150"/>
    <mergeCell ref="E3693:F3693"/>
    <mergeCell ref="E3236:F3236"/>
    <mergeCell ref="E1881:F1881"/>
    <mergeCell ref="E1120:F1120"/>
    <mergeCell ref="A871:G871"/>
    <mergeCell ref="A2496:B2496"/>
    <mergeCell ref="E3544:G3544"/>
    <mergeCell ref="A709:B709"/>
    <mergeCell ref="E2206:F2206"/>
    <mergeCell ref="E1726:G1726"/>
    <mergeCell ref="B2136:C2136"/>
    <mergeCell ref="A1016:B1016"/>
    <mergeCell ref="E3239:G3239"/>
    <mergeCell ref="A139:G139"/>
    <mergeCell ref="A2504:B2504"/>
    <mergeCell ref="E1265:F1265"/>
    <mergeCell ref="A2041:B2041"/>
    <mergeCell ref="E3263:F3263"/>
    <mergeCell ref="E1593:F1593"/>
    <mergeCell ref="E1476:F1476"/>
    <mergeCell ref="A1200:G1200"/>
    <mergeCell ref="E3421:F3421"/>
    <mergeCell ref="E2326:F2326"/>
    <mergeCell ref="A2713:G2713"/>
    <mergeCell ref="E1294:F1294"/>
    <mergeCell ref="E235:F235"/>
    <mergeCell ref="A1952:G1952"/>
    <mergeCell ref="E2537:F2537"/>
    <mergeCell ref="E3590:F3590"/>
    <mergeCell ref="E3264:F3264"/>
    <mergeCell ref="E1567:F1567"/>
    <mergeCell ref="E2232:F2232"/>
    <mergeCell ref="E833:F833"/>
    <mergeCell ref="E2530:G2530"/>
    <mergeCell ref="A2731:B2731"/>
    <mergeCell ref="A1156:B1156"/>
    <mergeCell ref="A1854:G1854"/>
    <mergeCell ref="E3293:F3293"/>
    <mergeCell ref="E3249:F3249"/>
    <mergeCell ref="A3154:B3154"/>
    <mergeCell ref="A1367:B1367"/>
    <mergeCell ref="A909:G909"/>
    <mergeCell ref="A1456:B1456"/>
    <mergeCell ref="E1950:F1950"/>
    <mergeCell ref="E2677:F2677"/>
    <mergeCell ref="A1671:G1671"/>
    <mergeCell ref="E1278:F1278"/>
    <mergeCell ref="A3453:B3453"/>
    <mergeCell ref="A3489:B3489"/>
    <mergeCell ref="E2250:F2250"/>
    <mergeCell ref="E1191:F1191"/>
    <mergeCell ref="E2548:F2548"/>
    <mergeCell ref="E463:F463"/>
    <mergeCell ref="E3434:F3434"/>
    <mergeCell ref="E2679:F2679"/>
    <mergeCell ref="E3738:F3738"/>
    <mergeCell ref="A3184:B3184"/>
    <mergeCell ref="E886:F886"/>
    <mergeCell ref="E2252:F2252"/>
    <mergeCell ref="E2374:F2374"/>
    <mergeCell ref="E765:G765"/>
    <mergeCell ref="E10:G10"/>
    <mergeCell ref="E763:F763"/>
    <mergeCell ref="E2708:F2708"/>
    <mergeCell ref="E2253:G2253"/>
    <mergeCell ref="E1947:F1947"/>
    <mergeCell ref="E3277:F3277"/>
    <mergeCell ref="E1490:F1490"/>
    <mergeCell ref="A1996:G1996"/>
    <mergeCell ref="A1378:B1378"/>
    <mergeCell ref="E3306:F3306"/>
    <mergeCell ref="A1843:B1843"/>
    <mergeCell ref="A2779:B2779"/>
    <mergeCell ref="A1386:B1386"/>
    <mergeCell ref="A509:G509"/>
    <mergeCell ref="A3325:B3325"/>
    <mergeCell ref="A3623:B3623"/>
    <mergeCell ref="E475:F475"/>
    <mergeCell ref="A3697:G3697"/>
    <mergeCell ref="E904:F904"/>
    <mergeCell ref="A1595:G1595"/>
    <mergeCell ref="E149:F149"/>
    <mergeCell ref="E176:F176"/>
    <mergeCell ref="E447:F447"/>
    <mergeCell ref="A3079:B3079"/>
    <mergeCell ref="E2392:F2392"/>
    <mergeCell ref="E2690:F2690"/>
    <mergeCell ref="E605:F605"/>
    <mergeCell ref="E783:G783"/>
    <mergeCell ref="E781:F781"/>
    <mergeCell ref="E1658:F1658"/>
    <mergeCell ref="E3364:F3364"/>
    <mergeCell ref="E2609:F2609"/>
    <mergeCell ref="E3662:F3662"/>
    <mergeCell ref="E1965:F1965"/>
    <mergeCell ref="E2087:F2087"/>
    <mergeCell ref="E2907:F2907"/>
    <mergeCell ref="E3207:G3207"/>
    <mergeCell ref="E476:F476"/>
    <mergeCell ref="E3059:F3059"/>
    <mergeCell ref="E1666:F1666"/>
    <mergeCell ref="E607:F607"/>
    <mergeCell ref="E2692:F2692"/>
    <mergeCell ref="E905:F905"/>
    <mergeCell ref="E1958:F1958"/>
    <mergeCell ref="E3786:F3786"/>
    <mergeCell ref="E2175:F2175"/>
    <mergeCell ref="E1082:G1082"/>
    <mergeCell ref="E2604:F2604"/>
    <mergeCell ref="A3253:B3253"/>
    <mergeCell ref="A382:B382"/>
    <mergeCell ref="E2483:G2483"/>
    <mergeCell ref="A794:B794"/>
    <mergeCell ref="A433:G433"/>
    <mergeCell ref="E1991:F1991"/>
    <mergeCell ref="A1623:G1623"/>
    <mergeCell ref="E3504:F3504"/>
    <mergeCell ref="A862:G862"/>
    <mergeCell ref="A2950:B2950"/>
    <mergeCell ref="E2018:F2018"/>
    <mergeCell ref="E1561:F1561"/>
    <mergeCell ref="A1768:B1768"/>
    <mergeCell ref="E3506:F3506"/>
    <mergeCell ref="E504:F504"/>
    <mergeCell ref="E3070:F3070"/>
    <mergeCell ref="E1562:G1562"/>
    <mergeCell ref="E3683:G3683"/>
    <mergeCell ref="E1292:F1292"/>
    <mergeCell ref="A3764:G3764"/>
    <mergeCell ref="E837:G837"/>
    <mergeCell ref="E1590:F1590"/>
    <mergeCell ref="E506:F506"/>
    <mergeCell ref="E1888:F1888"/>
    <mergeCell ref="E2774:F2774"/>
    <mergeCell ref="E3078:F3078"/>
    <mergeCell ref="E3072:F3072"/>
    <mergeCell ref="A1882:B1882"/>
    <mergeCell ref="E1592:F1592"/>
    <mergeCell ref="A3395:B3395"/>
    <mergeCell ref="A393:B393"/>
    <mergeCell ref="E1890:F1890"/>
    <mergeCell ref="A3571:B3571"/>
    <mergeCell ref="A1336:G1336"/>
    <mergeCell ref="E3801:F3801"/>
    <mergeCell ref="A575:G575"/>
    <mergeCell ref="A3340:G3340"/>
    <mergeCell ref="A1547:G1547"/>
    <mergeCell ref="A154:G154"/>
    <mergeCell ref="E3403:F3403"/>
    <mergeCell ref="E976:F976"/>
    <mergeCell ref="E2344:F2344"/>
    <mergeCell ref="A1752:B1752"/>
    <mergeCell ref="E217:F217"/>
    <mergeCell ref="A1910:B1910"/>
    <mergeCell ref="A1555:G1555"/>
    <mergeCell ref="E1162:F1162"/>
    <mergeCell ref="E3405:F3405"/>
    <mergeCell ref="E1276:F1276"/>
    <mergeCell ref="E1618:F1618"/>
    <mergeCell ref="E1941:F1941"/>
    <mergeCell ref="E1574:F1574"/>
    <mergeCell ref="E857:F857"/>
    <mergeCell ref="E542:F542"/>
    <mergeCell ref="E1155:F1155"/>
    <mergeCell ref="E3309:G3309"/>
    <mergeCell ref="E3736:F3736"/>
    <mergeCell ref="B689:C689"/>
    <mergeCell ref="E3002:F3002"/>
    <mergeCell ref="E1918:F1918"/>
    <mergeCell ref="E2216:F2216"/>
    <mergeCell ref="E131:F131"/>
    <mergeCell ref="A1812:B1812"/>
    <mergeCell ref="E87:F87"/>
    <mergeCell ref="E1002:F1002"/>
    <mergeCell ref="A746:B746"/>
    <mergeCell ref="E2549:G2549"/>
    <mergeCell ref="A2112:B2112"/>
    <mergeCell ref="E276:F276"/>
    <mergeCell ref="E270:F270"/>
    <mergeCell ref="A3177:G3177"/>
    <mergeCell ref="A2452:G2452"/>
    <mergeCell ref="E2694:G2694"/>
    <mergeCell ref="E1331:F1331"/>
    <mergeCell ref="A1834:B1834"/>
    <mergeCell ref="A2293:G2293"/>
    <mergeCell ref="E1629:F1629"/>
    <mergeCell ref="E570:F570"/>
    <mergeCell ref="E1542:F1542"/>
    <mergeCell ref="E2417:F2417"/>
    <mergeCell ref="E1333:F1333"/>
    <mergeCell ref="E3459:F3459"/>
    <mergeCell ref="A466:B466"/>
    <mergeCell ref="E2383:F2383"/>
    <mergeCell ref="E2717:F2717"/>
    <mergeCell ref="E3330:F3330"/>
    <mergeCell ref="E1956:F1956"/>
    <mergeCell ref="A681:G681"/>
    <mergeCell ref="E3444:F3444"/>
    <mergeCell ref="A3195:G3195"/>
    <mergeCell ref="A1228:B1228"/>
    <mergeCell ref="A2892:B2892"/>
    <mergeCell ref="E3323:G3323"/>
    <mergeCell ref="E3017:F3017"/>
    <mergeCell ref="E477:G477"/>
    <mergeCell ref="A981:G981"/>
    <mergeCell ref="E200:F200"/>
    <mergeCell ref="E3744:F3744"/>
    <mergeCell ref="E1044:F1044"/>
    <mergeCell ref="A2160:B2160"/>
    <mergeCell ref="E508:G508"/>
    <mergeCell ref="E202:F202"/>
    <mergeCell ref="E1534:G1534"/>
    <mergeCell ref="A2978:G2978"/>
    <mergeCell ref="A1579:G1579"/>
    <mergeCell ref="E798:F798"/>
    <mergeCell ref="E1690:F1690"/>
    <mergeCell ref="E2743:F2743"/>
    <mergeCell ref="E1684:F1684"/>
    <mergeCell ref="E1235:G1235"/>
    <mergeCell ref="A3407:G3407"/>
    <mergeCell ref="A2151:B2151"/>
    <mergeCell ref="A1092:B1092"/>
    <mergeCell ref="E1227:F1227"/>
    <mergeCell ref="A179:B179"/>
    <mergeCell ref="E3470:F3470"/>
    <mergeCell ref="E1263:F1263"/>
    <mergeCell ref="E624:F624"/>
    <mergeCell ref="E3043:F3043"/>
    <mergeCell ref="A1007:G1007"/>
    <mergeCell ref="E1685:F1685"/>
    <mergeCell ref="A2605:B2605"/>
    <mergeCell ref="E1258:F1258"/>
    <mergeCell ref="E1700:F1700"/>
    <mergeCell ref="A3368:B3368"/>
    <mergeCell ref="E2129:F2129"/>
    <mergeCell ref="A3666:B3666"/>
    <mergeCell ref="E342:F342"/>
    <mergeCell ref="E2921:G2921"/>
    <mergeCell ref="E1245:F1245"/>
    <mergeCell ref="E3215:F3215"/>
    <mergeCell ref="E213:F213"/>
    <mergeCell ref="E642:F642"/>
    <mergeCell ref="A2179:B2179"/>
    <mergeCell ref="E1826:F1826"/>
    <mergeCell ref="E2130:F2130"/>
    <mergeCell ref="E2458:F2458"/>
    <mergeCell ref="E644:F644"/>
    <mergeCell ref="E2003:G2003"/>
    <mergeCell ref="E1248:G1248"/>
    <mergeCell ref="E942:F942"/>
    <mergeCell ref="E3701:F3701"/>
    <mergeCell ref="E339:F339"/>
    <mergeCell ref="A2318:B2318"/>
    <mergeCell ref="E3402:F3402"/>
    <mergeCell ref="A409:B409"/>
    <mergeCell ref="A2237:B2237"/>
    <mergeCell ref="E3516:F3516"/>
    <mergeCell ref="E2214:F2214"/>
    <mergeCell ref="A3596:B3596"/>
    <mergeCell ref="E1602:G1602"/>
    <mergeCell ref="A2835:B2835"/>
    <mergeCell ref="A1803:B1803"/>
    <mergeCell ref="E3541:F3541"/>
    <mergeCell ref="A3291:B3291"/>
    <mergeCell ref="E1029:F1029"/>
    <mergeCell ref="E2359:F2359"/>
    <mergeCell ref="E1327:F1327"/>
    <mergeCell ref="E268:F268"/>
    <mergeCell ref="E243:F243"/>
    <mergeCell ref="E572:F572"/>
    <mergeCell ref="E3272:F3272"/>
    <mergeCell ref="E3543:F3543"/>
    <mergeCell ref="E1756:F1756"/>
    <mergeCell ref="E1416:F1416"/>
    <mergeCell ref="E2054:F2054"/>
    <mergeCell ref="A1048:G1048"/>
    <mergeCell ref="A2532:B2532"/>
    <mergeCell ref="A3509:G3509"/>
    <mergeCell ref="E3238:F3238"/>
    <mergeCell ref="E3536:F3536"/>
    <mergeCell ref="E1627:F1627"/>
    <mergeCell ref="E866:F866"/>
    <mergeCell ref="E2056:F2056"/>
    <mergeCell ref="E3109:F3109"/>
    <mergeCell ref="A132:B132"/>
    <mergeCell ref="A646:G646"/>
    <mergeCell ref="E1630:G1630"/>
    <mergeCell ref="A2134:G2134"/>
    <mergeCell ref="A1075:G1075"/>
    <mergeCell ref="E1011:F1011"/>
    <mergeCell ref="E2812:F2812"/>
    <mergeCell ref="A618:G618"/>
    <mergeCell ref="E2235:G2235"/>
    <mergeCell ref="E448:G448"/>
    <mergeCell ref="A1945:B1945"/>
    <mergeCell ref="A191:G191"/>
    <mergeCell ref="E1013:F1013"/>
    <mergeCell ref="A3006:B3006"/>
    <mergeCell ref="A3161:G3161"/>
    <mergeCell ref="E708:F708"/>
    <mergeCell ref="E593:G593"/>
    <mergeCell ref="E1646:G1646"/>
    <mergeCell ref="E281:F281"/>
    <mergeCell ref="A947:G947"/>
    <mergeCell ref="E737:F737"/>
    <mergeCell ref="E2741:F2741"/>
    <mergeCell ref="A1735:G1735"/>
    <mergeCell ref="E1342:F1342"/>
    <mergeCell ref="A1971:B1971"/>
    <mergeCell ref="E2830:F2830"/>
    <mergeCell ref="E745:F745"/>
    <mergeCell ref="E3468:F3468"/>
    <mergeCell ref="E1043:F1043"/>
    <mergeCell ref="A3033:B3033"/>
    <mergeCell ref="E282:F282"/>
    <mergeCell ref="E3347:G3347"/>
    <mergeCell ref="E2377:G2377"/>
    <mergeCell ref="E3768:F3768"/>
    <mergeCell ref="A3024:B3024"/>
    <mergeCell ref="E888:G888"/>
    <mergeCell ref="A3357:B3357"/>
    <mergeCell ref="A2364:G2364"/>
    <mergeCell ref="E8:F8"/>
    <mergeCell ref="A1603:G1603"/>
    <mergeCell ref="E2154:F2154"/>
    <mergeCell ref="A2632:B2632"/>
    <mergeCell ref="E1070:F1070"/>
    <mergeCell ref="E613:F613"/>
    <mergeCell ref="E727:F727"/>
    <mergeCell ref="A30:G30"/>
    <mergeCell ref="E308:F308"/>
    <mergeCell ref="E2156:F2156"/>
    <mergeCell ref="E946:G946"/>
    <mergeCell ref="E1699:F1699"/>
    <mergeCell ref="E2752:F2752"/>
    <mergeCell ref="E1693:F1693"/>
    <mergeCell ref="E3644:F3644"/>
    <mergeCell ref="E2883:F2883"/>
    <mergeCell ref="E2426:F2426"/>
    <mergeCell ref="E1578:G1578"/>
    <mergeCell ref="E2420:F2420"/>
    <mergeCell ref="E1701:F1701"/>
    <mergeCell ref="E3183:F3183"/>
    <mergeCell ref="E2455:F2455"/>
    <mergeCell ref="E3481:F3481"/>
    <mergeCell ref="A231:B231"/>
    <mergeCell ref="E601:G601"/>
    <mergeCell ref="E3639:F3639"/>
    <mergeCell ref="A1259:B1259"/>
    <mergeCell ref="E3062:G3062"/>
    <mergeCell ref="A802:B802"/>
    <mergeCell ref="E1546:G1546"/>
    <mergeCell ref="E2182:F2182"/>
    <mergeCell ref="E2138:F2138"/>
    <mergeCell ref="E2480:F2480"/>
    <mergeCell ref="E326:F326"/>
    <mergeCell ref="E3199:F3199"/>
    <mergeCell ref="E1114:F1114"/>
    <mergeCell ref="E2482:F2482"/>
    <mergeCell ref="E1412:F1412"/>
    <mergeCell ref="E353:F353"/>
    <mergeCell ref="E651:F651"/>
    <mergeCell ref="A103:B103"/>
    <mergeCell ref="A2203:G2203"/>
    <mergeCell ref="E3507:F3507"/>
    <mergeCell ref="A3772:G3772"/>
    <mergeCell ref="E48:F48"/>
    <mergeCell ref="E3568:F3568"/>
    <mergeCell ref="E2475:G2475"/>
    <mergeCell ref="E661:G661"/>
    <mergeCell ref="E2782:F2782"/>
    <mergeCell ref="A3473:G3473"/>
    <mergeCell ref="E1293:F1293"/>
    <mergeCell ref="E2141:F2141"/>
    <mergeCell ref="A128:B128"/>
    <mergeCell ref="E2439:F2439"/>
    <mergeCell ref="E1722:F1722"/>
    <mergeCell ref="A426:B426"/>
    <mergeCell ref="A1616:B1616"/>
    <mergeCell ref="E677:F677"/>
    <mergeCell ref="A1039:G1039"/>
    <mergeCell ref="A1377:G1377"/>
    <mergeCell ref="E835:F835"/>
    <mergeCell ref="A1313:B1313"/>
    <mergeCell ref="A2643:B2643"/>
    <mergeCell ref="E250:F250"/>
    <mergeCell ref="A3757:B3757"/>
    <mergeCell ref="E1440:F1440"/>
    <mergeCell ref="E381:F381"/>
    <mergeCell ref="E679:F679"/>
    <mergeCell ref="A2730:G2730"/>
    <mergeCell ref="E2526:F2526"/>
    <mergeCell ref="A3302:B3302"/>
    <mergeCell ref="E1740:F1740"/>
    <mergeCell ref="E1014:G1014"/>
    <mergeCell ref="E251:F251"/>
    <mergeCell ref="E2528:F2528"/>
    <mergeCell ref="E2826:F2826"/>
    <mergeCell ref="A1242:B1242"/>
    <mergeCell ref="E3553:F3553"/>
    <mergeCell ref="A576:B576"/>
    <mergeCell ref="E3582:F3582"/>
    <mergeCell ref="A2274:G2274"/>
    <mergeCell ref="E1493:F1493"/>
    <mergeCell ref="A1962:C1962"/>
    <mergeCell ref="E1582:F1582"/>
    <mergeCell ref="A273:B273"/>
    <mergeCell ref="E1364:F1364"/>
    <mergeCell ref="E2554:F2554"/>
    <mergeCell ref="A3633:G3633"/>
    <mergeCell ref="E1486:G1486"/>
    <mergeCell ref="A2574:G2574"/>
    <mergeCell ref="A2872:G2872"/>
    <mergeCell ref="E6:F6"/>
    <mergeCell ref="E304:F304"/>
    <mergeCell ref="E2249:F2249"/>
    <mergeCell ref="E2547:F2547"/>
    <mergeCell ref="E89:F89"/>
    <mergeCell ref="E3160:G3160"/>
    <mergeCell ref="E1822:F1822"/>
    <mergeCell ref="A1536:C1536"/>
    <mergeCell ref="E1323:G1323"/>
    <mergeCell ref="E1794:F1794"/>
    <mergeCell ref="E3031:G3031"/>
    <mergeCell ref="E3460:G3460"/>
    <mergeCell ref="A3170:B3170"/>
    <mergeCell ref="E299:G299"/>
    <mergeCell ref="E2849:F2849"/>
    <mergeCell ref="A2445:B2445"/>
    <mergeCell ref="B1954:C1954"/>
    <mergeCell ref="A813:G813"/>
    <mergeCell ref="E2753:G2753"/>
    <mergeCell ref="E779:F779"/>
    <mergeCell ref="A502:B502"/>
    <mergeCell ref="E1506:F1506"/>
    <mergeCell ref="A3341:B3341"/>
    <mergeCell ref="A197:B197"/>
    <mergeCell ref="A3557:G3557"/>
    <mergeCell ref="E1079:F1079"/>
    <mergeCell ref="E324:F324"/>
    <mergeCell ref="E622:F622"/>
    <mergeCell ref="E3322:F3322"/>
    <mergeCell ref="E3205:F3205"/>
    <mergeCell ref="E780:F780"/>
    <mergeCell ref="E1078:F1078"/>
    <mergeCell ref="E19:F19"/>
    <mergeCell ref="E1964:F1964"/>
    <mergeCell ref="E1209:F1209"/>
    <mergeCell ref="E3294:F3294"/>
    <mergeCell ref="E3592:F3592"/>
    <mergeCell ref="E1507:F1507"/>
    <mergeCell ref="E991:F991"/>
    <mergeCell ref="E2569:F2569"/>
    <mergeCell ref="E3505:F3505"/>
    <mergeCell ref="E782:F782"/>
    <mergeCell ref="E2473:F2473"/>
    <mergeCell ref="E327:G327"/>
    <mergeCell ref="E1080:F1080"/>
    <mergeCell ref="A3399:B3399"/>
    <mergeCell ref="E2562:F2562"/>
    <mergeCell ref="A940:B940"/>
    <mergeCell ref="E2464:F2464"/>
    <mergeCell ref="A2369:B2369"/>
    <mergeCell ref="A3096:B3096"/>
    <mergeCell ref="A528:G528"/>
    <mergeCell ref="A671:B671"/>
    <mergeCell ref="A1100:B1100"/>
    <mergeCell ref="E1742:G1742"/>
    <mergeCell ref="E2011:G2011"/>
    <mergeCell ref="A1398:B1398"/>
    <mergeCell ref="E1098:G1098"/>
    <mergeCell ref="E343:G343"/>
    <mergeCell ref="A1914:B1914"/>
    <mergeCell ref="E3679:F3679"/>
    <mergeCell ref="E2620:F2620"/>
    <mergeCell ref="A2227:G2227"/>
    <mergeCell ref="E2918:F2918"/>
    <mergeCell ref="E1131:F1131"/>
    <mergeCell ref="E764:F764"/>
    <mergeCell ref="E47:F47"/>
    <mergeCell ref="A3187:B3187"/>
    <mergeCell ref="E1438:F1438"/>
    <mergeCell ref="E3681:F3681"/>
    <mergeCell ref="E2920:F2920"/>
    <mergeCell ref="A2670:B2670"/>
    <mergeCell ref="E676:F676"/>
    <mergeCell ref="A1182:G1182"/>
    <mergeCell ref="E2919:F2919"/>
    <mergeCell ref="E1222:F1222"/>
    <mergeCell ref="E1738:F1738"/>
    <mergeCell ref="E2036:F2036"/>
    <mergeCell ref="E1004:F1004"/>
    <mergeCell ref="E2492:F2492"/>
    <mergeCell ref="E3676:F3676"/>
    <mergeCell ref="E1889:F1889"/>
    <mergeCell ref="A757:G757"/>
    <mergeCell ref="A300:G300"/>
    <mergeCell ref="E2039:G2039"/>
    <mergeCell ref="A2388:B2388"/>
    <mergeCell ref="A1511:G1511"/>
    <mergeCell ref="A2695:G2695"/>
    <mergeCell ref="A2083:B2083"/>
    <mergeCell ref="A1024:B1024"/>
    <mergeCell ref="A3267:B3267"/>
    <mergeCell ref="E1906:F1906"/>
    <mergeCell ref="E119:F119"/>
    <mergeCell ref="A1927:B1927"/>
    <mergeCell ref="A1811:G1811"/>
    <mergeCell ref="A140:B140"/>
    <mergeCell ref="E1607:F1607"/>
    <mergeCell ref="A3324:G3324"/>
    <mergeCell ref="E3692:F3692"/>
    <mergeCell ref="E2176:F2176"/>
    <mergeCell ref="E1144:F1144"/>
    <mergeCell ref="E389:F389"/>
    <mergeCell ref="E3605:F3605"/>
    <mergeCell ref="E1451:F1451"/>
    <mergeCell ref="B695:C695"/>
    <mergeCell ref="E3694:F3694"/>
    <mergeCell ref="E1609:F1609"/>
    <mergeCell ref="E1907:F1907"/>
    <mergeCell ref="E2545:F2545"/>
    <mergeCell ref="E2090:G2090"/>
    <mergeCell ref="A2827:B2827"/>
    <mergeCell ref="E1750:G1750"/>
    <mergeCell ref="A897:G897"/>
    <mergeCell ref="A1040:B1040"/>
    <mergeCell ref="A3135:B3135"/>
    <mergeCell ref="E1454:G1454"/>
    <mergeCell ref="E122:F122"/>
    <mergeCell ref="E2845:F2845"/>
    <mergeCell ref="B690:C690"/>
    <mergeCell ref="A165:G165"/>
    <mergeCell ref="A921:B921"/>
    <mergeCell ref="E1291:F1291"/>
    <mergeCell ref="A594:G594"/>
    <mergeCell ref="A2067:B2067"/>
    <mergeCell ref="A3657:G3657"/>
    <mergeCell ref="E1477:F1477"/>
    <mergeCell ref="E445:F445"/>
    <mergeCell ref="E2990:F2990"/>
    <mergeCell ref="A1655:G1655"/>
    <mergeCell ref="E1591:F1591"/>
    <mergeCell ref="E1178:F1178"/>
    <mergeCell ref="E1810:G1810"/>
    <mergeCell ref="E2538:F2538"/>
    <mergeCell ref="E2563:F2563"/>
    <mergeCell ref="A3041:B3041"/>
    <mergeCell ref="A1409:G1409"/>
    <mergeCell ref="E2258:F2258"/>
    <mergeCell ref="A1068:B1068"/>
    <mergeCell ref="A313:B313"/>
    <mergeCell ref="E404:G404"/>
    <mergeCell ref="E2408:G2408"/>
    <mergeCell ref="E1376:G1376"/>
    <mergeCell ref="E3319:F3319"/>
    <mergeCell ref="E2260:F2260"/>
    <mergeCell ref="E3617:F3617"/>
    <mergeCell ref="A184:B184"/>
    <mergeCell ref="E1384:G1384"/>
    <mergeCell ref="A2881:B2881"/>
    <mergeCell ref="E3321:F3321"/>
    <mergeCell ref="A3486:B3486"/>
    <mergeCell ref="A2040:G2040"/>
    <mergeCell ref="A2012:G2012"/>
    <mergeCell ref="E2737:G2737"/>
    <mergeCell ref="E885:F885"/>
    <mergeCell ref="E1559:F1559"/>
    <mergeCell ref="A3052:B3052"/>
    <mergeCell ref="E160:F160"/>
    <mergeCell ref="E3047:F3047"/>
    <mergeCell ref="A3705:G3705"/>
    <mergeCell ref="E3003:F3003"/>
    <mergeCell ref="E3345:F3345"/>
    <mergeCell ref="A1280:G1280"/>
    <mergeCell ref="E430:F430"/>
    <mergeCell ref="E3337:F3337"/>
    <mergeCell ref="A1210:B1210"/>
    <mergeCell ref="E789:F789"/>
    <mergeCell ref="E2157:F2157"/>
    <mergeCell ref="E1979:F1979"/>
    <mergeCell ref="E920:F920"/>
    <mergeCell ref="A3510:B3510"/>
    <mergeCell ref="E3645:F3645"/>
    <mergeCell ref="E2271:F2271"/>
    <mergeCell ref="E1516:F1516"/>
    <mergeCell ref="E799:F799"/>
    <mergeCell ref="E3637:F3637"/>
    <mergeCell ref="E3759:F3759"/>
    <mergeCell ref="E791:F791"/>
    <mergeCell ref="E1089:F1089"/>
    <mergeCell ref="E1526:G1526"/>
    <mergeCell ref="E792:G792"/>
    <mergeCell ref="A1300:B1300"/>
    <mergeCell ref="A1107:B1107"/>
    <mergeCell ref="E61:F61"/>
    <mergeCell ref="A23:B23"/>
    <mergeCell ref="A1720:B1720"/>
    <mergeCell ref="E1853:G1853"/>
    <mergeCell ref="E3640:G3640"/>
    <mergeCell ref="A688:C688"/>
    <mergeCell ref="E517:F517"/>
    <mergeCell ref="A1712:B1712"/>
    <mergeCell ref="E1999:F1999"/>
    <mergeCell ref="E1244:F1244"/>
    <mergeCell ref="B45:C45"/>
    <mergeCell ref="A2236:G2236"/>
    <mergeCell ref="A3426:G3426"/>
    <mergeCell ref="E2007:F2007"/>
    <mergeCell ref="E2001:F2001"/>
    <mergeCell ref="E1246:F1246"/>
    <mergeCell ref="E1544:F1544"/>
    <mergeCell ref="E3271:F3271"/>
    <mergeCell ref="E3393:G3393"/>
    <mergeCell ref="B46:C46"/>
    <mergeCell ref="A2493:B2493"/>
    <mergeCell ref="A619:B619"/>
    <mergeCell ref="A3256:B3256"/>
    <mergeCell ref="E2017:F2017"/>
    <mergeCell ref="E230:F230"/>
    <mergeCell ref="E659:F659"/>
    <mergeCell ref="E1022:G1022"/>
    <mergeCell ref="A1435:B1435"/>
    <mergeCell ref="E3265:G3265"/>
    <mergeCell ref="E3716:F3716"/>
    <mergeCell ref="A1471:B1471"/>
    <mergeCell ref="A3348:G3348"/>
    <mergeCell ref="E2955:F2955"/>
    <mergeCell ref="A3162:B3162"/>
    <mergeCell ref="E1168:F1168"/>
    <mergeCell ref="A1008:B1008"/>
    <mergeCell ref="E1714:F1714"/>
    <mergeCell ref="E3718:F3718"/>
    <mergeCell ref="E225:F225"/>
    <mergeCell ref="E2963:F2963"/>
    <mergeCell ref="E1931:F1931"/>
    <mergeCell ref="E2948:G2948"/>
    <mergeCell ref="E2527:F2527"/>
    <mergeCell ref="A3439:G3439"/>
    <mergeCell ref="E3717:F3717"/>
    <mergeCell ref="E2658:F2658"/>
    <mergeCell ref="E3711:F3711"/>
    <mergeCell ref="E1626:F1626"/>
    <mergeCell ref="E2231:F2231"/>
    <mergeCell ref="E1163:G1163"/>
    <mergeCell ref="E2529:F2529"/>
    <mergeCell ref="E444:F444"/>
    <mergeCell ref="A1370:B1370"/>
    <mergeCell ref="A1820:B1820"/>
    <mergeCell ref="E1186:F1186"/>
    <mergeCell ref="A1664:B1664"/>
    <mergeCell ref="A2723:B2723"/>
    <mergeCell ref="A2854:B2854"/>
    <mergeCell ref="A2738:G2738"/>
    <mergeCell ref="E1344:F1344"/>
    <mergeCell ref="A3450:B3450"/>
    <mergeCell ref="A1249:G1249"/>
    <mergeCell ref="E2071:F2071"/>
    <mergeCell ref="A3608:B3608"/>
    <mergeCell ref="E460:F460"/>
    <mergeCell ref="A3063:G3063"/>
    <mergeCell ref="E1644:F1644"/>
    <mergeCell ref="E3132:F3132"/>
    <mergeCell ref="A490:G490"/>
    <mergeCell ref="E2073:F2073"/>
    <mergeCell ref="E3424:F3424"/>
    <mergeCell ref="E462:F462"/>
    <mergeCell ref="A1504:B1504"/>
    <mergeCell ref="E3343:F3343"/>
    <mergeCell ref="E1944:F1944"/>
    <mergeCell ref="E2582:F2582"/>
    <mergeCell ref="E2242:F2242"/>
    <mergeCell ref="E157:F157"/>
    <mergeCell ref="E428:F428"/>
    <mergeCell ref="E2373:F2373"/>
    <mergeCell ref="E1645:F1645"/>
    <mergeCell ref="E884:F884"/>
    <mergeCell ref="A3749:B3749"/>
    <mergeCell ref="A3537:B3537"/>
    <mergeCell ref="E457:F457"/>
    <mergeCell ref="A1237:B1237"/>
    <mergeCell ref="A482:B482"/>
    <mergeCell ref="A2567:B2567"/>
    <mergeCell ref="A2865:B2865"/>
    <mergeCell ref="A2050:B2050"/>
    <mergeCell ref="E146:F146"/>
    <mergeCell ref="E3788:F3788"/>
    <mergeCell ref="E298:F298"/>
    <mergeCell ref="A3074:G3074"/>
    <mergeCell ref="E3483:F3483"/>
    <mergeCell ref="E1786:F1786"/>
    <mergeCell ref="E177:G177"/>
    <mergeCell ref="E175:F175"/>
    <mergeCell ref="E297:F297"/>
    <mergeCell ref="E2758:F2758"/>
    <mergeCell ref="E2301:F2301"/>
    <mergeCell ref="A3534:B3534"/>
    <mergeCell ref="E3354:F3354"/>
    <mergeCell ref="E1540:F1540"/>
    <mergeCell ref="E3661:F3661"/>
    <mergeCell ref="E1576:F1576"/>
    <mergeCell ref="E3783:F3783"/>
    <mergeCell ref="E1419:G1419"/>
    <mergeCell ref="E597:F597"/>
    <mergeCell ref="A1219:B1219"/>
    <mergeCell ref="E1868:F1868"/>
    <mergeCell ref="E2303:F2303"/>
    <mergeCell ref="E3058:F3058"/>
    <mergeCell ref="E3654:F3654"/>
    <mergeCell ref="E1569:F1569"/>
    <mergeCell ref="E1840:F1840"/>
    <mergeCell ref="E170:F170"/>
    <mergeCell ref="E599:F599"/>
    <mergeCell ref="A3216:B3216"/>
    <mergeCell ref="E3664:G3664"/>
    <mergeCell ref="A1015:G1015"/>
    <mergeCell ref="E201:F201"/>
    <mergeCell ref="A3376:B3376"/>
    <mergeCell ref="E2177:G2177"/>
    <mergeCell ref="A3674:B3674"/>
    <mergeCell ref="A2681:G2681"/>
    <mergeCell ref="A1520:B1520"/>
    <mergeCell ref="E2471:F2471"/>
    <mergeCell ref="E71:G71"/>
    <mergeCell ref="E657:F657"/>
    <mergeCell ref="E1716:F1716"/>
    <mergeCell ref="A2194:B2194"/>
    <mergeCell ref="E955:F955"/>
    <mergeCell ref="E1253:F1253"/>
    <mergeCell ref="E1283:F1283"/>
    <mergeCell ref="E650:F650"/>
    <mergeCell ref="E1132:G1132"/>
    <mergeCell ref="E2016:F2016"/>
    <mergeCell ref="E957:F957"/>
    <mergeCell ref="E2316:G2316"/>
    <mergeCell ref="E984:F984"/>
    <mergeCell ref="E2010:F2010"/>
    <mergeCell ref="E2314:F2314"/>
    <mergeCell ref="A2378:G2378"/>
    <mergeCell ref="E1553:F1553"/>
    <mergeCell ref="E3069:F3069"/>
    <mergeCell ref="E3344:F3344"/>
    <mergeCell ref="A92:B92"/>
    <mergeCell ref="E3586:G3586"/>
    <mergeCell ref="E828:F828"/>
    <mergeCell ref="E3715:F3715"/>
    <mergeCell ref="E3071:F3071"/>
    <mergeCell ref="E2474:F2474"/>
    <mergeCell ref="E2019:G2019"/>
    <mergeCell ref="A548:B548"/>
    <mergeCell ref="E1584:F1584"/>
    <mergeCell ref="A3387:B3387"/>
    <mergeCell ref="A3032:G3032"/>
    <mergeCell ref="A3461:G3461"/>
    <mergeCell ref="A3275:B3275"/>
    <mergeCell ref="A1791:G1791"/>
    <mergeCell ref="E3095:F3095"/>
    <mergeCell ref="E668:F668"/>
    <mergeCell ref="E1010:F1010"/>
    <mergeCell ref="A1488:B1488"/>
    <mergeCell ref="A418:B418"/>
    <mergeCell ref="A1480:B1480"/>
    <mergeCell ref="A3332:G3332"/>
    <mergeCell ref="E1913:F1913"/>
    <mergeCell ref="E539:F539"/>
    <mergeCell ref="E2044:F2044"/>
    <mergeCell ref="E1012:F1012"/>
    <mergeCell ref="A2091:G2091"/>
    <mergeCell ref="A2207:B2207"/>
    <mergeCell ref="E555:F555"/>
    <mergeCell ref="E1608:F1608"/>
    <mergeCell ref="E2701:F2701"/>
    <mergeCell ref="E2456:F2456"/>
    <mergeCell ref="A3477:B3477"/>
    <mergeCell ref="E3130:F3130"/>
    <mergeCell ref="A872:B872"/>
    <mergeCell ref="E3728:G3728"/>
    <mergeCell ref="E3422:F3422"/>
    <mergeCell ref="E2667:F2667"/>
    <mergeCell ref="E1312:F1312"/>
    <mergeCell ref="E1610:F1610"/>
    <mergeCell ref="A147:B147"/>
    <mergeCell ref="E3001:F3001"/>
    <mergeCell ref="E3123:F3123"/>
    <mergeCell ref="A743:B743"/>
    <mergeCell ref="E1908:G1908"/>
    <mergeCell ref="E396:F396"/>
    <mergeCell ref="E3430:F3430"/>
    <mergeCell ref="E2398:F2398"/>
    <mergeCell ref="E3273:G3273"/>
    <mergeCell ref="E267:F267"/>
    <mergeCell ref="E425:F425"/>
    <mergeCell ref="A1201:B1201"/>
    <mergeCell ref="E3004:G3004"/>
    <mergeCell ref="A2294:B2294"/>
    <mergeCell ref="A3087:G3087"/>
    <mergeCell ref="A662:G662"/>
    <mergeCell ref="E269:F269"/>
    <mergeCell ref="E1757:F1757"/>
    <mergeCell ref="E2055:F2055"/>
    <mergeCell ref="A1687:G1687"/>
    <mergeCell ref="A2594:B2594"/>
    <mergeCell ref="E3141:F3141"/>
    <mergeCell ref="E2082:F2082"/>
    <mergeCell ref="E2424:F2424"/>
    <mergeCell ref="A2444:G2444"/>
    <mergeCell ref="E3029:F3029"/>
    <mergeCell ref="A158:B158"/>
    <mergeCell ref="A587:B587"/>
    <mergeCell ref="E3143:F3143"/>
    <mergeCell ref="E1356:F1356"/>
    <mergeCell ref="E2382:F2382"/>
    <mergeCell ref="E1199:G1199"/>
    <mergeCell ref="E3144:G3144"/>
    <mergeCell ref="E2261:G2261"/>
    <mergeCell ref="A2286:B2286"/>
    <mergeCell ref="E3355:G3355"/>
    <mergeCell ref="E1381:F1381"/>
    <mergeCell ref="A2460:G2460"/>
    <mergeCell ref="A1104:B1104"/>
    <mergeCell ref="E2869:F2869"/>
    <mergeCell ref="A2586:B2586"/>
    <mergeCell ref="E2406:F2406"/>
    <mergeCell ref="E199:F199"/>
    <mergeCell ref="A2613:B2613"/>
    <mergeCell ref="E926:F926"/>
    <mergeCell ref="E1839:F1839"/>
    <mergeCell ref="E2137:F2137"/>
    <mergeCell ref="E1382:F1382"/>
    <mergeCell ref="E323:F323"/>
    <mergeCell ref="E927:G927"/>
    <mergeCell ref="E3073:G3073"/>
    <mergeCell ref="E2742:F2742"/>
    <mergeCell ref="E3494:F3494"/>
    <mergeCell ref="E2139:F2139"/>
    <mergeCell ref="E3469:F3469"/>
    <mergeCell ref="E1682:F1682"/>
    <mergeCell ref="E623:F623"/>
    <mergeCell ref="E1980:F1980"/>
    <mergeCell ref="A2005:B2005"/>
    <mergeCell ref="A54:B54"/>
    <mergeCell ref="E800:G800"/>
    <mergeCell ref="A2297:B2297"/>
    <mergeCell ref="A3274:G3274"/>
    <mergeCell ref="A1572:B1572"/>
    <mergeCell ref="E1523:F1523"/>
    <mergeCell ref="A1273:B1273"/>
    <mergeCell ref="A214:B214"/>
    <mergeCell ref="E34:F34"/>
    <mergeCell ref="E3374:G3374"/>
    <mergeCell ref="A2058:G2058"/>
    <mergeCell ref="E1394:F1394"/>
    <mergeCell ref="A1117:B1117"/>
    <mergeCell ref="E3222:F3222"/>
    <mergeCell ref="E1552:F1552"/>
    <mergeCell ref="E797:F797"/>
    <mergeCell ref="E36:F36"/>
    <mergeCell ref="E641:F641"/>
    <mergeCell ref="E3391:F3391"/>
    <mergeCell ref="E1306:F1306"/>
    <mergeCell ref="E3528:F3528"/>
    <mergeCell ref="E1852:F1852"/>
    <mergeCell ref="E1097:F1097"/>
    <mergeCell ref="E1613:F1613"/>
    <mergeCell ref="A3685:B3685"/>
    <mergeCell ref="E1395:F1395"/>
    <mergeCell ref="E336:F336"/>
    <mergeCell ref="E126:G126"/>
    <mergeCell ref="E634:F634"/>
    <mergeCell ref="E2340:F2340"/>
    <mergeCell ref="E2027:G2027"/>
    <mergeCell ref="E1614:G1614"/>
    <mergeCell ref="E3086:G3086"/>
    <mergeCell ref="A2387:G2387"/>
    <mergeCell ref="E1606:F1606"/>
    <mergeCell ref="E2035:F2035"/>
    <mergeCell ref="E965:F965"/>
    <mergeCell ref="E546:G546"/>
    <mergeCell ref="A1800:B1800"/>
    <mergeCell ref="E990:F990"/>
    <mergeCell ref="A1468:B1468"/>
    <mergeCell ref="A3419:B3419"/>
    <mergeCell ref="E2328:G2328"/>
    <mergeCell ref="A328:G328"/>
    <mergeCell ref="E1019:F1019"/>
    <mergeCell ref="A284:G284"/>
    <mergeCell ref="E1150:F1150"/>
    <mergeCell ref="E3235:F3235"/>
    <mergeCell ref="A2985:B2985"/>
    <mergeCell ref="E1746:F1746"/>
    <mergeCell ref="E687:F687"/>
    <mergeCell ref="A556:B556"/>
    <mergeCell ref="E2053:F2053"/>
    <mergeCell ref="E1021:F1021"/>
    <mergeCell ref="E1319:F1319"/>
    <mergeCell ref="E564:F564"/>
    <mergeCell ref="E109:G109"/>
    <mergeCell ref="E1450:F1450"/>
    <mergeCell ref="E1748:F1748"/>
    <mergeCell ref="A881:B881"/>
    <mergeCell ref="E2720:F2720"/>
    <mergeCell ref="E574:G574"/>
    <mergeCell ref="E1321:F1321"/>
    <mergeCell ref="E2511:F2511"/>
    <mergeCell ref="A1799:G1799"/>
    <mergeCell ref="A1942:B1942"/>
    <mergeCell ref="A155:B155"/>
    <mergeCell ref="A3126:B3126"/>
    <mergeCell ref="E1806:F1806"/>
    <mergeCell ref="A2705:B2705"/>
    <mergeCell ref="A775:G775"/>
    <mergeCell ref="E2104:F2104"/>
    <mergeCell ref="A312:G312"/>
    <mergeCell ref="E1161:F1161"/>
    <mergeCell ref="E3165:F3165"/>
    <mergeCell ref="A2159:G2159"/>
    <mergeCell ref="A1830:G1830"/>
    <mergeCell ref="E2404:F2404"/>
    <mergeCell ref="E2702:F2702"/>
    <mergeCell ref="A2402:B2402"/>
    <mergeCell ref="A3641:G3641"/>
    <mergeCell ref="E2222:F2222"/>
    <mergeCell ref="E408:F408"/>
    <mergeCell ref="E402:F402"/>
    <mergeCell ref="E1006:G1006"/>
    <mergeCell ref="E3167:F3167"/>
    <mergeCell ref="E3771:G3771"/>
    <mergeCell ref="E2433:F2433"/>
    <mergeCell ref="E585:G585"/>
    <mergeCell ref="E279:F279"/>
    <mergeCell ref="E1034:F1034"/>
    <mergeCell ref="E3168:G3168"/>
    <mergeCell ref="E437:F437"/>
    <mergeCell ref="E1463:F1463"/>
    <mergeCell ref="A1672:B1672"/>
    <mergeCell ref="E2405:F2405"/>
    <mergeCell ref="E2733:F2733"/>
    <mergeCell ref="A2484:G2484"/>
    <mergeCell ref="A3056:B3056"/>
    <mergeCell ref="A1997:B1997"/>
    <mergeCell ref="E3339:G3339"/>
    <mergeCell ref="A3545:G3545"/>
    <mergeCell ref="E1819:F1819"/>
    <mergeCell ref="A3240:G3240"/>
    <mergeCell ref="E762:F762"/>
    <mergeCell ref="E7:F7"/>
    <mergeCell ref="A2929:B2929"/>
    <mergeCell ref="E1550:F1550"/>
    <mergeCell ref="E2880:F2880"/>
    <mergeCell ref="A1455:G1455"/>
    <mergeCell ref="E332:F332"/>
    <mergeCell ref="E307:F307"/>
    <mergeCell ref="E3336:F3336"/>
    <mergeCell ref="E1095:F1095"/>
    <mergeCell ref="E1393:F1393"/>
    <mergeCell ref="E3338:F3338"/>
    <mergeCell ref="E1691:F1691"/>
    <mergeCell ref="E3636:F3636"/>
    <mergeCell ref="E790:F790"/>
    <mergeCell ref="E2120:F2120"/>
    <mergeCell ref="E669:G669"/>
    <mergeCell ref="E2448:F2448"/>
    <mergeCell ref="E3638:F3638"/>
    <mergeCell ref="E1851:F1851"/>
    <mergeCell ref="E1396:G1396"/>
    <mergeCell ref="A2771:B2771"/>
    <mergeCell ref="A3525:B3525"/>
    <mergeCell ref="E2479:F2479"/>
    <mergeCell ref="A3796:B3796"/>
    <mergeCell ref="A2409:G2409"/>
    <mergeCell ref="E3231:F3231"/>
    <mergeCell ref="E1838:F1838"/>
    <mergeCell ref="A2045:B2045"/>
    <mergeCell ref="E3206:F3206"/>
    <mergeCell ref="E2174:F2174"/>
    <mergeCell ref="A1284:B1284"/>
    <mergeCell ref="E360:F360"/>
    <mergeCell ref="E2472:F2472"/>
    <mergeCell ref="E3320:F3320"/>
    <mergeCell ref="E1533:F1533"/>
    <mergeCell ref="E3531:F3531"/>
    <mergeCell ref="E1446:F1446"/>
    <mergeCell ref="E1106:F1106"/>
    <mergeCell ref="E1841:G1841"/>
    <mergeCell ref="E1833:F1833"/>
    <mergeCell ref="A2797:B2797"/>
    <mergeCell ref="E2133:G2133"/>
    <mergeCell ref="E653:G653"/>
  </mergeCells>
  <pageMargins left="0.5" right="0.5" top="0.5" bottom="0.5" header="0" footer="0"/>
  <pageSetup orientation="portrait" paperSize="9" scale="85"/>
</worksheet>
</file>

<file path=xl/worksheets/sheet5.xml><?xml version="1.0" encoding="utf-8"?>
<worksheet xmlns="http://schemas.openxmlformats.org/spreadsheetml/2006/main">
  <sheetPr>
    <outlinePr summaryBelow="0"/>
    <pageSetUpPr/>
  </sheetPr>
  <dimension ref="A1:G85"/>
  <sheetViews>
    <sheetView workbookViewId="0">
      <selection activeCell="A1" sqref="A1"/>
    </sheetView>
  </sheetViews>
  <sheetFormatPr baseColWidth="8" defaultRowHeight="15"/>
  <cols>
    <col width="9.333333" customWidth="1" min="1" max="1"/>
    <col width="68.666664" customWidth="1" min="2" max="2"/>
    <col width="8.833333" customWidth="1" min="3" max="3"/>
    <col width="2.5" customWidth="1" min="4" max="4"/>
    <col width="7.6666665" customWidth="1" min="5" max="5"/>
    <col width="3.6666667" customWidth="1" min="6" max="6"/>
    <col width="14.5" customWidth="1" min="7" max="7"/>
  </cols>
  <sheetData>
    <row r="1" ht="122" customHeight="1">
      <c r="A1" s="1" t="inlineStr"/>
      <c r="B1" s="54" t="n"/>
      <c r="C1" s="54" t="n"/>
      <c r="D1" s="54" t="n"/>
      <c r="E1" s="54" t="n"/>
      <c r="F1" s="54" t="n"/>
      <c r="G1" s="54" t="n"/>
    </row>
    <row r="2" ht="12" customHeight="1">
      <c r="A2" s="2" t="inlineStr"/>
      <c r="B2" s="3" t="inlineStr">
        <is>
          <t>
</t>
        </is>
      </c>
      <c r="F2" s="2" t="inlineStr"/>
      <c r="G2" s="2" t="inlineStr"/>
    </row>
    <row r="3" ht="15" customHeight="1">
      <c r="A3" s="42" t="inlineStr">
        <is>
          <t>COD</t>
        </is>
      </c>
      <c r="B3" s="42" t="inlineStr">
        <is>
          <t>DESCRIÇÃO</t>
        </is>
      </c>
      <c r="C3" s="43" t="inlineStr">
        <is>
          <t>HORISTA %</t>
        </is>
      </c>
      <c r="D3" s="56" t="n"/>
      <c r="E3" s="43" t="inlineStr">
        <is>
          <t>MENSALISTA %</t>
        </is>
      </c>
      <c r="F3" s="56" t="n"/>
      <c r="G3" s="2" t="inlineStr"/>
    </row>
    <row r="4" ht="12" customHeight="1">
      <c r="A4" s="2" t="inlineStr"/>
      <c r="B4" s="3" t="inlineStr">
        <is>
          <t>
</t>
        </is>
      </c>
      <c r="D4" s="2" t="inlineStr"/>
      <c r="E4" s="2" t="inlineStr"/>
      <c r="F4" s="2" t="inlineStr"/>
      <c r="G4" s="2" t="inlineStr"/>
    </row>
    <row r="5" ht="13" customHeight="1">
      <c r="A5" s="44" t="inlineStr">
        <is>
          <t>A</t>
        </is>
      </c>
      <c r="B5" s="45" t="inlineStr">
        <is>
          <t>GRUPO A</t>
        </is>
      </c>
      <c r="C5" s="2" t="inlineStr"/>
      <c r="D5" s="2" t="inlineStr"/>
      <c r="E5" s="2" t="inlineStr"/>
      <c r="F5" s="2" t="inlineStr"/>
      <c r="G5" s="2" t="inlineStr"/>
    </row>
    <row r="6" ht="13" customHeight="1">
      <c r="A6" s="46" t="inlineStr">
        <is>
          <t>A1</t>
        </is>
      </c>
      <c r="B6" s="47" t="inlineStr">
        <is>
          <t xml:space="preserve">INSS </t>
        </is>
      </c>
      <c r="C6" s="76" t="n">
        <v>20</v>
      </c>
      <c r="D6" s="56" t="n"/>
      <c r="E6" s="77" t="n">
        <v>20</v>
      </c>
      <c r="F6" s="56" t="n"/>
      <c r="G6" s="2" t="inlineStr"/>
    </row>
    <row r="7" ht="13" customHeight="1">
      <c r="A7" s="46" t="inlineStr">
        <is>
          <t>A2</t>
        </is>
      </c>
      <c r="B7" s="47" t="inlineStr">
        <is>
          <t xml:space="preserve">SESI </t>
        </is>
      </c>
      <c r="C7" s="76" t="n">
        <v>1.5</v>
      </c>
      <c r="D7" s="56" t="n"/>
      <c r="E7" s="77" t="n">
        <v>1.5</v>
      </c>
      <c r="F7" s="56" t="n"/>
      <c r="G7" s="2" t="inlineStr"/>
    </row>
    <row r="8" ht="13" customHeight="1">
      <c r="A8" s="46" t="inlineStr">
        <is>
          <t>A3</t>
        </is>
      </c>
      <c r="B8" s="47" t="inlineStr">
        <is>
          <t xml:space="preserve">SENAI </t>
        </is>
      </c>
      <c r="C8" s="76" t="n">
        <v>1</v>
      </c>
      <c r="D8" s="56" t="n"/>
      <c r="E8" s="77" t="n">
        <v>1</v>
      </c>
      <c r="F8" s="56" t="n"/>
      <c r="G8" s="2" t="inlineStr"/>
    </row>
    <row r="9" ht="13" customHeight="1">
      <c r="A9" s="46" t="inlineStr">
        <is>
          <t>A4</t>
        </is>
      </c>
      <c r="B9" s="47" t="inlineStr">
        <is>
          <t xml:space="preserve">INCRA </t>
        </is>
      </c>
      <c r="C9" s="76" t="n">
        <v>0.2</v>
      </c>
      <c r="D9" s="56" t="n"/>
      <c r="E9" s="77" t="n">
        <v>0.2</v>
      </c>
      <c r="F9" s="56" t="n"/>
      <c r="G9" s="2" t="inlineStr"/>
    </row>
    <row r="10" ht="13" customHeight="1">
      <c r="A10" s="46" t="inlineStr">
        <is>
          <t>A5</t>
        </is>
      </c>
      <c r="B10" s="47" t="inlineStr">
        <is>
          <t xml:space="preserve">SEBRAE </t>
        </is>
      </c>
      <c r="C10" s="76" t="n">
        <v>0.6</v>
      </c>
      <c r="D10" s="56" t="n"/>
      <c r="E10" s="77" t="n">
        <v>0.6</v>
      </c>
      <c r="F10" s="56" t="n"/>
      <c r="G10" s="2" t="inlineStr"/>
    </row>
    <row r="11" ht="13" customHeight="1">
      <c r="A11" s="46" t="inlineStr">
        <is>
          <t>A6</t>
        </is>
      </c>
      <c r="B11" s="47" t="inlineStr">
        <is>
          <t xml:space="preserve">Salário Educação </t>
        </is>
      </c>
      <c r="C11" s="76" t="n">
        <v>2.5</v>
      </c>
      <c r="D11" s="56" t="n"/>
      <c r="E11" s="77" t="n">
        <v>2.5</v>
      </c>
      <c r="F11" s="56" t="n"/>
      <c r="G11" s="2" t="inlineStr"/>
    </row>
    <row r="12" ht="13" customHeight="1">
      <c r="A12" s="46" t="inlineStr">
        <is>
          <t>A7</t>
        </is>
      </c>
      <c r="B12" s="47" t="inlineStr">
        <is>
          <t xml:space="preserve">Seguro Contra Acidentes de Trabalho </t>
        </is>
      </c>
      <c r="C12" s="76" t="n">
        <v>3</v>
      </c>
      <c r="D12" s="56" t="n"/>
      <c r="E12" s="77" t="n">
        <v>3</v>
      </c>
      <c r="F12" s="56" t="n"/>
      <c r="G12" s="2" t="inlineStr"/>
    </row>
    <row r="13" ht="13" customHeight="1">
      <c r="A13" s="46" t="inlineStr">
        <is>
          <t>A8</t>
        </is>
      </c>
      <c r="B13" s="47" t="inlineStr">
        <is>
          <t xml:space="preserve">FGTS </t>
        </is>
      </c>
      <c r="C13" s="76" t="n">
        <v>8</v>
      </c>
      <c r="D13" s="56" t="n"/>
      <c r="E13" s="77" t="n">
        <v>8</v>
      </c>
      <c r="F13" s="56" t="n"/>
      <c r="G13" s="2" t="inlineStr"/>
    </row>
    <row r="14" ht="13" customHeight="1">
      <c r="A14" s="46" t="inlineStr">
        <is>
          <t>A9</t>
        </is>
      </c>
      <c r="B14" s="47" t="inlineStr">
        <is>
          <t xml:space="preserve">SECONCI </t>
        </is>
      </c>
      <c r="C14" s="76" t="n">
        <v>0</v>
      </c>
      <c r="D14" s="56" t="n"/>
      <c r="E14" s="77" t="n">
        <v>0</v>
      </c>
      <c r="F14" s="56" t="n"/>
      <c r="G14" s="2" t="inlineStr"/>
    </row>
    <row r="15" ht="15" customHeight="1">
      <c r="A15" s="2" t="inlineStr"/>
      <c r="B15" s="50" t="inlineStr">
        <is>
          <t>TOTAL</t>
        </is>
      </c>
      <c r="C15" s="78" t="n">
        <v>36.8</v>
      </c>
      <c r="D15" s="56" t="n"/>
      <c r="E15" s="78" t="n">
        <v>36.8</v>
      </c>
      <c r="F15" s="56" t="n"/>
      <c r="G15" s="2" t="inlineStr"/>
    </row>
    <row r="16" ht="12" customHeight="1">
      <c r="A16" s="2" t="inlineStr"/>
      <c r="B16" s="3" t="inlineStr">
        <is>
          <t>
</t>
        </is>
      </c>
      <c r="D16" s="2" t="inlineStr"/>
      <c r="E16" s="2" t="inlineStr"/>
      <c r="F16" s="2" t="inlineStr"/>
      <c r="G16" s="2" t="inlineStr"/>
    </row>
    <row r="17" ht="13" customHeight="1">
      <c r="A17" s="44" t="inlineStr">
        <is>
          <t>B</t>
        </is>
      </c>
      <c r="B17" s="45" t="inlineStr">
        <is>
          <t>GRUPO B</t>
        </is>
      </c>
      <c r="C17" s="2" t="inlineStr"/>
      <c r="D17" s="2" t="inlineStr"/>
      <c r="E17" s="2" t="inlineStr"/>
      <c r="F17" s="2" t="inlineStr"/>
      <c r="G17" s="2" t="inlineStr"/>
    </row>
    <row r="18" ht="13" customHeight="1">
      <c r="A18" s="46" t="inlineStr">
        <is>
          <t>B1</t>
        </is>
      </c>
      <c r="B18" s="47" t="inlineStr">
        <is>
          <t xml:space="preserve">Repouso Semanal Remunerado </t>
        </is>
      </c>
      <c r="C18" s="76" t="n">
        <v>17.85</v>
      </c>
      <c r="D18" s="56" t="n"/>
      <c r="E18" s="77" t="n">
        <v>0</v>
      </c>
      <c r="F18" s="56" t="n"/>
      <c r="G18" s="2" t="inlineStr"/>
    </row>
    <row r="19" ht="13" customHeight="1">
      <c r="A19" s="46" t="inlineStr">
        <is>
          <t>B2</t>
        </is>
      </c>
      <c r="B19" s="47" t="inlineStr">
        <is>
          <t xml:space="preserve">Feriados </t>
        </is>
      </c>
      <c r="C19" s="76" t="n">
        <v>3.71</v>
      </c>
      <c r="D19" s="56" t="n"/>
      <c r="E19" s="77" t="n">
        <v>0</v>
      </c>
      <c r="F19" s="56" t="n"/>
      <c r="G19" s="2" t="inlineStr"/>
    </row>
    <row r="20" ht="13" customHeight="1">
      <c r="A20" s="46" t="inlineStr">
        <is>
          <t>B3</t>
        </is>
      </c>
      <c r="B20" s="47" t="inlineStr">
        <is>
          <t xml:space="preserve">Auxíl io - Enfermidade </t>
        </is>
      </c>
      <c r="C20" s="76" t="n">
        <v>0.87</v>
      </c>
      <c r="D20" s="56" t="n"/>
      <c r="E20" s="77" t="n">
        <v>0.66</v>
      </c>
      <c r="F20" s="56" t="n"/>
      <c r="G20" s="2" t="inlineStr"/>
    </row>
    <row r="21" ht="13" customHeight="1">
      <c r="A21" s="46" t="inlineStr">
        <is>
          <t>B4</t>
        </is>
      </c>
      <c r="B21" s="47" t="inlineStr">
        <is>
          <t xml:space="preserve">13º Salário </t>
        </is>
      </c>
      <c r="C21" s="76" t="n">
        <v>11.03</v>
      </c>
      <c r="D21" s="56" t="n"/>
      <c r="E21" s="77" t="n">
        <v>8.33</v>
      </c>
      <c r="F21" s="56" t="n"/>
      <c r="G21" s="2" t="inlineStr"/>
    </row>
    <row r="22" ht="13" customHeight="1">
      <c r="A22" s="46" t="inlineStr">
        <is>
          <t>B5</t>
        </is>
      </c>
      <c r="B22" s="47" t="inlineStr">
        <is>
          <t xml:space="preserve">Licença Paternidade </t>
        </is>
      </c>
      <c r="C22" s="76" t="n">
        <v>0.07000000000000001</v>
      </c>
      <c r="D22" s="56" t="n"/>
      <c r="E22" s="77" t="n">
        <v>0.05</v>
      </c>
      <c r="F22" s="56" t="n"/>
      <c r="G22" s="2" t="inlineStr"/>
    </row>
    <row r="23" ht="13" customHeight="1">
      <c r="A23" s="46" t="inlineStr">
        <is>
          <t>B6</t>
        </is>
      </c>
      <c r="B23" s="47" t="inlineStr">
        <is>
          <t xml:space="preserve">Faltas Justificadas </t>
        </is>
      </c>
      <c r="C23" s="76" t="n">
        <v>0.74</v>
      </c>
      <c r="D23" s="56" t="n"/>
      <c r="E23" s="77" t="n">
        <v>0.5600000000000001</v>
      </c>
      <c r="F23" s="56" t="n"/>
      <c r="G23" s="2" t="inlineStr"/>
    </row>
    <row r="24" ht="13" customHeight="1">
      <c r="A24" s="46" t="inlineStr">
        <is>
          <t>B7</t>
        </is>
      </c>
      <c r="B24" s="47" t="inlineStr">
        <is>
          <t xml:space="preserve">Dias de Chuvas </t>
        </is>
      </c>
      <c r="C24" s="76" t="n">
        <v>1.59</v>
      </c>
      <c r="D24" s="56" t="n"/>
      <c r="E24" s="77" t="n">
        <v>0</v>
      </c>
      <c r="F24" s="56" t="n"/>
      <c r="G24" s="2" t="inlineStr"/>
    </row>
    <row r="25" ht="13" customHeight="1">
      <c r="A25" s="46" t="inlineStr">
        <is>
          <t>B8</t>
        </is>
      </c>
      <c r="B25" s="47" t="inlineStr">
        <is>
          <t xml:space="preserve">Auxíl io Acidente de Trabalho </t>
        </is>
      </c>
      <c r="C25" s="76" t="n">
        <v>0.11</v>
      </c>
      <c r="D25" s="56" t="n"/>
      <c r="E25" s="77" t="n">
        <v>0.08</v>
      </c>
      <c r="F25" s="56" t="n"/>
      <c r="G25" s="2" t="inlineStr"/>
    </row>
    <row r="26" ht="13" customHeight="1">
      <c r="A26" s="46" t="inlineStr">
        <is>
          <t>B9</t>
        </is>
      </c>
      <c r="B26" s="47" t="inlineStr">
        <is>
          <t xml:space="preserve">Férias Gozadas </t>
        </is>
      </c>
      <c r="C26" s="76" t="n">
        <v>12.35</v>
      </c>
      <c r="D26" s="56" t="n"/>
      <c r="E26" s="77" t="n">
        <v>9.33</v>
      </c>
      <c r="F26" s="56" t="n"/>
      <c r="G26" s="2" t="inlineStr"/>
    </row>
    <row r="27" ht="13" customHeight="1">
      <c r="A27" s="46" t="inlineStr">
        <is>
          <t>B10</t>
        </is>
      </c>
      <c r="B27" s="47" t="inlineStr">
        <is>
          <t xml:space="preserve">Salário Maternidade </t>
        </is>
      </c>
      <c r="C27" s="76" t="n">
        <v>0.04</v>
      </c>
      <c r="D27" s="56" t="n"/>
      <c r="E27" s="77" t="n">
        <v>0.03</v>
      </c>
      <c r="F27" s="56" t="n"/>
      <c r="G27" s="2" t="inlineStr"/>
    </row>
    <row r="28" ht="15" customHeight="1">
      <c r="A28" s="2" t="inlineStr"/>
      <c r="B28" s="50" t="inlineStr">
        <is>
          <t>TOTAL</t>
        </is>
      </c>
      <c r="C28" s="78" t="n">
        <v>48.36000000000001</v>
      </c>
      <c r="D28" s="56" t="n"/>
      <c r="E28" s="78" t="n">
        <v>19.04</v>
      </c>
      <c r="F28" s="56" t="n"/>
      <c r="G28" s="2" t="inlineStr"/>
    </row>
    <row r="29" ht="12" customHeight="1">
      <c r="A29" s="2" t="inlineStr"/>
      <c r="B29" s="3" t="inlineStr">
        <is>
          <t>
</t>
        </is>
      </c>
      <c r="D29" s="2" t="inlineStr"/>
      <c r="E29" s="2" t="inlineStr"/>
      <c r="F29" s="2" t="inlineStr"/>
      <c r="G29" s="2" t="inlineStr"/>
    </row>
    <row r="30" ht="13" customHeight="1">
      <c r="A30" s="44" t="inlineStr">
        <is>
          <t>C</t>
        </is>
      </c>
      <c r="B30" s="45" t="inlineStr">
        <is>
          <t>GRUPO C</t>
        </is>
      </c>
      <c r="C30" s="2" t="inlineStr"/>
      <c r="D30" s="2" t="inlineStr"/>
      <c r="E30" s="2" t="inlineStr"/>
      <c r="F30" s="2" t="inlineStr"/>
      <c r="G30" s="2" t="inlineStr"/>
    </row>
    <row r="31" ht="13" customHeight="1">
      <c r="A31" s="46" t="inlineStr">
        <is>
          <t>C1</t>
        </is>
      </c>
      <c r="B31" s="47" t="inlineStr">
        <is>
          <t xml:space="preserve">Aviso Prévio Indenizado </t>
        </is>
      </c>
      <c r="C31" s="76" t="n">
        <v>5.52</v>
      </c>
      <c r="D31" s="56" t="n"/>
      <c r="E31" s="77" t="n">
        <v>4.17</v>
      </c>
      <c r="F31" s="56" t="n"/>
      <c r="G31" s="2" t="inlineStr"/>
    </row>
    <row r="32" ht="13" customHeight="1">
      <c r="A32" s="46" t="inlineStr">
        <is>
          <t>C2</t>
        </is>
      </c>
      <c r="B32" s="47" t="inlineStr">
        <is>
          <t xml:space="preserve">Aviso Prévio Trabalhado </t>
        </is>
      </c>
      <c r="C32" s="76" t="n">
        <v>0.13</v>
      </c>
      <c r="D32" s="56" t="n"/>
      <c r="E32" s="77" t="n">
        <v>0.1</v>
      </c>
      <c r="F32" s="56" t="n"/>
      <c r="G32" s="2" t="inlineStr"/>
    </row>
    <row r="33" ht="13" customHeight="1">
      <c r="A33" s="46" t="inlineStr">
        <is>
          <t>C3</t>
        </is>
      </c>
      <c r="B33" s="47" t="inlineStr">
        <is>
          <t xml:space="preserve">Férias Indenizadas </t>
        </is>
      </c>
      <c r="C33" s="76" t="n">
        <v>1.72</v>
      </c>
      <c r="D33" s="56" t="n"/>
      <c r="E33" s="77" t="n">
        <v>1.3</v>
      </c>
      <c r="F33" s="56" t="n"/>
      <c r="G33" s="2" t="inlineStr"/>
    </row>
    <row r="34" ht="13" customHeight="1">
      <c r="A34" s="46" t="inlineStr">
        <is>
          <t>C4</t>
        </is>
      </c>
      <c r="B34" s="47" t="inlineStr">
        <is>
          <t xml:space="preserve">Depósito Rescisão Sem Justa Causa </t>
        </is>
      </c>
      <c r="C34" s="76" t="n">
        <v>2.87</v>
      </c>
      <c r="D34" s="56" t="n"/>
      <c r="E34" s="77" t="n">
        <v>2.17</v>
      </c>
      <c r="F34" s="56" t="n"/>
      <c r="G34" s="2" t="inlineStr"/>
    </row>
    <row r="35" ht="13" customHeight="1">
      <c r="A35" s="46" t="inlineStr">
        <is>
          <t>C5</t>
        </is>
      </c>
      <c r="B35" s="47" t="inlineStr">
        <is>
          <t xml:space="preserve">Indenização Adicional </t>
        </is>
      </c>
      <c r="C35" s="76" t="n">
        <v>0.46</v>
      </c>
      <c r="D35" s="56" t="n"/>
      <c r="E35" s="77" t="n">
        <v>0.35</v>
      </c>
      <c r="F35" s="56" t="n"/>
      <c r="G35" s="2" t="inlineStr"/>
    </row>
    <row r="36" ht="15" customHeight="1">
      <c r="A36" s="2" t="inlineStr"/>
      <c r="B36" s="50" t="inlineStr">
        <is>
          <t>TOTAL</t>
        </is>
      </c>
      <c r="C36" s="78" t="n">
        <v>10.7</v>
      </c>
      <c r="D36" s="56" t="n"/>
      <c r="E36" s="78" t="n">
        <v>8.09</v>
      </c>
      <c r="F36" s="56" t="n"/>
      <c r="G36" s="2" t="inlineStr"/>
    </row>
    <row r="37" ht="12" customHeight="1">
      <c r="A37" s="2" t="inlineStr"/>
      <c r="B37" s="3" t="inlineStr">
        <is>
          <t>
</t>
        </is>
      </c>
      <c r="D37" s="2" t="inlineStr"/>
      <c r="E37" s="2" t="inlineStr"/>
      <c r="F37" s="2" t="inlineStr"/>
      <c r="G37" s="2" t="inlineStr"/>
    </row>
    <row r="38" ht="13" customHeight="1">
      <c r="A38" s="44" t="inlineStr">
        <is>
          <t>D</t>
        </is>
      </c>
      <c r="B38" s="45" t="inlineStr">
        <is>
          <t>GRUPO D</t>
        </is>
      </c>
      <c r="C38" s="2" t="inlineStr"/>
      <c r="D38" s="2" t="inlineStr"/>
      <c r="E38" s="2" t="inlineStr"/>
      <c r="F38" s="2" t="inlineStr"/>
      <c r="G38" s="2" t="inlineStr"/>
    </row>
    <row r="39" ht="13" customHeight="1">
      <c r="A39" s="46" t="inlineStr">
        <is>
          <t>D1</t>
        </is>
      </c>
      <c r="B39" s="47" t="inlineStr">
        <is>
          <t xml:space="preserve">Reincidência de Grupo A sobre Grupo B </t>
        </is>
      </c>
      <c r="C39" s="76" t="n">
        <v>17.8</v>
      </c>
      <c r="D39" s="56" t="n"/>
      <c r="E39" s="77" t="n">
        <v>7.01</v>
      </c>
      <c r="F39" s="56" t="n"/>
      <c r="G39" s="2" t="inlineStr"/>
    </row>
    <row r="40" ht="18" customHeight="1">
      <c r="A40" s="46" t="inlineStr">
        <is>
          <t>D2</t>
        </is>
      </c>
      <c r="B40" s="47" t="inlineStr">
        <is>
          <t xml:space="preserve">Reincidência de Grupo A sobre Aviso Prévio Trabalhado e Reincidência do FGTS sobre Aviso Prévio Indenizado </t>
        </is>
      </c>
      <c r="C40" s="76" t="n">
        <v>0.49</v>
      </c>
      <c r="D40" s="56" t="n"/>
      <c r="E40" s="77" t="n">
        <v>0.37</v>
      </c>
      <c r="F40" s="56" t="n"/>
      <c r="G40" s="2" t="inlineStr"/>
    </row>
    <row r="41" ht="15" customHeight="1">
      <c r="A41" s="2" t="inlineStr"/>
      <c r="B41" s="50" t="inlineStr">
        <is>
          <t>TOTAL</t>
        </is>
      </c>
      <c r="C41" s="78" t="n">
        <v>18.29</v>
      </c>
      <c r="D41" s="56" t="n"/>
      <c r="E41" s="78" t="n">
        <v>7.38</v>
      </c>
      <c r="F41" s="56" t="n"/>
      <c r="G41" s="2" t="inlineStr"/>
    </row>
    <row r="42" ht="15" customHeight="1">
      <c r="A42" s="2" t="inlineStr"/>
      <c r="B42" s="3" t="inlineStr">
        <is>
          <t>
</t>
        </is>
      </c>
      <c r="E42" s="2" t="inlineStr"/>
      <c r="F42" s="2" t="inlineStr"/>
      <c r="G42" s="2" t="inlineStr"/>
    </row>
    <row r="43" ht="20" customHeight="1">
      <c r="A43" s="2" t="inlineStr"/>
      <c r="B43" s="52" t="inlineStr">
        <is>
          <t>A + B + C + D =</t>
        </is>
      </c>
      <c r="C43" s="79" t="n">
        <v>114.15</v>
      </c>
      <c r="E43" s="79" t="n">
        <v>71.31</v>
      </c>
      <c r="G43" s="2" t="inlineStr"/>
    </row>
    <row r="44" ht="12" customHeight="1">
      <c r="A44" s="2" t="inlineStr"/>
      <c r="B44" s="3" t="inlineStr">
        <is>
          <t>
</t>
        </is>
      </c>
      <c r="F44" s="2" t="inlineStr"/>
      <c r="G44" s="2" t="inlineStr"/>
    </row>
    <row r="45" ht="15" customHeight="1">
      <c r="A45" s="42" t="inlineStr">
        <is>
          <t>COD</t>
        </is>
      </c>
      <c r="B45" s="42" t="inlineStr">
        <is>
          <t>DESCRIÇÃO</t>
        </is>
      </c>
      <c r="C45" s="43" t="inlineStr">
        <is>
          <t>HORISTA %</t>
        </is>
      </c>
      <c r="D45" s="56" t="n"/>
      <c r="E45" s="43" t="inlineStr">
        <is>
          <t>MENSALISTA %</t>
        </is>
      </c>
      <c r="F45" s="56" t="n"/>
      <c r="G45" s="2" t="inlineStr"/>
    </row>
    <row r="46" ht="12" customHeight="1">
      <c r="A46" s="2" t="inlineStr"/>
      <c r="B46" s="3" t="inlineStr">
        <is>
          <t>
</t>
        </is>
      </c>
      <c r="D46" s="2" t="inlineStr"/>
      <c r="E46" s="2" t="inlineStr"/>
      <c r="F46" s="2" t="inlineStr"/>
      <c r="G46" s="2" t="inlineStr"/>
    </row>
    <row r="47" ht="13" customHeight="1">
      <c r="A47" s="44" t="inlineStr">
        <is>
          <t>A</t>
        </is>
      </c>
      <c r="B47" s="45" t="inlineStr">
        <is>
          <t>GRUPO A</t>
        </is>
      </c>
      <c r="C47" s="2" t="inlineStr"/>
      <c r="D47" s="2" t="inlineStr"/>
      <c r="E47" s="2" t="inlineStr"/>
      <c r="F47" s="2" t="inlineStr"/>
      <c r="G47" s="2" t="inlineStr"/>
    </row>
    <row r="48" ht="13" customHeight="1">
      <c r="A48" s="46" t="inlineStr">
        <is>
          <t>A1</t>
        </is>
      </c>
      <c r="B48" s="47" t="inlineStr">
        <is>
          <t xml:space="preserve">INSS </t>
        </is>
      </c>
      <c r="C48" s="76" t="n">
        <v>20</v>
      </c>
      <c r="D48" s="56" t="n"/>
      <c r="E48" s="77" t="n">
        <v>20</v>
      </c>
      <c r="F48" s="56" t="n"/>
      <c r="G48" s="2" t="inlineStr"/>
    </row>
    <row r="49" ht="13" customHeight="1">
      <c r="A49" s="46" t="inlineStr">
        <is>
          <t>A2</t>
        </is>
      </c>
      <c r="B49" s="47" t="inlineStr">
        <is>
          <t xml:space="preserve">SESI </t>
        </is>
      </c>
      <c r="C49" s="76" t="n">
        <v>1.5</v>
      </c>
      <c r="D49" s="56" t="n"/>
      <c r="E49" s="77" t="n">
        <v>1.5</v>
      </c>
      <c r="F49" s="56" t="n"/>
      <c r="G49" s="2" t="inlineStr"/>
    </row>
    <row r="50" ht="13" customHeight="1">
      <c r="A50" s="46" t="inlineStr">
        <is>
          <t>A3</t>
        </is>
      </c>
      <c r="B50" s="47" t="inlineStr">
        <is>
          <t xml:space="preserve">SENAI </t>
        </is>
      </c>
      <c r="C50" s="76" t="n">
        <v>1</v>
      </c>
      <c r="D50" s="56" t="n"/>
      <c r="E50" s="77" t="n">
        <v>1</v>
      </c>
      <c r="F50" s="56" t="n"/>
      <c r="G50" s="2" t="inlineStr"/>
    </row>
    <row r="51" ht="13" customHeight="1">
      <c r="A51" s="46" t="inlineStr">
        <is>
          <t>A4</t>
        </is>
      </c>
      <c r="B51" s="47" t="inlineStr">
        <is>
          <t xml:space="preserve">INCRA </t>
        </is>
      </c>
      <c r="C51" s="76" t="n">
        <v>0.2</v>
      </c>
      <c r="D51" s="56" t="n"/>
      <c r="E51" s="77" t="n">
        <v>0.2</v>
      </c>
      <c r="F51" s="56" t="n"/>
      <c r="G51" s="2" t="inlineStr"/>
    </row>
    <row r="52" ht="13" customHeight="1">
      <c r="A52" s="46" t="inlineStr">
        <is>
          <t>A5</t>
        </is>
      </c>
      <c r="B52" s="47" t="inlineStr">
        <is>
          <t xml:space="preserve">SEBRAE </t>
        </is>
      </c>
      <c r="C52" s="76" t="n">
        <v>0.6</v>
      </c>
      <c r="D52" s="56" t="n"/>
      <c r="E52" s="77" t="n">
        <v>0.6</v>
      </c>
      <c r="F52" s="56" t="n"/>
      <c r="G52" s="2" t="inlineStr"/>
    </row>
    <row r="53" ht="13" customHeight="1">
      <c r="A53" s="46" t="inlineStr">
        <is>
          <t>A6</t>
        </is>
      </c>
      <c r="B53" s="47" t="inlineStr">
        <is>
          <t xml:space="preserve">Salário Educação </t>
        </is>
      </c>
      <c r="C53" s="76" t="n">
        <v>2.5</v>
      </c>
      <c r="D53" s="56" t="n"/>
      <c r="E53" s="77" t="n">
        <v>2.5</v>
      </c>
      <c r="F53" s="56" t="n"/>
      <c r="G53" s="2" t="inlineStr"/>
    </row>
    <row r="54" ht="13" customHeight="1">
      <c r="A54" s="46" t="inlineStr">
        <is>
          <t>A7</t>
        </is>
      </c>
      <c r="B54" s="47" t="inlineStr">
        <is>
          <t xml:space="preserve">Seguro Contra Acidentes de Trabalho </t>
        </is>
      </c>
      <c r="C54" s="76" t="n">
        <v>3</v>
      </c>
      <c r="D54" s="56" t="n"/>
      <c r="E54" s="77" t="n">
        <v>3</v>
      </c>
      <c r="F54" s="56" t="n"/>
      <c r="G54" s="2" t="inlineStr"/>
    </row>
    <row r="55" ht="13" customHeight="1">
      <c r="A55" s="46" t="inlineStr">
        <is>
          <t>A8</t>
        </is>
      </c>
      <c r="B55" s="47" t="inlineStr">
        <is>
          <t xml:space="preserve">FGTS </t>
        </is>
      </c>
      <c r="C55" s="76" t="n">
        <v>8</v>
      </c>
      <c r="D55" s="56" t="n"/>
      <c r="E55" s="77" t="n">
        <v>8</v>
      </c>
      <c r="F55" s="56" t="n"/>
      <c r="G55" s="2" t="inlineStr"/>
    </row>
    <row r="56" ht="13" customHeight="1">
      <c r="A56" s="46" t="inlineStr">
        <is>
          <t>A9</t>
        </is>
      </c>
      <c r="B56" s="47" t="inlineStr">
        <is>
          <t xml:space="preserve">SECONCI </t>
        </is>
      </c>
      <c r="C56" s="76" t="n">
        <v>0</v>
      </c>
      <c r="D56" s="56" t="n"/>
      <c r="E56" s="77" t="n">
        <v>0</v>
      </c>
      <c r="F56" s="56" t="n"/>
      <c r="G56" s="2" t="inlineStr"/>
    </row>
    <row r="57" ht="15" customHeight="1">
      <c r="A57" s="2" t="inlineStr"/>
      <c r="B57" s="50" t="inlineStr">
        <is>
          <t>TOTAL</t>
        </is>
      </c>
      <c r="C57" s="78" t="n">
        <v>36.8</v>
      </c>
      <c r="D57" s="56" t="n"/>
      <c r="E57" s="78" t="n">
        <v>36.8</v>
      </c>
      <c r="F57" s="56" t="n"/>
      <c r="G57" s="2" t="inlineStr"/>
    </row>
    <row r="58" ht="12" customHeight="1">
      <c r="A58" s="2" t="inlineStr"/>
      <c r="B58" s="3" t="inlineStr">
        <is>
          <t>
</t>
        </is>
      </c>
      <c r="D58" s="2" t="inlineStr"/>
      <c r="E58" s="2" t="inlineStr"/>
      <c r="F58" s="2" t="inlineStr"/>
      <c r="G58" s="2" t="inlineStr"/>
    </row>
    <row r="59" ht="13" customHeight="1">
      <c r="A59" s="44" t="inlineStr">
        <is>
          <t>B</t>
        </is>
      </c>
      <c r="B59" s="45" t="inlineStr">
        <is>
          <t>GRUPO B</t>
        </is>
      </c>
      <c r="C59" s="2" t="inlineStr"/>
      <c r="D59" s="2" t="inlineStr"/>
      <c r="E59" s="2" t="inlineStr"/>
      <c r="F59" s="2" t="inlineStr"/>
      <c r="G59" s="2" t="inlineStr"/>
    </row>
    <row r="60" ht="13" customHeight="1">
      <c r="A60" s="46" t="inlineStr">
        <is>
          <t>B1</t>
        </is>
      </c>
      <c r="B60" s="47" t="inlineStr">
        <is>
          <t xml:space="preserve">Repouso Semanal Remunerado </t>
        </is>
      </c>
      <c r="C60" s="76" t="n">
        <v>17.86</v>
      </c>
      <c r="D60" s="56" t="n"/>
      <c r="E60" s="77" t="n">
        <v>0</v>
      </c>
      <c r="F60" s="56" t="n"/>
      <c r="G60" s="2" t="inlineStr"/>
    </row>
    <row r="61" ht="13" customHeight="1">
      <c r="A61" s="46" t="inlineStr">
        <is>
          <t>B2</t>
        </is>
      </c>
      <c r="B61" s="47" t="inlineStr">
        <is>
          <t xml:space="preserve">Feriados </t>
        </is>
      </c>
      <c r="C61" s="76" t="n">
        <v>3.71</v>
      </c>
      <c r="D61" s="56" t="n"/>
      <c r="E61" s="77" t="n">
        <v>0</v>
      </c>
      <c r="F61" s="56" t="n"/>
      <c r="G61" s="2" t="inlineStr"/>
    </row>
    <row r="62" ht="13" customHeight="1">
      <c r="A62" s="46" t="inlineStr">
        <is>
          <t>B3</t>
        </is>
      </c>
      <c r="B62" s="47" t="inlineStr">
        <is>
          <t xml:space="preserve">Auxílio - Enfermidade </t>
        </is>
      </c>
      <c r="C62" s="76" t="n">
        <v>0.86</v>
      </c>
      <c r="D62" s="56" t="n"/>
      <c r="E62" s="77" t="n">
        <v>0.65</v>
      </c>
      <c r="F62" s="56" t="n"/>
      <c r="G62" s="2" t="inlineStr"/>
    </row>
    <row r="63" ht="13" customHeight="1">
      <c r="A63" s="46" t="inlineStr">
        <is>
          <t>B4</t>
        </is>
      </c>
      <c r="B63" s="47" t="inlineStr">
        <is>
          <t xml:space="preserve">13º Salário </t>
        </is>
      </c>
      <c r="C63" s="76" t="n">
        <v>11.07</v>
      </c>
      <c r="D63" s="56" t="n"/>
      <c r="E63" s="77" t="n">
        <v>8.33</v>
      </c>
      <c r="F63" s="56" t="n"/>
      <c r="G63" s="2" t="inlineStr"/>
    </row>
    <row r="64" ht="13" customHeight="1">
      <c r="A64" s="46" t="inlineStr">
        <is>
          <t>B5</t>
        </is>
      </c>
      <c r="B64" s="47" t="inlineStr">
        <is>
          <t xml:space="preserve">Licença Paternidade </t>
        </is>
      </c>
      <c r="C64" s="76" t="n">
        <v>0.07000000000000001</v>
      </c>
      <c r="D64" s="56" t="n"/>
      <c r="E64" s="77" t="n">
        <v>0.05</v>
      </c>
      <c r="F64" s="56" t="n"/>
      <c r="G64" s="2" t="inlineStr"/>
    </row>
    <row r="65" ht="13" customHeight="1">
      <c r="A65" s="46" t="inlineStr">
        <is>
          <t>B6</t>
        </is>
      </c>
      <c r="B65" s="47" t="inlineStr">
        <is>
          <t xml:space="preserve">Faltas Justificadas </t>
        </is>
      </c>
      <c r="C65" s="76" t="n">
        <v>0.74</v>
      </c>
      <c r="D65" s="56" t="n"/>
      <c r="E65" s="77" t="n">
        <v>0.5600000000000001</v>
      </c>
      <c r="F65" s="56" t="n"/>
      <c r="G65" s="2" t="inlineStr"/>
    </row>
    <row r="66" ht="13" customHeight="1">
      <c r="A66" s="46" t="inlineStr">
        <is>
          <t>B7</t>
        </is>
      </c>
      <c r="B66" s="47" t="inlineStr">
        <is>
          <t xml:space="preserve">Dias de Chuvas </t>
        </is>
      </c>
      <c r="C66" s="76" t="n">
        <v>1.64</v>
      </c>
      <c r="D66" s="56" t="n"/>
      <c r="E66" s="77" t="n">
        <v>0</v>
      </c>
      <c r="F66" s="56" t="n"/>
      <c r="G66" s="2" t="inlineStr"/>
    </row>
    <row r="67" ht="13" customHeight="1">
      <c r="A67" s="46" t="inlineStr">
        <is>
          <t>B8</t>
        </is>
      </c>
      <c r="B67" s="47" t="inlineStr">
        <is>
          <t xml:space="preserve">Auxílio Acidente de Trabalho </t>
        </is>
      </c>
      <c r="C67" s="76" t="n">
        <v>0.1</v>
      </c>
      <c r="D67" s="56" t="n"/>
      <c r="E67" s="77" t="n">
        <v>0.07000000000000001</v>
      </c>
      <c r="F67" s="56" t="n"/>
      <c r="G67" s="2" t="inlineStr"/>
    </row>
    <row r="68" ht="13" customHeight="1">
      <c r="A68" s="46" t="inlineStr">
        <is>
          <t>B9</t>
        </is>
      </c>
      <c r="B68" s="47" t="inlineStr">
        <is>
          <t xml:space="preserve">Férias Gozadas </t>
        </is>
      </c>
      <c r="C68" s="76" t="n">
        <v>12.98</v>
      </c>
      <c r="D68" s="56" t="n"/>
      <c r="E68" s="77" t="n">
        <v>9.77</v>
      </c>
      <c r="F68" s="56" t="n"/>
      <c r="G68" s="2" t="inlineStr"/>
    </row>
    <row r="69" ht="13" customHeight="1">
      <c r="A69" s="46" t="inlineStr">
        <is>
          <t>B10</t>
        </is>
      </c>
      <c r="B69" s="47" t="inlineStr">
        <is>
          <t xml:space="preserve">Salário Maternidade </t>
        </is>
      </c>
      <c r="C69" s="76" t="n">
        <v>0.03</v>
      </c>
      <c r="D69" s="56" t="n"/>
      <c r="E69" s="77" t="n">
        <v>0.03</v>
      </c>
      <c r="F69" s="56" t="n"/>
      <c r="G69" s="2" t="inlineStr"/>
    </row>
    <row r="70" ht="15" customHeight="1">
      <c r="A70" s="2" t="inlineStr"/>
      <c r="B70" s="50" t="inlineStr">
        <is>
          <t>TOTAL</t>
        </is>
      </c>
      <c r="C70" s="78" t="n">
        <v>49.06</v>
      </c>
      <c r="D70" s="56" t="n"/>
      <c r="E70" s="78" t="n">
        <v>19.46</v>
      </c>
      <c r="F70" s="56" t="n"/>
      <c r="G70" s="2" t="inlineStr"/>
    </row>
    <row r="71" ht="12" customHeight="1">
      <c r="A71" s="2" t="inlineStr"/>
      <c r="B71" s="3" t="inlineStr">
        <is>
          <t>
</t>
        </is>
      </c>
      <c r="D71" s="2" t="inlineStr"/>
      <c r="E71" s="2" t="inlineStr"/>
      <c r="F71" s="2" t="inlineStr"/>
      <c r="G71" s="2" t="inlineStr"/>
    </row>
    <row r="72" ht="13" customHeight="1">
      <c r="A72" s="44" t="inlineStr">
        <is>
          <t>C</t>
        </is>
      </c>
      <c r="B72" s="45" t="inlineStr">
        <is>
          <t>GRUPO C</t>
        </is>
      </c>
      <c r="C72" s="2" t="inlineStr"/>
      <c r="D72" s="2" t="inlineStr"/>
      <c r="E72" s="2" t="inlineStr"/>
      <c r="F72" s="2" t="inlineStr"/>
      <c r="G72" s="2" t="inlineStr"/>
    </row>
    <row r="73" ht="13" customHeight="1">
      <c r="A73" s="46" t="inlineStr">
        <is>
          <t>C1</t>
        </is>
      </c>
      <c r="B73" s="47" t="inlineStr">
        <is>
          <t xml:space="preserve">Aviso Prévio Indenizado </t>
        </is>
      </c>
      <c r="C73" s="76" t="n">
        <v>5.54</v>
      </c>
      <c r="D73" s="56" t="n"/>
      <c r="E73" s="77" t="n">
        <v>4.17</v>
      </c>
      <c r="F73" s="56" t="n"/>
      <c r="G73" s="2" t="inlineStr"/>
    </row>
    <row r="74" ht="13" customHeight="1">
      <c r="A74" s="46" t="inlineStr">
        <is>
          <t>C2</t>
        </is>
      </c>
      <c r="B74" s="47" t="inlineStr">
        <is>
          <t xml:space="preserve">Aviso Prévio Trabalhado </t>
        </is>
      </c>
      <c r="C74" s="76" t="n">
        <v>0.13</v>
      </c>
      <c r="D74" s="56" t="n"/>
      <c r="E74" s="77" t="n">
        <v>0.1</v>
      </c>
      <c r="F74" s="56" t="n"/>
      <c r="G74" s="2" t="inlineStr"/>
    </row>
    <row r="75" ht="13" customHeight="1">
      <c r="A75" s="46" t="inlineStr">
        <is>
          <t>C3</t>
        </is>
      </c>
      <c r="B75" s="47" t="inlineStr">
        <is>
          <t xml:space="preserve">Férias Indenizadas </t>
        </is>
      </c>
      <c r="C75" s="76" t="n">
        <v>1.81</v>
      </c>
      <c r="D75" s="56" t="n"/>
      <c r="E75" s="77" t="n">
        <v>1.36</v>
      </c>
      <c r="F75" s="56" t="n"/>
      <c r="G75" s="2" t="inlineStr"/>
    </row>
    <row r="76" ht="13" customHeight="1">
      <c r="A76" s="46" t="inlineStr">
        <is>
          <t>C4</t>
        </is>
      </c>
      <c r="B76" s="47" t="inlineStr">
        <is>
          <t xml:space="preserve">Depósito Rescisão Sem Justa Causa </t>
        </is>
      </c>
      <c r="C76" s="76" t="n">
        <v>2.75</v>
      </c>
      <c r="D76" s="56" t="n"/>
      <c r="E76" s="77" t="n">
        <v>2.07</v>
      </c>
      <c r="F76" s="56" t="n"/>
      <c r="G76" s="2" t="inlineStr"/>
    </row>
    <row r="77" ht="13" customHeight="1">
      <c r="A77" s="46" t="inlineStr">
        <is>
          <t>C5</t>
        </is>
      </c>
      <c r="B77" s="47" t="inlineStr">
        <is>
          <t xml:space="preserve">Indenização Adicional </t>
        </is>
      </c>
      <c r="C77" s="76" t="n">
        <v>0.47</v>
      </c>
      <c r="D77" s="56" t="n"/>
      <c r="E77" s="77" t="n">
        <v>0.35</v>
      </c>
      <c r="F77" s="56" t="n"/>
      <c r="G77" s="2" t="inlineStr"/>
    </row>
    <row r="78" ht="15" customHeight="1">
      <c r="A78" s="2" t="inlineStr"/>
      <c r="B78" s="50" t="inlineStr">
        <is>
          <t>TOTAL</t>
        </is>
      </c>
      <c r="C78" s="78" t="n">
        <v>10.7</v>
      </c>
      <c r="D78" s="56" t="n"/>
      <c r="E78" s="78" t="n">
        <v>8.049999999999999</v>
      </c>
      <c r="F78" s="56" t="n"/>
      <c r="G78" s="2" t="inlineStr"/>
    </row>
    <row r="79" ht="12" customHeight="1">
      <c r="A79" s="2" t="inlineStr"/>
      <c r="B79" s="3" t="inlineStr">
        <is>
          <t>
</t>
        </is>
      </c>
      <c r="D79" s="2" t="inlineStr"/>
      <c r="E79" s="2" t="inlineStr"/>
      <c r="F79" s="2" t="inlineStr"/>
      <c r="G79" s="2" t="inlineStr"/>
    </row>
    <row r="80" ht="13" customHeight="1">
      <c r="A80" s="44" t="inlineStr">
        <is>
          <t>D</t>
        </is>
      </c>
      <c r="B80" s="45" t="inlineStr">
        <is>
          <t>GRUPO D</t>
        </is>
      </c>
      <c r="C80" s="2" t="inlineStr"/>
      <c r="D80" s="2" t="inlineStr"/>
      <c r="E80" s="2" t="inlineStr"/>
      <c r="F80" s="2" t="inlineStr"/>
      <c r="G80" s="2" t="inlineStr"/>
    </row>
    <row r="81" ht="13" customHeight="1">
      <c r="A81" s="46" t="inlineStr">
        <is>
          <t>D1</t>
        </is>
      </c>
      <c r="B81" s="47" t="inlineStr">
        <is>
          <t xml:space="preserve">Reincidência de Grupo A sobre Grupo B </t>
        </is>
      </c>
      <c r="C81" s="76" t="n">
        <v>18.05</v>
      </c>
      <c r="D81" s="56" t="n"/>
      <c r="E81" s="77" t="n">
        <v>7.16</v>
      </c>
      <c r="F81" s="56" t="n"/>
      <c r="G81" s="2" t="inlineStr"/>
    </row>
    <row r="82" ht="18" customHeight="1">
      <c r="A82" s="46" t="inlineStr">
        <is>
          <t>D2</t>
        </is>
      </c>
      <c r="B82" s="47" t="inlineStr">
        <is>
          <t xml:space="preserve">Reincidência de Grupo A sobre Aviso Prévio Trabalhado e Reincidência do FGTS sobre Aviso Prévio Indenizado </t>
        </is>
      </c>
      <c r="C82" s="76" t="n">
        <v>0.49</v>
      </c>
      <c r="D82" s="56" t="n"/>
      <c r="E82" s="77" t="n">
        <v>0.37</v>
      </c>
      <c r="F82" s="56" t="n"/>
      <c r="G82" s="2" t="inlineStr"/>
    </row>
    <row r="83" ht="15" customHeight="1">
      <c r="A83" s="2" t="inlineStr"/>
      <c r="B83" s="50" t="inlineStr">
        <is>
          <t>TOTAL</t>
        </is>
      </c>
      <c r="C83" s="78" t="n">
        <v>18.54</v>
      </c>
      <c r="D83" s="56" t="n"/>
      <c r="E83" s="78" t="n">
        <v>7.53</v>
      </c>
      <c r="F83" s="56" t="n"/>
      <c r="G83" s="2" t="inlineStr"/>
    </row>
    <row r="84" ht="15" customHeight="1">
      <c r="A84" s="2" t="inlineStr"/>
      <c r="B84" s="3" t="inlineStr">
        <is>
          <t>
</t>
        </is>
      </c>
      <c r="E84" s="2" t="inlineStr"/>
      <c r="F84" s="2" t="inlineStr"/>
      <c r="G84" s="2" t="inlineStr"/>
    </row>
    <row r="85" ht="20" customHeight="1">
      <c r="A85" s="2" t="inlineStr"/>
      <c r="B85" s="52" t="inlineStr">
        <is>
          <t>A + B + C + D =</t>
        </is>
      </c>
      <c r="C85" s="79" t="n">
        <v>115.1</v>
      </c>
      <c r="E85" s="79" t="n">
        <v>71.84</v>
      </c>
      <c r="G85" s="2" t="inlineStr"/>
    </row>
  </sheetData>
  <mergeCells count="141">
    <mergeCell ref="B42:D42"/>
    <mergeCell ref="C6:D6"/>
    <mergeCell ref="C62:D62"/>
    <mergeCell ref="E62:F62"/>
    <mergeCell ref="C15:D15"/>
    <mergeCell ref="E23:F23"/>
    <mergeCell ref="C64:D64"/>
    <mergeCell ref="E8:F8"/>
    <mergeCell ref="E64:F64"/>
    <mergeCell ref="C73:D73"/>
    <mergeCell ref="E73:F73"/>
    <mergeCell ref="E51:F51"/>
    <mergeCell ref="C54:D54"/>
    <mergeCell ref="C63:D63"/>
    <mergeCell ref="C41:D41"/>
    <mergeCell ref="E63:F63"/>
    <mergeCell ref="B84:D84"/>
    <mergeCell ref="C50:D50"/>
    <mergeCell ref="C56:D56"/>
    <mergeCell ref="E65:F65"/>
    <mergeCell ref="E34:F34"/>
    <mergeCell ref="C43:D43"/>
    <mergeCell ref="C27:D27"/>
    <mergeCell ref="E49:F49"/>
    <mergeCell ref="C76:D76"/>
    <mergeCell ref="E27:F27"/>
    <mergeCell ref="C36:D36"/>
    <mergeCell ref="E36:F36"/>
    <mergeCell ref="E85:F85"/>
    <mergeCell ref="C67:D67"/>
    <mergeCell ref="C19:D19"/>
    <mergeCell ref="C28:D28"/>
    <mergeCell ref="E75:F75"/>
    <mergeCell ref="E22:F22"/>
    <mergeCell ref="E53:F53"/>
    <mergeCell ref="C3:D3"/>
    <mergeCell ref="C69:D69"/>
    <mergeCell ref="E3:F3"/>
    <mergeCell ref="C83:D83"/>
    <mergeCell ref="E12:F12"/>
    <mergeCell ref="B16:C16"/>
    <mergeCell ref="E55:F55"/>
    <mergeCell ref="E67:F67"/>
    <mergeCell ref="C14:D14"/>
    <mergeCell ref="C45:D45"/>
    <mergeCell ref="E14:F14"/>
    <mergeCell ref="E48:F48"/>
    <mergeCell ref="C40:D40"/>
    <mergeCell ref="E40:F40"/>
    <mergeCell ref="A1:G1"/>
    <mergeCell ref="B29:C29"/>
    <mergeCell ref="C60:D60"/>
    <mergeCell ref="B37:C37"/>
    <mergeCell ref="E26:F26"/>
    <mergeCell ref="C8:D8"/>
    <mergeCell ref="C82:D82"/>
    <mergeCell ref="E76:F76"/>
    <mergeCell ref="E25:F25"/>
    <mergeCell ref="C57:D57"/>
    <mergeCell ref="C66:D66"/>
    <mergeCell ref="E66:F66"/>
    <mergeCell ref="C18:D18"/>
    <mergeCell ref="B79:C79"/>
    <mergeCell ref="C53:D53"/>
    <mergeCell ref="E18:F18"/>
    <mergeCell ref="C77:D77"/>
    <mergeCell ref="C34:D34"/>
    <mergeCell ref="E50:F50"/>
    <mergeCell ref="C68:D68"/>
    <mergeCell ref="E68:F68"/>
    <mergeCell ref="E52:F52"/>
    <mergeCell ref="E83:F83"/>
    <mergeCell ref="B71:C71"/>
    <mergeCell ref="E39:F39"/>
    <mergeCell ref="B58:C58"/>
    <mergeCell ref="C20:D20"/>
    <mergeCell ref="E20:F20"/>
    <mergeCell ref="C85:D85"/>
    <mergeCell ref="C65:D65"/>
    <mergeCell ref="C75:D75"/>
    <mergeCell ref="E13:F13"/>
    <mergeCell ref="C22:D22"/>
    <mergeCell ref="E69:F69"/>
    <mergeCell ref="C31:D31"/>
    <mergeCell ref="E78:F78"/>
    <mergeCell ref="E31:F31"/>
    <mergeCell ref="C12:D12"/>
    <mergeCell ref="E6:F6"/>
    <mergeCell ref="C21:D21"/>
    <mergeCell ref="E77:F77"/>
    <mergeCell ref="E15:F15"/>
    <mergeCell ref="C51:D51"/>
    <mergeCell ref="C61:D61"/>
    <mergeCell ref="B2:E2"/>
    <mergeCell ref="E61:F61"/>
    <mergeCell ref="C70:D70"/>
    <mergeCell ref="C48:D48"/>
    <mergeCell ref="C23:D23"/>
    <mergeCell ref="E70:F70"/>
    <mergeCell ref="E57:F57"/>
    <mergeCell ref="C32:D32"/>
    <mergeCell ref="C7:D7"/>
    <mergeCell ref="E54:F54"/>
    <mergeCell ref="E32:F32"/>
    <mergeCell ref="E7:F7"/>
    <mergeCell ref="E41:F41"/>
    <mergeCell ref="B44:E44"/>
    <mergeCell ref="E81:F81"/>
    <mergeCell ref="E56:F56"/>
    <mergeCell ref="B4:C4"/>
    <mergeCell ref="C49:D49"/>
    <mergeCell ref="E43:F43"/>
    <mergeCell ref="C24:D24"/>
    <mergeCell ref="E24:F24"/>
    <mergeCell ref="C33:D33"/>
    <mergeCell ref="E33:F33"/>
    <mergeCell ref="B46:C46"/>
    <mergeCell ref="C74:D74"/>
    <mergeCell ref="C26:D26"/>
    <mergeCell ref="C35:D35"/>
    <mergeCell ref="E82:F82"/>
    <mergeCell ref="E35:F35"/>
    <mergeCell ref="C10:D10"/>
    <mergeCell ref="E10:F10"/>
    <mergeCell ref="C25:D25"/>
    <mergeCell ref="E19:F19"/>
    <mergeCell ref="C55:D55"/>
    <mergeCell ref="E28:F28"/>
    <mergeCell ref="C9:D9"/>
    <mergeCell ref="E60:F60"/>
    <mergeCell ref="E9:F9"/>
    <mergeCell ref="E74:F74"/>
    <mergeCell ref="C11:D11"/>
    <mergeCell ref="E11:F11"/>
    <mergeCell ref="E45:F45"/>
    <mergeCell ref="C52:D52"/>
    <mergeCell ref="C39:D39"/>
    <mergeCell ref="C81:D81"/>
    <mergeCell ref="C13:D13"/>
    <mergeCell ref="C78:D78"/>
    <mergeCell ref="E21:F21"/>
  </mergeCells>
  <pageMargins left="0.5" right="0.5" top="0.5" bottom="0.5" header="0" footer="0"/>
  <pageSetup orientation="portrait"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2026-04-13T23:12:50Z</dcterms:created>
  <dcterms:modified xsi:type="dcterms:W3CDTF">2026-04-13T23:13:25Z</dcterms:modified>
</cp:coreProperties>
</file>