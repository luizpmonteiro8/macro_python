
<file path=[Content_Types].xml><?xml version="1.0" encoding="utf-8"?>
<Types xmlns="http://schemas.openxmlformats.org/package/2006/content-types">
  <Default ContentType="image/gif" Extension="gif"/>
  <Default ContentType="image/jpeg" Extension="jpeg"/>
  <Default ContentType="image/jpeg" Extension="jpg"/>
  <Default ContentType="image/png" Extension="png"/>
  <Default ContentType="application/vnd.openxmlformats-package.relationships+xml" Extension="rels"/>
  <Default ContentType="image/tiff" Extension="tif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bookViews>
    <workbookView activeTab="0"/>
  </bookViews>
  <sheets>
    <sheet name="PLANILHA ORCAMENTARIA" sheetId="1" r:id="rId1"/>
    <sheet name="RESUMO" sheetId="2" r:id="rId2"/>
    <sheet name="COMPOSICOES" sheetId="3" r:id="rId3"/>
    <sheet name="COMPOSICOES AUXILIARES" sheetId="4" r:id="rId4"/>
  </sheets>
  <definedNames>
    <definedName name="JR_PAGE_ANCHOR_0_1">'PLANILHA ORCAMENTARIA'!$A$1</definedName>
    <definedName name="JR_PAGE_ANCHOR_1_1">'RESUMO'!$A$1</definedName>
    <definedName name="JR_PAGE_ANCHOR_2_1">'COMPOSICOES'!$A$1</definedName>
    <definedName name="JR_PAGE_ANCHOR_3_1">'COMPOSICOES AUXILIARES'!$A$1</definedName>
    <definedName name="VALOR_TOTAL">'PLANILHA ORCAMENTARIA'!$H$159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0" formatCode="General"/>
    <numFmt numFmtId="1" formatCode="R$ #,##0.00"/>
    <numFmt numFmtId="2" formatCode="#,##0.00"/>
    <numFmt numFmtId="3" formatCode="R$ ###,###,##0.00"/>
    <numFmt numFmtId="4" formatCode="#,##0.00000000"/>
    <numFmt numFmtId="5" formatCode="R$ #,##0.0000"/>
  </numFmts>
  <fonts count="9"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5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5.5"/>
      <color rgb="000000"/>
      <name val="SansSerif"/>
      <b val="false"/>
      <i val="false"/>
      <u val="none"/>
      <strike val="false"/>
      <family val="2"/>
    </font>
  </fonts>
  <fills count="37"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 count="36"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2" xfId="0" applyAlignment="1" applyProtection="1" applyNumberFormat="1" applyFont="1" applyFill="1" applyBorder="1">
      <alignment wrapText="true" horizontal="justify" vertical="center"/>
      <protection hidden="false" locked="true"/>
    </xf>
    <xf numFmtId="2" fontId="3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3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2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1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3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7" fillId="24" borderId="2" xfId="0" applyAlignment="1" applyProtection="1" applyNumberFormat="1" applyFont="1" applyFill="1" applyBorder="1">
      <alignment wrapText="true" horizontal="justify" vertical="top"/>
      <protection hidden="false" locked="true"/>
    </xf>
    <xf numFmtId="4" fontId="7" fillId="25" borderId="2" xfId="0" applyAlignment="1" applyProtection="1" applyNumberFormat="1" applyFont="1" applyFill="1" applyBorder="1">
      <alignment wrapText="true" horizontal="right" vertical="top"/>
      <protection hidden="false" locked="true"/>
    </xf>
    <xf numFmtId="1" fontId="7" fillId="2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27" borderId="2" xfId="0" applyAlignment="1" applyProtection="1" applyNumberFormat="1" applyFont="1" applyFill="1" applyBorder="1">
      <alignment wrapText="true" horizontal="right" vertical="top"/>
      <protection hidden="false" locked="true"/>
    </xf>
    <xf numFmtId="1" fontId="6" fillId="28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2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3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5" fontId="7" fillId="31" borderId="2" xfId="0" applyAlignment="1" applyProtection="1" applyNumberFormat="1" applyFont="1" applyFill="1" applyBorder="1">
      <alignment wrapText="true" horizontal="right" vertical="top"/>
      <protection hidden="false" locked="true"/>
    </xf>
    <xf numFmtId="5" fontId="6" fillId="32" borderId="2" xfId="0" applyAlignment="1" applyProtection="1" applyNumberFormat="1" applyFont="1" applyFill="1" applyBorder="1">
      <alignment wrapText="true" horizontal="right" vertical="top"/>
      <protection hidden="false" locked="true"/>
    </xf>
    <xf numFmtId="4" fontId="8" fillId="33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3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5" fontId="8" fillId="36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6" Target="sharedStrings.xml" Type="http://schemas.openxmlformats.org/officeDocument/2006/relationships/sharedStrings"/><Relationship Id="rIdSt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img_0_0_0.jpg" Target="../media/img_0_0_0.jp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img_1_0_4.jpg" Target="../media/img_1_0_4.jp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img_2_0_0.jpg" Target="../media/img_2_0_0.jp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img_3_0_0.jpg" Target="../media/img_3_0_0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2111972773" name="Picture">
</xdr:cNvPr>
        <xdr:cNvPicPr/>
      </xdr:nvPicPr>
      <xdr:blipFill>
        <a:blip r:embed="img_0_0_0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078806803" name="Picture">
</xdr:cNvPr>
        <xdr:cNvPicPr/>
      </xdr:nvPicPr>
      <xdr:blipFill>
        <a:blip r:embed="img_1_0_4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2045540818" name="Picture">
</xdr:cNvPr>
        <xdr:cNvPicPr/>
      </xdr:nvPicPr>
      <xdr:blipFill>
        <a:blip r:embed="img_2_0_0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399330701" name="Picture">
</xdr:cNvPr>
        <xdr:cNvPicPr/>
      </xdr:nvPicPr>
      <xdr:blipFill>
        <a:blip r:embed="img_3_0_0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Dr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Dr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Dr3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Dr4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59"/>
  <sheetViews>
    <sheetView workbookViewId="0"/>
  </sheetViews>
  <sheetFormatPr defaultRowHeight="15"/>
  <cols>
    <col min="1" max="1" customWidth="true" width="9.333333"/>
    <col min="2" max="2" customWidth="true" width="10.333333"/>
    <col min="3" max="3" bestFit="true" customWidth="false" width="42.666668"/>
    <col min="4" max="4" customWidth="true" width="9.333333"/>
    <col min="5" max="5" customWidth="true" width="8.333333"/>
    <col min="6" max="6" customWidth="true" width="10.333333"/>
    <col min="7" max="7" customWidth="true" width="12.5"/>
    <col min="8" max="8" customWidth="true" width="12.5"/>
  </cols>
  <sheetData>
    <row r="1" customHeight="1" ht="72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10">
      <c r="A2" s="2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2" t="inlineStr"/>
    </row>
    <row r="3" customHeight="1" ht="22">
      <c r="A3" s="4" t="inlineStr">
        <is>
          <r>
            <t xml:space="preserve">ITEM</t>
          </r>
        </is>
      </c>
      <c r="B3" s="4" t="inlineStr">
        <is>
          <r>
            <t xml:space="preserve">CÓDIGO</t>
          </r>
        </is>
      </c>
      <c r="C3" s="4" t="inlineStr">
        <is>
          <r>
            <t xml:space="preserve">DESCRIÇÃO</t>
          </r>
        </is>
      </c>
      <c r="D3" s="4" t="inlineStr">
        <is>
          <r>
            <t xml:space="preserve">FONTE</t>
          </r>
        </is>
      </c>
      <c r="E3" s="4" t="inlineStr">
        <is>
          <r>
            <t xml:space="preserve">UND</t>
          </r>
        </is>
      </c>
      <c r="F3" s="4" t="inlineStr">
        <is>
          <r>
            <t xml:space="preserve">QUANTIDADE</t>
          </r>
        </is>
      </c>
      <c r="G3" s="4" t="inlineStr">
        <is>
          <r>
            <t xml:space="preserve">PREÇO
UNITÁRIO R$</t>
          </r>
        </is>
      </c>
      <c r="H3" s="4" t="inlineStr">
        <is>
          <r>
            <t xml:space="preserve">PREÇO
TOTAL R$</t>
          </r>
        </is>
      </c>
    </row>
    <row r="4" customHeight="1" ht="20">
      <c r="A4" s="5" t="inlineStr">
        <is>
          <r>
            <t xml:space="preserve">1</t>
          </r>
        </is>
      </c>
      <c r="B4" s="5" t="inlineStr">
        <is>
          <r>
            <t xml:space="preserve">LOTE 01 - PACATUBA</t>
          </r>
        </is>
      </c>
      <c r="C4" s="5" t="inlineStr"/>
      <c r="D4" s="5" t="inlineStr"/>
      <c r="E4" s="5" t="inlineStr"/>
      <c r="F4" s="5" t="inlineStr"/>
      <c r="G4" s="5" t="inlineStr"/>
      <c r="H4" s="6" t="n">
        <f>ROUND(H5+H7+H15+H93+H122+H129+H155,2)</f>
        <v>9153860.08</v>
      </c>
    </row>
    <row r="5" customHeight="1" ht="20">
      <c r="A5" s="5" t="inlineStr">
        <is>
          <r>
            <t xml:space="preserve">1.1</t>
          </r>
        </is>
      </c>
      <c r="B5" s="5" t="inlineStr">
        <is>
          <r>
            <t xml:space="preserve">ADMINISTRAÇÃO DA OBRA</t>
          </r>
        </is>
      </c>
      <c r="C5" s="5" t="inlineStr"/>
      <c r="D5" s="5" t="inlineStr"/>
      <c r="E5" s="5" t="inlineStr"/>
      <c r="F5" s="5" t="inlineStr"/>
      <c r="G5" s="5" t="inlineStr"/>
      <c r="H5" s="6" t="n">
        <f>ROUND(SUM(H6:H6),2)</f>
        <v>2665083.0</v>
      </c>
    </row>
    <row r="6" customHeight="0" bestFit="1" ht="20">
      <c r="A6" s="7" t="inlineStr">
        <is>
          <r>
            <t xml:space="preserve">1.1.1</t>
          </r>
        </is>
      </c>
      <c r="B6" s="8" t="inlineStr">
        <is>
          <r>
            <t xml:space="preserve">P0489</t>
          </r>
        </is>
      </c>
      <c r="C6" s="9" t="inlineStr">
        <is>
          <r>
            <t xml:space="preserve">ADMINISTRAÇÃO LOCAL SEINFRA 10 MESES</t>
          </r>
        </is>
      </c>
      <c r="D6" s="8" t="inlineStr"/>
      <c r="E6" s="8" t="inlineStr">
        <is>
          <r>
            <t xml:space="preserve">%</t>
          </r>
        </is>
      </c>
      <c r="F6" s="10" t="n">
        <v>100.0</v>
      </c>
      <c r="G6" s="11" t="n">
        <v>26650.83</v>
      </c>
      <c r="H6" s="12" t="n">
        <f>ROUND(ROUND(F6,2)*ROUND(G6,2),2)</f>
        <v>2665083.0</v>
      </c>
    </row>
    <row r="7" customHeight="1" ht="20">
      <c r="A7" s="5" t="inlineStr">
        <is>
          <r>
            <t xml:space="preserve">1.2</t>
          </r>
        </is>
      </c>
      <c r="B7" s="5" t="inlineStr">
        <is>
          <r>
            <t xml:space="preserve">SERVIÇOS PRELIMINARES</t>
          </r>
        </is>
      </c>
      <c r="C7" s="5" t="inlineStr"/>
      <c r="D7" s="5" t="inlineStr"/>
      <c r="E7" s="5" t="inlineStr"/>
      <c r="F7" s="5" t="inlineStr"/>
      <c r="G7" s="5" t="inlineStr"/>
      <c r="H7" s="6" t="n">
        <f>ROUND(SUM(H8:H14),2)</f>
        <v>21670.34</v>
      </c>
    </row>
    <row r="8" customHeight="0" bestFit="1" ht="20">
      <c r="A8" s="7" t="inlineStr">
        <is>
          <r>
            <t xml:space="preserve">1.2.1</t>
          </r>
        </is>
      </c>
      <c r="B8" s="8" t="inlineStr">
        <is>
          <r>
            <t xml:space="preserve">C1937</t>
          </r>
        </is>
      </c>
      <c r="C8" s="9" t="inlineStr">
        <is>
          <r>
            <t xml:space="preserve">PLACAS PADRÃO DE OBRA</t>
          </r>
        </is>
      </c>
      <c r="D8" s="8" t="inlineStr">
        <is>
          <r>
            <t xml:space="preserve">SEINFRA</t>
          </r>
        </is>
      </c>
      <c r="E8" s="8" t="inlineStr">
        <is>
          <r>
            <t xml:space="preserve">M2</t>
          </r>
        </is>
      </c>
      <c r="F8" s="10" t="n">
        <v>12.0</v>
      </c>
      <c r="G8" s="11" t="n">
        <v>183.41</v>
      </c>
      <c r="H8" s="12" t="n">
        <f>ROUND(ROUND(F8,2)*ROUND(G8,2),2)</f>
        <v>2200.92</v>
      </c>
    </row>
    <row r="9" customHeight="0" bestFit="1" ht="20">
      <c r="A9" s="7" t="inlineStr">
        <is>
          <r>
            <t xml:space="preserve">1.2.2</t>
          </r>
        </is>
      </c>
      <c r="B9" s="8" t="inlineStr">
        <is>
          <r>
            <t xml:space="preserve">C4990</t>
          </r>
        </is>
      </c>
      <c r="C9" s="9" t="inlineStr">
        <is>
          <r>
            <t xml:space="preserve">MOBILIZAÇÃO DE EQUIPAMENTOS EM CAMINHÃO EQUIPADO COM GUINDASTE</t>
          </r>
        </is>
      </c>
      <c r="D9" s="8" t="inlineStr">
        <is>
          <r>
            <t xml:space="preserve">SEINFRA</t>
          </r>
        </is>
      </c>
      <c r="E9" s="8" t="inlineStr">
        <is>
          <r>
            <t xml:space="preserve">KM</t>
          </r>
        </is>
      </c>
      <c r="F9" s="10" t="n">
        <v>40.0</v>
      </c>
      <c r="G9" s="11" t="n">
        <v>3.14</v>
      </c>
      <c r="H9" s="12" t="n">
        <f>ROUND(ROUND(F9,2)*ROUND(G9,2),2)</f>
        <v>125.6</v>
      </c>
    </row>
    <row r="10" customHeight="0" bestFit="1" ht="20">
      <c r="A10" s="7" t="inlineStr">
        <is>
          <r>
            <t xml:space="preserve">1.2.3</t>
          </r>
        </is>
      </c>
      <c r="B10" s="8" t="inlineStr">
        <is>
          <r>
            <t xml:space="preserve">C4991</t>
          </r>
        </is>
      </c>
      <c r="C10" s="9" t="inlineStr">
        <is>
          <r>
            <t xml:space="preserve">DESMOBILIZAÇÃO DE EQUIPAMENTOS EM CAMINHÃO EQUIPADO COM GUINDASTE</t>
          </r>
        </is>
      </c>
      <c r="D10" s="8" t="inlineStr">
        <is>
          <r>
            <t xml:space="preserve">SEINFRA</t>
          </r>
        </is>
      </c>
      <c r="E10" s="8" t="inlineStr">
        <is>
          <r>
            <t xml:space="preserve">KM</t>
          </r>
        </is>
      </c>
      <c r="F10" s="10" t="n">
        <v>40.0</v>
      </c>
      <c r="G10" s="11" t="n">
        <v>3.14</v>
      </c>
      <c r="H10" s="12" t="n">
        <f>ROUND(ROUND(F10,2)*ROUND(G10,2),2)</f>
        <v>125.6</v>
      </c>
    </row>
    <row r="11" customHeight="0" bestFit="1" ht="20">
      <c r="A11" s="7" t="inlineStr">
        <is>
          <r>
            <t xml:space="preserve">1.2.4</t>
          </r>
        </is>
      </c>
      <c r="B11" s="8" t="inlineStr">
        <is>
          <r>
            <t xml:space="preserve">C4994</t>
          </r>
        </is>
      </c>
      <c r="C11" s="9" t="inlineStr">
        <is>
          <r>
            <t xml:space="preserve">LOCAÇÃO DE CONTÊINER ALMOXARIFADO COM PISO NAVAL - 6,00M X 2,35M</t>
          </r>
        </is>
      </c>
      <c r="D11" s="8" t="inlineStr">
        <is>
          <r>
            <t xml:space="preserve">SEINFRA</t>
          </r>
        </is>
      </c>
      <c r="E11" s="8" t="inlineStr">
        <is>
          <r>
            <t xml:space="preserve">MÊS</t>
          </r>
        </is>
      </c>
      <c r="F11" s="10" t="n">
        <v>6.0</v>
      </c>
      <c r="G11" s="11" t="n">
        <v>800.6</v>
      </c>
      <c r="H11" s="12" t="n">
        <f>ROUND(ROUND(F11,2)*ROUND(G11,2),2)</f>
        <v>4803.6</v>
      </c>
    </row>
    <row r="12" customHeight="0" bestFit="1" ht="24">
      <c r="A12" s="7" t="inlineStr">
        <is>
          <r>
            <t xml:space="preserve">1.2.5</t>
          </r>
        </is>
      </c>
      <c r="B12" s="8" t="inlineStr">
        <is>
          <r>
            <t xml:space="preserve">C4996</t>
          </r>
        </is>
      </c>
      <c r="C12" s="9" t="inlineStr">
        <is>
          <r>
            <t xml:space="preserve">LOCAÇÃO DE CONTÊINER BANHEIRO COM 04 VASOS SANITÁRIOS, 02 LAVATÓRIOS, 01 MICTÓRIO CALHA E 04 CHUVEIROS - 6,00 X 2,35M</t>
          </r>
        </is>
      </c>
      <c r="D12" s="8" t="inlineStr">
        <is>
          <r>
            <t xml:space="preserve">SEINFRA</t>
          </r>
        </is>
      </c>
      <c r="E12" s="8" t="inlineStr">
        <is>
          <r>
            <t xml:space="preserve">MÊS</t>
          </r>
        </is>
      </c>
      <c r="F12" s="10" t="n">
        <v>6.0</v>
      </c>
      <c r="G12" s="11" t="n">
        <v>1280.98</v>
      </c>
      <c r="H12" s="12" t="n">
        <f>ROUND(ROUND(F12,2)*ROUND(G12,2),2)</f>
        <v>7685.88</v>
      </c>
    </row>
    <row r="13" customHeight="0" bestFit="1" ht="40">
      <c r="A13" s="7" t="inlineStr">
        <is>
          <r>
            <t xml:space="preserve">1.2.6</t>
          </r>
        </is>
      </c>
      <c r="B13" s="8" t="inlineStr">
        <is>
          <r>
            <t xml:space="preserve">C4997</t>
          </r>
        </is>
      </c>
      <c r="C13" s="9" t="inlineStr">
        <is>
          <r>
            <t xml:space="preserve">LOCAÇÃO DE CONTÊINER ESCRITÓRIO COM BANHEIRO (01 VASO SANITÁRIO, 01 LAVATÓRIO E 01 CHUVEIRO), JANELA EM VIDRO, PORTAS, LUMINÁRIAS, TOMADAS, FORRO EM PVC, AR CONDICIONADO E ISOLAMENTO TERMO-ACÚSTICO EM ISOPOR - 6,00 X 2,35M</t>
          </r>
        </is>
      </c>
      <c r="D13" s="8" t="inlineStr">
        <is>
          <r>
            <t xml:space="preserve">SEINFRA</t>
          </r>
        </is>
      </c>
      <c r="E13" s="8" t="inlineStr">
        <is>
          <r>
            <t xml:space="preserve">MÊS</t>
          </r>
        </is>
      </c>
      <c r="F13" s="10" t="n">
        <v>6.0</v>
      </c>
      <c r="G13" s="11" t="n">
        <v>1097.99</v>
      </c>
      <c r="H13" s="12" t="n">
        <f>ROUND(ROUND(F13,2)*ROUND(G13,2),2)</f>
        <v>6587.94</v>
      </c>
    </row>
    <row r="14" customHeight="0" bestFit="1" ht="20">
      <c r="A14" s="7" t="inlineStr">
        <is>
          <r>
            <t xml:space="preserve">1.2.7</t>
          </r>
        </is>
      </c>
      <c r="B14" s="8" t="inlineStr">
        <is>
          <r>
            <t xml:space="preserve">C4919</t>
          </r>
        </is>
      </c>
      <c r="C14" s="9" t="inlineStr">
        <is>
          <r>
            <t xml:space="preserve">LIMPEZA MECANIZADA DE TERRENO COM REMOCAO DE CAMADA VEGETAL, UTILIZANDO TRATOR DE ESTEIRAS</t>
          </r>
        </is>
      </c>
      <c r="D14" s="8" t="inlineStr">
        <is>
          <r>
            <t xml:space="preserve">SEINFRA</t>
          </r>
        </is>
      </c>
      <c r="E14" s="8" t="inlineStr">
        <is>
          <r>
            <t xml:space="preserve">M2</t>
          </r>
        </is>
      </c>
      <c r="F14" s="10" t="n">
        <v>640.0</v>
      </c>
      <c r="G14" s="11" t="n">
        <v>0.22</v>
      </c>
      <c r="H14" s="12" t="n">
        <f>ROUND(ROUND(F14,2)*ROUND(G14,2),2)</f>
        <v>140.8</v>
      </c>
    </row>
    <row r="15" customHeight="1" ht="20">
      <c r="A15" s="5" t="inlineStr">
        <is>
          <r>
            <t xml:space="preserve">1.3</t>
          </r>
        </is>
      </c>
      <c r="B15" s="5" t="inlineStr">
        <is>
          <r>
            <t xml:space="preserve">PONTE</t>
          </r>
        </is>
      </c>
      <c r="C15" s="5" t="inlineStr"/>
      <c r="D15" s="5" t="inlineStr"/>
      <c r="E15" s="5" t="inlineStr"/>
      <c r="F15" s="5" t="inlineStr"/>
      <c r="G15" s="5" t="inlineStr"/>
      <c r="H15" s="6" t="n">
        <f>ROUND(H16+H22+H85+H91,2)</f>
        <v>2672698.37</v>
      </c>
    </row>
    <row r="16" customHeight="1" ht="20">
      <c r="A16" s="5" t="inlineStr">
        <is>
          <r>
            <t xml:space="preserve">1.3.1</t>
          </r>
        </is>
      </c>
      <c r="B16" s="5" t="inlineStr">
        <is>
          <r>
            <t xml:space="preserve">FUNDAÇÃO DA LAJE DE APROXIMAÇÃO</t>
          </r>
        </is>
      </c>
      <c r="C16" s="5" t="inlineStr"/>
      <c r="D16" s="5" t="inlineStr"/>
      <c r="E16" s="5" t="inlineStr"/>
      <c r="F16" s="5" t="inlineStr"/>
      <c r="G16" s="5" t="inlineStr"/>
      <c r="H16" s="6" t="n">
        <f>ROUND(SUM(H17:H21),2)</f>
        <v>12256.32</v>
      </c>
    </row>
    <row r="17" customHeight="0" bestFit="1" ht="20">
      <c r="A17" s="7" t="inlineStr">
        <is>
          <r>
            <t xml:space="preserve">1.3.1.1</t>
          </r>
        </is>
      </c>
      <c r="B17" s="8" t="inlineStr">
        <is>
          <r>
            <t xml:space="preserve">C3233</t>
          </r>
        </is>
      </c>
      <c r="C17" s="9" t="inlineStr">
        <is>
          <r>
            <t xml:space="preserve">REGULARIZAÇÃO DO SUB-LEITO</t>
          </r>
        </is>
      </c>
      <c r="D17" s="8" t="inlineStr">
        <is>
          <r>
            <t xml:space="preserve">SEINFRA</t>
          </r>
        </is>
      </c>
      <c r="E17" s="8" t="inlineStr">
        <is>
          <r>
            <t xml:space="preserve">M2</t>
          </r>
        </is>
      </c>
      <c r="F17" s="10" t="n">
        <v>240.0</v>
      </c>
      <c r="G17" s="11" t="n">
        <v>2.9</v>
      </c>
      <c r="H17" s="12" t="n">
        <f>ROUND(ROUND(F17,2)*ROUND(G17,2),2)</f>
        <v>696.0</v>
      </c>
    </row>
    <row r="18" customHeight="0" bestFit="1" ht="20">
      <c r="A18" s="7" t="inlineStr">
        <is>
          <r>
            <t xml:space="preserve">1.3.1.2</t>
          </r>
        </is>
      </c>
      <c r="B18" s="8" t="inlineStr">
        <is>
          <r>
            <t xml:space="preserve">C3135</t>
          </r>
        </is>
      </c>
      <c r="C18" s="9" t="inlineStr">
        <is>
          <r>
            <t xml:space="preserve">BASE SOLO BRITA COM 30% DE BRITA (S/TRANSP)</t>
          </r>
        </is>
      </c>
      <c r="D18" s="8" t="inlineStr">
        <is>
          <r>
            <t xml:space="preserve">SEINFRA</t>
          </r>
        </is>
      </c>
      <c r="E18" s="8" t="inlineStr">
        <is>
          <r>
            <t xml:space="preserve">M3</t>
          </r>
        </is>
      </c>
      <c r="F18" s="10" t="n">
        <v>72.0</v>
      </c>
      <c r="G18" s="11" t="n">
        <v>78.64</v>
      </c>
      <c r="H18" s="12" t="n">
        <f>ROUND(ROUND(F18,2)*ROUND(G18,2),2)</f>
        <v>5662.08</v>
      </c>
    </row>
    <row r="19" customHeight="0" bestFit="1" ht="20">
      <c r="A19" s="7" t="inlineStr">
        <is>
          <r>
            <t xml:space="preserve">1.3.1.3</t>
          </r>
        </is>
      </c>
      <c r="B19" s="8" t="inlineStr">
        <is>
          <r>
            <t xml:space="preserve">C2530</t>
          </r>
        </is>
      </c>
      <c r="C19" s="9" t="inlineStr">
        <is>
          <r>
            <t xml:space="preserve">TRANSPORTE DE MATERIAL, EXCETO ROCHA EM CAMINHÃO ATÉ 10KM</t>
          </r>
        </is>
      </c>
      <c r="D19" s="8" t="inlineStr">
        <is>
          <r>
            <t xml:space="preserve">SEINFRA</t>
          </r>
        </is>
      </c>
      <c r="E19" s="8" t="inlineStr">
        <is>
          <r>
            <t xml:space="preserve">M3</t>
          </r>
        </is>
      </c>
      <c r="F19" s="10" t="n">
        <v>82.8</v>
      </c>
      <c r="G19" s="11" t="n">
        <v>38.6</v>
      </c>
      <c r="H19" s="12" t="n">
        <f>ROUND(ROUND(F19,2)*ROUND(G19,2),2)</f>
        <v>3196.08</v>
      </c>
    </row>
    <row r="20" customHeight="0" bestFit="1" ht="20">
      <c r="A20" s="7" t="inlineStr">
        <is>
          <r>
            <t xml:space="preserve">1.3.1.4</t>
          </r>
        </is>
      </c>
      <c r="B20" s="8" t="inlineStr">
        <is>
          <r>
            <t xml:space="preserve">C3217</t>
          </r>
        </is>
      </c>
      <c r="C20" s="9" t="inlineStr">
        <is>
          <r>
            <t xml:space="preserve">ESTABILIZAÇÃO GRANULOMÉTRICA DE SOLOS S/ MISTURA DE MATERIAIS (S/TRANSP)</t>
          </r>
        </is>
      </c>
      <c r="D20" s="8" t="inlineStr">
        <is>
          <r>
            <t xml:space="preserve">SEINFRA</t>
          </r>
        </is>
      </c>
      <c r="E20" s="8" t="inlineStr">
        <is>
          <r>
            <t xml:space="preserve">M3</t>
          </r>
        </is>
      </c>
      <c r="F20" s="10" t="n">
        <v>72.0</v>
      </c>
      <c r="G20" s="11" t="n">
        <v>27.96</v>
      </c>
      <c r="H20" s="12" t="n">
        <f>ROUND(ROUND(F20,2)*ROUND(G20,2),2)</f>
        <v>2013.12</v>
      </c>
    </row>
    <row r="21" customHeight="0" bestFit="1" ht="20">
      <c r="A21" s="7" t="inlineStr">
        <is>
          <r>
            <t xml:space="preserve">1.3.1.5</t>
          </r>
        </is>
      </c>
      <c r="B21" s="8" t="inlineStr">
        <is>
          <r>
            <t xml:space="preserve">C2789</t>
          </r>
        </is>
      </c>
      <c r="C21" s="9" t="inlineStr">
        <is>
          <r>
            <t xml:space="preserve">ESCAVAÇÃO MECÂNICA SOLO DE 1A CAT. PROF. ATÉ 2.00m</t>
          </r>
        </is>
      </c>
      <c r="D21" s="8" t="inlineStr">
        <is>
          <r>
            <t xml:space="preserve">SEINFRA</t>
          </r>
        </is>
      </c>
      <c r="E21" s="8" t="inlineStr">
        <is>
          <r>
            <t xml:space="preserve">M3</t>
          </r>
        </is>
      </c>
      <c r="F21" s="10" t="n">
        <v>72.0</v>
      </c>
      <c r="G21" s="11" t="n">
        <v>9.57</v>
      </c>
      <c r="H21" s="12" t="n">
        <f>ROUND(ROUND(F21,2)*ROUND(G21,2),2)</f>
        <v>689.04</v>
      </c>
    </row>
    <row r="22" customHeight="1" ht="20">
      <c r="A22" s="5" t="inlineStr">
        <is>
          <r>
            <t xml:space="preserve">1.3.2</t>
          </r>
        </is>
      </c>
      <c r="B22" s="5" t="inlineStr">
        <is>
          <r>
            <t xml:space="preserve">PONTE</t>
          </r>
        </is>
      </c>
      <c r="C22" s="5" t="inlineStr"/>
      <c r="D22" s="5" t="inlineStr"/>
      <c r="E22" s="5" t="inlineStr"/>
      <c r="F22" s="5" t="inlineStr"/>
      <c r="G22" s="5" t="inlineStr"/>
      <c r="H22" s="6" t="n">
        <f>ROUND(H23+H25+H27+H29+H32+H35+H41+H47+H53+H64+H74+H79,2)</f>
        <v>2646579.67</v>
      </c>
    </row>
    <row r="23" customHeight="1" ht="20">
      <c r="A23" s="5" t="inlineStr">
        <is>
          <r>
            <t xml:space="preserve">1.3.2.1</t>
          </r>
        </is>
      </c>
      <c r="B23" s="5" t="inlineStr">
        <is>
          <r>
            <t xml:space="preserve">LOCAÇÃO DA OBRA</t>
          </r>
        </is>
      </c>
      <c r="C23" s="5" t="inlineStr"/>
      <c r="D23" s="5" t="inlineStr"/>
      <c r="E23" s="5" t="inlineStr"/>
      <c r="F23" s="5" t="inlineStr"/>
      <c r="G23" s="5" t="inlineStr"/>
      <c r="H23" s="6" t="n">
        <f>ROUND(SUM(H24:H24),2)</f>
        <v>4576.0</v>
      </c>
    </row>
    <row r="24" customHeight="0" bestFit="1" ht="20">
      <c r="A24" s="7" t="inlineStr">
        <is>
          <r>
            <t xml:space="preserve">1.3.2.1.1</t>
          </r>
        </is>
      </c>
      <c r="B24" s="8" t="inlineStr">
        <is>
          <r>
            <t xml:space="preserve">C1630</t>
          </r>
        </is>
      </c>
      <c r="C24" s="9" t="inlineStr">
        <is>
          <r>
            <t xml:space="preserve">LOCAÇÃO DA OBRA - EXECUÇÃO DE GABARITO</t>
          </r>
        </is>
      </c>
      <c r="D24" s="8" t="inlineStr">
        <is>
          <r>
            <t xml:space="preserve">SEINFRA</t>
          </r>
        </is>
      </c>
      <c r="E24" s="8" t="inlineStr">
        <is>
          <r>
            <t xml:space="preserve">M2</t>
          </r>
        </is>
      </c>
      <c r="F24" s="10" t="n">
        <v>640.0</v>
      </c>
      <c r="G24" s="11" t="n">
        <v>7.15</v>
      </c>
      <c r="H24" s="12" t="n">
        <f>ROUND(ROUND(F24,2)*ROUND(G24,2),2)</f>
        <v>4576.0</v>
      </c>
    </row>
    <row r="25" customHeight="1" ht="20">
      <c r="A25" s="5" t="inlineStr">
        <is>
          <r>
            <t xml:space="preserve">1.3.2.2</t>
          </r>
        </is>
      </c>
      <c r="B25" s="5" t="inlineStr">
        <is>
          <r>
            <t xml:space="preserve">ESCAVAÇÃO DE FUNDAÇÕES DOS PILARES</t>
          </r>
        </is>
      </c>
      <c r="C25" s="5" t="inlineStr"/>
      <c r="D25" s="5" t="inlineStr"/>
      <c r="E25" s="5" t="inlineStr"/>
      <c r="F25" s="5" t="inlineStr"/>
      <c r="G25" s="5" t="inlineStr"/>
      <c r="H25" s="6" t="n">
        <f>ROUND(SUM(H26:H26),2)</f>
        <v>218245.69</v>
      </c>
    </row>
    <row r="26" customHeight="0" bestFit="1" ht="20">
      <c r="A26" s="7" t="inlineStr">
        <is>
          <r>
            <t xml:space="preserve">1.3.2.2.1</t>
          </r>
        </is>
      </c>
      <c r="B26" s="8" t="inlineStr">
        <is>
          <r>
            <t xml:space="preserve">C3280</t>
          </r>
        </is>
      </c>
      <c r="C26" s="9" t="inlineStr">
        <is>
          <r>
            <t xml:space="preserve">ESCAVAÇÃO DE BASE DE TUBULÃO A AR COMPRIMIDO ATÉ 12M</t>
          </r>
        </is>
      </c>
      <c r="D26" s="8" t="inlineStr">
        <is>
          <r>
            <t xml:space="preserve">SEINFRA</t>
          </r>
        </is>
      </c>
      <c r="E26" s="8" t="inlineStr">
        <is>
          <r>
            <t xml:space="preserve">M3</t>
          </r>
        </is>
      </c>
      <c r="F26" s="10" t="n">
        <v>242.63</v>
      </c>
      <c r="G26" s="11" t="n">
        <v>899.5</v>
      </c>
      <c r="H26" s="12" t="n">
        <f>ROUND(ROUND(F26,2)*ROUND(G26,2),2)</f>
        <v>218245.69</v>
      </c>
    </row>
    <row r="27" customHeight="1" ht="20">
      <c r="A27" s="5" t="inlineStr">
        <is>
          <r>
            <t xml:space="preserve">1.3.2.3</t>
          </r>
        </is>
      </c>
      <c r="B27" s="5" t="inlineStr">
        <is>
          <r>
            <t xml:space="preserve">CONCRETO EM TUBULÃO A AR COMPRIMIDO</t>
          </r>
        </is>
      </c>
      <c r="C27" s="5" t="inlineStr"/>
      <c r="D27" s="5" t="inlineStr"/>
      <c r="E27" s="5" t="inlineStr"/>
      <c r="F27" s="5" t="inlineStr"/>
      <c r="G27" s="5" t="inlineStr"/>
      <c r="H27" s="6" t="n">
        <f>ROUND(SUM(H28:H28),2)</f>
        <v>487623.22</v>
      </c>
    </row>
    <row r="28" customHeight="0" bestFit="1" ht="20">
      <c r="A28" s="7" t="inlineStr">
        <is>
          <r>
            <t xml:space="preserve">1.3.2.3.1</t>
          </r>
        </is>
      </c>
      <c r="B28" s="8" t="inlineStr">
        <is>
          <r>
            <t xml:space="preserve">C3148</t>
          </r>
        </is>
      </c>
      <c r="C28" s="9" t="inlineStr">
        <is>
          <r>
            <t xml:space="preserve">CONCRETAGEM DE BASES TUBULÃO AR COMPRIMIDO ATE 12m</t>
          </r>
        </is>
      </c>
      <c r="D28" s="8" t="inlineStr">
        <is>
          <r>
            <t xml:space="preserve">SEINFRA</t>
          </r>
        </is>
      </c>
      <c r="E28" s="8" t="inlineStr">
        <is>
          <r>
            <t xml:space="preserve">M3</t>
          </r>
        </is>
      </c>
      <c r="F28" s="10" t="n">
        <v>242.63</v>
      </c>
      <c r="G28" s="11" t="n">
        <v>2009.74</v>
      </c>
      <c r="H28" s="12" t="n">
        <f>ROUND(ROUND(F28,2)*ROUND(G28,2),2)</f>
        <v>487623.22</v>
      </c>
    </row>
    <row r="29" customHeight="1" ht="20">
      <c r="A29" s="5" t="inlineStr">
        <is>
          <r>
            <t xml:space="preserve">1.3.2.4</t>
          </r>
        </is>
      </c>
      <c r="B29" s="5" t="inlineStr">
        <is>
          <r>
            <t xml:space="preserve">ARMADURA - FUNDAÇÕES</t>
          </r>
        </is>
      </c>
      <c r="C29" s="5" t="inlineStr"/>
      <c r="D29" s="5" t="inlineStr"/>
      <c r="E29" s="5" t="inlineStr"/>
      <c r="F29" s="5" t="inlineStr"/>
      <c r="G29" s="5" t="inlineStr"/>
      <c r="H29" s="6" t="n">
        <f>ROUND(SUM(H30:H31),2)</f>
        <v>337429.44</v>
      </c>
    </row>
    <row r="30" customHeight="0" bestFit="1" ht="20">
      <c r="A30" s="7" t="inlineStr">
        <is>
          <r>
            <t xml:space="preserve">1.3.2.4.1</t>
          </r>
        </is>
      </c>
      <c r="B30" s="8" t="inlineStr">
        <is>
          <r>
            <t xml:space="preserve">C0215</t>
          </r>
        </is>
      </c>
      <c r="C30" s="9" t="inlineStr">
        <is>
          <r>
            <t xml:space="preserve">ARMADURA CA-50A GROSSA D= 12,5 A 25,0mm</t>
          </r>
        </is>
      </c>
      <c r="D30" s="8" t="inlineStr">
        <is>
          <r>
            <t xml:space="preserve">SEINFRA</t>
          </r>
        </is>
      </c>
      <c r="E30" s="8" t="inlineStr">
        <is>
          <r>
            <t xml:space="preserve">KG</t>
          </r>
        </is>
      </c>
      <c r="F30" s="10" t="n">
        <v>20032.0</v>
      </c>
      <c r="G30" s="11" t="n">
        <v>12.99</v>
      </c>
      <c r="H30" s="12" t="n">
        <f>ROUND(ROUND(F30,2)*ROUND(G30,2),2)</f>
        <v>260215.68</v>
      </c>
    </row>
    <row r="31" customHeight="0" bestFit="1" ht="20">
      <c r="A31" s="7" t="inlineStr">
        <is>
          <r>
            <t xml:space="preserve">1.3.2.4.2</t>
          </r>
        </is>
      </c>
      <c r="B31" s="8" t="inlineStr">
        <is>
          <r>
            <t xml:space="preserve">C0216</t>
          </r>
        </is>
      </c>
      <c r="C31" s="9" t="inlineStr">
        <is>
          <r>
            <t xml:space="preserve">ARMADURA CA-50A MÉDIA D= 6,3 A 10,0mm</t>
          </r>
        </is>
      </c>
      <c r="D31" s="8" t="inlineStr">
        <is>
          <r>
            <t xml:space="preserve">SEINFRA</t>
          </r>
        </is>
      </c>
      <c r="E31" s="8" t="inlineStr">
        <is>
          <r>
            <t xml:space="preserve">KG</t>
          </r>
        </is>
      </c>
      <c r="F31" s="10" t="n">
        <v>6456.0</v>
      </c>
      <c r="G31" s="11" t="n">
        <v>11.96</v>
      </c>
      <c r="H31" s="12" t="n">
        <f>ROUND(ROUND(F31,2)*ROUND(G31,2),2)</f>
        <v>77213.76</v>
      </c>
    </row>
    <row r="32" customHeight="1" ht="20">
      <c r="A32" s="5" t="inlineStr">
        <is>
          <r>
            <t xml:space="preserve">1.3.2.5</t>
          </r>
        </is>
      </c>
      <c r="B32" s="5" t="inlineStr">
        <is>
          <r>
            <t xml:space="preserve">APOIOS - FACE SUPERIOR PILARES</t>
          </r>
        </is>
      </c>
      <c r="C32" s="5" t="inlineStr"/>
      <c r="D32" s="5" t="inlineStr"/>
      <c r="E32" s="5" t="inlineStr"/>
      <c r="F32" s="5" t="inlineStr"/>
      <c r="G32" s="5" t="inlineStr"/>
      <c r="H32" s="6" t="n">
        <f>ROUND(SUM(H33:H34),2)</f>
        <v>14736.83</v>
      </c>
    </row>
    <row r="33" customHeight="0" bestFit="1" ht="20">
      <c r="A33" s="7" t="inlineStr">
        <is>
          <r>
            <t xml:space="preserve">1.3.2.5.1</t>
          </r>
        </is>
      </c>
      <c r="B33" s="8" t="inlineStr">
        <is>
          <r>
            <t xml:space="preserve">C0090</t>
          </r>
        </is>
      </c>
      <c r="C33" s="9" t="inlineStr">
        <is>
          <r>
            <t xml:space="preserve">APARELHO DE APOIO EM NEOPRENE</t>
          </r>
        </is>
      </c>
      <c r="D33" s="8" t="inlineStr">
        <is>
          <r>
            <t xml:space="preserve">SEINFRA</t>
          </r>
        </is>
      </c>
      <c r="E33" s="8" t="inlineStr">
        <is>
          <r>
            <t xml:space="preserve">KG</t>
          </r>
        </is>
      </c>
      <c r="F33" s="10" t="n">
        <v>215.6</v>
      </c>
      <c r="G33" s="11" t="n">
        <v>62.85</v>
      </c>
      <c r="H33" s="12" t="n">
        <f>ROUND(ROUND(F33,2)*ROUND(G33,2),2)</f>
        <v>13550.46</v>
      </c>
    </row>
    <row r="34" customHeight="0" bestFit="1" ht="20">
      <c r="A34" s="7" t="inlineStr">
        <is>
          <r>
            <t xml:space="preserve">1.3.2.5.2</t>
          </r>
        </is>
      </c>
      <c r="B34" s="8" t="inlineStr">
        <is>
          <r>
            <t xml:space="preserve">C0834</t>
          </r>
        </is>
      </c>
      <c r="C34" s="9" t="inlineStr">
        <is>
          <r>
            <t xml:space="preserve">CONCRETO GROUT (ARGAMASSA AUTONIVELANTE), LANÇAMENTO E CURA</t>
          </r>
        </is>
      </c>
      <c r="D34" s="8" t="inlineStr">
        <is>
          <r>
            <t xml:space="preserve">SEINFRA</t>
          </r>
        </is>
      </c>
      <c r="E34" s="8" t="inlineStr">
        <is>
          <r>
            <t xml:space="preserve">M3</t>
          </r>
        </is>
      </c>
      <c r="F34" s="10" t="n">
        <v>0.25</v>
      </c>
      <c r="G34" s="11" t="n">
        <v>4745.46</v>
      </c>
      <c r="H34" s="12" t="n">
        <f>ROUND(ROUND(F34,2)*ROUND(G34,2),2)</f>
        <v>1186.37</v>
      </c>
    </row>
    <row r="35" customHeight="1" ht="20">
      <c r="A35" s="5" t="inlineStr">
        <is>
          <r>
            <t xml:space="preserve">1.3.2.6</t>
          </r>
        </is>
      </c>
      <c r="B35" s="5" t="inlineStr">
        <is>
          <r>
            <t xml:space="preserve">VIGA PRINCIPAL (75-50-75)X150 (4X)</t>
          </r>
        </is>
      </c>
      <c r="C35" s="5" t="inlineStr"/>
      <c r="D35" s="5" t="inlineStr"/>
      <c r="E35" s="5" t="inlineStr"/>
      <c r="F35" s="5" t="inlineStr"/>
      <c r="G35" s="5" t="inlineStr"/>
      <c r="H35" s="6" t="n">
        <f>ROUND(SUM(H36:H40),2)</f>
        <v>156499.08</v>
      </c>
    </row>
    <row r="36" customHeight="0" bestFit="1" ht="20">
      <c r="A36" s="7" t="inlineStr">
        <is>
          <r>
            <t xml:space="preserve">1.3.2.6.1</t>
          </r>
        </is>
      </c>
      <c r="B36" s="8" t="inlineStr">
        <is>
          <r>
            <t xml:space="preserve">C0851</t>
          </r>
        </is>
      </c>
      <c r="C36" s="9" t="inlineStr">
        <is>
          <r>
            <t xml:space="preserve">CONCRETO PRE-MISTURADO FCK 30 MPa</t>
          </r>
        </is>
      </c>
      <c r="D36" s="8" t="inlineStr">
        <is>
          <r>
            <t xml:space="preserve">SEINFRA</t>
          </r>
        </is>
      </c>
      <c r="E36" s="8" t="inlineStr">
        <is>
          <r>
            <t xml:space="preserve">M3</t>
          </r>
        </is>
      </c>
      <c r="F36" s="10" t="n">
        <v>72.0</v>
      </c>
      <c r="G36" s="11" t="n">
        <v>416.21</v>
      </c>
      <c r="H36" s="12" t="n">
        <f>ROUND(ROUND(F36,2)*ROUND(G36,2),2)</f>
        <v>29967.12</v>
      </c>
    </row>
    <row r="37" customHeight="0" bestFit="1" ht="20">
      <c r="A37" s="7" t="inlineStr">
        <is>
          <r>
            <t xml:space="preserve">1.3.2.6.2</t>
          </r>
        </is>
      </c>
      <c r="B37" s="8" t="inlineStr">
        <is>
          <r>
            <t xml:space="preserve">C0215</t>
          </r>
        </is>
      </c>
      <c r="C37" s="9" t="inlineStr">
        <is>
          <r>
            <t xml:space="preserve">ARMADURA CA-50A GROSSA D= 12,5 A 25,0mm</t>
          </r>
        </is>
      </c>
      <c r="D37" s="8" t="inlineStr">
        <is>
          <r>
            <t xml:space="preserve">SEINFRA</t>
          </r>
        </is>
      </c>
      <c r="E37" s="8" t="inlineStr">
        <is>
          <r>
            <t xml:space="preserve">KG</t>
          </r>
        </is>
      </c>
      <c r="F37" s="10" t="n">
        <v>3360.0</v>
      </c>
      <c r="G37" s="11" t="n">
        <v>12.99</v>
      </c>
      <c r="H37" s="12" t="n">
        <f>ROUND(ROUND(F37,2)*ROUND(G37,2),2)</f>
        <v>43646.4</v>
      </c>
    </row>
    <row r="38" customHeight="0" bestFit="1" ht="20">
      <c r="A38" s="7" t="inlineStr">
        <is>
          <r>
            <t xml:space="preserve">1.3.2.6.3</t>
          </r>
        </is>
      </c>
      <c r="B38" s="8" t="inlineStr">
        <is>
          <r>
            <t xml:space="preserve">C0216</t>
          </r>
        </is>
      </c>
      <c r="C38" s="9" t="inlineStr">
        <is>
          <r>
            <t xml:space="preserve">ARMADURA CA-50A MÉDIA D= 6,3 A 10,0mm</t>
          </r>
        </is>
      </c>
      <c r="D38" s="8" t="inlineStr">
        <is>
          <r>
            <t xml:space="preserve">SEINFRA</t>
          </r>
        </is>
      </c>
      <c r="E38" s="8" t="inlineStr">
        <is>
          <r>
            <t xml:space="preserve">KG</t>
          </r>
        </is>
      </c>
      <c r="F38" s="10" t="n">
        <v>1680.0</v>
      </c>
      <c r="G38" s="11" t="n">
        <v>11.96</v>
      </c>
      <c r="H38" s="12" t="n">
        <f>ROUND(ROUND(F38,2)*ROUND(G38,2),2)</f>
        <v>20092.8</v>
      </c>
    </row>
    <row r="39" customHeight="0" bestFit="1" ht="20">
      <c r="A39" s="7" t="inlineStr">
        <is>
          <r>
            <t xml:space="preserve">1.3.2.6.4</t>
          </r>
        </is>
      </c>
      <c r="B39" s="8" t="inlineStr">
        <is>
          <r>
            <t xml:space="preserve">C3991</t>
          </r>
        </is>
      </c>
      <c r="C39" s="9" t="inlineStr">
        <is>
          <r>
            <t xml:space="preserve">FORMA PLANA CHAPA COMPENSADA PLASTIFICADA, ESP.= 18mm UTIL. 5X</t>
          </r>
        </is>
      </c>
      <c r="D39" s="8" t="inlineStr">
        <is>
          <r>
            <t xml:space="preserve">SEINFRA</t>
          </r>
        </is>
      </c>
      <c r="E39" s="8" t="inlineStr">
        <is>
          <r>
            <t xml:space="preserve">M2</t>
          </r>
        </is>
      </c>
      <c r="F39" s="10" t="n">
        <v>340.0</v>
      </c>
      <c r="G39" s="11" t="n">
        <v>127.83</v>
      </c>
      <c r="H39" s="12" t="n">
        <f>ROUND(ROUND(F39,2)*ROUND(G39,2),2)</f>
        <v>43462.2</v>
      </c>
    </row>
    <row r="40" customHeight="0" bestFit="1" ht="20">
      <c r="A40" s="7" t="inlineStr">
        <is>
          <r>
            <t xml:space="preserve">1.3.2.6.5</t>
          </r>
        </is>
      </c>
      <c r="B40" s="8" t="inlineStr">
        <is>
          <r>
            <t xml:space="preserve">C1603</t>
          </r>
        </is>
      </c>
      <c r="C40" s="9" t="inlineStr">
        <is>
          <r>
            <t xml:space="preserve">LANÇAMENTO E APLICAÇÃO DE CONCRETO C/ ELEVAÇÃO</t>
          </r>
        </is>
      </c>
      <c r="D40" s="8" t="inlineStr">
        <is>
          <r>
            <t xml:space="preserve">SEINFRA</t>
          </r>
        </is>
      </c>
      <c r="E40" s="8" t="inlineStr">
        <is>
          <r>
            <t xml:space="preserve">M3</t>
          </r>
        </is>
      </c>
      <c r="F40" s="10" t="n">
        <v>72.0</v>
      </c>
      <c r="G40" s="11" t="n">
        <v>268.48</v>
      </c>
      <c r="H40" s="12" t="n">
        <f>ROUND(ROUND(F40,2)*ROUND(G40,2),2)</f>
        <v>19330.56</v>
      </c>
    </row>
    <row r="41" customHeight="1" ht="20">
      <c r="A41" s="5" t="inlineStr">
        <is>
          <r>
            <t xml:space="preserve">1.3.2.7</t>
          </r>
        </is>
      </c>
      <c r="B41" s="5" t="inlineStr">
        <is>
          <r>
            <t xml:space="preserve">TRANSVERSINAS INTERNAS (3X)</t>
          </r>
        </is>
      </c>
      <c r="C41" s="5" t="inlineStr"/>
      <c r="D41" s="5" t="inlineStr"/>
      <c r="E41" s="5" t="inlineStr"/>
      <c r="F41" s="5" t="inlineStr"/>
      <c r="G41" s="5" t="inlineStr"/>
      <c r="H41" s="6" t="n">
        <f>ROUND(SUM(H42:H46),2)</f>
        <v>34281.71</v>
      </c>
    </row>
    <row r="42" customHeight="0" bestFit="1" ht="20">
      <c r="A42" s="7" t="inlineStr">
        <is>
          <r>
            <t xml:space="preserve">1.3.2.7.1</t>
          </r>
        </is>
      </c>
      <c r="B42" s="8" t="inlineStr">
        <is>
          <r>
            <t xml:space="preserve">C0851</t>
          </r>
        </is>
      </c>
      <c r="C42" s="9" t="inlineStr">
        <is>
          <r>
            <t xml:space="preserve">CONCRETO PRE-MISTURADO FCK 30 MPa</t>
          </r>
        </is>
      </c>
      <c r="D42" s="8" t="inlineStr">
        <is>
          <r>
            <t xml:space="preserve">SEINFRA</t>
          </r>
        </is>
      </c>
      <c r="E42" s="8" t="inlineStr">
        <is>
          <r>
            <t xml:space="preserve">M3</t>
          </r>
        </is>
      </c>
      <c r="F42" s="10" t="n">
        <v>18.0</v>
      </c>
      <c r="G42" s="11" t="n">
        <v>416.21</v>
      </c>
      <c r="H42" s="12" t="n">
        <f>ROUND(ROUND(F42,2)*ROUND(G42,2),2)</f>
        <v>7491.78</v>
      </c>
    </row>
    <row r="43" customHeight="0" bestFit="1" ht="20">
      <c r="A43" s="7" t="inlineStr">
        <is>
          <r>
            <t xml:space="preserve">1.3.2.7.2</t>
          </r>
        </is>
      </c>
      <c r="B43" s="8" t="inlineStr">
        <is>
          <r>
            <t xml:space="preserve">C0215</t>
          </r>
        </is>
      </c>
      <c r="C43" s="9" t="inlineStr">
        <is>
          <r>
            <t xml:space="preserve">ARMADURA CA-50A GROSSA D= 12,5 A 25,0mm</t>
          </r>
        </is>
      </c>
      <c r="D43" s="8" t="inlineStr">
        <is>
          <r>
            <t xml:space="preserve">SEINFRA</t>
          </r>
        </is>
      </c>
      <c r="E43" s="8" t="inlineStr">
        <is>
          <r>
            <t xml:space="preserve">KG</t>
          </r>
        </is>
      </c>
      <c r="F43" s="10" t="n">
        <v>185.0</v>
      </c>
      <c r="G43" s="11" t="n">
        <v>12.99</v>
      </c>
      <c r="H43" s="12" t="n">
        <f>ROUND(ROUND(F43,2)*ROUND(G43,2),2)</f>
        <v>2403.15</v>
      </c>
    </row>
    <row r="44" customHeight="0" bestFit="1" ht="20">
      <c r="A44" s="7" t="inlineStr">
        <is>
          <r>
            <t xml:space="preserve">1.3.2.7.3</t>
          </r>
        </is>
      </c>
      <c r="B44" s="8" t="inlineStr">
        <is>
          <r>
            <t xml:space="preserve">C0216</t>
          </r>
        </is>
      </c>
      <c r="C44" s="9" t="inlineStr">
        <is>
          <r>
            <t xml:space="preserve">ARMADURA CA-50A MÉDIA D= 6,3 A 10,0mm</t>
          </r>
        </is>
      </c>
      <c r="D44" s="8" t="inlineStr">
        <is>
          <r>
            <t xml:space="preserve">SEINFRA</t>
          </r>
        </is>
      </c>
      <c r="E44" s="8" t="inlineStr">
        <is>
          <r>
            <t xml:space="preserve">KG</t>
          </r>
        </is>
      </c>
      <c r="F44" s="10" t="n">
        <v>160.0</v>
      </c>
      <c r="G44" s="11" t="n">
        <v>11.96</v>
      </c>
      <c r="H44" s="12" t="n">
        <f>ROUND(ROUND(F44,2)*ROUND(G44,2),2)</f>
        <v>1913.6</v>
      </c>
    </row>
    <row r="45" customHeight="0" bestFit="1" ht="20">
      <c r="A45" s="7" t="inlineStr">
        <is>
          <r>
            <t xml:space="preserve">1.3.2.7.4</t>
          </r>
        </is>
      </c>
      <c r="B45" s="8" t="inlineStr">
        <is>
          <r>
            <t xml:space="preserve">C3991</t>
          </r>
        </is>
      </c>
      <c r="C45" s="9" t="inlineStr">
        <is>
          <r>
            <t xml:space="preserve">FORMA PLANA CHAPA COMPENSADA PLASTIFICADA, ESP.= 18mm UTIL. 5X</t>
          </r>
        </is>
      </c>
      <c r="D45" s="8" t="inlineStr">
        <is>
          <r>
            <t xml:space="preserve">SEINFRA</t>
          </r>
        </is>
      </c>
      <c r="E45" s="8" t="inlineStr">
        <is>
          <r>
            <t xml:space="preserve">M2</t>
          </r>
        </is>
      </c>
      <c r="F45" s="10" t="n">
        <v>138.0</v>
      </c>
      <c r="G45" s="11" t="n">
        <v>127.83</v>
      </c>
      <c r="H45" s="12" t="n">
        <f>ROUND(ROUND(F45,2)*ROUND(G45,2),2)</f>
        <v>17640.54</v>
      </c>
    </row>
    <row r="46" customHeight="0" bestFit="1" ht="20">
      <c r="A46" s="7" t="inlineStr">
        <is>
          <r>
            <t xml:space="preserve">1.3.2.7.5</t>
          </r>
        </is>
      </c>
      <c r="B46" s="8" t="inlineStr">
        <is>
          <r>
            <t xml:space="preserve">C1603</t>
          </r>
        </is>
      </c>
      <c r="C46" s="9" t="inlineStr">
        <is>
          <r>
            <t xml:space="preserve">LANÇAMENTO E APLICAÇÃO DE CONCRETO C/ ELEVAÇÃO</t>
          </r>
        </is>
      </c>
      <c r="D46" s="8" t="inlineStr">
        <is>
          <r>
            <t xml:space="preserve">SEINFRA</t>
          </r>
        </is>
      </c>
      <c r="E46" s="8" t="inlineStr">
        <is>
          <r>
            <t xml:space="preserve">M3</t>
          </r>
        </is>
      </c>
      <c r="F46" s="10" t="n">
        <v>18.0</v>
      </c>
      <c r="G46" s="11" t="n">
        <v>268.48</v>
      </c>
      <c r="H46" s="12" t="n">
        <f>ROUND(ROUND(F46,2)*ROUND(G46,2),2)</f>
        <v>4832.64</v>
      </c>
    </row>
    <row r="47" customHeight="1" ht="20">
      <c r="A47" s="5" t="inlineStr">
        <is>
          <r>
            <t xml:space="preserve">1.3.2.8</t>
          </r>
        </is>
      </c>
      <c r="B47" s="5" t="inlineStr">
        <is>
          <r>
            <t xml:space="preserve">TRANSVERSINAS DOS ENCONTROS (2X)</t>
          </r>
        </is>
      </c>
      <c r="C47" s="5" t="inlineStr"/>
      <c r="D47" s="5" t="inlineStr"/>
      <c r="E47" s="5" t="inlineStr"/>
      <c r="F47" s="5" t="inlineStr"/>
      <c r="G47" s="5" t="inlineStr"/>
      <c r="H47" s="6" t="n">
        <f>ROUND(SUM(H48:H52),2)</f>
        <v>34166.67</v>
      </c>
    </row>
    <row r="48" customHeight="0" bestFit="1" ht="20">
      <c r="A48" s="7" t="inlineStr">
        <is>
          <r>
            <t xml:space="preserve">1.3.2.8.1</t>
          </r>
        </is>
      </c>
      <c r="B48" s="8" t="inlineStr">
        <is>
          <r>
            <t xml:space="preserve">C0851</t>
          </r>
        </is>
      </c>
      <c r="C48" s="9" t="inlineStr">
        <is>
          <r>
            <t xml:space="preserve">CONCRETO PRE-MISTURADO FCK 30 MPa</t>
          </r>
        </is>
      </c>
      <c r="D48" s="8" t="inlineStr">
        <is>
          <r>
            <t xml:space="preserve">SEINFRA</t>
          </r>
        </is>
      </c>
      <c r="E48" s="8" t="inlineStr">
        <is>
          <r>
            <t xml:space="preserve">M3</t>
          </r>
        </is>
      </c>
      <c r="F48" s="10" t="n">
        <v>9.9</v>
      </c>
      <c r="G48" s="11" t="n">
        <v>416.21</v>
      </c>
      <c r="H48" s="12" t="n">
        <f>ROUND(ROUND(F48,2)*ROUND(G48,2),2)</f>
        <v>4120.48</v>
      </c>
    </row>
    <row r="49" customHeight="0" bestFit="1" ht="20">
      <c r="A49" s="7" t="inlineStr">
        <is>
          <r>
            <t xml:space="preserve">1.3.2.8.2</t>
          </r>
        </is>
      </c>
      <c r="B49" s="8" t="inlineStr">
        <is>
          <r>
            <t xml:space="preserve">C0215</t>
          </r>
        </is>
      </c>
      <c r="C49" s="9" t="inlineStr">
        <is>
          <r>
            <t xml:space="preserve">ARMADURA CA-50A GROSSA D= 12,5 A 25,0mm</t>
          </r>
        </is>
      </c>
      <c r="D49" s="8" t="inlineStr">
        <is>
          <r>
            <t xml:space="preserve">SEINFRA</t>
          </r>
        </is>
      </c>
      <c r="E49" s="8" t="inlineStr">
        <is>
          <r>
            <t xml:space="preserve">KG</t>
          </r>
        </is>
      </c>
      <c r="F49" s="10" t="n">
        <v>164.0</v>
      </c>
      <c r="G49" s="11" t="n">
        <v>12.99</v>
      </c>
      <c r="H49" s="12" t="n">
        <f>ROUND(ROUND(F49,2)*ROUND(G49,2),2)</f>
        <v>2130.36</v>
      </c>
    </row>
    <row r="50" customHeight="0" bestFit="1" ht="20">
      <c r="A50" s="7" t="inlineStr">
        <is>
          <r>
            <t xml:space="preserve">1.3.2.8.3</t>
          </r>
        </is>
      </c>
      <c r="B50" s="8" t="inlineStr">
        <is>
          <r>
            <t xml:space="preserve">C0216</t>
          </r>
        </is>
      </c>
      <c r="C50" s="9" t="inlineStr">
        <is>
          <r>
            <t xml:space="preserve">ARMADURA CA-50A MÉDIA D= 6,3 A 10,0mm</t>
          </r>
        </is>
      </c>
      <c r="D50" s="8" t="inlineStr">
        <is>
          <r>
            <t xml:space="preserve">SEINFRA</t>
          </r>
        </is>
      </c>
      <c r="E50" s="8" t="inlineStr">
        <is>
          <r>
            <t xml:space="preserve">KG</t>
          </r>
        </is>
      </c>
      <c r="F50" s="10" t="n">
        <v>188.0</v>
      </c>
      <c r="G50" s="11" t="n">
        <v>11.96</v>
      </c>
      <c r="H50" s="12" t="n">
        <f>ROUND(ROUND(F50,2)*ROUND(G50,2),2)</f>
        <v>2248.48</v>
      </c>
    </row>
    <row r="51" customHeight="0" bestFit="1" ht="20">
      <c r="A51" s="7" t="inlineStr">
        <is>
          <r>
            <t xml:space="preserve">1.3.2.8.4</t>
          </r>
        </is>
      </c>
      <c r="B51" s="8" t="inlineStr">
        <is>
          <r>
            <t xml:space="preserve">C3991</t>
          </r>
        </is>
      </c>
      <c r="C51" s="9" t="inlineStr">
        <is>
          <r>
            <t xml:space="preserve">FORMA PLANA CHAPA COMPENSADA PLASTIFICADA, ESP.= 18mm UTIL. 5X</t>
          </r>
        </is>
      </c>
      <c r="D51" s="8" t="inlineStr">
        <is>
          <r>
            <t xml:space="preserve">SEINFRA</t>
          </r>
        </is>
      </c>
      <c r="E51" s="8" t="inlineStr">
        <is>
          <r>
            <t xml:space="preserve">M2</t>
          </r>
        </is>
      </c>
      <c r="F51" s="10" t="n">
        <v>180.0</v>
      </c>
      <c r="G51" s="11" t="n">
        <v>127.83</v>
      </c>
      <c r="H51" s="12" t="n">
        <f>ROUND(ROUND(F51,2)*ROUND(G51,2),2)</f>
        <v>23009.4</v>
      </c>
    </row>
    <row r="52" customHeight="0" bestFit="1" ht="20">
      <c r="A52" s="7" t="inlineStr">
        <is>
          <r>
            <t xml:space="preserve">1.3.2.8.5</t>
          </r>
        </is>
      </c>
      <c r="B52" s="8" t="inlineStr">
        <is>
          <r>
            <t xml:space="preserve">C1603</t>
          </r>
        </is>
      </c>
      <c r="C52" s="9" t="inlineStr">
        <is>
          <r>
            <t xml:space="preserve">LANÇAMENTO E APLICAÇÃO DE CONCRETO C/ ELEVAÇÃO</t>
          </r>
        </is>
      </c>
      <c r="D52" s="8" t="inlineStr">
        <is>
          <r>
            <t xml:space="preserve">SEINFRA</t>
          </r>
        </is>
      </c>
      <c r="E52" s="8" t="inlineStr">
        <is>
          <r>
            <t xml:space="preserve">M3</t>
          </r>
        </is>
      </c>
      <c r="F52" s="10" t="n">
        <v>9.9</v>
      </c>
      <c r="G52" s="11" t="n">
        <v>268.48</v>
      </c>
      <c r="H52" s="12" t="n">
        <f>ROUND(ROUND(F52,2)*ROUND(G52,2),2)</f>
        <v>2657.95</v>
      </c>
    </row>
    <row r="53" customHeight="1" ht="20">
      <c r="A53" s="5" t="inlineStr">
        <is>
          <r>
            <t xml:space="preserve">1.3.2.9</t>
          </r>
        </is>
      </c>
      <c r="B53" s="5" t="inlineStr">
        <is>
          <r>
            <t xml:space="preserve">TABULEIROS EM VIGAS PRÉ MOLDADAS</t>
          </r>
        </is>
      </c>
      <c r="C53" s="5" t="inlineStr"/>
      <c r="D53" s="5" t="inlineStr"/>
      <c r="E53" s="5" t="inlineStr"/>
      <c r="F53" s="5" t="inlineStr"/>
      <c r="G53" s="5" t="inlineStr"/>
      <c r="H53" s="6" t="n">
        <f>ROUND(SUM(H54:H63),2)</f>
        <v>425828.79</v>
      </c>
    </row>
    <row r="54" customHeight="0" bestFit="1" ht="20">
      <c r="A54" s="7" t="inlineStr">
        <is>
          <r>
            <t xml:space="preserve">1.3.2.9.1</t>
          </r>
        </is>
      </c>
      <c r="B54" s="8" t="inlineStr">
        <is>
          <r>
            <t xml:space="preserve">C0851</t>
          </r>
        </is>
      </c>
      <c r="C54" s="9" t="inlineStr">
        <is>
          <r>
            <t xml:space="preserve">CONCRETO PRE-MISTURADO FCK 30 MPa</t>
          </r>
        </is>
      </c>
      <c r="D54" s="8" t="inlineStr">
        <is>
          <r>
            <t xml:space="preserve">SEINFRA</t>
          </r>
        </is>
      </c>
      <c r="E54" s="8" t="inlineStr">
        <is>
          <r>
            <t xml:space="preserve">M3</t>
          </r>
        </is>
      </c>
      <c r="F54" s="10" t="n">
        <v>183.6</v>
      </c>
      <c r="G54" s="11" t="n">
        <v>416.21</v>
      </c>
      <c r="H54" s="12" t="n">
        <f>ROUND(ROUND(F54,2)*ROUND(G54,2),2)</f>
        <v>76416.16</v>
      </c>
    </row>
    <row r="55" customHeight="0" bestFit="1" ht="20">
      <c r="A55" s="7" t="inlineStr">
        <is>
          <r>
            <t xml:space="preserve">1.3.2.9.2</t>
          </r>
        </is>
      </c>
      <c r="B55" s="8" t="inlineStr">
        <is>
          <r>
            <t xml:space="preserve">C0216</t>
          </r>
        </is>
      </c>
      <c r="C55" s="9" t="inlineStr">
        <is>
          <r>
            <t xml:space="preserve">ARMADURA CA-50A MÉDIA D= 6,3 A 10,0mm</t>
          </r>
        </is>
      </c>
      <c r="D55" s="8" t="inlineStr">
        <is>
          <r>
            <t xml:space="preserve">SEINFRA</t>
          </r>
        </is>
      </c>
      <c r="E55" s="8" t="inlineStr">
        <is>
          <r>
            <t xml:space="preserve">KG</t>
          </r>
        </is>
      </c>
      <c r="F55" s="10" t="n">
        <v>4400.0</v>
      </c>
      <c r="G55" s="11" t="n">
        <v>11.96</v>
      </c>
      <c r="H55" s="12" t="n">
        <f>ROUND(ROUND(F55,2)*ROUND(G55,2),2)</f>
        <v>52624.0</v>
      </c>
    </row>
    <row r="56" customHeight="0" bestFit="1" ht="20">
      <c r="A56" s="7" t="inlineStr">
        <is>
          <r>
            <t xml:space="preserve">1.3.2.9.3</t>
          </r>
        </is>
      </c>
      <c r="B56" s="8" t="inlineStr">
        <is>
          <r>
            <t xml:space="preserve">C1603</t>
          </r>
        </is>
      </c>
      <c r="C56" s="9" t="inlineStr">
        <is>
          <r>
            <t xml:space="preserve">LANÇAMENTO E APLICAÇÃO DE CONCRETO C/ ELEVAÇÃO</t>
          </r>
        </is>
      </c>
      <c r="D56" s="8" t="inlineStr">
        <is>
          <r>
            <t xml:space="preserve">SEINFRA</t>
          </r>
        </is>
      </c>
      <c r="E56" s="8" t="inlineStr">
        <is>
          <r>
            <t xml:space="preserve">M3</t>
          </r>
        </is>
      </c>
      <c r="F56" s="10" t="n">
        <v>183.6</v>
      </c>
      <c r="G56" s="11" t="n">
        <v>268.48</v>
      </c>
      <c r="H56" s="12" t="n">
        <f>ROUND(ROUND(F56,2)*ROUND(G56,2),2)</f>
        <v>49292.93</v>
      </c>
    </row>
    <row r="57" customHeight="0" bestFit="1" ht="20">
      <c r="A57" s="7" t="inlineStr">
        <is>
          <r>
            <t xml:space="preserve">1.3.2.9.4</t>
          </r>
        </is>
      </c>
      <c r="B57" s="8" t="inlineStr">
        <is>
          <r>
            <t xml:space="preserve">C4302</t>
          </r>
        </is>
      </c>
      <c r="C57" s="9" t="inlineStr">
        <is>
          <r>
            <t xml:space="preserve">FORMA PARA CONCRETO PRÉ-MOLDADO, INCLUSIVE DESFORMA</t>
          </r>
        </is>
      </c>
      <c r="D57" s="8" t="inlineStr">
        <is>
          <r>
            <t xml:space="preserve">SEINFRA</t>
          </r>
        </is>
      </c>
      <c r="E57" s="8" t="inlineStr">
        <is>
          <r>
            <t xml:space="preserve">M2</t>
          </r>
        </is>
      </c>
      <c r="F57" s="10" t="n">
        <v>1230.4</v>
      </c>
      <c r="G57" s="11" t="n">
        <v>54.49</v>
      </c>
      <c r="H57" s="12" t="n">
        <f>ROUND(ROUND(F57,2)*ROUND(G57,2),2)</f>
        <v>67044.5</v>
      </c>
    </row>
    <row r="58" customHeight="0" bestFit="1" ht="20">
      <c r="A58" s="7" t="inlineStr">
        <is>
          <r>
            <t xml:space="preserve">1.3.2.9.5</t>
          </r>
        </is>
      </c>
      <c r="B58" s="8" t="inlineStr">
        <is>
          <r>
            <t xml:space="preserve">C1271</t>
          </r>
        </is>
      </c>
      <c r="C58" s="9" t="inlineStr">
        <is>
          <r>
            <t xml:space="preserve">LOCAÇÃO MENSAL DE ESCORA METÁLICA P/VIGAS/LAJES</t>
          </r>
        </is>
      </c>
      <c r="D58" s="8" t="inlineStr">
        <is>
          <r>
            <t xml:space="preserve">SEINFRA</t>
          </r>
        </is>
      </c>
      <c r="E58" s="8" t="inlineStr">
        <is>
          <r>
            <t xml:space="preserve">M2</t>
          </r>
        </is>
      </c>
      <c r="F58" s="10" t="n">
        <v>2400.0</v>
      </c>
      <c r="G58" s="11" t="n">
        <v>5.03</v>
      </c>
      <c r="H58" s="12" t="n">
        <f>ROUND(ROUND(F58,2)*ROUND(G58,2),2)</f>
        <v>12072.0</v>
      </c>
    </row>
    <row r="59" customHeight="0" bestFit="1" ht="20">
      <c r="A59" s="7" t="inlineStr">
        <is>
          <r>
            <t xml:space="preserve">1.3.2.9.6</t>
          </r>
        </is>
      </c>
      <c r="B59" s="8" t="inlineStr">
        <is>
          <r>
            <t xml:space="preserve">C4999</t>
          </r>
        </is>
      </c>
      <c r="C59" s="9" t="inlineStr">
        <is>
          <r>
            <t xml:space="preserve">FUNGENBAND PARA JUNTA DE DILATAÇÃO, O-22, ATÉ 30MCA</t>
          </r>
        </is>
      </c>
      <c r="D59" s="8" t="inlineStr">
        <is>
          <r>
            <t xml:space="preserve">SEINFRA</t>
          </r>
        </is>
      </c>
      <c r="E59" s="8" t="inlineStr">
        <is>
          <r>
            <t xml:space="preserve">M</t>
          </r>
        </is>
      </c>
      <c r="F59" s="10" t="n">
        <v>20.0</v>
      </c>
      <c r="G59" s="11" t="n">
        <v>150.66</v>
      </c>
      <c r="H59" s="12" t="n">
        <f>ROUND(ROUND(F59,2)*ROUND(G59,2),2)</f>
        <v>3013.2</v>
      </c>
    </row>
    <row r="60" customHeight="0" bestFit="1" ht="20">
      <c r="A60" s="7" t="inlineStr">
        <is>
          <r>
            <t xml:space="preserve">1.3.2.9.7</t>
          </r>
        </is>
      </c>
      <c r="B60" s="8" t="inlineStr">
        <is>
          <r>
            <t xml:space="preserve">C0215</t>
          </r>
        </is>
      </c>
      <c r="C60" s="9" t="inlineStr">
        <is>
          <r>
            <t xml:space="preserve">ARMADURA CA-50A GROSSA D= 12,5 A 25,0mm</t>
          </r>
        </is>
      </c>
      <c r="D60" s="8" t="inlineStr">
        <is>
          <r>
            <t xml:space="preserve">SEINFRA</t>
          </r>
        </is>
      </c>
      <c r="E60" s="8" t="inlineStr">
        <is>
          <r>
            <t xml:space="preserve">KG</t>
          </r>
        </is>
      </c>
      <c r="F60" s="10" t="n">
        <v>9440.0</v>
      </c>
      <c r="G60" s="11" t="n">
        <v>12.99</v>
      </c>
      <c r="H60" s="12" t="n">
        <f>ROUND(ROUND(F60,2)*ROUND(G60,2),2)</f>
        <v>122625.6</v>
      </c>
    </row>
    <row r="61" customHeight="0" bestFit="1" ht="32">
      <c r="A61" s="7" t="inlineStr">
        <is>
          <r>
            <t xml:space="preserve">1.3.2.9.8</t>
          </r>
        </is>
      </c>
      <c r="B61" s="8" t="inlineStr">
        <is>
          <r>
            <t xml:space="preserve">00043127</t>
          </r>
        </is>
      </c>
      <c r="C61" s="9" t="inlineStr">
        <is>
          <r>
            <t xml:space="preserve">TELA DE ACO SOLDADA NERVURADA, CA-60, Q-283 (4,48 KG/M2), DIAMETRO DO FIO = 6,0 MM, LARGURA = 2,45 X 6,00 M DE COMPRIMENTO, ESPACAMENTO DA MALHA = 10 X 10 CM</t>
          </r>
        </is>
      </c>
      <c r="D61" s="8" t="inlineStr">
        <is>
          <r>
            <t xml:space="preserve">SINAPI</t>
          </r>
        </is>
      </c>
      <c r="E61" s="8" t="inlineStr">
        <is>
          <r>
            <t xml:space="preserve">M2</t>
          </r>
        </is>
      </c>
      <c r="F61" s="10" t="n">
        <v>400.0</v>
      </c>
      <c r="G61" s="11" t="n">
        <v>35.39</v>
      </c>
      <c r="H61" s="12" t="n">
        <f>ROUND(ROUND(F61,2)*ROUND(G61,2),2)</f>
        <v>14156.0</v>
      </c>
    </row>
    <row r="62" customHeight="0" bestFit="1" ht="20">
      <c r="A62" s="7" t="inlineStr">
        <is>
          <r>
            <t xml:space="preserve">1.3.2.9.9</t>
          </r>
        </is>
      </c>
      <c r="B62" s="8" t="inlineStr">
        <is>
          <r>
            <t xml:space="preserve">C3084</t>
          </r>
        </is>
      </c>
      <c r="C62" s="9" t="inlineStr">
        <is>
          <r>
            <t xml:space="preserve">EXECUÇÃO DE PINGADEIRAS</t>
          </r>
        </is>
      </c>
      <c r="D62" s="8" t="inlineStr">
        <is>
          <r>
            <t xml:space="preserve">SEINFRA</t>
          </r>
        </is>
      </c>
      <c r="E62" s="8" t="inlineStr">
        <is>
          <r>
            <t xml:space="preserve">M</t>
          </r>
        </is>
      </c>
      <c r="F62" s="10" t="n">
        <v>40.0</v>
      </c>
      <c r="G62" s="11" t="n">
        <v>12.43</v>
      </c>
      <c r="H62" s="12" t="n">
        <f>ROUND(ROUND(F62,2)*ROUND(G62,2),2)</f>
        <v>497.2</v>
      </c>
    </row>
    <row r="63" customHeight="0" bestFit="1" ht="24">
      <c r="A63" s="7" t="inlineStr">
        <is>
          <r>
            <t xml:space="preserve">1.3.2.9.10</t>
          </r>
        </is>
      </c>
      <c r="B63" s="8" t="inlineStr">
        <is>
          <r>
            <t xml:space="preserve">104912</t>
          </r>
        </is>
      </c>
      <c r="C63" s="9" t="inlineStr">
        <is>
          <r>
            <t xml:space="preserve">GUINDASTE DERRICK, LANÇA DE *20* M, CARGA MÁXIMA 10T, POTÊNCIA 45 KW - MATERIAIS NA OPERAÇÃO. AF_01/2024</t>
          </r>
        </is>
      </c>
      <c r="D63" s="8" t="inlineStr">
        <is>
          <r>
            <t xml:space="preserve">SINAPI</t>
          </r>
        </is>
      </c>
      <c r="E63" s="8" t="inlineStr">
        <is>
          <r>
            <t xml:space="preserve">H</t>
          </r>
        </is>
      </c>
      <c r="F63" s="10" t="n">
        <v>720.0</v>
      </c>
      <c r="G63" s="11" t="n">
        <v>39.01</v>
      </c>
      <c r="H63" s="12" t="n">
        <f>ROUND(ROUND(F63,2)*ROUND(G63,2),2)</f>
        <v>28087.2</v>
      </c>
    </row>
    <row r="64" customHeight="1" ht="20">
      <c r="A64" s="5" t="inlineStr">
        <is>
          <r>
            <t xml:space="preserve">1.3.2.10</t>
          </r>
        </is>
      </c>
      <c r="B64" s="5" t="inlineStr">
        <is>
          <r>
            <t xml:space="preserve">PLACAS DE APROXIMAÇÃO</t>
          </r>
        </is>
      </c>
      <c r="C64" s="5" t="inlineStr"/>
      <c r="D64" s="5" t="inlineStr"/>
      <c r="E64" s="5" t="inlineStr"/>
      <c r="F64" s="5" t="inlineStr"/>
      <c r="G64" s="5" t="inlineStr"/>
      <c r="H64" s="6" t="n">
        <f>ROUND(SUM(H65:H73),2)</f>
        <v>148964.69</v>
      </c>
    </row>
    <row r="65" customHeight="0" bestFit="1" ht="20">
      <c r="A65" s="7" t="inlineStr">
        <is>
          <r>
            <t xml:space="preserve">1.3.2.10.1</t>
          </r>
        </is>
      </c>
      <c r="B65" s="8" t="inlineStr">
        <is>
          <r>
            <t xml:space="preserve">C5225</t>
          </r>
        </is>
      </c>
      <c r="C65" s="9" t="inlineStr">
        <is>
          <r>
            <t xml:space="preserve">LONA PLÁSTICA PRETA APLICADA EM PISOS</t>
          </r>
        </is>
      </c>
      <c r="D65" s="8" t="inlineStr">
        <is>
          <r>
            <t xml:space="preserve">SEINFRA</t>
          </r>
        </is>
      </c>
      <c r="E65" s="8" t="inlineStr">
        <is>
          <r>
            <t xml:space="preserve">M2</t>
          </r>
        </is>
      </c>
      <c r="F65" s="10" t="n">
        <v>240.0</v>
      </c>
      <c r="G65" s="11" t="n">
        <v>1.43</v>
      </c>
      <c r="H65" s="12" t="n">
        <f>ROUND(ROUND(F65,2)*ROUND(G65,2),2)</f>
        <v>343.2</v>
      </c>
    </row>
    <row r="66" customHeight="0" bestFit="1" ht="20">
      <c r="A66" s="7" t="inlineStr">
        <is>
          <r>
            <t xml:space="preserve">1.3.2.10.2</t>
          </r>
        </is>
      </c>
      <c r="B66" s="8" t="inlineStr">
        <is>
          <r>
            <t xml:space="preserve">C0844</t>
          </r>
        </is>
      </c>
      <c r="C66" s="9" t="inlineStr">
        <is>
          <r>
            <t xml:space="preserve">CONCRETO P/VIBR., FCK 30 MPa COM AGREGADO ADQUIRIDO</t>
          </r>
        </is>
      </c>
      <c r="D66" s="8" t="inlineStr">
        <is>
          <r>
            <t xml:space="preserve">SEINFRA</t>
          </r>
        </is>
      </c>
      <c r="E66" s="8" t="inlineStr">
        <is>
          <r>
            <t xml:space="preserve">M3</t>
          </r>
        </is>
      </c>
      <c r="F66" s="10" t="n">
        <v>48.0</v>
      </c>
      <c r="G66" s="11" t="n">
        <v>571.56</v>
      </c>
      <c r="H66" s="12" t="n">
        <f>ROUND(ROUND(F66,2)*ROUND(G66,2),2)</f>
        <v>27434.88</v>
      </c>
    </row>
    <row r="67" customHeight="0" bestFit="1" ht="20">
      <c r="A67" s="7" t="inlineStr">
        <is>
          <r>
            <t xml:space="preserve">1.3.2.10.3</t>
          </r>
        </is>
      </c>
      <c r="B67" s="8" t="inlineStr">
        <is>
          <r>
            <t xml:space="preserve">C0216</t>
          </r>
        </is>
      </c>
      <c r="C67" s="9" t="inlineStr">
        <is>
          <r>
            <t xml:space="preserve">ARMADURA CA-50A MÉDIA D= 6,3 A 10,0mm</t>
          </r>
        </is>
      </c>
      <c r="D67" s="8" t="inlineStr">
        <is>
          <r>
            <t xml:space="preserve">SEINFRA</t>
          </r>
        </is>
      </c>
      <c r="E67" s="8" t="inlineStr">
        <is>
          <r>
            <t xml:space="preserve">KG</t>
          </r>
        </is>
      </c>
      <c r="F67" s="10" t="n">
        <v>2577.6</v>
      </c>
      <c r="G67" s="11" t="n">
        <v>11.96</v>
      </c>
      <c r="H67" s="12" t="n">
        <f>ROUND(ROUND(F67,2)*ROUND(G67,2),2)</f>
        <v>30828.1</v>
      </c>
    </row>
    <row r="68" customHeight="0" bestFit="1" ht="20">
      <c r="A68" s="7" t="inlineStr">
        <is>
          <r>
            <t xml:space="preserve">1.3.2.10.4</t>
          </r>
        </is>
      </c>
      <c r="B68" s="8" t="inlineStr">
        <is>
          <r>
            <t xml:space="preserve">C3991</t>
          </r>
        </is>
      </c>
      <c r="C68" s="9" t="inlineStr">
        <is>
          <r>
            <t xml:space="preserve">FORMA PLANA CHAPA COMPENSADA PLASTIFICADA, ESP.= 18mm UTIL. 5X</t>
          </r>
        </is>
      </c>
      <c r="D68" s="8" t="inlineStr">
        <is>
          <r>
            <t xml:space="preserve">SEINFRA</t>
          </r>
        </is>
      </c>
      <c r="E68" s="8" t="inlineStr">
        <is>
          <r>
            <t xml:space="preserve">M2</t>
          </r>
        </is>
      </c>
      <c r="F68" s="10" t="n">
        <v>12.8</v>
      </c>
      <c r="G68" s="11" t="n">
        <v>127.83</v>
      </c>
      <c r="H68" s="12" t="n">
        <f>ROUND(ROUND(F68,2)*ROUND(G68,2),2)</f>
        <v>1636.22</v>
      </c>
    </row>
    <row r="69" customHeight="0" bestFit="1" ht="20">
      <c r="A69" s="7" t="inlineStr">
        <is>
          <r>
            <t xml:space="preserve">1.3.2.10.5</t>
          </r>
        </is>
      </c>
      <c r="B69" s="8" t="inlineStr">
        <is>
          <r>
            <t xml:space="preserve">C1604</t>
          </r>
        </is>
      </c>
      <c r="C69" s="9" t="inlineStr">
        <is>
          <r>
            <t xml:space="preserve">LANÇAMENTO E APLICAÇÃO DE CONCRETO S/ ELEVAÇÃO</t>
          </r>
        </is>
      </c>
      <c r="D69" s="8" t="inlineStr">
        <is>
          <r>
            <t xml:space="preserve">SEINFRA</t>
          </r>
        </is>
      </c>
      <c r="E69" s="8" t="inlineStr">
        <is>
          <r>
            <t xml:space="preserve">M3</t>
          </r>
        </is>
      </c>
      <c r="F69" s="10" t="n">
        <v>48.0</v>
      </c>
      <c r="G69" s="11" t="n">
        <v>159.08</v>
      </c>
      <c r="H69" s="12" t="n">
        <f>ROUND(ROUND(F69,2)*ROUND(G69,2),2)</f>
        <v>7635.84</v>
      </c>
    </row>
    <row r="70" customHeight="0" bestFit="1" ht="20">
      <c r="A70" s="7" t="inlineStr">
        <is>
          <r>
            <t xml:space="preserve">1.3.2.10.6</t>
          </r>
        </is>
      </c>
      <c r="B70" s="8" t="inlineStr">
        <is>
          <r>
            <t xml:space="preserve">C4326</t>
          </r>
        </is>
      </c>
      <c r="C70" s="9" t="inlineStr">
        <is>
          <r>
            <t xml:space="preserve">FORNECIMENTO E COLOCAÇÃO DE CANTONEIRA EM AÇO SAC (3"X3"X5/16")</t>
          </r>
        </is>
      </c>
      <c r="D70" s="8" t="inlineStr">
        <is>
          <r>
            <t xml:space="preserve">SEINFRA</t>
          </r>
        </is>
      </c>
      <c r="E70" s="8" t="inlineStr">
        <is>
          <r>
            <t xml:space="preserve">M</t>
          </r>
        </is>
      </c>
      <c r="F70" s="10" t="n">
        <v>80.0</v>
      </c>
      <c r="G70" s="11" t="n">
        <v>148.08</v>
      </c>
      <c r="H70" s="12" t="n">
        <f>ROUND(ROUND(F70,2)*ROUND(G70,2),2)</f>
        <v>11846.4</v>
      </c>
    </row>
    <row r="71" customHeight="0" bestFit="1" ht="20">
      <c r="A71" s="7" t="inlineStr">
        <is>
          <r>
            <t xml:space="preserve">1.3.2.10.7</t>
          </r>
        </is>
      </c>
      <c r="B71" s="8" t="inlineStr">
        <is>
          <r>
            <t xml:space="preserve">C2268</t>
          </r>
        </is>
      </c>
      <c r="C71" s="9" t="inlineStr">
        <is>
          <r>
            <t xml:space="preserve">SELANTE ELASTRÔMETRO P/ JUNTA DE DILATAÇÃO</t>
          </r>
        </is>
      </c>
      <c r="D71" s="8" t="inlineStr">
        <is>
          <r>
            <t xml:space="preserve">SEINFRA</t>
          </r>
        </is>
      </c>
      <c r="E71" s="8" t="inlineStr">
        <is>
          <r>
            <t xml:space="preserve">M</t>
          </r>
        </is>
      </c>
      <c r="F71" s="10" t="n">
        <v>40.0</v>
      </c>
      <c r="G71" s="11" t="n">
        <v>46.99</v>
      </c>
      <c r="H71" s="12" t="n">
        <f>ROUND(ROUND(F71,2)*ROUND(G71,2),2)</f>
        <v>1879.6</v>
      </c>
    </row>
    <row r="72" customHeight="0" bestFit="1" ht="20">
      <c r="A72" s="7" t="inlineStr">
        <is>
          <r>
            <t xml:space="preserve">1.3.2.10.8</t>
          </r>
        </is>
      </c>
      <c r="B72" s="8" t="inlineStr">
        <is>
          <r>
            <t xml:space="preserve">C2473</t>
          </r>
        </is>
      </c>
      <c r="C72" s="9" t="inlineStr">
        <is>
          <r>
            <t xml:space="preserve">PINTURA C/ TINTA EPOXI EM ESTRUTURA DE AÇO CARBONO 50 MICRA C/REVÓLVER</t>
          </r>
        </is>
      </c>
      <c r="D72" s="8" t="inlineStr">
        <is>
          <r>
            <t xml:space="preserve">SEINFRA</t>
          </r>
        </is>
      </c>
      <c r="E72" s="8" t="inlineStr">
        <is>
          <r>
            <t xml:space="preserve">M2</t>
          </r>
        </is>
      </c>
      <c r="F72" s="10" t="n">
        <v>32.0</v>
      </c>
      <c r="G72" s="11" t="n">
        <v>20.38</v>
      </c>
      <c r="H72" s="12" t="n">
        <f>ROUND(ROUND(F72,2)*ROUND(G72,2),2)</f>
        <v>652.16</v>
      </c>
    </row>
    <row r="73" customHeight="0" bestFit="1" ht="20">
      <c r="A73" s="7" t="inlineStr">
        <is>
          <r>
            <t xml:space="preserve">1.3.2.10.9</t>
          </r>
        </is>
      </c>
      <c r="B73" s="8" t="inlineStr">
        <is>
          <r>
            <t xml:space="preserve">C0220</t>
          </r>
        </is>
      </c>
      <c r="C73" s="9" t="inlineStr">
        <is>
          <r>
            <t xml:space="preserve">ARMADURA EM TELA SOLDADA DE AÇO CA-60B</t>
          </r>
        </is>
      </c>
      <c r="D73" s="8" t="inlineStr">
        <is>
          <r>
            <t xml:space="preserve">SEINFRA</t>
          </r>
        </is>
      </c>
      <c r="E73" s="8" t="inlineStr">
        <is>
          <r>
            <t xml:space="preserve">KG</t>
          </r>
        </is>
      </c>
      <c r="F73" s="10" t="n">
        <v>2577.6</v>
      </c>
      <c r="G73" s="11" t="n">
        <v>25.88</v>
      </c>
      <c r="H73" s="12" t="n">
        <f>ROUND(ROUND(F73,2)*ROUND(G73,2),2)</f>
        <v>66708.29</v>
      </c>
    </row>
    <row r="74" customHeight="1" ht="20">
      <c r="A74" s="5" t="inlineStr">
        <is>
          <r>
            <t xml:space="preserve">1.3.2.11</t>
          </r>
        </is>
      </c>
      <c r="B74" s="5" t="inlineStr">
        <is>
          <r>
            <t xml:space="preserve">ENCONTROS (MURO DE ARRIMO)</t>
          </r>
        </is>
      </c>
      <c r="C74" s="5" t="inlineStr"/>
      <c r="D74" s="5" t="inlineStr"/>
      <c r="E74" s="5" t="inlineStr"/>
      <c r="F74" s="5" t="inlineStr"/>
      <c r="G74" s="5" t="inlineStr"/>
      <c r="H74" s="6" t="n">
        <f>ROUND(SUM(H75:H78),2)</f>
        <v>596332.2</v>
      </c>
    </row>
    <row r="75" customHeight="0" bestFit="1" ht="20">
      <c r="A75" s="7" t="inlineStr">
        <is>
          <r>
            <t xml:space="preserve">1.3.2.11.1</t>
          </r>
        </is>
      </c>
      <c r="B75" s="8" t="inlineStr">
        <is>
          <r>
            <t xml:space="preserve">C2789</t>
          </r>
        </is>
      </c>
      <c r="C75" s="9" t="inlineStr">
        <is>
          <r>
            <t xml:space="preserve">ESCAVAÇÃO MECÂNICA SOLO DE 1A CAT. PROF. ATÉ 2.00m</t>
          </r>
        </is>
      </c>
      <c r="D75" s="8" t="inlineStr">
        <is>
          <r>
            <t xml:space="preserve">SEINFRA</t>
          </r>
        </is>
      </c>
      <c r="E75" s="8" t="inlineStr">
        <is>
          <r>
            <t xml:space="preserve">M3</t>
          </r>
        </is>
      </c>
      <c r="F75" s="10" t="n">
        <v>300.0</v>
      </c>
      <c r="G75" s="11" t="n">
        <v>9.57</v>
      </c>
      <c r="H75" s="12" t="n">
        <f>ROUND(ROUND(F75,2)*ROUND(G75,2),2)</f>
        <v>2871.0</v>
      </c>
    </row>
    <row r="76" customHeight="0" bestFit="1" ht="20">
      <c r="A76" s="7" t="inlineStr">
        <is>
          <r>
            <t xml:space="preserve">1.3.2.11.2</t>
          </r>
        </is>
      </c>
      <c r="B76" s="8" t="inlineStr">
        <is>
          <r>
            <t xml:space="preserve">C0830</t>
          </r>
        </is>
      </c>
      <c r="C76" s="9" t="inlineStr">
        <is>
          <r>
            <t xml:space="preserve">CONCRETO CICLÓPICO FCK 15 MPa COM AGREGADO ADQUIRIDO</t>
          </r>
        </is>
      </c>
      <c r="D76" s="8" t="inlineStr">
        <is>
          <r>
            <t xml:space="preserve">SEINFRA</t>
          </r>
        </is>
      </c>
      <c r="E76" s="8" t="inlineStr">
        <is>
          <r>
            <t xml:space="preserve">M3</t>
          </r>
        </is>
      </c>
      <c r="F76" s="10" t="n">
        <v>756.0</v>
      </c>
      <c r="G76" s="11" t="n">
        <v>653.55</v>
      </c>
      <c r="H76" s="12" t="n">
        <f>ROUND(ROUND(F76,2)*ROUND(G76,2),2)</f>
        <v>494083.8</v>
      </c>
    </row>
    <row r="77" customHeight="0" bestFit="1" ht="20">
      <c r="A77" s="7" t="inlineStr">
        <is>
          <r>
            <t xml:space="preserve">1.3.2.11.3</t>
          </r>
        </is>
      </c>
      <c r="B77" s="8" t="inlineStr">
        <is>
          <r>
            <t xml:space="preserve">C3991</t>
          </r>
        </is>
      </c>
      <c r="C77" s="9" t="inlineStr">
        <is>
          <r>
            <t xml:space="preserve">FORMA PLANA CHAPA COMPENSADA PLASTIFICADA, ESP.= 18mm UTIL. 5X</t>
          </r>
        </is>
      </c>
      <c r="D77" s="8" t="inlineStr">
        <is>
          <r>
            <t xml:space="preserve">SEINFRA</t>
          </r>
        </is>
      </c>
      <c r="E77" s="8" t="inlineStr">
        <is>
          <r>
            <t xml:space="preserve">M2</t>
          </r>
        </is>
      </c>
      <c r="F77" s="10" t="n">
        <v>480.0</v>
      </c>
      <c r="G77" s="11" t="n">
        <v>127.83</v>
      </c>
      <c r="H77" s="12" t="n">
        <f>ROUND(ROUND(F77,2)*ROUND(G77,2),2)</f>
        <v>61358.4</v>
      </c>
    </row>
    <row r="78" customHeight="0" bestFit="1" ht="20">
      <c r="A78" s="7" t="inlineStr">
        <is>
          <r>
            <t xml:space="preserve">1.3.2.11.4</t>
          </r>
        </is>
      </c>
      <c r="B78" s="8" t="inlineStr">
        <is>
          <r>
            <t xml:space="preserve">C1605</t>
          </r>
        </is>
      </c>
      <c r="C78" s="9" t="inlineStr">
        <is>
          <r>
            <t xml:space="preserve">LASTRO DE BRITA APILOADO MANUALMENTE</t>
          </r>
        </is>
      </c>
      <c r="D78" s="8" t="inlineStr">
        <is>
          <r>
            <t xml:space="preserve">SEINFRA</t>
          </r>
        </is>
      </c>
      <c r="E78" s="8" t="inlineStr">
        <is>
          <r>
            <t xml:space="preserve">M3</t>
          </r>
        </is>
      </c>
      <c r="F78" s="10" t="n">
        <v>228.0</v>
      </c>
      <c r="G78" s="11" t="n">
        <v>166.75</v>
      </c>
      <c r="H78" s="12" t="n">
        <f>ROUND(ROUND(F78,2)*ROUND(G78,2),2)</f>
        <v>38019.0</v>
      </c>
    </row>
    <row r="79" customHeight="1" ht="20">
      <c r="A79" s="5" t="inlineStr">
        <is>
          <r>
            <t xml:space="preserve">1.3.2.12</t>
          </r>
        </is>
      </c>
      <c r="B79" s="5" t="inlineStr">
        <is>
          <r>
            <t xml:space="preserve">PILARES</t>
          </r>
        </is>
      </c>
      <c r="C79" s="5" t="inlineStr"/>
      <c r="D79" s="5" t="inlineStr"/>
      <c r="E79" s="5" t="inlineStr"/>
      <c r="F79" s="5" t="inlineStr"/>
      <c r="G79" s="5" t="inlineStr"/>
      <c r="H79" s="6" t="n">
        <f>ROUND(SUM(H80:H84),2)</f>
        <v>187895.35</v>
      </c>
    </row>
    <row r="80" customHeight="0" bestFit="1" ht="20">
      <c r="A80" s="7" t="inlineStr">
        <is>
          <r>
            <t xml:space="preserve">1.3.2.12.1</t>
          </r>
        </is>
      </c>
      <c r="B80" s="8" t="inlineStr">
        <is>
          <r>
            <t xml:space="preserve">C0851</t>
          </r>
        </is>
      </c>
      <c r="C80" s="9" t="inlineStr">
        <is>
          <r>
            <t xml:space="preserve">CONCRETO PRE-MISTURADO FCK 30 MPa</t>
          </r>
        </is>
      </c>
      <c r="D80" s="8" t="inlineStr">
        <is>
          <r>
            <t xml:space="preserve">SEINFRA</t>
          </r>
        </is>
      </c>
      <c r="E80" s="8" t="inlineStr">
        <is>
          <r>
            <t xml:space="preserve">M3</t>
          </r>
        </is>
      </c>
      <c r="F80" s="10" t="n">
        <v>15.7</v>
      </c>
      <c r="G80" s="11" t="n">
        <v>416.21</v>
      </c>
      <c r="H80" s="12" t="n">
        <f>ROUND(ROUND(F80,2)*ROUND(G80,2),2)</f>
        <v>6534.5</v>
      </c>
    </row>
    <row r="81" customHeight="0" bestFit="1" ht="20">
      <c r="A81" s="7" t="inlineStr">
        <is>
          <r>
            <t xml:space="preserve">1.3.2.12.2</t>
          </r>
        </is>
      </c>
      <c r="B81" s="8" t="inlineStr">
        <is>
          <r>
            <t xml:space="preserve">C0216</t>
          </r>
        </is>
      </c>
      <c r="C81" s="9" t="inlineStr">
        <is>
          <r>
            <t xml:space="preserve">ARMADURA CA-50A MÉDIA D= 6,3 A 10,0mm</t>
          </r>
        </is>
      </c>
      <c r="D81" s="8" t="inlineStr">
        <is>
          <r>
            <t xml:space="preserve">SEINFRA</t>
          </r>
        </is>
      </c>
      <c r="E81" s="8" t="inlineStr">
        <is>
          <r>
            <t xml:space="preserve">KG</t>
          </r>
        </is>
      </c>
      <c r="F81" s="10" t="n">
        <v>2056.0</v>
      </c>
      <c r="G81" s="11" t="n">
        <v>11.96</v>
      </c>
      <c r="H81" s="12" t="n">
        <f>ROUND(ROUND(F81,2)*ROUND(G81,2),2)</f>
        <v>24589.76</v>
      </c>
    </row>
    <row r="82" customHeight="0" bestFit="1" ht="20">
      <c r="A82" s="7" t="inlineStr">
        <is>
          <r>
            <t xml:space="preserve">1.3.2.12.3</t>
          </r>
        </is>
      </c>
      <c r="B82" s="8" t="inlineStr">
        <is>
          <r>
            <t xml:space="preserve">C0215</t>
          </r>
        </is>
      </c>
      <c r="C82" s="9" t="inlineStr">
        <is>
          <r>
            <t xml:space="preserve">ARMADURA CA-50A GROSSA D= 12,5 A 25,0mm</t>
          </r>
        </is>
      </c>
      <c r="D82" s="8" t="inlineStr">
        <is>
          <r>
            <t xml:space="preserve">SEINFRA</t>
          </r>
        </is>
      </c>
      <c r="E82" s="8" t="inlineStr">
        <is>
          <r>
            <t xml:space="preserve">KG</t>
          </r>
        </is>
      </c>
      <c r="F82" s="10" t="n">
        <v>10592.0</v>
      </c>
      <c r="G82" s="11" t="n">
        <v>12.99</v>
      </c>
      <c r="H82" s="12" t="n">
        <f>ROUND(ROUND(F82,2)*ROUND(G82,2),2)</f>
        <v>137590.08</v>
      </c>
    </row>
    <row r="83" customHeight="0" bestFit="1" ht="20">
      <c r="A83" s="7" t="inlineStr">
        <is>
          <r>
            <t xml:space="preserve">1.3.2.12.4</t>
          </r>
        </is>
      </c>
      <c r="B83" s="8" t="inlineStr">
        <is>
          <r>
            <t xml:space="preserve">C2825</t>
          </r>
        </is>
      </c>
      <c r="C83" s="9" t="inlineStr">
        <is>
          <r>
            <t xml:space="preserve">FORMA CURVA CHAPA COMPENSADA RESINADA, ESP.= 12mm</t>
          </r>
        </is>
      </c>
      <c r="D83" s="8" t="inlineStr">
        <is>
          <r>
            <t xml:space="preserve">SEINFRA</t>
          </r>
        </is>
      </c>
      <c r="E83" s="8" t="inlineStr">
        <is>
          <r>
            <t xml:space="preserve">M2</t>
          </r>
        </is>
      </c>
      <c r="F83" s="10" t="n">
        <v>62.8</v>
      </c>
      <c r="G83" s="11" t="n">
        <v>238.31</v>
      </c>
      <c r="H83" s="12" t="n">
        <f>ROUND(ROUND(F83,2)*ROUND(G83,2),2)</f>
        <v>14965.87</v>
      </c>
    </row>
    <row r="84" customHeight="0" bestFit="1" ht="20">
      <c r="A84" s="7" t="inlineStr">
        <is>
          <r>
            <t xml:space="preserve">1.3.2.12.5</t>
          </r>
        </is>
      </c>
      <c r="B84" s="8" t="inlineStr">
        <is>
          <r>
            <t xml:space="preserve">C1603</t>
          </r>
        </is>
      </c>
      <c r="C84" s="9" t="inlineStr">
        <is>
          <r>
            <t xml:space="preserve">LANÇAMENTO E APLICAÇÃO DE CONCRETO C/ ELEVAÇÃO</t>
          </r>
        </is>
      </c>
      <c r="D84" s="8" t="inlineStr">
        <is>
          <r>
            <t xml:space="preserve">SEINFRA</t>
          </r>
        </is>
      </c>
      <c r="E84" s="8" t="inlineStr">
        <is>
          <r>
            <t xml:space="preserve">M3</t>
          </r>
        </is>
      </c>
      <c r="F84" s="10" t="n">
        <v>15.7</v>
      </c>
      <c r="G84" s="11" t="n">
        <v>268.48</v>
      </c>
      <c r="H84" s="12" t="n">
        <f>ROUND(ROUND(F84,2)*ROUND(G84,2),2)</f>
        <v>4215.14</v>
      </c>
    </row>
    <row r="85" customHeight="1" ht="20">
      <c r="A85" s="5" t="inlineStr">
        <is>
          <r>
            <t xml:space="preserve">1.3.3</t>
          </r>
        </is>
      </c>
      <c r="B85" s="5" t="inlineStr">
        <is>
          <r>
            <t xml:space="preserve">DISPOSITIVOS DE SEGURANÇA</t>
          </r>
        </is>
      </c>
      <c r="C85" s="5" t="inlineStr"/>
      <c r="D85" s="5" t="inlineStr"/>
      <c r="E85" s="5" t="inlineStr"/>
      <c r="F85" s="5" t="inlineStr"/>
      <c r="G85" s="5" t="inlineStr"/>
      <c r="H85" s="6" t="n">
        <f>ROUND(H86,2)</f>
        <v>5593.58</v>
      </c>
    </row>
    <row r="86" customHeight="1" ht="20">
      <c r="A86" s="5" t="inlineStr">
        <is>
          <r>
            <t xml:space="preserve">1.3.3.1</t>
          </r>
        </is>
      </c>
      <c r="B86" s="5" t="inlineStr">
        <is>
          <r>
            <t xml:space="preserve">GUARDA-CORPO EM CONCRETO</t>
          </r>
        </is>
      </c>
      <c r="C86" s="5" t="inlineStr"/>
      <c r="D86" s="5" t="inlineStr"/>
      <c r="E86" s="5" t="inlineStr"/>
      <c r="F86" s="5" t="inlineStr"/>
      <c r="G86" s="5" t="inlineStr"/>
      <c r="H86" s="6" t="n">
        <f>ROUND(SUM(H87:H90),2)</f>
        <v>5593.58</v>
      </c>
    </row>
    <row r="87" customHeight="0" bestFit="1" ht="20">
      <c r="A87" s="7" t="inlineStr">
        <is>
          <r>
            <t xml:space="preserve">1.3.3.1.1</t>
          </r>
        </is>
      </c>
      <c r="B87" s="8" t="inlineStr">
        <is>
          <r>
            <t xml:space="preserve">C0844</t>
          </r>
        </is>
      </c>
      <c r="C87" s="9" t="inlineStr">
        <is>
          <r>
            <t xml:space="preserve">CONCRETO P/VIBR., FCK 30 MPa COM AGREGADO ADQUIRIDO</t>
          </r>
        </is>
      </c>
      <c r="D87" s="8" t="inlineStr">
        <is>
          <r>
            <t xml:space="preserve">SEINFRA</t>
          </r>
        </is>
      </c>
      <c r="E87" s="8" t="inlineStr">
        <is>
          <r>
            <t xml:space="preserve">M3</t>
          </r>
        </is>
      </c>
      <c r="F87" s="10" t="n">
        <v>2.15</v>
      </c>
      <c r="G87" s="11" t="n">
        <v>571.56</v>
      </c>
      <c r="H87" s="12" t="n">
        <f>ROUND(ROUND(F87,2)*ROUND(G87,2),2)</f>
        <v>1228.85</v>
      </c>
    </row>
    <row r="88" customHeight="0" bestFit="1" ht="20">
      <c r="A88" s="7" t="inlineStr">
        <is>
          <r>
            <t xml:space="preserve">1.3.3.1.2</t>
          </r>
        </is>
      </c>
      <c r="B88" s="8" t="inlineStr">
        <is>
          <r>
            <t xml:space="preserve">C0216</t>
          </r>
        </is>
      </c>
      <c r="C88" s="9" t="inlineStr">
        <is>
          <r>
            <t xml:space="preserve">ARMADURA CA-50A MÉDIA D= 6,3 A 10,0mm</t>
          </r>
        </is>
      </c>
      <c r="D88" s="8" t="inlineStr">
        <is>
          <r>
            <t xml:space="preserve">SEINFRA</t>
          </r>
        </is>
      </c>
      <c r="E88" s="8" t="inlineStr">
        <is>
          <r>
            <t xml:space="preserve">KG</t>
          </r>
        </is>
      </c>
      <c r="F88" s="10" t="n">
        <v>85.93</v>
      </c>
      <c r="G88" s="11" t="n">
        <v>11.96</v>
      </c>
      <c r="H88" s="12" t="n">
        <f>ROUND(ROUND(F88,2)*ROUND(G88,2),2)</f>
        <v>1027.72</v>
      </c>
    </row>
    <row r="89" customHeight="0" bestFit="1" ht="20">
      <c r="A89" s="7" t="inlineStr">
        <is>
          <r>
            <t xml:space="preserve">1.3.3.1.3</t>
          </r>
        </is>
      </c>
      <c r="B89" s="8" t="inlineStr">
        <is>
          <r>
            <t xml:space="preserve">C1399</t>
          </r>
        </is>
      </c>
      <c r="C89" s="9" t="inlineStr">
        <is>
          <r>
            <t xml:space="preserve">FORMA PLANA CHAPA COMPENSADA PLASTIFICADA, ESP.= 12mm UTIL. 5X</t>
          </r>
        </is>
      </c>
      <c r="D89" s="8" t="inlineStr">
        <is>
          <r>
            <t xml:space="preserve">SEINFRA</t>
          </r>
        </is>
      </c>
      <c r="E89" s="8" t="inlineStr">
        <is>
          <r>
            <t xml:space="preserve">M2</t>
          </r>
        </is>
      </c>
      <c r="F89" s="10" t="n">
        <v>23.9</v>
      </c>
      <c r="G89" s="11" t="n">
        <v>123.56</v>
      </c>
      <c r="H89" s="12" t="n">
        <f>ROUND(ROUND(F89,2)*ROUND(G89,2),2)</f>
        <v>2953.08</v>
      </c>
    </row>
    <row r="90" customHeight="0" bestFit="1" ht="20">
      <c r="A90" s="7" t="inlineStr">
        <is>
          <r>
            <t xml:space="preserve">1.3.3.1.4</t>
          </r>
        </is>
      </c>
      <c r="B90" s="8" t="inlineStr">
        <is>
          <r>
            <t xml:space="preserve">C1603</t>
          </r>
        </is>
      </c>
      <c r="C90" s="9" t="inlineStr">
        <is>
          <r>
            <t xml:space="preserve">LANÇAMENTO E APLICAÇÃO DE CONCRETO C/ ELEVAÇÃO</t>
          </r>
        </is>
      </c>
      <c r="D90" s="8" t="inlineStr">
        <is>
          <r>
            <t xml:space="preserve">SEINFRA</t>
          </r>
        </is>
      </c>
      <c r="E90" s="8" t="inlineStr">
        <is>
          <r>
            <t xml:space="preserve">M3</t>
          </r>
        </is>
      </c>
      <c r="F90" s="10" t="n">
        <v>1.43</v>
      </c>
      <c r="G90" s="11" t="n">
        <v>268.48</v>
      </c>
      <c r="H90" s="12" t="n">
        <f>ROUND(ROUND(F90,2)*ROUND(G90,2),2)</f>
        <v>383.93</v>
      </c>
    </row>
    <row r="91" customHeight="1" ht="20">
      <c r="A91" s="5" t="inlineStr">
        <is>
          <r>
            <t xml:space="preserve">1.3.4</t>
          </r>
        </is>
      </c>
      <c r="B91" s="5" t="inlineStr">
        <is>
          <r>
            <t xml:space="preserve">SERVIÇOS DIVERSOS</t>
          </r>
        </is>
      </c>
      <c r="C91" s="5" t="inlineStr"/>
      <c r="D91" s="5" t="inlineStr"/>
      <c r="E91" s="5" t="inlineStr"/>
      <c r="F91" s="5" t="inlineStr"/>
      <c r="G91" s="5" t="inlineStr"/>
      <c r="H91" s="6" t="n">
        <f>ROUND(SUM(H92:H92),2)</f>
        <v>8268.8</v>
      </c>
    </row>
    <row r="92" customHeight="0" bestFit="1" ht="20">
      <c r="A92" s="7" t="inlineStr">
        <is>
          <r>
            <t xml:space="preserve">1.3.4.1</t>
          </r>
        </is>
      </c>
      <c r="B92" s="8" t="inlineStr">
        <is>
          <r>
            <t xml:space="preserve">C1628</t>
          </r>
        </is>
      </c>
      <c r="C92" s="9" t="inlineStr">
        <is>
          <r>
            <t xml:space="preserve">LIMPEZA GERAL</t>
          </r>
        </is>
      </c>
      <c r="D92" s="8" t="inlineStr">
        <is>
          <r>
            <t xml:space="preserve">SEINFRA</t>
          </r>
        </is>
      </c>
      <c r="E92" s="8" t="inlineStr">
        <is>
          <r>
            <t xml:space="preserve">M2</t>
          </r>
        </is>
      </c>
      <c r="F92" s="10" t="n">
        <v>640.0</v>
      </c>
      <c r="G92" s="11" t="n">
        <v>12.92</v>
      </c>
      <c r="H92" s="12" t="n">
        <f>ROUND(ROUND(F92,2)*ROUND(G92,2),2)</f>
        <v>8268.8</v>
      </c>
    </row>
    <row r="93" customHeight="1" ht="20">
      <c r="A93" s="5" t="inlineStr">
        <is>
          <r>
            <t xml:space="preserve">1.4</t>
          </r>
        </is>
      </c>
      <c r="B93" s="5" t="inlineStr">
        <is>
          <r>
            <t xml:space="preserve">PAVIMENTAÇÃO</t>
          </r>
        </is>
      </c>
      <c r="C93" s="5" t="inlineStr"/>
      <c r="D93" s="5" t="inlineStr"/>
      <c r="E93" s="5" t="inlineStr"/>
      <c r="F93" s="5" t="inlineStr"/>
      <c r="G93" s="5" t="inlineStr"/>
      <c r="H93" s="6" t="n">
        <f>ROUND(H94+H96+H102+H106+H108+H113+H115+H119,2)</f>
        <v>2446396.48</v>
      </c>
    </row>
    <row r="94" customHeight="1" ht="20">
      <c r="A94" s="5" t="inlineStr">
        <is>
          <r>
            <t xml:space="preserve">1.4.1</t>
          </r>
        </is>
      </c>
      <c r="B94" s="5" t="inlineStr">
        <is>
          <r>
            <t xml:space="preserve">LOCAÇÃO</t>
          </r>
        </is>
      </c>
      <c r="C94" s="5" t="inlineStr"/>
      <c r="D94" s="5" t="inlineStr"/>
      <c r="E94" s="5" t="inlineStr"/>
      <c r="F94" s="5" t="inlineStr"/>
      <c r="G94" s="5" t="inlineStr"/>
      <c r="H94" s="6" t="n">
        <f>ROUND(SUM(H95:H95),2)</f>
        <v>2380.0</v>
      </c>
    </row>
    <row r="95" customHeight="0" bestFit="1" ht="20">
      <c r="A95" s="7" t="inlineStr">
        <is>
          <r>
            <t xml:space="preserve">1.4.1.1</t>
          </r>
        </is>
      </c>
      <c r="B95" s="8" t="inlineStr">
        <is>
          <r>
            <t xml:space="preserve">C2873</t>
          </r>
        </is>
      </c>
      <c r="C95" s="9" t="inlineStr">
        <is>
          <r>
            <t xml:space="preserve">LOCAÇÃO DA OBRA COM AUXÍLIO TOPOGRÁFICO (ÁREA ATÉ 5000 M2)</t>
          </r>
        </is>
      </c>
      <c r="D95" s="8" t="inlineStr">
        <is>
          <r>
            <t xml:space="preserve">SEINFRA</t>
          </r>
        </is>
      </c>
      <c r="E95" s="8" t="inlineStr">
        <is>
          <r>
            <t xml:space="preserve">M2</t>
          </r>
        </is>
      </c>
      <c r="F95" s="10" t="n">
        <v>8500.0</v>
      </c>
      <c r="G95" s="11" t="n">
        <v>0.28</v>
      </c>
      <c r="H95" s="12" t="n">
        <f>ROUND(ROUND(F95,2)*ROUND(G95,2),2)</f>
        <v>2380.0</v>
      </c>
    </row>
    <row r="96" customHeight="1" ht="20">
      <c r="A96" s="5" t="inlineStr">
        <is>
          <r>
            <t xml:space="preserve">1.4.2</t>
          </r>
        </is>
      </c>
      <c r="B96" s="5" t="inlineStr">
        <is>
          <r>
            <t xml:space="preserve">SUBSTITUIÇÃO DE MATERIAL DO SUBLEITO</t>
          </r>
        </is>
      </c>
      <c r="C96" s="5" t="inlineStr"/>
      <c r="D96" s="5" t="inlineStr"/>
      <c r="E96" s="5" t="inlineStr"/>
      <c r="F96" s="5" t="inlineStr"/>
      <c r="G96" s="5" t="inlineStr"/>
      <c r="H96" s="6" t="n">
        <f>ROUND(SUM(H97:H101),2)</f>
        <v>422798.4</v>
      </c>
    </row>
    <row r="97" customHeight="0" bestFit="1" ht="20">
      <c r="A97" s="7" t="inlineStr">
        <is>
          <r>
            <t xml:space="preserve">1.4.2.1</t>
          </r>
        </is>
      </c>
      <c r="B97" s="8" t="inlineStr">
        <is>
          <r>
            <t xml:space="preserve">C3179</t>
          </r>
        </is>
      </c>
      <c r="C97" s="9" t="inlineStr">
        <is>
          <r>
            <t xml:space="preserve">ESCAVAÇÃO CARGA TRANSP. 1-CAT 4001 A 5000M</t>
          </r>
        </is>
      </c>
      <c r="D97" s="8" t="inlineStr">
        <is>
          <r>
            <t xml:space="preserve">SEINFRA</t>
          </r>
        </is>
      </c>
      <c r="E97" s="8" t="inlineStr">
        <is>
          <r>
            <t xml:space="preserve">M3</t>
          </r>
        </is>
      </c>
      <c r="F97" s="10" t="n">
        <v>5760.0</v>
      </c>
      <c r="G97" s="11" t="n">
        <v>24.13</v>
      </c>
      <c r="H97" s="12" t="n">
        <f>ROUND(ROUND(F97,2)*ROUND(G97,2),2)</f>
        <v>138988.8</v>
      </c>
    </row>
    <row r="98" customHeight="0" bestFit="1" ht="20">
      <c r="A98" s="7" t="inlineStr">
        <is>
          <r>
            <t xml:space="preserve">1.4.2.2</t>
          </r>
        </is>
      </c>
      <c r="B98" s="8" t="inlineStr">
        <is>
          <r>
            <t xml:space="preserve">C3211</t>
          </r>
        </is>
      </c>
      <c r="C98" s="9" t="inlineStr">
        <is>
          <r>
            <t xml:space="preserve">ESCAVAÇÃO E CARGA DE MATERIAL DE JAZIDA</t>
          </r>
        </is>
      </c>
      <c r="D98" s="8" t="inlineStr">
        <is>
          <r>
            <t xml:space="preserve">SEINFRA</t>
          </r>
        </is>
      </c>
      <c r="E98" s="8" t="inlineStr">
        <is>
          <r>
            <t xml:space="preserve">M3</t>
          </r>
        </is>
      </c>
      <c r="F98" s="10" t="n">
        <v>6624.0</v>
      </c>
      <c r="G98" s="11" t="n">
        <v>4.81</v>
      </c>
      <c r="H98" s="12" t="n">
        <f>ROUND(ROUND(F98,2)*ROUND(G98,2),2)</f>
        <v>31861.44</v>
      </c>
    </row>
    <row r="99" customHeight="0" bestFit="1" ht="20">
      <c r="A99" s="7" t="inlineStr">
        <is>
          <r>
            <t xml:space="preserve">1.4.2.3</t>
          </r>
        </is>
      </c>
      <c r="B99" s="8" t="inlineStr">
        <is>
          <r>
            <t xml:space="preserve">C2533</t>
          </r>
        </is>
      </c>
      <c r="C99" s="9" t="inlineStr">
        <is>
          <r>
            <t xml:space="preserve">TRANSPORTE DE MATERIAL, EXCETO ROCHA EM CAMINHÃO ATÉ 5 KM</t>
          </r>
        </is>
      </c>
      <c r="D99" s="8" t="inlineStr">
        <is>
          <r>
            <t xml:space="preserve">SEINFRA</t>
          </r>
        </is>
      </c>
      <c r="E99" s="8" t="inlineStr">
        <is>
          <r>
            <t xml:space="preserve">M3</t>
          </r>
        </is>
      </c>
      <c r="F99" s="10" t="n">
        <v>6624.0</v>
      </c>
      <c r="G99" s="11" t="n">
        <v>32.17</v>
      </c>
      <c r="H99" s="12" t="n">
        <f>ROUND(ROUND(F99,2)*ROUND(G99,2),2)</f>
        <v>213094.08</v>
      </c>
    </row>
    <row r="100" customHeight="0" bestFit="1" ht="20">
      <c r="A100" s="7" t="inlineStr">
        <is>
          <r>
            <t xml:space="preserve">1.4.2.4</t>
          </r>
        </is>
      </c>
      <c r="B100" s="8" t="inlineStr">
        <is>
          <r>
            <t xml:space="preserve">C3146</t>
          </r>
        </is>
      </c>
      <c r="C100" s="9" t="inlineStr">
        <is>
          <r>
            <t xml:space="preserve">COMPACTAÇÃO DE ATERROS 100% P.N</t>
          </r>
        </is>
      </c>
      <c r="D100" s="8" t="inlineStr">
        <is>
          <r>
            <t xml:space="preserve">SEINFRA</t>
          </r>
        </is>
      </c>
      <c r="E100" s="8" t="inlineStr">
        <is>
          <r>
            <t xml:space="preserve">M3</t>
          </r>
        </is>
      </c>
      <c r="F100" s="10" t="n">
        <v>5760.0</v>
      </c>
      <c r="G100" s="11" t="n">
        <v>4.94</v>
      </c>
      <c r="H100" s="12" t="n">
        <f>ROUND(ROUND(F100,2)*ROUND(G100,2),2)</f>
        <v>28454.4</v>
      </c>
    </row>
    <row r="101" customHeight="0" bestFit="1" ht="20">
      <c r="A101" s="7" t="inlineStr">
        <is>
          <r>
            <t xml:space="preserve">1.4.2.5</t>
          </r>
        </is>
      </c>
      <c r="B101" s="8" t="inlineStr">
        <is>
          <r>
            <t xml:space="preserve">C2840</t>
          </r>
        </is>
      </c>
      <c r="C101" s="9" t="inlineStr">
        <is>
          <r>
            <t xml:space="preserve">INDENIZAÇÃO DE JAZIDA</t>
          </r>
        </is>
      </c>
      <c r="D101" s="8" t="inlineStr">
        <is>
          <r>
            <t xml:space="preserve">SEINFRA</t>
          </r>
        </is>
      </c>
      <c r="E101" s="8" t="inlineStr">
        <is>
          <r>
            <t xml:space="preserve">M3</t>
          </r>
        </is>
      </c>
      <c r="F101" s="10" t="n">
        <v>6624.0</v>
      </c>
      <c r="G101" s="11" t="n">
        <v>1.57</v>
      </c>
      <c r="H101" s="12" t="n">
        <f>ROUND(ROUND(F101,2)*ROUND(G101,2),2)</f>
        <v>10399.68</v>
      </c>
    </row>
    <row r="102" customHeight="1" ht="20">
      <c r="A102" s="5" t="inlineStr">
        <is>
          <r>
            <t xml:space="preserve">1.4.3</t>
          </r>
        </is>
      </c>
      <c r="B102" s="5" t="inlineStr">
        <is>
          <r>
            <t xml:space="preserve">DEMOLIÇÃO E LIMPEZA</t>
          </r>
        </is>
      </c>
      <c r="C102" s="5" t="inlineStr"/>
      <c r="D102" s="5" t="inlineStr"/>
      <c r="E102" s="5" t="inlineStr"/>
      <c r="F102" s="5" t="inlineStr"/>
      <c r="G102" s="5" t="inlineStr"/>
      <c r="H102" s="6" t="n">
        <f>ROUND(SUM(H103:H105),2)</f>
        <v>606026.44</v>
      </c>
    </row>
    <row r="103" customHeight="0" bestFit="1" ht="20">
      <c r="A103" s="7" t="inlineStr">
        <is>
          <r>
            <t xml:space="preserve">1.4.3.1</t>
          </r>
        </is>
      </c>
      <c r="B103" s="8" t="inlineStr">
        <is>
          <r>
            <t xml:space="preserve">C4919</t>
          </r>
        </is>
      </c>
      <c r="C103" s="9" t="inlineStr">
        <is>
          <r>
            <t xml:space="preserve">LIMPEZA MECANIZADA DE TERRENO COM REMOCAO DE CAMADA VEGETAL, UTILIZANDO TRATOR DE ESTEIRAS</t>
          </r>
        </is>
      </c>
      <c r="D103" s="8" t="inlineStr">
        <is>
          <r>
            <t xml:space="preserve">SEINFRA</t>
          </r>
        </is>
      </c>
      <c r="E103" s="8" t="inlineStr">
        <is>
          <r>
            <t xml:space="preserve">M2</t>
          </r>
        </is>
      </c>
      <c r="F103" s="10" t="n">
        <v>1600.0</v>
      </c>
      <c r="G103" s="11" t="n">
        <v>0.22</v>
      </c>
      <c r="H103" s="12" t="n">
        <f>ROUND(ROUND(F103,2)*ROUND(G103,2),2)</f>
        <v>352.0</v>
      </c>
    </row>
    <row r="104" customHeight="0" bestFit="1" ht="24">
      <c r="A104" s="7" t="inlineStr">
        <is>
          <r>
            <t xml:space="preserve">1.4.3.2</t>
          </r>
        </is>
      </c>
      <c r="B104" s="8" t="inlineStr">
        <is>
          <r>
            <t xml:space="preserve">P0491</t>
          </r>
        </is>
      </c>
      <c r="C104" s="9" t="inlineStr">
        <is>
          <r>
            <t xml:space="preserve">DEMOLIÇÃO PARCIAL DE PAVIMNETAÇÃO ASFÁLTICA, DE FORMA MECANIZADA, SEM REAPROVEITAMENTO. AF_09/2023</t>
          </r>
        </is>
      </c>
      <c r="D104" s="8" t="inlineStr"/>
      <c r="E104" s="8" t="inlineStr">
        <is>
          <r>
            <t xml:space="preserve">M2</t>
          </r>
        </is>
      </c>
      <c r="F104" s="10" t="n">
        <v>8400.0</v>
      </c>
      <c r="G104" s="11" t="n">
        <v>22.71</v>
      </c>
      <c r="H104" s="12" t="n">
        <f>ROUND(ROUND(F104,2)*ROUND(G104,2),2)</f>
        <v>190764.0</v>
      </c>
    </row>
    <row r="105" customHeight="0" bestFit="1" ht="20">
      <c r="A105" s="7" t="inlineStr">
        <is>
          <r>
            <t xml:space="preserve">1.4.3.3</t>
          </r>
        </is>
      </c>
      <c r="B105" s="8" t="inlineStr">
        <is>
          <r>
            <t xml:space="preserve">C3259</t>
          </r>
        </is>
      </c>
      <c r="C105" s="9" t="inlineStr">
        <is>
          <r>
            <t xml:space="preserve">CARGA E TRANSPORTE ATÉ 5KM DE REVESTIMENTO BETUMINOSO DEMOLIDO</t>
          </r>
        </is>
      </c>
      <c r="D105" s="8" t="inlineStr">
        <is>
          <r>
            <t xml:space="preserve">SEINFRA</t>
          </r>
        </is>
      </c>
      <c r="E105" s="8" t="inlineStr">
        <is>
          <r>
            <t xml:space="preserve">M3</t>
          </r>
        </is>
      </c>
      <c r="F105" s="10" t="n">
        <v>10836.0</v>
      </c>
      <c r="G105" s="11" t="n">
        <v>38.29</v>
      </c>
      <c r="H105" s="12" t="n">
        <f>ROUND(ROUND(F105,2)*ROUND(G105,2),2)</f>
        <v>414910.44</v>
      </c>
    </row>
    <row r="106" customHeight="1" ht="20">
      <c r="A106" s="5" t="inlineStr">
        <is>
          <r>
            <t xml:space="preserve">1.4.4</t>
          </r>
        </is>
      </c>
      <c r="B106" s="5" t="inlineStr">
        <is>
          <r>
            <t xml:space="preserve">CORTE</t>
          </r>
        </is>
      </c>
      <c r="C106" s="5" t="inlineStr"/>
      <c r="D106" s="5" t="inlineStr"/>
      <c r="E106" s="5" t="inlineStr"/>
      <c r="F106" s="5" t="inlineStr"/>
      <c r="G106" s="5" t="inlineStr"/>
      <c r="H106" s="6" t="n">
        <f>ROUND(SUM(H107:H107),2)</f>
        <v>22688.72</v>
      </c>
    </row>
    <row r="107" customHeight="0" bestFit="1" ht="20">
      <c r="A107" s="7" t="inlineStr">
        <is>
          <r>
            <t xml:space="preserve">1.4.4.1</t>
          </r>
        </is>
      </c>
      <c r="B107" s="8" t="inlineStr">
        <is>
          <r>
            <t xml:space="preserve">C3179</t>
          </r>
        </is>
      </c>
      <c r="C107" s="9" t="inlineStr">
        <is>
          <r>
            <t xml:space="preserve">ESCAVAÇÃO CARGA TRANSP. 1-CAT 4001 A 5000M</t>
          </r>
        </is>
      </c>
      <c r="D107" s="8" t="inlineStr">
        <is>
          <r>
            <t xml:space="preserve">SEINFRA</t>
          </r>
        </is>
      </c>
      <c r="E107" s="8" t="inlineStr">
        <is>
          <r>
            <t xml:space="preserve">M3</t>
          </r>
        </is>
      </c>
      <c r="F107" s="10" t="n">
        <v>940.27</v>
      </c>
      <c r="G107" s="11" t="n">
        <v>24.13</v>
      </c>
      <c r="H107" s="12" t="n">
        <f>ROUND(ROUND(F107,2)*ROUND(G107,2),2)</f>
        <v>22688.72</v>
      </c>
    </row>
    <row r="108" customHeight="1" ht="20">
      <c r="A108" s="5" t="inlineStr">
        <is>
          <r>
            <t xml:space="preserve">1.4.5</t>
          </r>
        </is>
      </c>
      <c r="B108" s="5" t="inlineStr">
        <is>
          <r>
            <t xml:space="preserve">ATERRO</t>
          </r>
        </is>
      </c>
      <c r="C108" s="5" t="inlineStr"/>
      <c r="D108" s="5" t="inlineStr"/>
      <c r="E108" s="5" t="inlineStr"/>
      <c r="F108" s="5" t="inlineStr"/>
      <c r="G108" s="5" t="inlineStr"/>
      <c r="H108" s="6" t="n">
        <f>ROUND(SUM(H109:H112),2)</f>
        <v>154768.79</v>
      </c>
    </row>
    <row r="109" customHeight="0" bestFit="1" ht="20">
      <c r="A109" s="7" t="inlineStr">
        <is>
          <r>
            <t xml:space="preserve">1.4.5.1</t>
          </r>
        </is>
      </c>
      <c r="B109" s="8" t="inlineStr">
        <is>
          <r>
            <t xml:space="preserve">C3211</t>
          </r>
        </is>
      </c>
      <c r="C109" s="9" t="inlineStr">
        <is>
          <r>
            <t xml:space="preserve">ESCAVAÇÃO E CARGA DE MATERIAL DE JAZIDA</t>
          </r>
        </is>
      </c>
      <c r="D109" s="8" t="inlineStr">
        <is>
          <r>
            <t xml:space="preserve">SEINFRA</t>
          </r>
        </is>
      </c>
      <c r="E109" s="8" t="inlineStr">
        <is>
          <r>
            <t xml:space="preserve">M3</t>
          </r>
        </is>
      </c>
      <c r="F109" s="10" t="n">
        <v>3612.24</v>
      </c>
      <c r="G109" s="11" t="n">
        <v>4.81</v>
      </c>
      <c r="H109" s="12" t="n">
        <f>ROUND(ROUND(F109,2)*ROUND(G109,2),2)</f>
        <v>17374.87</v>
      </c>
    </row>
    <row r="110" customHeight="0" bestFit="1" ht="20">
      <c r="A110" s="7" t="inlineStr">
        <is>
          <r>
            <t xml:space="preserve">1.4.5.2</t>
          </r>
        </is>
      </c>
      <c r="B110" s="8" t="inlineStr">
        <is>
          <r>
            <t xml:space="preserve">C2533</t>
          </r>
        </is>
      </c>
      <c r="C110" s="9" t="inlineStr">
        <is>
          <r>
            <t xml:space="preserve">TRANSPORTE DE MATERIAL, EXCETO ROCHA EM CAMINHÃO ATÉ 5 KM</t>
          </r>
        </is>
      </c>
      <c r="D110" s="8" t="inlineStr">
        <is>
          <r>
            <t xml:space="preserve">SEINFRA</t>
          </r>
        </is>
      </c>
      <c r="E110" s="8" t="inlineStr">
        <is>
          <r>
            <t xml:space="preserve">M3</t>
          </r>
        </is>
      </c>
      <c r="F110" s="10" t="n">
        <v>3612.24</v>
      </c>
      <c r="G110" s="11" t="n">
        <v>32.17</v>
      </c>
      <c r="H110" s="12" t="n">
        <f>ROUND(ROUND(F110,2)*ROUND(G110,2),2)</f>
        <v>116205.76</v>
      </c>
    </row>
    <row r="111" customHeight="0" bestFit="1" ht="20">
      <c r="A111" s="7" t="inlineStr">
        <is>
          <r>
            <t xml:space="preserve">1.4.5.3</t>
          </r>
        </is>
      </c>
      <c r="B111" s="8" t="inlineStr">
        <is>
          <r>
            <t xml:space="preserve">C3146</t>
          </r>
        </is>
      </c>
      <c r="C111" s="9" t="inlineStr">
        <is>
          <r>
            <t xml:space="preserve">COMPACTAÇÃO DE ATERROS 100% P.N</t>
          </r>
        </is>
      </c>
      <c r="D111" s="8" t="inlineStr">
        <is>
          <r>
            <t xml:space="preserve">SEINFRA</t>
          </r>
        </is>
      </c>
      <c r="E111" s="8" t="inlineStr">
        <is>
          <r>
            <t xml:space="preserve">M3</t>
          </r>
        </is>
      </c>
      <c r="F111" s="10" t="n">
        <v>3141.08</v>
      </c>
      <c r="G111" s="11" t="n">
        <v>4.94</v>
      </c>
      <c r="H111" s="12" t="n">
        <f>ROUND(ROUND(F111,2)*ROUND(G111,2),2)</f>
        <v>15516.94</v>
      </c>
    </row>
    <row r="112" customHeight="0" bestFit="1" ht="20">
      <c r="A112" s="7" t="inlineStr">
        <is>
          <r>
            <t xml:space="preserve">1.4.5.4</t>
          </r>
        </is>
      </c>
      <c r="B112" s="8" t="inlineStr">
        <is>
          <r>
            <t xml:space="preserve">C2840</t>
          </r>
        </is>
      </c>
      <c r="C112" s="9" t="inlineStr">
        <is>
          <r>
            <t xml:space="preserve">INDENIZAÇÃO DE JAZIDA</t>
          </r>
        </is>
      </c>
      <c r="D112" s="8" t="inlineStr">
        <is>
          <r>
            <t xml:space="preserve">SEINFRA</t>
          </r>
        </is>
      </c>
      <c r="E112" s="8" t="inlineStr">
        <is>
          <r>
            <t xml:space="preserve">M3</t>
          </r>
        </is>
      </c>
      <c r="F112" s="10" t="n">
        <v>3612.24</v>
      </c>
      <c r="G112" s="11" t="n">
        <v>1.57</v>
      </c>
      <c r="H112" s="12" t="n">
        <f>ROUND(ROUND(F112,2)*ROUND(G112,2),2)</f>
        <v>5671.22</v>
      </c>
    </row>
    <row r="113" customHeight="1" ht="20">
      <c r="A113" s="5" t="inlineStr">
        <is>
          <r>
            <t xml:space="preserve">1.4.6</t>
          </r>
        </is>
      </c>
      <c r="B113" s="5" t="inlineStr">
        <is>
          <r>
            <t xml:space="preserve">REGULARIZAÇÃO DO SUBLEITO</t>
          </r>
        </is>
      </c>
      <c r="C113" s="5" t="inlineStr"/>
      <c r="D113" s="5" t="inlineStr"/>
      <c r="E113" s="5" t="inlineStr"/>
      <c r="F113" s="5" t="inlineStr"/>
      <c r="G113" s="5" t="inlineStr"/>
      <c r="H113" s="6" t="n">
        <f>ROUND(SUM(H114:H114),2)</f>
        <v>27840.0</v>
      </c>
    </row>
    <row r="114" customHeight="0" bestFit="1" ht="20">
      <c r="A114" s="7" t="inlineStr">
        <is>
          <r>
            <t xml:space="preserve">1.4.6.1</t>
          </r>
        </is>
      </c>
      <c r="B114" s="8" t="inlineStr">
        <is>
          <r>
            <t xml:space="preserve">C3233</t>
          </r>
        </is>
      </c>
      <c r="C114" s="9" t="inlineStr">
        <is>
          <r>
            <t xml:space="preserve">REGULARIZAÇÃO DO SUB-LEITO</t>
          </r>
        </is>
      </c>
      <c r="D114" s="8" t="inlineStr">
        <is>
          <r>
            <t xml:space="preserve">SEINFRA</t>
          </r>
        </is>
      </c>
      <c r="E114" s="8" t="inlineStr">
        <is>
          <r>
            <t xml:space="preserve">M2</t>
          </r>
        </is>
      </c>
      <c r="F114" s="10" t="n">
        <v>9600.0</v>
      </c>
      <c r="G114" s="11" t="n">
        <v>2.9</v>
      </c>
      <c r="H114" s="12" t="n">
        <f>ROUND(ROUND(F114,2)*ROUND(G114,2),2)</f>
        <v>27840.0</v>
      </c>
    </row>
    <row r="115" customHeight="1" ht="20">
      <c r="A115" s="5" t="inlineStr">
        <is>
          <r>
            <t xml:space="preserve">1.4.7</t>
          </r>
        </is>
      </c>
      <c r="B115" s="5" t="inlineStr">
        <is>
          <r>
            <t xml:space="preserve">BASE</t>
          </r>
        </is>
      </c>
      <c r="C115" s="5" t="inlineStr"/>
      <c r="D115" s="5" t="inlineStr"/>
      <c r="E115" s="5" t="inlineStr"/>
      <c r="F115" s="5" t="inlineStr"/>
      <c r="G115" s="5" t="inlineStr"/>
      <c r="H115" s="6" t="n">
        <f>ROUND(SUM(H116:H118),2)</f>
        <v>165159.33</v>
      </c>
    </row>
    <row r="116" customHeight="0" bestFit="1" ht="20">
      <c r="A116" s="7" t="inlineStr">
        <is>
          <r>
            <t xml:space="preserve">1.4.7.1</t>
          </r>
        </is>
      </c>
      <c r="B116" s="8" t="inlineStr">
        <is>
          <r>
            <t xml:space="preserve">C3132</t>
          </r>
        </is>
      </c>
      <c r="C116" s="9" t="inlineStr">
        <is>
          <r>
            <t xml:space="preserve">BASE DE BRITA GRADUADA (S/TRANSP)</t>
          </r>
        </is>
      </c>
      <c r="D116" s="8" t="inlineStr">
        <is>
          <r>
            <t xml:space="preserve">SEINFRA</t>
          </r>
        </is>
      </c>
      <c r="E116" s="8" t="inlineStr">
        <is>
          <r>
            <t xml:space="preserve">M3</t>
          </r>
        </is>
      </c>
      <c r="F116" s="10" t="n">
        <v>1035.0</v>
      </c>
      <c r="G116" s="11" t="n">
        <v>152.02</v>
      </c>
      <c r="H116" s="12" t="n">
        <f>ROUND(ROUND(F116,2)*ROUND(G116,2),2)</f>
        <v>157340.7</v>
      </c>
    </row>
    <row r="117" customHeight="0" bestFit="1" ht="20">
      <c r="A117" s="7" t="inlineStr">
        <is>
          <r>
            <t xml:space="preserve">1.4.7.2</t>
          </r>
        </is>
      </c>
      <c r="B117" s="8" t="inlineStr">
        <is>
          <r>
            <t xml:space="preserve">C3143</t>
          </r>
        </is>
      </c>
      <c r="C117" s="9" t="inlineStr">
        <is>
          <r>
            <t xml:space="preserve">TRANSPORTE LOCAL C/ DMT ATÉ 4,00 KM (Y = 1,25X + 1,30) - DMT: 0,00</t>
          </r>
        </is>
      </c>
      <c r="D117" s="8" t="inlineStr">
        <is>
          <r>
            <t xml:space="preserve">SEINFRA</t>
          </r>
        </is>
      </c>
      <c r="E117" s="8" t="inlineStr">
        <is>
          <r>
            <t xml:space="preserve">T</t>
          </r>
        </is>
      </c>
      <c r="F117" s="10" t="n">
        <v>1335.15</v>
      </c>
      <c r="G117" s="11" t="n">
        <v>1.3</v>
      </c>
      <c r="H117" s="12" t="n">
        <f>ROUND(ROUND(F117,2)*ROUND(G117,2),2)</f>
        <v>1735.7</v>
      </c>
    </row>
    <row r="118" customHeight="0" bestFit="1" ht="20">
      <c r="A118" s="7" t="inlineStr">
        <is>
          <r>
            <t xml:space="preserve">1.4.7.3</t>
          </r>
        </is>
      </c>
      <c r="B118" s="8" t="inlineStr">
        <is>
          <r>
            <t xml:space="preserve">C2987</t>
          </r>
        </is>
      </c>
      <c r="C118" s="9" t="inlineStr">
        <is>
          <r>
            <t xml:space="preserve">COMPLEMENTAÇÃO DE TRANSPORTE EM CAMINHÃO BASCULANTE</t>
          </r>
        </is>
      </c>
      <c r="D118" s="8" t="inlineStr">
        <is>
          <r>
            <t xml:space="preserve">SEINFRA</t>
          </r>
        </is>
      </c>
      <c r="E118" s="8" t="inlineStr">
        <is>
          <r>
            <t xml:space="preserve">M3xKM</t>
          </r>
        </is>
      </c>
      <c r="F118" s="10" t="n">
        <v>4539.5</v>
      </c>
      <c r="G118" s="11" t="n">
        <v>1.34</v>
      </c>
      <c r="H118" s="12" t="n">
        <f>ROUND(ROUND(F118,2)*ROUND(G118,2),2)</f>
        <v>6082.93</v>
      </c>
    </row>
    <row r="119" customHeight="1" ht="20">
      <c r="A119" s="5" t="inlineStr">
        <is>
          <r>
            <t xml:space="preserve">1.4.8</t>
          </r>
        </is>
      </c>
      <c r="B119" s="5" t="inlineStr">
        <is>
          <r>
            <t xml:space="preserve">PAVIMENTO</t>
          </r>
        </is>
      </c>
      <c r="C119" s="5" t="inlineStr"/>
      <c r="D119" s="5" t="inlineStr"/>
      <c r="E119" s="5" t="inlineStr"/>
      <c r="F119" s="5" t="inlineStr"/>
      <c r="G119" s="5" t="inlineStr"/>
      <c r="H119" s="6" t="n">
        <f>ROUND(SUM(H120:H121),2)</f>
        <v>1044734.8</v>
      </c>
    </row>
    <row r="120" customHeight="0" bestFit="1" ht="20">
      <c r="A120" s="7" t="inlineStr">
        <is>
          <r>
            <t xml:space="preserve">1.4.8.1</t>
          </r>
        </is>
      </c>
      <c r="B120" s="8" t="inlineStr">
        <is>
          <r>
            <t xml:space="preserve">C3782</t>
          </r>
        </is>
      </c>
      <c r="C120" s="9" t="inlineStr">
        <is>
          <r>
            <t xml:space="preserve">PISO PRÉ-MOLDADO ARTICULADO E INTERTRAVADO DE 16 FACES - e = 8,0 cm (35 MPa) P/ TRÁFEGO PESADO</t>
          </r>
        </is>
      </c>
      <c r="D120" s="8" t="inlineStr">
        <is>
          <r>
            <t xml:space="preserve">SEINFRA</t>
          </r>
        </is>
      </c>
      <c r="E120" s="8" t="inlineStr">
        <is>
          <r>
            <t xml:space="preserve">M2</t>
          </r>
        </is>
      </c>
      <c r="F120" s="10" t="n">
        <v>7280.0</v>
      </c>
      <c r="G120" s="11" t="n">
        <v>110.11</v>
      </c>
      <c r="H120" s="12" t="n">
        <f>ROUND(ROUND(F120,2)*ROUND(G120,2),2)</f>
        <v>801600.8</v>
      </c>
    </row>
    <row r="121" customHeight="0" bestFit="1" ht="20">
      <c r="A121" s="7" t="inlineStr">
        <is>
          <r>
            <t xml:space="preserve">1.4.8.2</t>
          </r>
        </is>
      </c>
      <c r="B121" s="8" t="inlineStr">
        <is>
          <r>
            <t xml:space="preserve">C1923</t>
          </r>
        </is>
      </c>
      <c r="C121" s="9" t="inlineStr">
        <is>
          <r>
            <t xml:space="preserve">PISO PRÉ-MOLDADO ARTICULADO E INTERTRAVADO DE 16 FACES - e = 4,5 cm P/ PASSEIO</t>
          </r>
        </is>
      </c>
      <c r="D121" s="8" t="inlineStr">
        <is>
          <r>
            <t xml:space="preserve">SEINFRA</t>
          </r>
        </is>
      </c>
      <c r="E121" s="8" t="inlineStr">
        <is>
          <r>
            <t xml:space="preserve">M2</t>
          </r>
        </is>
      </c>
      <c r="F121" s="10" t="n">
        <v>3400.0</v>
      </c>
      <c r="G121" s="11" t="n">
        <v>71.51</v>
      </c>
      <c r="H121" s="12" t="n">
        <f>ROUND(ROUND(F121,2)*ROUND(G121,2),2)</f>
        <v>243134.0</v>
      </c>
    </row>
    <row r="122" customHeight="1" ht="20">
      <c r="A122" s="5" t="inlineStr">
        <is>
          <r>
            <t xml:space="preserve">1.5</t>
          </r>
        </is>
      </c>
      <c r="B122" s="5" t="inlineStr">
        <is>
          <r>
            <t xml:space="preserve">ACESSIBILIDADE</t>
          </r>
        </is>
      </c>
      <c r="C122" s="5" t="inlineStr"/>
      <c r="D122" s="5" t="inlineStr"/>
      <c r="E122" s="5" t="inlineStr"/>
      <c r="F122" s="5" t="inlineStr"/>
      <c r="G122" s="5" t="inlineStr"/>
      <c r="H122" s="6" t="n">
        <f>ROUND(H123+H126,2)</f>
        <v>178211.31</v>
      </c>
    </row>
    <row r="123" customHeight="1" ht="20">
      <c r="A123" s="5" t="inlineStr">
        <is>
          <r>
            <t xml:space="preserve">1.5.1</t>
          </r>
        </is>
      </c>
      <c r="B123" s="5" t="inlineStr">
        <is>
          <r>
            <t xml:space="preserve">DEMOLIÇÃO DE CALÇADA</t>
          </r>
        </is>
      </c>
      <c r="C123" s="5" t="inlineStr"/>
      <c r="D123" s="5" t="inlineStr"/>
      <c r="E123" s="5" t="inlineStr"/>
      <c r="F123" s="5" t="inlineStr"/>
      <c r="G123" s="5" t="inlineStr"/>
      <c r="H123" s="6" t="n">
        <f>ROUND(SUM(H124:H125),2)</f>
        <v>30467.09</v>
      </c>
    </row>
    <row r="124" customHeight="0" bestFit="1" ht="20">
      <c r="A124" s="7" t="inlineStr">
        <is>
          <r>
            <t xml:space="preserve">1.5.1.1</t>
          </r>
        </is>
      </c>
      <c r="B124" s="8" t="inlineStr">
        <is>
          <r>
            <t xml:space="preserve">C1049</t>
          </r>
        </is>
      </c>
      <c r="C124" s="9" t="inlineStr">
        <is>
          <r>
            <t xml:space="preserve">DEMOLIÇÃO DE CONCRETO SIMPLES</t>
          </r>
        </is>
      </c>
      <c r="D124" s="8" t="inlineStr">
        <is>
          <r>
            <t xml:space="preserve">SEINFRA</t>
          </r>
        </is>
      </c>
      <c r="E124" s="8" t="inlineStr">
        <is>
          <r>
            <t xml:space="preserve">M3</t>
          </r>
        </is>
      </c>
      <c r="F124" s="10" t="n">
        <v>110.4</v>
      </c>
      <c r="G124" s="11" t="n">
        <v>271.39</v>
      </c>
      <c r="H124" s="12" t="n">
        <f>ROUND(ROUND(F124,2)*ROUND(G124,2),2)</f>
        <v>29961.46</v>
      </c>
    </row>
    <row r="125" customHeight="0" bestFit="1" ht="20">
      <c r="A125" s="7" t="inlineStr">
        <is>
          <r>
            <t xml:space="preserve">1.5.1.2</t>
          </r>
        </is>
      </c>
      <c r="B125" s="8" t="inlineStr">
        <is>
          <r>
            <t xml:space="preserve">C0708</t>
          </r>
        </is>
      </c>
      <c r="C125" s="9" t="inlineStr">
        <is>
          <r>
            <t xml:space="preserve">CARGA MECANIZADA DE ENTULHO EM CAMINHÃO BASCULANTE</t>
          </r>
        </is>
      </c>
      <c r="D125" s="8" t="inlineStr">
        <is>
          <r>
            <t xml:space="preserve">SEINFRA</t>
          </r>
        </is>
      </c>
      <c r="E125" s="8" t="inlineStr">
        <is>
          <r>
            <t xml:space="preserve">M3</t>
          </r>
        </is>
      </c>
      <c r="F125" s="10" t="n">
        <v>110.4</v>
      </c>
      <c r="G125" s="11" t="n">
        <v>4.58</v>
      </c>
      <c r="H125" s="12" t="n">
        <f>ROUND(ROUND(F125,2)*ROUND(G125,2),2)</f>
        <v>505.63</v>
      </c>
    </row>
    <row r="126" customHeight="1" ht="20">
      <c r="A126" s="5" t="inlineStr">
        <is>
          <r>
            <t xml:space="preserve">1.5.2</t>
          </r>
        </is>
      </c>
      <c r="B126" s="5" t="inlineStr">
        <is>
          <r>
            <t xml:space="preserve">CALÇADA NOVA</t>
          </r>
        </is>
      </c>
      <c r="C126" s="5" t="inlineStr"/>
      <c r="D126" s="5" t="inlineStr"/>
      <c r="E126" s="5" t="inlineStr"/>
      <c r="F126" s="5" t="inlineStr"/>
      <c r="G126" s="5" t="inlineStr"/>
      <c r="H126" s="6" t="n">
        <f>ROUND(SUM(H127:H128),2)</f>
        <v>147744.22</v>
      </c>
    </row>
    <row r="127" customHeight="0" bestFit="1" ht="20">
      <c r="A127" s="7" t="inlineStr">
        <is>
          <r>
            <t xml:space="preserve">1.5.2.1</t>
          </r>
        </is>
      </c>
      <c r="B127" s="8" t="inlineStr">
        <is>
          <r>
            <t xml:space="preserve">C1923</t>
          </r>
        </is>
      </c>
      <c r="C127" s="9" t="inlineStr">
        <is>
          <r>
            <t xml:space="preserve">PISO PRÉ-MOLDADO ARTICULADO E INTERTRAVADO DE 16 FACES - e = 4,5 cm P/ PASSEIO</t>
          </r>
        </is>
      </c>
      <c r="D127" s="8" t="inlineStr">
        <is>
          <r>
            <t xml:space="preserve">SEINFRA</t>
          </r>
        </is>
      </c>
      <c r="E127" s="8" t="inlineStr">
        <is>
          <r>
            <t xml:space="preserve">M2</t>
          </r>
        </is>
      </c>
      <c r="F127" s="10" t="n">
        <v>1610.6</v>
      </c>
      <c r="G127" s="11" t="n">
        <v>71.51</v>
      </c>
      <c r="H127" s="12" t="n">
        <f>ROUND(ROUND(F127,2)*ROUND(G127,2),2)</f>
        <v>115174.01</v>
      </c>
    </row>
    <row r="128" customHeight="0" bestFit="1" ht="24">
      <c r="A128" s="7" t="inlineStr">
        <is>
          <r>
            <t xml:space="preserve">1.5.2.2</t>
          </r>
        </is>
      </c>
      <c r="B128" s="8" t="inlineStr">
        <is>
          <r>
            <t xml:space="preserve">C4624</t>
          </r>
        </is>
      </c>
      <c r="C128" s="9" t="inlineStr">
        <is>
          <r>
            <t xml:space="preserve">PISO PODOTÁTIL EXTERNO EM PMC ESP. 3CM, ASSENTADO COM ARGAMASSA (FORNECIMENTO E ASSENTAMENTO)</t>
          </r>
        </is>
      </c>
      <c r="D128" s="8" t="inlineStr">
        <is>
          <r>
            <t xml:space="preserve">SEINFRA</t>
          </r>
        </is>
      </c>
      <c r="E128" s="8" t="inlineStr">
        <is>
          <r>
            <t xml:space="preserve">M2</t>
          </r>
        </is>
      </c>
      <c r="F128" s="10" t="n">
        <v>229.4</v>
      </c>
      <c r="G128" s="11" t="n">
        <v>141.98</v>
      </c>
      <c r="H128" s="12" t="n">
        <f>ROUND(ROUND(F128,2)*ROUND(G128,2),2)</f>
        <v>32570.21</v>
      </c>
    </row>
    <row r="129" customHeight="1" ht="20">
      <c r="A129" s="5" t="inlineStr">
        <is>
          <r>
            <t xml:space="preserve">1.6</t>
          </r>
        </is>
      </c>
      <c r="B129" s="5" t="inlineStr">
        <is>
          <r>
            <t xml:space="preserve">DRENAGEM</t>
          </r>
        </is>
      </c>
      <c r="C129" s="5" t="inlineStr"/>
      <c r="D129" s="5" t="inlineStr"/>
      <c r="E129" s="5" t="inlineStr"/>
      <c r="F129" s="5" t="inlineStr"/>
      <c r="G129" s="5" t="inlineStr"/>
      <c r="H129" s="6" t="n">
        <f>ROUND(H130+H152,2)</f>
        <v>1162893.39</v>
      </c>
    </row>
    <row r="130" customHeight="1" ht="20">
      <c r="A130" s="5" t="inlineStr">
        <is>
          <r>
            <t xml:space="preserve">1.6.1</t>
          </r>
        </is>
      </c>
      <c r="B130" s="5" t="inlineStr">
        <is>
          <r>
            <t xml:space="preserve">REDE 01</t>
          </r>
        </is>
      </c>
      <c r="C130" s="5" t="inlineStr"/>
      <c r="D130" s="5" t="inlineStr"/>
      <c r="E130" s="5" t="inlineStr"/>
      <c r="F130" s="5" t="inlineStr"/>
      <c r="G130" s="5" t="inlineStr"/>
      <c r="H130" s="6" t="n">
        <f>ROUND(SUM(H131:H151),2)</f>
        <v>718182.99</v>
      </c>
    </row>
    <row r="131" customHeight="0" bestFit="1" ht="20">
      <c r="A131" s="7" t="inlineStr">
        <is>
          <r>
            <t xml:space="preserve">1.6.1.1</t>
          </r>
        </is>
      </c>
      <c r="B131" s="8" t="inlineStr">
        <is>
          <r>
            <t xml:space="preserve">C2876</t>
          </r>
        </is>
      </c>
      <c r="C131" s="9" t="inlineStr">
        <is>
          <r>
            <t xml:space="preserve">LOCAÇÃO E NIVELAMENTO DE REDE DE ESGOTO/EMISSÁRIO/DRENAGEM</t>
          </r>
        </is>
      </c>
      <c r="D131" s="8" t="inlineStr">
        <is>
          <r>
            <t xml:space="preserve">SEINFRA</t>
          </r>
        </is>
      </c>
      <c r="E131" s="8" t="inlineStr">
        <is>
          <r>
            <t xml:space="preserve">M</t>
          </r>
        </is>
      </c>
      <c r="F131" s="10" t="n">
        <v>899.41</v>
      </c>
      <c r="G131" s="11" t="n">
        <v>2.27</v>
      </c>
      <c r="H131" s="12" t="n">
        <f>ROUND(ROUND(F131,2)*ROUND(G131,2),2)</f>
        <v>2041.66</v>
      </c>
    </row>
    <row r="132" customHeight="0" bestFit="1" ht="20">
      <c r="A132" s="7" t="inlineStr">
        <is>
          <r>
            <t xml:space="preserve">1.6.1.2</t>
          </r>
        </is>
      </c>
      <c r="B132" s="8" t="inlineStr">
        <is>
          <r>
            <t xml:space="preserve">C2790</t>
          </r>
        </is>
      </c>
      <c r="C132" s="9" t="inlineStr">
        <is>
          <r>
            <t xml:space="preserve">ESCAVAÇÃO MECÂNICA SOLO DE 1A CAT. PROF. DE 2.01 a 4.00m</t>
          </r>
        </is>
      </c>
      <c r="D132" s="8" t="inlineStr">
        <is>
          <r>
            <t xml:space="preserve">SEINFRA</t>
          </r>
        </is>
      </c>
      <c r="E132" s="8" t="inlineStr">
        <is>
          <r>
            <t xml:space="preserve">M3</t>
          </r>
        </is>
      </c>
      <c r="F132" s="10" t="n">
        <v>2366.02</v>
      </c>
      <c r="G132" s="11" t="n">
        <v>12.68</v>
      </c>
      <c r="H132" s="12" t="n">
        <f>ROUND(ROUND(F132,2)*ROUND(G132,2),2)</f>
        <v>30001.13</v>
      </c>
    </row>
    <row r="133" customHeight="0" bestFit="1" ht="20">
      <c r="A133" s="7" t="inlineStr">
        <is>
          <r>
            <t xml:space="preserve">1.6.1.3</t>
          </r>
        </is>
      </c>
      <c r="B133" s="8" t="inlineStr">
        <is>
          <r>
            <t xml:space="preserve">C1605</t>
          </r>
        </is>
      </c>
      <c r="C133" s="9" t="inlineStr">
        <is>
          <r>
            <t xml:space="preserve">LASTRO DE BRITA APILOADO MANUALMENTE</t>
          </r>
        </is>
      </c>
      <c r="D133" s="8" t="inlineStr">
        <is>
          <r>
            <t xml:space="preserve">SEINFRA</t>
          </r>
        </is>
      </c>
      <c r="E133" s="8" t="inlineStr">
        <is>
          <r>
            <t xml:space="preserve">M3</t>
          </r>
        </is>
      </c>
      <c r="F133" s="10" t="n">
        <v>215.85</v>
      </c>
      <c r="G133" s="11" t="n">
        <v>166.75</v>
      </c>
      <c r="H133" s="12" t="n">
        <f>ROUND(ROUND(F133,2)*ROUND(G133,2),2)</f>
        <v>35992.99</v>
      </c>
    </row>
    <row r="134" customHeight="0" bestFit="1" ht="20">
      <c r="A134" s="7" t="inlineStr">
        <is>
          <r>
            <t xml:space="preserve">1.6.1.4</t>
          </r>
        </is>
      </c>
      <c r="B134" s="8" t="inlineStr">
        <is>
          <r>
            <t xml:space="preserve">C3144</t>
          </r>
        </is>
      </c>
      <c r="C134" s="9" t="inlineStr">
        <is>
          <r>
            <t xml:space="preserve">TRANSPORTE LOCAL COM DMT ENTRE 4,01 Km E 30,00 Km (Y = 0,89X + 1,30) - DMT: 0,00</t>
          </r>
        </is>
      </c>
      <c r="D134" s="8" t="inlineStr">
        <is>
          <r>
            <t xml:space="preserve">SEINFRA</t>
          </r>
        </is>
      </c>
      <c r="E134" s="8" t="inlineStr">
        <is>
          <r>
            <t xml:space="preserve">T</t>
          </r>
        </is>
      </c>
      <c r="F134" s="10" t="n">
        <v>215.85</v>
      </c>
      <c r="G134" s="11" t="n">
        <v>1.3</v>
      </c>
      <c r="H134" s="12" t="n">
        <f>ROUND(ROUND(F134,2)*ROUND(G134,2),2)</f>
        <v>280.61</v>
      </c>
    </row>
    <row r="135" customHeight="0" bestFit="1" ht="20">
      <c r="A135" s="7" t="inlineStr">
        <is>
          <r>
            <t xml:space="preserve">1.6.1.5</t>
          </r>
        </is>
      </c>
      <c r="B135" s="8" t="inlineStr">
        <is>
          <r>
            <t xml:space="preserve">C2921</t>
          </r>
        </is>
      </c>
      <c r="C135" s="9" t="inlineStr">
        <is>
          <r>
            <t xml:space="preserve">REATERRO C/COMPACTAÇÃO MANUAL S/CONTROLE, MATERIAL DA VALA</t>
          </r>
        </is>
      </c>
      <c r="D135" s="8" t="inlineStr">
        <is>
          <r>
            <t xml:space="preserve">SEINFRA</t>
          </r>
        </is>
      </c>
      <c r="E135" s="8" t="inlineStr">
        <is>
          <r>
            <t xml:space="preserve">M3</t>
          </r>
        </is>
      </c>
      <c r="F135" s="10" t="n">
        <v>395.42</v>
      </c>
      <c r="G135" s="11" t="n">
        <v>31.38</v>
      </c>
      <c r="H135" s="12" t="n">
        <f>ROUND(ROUND(F135,2)*ROUND(G135,2),2)</f>
        <v>12408.28</v>
      </c>
    </row>
    <row r="136" customHeight="0" bestFit="1" ht="20">
      <c r="A136" s="7" t="inlineStr">
        <is>
          <r>
            <t xml:space="preserve">1.6.1.6</t>
          </r>
        </is>
      </c>
      <c r="B136" s="8" t="inlineStr">
        <is>
          <r>
            <t xml:space="preserve">C2920</t>
          </r>
        </is>
      </c>
      <c r="C136" s="9" t="inlineStr">
        <is>
          <r>
            <t xml:space="preserve">REATERRO C/COMPACTAÇÃO MECÂNICA, E CONTROLE, MATERIAL DA VALA</t>
          </r>
        </is>
      </c>
      <c r="D136" s="8" t="inlineStr">
        <is>
          <r>
            <t xml:space="preserve">SEINFRA</t>
          </r>
        </is>
      </c>
      <c r="E136" s="8" t="inlineStr">
        <is>
          <r>
            <t xml:space="preserve">M3</t>
          </r>
        </is>
      </c>
      <c r="F136" s="10" t="n">
        <v>1486.38</v>
      </c>
      <c r="G136" s="11" t="n">
        <v>27.47</v>
      </c>
      <c r="H136" s="12" t="n">
        <f>ROUND(ROUND(F136,2)*ROUND(G136,2),2)</f>
        <v>40830.86</v>
      </c>
    </row>
    <row r="137" customHeight="0" bestFit="1" ht="20">
      <c r="A137" s="7" t="inlineStr">
        <is>
          <r>
            <t xml:space="preserve">1.6.1.7</t>
          </r>
        </is>
      </c>
      <c r="B137" s="8" t="inlineStr">
        <is>
          <r>
            <t xml:space="preserve">C2805</t>
          </r>
        </is>
      </c>
      <c r="C137" s="9" t="inlineStr">
        <is>
          <r>
            <t xml:space="preserve">ESCORAMENTO DESCONTÍNUO COM PRANCHAS DE MADEIRA</t>
          </r>
        </is>
      </c>
      <c r="D137" s="8" t="inlineStr">
        <is>
          <r>
            <t xml:space="preserve">SEINFRA</t>
          </r>
        </is>
      </c>
      <c r="E137" s="8" t="inlineStr">
        <is>
          <r>
            <t xml:space="preserve">M2</t>
          </r>
        </is>
      </c>
      <c r="F137" s="10" t="n">
        <v>4303.09</v>
      </c>
      <c r="G137" s="11" t="n">
        <v>34.84</v>
      </c>
      <c r="H137" s="12" t="n">
        <f>ROUND(ROUND(F137,2)*ROUND(G137,2),2)</f>
        <v>149919.66</v>
      </c>
    </row>
    <row r="138" customHeight="0" bestFit="1" ht="20">
      <c r="A138" s="7" t="inlineStr">
        <is>
          <r>
            <t xml:space="preserve">1.6.1.8</t>
          </r>
        </is>
      </c>
      <c r="B138" s="8" t="inlineStr">
        <is>
          <r>
            <t xml:space="preserve">C2980</t>
          </r>
        </is>
      </c>
      <c r="C138" s="9" t="inlineStr">
        <is>
          <r>
            <t xml:space="preserve">TRANSPORTE DE TUBOS E CONEXÕES DE FoFo, AÇO OU CONCRETO</t>
          </r>
        </is>
      </c>
      <c r="D138" s="8" t="inlineStr">
        <is>
          <r>
            <t xml:space="preserve">SEINFRA</t>
          </r>
        </is>
      </c>
      <c r="E138" s="8" t="inlineStr">
        <is>
          <r>
            <t xml:space="preserve">T</t>
          </r>
        </is>
      </c>
      <c r="F138" s="10" t="n">
        <v>551.8</v>
      </c>
      <c r="G138" s="11" t="n">
        <v>47.49</v>
      </c>
      <c r="H138" s="12" t="n">
        <f>ROUND(ROUND(F138,2)*ROUND(G138,2),2)</f>
        <v>26204.98</v>
      </c>
    </row>
    <row r="139" customHeight="0" bestFit="1" ht="20">
      <c r="A139" s="7" t="inlineStr">
        <is>
          <r>
            <t xml:space="preserve">1.6.1.9</t>
          </r>
        </is>
      </c>
      <c r="B139" s="8" t="inlineStr">
        <is>
          <r>
            <t xml:space="preserve">C0105</t>
          </r>
        </is>
      </c>
      <c r="C139" s="9" t="inlineStr">
        <is>
          <r>
            <t xml:space="preserve">AQUISIÇÃO, ASSENT. E REJUNT. DE TUBO DE CONCRETO ARMADO D= 60cm</t>
          </r>
        </is>
      </c>
      <c r="D139" s="8" t="inlineStr">
        <is>
          <r>
            <t xml:space="preserve">SEINFRA</t>
          </r>
        </is>
      </c>
      <c r="E139" s="8" t="inlineStr">
        <is>
          <r>
            <t xml:space="preserve">M</t>
          </r>
        </is>
      </c>
      <c r="F139" s="10" t="n">
        <v>565.97</v>
      </c>
      <c r="G139" s="11" t="n">
        <v>255.06</v>
      </c>
      <c r="H139" s="12" t="n">
        <f>ROUND(ROUND(F139,2)*ROUND(G139,2),2)</f>
        <v>144356.31</v>
      </c>
    </row>
    <row r="140" customHeight="0" bestFit="1" ht="20">
      <c r="A140" s="7" t="inlineStr">
        <is>
          <r>
            <t xml:space="preserve">1.6.1.10</t>
          </r>
        </is>
      </c>
      <c r="B140" s="8" t="inlineStr">
        <is>
          <r>
            <t xml:space="preserve">C0108</t>
          </r>
        </is>
      </c>
      <c r="C140" s="9" t="inlineStr">
        <is>
          <r>
            <t xml:space="preserve">AQUISIÇÃO, ASSENT. E REJUNT. DE TUBO DE CONCRETO ARMADO D=80cm</t>
          </r>
        </is>
      </c>
      <c r="D140" s="8" t="inlineStr">
        <is>
          <r>
            <t xml:space="preserve">SEINFRA</t>
          </r>
        </is>
      </c>
      <c r="E140" s="8" t="inlineStr">
        <is>
          <r>
            <t xml:space="preserve">M</t>
          </r>
        </is>
      </c>
      <c r="F140" s="10" t="n">
        <v>272.74</v>
      </c>
      <c r="G140" s="11" t="n">
        <v>419.37</v>
      </c>
      <c r="H140" s="12" t="n">
        <f>ROUND(ROUND(F140,2)*ROUND(G140,2),2)</f>
        <v>114378.97</v>
      </c>
    </row>
    <row r="141" customHeight="0" bestFit="1" ht="20">
      <c r="A141" s="7" t="inlineStr">
        <is>
          <r>
            <t xml:space="preserve">1.6.1.11</t>
          </r>
        </is>
      </c>
      <c r="B141" s="8" t="inlineStr">
        <is>
          <r>
            <t xml:space="preserve">C0104</t>
          </r>
        </is>
      </c>
      <c r="C141" s="9" t="inlineStr">
        <is>
          <r>
            <t xml:space="preserve">AQUISIÇÃO, ASSENT. E REJUNT. DE TUBO DE CONCRETO ARMADO D= 100cm</t>
          </r>
        </is>
      </c>
      <c r="D141" s="8" t="inlineStr">
        <is>
          <r>
            <t xml:space="preserve">SEINFRA</t>
          </r>
        </is>
      </c>
      <c r="E141" s="8" t="inlineStr">
        <is>
          <r>
            <t xml:space="preserve">M</t>
          </r>
        </is>
      </c>
      <c r="F141" s="10" t="n">
        <v>61.1</v>
      </c>
      <c r="G141" s="11" t="n">
        <v>514.0</v>
      </c>
      <c r="H141" s="12" t="n">
        <f>ROUND(ROUND(F141,2)*ROUND(G141,2),2)</f>
        <v>31405.4</v>
      </c>
    </row>
    <row r="142" customHeight="0" bestFit="1" ht="20">
      <c r="A142" s="7" t="inlineStr">
        <is>
          <r>
            <t xml:space="preserve">1.6.1.12</t>
          </r>
        </is>
      </c>
      <c r="B142" s="8" t="inlineStr">
        <is>
          <r>
            <t xml:space="preserve">I6061</t>
          </r>
        </is>
      </c>
      <c r="C142" s="9" t="inlineStr">
        <is>
          <r>
            <t xml:space="preserve">ANEL PRE-MOLDADO DE CONCRETO, D = 0,60M, H = 0,50M</t>
          </r>
        </is>
      </c>
      <c r="D142" s="8" t="inlineStr">
        <is>
          <r>
            <t xml:space="preserve">SEINFRA</t>
          </r>
        </is>
      </c>
      <c r="E142" s="8" t="inlineStr">
        <is>
          <r>
            <t xml:space="preserve">UN</t>
          </r>
        </is>
      </c>
      <c r="F142" s="10" t="n">
        <v>50.0</v>
      </c>
      <c r="G142" s="11" t="n">
        <v>55.98</v>
      </c>
      <c r="H142" s="12" t="n">
        <f>ROUND(ROUND(F142,2)*ROUND(G142,2),2)</f>
        <v>2799.0</v>
      </c>
    </row>
    <row r="143" customHeight="0" bestFit="1" ht="20">
      <c r="A143" s="7" t="inlineStr">
        <is>
          <r>
            <t xml:space="preserve">1.6.1.13</t>
          </r>
        </is>
      </c>
      <c r="B143" s="8" t="inlineStr">
        <is>
          <r>
            <t xml:space="preserve">P0600</t>
          </r>
        </is>
      </c>
      <c r="C143" s="9" t="inlineStr">
        <is>
          <r>
            <t xml:space="preserve">EXECUÇÃO DE CAIXA DE PASSAGEM PATA TUBO DE CONCRETO, DIÂMETRO ATÉ 0,60M</t>
          </r>
        </is>
      </c>
      <c r="D143" s="8" t="inlineStr"/>
      <c r="E143" s="8" t="inlineStr">
        <is>
          <r>
            <t xml:space="preserve">UND</t>
          </r>
        </is>
      </c>
      <c r="F143" s="10" t="n">
        <v>13.0</v>
      </c>
      <c r="G143" s="11" t="n">
        <v>804.95</v>
      </c>
      <c r="H143" s="12" t="n">
        <f>ROUND(ROUND(F143,2)*ROUND(G143,2),2)</f>
        <v>10464.35</v>
      </c>
    </row>
    <row r="144" customHeight="0" bestFit="1" ht="20">
      <c r="A144" s="7" t="inlineStr">
        <is>
          <r>
            <t xml:space="preserve">1.6.1.14</t>
          </r>
        </is>
      </c>
      <c r="B144" s="8" t="inlineStr">
        <is>
          <r>
            <t xml:space="preserve">P0601</t>
          </r>
        </is>
      </c>
      <c r="C144" s="9" t="inlineStr">
        <is>
          <r>
            <t xml:space="preserve">EXECUÇÃO DE CAIXA DE PASSAGEM PARA TUBO DE CONCRETO, DIÂMETRO DE 0,80M</t>
          </r>
        </is>
      </c>
      <c r="D144" s="8" t="inlineStr"/>
      <c r="E144" s="8" t="inlineStr">
        <is>
          <r>
            <t xml:space="preserve">UND</t>
          </r>
        </is>
      </c>
      <c r="F144" s="10" t="n">
        <v>6.0</v>
      </c>
      <c r="G144" s="11" t="n">
        <v>1089.53</v>
      </c>
      <c r="H144" s="12" t="n">
        <f>ROUND(ROUND(F144,2)*ROUND(G144,2),2)</f>
        <v>6537.18</v>
      </c>
    </row>
    <row r="145" customHeight="0" bestFit="1" ht="20">
      <c r="A145" s="7" t="inlineStr">
        <is>
          <r>
            <t xml:space="preserve">1.6.1.15</t>
          </r>
        </is>
      </c>
      <c r="B145" s="8" t="inlineStr">
        <is>
          <r>
            <t xml:space="preserve">P0602 </t>
          </r>
        </is>
      </c>
      <c r="C145" s="9" t="inlineStr">
        <is>
          <r>
            <t xml:space="preserve">EXECUÇÃO DE CAIXA DE PASSAGEM PARA TUBO DE CONCRETO, DIÂMETRO DE 1,00M</t>
          </r>
        </is>
      </c>
      <c r="D145" s="8" t="inlineStr"/>
      <c r="E145" s="8" t="inlineStr">
        <is>
          <r>
            <t xml:space="preserve">UND</t>
          </r>
        </is>
      </c>
      <c r="F145" s="10" t="n">
        <v>2.0</v>
      </c>
      <c r="G145" s="11" t="n">
        <v>6299.73</v>
      </c>
      <c r="H145" s="12" t="n">
        <f>ROUND(ROUND(F145,2)*ROUND(G145,2),2)</f>
        <v>12599.46</v>
      </c>
    </row>
    <row r="146" customHeight="0" bestFit="1" ht="20">
      <c r="A146" s="7" t="inlineStr">
        <is>
          <r>
            <t xml:space="preserve">1.6.1.16</t>
          </r>
        </is>
      </c>
      <c r="B146" s="8" t="inlineStr">
        <is>
          <r>
            <t xml:space="preserve">P0492</t>
          </r>
        </is>
      </c>
      <c r="C146" s="9" t="inlineStr">
        <is>
          <r>
            <t xml:space="preserve">CARGA, DESCARGA MANUAL E TRANSPORTE DE PLACA DE CONCRETO, DISTÂNCIA DE ATÉ 5 KM</t>
          </r>
        </is>
      </c>
      <c r="D146" s="8" t="inlineStr"/>
      <c r="E146" s="8" t="inlineStr">
        <is>
          <r>
            <t xml:space="preserve">M3</t>
          </r>
        </is>
      </c>
      <c r="F146" s="10" t="n">
        <v>9.44</v>
      </c>
      <c r="G146" s="11" t="n">
        <v>74.04</v>
      </c>
      <c r="H146" s="12" t="n">
        <f>ROUND(ROUND(F146,2)*ROUND(G146,2),2)</f>
        <v>698.94</v>
      </c>
    </row>
    <row r="147" customHeight="0" bestFit="1" ht="20">
      <c r="A147" s="7" t="inlineStr">
        <is>
          <r>
            <t xml:space="preserve">1.6.1.17</t>
          </r>
        </is>
      </c>
      <c r="B147" s="8" t="inlineStr">
        <is>
          <r>
            <t xml:space="preserve">I1931</t>
          </r>
        </is>
      </c>
      <c r="C147" s="9" t="inlineStr">
        <is>
          <r>
            <t xml:space="preserve">TAMPÃO FERRO FUNDIDO PARA POÇO DE VISITA T-170</t>
          </r>
        </is>
      </c>
      <c r="D147" s="8" t="inlineStr">
        <is>
          <r>
            <t xml:space="preserve">SEINFRA</t>
          </r>
        </is>
      </c>
      <c r="E147" s="8" t="inlineStr">
        <is>
          <r>
            <t xml:space="preserve">UN</t>
          </r>
        </is>
      </c>
      <c r="F147" s="10" t="n">
        <v>21.0</v>
      </c>
      <c r="G147" s="11" t="n">
        <v>1105.63</v>
      </c>
      <c r="H147" s="12" t="n">
        <f>ROUND(ROUND(F147,2)*ROUND(G147,2),2)</f>
        <v>23218.23</v>
      </c>
    </row>
    <row r="148" customHeight="0" bestFit="1" ht="20">
      <c r="A148" s="7" t="inlineStr">
        <is>
          <r>
            <t xml:space="preserve">1.6.1.18</t>
          </r>
        </is>
      </c>
      <c r="B148" s="8" t="inlineStr">
        <is>
          <r>
            <t xml:space="preserve">P0493</t>
          </r>
        </is>
      </c>
      <c r="C148" s="9" t="inlineStr">
        <is>
          <r>
            <t xml:space="preserve">ROMPIMENTO DE TUBO DE CONCRETO, Ø DE 300 A 600 MM</t>
          </r>
        </is>
      </c>
      <c r="D148" s="8" t="inlineStr"/>
      <c r="E148" s="8" t="inlineStr">
        <is>
          <r>
            <t xml:space="preserve">UN</t>
          </r>
        </is>
      </c>
      <c r="F148" s="10" t="n">
        <v>13.0</v>
      </c>
      <c r="G148" s="11" t="n">
        <v>188.15</v>
      </c>
      <c r="H148" s="12" t="n">
        <f>ROUND(ROUND(F148,2)*ROUND(G148,2),2)</f>
        <v>2445.95</v>
      </c>
    </row>
    <row r="149" customHeight="0" bestFit="1" ht="20">
      <c r="A149" s="7" t="inlineStr">
        <is>
          <r>
            <t xml:space="preserve">1.6.1.19</t>
          </r>
        </is>
      </c>
      <c r="B149" s="8" t="inlineStr">
        <is>
          <r>
            <t xml:space="preserve">P0494</t>
          </r>
        </is>
      </c>
      <c r="C149" s="9" t="inlineStr">
        <is>
          <r>
            <t xml:space="preserve">ROMPIMENTO DE TUBO DE CONCRETO, Ø DE 800 A 1500 MM</t>
          </r>
        </is>
      </c>
      <c r="D149" s="8" t="inlineStr"/>
      <c r="E149" s="8" t="inlineStr">
        <is>
          <r>
            <t xml:space="preserve">UN</t>
          </r>
        </is>
      </c>
      <c r="F149" s="10" t="n">
        <v>8.0</v>
      </c>
      <c r="G149" s="11" t="n">
        <v>195.84</v>
      </c>
      <c r="H149" s="12" t="n">
        <f>ROUND(ROUND(F149,2)*ROUND(G149,2),2)</f>
        <v>1566.72</v>
      </c>
    </row>
    <row r="150" customHeight="0" bestFit="1" ht="24">
      <c r="A150" s="7" t="inlineStr">
        <is>
          <r>
            <t xml:space="preserve">1.6.1.20</t>
          </r>
        </is>
      </c>
      <c r="B150" s="8" t="inlineStr">
        <is>
          <r>
            <t xml:space="preserve">P0490</t>
          </r>
        </is>
      </c>
      <c r="C150" s="9" t="inlineStr">
        <is>
          <r>
            <t xml:space="preserve">CAIXA PARA BOCA DE LOBO SIMPLES RETANGULAR, EM ALVENARIA COM BLOCOS DE CONCRETO, DIMENSÕES INTERNAS: 0,6X1X1,2 M. AF_12/2020</t>
          </r>
        </is>
      </c>
      <c r="D150" s="8" t="inlineStr"/>
      <c r="E150" s="8" t="inlineStr">
        <is>
          <r>
            <t xml:space="preserve">UN</t>
          </r>
        </is>
      </c>
      <c r="F150" s="10" t="n">
        <v>16.0</v>
      </c>
      <c r="G150" s="11" t="n">
        <v>1432.13</v>
      </c>
      <c r="H150" s="12" t="n">
        <f>ROUND(ROUND(F150,2)*ROUND(G150,2),2)</f>
        <v>22914.08</v>
      </c>
    </row>
    <row r="151" customHeight="0" bestFit="1" ht="20">
      <c r="A151" s="7" t="inlineStr">
        <is>
          <r>
            <t xml:space="preserve">1.6.1.21</t>
          </r>
        </is>
      </c>
      <c r="B151" s="8" t="inlineStr">
        <is>
          <r>
            <t xml:space="preserve">P0495</t>
          </r>
        </is>
      </c>
      <c r="C151" s="9" t="inlineStr">
        <is>
          <r>
            <t xml:space="preserve">DISSIPADOR DE ENERGIA, PARA REDES Ø 1000 MM. (EXECUÇÃO)</t>
          </r>
        </is>
      </c>
      <c r="D151" s="8" t="inlineStr"/>
      <c r="E151" s="8" t="inlineStr">
        <is>
          <r>
            <t xml:space="preserve">UN</t>
          </r>
        </is>
      </c>
      <c r="F151" s="10" t="n">
        <v>1.0</v>
      </c>
      <c r="G151" s="11" t="n">
        <v>47118.23</v>
      </c>
      <c r="H151" s="12" t="n">
        <f>ROUND(ROUND(F151,2)*ROUND(G151,2),2)</f>
        <v>47118.23</v>
      </c>
    </row>
    <row r="152" customHeight="1" ht="20">
      <c r="A152" s="5" t="inlineStr">
        <is>
          <r>
            <t xml:space="preserve">1.6.2</t>
          </r>
        </is>
      </c>
      <c r="B152" s="5" t="inlineStr">
        <is>
          <r>
            <t xml:space="preserve">MEIO FIO E SARJETA</t>
          </r>
        </is>
      </c>
      <c r="C152" s="5" t="inlineStr"/>
      <c r="D152" s="5" t="inlineStr"/>
      <c r="E152" s="5" t="inlineStr"/>
      <c r="F152" s="5" t="inlineStr"/>
      <c r="G152" s="5" t="inlineStr"/>
      <c r="H152" s="6" t="n">
        <f>ROUND(SUM(H153:H154),2)</f>
        <v>444710.4</v>
      </c>
    </row>
    <row r="153" customHeight="0" bestFit="1" ht="20">
      <c r="A153" s="7" t="inlineStr">
        <is>
          <r>
            <t xml:space="preserve">1.6.2.1</t>
          </r>
        </is>
      </c>
      <c r="B153" s="8" t="inlineStr">
        <is>
          <r>
            <t xml:space="preserve">C0366</t>
          </r>
        </is>
      </c>
      <c r="C153" s="9" t="inlineStr">
        <is>
          <r>
            <t xml:space="preserve">BANQUETA/ MEIO FIO DE CONCRETO P/ VIAS URBANAS (1,00x0,35x0,15m)</t>
          </r>
        </is>
      </c>
      <c r="D153" s="8" t="inlineStr">
        <is>
          <r>
            <t xml:space="preserve">SEINFRA</t>
          </r>
        </is>
      </c>
      <c r="E153" s="8" t="inlineStr">
        <is>
          <r>
            <t xml:space="preserve">M</t>
          </r>
        </is>
      </c>
      <c r="F153" s="10" t="n">
        <v>1920.0</v>
      </c>
      <c r="G153" s="11" t="n">
        <v>61.44</v>
      </c>
      <c r="H153" s="12" t="n">
        <f>ROUND(ROUND(F153,2)*ROUND(G153,2),2)</f>
        <v>117964.8</v>
      </c>
    </row>
    <row r="154" customHeight="0" bestFit="1" ht="20">
      <c r="A154" s="7" t="inlineStr">
        <is>
          <r>
            <t xml:space="preserve">1.6.2.2</t>
          </r>
        </is>
      </c>
      <c r="B154" s="8" t="inlineStr">
        <is>
          <r>
            <t xml:space="preserve">C3111</t>
          </r>
        </is>
      </c>
      <c r="C154" s="9" t="inlineStr">
        <is>
          <r>
            <t xml:space="preserve">SARJETA DE CONCRETO SIMPLES "U" C/H=0,35m/E=0,08m</t>
          </r>
        </is>
      </c>
      <c r="D154" s="8" t="inlineStr">
        <is>
          <r>
            <t xml:space="preserve">SEINFRA</t>
          </r>
        </is>
      </c>
      <c r="E154" s="8" t="inlineStr">
        <is>
          <r>
            <t xml:space="preserve">M</t>
          </r>
        </is>
      </c>
      <c r="F154" s="10" t="n">
        <v>1920.0</v>
      </c>
      <c r="G154" s="11" t="n">
        <v>170.18</v>
      </c>
      <c r="H154" s="12" t="n">
        <f>ROUND(ROUND(F154,2)*ROUND(G154,2),2)</f>
        <v>326745.6</v>
      </c>
    </row>
    <row r="155" customHeight="1" ht="20">
      <c r="A155" s="5" t="inlineStr">
        <is>
          <r>
            <t xml:space="preserve">1.7</t>
          </r>
        </is>
      </c>
      <c r="B155" s="5" t="inlineStr">
        <is>
          <r>
            <t xml:space="preserve">SINALIZAÇÃO</t>
          </r>
        </is>
      </c>
      <c r="C155" s="5" t="inlineStr"/>
      <c r="D155" s="5" t="inlineStr"/>
      <c r="E155" s="5" t="inlineStr"/>
      <c r="F155" s="5" t="inlineStr"/>
      <c r="G155" s="5" t="inlineStr"/>
      <c r="H155" s="6" t="n">
        <f>ROUND(SUM(H156:H156),2)</f>
        <v>6907.19</v>
      </c>
    </row>
    <row r="156" customHeight="0" bestFit="1" ht="20">
      <c r="A156" s="7" t="inlineStr">
        <is>
          <r>
            <t xml:space="preserve">1.7.1</t>
          </r>
        </is>
      </c>
      <c r="B156" s="8" t="inlineStr">
        <is>
          <r>
            <t xml:space="preserve">C3297</t>
          </r>
        </is>
      </c>
      <c r="C156" s="9" t="inlineStr">
        <is>
          <r>
            <t xml:space="preserve">PLACA DE REGULAMENTAÇÃO/ADVERTÊNCIA REFLETIVA EM AÇO GALVANIZADO C/PELÍCULA ANTI-PICHANTE</t>
          </r>
        </is>
      </c>
      <c r="D156" s="8" t="inlineStr">
        <is>
          <r>
            <t xml:space="preserve">SEINFRA</t>
          </r>
        </is>
      </c>
      <c r="E156" s="8" t="inlineStr">
        <is>
          <r>
            <t xml:space="preserve">M2</t>
          </r>
        </is>
      </c>
      <c r="F156" s="10" t="n">
        <v>8.08</v>
      </c>
      <c r="G156" s="11" t="n">
        <v>854.85</v>
      </c>
      <c r="H156" s="12" t="n">
        <f>ROUND(ROUND(F156,2)*ROUND(G156,2),2)</f>
        <v>6907.19</v>
      </c>
    </row>
    <row r="157" customHeight="1" ht="15">
      <c r="A157" s="2" t="inlineStr"/>
      <c r="B157" s="2" t="inlineStr"/>
      <c r="C157" s="2" t="inlineStr"/>
      <c r="D157" s="2" t="inlineStr"/>
      <c r="E157" s="2" t="inlineStr"/>
      <c r="F157" s="13" t="inlineStr">
        <is>
          <r>
            <t xml:space="preserve">VALOR BDI TOTAL:</t>
          </r>
        </is>
      </c>
      <c r="G157" s="13" t="inlineStr"/>
      <c r="H157" s="6" t="n">
        <f>H159-H158</f>
        <v>0.0</v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13" t="inlineStr">
        <is>
          <r>
            <t xml:space="preserve">VALOR ORÇAMENTO:</t>
          </r>
        </is>
      </c>
      <c r="G158" s="13" t="inlineStr"/>
      <c r="H158" s="6" t="n">
        <v>9153860.08</v>
      </c>
    </row>
    <row r="159" customHeight="1" ht="15">
      <c r="A159" s="2" t="inlineStr"/>
      <c r="B159" s="2" t="inlineStr"/>
      <c r="C159" s="2" t="inlineStr"/>
      <c r="D159" s="2" t="inlineStr"/>
      <c r="E159" s="2" t="inlineStr"/>
      <c r="F159" s="13" t="inlineStr">
        <is>
          <r>
            <t xml:space="preserve">VALOR TOTAL:</t>
          </r>
        </is>
      </c>
      <c r="G159" s="13" t="inlineStr"/>
      <c r="H159" s="6" t="n">
        <f>H4</f>
        <v>9153860.08</v>
      </c>
    </row>
  </sheetData>
  <mergeCells>
    <mergeCell ref="A1:H1"/>
    <mergeCell ref="B2:G2"/>
    <mergeCell ref="B4:G4"/>
    <mergeCell ref="B5:G5"/>
    <mergeCell ref="B7:G7"/>
    <mergeCell ref="B15:G15"/>
    <mergeCell ref="B16:G16"/>
    <mergeCell ref="B22:G22"/>
    <mergeCell ref="B23:G23"/>
    <mergeCell ref="B25:G25"/>
    <mergeCell ref="B27:G27"/>
    <mergeCell ref="B29:G29"/>
    <mergeCell ref="B32:G32"/>
    <mergeCell ref="B35:G35"/>
    <mergeCell ref="B41:G41"/>
    <mergeCell ref="B47:G47"/>
    <mergeCell ref="B53:G53"/>
    <mergeCell ref="B64:G64"/>
    <mergeCell ref="B74:G74"/>
    <mergeCell ref="B79:G79"/>
    <mergeCell ref="B85:G85"/>
    <mergeCell ref="B86:G86"/>
    <mergeCell ref="B91:G91"/>
    <mergeCell ref="B93:G93"/>
    <mergeCell ref="B94:G94"/>
    <mergeCell ref="B96:G96"/>
    <mergeCell ref="B102:G102"/>
    <mergeCell ref="B106:G106"/>
    <mergeCell ref="B108:G108"/>
    <mergeCell ref="B113:G113"/>
    <mergeCell ref="B115:G115"/>
    <mergeCell ref="B119:G119"/>
    <mergeCell ref="B122:G122"/>
    <mergeCell ref="B123:G123"/>
    <mergeCell ref="B126:G126"/>
    <mergeCell ref="B129:G129"/>
    <mergeCell ref="B130:G130"/>
    <mergeCell ref="B152:G152"/>
    <mergeCell ref="B155:G155"/>
    <mergeCell ref="F157:G157"/>
    <mergeCell ref="F158:G158"/>
    <mergeCell ref="F159:G159"/>
  </mergeCells>
  <pageMargins left="0.5" right="0.5" top="0.5" bottom="0.5" header="0.0" footer="0.0"/>
  <pageSetup orientation="portrait" scale="85" paperSize="9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7"/>
  <sheetViews>
    <sheetView workbookViewId="0"/>
  </sheetViews>
  <sheetFormatPr defaultRowHeight="15"/>
  <cols>
    <col min="1" max="1" customWidth="true" width="9.333333"/>
    <col min="2" max="2" customWidth="true" width="62.5"/>
    <col min="3" max="3" customWidth="true" width="22.833334"/>
    <col min="4" max="4" customWidth="true" width="12.5"/>
    <col min="5" max="5" customWidth="true" width="8.333333"/>
  </cols>
  <sheetData>
    <row r="1" customHeight="1" ht="44">
      <c r="A1" s="14" t="inlineStr"/>
      <c r="B1" s="14" t="inlineStr"/>
      <c r="C1" s="14" t="inlineStr"/>
      <c r="D1" s="14" t="inlineStr"/>
      <c r="E1" s="14" t="inlineStr"/>
    </row>
    <row r="2" customHeight="1" ht="22">
      <c r="A2" s="14" t="inlineStr"/>
      <c r="B2" s="14" t="inlineStr"/>
      <c r="C2" s="14" t="inlineStr"/>
      <c r="D2" s="14" t="inlineStr"/>
      <c r="E2" s="14" t="inlineStr"/>
    </row>
    <row r="3" customHeight="1" ht="6">
      <c r="A3" s="14" t="inlineStr"/>
      <c r="B3" s="14" t="inlineStr"/>
      <c r="C3" s="14" t="inlineStr"/>
      <c r="D3" s="14" t="inlineStr"/>
      <c r="E3" s="14" t="inlineStr"/>
    </row>
    <row r="4" customHeight="1" ht="20">
      <c r="A4" s="15" t="inlineStr">
        <is>
          <r>
            <t xml:space="preserve">1</t>
          </r>
        </is>
      </c>
      <c r="B4" s="15" t="inlineStr">
        <is>
          <r>
            <t xml:space="preserve">LOTE 01 - PACATUBA</t>
          </r>
        </is>
      </c>
      <c r="C4" s="15" t="inlineStr"/>
      <c r="D4" s="16" t="n">
        <v>9153860.08</v>
      </c>
      <c r="E4" s="17" t="n">
        <v>100.0</v>
      </c>
    </row>
    <row r="5" customHeight="1" ht="15">
      <c r="A5" s="2" t="inlineStr"/>
      <c r="B5" s="2" t="inlineStr"/>
      <c r="C5" s="13" t="inlineStr">
        <is>
          <r>
            <t xml:space="preserve">VALOR BDI TOTAL:</t>
          </r>
        </is>
      </c>
      <c r="D5" s="16" t="n">
        <v>0.0</v>
      </c>
      <c r="E5" s="17" t="n">
        <v>100.0</v>
      </c>
    </row>
    <row r="6" customHeight="1" ht="15">
      <c r="A6" s="2" t="inlineStr"/>
      <c r="B6" s="2" t="inlineStr"/>
      <c r="C6" s="13" t="inlineStr">
        <is>
          <r>
            <t xml:space="preserve">VALOR ORÇAMENTO:</t>
          </r>
        </is>
      </c>
      <c r="D6" s="16" t="n">
        <v>9153860.08</v>
      </c>
      <c r="E6" s="2" t="inlineStr"/>
    </row>
    <row r="7" customHeight="1" ht="15">
      <c r="A7" s="2" t="inlineStr"/>
      <c r="B7" s="2" t="inlineStr"/>
      <c r="C7" s="13" t="inlineStr">
        <is>
          <r>
            <t xml:space="preserve">VALOR TOTAL:</t>
          </r>
        </is>
      </c>
      <c r="D7" s="16" t="n">
        <v>9153860.08</v>
      </c>
      <c r="E7" s="2" t="inlineStr"/>
    </row>
  </sheetData>
  <mergeCells>
    <mergeCell ref="A1:E3"/>
    <mergeCell ref="B4:C4"/>
  </mergeCells>
  <pageMargins left="0.5" right="0.5" top="0.5" bottom="0.5" header="0.0" footer="0.0"/>
  <pageSetup orientation="landscape" scale="85" paperSize="77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1600"/>
  <sheetViews>
    <sheetView workbookViewId="0"/>
  </sheetViews>
  <sheetFormatPr defaultRowHeight="15"/>
  <cols>
    <col min="1" max="1" customWidth="true" width="10.333333"/>
    <col min="2" max="2" customWidth="true" width="45.833332"/>
    <col min="3" max="3" customWidth="true" width="15.5"/>
    <col min="4" max="4" customWidth="true" width="6.1666665"/>
    <col min="5" max="5" customWidth="true" width="12.5"/>
    <col min="6" max="6" customWidth="true" width="12.5"/>
    <col min="7" max="7" customWidth="true" width="12.5"/>
  </cols>
  <sheetData>
    <row r="1" customHeight="1" ht="72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10">
      <c r="A2" s="2" t="inlineStr"/>
      <c r="B2" s="2" t="inlineStr"/>
      <c r="C2" s="2" t="inlineStr"/>
      <c r="D2" s="2" t="inlineStr"/>
      <c r="E2" s="18" t="inlineStr"/>
      <c r="F2" s="18" t="inlineStr"/>
      <c r="G2" s="18" t="inlineStr"/>
    </row>
    <row r="3" customHeight="1" ht="20">
      <c r="A3" s="19" t="inlineStr">
        <is>
          <r>
            <t xml:space="preserve">1.1.1. ​P0489​ ADMINISTRAÇÃO LOCAL SEINFRA 10 MESES​ (%)</t>
          </r>
        </is>
      </c>
      <c r="B3" s="19" t="inlineStr"/>
      <c r="C3" s="19" t="inlineStr"/>
      <c r="D3" s="19" t="inlineStr"/>
      <c r="E3" s="19" t="inlineStr"/>
      <c r="F3" s="19" t="inlineStr"/>
      <c r="G3" s="19" t="inlineStr"/>
    </row>
    <row r="4" customHeight="1" ht="15">
      <c r="A4" s="20" t="inlineStr">
        <is>
          <r>
            <t xml:space="preserve">Mão de Obra</t>
          </r>
        </is>
      </c>
      <c r="B4" s="20" t="inlineStr"/>
      <c r="C4" s="21" t="inlineStr">
        <is>
          <r>
            <t xml:space="preserve">FONTE</t>
          </r>
        </is>
      </c>
      <c r="D4" s="21" t="inlineStr">
        <is>
          <r>
            <t xml:space="preserve">UNID</t>
          </r>
        </is>
      </c>
      <c r="E4" s="21" t="inlineStr">
        <is>
          <r>
            <t xml:space="preserve">COEFICIENTE</t>
          </r>
        </is>
      </c>
      <c r="F4" s="21" t="inlineStr">
        <is>
          <r>
            <t xml:space="preserve">PREÇO UNITÁRIO</t>
          </r>
        </is>
      </c>
      <c r="G4" s="21" t="inlineStr">
        <is>
          <r>
            <t xml:space="preserve">TOTAL</t>
          </r>
        </is>
      </c>
    </row>
    <row r="5" customHeight="1" ht="15">
      <c r="A5" s="22" t="inlineStr">
        <is>
          <r>
            <t xml:space="preserve">I8596</t>
          </r>
        </is>
      </c>
      <c r="B5" s="23" t="inlineStr">
        <is>
          <r>
            <t xml:space="preserve">AUXILIAR DE LABORATÓRIO</t>
          </r>
        </is>
      </c>
      <c r="C5" s="22" t="inlineStr">
        <is>
          <r>
            <t xml:space="preserve">SEINFRA</t>
          </r>
        </is>
      </c>
      <c r="D5" s="22" t="inlineStr">
        <is>
          <r>
            <t xml:space="preserve">MÊS</t>
          </r>
        </is>
      </c>
      <c r="E5" s="24" t="n">
        <v>0.2</v>
      </c>
      <c r="F5" s="25" t="n">
        <v>3348.9</v>
      </c>
      <c r="G5" s="25" t="n">
        <f>ROUND(ROUND(E5,8)*F5,2)</f>
        <v>669.78</v>
      </c>
    </row>
    <row r="6" customHeight="1" ht="15">
      <c r="A6" s="22" t="inlineStr">
        <is>
          <r>
            <t xml:space="preserve">I8590</t>
          </r>
        </is>
      </c>
      <c r="B6" s="23" t="inlineStr">
        <is>
          <r>
            <t xml:space="preserve">ENCARREGADO GERAL/MESTRE DE OBRAS</t>
          </r>
        </is>
      </c>
      <c r="C6" s="22" t="inlineStr">
        <is>
          <r>
            <t xml:space="preserve">SEINFRA</t>
          </r>
        </is>
      </c>
      <c r="D6" s="22" t="inlineStr">
        <is>
          <r>
            <t xml:space="preserve">MÊS</t>
          </r>
        </is>
      </c>
      <c r="E6" s="24" t="n">
        <v>0.8</v>
      </c>
      <c r="F6" s="25" t="n">
        <v>6171.03</v>
      </c>
      <c r="G6" s="25" t="n">
        <f>ROUND(ROUND(E6,8)*F6,2)</f>
        <v>4936.82</v>
      </c>
    </row>
    <row r="7" customHeight="1" ht="15">
      <c r="A7" s="22" t="inlineStr">
        <is>
          <r>
            <t xml:space="preserve">I8583</t>
          </r>
        </is>
      </c>
      <c r="B7" s="23" t="inlineStr">
        <is>
          <r>
            <t xml:space="preserve">ENGENHEIRO PLENO</t>
          </r>
        </is>
      </c>
      <c r="C7" s="22" t="inlineStr">
        <is>
          <r>
            <t xml:space="preserve">SEINFRA</t>
          </r>
        </is>
      </c>
      <c r="D7" s="22" t="inlineStr">
        <is>
          <r>
            <t xml:space="preserve">MÊS</t>
          </r>
        </is>
      </c>
      <c r="E7" s="24" t="n">
        <v>0.5</v>
      </c>
      <c r="F7" s="25" t="n">
        <v>21959.24</v>
      </c>
      <c r="G7" s="25" t="n">
        <f>ROUND(ROUND(E7,8)*F7,2)</f>
        <v>10979.62</v>
      </c>
    </row>
    <row r="8" customHeight="1" ht="15">
      <c r="A8" s="22" t="inlineStr">
        <is>
          <r>
            <t xml:space="preserve">I8594</t>
          </r>
        </is>
      </c>
      <c r="B8" s="23" t="inlineStr">
        <is>
          <r>
            <t xml:space="preserve">LABORATORISTA</t>
          </r>
        </is>
      </c>
      <c r="C8" s="22" t="inlineStr">
        <is>
          <r>
            <t xml:space="preserve">SEINFRA</t>
          </r>
        </is>
      </c>
      <c r="D8" s="22" t="inlineStr">
        <is>
          <r>
            <t xml:space="preserve">MÊS</t>
          </r>
        </is>
      </c>
      <c r="E8" s="24" t="n">
        <v>0.2</v>
      </c>
      <c r="F8" s="25" t="n">
        <v>5528.07</v>
      </c>
      <c r="G8" s="25" t="n">
        <f>ROUND(ROUND(E8,8)*F8,2)</f>
        <v>1105.61</v>
      </c>
    </row>
    <row r="9" customHeight="1" ht="15">
      <c r="A9" s="22" t="inlineStr">
        <is>
          <r>
            <t xml:space="preserve">I8587</t>
          </r>
        </is>
      </c>
      <c r="B9" s="23" t="inlineStr">
        <is>
          <r>
            <t xml:space="preserve">TECNICO NÍVEL MÉDIO</t>
          </r>
        </is>
      </c>
      <c r="C9" s="22" t="inlineStr">
        <is>
          <r>
            <t xml:space="preserve">SEINFRA</t>
          </r>
        </is>
      </c>
      <c r="D9" s="22" t="inlineStr">
        <is>
          <r>
            <t xml:space="preserve">MÊS</t>
          </r>
        </is>
      </c>
      <c r="E9" s="24" t="n">
        <v>0.8</v>
      </c>
      <c r="F9" s="25" t="n">
        <v>5811.81</v>
      </c>
      <c r="G9" s="25" t="n">
        <f>ROUND(ROUND(E9,8)*F9,2)</f>
        <v>4649.45</v>
      </c>
    </row>
    <row r="10" customHeight="1" ht="15">
      <c r="A10" s="22" t="inlineStr">
        <is>
          <r>
            <t xml:space="preserve">I8588</t>
          </r>
        </is>
      </c>
      <c r="B10" s="23" t="inlineStr">
        <is>
          <r>
            <t xml:space="preserve">TECNICO SEGURANÇA TRABALHO</t>
          </r>
        </is>
      </c>
      <c r="C10" s="22" t="inlineStr">
        <is>
          <r>
            <t xml:space="preserve">SEINFRA</t>
          </r>
        </is>
      </c>
      <c r="D10" s="22" t="inlineStr">
        <is>
          <r>
            <t xml:space="preserve">MÊS</t>
          </r>
        </is>
      </c>
      <c r="E10" s="24" t="n">
        <v>0.8</v>
      </c>
      <c r="F10" s="25" t="n">
        <v>5386.94</v>
      </c>
      <c r="G10" s="25" t="n">
        <f>ROUND(ROUND(E10,8)*F10,2)</f>
        <v>4309.55</v>
      </c>
    </row>
    <row r="11" customHeight="1" ht="15">
      <c r="A11" s="2" t="inlineStr"/>
      <c r="B11" s="2" t="inlineStr"/>
      <c r="C11" s="2" t="inlineStr"/>
      <c r="D11" s="2" t="inlineStr"/>
      <c r="E11" s="26" t="inlineStr">
        <is>
          <r>
            <t xml:space="preserve">TOTAL Mão de Obra:</t>
          </r>
        </is>
      </c>
      <c r="F11" s="26" t="inlineStr"/>
      <c r="G11" s="27" t="n">
        <f>SUM(G5:G10)</f>
        <v>26650.83</v>
      </c>
    </row>
    <row r="12" customHeight="1" ht="15">
      <c r="A12" s="2" t="inlineStr"/>
      <c r="B12" s="2" t="inlineStr"/>
      <c r="C12" s="2" t="inlineStr"/>
      <c r="D12" s="2" t="inlineStr"/>
      <c r="E12" s="28" t="inlineStr">
        <is>
          <r>
            <t xml:space="preserve">VALOR:</t>
          </r>
        </is>
      </c>
      <c r="F12" s="28" t="inlineStr"/>
      <c r="G12" s="29" t="n">
        <f>ROUND(SUM(G11),2)</f>
        <v>26650.83</v>
      </c>
    </row>
    <row r="13" customHeight="1" ht="15">
      <c r="A13" s="2" t="inlineStr"/>
      <c r="B13" s="2" t="inlineStr"/>
      <c r="C13" s="2" t="inlineStr"/>
      <c r="D13" s="2" t="inlineStr"/>
      <c r="E13" s="28" t="inlineStr">
        <is>
          <r>
            <t xml:space="preserve">VALOR BDI:</t>
          </r>
        </is>
      </c>
      <c r="F13" s="28" t="inlineStr"/>
      <c r="G13" s="29" t="n">
        <f>ROUND(G12*(0/100),2)</f>
        <v>0.0</v>
      </c>
    </row>
    <row r="14" customHeight="1" ht="15">
      <c r="A14" s="2" t="inlineStr"/>
      <c r="B14" s="2" t="inlineStr"/>
      <c r="C14" s="2" t="inlineStr"/>
      <c r="D14" s="2" t="inlineStr"/>
      <c r="E14" s="28" t="inlineStr">
        <is>
          <r>
            <t xml:space="preserve">VALOR COM BDI:</t>
          </r>
        </is>
      </c>
      <c r="F14" s="28" t="inlineStr"/>
      <c r="G14" s="29" t="n">
        <f>G13+G12</f>
        <v>26650.83</v>
      </c>
    </row>
    <row r="15" customHeight="1" ht="10">
      <c r="A15" s="2" t="inlineStr"/>
      <c r="B15" s="2" t="inlineStr"/>
      <c r="C15" s="2" t="inlineStr"/>
      <c r="D15" s="2" t="inlineStr"/>
      <c r="E15" s="18" t="inlineStr"/>
      <c r="F15" s="18" t="inlineStr"/>
      <c r="G15" s="18" t="inlineStr"/>
    </row>
    <row r="16" customHeight="1" ht="20">
      <c r="A16" s="19" t="inlineStr">
        <is>
          <r>
            <t xml:space="preserve">1.2.1. ​C1937​ PLACAS PADRÃO DE OBRA​ (M2)</t>
          </r>
        </is>
      </c>
      <c r="B16" s="19" t="inlineStr"/>
      <c r="C16" s="19" t="inlineStr"/>
      <c r="D16" s="19" t="inlineStr"/>
      <c r="E16" s="19" t="inlineStr"/>
      <c r="F16" s="19" t="inlineStr"/>
      <c r="G16" s="19" t="inlineStr"/>
    </row>
    <row r="17" customHeight="1" ht="15">
      <c r="A17" s="20" t="inlineStr">
        <is>
          <r>
            <t xml:space="preserve">Material</t>
          </r>
        </is>
      </c>
      <c r="B17" s="20" t="inlineStr"/>
      <c r="C17" s="21" t="inlineStr">
        <is>
          <r>
            <t xml:space="preserve">FONTE</t>
          </r>
        </is>
      </c>
      <c r="D17" s="21" t="inlineStr">
        <is>
          <r>
            <t xml:space="preserve">UNID</t>
          </r>
        </is>
      </c>
      <c r="E17" s="21" t="inlineStr">
        <is>
          <r>
            <t xml:space="preserve">COEFICIENTE</t>
          </r>
        </is>
      </c>
      <c r="F17" s="21" t="inlineStr">
        <is>
          <r>
            <t xml:space="preserve">PREÇO UNITÁRIO</t>
          </r>
        </is>
      </c>
      <c r="G17" s="21" t="inlineStr">
        <is>
          <r>
            <t xml:space="preserve">TOTAL</t>
          </r>
        </is>
      </c>
    </row>
    <row r="18" customHeight="1" ht="15">
      <c r="A18" s="22" t="inlineStr">
        <is>
          <r>
            <t xml:space="preserve">I0537</t>
          </r>
        </is>
      </c>
      <c r="B18" s="23" t="inlineStr">
        <is>
          <r>
            <t xml:space="preserve">CHAPA DE AÇO GALVANIZADA ESP. 0.3MM</t>
          </r>
        </is>
      </c>
      <c r="C18" s="22" t="inlineStr">
        <is>
          <r>
            <t xml:space="preserve">SEINFRA</t>
          </r>
        </is>
      </c>
      <c r="D18" s="22" t="inlineStr">
        <is>
          <r>
            <t xml:space="preserve">M2</t>
          </r>
        </is>
      </c>
      <c r="E18" s="24" t="n">
        <v>1.02</v>
      </c>
      <c r="F18" s="30" t="n">
        <v>39.03</v>
      </c>
      <c r="G18" s="30" t="n">
        <f>ROUND(ROUND(E18,8)*F18,4)</f>
        <v>39.8106</v>
      </c>
    </row>
    <row r="19" customHeight="1" ht="15">
      <c r="A19" s="22" t="inlineStr">
        <is>
          <r>
            <t xml:space="preserve">I1100</t>
          </r>
        </is>
      </c>
      <c r="B19" s="23" t="inlineStr">
        <is>
          <r>
            <t xml:space="preserve">ESMALTE SINTETICO</t>
          </r>
        </is>
      </c>
      <c r="C19" s="22" t="inlineStr">
        <is>
          <r>
            <t xml:space="preserve">SEINFRA</t>
          </r>
        </is>
      </c>
      <c r="D19" s="22" t="inlineStr">
        <is>
          <r>
            <t xml:space="preserve">L</t>
          </r>
        </is>
      </c>
      <c r="E19" s="24" t="n">
        <v>1.0</v>
      </c>
      <c r="F19" s="30" t="n">
        <v>31.88</v>
      </c>
      <c r="G19" s="30" t="n">
        <f>ROUND(ROUND(E19,8)*F19,4)</f>
        <v>31.88</v>
      </c>
    </row>
    <row r="20" customHeight="1" ht="15">
      <c r="A20" s="22" t="inlineStr">
        <is>
          <r>
            <t xml:space="preserve">I1691</t>
          </r>
        </is>
      </c>
      <c r="B20" s="23" t="inlineStr">
        <is>
          <r>
            <t xml:space="preserve">PONTALETE / BARROTE DE 3"x3"</t>
          </r>
        </is>
      </c>
      <c r="C20" s="22" t="inlineStr">
        <is>
          <r>
            <t xml:space="preserve">SEINFRA</t>
          </r>
        </is>
      </c>
      <c r="D20" s="22" t="inlineStr">
        <is>
          <r>
            <t xml:space="preserve">M</t>
          </r>
        </is>
      </c>
      <c r="E20" s="24" t="n">
        <v>4.5</v>
      </c>
      <c r="F20" s="30" t="n">
        <v>16.09</v>
      </c>
      <c r="G20" s="30" t="n">
        <f>ROUND(ROUND(E20,8)*F20,4)</f>
        <v>72.405</v>
      </c>
    </row>
    <row r="21" customHeight="1" ht="21">
      <c r="A21" s="22" t="inlineStr">
        <is>
          <r>
            <t xml:space="preserve">I1725</t>
          </r>
        </is>
      </c>
      <c r="B21" s="23" t="inlineStr">
        <is>
          <r>
            <t xml:space="preserve">PREGO 15X15 (1.1/4" x 13) (APROXIMADAMENTE 672UN/KG)</t>
          </r>
        </is>
      </c>
      <c r="C21" s="22" t="inlineStr">
        <is>
          <r>
            <t xml:space="preserve">SEINFRA</t>
          </r>
        </is>
      </c>
      <c r="D21" s="22" t="inlineStr">
        <is>
          <r>
            <t xml:space="preserve">KG</t>
          </r>
        </is>
      </c>
      <c r="E21" s="24" t="n">
        <v>0.15</v>
      </c>
      <c r="F21" s="30" t="n">
        <v>15.99</v>
      </c>
      <c r="G21" s="30" t="n">
        <f>ROUND(ROUND(E21,8)*F21,4)</f>
        <v>2.3985</v>
      </c>
    </row>
    <row r="22" customHeight="1" ht="15">
      <c r="A22" s="2" t="inlineStr"/>
      <c r="B22" s="2" t="inlineStr"/>
      <c r="C22" s="2" t="inlineStr"/>
      <c r="D22" s="2" t="inlineStr"/>
      <c r="E22" s="26" t="inlineStr">
        <is>
          <r>
            <t xml:space="preserve">TOTAL Material:</t>
          </r>
        </is>
      </c>
      <c r="F22" s="26" t="inlineStr"/>
      <c r="G22" s="31" t="n">
        <f>SUM(G18:G21)</f>
        <v>146.4941</v>
      </c>
    </row>
    <row r="23" customHeight="1" ht="15">
      <c r="A23" s="20" t="inlineStr">
        <is>
          <r>
            <t xml:space="preserve">Mão de Obra</t>
          </r>
        </is>
      </c>
      <c r="B23" s="20" t="inlineStr"/>
      <c r="C23" s="21" t="inlineStr">
        <is>
          <r>
            <t xml:space="preserve">FONTE</t>
          </r>
        </is>
      </c>
      <c r="D23" s="21" t="inlineStr">
        <is>
          <r>
            <t xml:space="preserve">UNID</t>
          </r>
        </is>
      </c>
      <c r="E23" s="21" t="inlineStr">
        <is>
          <r>
            <t xml:space="preserve">COEFICIENTE</t>
          </r>
        </is>
      </c>
      <c r="F23" s="21" t="inlineStr">
        <is>
          <r>
            <t xml:space="preserve">PREÇO UNITÁRIO</t>
          </r>
        </is>
      </c>
      <c r="G23" s="21" t="inlineStr">
        <is>
          <r>
            <t xml:space="preserve">TOTAL</t>
          </r>
        </is>
      </c>
    </row>
    <row r="24" customHeight="1" ht="15">
      <c r="A24" s="22" t="inlineStr">
        <is>
          <r>
            <t xml:space="preserve">I2543</t>
          </r>
        </is>
      </c>
      <c r="B24" s="23" t="inlineStr">
        <is>
          <r>
            <t xml:space="preserve">SERVENTE</t>
          </r>
        </is>
      </c>
      <c r="C24" s="22" t="inlineStr">
        <is>
          <r>
            <t xml:space="preserve">SEINFRA</t>
          </r>
        </is>
      </c>
      <c r="D24" s="22" t="inlineStr">
        <is>
          <r>
            <t xml:space="preserve">H</t>
          </r>
        </is>
      </c>
      <c r="E24" s="24" t="n">
        <v>2.0</v>
      </c>
      <c r="F24" s="30" t="n">
        <v>18.46</v>
      </c>
      <c r="G24" s="30" t="n">
        <f>ROUND(ROUND(E24,8)*F24,4)</f>
        <v>36.92</v>
      </c>
    </row>
    <row r="25" customHeight="1" ht="15">
      <c r="A25" s="2" t="inlineStr"/>
      <c r="B25" s="2" t="inlineStr"/>
      <c r="C25" s="2" t="inlineStr"/>
      <c r="D25" s="2" t="inlineStr"/>
      <c r="E25" s="26" t="inlineStr">
        <is>
          <r>
            <t xml:space="preserve">TOTAL Mão de Obra:</t>
          </r>
        </is>
      </c>
      <c r="F25" s="26" t="inlineStr"/>
      <c r="G25" s="31" t="n">
        <f>SUM(G24:G24)</f>
        <v>36.92</v>
      </c>
    </row>
    <row r="26" customHeight="1" ht="15">
      <c r="A26" s="2" t="inlineStr"/>
      <c r="B26" s="2" t="inlineStr"/>
      <c r="C26" s="2" t="inlineStr"/>
      <c r="D26" s="2" t="inlineStr"/>
      <c r="E26" s="28" t="inlineStr">
        <is>
          <r>
            <t xml:space="preserve">VALOR:</t>
          </r>
        </is>
      </c>
      <c r="F26" s="28" t="inlineStr"/>
      <c r="G26" s="29" t="n">
        <f>ROUND(SUM(G22,G25),2)</f>
        <v>183.41</v>
      </c>
    </row>
    <row r="27" customHeight="1" ht="15">
      <c r="A27" s="2" t="inlineStr"/>
      <c r="B27" s="2" t="inlineStr"/>
      <c r="C27" s="2" t="inlineStr"/>
      <c r="D27" s="2" t="inlineStr"/>
      <c r="E27" s="28" t="inlineStr">
        <is>
          <r>
            <t xml:space="preserve">VALOR BDI:</t>
          </r>
        </is>
      </c>
      <c r="F27" s="28" t="inlineStr"/>
      <c r="G27" s="29" t="n">
        <f>ROUND(G26*(0/100),2)</f>
        <v>0.0</v>
      </c>
    </row>
    <row r="28" customHeight="1" ht="15">
      <c r="A28" s="2" t="inlineStr"/>
      <c r="B28" s="2" t="inlineStr"/>
      <c r="C28" s="2" t="inlineStr"/>
      <c r="D28" s="2" t="inlineStr"/>
      <c r="E28" s="28" t="inlineStr">
        <is>
          <r>
            <t xml:space="preserve">VALOR COM BDI:</t>
          </r>
        </is>
      </c>
      <c r="F28" s="28" t="inlineStr"/>
      <c r="G28" s="29" t="n">
        <f>G27+G26</f>
        <v>183.41</v>
      </c>
    </row>
    <row r="29" customHeight="1" ht="10">
      <c r="A29" s="2" t="inlineStr"/>
      <c r="B29" s="2" t="inlineStr"/>
      <c r="C29" s="2" t="inlineStr"/>
      <c r="D29" s="2" t="inlineStr"/>
      <c r="E29" s="18" t="inlineStr"/>
      <c r="F29" s="18" t="inlineStr"/>
      <c r="G29" s="18" t="inlineStr"/>
    </row>
    <row r="30" customHeight="1" ht="20">
      <c r="A30" s="19" t="inlineStr">
        <is>
          <r>
            <t xml:space="preserve">1.2.2. ​C4990​ MOBILIZAÇÃO DE EQUIPAMENTOS EM CAMINHÃO EQUIPADO COM GUINDASTE​ (KM)</t>
          </r>
        </is>
      </c>
      <c r="B30" s="19" t="inlineStr"/>
      <c r="C30" s="19" t="inlineStr"/>
      <c r="D30" s="19" t="inlineStr"/>
      <c r="E30" s="19" t="inlineStr"/>
      <c r="F30" s="19" t="inlineStr"/>
      <c r="G30" s="19" t="inlineStr"/>
    </row>
    <row r="31" customHeight="1" ht="15">
      <c r="A31" s="20" t="inlineStr">
        <is>
          <r>
            <t xml:space="preserve">Equipamento Custo Horário</t>
          </r>
        </is>
      </c>
      <c r="B31" s="20" t="inlineStr"/>
      <c r="C31" s="21" t="inlineStr">
        <is>
          <r>
            <t xml:space="preserve">FONTE</t>
          </r>
        </is>
      </c>
      <c r="D31" s="21" t="inlineStr">
        <is>
          <r>
            <t xml:space="preserve">UNID</t>
          </r>
        </is>
      </c>
      <c r="E31" s="21" t="inlineStr">
        <is>
          <r>
            <t xml:space="preserve">COEFICIENTE</t>
          </r>
        </is>
      </c>
      <c r="F31" s="21" t="inlineStr">
        <is>
          <r>
            <t xml:space="preserve">PREÇO UNITÁRIO</t>
          </r>
        </is>
      </c>
      <c r="G31" s="21" t="inlineStr">
        <is>
          <r>
            <t xml:space="preserve">TOTAL</t>
          </r>
        </is>
      </c>
    </row>
    <row r="32" customHeight="1" ht="15">
      <c r="A32" s="22" t="inlineStr">
        <is>
          <r>
            <t xml:space="preserve">I0705</t>
          </r>
        </is>
      </c>
      <c r="B32" s="23" t="inlineStr">
        <is>
          <r>
            <t xml:space="preserve">CAMINHÃO COMERC. EQUIP. C/GUINDASTE (CHP)</t>
          </r>
        </is>
      </c>
      <c r="C32" s="22" t="inlineStr">
        <is>
          <r>
            <t xml:space="preserve">SEINFRA</t>
          </r>
        </is>
      </c>
      <c r="D32" s="22" t="inlineStr">
        <is>
          <r>
            <t xml:space="preserve">H</t>
          </r>
        </is>
      </c>
      <c r="E32" s="24" t="n">
        <v>0.0185</v>
      </c>
      <c r="F32" s="30" t="n">
        <v>169.7613</v>
      </c>
      <c r="G32" s="30" t="n">
        <f>ROUND(ROUND(E32,8)*F32,4)</f>
        <v>3.1406</v>
      </c>
    </row>
    <row r="33" customHeight="1" ht="18">
      <c r="A33" s="2" t="inlineStr"/>
      <c r="B33" s="2" t="inlineStr"/>
      <c r="C33" s="2" t="inlineStr"/>
      <c r="D33" s="2" t="inlineStr"/>
      <c r="E33" s="26" t="inlineStr">
        <is>
          <r>
            <t xml:space="preserve">TOTAL Equipamento Custo Horário:</t>
          </r>
        </is>
      </c>
      <c r="F33" s="26" t="inlineStr"/>
      <c r="G33" s="31" t="n">
        <f>SUM(G32:G32)</f>
        <v>3.1406</v>
      </c>
    </row>
    <row r="34" customHeight="1" ht="15">
      <c r="A34" s="2" t="inlineStr"/>
      <c r="B34" s="2" t="inlineStr"/>
      <c r="C34" s="2" t="inlineStr"/>
      <c r="D34" s="2" t="inlineStr"/>
      <c r="E34" s="28" t="inlineStr">
        <is>
          <r>
            <t xml:space="preserve">VALOR:</t>
          </r>
        </is>
      </c>
      <c r="F34" s="28" t="inlineStr"/>
      <c r="G34" s="29" t="n">
        <f>ROUND(SUM(G33),2)</f>
        <v>3.14</v>
      </c>
    </row>
    <row r="35" customHeight="1" ht="15">
      <c r="A35" s="2" t="inlineStr"/>
      <c r="B35" s="2" t="inlineStr"/>
      <c r="C35" s="2" t="inlineStr"/>
      <c r="D35" s="2" t="inlineStr"/>
      <c r="E35" s="28" t="inlineStr">
        <is>
          <r>
            <t xml:space="preserve">VALOR BDI:</t>
          </r>
        </is>
      </c>
      <c r="F35" s="28" t="inlineStr"/>
      <c r="G35" s="29" t="n">
        <f>ROUND(G34*(0/100),2)</f>
        <v>0.0</v>
      </c>
    </row>
    <row r="36" customHeight="1" ht="15">
      <c r="A36" s="2" t="inlineStr"/>
      <c r="B36" s="2" t="inlineStr"/>
      <c r="C36" s="2" t="inlineStr"/>
      <c r="D36" s="2" t="inlineStr"/>
      <c r="E36" s="28" t="inlineStr">
        <is>
          <r>
            <t xml:space="preserve">VALOR COM BDI:</t>
          </r>
        </is>
      </c>
      <c r="F36" s="28" t="inlineStr"/>
      <c r="G36" s="29" t="n">
        <f>G35+G34</f>
        <v>3.14</v>
      </c>
    </row>
    <row r="37" customHeight="1" ht="10">
      <c r="A37" s="2" t="inlineStr"/>
      <c r="B37" s="2" t="inlineStr"/>
      <c r="C37" s="2" t="inlineStr"/>
      <c r="D37" s="2" t="inlineStr"/>
      <c r="E37" s="18" t="inlineStr"/>
      <c r="F37" s="18" t="inlineStr"/>
      <c r="G37" s="18" t="inlineStr"/>
    </row>
    <row r="38" customHeight="1" ht="20">
      <c r="A38" s="19" t="inlineStr">
        <is>
          <r>
            <t xml:space="preserve">1.2.3. ​C4991​ DESMOBILIZAÇÃO DE EQUIPAMENTOS EM CAMINHÃO EQUIPADO COM GUINDASTE​ (KM)</t>
          </r>
        </is>
      </c>
      <c r="B38" s="19" t="inlineStr"/>
      <c r="C38" s="19" t="inlineStr"/>
      <c r="D38" s="19" t="inlineStr"/>
      <c r="E38" s="19" t="inlineStr"/>
      <c r="F38" s="19" t="inlineStr"/>
      <c r="G38" s="19" t="inlineStr"/>
    </row>
    <row r="39" customHeight="1" ht="15">
      <c r="A39" s="20" t="inlineStr">
        <is>
          <r>
            <t xml:space="preserve">Equipamento Custo Horário</t>
          </r>
        </is>
      </c>
      <c r="B39" s="20" t="inlineStr"/>
      <c r="C39" s="21" t="inlineStr">
        <is>
          <r>
            <t xml:space="preserve">FONTE</t>
          </r>
        </is>
      </c>
      <c r="D39" s="21" t="inlineStr">
        <is>
          <r>
            <t xml:space="preserve">UNID</t>
          </r>
        </is>
      </c>
      <c r="E39" s="21" t="inlineStr">
        <is>
          <r>
            <t xml:space="preserve">COEFICIENTE</t>
          </r>
        </is>
      </c>
      <c r="F39" s="21" t="inlineStr">
        <is>
          <r>
            <t xml:space="preserve">PREÇO UNITÁRIO</t>
          </r>
        </is>
      </c>
      <c r="G39" s="21" t="inlineStr">
        <is>
          <r>
            <t xml:space="preserve">TOTAL</t>
          </r>
        </is>
      </c>
    </row>
    <row r="40" customHeight="1" ht="15">
      <c r="A40" s="22" t="inlineStr">
        <is>
          <r>
            <t xml:space="preserve">I0705</t>
          </r>
        </is>
      </c>
      <c r="B40" s="23" t="inlineStr">
        <is>
          <r>
            <t xml:space="preserve">CAMINHÃO COMERC. EQUIP. C/GUINDASTE (CHP)</t>
          </r>
        </is>
      </c>
      <c r="C40" s="22" t="inlineStr">
        <is>
          <r>
            <t xml:space="preserve">SEINFRA</t>
          </r>
        </is>
      </c>
      <c r="D40" s="22" t="inlineStr">
        <is>
          <r>
            <t xml:space="preserve">H</t>
          </r>
        </is>
      </c>
      <c r="E40" s="24" t="n">
        <v>0.0185</v>
      </c>
      <c r="F40" s="30" t="n">
        <v>169.7613</v>
      </c>
      <c r="G40" s="30" t="n">
        <f>ROUND(ROUND(E40,8)*F40,4)</f>
        <v>3.1406</v>
      </c>
    </row>
    <row r="41" customHeight="1" ht="18">
      <c r="A41" s="2" t="inlineStr"/>
      <c r="B41" s="2" t="inlineStr"/>
      <c r="C41" s="2" t="inlineStr"/>
      <c r="D41" s="2" t="inlineStr"/>
      <c r="E41" s="26" t="inlineStr">
        <is>
          <r>
            <t xml:space="preserve">TOTAL Equipamento Custo Horário:</t>
          </r>
        </is>
      </c>
      <c r="F41" s="26" t="inlineStr"/>
      <c r="G41" s="31" t="n">
        <f>SUM(G40:G40)</f>
        <v>3.1406</v>
      </c>
    </row>
    <row r="42" customHeight="1" ht="15">
      <c r="A42" s="2" t="inlineStr"/>
      <c r="B42" s="2" t="inlineStr"/>
      <c r="C42" s="2" t="inlineStr"/>
      <c r="D42" s="2" t="inlineStr"/>
      <c r="E42" s="28" t="inlineStr">
        <is>
          <r>
            <t xml:space="preserve">VALOR:</t>
          </r>
        </is>
      </c>
      <c r="F42" s="28" t="inlineStr"/>
      <c r="G42" s="29" t="n">
        <f>ROUND(SUM(G41),2)</f>
        <v>3.14</v>
      </c>
    </row>
    <row r="43" customHeight="1" ht="15">
      <c r="A43" s="2" t="inlineStr"/>
      <c r="B43" s="2" t="inlineStr"/>
      <c r="C43" s="2" t="inlineStr"/>
      <c r="D43" s="2" t="inlineStr"/>
      <c r="E43" s="28" t="inlineStr">
        <is>
          <r>
            <t xml:space="preserve">VALOR BDI:</t>
          </r>
        </is>
      </c>
      <c r="F43" s="28" t="inlineStr"/>
      <c r="G43" s="29" t="n">
        <f>ROUND(G42*(0/100),2)</f>
        <v>0.0</v>
      </c>
    </row>
    <row r="44" customHeight="1" ht="15">
      <c r="A44" s="2" t="inlineStr"/>
      <c r="B44" s="2" t="inlineStr"/>
      <c r="C44" s="2" t="inlineStr"/>
      <c r="D44" s="2" t="inlineStr"/>
      <c r="E44" s="28" t="inlineStr">
        <is>
          <r>
            <t xml:space="preserve">VALOR COM BDI:</t>
          </r>
        </is>
      </c>
      <c r="F44" s="28" t="inlineStr"/>
      <c r="G44" s="29" t="n">
        <f>G43+G42</f>
        <v>3.14</v>
      </c>
    </row>
    <row r="45" customHeight="1" ht="10">
      <c r="A45" s="2" t="inlineStr"/>
      <c r="B45" s="2" t="inlineStr"/>
      <c r="C45" s="2" t="inlineStr"/>
      <c r="D45" s="2" t="inlineStr"/>
      <c r="E45" s="18" t="inlineStr"/>
      <c r="F45" s="18" t="inlineStr"/>
      <c r="G45" s="18" t="inlineStr"/>
    </row>
    <row r="46" customHeight="1" ht="20">
      <c r="A46" s="19" t="inlineStr">
        <is>
          <r>
            <t xml:space="preserve">1.2.4. ​C4994​ LOCAÇÃO DE CONTÊINER ALMOXARIFADO COM PISO NAVAL - 6,00M X 2,35M​ (MÊS)</t>
          </r>
        </is>
      </c>
      <c r="B46" s="19" t="inlineStr"/>
      <c r="C46" s="19" t="inlineStr"/>
      <c r="D46" s="19" t="inlineStr"/>
      <c r="E46" s="19" t="inlineStr"/>
      <c r="F46" s="19" t="inlineStr"/>
      <c r="G46" s="19" t="inlineStr"/>
    </row>
    <row r="47" customHeight="1" ht="15">
      <c r="A47" s="20" t="inlineStr">
        <is>
          <r>
            <t xml:space="preserve">Material</t>
          </r>
        </is>
      </c>
      <c r="B47" s="20" t="inlineStr"/>
      <c r="C47" s="21" t="inlineStr">
        <is>
          <r>
            <t xml:space="preserve">FONTE</t>
          </r>
        </is>
      </c>
      <c r="D47" s="21" t="inlineStr">
        <is>
          <r>
            <t xml:space="preserve">UNID</t>
          </r>
        </is>
      </c>
      <c r="E47" s="21" t="inlineStr">
        <is>
          <r>
            <t xml:space="preserve">COEFICIENTE</t>
          </r>
        </is>
      </c>
      <c r="F47" s="21" t="inlineStr">
        <is>
          <r>
            <t xml:space="preserve">PREÇO UNITÁRIO</t>
          </r>
        </is>
      </c>
      <c r="G47" s="21" t="inlineStr">
        <is>
          <r>
            <t xml:space="preserve">TOTAL</t>
          </r>
        </is>
      </c>
    </row>
    <row r="48" customHeight="1" ht="21">
      <c r="A48" s="22" t="inlineStr">
        <is>
          <r>
            <t xml:space="preserve">I9469</t>
          </r>
        </is>
      </c>
      <c r="B48" s="23" t="inlineStr">
        <is>
          <r>
            <t xml:space="preserve">LOCAÇÃO DE CONTÊINER ALMOXARIFADO COM PISO NAVAL - 6,00M X 2,35M</t>
          </r>
        </is>
      </c>
      <c r="C48" s="22" t="inlineStr">
        <is>
          <r>
            <t xml:space="preserve">SEINFRA</t>
          </r>
        </is>
      </c>
      <c r="D48" s="22" t="inlineStr">
        <is>
          <r>
            <t xml:space="preserve">MÊS</t>
          </r>
        </is>
      </c>
      <c r="E48" s="24" t="n">
        <v>1.0</v>
      </c>
      <c r="F48" s="30" t="n">
        <v>800.6</v>
      </c>
      <c r="G48" s="30" t="n">
        <f>ROUND(ROUND(E48,8)*F48,4)</f>
        <v>800.6</v>
      </c>
    </row>
    <row r="49" customHeight="1" ht="15">
      <c r="A49" s="2" t="inlineStr"/>
      <c r="B49" s="2" t="inlineStr"/>
      <c r="C49" s="2" t="inlineStr"/>
      <c r="D49" s="2" t="inlineStr"/>
      <c r="E49" s="26" t="inlineStr">
        <is>
          <r>
            <t xml:space="preserve">TOTAL Material:</t>
          </r>
        </is>
      </c>
      <c r="F49" s="26" t="inlineStr"/>
      <c r="G49" s="31" t="n">
        <f>SUM(G48:G48)</f>
        <v>800.6</v>
      </c>
    </row>
    <row r="50" customHeight="1" ht="15">
      <c r="A50" s="2" t="inlineStr"/>
      <c r="B50" s="2" t="inlineStr"/>
      <c r="C50" s="2" t="inlineStr"/>
      <c r="D50" s="2" t="inlineStr"/>
      <c r="E50" s="28" t="inlineStr">
        <is>
          <r>
            <t xml:space="preserve">VALOR:</t>
          </r>
        </is>
      </c>
      <c r="F50" s="28" t="inlineStr"/>
      <c r="G50" s="29" t="n">
        <f>ROUND(SUM(G49),2)</f>
        <v>800.6</v>
      </c>
    </row>
    <row r="51" customHeight="1" ht="15">
      <c r="A51" s="2" t="inlineStr"/>
      <c r="B51" s="2" t="inlineStr"/>
      <c r="C51" s="2" t="inlineStr"/>
      <c r="D51" s="2" t="inlineStr"/>
      <c r="E51" s="28" t="inlineStr">
        <is>
          <r>
            <t xml:space="preserve">VALOR BDI:</t>
          </r>
        </is>
      </c>
      <c r="F51" s="28" t="inlineStr"/>
      <c r="G51" s="29" t="n">
        <f>ROUND(G50*(0/100),2)</f>
        <v>0.0</v>
      </c>
    </row>
    <row r="52" customHeight="1" ht="15">
      <c r="A52" s="2" t="inlineStr"/>
      <c r="B52" s="2" t="inlineStr"/>
      <c r="C52" s="2" t="inlineStr"/>
      <c r="D52" s="2" t="inlineStr"/>
      <c r="E52" s="28" t="inlineStr">
        <is>
          <r>
            <t xml:space="preserve">VALOR COM BDI:</t>
          </r>
        </is>
      </c>
      <c r="F52" s="28" t="inlineStr"/>
      <c r="G52" s="29" t="n">
        <f>G51+G50</f>
        <v>800.6</v>
      </c>
    </row>
    <row r="53" customHeight="1" ht="10">
      <c r="A53" s="2" t="inlineStr"/>
      <c r="B53" s="2" t="inlineStr"/>
      <c r="C53" s="2" t="inlineStr"/>
      <c r="D53" s="2" t="inlineStr"/>
      <c r="E53" s="18" t="inlineStr"/>
      <c r="F53" s="18" t="inlineStr"/>
      <c r="G53" s="18" t="inlineStr"/>
    </row>
    <row r="54" customHeight="1" ht="20">
      <c r="A54" s="19" t="inlineStr">
        <is>
          <r>
            <t xml:space="preserve">1.2.5. ​C4996​ LOCAÇÃO DE CONTÊINER BANHEIRO COM 04 VASOS SANITÁRIOS, 02 LAVATÓRIOS, 01 MICTÓRIO CALHA E 04 CHUVEIROS - 6,00 X 2,35M​ (MÊS)</t>
          </r>
        </is>
      </c>
      <c r="B54" s="19" t="inlineStr"/>
      <c r="C54" s="19" t="inlineStr"/>
      <c r="D54" s="19" t="inlineStr"/>
      <c r="E54" s="19" t="inlineStr"/>
      <c r="F54" s="19" t="inlineStr"/>
      <c r="G54" s="19" t="inlineStr"/>
    </row>
    <row r="55" customHeight="1" ht="15">
      <c r="A55" s="20" t="inlineStr">
        <is>
          <r>
            <t xml:space="preserve">Material</t>
          </r>
        </is>
      </c>
      <c r="B55" s="20" t="inlineStr"/>
      <c r="C55" s="21" t="inlineStr">
        <is>
          <r>
            <t xml:space="preserve">FONTE</t>
          </r>
        </is>
      </c>
      <c r="D55" s="21" t="inlineStr">
        <is>
          <r>
            <t xml:space="preserve">UNID</t>
          </r>
        </is>
      </c>
      <c r="E55" s="21" t="inlineStr">
        <is>
          <r>
            <t xml:space="preserve">COEFICIENTE</t>
          </r>
        </is>
      </c>
      <c r="F55" s="21" t="inlineStr">
        <is>
          <r>
            <t xml:space="preserve">PREÇO UNITÁRIO</t>
          </r>
        </is>
      </c>
      <c r="G55" s="21" t="inlineStr">
        <is>
          <r>
            <t xml:space="preserve">TOTAL</t>
          </r>
        </is>
      </c>
    </row>
    <row r="56" customHeight="1" ht="29">
      <c r="A56" s="22" t="inlineStr">
        <is>
          <r>
            <t xml:space="preserve">I9477</t>
          </r>
        </is>
      </c>
      <c r="B56" s="23" t="inlineStr">
        <is>
          <r>
            <t xml:space="preserve">LOCAÇÃO DE CONTÊINER BANHEIRO COM 04 VASOS SANITÁRIOS, 02 LAVATÓRIOS, 01 MICTÓRIO CALHA E 04 CHUVEIROS - 6,00 X 2,35M</t>
          </r>
        </is>
      </c>
      <c r="C56" s="22" t="inlineStr">
        <is>
          <r>
            <t xml:space="preserve">SEINFRA</t>
          </r>
        </is>
      </c>
      <c r="D56" s="22" t="inlineStr">
        <is>
          <r>
            <t xml:space="preserve">MÊS</t>
          </r>
        </is>
      </c>
      <c r="E56" s="24" t="n">
        <v>1.0</v>
      </c>
      <c r="F56" s="30" t="n">
        <v>1280.98</v>
      </c>
      <c r="G56" s="30" t="n">
        <f>ROUND(ROUND(E56,8)*F56,4)</f>
        <v>1280.98</v>
      </c>
    </row>
    <row r="57" customHeight="1" ht="15">
      <c r="A57" s="2" t="inlineStr"/>
      <c r="B57" s="2" t="inlineStr"/>
      <c r="C57" s="2" t="inlineStr"/>
      <c r="D57" s="2" t="inlineStr"/>
      <c r="E57" s="26" t="inlineStr">
        <is>
          <r>
            <t xml:space="preserve">TOTAL Material:</t>
          </r>
        </is>
      </c>
      <c r="F57" s="26" t="inlineStr"/>
      <c r="G57" s="31" t="n">
        <f>SUM(G56:G56)</f>
        <v>1280.98</v>
      </c>
    </row>
    <row r="58" customHeight="1" ht="15">
      <c r="A58" s="2" t="inlineStr"/>
      <c r="B58" s="2" t="inlineStr"/>
      <c r="C58" s="2" t="inlineStr"/>
      <c r="D58" s="2" t="inlineStr"/>
      <c r="E58" s="28" t="inlineStr">
        <is>
          <r>
            <t xml:space="preserve">VALOR:</t>
          </r>
        </is>
      </c>
      <c r="F58" s="28" t="inlineStr"/>
      <c r="G58" s="29" t="n">
        <f>ROUND(SUM(G57),2)</f>
        <v>1280.98</v>
      </c>
    </row>
    <row r="59" customHeight="1" ht="15">
      <c r="A59" s="2" t="inlineStr"/>
      <c r="B59" s="2" t="inlineStr"/>
      <c r="C59" s="2" t="inlineStr"/>
      <c r="D59" s="2" t="inlineStr"/>
      <c r="E59" s="28" t="inlineStr">
        <is>
          <r>
            <t xml:space="preserve">VALOR BDI:</t>
          </r>
        </is>
      </c>
      <c r="F59" s="28" t="inlineStr"/>
      <c r="G59" s="29" t="n">
        <f>ROUND(G58*(0/100),2)</f>
        <v>0.0</v>
      </c>
    </row>
    <row r="60" customHeight="1" ht="15">
      <c r="A60" s="2" t="inlineStr"/>
      <c r="B60" s="2" t="inlineStr"/>
      <c r="C60" s="2" t="inlineStr"/>
      <c r="D60" s="2" t="inlineStr"/>
      <c r="E60" s="28" t="inlineStr">
        <is>
          <r>
            <t xml:space="preserve">VALOR COM BDI:</t>
          </r>
        </is>
      </c>
      <c r="F60" s="28" t="inlineStr"/>
      <c r="G60" s="29" t="n">
        <f>G59+G58</f>
        <v>1280.98</v>
      </c>
    </row>
    <row r="61" customHeight="1" ht="10">
      <c r="A61" s="2" t="inlineStr"/>
      <c r="B61" s="2" t="inlineStr"/>
      <c r="C61" s="2" t="inlineStr"/>
      <c r="D61" s="2" t="inlineStr"/>
      <c r="E61" s="18" t="inlineStr"/>
      <c r="F61" s="18" t="inlineStr"/>
      <c r="G61" s="18" t="inlineStr"/>
    </row>
    <row r="62" customHeight="1" ht="27">
      <c r="A62" s="19" t="inlineStr">
        <is>
          <r>
            <t xml:space="preserve">1.2.6. ​C4997​ LOCAÇÃO DE CONTÊINER ESCRITÓRIO COM BANHEIRO (01 VASO SANITÁRIO, 01 LAVATÓRIO E 01 CHUVEIRO), JANELA EM VIDRO, PORTAS, LUMINÁRIAS, TOMADAS, FORRO EM PVC, AR CONDICIONADO E ISOLAMENTO TERMO-ACÚSTICO EM ISOPOR - 6,00 X 2,35M​ (MÊS)</t>
          </r>
        </is>
      </c>
      <c r="B62" s="19" t="inlineStr"/>
      <c r="C62" s="19" t="inlineStr"/>
      <c r="D62" s="19" t="inlineStr"/>
      <c r="E62" s="19" t="inlineStr"/>
      <c r="F62" s="19" t="inlineStr"/>
      <c r="G62" s="19" t="inlineStr"/>
    </row>
    <row r="63" customHeight="1" ht="15">
      <c r="A63" s="20" t="inlineStr">
        <is>
          <r>
            <t xml:space="preserve">Material</t>
          </r>
        </is>
      </c>
      <c r="B63" s="20" t="inlineStr"/>
      <c r="C63" s="21" t="inlineStr">
        <is>
          <r>
            <t xml:space="preserve">FONTE</t>
          </r>
        </is>
      </c>
      <c r="D63" s="21" t="inlineStr">
        <is>
          <r>
            <t xml:space="preserve">UNID</t>
          </r>
        </is>
      </c>
      <c r="E63" s="21" t="inlineStr">
        <is>
          <r>
            <t xml:space="preserve">COEFICIENTE</t>
          </r>
        </is>
      </c>
      <c r="F63" s="21" t="inlineStr">
        <is>
          <r>
            <t xml:space="preserve">PREÇO UNITÁRIO</t>
          </r>
        </is>
      </c>
      <c r="G63" s="21" t="inlineStr">
        <is>
          <r>
            <t xml:space="preserve">TOTAL</t>
          </r>
        </is>
      </c>
    </row>
    <row r="64" customHeight="1" ht="46">
      <c r="A64" s="22" t="inlineStr">
        <is>
          <r>
            <t xml:space="preserve">I9478</t>
          </r>
        </is>
      </c>
      <c r="B64" s="23" t="inlineStr">
        <is>
          <r>
            <t xml:space="preserve">LOCAÇÃO DE CONTÊINER ESCRITÓRIO COM BANHEIRO (01 VASO SANITÁRIO, 01 LAVATÓRIO E 01 CHUVEIRO), JANELA EM VIDRO, PORTAS, LUMINÁRIAS, TOMADAS, FORRO EM PVC, AR CONDICIONADO E ISOLAMENTO TERMO-ACÚSTICO EM ISOPOR - 6,00 X 2,35M</t>
          </r>
        </is>
      </c>
      <c r="C64" s="22" t="inlineStr">
        <is>
          <r>
            <t xml:space="preserve">SEINFRA</t>
          </r>
        </is>
      </c>
      <c r="D64" s="22" t="inlineStr">
        <is>
          <r>
            <t xml:space="preserve">MÊS</t>
          </r>
        </is>
      </c>
      <c r="E64" s="24" t="n">
        <v>1.0</v>
      </c>
      <c r="F64" s="30" t="n">
        <v>1097.99</v>
      </c>
      <c r="G64" s="30" t="n">
        <f>ROUND(ROUND(E64,8)*F64,4)</f>
        <v>1097.99</v>
      </c>
    </row>
    <row r="65" customHeight="1" ht="15">
      <c r="A65" s="2" t="inlineStr"/>
      <c r="B65" s="2" t="inlineStr"/>
      <c r="C65" s="2" t="inlineStr"/>
      <c r="D65" s="2" t="inlineStr"/>
      <c r="E65" s="26" t="inlineStr">
        <is>
          <r>
            <t xml:space="preserve">TOTAL Material:</t>
          </r>
        </is>
      </c>
      <c r="F65" s="26" t="inlineStr"/>
      <c r="G65" s="31" t="n">
        <f>SUM(G64:G64)</f>
        <v>1097.99</v>
      </c>
    </row>
    <row r="66" customHeight="1" ht="15">
      <c r="A66" s="2" t="inlineStr"/>
      <c r="B66" s="2" t="inlineStr"/>
      <c r="C66" s="2" t="inlineStr"/>
      <c r="D66" s="2" t="inlineStr"/>
      <c r="E66" s="28" t="inlineStr">
        <is>
          <r>
            <t xml:space="preserve">VALOR:</t>
          </r>
        </is>
      </c>
      <c r="F66" s="28" t="inlineStr"/>
      <c r="G66" s="29" t="n">
        <f>ROUND(SUM(G65),2)</f>
        <v>1097.99</v>
      </c>
    </row>
    <row r="67" customHeight="1" ht="15">
      <c r="A67" s="2" t="inlineStr"/>
      <c r="B67" s="2" t="inlineStr"/>
      <c r="C67" s="2" t="inlineStr"/>
      <c r="D67" s="2" t="inlineStr"/>
      <c r="E67" s="28" t="inlineStr">
        <is>
          <r>
            <t xml:space="preserve">VALOR BDI:</t>
          </r>
        </is>
      </c>
      <c r="F67" s="28" t="inlineStr"/>
      <c r="G67" s="29" t="n">
        <f>ROUND(G66*(0/100),2)</f>
        <v>0.0</v>
      </c>
    </row>
    <row r="68" customHeight="1" ht="15">
      <c r="A68" s="2" t="inlineStr"/>
      <c r="B68" s="2" t="inlineStr"/>
      <c r="C68" s="2" t="inlineStr"/>
      <c r="D68" s="2" t="inlineStr"/>
      <c r="E68" s="28" t="inlineStr">
        <is>
          <r>
            <t xml:space="preserve">VALOR COM BDI:</t>
          </r>
        </is>
      </c>
      <c r="F68" s="28" t="inlineStr"/>
      <c r="G68" s="29" t="n">
        <f>G67+G66</f>
        <v>1097.99</v>
      </c>
    </row>
    <row r="69" customHeight="1" ht="10">
      <c r="A69" s="2" t="inlineStr"/>
      <c r="B69" s="2" t="inlineStr"/>
      <c r="C69" s="2" t="inlineStr"/>
      <c r="D69" s="2" t="inlineStr"/>
      <c r="E69" s="18" t="inlineStr"/>
      <c r="F69" s="18" t="inlineStr"/>
      <c r="G69" s="18" t="inlineStr"/>
    </row>
    <row r="70" customHeight="1" ht="20">
      <c r="A70" s="19" t="inlineStr">
        <is>
          <r>
            <t xml:space="preserve">1.2.7. ​C4919​ LIMPEZA MECANIZADA DE TERRENO COM REMOCAO DE CAMADA VEGETAL, UTILIZANDO TRATOR DE ESTEIRAS​ (M2)</t>
          </r>
        </is>
      </c>
      <c r="B70" s="19" t="inlineStr"/>
      <c r="C70" s="19" t="inlineStr"/>
      <c r="D70" s="19" t="inlineStr"/>
      <c r="E70" s="19" t="inlineStr"/>
      <c r="F70" s="19" t="inlineStr"/>
      <c r="G70" s="19" t="inlineStr"/>
    </row>
    <row r="71" customHeight="1" ht="15">
      <c r="A71" s="20" t="inlineStr">
        <is>
          <r>
            <t xml:space="preserve">Equipamento Custo Horário</t>
          </r>
        </is>
      </c>
      <c r="B71" s="20" t="inlineStr"/>
      <c r="C71" s="21" t="inlineStr">
        <is>
          <r>
            <t xml:space="preserve">FONTE</t>
          </r>
        </is>
      </c>
      <c r="D71" s="21" t="inlineStr">
        <is>
          <r>
            <t xml:space="preserve">UNID</t>
          </r>
        </is>
      </c>
      <c r="E71" s="21" t="inlineStr">
        <is>
          <r>
            <t xml:space="preserve">COEFICIENTE</t>
          </r>
        </is>
      </c>
      <c r="F71" s="21" t="inlineStr">
        <is>
          <r>
            <t xml:space="preserve">PREÇO UNITÁRIO</t>
          </r>
        </is>
      </c>
      <c r="G71" s="21" t="inlineStr">
        <is>
          <r>
            <t xml:space="preserve">TOTAL</t>
          </r>
        </is>
      </c>
    </row>
    <row r="72" customHeight="1" ht="15">
      <c r="A72" s="22" t="inlineStr">
        <is>
          <r>
            <t xml:space="preserve">I0779</t>
          </r>
        </is>
      </c>
      <c r="B72" s="23" t="inlineStr">
        <is>
          <r>
            <t xml:space="preserve">TRATOR DE ESTEIRAS C/LÂMINA E ESC. HP 155 (CHP)</t>
          </r>
        </is>
      </c>
      <c r="C72" s="22" t="inlineStr">
        <is>
          <r>
            <t xml:space="preserve">SEINFRA</t>
          </r>
        </is>
      </c>
      <c r="D72" s="22" t="inlineStr">
        <is>
          <r>
            <t xml:space="preserve">H</t>
          </r>
        </is>
      </c>
      <c r="E72" s="24" t="n">
        <v>6.0E-4</v>
      </c>
      <c r="F72" s="30" t="n">
        <v>277.582</v>
      </c>
      <c r="G72" s="30" t="n">
        <f>ROUND(ROUND(E72,8)*F72,4)</f>
        <v>0.1665</v>
      </c>
    </row>
    <row r="73" customHeight="1" ht="18">
      <c r="A73" s="2" t="inlineStr"/>
      <c r="B73" s="2" t="inlineStr"/>
      <c r="C73" s="2" t="inlineStr"/>
      <c r="D73" s="2" t="inlineStr"/>
      <c r="E73" s="26" t="inlineStr">
        <is>
          <r>
            <t xml:space="preserve">TOTAL Equipamento Custo Horário:</t>
          </r>
        </is>
      </c>
      <c r="F73" s="26" t="inlineStr"/>
      <c r="G73" s="31" t="n">
        <f>SUM(G72:G72)</f>
        <v>0.1665</v>
      </c>
    </row>
    <row r="74" customHeight="1" ht="15">
      <c r="A74" s="20" t="inlineStr">
        <is>
          <r>
            <t xml:space="preserve">Mão de Obra</t>
          </r>
        </is>
      </c>
      <c r="B74" s="20" t="inlineStr"/>
      <c r="C74" s="21" t="inlineStr">
        <is>
          <r>
            <t xml:space="preserve">FONTE</t>
          </r>
        </is>
      </c>
      <c r="D74" s="21" t="inlineStr">
        <is>
          <r>
            <t xml:space="preserve">UNID</t>
          </r>
        </is>
      </c>
      <c r="E74" s="21" t="inlineStr">
        <is>
          <r>
            <t xml:space="preserve">COEFICIENTE</t>
          </r>
        </is>
      </c>
      <c r="F74" s="21" t="inlineStr">
        <is>
          <r>
            <t xml:space="preserve">PREÇO UNITÁRIO</t>
          </r>
        </is>
      </c>
      <c r="G74" s="21" t="inlineStr">
        <is>
          <r>
            <t xml:space="preserve">TOTAL</t>
          </r>
        </is>
      </c>
    </row>
    <row r="75" customHeight="1" ht="15">
      <c r="A75" s="22" t="inlineStr">
        <is>
          <r>
            <t xml:space="preserve">I2543</t>
          </r>
        </is>
      </c>
      <c r="B75" s="23" t="inlineStr">
        <is>
          <r>
            <t xml:space="preserve">SERVENTE</t>
          </r>
        </is>
      </c>
      <c r="C75" s="22" t="inlineStr">
        <is>
          <r>
            <t xml:space="preserve">SEINFRA</t>
          </r>
        </is>
      </c>
      <c r="D75" s="22" t="inlineStr">
        <is>
          <r>
            <t xml:space="preserve">H</t>
          </r>
        </is>
      </c>
      <c r="E75" s="24" t="n">
        <v>0.003</v>
      </c>
      <c r="F75" s="30" t="n">
        <v>18.46</v>
      </c>
      <c r="G75" s="30" t="n">
        <f>ROUND(ROUND(E75,8)*F75,4)</f>
        <v>0.0554</v>
      </c>
    </row>
    <row r="76" customHeight="1" ht="15">
      <c r="A76" s="2" t="inlineStr"/>
      <c r="B76" s="2" t="inlineStr"/>
      <c r="C76" s="2" t="inlineStr"/>
      <c r="D76" s="2" t="inlineStr"/>
      <c r="E76" s="26" t="inlineStr">
        <is>
          <r>
            <t xml:space="preserve">TOTAL Mão de Obra:</t>
          </r>
        </is>
      </c>
      <c r="F76" s="26" t="inlineStr"/>
      <c r="G76" s="31" t="n">
        <f>SUM(G75:G75)</f>
        <v>0.0554</v>
      </c>
    </row>
    <row r="77" customHeight="1" ht="15">
      <c r="A77" s="2" t="inlineStr"/>
      <c r="B77" s="2" t="inlineStr"/>
      <c r="C77" s="2" t="inlineStr"/>
      <c r="D77" s="2" t="inlineStr"/>
      <c r="E77" s="28" t="inlineStr">
        <is>
          <r>
            <t xml:space="preserve">VALOR:</t>
          </r>
        </is>
      </c>
      <c r="F77" s="28" t="inlineStr"/>
      <c r="G77" s="29" t="n">
        <f>ROUND(SUM(G73,G76),2)</f>
        <v>0.22</v>
      </c>
    </row>
    <row r="78" customHeight="1" ht="15">
      <c r="A78" s="2" t="inlineStr"/>
      <c r="B78" s="2" t="inlineStr"/>
      <c r="C78" s="2" t="inlineStr"/>
      <c r="D78" s="2" t="inlineStr"/>
      <c r="E78" s="28" t="inlineStr">
        <is>
          <r>
            <t xml:space="preserve">VALOR BDI:</t>
          </r>
        </is>
      </c>
      <c r="F78" s="28" t="inlineStr"/>
      <c r="G78" s="29" t="n">
        <f>ROUND(G77*(0/100),2)</f>
        <v>0.0</v>
      </c>
    </row>
    <row r="79" customHeight="1" ht="15">
      <c r="A79" s="2" t="inlineStr"/>
      <c r="B79" s="2" t="inlineStr"/>
      <c r="C79" s="2" t="inlineStr"/>
      <c r="D79" s="2" t="inlineStr"/>
      <c r="E79" s="28" t="inlineStr">
        <is>
          <r>
            <t xml:space="preserve">VALOR COM BDI:</t>
          </r>
        </is>
      </c>
      <c r="F79" s="28" t="inlineStr"/>
      <c r="G79" s="29" t="n">
        <f>G78+G77</f>
        <v>0.22</v>
      </c>
    </row>
    <row r="80" customHeight="1" ht="10">
      <c r="A80" s="2" t="inlineStr"/>
      <c r="B80" s="2" t="inlineStr"/>
      <c r="C80" s="2" t="inlineStr"/>
      <c r="D80" s="2" t="inlineStr"/>
      <c r="E80" s="18" t="inlineStr"/>
      <c r="F80" s="18" t="inlineStr"/>
      <c r="G80" s="18" t="inlineStr"/>
    </row>
    <row r="81" customHeight="1" ht="20">
      <c r="A81" s="19" t="inlineStr">
        <is>
          <r>
            <t xml:space="preserve">1.3.1.1. ​C3233​ REGULARIZAÇÃO DO SUB-LEITO​ (M2)</t>
          </r>
        </is>
      </c>
      <c r="B81" s="19" t="inlineStr"/>
      <c r="C81" s="19" t="inlineStr"/>
      <c r="D81" s="19" t="inlineStr"/>
      <c r="E81" s="19" t="inlineStr"/>
      <c r="F81" s="19" t="inlineStr"/>
      <c r="G81" s="19" t="inlineStr"/>
    </row>
    <row r="82" customHeight="1" ht="15">
      <c r="A82" s="20" t="inlineStr">
        <is>
          <r>
            <t xml:space="preserve">Equipamento Custo Horário</t>
          </r>
        </is>
      </c>
      <c r="B82" s="20" t="inlineStr"/>
      <c r="C82" s="21" t="inlineStr">
        <is>
          <r>
            <t xml:space="preserve">FONTE</t>
          </r>
        </is>
      </c>
      <c r="D82" s="21" t="inlineStr">
        <is>
          <r>
            <t xml:space="preserve">UNID</t>
          </r>
        </is>
      </c>
      <c r="E82" s="21" t="inlineStr">
        <is>
          <r>
            <t xml:space="preserve">COEFICIENTE</t>
          </r>
        </is>
      </c>
      <c r="F82" s="21" t="inlineStr">
        <is>
          <r>
            <t xml:space="preserve">PREÇO UNITÁRIO</t>
          </r>
        </is>
      </c>
      <c r="G82" s="21" t="inlineStr">
        <is>
          <r>
            <t xml:space="preserve">TOTAL</t>
          </r>
        </is>
      </c>
    </row>
    <row r="83" customHeight="1" ht="15">
      <c r="A83" s="22" t="inlineStr">
        <is>
          <r>
            <t xml:space="preserve">I0590</t>
          </r>
        </is>
      </c>
      <c r="B83" s="23" t="inlineStr">
        <is>
          <r>
            <t xml:space="preserve">CAMINHÃO TANQUE 8.000 l (CHI)</t>
          </r>
        </is>
      </c>
      <c r="C83" s="22" t="inlineStr">
        <is>
          <r>
            <t xml:space="preserve">SEINFRA</t>
          </r>
        </is>
      </c>
      <c r="D83" s="22" t="inlineStr">
        <is>
          <r>
            <t xml:space="preserve">H</t>
          </r>
        </is>
      </c>
      <c r="E83" s="24" t="n">
        <v>0.00112821</v>
      </c>
      <c r="F83" s="30" t="n">
        <v>70.4941</v>
      </c>
      <c r="G83" s="30" t="n">
        <f>ROUND(ROUND(E83,8)*F83,4)</f>
        <v>0.0795</v>
      </c>
    </row>
    <row r="84" customHeight="1" ht="15">
      <c r="A84" s="22" t="inlineStr">
        <is>
          <r>
            <t xml:space="preserve">I0698</t>
          </r>
        </is>
      </c>
      <c r="B84" s="23" t="inlineStr">
        <is>
          <r>
            <t xml:space="preserve">CAMINHÃO TANQUE 8.000 l (CHP)</t>
          </r>
        </is>
      </c>
      <c r="C84" s="22" t="inlineStr">
        <is>
          <r>
            <t xml:space="preserve">SEINFRA</t>
          </r>
        </is>
      </c>
      <c r="D84" s="22" t="inlineStr">
        <is>
          <r>
            <t xml:space="preserve">H</t>
          </r>
        </is>
      </c>
      <c r="E84" s="24" t="n">
        <v>0.004</v>
      </c>
      <c r="F84" s="30" t="n">
        <v>213.8811</v>
      </c>
      <c r="G84" s="30" t="n">
        <f>ROUND(ROUND(E84,8)*F84,4)</f>
        <v>0.8555</v>
      </c>
    </row>
    <row r="85" customHeight="1" ht="15">
      <c r="A85" s="22" t="inlineStr">
        <is>
          <r>
            <t xml:space="preserve">I0607</t>
          </r>
        </is>
      </c>
      <c r="B85" s="23" t="inlineStr">
        <is>
          <r>
            <t xml:space="preserve">COMPAC. DE PNEUS PRES. VAR. AUTOPR. (CHI)</t>
          </r>
        </is>
      </c>
      <c r="C85" s="22" t="inlineStr">
        <is>
          <r>
            <t xml:space="preserve">SEINFRA</t>
          </r>
        </is>
      </c>
      <c r="D85" s="22" t="inlineStr">
        <is>
          <r>
            <t xml:space="preserve">H</t>
          </r>
        </is>
      </c>
      <c r="E85" s="24" t="n">
        <v>0.00220513</v>
      </c>
      <c r="F85" s="30" t="n">
        <v>94.324</v>
      </c>
      <c r="G85" s="30" t="n">
        <f>ROUND(ROUND(E85,8)*F85,4)</f>
        <v>0.208</v>
      </c>
    </row>
    <row r="86" customHeight="1" ht="15">
      <c r="A86" s="22" t="inlineStr">
        <is>
          <r>
            <t xml:space="preserve">I0721</t>
          </r>
        </is>
      </c>
      <c r="B86" s="23" t="inlineStr">
        <is>
          <r>
            <t xml:space="preserve">COMPAC. DE PNEUS PRES. VAR. AUTOPR. (CHP)</t>
          </r>
        </is>
      </c>
      <c r="C86" s="22" t="inlineStr">
        <is>
          <r>
            <t xml:space="preserve">SEINFRA</t>
          </r>
        </is>
      </c>
      <c r="D86" s="22" t="inlineStr">
        <is>
          <r>
            <t xml:space="preserve">H</t>
          </r>
        </is>
      </c>
      <c r="E86" s="24" t="n">
        <v>3.5897E-4</v>
      </c>
      <c r="F86" s="30" t="n">
        <v>246.224</v>
      </c>
      <c r="G86" s="30" t="n">
        <f>ROUND(ROUND(E86,8)*F86,4)</f>
        <v>0.0884</v>
      </c>
    </row>
    <row r="87" customHeight="1" ht="15">
      <c r="A87" s="22" t="inlineStr">
        <is>
          <r>
            <t xml:space="preserve">I0610</t>
          </r>
        </is>
      </c>
      <c r="B87" s="23" t="inlineStr">
        <is>
          <r>
            <t xml:space="preserve">COMPAC. PÉ DE CARNEIRO VIBRAT. AUTOPROP. (CHI)</t>
          </r>
        </is>
      </c>
      <c r="C87" s="22" t="inlineStr">
        <is>
          <r>
            <t xml:space="preserve">SEINFRA</t>
          </r>
        </is>
      </c>
      <c r="D87" s="22" t="inlineStr">
        <is>
          <r>
            <t xml:space="preserve">H</t>
          </r>
        </is>
      </c>
      <c r="E87" s="24" t="n">
        <v>0.00169231</v>
      </c>
      <c r="F87" s="30" t="n">
        <v>81.7441</v>
      </c>
      <c r="G87" s="30" t="n">
        <f>ROUND(ROUND(E87,8)*F87,4)</f>
        <v>0.1383</v>
      </c>
    </row>
    <row r="88" customHeight="1" ht="15">
      <c r="A88" s="22" t="inlineStr">
        <is>
          <r>
            <t xml:space="preserve">I0723</t>
          </r>
        </is>
      </c>
      <c r="B88" s="23" t="inlineStr">
        <is>
          <r>
            <t xml:space="preserve">COMPAC. PÉ DE CARNEIRO VIBRAT. AUTOPROP. (CHP)</t>
          </r>
        </is>
      </c>
      <c r="C88" s="22" t="inlineStr">
        <is>
          <r>
            <t xml:space="preserve">SEINFRA</t>
          </r>
        </is>
      </c>
      <c r="D88" s="22" t="inlineStr">
        <is>
          <r>
            <t xml:space="preserve">H</t>
          </r>
        </is>
      </c>
      <c r="E88" s="24" t="n">
        <v>8.7179E-4</v>
      </c>
      <c r="F88" s="30" t="n">
        <v>228.4466</v>
      </c>
      <c r="G88" s="30" t="n">
        <f>ROUND(ROUND(E88,8)*F88,4)</f>
        <v>0.1992</v>
      </c>
    </row>
    <row r="89" customHeight="1" ht="15">
      <c r="A89" s="22" t="inlineStr">
        <is>
          <r>
            <t xml:space="preserve">I0625</t>
          </r>
        </is>
      </c>
      <c r="B89" s="23" t="inlineStr">
        <is>
          <r>
            <t xml:space="preserve">GRADE DE DISCOS (CHI)</t>
          </r>
        </is>
      </c>
      <c r="C89" s="22" t="inlineStr">
        <is>
          <r>
            <t xml:space="preserve">SEINFRA</t>
          </r>
        </is>
      </c>
      <c r="D89" s="22" t="inlineStr">
        <is>
          <r>
            <t xml:space="preserve">H</t>
          </r>
        </is>
      </c>
      <c r="E89" s="24" t="n">
        <v>3.8462E-4</v>
      </c>
      <c r="F89" s="30" t="n">
        <v>4.8946</v>
      </c>
      <c r="G89" s="30" t="n">
        <f>ROUND(ROUND(E89,8)*F89,4)</f>
        <v>0.0019</v>
      </c>
    </row>
    <row r="90" customHeight="1" ht="15">
      <c r="A90" s="22" t="inlineStr">
        <is>
          <r>
            <t xml:space="preserve">I0739</t>
          </r>
        </is>
      </c>
      <c r="B90" s="23" t="inlineStr">
        <is>
          <r>
            <t xml:space="preserve">GRADE DE DISCOS (CHP)</t>
          </r>
        </is>
      </c>
      <c r="C90" s="22" t="inlineStr">
        <is>
          <r>
            <t xml:space="preserve">SEINFRA</t>
          </r>
        </is>
      </c>
      <c r="D90" s="22" t="inlineStr">
        <is>
          <r>
            <t xml:space="preserve">H</t>
          </r>
        </is>
      </c>
      <c r="E90" s="24" t="n">
        <v>0.00217949</v>
      </c>
      <c r="F90" s="30" t="n">
        <v>6.8842</v>
      </c>
      <c r="G90" s="30" t="n">
        <f>ROUND(ROUND(E90,8)*F90,4)</f>
        <v>0.015</v>
      </c>
    </row>
    <row r="91" customHeight="1" ht="15">
      <c r="A91" s="22" t="inlineStr">
        <is>
          <r>
            <t xml:space="preserve">I0642</t>
          </r>
        </is>
      </c>
      <c r="B91" s="23" t="inlineStr">
        <is>
          <r>
            <t xml:space="preserve">MOTO NIVELADORA (CHI)</t>
          </r>
        </is>
      </c>
      <c r="C91" s="22" t="inlineStr">
        <is>
          <r>
            <t xml:space="preserve">SEINFRA</t>
          </r>
        </is>
      </c>
      <c r="D91" s="22" t="inlineStr">
        <is>
          <r>
            <t xml:space="preserve">H</t>
          </r>
        </is>
      </c>
      <c r="E91" s="24" t="n">
        <v>0.0</v>
      </c>
      <c r="F91" s="30" t="n">
        <v>121.9582</v>
      </c>
      <c r="G91" s="30" t="n">
        <f>ROUND(ROUND(E91,8)*F91,4)</f>
        <v>0.0</v>
      </c>
    </row>
    <row r="92" customHeight="1" ht="15">
      <c r="A92" s="22" t="inlineStr">
        <is>
          <r>
            <t xml:space="preserve">I0756</t>
          </r>
        </is>
      </c>
      <c r="B92" s="23" t="inlineStr">
        <is>
          <r>
            <t xml:space="preserve">MOTO NIVELADORA (CHP)</t>
          </r>
        </is>
      </c>
      <c r="C92" s="22" t="inlineStr">
        <is>
          <r>
            <t xml:space="preserve">SEINFRA</t>
          </r>
        </is>
      </c>
      <c r="D92" s="22" t="inlineStr">
        <is>
          <r>
            <t xml:space="preserve">H</t>
          </r>
        </is>
      </c>
      <c r="E92" s="24" t="n">
        <v>0.0025641</v>
      </c>
      <c r="F92" s="30" t="n">
        <v>307.8011</v>
      </c>
      <c r="G92" s="30" t="n">
        <f>ROUND(ROUND(E92,8)*F92,4)</f>
        <v>0.7892</v>
      </c>
    </row>
    <row r="93" customHeight="1" ht="15">
      <c r="A93" s="22" t="inlineStr">
        <is>
          <r>
            <t xml:space="preserve">I0667</t>
          </r>
        </is>
      </c>
      <c r="B93" s="23" t="inlineStr">
        <is>
          <r>
            <t xml:space="preserve">TRATOR DE PNEUS (CHI)</t>
          </r>
        </is>
      </c>
      <c r="C93" s="22" t="inlineStr">
        <is>
          <r>
            <t xml:space="preserve">SEINFRA</t>
          </r>
        </is>
      </c>
      <c r="D93" s="22" t="inlineStr">
        <is>
          <r>
            <t xml:space="preserve">H</t>
          </r>
        </is>
      </c>
      <c r="E93" s="24" t="n">
        <v>3.8462E-4</v>
      </c>
      <c r="F93" s="30" t="n">
        <v>37.2018</v>
      </c>
      <c r="G93" s="30" t="n">
        <f>ROUND(ROUND(E93,8)*F93,4)</f>
        <v>0.0143</v>
      </c>
    </row>
    <row r="94" customHeight="1" ht="15">
      <c r="A94" s="22" t="inlineStr">
        <is>
          <r>
            <t xml:space="preserve">I0780</t>
          </r>
        </is>
      </c>
      <c r="B94" s="23" t="inlineStr">
        <is>
          <r>
            <t xml:space="preserve">TRATOR DE PNEUS (CHP)</t>
          </r>
        </is>
      </c>
      <c r="C94" s="22" t="inlineStr">
        <is>
          <r>
            <t xml:space="preserve">SEINFRA</t>
          </r>
        </is>
      </c>
      <c r="D94" s="22" t="inlineStr">
        <is>
          <r>
            <t xml:space="preserve">H</t>
          </r>
        </is>
      </c>
      <c r="E94" s="24" t="n">
        <v>0.00217949</v>
      </c>
      <c r="F94" s="30" t="n">
        <v>124.7249</v>
      </c>
      <c r="G94" s="30" t="n">
        <f>ROUND(ROUND(E94,8)*F94,4)</f>
        <v>0.2718</v>
      </c>
    </row>
    <row r="95" customHeight="1" ht="18">
      <c r="A95" s="2" t="inlineStr"/>
      <c r="B95" s="2" t="inlineStr"/>
      <c r="C95" s="2" t="inlineStr"/>
      <c r="D95" s="2" t="inlineStr"/>
      <c r="E95" s="26" t="inlineStr">
        <is>
          <r>
            <t xml:space="preserve">TOTAL Equipamento Custo Horário:</t>
          </r>
        </is>
      </c>
      <c r="F95" s="26" t="inlineStr"/>
      <c r="G95" s="31" t="n">
        <f>SUM(G83:G94)</f>
        <v>2.6611</v>
      </c>
    </row>
    <row r="96" customHeight="1" ht="15">
      <c r="A96" s="20" t="inlineStr">
        <is>
          <r>
            <t xml:space="preserve">Mão de Obra</t>
          </r>
        </is>
      </c>
      <c r="B96" s="20" t="inlineStr"/>
      <c r="C96" s="21" t="inlineStr">
        <is>
          <r>
            <t xml:space="preserve">FONTE</t>
          </r>
        </is>
      </c>
      <c r="D96" s="21" t="inlineStr">
        <is>
          <r>
            <t xml:space="preserve">UNID</t>
          </r>
        </is>
      </c>
      <c r="E96" s="21" t="inlineStr">
        <is>
          <r>
            <t xml:space="preserve">COEFICIENTE</t>
          </r>
        </is>
      </c>
      <c r="F96" s="21" t="inlineStr">
        <is>
          <r>
            <t xml:space="preserve">PREÇO UNITÁRIO</t>
          </r>
        </is>
      </c>
      <c r="G96" s="21" t="inlineStr">
        <is>
          <r>
            <t xml:space="preserve">TOTAL</t>
          </r>
        </is>
      </c>
    </row>
    <row r="97" customHeight="1" ht="15">
      <c r="A97" s="22" t="inlineStr">
        <is>
          <r>
            <t xml:space="preserve">I2543</t>
          </r>
        </is>
      </c>
      <c r="B97" s="23" t="inlineStr">
        <is>
          <r>
            <t xml:space="preserve">SERVENTE</t>
          </r>
        </is>
      </c>
      <c r="C97" s="22" t="inlineStr">
        <is>
          <r>
            <t xml:space="preserve">SEINFRA</t>
          </r>
        </is>
      </c>
      <c r="D97" s="22" t="inlineStr">
        <is>
          <r>
            <t xml:space="preserve">H</t>
          </r>
        </is>
      </c>
      <c r="E97" s="24" t="n">
        <v>0.01282051</v>
      </c>
      <c r="F97" s="30" t="n">
        <v>18.46</v>
      </c>
      <c r="G97" s="30" t="n">
        <f>ROUND(ROUND(E97,8)*F97,4)</f>
        <v>0.2367</v>
      </c>
    </row>
    <row r="98" customHeight="1" ht="15">
      <c r="A98" s="2" t="inlineStr"/>
      <c r="B98" s="2" t="inlineStr"/>
      <c r="C98" s="2" t="inlineStr"/>
      <c r="D98" s="2" t="inlineStr"/>
      <c r="E98" s="26" t="inlineStr">
        <is>
          <r>
            <t xml:space="preserve">TOTAL Mão de Obra:</t>
          </r>
        </is>
      </c>
      <c r="F98" s="26" t="inlineStr"/>
      <c r="G98" s="31" t="n">
        <f>SUM(G97:G97)</f>
        <v>0.2367</v>
      </c>
    </row>
    <row r="99" customHeight="1" ht="15">
      <c r="A99" s="2" t="inlineStr"/>
      <c r="B99" s="2" t="inlineStr"/>
      <c r="C99" s="2" t="inlineStr"/>
      <c r="D99" s="2" t="inlineStr"/>
      <c r="E99" s="28" t="inlineStr">
        <is>
          <r>
            <t xml:space="preserve">VALOR:</t>
          </r>
        </is>
      </c>
      <c r="F99" s="28" t="inlineStr"/>
      <c r="G99" s="29" t="n">
        <f>ROUND(SUM(G95,G98),2)</f>
        <v>2.9</v>
      </c>
    </row>
    <row r="100" customHeight="1" ht="15">
      <c r="A100" s="2" t="inlineStr"/>
      <c r="B100" s="2" t="inlineStr"/>
      <c r="C100" s="2" t="inlineStr"/>
      <c r="D100" s="2" t="inlineStr"/>
      <c r="E100" s="28" t="inlineStr">
        <is>
          <r>
            <t xml:space="preserve">VALOR BDI:</t>
          </r>
        </is>
      </c>
      <c r="F100" s="28" t="inlineStr"/>
      <c r="G100" s="29" t="n">
        <f>ROUND(G99*(0/100),2)</f>
        <v>0.0</v>
      </c>
    </row>
    <row r="101" customHeight="1" ht="15">
      <c r="A101" s="2" t="inlineStr"/>
      <c r="B101" s="2" t="inlineStr"/>
      <c r="C101" s="2" t="inlineStr"/>
      <c r="D101" s="2" t="inlineStr"/>
      <c r="E101" s="28" t="inlineStr">
        <is>
          <r>
            <t xml:space="preserve">VALOR COM BDI:</t>
          </r>
        </is>
      </c>
      <c r="F101" s="28" t="inlineStr"/>
      <c r="G101" s="29" t="n">
        <f>G100+G99</f>
        <v>2.9</v>
      </c>
    </row>
    <row r="102" customHeight="1" ht="10">
      <c r="A102" s="2" t="inlineStr"/>
      <c r="B102" s="2" t="inlineStr"/>
      <c r="C102" s="2" t="inlineStr"/>
      <c r="D102" s="2" t="inlineStr"/>
      <c r="E102" s="18" t="inlineStr"/>
      <c r="F102" s="18" t="inlineStr"/>
      <c r="G102" s="18" t="inlineStr"/>
    </row>
    <row r="103" customHeight="1" ht="20">
      <c r="A103" s="19" t="inlineStr">
        <is>
          <r>
            <t xml:space="preserve">1.3.1.2. ​C3135​ BASE SOLO BRITA COM 30% DE BRITA (S/TRANSP)​ (M3)</t>
          </r>
        </is>
      </c>
      <c r="B103" s="19" t="inlineStr"/>
      <c r="C103" s="19" t="inlineStr"/>
      <c r="D103" s="19" t="inlineStr"/>
      <c r="E103" s="19" t="inlineStr"/>
      <c r="F103" s="19" t="inlineStr"/>
      <c r="G103" s="19" t="inlineStr"/>
    </row>
    <row r="104" customHeight="1" ht="15">
      <c r="A104" s="20" t="inlineStr">
        <is>
          <r>
            <t xml:space="preserve">Equipamento Custo Horário</t>
          </r>
        </is>
      </c>
      <c r="B104" s="20" t="inlineStr"/>
      <c r="C104" s="21" t="inlineStr">
        <is>
          <r>
            <t xml:space="preserve">FONTE</t>
          </r>
        </is>
      </c>
      <c r="D104" s="21" t="inlineStr">
        <is>
          <r>
            <t xml:space="preserve">UNID</t>
          </r>
        </is>
      </c>
      <c r="E104" s="21" t="inlineStr">
        <is>
          <r>
            <t xml:space="preserve">COEFICIENTE</t>
          </r>
        </is>
      </c>
      <c r="F104" s="21" t="inlineStr">
        <is>
          <r>
            <t xml:space="preserve">PREÇO UNITÁRIO</t>
          </r>
        </is>
      </c>
      <c r="G104" s="21" t="inlineStr">
        <is>
          <r>
            <t xml:space="preserve">TOTAL</t>
          </r>
        </is>
      </c>
    </row>
    <row r="105" customHeight="1" ht="15">
      <c r="A105" s="22" t="inlineStr">
        <is>
          <r>
            <t xml:space="preserve">I0590</t>
          </r>
        </is>
      </c>
      <c r="B105" s="23" t="inlineStr">
        <is>
          <r>
            <t xml:space="preserve">CAMINHÃO TANQUE 8.000 l (CHI)</t>
          </r>
        </is>
      </c>
      <c r="C105" s="22" t="inlineStr">
        <is>
          <r>
            <t xml:space="preserve">SEINFRA</t>
          </r>
        </is>
      </c>
      <c r="D105" s="22" t="inlineStr">
        <is>
          <r>
            <t xml:space="preserve">H</t>
          </r>
        </is>
      </c>
      <c r="E105" s="24" t="n">
        <v>0.00666667</v>
      </c>
      <c r="F105" s="30" t="n">
        <v>70.4941</v>
      </c>
      <c r="G105" s="30" t="n">
        <f>ROUND(ROUND(E105,8)*F105,4)</f>
        <v>0.47</v>
      </c>
    </row>
    <row r="106" customHeight="1" ht="15">
      <c r="A106" s="22" t="inlineStr">
        <is>
          <r>
            <t xml:space="preserve">I0698</t>
          </r>
        </is>
      </c>
      <c r="B106" s="23" t="inlineStr">
        <is>
          <r>
            <t xml:space="preserve">CAMINHÃO TANQUE 8.000 l (CHP)</t>
          </r>
        </is>
      </c>
      <c r="C106" s="22" t="inlineStr">
        <is>
          <r>
            <t xml:space="preserve">SEINFRA</t>
          </r>
        </is>
      </c>
      <c r="D106" s="22" t="inlineStr">
        <is>
          <r>
            <t xml:space="preserve">H</t>
          </r>
        </is>
      </c>
      <c r="E106" s="24" t="n">
        <v>0.00666667</v>
      </c>
      <c r="F106" s="30" t="n">
        <v>213.8811</v>
      </c>
      <c r="G106" s="30" t="n">
        <f>ROUND(ROUND(E106,8)*F106,4)</f>
        <v>1.4259</v>
      </c>
    </row>
    <row r="107" customHeight="1" ht="15">
      <c r="A107" s="22" t="inlineStr">
        <is>
          <r>
            <t xml:space="preserve">I0607</t>
          </r>
        </is>
      </c>
      <c r="B107" s="23" t="inlineStr">
        <is>
          <r>
            <t xml:space="preserve">COMPAC. DE PNEUS PRES. VAR. AUTOPR. (CHI)</t>
          </r>
        </is>
      </c>
      <c r="C107" s="22" t="inlineStr">
        <is>
          <r>
            <t xml:space="preserve">SEINFRA</t>
          </r>
        </is>
      </c>
      <c r="D107" s="22" t="inlineStr">
        <is>
          <r>
            <t xml:space="preserve">H</t>
          </r>
        </is>
      </c>
      <c r="E107" s="24" t="n">
        <v>0.01146667</v>
      </c>
      <c r="F107" s="30" t="n">
        <v>94.324</v>
      </c>
      <c r="G107" s="30" t="n">
        <f>ROUND(ROUND(E107,8)*F107,4)</f>
        <v>1.0816</v>
      </c>
    </row>
    <row r="108" customHeight="1" ht="15">
      <c r="A108" s="22" t="inlineStr">
        <is>
          <r>
            <t xml:space="preserve">I0721</t>
          </r>
        </is>
      </c>
      <c r="B108" s="23" t="inlineStr">
        <is>
          <r>
            <t xml:space="preserve">COMPAC. DE PNEUS PRES. VAR. AUTOPR. (CHP)</t>
          </r>
        </is>
      </c>
      <c r="C108" s="22" t="inlineStr">
        <is>
          <r>
            <t xml:space="preserve">SEINFRA</t>
          </r>
        </is>
      </c>
      <c r="D108" s="22" t="inlineStr">
        <is>
          <r>
            <t xml:space="preserve">H</t>
          </r>
        </is>
      </c>
      <c r="E108" s="24" t="n">
        <v>0.00186667</v>
      </c>
      <c r="F108" s="30" t="n">
        <v>246.224</v>
      </c>
      <c r="G108" s="30" t="n">
        <f>ROUND(ROUND(E108,8)*F108,4)</f>
        <v>0.4596</v>
      </c>
    </row>
    <row r="109" customHeight="1" ht="15">
      <c r="A109" s="22" t="inlineStr">
        <is>
          <r>
            <t xml:space="preserve">I0609</t>
          </r>
        </is>
      </c>
      <c r="B109" s="23" t="inlineStr">
        <is>
          <r>
            <t xml:space="preserve">COMPAC. LISO VIBRAT. AUTOPROPELIDO (CHI)</t>
          </r>
        </is>
      </c>
      <c r="C109" s="22" t="inlineStr">
        <is>
          <r>
            <t xml:space="preserve">SEINFRA</t>
          </r>
        </is>
      </c>
      <c r="D109" s="22" t="inlineStr">
        <is>
          <r>
            <t xml:space="preserve">H</t>
          </r>
        </is>
      </c>
      <c r="E109" s="24" t="n">
        <v>0.00866667</v>
      </c>
      <c r="F109" s="30" t="n">
        <v>80.3845</v>
      </c>
      <c r="G109" s="30" t="n">
        <f>ROUND(ROUND(E109,8)*F109,4)</f>
        <v>0.6967</v>
      </c>
    </row>
    <row r="110" customHeight="1" ht="15">
      <c r="A110" s="22" t="inlineStr">
        <is>
          <r>
            <t xml:space="preserve">I0722</t>
          </r>
        </is>
      </c>
      <c r="B110" s="23" t="inlineStr">
        <is>
          <r>
            <t xml:space="preserve">COMPAC. LISO VIBRAT. AUTOPROPELIDO (CHP)</t>
          </r>
        </is>
      </c>
      <c r="C110" s="22" t="inlineStr">
        <is>
          <r>
            <t xml:space="preserve">SEINFRA</t>
          </r>
        </is>
      </c>
      <c r="D110" s="22" t="inlineStr">
        <is>
          <r>
            <t xml:space="preserve">H</t>
          </r>
        </is>
      </c>
      <c r="E110" s="24" t="n">
        <v>0.00466667</v>
      </c>
      <c r="F110" s="30" t="n">
        <v>225.7606</v>
      </c>
      <c r="G110" s="30" t="n">
        <f>ROUND(ROUND(E110,8)*F110,4)</f>
        <v>1.0536</v>
      </c>
    </row>
    <row r="111" customHeight="1" ht="15">
      <c r="A111" s="22" t="inlineStr">
        <is>
          <r>
            <t xml:space="preserve">I0642</t>
          </r>
        </is>
      </c>
      <c r="B111" s="23" t="inlineStr">
        <is>
          <r>
            <t xml:space="preserve">MOTO NIVELADORA (CHI)</t>
          </r>
        </is>
      </c>
      <c r="C111" s="22" t="inlineStr">
        <is>
          <r>
            <t xml:space="preserve">SEINFRA</t>
          </r>
        </is>
      </c>
      <c r="D111" s="22" t="inlineStr">
        <is>
          <r>
            <t xml:space="preserve">H</t>
          </r>
        </is>
      </c>
      <c r="E111" s="24" t="n">
        <v>0.00413333</v>
      </c>
      <c r="F111" s="30" t="n">
        <v>121.9582</v>
      </c>
      <c r="G111" s="30" t="n">
        <f>ROUND(ROUND(E111,8)*F111,4)</f>
        <v>0.5041</v>
      </c>
    </row>
    <row r="112" customHeight="1" ht="15">
      <c r="A112" s="22" t="inlineStr">
        <is>
          <r>
            <t xml:space="preserve">I0756</t>
          </r>
        </is>
      </c>
      <c r="B112" s="23" t="inlineStr">
        <is>
          <r>
            <t xml:space="preserve">MOTO NIVELADORA (CHP)</t>
          </r>
        </is>
      </c>
      <c r="C112" s="22" t="inlineStr">
        <is>
          <r>
            <t xml:space="preserve">SEINFRA</t>
          </r>
        </is>
      </c>
      <c r="D112" s="22" t="inlineStr">
        <is>
          <r>
            <t xml:space="preserve">H</t>
          </r>
        </is>
      </c>
      <c r="E112" s="24" t="n">
        <v>0.0092</v>
      </c>
      <c r="F112" s="30" t="n">
        <v>307.8011</v>
      </c>
      <c r="G112" s="30" t="n">
        <f>ROUND(ROUND(E112,8)*F112,4)</f>
        <v>2.8318</v>
      </c>
    </row>
    <row r="113" customHeight="1" ht="18">
      <c r="A113" s="2" t="inlineStr"/>
      <c r="B113" s="2" t="inlineStr"/>
      <c r="C113" s="2" t="inlineStr"/>
      <c r="D113" s="2" t="inlineStr"/>
      <c r="E113" s="26" t="inlineStr">
        <is>
          <r>
            <t xml:space="preserve">TOTAL Equipamento Custo Horário:</t>
          </r>
        </is>
      </c>
      <c r="F113" s="26" t="inlineStr"/>
      <c r="G113" s="31" t="n">
        <f>SUM(G105:G112)</f>
        <v>8.5233</v>
      </c>
    </row>
    <row r="114" customHeight="1" ht="15">
      <c r="A114" s="20" t="inlineStr">
        <is>
          <r>
            <t xml:space="preserve">Mão de Obra</t>
          </r>
        </is>
      </c>
      <c r="B114" s="20" t="inlineStr"/>
      <c r="C114" s="21" t="inlineStr">
        <is>
          <r>
            <t xml:space="preserve">FONTE</t>
          </r>
        </is>
      </c>
      <c r="D114" s="21" t="inlineStr">
        <is>
          <r>
            <t xml:space="preserve">UNID</t>
          </r>
        </is>
      </c>
      <c r="E114" s="21" t="inlineStr">
        <is>
          <r>
            <t xml:space="preserve">COEFICIENTE</t>
          </r>
        </is>
      </c>
      <c r="F114" s="21" t="inlineStr">
        <is>
          <r>
            <t xml:space="preserve">PREÇO UNITÁRIO</t>
          </r>
        </is>
      </c>
      <c r="G114" s="21" t="inlineStr">
        <is>
          <r>
            <t xml:space="preserve">TOTAL</t>
          </r>
        </is>
      </c>
    </row>
    <row r="115" customHeight="1" ht="15">
      <c r="A115" s="22" t="inlineStr">
        <is>
          <r>
            <t xml:space="preserve">I2543</t>
          </r>
        </is>
      </c>
      <c r="B115" s="23" t="inlineStr">
        <is>
          <r>
            <t xml:space="preserve">SERVENTE</t>
          </r>
        </is>
      </c>
      <c r="C115" s="22" t="inlineStr">
        <is>
          <r>
            <t xml:space="preserve">SEINFRA</t>
          </r>
        </is>
      </c>
      <c r="D115" s="22" t="inlineStr">
        <is>
          <r>
            <t xml:space="preserve">H</t>
          </r>
        </is>
      </c>
      <c r="E115" s="24" t="n">
        <v>0.04</v>
      </c>
      <c r="F115" s="30" t="n">
        <v>18.46</v>
      </c>
      <c r="G115" s="30" t="n">
        <f>ROUND(ROUND(E115,8)*F115,4)</f>
        <v>0.7384</v>
      </c>
    </row>
    <row r="116" customHeight="1" ht="15">
      <c r="A116" s="2" t="inlineStr"/>
      <c r="B116" s="2" t="inlineStr"/>
      <c r="C116" s="2" t="inlineStr"/>
      <c r="D116" s="2" t="inlineStr"/>
      <c r="E116" s="26" t="inlineStr">
        <is>
          <r>
            <t xml:space="preserve">TOTAL Mão de Obra:</t>
          </r>
        </is>
      </c>
      <c r="F116" s="26" t="inlineStr"/>
      <c r="G116" s="31" t="n">
        <f>SUM(G115:G115)</f>
        <v>0.7384</v>
      </c>
    </row>
    <row r="117" customHeight="1" ht="15">
      <c r="A117" s="20" t="inlineStr">
        <is>
          <r>
            <t xml:space="preserve">Serviço</t>
          </r>
        </is>
      </c>
      <c r="B117" s="20" t="inlineStr"/>
      <c r="C117" s="21" t="inlineStr">
        <is>
          <r>
            <t xml:space="preserve">FONTE</t>
          </r>
        </is>
      </c>
      <c r="D117" s="21" t="inlineStr">
        <is>
          <r>
            <t xml:space="preserve">UNID</t>
          </r>
        </is>
      </c>
      <c r="E117" s="21" t="inlineStr">
        <is>
          <r>
            <t xml:space="preserve">COEFICIENTE</t>
          </r>
        </is>
      </c>
      <c r="F117" s="21" t="inlineStr">
        <is>
          <r>
            <t xml:space="preserve">PREÇO UNITÁRIO</t>
          </r>
        </is>
      </c>
      <c r="G117" s="21" t="inlineStr">
        <is>
          <r>
            <t xml:space="preserve">TOTAL</t>
          </r>
        </is>
      </c>
    </row>
    <row r="118" customHeight="1" ht="15">
      <c r="A118" s="22" t="inlineStr">
        <is>
          <r>
            <t xml:space="preserve">C3139</t>
          </r>
        </is>
      </c>
      <c r="B118" s="23" t="inlineStr">
        <is>
          <r>
            <t xml:space="preserve">BRITA PRODUZIDA PARA BASES</t>
          </r>
        </is>
      </c>
      <c r="C118" s="22" t="inlineStr">
        <is>
          <r>
            <t xml:space="preserve">SEINFRA</t>
          </r>
        </is>
      </c>
      <c r="D118" s="22" t="inlineStr">
        <is>
          <r>
            <t xml:space="preserve">M3</t>
          </r>
        </is>
      </c>
      <c r="E118" s="24" t="n">
        <v>0.461</v>
      </c>
      <c r="F118" s="30" t="n">
        <v>93.68</v>
      </c>
      <c r="G118" s="30" t="n">
        <f>ROUND(ROUND(E118,8)*F118,4)</f>
        <v>43.1865</v>
      </c>
    </row>
    <row r="119" customHeight="1" ht="15">
      <c r="A119" s="22" t="inlineStr">
        <is>
          <r>
            <t xml:space="preserve">C3160</t>
          </r>
        </is>
      </c>
      <c r="B119" s="23" t="inlineStr">
        <is>
          <r>
            <t xml:space="preserve">DESMATAMENTO DE JAZIDA</t>
          </r>
        </is>
      </c>
      <c r="C119" s="22" t="inlineStr">
        <is>
          <r>
            <t xml:space="preserve">SEINFRA</t>
          </r>
        </is>
      </c>
      <c r="D119" s="22" t="inlineStr">
        <is>
          <r>
            <t xml:space="preserve">M2</t>
          </r>
        </is>
      </c>
      <c r="E119" s="24" t="n">
        <v>0.7</v>
      </c>
      <c r="F119" s="30" t="n">
        <v>0.42</v>
      </c>
      <c r="G119" s="30" t="n">
        <f>ROUND(ROUND(E119,8)*F119,4)</f>
        <v>0.294</v>
      </c>
    </row>
    <row r="120" customHeight="1" ht="15">
      <c r="A120" s="22" t="inlineStr">
        <is>
          <r>
            <t xml:space="preserve">C3211</t>
          </r>
        </is>
      </c>
      <c r="B120" s="23" t="inlineStr">
        <is>
          <r>
            <t xml:space="preserve">ESCAVAÇÃO E CARGA DE MATERIAL DE JAZIDA</t>
          </r>
        </is>
      </c>
      <c r="C120" s="22" t="inlineStr">
        <is>
          <r>
            <t xml:space="preserve">SEINFRA</t>
          </r>
        </is>
      </c>
      <c r="D120" s="22" t="inlineStr">
        <is>
          <r>
            <t xml:space="preserve">M3</t>
          </r>
        </is>
      </c>
      <c r="E120" s="24" t="n">
        <v>1.003</v>
      </c>
      <c r="F120" s="30" t="n">
        <v>4.81</v>
      </c>
      <c r="G120" s="30" t="n">
        <f>ROUND(ROUND(E120,8)*F120,4)</f>
        <v>4.8244</v>
      </c>
    </row>
    <row r="121" customHeight="1" ht="15">
      <c r="A121" s="22" t="inlineStr">
        <is>
          <r>
            <t xml:space="preserve">C3218</t>
          </r>
        </is>
      </c>
      <c r="B121" s="23" t="inlineStr">
        <is>
          <r>
            <t xml:space="preserve">EXPURGO DE JAZIDA</t>
          </r>
        </is>
      </c>
      <c r="C121" s="22" t="inlineStr">
        <is>
          <r>
            <t xml:space="preserve">SEINFRA</t>
          </r>
        </is>
      </c>
      <c r="D121" s="22" t="inlineStr">
        <is>
          <r>
            <t xml:space="preserve">M3</t>
          </r>
        </is>
      </c>
      <c r="E121" s="24" t="n">
        <v>0.14</v>
      </c>
      <c r="F121" s="30" t="n">
        <v>3.66</v>
      </c>
      <c r="G121" s="30" t="n">
        <f>ROUND(ROUND(E121,8)*F121,4)</f>
        <v>0.5124</v>
      </c>
    </row>
    <row r="122" customHeight="1" ht="15">
      <c r="A122" s="22" t="inlineStr">
        <is>
          <r>
            <t xml:space="preserve">C3244</t>
          </r>
        </is>
      </c>
      <c r="B122" s="23" t="inlineStr">
        <is>
          <r>
            <t xml:space="preserve">USINAGEM DE MISTURAS DE AGREGADOS</t>
          </r>
        </is>
      </c>
      <c r="C122" s="22" t="inlineStr">
        <is>
          <r>
            <t xml:space="preserve">SEINFRA</t>
          </r>
        </is>
      </c>
      <c r="D122" s="22" t="inlineStr">
        <is>
          <r>
            <t xml:space="preserve">M3</t>
          </r>
        </is>
      </c>
      <c r="E122" s="24" t="n">
        <v>1.1</v>
      </c>
      <c r="F122" s="30" t="n">
        <v>18.69</v>
      </c>
      <c r="G122" s="30" t="n">
        <f>ROUND(ROUND(E122,8)*F122,4)</f>
        <v>20.559</v>
      </c>
    </row>
    <row r="123" customHeight="1" ht="15">
      <c r="A123" s="2" t="inlineStr"/>
      <c r="B123" s="2" t="inlineStr"/>
      <c r="C123" s="2" t="inlineStr"/>
      <c r="D123" s="2" t="inlineStr"/>
      <c r="E123" s="26" t="inlineStr">
        <is>
          <r>
            <t xml:space="preserve">TOTAL Serviço:</t>
          </r>
        </is>
      </c>
      <c r="F123" s="26" t="inlineStr"/>
      <c r="G123" s="31" t="n">
        <f>SUM(G118:G122)</f>
        <v>69.3763</v>
      </c>
    </row>
    <row r="124" customHeight="1" ht="15">
      <c r="A124" s="2" t="inlineStr"/>
      <c r="B124" s="2" t="inlineStr"/>
      <c r="C124" s="2" t="inlineStr"/>
      <c r="D124" s="2" t="inlineStr"/>
      <c r="E124" s="28" t="inlineStr">
        <is>
          <r>
            <t xml:space="preserve">VALOR:</t>
          </r>
        </is>
      </c>
      <c r="F124" s="28" t="inlineStr"/>
      <c r="G124" s="29" t="n">
        <f>ROUND(SUM(G113,G116,G123),2)</f>
        <v>78.64</v>
      </c>
    </row>
    <row r="125" customHeight="1" ht="15">
      <c r="A125" s="2" t="inlineStr"/>
      <c r="B125" s="2" t="inlineStr"/>
      <c r="C125" s="2" t="inlineStr"/>
      <c r="D125" s="2" t="inlineStr"/>
      <c r="E125" s="28" t="inlineStr">
        <is>
          <r>
            <t xml:space="preserve">VALOR BDI:</t>
          </r>
        </is>
      </c>
      <c r="F125" s="28" t="inlineStr"/>
      <c r="G125" s="29" t="n">
        <f>ROUND(G124*(0/100),2)</f>
        <v>0.0</v>
      </c>
    </row>
    <row r="126" customHeight="1" ht="15">
      <c r="A126" s="2" t="inlineStr"/>
      <c r="B126" s="2" t="inlineStr"/>
      <c r="C126" s="2" t="inlineStr"/>
      <c r="D126" s="2" t="inlineStr"/>
      <c r="E126" s="28" t="inlineStr">
        <is>
          <r>
            <t xml:space="preserve">VALOR COM BDI:</t>
          </r>
        </is>
      </c>
      <c r="F126" s="28" t="inlineStr"/>
      <c r="G126" s="29" t="n">
        <f>G125+G124</f>
        <v>78.64</v>
      </c>
    </row>
    <row r="127" customHeight="1" ht="10">
      <c r="A127" s="2" t="inlineStr"/>
      <c r="B127" s="2" t="inlineStr"/>
      <c r="C127" s="2" t="inlineStr"/>
      <c r="D127" s="2" t="inlineStr"/>
      <c r="E127" s="18" t="inlineStr"/>
      <c r="F127" s="18" t="inlineStr"/>
      <c r="G127" s="18" t="inlineStr"/>
    </row>
    <row r="128" customHeight="1" ht="20">
      <c r="A128" s="19" t="inlineStr">
        <is>
          <r>
            <t xml:space="preserve">1.3.1.3. ​C2530​ TRANSPORTE DE MATERIAL, EXCETO ROCHA EM CAMINHÃO ATÉ 10KM​ (M3)</t>
          </r>
        </is>
      </c>
      <c r="B128" s="19" t="inlineStr"/>
      <c r="C128" s="19" t="inlineStr"/>
      <c r="D128" s="19" t="inlineStr"/>
      <c r="E128" s="19" t="inlineStr"/>
      <c r="F128" s="19" t="inlineStr"/>
      <c r="G128" s="19" t="inlineStr"/>
    </row>
    <row r="129" customHeight="1" ht="15">
      <c r="A129" s="20" t="inlineStr">
        <is>
          <r>
            <t xml:space="preserve">Equipamento Custo Horário</t>
          </r>
        </is>
      </c>
      <c r="B129" s="20" t="inlineStr"/>
      <c r="C129" s="21" t="inlineStr">
        <is>
          <r>
            <t xml:space="preserve">FONTE</t>
          </r>
        </is>
      </c>
      <c r="D129" s="21" t="inlineStr">
        <is>
          <r>
            <t xml:space="preserve">UNID</t>
          </r>
        </is>
      </c>
      <c r="E129" s="21" t="inlineStr">
        <is>
          <r>
            <t xml:space="preserve">COEFICIENTE</t>
          </r>
        </is>
      </c>
      <c r="F129" s="21" t="inlineStr">
        <is>
          <r>
            <t xml:space="preserve">PREÇO UNITÁRIO</t>
          </r>
        </is>
      </c>
      <c r="G129" s="21" t="inlineStr">
        <is>
          <r>
            <t xml:space="preserve">TOTAL</t>
          </r>
        </is>
      </c>
    </row>
    <row r="130" customHeight="1" ht="15">
      <c r="A130" s="22" t="inlineStr">
        <is>
          <r>
            <t xml:space="preserve">I0690</t>
          </r>
        </is>
      </c>
      <c r="B130" s="23" t="inlineStr">
        <is>
          <r>
            <t xml:space="preserve">CAMINHÃO BASCULANTE 6 M3 (CHP)</t>
          </r>
        </is>
      </c>
      <c r="C130" s="22" t="inlineStr">
        <is>
          <r>
            <t xml:space="preserve">SEINFRA</t>
          </r>
        </is>
      </c>
      <c r="D130" s="22" t="inlineStr">
        <is>
          <r>
            <t xml:space="preserve">H</t>
          </r>
        </is>
      </c>
      <c r="E130" s="24" t="n">
        <v>0.2222</v>
      </c>
      <c r="F130" s="30" t="n">
        <v>173.7102</v>
      </c>
      <c r="G130" s="30" t="n">
        <f>ROUND(ROUND(E130,8)*F130,4)</f>
        <v>38.5984</v>
      </c>
    </row>
    <row r="131" customHeight="1" ht="18">
      <c r="A131" s="2" t="inlineStr"/>
      <c r="B131" s="2" t="inlineStr"/>
      <c r="C131" s="2" t="inlineStr"/>
      <c r="D131" s="2" t="inlineStr"/>
      <c r="E131" s="26" t="inlineStr">
        <is>
          <r>
            <t xml:space="preserve">TOTAL Equipamento Custo Horário:</t>
          </r>
        </is>
      </c>
      <c r="F131" s="26" t="inlineStr"/>
      <c r="G131" s="31" t="n">
        <f>SUM(G130:G130)</f>
        <v>38.5984</v>
      </c>
    </row>
    <row r="132" customHeight="1" ht="15">
      <c r="A132" s="2" t="inlineStr"/>
      <c r="B132" s="2" t="inlineStr"/>
      <c r="C132" s="2" t="inlineStr"/>
      <c r="D132" s="2" t="inlineStr"/>
      <c r="E132" s="28" t="inlineStr">
        <is>
          <r>
            <t xml:space="preserve">VALOR:</t>
          </r>
        </is>
      </c>
      <c r="F132" s="28" t="inlineStr"/>
      <c r="G132" s="29" t="n">
        <f>ROUND(SUM(G131),2)</f>
        <v>38.6</v>
      </c>
    </row>
    <row r="133" customHeight="1" ht="15">
      <c r="A133" s="2" t="inlineStr"/>
      <c r="B133" s="2" t="inlineStr"/>
      <c r="C133" s="2" t="inlineStr"/>
      <c r="D133" s="2" t="inlineStr"/>
      <c r="E133" s="28" t="inlineStr">
        <is>
          <r>
            <t xml:space="preserve">VALOR BDI:</t>
          </r>
        </is>
      </c>
      <c r="F133" s="28" t="inlineStr"/>
      <c r="G133" s="29" t="n">
        <f>ROUND(G132*(0/100),2)</f>
        <v>0.0</v>
      </c>
    </row>
    <row r="134" customHeight="1" ht="15">
      <c r="A134" s="2" t="inlineStr"/>
      <c r="B134" s="2" t="inlineStr"/>
      <c r="C134" s="2" t="inlineStr"/>
      <c r="D134" s="2" t="inlineStr"/>
      <c r="E134" s="28" t="inlineStr">
        <is>
          <r>
            <t xml:space="preserve">VALOR COM BDI:</t>
          </r>
        </is>
      </c>
      <c r="F134" s="28" t="inlineStr"/>
      <c r="G134" s="29" t="n">
        <f>G133+G132</f>
        <v>38.6</v>
      </c>
    </row>
    <row r="135" customHeight="1" ht="10">
      <c r="A135" s="2" t="inlineStr"/>
      <c r="B135" s="2" t="inlineStr"/>
      <c r="C135" s="2" t="inlineStr"/>
      <c r="D135" s="2" t="inlineStr"/>
      <c r="E135" s="18" t="inlineStr"/>
      <c r="F135" s="18" t="inlineStr"/>
      <c r="G135" s="18" t="inlineStr"/>
    </row>
    <row r="136" customHeight="1" ht="20">
      <c r="A136" s="19" t="inlineStr">
        <is>
          <r>
            <t xml:space="preserve">1.3.1.4. ​C3217​ ESTABILIZAÇÃO GRANULOMÉTRICA DE SOLOS S/ MISTURA DE MATERIAIS (S/TRANSP)​ (M3)</t>
          </r>
        </is>
      </c>
      <c r="B136" s="19" t="inlineStr"/>
      <c r="C136" s="19" t="inlineStr"/>
      <c r="D136" s="19" t="inlineStr"/>
      <c r="E136" s="19" t="inlineStr"/>
      <c r="F136" s="19" t="inlineStr"/>
      <c r="G136" s="19" t="inlineStr"/>
    </row>
    <row r="137" customHeight="1" ht="15">
      <c r="A137" s="20" t="inlineStr">
        <is>
          <r>
            <t xml:space="preserve">Equipamento Custo Horário</t>
          </r>
        </is>
      </c>
      <c r="B137" s="20" t="inlineStr"/>
      <c r="C137" s="21" t="inlineStr">
        <is>
          <r>
            <t xml:space="preserve">FONTE</t>
          </r>
        </is>
      </c>
      <c r="D137" s="21" t="inlineStr">
        <is>
          <r>
            <t xml:space="preserve">UNID</t>
          </r>
        </is>
      </c>
      <c r="E137" s="21" t="inlineStr">
        <is>
          <r>
            <t xml:space="preserve">COEFICIENTE</t>
          </r>
        </is>
      </c>
      <c r="F137" s="21" t="inlineStr">
        <is>
          <r>
            <t xml:space="preserve">PREÇO UNITÁRIO</t>
          </r>
        </is>
      </c>
      <c r="G137" s="21" t="inlineStr">
        <is>
          <r>
            <t xml:space="preserve">TOTAL</t>
          </r>
        </is>
      </c>
    </row>
    <row r="138" customHeight="1" ht="15">
      <c r="A138" s="22" t="inlineStr">
        <is>
          <r>
            <t xml:space="preserve">I0590</t>
          </r>
        </is>
      </c>
      <c r="B138" s="23" t="inlineStr">
        <is>
          <r>
            <t xml:space="preserve">CAMINHÃO TANQUE 8.000 l (CHI)</t>
          </r>
        </is>
      </c>
      <c r="C138" s="22" t="inlineStr">
        <is>
          <r>
            <t xml:space="preserve">SEINFRA</t>
          </r>
        </is>
      </c>
      <c r="D138" s="22" t="inlineStr">
        <is>
          <r>
            <t xml:space="preserve">H</t>
          </r>
        </is>
      </c>
      <c r="E138" s="24" t="n">
        <v>0.01037037</v>
      </c>
      <c r="F138" s="30" t="n">
        <v>70.4941</v>
      </c>
      <c r="G138" s="30" t="n">
        <f>ROUND(ROUND(E138,8)*F138,4)</f>
        <v>0.731</v>
      </c>
    </row>
    <row r="139" customHeight="1" ht="15">
      <c r="A139" s="22" t="inlineStr">
        <is>
          <r>
            <t xml:space="preserve">I0698</t>
          </r>
        </is>
      </c>
      <c r="B139" s="23" t="inlineStr">
        <is>
          <r>
            <t xml:space="preserve">CAMINHÃO TANQUE 8.000 l (CHP)</t>
          </r>
        </is>
      </c>
      <c r="C139" s="22" t="inlineStr">
        <is>
          <r>
            <t xml:space="preserve">SEINFRA</t>
          </r>
        </is>
      </c>
      <c r="D139" s="22" t="inlineStr">
        <is>
          <r>
            <t xml:space="preserve">H</t>
          </r>
        </is>
      </c>
      <c r="E139" s="24" t="n">
        <v>0.02666667</v>
      </c>
      <c r="F139" s="30" t="n">
        <v>213.8811</v>
      </c>
      <c r="G139" s="30" t="n">
        <f>ROUND(ROUND(E139,8)*F139,4)</f>
        <v>5.7035</v>
      </c>
    </row>
    <row r="140" customHeight="1" ht="15">
      <c r="A140" s="22" t="inlineStr">
        <is>
          <r>
            <t xml:space="preserve">I0607</t>
          </r>
        </is>
      </c>
      <c r="B140" s="23" t="inlineStr">
        <is>
          <r>
            <t xml:space="preserve">COMPAC. DE PNEUS PRES. VAR. AUTOPR. (CHI)</t>
          </r>
        </is>
      </c>
      <c r="C140" s="22" t="inlineStr">
        <is>
          <r>
            <t xml:space="preserve">SEINFRA</t>
          </r>
        </is>
      </c>
      <c r="D140" s="22" t="inlineStr">
        <is>
          <r>
            <t xml:space="preserve">H</t>
          </r>
        </is>
      </c>
      <c r="E140" s="24" t="n">
        <v>0.01666667</v>
      </c>
      <c r="F140" s="30" t="n">
        <v>94.324</v>
      </c>
      <c r="G140" s="30" t="n">
        <f>ROUND(ROUND(E140,8)*F140,4)</f>
        <v>1.5721</v>
      </c>
    </row>
    <row r="141" customHeight="1" ht="15">
      <c r="A141" s="22" t="inlineStr">
        <is>
          <r>
            <t xml:space="preserve">I0721</t>
          </r>
        </is>
      </c>
      <c r="B141" s="23" t="inlineStr">
        <is>
          <r>
            <t xml:space="preserve">COMPAC. DE PNEUS PRES. VAR. AUTOPR. (CHP)</t>
          </r>
        </is>
      </c>
      <c r="C141" s="22" t="inlineStr">
        <is>
          <r>
            <t xml:space="preserve">SEINFRA</t>
          </r>
        </is>
      </c>
      <c r="D141" s="22" t="inlineStr">
        <is>
          <r>
            <t xml:space="preserve">H</t>
          </r>
        </is>
      </c>
      <c r="E141" s="24" t="n">
        <v>0.00185185</v>
      </c>
      <c r="F141" s="30" t="n">
        <v>246.224</v>
      </c>
      <c r="G141" s="30" t="n">
        <f>ROUND(ROUND(E141,8)*F141,4)</f>
        <v>0.456</v>
      </c>
    </row>
    <row r="142" customHeight="1" ht="15">
      <c r="A142" s="22" t="inlineStr">
        <is>
          <r>
            <t xml:space="preserve">I0609</t>
          </r>
        </is>
      </c>
      <c r="B142" s="23" t="inlineStr">
        <is>
          <r>
            <t xml:space="preserve">COMPAC. LISO VIBRAT. AUTOPROPELIDO (CHI)</t>
          </r>
        </is>
      </c>
      <c r="C142" s="22" t="inlineStr">
        <is>
          <r>
            <t xml:space="preserve">SEINFRA</t>
          </r>
        </is>
      </c>
      <c r="D142" s="22" t="inlineStr">
        <is>
          <r>
            <t xml:space="preserve">H</t>
          </r>
        </is>
      </c>
      <c r="E142" s="24" t="n">
        <v>0.015</v>
      </c>
      <c r="F142" s="30" t="n">
        <v>80.3845</v>
      </c>
      <c r="G142" s="30" t="n">
        <f>ROUND(ROUND(E142,8)*F142,4)</f>
        <v>1.2058</v>
      </c>
    </row>
    <row r="143" customHeight="1" ht="15">
      <c r="A143" s="22" t="inlineStr">
        <is>
          <r>
            <t xml:space="preserve">I0722</t>
          </r>
        </is>
      </c>
      <c r="B143" s="23" t="inlineStr">
        <is>
          <r>
            <t xml:space="preserve">COMPAC. LISO VIBRAT. AUTOPROPELIDO (CHP)</t>
          </r>
        </is>
      </c>
      <c r="C143" s="22" t="inlineStr">
        <is>
          <r>
            <t xml:space="preserve">SEINFRA</t>
          </r>
        </is>
      </c>
      <c r="D143" s="22" t="inlineStr">
        <is>
          <r>
            <t xml:space="preserve">H</t>
          </r>
        </is>
      </c>
      <c r="E143" s="24" t="n">
        <v>0.00351852</v>
      </c>
      <c r="F143" s="30" t="n">
        <v>225.7606</v>
      </c>
      <c r="G143" s="30" t="n">
        <f>ROUND(ROUND(E143,8)*F143,4)</f>
        <v>0.7943</v>
      </c>
    </row>
    <row r="144" customHeight="1" ht="15">
      <c r="A144" s="22" t="inlineStr">
        <is>
          <r>
            <t xml:space="preserve">I0625</t>
          </r>
        </is>
      </c>
      <c r="B144" s="23" t="inlineStr">
        <is>
          <r>
            <t xml:space="preserve">GRADE DE DISCOS (CHI)</t>
          </r>
        </is>
      </c>
      <c r="C144" s="22" t="inlineStr">
        <is>
          <r>
            <t xml:space="preserve">SEINFRA</t>
          </r>
        </is>
      </c>
      <c r="D144" s="22" t="inlineStr">
        <is>
          <r>
            <t xml:space="preserve">H</t>
          </r>
        </is>
      </c>
      <c r="E144" s="24" t="n">
        <v>0.00259259</v>
      </c>
      <c r="F144" s="30" t="n">
        <v>4.8946</v>
      </c>
      <c r="G144" s="30" t="n">
        <f>ROUND(ROUND(E144,8)*F144,4)</f>
        <v>0.0127</v>
      </c>
    </row>
    <row r="145" customHeight="1" ht="15">
      <c r="A145" s="22" t="inlineStr">
        <is>
          <r>
            <t xml:space="preserve">I0739</t>
          </r>
        </is>
      </c>
      <c r="B145" s="23" t="inlineStr">
        <is>
          <r>
            <t xml:space="preserve">GRADE DE DISCOS (CHP)</t>
          </r>
        </is>
      </c>
      <c r="C145" s="22" t="inlineStr">
        <is>
          <r>
            <t xml:space="preserve">SEINFRA</t>
          </r>
        </is>
      </c>
      <c r="D145" s="22" t="inlineStr">
        <is>
          <r>
            <t xml:space="preserve">H</t>
          </r>
        </is>
      </c>
      <c r="E145" s="24" t="n">
        <v>0.01592593</v>
      </c>
      <c r="F145" s="30" t="n">
        <v>6.8842</v>
      </c>
      <c r="G145" s="30" t="n">
        <f>ROUND(ROUND(E145,8)*F145,4)</f>
        <v>0.1096</v>
      </c>
    </row>
    <row r="146" customHeight="1" ht="15">
      <c r="A146" s="22" t="inlineStr">
        <is>
          <r>
            <t xml:space="preserve">I0642</t>
          </r>
        </is>
      </c>
      <c r="B146" s="23" t="inlineStr">
        <is>
          <r>
            <t xml:space="preserve">MOTO NIVELADORA (CHI)</t>
          </r>
        </is>
      </c>
      <c r="C146" s="22" t="inlineStr">
        <is>
          <r>
            <t xml:space="preserve">SEINFRA</t>
          </r>
        </is>
      </c>
      <c r="D146" s="22" t="inlineStr">
        <is>
          <r>
            <t xml:space="preserve">H</t>
          </r>
        </is>
      </c>
      <c r="E146" s="24" t="n">
        <v>0.0</v>
      </c>
      <c r="F146" s="30" t="n">
        <v>121.9582</v>
      </c>
      <c r="G146" s="30" t="n">
        <f>ROUND(ROUND(E146,8)*F146,4)</f>
        <v>0.0</v>
      </c>
    </row>
    <row r="147" customHeight="1" ht="15">
      <c r="A147" s="22" t="inlineStr">
        <is>
          <r>
            <t xml:space="preserve">I0756</t>
          </r>
        </is>
      </c>
      <c r="B147" s="23" t="inlineStr">
        <is>
          <r>
            <t xml:space="preserve">MOTO NIVELADORA (CHP)</t>
          </r>
        </is>
      </c>
      <c r="C147" s="22" t="inlineStr">
        <is>
          <r>
            <t xml:space="preserve">SEINFRA</t>
          </r>
        </is>
      </c>
      <c r="D147" s="22" t="inlineStr">
        <is>
          <r>
            <t xml:space="preserve">H</t>
          </r>
        </is>
      </c>
      <c r="E147" s="24" t="n">
        <v>0.01851852</v>
      </c>
      <c r="F147" s="30" t="n">
        <v>307.8011</v>
      </c>
      <c r="G147" s="30" t="n">
        <f>ROUND(ROUND(E147,8)*F147,4)</f>
        <v>5.7</v>
      </c>
    </row>
    <row r="148" customHeight="1" ht="15">
      <c r="A148" s="22" t="inlineStr">
        <is>
          <r>
            <t xml:space="preserve">I0667</t>
          </r>
        </is>
      </c>
      <c r="B148" s="23" t="inlineStr">
        <is>
          <r>
            <t xml:space="preserve">TRATOR DE PNEUS (CHI)</t>
          </r>
        </is>
      </c>
      <c r="C148" s="22" t="inlineStr">
        <is>
          <r>
            <t xml:space="preserve">SEINFRA</t>
          </r>
        </is>
      </c>
      <c r="D148" s="22" t="inlineStr">
        <is>
          <r>
            <t xml:space="preserve">H</t>
          </r>
        </is>
      </c>
      <c r="E148" s="24" t="n">
        <v>0.00259259</v>
      </c>
      <c r="F148" s="30" t="n">
        <v>37.2018</v>
      </c>
      <c r="G148" s="30" t="n">
        <f>ROUND(ROUND(E148,8)*F148,4)</f>
        <v>0.0964</v>
      </c>
    </row>
    <row r="149" customHeight="1" ht="15">
      <c r="A149" s="22" t="inlineStr">
        <is>
          <r>
            <t xml:space="preserve">I0780</t>
          </r>
        </is>
      </c>
      <c r="B149" s="23" t="inlineStr">
        <is>
          <r>
            <t xml:space="preserve">TRATOR DE PNEUS (CHP)</t>
          </r>
        </is>
      </c>
      <c r="C149" s="22" t="inlineStr">
        <is>
          <r>
            <t xml:space="preserve">SEINFRA</t>
          </r>
        </is>
      </c>
      <c r="D149" s="22" t="inlineStr">
        <is>
          <r>
            <t xml:space="preserve">H</t>
          </r>
        </is>
      </c>
      <c r="E149" s="24" t="n">
        <v>0.01592593</v>
      </c>
      <c r="F149" s="30" t="n">
        <v>124.7249</v>
      </c>
      <c r="G149" s="30" t="n">
        <f>ROUND(ROUND(E149,8)*F149,4)</f>
        <v>1.9864</v>
      </c>
    </row>
    <row r="150" customHeight="1" ht="18">
      <c r="A150" s="2" t="inlineStr"/>
      <c r="B150" s="2" t="inlineStr"/>
      <c r="C150" s="2" t="inlineStr"/>
      <c r="D150" s="2" t="inlineStr"/>
      <c r="E150" s="26" t="inlineStr">
        <is>
          <r>
            <t xml:space="preserve">TOTAL Equipamento Custo Horário:</t>
          </r>
        </is>
      </c>
      <c r="F150" s="26" t="inlineStr"/>
      <c r="G150" s="31" t="n">
        <f>SUM(G138:G149)</f>
        <v>18.3678</v>
      </c>
    </row>
    <row r="151" customHeight="1" ht="15">
      <c r="A151" s="20" t="inlineStr">
        <is>
          <r>
            <t xml:space="preserve">Mão de Obra</t>
          </r>
        </is>
      </c>
      <c r="B151" s="20" t="inlineStr"/>
      <c r="C151" s="21" t="inlineStr">
        <is>
          <r>
            <t xml:space="preserve">FONTE</t>
          </r>
        </is>
      </c>
      <c r="D151" s="21" t="inlineStr">
        <is>
          <r>
            <t xml:space="preserve">UNID</t>
          </r>
        </is>
      </c>
      <c r="E151" s="21" t="inlineStr">
        <is>
          <r>
            <t xml:space="preserve">COEFICIENTE</t>
          </r>
        </is>
      </c>
      <c r="F151" s="21" t="inlineStr">
        <is>
          <r>
            <t xml:space="preserve">PREÇO UNITÁRIO</t>
          </r>
        </is>
      </c>
      <c r="G151" s="21" t="inlineStr">
        <is>
          <r>
            <t xml:space="preserve">TOTAL</t>
          </r>
        </is>
      </c>
    </row>
    <row r="152" customHeight="1" ht="15">
      <c r="A152" s="22" t="inlineStr">
        <is>
          <r>
            <t xml:space="preserve">I2543</t>
          </r>
        </is>
      </c>
      <c r="B152" s="23" t="inlineStr">
        <is>
          <r>
            <t xml:space="preserve">SERVENTE</t>
          </r>
        </is>
      </c>
      <c r="C152" s="22" t="inlineStr">
        <is>
          <r>
            <t xml:space="preserve">SEINFRA</t>
          </r>
        </is>
      </c>
      <c r="D152" s="22" t="inlineStr">
        <is>
          <r>
            <t xml:space="preserve">H</t>
          </r>
        </is>
      </c>
      <c r="E152" s="24" t="n">
        <v>0.09259259</v>
      </c>
      <c r="F152" s="30" t="n">
        <v>18.46</v>
      </c>
      <c r="G152" s="30" t="n">
        <f>ROUND(ROUND(E152,8)*F152,4)</f>
        <v>1.7093</v>
      </c>
    </row>
    <row r="153" customHeight="1" ht="15">
      <c r="A153" s="2" t="inlineStr"/>
      <c r="B153" s="2" t="inlineStr"/>
      <c r="C153" s="2" t="inlineStr"/>
      <c r="D153" s="2" t="inlineStr"/>
      <c r="E153" s="26" t="inlineStr">
        <is>
          <r>
            <t xml:space="preserve">TOTAL Mão de Obra:</t>
          </r>
        </is>
      </c>
      <c r="F153" s="26" t="inlineStr"/>
      <c r="G153" s="31" t="n">
        <f>SUM(G152:G152)</f>
        <v>1.7093</v>
      </c>
    </row>
    <row r="154" customHeight="1" ht="15">
      <c r="A154" s="20" t="inlineStr">
        <is>
          <r>
            <t xml:space="preserve">Serviço</t>
          </r>
        </is>
      </c>
      <c r="B154" s="20" t="inlineStr"/>
      <c r="C154" s="21" t="inlineStr">
        <is>
          <r>
            <t xml:space="preserve">FONTE</t>
          </r>
        </is>
      </c>
      <c r="D154" s="21" t="inlineStr">
        <is>
          <r>
            <t xml:space="preserve">UNID</t>
          </r>
        </is>
      </c>
      <c r="E154" s="21" t="inlineStr">
        <is>
          <r>
            <t xml:space="preserve">COEFICIENTE</t>
          </r>
        </is>
      </c>
      <c r="F154" s="21" t="inlineStr">
        <is>
          <r>
            <t xml:space="preserve">PREÇO UNITÁRIO</t>
          </r>
        </is>
      </c>
      <c r="G154" s="21" t="inlineStr">
        <is>
          <r>
            <t xml:space="preserve">TOTAL</t>
          </r>
        </is>
      </c>
    </row>
    <row r="155" customHeight="1" ht="15">
      <c r="A155" s="22" t="inlineStr">
        <is>
          <r>
            <t xml:space="preserve">C3160</t>
          </r>
        </is>
      </c>
      <c r="B155" s="23" t="inlineStr">
        <is>
          <r>
            <t xml:space="preserve">DESMATAMENTO DE JAZIDA</t>
          </r>
        </is>
      </c>
      <c r="C155" s="22" t="inlineStr">
        <is>
          <r>
            <t xml:space="preserve">SEINFRA</t>
          </r>
        </is>
      </c>
      <c r="D155" s="22" t="inlineStr">
        <is>
          <r>
            <t xml:space="preserve">M2</t>
          </r>
        </is>
      </c>
      <c r="E155" s="24" t="n">
        <v>1.0</v>
      </c>
      <c r="F155" s="30" t="n">
        <v>0.42</v>
      </c>
      <c r="G155" s="30" t="n">
        <f>ROUND(ROUND(E155,8)*F155,4)</f>
        <v>0.42</v>
      </c>
    </row>
    <row r="156" customHeight="1" ht="15">
      <c r="A156" s="22" t="inlineStr">
        <is>
          <r>
            <t xml:space="preserve">C3211</t>
          </r>
        </is>
      </c>
      <c r="B156" s="23" t="inlineStr">
        <is>
          <r>
            <t xml:space="preserve">ESCAVAÇÃO E CARGA DE MATERIAL DE JAZIDA</t>
          </r>
        </is>
      </c>
      <c r="C156" s="22" t="inlineStr">
        <is>
          <r>
            <t xml:space="preserve">SEINFRA</t>
          </r>
        </is>
      </c>
      <c r="D156" s="22" t="inlineStr">
        <is>
          <r>
            <t xml:space="preserve">M3</t>
          </r>
        </is>
      </c>
      <c r="E156" s="24" t="n">
        <v>1.4</v>
      </c>
      <c r="F156" s="30" t="n">
        <v>4.81</v>
      </c>
      <c r="G156" s="30" t="n">
        <f>ROUND(ROUND(E156,8)*F156,4)</f>
        <v>6.734</v>
      </c>
    </row>
    <row r="157" customHeight="1" ht="15">
      <c r="A157" s="22" t="inlineStr">
        <is>
          <r>
            <t xml:space="preserve">C3218</t>
          </r>
        </is>
      </c>
      <c r="B157" s="23" t="inlineStr">
        <is>
          <r>
            <t xml:space="preserve">EXPURGO DE JAZIDA</t>
          </r>
        </is>
      </c>
      <c r="C157" s="22" t="inlineStr">
        <is>
          <r>
            <t xml:space="preserve">SEINFRA</t>
          </r>
        </is>
      </c>
      <c r="D157" s="22" t="inlineStr">
        <is>
          <r>
            <t xml:space="preserve">M3</t>
          </r>
        </is>
      </c>
      <c r="E157" s="24" t="n">
        <v>0.2</v>
      </c>
      <c r="F157" s="30" t="n">
        <v>3.66</v>
      </c>
      <c r="G157" s="30" t="n">
        <f>ROUND(ROUND(E157,8)*F157,4)</f>
        <v>0.732</v>
      </c>
    </row>
    <row r="158" customHeight="1" ht="15">
      <c r="A158" s="2" t="inlineStr"/>
      <c r="B158" s="2" t="inlineStr"/>
      <c r="C158" s="2" t="inlineStr"/>
      <c r="D158" s="2" t="inlineStr"/>
      <c r="E158" s="26" t="inlineStr">
        <is>
          <r>
            <t xml:space="preserve">TOTAL Serviço:</t>
          </r>
        </is>
      </c>
      <c r="F158" s="26" t="inlineStr"/>
      <c r="G158" s="31" t="n">
        <f>SUM(G155:G157)</f>
        <v>7.886</v>
      </c>
    </row>
    <row r="159" customHeight="1" ht="15">
      <c r="A159" s="2" t="inlineStr"/>
      <c r="B159" s="2" t="inlineStr"/>
      <c r="C159" s="2" t="inlineStr"/>
      <c r="D159" s="2" t="inlineStr"/>
      <c r="E159" s="28" t="inlineStr">
        <is>
          <r>
            <t xml:space="preserve">VALOR:</t>
          </r>
        </is>
      </c>
      <c r="F159" s="28" t="inlineStr"/>
      <c r="G159" s="29" t="n">
        <f>ROUND(SUM(G150,G153,G158),2)</f>
        <v>27.96</v>
      </c>
    </row>
    <row r="160" customHeight="1" ht="15">
      <c r="A160" s="2" t="inlineStr"/>
      <c r="B160" s="2" t="inlineStr"/>
      <c r="C160" s="2" t="inlineStr"/>
      <c r="D160" s="2" t="inlineStr"/>
      <c r="E160" s="28" t="inlineStr">
        <is>
          <r>
            <t xml:space="preserve">VALOR BDI:</t>
          </r>
        </is>
      </c>
      <c r="F160" s="28" t="inlineStr"/>
      <c r="G160" s="29" t="n">
        <f>ROUND(G159*(0/100),2)</f>
        <v>0.0</v>
      </c>
    </row>
    <row r="161" customHeight="1" ht="15">
      <c r="A161" s="2" t="inlineStr"/>
      <c r="B161" s="2" t="inlineStr"/>
      <c r="C161" s="2" t="inlineStr"/>
      <c r="D161" s="2" t="inlineStr"/>
      <c r="E161" s="28" t="inlineStr">
        <is>
          <r>
            <t xml:space="preserve">VALOR COM BDI:</t>
          </r>
        </is>
      </c>
      <c r="F161" s="28" t="inlineStr"/>
      <c r="G161" s="29" t="n">
        <f>G160+G159</f>
        <v>27.96</v>
      </c>
    </row>
    <row r="162" customHeight="1" ht="10">
      <c r="A162" s="2" t="inlineStr"/>
      <c r="B162" s="2" t="inlineStr"/>
      <c r="C162" s="2" t="inlineStr"/>
      <c r="D162" s="2" t="inlineStr"/>
      <c r="E162" s="18" t="inlineStr"/>
      <c r="F162" s="18" t="inlineStr"/>
      <c r="G162" s="18" t="inlineStr"/>
    </row>
    <row r="163" customHeight="1" ht="20">
      <c r="A163" s="19" t="inlineStr">
        <is>
          <r>
            <t xml:space="preserve">1.3.1.5. ​C2789​ ESCAVAÇÃO MECÂNICA SOLO DE 1A CAT. PROF. ATÉ 2.00m​ (M3)</t>
          </r>
        </is>
      </c>
      <c r="B163" s="19" t="inlineStr"/>
      <c r="C163" s="19" t="inlineStr"/>
      <c r="D163" s="19" t="inlineStr"/>
      <c r="E163" s="19" t="inlineStr"/>
      <c r="F163" s="19" t="inlineStr"/>
      <c r="G163" s="19" t="inlineStr"/>
    </row>
    <row r="164" customHeight="1" ht="15">
      <c r="A164" s="20" t="inlineStr">
        <is>
          <r>
            <t xml:space="preserve">Equipamento Custo Horário</t>
          </r>
        </is>
      </c>
      <c r="B164" s="20" t="inlineStr"/>
      <c r="C164" s="21" t="inlineStr">
        <is>
          <r>
            <t xml:space="preserve">FONTE</t>
          </r>
        </is>
      </c>
      <c r="D164" s="21" t="inlineStr">
        <is>
          <r>
            <t xml:space="preserve">UNID</t>
          </r>
        </is>
      </c>
      <c r="E164" s="21" t="inlineStr">
        <is>
          <r>
            <t xml:space="preserve">COEFICIENTE</t>
          </r>
        </is>
      </c>
      <c r="F164" s="21" t="inlineStr">
        <is>
          <r>
            <t xml:space="preserve">PREÇO UNITÁRIO</t>
          </r>
        </is>
      </c>
      <c r="G164" s="21" t="inlineStr">
        <is>
          <r>
            <t xml:space="preserve">TOTAL</t>
          </r>
        </is>
      </c>
    </row>
    <row r="165" customHeight="1" ht="15">
      <c r="A165" s="22" t="inlineStr">
        <is>
          <r>
            <t xml:space="preserve">I0765</t>
          </r>
        </is>
      </c>
      <c r="B165" s="23" t="inlineStr">
        <is>
          <r>
            <t xml:space="preserve">RETRO ESCAVADEIRA DE PNEUS (CHP)</t>
          </r>
        </is>
      </c>
      <c r="C165" s="22" t="inlineStr">
        <is>
          <r>
            <t xml:space="preserve">SEINFRA</t>
          </r>
        </is>
      </c>
      <c r="D165" s="22" t="inlineStr">
        <is>
          <r>
            <t xml:space="preserve">H</t>
          </r>
        </is>
      </c>
      <c r="E165" s="24" t="n">
        <v>0.055</v>
      </c>
      <c r="F165" s="30" t="n">
        <v>137.092</v>
      </c>
      <c r="G165" s="30" t="n">
        <f>ROUND(ROUND(E165,8)*F165,4)</f>
        <v>7.5401</v>
      </c>
    </row>
    <row r="166" customHeight="1" ht="18">
      <c r="A166" s="2" t="inlineStr"/>
      <c r="B166" s="2" t="inlineStr"/>
      <c r="C166" s="2" t="inlineStr"/>
      <c r="D166" s="2" t="inlineStr"/>
      <c r="E166" s="26" t="inlineStr">
        <is>
          <r>
            <t xml:space="preserve">TOTAL Equipamento Custo Horário:</t>
          </r>
        </is>
      </c>
      <c r="F166" s="26" t="inlineStr"/>
      <c r="G166" s="31" t="n">
        <f>SUM(G165:G165)</f>
        <v>7.5401</v>
      </c>
    </row>
    <row r="167" customHeight="1" ht="15">
      <c r="A167" s="20" t="inlineStr">
        <is>
          <r>
            <t xml:space="preserve">Mão de Obra</t>
          </r>
        </is>
      </c>
      <c r="B167" s="20" t="inlineStr"/>
      <c r="C167" s="21" t="inlineStr">
        <is>
          <r>
            <t xml:space="preserve">FONTE</t>
          </r>
        </is>
      </c>
      <c r="D167" s="21" t="inlineStr">
        <is>
          <r>
            <t xml:space="preserve">UNID</t>
          </r>
        </is>
      </c>
      <c r="E167" s="21" t="inlineStr">
        <is>
          <r>
            <t xml:space="preserve">COEFICIENTE</t>
          </r>
        </is>
      </c>
      <c r="F167" s="21" t="inlineStr">
        <is>
          <r>
            <t xml:space="preserve">PREÇO UNITÁRIO</t>
          </r>
        </is>
      </c>
      <c r="G167" s="21" t="inlineStr">
        <is>
          <r>
            <t xml:space="preserve">TOTAL</t>
          </r>
        </is>
      </c>
    </row>
    <row r="168" customHeight="1" ht="15">
      <c r="A168" s="22" t="inlineStr">
        <is>
          <r>
            <t xml:space="preserve">I2543</t>
          </r>
        </is>
      </c>
      <c r="B168" s="23" t="inlineStr">
        <is>
          <r>
            <t xml:space="preserve">SERVENTE</t>
          </r>
        </is>
      </c>
      <c r="C168" s="22" t="inlineStr">
        <is>
          <r>
            <t xml:space="preserve">SEINFRA</t>
          </r>
        </is>
      </c>
      <c r="D168" s="22" t="inlineStr">
        <is>
          <r>
            <t xml:space="preserve">H</t>
          </r>
        </is>
      </c>
      <c r="E168" s="24" t="n">
        <v>0.11</v>
      </c>
      <c r="F168" s="30" t="n">
        <v>18.46</v>
      </c>
      <c r="G168" s="30" t="n">
        <f>ROUND(ROUND(E168,8)*F168,4)</f>
        <v>2.0306</v>
      </c>
    </row>
    <row r="169" customHeight="1" ht="15">
      <c r="A169" s="2" t="inlineStr"/>
      <c r="B169" s="2" t="inlineStr"/>
      <c r="C169" s="2" t="inlineStr"/>
      <c r="D169" s="2" t="inlineStr"/>
      <c r="E169" s="26" t="inlineStr">
        <is>
          <r>
            <t xml:space="preserve">TOTAL Mão de Obra:</t>
          </r>
        </is>
      </c>
      <c r="F169" s="26" t="inlineStr"/>
      <c r="G169" s="31" t="n">
        <f>SUM(G168:G168)</f>
        <v>2.0306</v>
      </c>
    </row>
    <row r="170" customHeight="1" ht="15">
      <c r="A170" s="2" t="inlineStr"/>
      <c r="B170" s="2" t="inlineStr"/>
      <c r="C170" s="2" t="inlineStr"/>
      <c r="D170" s="2" t="inlineStr"/>
      <c r="E170" s="28" t="inlineStr">
        <is>
          <r>
            <t xml:space="preserve">VALOR:</t>
          </r>
        </is>
      </c>
      <c r="F170" s="28" t="inlineStr"/>
      <c r="G170" s="29" t="n">
        <f>ROUND(SUM(G166,G169),2)</f>
        <v>9.57</v>
      </c>
    </row>
    <row r="171" customHeight="1" ht="15">
      <c r="A171" s="2" t="inlineStr"/>
      <c r="B171" s="2" t="inlineStr"/>
      <c r="C171" s="2" t="inlineStr"/>
      <c r="D171" s="2" t="inlineStr"/>
      <c r="E171" s="28" t="inlineStr">
        <is>
          <r>
            <t xml:space="preserve">VALOR BDI:</t>
          </r>
        </is>
      </c>
      <c r="F171" s="28" t="inlineStr"/>
      <c r="G171" s="29" t="n">
        <f>ROUND(G170*(0/100),2)</f>
        <v>0.0</v>
      </c>
    </row>
    <row r="172" customHeight="1" ht="15">
      <c r="A172" s="2" t="inlineStr"/>
      <c r="B172" s="2" t="inlineStr"/>
      <c r="C172" s="2" t="inlineStr"/>
      <c r="D172" s="2" t="inlineStr"/>
      <c r="E172" s="28" t="inlineStr">
        <is>
          <r>
            <t xml:space="preserve">VALOR COM BDI:</t>
          </r>
        </is>
      </c>
      <c r="F172" s="28" t="inlineStr"/>
      <c r="G172" s="29" t="n">
        <f>G171+G170</f>
        <v>9.57</v>
      </c>
    </row>
    <row r="173" customHeight="1" ht="10">
      <c r="A173" s="2" t="inlineStr"/>
      <c r="B173" s="2" t="inlineStr"/>
      <c r="C173" s="2" t="inlineStr"/>
      <c r="D173" s="2" t="inlineStr"/>
      <c r="E173" s="18" t="inlineStr"/>
      <c r="F173" s="18" t="inlineStr"/>
      <c r="G173" s="18" t="inlineStr"/>
    </row>
    <row r="174" customHeight="1" ht="20">
      <c r="A174" s="19" t="inlineStr">
        <is>
          <r>
            <t xml:space="preserve">1.3.2.1.1. ​C1630​ LOCAÇÃO DA OBRA - EXECUÇÃO DE GABARITO​ (M2)</t>
          </r>
        </is>
      </c>
      <c r="B174" s="19" t="inlineStr"/>
      <c r="C174" s="19" t="inlineStr"/>
      <c r="D174" s="19" t="inlineStr"/>
      <c r="E174" s="19" t="inlineStr"/>
      <c r="F174" s="19" t="inlineStr"/>
      <c r="G174" s="19" t="inlineStr"/>
    </row>
    <row r="175" customHeight="1" ht="15">
      <c r="A175" s="20" t="inlineStr">
        <is>
          <r>
            <t xml:space="preserve">Material</t>
          </r>
        </is>
      </c>
      <c r="B175" s="20" t="inlineStr"/>
      <c r="C175" s="21" t="inlineStr">
        <is>
          <r>
            <t xml:space="preserve">FONTE</t>
          </r>
        </is>
      </c>
      <c r="D175" s="21" t="inlineStr">
        <is>
          <r>
            <t xml:space="preserve">UNID</t>
          </r>
        </is>
      </c>
      <c r="E175" s="21" t="inlineStr">
        <is>
          <r>
            <t xml:space="preserve">COEFICIENTE</t>
          </r>
        </is>
      </c>
      <c r="F175" s="21" t="inlineStr">
        <is>
          <r>
            <t xml:space="preserve">PREÇO UNITÁRIO</t>
          </r>
        </is>
      </c>
      <c r="G175" s="21" t="inlineStr">
        <is>
          <r>
            <t xml:space="preserve">TOTAL</t>
          </r>
        </is>
      </c>
    </row>
    <row r="176" customHeight="1" ht="15">
      <c r="A176" s="22" t="inlineStr">
        <is>
          <r>
            <t xml:space="preserve">I0101</t>
          </r>
        </is>
      </c>
      <c r="B176" s="23" t="inlineStr">
        <is>
          <r>
            <t xml:space="preserve">ARAME GALVANIZADO N.16 BWG</t>
          </r>
        </is>
      </c>
      <c r="C176" s="22" t="inlineStr">
        <is>
          <r>
            <t xml:space="preserve">SEINFRA</t>
          </r>
        </is>
      </c>
      <c r="D176" s="22" t="inlineStr">
        <is>
          <r>
            <t xml:space="preserve">KG</t>
          </r>
        </is>
      </c>
      <c r="E176" s="24" t="n">
        <v>0.02</v>
      </c>
      <c r="F176" s="30" t="n">
        <v>21.73</v>
      </c>
      <c r="G176" s="30" t="n">
        <f>ROUND(ROUND(E176,8)*F176,4)</f>
        <v>0.4346</v>
      </c>
    </row>
    <row r="177" customHeight="1" ht="15">
      <c r="A177" s="22" t="inlineStr">
        <is>
          <r>
            <t xml:space="preserve">I1691</t>
          </r>
        </is>
      </c>
      <c r="B177" s="23" t="inlineStr">
        <is>
          <r>
            <t xml:space="preserve">PONTALETE / BARROTE DE 3"x3"</t>
          </r>
        </is>
      </c>
      <c r="C177" s="22" t="inlineStr">
        <is>
          <r>
            <t xml:space="preserve">SEINFRA</t>
          </r>
        </is>
      </c>
      <c r="D177" s="22" t="inlineStr">
        <is>
          <r>
            <t xml:space="preserve">M</t>
          </r>
        </is>
      </c>
      <c r="E177" s="24" t="n">
        <v>0.04</v>
      </c>
      <c r="F177" s="30" t="n">
        <v>16.09</v>
      </c>
      <c r="G177" s="30" t="n">
        <f>ROUND(ROUND(E177,8)*F177,4)</f>
        <v>0.6436</v>
      </c>
    </row>
    <row r="178" customHeight="1" ht="15">
      <c r="A178" s="22" t="inlineStr">
        <is>
          <r>
            <t xml:space="preserve">I1724</t>
          </r>
        </is>
      </c>
      <c r="B178" s="23" t="inlineStr">
        <is>
          <r>
            <t xml:space="preserve">PREGO</t>
          </r>
        </is>
      </c>
      <c r="C178" s="22" t="inlineStr">
        <is>
          <r>
            <t xml:space="preserve">SEINFRA</t>
          </r>
        </is>
      </c>
      <c r="D178" s="22" t="inlineStr">
        <is>
          <r>
            <t xml:space="preserve">KG</t>
          </r>
        </is>
      </c>
      <c r="E178" s="24" t="n">
        <v>0.012</v>
      </c>
      <c r="F178" s="30" t="n">
        <v>17.0</v>
      </c>
      <c r="G178" s="30" t="n">
        <f>ROUND(ROUND(E178,8)*F178,4)</f>
        <v>0.204</v>
      </c>
    </row>
    <row r="179" customHeight="1" ht="15">
      <c r="A179" s="22" t="inlineStr">
        <is>
          <r>
            <t xml:space="preserve">I2429</t>
          </r>
        </is>
      </c>
      <c r="B179" s="23" t="inlineStr">
        <is>
          <r>
            <t xml:space="preserve">TABUA DE VIROLA DE 12"x 1"</t>
          </r>
        </is>
      </c>
      <c r="C179" s="22" t="inlineStr">
        <is>
          <r>
            <t xml:space="preserve">SEINFRA</t>
          </r>
        </is>
      </c>
      <c r="D179" s="22" t="inlineStr">
        <is>
          <r>
            <t xml:space="preserve">M2</t>
          </r>
        </is>
      </c>
      <c r="E179" s="24" t="n">
        <v>0.009</v>
      </c>
      <c r="F179" s="30" t="n">
        <v>36.64</v>
      </c>
      <c r="G179" s="30" t="n">
        <f>ROUND(ROUND(E179,8)*F179,4)</f>
        <v>0.3298</v>
      </c>
    </row>
    <row r="180" customHeight="1" ht="15">
      <c r="A180" s="2" t="inlineStr"/>
      <c r="B180" s="2" t="inlineStr"/>
      <c r="C180" s="2" t="inlineStr"/>
      <c r="D180" s="2" t="inlineStr"/>
      <c r="E180" s="26" t="inlineStr">
        <is>
          <r>
            <t xml:space="preserve">TOTAL Material:</t>
          </r>
        </is>
      </c>
      <c r="F180" s="26" t="inlineStr"/>
      <c r="G180" s="31" t="n">
        <f>SUM(G176:G179)</f>
        <v>1.612</v>
      </c>
    </row>
    <row r="181" customHeight="1" ht="15">
      <c r="A181" s="20" t="inlineStr">
        <is>
          <r>
            <t xml:space="preserve">Mão de Obra</t>
          </r>
        </is>
      </c>
      <c r="B181" s="20" t="inlineStr"/>
      <c r="C181" s="21" t="inlineStr">
        <is>
          <r>
            <t xml:space="preserve">FONTE</t>
          </r>
        </is>
      </c>
      <c r="D181" s="21" t="inlineStr">
        <is>
          <r>
            <t xml:space="preserve">UNID</t>
          </r>
        </is>
      </c>
      <c r="E181" s="21" t="inlineStr">
        <is>
          <r>
            <t xml:space="preserve">COEFICIENTE</t>
          </r>
        </is>
      </c>
      <c r="F181" s="21" t="inlineStr">
        <is>
          <r>
            <t xml:space="preserve">PREÇO UNITÁRIO</t>
          </r>
        </is>
      </c>
      <c r="G181" s="21" t="inlineStr">
        <is>
          <r>
            <t xml:space="preserve">TOTAL</t>
          </r>
        </is>
      </c>
    </row>
    <row r="182" customHeight="1" ht="15">
      <c r="A182" s="22" t="inlineStr">
        <is>
          <r>
            <t xml:space="preserve">I0498</t>
          </r>
        </is>
      </c>
      <c r="B182" s="23" t="inlineStr">
        <is>
          <r>
            <t xml:space="preserve">CARPINTEIRO</t>
          </r>
        </is>
      </c>
      <c r="C182" s="22" t="inlineStr">
        <is>
          <r>
            <t xml:space="preserve">SEINFRA</t>
          </r>
        </is>
      </c>
      <c r="D182" s="22" t="inlineStr">
        <is>
          <r>
            <t xml:space="preserve">H</t>
          </r>
        </is>
      </c>
      <c r="E182" s="24" t="n">
        <v>0.13</v>
      </c>
      <c r="F182" s="30" t="n">
        <v>24.16</v>
      </c>
      <c r="G182" s="30" t="n">
        <f>ROUND(ROUND(E182,8)*F182,4)</f>
        <v>3.1408</v>
      </c>
    </row>
    <row r="183" customHeight="1" ht="15">
      <c r="A183" s="22" t="inlineStr">
        <is>
          <r>
            <t xml:space="preserve">I2543</t>
          </r>
        </is>
      </c>
      <c r="B183" s="23" t="inlineStr">
        <is>
          <r>
            <t xml:space="preserve">SERVENTE</t>
          </r>
        </is>
      </c>
      <c r="C183" s="22" t="inlineStr">
        <is>
          <r>
            <t xml:space="preserve">SEINFRA</t>
          </r>
        </is>
      </c>
      <c r="D183" s="22" t="inlineStr">
        <is>
          <r>
            <t xml:space="preserve">H</t>
          </r>
        </is>
      </c>
      <c r="E183" s="24" t="n">
        <v>0.13</v>
      </c>
      <c r="F183" s="30" t="n">
        <v>18.46</v>
      </c>
      <c r="G183" s="30" t="n">
        <f>ROUND(ROUND(E183,8)*F183,4)</f>
        <v>2.3998</v>
      </c>
    </row>
    <row r="184" customHeight="1" ht="15">
      <c r="A184" s="2" t="inlineStr"/>
      <c r="B184" s="2" t="inlineStr"/>
      <c r="C184" s="2" t="inlineStr"/>
      <c r="D184" s="2" t="inlineStr"/>
      <c r="E184" s="26" t="inlineStr">
        <is>
          <r>
            <t xml:space="preserve">TOTAL Mão de Obra:</t>
          </r>
        </is>
      </c>
      <c r="F184" s="26" t="inlineStr"/>
      <c r="G184" s="31" t="n">
        <f>SUM(G182:G183)</f>
        <v>5.5406</v>
      </c>
    </row>
    <row r="185" customHeight="1" ht="15">
      <c r="A185" s="2" t="inlineStr"/>
      <c r="B185" s="2" t="inlineStr"/>
      <c r="C185" s="2" t="inlineStr"/>
      <c r="D185" s="2" t="inlineStr"/>
      <c r="E185" s="28" t="inlineStr">
        <is>
          <r>
            <t xml:space="preserve">VALOR:</t>
          </r>
        </is>
      </c>
      <c r="F185" s="28" t="inlineStr"/>
      <c r="G185" s="29" t="n">
        <f>ROUND(SUM(G180,G184),2)</f>
        <v>7.15</v>
      </c>
    </row>
    <row r="186" customHeight="1" ht="15">
      <c r="A186" s="2" t="inlineStr"/>
      <c r="B186" s="2" t="inlineStr"/>
      <c r="C186" s="2" t="inlineStr"/>
      <c r="D186" s="2" t="inlineStr"/>
      <c r="E186" s="28" t="inlineStr">
        <is>
          <r>
            <t xml:space="preserve">VALOR BDI:</t>
          </r>
        </is>
      </c>
      <c r="F186" s="28" t="inlineStr"/>
      <c r="G186" s="29" t="n">
        <f>ROUND(G185*(0/100),2)</f>
        <v>0.0</v>
      </c>
    </row>
    <row r="187" customHeight="1" ht="15">
      <c r="A187" s="2" t="inlineStr"/>
      <c r="B187" s="2" t="inlineStr"/>
      <c r="C187" s="2" t="inlineStr"/>
      <c r="D187" s="2" t="inlineStr"/>
      <c r="E187" s="28" t="inlineStr">
        <is>
          <r>
            <t xml:space="preserve">VALOR COM BDI:</t>
          </r>
        </is>
      </c>
      <c r="F187" s="28" t="inlineStr"/>
      <c r="G187" s="29" t="n">
        <f>G186+G185</f>
        <v>7.15</v>
      </c>
    </row>
    <row r="188" customHeight="1" ht="10">
      <c r="A188" s="2" t="inlineStr"/>
      <c r="B188" s="2" t="inlineStr"/>
      <c r="C188" s="2" t="inlineStr"/>
      <c r="D188" s="2" t="inlineStr"/>
      <c r="E188" s="18" t="inlineStr"/>
      <c r="F188" s="18" t="inlineStr"/>
      <c r="G188" s="18" t="inlineStr"/>
    </row>
    <row r="189" customHeight="1" ht="20">
      <c r="A189" s="19" t="inlineStr">
        <is>
          <r>
            <t xml:space="preserve">1.3.2.2.1. ​C3280​ ESCAVAÇÃO DE BASE DE TUBULÃO A AR COMPRIMIDO ATÉ 12M​ (M3)</t>
          </r>
        </is>
      </c>
      <c r="B189" s="19" t="inlineStr"/>
      <c r="C189" s="19" t="inlineStr"/>
      <c r="D189" s="19" t="inlineStr"/>
      <c r="E189" s="19" t="inlineStr"/>
      <c r="F189" s="19" t="inlineStr"/>
      <c r="G189" s="19" t="inlineStr"/>
    </row>
    <row r="190" customHeight="1" ht="15">
      <c r="A190" s="20" t="inlineStr">
        <is>
          <r>
            <t xml:space="preserve">Equipamento Custo Horário</t>
          </r>
        </is>
      </c>
      <c r="B190" s="20" t="inlineStr"/>
      <c r="C190" s="21" t="inlineStr">
        <is>
          <r>
            <t xml:space="preserve">FONTE</t>
          </r>
        </is>
      </c>
      <c r="D190" s="21" t="inlineStr">
        <is>
          <r>
            <t xml:space="preserve">UNID</t>
          </r>
        </is>
      </c>
      <c r="E190" s="21" t="inlineStr">
        <is>
          <r>
            <t xml:space="preserve">COEFICIENTE</t>
          </r>
        </is>
      </c>
      <c r="F190" s="21" t="inlineStr">
        <is>
          <r>
            <t xml:space="preserve">PREÇO UNITÁRIO</t>
          </r>
        </is>
      </c>
      <c r="G190" s="21" t="inlineStr">
        <is>
          <r>
            <t xml:space="preserve">TOTAL</t>
          </r>
        </is>
      </c>
    </row>
    <row r="191" customHeight="1" ht="15">
      <c r="A191" s="22" t="inlineStr">
        <is>
          <r>
            <t xml:space="preserve">I0569</t>
          </r>
        </is>
      </c>
      <c r="B191" s="23" t="inlineStr">
        <is>
          <r>
            <t xml:space="preserve">BOMBA COM MOTOR A DIESEL (CHI)</t>
          </r>
        </is>
      </c>
      <c r="C191" s="22" t="inlineStr">
        <is>
          <r>
            <t xml:space="preserve">SEINFRA</t>
          </r>
        </is>
      </c>
      <c r="D191" s="22" t="inlineStr">
        <is>
          <r>
            <t xml:space="preserve">H</t>
          </r>
        </is>
      </c>
      <c r="E191" s="24" t="n">
        <v>0.4</v>
      </c>
      <c r="F191" s="30" t="n">
        <v>25.5177</v>
      </c>
      <c r="G191" s="30" t="n">
        <f>ROUND(ROUND(E191,8)*F191,4)</f>
        <v>10.2071</v>
      </c>
    </row>
    <row r="192" customHeight="1" ht="15">
      <c r="A192" s="22" t="inlineStr">
        <is>
          <r>
            <t xml:space="preserve">I0683</t>
          </r>
        </is>
      </c>
      <c r="B192" s="23" t="inlineStr">
        <is>
          <r>
            <t xml:space="preserve">BOMBA COM MOTOR A DIESEL (CHP)</t>
          </r>
        </is>
      </c>
      <c r="C192" s="22" t="inlineStr">
        <is>
          <r>
            <t xml:space="preserve">SEINFRA</t>
          </r>
        </is>
      </c>
      <c r="D192" s="22" t="inlineStr">
        <is>
          <r>
            <t xml:space="preserve">H</t>
          </r>
        </is>
      </c>
      <c r="E192" s="24" t="n">
        <v>0.6</v>
      </c>
      <c r="F192" s="30" t="n">
        <v>34.2543</v>
      </c>
      <c r="G192" s="30" t="n">
        <f>ROUND(ROUND(E192,8)*F192,4)</f>
        <v>20.5526</v>
      </c>
    </row>
    <row r="193" customHeight="1" ht="15">
      <c r="A193" s="22" t="inlineStr">
        <is>
          <r>
            <t xml:space="preserve">I0593</t>
          </r>
        </is>
      </c>
      <c r="B193" s="23" t="inlineStr">
        <is>
          <r>
            <t xml:space="preserve">CAMPÂNULA DE AR COMPRIMIDO (CHI)</t>
          </r>
        </is>
      </c>
      <c r="C193" s="22" t="inlineStr">
        <is>
          <r>
            <t xml:space="preserve">SEINFRA</t>
          </r>
        </is>
      </c>
      <c r="D193" s="22" t="inlineStr">
        <is>
          <r>
            <t xml:space="preserve">H</t>
          </r>
        </is>
      </c>
      <c r="E193" s="24" t="n">
        <v>0.0</v>
      </c>
      <c r="F193" s="30" t="n">
        <v>13.747</v>
      </c>
      <c r="G193" s="30" t="n">
        <f>ROUND(ROUND(E193,8)*F193,4)</f>
        <v>0.0</v>
      </c>
    </row>
    <row r="194" customHeight="1" ht="15">
      <c r="A194" s="22" t="inlineStr">
        <is>
          <r>
            <t xml:space="preserve">I0707</t>
          </r>
        </is>
      </c>
      <c r="B194" s="23" t="inlineStr">
        <is>
          <r>
            <t xml:space="preserve">CAMPÂNULA DE AR COMPRIMIDO (CHP)</t>
          </r>
        </is>
      </c>
      <c r="C194" s="22" t="inlineStr">
        <is>
          <r>
            <t xml:space="preserve">SEINFRA</t>
          </r>
        </is>
      </c>
      <c r="D194" s="22" t="inlineStr">
        <is>
          <r>
            <t xml:space="preserve">H</t>
          </r>
        </is>
      </c>
      <c r="E194" s="24" t="n">
        <v>1.0</v>
      </c>
      <c r="F194" s="30" t="n">
        <v>18.7641</v>
      </c>
      <c r="G194" s="30" t="n">
        <f>ROUND(ROUND(E194,8)*F194,4)</f>
        <v>18.7641</v>
      </c>
    </row>
    <row r="195" customHeight="1" ht="15">
      <c r="A195" s="22" t="inlineStr">
        <is>
          <r>
            <t xml:space="preserve">I0614</t>
          </r>
        </is>
      </c>
      <c r="B195" s="23" t="inlineStr">
        <is>
          <r>
            <t xml:space="preserve">COMPRESSOR DE AR 250 PCM (CHI)</t>
          </r>
        </is>
      </c>
      <c r="C195" s="22" t="inlineStr">
        <is>
          <r>
            <t xml:space="preserve">SEINFRA</t>
          </r>
        </is>
      </c>
      <c r="D195" s="22" t="inlineStr">
        <is>
          <r>
            <t xml:space="preserve">H</t>
          </r>
        </is>
      </c>
      <c r="E195" s="24" t="n">
        <v>0.0</v>
      </c>
      <c r="F195" s="30" t="n">
        <v>45.0499</v>
      </c>
      <c r="G195" s="30" t="n">
        <f>ROUND(ROUND(E195,8)*F195,4)</f>
        <v>0.0</v>
      </c>
    </row>
    <row r="196" customHeight="1" ht="15">
      <c r="A196" s="22" t="inlineStr">
        <is>
          <r>
            <t xml:space="preserve">I0728</t>
          </r>
        </is>
      </c>
      <c r="B196" s="23" t="inlineStr">
        <is>
          <r>
            <t xml:space="preserve">COMPRESSOR DE AR 250 PCM (CHP)</t>
          </r>
        </is>
      </c>
      <c r="C196" s="22" t="inlineStr">
        <is>
          <r>
            <t xml:space="preserve">SEINFRA</t>
          </r>
        </is>
      </c>
      <c r="D196" s="22" t="inlineStr">
        <is>
          <r>
            <t xml:space="preserve">H</t>
          </r>
        </is>
      </c>
      <c r="E196" s="24" t="n">
        <v>1.0</v>
      </c>
      <c r="F196" s="30" t="n">
        <v>135.2089</v>
      </c>
      <c r="G196" s="30" t="n">
        <f>ROUND(ROUND(E196,8)*F196,4)</f>
        <v>135.2089</v>
      </c>
    </row>
    <row r="197" customHeight="1" ht="15">
      <c r="A197" s="22" t="inlineStr">
        <is>
          <r>
            <t xml:space="preserve">I0628</t>
          </r>
        </is>
      </c>
      <c r="B197" s="23" t="inlineStr">
        <is>
          <r>
            <t xml:space="preserve">GRUPO GERADOR 36 KVA (CHI)</t>
          </r>
        </is>
      </c>
      <c r="C197" s="22" t="inlineStr">
        <is>
          <r>
            <t xml:space="preserve">SEINFRA</t>
          </r>
        </is>
      </c>
      <c r="D197" s="22" t="inlineStr">
        <is>
          <r>
            <t xml:space="preserve">H</t>
          </r>
        </is>
      </c>
      <c r="E197" s="24" t="n">
        <v>0.0</v>
      </c>
      <c r="F197" s="30" t="n">
        <v>27.5494</v>
      </c>
      <c r="G197" s="30" t="n">
        <f>ROUND(ROUND(E197,8)*F197,4)</f>
        <v>0.0</v>
      </c>
    </row>
    <row r="198" customHeight="1" ht="15">
      <c r="A198" s="22" t="inlineStr">
        <is>
          <r>
            <t xml:space="preserve">I0742</t>
          </r>
        </is>
      </c>
      <c r="B198" s="23" t="inlineStr">
        <is>
          <r>
            <t xml:space="preserve">GRUPO GERADOR 36 KVA (CHP)</t>
          </r>
        </is>
      </c>
      <c r="C198" s="22" t="inlineStr">
        <is>
          <r>
            <t xml:space="preserve">SEINFRA</t>
          </r>
        </is>
      </c>
      <c r="D198" s="22" t="inlineStr">
        <is>
          <r>
            <t xml:space="preserve">H</t>
          </r>
        </is>
      </c>
      <c r="E198" s="24" t="n">
        <v>1.0</v>
      </c>
      <c r="F198" s="30" t="n">
        <v>65.3268</v>
      </c>
      <c r="G198" s="30" t="n">
        <f>ROUND(ROUND(E198,8)*F198,4)</f>
        <v>65.3268</v>
      </c>
    </row>
    <row r="199" customHeight="1" ht="15">
      <c r="A199" s="22" t="inlineStr">
        <is>
          <r>
            <t xml:space="preserve">I0645</t>
          </r>
        </is>
      </c>
      <c r="B199" s="23" t="inlineStr">
        <is>
          <r>
            <t xml:space="preserve">PERFURATRIZ PNEUMÁTICA (CHI)</t>
          </r>
        </is>
      </c>
      <c r="C199" s="22" t="inlineStr">
        <is>
          <r>
            <t xml:space="preserve">SEINFRA</t>
          </r>
        </is>
      </c>
      <c r="D199" s="22" t="inlineStr">
        <is>
          <r>
            <t xml:space="preserve">H</t>
          </r>
        </is>
      </c>
      <c r="E199" s="24" t="n">
        <v>0.4</v>
      </c>
      <c r="F199" s="30" t="n">
        <v>24.2147</v>
      </c>
      <c r="G199" s="30" t="n">
        <f>ROUND(ROUND(E199,8)*F199,4)</f>
        <v>9.6859</v>
      </c>
    </row>
    <row r="200" customHeight="1" ht="15">
      <c r="A200" s="22" t="inlineStr">
        <is>
          <r>
            <t xml:space="preserve">I0759</t>
          </r>
        </is>
      </c>
      <c r="B200" s="23" t="inlineStr">
        <is>
          <r>
            <t xml:space="preserve">PERFURATRIZ PNEUMÁTICA (CHP)</t>
          </r>
        </is>
      </c>
      <c r="C200" s="22" t="inlineStr">
        <is>
          <r>
            <t xml:space="preserve">SEINFRA</t>
          </r>
        </is>
      </c>
      <c r="D200" s="22" t="inlineStr">
        <is>
          <r>
            <t xml:space="preserve">H</t>
          </r>
        </is>
      </c>
      <c r="E200" s="24" t="n">
        <v>0.6</v>
      </c>
      <c r="F200" s="30" t="n">
        <v>25.6074</v>
      </c>
      <c r="G200" s="30" t="n">
        <f>ROUND(ROUND(E200,8)*F200,4)</f>
        <v>15.3644</v>
      </c>
    </row>
    <row r="201" customHeight="1" ht="15">
      <c r="A201" s="22" t="inlineStr">
        <is>
          <r>
            <t xml:space="preserve">I0651</t>
          </r>
        </is>
      </c>
      <c r="B201" s="23" t="inlineStr">
        <is>
          <r>
            <t xml:space="preserve">RESERVATÓRIO DE AR COMPRIMIDO (CHI)</t>
          </r>
        </is>
      </c>
      <c r="C201" s="22" t="inlineStr">
        <is>
          <r>
            <t xml:space="preserve">SEINFRA</t>
          </r>
        </is>
      </c>
      <c r="D201" s="22" t="inlineStr">
        <is>
          <r>
            <t xml:space="preserve">H</t>
          </r>
        </is>
      </c>
      <c r="E201" s="24" t="n">
        <v>0.0</v>
      </c>
      <c r="F201" s="30" t="n">
        <v>3.3943</v>
      </c>
      <c r="G201" s="30" t="n">
        <f>ROUND(ROUND(E201,8)*F201,4)</f>
        <v>0.0</v>
      </c>
    </row>
    <row r="202" customHeight="1" ht="15">
      <c r="A202" s="22" t="inlineStr">
        <is>
          <r>
            <t xml:space="preserve">I0764</t>
          </r>
        </is>
      </c>
      <c r="B202" s="23" t="inlineStr">
        <is>
          <r>
            <t xml:space="preserve">RESERVATÓRIO DE AR COMPRIMIDO (CHP)</t>
          </r>
        </is>
      </c>
      <c r="C202" s="22" t="inlineStr">
        <is>
          <r>
            <t xml:space="preserve">SEINFRA</t>
          </r>
        </is>
      </c>
      <c r="D202" s="22" t="inlineStr">
        <is>
          <r>
            <t xml:space="preserve">H</t>
          </r>
        </is>
      </c>
      <c r="E202" s="24" t="n">
        <v>1.0</v>
      </c>
      <c r="F202" s="30" t="n">
        <v>4.633</v>
      </c>
      <c r="G202" s="30" t="n">
        <f>ROUND(ROUND(E202,8)*F202,4)</f>
        <v>4.633</v>
      </c>
    </row>
    <row r="203" customHeight="1" ht="15">
      <c r="A203" s="22" t="inlineStr">
        <is>
          <r>
            <t xml:space="preserve">I0654</t>
          </r>
        </is>
      </c>
      <c r="B203" s="23" t="inlineStr">
        <is>
          <r>
            <t xml:space="preserve">ROMPEDOR PNEUMÁTICO (CHI)</t>
          </r>
        </is>
      </c>
      <c r="C203" s="22" t="inlineStr">
        <is>
          <r>
            <t xml:space="preserve">SEINFRA</t>
          </r>
        </is>
      </c>
      <c r="D203" s="22" t="inlineStr">
        <is>
          <r>
            <t xml:space="preserve">H</t>
          </r>
        </is>
      </c>
      <c r="E203" s="24" t="n">
        <v>0.7</v>
      </c>
      <c r="F203" s="30" t="n">
        <v>25.5539</v>
      </c>
      <c r="G203" s="30" t="n">
        <f>ROUND(ROUND(E203,8)*F203,4)</f>
        <v>17.8877</v>
      </c>
    </row>
    <row r="204" customHeight="1" ht="15">
      <c r="A204" s="22" t="inlineStr">
        <is>
          <r>
            <t xml:space="preserve">I0769</t>
          </r>
        </is>
      </c>
      <c r="B204" s="23" t="inlineStr">
        <is>
          <r>
            <t xml:space="preserve">ROMPEDOR PNEUMÁTICO (CHP)</t>
          </r>
        </is>
      </c>
      <c r="C204" s="22" t="inlineStr">
        <is>
          <r>
            <t xml:space="preserve">SEINFRA</t>
          </r>
        </is>
      </c>
      <c r="D204" s="22" t="inlineStr">
        <is>
          <r>
            <t xml:space="preserve">H</t>
          </r>
        </is>
      </c>
      <c r="E204" s="24" t="n">
        <v>0.3</v>
      </c>
      <c r="F204" s="30" t="n">
        <v>27.5843</v>
      </c>
      <c r="G204" s="30" t="n">
        <f>ROUND(ROUND(E204,8)*F204,4)</f>
        <v>8.2753</v>
      </c>
    </row>
    <row r="205" customHeight="1" ht="15">
      <c r="A205" s="22" t="inlineStr">
        <is>
          <r>
            <t xml:space="preserve">I0658</t>
          </r>
        </is>
      </c>
      <c r="B205" s="23" t="inlineStr">
        <is>
          <r>
            <t xml:space="preserve">TALHA MANUAL (CHI)</t>
          </r>
        </is>
      </c>
      <c r="C205" s="22" t="inlineStr">
        <is>
          <r>
            <t xml:space="preserve">SEINFRA</t>
          </r>
        </is>
      </c>
      <c r="D205" s="22" t="inlineStr">
        <is>
          <r>
            <t xml:space="preserve">H</t>
          </r>
        </is>
      </c>
      <c r="E205" s="24" t="n">
        <v>0.0</v>
      </c>
      <c r="F205" s="30" t="n">
        <v>0.1895</v>
      </c>
      <c r="G205" s="30" t="n">
        <f>ROUND(ROUND(E205,8)*F205,4)</f>
        <v>0.0</v>
      </c>
    </row>
    <row r="206" customHeight="1" ht="15">
      <c r="A206" s="22" t="inlineStr">
        <is>
          <r>
            <t xml:space="preserve">I0771</t>
          </r>
        </is>
      </c>
      <c r="B206" s="23" t="inlineStr">
        <is>
          <r>
            <t xml:space="preserve">TALHA MANUAL (CHP)</t>
          </r>
        </is>
      </c>
      <c r="C206" s="22" t="inlineStr">
        <is>
          <r>
            <t xml:space="preserve">SEINFRA</t>
          </r>
        </is>
      </c>
      <c r="D206" s="22" t="inlineStr">
        <is>
          <r>
            <t xml:space="preserve">H</t>
          </r>
        </is>
      </c>
      <c r="E206" s="24" t="n">
        <v>1.0</v>
      </c>
      <c r="F206" s="30" t="n">
        <v>0.2666</v>
      </c>
      <c r="G206" s="30" t="n">
        <f>ROUND(ROUND(E206,8)*F206,4)</f>
        <v>0.2666</v>
      </c>
    </row>
    <row r="207" customHeight="1" ht="18">
      <c r="A207" s="2" t="inlineStr"/>
      <c r="B207" s="2" t="inlineStr"/>
      <c r="C207" s="2" t="inlineStr"/>
      <c r="D207" s="2" t="inlineStr"/>
      <c r="E207" s="26" t="inlineStr">
        <is>
          <r>
            <t xml:space="preserve">TOTAL Equipamento Custo Horário:</t>
          </r>
        </is>
      </c>
      <c r="F207" s="26" t="inlineStr"/>
      <c r="G207" s="31" t="n">
        <f>SUM(G191:G206)</f>
        <v>306.1724</v>
      </c>
    </row>
    <row r="208" customHeight="1" ht="15">
      <c r="A208" s="20" t="inlineStr">
        <is>
          <r>
            <t xml:space="preserve">Material</t>
          </r>
        </is>
      </c>
      <c r="B208" s="20" t="inlineStr"/>
      <c r="C208" s="21" t="inlineStr">
        <is>
          <r>
            <t xml:space="preserve">FONTE</t>
          </r>
        </is>
      </c>
      <c r="D208" s="21" t="inlineStr">
        <is>
          <r>
            <t xml:space="preserve">UNID</t>
          </r>
        </is>
      </c>
      <c r="E208" s="21" t="inlineStr">
        <is>
          <r>
            <t xml:space="preserve">COEFICIENTE</t>
          </r>
        </is>
      </c>
      <c r="F208" s="21" t="inlineStr">
        <is>
          <r>
            <t xml:space="preserve">PREÇO UNITÁRIO</t>
          </r>
        </is>
      </c>
      <c r="G208" s="21" t="inlineStr">
        <is>
          <r>
            <t xml:space="preserve">TOTAL</t>
          </r>
        </is>
      </c>
    </row>
    <row r="209" customHeight="1" ht="15">
      <c r="A209" s="22" t="inlineStr">
        <is>
          <r>
            <t xml:space="preserve">I0860</t>
          </r>
        </is>
      </c>
      <c r="B209" s="23" t="inlineStr">
        <is>
          <r>
            <t xml:space="preserve">CORDEL DETONANTE</t>
          </r>
        </is>
      </c>
      <c r="C209" s="22" t="inlineStr">
        <is>
          <r>
            <t xml:space="preserve">SEINFRA</t>
          </r>
        </is>
      </c>
      <c r="D209" s="22" t="inlineStr">
        <is>
          <r>
            <t xml:space="preserve">M</t>
          </r>
        </is>
      </c>
      <c r="E209" s="24" t="n">
        <v>6.0</v>
      </c>
      <c r="F209" s="30" t="n">
        <v>6.01</v>
      </c>
      <c r="G209" s="30" t="n">
        <f>ROUND(ROUND(E209,8)*F209,4)</f>
        <v>36.06</v>
      </c>
    </row>
    <row r="210" customHeight="1" ht="15">
      <c r="A210" s="22" t="inlineStr">
        <is>
          <r>
            <t xml:space="preserve">I2507</t>
          </r>
        </is>
      </c>
      <c r="B210" s="23" t="inlineStr">
        <is>
          <r>
            <t xml:space="preserve">DINAMITE 60%</t>
          </r>
        </is>
      </c>
      <c r="C210" s="22" t="inlineStr">
        <is>
          <r>
            <t xml:space="preserve">SEINFRA</t>
          </r>
        </is>
      </c>
      <c r="D210" s="22" t="inlineStr">
        <is>
          <r>
            <t xml:space="preserve">KG</t>
          </r>
        </is>
      </c>
      <c r="E210" s="24" t="n">
        <v>0.2</v>
      </c>
      <c r="F210" s="30" t="n">
        <v>18.67</v>
      </c>
      <c r="G210" s="30" t="n">
        <f>ROUND(ROUND(E210,8)*F210,4)</f>
        <v>3.734</v>
      </c>
    </row>
    <row r="211" customHeight="1" ht="15">
      <c r="A211" s="22" t="inlineStr">
        <is>
          <r>
            <t xml:space="preserve">I2326</t>
          </r>
        </is>
      </c>
      <c r="B211" s="23" t="inlineStr">
        <is>
          <r>
            <t xml:space="preserve">ESPOLETA</t>
          </r>
        </is>
      </c>
      <c r="C211" s="22" t="inlineStr">
        <is>
          <r>
            <t xml:space="preserve">SEINFRA</t>
          </r>
        </is>
      </c>
      <c r="D211" s="22" t="inlineStr">
        <is>
          <r>
            <t xml:space="preserve">UN</t>
          </r>
        </is>
      </c>
      <c r="E211" s="24" t="n">
        <v>4.0</v>
      </c>
      <c r="F211" s="30" t="n">
        <v>7.4</v>
      </c>
      <c r="G211" s="30" t="n">
        <f>ROUND(ROUND(E211,8)*F211,4)</f>
        <v>29.6</v>
      </c>
    </row>
    <row r="212" customHeight="1" ht="15">
      <c r="A212" s="22" t="inlineStr">
        <is>
          <r>
            <t xml:space="preserve">I2329</t>
          </r>
        </is>
      </c>
      <c r="B212" s="23" t="inlineStr">
        <is>
          <r>
            <t xml:space="preserve">ESTOPIM</t>
          </r>
        </is>
      </c>
      <c r="C212" s="22" t="inlineStr">
        <is>
          <r>
            <t xml:space="preserve">SEINFRA</t>
          </r>
        </is>
      </c>
      <c r="D212" s="22" t="inlineStr">
        <is>
          <r>
            <t xml:space="preserve">M</t>
          </r>
        </is>
      </c>
      <c r="E212" s="24" t="n">
        <v>3.0</v>
      </c>
      <c r="F212" s="30" t="n">
        <v>7.25</v>
      </c>
      <c r="G212" s="30" t="n">
        <f>ROUND(ROUND(E212,8)*F212,4)</f>
        <v>21.75</v>
      </c>
    </row>
    <row r="213" customHeight="1" ht="15">
      <c r="A213" s="22" t="inlineStr">
        <is>
          <r>
            <t xml:space="preserve">I2535</t>
          </r>
        </is>
      </c>
      <c r="B213" s="23" t="inlineStr">
        <is>
          <r>
            <t xml:space="preserve">SÉRIE DE BROCAS S.12 D=22MM</t>
          </r>
        </is>
      </c>
      <c r="C213" s="22" t="inlineStr">
        <is>
          <r>
            <t xml:space="preserve">SEINFRA</t>
          </r>
        </is>
      </c>
      <c r="D213" s="22" t="inlineStr">
        <is>
          <r>
            <t xml:space="preserve">JG</t>
          </r>
        </is>
      </c>
      <c r="E213" s="24" t="n">
        <v>4.0E-4</v>
      </c>
      <c r="F213" s="30" t="n">
        <v>729.07</v>
      </c>
      <c r="G213" s="30" t="n">
        <f>ROUND(ROUND(E213,8)*F213,4)</f>
        <v>0.2916</v>
      </c>
    </row>
    <row r="214" customHeight="1" ht="15">
      <c r="A214" s="22" t="inlineStr">
        <is>
          <r>
            <t xml:space="preserve">I2579</t>
          </r>
        </is>
      </c>
      <c r="B214" s="23" t="inlineStr">
        <is>
          <r>
            <t xml:space="preserve">TORRE METALICA</t>
          </r>
        </is>
      </c>
      <c r="C214" s="22" t="inlineStr">
        <is>
          <r>
            <t xml:space="preserve">SEINFRA</t>
          </r>
        </is>
      </c>
      <c r="D214" s="22" t="inlineStr">
        <is>
          <r>
            <t xml:space="preserve">UN</t>
          </r>
        </is>
      </c>
      <c r="E214" s="24" t="n">
        <v>0.01</v>
      </c>
      <c r="F214" s="30" t="n">
        <v>2760.21</v>
      </c>
      <c r="G214" s="30" t="n">
        <f>ROUND(ROUND(E214,8)*F214,4)</f>
        <v>27.6021</v>
      </c>
    </row>
    <row r="215" customHeight="1" ht="15">
      <c r="A215" s="2" t="inlineStr"/>
      <c r="B215" s="2" t="inlineStr"/>
      <c r="C215" s="2" t="inlineStr"/>
      <c r="D215" s="2" t="inlineStr"/>
      <c r="E215" s="26" t="inlineStr">
        <is>
          <r>
            <t xml:space="preserve">TOTAL Material:</t>
          </r>
        </is>
      </c>
      <c r="F215" s="26" t="inlineStr"/>
      <c r="G215" s="31" t="n">
        <f>SUM(G209:G214)</f>
        <v>119.0377</v>
      </c>
    </row>
    <row r="216" customHeight="1" ht="15">
      <c r="A216" s="20" t="inlineStr">
        <is>
          <r>
            <t xml:space="preserve">Mão de Obra</t>
          </r>
        </is>
      </c>
      <c r="B216" s="20" t="inlineStr"/>
      <c r="C216" s="21" t="inlineStr">
        <is>
          <r>
            <t xml:space="preserve">FONTE</t>
          </r>
        </is>
      </c>
      <c r="D216" s="21" t="inlineStr">
        <is>
          <r>
            <t xml:space="preserve">UNID</t>
          </r>
        </is>
      </c>
      <c r="E216" s="21" t="inlineStr">
        <is>
          <r>
            <t xml:space="preserve">COEFICIENTE</t>
          </r>
        </is>
      </c>
      <c r="F216" s="21" t="inlineStr">
        <is>
          <r>
            <t xml:space="preserve">PREÇO UNITÁRIO</t>
          </r>
        </is>
      </c>
      <c r="G216" s="21" t="inlineStr">
        <is>
          <r>
            <t xml:space="preserve">TOTAL</t>
          </r>
        </is>
      </c>
    </row>
    <row r="217" customHeight="1" ht="15">
      <c r="A217" s="22" t="inlineStr">
        <is>
          <r>
            <t xml:space="preserve">I0221</t>
          </r>
        </is>
      </c>
      <c r="B217" s="23" t="inlineStr">
        <is>
          <r>
            <t xml:space="preserve">BLASTER</t>
          </r>
        </is>
      </c>
      <c r="C217" s="22" t="inlineStr">
        <is>
          <r>
            <t xml:space="preserve">SEINFRA</t>
          </r>
        </is>
      </c>
      <c r="D217" s="22" t="inlineStr">
        <is>
          <r>
            <t xml:space="preserve">H</t>
          </r>
        </is>
      </c>
      <c r="E217" s="24" t="n">
        <v>1.0</v>
      </c>
      <c r="F217" s="30" t="n">
        <v>23.93</v>
      </c>
      <c r="G217" s="30" t="n">
        <f>ROUND(ROUND(E217,8)*F217,4)</f>
        <v>23.93</v>
      </c>
    </row>
    <row r="218" customHeight="1" ht="15">
      <c r="A218" s="22" t="inlineStr">
        <is>
          <r>
            <t xml:space="preserve">I2543</t>
          </r>
        </is>
      </c>
      <c r="B218" s="23" t="inlineStr">
        <is>
          <r>
            <t xml:space="preserve">SERVENTE</t>
          </r>
        </is>
      </c>
      <c r="C218" s="22" t="inlineStr">
        <is>
          <r>
            <t xml:space="preserve">SEINFRA</t>
          </r>
        </is>
      </c>
      <c r="D218" s="22" t="inlineStr">
        <is>
          <r>
            <t xml:space="preserve">H</t>
          </r>
        </is>
      </c>
      <c r="E218" s="24" t="n">
        <v>10.0</v>
      </c>
      <c r="F218" s="30" t="n">
        <v>18.46</v>
      </c>
      <c r="G218" s="30" t="n">
        <f>ROUND(ROUND(E218,8)*F218,4)</f>
        <v>184.6</v>
      </c>
    </row>
    <row r="219" customHeight="1" ht="15">
      <c r="A219" s="22" t="inlineStr">
        <is>
          <r>
            <t xml:space="preserve">I2578</t>
          </r>
        </is>
      </c>
      <c r="B219" s="23" t="inlineStr">
        <is>
          <r>
            <t xml:space="preserve">SINALEIRO</t>
          </r>
        </is>
      </c>
      <c r="C219" s="22" t="inlineStr">
        <is>
          <r>
            <t xml:space="preserve">SEINFRA</t>
          </r>
        </is>
      </c>
      <c r="D219" s="22" t="inlineStr">
        <is>
          <r>
            <t xml:space="preserve">H</t>
          </r>
        </is>
      </c>
      <c r="E219" s="24" t="n">
        <v>1.0</v>
      </c>
      <c r="F219" s="30" t="n">
        <v>24.16</v>
      </c>
      <c r="G219" s="30" t="n">
        <f>ROUND(ROUND(E219,8)*F219,4)</f>
        <v>24.16</v>
      </c>
    </row>
    <row r="220" customHeight="1" ht="15">
      <c r="A220" s="22" t="inlineStr">
        <is>
          <r>
            <t xml:space="preserve">I2136</t>
          </r>
        </is>
      </c>
      <c r="B220" s="23" t="inlineStr">
        <is>
          <r>
            <t xml:space="preserve">TRABALHADOR AR COMPRIMIDO</t>
          </r>
        </is>
      </c>
      <c r="C220" s="22" t="inlineStr">
        <is>
          <r>
            <t xml:space="preserve">SEINFRA</t>
          </r>
        </is>
      </c>
      <c r="D220" s="22" t="inlineStr">
        <is>
          <r>
            <t xml:space="preserve">H</t>
          </r>
        </is>
      </c>
      <c r="E220" s="24" t="n">
        <v>10.0</v>
      </c>
      <c r="F220" s="30" t="n">
        <v>24.16</v>
      </c>
      <c r="G220" s="30" t="n">
        <f>ROUND(ROUND(E220,8)*F220,4)</f>
        <v>241.6</v>
      </c>
    </row>
    <row r="221" customHeight="1" ht="15">
      <c r="A221" s="2" t="inlineStr"/>
      <c r="B221" s="2" t="inlineStr"/>
      <c r="C221" s="2" t="inlineStr"/>
      <c r="D221" s="2" t="inlineStr"/>
      <c r="E221" s="26" t="inlineStr">
        <is>
          <r>
            <t xml:space="preserve">TOTAL Mão de Obra:</t>
          </r>
        </is>
      </c>
      <c r="F221" s="26" t="inlineStr"/>
      <c r="G221" s="31" t="n">
        <f>SUM(G217:G220)</f>
        <v>474.29</v>
      </c>
    </row>
    <row r="222" customHeight="1" ht="15">
      <c r="A222" s="2" t="inlineStr"/>
      <c r="B222" s="2" t="inlineStr"/>
      <c r="C222" s="2" t="inlineStr"/>
      <c r="D222" s="2" t="inlineStr"/>
      <c r="E222" s="28" t="inlineStr">
        <is>
          <r>
            <t xml:space="preserve">VALOR:</t>
          </r>
        </is>
      </c>
      <c r="F222" s="28" t="inlineStr"/>
      <c r="G222" s="29" t="n">
        <f>ROUND(SUM(G207,G215,G221),2)</f>
        <v>899.5</v>
      </c>
    </row>
    <row r="223" customHeight="1" ht="15">
      <c r="A223" s="2" t="inlineStr"/>
      <c r="B223" s="2" t="inlineStr"/>
      <c r="C223" s="2" t="inlineStr"/>
      <c r="D223" s="2" t="inlineStr"/>
      <c r="E223" s="28" t="inlineStr">
        <is>
          <r>
            <t xml:space="preserve">VALOR BDI:</t>
          </r>
        </is>
      </c>
      <c r="F223" s="28" t="inlineStr"/>
      <c r="G223" s="29" t="n">
        <f>ROUND(G222*(0/100),2)</f>
        <v>0.0</v>
      </c>
    </row>
    <row r="224" customHeight="1" ht="15">
      <c r="A224" s="2" t="inlineStr"/>
      <c r="B224" s="2" t="inlineStr"/>
      <c r="C224" s="2" t="inlineStr"/>
      <c r="D224" s="2" t="inlineStr"/>
      <c r="E224" s="28" t="inlineStr">
        <is>
          <r>
            <t xml:space="preserve">VALOR COM BDI:</t>
          </r>
        </is>
      </c>
      <c r="F224" s="28" t="inlineStr"/>
      <c r="G224" s="29" t="n">
        <f>G223+G222</f>
        <v>899.5</v>
      </c>
    </row>
    <row r="225" customHeight="1" ht="10">
      <c r="A225" s="2" t="inlineStr"/>
      <c r="B225" s="2" t="inlineStr"/>
      <c r="C225" s="2" t="inlineStr"/>
      <c r="D225" s="2" t="inlineStr"/>
      <c r="E225" s="18" t="inlineStr"/>
      <c r="F225" s="18" t="inlineStr"/>
      <c r="G225" s="18" t="inlineStr"/>
    </row>
    <row r="226" customHeight="1" ht="20">
      <c r="A226" s="19" t="inlineStr">
        <is>
          <r>
            <t xml:space="preserve">1.3.2.3.1. ​C3148​ CONCRETAGEM DE BASES TUBULÃO AR COMPRIMIDO ATE 12m​ (M3)</t>
          </r>
        </is>
      </c>
      <c r="B226" s="19" t="inlineStr"/>
      <c r="C226" s="19" t="inlineStr"/>
      <c r="D226" s="19" t="inlineStr"/>
      <c r="E226" s="19" t="inlineStr"/>
      <c r="F226" s="19" t="inlineStr"/>
      <c r="G226" s="19" t="inlineStr"/>
    </row>
    <row r="227" customHeight="1" ht="15">
      <c r="A227" s="20" t="inlineStr">
        <is>
          <r>
            <t xml:space="preserve">Equipamento Custo Horário</t>
          </r>
        </is>
      </c>
      <c r="B227" s="20" t="inlineStr"/>
      <c r="C227" s="21" t="inlineStr">
        <is>
          <r>
            <t xml:space="preserve">FONTE</t>
          </r>
        </is>
      </c>
      <c r="D227" s="21" t="inlineStr">
        <is>
          <r>
            <t xml:space="preserve">UNID</t>
          </r>
        </is>
      </c>
      <c r="E227" s="21" t="inlineStr">
        <is>
          <r>
            <t xml:space="preserve">COEFICIENTE</t>
          </r>
        </is>
      </c>
      <c r="F227" s="21" t="inlineStr">
        <is>
          <r>
            <t xml:space="preserve">PREÇO UNITÁRIO</t>
          </r>
        </is>
      </c>
      <c r="G227" s="21" t="inlineStr">
        <is>
          <r>
            <t xml:space="preserve">TOTAL</t>
          </r>
        </is>
      </c>
    </row>
    <row r="228" customHeight="1" ht="15">
      <c r="A228" s="22" t="inlineStr">
        <is>
          <r>
            <t xml:space="preserve">I0569</t>
          </r>
        </is>
      </c>
      <c r="B228" s="23" t="inlineStr">
        <is>
          <r>
            <t xml:space="preserve">BOMBA COM MOTOR A DIESEL (CHI)</t>
          </r>
        </is>
      </c>
      <c r="C228" s="22" t="inlineStr">
        <is>
          <r>
            <t xml:space="preserve">SEINFRA</t>
          </r>
        </is>
      </c>
      <c r="D228" s="22" t="inlineStr">
        <is>
          <r>
            <t xml:space="preserve">H</t>
          </r>
        </is>
      </c>
      <c r="E228" s="24" t="n">
        <v>0.4</v>
      </c>
      <c r="F228" s="30" t="n">
        <v>25.5177</v>
      </c>
      <c r="G228" s="30" t="n">
        <f>ROUND(ROUND(E228,8)*F228,4)</f>
        <v>10.2071</v>
      </c>
    </row>
    <row r="229" customHeight="1" ht="15">
      <c r="A229" s="22" t="inlineStr">
        <is>
          <r>
            <t xml:space="preserve">I0683</t>
          </r>
        </is>
      </c>
      <c r="B229" s="23" t="inlineStr">
        <is>
          <r>
            <t xml:space="preserve">BOMBA COM MOTOR A DIESEL (CHP)</t>
          </r>
        </is>
      </c>
      <c r="C229" s="22" t="inlineStr">
        <is>
          <r>
            <t xml:space="preserve">SEINFRA</t>
          </r>
        </is>
      </c>
      <c r="D229" s="22" t="inlineStr">
        <is>
          <r>
            <t xml:space="preserve">H</t>
          </r>
        </is>
      </c>
      <c r="E229" s="24" t="n">
        <v>0.6</v>
      </c>
      <c r="F229" s="30" t="n">
        <v>34.2543</v>
      </c>
      <c r="G229" s="30" t="n">
        <f>ROUND(ROUND(E229,8)*F229,4)</f>
        <v>20.5526</v>
      </c>
    </row>
    <row r="230" customHeight="1" ht="15">
      <c r="A230" s="22" t="inlineStr">
        <is>
          <r>
            <t xml:space="preserve">I0593</t>
          </r>
        </is>
      </c>
      <c r="B230" s="23" t="inlineStr">
        <is>
          <r>
            <t xml:space="preserve">CAMPÂNULA DE AR COMPRIMIDO (CHI)</t>
          </r>
        </is>
      </c>
      <c r="C230" s="22" t="inlineStr">
        <is>
          <r>
            <t xml:space="preserve">SEINFRA</t>
          </r>
        </is>
      </c>
      <c r="D230" s="22" t="inlineStr">
        <is>
          <r>
            <t xml:space="preserve">H</t>
          </r>
        </is>
      </c>
      <c r="E230" s="24" t="n">
        <v>0.0</v>
      </c>
      <c r="F230" s="30" t="n">
        <v>13.747</v>
      </c>
      <c r="G230" s="30" t="n">
        <f>ROUND(ROUND(E230,8)*F230,4)</f>
        <v>0.0</v>
      </c>
    </row>
    <row r="231" customHeight="1" ht="15">
      <c r="A231" s="22" t="inlineStr">
        <is>
          <r>
            <t xml:space="preserve">I0707</t>
          </r>
        </is>
      </c>
      <c r="B231" s="23" t="inlineStr">
        <is>
          <r>
            <t xml:space="preserve">CAMPÂNULA DE AR COMPRIMIDO (CHP)</t>
          </r>
        </is>
      </c>
      <c r="C231" s="22" t="inlineStr">
        <is>
          <r>
            <t xml:space="preserve">SEINFRA</t>
          </r>
        </is>
      </c>
      <c r="D231" s="22" t="inlineStr">
        <is>
          <r>
            <t xml:space="preserve">H</t>
          </r>
        </is>
      </c>
      <c r="E231" s="24" t="n">
        <v>1.0</v>
      </c>
      <c r="F231" s="30" t="n">
        <v>18.7641</v>
      </c>
      <c r="G231" s="30" t="n">
        <f>ROUND(ROUND(E231,8)*F231,4)</f>
        <v>18.7641</v>
      </c>
    </row>
    <row r="232" customHeight="1" ht="15">
      <c r="A232" s="22" t="inlineStr">
        <is>
          <r>
            <t xml:space="preserve">I0614</t>
          </r>
        </is>
      </c>
      <c r="B232" s="23" t="inlineStr">
        <is>
          <r>
            <t xml:space="preserve">COMPRESSOR DE AR 250 PCM (CHI)</t>
          </r>
        </is>
      </c>
      <c r="C232" s="22" t="inlineStr">
        <is>
          <r>
            <t xml:space="preserve">SEINFRA</t>
          </r>
        </is>
      </c>
      <c r="D232" s="22" t="inlineStr">
        <is>
          <r>
            <t xml:space="preserve">H</t>
          </r>
        </is>
      </c>
      <c r="E232" s="24" t="n">
        <v>0.0</v>
      </c>
      <c r="F232" s="30" t="n">
        <v>45.0499</v>
      </c>
      <c r="G232" s="30" t="n">
        <f>ROUND(ROUND(E232,8)*F232,4)</f>
        <v>0.0</v>
      </c>
    </row>
    <row r="233" customHeight="1" ht="15">
      <c r="A233" s="22" t="inlineStr">
        <is>
          <r>
            <t xml:space="preserve">I0728</t>
          </r>
        </is>
      </c>
      <c r="B233" s="23" t="inlineStr">
        <is>
          <r>
            <t xml:space="preserve">COMPRESSOR DE AR 250 PCM (CHP)</t>
          </r>
        </is>
      </c>
      <c r="C233" s="22" t="inlineStr">
        <is>
          <r>
            <t xml:space="preserve">SEINFRA</t>
          </r>
        </is>
      </c>
      <c r="D233" s="22" t="inlineStr">
        <is>
          <r>
            <t xml:space="preserve">H</t>
          </r>
        </is>
      </c>
      <c r="E233" s="24" t="n">
        <v>1.0</v>
      </c>
      <c r="F233" s="30" t="n">
        <v>135.2089</v>
      </c>
      <c r="G233" s="30" t="n">
        <f>ROUND(ROUND(E233,8)*F233,4)</f>
        <v>135.2089</v>
      </c>
    </row>
    <row r="234" customHeight="1" ht="15">
      <c r="A234" s="22" t="inlineStr">
        <is>
          <r>
            <t xml:space="preserve">I0628</t>
          </r>
        </is>
      </c>
      <c r="B234" s="23" t="inlineStr">
        <is>
          <r>
            <t xml:space="preserve">GRUPO GERADOR 36 KVA (CHI)</t>
          </r>
        </is>
      </c>
      <c r="C234" s="22" t="inlineStr">
        <is>
          <r>
            <t xml:space="preserve">SEINFRA</t>
          </r>
        </is>
      </c>
      <c r="D234" s="22" t="inlineStr">
        <is>
          <r>
            <t xml:space="preserve">H</t>
          </r>
        </is>
      </c>
      <c r="E234" s="24" t="n">
        <v>0.0</v>
      </c>
      <c r="F234" s="30" t="n">
        <v>27.5494</v>
      </c>
      <c r="G234" s="30" t="n">
        <f>ROUND(ROUND(E234,8)*F234,4)</f>
        <v>0.0</v>
      </c>
    </row>
    <row r="235" customHeight="1" ht="15">
      <c r="A235" s="22" t="inlineStr">
        <is>
          <r>
            <t xml:space="preserve">I0742</t>
          </r>
        </is>
      </c>
      <c r="B235" s="23" t="inlineStr">
        <is>
          <r>
            <t xml:space="preserve">GRUPO GERADOR 36 KVA (CHP)</t>
          </r>
        </is>
      </c>
      <c r="C235" s="22" t="inlineStr">
        <is>
          <r>
            <t xml:space="preserve">SEINFRA</t>
          </r>
        </is>
      </c>
      <c r="D235" s="22" t="inlineStr">
        <is>
          <r>
            <t xml:space="preserve">H</t>
          </r>
        </is>
      </c>
      <c r="E235" s="24" t="n">
        <v>1.0</v>
      </c>
      <c r="F235" s="30" t="n">
        <v>65.3268</v>
      </c>
      <c r="G235" s="30" t="n">
        <f>ROUND(ROUND(E235,8)*F235,4)</f>
        <v>65.3268</v>
      </c>
    </row>
    <row r="236" customHeight="1" ht="15">
      <c r="A236" s="22" t="inlineStr">
        <is>
          <r>
            <t xml:space="preserve">I0651</t>
          </r>
        </is>
      </c>
      <c r="B236" s="23" t="inlineStr">
        <is>
          <r>
            <t xml:space="preserve">RESERVATÓRIO DE AR COMPRIMIDO (CHI)</t>
          </r>
        </is>
      </c>
      <c r="C236" s="22" t="inlineStr">
        <is>
          <r>
            <t xml:space="preserve">SEINFRA</t>
          </r>
        </is>
      </c>
      <c r="D236" s="22" t="inlineStr">
        <is>
          <r>
            <t xml:space="preserve">H</t>
          </r>
        </is>
      </c>
      <c r="E236" s="24" t="n">
        <v>0.0</v>
      </c>
      <c r="F236" s="30" t="n">
        <v>3.3943</v>
      </c>
      <c r="G236" s="30" t="n">
        <f>ROUND(ROUND(E236,8)*F236,4)</f>
        <v>0.0</v>
      </c>
    </row>
    <row r="237" customHeight="1" ht="15">
      <c r="A237" s="22" t="inlineStr">
        <is>
          <r>
            <t xml:space="preserve">I0764</t>
          </r>
        </is>
      </c>
      <c r="B237" s="23" t="inlineStr">
        <is>
          <r>
            <t xml:space="preserve">RESERVATÓRIO DE AR COMPRIMIDO (CHP)</t>
          </r>
        </is>
      </c>
      <c r="C237" s="22" t="inlineStr">
        <is>
          <r>
            <t xml:space="preserve">SEINFRA</t>
          </r>
        </is>
      </c>
      <c r="D237" s="22" t="inlineStr">
        <is>
          <r>
            <t xml:space="preserve">H</t>
          </r>
        </is>
      </c>
      <c r="E237" s="24" t="n">
        <v>1.0</v>
      </c>
      <c r="F237" s="30" t="n">
        <v>4.633</v>
      </c>
      <c r="G237" s="30" t="n">
        <f>ROUND(ROUND(E237,8)*F237,4)</f>
        <v>4.633</v>
      </c>
    </row>
    <row r="238" customHeight="1" ht="15">
      <c r="A238" s="22" t="inlineStr">
        <is>
          <r>
            <t xml:space="preserve">I0658</t>
          </r>
        </is>
      </c>
      <c r="B238" s="23" t="inlineStr">
        <is>
          <r>
            <t xml:space="preserve">TALHA MANUAL (CHI)</t>
          </r>
        </is>
      </c>
      <c r="C238" s="22" t="inlineStr">
        <is>
          <r>
            <t xml:space="preserve">SEINFRA</t>
          </r>
        </is>
      </c>
      <c r="D238" s="22" t="inlineStr">
        <is>
          <r>
            <t xml:space="preserve">H</t>
          </r>
        </is>
      </c>
      <c r="E238" s="24" t="n">
        <v>0.0</v>
      </c>
      <c r="F238" s="30" t="n">
        <v>0.1895</v>
      </c>
      <c r="G238" s="30" t="n">
        <f>ROUND(ROUND(E238,8)*F238,4)</f>
        <v>0.0</v>
      </c>
    </row>
    <row r="239" customHeight="1" ht="15">
      <c r="A239" s="22" t="inlineStr">
        <is>
          <r>
            <t xml:space="preserve">I0771</t>
          </r>
        </is>
      </c>
      <c r="B239" s="23" t="inlineStr">
        <is>
          <r>
            <t xml:space="preserve">TALHA MANUAL (CHP)</t>
          </r>
        </is>
      </c>
      <c r="C239" s="22" t="inlineStr">
        <is>
          <r>
            <t xml:space="preserve">SEINFRA</t>
          </r>
        </is>
      </c>
      <c r="D239" s="22" t="inlineStr">
        <is>
          <r>
            <t xml:space="preserve">H</t>
          </r>
        </is>
      </c>
      <c r="E239" s="24" t="n">
        <v>1.0</v>
      </c>
      <c r="F239" s="30" t="n">
        <v>0.2666</v>
      </c>
      <c r="G239" s="30" t="n">
        <f>ROUND(ROUND(E239,8)*F239,4)</f>
        <v>0.2666</v>
      </c>
    </row>
    <row r="240" customHeight="1" ht="18">
      <c r="A240" s="2" t="inlineStr"/>
      <c r="B240" s="2" t="inlineStr"/>
      <c r="C240" s="2" t="inlineStr"/>
      <c r="D240" s="2" t="inlineStr"/>
      <c r="E240" s="26" t="inlineStr">
        <is>
          <r>
            <t xml:space="preserve">TOTAL Equipamento Custo Horário:</t>
          </r>
        </is>
      </c>
      <c r="F240" s="26" t="inlineStr"/>
      <c r="G240" s="31" t="n">
        <f>SUM(G228:G239)</f>
        <v>254.9591</v>
      </c>
    </row>
    <row r="241" customHeight="1" ht="15">
      <c r="A241" s="20" t="inlineStr">
        <is>
          <r>
            <t xml:space="preserve">Material</t>
          </r>
        </is>
      </c>
      <c r="B241" s="20" t="inlineStr"/>
      <c r="C241" s="21" t="inlineStr">
        <is>
          <r>
            <t xml:space="preserve">FONTE</t>
          </r>
        </is>
      </c>
      <c r="D241" s="21" t="inlineStr">
        <is>
          <r>
            <t xml:space="preserve">UNID</t>
          </r>
        </is>
      </c>
      <c r="E241" s="21" t="inlineStr">
        <is>
          <r>
            <t xml:space="preserve">COEFICIENTE</t>
          </r>
        </is>
      </c>
      <c r="F241" s="21" t="inlineStr">
        <is>
          <r>
            <t xml:space="preserve">PREÇO UNITÁRIO</t>
          </r>
        </is>
      </c>
      <c r="G241" s="21" t="inlineStr">
        <is>
          <r>
            <t xml:space="preserve">TOTAL</t>
          </r>
        </is>
      </c>
    </row>
    <row r="242" customHeight="1" ht="15">
      <c r="A242" s="22" t="inlineStr">
        <is>
          <r>
            <t xml:space="preserve">I2579</t>
          </r>
        </is>
      </c>
      <c r="B242" s="23" t="inlineStr">
        <is>
          <r>
            <t xml:space="preserve">TORRE METALICA</t>
          </r>
        </is>
      </c>
      <c r="C242" s="22" t="inlineStr">
        <is>
          <r>
            <t xml:space="preserve">SEINFRA</t>
          </r>
        </is>
      </c>
      <c r="D242" s="22" t="inlineStr">
        <is>
          <r>
            <t xml:space="preserve">UN</t>
          </r>
        </is>
      </c>
      <c r="E242" s="24" t="n">
        <v>0.007</v>
      </c>
      <c r="F242" s="30" t="n">
        <v>2760.21</v>
      </c>
      <c r="G242" s="30" t="n">
        <f>ROUND(ROUND(E242,8)*F242,4)</f>
        <v>19.3215</v>
      </c>
    </row>
    <row r="243" customHeight="1" ht="15">
      <c r="A243" s="2" t="inlineStr"/>
      <c r="B243" s="2" t="inlineStr"/>
      <c r="C243" s="2" t="inlineStr"/>
      <c r="D243" s="2" t="inlineStr"/>
      <c r="E243" s="26" t="inlineStr">
        <is>
          <r>
            <t xml:space="preserve">TOTAL Material:</t>
          </r>
        </is>
      </c>
      <c r="F243" s="26" t="inlineStr"/>
      <c r="G243" s="31" t="n">
        <f>SUM(G242:G242)</f>
        <v>19.3215</v>
      </c>
    </row>
    <row r="244" customHeight="1" ht="15">
      <c r="A244" s="20" t="inlineStr">
        <is>
          <r>
            <t xml:space="preserve">Mão de Obra</t>
          </r>
        </is>
      </c>
      <c r="B244" s="20" t="inlineStr"/>
      <c r="C244" s="21" t="inlineStr">
        <is>
          <r>
            <t xml:space="preserve">FONTE</t>
          </r>
        </is>
      </c>
      <c r="D244" s="21" t="inlineStr">
        <is>
          <r>
            <t xml:space="preserve">UNID</t>
          </r>
        </is>
      </c>
      <c r="E244" s="21" t="inlineStr">
        <is>
          <r>
            <t xml:space="preserve">COEFICIENTE</t>
          </r>
        </is>
      </c>
      <c r="F244" s="21" t="inlineStr">
        <is>
          <r>
            <t xml:space="preserve">PREÇO UNITÁRIO</t>
          </r>
        </is>
      </c>
      <c r="G244" s="21" t="inlineStr">
        <is>
          <r>
            <t xml:space="preserve">TOTAL</t>
          </r>
        </is>
      </c>
    </row>
    <row r="245" customHeight="1" ht="15">
      <c r="A245" s="22" t="inlineStr">
        <is>
          <r>
            <t xml:space="preserve">I2391</t>
          </r>
        </is>
      </c>
      <c r="B245" s="23" t="inlineStr">
        <is>
          <r>
            <t xml:space="preserve">PEDREIRO</t>
          </r>
        </is>
      </c>
      <c r="C245" s="22" t="inlineStr">
        <is>
          <r>
            <t xml:space="preserve">SEINFRA</t>
          </r>
        </is>
      </c>
      <c r="D245" s="22" t="inlineStr">
        <is>
          <r>
            <t xml:space="preserve">H</t>
          </r>
        </is>
      </c>
      <c r="E245" s="24" t="n">
        <v>1.0</v>
      </c>
      <c r="F245" s="30" t="n">
        <v>24.16</v>
      </c>
      <c r="G245" s="30" t="n">
        <f>ROUND(ROUND(E245,8)*F245,4)</f>
        <v>24.16</v>
      </c>
    </row>
    <row r="246" customHeight="1" ht="15">
      <c r="A246" s="22" t="inlineStr">
        <is>
          <r>
            <t xml:space="preserve">I2543</t>
          </r>
        </is>
      </c>
      <c r="B246" s="23" t="inlineStr">
        <is>
          <r>
            <t xml:space="preserve">SERVENTE</t>
          </r>
        </is>
      </c>
      <c r="C246" s="22" t="inlineStr">
        <is>
          <r>
            <t xml:space="preserve">SEINFRA</t>
          </r>
        </is>
      </c>
      <c r="D246" s="22" t="inlineStr">
        <is>
          <r>
            <t xml:space="preserve">H</t>
          </r>
        </is>
      </c>
      <c r="E246" s="24" t="n">
        <v>4.0</v>
      </c>
      <c r="F246" s="30" t="n">
        <v>18.46</v>
      </c>
      <c r="G246" s="30" t="n">
        <f>ROUND(ROUND(E246,8)*F246,4)</f>
        <v>73.84</v>
      </c>
    </row>
    <row r="247" customHeight="1" ht="15">
      <c r="A247" s="22" t="inlineStr">
        <is>
          <r>
            <t xml:space="preserve">I2578</t>
          </r>
        </is>
      </c>
      <c r="B247" s="23" t="inlineStr">
        <is>
          <r>
            <t xml:space="preserve">SINALEIRO</t>
          </r>
        </is>
      </c>
      <c r="C247" s="22" t="inlineStr">
        <is>
          <r>
            <t xml:space="preserve">SEINFRA</t>
          </r>
        </is>
      </c>
      <c r="D247" s="22" t="inlineStr">
        <is>
          <r>
            <t xml:space="preserve">H</t>
          </r>
        </is>
      </c>
      <c r="E247" s="24" t="n">
        <v>1.0</v>
      </c>
      <c r="F247" s="30" t="n">
        <v>24.16</v>
      </c>
      <c r="G247" s="30" t="n">
        <f>ROUND(ROUND(E247,8)*F247,4)</f>
        <v>24.16</v>
      </c>
    </row>
    <row r="248" customHeight="1" ht="15">
      <c r="A248" s="22" t="inlineStr">
        <is>
          <r>
            <t xml:space="preserve">I2136</t>
          </r>
        </is>
      </c>
      <c r="B248" s="23" t="inlineStr">
        <is>
          <r>
            <t xml:space="preserve">TRABALHADOR AR COMPRIMIDO</t>
          </r>
        </is>
      </c>
      <c r="C248" s="22" t="inlineStr">
        <is>
          <r>
            <t xml:space="preserve">SEINFRA</t>
          </r>
        </is>
      </c>
      <c r="D248" s="22" t="inlineStr">
        <is>
          <r>
            <t xml:space="preserve">H</t>
          </r>
        </is>
      </c>
      <c r="E248" s="24" t="n">
        <v>4.0</v>
      </c>
      <c r="F248" s="30" t="n">
        <v>24.16</v>
      </c>
      <c r="G248" s="30" t="n">
        <f>ROUND(ROUND(E248,8)*F248,4)</f>
        <v>96.64</v>
      </c>
    </row>
    <row r="249" customHeight="1" ht="15">
      <c r="A249" s="2" t="inlineStr"/>
      <c r="B249" s="2" t="inlineStr"/>
      <c r="C249" s="2" t="inlineStr"/>
      <c r="D249" s="2" t="inlineStr"/>
      <c r="E249" s="26" t="inlineStr">
        <is>
          <r>
            <t xml:space="preserve">TOTAL Mão de Obra:</t>
          </r>
        </is>
      </c>
      <c r="F249" s="26" t="inlineStr"/>
      <c r="G249" s="31" t="n">
        <f>SUM(G245:G248)</f>
        <v>218.8</v>
      </c>
    </row>
    <row r="250" customHeight="1" ht="15">
      <c r="A250" s="20" t="inlineStr">
        <is>
          <r>
            <t xml:space="preserve">Serviço</t>
          </r>
        </is>
      </c>
      <c r="B250" s="20" t="inlineStr"/>
      <c r="C250" s="21" t="inlineStr">
        <is>
          <r>
            <t xml:space="preserve">FONTE</t>
          </r>
        </is>
      </c>
      <c r="D250" s="21" t="inlineStr">
        <is>
          <r>
            <t xml:space="preserve">UNID</t>
          </r>
        </is>
      </c>
      <c r="E250" s="21" t="inlineStr">
        <is>
          <r>
            <t xml:space="preserve">COEFICIENTE</t>
          </r>
        </is>
      </c>
      <c r="F250" s="21" t="inlineStr">
        <is>
          <r>
            <t xml:space="preserve">PREÇO UNITÁRIO</t>
          </r>
        </is>
      </c>
      <c r="G250" s="21" t="inlineStr">
        <is>
          <r>
            <t xml:space="preserve">TOTAL</t>
          </r>
        </is>
      </c>
    </row>
    <row r="251" customHeight="1" ht="15">
      <c r="A251" s="22" t="inlineStr">
        <is>
          <r>
            <t xml:space="preserve">C0216</t>
          </r>
        </is>
      </c>
      <c r="B251" s="23" t="inlineStr">
        <is>
          <r>
            <t xml:space="preserve">ARMADURA CA-50A MÉDIA D= 6,3 A 10,0mm</t>
          </r>
        </is>
      </c>
      <c r="C251" s="22" t="inlineStr">
        <is>
          <r>
            <t xml:space="preserve">SEINFRA</t>
          </r>
        </is>
      </c>
      <c r="D251" s="22" t="inlineStr">
        <is>
          <r>
            <t xml:space="preserve">KG</t>
          </r>
        </is>
      </c>
      <c r="E251" s="24" t="n">
        <v>90.0</v>
      </c>
      <c r="F251" s="30" t="n">
        <v>11.96</v>
      </c>
      <c r="G251" s="30" t="n">
        <f>ROUND(ROUND(E251,8)*F251,4)</f>
        <v>1076.4</v>
      </c>
    </row>
    <row r="252" customHeight="1" ht="21">
      <c r="A252" s="22" t="inlineStr">
        <is>
          <r>
            <t xml:space="preserve">C3270</t>
          </r>
        </is>
      </c>
      <c r="B252" s="23" t="inlineStr">
        <is>
          <r>
            <t xml:space="preserve">CONCRETO P/VIBR., FCK=15MPa COM AGREGADO PRODUZIDO (S/ TRANSP.)</t>
          </r>
        </is>
      </c>
      <c r="C252" s="22" t="inlineStr">
        <is>
          <r>
            <t xml:space="preserve">SEINFRA</t>
          </r>
        </is>
      </c>
      <c r="D252" s="22" t="inlineStr">
        <is>
          <r>
            <t xml:space="preserve">M3</t>
          </r>
        </is>
      </c>
      <c r="E252" s="24" t="n">
        <v>1.0</v>
      </c>
      <c r="F252" s="30" t="n">
        <v>440.58</v>
      </c>
      <c r="G252" s="30" t="n">
        <f>ROUND(ROUND(E252,8)*F252,4)</f>
        <v>440.58</v>
      </c>
    </row>
    <row r="253" customHeight="1" ht="15">
      <c r="A253" s="2" t="inlineStr"/>
      <c r="B253" s="2" t="inlineStr"/>
      <c r="C253" s="2" t="inlineStr"/>
      <c r="D253" s="2" t="inlineStr"/>
      <c r="E253" s="26" t="inlineStr">
        <is>
          <r>
            <t xml:space="preserve">TOTAL Serviço:</t>
          </r>
        </is>
      </c>
      <c r="F253" s="26" t="inlineStr"/>
      <c r="G253" s="31" t="n">
        <f>SUM(G251:G252)</f>
        <v>1516.98</v>
      </c>
    </row>
    <row r="254" customHeight="1" ht="15">
      <c r="A254" s="2" t="inlineStr"/>
      <c r="B254" s="2" t="inlineStr"/>
      <c r="C254" s="2" t="inlineStr"/>
      <c r="D254" s="2" t="inlineStr"/>
      <c r="E254" s="28" t="inlineStr">
        <is>
          <r>
            <t xml:space="preserve">VALOR:</t>
          </r>
        </is>
      </c>
      <c r="F254" s="28" t="inlineStr"/>
      <c r="G254" s="29" t="n">
        <f>ROUND(SUM(G240,G243,G249,G253),2)</f>
        <v>2009.74</v>
      </c>
    </row>
    <row r="255" customHeight="1" ht="15">
      <c r="A255" s="2" t="inlineStr"/>
      <c r="B255" s="2" t="inlineStr"/>
      <c r="C255" s="2" t="inlineStr"/>
      <c r="D255" s="2" t="inlineStr"/>
      <c r="E255" s="28" t="inlineStr">
        <is>
          <r>
            <t xml:space="preserve">VALOR BDI:</t>
          </r>
        </is>
      </c>
      <c r="F255" s="28" t="inlineStr"/>
      <c r="G255" s="29" t="n">
        <f>ROUND(G254*(0/100),2)</f>
        <v>0.0</v>
      </c>
    </row>
    <row r="256" customHeight="1" ht="15">
      <c r="A256" s="2" t="inlineStr"/>
      <c r="B256" s="2" t="inlineStr"/>
      <c r="C256" s="2" t="inlineStr"/>
      <c r="D256" s="2" t="inlineStr"/>
      <c r="E256" s="28" t="inlineStr">
        <is>
          <r>
            <t xml:space="preserve">VALOR COM BDI:</t>
          </r>
        </is>
      </c>
      <c r="F256" s="28" t="inlineStr"/>
      <c r="G256" s="29" t="n">
        <f>G255+G254</f>
        <v>2009.74</v>
      </c>
    </row>
    <row r="257" customHeight="1" ht="10">
      <c r="A257" s="2" t="inlineStr"/>
      <c r="B257" s="2" t="inlineStr"/>
      <c r="C257" s="2" t="inlineStr"/>
      <c r="D257" s="2" t="inlineStr"/>
      <c r="E257" s="18" t="inlineStr"/>
      <c r="F257" s="18" t="inlineStr"/>
      <c r="G257" s="18" t="inlineStr"/>
    </row>
    <row r="258" customHeight="1" ht="20">
      <c r="A258" s="19" t="inlineStr">
        <is>
          <r>
            <t xml:space="preserve">1.3.2.4.1. ​C0215​ ARMADURA CA-50A GROSSA D= 12,5 A 25,0mm​ (KG)</t>
          </r>
        </is>
      </c>
      <c r="B258" s="19" t="inlineStr"/>
      <c r="C258" s="19" t="inlineStr"/>
      <c r="D258" s="19" t="inlineStr"/>
      <c r="E258" s="19" t="inlineStr"/>
      <c r="F258" s="19" t="inlineStr"/>
      <c r="G258" s="19" t="inlineStr"/>
    </row>
    <row r="259" customHeight="1" ht="15">
      <c r="A259" s="20" t="inlineStr">
        <is>
          <r>
            <t xml:space="preserve">Material</t>
          </r>
        </is>
      </c>
      <c r="B259" s="20" t="inlineStr"/>
      <c r="C259" s="21" t="inlineStr">
        <is>
          <r>
            <t xml:space="preserve">FONTE</t>
          </r>
        </is>
      </c>
      <c r="D259" s="21" t="inlineStr">
        <is>
          <r>
            <t xml:space="preserve">UNID</t>
          </r>
        </is>
      </c>
      <c r="E259" s="21" t="inlineStr">
        <is>
          <r>
            <t xml:space="preserve">COEFICIENTE</t>
          </r>
        </is>
      </c>
      <c r="F259" s="21" t="inlineStr">
        <is>
          <r>
            <t xml:space="preserve">PREÇO UNITÁRIO</t>
          </r>
        </is>
      </c>
      <c r="G259" s="21" t="inlineStr">
        <is>
          <r>
            <t xml:space="preserve">TOTAL</t>
          </r>
        </is>
      </c>
    </row>
    <row r="260" customHeight="1" ht="15">
      <c r="A260" s="22" t="inlineStr">
        <is>
          <r>
            <t xml:space="preserve">I0163</t>
          </r>
        </is>
      </c>
      <c r="B260" s="23" t="inlineStr">
        <is>
          <r>
            <t xml:space="preserve">AÇO CA-50</t>
          </r>
        </is>
      </c>
      <c r="C260" s="22" t="inlineStr">
        <is>
          <r>
            <t xml:space="preserve">SEINFRA</t>
          </r>
        </is>
      </c>
      <c r="D260" s="22" t="inlineStr">
        <is>
          <r>
            <t xml:space="preserve">KG</t>
          </r>
        </is>
      </c>
      <c r="E260" s="24" t="n">
        <v>1.15</v>
      </c>
      <c r="F260" s="30" t="n">
        <v>7.1</v>
      </c>
      <c r="G260" s="30" t="n">
        <f>ROUND(ROUND(E260,8)*F260,4)</f>
        <v>8.165</v>
      </c>
    </row>
    <row r="261" customHeight="1" ht="15">
      <c r="A261" s="22" t="inlineStr">
        <is>
          <r>
            <t xml:space="preserve">I0103</t>
          </r>
        </is>
      </c>
      <c r="B261" s="23" t="inlineStr">
        <is>
          <r>
            <t xml:space="preserve">ARAME RECOZIDO N.18 BWG</t>
          </r>
        </is>
      </c>
      <c r="C261" s="22" t="inlineStr">
        <is>
          <r>
            <t xml:space="preserve">SEINFRA</t>
          </r>
        </is>
      </c>
      <c r="D261" s="22" t="inlineStr">
        <is>
          <r>
            <t xml:space="preserve">KG</t>
          </r>
        </is>
      </c>
      <c r="E261" s="24" t="n">
        <v>0.03</v>
      </c>
      <c r="F261" s="30" t="n">
        <v>16.53</v>
      </c>
      <c r="G261" s="30" t="n">
        <f>ROUND(ROUND(E261,8)*F261,4)</f>
        <v>0.4959</v>
      </c>
    </row>
    <row r="262" customHeight="1" ht="15">
      <c r="A262" s="2" t="inlineStr"/>
      <c r="B262" s="2" t="inlineStr"/>
      <c r="C262" s="2" t="inlineStr"/>
      <c r="D262" s="2" t="inlineStr"/>
      <c r="E262" s="26" t="inlineStr">
        <is>
          <r>
            <t xml:space="preserve">TOTAL Material:</t>
          </r>
        </is>
      </c>
      <c r="F262" s="26" t="inlineStr"/>
      <c r="G262" s="31" t="n">
        <f>SUM(G260:G261)</f>
        <v>8.6609</v>
      </c>
    </row>
    <row r="263" customHeight="1" ht="15">
      <c r="A263" s="20" t="inlineStr">
        <is>
          <r>
            <t xml:space="preserve">Mão de Obra</t>
          </r>
        </is>
      </c>
      <c r="B263" s="20" t="inlineStr"/>
      <c r="C263" s="21" t="inlineStr">
        <is>
          <r>
            <t xml:space="preserve">FONTE</t>
          </r>
        </is>
      </c>
      <c r="D263" s="21" t="inlineStr">
        <is>
          <r>
            <t xml:space="preserve">UNID</t>
          </r>
        </is>
      </c>
      <c r="E263" s="21" t="inlineStr">
        <is>
          <r>
            <t xml:space="preserve">COEFICIENTE</t>
          </r>
        </is>
      </c>
      <c r="F263" s="21" t="inlineStr">
        <is>
          <r>
            <t xml:space="preserve">PREÇO UNITÁRIO</t>
          </r>
        </is>
      </c>
      <c r="G263" s="21" t="inlineStr">
        <is>
          <r>
            <t xml:space="preserve">TOTAL</t>
          </r>
        </is>
      </c>
    </row>
    <row r="264" customHeight="1" ht="15">
      <c r="A264" s="22" t="inlineStr">
        <is>
          <r>
            <t xml:space="preserve">I0040</t>
          </r>
        </is>
      </c>
      <c r="B264" s="23" t="inlineStr">
        <is>
          <r>
            <t xml:space="preserve">AJUDANTE DE ARMADOR/FERREIRO</t>
          </r>
        </is>
      </c>
      <c r="C264" s="22" t="inlineStr">
        <is>
          <r>
            <t xml:space="preserve">SEINFRA</t>
          </r>
        </is>
      </c>
      <c r="D264" s="22" t="inlineStr">
        <is>
          <r>
            <t xml:space="preserve">H</t>
          </r>
        </is>
      </c>
      <c r="E264" s="24" t="n">
        <v>0.1</v>
      </c>
      <c r="F264" s="30" t="n">
        <v>19.1</v>
      </c>
      <c r="G264" s="30" t="n">
        <f>ROUND(ROUND(E264,8)*F264,4)</f>
        <v>1.91</v>
      </c>
    </row>
    <row r="265" customHeight="1" ht="15">
      <c r="A265" s="22" t="inlineStr">
        <is>
          <r>
            <t xml:space="preserve">I0121</t>
          </r>
        </is>
      </c>
      <c r="B265" s="23" t="inlineStr">
        <is>
          <r>
            <t xml:space="preserve">ARMADOR/FERREIRO</t>
          </r>
        </is>
      </c>
      <c r="C265" s="22" t="inlineStr">
        <is>
          <r>
            <t xml:space="preserve">SEINFRA</t>
          </r>
        </is>
      </c>
      <c r="D265" s="22" t="inlineStr">
        <is>
          <r>
            <t xml:space="preserve">H</t>
          </r>
        </is>
      </c>
      <c r="E265" s="24" t="n">
        <v>0.1</v>
      </c>
      <c r="F265" s="30" t="n">
        <v>24.16</v>
      </c>
      <c r="G265" s="30" t="n">
        <f>ROUND(ROUND(E265,8)*F265,4)</f>
        <v>2.416</v>
      </c>
    </row>
    <row r="266" customHeight="1" ht="15">
      <c r="A266" s="2" t="inlineStr"/>
      <c r="B266" s="2" t="inlineStr"/>
      <c r="C266" s="2" t="inlineStr"/>
      <c r="D266" s="2" t="inlineStr"/>
      <c r="E266" s="26" t="inlineStr">
        <is>
          <r>
            <t xml:space="preserve">TOTAL Mão de Obra:</t>
          </r>
        </is>
      </c>
      <c r="F266" s="26" t="inlineStr"/>
      <c r="G266" s="31" t="n">
        <f>SUM(G264:G265)</f>
        <v>4.326</v>
      </c>
    </row>
    <row r="267" customHeight="1" ht="15">
      <c r="A267" s="2" t="inlineStr"/>
      <c r="B267" s="2" t="inlineStr"/>
      <c r="C267" s="2" t="inlineStr"/>
      <c r="D267" s="2" t="inlineStr"/>
      <c r="E267" s="28" t="inlineStr">
        <is>
          <r>
            <t xml:space="preserve">VALOR:</t>
          </r>
        </is>
      </c>
      <c r="F267" s="28" t="inlineStr"/>
      <c r="G267" s="29" t="n">
        <f>ROUND(SUM(G262,G266),2)</f>
        <v>12.99</v>
      </c>
    </row>
    <row r="268" customHeight="1" ht="15">
      <c r="A268" s="2" t="inlineStr"/>
      <c r="B268" s="2" t="inlineStr"/>
      <c r="C268" s="2" t="inlineStr"/>
      <c r="D268" s="2" t="inlineStr"/>
      <c r="E268" s="28" t="inlineStr">
        <is>
          <r>
            <t xml:space="preserve">VALOR BDI:</t>
          </r>
        </is>
      </c>
      <c r="F268" s="28" t="inlineStr"/>
      <c r="G268" s="29" t="n">
        <f>ROUND(G267*(0/100),2)</f>
        <v>0.0</v>
      </c>
    </row>
    <row r="269" customHeight="1" ht="15">
      <c r="A269" s="2" t="inlineStr"/>
      <c r="B269" s="2" t="inlineStr"/>
      <c r="C269" s="2" t="inlineStr"/>
      <c r="D269" s="2" t="inlineStr"/>
      <c r="E269" s="28" t="inlineStr">
        <is>
          <r>
            <t xml:space="preserve">VALOR COM BDI:</t>
          </r>
        </is>
      </c>
      <c r="F269" s="28" t="inlineStr"/>
      <c r="G269" s="29" t="n">
        <f>G268+G267</f>
        <v>12.99</v>
      </c>
    </row>
    <row r="270" customHeight="1" ht="10">
      <c r="A270" s="2" t="inlineStr"/>
      <c r="B270" s="2" t="inlineStr"/>
      <c r="C270" s="2" t="inlineStr"/>
      <c r="D270" s="2" t="inlineStr"/>
      <c r="E270" s="18" t="inlineStr"/>
      <c r="F270" s="18" t="inlineStr"/>
      <c r="G270" s="18" t="inlineStr"/>
    </row>
    <row r="271" customHeight="1" ht="20">
      <c r="A271" s="19" t="inlineStr">
        <is>
          <r>
            <t xml:space="preserve">1.3.2.4.2. ​C0216​ ARMADURA CA-50A MÉDIA D= 6,3 A 10,0mm​ (KG)</t>
          </r>
        </is>
      </c>
      <c r="B271" s="19" t="inlineStr"/>
      <c r="C271" s="19" t="inlineStr"/>
      <c r="D271" s="19" t="inlineStr"/>
      <c r="E271" s="19" t="inlineStr"/>
      <c r="F271" s="19" t="inlineStr"/>
      <c r="G271" s="19" t="inlineStr"/>
    </row>
    <row r="272" customHeight="1" ht="15">
      <c r="A272" s="20" t="inlineStr">
        <is>
          <r>
            <t xml:space="preserve">Material</t>
          </r>
        </is>
      </c>
      <c r="B272" s="20" t="inlineStr"/>
      <c r="C272" s="21" t="inlineStr">
        <is>
          <r>
            <t xml:space="preserve">FONTE</t>
          </r>
        </is>
      </c>
      <c r="D272" s="21" t="inlineStr">
        <is>
          <r>
            <t xml:space="preserve">UNID</t>
          </r>
        </is>
      </c>
      <c r="E272" s="21" t="inlineStr">
        <is>
          <r>
            <t xml:space="preserve">COEFICIENTE</t>
          </r>
        </is>
      </c>
      <c r="F272" s="21" t="inlineStr">
        <is>
          <r>
            <t xml:space="preserve">PREÇO UNITÁRIO</t>
          </r>
        </is>
      </c>
      <c r="G272" s="21" t="inlineStr">
        <is>
          <r>
            <t xml:space="preserve">TOTAL</t>
          </r>
        </is>
      </c>
    </row>
    <row r="273" customHeight="1" ht="15">
      <c r="A273" s="22" t="inlineStr">
        <is>
          <r>
            <t xml:space="preserve">I0163</t>
          </r>
        </is>
      </c>
      <c r="B273" s="23" t="inlineStr">
        <is>
          <r>
            <t xml:space="preserve">AÇO CA-50</t>
          </r>
        </is>
      </c>
      <c r="C273" s="22" t="inlineStr">
        <is>
          <r>
            <t xml:space="preserve">SEINFRA</t>
          </r>
        </is>
      </c>
      <c r="D273" s="22" t="inlineStr">
        <is>
          <r>
            <t xml:space="preserve">KG</t>
          </r>
        </is>
      </c>
      <c r="E273" s="24" t="n">
        <v>1.15</v>
      </c>
      <c r="F273" s="30" t="n">
        <v>7.1</v>
      </c>
      <c r="G273" s="30" t="n">
        <f>ROUND(ROUND(E273,8)*F273,4)</f>
        <v>8.165</v>
      </c>
    </row>
    <row r="274" customHeight="1" ht="15">
      <c r="A274" s="22" t="inlineStr">
        <is>
          <r>
            <t xml:space="preserve">I0103</t>
          </r>
        </is>
      </c>
      <c r="B274" s="23" t="inlineStr">
        <is>
          <r>
            <t xml:space="preserve">ARAME RECOZIDO N.18 BWG</t>
          </r>
        </is>
      </c>
      <c r="C274" s="22" t="inlineStr">
        <is>
          <r>
            <t xml:space="preserve">SEINFRA</t>
          </r>
        </is>
      </c>
      <c r="D274" s="22" t="inlineStr">
        <is>
          <r>
            <t xml:space="preserve">KG</t>
          </r>
        </is>
      </c>
      <c r="E274" s="24" t="n">
        <v>0.02</v>
      </c>
      <c r="F274" s="30" t="n">
        <v>16.53</v>
      </c>
      <c r="G274" s="30" t="n">
        <f>ROUND(ROUND(E274,8)*F274,4)</f>
        <v>0.3306</v>
      </c>
    </row>
    <row r="275" customHeight="1" ht="15">
      <c r="A275" s="2" t="inlineStr"/>
      <c r="B275" s="2" t="inlineStr"/>
      <c r="C275" s="2" t="inlineStr"/>
      <c r="D275" s="2" t="inlineStr"/>
      <c r="E275" s="26" t="inlineStr">
        <is>
          <r>
            <t xml:space="preserve">TOTAL Material:</t>
          </r>
        </is>
      </c>
      <c r="F275" s="26" t="inlineStr"/>
      <c r="G275" s="31" t="n">
        <f>SUM(G273:G274)</f>
        <v>8.4956</v>
      </c>
    </row>
    <row r="276" customHeight="1" ht="15">
      <c r="A276" s="20" t="inlineStr">
        <is>
          <r>
            <t xml:space="preserve">Mão de Obra</t>
          </r>
        </is>
      </c>
      <c r="B276" s="20" t="inlineStr"/>
      <c r="C276" s="21" t="inlineStr">
        <is>
          <r>
            <t xml:space="preserve">FONTE</t>
          </r>
        </is>
      </c>
      <c r="D276" s="21" t="inlineStr">
        <is>
          <r>
            <t xml:space="preserve">UNID</t>
          </r>
        </is>
      </c>
      <c r="E276" s="21" t="inlineStr">
        <is>
          <r>
            <t xml:space="preserve">COEFICIENTE</t>
          </r>
        </is>
      </c>
      <c r="F276" s="21" t="inlineStr">
        <is>
          <r>
            <t xml:space="preserve">PREÇO UNITÁRIO</t>
          </r>
        </is>
      </c>
      <c r="G276" s="21" t="inlineStr">
        <is>
          <r>
            <t xml:space="preserve">TOTAL</t>
          </r>
        </is>
      </c>
    </row>
    <row r="277" customHeight="1" ht="15">
      <c r="A277" s="22" t="inlineStr">
        <is>
          <r>
            <t xml:space="preserve">I0040</t>
          </r>
        </is>
      </c>
      <c r="B277" s="23" t="inlineStr">
        <is>
          <r>
            <t xml:space="preserve">AJUDANTE DE ARMADOR/FERREIRO</t>
          </r>
        </is>
      </c>
      <c r="C277" s="22" t="inlineStr">
        <is>
          <r>
            <t xml:space="preserve">SEINFRA</t>
          </r>
        </is>
      </c>
      <c r="D277" s="22" t="inlineStr">
        <is>
          <r>
            <t xml:space="preserve">H</t>
          </r>
        </is>
      </c>
      <c r="E277" s="24" t="n">
        <v>0.08</v>
      </c>
      <c r="F277" s="30" t="n">
        <v>19.1</v>
      </c>
      <c r="G277" s="30" t="n">
        <f>ROUND(ROUND(E277,8)*F277,4)</f>
        <v>1.528</v>
      </c>
    </row>
    <row r="278" customHeight="1" ht="15">
      <c r="A278" s="22" t="inlineStr">
        <is>
          <r>
            <t xml:space="preserve">I0121</t>
          </r>
        </is>
      </c>
      <c r="B278" s="23" t="inlineStr">
        <is>
          <r>
            <t xml:space="preserve">ARMADOR/FERREIRO</t>
          </r>
        </is>
      </c>
      <c r="C278" s="22" t="inlineStr">
        <is>
          <r>
            <t xml:space="preserve">SEINFRA</t>
          </r>
        </is>
      </c>
      <c r="D278" s="22" t="inlineStr">
        <is>
          <r>
            <t xml:space="preserve">H</t>
          </r>
        </is>
      </c>
      <c r="E278" s="24" t="n">
        <v>0.08</v>
      </c>
      <c r="F278" s="30" t="n">
        <v>24.16</v>
      </c>
      <c r="G278" s="30" t="n">
        <f>ROUND(ROUND(E278,8)*F278,4)</f>
        <v>1.9328</v>
      </c>
    </row>
    <row r="279" customHeight="1" ht="15">
      <c r="A279" s="2" t="inlineStr"/>
      <c r="B279" s="2" t="inlineStr"/>
      <c r="C279" s="2" t="inlineStr"/>
      <c r="D279" s="2" t="inlineStr"/>
      <c r="E279" s="26" t="inlineStr">
        <is>
          <r>
            <t xml:space="preserve">TOTAL Mão de Obra:</t>
          </r>
        </is>
      </c>
      <c r="F279" s="26" t="inlineStr"/>
      <c r="G279" s="31" t="n">
        <f>SUM(G277:G278)</f>
        <v>3.4608</v>
      </c>
    </row>
    <row r="280" customHeight="1" ht="15">
      <c r="A280" s="2" t="inlineStr"/>
      <c r="B280" s="2" t="inlineStr"/>
      <c r="C280" s="2" t="inlineStr"/>
      <c r="D280" s="2" t="inlineStr"/>
      <c r="E280" s="28" t="inlineStr">
        <is>
          <r>
            <t xml:space="preserve">VALOR:</t>
          </r>
        </is>
      </c>
      <c r="F280" s="28" t="inlineStr"/>
      <c r="G280" s="29" t="n">
        <f>ROUND(SUM(G275,G279),2)</f>
        <v>11.96</v>
      </c>
    </row>
    <row r="281" customHeight="1" ht="15">
      <c r="A281" s="2" t="inlineStr"/>
      <c r="B281" s="2" t="inlineStr"/>
      <c r="C281" s="2" t="inlineStr"/>
      <c r="D281" s="2" t="inlineStr"/>
      <c r="E281" s="28" t="inlineStr">
        <is>
          <r>
            <t xml:space="preserve">VALOR BDI:</t>
          </r>
        </is>
      </c>
      <c r="F281" s="28" t="inlineStr"/>
      <c r="G281" s="29" t="n">
        <f>ROUND(G280*(0/100),2)</f>
        <v>0.0</v>
      </c>
    </row>
    <row r="282" customHeight="1" ht="15">
      <c r="A282" s="2" t="inlineStr"/>
      <c r="B282" s="2" t="inlineStr"/>
      <c r="C282" s="2" t="inlineStr"/>
      <c r="D282" s="2" t="inlineStr"/>
      <c r="E282" s="28" t="inlineStr">
        <is>
          <r>
            <t xml:space="preserve">VALOR COM BDI:</t>
          </r>
        </is>
      </c>
      <c r="F282" s="28" t="inlineStr"/>
      <c r="G282" s="29" t="n">
        <f>G281+G280</f>
        <v>11.96</v>
      </c>
    </row>
    <row r="283" customHeight="1" ht="10">
      <c r="A283" s="2" t="inlineStr"/>
      <c r="B283" s="2" t="inlineStr"/>
      <c r="C283" s="2" t="inlineStr"/>
      <c r="D283" s="2" t="inlineStr"/>
      <c r="E283" s="18" t="inlineStr"/>
      <c r="F283" s="18" t="inlineStr"/>
      <c r="G283" s="18" t="inlineStr"/>
    </row>
    <row r="284" customHeight="1" ht="20">
      <c r="A284" s="19" t="inlineStr">
        <is>
          <r>
            <t xml:space="preserve">1.3.2.5.1. ​C0090​ APARELHO DE APOIO EM NEOPRENE​ (KG)</t>
          </r>
        </is>
      </c>
      <c r="B284" s="19" t="inlineStr"/>
      <c r="C284" s="19" t="inlineStr"/>
      <c r="D284" s="19" t="inlineStr"/>
      <c r="E284" s="19" t="inlineStr"/>
      <c r="F284" s="19" t="inlineStr"/>
      <c r="G284" s="19" t="inlineStr"/>
    </row>
    <row r="285" customHeight="1" ht="15">
      <c r="A285" s="20" t="inlineStr">
        <is>
          <r>
            <t xml:space="preserve">Material</t>
          </r>
        </is>
      </c>
      <c r="B285" s="20" t="inlineStr"/>
      <c r="C285" s="21" t="inlineStr">
        <is>
          <r>
            <t xml:space="preserve">FONTE</t>
          </r>
        </is>
      </c>
      <c r="D285" s="21" t="inlineStr">
        <is>
          <r>
            <t xml:space="preserve">UNID</t>
          </r>
        </is>
      </c>
      <c r="E285" s="21" t="inlineStr">
        <is>
          <r>
            <t xml:space="preserve">COEFICIENTE</t>
          </r>
        </is>
      </c>
      <c r="F285" s="21" t="inlineStr">
        <is>
          <r>
            <t xml:space="preserve">PREÇO UNITÁRIO</t>
          </r>
        </is>
      </c>
      <c r="G285" s="21" t="inlineStr">
        <is>
          <r>
            <t xml:space="preserve">TOTAL</t>
          </r>
        </is>
      </c>
    </row>
    <row r="286" customHeight="1" ht="15">
      <c r="A286" s="22" t="inlineStr">
        <is>
          <r>
            <t xml:space="preserve">I0086</t>
          </r>
        </is>
      </c>
      <c r="B286" s="23" t="inlineStr">
        <is>
          <r>
            <t xml:space="preserve">APARELHO DE APOIO EM NEOPRENE</t>
          </r>
        </is>
      </c>
      <c r="C286" s="22" t="inlineStr">
        <is>
          <r>
            <t xml:space="preserve">SEINFRA</t>
          </r>
        </is>
      </c>
      <c r="D286" s="22" t="inlineStr">
        <is>
          <r>
            <t xml:space="preserve">DM3</t>
          </r>
        </is>
      </c>
      <c r="E286" s="24" t="n">
        <v>0.39</v>
      </c>
      <c r="F286" s="30" t="n">
        <v>82.85</v>
      </c>
      <c r="G286" s="30" t="n">
        <f>ROUND(ROUND(E286,8)*F286,4)</f>
        <v>32.3115</v>
      </c>
    </row>
    <row r="287" customHeight="1" ht="15">
      <c r="A287" s="2" t="inlineStr"/>
      <c r="B287" s="2" t="inlineStr"/>
      <c r="C287" s="2" t="inlineStr"/>
      <c r="D287" s="2" t="inlineStr"/>
      <c r="E287" s="26" t="inlineStr">
        <is>
          <r>
            <t xml:space="preserve">TOTAL Material:</t>
          </r>
        </is>
      </c>
      <c r="F287" s="26" t="inlineStr"/>
      <c r="G287" s="31" t="n">
        <f>SUM(G286:G286)</f>
        <v>32.3115</v>
      </c>
    </row>
    <row r="288" customHeight="1" ht="15">
      <c r="A288" s="20" t="inlineStr">
        <is>
          <r>
            <t xml:space="preserve">Mão de Obra</t>
          </r>
        </is>
      </c>
      <c r="B288" s="20" t="inlineStr"/>
      <c r="C288" s="21" t="inlineStr">
        <is>
          <r>
            <t xml:space="preserve">FONTE</t>
          </r>
        </is>
      </c>
      <c r="D288" s="21" t="inlineStr">
        <is>
          <r>
            <t xml:space="preserve">UNID</t>
          </r>
        </is>
      </c>
      <c r="E288" s="21" t="inlineStr">
        <is>
          <r>
            <t xml:space="preserve">COEFICIENTE</t>
          </r>
        </is>
      </c>
      <c r="F288" s="21" t="inlineStr">
        <is>
          <r>
            <t xml:space="preserve">PREÇO UNITÁRIO</t>
          </r>
        </is>
      </c>
      <c r="G288" s="21" t="inlineStr">
        <is>
          <r>
            <t xml:space="preserve">TOTAL</t>
          </r>
        </is>
      </c>
    </row>
    <row r="289" customHeight="1" ht="15">
      <c r="A289" s="22" t="inlineStr">
        <is>
          <r>
            <t xml:space="preserve">I2391</t>
          </r>
        </is>
      </c>
      <c r="B289" s="23" t="inlineStr">
        <is>
          <r>
            <t xml:space="preserve">PEDREIRO</t>
          </r>
        </is>
      </c>
      <c r="C289" s="22" t="inlineStr">
        <is>
          <r>
            <t xml:space="preserve">SEINFRA</t>
          </r>
        </is>
      </c>
      <c r="D289" s="22" t="inlineStr">
        <is>
          <r>
            <t xml:space="preserve">H</t>
          </r>
        </is>
      </c>
      <c r="E289" s="24" t="n">
        <v>0.5</v>
      </c>
      <c r="F289" s="30" t="n">
        <v>24.16</v>
      </c>
      <c r="G289" s="30" t="n">
        <f>ROUND(ROUND(E289,8)*F289,4)</f>
        <v>12.08</v>
      </c>
    </row>
    <row r="290" customHeight="1" ht="15">
      <c r="A290" s="22" t="inlineStr">
        <is>
          <r>
            <t xml:space="preserve">I2543</t>
          </r>
        </is>
      </c>
      <c r="B290" s="23" t="inlineStr">
        <is>
          <r>
            <t xml:space="preserve">SERVENTE</t>
          </r>
        </is>
      </c>
      <c r="C290" s="22" t="inlineStr">
        <is>
          <r>
            <t xml:space="preserve">SEINFRA</t>
          </r>
        </is>
      </c>
      <c r="D290" s="22" t="inlineStr">
        <is>
          <r>
            <t xml:space="preserve">H</t>
          </r>
        </is>
      </c>
      <c r="E290" s="24" t="n">
        <v>1.0</v>
      </c>
      <c r="F290" s="30" t="n">
        <v>18.46</v>
      </c>
      <c r="G290" s="30" t="n">
        <f>ROUND(ROUND(E290,8)*F290,4)</f>
        <v>18.46</v>
      </c>
    </row>
    <row r="291" customHeight="1" ht="15">
      <c r="A291" s="2" t="inlineStr"/>
      <c r="B291" s="2" t="inlineStr"/>
      <c r="C291" s="2" t="inlineStr"/>
      <c r="D291" s="2" t="inlineStr"/>
      <c r="E291" s="26" t="inlineStr">
        <is>
          <r>
            <t xml:space="preserve">TOTAL Mão de Obra:</t>
          </r>
        </is>
      </c>
      <c r="F291" s="26" t="inlineStr"/>
      <c r="G291" s="31" t="n">
        <f>SUM(G289:G290)</f>
        <v>30.54</v>
      </c>
    </row>
    <row r="292" customHeight="1" ht="15">
      <c r="A292" s="2" t="inlineStr"/>
      <c r="B292" s="2" t="inlineStr"/>
      <c r="C292" s="2" t="inlineStr"/>
      <c r="D292" s="2" t="inlineStr"/>
      <c r="E292" s="28" t="inlineStr">
        <is>
          <r>
            <t xml:space="preserve">VALOR:</t>
          </r>
        </is>
      </c>
      <c r="F292" s="28" t="inlineStr"/>
      <c r="G292" s="29" t="n">
        <f>ROUND(SUM(G287,G291),2)</f>
        <v>62.85</v>
      </c>
    </row>
    <row r="293" customHeight="1" ht="15">
      <c r="A293" s="2" t="inlineStr"/>
      <c r="B293" s="2" t="inlineStr"/>
      <c r="C293" s="2" t="inlineStr"/>
      <c r="D293" s="2" t="inlineStr"/>
      <c r="E293" s="28" t="inlineStr">
        <is>
          <r>
            <t xml:space="preserve">VALOR BDI:</t>
          </r>
        </is>
      </c>
      <c r="F293" s="28" t="inlineStr"/>
      <c r="G293" s="29" t="n">
        <f>ROUND(G292*(0/100),2)</f>
        <v>0.0</v>
      </c>
    </row>
    <row r="294" customHeight="1" ht="15">
      <c r="A294" s="2" t="inlineStr"/>
      <c r="B294" s="2" t="inlineStr"/>
      <c r="C294" s="2" t="inlineStr"/>
      <c r="D294" s="2" t="inlineStr"/>
      <c r="E294" s="28" t="inlineStr">
        <is>
          <r>
            <t xml:space="preserve">VALOR COM BDI:</t>
          </r>
        </is>
      </c>
      <c r="F294" s="28" t="inlineStr"/>
      <c r="G294" s="29" t="n">
        <f>G293+G292</f>
        <v>62.85</v>
      </c>
    </row>
    <row r="295" customHeight="1" ht="10">
      <c r="A295" s="2" t="inlineStr"/>
      <c r="B295" s="2" t="inlineStr"/>
      <c r="C295" s="2" t="inlineStr"/>
      <c r="D295" s="2" t="inlineStr"/>
      <c r="E295" s="18" t="inlineStr"/>
      <c r="F295" s="18" t="inlineStr"/>
      <c r="G295" s="18" t="inlineStr"/>
    </row>
    <row r="296" customHeight="1" ht="20">
      <c r="A296" s="19" t="inlineStr">
        <is>
          <r>
            <t xml:space="preserve">1.3.2.5.2. ​C0834​ CONCRETO GROUT (ARGAMASSA AUTONIVELANTE), LANÇAMENTO E CURA​ (M3)</t>
          </r>
        </is>
      </c>
      <c r="B296" s="19" t="inlineStr"/>
      <c r="C296" s="19" t="inlineStr"/>
      <c r="D296" s="19" t="inlineStr"/>
      <c r="E296" s="19" t="inlineStr"/>
      <c r="F296" s="19" t="inlineStr"/>
      <c r="G296" s="19" t="inlineStr"/>
    </row>
    <row r="297" customHeight="1" ht="15">
      <c r="A297" s="20" t="inlineStr">
        <is>
          <r>
            <t xml:space="preserve">Equipamento Custo Horário</t>
          </r>
        </is>
      </c>
      <c r="B297" s="20" t="inlineStr"/>
      <c r="C297" s="21" t="inlineStr">
        <is>
          <r>
            <t xml:space="preserve">FONTE</t>
          </r>
        </is>
      </c>
      <c r="D297" s="21" t="inlineStr">
        <is>
          <r>
            <t xml:space="preserve">UNID</t>
          </r>
        </is>
      </c>
      <c r="E297" s="21" t="inlineStr">
        <is>
          <r>
            <t xml:space="preserve">COEFICIENTE</t>
          </r>
        </is>
      </c>
      <c r="F297" s="21" t="inlineStr">
        <is>
          <r>
            <t xml:space="preserve">PREÇO UNITÁRIO</t>
          </r>
        </is>
      </c>
      <c r="G297" s="21" t="inlineStr">
        <is>
          <r>
            <t xml:space="preserve">TOTAL</t>
          </r>
        </is>
      </c>
    </row>
    <row r="298" customHeight="1" ht="15">
      <c r="A298" s="22" t="inlineStr">
        <is>
          <r>
            <t xml:space="preserve">I0681</t>
          </r>
        </is>
      </c>
      <c r="B298" s="23" t="inlineStr">
        <is>
          <r>
            <t xml:space="preserve">BETONEIRA ELÉTRICA 320l (CHP)</t>
          </r>
        </is>
      </c>
      <c r="C298" s="22" t="inlineStr">
        <is>
          <r>
            <t xml:space="preserve">SEINFRA</t>
          </r>
        </is>
      </c>
      <c r="D298" s="22" t="inlineStr">
        <is>
          <r>
            <t xml:space="preserve">H</t>
          </r>
        </is>
      </c>
      <c r="E298" s="24" t="n">
        <v>1.0</v>
      </c>
      <c r="F298" s="30" t="n">
        <v>22.9356</v>
      </c>
      <c r="G298" s="30" t="n">
        <f>ROUND(ROUND(E298,8)*F298,4)</f>
        <v>22.9356</v>
      </c>
    </row>
    <row r="299" customHeight="1" ht="15">
      <c r="A299" s="22" t="inlineStr">
        <is>
          <r>
            <t xml:space="preserve">I0788</t>
          </r>
        </is>
      </c>
      <c r="B299" s="23" t="inlineStr">
        <is>
          <r>
            <t xml:space="preserve">VIBRADOR DE IMERSÃO C/MOTOR ELÉTRICO (CHP)</t>
          </r>
        </is>
      </c>
      <c r="C299" s="22" t="inlineStr">
        <is>
          <r>
            <t xml:space="preserve">SEINFRA</t>
          </r>
        </is>
      </c>
      <c r="D299" s="22" t="inlineStr">
        <is>
          <r>
            <t xml:space="preserve">H</t>
          </r>
        </is>
      </c>
      <c r="E299" s="24" t="n">
        <v>1.0</v>
      </c>
      <c r="F299" s="30" t="n">
        <v>1.7816</v>
      </c>
      <c r="G299" s="30" t="n">
        <f>ROUND(ROUND(E299,8)*F299,4)</f>
        <v>1.7816</v>
      </c>
    </row>
    <row r="300" customHeight="1" ht="18">
      <c r="A300" s="2" t="inlineStr"/>
      <c r="B300" s="2" t="inlineStr"/>
      <c r="C300" s="2" t="inlineStr"/>
      <c r="D300" s="2" t="inlineStr"/>
      <c r="E300" s="26" t="inlineStr">
        <is>
          <r>
            <t xml:space="preserve">TOTAL Equipamento Custo Horário:</t>
          </r>
        </is>
      </c>
      <c r="F300" s="26" t="inlineStr"/>
      <c r="G300" s="31" t="n">
        <f>SUM(G298:G299)</f>
        <v>24.7172</v>
      </c>
    </row>
    <row r="301" customHeight="1" ht="15">
      <c r="A301" s="20" t="inlineStr">
        <is>
          <r>
            <t xml:space="preserve">Material</t>
          </r>
        </is>
      </c>
      <c r="B301" s="20" t="inlineStr"/>
      <c r="C301" s="21" t="inlineStr">
        <is>
          <r>
            <t xml:space="preserve">FONTE</t>
          </r>
        </is>
      </c>
      <c r="D301" s="21" t="inlineStr">
        <is>
          <r>
            <t xml:space="preserve">UNID</t>
          </r>
        </is>
      </c>
      <c r="E301" s="21" t="inlineStr">
        <is>
          <r>
            <t xml:space="preserve">COEFICIENTE</t>
          </r>
        </is>
      </c>
      <c r="F301" s="21" t="inlineStr">
        <is>
          <r>
            <t xml:space="preserve">PREÇO UNITÁRIO</t>
          </r>
        </is>
      </c>
      <c r="G301" s="21" t="inlineStr">
        <is>
          <r>
            <t xml:space="preserve">TOTAL</t>
          </r>
        </is>
      </c>
    </row>
    <row r="302" customHeight="1" ht="15">
      <c r="A302" s="22" t="inlineStr">
        <is>
          <r>
            <t xml:space="preserve">I0114</t>
          </r>
        </is>
      </c>
      <c r="B302" s="23" t="inlineStr">
        <is>
          <r>
            <t xml:space="preserve">ARGAMASSA DE ALTA RESIST.INICIAL/FINAL P/GRAUT</t>
          </r>
        </is>
      </c>
      <c r="C302" s="22" t="inlineStr">
        <is>
          <r>
            <t xml:space="preserve">SEINFRA</t>
          </r>
        </is>
      </c>
      <c r="D302" s="22" t="inlineStr">
        <is>
          <r>
            <t xml:space="preserve">KG</t>
          </r>
        </is>
      </c>
      <c r="E302" s="32" t="n">
        <v>2050.0</v>
      </c>
      <c r="F302" s="30" t="n">
        <v>2.07</v>
      </c>
      <c r="G302" s="30" t="n">
        <f>ROUND(ROUND(E302,8)*F302,4)</f>
        <v>4243.5</v>
      </c>
    </row>
    <row r="303" customHeight="1" ht="15">
      <c r="A303" s="2" t="inlineStr"/>
      <c r="B303" s="2" t="inlineStr"/>
      <c r="C303" s="2" t="inlineStr"/>
      <c r="D303" s="2" t="inlineStr"/>
      <c r="E303" s="26" t="inlineStr">
        <is>
          <r>
            <t xml:space="preserve">TOTAL Material:</t>
          </r>
        </is>
      </c>
      <c r="F303" s="26" t="inlineStr"/>
      <c r="G303" s="31" t="n">
        <f>SUM(G302:G302)</f>
        <v>4243.5</v>
      </c>
    </row>
    <row r="304" customHeight="1" ht="15">
      <c r="A304" s="20" t="inlineStr">
        <is>
          <r>
            <t xml:space="preserve">Mão de Obra</t>
          </r>
        </is>
      </c>
      <c r="B304" s="20" t="inlineStr"/>
      <c r="C304" s="21" t="inlineStr">
        <is>
          <r>
            <t xml:space="preserve">FONTE</t>
          </r>
        </is>
      </c>
      <c r="D304" s="21" t="inlineStr">
        <is>
          <r>
            <t xml:space="preserve">UNID</t>
          </r>
        </is>
      </c>
      <c r="E304" s="21" t="inlineStr">
        <is>
          <r>
            <t xml:space="preserve">COEFICIENTE</t>
          </r>
        </is>
      </c>
      <c r="F304" s="21" t="inlineStr">
        <is>
          <r>
            <t xml:space="preserve">PREÇO UNITÁRIO</t>
          </r>
        </is>
      </c>
      <c r="G304" s="21" t="inlineStr">
        <is>
          <r>
            <t xml:space="preserve">TOTAL</t>
          </r>
        </is>
      </c>
    </row>
    <row r="305" customHeight="1" ht="15">
      <c r="A305" s="22" t="inlineStr">
        <is>
          <r>
            <t xml:space="preserve">I2391</t>
          </r>
        </is>
      </c>
      <c r="B305" s="23" t="inlineStr">
        <is>
          <r>
            <t xml:space="preserve">PEDREIRO</t>
          </r>
        </is>
      </c>
      <c r="C305" s="22" t="inlineStr">
        <is>
          <r>
            <t xml:space="preserve">SEINFRA</t>
          </r>
        </is>
      </c>
      <c r="D305" s="22" t="inlineStr">
        <is>
          <r>
            <t xml:space="preserve">H</t>
          </r>
        </is>
      </c>
      <c r="E305" s="24" t="n">
        <v>6.0</v>
      </c>
      <c r="F305" s="30" t="n">
        <v>24.16</v>
      </c>
      <c r="G305" s="30" t="n">
        <f>ROUND(ROUND(E305,8)*F305,4)</f>
        <v>144.96</v>
      </c>
    </row>
    <row r="306" customHeight="1" ht="15">
      <c r="A306" s="22" t="inlineStr">
        <is>
          <r>
            <t xml:space="preserve">I2543</t>
          </r>
        </is>
      </c>
      <c r="B306" s="23" t="inlineStr">
        <is>
          <r>
            <t xml:space="preserve">SERVENTE</t>
          </r>
        </is>
      </c>
      <c r="C306" s="22" t="inlineStr">
        <is>
          <r>
            <t xml:space="preserve">SEINFRA</t>
          </r>
        </is>
      </c>
      <c r="D306" s="22" t="inlineStr">
        <is>
          <r>
            <t xml:space="preserve">H</t>
          </r>
        </is>
      </c>
      <c r="E306" s="24" t="n">
        <v>18.0</v>
      </c>
      <c r="F306" s="30" t="n">
        <v>18.46</v>
      </c>
      <c r="G306" s="30" t="n">
        <f>ROUND(ROUND(E306,8)*F306,4)</f>
        <v>332.28</v>
      </c>
    </row>
    <row r="307" customHeight="1" ht="15">
      <c r="A307" s="2" t="inlineStr"/>
      <c r="B307" s="2" t="inlineStr"/>
      <c r="C307" s="2" t="inlineStr"/>
      <c r="D307" s="2" t="inlineStr"/>
      <c r="E307" s="26" t="inlineStr">
        <is>
          <r>
            <t xml:space="preserve">TOTAL Mão de Obra:</t>
          </r>
        </is>
      </c>
      <c r="F307" s="26" t="inlineStr"/>
      <c r="G307" s="31" t="n">
        <f>SUM(G305:G306)</f>
        <v>477.24</v>
      </c>
    </row>
    <row r="308" customHeight="1" ht="15">
      <c r="A308" s="2" t="inlineStr"/>
      <c r="B308" s="2" t="inlineStr"/>
      <c r="C308" s="2" t="inlineStr"/>
      <c r="D308" s="2" t="inlineStr"/>
      <c r="E308" s="28" t="inlineStr">
        <is>
          <r>
            <t xml:space="preserve">VALOR:</t>
          </r>
        </is>
      </c>
      <c r="F308" s="28" t="inlineStr"/>
      <c r="G308" s="29" t="n">
        <f>ROUND(SUM(G300,G303,G307),2)</f>
        <v>4745.46</v>
      </c>
    </row>
    <row r="309" customHeight="1" ht="15">
      <c r="A309" s="2" t="inlineStr"/>
      <c r="B309" s="2" t="inlineStr"/>
      <c r="C309" s="2" t="inlineStr"/>
      <c r="D309" s="2" t="inlineStr"/>
      <c r="E309" s="28" t="inlineStr">
        <is>
          <r>
            <t xml:space="preserve">VALOR BDI:</t>
          </r>
        </is>
      </c>
      <c r="F309" s="28" t="inlineStr"/>
      <c r="G309" s="29" t="n">
        <f>ROUND(G308*(0/100),2)</f>
        <v>0.0</v>
      </c>
    </row>
    <row r="310" customHeight="1" ht="15">
      <c r="A310" s="2" t="inlineStr"/>
      <c r="B310" s="2" t="inlineStr"/>
      <c r="C310" s="2" t="inlineStr"/>
      <c r="D310" s="2" t="inlineStr"/>
      <c r="E310" s="28" t="inlineStr">
        <is>
          <r>
            <t xml:space="preserve">VALOR COM BDI:</t>
          </r>
        </is>
      </c>
      <c r="F310" s="28" t="inlineStr"/>
      <c r="G310" s="29" t="n">
        <f>G309+G308</f>
        <v>4745.46</v>
      </c>
    </row>
    <row r="311" customHeight="1" ht="10">
      <c r="A311" s="2" t="inlineStr"/>
      <c r="B311" s="2" t="inlineStr"/>
      <c r="C311" s="2" t="inlineStr"/>
      <c r="D311" s="2" t="inlineStr"/>
      <c r="E311" s="18" t="inlineStr"/>
      <c r="F311" s="18" t="inlineStr"/>
      <c r="G311" s="18" t="inlineStr"/>
    </row>
    <row r="312" customHeight="1" ht="20">
      <c r="A312" s="19" t="inlineStr">
        <is>
          <r>
            <t xml:space="preserve">1.3.2.6.1. ​C0851​ CONCRETO PRE-MISTURADO FCK 30 MPa​ (M3)</t>
          </r>
        </is>
      </c>
      <c r="B312" s="19" t="inlineStr"/>
      <c r="C312" s="19" t="inlineStr"/>
      <c r="D312" s="19" t="inlineStr"/>
      <c r="E312" s="19" t="inlineStr"/>
      <c r="F312" s="19" t="inlineStr"/>
      <c r="G312" s="19" t="inlineStr"/>
    </row>
    <row r="313" customHeight="1" ht="15">
      <c r="A313" s="20" t="inlineStr">
        <is>
          <r>
            <t xml:space="preserve">Material</t>
          </r>
        </is>
      </c>
      <c r="B313" s="20" t="inlineStr"/>
      <c r="C313" s="21" t="inlineStr">
        <is>
          <r>
            <t xml:space="preserve">FONTE</t>
          </r>
        </is>
      </c>
      <c r="D313" s="21" t="inlineStr">
        <is>
          <r>
            <t xml:space="preserve">UNID</t>
          </r>
        </is>
      </c>
      <c r="E313" s="21" t="inlineStr">
        <is>
          <r>
            <t xml:space="preserve">COEFICIENTE</t>
          </r>
        </is>
      </c>
      <c r="F313" s="21" t="inlineStr">
        <is>
          <r>
            <t xml:space="preserve">PREÇO UNITÁRIO</t>
          </r>
        </is>
      </c>
      <c r="G313" s="21" t="inlineStr">
        <is>
          <r>
            <t xml:space="preserve">TOTAL</t>
          </r>
        </is>
      </c>
    </row>
    <row r="314" customHeight="1" ht="15">
      <c r="A314" s="22" t="inlineStr">
        <is>
          <r>
            <t xml:space="preserve">I0829</t>
          </r>
        </is>
      </c>
      <c r="B314" s="23" t="inlineStr">
        <is>
          <r>
            <t xml:space="preserve">CONCRETO USINADO FCK=30 MPA</t>
          </r>
        </is>
      </c>
      <c r="C314" s="22" t="inlineStr">
        <is>
          <r>
            <t xml:space="preserve">SEINFRA</t>
          </r>
        </is>
      </c>
      <c r="D314" s="22" t="inlineStr">
        <is>
          <r>
            <t xml:space="preserve">M3</t>
          </r>
        </is>
      </c>
      <c r="E314" s="24" t="n">
        <v>1.02</v>
      </c>
      <c r="F314" s="30" t="n">
        <v>408.05</v>
      </c>
      <c r="G314" s="30" t="n">
        <f>ROUND(ROUND(E314,8)*F314,4)</f>
        <v>416.211</v>
      </c>
    </row>
    <row r="315" customHeight="1" ht="15">
      <c r="A315" s="2" t="inlineStr"/>
      <c r="B315" s="2" t="inlineStr"/>
      <c r="C315" s="2" t="inlineStr"/>
      <c r="D315" s="2" t="inlineStr"/>
      <c r="E315" s="26" t="inlineStr">
        <is>
          <r>
            <t xml:space="preserve">TOTAL Material:</t>
          </r>
        </is>
      </c>
      <c r="F315" s="26" t="inlineStr"/>
      <c r="G315" s="31" t="n">
        <f>SUM(G314:G314)</f>
        <v>416.211</v>
      </c>
    </row>
    <row r="316" customHeight="1" ht="15">
      <c r="A316" s="2" t="inlineStr"/>
      <c r="B316" s="2" t="inlineStr"/>
      <c r="C316" s="2" t="inlineStr"/>
      <c r="D316" s="2" t="inlineStr"/>
      <c r="E316" s="28" t="inlineStr">
        <is>
          <r>
            <t xml:space="preserve">VALOR:</t>
          </r>
        </is>
      </c>
      <c r="F316" s="28" t="inlineStr"/>
      <c r="G316" s="29" t="n">
        <f>ROUND(SUM(G315),2)</f>
        <v>416.21</v>
      </c>
    </row>
    <row r="317" customHeight="1" ht="15">
      <c r="A317" s="2" t="inlineStr"/>
      <c r="B317" s="2" t="inlineStr"/>
      <c r="C317" s="2" t="inlineStr"/>
      <c r="D317" s="2" t="inlineStr"/>
      <c r="E317" s="28" t="inlineStr">
        <is>
          <r>
            <t xml:space="preserve">VALOR BDI:</t>
          </r>
        </is>
      </c>
      <c r="F317" s="28" t="inlineStr"/>
      <c r="G317" s="29" t="n">
        <f>ROUND(G316*(0/100),2)</f>
        <v>0.0</v>
      </c>
    </row>
    <row r="318" customHeight="1" ht="15">
      <c r="A318" s="2" t="inlineStr"/>
      <c r="B318" s="2" t="inlineStr"/>
      <c r="C318" s="2" t="inlineStr"/>
      <c r="D318" s="2" t="inlineStr"/>
      <c r="E318" s="28" t="inlineStr">
        <is>
          <r>
            <t xml:space="preserve">VALOR COM BDI:</t>
          </r>
        </is>
      </c>
      <c r="F318" s="28" t="inlineStr"/>
      <c r="G318" s="29" t="n">
        <f>G317+G316</f>
        <v>416.21</v>
      </c>
    </row>
    <row r="319" customHeight="1" ht="10">
      <c r="A319" s="2" t="inlineStr"/>
      <c r="B319" s="2" t="inlineStr"/>
      <c r="C319" s="2" t="inlineStr"/>
      <c r="D319" s="2" t="inlineStr"/>
      <c r="E319" s="18" t="inlineStr"/>
      <c r="F319" s="18" t="inlineStr"/>
      <c r="G319" s="18" t="inlineStr"/>
    </row>
    <row r="320" customHeight="1" ht="20">
      <c r="A320" s="19" t="inlineStr">
        <is>
          <r>
            <t xml:space="preserve">1.3.2.6.2. ​C0215​ ARMADURA CA-50A GROSSA D= 12,5 A 25,0mm​ (KG)</t>
          </r>
        </is>
      </c>
      <c r="B320" s="19" t="inlineStr"/>
      <c r="C320" s="19" t="inlineStr"/>
      <c r="D320" s="19" t="inlineStr"/>
      <c r="E320" s="19" t="inlineStr"/>
      <c r="F320" s="19" t="inlineStr"/>
      <c r="G320" s="19" t="inlineStr"/>
    </row>
    <row r="321" customHeight="1" ht="15">
      <c r="A321" s="20" t="inlineStr">
        <is>
          <r>
            <t xml:space="preserve">Material</t>
          </r>
        </is>
      </c>
      <c r="B321" s="20" t="inlineStr"/>
      <c r="C321" s="21" t="inlineStr">
        <is>
          <r>
            <t xml:space="preserve">FONTE</t>
          </r>
        </is>
      </c>
      <c r="D321" s="21" t="inlineStr">
        <is>
          <r>
            <t xml:space="preserve">UNID</t>
          </r>
        </is>
      </c>
      <c r="E321" s="21" t="inlineStr">
        <is>
          <r>
            <t xml:space="preserve">COEFICIENTE</t>
          </r>
        </is>
      </c>
      <c r="F321" s="21" t="inlineStr">
        <is>
          <r>
            <t xml:space="preserve">PREÇO UNITÁRIO</t>
          </r>
        </is>
      </c>
      <c r="G321" s="21" t="inlineStr">
        <is>
          <r>
            <t xml:space="preserve">TOTAL</t>
          </r>
        </is>
      </c>
    </row>
    <row r="322" customHeight="1" ht="15">
      <c r="A322" s="22" t="inlineStr">
        <is>
          <r>
            <t xml:space="preserve">I0163</t>
          </r>
        </is>
      </c>
      <c r="B322" s="23" t="inlineStr">
        <is>
          <r>
            <t xml:space="preserve">AÇO CA-50</t>
          </r>
        </is>
      </c>
      <c r="C322" s="22" t="inlineStr">
        <is>
          <r>
            <t xml:space="preserve">SEINFRA</t>
          </r>
        </is>
      </c>
      <c r="D322" s="22" t="inlineStr">
        <is>
          <r>
            <t xml:space="preserve">KG</t>
          </r>
        </is>
      </c>
      <c r="E322" s="24" t="n">
        <v>1.15</v>
      </c>
      <c r="F322" s="30" t="n">
        <v>7.1</v>
      </c>
      <c r="G322" s="30" t="n">
        <f>ROUND(ROUND(E322,8)*F322,4)</f>
        <v>8.165</v>
      </c>
    </row>
    <row r="323" customHeight="1" ht="15">
      <c r="A323" s="22" t="inlineStr">
        <is>
          <r>
            <t xml:space="preserve">I0103</t>
          </r>
        </is>
      </c>
      <c r="B323" s="23" t="inlineStr">
        <is>
          <r>
            <t xml:space="preserve">ARAME RECOZIDO N.18 BWG</t>
          </r>
        </is>
      </c>
      <c r="C323" s="22" t="inlineStr">
        <is>
          <r>
            <t xml:space="preserve">SEINFRA</t>
          </r>
        </is>
      </c>
      <c r="D323" s="22" t="inlineStr">
        <is>
          <r>
            <t xml:space="preserve">KG</t>
          </r>
        </is>
      </c>
      <c r="E323" s="24" t="n">
        <v>0.03</v>
      </c>
      <c r="F323" s="30" t="n">
        <v>16.53</v>
      </c>
      <c r="G323" s="30" t="n">
        <f>ROUND(ROUND(E323,8)*F323,4)</f>
        <v>0.4959</v>
      </c>
    </row>
    <row r="324" customHeight="1" ht="15">
      <c r="A324" s="2" t="inlineStr"/>
      <c r="B324" s="2" t="inlineStr"/>
      <c r="C324" s="2" t="inlineStr"/>
      <c r="D324" s="2" t="inlineStr"/>
      <c r="E324" s="26" t="inlineStr">
        <is>
          <r>
            <t xml:space="preserve">TOTAL Material:</t>
          </r>
        </is>
      </c>
      <c r="F324" s="26" t="inlineStr"/>
      <c r="G324" s="31" t="n">
        <f>SUM(G322:G323)</f>
        <v>8.6609</v>
      </c>
    </row>
    <row r="325" customHeight="1" ht="15">
      <c r="A325" s="20" t="inlineStr">
        <is>
          <r>
            <t xml:space="preserve">Mão de Obra</t>
          </r>
        </is>
      </c>
      <c r="B325" s="20" t="inlineStr"/>
      <c r="C325" s="21" t="inlineStr">
        <is>
          <r>
            <t xml:space="preserve">FONTE</t>
          </r>
        </is>
      </c>
      <c r="D325" s="21" t="inlineStr">
        <is>
          <r>
            <t xml:space="preserve">UNID</t>
          </r>
        </is>
      </c>
      <c r="E325" s="21" t="inlineStr">
        <is>
          <r>
            <t xml:space="preserve">COEFICIENTE</t>
          </r>
        </is>
      </c>
      <c r="F325" s="21" t="inlineStr">
        <is>
          <r>
            <t xml:space="preserve">PREÇO UNITÁRIO</t>
          </r>
        </is>
      </c>
      <c r="G325" s="21" t="inlineStr">
        <is>
          <r>
            <t xml:space="preserve">TOTAL</t>
          </r>
        </is>
      </c>
    </row>
    <row r="326" customHeight="1" ht="15">
      <c r="A326" s="22" t="inlineStr">
        <is>
          <r>
            <t xml:space="preserve">I0040</t>
          </r>
        </is>
      </c>
      <c r="B326" s="23" t="inlineStr">
        <is>
          <r>
            <t xml:space="preserve">AJUDANTE DE ARMADOR/FERREIRO</t>
          </r>
        </is>
      </c>
      <c r="C326" s="22" t="inlineStr">
        <is>
          <r>
            <t xml:space="preserve">SEINFRA</t>
          </r>
        </is>
      </c>
      <c r="D326" s="22" t="inlineStr">
        <is>
          <r>
            <t xml:space="preserve">H</t>
          </r>
        </is>
      </c>
      <c r="E326" s="24" t="n">
        <v>0.1</v>
      </c>
      <c r="F326" s="30" t="n">
        <v>19.1</v>
      </c>
      <c r="G326" s="30" t="n">
        <f>ROUND(ROUND(E326,8)*F326,4)</f>
        <v>1.91</v>
      </c>
    </row>
    <row r="327" customHeight="1" ht="15">
      <c r="A327" s="22" t="inlineStr">
        <is>
          <r>
            <t xml:space="preserve">I0121</t>
          </r>
        </is>
      </c>
      <c r="B327" s="23" t="inlineStr">
        <is>
          <r>
            <t xml:space="preserve">ARMADOR/FERREIRO</t>
          </r>
        </is>
      </c>
      <c r="C327" s="22" t="inlineStr">
        <is>
          <r>
            <t xml:space="preserve">SEINFRA</t>
          </r>
        </is>
      </c>
      <c r="D327" s="22" t="inlineStr">
        <is>
          <r>
            <t xml:space="preserve">H</t>
          </r>
        </is>
      </c>
      <c r="E327" s="24" t="n">
        <v>0.1</v>
      </c>
      <c r="F327" s="30" t="n">
        <v>24.16</v>
      </c>
      <c r="G327" s="30" t="n">
        <f>ROUND(ROUND(E327,8)*F327,4)</f>
        <v>2.416</v>
      </c>
    </row>
    <row r="328" customHeight="1" ht="15">
      <c r="A328" s="2" t="inlineStr"/>
      <c r="B328" s="2" t="inlineStr"/>
      <c r="C328" s="2" t="inlineStr"/>
      <c r="D328" s="2" t="inlineStr"/>
      <c r="E328" s="26" t="inlineStr">
        <is>
          <r>
            <t xml:space="preserve">TOTAL Mão de Obra:</t>
          </r>
        </is>
      </c>
      <c r="F328" s="26" t="inlineStr"/>
      <c r="G328" s="31" t="n">
        <f>SUM(G326:G327)</f>
        <v>4.326</v>
      </c>
    </row>
    <row r="329" customHeight="1" ht="15">
      <c r="A329" s="2" t="inlineStr"/>
      <c r="B329" s="2" t="inlineStr"/>
      <c r="C329" s="2" t="inlineStr"/>
      <c r="D329" s="2" t="inlineStr"/>
      <c r="E329" s="28" t="inlineStr">
        <is>
          <r>
            <t xml:space="preserve">VALOR:</t>
          </r>
        </is>
      </c>
      <c r="F329" s="28" t="inlineStr"/>
      <c r="G329" s="29" t="n">
        <f>ROUND(SUM(G324,G328),2)</f>
        <v>12.99</v>
      </c>
    </row>
    <row r="330" customHeight="1" ht="15">
      <c r="A330" s="2" t="inlineStr"/>
      <c r="B330" s="2" t="inlineStr"/>
      <c r="C330" s="2" t="inlineStr"/>
      <c r="D330" s="2" t="inlineStr"/>
      <c r="E330" s="28" t="inlineStr">
        <is>
          <r>
            <t xml:space="preserve">VALOR BDI:</t>
          </r>
        </is>
      </c>
      <c r="F330" s="28" t="inlineStr"/>
      <c r="G330" s="29" t="n">
        <f>ROUND(G329*(0/100),2)</f>
        <v>0.0</v>
      </c>
    </row>
    <row r="331" customHeight="1" ht="15">
      <c r="A331" s="2" t="inlineStr"/>
      <c r="B331" s="2" t="inlineStr"/>
      <c r="C331" s="2" t="inlineStr"/>
      <c r="D331" s="2" t="inlineStr"/>
      <c r="E331" s="28" t="inlineStr">
        <is>
          <r>
            <t xml:space="preserve">VALOR COM BDI:</t>
          </r>
        </is>
      </c>
      <c r="F331" s="28" t="inlineStr"/>
      <c r="G331" s="29" t="n">
        <f>G330+G329</f>
        <v>12.99</v>
      </c>
    </row>
    <row r="332" customHeight="1" ht="10">
      <c r="A332" s="2" t="inlineStr"/>
      <c r="B332" s="2" t="inlineStr"/>
      <c r="C332" s="2" t="inlineStr"/>
      <c r="D332" s="2" t="inlineStr"/>
      <c r="E332" s="18" t="inlineStr"/>
      <c r="F332" s="18" t="inlineStr"/>
      <c r="G332" s="18" t="inlineStr"/>
    </row>
    <row r="333" customHeight="1" ht="20">
      <c r="A333" s="19" t="inlineStr">
        <is>
          <r>
            <t xml:space="preserve">1.3.2.6.3. ​C0216​ ARMADURA CA-50A MÉDIA D= 6,3 A 10,0mm​ (KG)</t>
          </r>
        </is>
      </c>
      <c r="B333" s="19" t="inlineStr"/>
      <c r="C333" s="19" t="inlineStr"/>
      <c r="D333" s="19" t="inlineStr"/>
      <c r="E333" s="19" t="inlineStr"/>
      <c r="F333" s="19" t="inlineStr"/>
      <c r="G333" s="19" t="inlineStr"/>
    </row>
    <row r="334" customHeight="1" ht="15">
      <c r="A334" s="20" t="inlineStr">
        <is>
          <r>
            <t xml:space="preserve">Material</t>
          </r>
        </is>
      </c>
      <c r="B334" s="20" t="inlineStr"/>
      <c r="C334" s="21" t="inlineStr">
        <is>
          <r>
            <t xml:space="preserve">FONTE</t>
          </r>
        </is>
      </c>
      <c r="D334" s="21" t="inlineStr">
        <is>
          <r>
            <t xml:space="preserve">UNID</t>
          </r>
        </is>
      </c>
      <c r="E334" s="21" t="inlineStr">
        <is>
          <r>
            <t xml:space="preserve">COEFICIENTE</t>
          </r>
        </is>
      </c>
      <c r="F334" s="21" t="inlineStr">
        <is>
          <r>
            <t xml:space="preserve">PREÇO UNITÁRIO</t>
          </r>
        </is>
      </c>
      <c r="G334" s="21" t="inlineStr">
        <is>
          <r>
            <t xml:space="preserve">TOTAL</t>
          </r>
        </is>
      </c>
    </row>
    <row r="335" customHeight="1" ht="15">
      <c r="A335" s="22" t="inlineStr">
        <is>
          <r>
            <t xml:space="preserve">I0163</t>
          </r>
        </is>
      </c>
      <c r="B335" s="23" t="inlineStr">
        <is>
          <r>
            <t xml:space="preserve">AÇO CA-50</t>
          </r>
        </is>
      </c>
      <c r="C335" s="22" t="inlineStr">
        <is>
          <r>
            <t xml:space="preserve">SEINFRA</t>
          </r>
        </is>
      </c>
      <c r="D335" s="22" t="inlineStr">
        <is>
          <r>
            <t xml:space="preserve">KG</t>
          </r>
        </is>
      </c>
      <c r="E335" s="24" t="n">
        <v>1.15</v>
      </c>
      <c r="F335" s="30" t="n">
        <v>7.1</v>
      </c>
      <c r="G335" s="30" t="n">
        <f>ROUND(ROUND(E335,8)*F335,4)</f>
        <v>8.165</v>
      </c>
    </row>
    <row r="336" customHeight="1" ht="15">
      <c r="A336" s="22" t="inlineStr">
        <is>
          <r>
            <t xml:space="preserve">I0103</t>
          </r>
        </is>
      </c>
      <c r="B336" s="23" t="inlineStr">
        <is>
          <r>
            <t xml:space="preserve">ARAME RECOZIDO N.18 BWG</t>
          </r>
        </is>
      </c>
      <c r="C336" s="22" t="inlineStr">
        <is>
          <r>
            <t xml:space="preserve">SEINFRA</t>
          </r>
        </is>
      </c>
      <c r="D336" s="22" t="inlineStr">
        <is>
          <r>
            <t xml:space="preserve">KG</t>
          </r>
        </is>
      </c>
      <c r="E336" s="24" t="n">
        <v>0.02</v>
      </c>
      <c r="F336" s="30" t="n">
        <v>16.53</v>
      </c>
      <c r="G336" s="30" t="n">
        <f>ROUND(ROUND(E336,8)*F336,4)</f>
        <v>0.3306</v>
      </c>
    </row>
    <row r="337" customHeight="1" ht="15">
      <c r="A337" s="2" t="inlineStr"/>
      <c r="B337" s="2" t="inlineStr"/>
      <c r="C337" s="2" t="inlineStr"/>
      <c r="D337" s="2" t="inlineStr"/>
      <c r="E337" s="26" t="inlineStr">
        <is>
          <r>
            <t xml:space="preserve">TOTAL Material:</t>
          </r>
        </is>
      </c>
      <c r="F337" s="26" t="inlineStr"/>
      <c r="G337" s="31" t="n">
        <f>SUM(G335:G336)</f>
        <v>8.4956</v>
      </c>
    </row>
    <row r="338" customHeight="1" ht="15">
      <c r="A338" s="20" t="inlineStr">
        <is>
          <r>
            <t xml:space="preserve">Mão de Obra</t>
          </r>
        </is>
      </c>
      <c r="B338" s="20" t="inlineStr"/>
      <c r="C338" s="21" t="inlineStr">
        <is>
          <r>
            <t xml:space="preserve">FONTE</t>
          </r>
        </is>
      </c>
      <c r="D338" s="21" t="inlineStr">
        <is>
          <r>
            <t xml:space="preserve">UNID</t>
          </r>
        </is>
      </c>
      <c r="E338" s="21" t="inlineStr">
        <is>
          <r>
            <t xml:space="preserve">COEFICIENTE</t>
          </r>
        </is>
      </c>
      <c r="F338" s="21" t="inlineStr">
        <is>
          <r>
            <t xml:space="preserve">PREÇO UNITÁRIO</t>
          </r>
        </is>
      </c>
      <c r="G338" s="21" t="inlineStr">
        <is>
          <r>
            <t xml:space="preserve">TOTAL</t>
          </r>
        </is>
      </c>
    </row>
    <row r="339" customHeight="1" ht="15">
      <c r="A339" s="22" t="inlineStr">
        <is>
          <r>
            <t xml:space="preserve">I0040</t>
          </r>
        </is>
      </c>
      <c r="B339" s="23" t="inlineStr">
        <is>
          <r>
            <t xml:space="preserve">AJUDANTE DE ARMADOR/FERREIRO</t>
          </r>
        </is>
      </c>
      <c r="C339" s="22" t="inlineStr">
        <is>
          <r>
            <t xml:space="preserve">SEINFRA</t>
          </r>
        </is>
      </c>
      <c r="D339" s="22" t="inlineStr">
        <is>
          <r>
            <t xml:space="preserve">H</t>
          </r>
        </is>
      </c>
      <c r="E339" s="24" t="n">
        <v>0.08</v>
      </c>
      <c r="F339" s="30" t="n">
        <v>19.1</v>
      </c>
      <c r="G339" s="30" t="n">
        <f>ROUND(ROUND(E339,8)*F339,4)</f>
        <v>1.528</v>
      </c>
    </row>
    <row r="340" customHeight="1" ht="15">
      <c r="A340" s="22" t="inlineStr">
        <is>
          <r>
            <t xml:space="preserve">I0121</t>
          </r>
        </is>
      </c>
      <c r="B340" s="23" t="inlineStr">
        <is>
          <r>
            <t xml:space="preserve">ARMADOR/FERREIRO</t>
          </r>
        </is>
      </c>
      <c r="C340" s="22" t="inlineStr">
        <is>
          <r>
            <t xml:space="preserve">SEINFRA</t>
          </r>
        </is>
      </c>
      <c r="D340" s="22" t="inlineStr">
        <is>
          <r>
            <t xml:space="preserve">H</t>
          </r>
        </is>
      </c>
      <c r="E340" s="24" t="n">
        <v>0.08</v>
      </c>
      <c r="F340" s="30" t="n">
        <v>24.16</v>
      </c>
      <c r="G340" s="30" t="n">
        <f>ROUND(ROUND(E340,8)*F340,4)</f>
        <v>1.9328</v>
      </c>
    </row>
    <row r="341" customHeight="1" ht="15">
      <c r="A341" s="2" t="inlineStr"/>
      <c r="B341" s="2" t="inlineStr"/>
      <c r="C341" s="2" t="inlineStr"/>
      <c r="D341" s="2" t="inlineStr"/>
      <c r="E341" s="26" t="inlineStr">
        <is>
          <r>
            <t xml:space="preserve">TOTAL Mão de Obra:</t>
          </r>
        </is>
      </c>
      <c r="F341" s="26" t="inlineStr"/>
      <c r="G341" s="31" t="n">
        <f>SUM(G339:G340)</f>
        <v>3.4608</v>
      </c>
    </row>
    <row r="342" customHeight="1" ht="15">
      <c r="A342" s="2" t="inlineStr"/>
      <c r="B342" s="2" t="inlineStr"/>
      <c r="C342" s="2" t="inlineStr"/>
      <c r="D342" s="2" t="inlineStr"/>
      <c r="E342" s="28" t="inlineStr">
        <is>
          <r>
            <t xml:space="preserve">VALOR:</t>
          </r>
        </is>
      </c>
      <c r="F342" s="28" t="inlineStr"/>
      <c r="G342" s="29" t="n">
        <f>ROUND(SUM(G337,G341),2)</f>
        <v>11.96</v>
      </c>
    </row>
    <row r="343" customHeight="1" ht="15">
      <c r="A343" s="2" t="inlineStr"/>
      <c r="B343" s="2" t="inlineStr"/>
      <c r="C343" s="2" t="inlineStr"/>
      <c r="D343" s="2" t="inlineStr"/>
      <c r="E343" s="28" t="inlineStr">
        <is>
          <r>
            <t xml:space="preserve">VALOR BDI:</t>
          </r>
        </is>
      </c>
      <c r="F343" s="28" t="inlineStr"/>
      <c r="G343" s="29" t="n">
        <f>ROUND(G342*(0/100),2)</f>
        <v>0.0</v>
      </c>
    </row>
    <row r="344" customHeight="1" ht="15">
      <c r="A344" s="2" t="inlineStr"/>
      <c r="B344" s="2" t="inlineStr"/>
      <c r="C344" s="2" t="inlineStr"/>
      <c r="D344" s="2" t="inlineStr"/>
      <c r="E344" s="28" t="inlineStr">
        <is>
          <r>
            <t xml:space="preserve">VALOR COM BDI:</t>
          </r>
        </is>
      </c>
      <c r="F344" s="28" t="inlineStr"/>
      <c r="G344" s="29" t="n">
        <f>G343+G342</f>
        <v>11.96</v>
      </c>
    </row>
    <row r="345" customHeight="1" ht="10">
      <c r="A345" s="2" t="inlineStr"/>
      <c r="B345" s="2" t="inlineStr"/>
      <c r="C345" s="2" t="inlineStr"/>
      <c r="D345" s="2" t="inlineStr"/>
      <c r="E345" s="18" t="inlineStr"/>
      <c r="F345" s="18" t="inlineStr"/>
      <c r="G345" s="18" t="inlineStr"/>
    </row>
    <row r="346" customHeight="1" ht="20">
      <c r="A346" s="19" t="inlineStr">
        <is>
          <r>
            <t xml:space="preserve">1.3.2.6.4. ​C3991​ FORMA PLANA CHAPA COMPENSADA PLASTIFICADA, ESP.= 18mm UTIL. 5X​ (M2)</t>
          </r>
        </is>
      </c>
      <c r="B346" s="19" t="inlineStr"/>
      <c r="C346" s="19" t="inlineStr"/>
      <c r="D346" s="19" t="inlineStr"/>
      <c r="E346" s="19" t="inlineStr"/>
      <c r="F346" s="19" t="inlineStr"/>
      <c r="G346" s="19" t="inlineStr"/>
    </row>
    <row r="347" customHeight="1" ht="15">
      <c r="A347" s="20" t="inlineStr">
        <is>
          <r>
            <t xml:space="preserve">Material</t>
          </r>
        </is>
      </c>
      <c r="B347" s="20" t="inlineStr"/>
      <c r="C347" s="21" t="inlineStr">
        <is>
          <r>
            <t xml:space="preserve">FONTE</t>
          </r>
        </is>
      </c>
      <c r="D347" s="21" t="inlineStr">
        <is>
          <r>
            <t xml:space="preserve">UNID</t>
          </r>
        </is>
      </c>
      <c r="E347" s="21" t="inlineStr">
        <is>
          <r>
            <t xml:space="preserve">COEFICIENTE</t>
          </r>
        </is>
      </c>
      <c r="F347" s="21" t="inlineStr">
        <is>
          <r>
            <t xml:space="preserve">PREÇO UNITÁRIO</t>
          </r>
        </is>
      </c>
      <c r="G347" s="21" t="inlineStr">
        <is>
          <r>
            <t xml:space="preserve">TOTAL</t>
          </r>
        </is>
      </c>
    </row>
    <row r="348" customHeight="1" ht="15">
      <c r="A348" s="22" t="inlineStr">
        <is>
          <r>
            <t xml:space="preserve">I0524</t>
          </r>
        </is>
      </c>
      <c r="B348" s="23" t="inlineStr">
        <is>
          <r>
            <t xml:space="preserve">CHAPA COMPENSADA PLASTIFICADA 18MM (1.22 X 2.44M)</t>
          </r>
        </is>
      </c>
      <c r="C348" s="22" t="inlineStr">
        <is>
          <r>
            <t xml:space="preserve">SEINFRA</t>
          </r>
        </is>
      </c>
      <c r="D348" s="22" t="inlineStr">
        <is>
          <r>
            <t xml:space="preserve">M2</t>
          </r>
        </is>
      </c>
      <c r="E348" s="24" t="n">
        <v>0.26</v>
      </c>
      <c r="F348" s="30" t="n">
        <v>83.15</v>
      </c>
      <c r="G348" s="30" t="n">
        <f>ROUND(ROUND(E348,8)*F348,4)</f>
        <v>21.619</v>
      </c>
    </row>
    <row r="349" customHeight="1" ht="15">
      <c r="A349" s="22" t="inlineStr">
        <is>
          <r>
            <t xml:space="preserve">I1691</t>
          </r>
        </is>
      </c>
      <c r="B349" s="23" t="inlineStr">
        <is>
          <r>
            <t xml:space="preserve">PONTALETE / BARROTE DE 3"x3"</t>
          </r>
        </is>
      </c>
      <c r="C349" s="22" t="inlineStr">
        <is>
          <r>
            <t xml:space="preserve">SEINFRA</t>
          </r>
        </is>
      </c>
      <c r="D349" s="22" t="inlineStr">
        <is>
          <r>
            <t xml:space="preserve">M</t>
          </r>
        </is>
      </c>
      <c r="E349" s="24" t="n">
        <v>1.2</v>
      </c>
      <c r="F349" s="30" t="n">
        <v>16.09</v>
      </c>
      <c r="G349" s="30" t="n">
        <f>ROUND(ROUND(E349,8)*F349,4)</f>
        <v>19.308</v>
      </c>
    </row>
    <row r="350" customHeight="1" ht="21">
      <c r="A350" s="22" t="inlineStr">
        <is>
          <r>
            <t xml:space="preserve">I2408</t>
          </r>
        </is>
      </c>
      <c r="B350" s="23" t="inlineStr">
        <is>
          <r>
            <t xml:space="preserve">PREGO 14X18 (1.1/2" x 14) (APROXIMADAMENTE 708UN/KG)</t>
          </r>
        </is>
      </c>
      <c r="C350" s="22" t="inlineStr">
        <is>
          <r>
            <t xml:space="preserve">SEINFRA</t>
          </r>
        </is>
      </c>
      <c r="D350" s="22" t="inlineStr">
        <is>
          <r>
            <t xml:space="preserve">KG</t>
          </r>
        </is>
      </c>
      <c r="E350" s="24" t="n">
        <v>0.25</v>
      </c>
      <c r="F350" s="30" t="n">
        <v>17.23</v>
      </c>
      <c r="G350" s="30" t="n">
        <f>ROUND(ROUND(E350,8)*F350,4)</f>
        <v>4.3075</v>
      </c>
    </row>
    <row r="351" customHeight="1" ht="15">
      <c r="A351" s="22" t="inlineStr">
        <is>
          <r>
            <t xml:space="preserve">I1846</t>
          </r>
        </is>
      </c>
      <c r="B351" s="23" t="inlineStr">
        <is>
          <r>
            <t xml:space="preserve">SARRAFO DE 1"X4"</t>
          </r>
        </is>
      </c>
      <c r="C351" s="22" t="inlineStr">
        <is>
          <r>
            <t xml:space="preserve">SEINFRA</t>
          </r>
        </is>
      </c>
      <c r="D351" s="22" t="inlineStr">
        <is>
          <r>
            <t xml:space="preserve">M</t>
          </r>
        </is>
      </c>
      <c r="E351" s="24" t="n">
        <v>1.53</v>
      </c>
      <c r="F351" s="30" t="n">
        <v>6.05</v>
      </c>
      <c r="G351" s="30" t="n">
        <f>ROUND(ROUND(E351,8)*F351,4)</f>
        <v>9.2565</v>
      </c>
    </row>
    <row r="352" customHeight="1" ht="15">
      <c r="A352" s="22" t="inlineStr">
        <is>
          <r>
            <t xml:space="preserve">I1916</t>
          </r>
        </is>
      </c>
      <c r="B352" s="23" t="inlineStr">
        <is>
          <r>
            <t xml:space="preserve">TABUA DE 1" DE 3A. - L = 30cm</t>
          </r>
        </is>
      </c>
      <c r="C352" s="22" t="inlineStr">
        <is>
          <r>
            <t xml:space="preserve">SEINFRA</t>
          </r>
        </is>
      </c>
      <c r="D352" s="22" t="inlineStr">
        <is>
          <r>
            <t xml:space="preserve">M</t>
          </r>
        </is>
      </c>
      <c r="E352" s="24" t="n">
        <v>1.17</v>
      </c>
      <c r="F352" s="30" t="n">
        <v>12.77</v>
      </c>
      <c r="G352" s="30" t="n">
        <f>ROUND(ROUND(E352,8)*F352,4)</f>
        <v>14.9409</v>
      </c>
    </row>
    <row r="353" customHeight="1" ht="15">
      <c r="A353" s="2" t="inlineStr"/>
      <c r="B353" s="2" t="inlineStr"/>
      <c r="C353" s="2" t="inlineStr"/>
      <c r="D353" s="2" t="inlineStr"/>
      <c r="E353" s="26" t="inlineStr">
        <is>
          <r>
            <t xml:space="preserve">TOTAL Material:</t>
          </r>
        </is>
      </c>
      <c r="F353" s="26" t="inlineStr"/>
      <c r="G353" s="31" t="n">
        <f>SUM(G348:G352)</f>
        <v>69.4319</v>
      </c>
    </row>
    <row r="354" customHeight="1" ht="15">
      <c r="A354" s="20" t="inlineStr">
        <is>
          <r>
            <t xml:space="preserve">Mão de Obra</t>
          </r>
        </is>
      </c>
      <c r="B354" s="20" t="inlineStr"/>
      <c r="C354" s="21" t="inlineStr">
        <is>
          <r>
            <t xml:space="preserve">FONTE</t>
          </r>
        </is>
      </c>
      <c r="D354" s="21" t="inlineStr">
        <is>
          <r>
            <t xml:space="preserve">UNID</t>
          </r>
        </is>
      </c>
      <c r="E354" s="21" t="inlineStr">
        <is>
          <r>
            <t xml:space="preserve">COEFICIENTE</t>
          </r>
        </is>
      </c>
      <c r="F354" s="21" t="inlineStr">
        <is>
          <r>
            <t xml:space="preserve">PREÇO UNITÁRIO</t>
          </r>
        </is>
      </c>
      <c r="G354" s="21" t="inlineStr">
        <is>
          <r>
            <t xml:space="preserve">TOTAL</t>
          </r>
        </is>
      </c>
    </row>
    <row r="355" customHeight="1" ht="15">
      <c r="A355" s="22" t="inlineStr">
        <is>
          <r>
            <t xml:space="preserve">I0041</t>
          </r>
        </is>
      </c>
      <c r="B355" s="23" t="inlineStr">
        <is>
          <r>
            <t xml:space="preserve">AJUDANTE DE CARPINTEIRO</t>
          </r>
        </is>
      </c>
      <c r="C355" s="22" t="inlineStr">
        <is>
          <r>
            <t xml:space="preserve">SEINFRA</t>
          </r>
        </is>
      </c>
      <c r="D355" s="22" t="inlineStr">
        <is>
          <r>
            <t xml:space="preserve">H</t>
          </r>
        </is>
      </c>
      <c r="E355" s="24" t="n">
        <v>1.35</v>
      </c>
      <c r="F355" s="30" t="n">
        <v>19.1</v>
      </c>
      <c r="G355" s="30" t="n">
        <f>ROUND(ROUND(E355,8)*F355,4)</f>
        <v>25.785</v>
      </c>
    </row>
    <row r="356" customHeight="1" ht="15">
      <c r="A356" s="22" t="inlineStr">
        <is>
          <r>
            <t xml:space="preserve">I0498</t>
          </r>
        </is>
      </c>
      <c r="B356" s="23" t="inlineStr">
        <is>
          <r>
            <t xml:space="preserve">CARPINTEIRO</t>
          </r>
        </is>
      </c>
      <c r="C356" s="22" t="inlineStr">
        <is>
          <r>
            <t xml:space="preserve">SEINFRA</t>
          </r>
        </is>
      </c>
      <c r="D356" s="22" t="inlineStr">
        <is>
          <r>
            <t xml:space="preserve">H</t>
          </r>
        </is>
      </c>
      <c r="E356" s="24" t="n">
        <v>1.35</v>
      </c>
      <c r="F356" s="30" t="n">
        <v>24.16</v>
      </c>
      <c r="G356" s="30" t="n">
        <f>ROUND(ROUND(E356,8)*F356,4)</f>
        <v>32.616</v>
      </c>
    </row>
    <row r="357" customHeight="1" ht="15">
      <c r="A357" s="2" t="inlineStr"/>
      <c r="B357" s="2" t="inlineStr"/>
      <c r="C357" s="2" t="inlineStr"/>
      <c r="D357" s="2" t="inlineStr"/>
      <c r="E357" s="26" t="inlineStr">
        <is>
          <r>
            <t xml:space="preserve">TOTAL Mão de Obra:</t>
          </r>
        </is>
      </c>
      <c r="F357" s="26" t="inlineStr"/>
      <c r="G357" s="31" t="n">
        <f>SUM(G355:G356)</f>
        <v>58.401</v>
      </c>
    </row>
    <row r="358" customHeight="1" ht="15">
      <c r="A358" s="2" t="inlineStr"/>
      <c r="B358" s="2" t="inlineStr"/>
      <c r="C358" s="2" t="inlineStr"/>
      <c r="D358" s="2" t="inlineStr"/>
      <c r="E358" s="28" t="inlineStr">
        <is>
          <r>
            <t xml:space="preserve">VALOR:</t>
          </r>
        </is>
      </c>
      <c r="F358" s="28" t="inlineStr"/>
      <c r="G358" s="29" t="n">
        <f>ROUND(SUM(G353,G357),2)</f>
        <v>127.83</v>
      </c>
    </row>
    <row r="359" customHeight="1" ht="15">
      <c r="A359" s="2" t="inlineStr"/>
      <c r="B359" s="2" t="inlineStr"/>
      <c r="C359" s="2" t="inlineStr"/>
      <c r="D359" s="2" t="inlineStr"/>
      <c r="E359" s="28" t="inlineStr">
        <is>
          <r>
            <t xml:space="preserve">VALOR BDI:</t>
          </r>
        </is>
      </c>
      <c r="F359" s="28" t="inlineStr"/>
      <c r="G359" s="29" t="n">
        <f>ROUND(G358*(0/100),2)</f>
        <v>0.0</v>
      </c>
    </row>
    <row r="360" customHeight="1" ht="15">
      <c r="A360" s="2" t="inlineStr"/>
      <c r="B360" s="2" t="inlineStr"/>
      <c r="C360" s="2" t="inlineStr"/>
      <c r="D360" s="2" t="inlineStr"/>
      <c r="E360" s="28" t="inlineStr">
        <is>
          <r>
            <t xml:space="preserve">VALOR COM BDI:</t>
          </r>
        </is>
      </c>
      <c r="F360" s="28" t="inlineStr"/>
      <c r="G360" s="29" t="n">
        <f>G359+G358</f>
        <v>127.83</v>
      </c>
    </row>
    <row r="361" customHeight="1" ht="10">
      <c r="A361" s="2" t="inlineStr"/>
      <c r="B361" s="2" t="inlineStr"/>
      <c r="C361" s="2" t="inlineStr"/>
      <c r="D361" s="2" t="inlineStr"/>
      <c r="E361" s="18" t="inlineStr"/>
      <c r="F361" s="18" t="inlineStr"/>
      <c r="G361" s="18" t="inlineStr"/>
    </row>
    <row r="362" customHeight="1" ht="20">
      <c r="A362" s="19" t="inlineStr">
        <is>
          <r>
            <t xml:space="preserve">1.3.2.6.5. ​C1603​ LANÇAMENTO E APLICAÇÃO DE CONCRETO C/ ELEVAÇÃO​ (M3)</t>
          </r>
        </is>
      </c>
      <c r="B362" s="19" t="inlineStr"/>
      <c r="C362" s="19" t="inlineStr"/>
      <c r="D362" s="19" t="inlineStr"/>
      <c r="E362" s="19" t="inlineStr"/>
      <c r="F362" s="19" t="inlineStr"/>
      <c r="G362" s="19" t="inlineStr"/>
    </row>
    <row r="363" customHeight="1" ht="15">
      <c r="A363" s="20" t="inlineStr">
        <is>
          <r>
            <t xml:space="preserve">Mão de Obra</t>
          </r>
        </is>
      </c>
      <c r="B363" s="20" t="inlineStr"/>
      <c r="C363" s="21" t="inlineStr">
        <is>
          <r>
            <t xml:space="preserve">FONTE</t>
          </r>
        </is>
      </c>
      <c r="D363" s="21" t="inlineStr">
        <is>
          <r>
            <t xml:space="preserve">UNID</t>
          </r>
        </is>
      </c>
      <c r="E363" s="21" t="inlineStr">
        <is>
          <r>
            <t xml:space="preserve">COEFICIENTE</t>
          </r>
        </is>
      </c>
      <c r="F363" s="21" t="inlineStr">
        <is>
          <r>
            <t xml:space="preserve">PREÇO UNITÁRIO</t>
          </r>
        </is>
      </c>
      <c r="G363" s="21" t="inlineStr">
        <is>
          <r>
            <t xml:space="preserve">TOTAL</t>
          </r>
        </is>
      </c>
    </row>
    <row r="364" customHeight="1" ht="15">
      <c r="A364" s="22" t="inlineStr">
        <is>
          <r>
            <t xml:space="preserve">I2391</t>
          </r>
        </is>
      </c>
      <c r="B364" s="23" t="inlineStr">
        <is>
          <r>
            <t xml:space="preserve">PEDREIRO</t>
          </r>
        </is>
      </c>
      <c r="C364" s="22" t="inlineStr">
        <is>
          <r>
            <t xml:space="preserve">SEINFRA</t>
          </r>
        </is>
      </c>
      <c r="D364" s="22" t="inlineStr">
        <is>
          <r>
            <t xml:space="preserve">H</t>
          </r>
        </is>
      </c>
      <c r="E364" s="24" t="n">
        <v>5.0</v>
      </c>
      <c r="F364" s="30" t="n">
        <v>24.16</v>
      </c>
      <c r="G364" s="30" t="n">
        <f>ROUND(ROUND(E364,8)*F364,4)</f>
        <v>120.8</v>
      </c>
    </row>
    <row r="365" customHeight="1" ht="15">
      <c r="A365" s="22" t="inlineStr">
        <is>
          <r>
            <t xml:space="preserve">I2543</t>
          </r>
        </is>
      </c>
      <c r="B365" s="23" t="inlineStr">
        <is>
          <r>
            <t xml:space="preserve">SERVENTE</t>
          </r>
        </is>
      </c>
      <c r="C365" s="22" t="inlineStr">
        <is>
          <r>
            <t xml:space="preserve">SEINFRA</t>
          </r>
        </is>
      </c>
      <c r="D365" s="22" t="inlineStr">
        <is>
          <r>
            <t xml:space="preserve">H</t>
          </r>
        </is>
      </c>
      <c r="E365" s="24" t="n">
        <v>8.0</v>
      </c>
      <c r="F365" s="30" t="n">
        <v>18.46</v>
      </c>
      <c r="G365" s="30" t="n">
        <f>ROUND(ROUND(E365,8)*F365,4)</f>
        <v>147.68</v>
      </c>
    </row>
    <row r="366" customHeight="1" ht="15">
      <c r="A366" s="2" t="inlineStr"/>
      <c r="B366" s="2" t="inlineStr"/>
      <c r="C366" s="2" t="inlineStr"/>
      <c r="D366" s="2" t="inlineStr"/>
      <c r="E366" s="26" t="inlineStr">
        <is>
          <r>
            <t xml:space="preserve">TOTAL Mão de Obra:</t>
          </r>
        </is>
      </c>
      <c r="F366" s="26" t="inlineStr"/>
      <c r="G366" s="31" t="n">
        <f>SUM(G364:G365)</f>
        <v>268.48</v>
      </c>
    </row>
    <row r="367" customHeight="1" ht="15">
      <c r="A367" s="2" t="inlineStr"/>
      <c r="B367" s="2" t="inlineStr"/>
      <c r="C367" s="2" t="inlineStr"/>
      <c r="D367" s="2" t="inlineStr"/>
      <c r="E367" s="28" t="inlineStr">
        <is>
          <r>
            <t xml:space="preserve">VALOR:</t>
          </r>
        </is>
      </c>
      <c r="F367" s="28" t="inlineStr"/>
      <c r="G367" s="29" t="n">
        <f>ROUND(SUM(G366),2)</f>
        <v>268.48</v>
      </c>
    </row>
    <row r="368" customHeight="1" ht="15">
      <c r="A368" s="2" t="inlineStr"/>
      <c r="B368" s="2" t="inlineStr"/>
      <c r="C368" s="2" t="inlineStr"/>
      <c r="D368" s="2" t="inlineStr"/>
      <c r="E368" s="28" t="inlineStr">
        <is>
          <r>
            <t xml:space="preserve">VALOR BDI:</t>
          </r>
        </is>
      </c>
      <c r="F368" s="28" t="inlineStr"/>
      <c r="G368" s="29" t="n">
        <f>ROUND(G367*(0/100),2)</f>
        <v>0.0</v>
      </c>
    </row>
    <row r="369" customHeight="1" ht="15">
      <c r="A369" s="2" t="inlineStr"/>
      <c r="B369" s="2" t="inlineStr"/>
      <c r="C369" s="2" t="inlineStr"/>
      <c r="D369" s="2" t="inlineStr"/>
      <c r="E369" s="28" t="inlineStr">
        <is>
          <r>
            <t xml:space="preserve">VALOR COM BDI:</t>
          </r>
        </is>
      </c>
      <c r="F369" s="28" t="inlineStr"/>
      <c r="G369" s="29" t="n">
        <f>G368+G367</f>
        <v>268.48</v>
      </c>
    </row>
    <row r="370" customHeight="1" ht="10">
      <c r="A370" s="2" t="inlineStr"/>
      <c r="B370" s="2" t="inlineStr"/>
      <c r="C370" s="2" t="inlineStr"/>
      <c r="D370" s="2" t="inlineStr"/>
      <c r="E370" s="18" t="inlineStr"/>
      <c r="F370" s="18" t="inlineStr"/>
      <c r="G370" s="18" t="inlineStr"/>
    </row>
    <row r="371" customHeight="1" ht="20">
      <c r="A371" s="19" t="inlineStr">
        <is>
          <r>
            <t xml:space="preserve">1.3.2.7.1. ​C0851​ CONCRETO PRE-MISTURADO FCK 30 MPa​ (M3)</t>
          </r>
        </is>
      </c>
      <c r="B371" s="19" t="inlineStr"/>
      <c r="C371" s="19" t="inlineStr"/>
      <c r="D371" s="19" t="inlineStr"/>
      <c r="E371" s="19" t="inlineStr"/>
      <c r="F371" s="19" t="inlineStr"/>
      <c r="G371" s="19" t="inlineStr"/>
    </row>
    <row r="372" customHeight="1" ht="15">
      <c r="A372" s="20" t="inlineStr">
        <is>
          <r>
            <t xml:space="preserve">Material</t>
          </r>
        </is>
      </c>
      <c r="B372" s="20" t="inlineStr"/>
      <c r="C372" s="21" t="inlineStr">
        <is>
          <r>
            <t xml:space="preserve">FONTE</t>
          </r>
        </is>
      </c>
      <c r="D372" s="21" t="inlineStr">
        <is>
          <r>
            <t xml:space="preserve">UNID</t>
          </r>
        </is>
      </c>
      <c r="E372" s="21" t="inlineStr">
        <is>
          <r>
            <t xml:space="preserve">COEFICIENTE</t>
          </r>
        </is>
      </c>
      <c r="F372" s="21" t="inlineStr">
        <is>
          <r>
            <t xml:space="preserve">PREÇO UNITÁRIO</t>
          </r>
        </is>
      </c>
      <c r="G372" s="21" t="inlineStr">
        <is>
          <r>
            <t xml:space="preserve">TOTAL</t>
          </r>
        </is>
      </c>
    </row>
    <row r="373" customHeight="1" ht="15">
      <c r="A373" s="22" t="inlineStr">
        <is>
          <r>
            <t xml:space="preserve">I0829</t>
          </r>
        </is>
      </c>
      <c r="B373" s="23" t="inlineStr">
        <is>
          <r>
            <t xml:space="preserve">CONCRETO USINADO FCK=30 MPA</t>
          </r>
        </is>
      </c>
      <c r="C373" s="22" t="inlineStr">
        <is>
          <r>
            <t xml:space="preserve">SEINFRA</t>
          </r>
        </is>
      </c>
      <c r="D373" s="22" t="inlineStr">
        <is>
          <r>
            <t xml:space="preserve">M3</t>
          </r>
        </is>
      </c>
      <c r="E373" s="24" t="n">
        <v>1.02</v>
      </c>
      <c r="F373" s="30" t="n">
        <v>408.05</v>
      </c>
      <c r="G373" s="30" t="n">
        <f>ROUND(ROUND(E373,8)*F373,4)</f>
        <v>416.211</v>
      </c>
    </row>
    <row r="374" customHeight="1" ht="15">
      <c r="A374" s="2" t="inlineStr"/>
      <c r="B374" s="2" t="inlineStr"/>
      <c r="C374" s="2" t="inlineStr"/>
      <c r="D374" s="2" t="inlineStr"/>
      <c r="E374" s="26" t="inlineStr">
        <is>
          <r>
            <t xml:space="preserve">TOTAL Material:</t>
          </r>
        </is>
      </c>
      <c r="F374" s="26" t="inlineStr"/>
      <c r="G374" s="31" t="n">
        <f>SUM(G373:G373)</f>
        <v>416.211</v>
      </c>
    </row>
    <row r="375" customHeight="1" ht="15">
      <c r="A375" s="2" t="inlineStr"/>
      <c r="B375" s="2" t="inlineStr"/>
      <c r="C375" s="2" t="inlineStr"/>
      <c r="D375" s="2" t="inlineStr"/>
      <c r="E375" s="28" t="inlineStr">
        <is>
          <r>
            <t xml:space="preserve">VALOR:</t>
          </r>
        </is>
      </c>
      <c r="F375" s="28" t="inlineStr"/>
      <c r="G375" s="29" t="n">
        <f>ROUND(SUM(G374),2)</f>
        <v>416.21</v>
      </c>
    </row>
    <row r="376" customHeight="1" ht="15">
      <c r="A376" s="2" t="inlineStr"/>
      <c r="B376" s="2" t="inlineStr"/>
      <c r="C376" s="2" t="inlineStr"/>
      <c r="D376" s="2" t="inlineStr"/>
      <c r="E376" s="28" t="inlineStr">
        <is>
          <r>
            <t xml:space="preserve">VALOR BDI:</t>
          </r>
        </is>
      </c>
      <c r="F376" s="28" t="inlineStr"/>
      <c r="G376" s="29" t="n">
        <f>ROUND(G375*(0/100),2)</f>
        <v>0.0</v>
      </c>
    </row>
    <row r="377" customHeight="1" ht="15">
      <c r="A377" s="2" t="inlineStr"/>
      <c r="B377" s="2" t="inlineStr"/>
      <c r="C377" s="2" t="inlineStr"/>
      <c r="D377" s="2" t="inlineStr"/>
      <c r="E377" s="28" t="inlineStr">
        <is>
          <r>
            <t xml:space="preserve">VALOR COM BDI:</t>
          </r>
        </is>
      </c>
      <c r="F377" s="28" t="inlineStr"/>
      <c r="G377" s="29" t="n">
        <f>G376+G375</f>
        <v>416.21</v>
      </c>
    </row>
    <row r="378" customHeight="1" ht="10">
      <c r="A378" s="2" t="inlineStr"/>
      <c r="B378" s="2" t="inlineStr"/>
      <c r="C378" s="2" t="inlineStr"/>
      <c r="D378" s="2" t="inlineStr"/>
      <c r="E378" s="18" t="inlineStr"/>
      <c r="F378" s="18" t="inlineStr"/>
      <c r="G378" s="18" t="inlineStr"/>
    </row>
    <row r="379" customHeight="1" ht="20">
      <c r="A379" s="19" t="inlineStr">
        <is>
          <r>
            <t xml:space="preserve">1.3.2.7.2. ​C0215​ ARMADURA CA-50A GROSSA D= 12,5 A 25,0mm​ (KG)</t>
          </r>
        </is>
      </c>
      <c r="B379" s="19" t="inlineStr"/>
      <c r="C379" s="19" t="inlineStr"/>
      <c r="D379" s="19" t="inlineStr"/>
      <c r="E379" s="19" t="inlineStr"/>
      <c r="F379" s="19" t="inlineStr"/>
      <c r="G379" s="19" t="inlineStr"/>
    </row>
    <row r="380" customHeight="1" ht="15">
      <c r="A380" s="20" t="inlineStr">
        <is>
          <r>
            <t xml:space="preserve">Material</t>
          </r>
        </is>
      </c>
      <c r="B380" s="20" t="inlineStr"/>
      <c r="C380" s="21" t="inlineStr">
        <is>
          <r>
            <t xml:space="preserve">FONTE</t>
          </r>
        </is>
      </c>
      <c r="D380" s="21" t="inlineStr">
        <is>
          <r>
            <t xml:space="preserve">UNID</t>
          </r>
        </is>
      </c>
      <c r="E380" s="21" t="inlineStr">
        <is>
          <r>
            <t xml:space="preserve">COEFICIENTE</t>
          </r>
        </is>
      </c>
      <c r="F380" s="21" t="inlineStr">
        <is>
          <r>
            <t xml:space="preserve">PREÇO UNITÁRIO</t>
          </r>
        </is>
      </c>
      <c r="G380" s="21" t="inlineStr">
        <is>
          <r>
            <t xml:space="preserve">TOTAL</t>
          </r>
        </is>
      </c>
    </row>
    <row r="381" customHeight="1" ht="15">
      <c r="A381" s="22" t="inlineStr">
        <is>
          <r>
            <t xml:space="preserve">I0163</t>
          </r>
        </is>
      </c>
      <c r="B381" s="23" t="inlineStr">
        <is>
          <r>
            <t xml:space="preserve">AÇO CA-50</t>
          </r>
        </is>
      </c>
      <c r="C381" s="22" t="inlineStr">
        <is>
          <r>
            <t xml:space="preserve">SEINFRA</t>
          </r>
        </is>
      </c>
      <c r="D381" s="22" t="inlineStr">
        <is>
          <r>
            <t xml:space="preserve">KG</t>
          </r>
        </is>
      </c>
      <c r="E381" s="24" t="n">
        <v>1.15</v>
      </c>
      <c r="F381" s="30" t="n">
        <v>7.1</v>
      </c>
      <c r="G381" s="30" t="n">
        <f>ROUND(ROUND(E381,8)*F381,4)</f>
        <v>8.165</v>
      </c>
    </row>
    <row r="382" customHeight="1" ht="15">
      <c r="A382" s="22" t="inlineStr">
        <is>
          <r>
            <t xml:space="preserve">I0103</t>
          </r>
        </is>
      </c>
      <c r="B382" s="23" t="inlineStr">
        <is>
          <r>
            <t xml:space="preserve">ARAME RECOZIDO N.18 BWG</t>
          </r>
        </is>
      </c>
      <c r="C382" s="22" t="inlineStr">
        <is>
          <r>
            <t xml:space="preserve">SEINFRA</t>
          </r>
        </is>
      </c>
      <c r="D382" s="22" t="inlineStr">
        <is>
          <r>
            <t xml:space="preserve">KG</t>
          </r>
        </is>
      </c>
      <c r="E382" s="24" t="n">
        <v>0.03</v>
      </c>
      <c r="F382" s="30" t="n">
        <v>16.53</v>
      </c>
      <c r="G382" s="30" t="n">
        <f>ROUND(ROUND(E382,8)*F382,4)</f>
        <v>0.4959</v>
      </c>
    </row>
    <row r="383" customHeight="1" ht="15">
      <c r="A383" s="2" t="inlineStr"/>
      <c r="B383" s="2" t="inlineStr"/>
      <c r="C383" s="2" t="inlineStr"/>
      <c r="D383" s="2" t="inlineStr"/>
      <c r="E383" s="26" t="inlineStr">
        <is>
          <r>
            <t xml:space="preserve">TOTAL Material:</t>
          </r>
        </is>
      </c>
      <c r="F383" s="26" t="inlineStr"/>
      <c r="G383" s="31" t="n">
        <f>SUM(G381:G382)</f>
        <v>8.6609</v>
      </c>
    </row>
    <row r="384" customHeight="1" ht="15">
      <c r="A384" s="20" t="inlineStr">
        <is>
          <r>
            <t xml:space="preserve">Mão de Obra</t>
          </r>
        </is>
      </c>
      <c r="B384" s="20" t="inlineStr"/>
      <c r="C384" s="21" t="inlineStr">
        <is>
          <r>
            <t xml:space="preserve">FONTE</t>
          </r>
        </is>
      </c>
      <c r="D384" s="21" t="inlineStr">
        <is>
          <r>
            <t xml:space="preserve">UNID</t>
          </r>
        </is>
      </c>
      <c r="E384" s="21" t="inlineStr">
        <is>
          <r>
            <t xml:space="preserve">COEFICIENTE</t>
          </r>
        </is>
      </c>
      <c r="F384" s="21" t="inlineStr">
        <is>
          <r>
            <t xml:space="preserve">PREÇO UNITÁRIO</t>
          </r>
        </is>
      </c>
      <c r="G384" s="21" t="inlineStr">
        <is>
          <r>
            <t xml:space="preserve">TOTAL</t>
          </r>
        </is>
      </c>
    </row>
    <row r="385" customHeight="1" ht="15">
      <c r="A385" s="22" t="inlineStr">
        <is>
          <r>
            <t xml:space="preserve">I0040</t>
          </r>
        </is>
      </c>
      <c r="B385" s="23" t="inlineStr">
        <is>
          <r>
            <t xml:space="preserve">AJUDANTE DE ARMADOR/FERREIRO</t>
          </r>
        </is>
      </c>
      <c r="C385" s="22" t="inlineStr">
        <is>
          <r>
            <t xml:space="preserve">SEINFRA</t>
          </r>
        </is>
      </c>
      <c r="D385" s="22" t="inlineStr">
        <is>
          <r>
            <t xml:space="preserve">H</t>
          </r>
        </is>
      </c>
      <c r="E385" s="24" t="n">
        <v>0.1</v>
      </c>
      <c r="F385" s="30" t="n">
        <v>19.1</v>
      </c>
      <c r="G385" s="30" t="n">
        <f>ROUND(ROUND(E385,8)*F385,4)</f>
        <v>1.91</v>
      </c>
    </row>
    <row r="386" customHeight="1" ht="15">
      <c r="A386" s="22" t="inlineStr">
        <is>
          <r>
            <t xml:space="preserve">I0121</t>
          </r>
        </is>
      </c>
      <c r="B386" s="23" t="inlineStr">
        <is>
          <r>
            <t xml:space="preserve">ARMADOR/FERREIRO</t>
          </r>
        </is>
      </c>
      <c r="C386" s="22" t="inlineStr">
        <is>
          <r>
            <t xml:space="preserve">SEINFRA</t>
          </r>
        </is>
      </c>
      <c r="D386" s="22" t="inlineStr">
        <is>
          <r>
            <t xml:space="preserve">H</t>
          </r>
        </is>
      </c>
      <c r="E386" s="24" t="n">
        <v>0.1</v>
      </c>
      <c r="F386" s="30" t="n">
        <v>24.16</v>
      </c>
      <c r="G386" s="30" t="n">
        <f>ROUND(ROUND(E386,8)*F386,4)</f>
        <v>2.416</v>
      </c>
    </row>
    <row r="387" customHeight="1" ht="15">
      <c r="A387" s="2" t="inlineStr"/>
      <c r="B387" s="2" t="inlineStr"/>
      <c r="C387" s="2" t="inlineStr"/>
      <c r="D387" s="2" t="inlineStr"/>
      <c r="E387" s="26" t="inlineStr">
        <is>
          <r>
            <t xml:space="preserve">TOTAL Mão de Obra:</t>
          </r>
        </is>
      </c>
      <c r="F387" s="26" t="inlineStr"/>
      <c r="G387" s="31" t="n">
        <f>SUM(G385:G386)</f>
        <v>4.326</v>
      </c>
    </row>
    <row r="388" customHeight="1" ht="15">
      <c r="A388" s="2" t="inlineStr"/>
      <c r="B388" s="2" t="inlineStr"/>
      <c r="C388" s="2" t="inlineStr"/>
      <c r="D388" s="2" t="inlineStr"/>
      <c r="E388" s="28" t="inlineStr">
        <is>
          <r>
            <t xml:space="preserve">VALOR:</t>
          </r>
        </is>
      </c>
      <c r="F388" s="28" t="inlineStr"/>
      <c r="G388" s="29" t="n">
        <f>ROUND(SUM(G383,G387),2)</f>
        <v>12.99</v>
      </c>
    </row>
    <row r="389" customHeight="1" ht="15">
      <c r="A389" s="2" t="inlineStr"/>
      <c r="B389" s="2" t="inlineStr"/>
      <c r="C389" s="2" t="inlineStr"/>
      <c r="D389" s="2" t="inlineStr"/>
      <c r="E389" s="28" t="inlineStr">
        <is>
          <r>
            <t xml:space="preserve">VALOR BDI:</t>
          </r>
        </is>
      </c>
      <c r="F389" s="28" t="inlineStr"/>
      <c r="G389" s="29" t="n">
        <f>ROUND(G388*(0/100),2)</f>
        <v>0.0</v>
      </c>
    </row>
    <row r="390" customHeight="1" ht="15">
      <c r="A390" s="2" t="inlineStr"/>
      <c r="B390" s="2" t="inlineStr"/>
      <c r="C390" s="2" t="inlineStr"/>
      <c r="D390" s="2" t="inlineStr"/>
      <c r="E390" s="28" t="inlineStr">
        <is>
          <r>
            <t xml:space="preserve">VALOR COM BDI:</t>
          </r>
        </is>
      </c>
      <c r="F390" s="28" t="inlineStr"/>
      <c r="G390" s="29" t="n">
        <f>G389+G388</f>
        <v>12.99</v>
      </c>
    </row>
    <row r="391" customHeight="1" ht="10">
      <c r="A391" s="2" t="inlineStr"/>
      <c r="B391" s="2" t="inlineStr"/>
      <c r="C391" s="2" t="inlineStr"/>
      <c r="D391" s="2" t="inlineStr"/>
      <c r="E391" s="18" t="inlineStr"/>
      <c r="F391" s="18" t="inlineStr"/>
      <c r="G391" s="18" t="inlineStr"/>
    </row>
    <row r="392" customHeight="1" ht="20">
      <c r="A392" s="19" t="inlineStr">
        <is>
          <r>
            <t xml:space="preserve">1.3.2.7.3. ​C0216​ ARMADURA CA-50A MÉDIA D= 6,3 A 10,0mm​ (KG)</t>
          </r>
        </is>
      </c>
      <c r="B392" s="19" t="inlineStr"/>
      <c r="C392" s="19" t="inlineStr"/>
      <c r="D392" s="19" t="inlineStr"/>
      <c r="E392" s="19" t="inlineStr"/>
      <c r="F392" s="19" t="inlineStr"/>
      <c r="G392" s="19" t="inlineStr"/>
    </row>
    <row r="393" customHeight="1" ht="15">
      <c r="A393" s="20" t="inlineStr">
        <is>
          <r>
            <t xml:space="preserve">Material</t>
          </r>
        </is>
      </c>
      <c r="B393" s="20" t="inlineStr"/>
      <c r="C393" s="21" t="inlineStr">
        <is>
          <r>
            <t xml:space="preserve">FONTE</t>
          </r>
        </is>
      </c>
      <c r="D393" s="21" t="inlineStr">
        <is>
          <r>
            <t xml:space="preserve">UNID</t>
          </r>
        </is>
      </c>
      <c r="E393" s="21" t="inlineStr">
        <is>
          <r>
            <t xml:space="preserve">COEFICIENTE</t>
          </r>
        </is>
      </c>
      <c r="F393" s="21" t="inlineStr">
        <is>
          <r>
            <t xml:space="preserve">PREÇO UNITÁRIO</t>
          </r>
        </is>
      </c>
      <c r="G393" s="21" t="inlineStr">
        <is>
          <r>
            <t xml:space="preserve">TOTAL</t>
          </r>
        </is>
      </c>
    </row>
    <row r="394" customHeight="1" ht="15">
      <c r="A394" s="22" t="inlineStr">
        <is>
          <r>
            <t xml:space="preserve">I0163</t>
          </r>
        </is>
      </c>
      <c r="B394" s="23" t="inlineStr">
        <is>
          <r>
            <t xml:space="preserve">AÇO CA-50</t>
          </r>
        </is>
      </c>
      <c r="C394" s="22" t="inlineStr">
        <is>
          <r>
            <t xml:space="preserve">SEINFRA</t>
          </r>
        </is>
      </c>
      <c r="D394" s="22" t="inlineStr">
        <is>
          <r>
            <t xml:space="preserve">KG</t>
          </r>
        </is>
      </c>
      <c r="E394" s="24" t="n">
        <v>1.15</v>
      </c>
      <c r="F394" s="30" t="n">
        <v>7.1</v>
      </c>
      <c r="G394" s="30" t="n">
        <f>ROUND(ROUND(E394,8)*F394,4)</f>
        <v>8.165</v>
      </c>
    </row>
    <row r="395" customHeight="1" ht="15">
      <c r="A395" s="22" t="inlineStr">
        <is>
          <r>
            <t xml:space="preserve">I0103</t>
          </r>
        </is>
      </c>
      <c r="B395" s="23" t="inlineStr">
        <is>
          <r>
            <t xml:space="preserve">ARAME RECOZIDO N.18 BWG</t>
          </r>
        </is>
      </c>
      <c r="C395" s="22" t="inlineStr">
        <is>
          <r>
            <t xml:space="preserve">SEINFRA</t>
          </r>
        </is>
      </c>
      <c r="D395" s="22" t="inlineStr">
        <is>
          <r>
            <t xml:space="preserve">KG</t>
          </r>
        </is>
      </c>
      <c r="E395" s="24" t="n">
        <v>0.02</v>
      </c>
      <c r="F395" s="30" t="n">
        <v>16.53</v>
      </c>
      <c r="G395" s="30" t="n">
        <f>ROUND(ROUND(E395,8)*F395,4)</f>
        <v>0.3306</v>
      </c>
    </row>
    <row r="396" customHeight="1" ht="15">
      <c r="A396" s="2" t="inlineStr"/>
      <c r="B396" s="2" t="inlineStr"/>
      <c r="C396" s="2" t="inlineStr"/>
      <c r="D396" s="2" t="inlineStr"/>
      <c r="E396" s="26" t="inlineStr">
        <is>
          <r>
            <t xml:space="preserve">TOTAL Material:</t>
          </r>
        </is>
      </c>
      <c r="F396" s="26" t="inlineStr"/>
      <c r="G396" s="31" t="n">
        <f>SUM(G394:G395)</f>
        <v>8.4956</v>
      </c>
    </row>
    <row r="397" customHeight="1" ht="15">
      <c r="A397" s="20" t="inlineStr">
        <is>
          <r>
            <t xml:space="preserve">Mão de Obra</t>
          </r>
        </is>
      </c>
      <c r="B397" s="20" t="inlineStr"/>
      <c r="C397" s="21" t="inlineStr">
        <is>
          <r>
            <t xml:space="preserve">FONTE</t>
          </r>
        </is>
      </c>
      <c r="D397" s="21" t="inlineStr">
        <is>
          <r>
            <t xml:space="preserve">UNID</t>
          </r>
        </is>
      </c>
      <c r="E397" s="21" t="inlineStr">
        <is>
          <r>
            <t xml:space="preserve">COEFICIENTE</t>
          </r>
        </is>
      </c>
      <c r="F397" s="21" t="inlineStr">
        <is>
          <r>
            <t xml:space="preserve">PREÇO UNITÁRIO</t>
          </r>
        </is>
      </c>
      <c r="G397" s="21" t="inlineStr">
        <is>
          <r>
            <t xml:space="preserve">TOTAL</t>
          </r>
        </is>
      </c>
    </row>
    <row r="398" customHeight="1" ht="15">
      <c r="A398" s="22" t="inlineStr">
        <is>
          <r>
            <t xml:space="preserve">I0040</t>
          </r>
        </is>
      </c>
      <c r="B398" s="23" t="inlineStr">
        <is>
          <r>
            <t xml:space="preserve">AJUDANTE DE ARMADOR/FERREIRO</t>
          </r>
        </is>
      </c>
      <c r="C398" s="22" t="inlineStr">
        <is>
          <r>
            <t xml:space="preserve">SEINFRA</t>
          </r>
        </is>
      </c>
      <c r="D398" s="22" t="inlineStr">
        <is>
          <r>
            <t xml:space="preserve">H</t>
          </r>
        </is>
      </c>
      <c r="E398" s="24" t="n">
        <v>0.08</v>
      </c>
      <c r="F398" s="30" t="n">
        <v>19.1</v>
      </c>
      <c r="G398" s="30" t="n">
        <f>ROUND(ROUND(E398,8)*F398,4)</f>
        <v>1.528</v>
      </c>
    </row>
    <row r="399" customHeight="1" ht="15">
      <c r="A399" s="22" t="inlineStr">
        <is>
          <r>
            <t xml:space="preserve">I0121</t>
          </r>
        </is>
      </c>
      <c r="B399" s="23" t="inlineStr">
        <is>
          <r>
            <t xml:space="preserve">ARMADOR/FERREIRO</t>
          </r>
        </is>
      </c>
      <c r="C399" s="22" t="inlineStr">
        <is>
          <r>
            <t xml:space="preserve">SEINFRA</t>
          </r>
        </is>
      </c>
      <c r="D399" s="22" t="inlineStr">
        <is>
          <r>
            <t xml:space="preserve">H</t>
          </r>
        </is>
      </c>
      <c r="E399" s="24" t="n">
        <v>0.08</v>
      </c>
      <c r="F399" s="30" t="n">
        <v>24.16</v>
      </c>
      <c r="G399" s="30" t="n">
        <f>ROUND(ROUND(E399,8)*F399,4)</f>
        <v>1.9328</v>
      </c>
    </row>
    <row r="400" customHeight="1" ht="15">
      <c r="A400" s="2" t="inlineStr"/>
      <c r="B400" s="2" t="inlineStr"/>
      <c r="C400" s="2" t="inlineStr"/>
      <c r="D400" s="2" t="inlineStr"/>
      <c r="E400" s="26" t="inlineStr">
        <is>
          <r>
            <t xml:space="preserve">TOTAL Mão de Obra:</t>
          </r>
        </is>
      </c>
      <c r="F400" s="26" t="inlineStr"/>
      <c r="G400" s="31" t="n">
        <f>SUM(G398:G399)</f>
        <v>3.4608</v>
      </c>
    </row>
    <row r="401" customHeight="1" ht="15">
      <c r="A401" s="2" t="inlineStr"/>
      <c r="B401" s="2" t="inlineStr"/>
      <c r="C401" s="2" t="inlineStr"/>
      <c r="D401" s="2" t="inlineStr"/>
      <c r="E401" s="28" t="inlineStr">
        <is>
          <r>
            <t xml:space="preserve">VALOR:</t>
          </r>
        </is>
      </c>
      <c r="F401" s="28" t="inlineStr"/>
      <c r="G401" s="29" t="n">
        <f>ROUND(SUM(G396,G400),2)</f>
        <v>11.96</v>
      </c>
    </row>
    <row r="402" customHeight="1" ht="15">
      <c r="A402" s="2" t="inlineStr"/>
      <c r="B402" s="2" t="inlineStr"/>
      <c r="C402" s="2" t="inlineStr"/>
      <c r="D402" s="2" t="inlineStr"/>
      <c r="E402" s="28" t="inlineStr">
        <is>
          <r>
            <t xml:space="preserve">VALOR BDI:</t>
          </r>
        </is>
      </c>
      <c r="F402" s="28" t="inlineStr"/>
      <c r="G402" s="29" t="n">
        <f>ROUND(G401*(0/100),2)</f>
        <v>0.0</v>
      </c>
    </row>
    <row r="403" customHeight="1" ht="15">
      <c r="A403" s="2" t="inlineStr"/>
      <c r="B403" s="2" t="inlineStr"/>
      <c r="C403" s="2" t="inlineStr"/>
      <c r="D403" s="2" t="inlineStr"/>
      <c r="E403" s="28" t="inlineStr">
        <is>
          <r>
            <t xml:space="preserve">VALOR COM BDI:</t>
          </r>
        </is>
      </c>
      <c r="F403" s="28" t="inlineStr"/>
      <c r="G403" s="29" t="n">
        <f>G402+G401</f>
        <v>11.96</v>
      </c>
    </row>
    <row r="404" customHeight="1" ht="10">
      <c r="A404" s="2" t="inlineStr"/>
      <c r="B404" s="2" t="inlineStr"/>
      <c r="C404" s="2" t="inlineStr"/>
      <c r="D404" s="2" t="inlineStr"/>
      <c r="E404" s="18" t="inlineStr"/>
      <c r="F404" s="18" t="inlineStr"/>
      <c r="G404" s="18" t="inlineStr"/>
    </row>
    <row r="405" customHeight="1" ht="20">
      <c r="A405" s="19" t="inlineStr">
        <is>
          <r>
            <t xml:space="preserve">1.3.2.7.4. ​C3991​ FORMA PLANA CHAPA COMPENSADA PLASTIFICADA, ESP.= 18mm UTIL. 5X​ (M2)</t>
          </r>
        </is>
      </c>
      <c r="B405" s="19" t="inlineStr"/>
      <c r="C405" s="19" t="inlineStr"/>
      <c r="D405" s="19" t="inlineStr"/>
      <c r="E405" s="19" t="inlineStr"/>
      <c r="F405" s="19" t="inlineStr"/>
      <c r="G405" s="19" t="inlineStr"/>
    </row>
    <row r="406" customHeight="1" ht="15">
      <c r="A406" s="20" t="inlineStr">
        <is>
          <r>
            <t xml:space="preserve">Material</t>
          </r>
        </is>
      </c>
      <c r="B406" s="20" t="inlineStr"/>
      <c r="C406" s="21" t="inlineStr">
        <is>
          <r>
            <t xml:space="preserve">FONTE</t>
          </r>
        </is>
      </c>
      <c r="D406" s="21" t="inlineStr">
        <is>
          <r>
            <t xml:space="preserve">UNID</t>
          </r>
        </is>
      </c>
      <c r="E406" s="21" t="inlineStr">
        <is>
          <r>
            <t xml:space="preserve">COEFICIENTE</t>
          </r>
        </is>
      </c>
      <c r="F406" s="21" t="inlineStr">
        <is>
          <r>
            <t xml:space="preserve">PREÇO UNITÁRIO</t>
          </r>
        </is>
      </c>
      <c r="G406" s="21" t="inlineStr">
        <is>
          <r>
            <t xml:space="preserve">TOTAL</t>
          </r>
        </is>
      </c>
    </row>
    <row r="407" customHeight="1" ht="15">
      <c r="A407" s="22" t="inlineStr">
        <is>
          <r>
            <t xml:space="preserve">I0524</t>
          </r>
        </is>
      </c>
      <c r="B407" s="23" t="inlineStr">
        <is>
          <r>
            <t xml:space="preserve">CHAPA COMPENSADA PLASTIFICADA 18MM (1.22 X 2.44M)</t>
          </r>
        </is>
      </c>
      <c r="C407" s="22" t="inlineStr">
        <is>
          <r>
            <t xml:space="preserve">SEINFRA</t>
          </r>
        </is>
      </c>
      <c r="D407" s="22" t="inlineStr">
        <is>
          <r>
            <t xml:space="preserve">M2</t>
          </r>
        </is>
      </c>
      <c r="E407" s="24" t="n">
        <v>0.26</v>
      </c>
      <c r="F407" s="30" t="n">
        <v>83.15</v>
      </c>
      <c r="G407" s="30" t="n">
        <f>ROUND(ROUND(E407,8)*F407,4)</f>
        <v>21.619</v>
      </c>
    </row>
    <row r="408" customHeight="1" ht="15">
      <c r="A408" s="22" t="inlineStr">
        <is>
          <r>
            <t xml:space="preserve">I1691</t>
          </r>
        </is>
      </c>
      <c r="B408" s="23" t="inlineStr">
        <is>
          <r>
            <t xml:space="preserve">PONTALETE / BARROTE DE 3"x3"</t>
          </r>
        </is>
      </c>
      <c r="C408" s="22" t="inlineStr">
        <is>
          <r>
            <t xml:space="preserve">SEINFRA</t>
          </r>
        </is>
      </c>
      <c r="D408" s="22" t="inlineStr">
        <is>
          <r>
            <t xml:space="preserve">M</t>
          </r>
        </is>
      </c>
      <c r="E408" s="24" t="n">
        <v>1.2</v>
      </c>
      <c r="F408" s="30" t="n">
        <v>16.09</v>
      </c>
      <c r="G408" s="30" t="n">
        <f>ROUND(ROUND(E408,8)*F408,4)</f>
        <v>19.308</v>
      </c>
    </row>
    <row r="409" customHeight="1" ht="21">
      <c r="A409" s="22" t="inlineStr">
        <is>
          <r>
            <t xml:space="preserve">I2408</t>
          </r>
        </is>
      </c>
      <c r="B409" s="23" t="inlineStr">
        <is>
          <r>
            <t xml:space="preserve">PREGO 14X18 (1.1/2" x 14) (APROXIMADAMENTE 708UN/KG)</t>
          </r>
        </is>
      </c>
      <c r="C409" s="22" t="inlineStr">
        <is>
          <r>
            <t xml:space="preserve">SEINFRA</t>
          </r>
        </is>
      </c>
      <c r="D409" s="22" t="inlineStr">
        <is>
          <r>
            <t xml:space="preserve">KG</t>
          </r>
        </is>
      </c>
      <c r="E409" s="24" t="n">
        <v>0.25</v>
      </c>
      <c r="F409" s="30" t="n">
        <v>17.23</v>
      </c>
      <c r="G409" s="30" t="n">
        <f>ROUND(ROUND(E409,8)*F409,4)</f>
        <v>4.3075</v>
      </c>
    </row>
    <row r="410" customHeight="1" ht="15">
      <c r="A410" s="22" t="inlineStr">
        <is>
          <r>
            <t xml:space="preserve">I1846</t>
          </r>
        </is>
      </c>
      <c r="B410" s="23" t="inlineStr">
        <is>
          <r>
            <t xml:space="preserve">SARRAFO DE 1"X4"</t>
          </r>
        </is>
      </c>
      <c r="C410" s="22" t="inlineStr">
        <is>
          <r>
            <t xml:space="preserve">SEINFRA</t>
          </r>
        </is>
      </c>
      <c r="D410" s="22" t="inlineStr">
        <is>
          <r>
            <t xml:space="preserve">M</t>
          </r>
        </is>
      </c>
      <c r="E410" s="24" t="n">
        <v>1.53</v>
      </c>
      <c r="F410" s="30" t="n">
        <v>6.05</v>
      </c>
      <c r="G410" s="30" t="n">
        <f>ROUND(ROUND(E410,8)*F410,4)</f>
        <v>9.2565</v>
      </c>
    </row>
    <row r="411" customHeight="1" ht="15">
      <c r="A411" s="22" t="inlineStr">
        <is>
          <r>
            <t xml:space="preserve">I1916</t>
          </r>
        </is>
      </c>
      <c r="B411" s="23" t="inlineStr">
        <is>
          <r>
            <t xml:space="preserve">TABUA DE 1" DE 3A. - L = 30cm</t>
          </r>
        </is>
      </c>
      <c r="C411" s="22" t="inlineStr">
        <is>
          <r>
            <t xml:space="preserve">SEINFRA</t>
          </r>
        </is>
      </c>
      <c r="D411" s="22" t="inlineStr">
        <is>
          <r>
            <t xml:space="preserve">M</t>
          </r>
        </is>
      </c>
      <c r="E411" s="24" t="n">
        <v>1.17</v>
      </c>
      <c r="F411" s="30" t="n">
        <v>12.77</v>
      </c>
      <c r="G411" s="30" t="n">
        <f>ROUND(ROUND(E411,8)*F411,4)</f>
        <v>14.9409</v>
      </c>
    </row>
    <row r="412" customHeight="1" ht="15">
      <c r="A412" s="2" t="inlineStr"/>
      <c r="B412" s="2" t="inlineStr"/>
      <c r="C412" s="2" t="inlineStr"/>
      <c r="D412" s="2" t="inlineStr"/>
      <c r="E412" s="26" t="inlineStr">
        <is>
          <r>
            <t xml:space="preserve">TOTAL Material:</t>
          </r>
        </is>
      </c>
      <c r="F412" s="26" t="inlineStr"/>
      <c r="G412" s="31" t="n">
        <f>SUM(G407:G411)</f>
        <v>69.4319</v>
      </c>
    </row>
    <row r="413" customHeight="1" ht="15">
      <c r="A413" s="20" t="inlineStr">
        <is>
          <r>
            <t xml:space="preserve">Mão de Obra</t>
          </r>
        </is>
      </c>
      <c r="B413" s="20" t="inlineStr"/>
      <c r="C413" s="21" t="inlineStr">
        <is>
          <r>
            <t xml:space="preserve">FONTE</t>
          </r>
        </is>
      </c>
      <c r="D413" s="21" t="inlineStr">
        <is>
          <r>
            <t xml:space="preserve">UNID</t>
          </r>
        </is>
      </c>
      <c r="E413" s="21" t="inlineStr">
        <is>
          <r>
            <t xml:space="preserve">COEFICIENTE</t>
          </r>
        </is>
      </c>
      <c r="F413" s="21" t="inlineStr">
        <is>
          <r>
            <t xml:space="preserve">PREÇO UNITÁRIO</t>
          </r>
        </is>
      </c>
      <c r="G413" s="21" t="inlineStr">
        <is>
          <r>
            <t xml:space="preserve">TOTAL</t>
          </r>
        </is>
      </c>
    </row>
    <row r="414" customHeight="1" ht="15">
      <c r="A414" s="22" t="inlineStr">
        <is>
          <r>
            <t xml:space="preserve">I0041</t>
          </r>
        </is>
      </c>
      <c r="B414" s="23" t="inlineStr">
        <is>
          <r>
            <t xml:space="preserve">AJUDANTE DE CARPINTEIRO</t>
          </r>
        </is>
      </c>
      <c r="C414" s="22" t="inlineStr">
        <is>
          <r>
            <t xml:space="preserve">SEINFRA</t>
          </r>
        </is>
      </c>
      <c r="D414" s="22" t="inlineStr">
        <is>
          <r>
            <t xml:space="preserve">H</t>
          </r>
        </is>
      </c>
      <c r="E414" s="24" t="n">
        <v>1.35</v>
      </c>
      <c r="F414" s="30" t="n">
        <v>19.1</v>
      </c>
      <c r="G414" s="30" t="n">
        <f>ROUND(ROUND(E414,8)*F414,4)</f>
        <v>25.785</v>
      </c>
    </row>
    <row r="415" customHeight="1" ht="15">
      <c r="A415" s="22" t="inlineStr">
        <is>
          <r>
            <t xml:space="preserve">I0498</t>
          </r>
        </is>
      </c>
      <c r="B415" s="23" t="inlineStr">
        <is>
          <r>
            <t xml:space="preserve">CARPINTEIRO</t>
          </r>
        </is>
      </c>
      <c r="C415" s="22" t="inlineStr">
        <is>
          <r>
            <t xml:space="preserve">SEINFRA</t>
          </r>
        </is>
      </c>
      <c r="D415" s="22" t="inlineStr">
        <is>
          <r>
            <t xml:space="preserve">H</t>
          </r>
        </is>
      </c>
      <c r="E415" s="24" t="n">
        <v>1.35</v>
      </c>
      <c r="F415" s="30" t="n">
        <v>24.16</v>
      </c>
      <c r="G415" s="30" t="n">
        <f>ROUND(ROUND(E415,8)*F415,4)</f>
        <v>32.616</v>
      </c>
    </row>
    <row r="416" customHeight="1" ht="15">
      <c r="A416" s="2" t="inlineStr"/>
      <c r="B416" s="2" t="inlineStr"/>
      <c r="C416" s="2" t="inlineStr"/>
      <c r="D416" s="2" t="inlineStr"/>
      <c r="E416" s="26" t="inlineStr">
        <is>
          <r>
            <t xml:space="preserve">TOTAL Mão de Obra:</t>
          </r>
        </is>
      </c>
      <c r="F416" s="26" t="inlineStr"/>
      <c r="G416" s="31" t="n">
        <f>SUM(G414:G415)</f>
        <v>58.401</v>
      </c>
    </row>
    <row r="417" customHeight="1" ht="15">
      <c r="A417" s="2" t="inlineStr"/>
      <c r="B417" s="2" t="inlineStr"/>
      <c r="C417" s="2" t="inlineStr"/>
      <c r="D417" s="2" t="inlineStr"/>
      <c r="E417" s="28" t="inlineStr">
        <is>
          <r>
            <t xml:space="preserve">VALOR:</t>
          </r>
        </is>
      </c>
      <c r="F417" s="28" t="inlineStr"/>
      <c r="G417" s="29" t="n">
        <f>ROUND(SUM(G412,G416),2)</f>
        <v>127.83</v>
      </c>
    </row>
    <row r="418" customHeight="1" ht="15">
      <c r="A418" s="2" t="inlineStr"/>
      <c r="B418" s="2" t="inlineStr"/>
      <c r="C418" s="2" t="inlineStr"/>
      <c r="D418" s="2" t="inlineStr"/>
      <c r="E418" s="28" t="inlineStr">
        <is>
          <r>
            <t xml:space="preserve">VALOR BDI:</t>
          </r>
        </is>
      </c>
      <c r="F418" s="28" t="inlineStr"/>
      <c r="G418" s="29" t="n">
        <f>ROUND(G417*(0/100),2)</f>
        <v>0.0</v>
      </c>
    </row>
    <row r="419" customHeight="1" ht="15">
      <c r="A419" s="2" t="inlineStr"/>
      <c r="B419" s="2" t="inlineStr"/>
      <c r="C419" s="2" t="inlineStr"/>
      <c r="D419" s="2" t="inlineStr"/>
      <c r="E419" s="28" t="inlineStr">
        <is>
          <r>
            <t xml:space="preserve">VALOR COM BDI:</t>
          </r>
        </is>
      </c>
      <c r="F419" s="28" t="inlineStr"/>
      <c r="G419" s="29" t="n">
        <f>G418+G417</f>
        <v>127.83</v>
      </c>
    </row>
    <row r="420" customHeight="1" ht="10">
      <c r="A420" s="2" t="inlineStr"/>
      <c r="B420" s="2" t="inlineStr"/>
      <c r="C420" s="2" t="inlineStr"/>
      <c r="D420" s="2" t="inlineStr"/>
      <c r="E420" s="18" t="inlineStr"/>
      <c r="F420" s="18" t="inlineStr"/>
      <c r="G420" s="18" t="inlineStr"/>
    </row>
    <row r="421" customHeight="1" ht="20">
      <c r="A421" s="19" t="inlineStr">
        <is>
          <r>
            <t xml:space="preserve">1.3.2.7.5. ​C1603​ LANÇAMENTO E APLICAÇÃO DE CONCRETO C/ ELEVAÇÃO​ (M3)</t>
          </r>
        </is>
      </c>
      <c r="B421" s="19" t="inlineStr"/>
      <c r="C421" s="19" t="inlineStr"/>
      <c r="D421" s="19" t="inlineStr"/>
      <c r="E421" s="19" t="inlineStr"/>
      <c r="F421" s="19" t="inlineStr"/>
      <c r="G421" s="19" t="inlineStr"/>
    </row>
    <row r="422" customHeight="1" ht="15">
      <c r="A422" s="20" t="inlineStr">
        <is>
          <r>
            <t xml:space="preserve">Mão de Obra</t>
          </r>
        </is>
      </c>
      <c r="B422" s="20" t="inlineStr"/>
      <c r="C422" s="21" t="inlineStr">
        <is>
          <r>
            <t xml:space="preserve">FONTE</t>
          </r>
        </is>
      </c>
      <c r="D422" s="21" t="inlineStr">
        <is>
          <r>
            <t xml:space="preserve">UNID</t>
          </r>
        </is>
      </c>
      <c r="E422" s="21" t="inlineStr">
        <is>
          <r>
            <t xml:space="preserve">COEFICIENTE</t>
          </r>
        </is>
      </c>
      <c r="F422" s="21" t="inlineStr">
        <is>
          <r>
            <t xml:space="preserve">PREÇO UNITÁRIO</t>
          </r>
        </is>
      </c>
      <c r="G422" s="21" t="inlineStr">
        <is>
          <r>
            <t xml:space="preserve">TOTAL</t>
          </r>
        </is>
      </c>
    </row>
    <row r="423" customHeight="1" ht="15">
      <c r="A423" s="22" t="inlineStr">
        <is>
          <r>
            <t xml:space="preserve">I2391</t>
          </r>
        </is>
      </c>
      <c r="B423" s="23" t="inlineStr">
        <is>
          <r>
            <t xml:space="preserve">PEDREIRO</t>
          </r>
        </is>
      </c>
      <c r="C423" s="22" t="inlineStr">
        <is>
          <r>
            <t xml:space="preserve">SEINFRA</t>
          </r>
        </is>
      </c>
      <c r="D423" s="22" t="inlineStr">
        <is>
          <r>
            <t xml:space="preserve">H</t>
          </r>
        </is>
      </c>
      <c r="E423" s="24" t="n">
        <v>5.0</v>
      </c>
      <c r="F423" s="30" t="n">
        <v>24.16</v>
      </c>
      <c r="G423" s="30" t="n">
        <f>ROUND(ROUND(E423,8)*F423,4)</f>
        <v>120.8</v>
      </c>
    </row>
    <row r="424" customHeight="1" ht="15">
      <c r="A424" s="22" t="inlineStr">
        <is>
          <r>
            <t xml:space="preserve">I2543</t>
          </r>
        </is>
      </c>
      <c r="B424" s="23" t="inlineStr">
        <is>
          <r>
            <t xml:space="preserve">SERVENTE</t>
          </r>
        </is>
      </c>
      <c r="C424" s="22" t="inlineStr">
        <is>
          <r>
            <t xml:space="preserve">SEINFRA</t>
          </r>
        </is>
      </c>
      <c r="D424" s="22" t="inlineStr">
        <is>
          <r>
            <t xml:space="preserve">H</t>
          </r>
        </is>
      </c>
      <c r="E424" s="24" t="n">
        <v>8.0</v>
      </c>
      <c r="F424" s="30" t="n">
        <v>18.46</v>
      </c>
      <c r="G424" s="30" t="n">
        <f>ROUND(ROUND(E424,8)*F424,4)</f>
        <v>147.68</v>
      </c>
    </row>
    <row r="425" customHeight="1" ht="15">
      <c r="A425" s="2" t="inlineStr"/>
      <c r="B425" s="2" t="inlineStr"/>
      <c r="C425" s="2" t="inlineStr"/>
      <c r="D425" s="2" t="inlineStr"/>
      <c r="E425" s="26" t="inlineStr">
        <is>
          <r>
            <t xml:space="preserve">TOTAL Mão de Obra:</t>
          </r>
        </is>
      </c>
      <c r="F425" s="26" t="inlineStr"/>
      <c r="G425" s="31" t="n">
        <f>SUM(G423:G424)</f>
        <v>268.48</v>
      </c>
    </row>
    <row r="426" customHeight="1" ht="15">
      <c r="A426" s="2" t="inlineStr"/>
      <c r="B426" s="2" t="inlineStr"/>
      <c r="C426" s="2" t="inlineStr"/>
      <c r="D426" s="2" t="inlineStr"/>
      <c r="E426" s="28" t="inlineStr">
        <is>
          <r>
            <t xml:space="preserve">VALOR:</t>
          </r>
        </is>
      </c>
      <c r="F426" s="28" t="inlineStr"/>
      <c r="G426" s="29" t="n">
        <f>ROUND(SUM(G425),2)</f>
        <v>268.48</v>
      </c>
    </row>
    <row r="427" customHeight="1" ht="15">
      <c r="A427" s="2" t="inlineStr"/>
      <c r="B427" s="2" t="inlineStr"/>
      <c r="C427" s="2" t="inlineStr"/>
      <c r="D427" s="2" t="inlineStr"/>
      <c r="E427" s="28" t="inlineStr">
        <is>
          <r>
            <t xml:space="preserve">VALOR BDI:</t>
          </r>
        </is>
      </c>
      <c r="F427" s="28" t="inlineStr"/>
      <c r="G427" s="29" t="n">
        <f>ROUND(G426*(0/100),2)</f>
        <v>0.0</v>
      </c>
    </row>
    <row r="428" customHeight="1" ht="15">
      <c r="A428" s="2" t="inlineStr"/>
      <c r="B428" s="2" t="inlineStr"/>
      <c r="C428" s="2" t="inlineStr"/>
      <c r="D428" s="2" t="inlineStr"/>
      <c r="E428" s="28" t="inlineStr">
        <is>
          <r>
            <t xml:space="preserve">VALOR COM BDI:</t>
          </r>
        </is>
      </c>
      <c r="F428" s="28" t="inlineStr"/>
      <c r="G428" s="29" t="n">
        <f>G427+G426</f>
        <v>268.48</v>
      </c>
    </row>
    <row r="429" customHeight="1" ht="10">
      <c r="A429" s="2" t="inlineStr"/>
      <c r="B429" s="2" t="inlineStr"/>
      <c r="C429" s="2" t="inlineStr"/>
      <c r="D429" s="2" t="inlineStr"/>
      <c r="E429" s="18" t="inlineStr"/>
      <c r="F429" s="18" t="inlineStr"/>
      <c r="G429" s="18" t="inlineStr"/>
    </row>
    <row r="430" customHeight="1" ht="20">
      <c r="A430" s="19" t="inlineStr">
        <is>
          <r>
            <t xml:space="preserve">1.3.2.8.1. ​C0851​ CONCRETO PRE-MISTURADO FCK 30 MPa​ (M3)</t>
          </r>
        </is>
      </c>
      <c r="B430" s="19" t="inlineStr"/>
      <c r="C430" s="19" t="inlineStr"/>
      <c r="D430" s="19" t="inlineStr"/>
      <c r="E430" s="19" t="inlineStr"/>
      <c r="F430" s="19" t="inlineStr"/>
      <c r="G430" s="19" t="inlineStr"/>
    </row>
    <row r="431" customHeight="1" ht="15">
      <c r="A431" s="20" t="inlineStr">
        <is>
          <r>
            <t xml:space="preserve">Material</t>
          </r>
        </is>
      </c>
      <c r="B431" s="20" t="inlineStr"/>
      <c r="C431" s="21" t="inlineStr">
        <is>
          <r>
            <t xml:space="preserve">FONTE</t>
          </r>
        </is>
      </c>
      <c r="D431" s="21" t="inlineStr">
        <is>
          <r>
            <t xml:space="preserve">UNID</t>
          </r>
        </is>
      </c>
      <c r="E431" s="21" t="inlineStr">
        <is>
          <r>
            <t xml:space="preserve">COEFICIENTE</t>
          </r>
        </is>
      </c>
      <c r="F431" s="21" t="inlineStr">
        <is>
          <r>
            <t xml:space="preserve">PREÇO UNITÁRIO</t>
          </r>
        </is>
      </c>
      <c r="G431" s="21" t="inlineStr">
        <is>
          <r>
            <t xml:space="preserve">TOTAL</t>
          </r>
        </is>
      </c>
    </row>
    <row r="432" customHeight="1" ht="15">
      <c r="A432" s="22" t="inlineStr">
        <is>
          <r>
            <t xml:space="preserve">I0829</t>
          </r>
        </is>
      </c>
      <c r="B432" s="23" t="inlineStr">
        <is>
          <r>
            <t xml:space="preserve">CONCRETO USINADO FCK=30 MPA</t>
          </r>
        </is>
      </c>
      <c r="C432" s="22" t="inlineStr">
        <is>
          <r>
            <t xml:space="preserve">SEINFRA</t>
          </r>
        </is>
      </c>
      <c r="D432" s="22" t="inlineStr">
        <is>
          <r>
            <t xml:space="preserve">M3</t>
          </r>
        </is>
      </c>
      <c r="E432" s="24" t="n">
        <v>1.02</v>
      </c>
      <c r="F432" s="30" t="n">
        <v>408.05</v>
      </c>
      <c r="G432" s="30" t="n">
        <f>ROUND(ROUND(E432,8)*F432,4)</f>
        <v>416.211</v>
      </c>
    </row>
    <row r="433" customHeight="1" ht="15">
      <c r="A433" s="2" t="inlineStr"/>
      <c r="B433" s="2" t="inlineStr"/>
      <c r="C433" s="2" t="inlineStr"/>
      <c r="D433" s="2" t="inlineStr"/>
      <c r="E433" s="26" t="inlineStr">
        <is>
          <r>
            <t xml:space="preserve">TOTAL Material:</t>
          </r>
        </is>
      </c>
      <c r="F433" s="26" t="inlineStr"/>
      <c r="G433" s="31" t="n">
        <f>SUM(G432:G432)</f>
        <v>416.211</v>
      </c>
    </row>
    <row r="434" customHeight="1" ht="15">
      <c r="A434" s="2" t="inlineStr"/>
      <c r="B434" s="2" t="inlineStr"/>
      <c r="C434" s="2" t="inlineStr"/>
      <c r="D434" s="2" t="inlineStr"/>
      <c r="E434" s="28" t="inlineStr">
        <is>
          <r>
            <t xml:space="preserve">VALOR:</t>
          </r>
        </is>
      </c>
      <c r="F434" s="28" t="inlineStr"/>
      <c r="G434" s="29" t="n">
        <f>ROUND(SUM(G433),2)</f>
        <v>416.21</v>
      </c>
    </row>
    <row r="435" customHeight="1" ht="15">
      <c r="A435" s="2" t="inlineStr"/>
      <c r="B435" s="2" t="inlineStr"/>
      <c r="C435" s="2" t="inlineStr"/>
      <c r="D435" s="2" t="inlineStr"/>
      <c r="E435" s="28" t="inlineStr">
        <is>
          <r>
            <t xml:space="preserve">VALOR BDI:</t>
          </r>
        </is>
      </c>
      <c r="F435" s="28" t="inlineStr"/>
      <c r="G435" s="29" t="n">
        <f>ROUND(G434*(0/100),2)</f>
        <v>0.0</v>
      </c>
    </row>
    <row r="436" customHeight="1" ht="15">
      <c r="A436" s="2" t="inlineStr"/>
      <c r="B436" s="2" t="inlineStr"/>
      <c r="C436" s="2" t="inlineStr"/>
      <c r="D436" s="2" t="inlineStr"/>
      <c r="E436" s="28" t="inlineStr">
        <is>
          <r>
            <t xml:space="preserve">VALOR COM BDI:</t>
          </r>
        </is>
      </c>
      <c r="F436" s="28" t="inlineStr"/>
      <c r="G436" s="29" t="n">
        <f>G435+G434</f>
        <v>416.21</v>
      </c>
    </row>
    <row r="437" customHeight="1" ht="10">
      <c r="A437" s="2" t="inlineStr"/>
      <c r="B437" s="2" t="inlineStr"/>
      <c r="C437" s="2" t="inlineStr"/>
      <c r="D437" s="2" t="inlineStr"/>
      <c r="E437" s="18" t="inlineStr"/>
      <c r="F437" s="18" t="inlineStr"/>
      <c r="G437" s="18" t="inlineStr"/>
    </row>
    <row r="438" customHeight="1" ht="20">
      <c r="A438" s="19" t="inlineStr">
        <is>
          <r>
            <t xml:space="preserve">1.3.2.8.2. ​C0215​ ARMADURA CA-50A GROSSA D= 12,5 A 25,0mm​ (KG)</t>
          </r>
        </is>
      </c>
      <c r="B438" s="19" t="inlineStr"/>
      <c r="C438" s="19" t="inlineStr"/>
      <c r="D438" s="19" t="inlineStr"/>
      <c r="E438" s="19" t="inlineStr"/>
      <c r="F438" s="19" t="inlineStr"/>
      <c r="G438" s="19" t="inlineStr"/>
    </row>
    <row r="439" customHeight="1" ht="15">
      <c r="A439" s="20" t="inlineStr">
        <is>
          <r>
            <t xml:space="preserve">Material</t>
          </r>
        </is>
      </c>
      <c r="B439" s="20" t="inlineStr"/>
      <c r="C439" s="21" t="inlineStr">
        <is>
          <r>
            <t xml:space="preserve">FONTE</t>
          </r>
        </is>
      </c>
      <c r="D439" s="21" t="inlineStr">
        <is>
          <r>
            <t xml:space="preserve">UNID</t>
          </r>
        </is>
      </c>
      <c r="E439" s="21" t="inlineStr">
        <is>
          <r>
            <t xml:space="preserve">COEFICIENTE</t>
          </r>
        </is>
      </c>
      <c r="F439" s="21" t="inlineStr">
        <is>
          <r>
            <t xml:space="preserve">PREÇO UNITÁRIO</t>
          </r>
        </is>
      </c>
      <c r="G439" s="21" t="inlineStr">
        <is>
          <r>
            <t xml:space="preserve">TOTAL</t>
          </r>
        </is>
      </c>
    </row>
    <row r="440" customHeight="1" ht="15">
      <c r="A440" s="22" t="inlineStr">
        <is>
          <r>
            <t xml:space="preserve">I0163</t>
          </r>
        </is>
      </c>
      <c r="B440" s="23" t="inlineStr">
        <is>
          <r>
            <t xml:space="preserve">AÇO CA-50</t>
          </r>
        </is>
      </c>
      <c r="C440" s="22" t="inlineStr">
        <is>
          <r>
            <t xml:space="preserve">SEINFRA</t>
          </r>
        </is>
      </c>
      <c r="D440" s="22" t="inlineStr">
        <is>
          <r>
            <t xml:space="preserve">KG</t>
          </r>
        </is>
      </c>
      <c r="E440" s="24" t="n">
        <v>1.15</v>
      </c>
      <c r="F440" s="30" t="n">
        <v>7.1</v>
      </c>
      <c r="G440" s="30" t="n">
        <f>ROUND(ROUND(E440,8)*F440,4)</f>
        <v>8.165</v>
      </c>
    </row>
    <row r="441" customHeight="1" ht="15">
      <c r="A441" s="22" t="inlineStr">
        <is>
          <r>
            <t xml:space="preserve">I0103</t>
          </r>
        </is>
      </c>
      <c r="B441" s="23" t="inlineStr">
        <is>
          <r>
            <t xml:space="preserve">ARAME RECOZIDO N.18 BWG</t>
          </r>
        </is>
      </c>
      <c r="C441" s="22" t="inlineStr">
        <is>
          <r>
            <t xml:space="preserve">SEINFRA</t>
          </r>
        </is>
      </c>
      <c r="D441" s="22" t="inlineStr">
        <is>
          <r>
            <t xml:space="preserve">KG</t>
          </r>
        </is>
      </c>
      <c r="E441" s="24" t="n">
        <v>0.03</v>
      </c>
      <c r="F441" s="30" t="n">
        <v>16.53</v>
      </c>
      <c r="G441" s="30" t="n">
        <f>ROUND(ROUND(E441,8)*F441,4)</f>
        <v>0.4959</v>
      </c>
    </row>
    <row r="442" customHeight="1" ht="15">
      <c r="A442" s="2" t="inlineStr"/>
      <c r="B442" s="2" t="inlineStr"/>
      <c r="C442" s="2" t="inlineStr"/>
      <c r="D442" s="2" t="inlineStr"/>
      <c r="E442" s="26" t="inlineStr">
        <is>
          <r>
            <t xml:space="preserve">TOTAL Material:</t>
          </r>
        </is>
      </c>
      <c r="F442" s="26" t="inlineStr"/>
      <c r="G442" s="31" t="n">
        <f>SUM(G440:G441)</f>
        <v>8.6609</v>
      </c>
    </row>
    <row r="443" customHeight="1" ht="15">
      <c r="A443" s="20" t="inlineStr">
        <is>
          <r>
            <t xml:space="preserve">Mão de Obra</t>
          </r>
        </is>
      </c>
      <c r="B443" s="20" t="inlineStr"/>
      <c r="C443" s="21" t="inlineStr">
        <is>
          <r>
            <t xml:space="preserve">FONTE</t>
          </r>
        </is>
      </c>
      <c r="D443" s="21" t="inlineStr">
        <is>
          <r>
            <t xml:space="preserve">UNID</t>
          </r>
        </is>
      </c>
      <c r="E443" s="21" t="inlineStr">
        <is>
          <r>
            <t xml:space="preserve">COEFICIENTE</t>
          </r>
        </is>
      </c>
      <c r="F443" s="21" t="inlineStr">
        <is>
          <r>
            <t xml:space="preserve">PREÇO UNITÁRIO</t>
          </r>
        </is>
      </c>
      <c r="G443" s="21" t="inlineStr">
        <is>
          <r>
            <t xml:space="preserve">TOTAL</t>
          </r>
        </is>
      </c>
    </row>
    <row r="444" customHeight="1" ht="15">
      <c r="A444" s="22" t="inlineStr">
        <is>
          <r>
            <t xml:space="preserve">I0040</t>
          </r>
        </is>
      </c>
      <c r="B444" s="23" t="inlineStr">
        <is>
          <r>
            <t xml:space="preserve">AJUDANTE DE ARMADOR/FERREIRO</t>
          </r>
        </is>
      </c>
      <c r="C444" s="22" t="inlineStr">
        <is>
          <r>
            <t xml:space="preserve">SEINFRA</t>
          </r>
        </is>
      </c>
      <c r="D444" s="22" t="inlineStr">
        <is>
          <r>
            <t xml:space="preserve">H</t>
          </r>
        </is>
      </c>
      <c r="E444" s="24" t="n">
        <v>0.1</v>
      </c>
      <c r="F444" s="30" t="n">
        <v>19.1</v>
      </c>
      <c r="G444" s="30" t="n">
        <f>ROUND(ROUND(E444,8)*F444,4)</f>
        <v>1.91</v>
      </c>
    </row>
    <row r="445" customHeight="1" ht="15">
      <c r="A445" s="22" t="inlineStr">
        <is>
          <r>
            <t xml:space="preserve">I0121</t>
          </r>
        </is>
      </c>
      <c r="B445" s="23" t="inlineStr">
        <is>
          <r>
            <t xml:space="preserve">ARMADOR/FERREIRO</t>
          </r>
        </is>
      </c>
      <c r="C445" s="22" t="inlineStr">
        <is>
          <r>
            <t xml:space="preserve">SEINFRA</t>
          </r>
        </is>
      </c>
      <c r="D445" s="22" t="inlineStr">
        <is>
          <r>
            <t xml:space="preserve">H</t>
          </r>
        </is>
      </c>
      <c r="E445" s="24" t="n">
        <v>0.1</v>
      </c>
      <c r="F445" s="30" t="n">
        <v>24.16</v>
      </c>
      <c r="G445" s="30" t="n">
        <f>ROUND(ROUND(E445,8)*F445,4)</f>
        <v>2.416</v>
      </c>
    </row>
    <row r="446" customHeight="1" ht="15">
      <c r="A446" s="2" t="inlineStr"/>
      <c r="B446" s="2" t="inlineStr"/>
      <c r="C446" s="2" t="inlineStr"/>
      <c r="D446" s="2" t="inlineStr"/>
      <c r="E446" s="26" t="inlineStr">
        <is>
          <r>
            <t xml:space="preserve">TOTAL Mão de Obra:</t>
          </r>
        </is>
      </c>
      <c r="F446" s="26" t="inlineStr"/>
      <c r="G446" s="31" t="n">
        <f>SUM(G444:G445)</f>
        <v>4.326</v>
      </c>
    </row>
    <row r="447" customHeight="1" ht="15">
      <c r="A447" s="2" t="inlineStr"/>
      <c r="B447" s="2" t="inlineStr"/>
      <c r="C447" s="2" t="inlineStr"/>
      <c r="D447" s="2" t="inlineStr"/>
      <c r="E447" s="28" t="inlineStr">
        <is>
          <r>
            <t xml:space="preserve">VALOR:</t>
          </r>
        </is>
      </c>
      <c r="F447" s="28" t="inlineStr"/>
      <c r="G447" s="29" t="n">
        <f>ROUND(SUM(G442,G446),2)</f>
        <v>12.99</v>
      </c>
    </row>
    <row r="448" customHeight="1" ht="15">
      <c r="A448" s="2" t="inlineStr"/>
      <c r="B448" s="2" t="inlineStr"/>
      <c r="C448" s="2" t="inlineStr"/>
      <c r="D448" s="2" t="inlineStr"/>
      <c r="E448" s="28" t="inlineStr">
        <is>
          <r>
            <t xml:space="preserve">VALOR BDI:</t>
          </r>
        </is>
      </c>
      <c r="F448" s="28" t="inlineStr"/>
      <c r="G448" s="29" t="n">
        <f>ROUND(G447*(0/100),2)</f>
        <v>0.0</v>
      </c>
    </row>
    <row r="449" customHeight="1" ht="15">
      <c r="A449" s="2" t="inlineStr"/>
      <c r="B449" s="2" t="inlineStr"/>
      <c r="C449" s="2" t="inlineStr"/>
      <c r="D449" s="2" t="inlineStr"/>
      <c r="E449" s="28" t="inlineStr">
        <is>
          <r>
            <t xml:space="preserve">VALOR COM BDI:</t>
          </r>
        </is>
      </c>
      <c r="F449" s="28" t="inlineStr"/>
      <c r="G449" s="29" t="n">
        <f>G448+G447</f>
        <v>12.99</v>
      </c>
    </row>
    <row r="450" customHeight="1" ht="10">
      <c r="A450" s="2" t="inlineStr"/>
      <c r="B450" s="2" t="inlineStr"/>
      <c r="C450" s="2" t="inlineStr"/>
      <c r="D450" s="2" t="inlineStr"/>
      <c r="E450" s="18" t="inlineStr"/>
      <c r="F450" s="18" t="inlineStr"/>
      <c r="G450" s="18" t="inlineStr"/>
    </row>
    <row r="451" customHeight="1" ht="20">
      <c r="A451" s="19" t="inlineStr">
        <is>
          <r>
            <t xml:space="preserve">1.3.2.8.3. ​C0216​ ARMADURA CA-50A MÉDIA D= 6,3 A 10,0mm​ (KG)</t>
          </r>
        </is>
      </c>
      <c r="B451" s="19" t="inlineStr"/>
      <c r="C451" s="19" t="inlineStr"/>
      <c r="D451" s="19" t="inlineStr"/>
      <c r="E451" s="19" t="inlineStr"/>
      <c r="F451" s="19" t="inlineStr"/>
      <c r="G451" s="19" t="inlineStr"/>
    </row>
    <row r="452" customHeight="1" ht="15">
      <c r="A452" s="20" t="inlineStr">
        <is>
          <r>
            <t xml:space="preserve">Material</t>
          </r>
        </is>
      </c>
      <c r="B452" s="20" t="inlineStr"/>
      <c r="C452" s="21" t="inlineStr">
        <is>
          <r>
            <t xml:space="preserve">FONTE</t>
          </r>
        </is>
      </c>
      <c r="D452" s="21" t="inlineStr">
        <is>
          <r>
            <t xml:space="preserve">UNID</t>
          </r>
        </is>
      </c>
      <c r="E452" s="21" t="inlineStr">
        <is>
          <r>
            <t xml:space="preserve">COEFICIENTE</t>
          </r>
        </is>
      </c>
      <c r="F452" s="21" t="inlineStr">
        <is>
          <r>
            <t xml:space="preserve">PREÇO UNITÁRIO</t>
          </r>
        </is>
      </c>
      <c r="G452" s="21" t="inlineStr">
        <is>
          <r>
            <t xml:space="preserve">TOTAL</t>
          </r>
        </is>
      </c>
    </row>
    <row r="453" customHeight="1" ht="15">
      <c r="A453" s="22" t="inlineStr">
        <is>
          <r>
            <t xml:space="preserve">I0163</t>
          </r>
        </is>
      </c>
      <c r="B453" s="23" t="inlineStr">
        <is>
          <r>
            <t xml:space="preserve">AÇO CA-50</t>
          </r>
        </is>
      </c>
      <c r="C453" s="22" t="inlineStr">
        <is>
          <r>
            <t xml:space="preserve">SEINFRA</t>
          </r>
        </is>
      </c>
      <c r="D453" s="22" t="inlineStr">
        <is>
          <r>
            <t xml:space="preserve">KG</t>
          </r>
        </is>
      </c>
      <c r="E453" s="24" t="n">
        <v>1.15</v>
      </c>
      <c r="F453" s="30" t="n">
        <v>7.1</v>
      </c>
      <c r="G453" s="30" t="n">
        <f>ROUND(ROUND(E453,8)*F453,4)</f>
        <v>8.165</v>
      </c>
    </row>
    <row r="454" customHeight="1" ht="15">
      <c r="A454" s="22" t="inlineStr">
        <is>
          <r>
            <t xml:space="preserve">I0103</t>
          </r>
        </is>
      </c>
      <c r="B454" s="23" t="inlineStr">
        <is>
          <r>
            <t xml:space="preserve">ARAME RECOZIDO N.18 BWG</t>
          </r>
        </is>
      </c>
      <c r="C454" s="22" t="inlineStr">
        <is>
          <r>
            <t xml:space="preserve">SEINFRA</t>
          </r>
        </is>
      </c>
      <c r="D454" s="22" t="inlineStr">
        <is>
          <r>
            <t xml:space="preserve">KG</t>
          </r>
        </is>
      </c>
      <c r="E454" s="24" t="n">
        <v>0.02</v>
      </c>
      <c r="F454" s="30" t="n">
        <v>16.53</v>
      </c>
      <c r="G454" s="30" t="n">
        <f>ROUND(ROUND(E454,8)*F454,4)</f>
        <v>0.3306</v>
      </c>
    </row>
    <row r="455" customHeight="1" ht="15">
      <c r="A455" s="2" t="inlineStr"/>
      <c r="B455" s="2" t="inlineStr"/>
      <c r="C455" s="2" t="inlineStr"/>
      <c r="D455" s="2" t="inlineStr"/>
      <c r="E455" s="26" t="inlineStr">
        <is>
          <r>
            <t xml:space="preserve">TOTAL Material:</t>
          </r>
        </is>
      </c>
      <c r="F455" s="26" t="inlineStr"/>
      <c r="G455" s="31" t="n">
        <f>SUM(G453:G454)</f>
        <v>8.4956</v>
      </c>
    </row>
    <row r="456" customHeight="1" ht="15">
      <c r="A456" s="20" t="inlineStr">
        <is>
          <r>
            <t xml:space="preserve">Mão de Obra</t>
          </r>
        </is>
      </c>
      <c r="B456" s="20" t="inlineStr"/>
      <c r="C456" s="21" t="inlineStr">
        <is>
          <r>
            <t xml:space="preserve">FONTE</t>
          </r>
        </is>
      </c>
      <c r="D456" s="21" t="inlineStr">
        <is>
          <r>
            <t xml:space="preserve">UNID</t>
          </r>
        </is>
      </c>
      <c r="E456" s="21" t="inlineStr">
        <is>
          <r>
            <t xml:space="preserve">COEFICIENTE</t>
          </r>
        </is>
      </c>
      <c r="F456" s="21" t="inlineStr">
        <is>
          <r>
            <t xml:space="preserve">PREÇO UNITÁRIO</t>
          </r>
        </is>
      </c>
      <c r="G456" s="21" t="inlineStr">
        <is>
          <r>
            <t xml:space="preserve">TOTAL</t>
          </r>
        </is>
      </c>
    </row>
    <row r="457" customHeight="1" ht="15">
      <c r="A457" s="22" t="inlineStr">
        <is>
          <r>
            <t xml:space="preserve">I0040</t>
          </r>
        </is>
      </c>
      <c r="B457" s="23" t="inlineStr">
        <is>
          <r>
            <t xml:space="preserve">AJUDANTE DE ARMADOR/FERREIRO</t>
          </r>
        </is>
      </c>
      <c r="C457" s="22" t="inlineStr">
        <is>
          <r>
            <t xml:space="preserve">SEINFRA</t>
          </r>
        </is>
      </c>
      <c r="D457" s="22" t="inlineStr">
        <is>
          <r>
            <t xml:space="preserve">H</t>
          </r>
        </is>
      </c>
      <c r="E457" s="24" t="n">
        <v>0.08</v>
      </c>
      <c r="F457" s="30" t="n">
        <v>19.1</v>
      </c>
      <c r="G457" s="30" t="n">
        <f>ROUND(ROUND(E457,8)*F457,4)</f>
        <v>1.528</v>
      </c>
    </row>
    <row r="458" customHeight="1" ht="15">
      <c r="A458" s="22" t="inlineStr">
        <is>
          <r>
            <t xml:space="preserve">I0121</t>
          </r>
        </is>
      </c>
      <c r="B458" s="23" t="inlineStr">
        <is>
          <r>
            <t xml:space="preserve">ARMADOR/FERREIRO</t>
          </r>
        </is>
      </c>
      <c r="C458" s="22" t="inlineStr">
        <is>
          <r>
            <t xml:space="preserve">SEINFRA</t>
          </r>
        </is>
      </c>
      <c r="D458" s="22" t="inlineStr">
        <is>
          <r>
            <t xml:space="preserve">H</t>
          </r>
        </is>
      </c>
      <c r="E458" s="24" t="n">
        <v>0.08</v>
      </c>
      <c r="F458" s="30" t="n">
        <v>24.16</v>
      </c>
      <c r="G458" s="30" t="n">
        <f>ROUND(ROUND(E458,8)*F458,4)</f>
        <v>1.9328</v>
      </c>
    </row>
    <row r="459" customHeight="1" ht="15">
      <c r="A459" s="2" t="inlineStr"/>
      <c r="B459" s="2" t="inlineStr"/>
      <c r="C459" s="2" t="inlineStr"/>
      <c r="D459" s="2" t="inlineStr"/>
      <c r="E459" s="26" t="inlineStr">
        <is>
          <r>
            <t xml:space="preserve">TOTAL Mão de Obra:</t>
          </r>
        </is>
      </c>
      <c r="F459" s="26" t="inlineStr"/>
      <c r="G459" s="31" t="n">
        <f>SUM(G457:G458)</f>
        <v>3.4608</v>
      </c>
    </row>
    <row r="460" customHeight="1" ht="15">
      <c r="A460" s="2" t="inlineStr"/>
      <c r="B460" s="2" t="inlineStr"/>
      <c r="C460" s="2" t="inlineStr"/>
      <c r="D460" s="2" t="inlineStr"/>
      <c r="E460" s="28" t="inlineStr">
        <is>
          <r>
            <t xml:space="preserve">VALOR:</t>
          </r>
        </is>
      </c>
      <c r="F460" s="28" t="inlineStr"/>
      <c r="G460" s="29" t="n">
        <f>ROUND(SUM(G455,G459),2)</f>
        <v>11.96</v>
      </c>
    </row>
    <row r="461" customHeight="1" ht="15">
      <c r="A461" s="2" t="inlineStr"/>
      <c r="B461" s="2" t="inlineStr"/>
      <c r="C461" s="2" t="inlineStr"/>
      <c r="D461" s="2" t="inlineStr"/>
      <c r="E461" s="28" t="inlineStr">
        <is>
          <r>
            <t xml:space="preserve">VALOR BDI:</t>
          </r>
        </is>
      </c>
      <c r="F461" s="28" t="inlineStr"/>
      <c r="G461" s="29" t="n">
        <f>ROUND(G460*(0/100),2)</f>
        <v>0.0</v>
      </c>
    </row>
    <row r="462" customHeight="1" ht="15">
      <c r="A462" s="2" t="inlineStr"/>
      <c r="B462" s="2" t="inlineStr"/>
      <c r="C462" s="2" t="inlineStr"/>
      <c r="D462" s="2" t="inlineStr"/>
      <c r="E462" s="28" t="inlineStr">
        <is>
          <r>
            <t xml:space="preserve">VALOR COM BDI:</t>
          </r>
        </is>
      </c>
      <c r="F462" s="28" t="inlineStr"/>
      <c r="G462" s="29" t="n">
        <f>G461+G460</f>
        <v>11.96</v>
      </c>
    </row>
    <row r="463" customHeight="1" ht="10">
      <c r="A463" s="2" t="inlineStr"/>
      <c r="B463" s="2" t="inlineStr"/>
      <c r="C463" s="2" t="inlineStr"/>
      <c r="D463" s="2" t="inlineStr"/>
      <c r="E463" s="18" t="inlineStr"/>
      <c r="F463" s="18" t="inlineStr"/>
      <c r="G463" s="18" t="inlineStr"/>
    </row>
    <row r="464" customHeight="1" ht="20">
      <c r="A464" s="19" t="inlineStr">
        <is>
          <r>
            <t xml:space="preserve">1.3.2.8.4. ​C3991​ FORMA PLANA CHAPA COMPENSADA PLASTIFICADA, ESP.= 18mm UTIL. 5X​ (M2)</t>
          </r>
        </is>
      </c>
      <c r="B464" s="19" t="inlineStr"/>
      <c r="C464" s="19" t="inlineStr"/>
      <c r="D464" s="19" t="inlineStr"/>
      <c r="E464" s="19" t="inlineStr"/>
      <c r="F464" s="19" t="inlineStr"/>
      <c r="G464" s="19" t="inlineStr"/>
    </row>
    <row r="465" customHeight="1" ht="15">
      <c r="A465" s="20" t="inlineStr">
        <is>
          <r>
            <t xml:space="preserve">Material</t>
          </r>
        </is>
      </c>
      <c r="B465" s="20" t="inlineStr"/>
      <c r="C465" s="21" t="inlineStr">
        <is>
          <r>
            <t xml:space="preserve">FONTE</t>
          </r>
        </is>
      </c>
      <c r="D465" s="21" t="inlineStr">
        <is>
          <r>
            <t xml:space="preserve">UNID</t>
          </r>
        </is>
      </c>
      <c r="E465" s="21" t="inlineStr">
        <is>
          <r>
            <t xml:space="preserve">COEFICIENTE</t>
          </r>
        </is>
      </c>
      <c r="F465" s="21" t="inlineStr">
        <is>
          <r>
            <t xml:space="preserve">PREÇO UNITÁRIO</t>
          </r>
        </is>
      </c>
      <c r="G465" s="21" t="inlineStr">
        <is>
          <r>
            <t xml:space="preserve">TOTAL</t>
          </r>
        </is>
      </c>
    </row>
    <row r="466" customHeight="1" ht="15">
      <c r="A466" s="22" t="inlineStr">
        <is>
          <r>
            <t xml:space="preserve">I0524</t>
          </r>
        </is>
      </c>
      <c r="B466" s="23" t="inlineStr">
        <is>
          <r>
            <t xml:space="preserve">CHAPA COMPENSADA PLASTIFICADA 18MM (1.22 X 2.44M)</t>
          </r>
        </is>
      </c>
      <c r="C466" s="22" t="inlineStr">
        <is>
          <r>
            <t xml:space="preserve">SEINFRA</t>
          </r>
        </is>
      </c>
      <c r="D466" s="22" t="inlineStr">
        <is>
          <r>
            <t xml:space="preserve">M2</t>
          </r>
        </is>
      </c>
      <c r="E466" s="24" t="n">
        <v>0.26</v>
      </c>
      <c r="F466" s="30" t="n">
        <v>83.15</v>
      </c>
      <c r="G466" s="30" t="n">
        <f>ROUND(ROUND(E466,8)*F466,4)</f>
        <v>21.619</v>
      </c>
    </row>
    <row r="467" customHeight="1" ht="15">
      <c r="A467" s="22" t="inlineStr">
        <is>
          <r>
            <t xml:space="preserve">I1691</t>
          </r>
        </is>
      </c>
      <c r="B467" s="23" t="inlineStr">
        <is>
          <r>
            <t xml:space="preserve">PONTALETE / BARROTE DE 3"x3"</t>
          </r>
        </is>
      </c>
      <c r="C467" s="22" t="inlineStr">
        <is>
          <r>
            <t xml:space="preserve">SEINFRA</t>
          </r>
        </is>
      </c>
      <c r="D467" s="22" t="inlineStr">
        <is>
          <r>
            <t xml:space="preserve">M</t>
          </r>
        </is>
      </c>
      <c r="E467" s="24" t="n">
        <v>1.2</v>
      </c>
      <c r="F467" s="30" t="n">
        <v>16.09</v>
      </c>
      <c r="G467" s="30" t="n">
        <f>ROUND(ROUND(E467,8)*F467,4)</f>
        <v>19.308</v>
      </c>
    </row>
    <row r="468" customHeight="1" ht="21">
      <c r="A468" s="22" t="inlineStr">
        <is>
          <r>
            <t xml:space="preserve">I2408</t>
          </r>
        </is>
      </c>
      <c r="B468" s="23" t="inlineStr">
        <is>
          <r>
            <t xml:space="preserve">PREGO 14X18 (1.1/2" x 14) (APROXIMADAMENTE 708UN/KG)</t>
          </r>
        </is>
      </c>
      <c r="C468" s="22" t="inlineStr">
        <is>
          <r>
            <t xml:space="preserve">SEINFRA</t>
          </r>
        </is>
      </c>
      <c r="D468" s="22" t="inlineStr">
        <is>
          <r>
            <t xml:space="preserve">KG</t>
          </r>
        </is>
      </c>
      <c r="E468" s="24" t="n">
        <v>0.25</v>
      </c>
      <c r="F468" s="30" t="n">
        <v>17.23</v>
      </c>
      <c r="G468" s="30" t="n">
        <f>ROUND(ROUND(E468,8)*F468,4)</f>
        <v>4.3075</v>
      </c>
    </row>
    <row r="469" customHeight="1" ht="15">
      <c r="A469" s="22" t="inlineStr">
        <is>
          <r>
            <t xml:space="preserve">I1846</t>
          </r>
        </is>
      </c>
      <c r="B469" s="23" t="inlineStr">
        <is>
          <r>
            <t xml:space="preserve">SARRAFO DE 1"X4"</t>
          </r>
        </is>
      </c>
      <c r="C469" s="22" t="inlineStr">
        <is>
          <r>
            <t xml:space="preserve">SEINFRA</t>
          </r>
        </is>
      </c>
      <c r="D469" s="22" t="inlineStr">
        <is>
          <r>
            <t xml:space="preserve">M</t>
          </r>
        </is>
      </c>
      <c r="E469" s="24" t="n">
        <v>1.53</v>
      </c>
      <c r="F469" s="30" t="n">
        <v>6.05</v>
      </c>
      <c r="G469" s="30" t="n">
        <f>ROUND(ROUND(E469,8)*F469,4)</f>
        <v>9.2565</v>
      </c>
    </row>
    <row r="470" customHeight="1" ht="15">
      <c r="A470" s="22" t="inlineStr">
        <is>
          <r>
            <t xml:space="preserve">I1916</t>
          </r>
        </is>
      </c>
      <c r="B470" s="23" t="inlineStr">
        <is>
          <r>
            <t xml:space="preserve">TABUA DE 1" DE 3A. - L = 30cm</t>
          </r>
        </is>
      </c>
      <c r="C470" s="22" t="inlineStr">
        <is>
          <r>
            <t xml:space="preserve">SEINFRA</t>
          </r>
        </is>
      </c>
      <c r="D470" s="22" t="inlineStr">
        <is>
          <r>
            <t xml:space="preserve">M</t>
          </r>
        </is>
      </c>
      <c r="E470" s="24" t="n">
        <v>1.17</v>
      </c>
      <c r="F470" s="30" t="n">
        <v>12.77</v>
      </c>
      <c r="G470" s="30" t="n">
        <f>ROUND(ROUND(E470,8)*F470,4)</f>
        <v>14.9409</v>
      </c>
    </row>
    <row r="471" customHeight="1" ht="15">
      <c r="A471" s="2" t="inlineStr"/>
      <c r="B471" s="2" t="inlineStr"/>
      <c r="C471" s="2" t="inlineStr"/>
      <c r="D471" s="2" t="inlineStr"/>
      <c r="E471" s="26" t="inlineStr">
        <is>
          <r>
            <t xml:space="preserve">TOTAL Material:</t>
          </r>
        </is>
      </c>
      <c r="F471" s="26" t="inlineStr"/>
      <c r="G471" s="31" t="n">
        <f>SUM(G466:G470)</f>
        <v>69.4319</v>
      </c>
    </row>
    <row r="472" customHeight="1" ht="15">
      <c r="A472" s="20" t="inlineStr">
        <is>
          <r>
            <t xml:space="preserve">Mão de Obra</t>
          </r>
        </is>
      </c>
      <c r="B472" s="20" t="inlineStr"/>
      <c r="C472" s="21" t="inlineStr">
        <is>
          <r>
            <t xml:space="preserve">FONTE</t>
          </r>
        </is>
      </c>
      <c r="D472" s="21" t="inlineStr">
        <is>
          <r>
            <t xml:space="preserve">UNID</t>
          </r>
        </is>
      </c>
      <c r="E472" s="21" t="inlineStr">
        <is>
          <r>
            <t xml:space="preserve">COEFICIENTE</t>
          </r>
        </is>
      </c>
      <c r="F472" s="21" t="inlineStr">
        <is>
          <r>
            <t xml:space="preserve">PREÇO UNITÁRIO</t>
          </r>
        </is>
      </c>
      <c r="G472" s="21" t="inlineStr">
        <is>
          <r>
            <t xml:space="preserve">TOTAL</t>
          </r>
        </is>
      </c>
    </row>
    <row r="473" customHeight="1" ht="15">
      <c r="A473" s="22" t="inlineStr">
        <is>
          <r>
            <t xml:space="preserve">I0041</t>
          </r>
        </is>
      </c>
      <c r="B473" s="23" t="inlineStr">
        <is>
          <r>
            <t xml:space="preserve">AJUDANTE DE CARPINTEIRO</t>
          </r>
        </is>
      </c>
      <c r="C473" s="22" t="inlineStr">
        <is>
          <r>
            <t xml:space="preserve">SEINFRA</t>
          </r>
        </is>
      </c>
      <c r="D473" s="22" t="inlineStr">
        <is>
          <r>
            <t xml:space="preserve">H</t>
          </r>
        </is>
      </c>
      <c r="E473" s="24" t="n">
        <v>1.35</v>
      </c>
      <c r="F473" s="30" t="n">
        <v>19.1</v>
      </c>
      <c r="G473" s="30" t="n">
        <f>ROUND(ROUND(E473,8)*F473,4)</f>
        <v>25.785</v>
      </c>
    </row>
    <row r="474" customHeight="1" ht="15">
      <c r="A474" s="22" t="inlineStr">
        <is>
          <r>
            <t xml:space="preserve">I0498</t>
          </r>
        </is>
      </c>
      <c r="B474" s="23" t="inlineStr">
        <is>
          <r>
            <t xml:space="preserve">CARPINTEIRO</t>
          </r>
        </is>
      </c>
      <c r="C474" s="22" t="inlineStr">
        <is>
          <r>
            <t xml:space="preserve">SEINFRA</t>
          </r>
        </is>
      </c>
      <c r="D474" s="22" t="inlineStr">
        <is>
          <r>
            <t xml:space="preserve">H</t>
          </r>
        </is>
      </c>
      <c r="E474" s="24" t="n">
        <v>1.35</v>
      </c>
      <c r="F474" s="30" t="n">
        <v>24.16</v>
      </c>
      <c r="G474" s="30" t="n">
        <f>ROUND(ROUND(E474,8)*F474,4)</f>
        <v>32.616</v>
      </c>
    </row>
    <row r="475" customHeight="1" ht="15">
      <c r="A475" s="2" t="inlineStr"/>
      <c r="B475" s="2" t="inlineStr"/>
      <c r="C475" s="2" t="inlineStr"/>
      <c r="D475" s="2" t="inlineStr"/>
      <c r="E475" s="26" t="inlineStr">
        <is>
          <r>
            <t xml:space="preserve">TOTAL Mão de Obra:</t>
          </r>
        </is>
      </c>
      <c r="F475" s="26" t="inlineStr"/>
      <c r="G475" s="31" t="n">
        <f>SUM(G473:G474)</f>
        <v>58.401</v>
      </c>
    </row>
    <row r="476" customHeight="1" ht="15">
      <c r="A476" s="2" t="inlineStr"/>
      <c r="B476" s="2" t="inlineStr"/>
      <c r="C476" s="2" t="inlineStr"/>
      <c r="D476" s="2" t="inlineStr"/>
      <c r="E476" s="28" t="inlineStr">
        <is>
          <r>
            <t xml:space="preserve">VALOR:</t>
          </r>
        </is>
      </c>
      <c r="F476" s="28" t="inlineStr"/>
      <c r="G476" s="29" t="n">
        <f>ROUND(SUM(G471,G475),2)</f>
        <v>127.83</v>
      </c>
    </row>
    <row r="477" customHeight="1" ht="15">
      <c r="A477" s="2" t="inlineStr"/>
      <c r="B477" s="2" t="inlineStr"/>
      <c r="C477" s="2" t="inlineStr"/>
      <c r="D477" s="2" t="inlineStr"/>
      <c r="E477" s="28" t="inlineStr">
        <is>
          <r>
            <t xml:space="preserve">VALOR BDI:</t>
          </r>
        </is>
      </c>
      <c r="F477" s="28" t="inlineStr"/>
      <c r="G477" s="29" t="n">
        <f>ROUND(G476*(0/100),2)</f>
        <v>0.0</v>
      </c>
    </row>
    <row r="478" customHeight="1" ht="15">
      <c r="A478" s="2" t="inlineStr"/>
      <c r="B478" s="2" t="inlineStr"/>
      <c r="C478" s="2" t="inlineStr"/>
      <c r="D478" s="2" t="inlineStr"/>
      <c r="E478" s="28" t="inlineStr">
        <is>
          <r>
            <t xml:space="preserve">VALOR COM BDI:</t>
          </r>
        </is>
      </c>
      <c r="F478" s="28" t="inlineStr"/>
      <c r="G478" s="29" t="n">
        <f>G477+G476</f>
        <v>127.83</v>
      </c>
    </row>
    <row r="479" customHeight="1" ht="10">
      <c r="A479" s="2" t="inlineStr"/>
      <c r="B479" s="2" t="inlineStr"/>
      <c r="C479" s="2" t="inlineStr"/>
      <c r="D479" s="2" t="inlineStr"/>
      <c r="E479" s="18" t="inlineStr"/>
      <c r="F479" s="18" t="inlineStr"/>
      <c r="G479" s="18" t="inlineStr"/>
    </row>
    <row r="480" customHeight="1" ht="20">
      <c r="A480" s="19" t="inlineStr">
        <is>
          <r>
            <t xml:space="preserve">1.3.2.8.5. ​C1603​ LANÇAMENTO E APLICAÇÃO DE CONCRETO C/ ELEVAÇÃO​ (M3)</t>
          </r>
        </is>
      </c>
      <c r="B480" s="19" t="inlineStr"/>
      <c r="C480" s="19" t="inlineStr"/>
      <c r="D480" s="19" t="inlineStr"/>
      <c r="E480" s="19" t="inlineStr"/>
      <c r="F480" s="19" t="inlineStr"/>
      <c r="G480" s="19" t="inlineStr"/>
    </row>
    <row r="481" customHeight="1" ht="15">
      <c r="A481" s="20" t="inlineStr">
        <is>
          <r>
            <t xml:space="preserve">Mão de Obra</t>
          </r>
        </is>
      </c>
      <c r="B481" s="20" t="inlineStr"/>
      <c r="C481" s="21" t="inlineStr">
        <is>
          <r>
            <t xml:space="preserve">FONTE</t>
          </r>
        </is>
      </c>
      <c r="D481" s="21" t="inlineStr">
        <is>
          <r>
            <t xml:space="preserve">UNID</t>
          </r>
        </is>
      </c>
      <c r="E481" s="21" t="inlineStr">
        <is>
          <r>
            <t xml:space="preserve">COEFICIENTE</t>
          </r>
        </is>
      </c>
      <c r="F481" s="21" t="inlineStr">
        <is>
          <r>
            <t xml:space="preserve">PREÇO UNITÁRIO</t>
          </r>
        </is>
      </c>
      <c r="G481" s="21" t="inlineStr">
        <is>
          <r>
            <t xml:space="preserve">TOTAL</t>
          </r>
        </is>
      </c>
    </row>
    <row r="482" customHeight="1" ht="15">
      <c r="A482" s="22" t="inlineStr">
        <is>
          <r>
            <t xml:space="preserve">I2391</t>
          </r>
        </is>
      </c>
      <c r="B482" s="23" t="inlineStr">
        <is>
          <r>
            <t xml:space="preserve">PEDREIRO</t>
          </r>
        </is>
      </c>
      <c r="C482" s="22" t="inlineStr">
        <is>
          <r>
            <t xml:space="preserve">SEINFRA</t>
          </r>
        </is>
      </c>
      <c r="D482" s="22" t="inlineStr">
        <is>
          <r>
            <t xml:space="preserve">H</t>
          </r>
        </is>
      </c>
      <c r="E482" s="24" t="n">
        <v>5.0</v>
      </c>
      <c r="F482" s="30" t="n">
        <v>24.16</v>
      </c>
      <c r="G482" s="30" t="n">
        <f>ROUND(ROUND(E482,8)*F482,4)</f>
        <v>120.8</v>
      </c>
    </row>
    <row r="483" customHeight="1" ht="15">
      <c r="A483" s="22" t="inlineStr">
        <is>
          <r>
            <t xml:space="preserve">I2543</t>
          </r>
        </is>
      </c>
      <c r="B483" s="23" t="inlineStr">
        <is>
          <r>
            <t xml:space="preserve">SERVENTE</t>
          </r>
        </is>
      </c>
      <c r="C483" s="22" t="inlineStr">
        <is>
          <r>
            <t xml:space="preserve">SEINFRA</t>
          </r>
        </is>
      </c>
      <c r="D483" s="22" t="inlineStr">
        <is>
          <r>
            <t xml:space="preserve">H</t>
          </r>
        </is>
      </c>
      <c r="E483" s="24" t="n">
        <v>8.0</v>
      </c>
      <c r="F483" s="30" t="n">
        <v>18.46</v>
      </c>
      <c r="G483" s="30" t="n">
        <f>ROUND(ROUND(E483,8)*F483,4)</f>
        <v>147.68</v>
      </c>
    </row>
    <row r="484" customHeight="1" ht="15">
      <c r="A484" s="2" t="inlineStr"/>
      <c r="B484" s="2" t="inlineStr"/>
      <c r="C484" s="2" t="inlineStr"/>
      <c r="D484" s="2" t="inlineStr"/>
      <c r="E484" s="26" t="inlineStr">
        <is>
          <r>
            <t xml:space="preserve">TOTAL Mão de Obra:</t>
          </r>
        </is>
      </c>
      <c r="F484" s="26" t="inlineStr"/>
      <c r="G484" s="31" t="n">
        <f>SUM(G482:G483)</f>
        <v>268.48</v>
      </c>
    </row>
    <row r="485" customHeight="1" ht="15">
      <c r="A485" s="2" t="inlineStr"/>
      <c r="B485" s="2" t="inlineStr"/>
      <c r="C485" s="2" t="inlineStr"/>
      <c r="D485" s="2" t="inlineStr"/>
      <c r="E485" s="28" t="inlineStr">
        <is>
          <r>
            <t xml:space="preserve">VALOR:</t>
          </r>
        </is>
      </c>
      <c r="F485" s="28" t="inlineStr"/>
      <c r="G485" s="29" t="n">
        <f>ROUND(SUM(G484),2)</f>
        <v>268.48</v>
      </c>
    </row>
    <row r="486" customHeight="1" ht="15">
      <c r="A486" s="2" t="inlineStr"/>
      <c r="B486" s="2" t="inlineStr"/>
      <c r="C486" s="2" t="inlineStr"/>
      <c r="D486" s="2" t="inlineStr"/>
      <c r="E486" s="28" t="inlineStr">
        <is>
          <r>
            <t xml:space="preserve">VALOR BDI:</t>
          </r>
        </is>
      </c>
      <c r="F486" s="28" t="inlineStr"/>
      <c r="G486" s="29" t="n">
        <f>ROUND(G485*(0/100),2)</f>
        <v>0.0</v>
      </c>
    </row>
    <row r="487" customHeight="1" ht="15">
      <c r="A487" s="2" t="inlineStr"/>
      <c r="B487" s="2" t="inlineStr"/>
      <c r="C487" s="2" t="inlineStr"/>
      <c r="D487" s="2" t="inlineStr"/>
      <c r="E487" s="28" t="inlineStr">
        <is>
          <r>
            <t xml:space="preserve">VALOR COM BDI:</t>
          </r>
        </is>
      </c>
      <c r="F487" s="28" t="inlineStr"/>
      <c r="G487" s="29" t="n">
        <f>G486+G485</f>
        <v>268.48</v>
      </c>
    </row>
    <row r="488" customHeight="1" ht="10">
      <c r="A488" s="2" t="inlineStr"/>
      <c r="B488" s="2" t="inlineStr"/>
      <c r="C488" s="2" t="inlineStr"/>
      <c r="D488" s="2" t="inlineStr"/>
      <c r="E488" s="18" t="inlineStr"/>
      <c r="F488" s="18" t="inlineStr"/>
      <c r="G488" s="18" t="inlineStr"/>
    </row>
    <row r="489" customHeight="1" ht="20">
      <c r="A489" s="19" t="inlineStr">
        <is>
          <r>
            <t xml:space="preserve">1.3.2.9.1. ​C0851​ CONCRETO PRE-MISTURADO FCK 30 MPa​ (M3)</t>
          </r>
        </is>
      </c>
      <c r="B489" s="19" t="inlineStr"/>
      <c r="C489" s="19" t="inlineStr"/>
      <c r="D489" s="19" t="inlineStr"/>
      <c r="E489" s="19" t="inlineStr"/>
      <c r="F489" s="19" t="inlineStr"/>
      <c r="G489" s="19" t="inlineStr"/>
    </row>
    <row r="490" customHeight="1" ht="15">
      <c r="A490" s="20" t="inlineStr">
        <is>
          <r>
            <t xml:space="preserve">Material</t>
          </r>
        </is>
      </c>
      <c r="B490" s="20" t="inlineStr"/>
      <c r="C490" s="21" t="inlineStr">
        <is>
          <r>
            <t xml:space="preserve">FONTE</t>
          </r>
        </is>
      </c>
      <c r="D490" s="21" t="inlineStr">
        <is>
          <r>
            <t xml:space="preserve">UNID</t>
          </r>
        </is>
      </c>
      <c r="E490" s="21" t="inlineStr">
        <is>
          <r>
            <t xml:space="preserve">COEFICIENTE</t>
          </r>
        </is>
      </c>
      <c r="F490" s="21" t="inlineStr">
        <is>
          <r>
            <t xml:space="preserve">PREÇO UNITÁRIO</t>
          </r>
        </is>
      </c>
      <c r="G490" s="21" t="inlineStr">
        <is>
          <r>
            <t xml:space="preserve">TOTAL</t>
          </r>
        </is>
      </c>
    </row>
    <row r="491" customHeight="1" ht="15">
      <c r="A491" s="22" t="inlineStr">
        <is>
          <r>
            <t xml:space="preserve">I0829</t>
          </r>
        </is>
      </c>
      <c r="B491" s="23" t="inlineStr">
        <is>
          <r>
            <t xml:space="preserve">CONCRETO USINADO FCK=30 MPA</t>
          </r>
        </is>
      </c>
      <c r="C491" s="22" t="inlineStr">
        <is>
          <r>
            <t xml:space="preserve">SEINFRA</t>
          </r>
        </is>
      </c>
      <c r="D491" s="22" t="inlineStr">
        <is>
          <r>
            <t xml:space="preserve">M3</t>
          </r>
        </is>
      </c>
      <c r="E491" s="24" t="n">
        <v>1.02</v>
      </c>
      <c r="F491" s="30" t="n">
        <v>408.05</v>
      </c>
      <c r="G491" s="30" t="n">
        <f>ROUND(ROUND(E491,8)*F491,4)</f>
        <v>416.211</v>
      </c>
    </row>
    <row r="492" customHeight="1" ht="15">
      <c r="A492" s="2" t="inlineStr"/>
      <c r="B492" s="2" t="inlineStr"/>
      <c r="C492" s="2" t="inlineStr"/>
      <c r="D492" s="2" t="inlineStr"/>
      <c r="E492" s="26" t="inlineStr">
        <is>
          <r>
            <t xml:space="preserve">TOTAL Material:</t>
          </r>
        </is>
      </c>
      <c r="F492" s="26" t="inlineStr"/>
      <c r="G492" s="31" t="n">
        <f>SUM(G491:G491)</f>
        <v>416.211</v>
      </c>
    </row>
    <row r="493" customHeight="1" ht="15">
      <c r="A493" s="2" t="inlineStr"/>
      <c r="B493" s="2" t="inlineStr"/>
      <c r="C493" s="2" t="inlineStr"/>
      <c r="D493" s="2" t="inlineStr"/>
      <c r="E493" s="28" t="inlineStr">
        <is>
          <r>
            <t xml:space="preserve">VALOR:</t>
          </r>
        </is>
      </c>
      <c r="F493" s="28" t="inlineStr"/>
      <c r="G493" s="29" t="n">
        <f>ROUND(SUM(G492),2)</f>
        <v>416.21</v>
      </c>
    </row>
    <row r="494" customHeight="1" ht="15">
      <c r="A494" s="2" t="inlineStr"/>
      <c r="B494" s="2" t="inlineStr"/>
      <c r="C494" s="2" t="inlineStr"/>
      <c r="D494" s="2" t="inlineStr"/>
      <c r="E494" s="28" t="inlineStr">
        <is>
          <r>
            <t xml:space="preserve">VALOR BDI:</t>
          </r>
        </is>
      </c>
      <c r="F494" s="28" t="inlineStr"/>
      <c r="G494" s="29" t="n">
        <f>ROUND(G493*(0/100),2)</f>
        <v>0.0</v>
      </c>
    </row>
    <row r="495" customHeight="1" ht="15">
      <c r="A495" s="2" t="inlineStr"/>
      <c r="B495" s="2" t="inlineStr"/>
      <c r="C495" s="2" t="inlineStr"/>
      <c r="D495" s="2" t="inlineStr"/>
      <c r="E495" s="28" t="inlineStr">
        <is>
          <r>
            <t xml:space="preserve">VALOR COM BDI:</t>
          </r>
        </is>
      </c>
      <c r="F495" s="28" t="inlineStr"/>
      <c r="G495" s="29" t="n">
        <f>G494+G493</f>
        <v>416.21</v>
      </c>
    </row>
    <row r="496" customHeight="1" ht="10">
      <c r="A496" s="2" t="inlineStr"/>
      <c r="B496" s="2" t="inlineStr"/>
      <c r="C496" s="2" t="inlineStr"/>
      <c r="D496" s="2" t="inlineStr"/>
      <c r="E496" s="18" t="inlineStr"/>
      <c r="F496" s="18" t="inlineStr"/>
      <c r="G496" s="18" t="inlineStr"/>
    </row>
    <row r="497" customHeight="1" ht="20">
      <c r="A497" s="19" t="inlineStr">
        <is>
          <r>
            <t xml:space="preserve">1.3.2.9.2. ​C0216​ ARMADURA CA-50A MÉDIA D= 6,3 A 10,0mm​ (KG)</t>
          </r>
        </is>
      </c>
      <c r="B497" s="19" t="inlineStr"/>
      <c r="C497" s="19" t="inlineStr"/>
      <c r="D497" s="19" t="inlineStr"/>
      <c r="E497" s="19" t="inlineStr"/>
      <c r="F497" s="19" t="inlineStr"/>
      <c r="G497" s="19" t="inlineStr"/>
    </row>
    <row r="498" customHeight="1" ht="15">
      <c r="A498" s="20" t="inlineStr">
        <is>
          <r>
            <t xml:space="preserve">Material</t>
          </r>
        </is>
      </c>
      <c r="B498" s="20" t="inlineStr"/>
      <c r="C498" s="21" t="inlineStr">
        <is>
          <r>
            <t xml:space="preserve">FONTE</t>
          </r>
        </is>
      </c>
      <c r="D498" s="21" t="inlineStr">
        <is>
          <r>
            <t xml:space="preserve">UNID</t>
          </r>
        </is>
      </c>
      <c r="E498" s="21" t="inlineStr">
        <is>
          <r>
            <t xml:space="preserve">COEFICIENTE</t>
          </r>
        </is>
      </c>
      <c r="F498" s="21" t="inlineStr">
        <is>
          <r>
            <t xml:space="preserve">PREÇO UNITÁRIO</t>
          </r>
        </is>
      </c>
      <c r="G498" s="21" t="inlineStr">
        <is>
          <r>
            <t xml:space="preserve">TOTAL</t>
          </r>
        </is>
      </c>
    </row>
    <row r="499" customHeight="1" ht="15">
      <c r="A499" s="22" t="inlineStr">
        <is>
          <r>
            <t xml:space="preserve">I0163</t>
          </r>
        </is>
      </c>
      <c r="B499" s="23" t="inlineStr">
        <is>
          <r>
            <t xml:space="preserve">AÇO CA-50</t>
          </r>
        </is>
      </c>
      <c r="C499" s="22" t="inlineStr">
        <is>
          <r>
            <t xml:space="preserve">SEINFRA</t>
          </r>
        </is>
      </c>
      <c r="D499" s="22" t="inlineStr">
        <is>
          <r>
            <t xml:space="preserve">KG</t>
          </r>
        </is>
      </c>
      <c r="E499" s="24" t="n">
        <v>1.15</v>
      </c>
      <c r="F499" s="30" t="n">
        <v>7.1</v>
      </c>
      <c r="G499" s="30" t="n">
        <f>ROUND(ROUND(E499,8)*F499,4)</f>
        <v>8.165</v>
      </c>
    </row>
    <row r="500" customHeight="1" ht="15">
      <c r="A500" s="22" t="inlineStr">
        <is>
          <r>
            <t xml:space="preserve">I0103</t>
          </r>
        </is>
      </c>
      <c r="B500" s="23" t="inlineStr">
        <is>
          <r>
            <t xml:space="preserve">ARAME RECOZIDO N.18 BWG</t>
          </r>
        </is>
      </c>
      <c r="C500" s="22" t="inlineStr">
        <is>
          <r>
            <t xml:space="preserve">SEINFRA</t>
          </r>
        </is>
      </c>
      <c r="D500" s="22" t="inlineStr">
        <is>
          <r>
            <t xml:space="preserve">KG</t>
          </r>
        </is>
      </c>
      <c r="E500" s="24" t="n">
        <v>0.02</v>
      </c>
      <c r="F500" s="30" t="n">
        <v>16.53</v>
      </c>
      <c r="G500" s="30" t="n">
        <f>ROUND(ROUND(E500,8)*F500,4)</f>
        <v>0.3306</v>
      </c>
    </row>
    <row r="501" customHeight="1" ht="15">
      <c r="A501" s="2" t="inlineStr"/>
      <c r="B501" s="2" t="inlineStr"/>
      <c r="C501" s="2" t="inlineStr"/>
      <c r="D501" s="2" t="inlineStr"/>
      <c r="E501" s="26" t="inlineStr">
        <is>
          <r>
            <t xml:space="preserve">TOTAL Material:</t>
          </r>
        </is>
      </c>
      <c r="F501" s="26" t="inlineStr"/>
      <c r="G501" s="31" t="n">
        <f>SUM(G499:G500)</f>
        <v>8.4956</v>
      </c>
    </row>
    <row r="502" customHeight="1" ht="15">
      <c r="A502" s="20" t="inlineStr">
        <is>
          <r>
            <t xml:space="preserve">Mão de Obra</t>
          </r>
        </is>
      </c>
      <c r="B502" s="20" t="inlineStr"/>
      <c r="C502" s="21" t="inlineStr">
        <is>
          <r>
            <t xml:space="preserve">FONTE</t>
          </r>
        </is>
      </c>
      <c r="D502" s="21" t="inlineStr">
        <is>
          <r>
            <t xml:space="preserve">UNID</t>
          </r>
        </is>
      </c>
      <c r="E502" s="21" t="inlineStr">
        <is>
          <r>
            <t xml:space="preserve">COEFICIENTE</t>
          </r>
        </is>
      </c>
      <c r="F502" s="21" t="inlineStr">
        <is>
          <r>
            <t xml:space="preserve">PREÇO UNITÁRIO</t>
          </r>
        </is>
      </c>
      <c r="G502" s="21" t="inlineStr">
        <is>
          <r>
            <t xml:space="preserve">TOTAL</t>
          </r>
        </is>
      </c>
    </row>
    <row r="503" customHeight="1" ht="15">
      <c r="A503" s="22" t="inlineStr">
        <is>
          <r>
            <t xml:space="preserve">I0040</t>
          </r>
        </is>
      </c>
      <c r="B503" s="23" t="inlineStr">
        <is>
          <r>
            <t xml:space="preserve">AJUDANTE DE ARMADOR/FERREIRO</t>
          </r>
        </is>
      </c>
      <c r="C503" s="22" t="inlineStr">
        <is>
          <r>
            <t xml:space="preserve">SEINFRA</t>
          </r>
        </is>
      </c>
      <c r="D503" s="22" t="inlineStr">
        <is>
          <r>
            <t xml:space="preserve">H</t>
          </r>
        </is>
      </c>
      <c r="E503" s="24" t="n">
        <v>0.08</v>
      </c>
      <c r="F503" s="30" t="n">
        <v>19.1</v>
      </c>
      <c r="G503" s="30" t="n">
        <f>ROUND(ROUND(E503,8)*F503,4)</f>
        <v>1.528</v>
      </c>
    </row>
    <row r="504" customHeight="1" ht="15">
      <c r="A504" s="22" t="inlineStr">
        <is>
          <r>
            <t xml:space="preserve">I0121</t>
          </r>
        </is>
      </c>
      <c r="B504" s="23" t="inlineStr">
        <is>
          <r>
            <t xml:space="preserve">ARMADOR/FERREIRO</t>
          </r>
        </is>
      </c>
      <c r="C504" s="22" t="inlineStr">
        <is>
          <r>
            <t xml:space="preserve">SEINFRA</t>
          </r>
        </is>
      </c>
      <c r="D504" s="22" t="inlineStr">
        <is>
          <r>
            <t xml:space="preserve">H</t>
          </r>
        </is>
      </c>
      <c r="E504" s="24" t="n">
        <v>0.08</v>
      </c>
      <c r="F504" s="30" t="n">
        <v>24.16</v>
      </c>
      <c r="G504" s="30" t="n">
        <f>ROUND(ROUND(E504,8)*F504,4)</f>
        <v>1.9328</v>
      </c>
    </row>
    <row r="505" customHeight="1" ht="15">
      <c r="A505" s="2" t="inlineStr"/>
      <c r="B505" s="2" t="inlineStr"/>
      <c r="C505" s="2" t="inlineStr"/>
      <c r="D505" s="2" t="inlineStr"/>
      <c r="E505" s="26" t="inlineStr">
        <is>
          <r>
            <t xml:space="preserve">TOTAL Mão de Obra:</t>
          </r>
        </is>
      </c>
      <c r="F505" s="26" t="inlineStr"/>
      <c r="G505" s="31" t="n">
        <f>SUM(G503:G504)</f>
        <v>3.4608</v>
      </c>
    </row>
    <row r="506" customHeight="1" ht="15">
      <c r="A506" s="2" t="inlineStr"/>
      <c r="B506" s="2" t="inlineStr"/>
      <c r="C506" s="2" t="inlineStr"/>
      <c r="D506" s="2" t="inlineStr"/>
      <c r="E506" s="28" t="inlineStr">
        <is>
          <r>
            <t xml:space="preserve">VALOR:</t>
          </r>
        </is>
      </c>
      <c r="F506" s="28" t="inlineStr"/>
      <c r="G506" s="29" t="n">
        <f>ROUND(SUM(G501,G505),2)</f>
        <v>11.96</v>
      </c>
    </row>
    <row r="507" customHeight="1" ht="15">
      <c r="A507" s="2" t="inlineStr"/>
      <c r="B507" s="2" t="inlineStr"/>
      <c r="C507" s="2" t="inlineStr"/>
      <c r="D507" s="2" t="inlineStr"/>
      <c r="E507" s="28" t="inlineStr">
        <is>
          <r>
            <t xml:space="preserve">VALOR BDI:</t>
          </r>
        </is>
      </c>
      <c r="F507" s="28" t="inlineStr"/>
      <c r="G507" s="29" t="n">
        <f>ROUND(G506*(0/100),2)</f>
        <v>0.0</v>
      </c>
    </row>
    <row r="508" customHeight="1" ht="15">
      <c r="A508" s="2" t="inlineStr"/>
      <c r="B508" s="2" t="inlineStr"/>
      <c r="C508" s="2" t="inlineStr"/>
      <c r="D508" s="2" t="inlineStr"/>
      <c r="E508" s="28" t="inlineStr">
        <is>
          <r>
            <t xml:space="preserve">VALOR COM BDI:</t>
          </r>
        </is>
      </c>
      <c r="F508" s="28" t="inlineStr"/>
      <c r="G508" s="29" t="n">
        <f>G507+G506</f>
        <v>11.96</v>
      </c>
    </row>
    <row r="509" customHeight="1" ht="10">
      <c r="A509" s="2" t="inlineStr"/>
      <c r="B509" s="2" t="inlineStr"/>
      <c r="C509" s="2" t="inlineStr"/>
      <c r="D509" s="2" t="inlineStr"/>
      <c r="E509" s="18" t="inlineStr"/>
      <c r="F509" s="18" t="inlineStr"/>
      <c r="G509" s="18" t="inlineStr"/>
    </row>
    <row r="510" customHeight="1" ht="20">
      <c r="A510" s="19" t="inlineStr">
        <is>
          <r>
            <t xml:space="preserve">1.3.2.9.3. ​C1603​ LANÇAMENTO E APLICAÇÃO DE CONCRETO C/ ELEVAÇÃO​ (M3)</t>
          </r>
        </is>
      </c>
      <c r="B510" s="19" t="inlineStr"/>
      <c r="C510" s="19" t="inlineStr"/>
      <c r="D510" s="19" t="inlineStr"/>
      <c r="E510" s="19" t="inlineStr"/>
      <c r="F510" s="19" t="inlineStr"/>
      <c r="G510" s="19" t="inlineStr"/>
    </row>
    <row r="511" customHeight="1" ht="15">
      <c r="A511" s="20" t="inlineStr">
        <is>
          <r>
            <t xml:space="preserve">Mão de Obra</t>
          </r>
        </is>
      </c>
      <c r="B511" s="20" t="inlineStr"/>
      <c r="C511" s="21" t="inlineStr">
        <is>
          <r>
            <t xml:space="preserve">FONTE</t>
          </r>
        </is>
      </c>
      <c r="D511" s="21" t="inlineStr">
        <is>
          <r>
            <t xml:space="preserve">UNID</t>
          </r>
        </is>
      </c>
      <c r="E511" s="21" t="inlineStr">
        <is>
          <r>
            <t xml:space="preserve">COEFICIENTE</t>
          </r>
        </is>
      </c>
      <c r="F511" s="21" t="inlineStr">
        <is>
          <r>
            <t xml:space="preserve">PREÇO UNITÁRIO</t>
          </r>
        </is>
      </c>
      <c r="G511" s="21" t="inlineStr">
        <is>
          <r>
            <t xml:space="preserve">TOTAL</t>
          </r>
        </is>
      </c>
    </row>
    <row r="512" customHeight="1" ht="15">
      <c r="A512" s="22" t="inlineStr">
        <is>
          <r>
            <t xml:space="preserve">I2391</t>
          </r>
        </is>
      </c>
      <c r="B512" s="23" t="inlineStr">
        <is>
          <r>
            <t xml:space="preserve">PEDREIRO</t>
          </r>
        </is>
      </c>
      <c r="C512" s="22" t="inlineStr">
        <is>
          <r>
            <t xml:space="preserve">SEINFRA</t>
          </r>
        </is>
      </c>
      <c r="D512" s="22" t="inlineStr">
        <is>
          <r>
            <t xml:space="preserve">H</t>
          </r>
        </is>
      </c>
      <c r="E512" s="24" t="n">
        <v>5.0</v>
      </c>
      <c r="F512" s="30" t="n">
        <v>24.16</v>
      </c>
      <c r="G512" s="30" t="n">
        <f>ROUND(ROUND(E512,8)*F512,4)</f>
        <v>120.8</v>
      </c>
    </row>
    <row r="513" customHeight="1" ht="15">
      <c r="A513" s="22" t="inlineStr">
        <is>
          <r>
            <t xml:space="preserve">I2543</t>
          </r>
        </is>
      </c>
      <c r="B513" s="23" t="inlineStr">
        <is>
          <r>
            <t xml:space="preserve">SERVENTE</t>
          </r>
        </is>
      </c>
      <c r="C513" s="22" t="inlineStr">
        <is>
          <r>
            <t xml:space="preserve">SEINFRA</t>
          </r>
        </is>
      </c>
      <c r="D513" s="22" t="inlineStr">
        <is>
          <r>
            <t xml:space="preserve">H</t>
          </r>
        </is>
      </c>
      <c r="E513" s="24" t="n">
        <v>8.0</v>
      </c>
      <c r="F513" s="30" t="n">
        <v>18.46</v>
      </c>
      <c r="G513" s="30" t="n">
        <f>ROUND(ROUND(E513,8)*F513,4)</f>
        <v>147.68</v>
      </c>
    </row>
    <row r="514" customHeight="1" ht="15">
      <c r="A514" s="2" t="inlineStr"/>
      <c r="B514" s="2" t="inlineStr"/>
      <c r="C514" s="2" t="inlineStr"/>
      <c r="D514" s="2" t="inlineStr"/>
      <c r="E514" s="26" t="inlineStr">
        <is>
          <r>
            <t xml:space="preserve">TOTAL Mão de Obra:</t>
          </r>
        </is>
      </c>
      <c r="F514" s="26" t="inlineStr"/>
      <c r="G514" s="31" t="n">
        <f>SUM(G512:G513)</f>
        <v>268.48</v>
      </c>
    </row>
    <row r="515" customHeight="1" ht="15">
      <c r="A515" s="2" t="inlineStr"/>
      <c r="B515" s="2" t="inlineStr"/>
      <c r="C515" s="2" t="inlineStr"/>
      <c r="D515" s="2" t="inlineStr"/>
      <c r="E515" s="28" t="inlineStr">
        <is>
          <r>
            <t xml:space="preserve">VALOR:</t>
          </r>
        </is>
      </c>
      <c r="F515" s="28" t="inlineStr"/>
      <c r="G515" s="29" t="n">
        <f>ROUND(SUM(G514),2)</f>
        <v>268.48</v>
      </c>
    </row>
    <row r="516" customHeight="1" ht="15">
      <c r="A516" s="2" t="inlineStr"/>
      <c r="B516" s="2" t="inlineStr"/>
      <c r="C516" s="2" t="inlineStr"/>
      <c r="D516" s="2" t="inlineStr"/>
      <c r="E516" s="28" t="inlineStr">
        <is>
          <r>
            <t xml:space="preserve">VALOR BDI:</t>
          </r>
        </is>
      </c>
      <c r="F516" s="28" t="inlineStr"/>
      <c r="G516" s="29" t="n">
        <f>ROUND(G515*(0/100),2)</f>
        <v>0.0</v>
      </c>
    </row>
    <row r="517" customHeight="1" ht="15">
      <c r="A517" s="2" t="inlineStr"/>
      <c r="B517" s="2" t="inlineStr"/>
      <c r="C517" s="2" t="inlineStr"/>
      <c r="D517" s="2" t="inlineStr"/>
      <c r="E517" s="28" t="inlineStr">
        <is>
          <r>
            <t xml:space="preserve">VALOR COM BDI:</t>
          </r>
        </is>
      </c>
      <c r="F517" s="28" t="inlineStr"/>
      <c r="G517" s="29" t="n">
        <f>G516+G515</f>
        <v>268.48</v>
      </c>
    </row>
    <row r="518" customHeight="1" ht="10">
      <c r="A518" s="2" t="inlineStr"/>
      <c r="B518" s="2" t="inlineStr"/>
      <c r="C518" s="2" t="inlineStr"/>
      <c r="D518" s="2" t="inlineStr"/>
      <c r="E518" s="18" t="inlineStr"/>
      <c r="F518" s="18" t="inlineStr"/>
      <c r="G518" s="18" t="inlineStr"/>
    </row>
    <row r="519" customHeight="1" ht="20">
      <c r="A519" s="19" t="inlineStr">
        <is>
          <r>
            <t xml:space="preserve">1.3.2.9.4. ​C4302​ FORMA PARA CONCRETO PRÉ-MOLDADO, INCLUSIVE DESFORMA​ (M2)</t>
          </r>
        </is>
      </c>
      <c r="B519" s="19" t="inlineStr"/>
      <c r="C519" s="19" t="inlineStr"/>
      <c r="D519" s="19" t="inlineStr"/>
      <c r="E519" s="19" t="inlineStr"/>
      <c r="F519" s="19" t="inlineStr"/>
      <c r="G519" s="19" t="inlineStr"/>
    </row>
    <row r="520" customHeight="1" ht="15">
      <c r="A520" s="20" t="inlineStr">
        <is>
          <r>
            <t xml:space="preserve">Equipamento Custo Horário</t>
          </r>
        </is>
      </c>
      <c r="B520" s="20" t="inlineStr"/>
      <c r="C520" s="21" t="inlineStr">
        <is>
          <r>
            <t xml:space="preserve">FONTE</t>
          </r>
        </is>
      </c>
      <c r="D520" s="21" t="inlineStr">
        <is>
          <r>
            <t xml:space="preserve">UNID</t>
          </r>
        </is>
      </c>
      <c r="E520" s="21" t="inlineStr">
        <is>
          <r>
            <t xml:space="preserve">COEFICIENTE</t>
          </r>
        </is>
      </c>
      <c r="F520" s="21" t="inlineStr">
        <is>
          <r>
            <t xml:space="preserve">PREÇO UNITÁRIO</t>
          </r>
        </is>
      </c>
      <c r="G520" s="21" t="inlineStr">
        <is>
          <r>
            <t xml:space="preserve">TOTAL</t>
          </r>
        </is>
      </c>
    </row>
    <row r="521" customHeight="1" ht="15">
      <c r="A521" s="22" t="inlineStr">
        <is>
          <r>
            <t xml:space="preserve">I0705</t>
          </r>
        </is>
      </c>
      <c r="B521" s="23" t="inlineStr">
        <is>
          <r>
            <t xml:space="preserve">CAMINHÃO COMERC. EQUIP. C/GUINDASTE (CHP)</t>
          </r>
        </is>
      </c>
      <c r="C521" s="22" t="inlineStr">
        <is>
          <r>
            <t xml:space="preserve">SEINFRA</t>
          </r>
        </is>
      </c>
      <c r="D521" s="22" t="inlineStr">
        <is>
          <r>
            <t xml:space="preserve">H</t>
          </r>
        </is>
      </c>
      <c r="E521" s="24" t="n">
        <v>0.003</v>
      </c>
      <c r="F521" s="30" t="n">
        <v>169.7613</v>
      </c>
      <c r="G521" s="30" t="n">
        <f>ROUND(ROUND(E521,8)*F521,4)</f>
        <v>0.5093</v>
      </c>
    </row>
    <row r="522" customHeight="1" ht="18">
      <c r="A522" s="2" t="inlineStr"/>
      <c r="B522" s="2" t="inlineStr"/>
      <c r="C522" s="2" t="inlineStr"/>
      <c r="D522" s="2" t="inlineStr"/>
      <c r="E522" s="26" t="inlineStr">
        <is>
          <r>
            <t xml:space="preserve">TOTAL Equipamento Custo Horário:</t>
          </r>
        </is>
      </c>
      <c r="F522" s="26" t="inlineStr"/>
      <c r="G522" s="31" t="n">
        <f>SUM(G521:G521)</f>
        <v>0.5093</v>
      </c>
    </row>
    <row r="523" customHeight="1" ht="15">
      <c r="A523" s="20" t="inlineStr">
        <is>
          <r>
            <t xml:space="preserve">Material</t>
          </r>
        </is>
      </c>
      <c r="B523" s="20" t="inlineStr"/>
      <c r="C523" s="21" t="inlineStr">
        <is>
          <r>
            <t xml:space="preserve">FONTE</t>
          </r>
        </is>
      </c>
      <c r="D523" s="21" t="inlineStr">
        <is>
          <r>
            <t xml:space="preserve">UNID</t>
          </r>
        </is>
      </c>
      <c r="E523" s="21" t="inlineStr">
        <is>
          <r>
            <t xml:space="preserve">COEFICIENTE</t>
          </r>
        </is>
      </c>
      <c r="F523" s="21" t="inlineStr">
        <is>
          <r>
            <t xml:space="preserve">PREÇO UNITÁRIO</t>
          </r>
        </is>
      </c>
      <c r="G523" s="21" t="inlineStr">
        <is>
          <r>
            <t xml:space="preserve">TOTAL</t>
          </r>
        </is>
      </c>
    </row>
    <row r="524" customHeight="1" ht="15">
      <c r="A524" s="22" t="inlineStr">
        <is>
          <r>
            <t xml:space="preserve">I7486</t>
          </r>
        </is>
      </c>
      <c r="B524" s="23" t="inlineStr">
        <is>
          <r>
            <t xml:space="preserve">PÓRTICO 27 TON</t>
          </r>
        </is>
      </c>
      <c r="C524" s="22" t="inlineStr">
        <is>
          <r>
            <t xml:space="preserve">SEINFRA</t>
          </r>
        </is>
      </c>
      <c r="D524" s="22" t="inlineStr">
        <is>
          <r>
            <t xml:space="preserve">H</t>
          </r>
        </is>
      </c>
      <c r="E524" s="24" t="n">
        <v>0.003</v>
      </c>
      <c r="F524" s="30" t="n">
        <v>92.23</v>
      </c>
      <c r="G524" s="30" t="n">
        <f>ROUND(ROUND(E524,8)*F524,4)</f>
        <v>0.2767</v>
      </c>
    </row>
    <row r="525" customHeight="1" ht="15">
      <c r="A525" s="22" t="inlineStr">
        <is>
          <r>
            <t xml:space="preserve">I7484</t>
          </r>
        </is>
      </c>
      <c r="B525" s="23" t="inlineStr">
        <is>
          <r>
            <t xml:space="preserve">SEPAROL</t>
          </r>
        </is>
      </c>
      <c r="C525" s="22" t="inlineStr">
        <is>
          <r>
            <t xml:space="preserve">SEINFRA</t>
          </r>
        </is>
      </c>
      <c r="D525" s="22" t="inlineStr">
        <is>
          <r>
            <t xml:space="preserve">L</t>
          </r>
        </is>
      </c>
      <c r="E525" s="24" t="n">
        <v>0.006</v>
      </c>
      <c r="F525" s="30" t="n">
        <v>20.94</v>
      </c>
      <c r="G525" s="30" t="n">
        <f>ROUND(ROUND(E525,8)*F525,4)</f>
        <v>0.1256</v>
      </c>
    </row>
    <row r="526" customHeight="1" ht="15">
      <c r="A526" s="2" t="inlineStr"/>
      <c r="B526" s="2" t="inlineStr"/>
      <c r="C526" s="2" t="inlineStr"/>
      <c r="D526" s="2" t="inlineStr"/>
      <c r="E526" s="26" t="inlineStr">
        <is>
          <r>
            <t xml:space="preserve">TOTAL Material:</t>
          </r>
        </is>
      </c>
      <c r="F526" s="26" t="inlineStr"/>
      <c r="G526" s="31" t="n">
        <f>SUM(G524:G525)</f>
        <v>0.4023</v>
      </c>
    </row>
    <row r="527" customHeight="1" ht="15">
      <c r="A527" s="20" t="inlineStr">
        <is>
          <r>
            <t xml:space="preserve">Mão de Obra</t>
          </r>
        </is>
      </c>
      <c r="B527" s="20" t="inlineStr"/>
      <c r="C527" s="21" t="inlineStr">
        <is>
          <r>
            <t xml:space="preserve">FONTE</t>
          </r>
        </is>
      </c>
      <c r="D527" s="21" t="inlineStr">
        <is>
          <r>
            <t xml:space="preserve">UNID</t>
          </r>
        </is>
      </c>
      <c r="E527" s="21" t="inlineStr">
        <is>
          <r>
            <t xml:space="preserve">COEFICIENTE</t>
          </r>
        </is>
      </c>
      <c r="F527" s="21" t="inlineStr">
        <is>
          <r>
            <t xml:space="preserve">PREÇO UNITÁRIO</t>
          </r>
        </is>
      </c>
      <c r="G527" s="21" t="inlineStr">
        <is>
          <r>
            <t xml:space="preserve">TOTAL</t>
          </r>
        </is>
      </c>
    </row>
    <row r="528" customHeight="1" ht="15">
      <c r="A528" s="22" t="inlineStr">
        <is>
          <r>
            <t xml:space="preserve">I0041</t>
          </r>
        </is>
      </c>
      <c r="B528" s="23" t="inlineStr">
        <is>
          <r>
            <t xml:space="preserve">AJUDANTE DE CARPINTEIRO</t>
          </r>
        </is>
      </c>
      <c r="C528" s="22" t="inlineStr">
        <is>
          <r>
            <t xml:space="preserve">SEINFRA</t>
          </r>
        </is>
      </c>
      <c r="D528" s="22" t="inlineStr">
        <is>
          <r>
            <t xml:space="preserve">H</t>
          </r>
        </is>
      </c>
      <c r="E528" s="24" t="n">
        <v>0.24</v>
      </c>
      <c r="F528" s="30" t="n">
        <v>19.1</v>
      </c>
      <c r="G528" s="30" t="n">
        <f>ROUND(ROUND(E528,8)*F528,4)</f>
        <v>4.584</v>
      </c>
    </row>
    <row r="529" customHeight="1" ht="15">
      <c r="A529" s="22" t="inlineStr">
        <is>
          <r>
            <t xml:space="preserve">I0498</t>
          </r>
        </is>
      </c>
      <c r="B529" s="23" t="inlineStr">
        <is>
          <r>
            <t xml:space="preserve">CARPINTEIRO</t>
          </r>
        </is>
      </c>
      <c r="C529" s="22" t="inlineStr">
        <is>
          <r>
            <t xml:space="preserve">SEINFRA</t>
          </r>
        </is>
      </c>
      <c r="D529" s="22" t="inlineStr">
        <is>
          <r>
            <t xml:space="preserve">H</t>
          </r>
        </is>
      </c>
      <c r="E529" s="24" t="n">
        <v>0.16</v>
      </c>
      <c r="F529" s="30" t="n">
        <v>24.16</v>
      </c>
      <c r="G529" s="30" t="n">
        <f>ROUND(ROUND(E529,8)*F529,4)</f>
        <v>3.8656</v>
      </c>
    </row>
    <row r="530" customHeight="1" ht="15">
      <c r="A530" s="2" t="inlineStr"/>
      <c r="B530" s="2" t="inlineStr"/>
      <c r="C530" s="2" t="inlineStr"/>
      <c r="D530" s="2" t="inlineStr"/>
      <c r="E530" s="26" t="inlineStr">
        <is>
          <r>
            <t xml:space="preserve">TOTAL Mão de Obra:</t>
          </r>
        </is>
      </c>
      <c r="F530" s="26" t="inlineStr"/>
      <c r="G530" s="31" t="n">
        <f>SUM(G528:G529)</f>
        <v>8.4496</v>
      </c>
    </row>
    <row r="531" customHeight="1" ht="15">
      <c r="A531" s="20" t="inlineStr">
        <is>
          <r>
            <t xml:space="preserve">Serviço</t>
          </r>
        </is>
      </c>
      <c r="B531" s="20" t="inlineStr"/>
      <c r="C531" s="21" t="inlineStr">
        <is>
          <r>
            <t xml:space="preserve">FONTE</t>
          </r>
        </is>
      </c>
      <c r="D531" s="21" t="inlineStr">
        <is>
          <r>
            <t xml:space="preserve">UNID</t>
          </r>
        </is>
      </c>
      <c r="E531" s="21" t="inlineStr">
        <is>
          <r>
            <t xml:space="preserve">COEFICIENTE</t>
          </r>
        </is>
      </c>
      <c r="F531" s="21" t="inlineStr">
        <is>
          <r>
            <t xml:space="preserve">PREÇO UNITÁRIO</t>
          </r>
        </is>
      </c>
      <c r="G531" s="21" t="inlineStr">
        <is>
          <r>
            <t xml:space="preserve">TOTAL</t>
          </r>
        </is>
      </c>
    </row>
    <row r="532" customHeight="1" ht="29">
      <c r="A532" s="22" t="inlineStr">
        <is>
          <r>
            <t xml:space="preserve">C1404</t>
          </r>
        </is>
      </c>
      <c r="B532" s="23" t="inlineStr">
        <is>
          <r>
            <t xml:space="preserve">CONFECÇÃO DE FORMA P/ PEÇAS PRÉ-MOLDADAS DE CONCRETO PROTENDIDO, REVESTIDAS C/CHAPA METÁLICA.UTIL(10 A 15X)</t>
          </r>
        </is>
      </c>
      <c r="C532" s="22" t="inlineStr">
        <is>
          <r>
            <t xml:space="preserve">SEINFRA</t>
          </r>
        </is>
      </c>
      <c r="D532" s="22" t="inlineStr">
        <is>
          <r>
            <t xml:space="preserve">M2</t>
          </r>
        </is>
      </c>
      <c r="E532" s="24" t="n">
        <v>0.067</v>
      </c>
      <c r="F532" s="30" t="n">
        <v>673.49</v>
      </c>
      <c r="G532" s="30" t="n">
        <f>ROUND(ROUND(E532,8)*F532,4)</f>
        <v>45.1238</v>
      </c>
    </row>
    <row r="533" customHeight="1" ht="15">
      <c r="A533" s="2" t="inlineStr"/>
      <c r="B533" s="2" t="inlineStr"/>
      <c r="C533" s="2" t="inlineStr"/>
      <c r="D533" s="2" t="inlineStr"/>
      <c r="E533" s="26" t="inlineStr">
        <is>
          <r>
            <t xml:space="preserve">TOTAL Serviço:</t>
          </r>
        </is>
      </c>
      <c r="F533" s="26" t="inlineStr"/>
      <c r="G533" s="31" t="n">
        <f>SUM(G532:G532)</f>
        <v>45.1238</v>
      </c>
    </row>
    <row r="534" customHeight="1" ht="15">
      <c r="A534" s="2" t="inlineStr"/>
      <c r="B534" s="2" t="inlineStr"/>
      <c r="C534" s="2" t="inlineStr"/>
      <c r="D534" s="2" t="inlineStr"/>
      <c r="E534" s="28" t="inlineStr">
        <is>
          <r>
            <t xml:space="preserve">VALOR:</t>
          </r>
        </is>
      </c>
      <c r="F534" s="28" t="inlineStr"/>
      <c r="G534" s="29" t="n">
        <f>ROUND(SUM(G522,G526,G530,G533),2)</f>
        <v>54.49</v>
      </c>
    </row>
    <row r="535" customHeight="1" ht="15">
      <c r="A535" s="2" t="inlineStr"/>
      <c r="B535" s="2" t="inlineStr"/>
      <c r="C535" s="2" t="inlineStr"/>
      <c r="D535" s="2" t="inlineStr"/>
      <c r="E535" s="28" t="inlineStr">
        <is>
          <r>
            <t xml:space="preserve">VALOR BDI:</t>
          </r>
        </is>
      </c>
      <c r="F535" s="28" t="inlineStr"/>
      <c r="G535" s="29" t="n">
        <f>ROUND(G534*(0/100),2)</f>
        <v>0.0</v>
      </c>
    </row>
    <row r="536" customHeight="1" ht="15">
      <c r="A536" s="2" t="inlineStr"/>
      <c r="B536" s="2" t="inlineStr"/>
      <c r="C536" s="2" t="inlineStr"/>
      <c r="D536" s="2" t="inlineStr"/>
      <c r="E536" s="28" t="inlineStr">
        <is>
          <r>
            <t xml:space="preserve">VALOR COM BDI:</t>
          </r>
        </is>
      </c>
      <c r="F536" s="28" t="inlineStr"/>
      <c r="G536" s="29" t="n">
        <f>G535+G534</f>
        <v>54.49</v>
      </c>
    </row>
    <row r="537" customHeight="1" ht="10">
      <c r="A537" s="2" t="inlineStr"/>
      <c r="B537" s="2" t="inlineStr"/>
      <c r="C537" s="2" t="inlineStr"/>
      <c r="D537" s="2" t="inlineStr"/>
      <c r="E537" s="18" t="inlineStr"/>
      <c r="F537" s="18" t="inlineStr"/>
      <c r="G537" s="18" t="inlineStr"/>
    </row>
    <row r="538" customHeight="1" ht="20">
      <c r="A538" s="19" t="inlineStr">
        <is>
          <r>
            <t xml:space="preserve">1.3.2.9.5. ​C1271​ LOCAÇÃO MENSAL DE ESCORA METÁLICA P/VIGAS/LAJES​ (M2)</t>
          </r>
        </is>
      </c>
      <c r="B538" s="19" t="inlineStr"/>
      <c r="C538" s="19" t="inlineStr"/>
      <c r="D538" s="19" t="inlineStr"/>
      <c r="E538" s="19" t="inlineStr"/>
      <c r="F538" s="19" t="inlineStr"/>
      <c r="G538" s="19" t="inlineStr"/>
    </row>
    <row r="539" customHeight="1" ht="15">
      <c r="A539" s="20" t="inlineStr">
        <is>
          <r>
            <t xml:space="preserve">Material</t>
          </r>
        </is>
      </c>
      <c r="B539" s="20" t="inlineStr"/>
      <c r="C539" s="21" t="inlineStr">
        <is>
          <r>
            <t xml:space="preserve">FONTE</t>
          </r>
        </is>
      </c>
      <c r="D539" s="21" t="inlineStr">
        <is>
          <r>
            <t xml:space="preserve">UNID</t>
          </r>
        </is>
      </c>
      <c r="E539" s="21" t="inlineStr">
        <is>
          <r>
            <t xml:space="preserve">COEFICIENTE</t>
          </r>
        </is>
      </c>
      <c r="F539" s="21" t="inlineStr">
        <is>
          <r>
            <t xml:space="preserve">PREÇO UNITÁRIO</t>
          </r>
        </is>
      </c>
      <c r="G539" s="21" t="inlineStr">
        <is>
          <r>
            <t xml:space="preserve">TOTAL</t>
          </r>
        </is>
      </c>
    </row>
    <row r="540" customHeight="1" ht="29">
      <c r="A540" s="22" t="inlineStr">
        <is>
          <r>
            <t xml:space="preserve">I1095</t>
          </r>
        </is>
      </c>
      <c r="B540" s="23" t="inlineStr">
        <is>
          <r>
            <t xml:space="preserve">ESCORA METALICA TELESCÓPICA, COM ALTURA REGULÁVEL DE 1,80 A 3,20 M, COM CAPACIDADE MÍNIMA DE 1000 KGF (10KN), INCLUSIVE TRIPÉ E FORCADO - LOCAÇÃO MENSAL</t>
          </r>
        </is>
      </c>
      <c r="C540" s="22" t="inlineStr">
        <is>
          <r>
            <t xml:space="preserve">SEINFRA</t>
          </r>
        </is>
      </c>
      <c r="D540" s="22" t="inlineStr">
        <is>
          <r>
            <t xml:space="preserve">UN</t>
          </r>
        </is>
      </c>
      <c r="E540" s="24" t="n">
        <v>1.0</v>
      </c>
      <c r="F540" s="30" t="n">
        <v>3.18</v>
      </c>
      <c r="G540" s="30" t="n">
        <f>ROUND(ROUND(E540,8)*F540,4)</f>
        <v>3.18</v>
      </c>
    </row>
    <row r="541" customHeight="1" ht="15">
      <c r="A541" s="2" t="inlineStr"/>
      <c r="B541" s="2" t="inlineStr"/>
      <c r="C541" s="2" t="inlineStr"/>
      <c r="D541" s="2" t="inlineStr"/>
      <c r="E541" s="26" t="inlineStr">
        <is>
          <r>
            <t xml:space="preserve">TOTAL Material:</t>
          </r>
        </is>
      </c>
      <c r="F541" s="26" t="inlineStr"/>
      <c r="G541" s="31" t="n">
        <f>SUM(G540:G540)</f>
        <v>3.18</v>
      </c>
    </row>
    <row r="542" customHeight="1" ht="15">
      <c r="A542" s="20" t="inlineStr">
        <is>
          <r>
            <t xml:space="preserve">Mão de Obra</t>
          </r>
        </is>
      </c>
      <c r="B542" s="20" t="inlineStr"/>
      <c r="C542" s="21" t="inlineStr">
        <is>
          <r>
            <t xml:space="preserve">FONTE</t>
          </r>
        </is>
      </c>
      <c r="D542" s="21" t="inlineStr">
        <is>
          <r>
            <t xml:space="preserve">UNID</t>
          </r>
        </is>
      </c>
      <c r="E542" s="21" t="inlineStr">
        <is>
          <r>
            <t xml:space="preserve">COEFICIENTE</t>
          </r>
        </is>
      </c>
      <c r="F542" s="21" t="inlineStr">
        <is>
          <r>
            <t xml:space="preserve">PREÇO UNITÁRIO</t>
          </r>
        </is>
      </c>
      <c r="G542" s="21" t="inlineStr">
        <is>
          <r>
            <t xml:space="preserve">TOTAL</t>
          </r>
        </is>
      </c>
    </row>
    <row r="543" customHeight="1" ht="15">
      <c r="A543" s="22" t="inlineStr">
        <is>
          <r>
            <t xml:space="preserve">I2543</t>
          </r>
        </is>
      </c>
      <c r="B543" s="23" t="inlineStr">
        <is>
          <r>
            <t xml:space="preserve">SERVENTE</t>
          </r>
        </is>
      </c>
      <c r="C543" s="22" t="inlineStr">
        <is>
          <r>
            <t xml:space="preserve">SEINFRA</t>
          </r>
        </is>
      </c>
      <c r="D543" s="22" t="inlineStr">
        <is>
          <r>
            <t xml:space="preserve">H</t>
          </r>
        </is>
      </c>
      <c r="E543" s="24" t="n">
        <v>0.1</v>
      </c>
      <c r="F543" s="30" t="n">
        <v>18.46</v>
      </c>
      <c r="G543" s="30" t="n">
        <f>ROUND(ROUND(E543,8)*F543,4)</f>
        <v>1.846</v>
      </c>
    </row>
    <row r="544" customHeight="1" ht="15">
      <c r="A544" s="2" t="inlineStr"/>
      <c r="B544" s="2" t="inlineStr"/>
      <c r="C544" s="2" t="inlineStr"/>
      <c r="D544" s="2" t="inlineStr"/>
      <c r="E544" s="26" t="inlineStr">
        <is>
          <r>
            <t xml:space="preserve">TOTAL Mão de Obra:</t>
          </r>
        </is>
      </c>
      <c r="F544" s="26" t="inlineStr"/>
      <c r="G544" s="31" t="n">
        <f>SUM(G543:G543)</f>
        <v>1.846</v>
      </c>
    </row>
    <row r="545" customHeight="1" ht="15">
      <c r="A545" s="2" t="inlineStr"/>
      <c r="B545" s="2" t="inlineStr"/>
      <c r="C545" s="2" t="inlineStr"/>
      <c r="D545" s="2" t="inlineStr"/>
      <c r="E545" s="28" t="inlineStr">
        <is>
          <r>
            <t xml:space="preserve">VALOR:</t>
          </r>
        </is>
      </c>
      <c r="F545" s="28" t="inlineStr"/>
      <c r="G545" s="29" t="n">
        <f>ROUND(SUM(G541,G544),2)</f>
        <v>5.03</v>
      </c>
    </row>
    <row r="546" customHeight="1" ht="15">
      <c r="A546" s="2" t="inlineStr"/>
      <c r="B546" s="2" t="inlineStr"/>
      <c r="C546" s="2" t="inlineStr"/>
      <c r="D546" s="2" t="inlineStr"/>
      <c r="E546" s="28" t="inlineStr">
        <is>
          <r>
            <t xml:space="preserve">VALOR BDI:</t>
          </r>
        </is>
      </c>
      <c r="F546" s="28" t="inlineStr"/>
      <c r="G546" s="29" t="n">
        <f>ROUND(G545*(0/100),2)</f>
        <v>0.0</v>
      </c>
    </row>
    <row r="547" customHeight="1" ht="15">
      <c r="A547" s="2" t="inlineStr"/>
      <c r="B547" s="2" t="inlineStr"/>
      <c r="C547" s="2" t="inlineStr"/>
      <c r="D547" s="2" t="inlineStr"/>
      <c r="E547" s="28" t="inlineStr">
        <is>
          <r>
            <t xml:space="preserve">VALOR COM BDI:</t>
          </r>
        </is>
      </c>
      <c r="F547" s="28" t="inlineStr"/>
      <c r="G547" s="29" t="n">
        <f>G546+G545</f>
        <v>5.03</v>
      </c>
    </row>
    <row r="548" customHeight="1" ht="10">
      <c r="A548" s="2" t="inlineStr"/>
      <c r="B548" s="2" t="inlineStr"/>
      <c r="C548" s="2" t="inlineStr"/>
      <c r="D548" s="2" t="inlineStr"/>
      <c r="E548" s="18" t="inlineStr"/>
      <c r="F548" s="18" t="inlineStr"/>
      <c r="G548" s="18" t="inlineStr"/>
    </row>
    <row r="549" customHeight="1" ht="20">
      <c r="A549" s="19" t="inlineStr">
        <is>
          <r>
            <t xml:space="preserve">1.3.2.9.6. ​C4999​ FUNGENBAND PARA JUNTA DE DILATAÇÃO, O-22, ATÉ 30MCA​ (M)</t>
          </r>
        </is>
      </c>
      <c r="B549" s="19" t="inlineStr"/>
      <c r="C549" s="19" t="inlineStr"/>
      <c r="D549" s="19" t="inlineStr"/>
      <c r="E549" s="19" t="inlineStr"/>
      <c r="F549" s="19" t="inlineStr"/>
      <c r="G549" s="19" t="inlineStr"/>
    </row>
    <row r="550" customHeight="1" ht="15">
      <c r="A550" s="20" t="inlineStr">
        <is>
          <r>
            <t xml:space="preserve">Material</t>
          </r>
        </is>
      </c>
      <c r="B550" s="20" t="inlineStr"/>
      <c r="C550" s="21" t="inlineStr">
        <is>
          <r>
            <t xml:space="preserve">FONTE</t>
          </r>
        </is>
      </c>
      <c r="D550" s="21" t="inlineStr">
        <is>
          <r>
            <t xml:space="preserve">UNID</t>
          </r>
        </is>
      </c>
      <c r="E550" s="21" t="inlineStr">
        <is>
          <r>
            <t xml:space="preserve">COEFICIENTE</t>
          </r>
        </is>
      </c>
      <c r="F550" s="21" t="inlineStr">
        <is>
          <r>
            <t xml:space="preserve">PREÇO UNITÁRIO</t>
          </r>
        </is>
      </c>
      <c r="G550" s="21" t="inlineStr">
        <is>
          <r>
            <t xml:space="preserve">TOTAL</t>
          </r>
        </is>
      </c>
    </row>
    <row r="551" customHeight="1" ht="21">
      <c r="A551" s="22" t="inlineStr">
        <is>
          <r>
            <t xml:space="preserve">I9480</t>
          </r>
        </is>
      </c>
      <c r="B551" s="23" t="inlineStr">
        <is>
          <r>
            <t xml:space="preserve">FUNGENBAND PARA JUNTA DE DILATAÇÃO, O-22, ATÉ 30MCA</t>
          </r>
        </is>
      </c>
      <c r="C551" s="22" t="inlineStr">
        <is>
          <r>
            <t xml:space="preserve">SEINFRA</t>
          </r>
        </is>
      </c>
      <c r="D551" s="22" t="inlineStr">
        <is>
          <r>
            <t xml:space="preserve">M</t>
          </r>
        </is>
      </c>
      <c r="E551" s="24" t="n">
        <v>1.0</v>
      </c>
      <c r="F551" s="30" t="n">
        <v>128.78</v>
      </c>
      <c r="G551" s="30" t="n">
        <f>ROUND(ROUND(E551,8)*F551,4)</f>
        <v>128.78</v>
      </c>
    </row>
    <row r="552" customHeight="1" ht="15">
      <c r="A552" s="2" t="inlineStr"/>
      <c r="B552" s="2" t="inlineStr"/>
      <c r="C552" s="2" t="inlineStr"/>
      <c r="D552" s="2" t="inlineStr"/>
      <c r="E552" s="26" t="inlineStr">
        <is>
          <r>
            <t xml:space="preserve">TOTAL Material:</t>
          </r>
        </is>
      </c>
      <c r="F552" s="26" t="inlineStr"/>
      <c r="G552" s="31" t="n">
        <f>SUM(G551:G551)</f>
        <v>128.78</v>
      </c>
    </row>
    <row r="553" customHeight="1" ht="15">
      <c r="A553" s="20" t="inlineStr">
        <is>
          <r>
            <t xml:space="preserve">Mão de Obra</t>
          </r>
        </is>
      </c>
      <c r="B553" s="20" t="inlineStr"/>
      <c r="C553" s="21" t="inlineStr">
        <is>
          <r>
            <t xml:space="preserve">FONTE</t>
          </r>
        </is>
      </c>
      <c r="D553" s="21" t="inlineStr">
        <is>
          <r>
            <t xml:space="preserve">UNID</t>
          </r>
        </is>
      </c>
      <c r="E553" s="21" t="inlineStr">
        <is>
          <r>
            <t xml:space="preserve">COEFICIENTE</t>
          </r>
        </is>
      </c>
      <c r="F553" s="21" t="inlineStr">
        <is>
          <r>
            <t xml:space="preserve">PREÇO UNITÁRIO</t>
          </r>
        </is>
      </c>
      <c r="G553" s="21" t="inlineStr">
        <is>
          <r>
            <t xml:space="preserve">TOTAL</t>
          </r>
        </is>
      </c>
    </row>
    <row r="554" customHeight="1" ht="15">
      <c r="A554" s="22" t="inlineStr">
        <is>
          <r>
            <t xml:space="preserve">I2391</t>
          </r>
        </is>
      </c>
      <c r="B554" s="23" t="inlineStr">
        <is>
          <r>
            <t xml:space="preserve">PEDREIRO</t>
          </r>
        </is>
      </c>
      <c r="C554" s="22" t="inlineStr">
        <is>
          <r>
            <t xml:space="preserve">SEINFRA</t>
          </r>
        </is>
      </c>
      <c r="D554" s="22" t="inlineStr">
        <is>
          <r>
            <t xml:space="preserve">H</t>
          </r>
        </is>
      </c>
      <c r="E554" s="24" t="n">
        <v>0.6</v>
      </c>
      <c r="F554" s="30" t="n">
        <v>24.16</v>
      </c>
      <c r="G554" s="30" t="n">
        <f>ROUND(ROUND(E554,8)*F554,4)</f>
        <v>14.496</v>
      </c>
    </row>
    <row r="555" customHeight="1" ht="15">
      <c r="A555" s="22" t="inlineStr">
        <is>
          <r>
            <t xml:space="preserve">I2543</t>
          </r>
        </is>
      </c>
      <c r="B555" s="23" t="inlineStr">
        <is>
          <r>
            <t xml:space="preserve">SERVENTE</t>
          </r>
        </is>
      </c>
      <c r="C555" s="22" t="inlineStr">
        <is>
          <r>
            <t xml:space="preserve">SEINFRA</t>
          </r>
        </is>
      </c>
      <c r="D555" s="22" t="inlineStr">
        <is>
          <r>
            <t xml:space="preserve">H</t>
          </r>
        </is>
      </c>
      <c r="E555" s="24" t="n">
        <v>0.4</v>
      </c>
      <c r="F555" s="30" t="n">
        <v>18.46</v>
      </c>
      <c r="G555" s="30" t="n">
        <f>ROUND(ROUND(E555,8)*F555,4)</f>
        <v>7.384</v>
      </c>
    </row>
    <row r="556" customHeight="1" ht="15">
      <c r="A556" s="2" t="inlineStr"/>
      <c r="B556" s="2" t="inlineStr"/>
      <c r="C556" s="2" t="inlineStr"/>
      <c r="D556" s="2" t="inlineStr"/>
      <c r="E556" s="26" t="inlineStr">
        <is>
          <r>
            <t xml:space="preserve">TOTAL Mão de Obra:</t>
          </r>
        </is>
      </c>
      <c r="F556" s="26" t="inlineStr"/>
      <c r="G556" s="31" t="n">
        <f>SUM(G554:G555)</f>
        <v>21.88</v>
      </c>
    </row>
    <row r="557" customHeight="1" ht="15">
      <c r="A557" s="2" t="inlineStr"/>
      <c r="B557" s="2" t="inlineStr"/>
      <c r="C557" s="2" t="inlineStr"/>
      <c r="D557" s="2" t="inlineStr"/>
      <c r="E557" s="28" t="inlineStr">
        <is>
          <r>
            <t xml:space="preserve">VALOR:</t>
          </r>
        </is>
      </c>
      <c r="F557" s="28" t="inlineStr"/>
      <c r="G557" s="29" t="n">
        <f>ROUND(SUM(G552,G556),2)</f>
        <v>150.66</v>
      </c>
    </row>
    <row r="558" customHeight="1" ht="15">
      <c r="A558" s="2" t="inlineStr"/>
      <c r="B558" s="2" t="inlineStr"/>
      <c r="C558" s="2" t="inlineStr"/>
      <c r="D558" s="2" t="inlineStr"/>
      <c r="E558" s="28" t="inlineStr">
        <is>
          <r>
            <t xml:space="preserve">VALOR BDI:</t>
          </r>
        </is>
      </c>
      <c r="F558" s="28" t="inlineStr"/>
      <c r="G558" s="29" t="n">
        <f>ROUND(G557*(0/100),2)</f>
        <v>0.0</v>
      </c>
    </row>
    <row r="559" customHeight="1" ht="15">
      <c r="A559" s="2" t="inlineStr"/>
      <c r="B559" s="2" t="inlineStr"/>
      <c r="C559" s="2" t="inlineStr"/>
      <c r="D559" s="2" t="inlineStr"/>
      <c r="E559" s="28" t="inlineStr">
        <is>
          <r>
            <t xml:space="preserve">VALOR COM BDI:</t>
          </r>
        </is>
      </c>
      <c r="F559" s="28" t="inlineStr"/>
      <c r="G559" s="29" t="n">
        <f>G558+G557</f>
        <v>150.66</v>
      </c>
    </row>
    <row r="560" customHeight="1" ht="10">
      <c r="A560" s="2" t="inlineStr"/>
      <c r="B560" s="2" t="inlineStr"/>
      <c r="C560" s="2" t="inlineStr"/>
      <c r="D560" s="2" t="inlineStr"/>
      <c r="E560" s="18" t="inlineStr"/>
      <c r="F560" s="18" t="inlineStr"/>
      <c r="G560" s="18" t="inlineStr"/>
    </row>
    <row r="561" customHeight="1" ht="20">
      <c r="A561" s="19" t="inlineStr">
        <is>
          <r>
            <t xml:space="preserve">1.3.2.9.7. ​C0215​ ARMADURA CA-50A GROSSA D= 12,5 A 25,0mm​ (KG)</t>
          </r>
        </is>
      </c>
      <c r="B561" s="19" t="inlineStr"/>
      <c r="C561" s="19" t="inlineStr"/>
      <c r="D561" s="19" t="inlineStr"/>
      <c r="E561" s="19" t="inlineStr"/>
      <c r="F561" s="19" t="inlineStr"/>
      <c r="G561" s="19" t="inlineStr"/>
    </row>
    <row r="562" customHeight="1" ht="15">
      <c r="A562" s="20" t="inlineStr">
        <is>
          <r>
            <t xml:space="preserve">Material</t>
          </r>
        </is>
      </c>
      <c r="B562" s="20" t="inlineStr"/>
      <c r="C562" s="21" t="inlineStr">
        <is>
          <r>
            <t xml:space="preserve">FONTE</t>
          </r>
        </is>
      </c>
      <c r="D562" s="21" t="inlineStr">
        <is>
          <r>
            <t xml:space="preserve">UNID</t>
          </r>
        </is>
      </c>
      <c r="E562" s="21" t="inlineStr">
        <is>
          <r>
            <t xml:space="preserve">COEFICIENTE</t>
          </r>
        </is>
      </c>
      <c r="F562" s="21" t="inlineStr">
        <is>
          <r>
            <t xml:space="preserve">PREÇO UNITÁRIO</t>
          </r>
        </is>
      </c>
      <c r="G562" s="21" t="inlineStr">
        <is>
          <r>
            <t xml:space="preserve">TOTAL</t>
          </r>
        </is>
      </c>
    </row>
    <row r="563" customHeight="1" ht="15">
      <c r="A563" s="22" t="inlineStr">
        <is>
          <r>
            <t xml:space="preserve">I0163</t>
          </r>
        </is>
      </c>
      <c r="B563" s="23" t="inlineStr">
        <is>
          <r>
            <t xml:space="preserve">AÇO CA-50</t>
          </r>
        </is>
      </c>
      <c r="C563" s="22" t="inlineStr">
        <is>
          <r>
            <t xml:space="preserve">SEINFRA</t>
          </r>
        </is>
      </c>
      <c r="D563" s="22" t="inlineStr">
        <is>
          <r>
            <t xml:space="preserve">KG</t>
          </r>
        </is>
      </c>
      <c r="E563" s="24" t="n">
        <v>1.15</v>
      </c>
      <c r="F563" s="30" t="n">
        <v>7.1</v>
      </c>
      <c r="G563" s="30" t="n">
        <f>ROUND(ROUND(E563,8)*F563,4)</f>
        <v>8.165</v>
      </c>
    </row>
    <row r="564" customHeight="1" ht="15">
      <c r="A564" s="22" t="inlineStr">
        <is>
          <r>
            <t xml:space="preserve">I0103</t>
          </r>
        </is>
      </c>
      <c r="B564" s="23" t="inlineStr">
        <is>
          <r>
            <t xml:space="preserve">ARAME RECOZIDO N.18 BWG</t>
          </r>
        </is>
      </c>
      <c r="C564" s="22" t="inlineStr">
        <is>
          <r>
            <t xml:space="preserve">SEINFRA</t>
          </r>
        </is>
      </c>
      <c r="D564" s="22" t="inlineStr">
        <is>
          <r>
            <t xml:space="preserve">KG</t>
          </r>
        </is>
      </c>
      <c r="E564" s="24" t="n">
        <v>0.03</v>
      </c>
      <c r="F564" s="30" t="n">
        <v>16.53</v>
      </c>
      <c r="G564" s="30" t="n">
        <f>ROUND(ROUND(E564,8)*F564,4)</f>
        <v>0.4959</v>
      </c>
    </row>
    <row r="565" customHeight="1" ht="15">
      <c r="A565" s="2" t="inlineStr"/>
      <c r="B565" s="2" t="inlineStr"/>
      <c r="C565" s="2" t="inlineStr"/>
      <c r="D565" s="2" t="inlineStr"/>
      <c r="E565" s="26" t="inlineStr">
        <is>
          <r>
            <t xml:space="preserve">TOTAL Material:</t>
          </r>
        </is>
      </c>
      <c r="F565" s="26" t="inlineStr"/>
      <c r="G565" s="31" t="n">
        <f>SUM(G563:G564)</f>
        <v>8.6609</v>
      </c>
    </row>
    <row r="566" customHeight="1" ht="15">
      <c r="A566" s="20" t="inlineStr">
        <is>
          <r>
            <t xml:space="preserve">Mão de Obra</t>
          </r>
        </is>
      </c>
      <c r="B566" s="20" t="inlineStr"/>
      <c r="C566" s="21" t="inlineStr">
        <is>
          <r>
            <t xml:space="preserve">FONTE</t>
          </r>
        </is>
      </c>
      <c r="D566" s="21" t="inlineStr">
        <is>
          <r>
            <t xml:space="preserve">UNID</t>
          </r>
        </is>
      </c>
      <c r="E566" s="21" t="inlineStr">
        <is>
          <r>
            <t xml:space="preserve">COEFICIENTE</t>
          </r>
        </is>
      </c>
      <c r="F566" s="21" t="inlineStr">
        <is>
          <r>
            <t xml:space="preserve">PREÇO UNITÁRIO</t>
          </r>
        </is>
      </c>
      <c r="G566" s="21" t="inlineStr">
        <is>
          <r>
            <t xml:space="preserve">TOTAL</t>
          </r>
        </is>
      </c>
    </row>
    <row r="567" customHeight="1" ht="15">
      <c r="A567" s="22" t="inlineStr">
        <is>
          <r>
            <t xml:space="preserve">I0040</t>
          </r>
        </is>
      </c>
      <c r="B567" s="23" t="inlineStr">
        <is>
          <r>
            <t xml:space="preserve">AJUDANTE DE ARMADOR/FERREIRO</t>
          </r>
        </is>
      </c>
      <c r="C567" s="22" t="inlineStr">
        <is>
          <r>
            <t xml:space="preserve">SEINFRA</t>
          </r>
        </is>
      </c>
      <c r="D567" s="22" t="inlineStr">
        <is>
          <r>
            <t xml:space="preserve">H</t>
          </r>
        </is>
      </c>
      <c r="E567" s="24" t="n">
        <v>0.1</v>
      </c>
      <c r="F567" s="30" t="n">
        <v>19.1</v>
      </c>
      <c r="G567" s="30" t="n">
        <f>ROUND(ROUND(E567,8)*F567,4)</f>
        <v>1.91</v>
      </c>
    </row>
    <row r="568" customHeight="1" ht="15">
      <c r="A568" s="22" t="inlineStr">
        <is>
          <r>
            <t xml:space="preserve">I0121</t>
          </r>
        </is>
      </c>
      <c r="B568" s="23" t="inlineStr">
        <is>
          <r>
            <t xml:space="preserve">ARMADOR/FERREIRO</t>
          </r>
        </is>
      </c>
      <c r="C568" s="22" t="inlineStr">
        <is>
          <r>
            <t xml:space="preserve">SEINFRA</t>
          </r>
        </is>
      </c>
      <c r="D568" s="22" t="inlineStr">
        <is>
          <r>
            <t xml:space="preserve">H</t>
          </r>
        </is>
      </c>
      <c r="E568" s="24" t="n">
        <v>0.1</v>
      </c>
      <c r="F568" s="30" t="n">
        <v>24.16</v>
      </c>
      <c r="G568" s="30" t="n">
        <f>ROUND(ROUND(E568,8)*F568,4)</f>
        <v>2.416</v>
      </c>
    </row>
    <row r="569" customHeight="1" ht="15">
      <c r="A569" s="2" t="inlineStr"/>
      <c r="B569" s="2" t="inlineStr"/>
      <c r="C569" s="2" t="inlineStr"/>
      <c r="D569" s="2" t="inlineStr"/>
      <c r="E569" s="26" t="inlineStr">
        <is>
          <r>
            <t xml:space="preserve">TOTAL Mão de Obra:</t>
          </r>
        </is>
      </c>
      <c r="F569" s="26" t="inlineStr"/>
      <c r="G569" s="31" t="n">
        <f>SUM(G567:G568)</f>
        <v>4.326</v>
      </c>
    </row>
    <row r="570" customHeight="1" ht="15">
      <c r="A570" s="2" t="inlineStr"/>
      <c r="B570" s="2" t="inlineStr"/>
      <c r="C570" s="2" t="inlineStr"/>
      <c r="D570" s="2" t="inlineStr"/>
      <c r="E570" s="28" t="inlineStr">
        <is>
          <r>
            <t xml:space="preserve">VALOR:</t>
          </r>
        </is>
      </c>
      <c r="F570" s="28" t="inlineStr"/>
      <c r="G570" s="29" t="n">
        <f>ROUND(SUM(G565,G569),2)</f>
        <v>12.99</v>
      </c>
    </row>
    <row r="571" customHeight="1" ht="15">
      <c r="A571" s="2" t="inlineStr"/>
      <c r="B571" s="2" t="inlineStr"/>
      <c r="C571" s="2" t="inlineStr"/>
      <c r="D571" s="2" t="inlineStr"/>
      <c r="E571" s="28" t="inlineStr">
        <is>
          <r>
            <t xml:space="preserve">VALOR BDI:</t>
          </r>
        </is>
      </c>
      <c r="F571" s="28" t="inlineStr"/>
      <c r="G571" s="29" t="n">
        <f>ROUND(G570*(0/100),2)</f>
        <v>0.0</v>
      </c>
    </row>
    <row r="572" customHeight="1" ht="15">
      <c r="A572" s="2" t="inlineStr"/>
      <c r="B572" s="2" t="inlineStr"/>
      <c r="C572" s="2" t="inlineStr"/>
      <c r="D572" s="2" t="inlineStr"/>
      <c r="E572" s="28" t="inlineStr">
        <is>
          <r>
            <t xml:space="preserve">VALOR COM BDI:</t>
          </r>
        </is>
      </c>
      <c r="F572" s="28" t="inlineStr"/>
      <c r="G572" s="29" t="n">
        <f>G571+G570</f>
        <v>12.99</v>
      </c>
    </row>
    <row r="573" customHeight="1" ht="10">
      <c r="A573" s="2" t="inlineStr"/>
      <c r="B573" s="2" t="inlineStr"/>
      <c r="C573" s="2" t="inlineStr"/>
      <c r="D573" s="2" t="inlineStr"/>
      <c r="E573" s="18" t="inlineStr"/>
      <c r="F573" s="18" t="inlineStr"/>
      <c r="G573" s="18" t="inlineStr"/>
    </row>
    <row r="574" customHeight="1" ht="20">
      <c r="A574" s="19" t="inlineStr">
        <is>
          <r>
            <t xml:space="preserve">1.3.2.9.8. ​00043127​ TELA DE ACO SOLDADA NERVURADA, CA-60, Q-283 (4,48 KG/M2), DIAMETRO DO FIO = 6,0 MM, LARGURA = 2,45 X 6,00 M DE COMPRIMENTO, ESPACAMENTO DA MALHA = 10 X 10 CM​ (M2)</t>
          </r>
        </is>
      </c>
      <c r="B574" s="19" t="inlineStr"/>
      <c r="C574" s="19" t="inlineStr"/>
      <c r="D574" s="19" t="inlineStr"/>
      <c r="E574" s="19" t="inlineStr"/>
      <c r="F574" s="19" t="inlineStr"/>
      <c r="G574" s="19" t="inlineStr"/>
    </row>
    <row r="575" customHeight="1" ht="15">
      <c r="A575" s="20" t="inlineStr">
        <is>
          <r>
            <t xml:space="preserve">Material</t>
          </r>
        </is>
      </c>
      <c r="B575" s="20" t="inlineStr"/>
      <c r="C575" s="21" t="inlineStr">
        <is>
          <r>
            <t xml:space="preserve">FONTE</t>
          </r>
        </is>
      </c>
      <c r="D575" s="21" t="inlineStr">
        <is>
          <r>
            <t xml:space="preserve">UNID</t>
          </r>
        </is>
      </c>
      <c r="E575" s="21" t="inlineStr">
        <is>
          <r>
            <t xml:space="preserve">COEFICIENTE</t>
          </r>
        </is>
      </c>
      <c r="F575" s="21" t="inlineStr">
        <is>
          <r>
            <t xml:space="preserve">PREÇO UNITÁRIO</t>
          </r>
        </is>
      </c>
      <c r="G575" s="21" t="inlineStr">
        <is>
          <r>
            <t xml:space="preserve">TOTAL</t>
          </r>
        </is>
      </c>
    </row>
    <row r="576" customHeight="1" ht="38">
      <c r="A576" s="22" t="inlineStr">
        <is>
          <r>
            <t xml:space="preserve">00043127</t>
          </r>
        </is>
      </c>
      <c r="B576" s="23" t="inlineStr">
        <is>
          <r>
            <t xml:space="preserve">TELA DE ACO SOLDADA NERVURADA, CA-60, Q-283 (4,48 KG/M2), DIAMETRO DO FIO = 6,0 MM, LARGURA = 2,45 X 6,00 M DE COMPRIMENTO, ESPACAMENTO DA MALHA = 10 X 10 CM</t>
          </r>
        </is>
      </c>
      <c r="C576" s="22" t="inlineStr">
        <is>
          <r>
            <t xml:space="preserve">SINAPI</t>
          </r>
        </is>
      </c>
      <c r="D576" s="22" t="inlineStr">
        <is>
          <r>
            <t xml:space="preserve">M2</t>
          </r>
        </is>
      </c>
      <c r="E576" s="24" t="n">
        <v>1.0</v>
      </c>
      <c r="F576" s="25" t="n">
        <v>35.39</v>
      </c>
      <c r="G576" s="25" t="n">
        <f>TRUNC(TRUNC(E576,8)*F576,2)</f>
        <v>35.39</v>
      </c>
    </row>
    <row r="577" customHeight="1" ht="15">
      <c r="A577" s="2" t="inlineStr"/>
      <c r="B577" s="2" t="inlineStr"/>
      <c r="C577" s="2" t="inlineStr"/>
      <c r="D577" s="2" t="inlineStr"/>
      <c r="E577" s="26" t="inlineStr">
        <is>
          <r>
            <t xml:space="preserve">TOTAL Material:</t>
          </r>
        </is>
      </c>
      <c r="F577" s="26" t="inlineStr"/>
      <c r="G577" s="27" t="n">
        <f>SUM(G576:G576)</f>
        <v>35.39</v>
      </c>
    </row>
    <row r="578" customHeight="1" ht="15">
      <c r="A578" s="2" t="inlineStr"/>
      <c r="B578" s="2" t="inlineStr"/>
      <c r="C578" s="2" t="inlineStr"/>
      <c r="D578" s="2" t="inlineStr"/>
      <c r="E578" s="28" t="inlineStr">
        <is>
          <r>
            <t xml:space="preserve">VALOR:</t>
          </r>
        </is>
      </c>
      <c r="F578" s="28" t="inlineStr"/>
      <c r="G578" s="29" t="n">
        <f>ROUND(SUM(G577),2)</f>
        <v>35.39</v>
      </c>
    </row>
    <row r="579" customHeight="1" ht="15">
      <c r="A579" s="2" t="inlineStr"/>
      <c r="B579" s="2" t="inlineStr"/>
      <c r="C579" s="2" t="inlineStr"/>
      <c r="D579" s="2" t="inlineStr"/>
      <c r="E579" s="28" t="inlineStr">
        <is>
          <r>
            <t xml:space="preserve">VALOR BDI:</t>
          </r>
        </is>
      </c>
      <c r="F579" s="28" t="inlineStr"/>
      <c r="G579" s="29" t="n">
        <f>ROUND(G578*(0/100),2)</f>
        <v>0.0</v>
      </c>
    </row>
    <row r="580" customHeight="1" ht="15">
      <c r="A580" s="2" t="inlineStr"/>
      <c r="B580" s="2" t="inlineStr"/>
      <c r="C580" s="2" t="inlineStr"/>
      <c r="D580" s="2" t="inlineStr"/>
      <c r="E580" s="28" t="inlineStr">
        <is>
          <r>
            <t xml:space="preserve">VALOR COM BDI:</t>
          </r>
        </is>
      </c>
      <c r="F580" s="28" t="inlineStr"/>
      <c r="G580" s="29" t="n">
        <f>G579+G578</f>
        <v>35.39</v>
      </c>
    </row>
    <row r="581" customHeight="1" ht="10">
      <c r="A581" s="2" t="inlineStr"/>
      <c r="B581" s="2" t="inlineStr"/>
      <c r="C581" s="2" t="inlineStr"/>
      <c r="D581" s="2" t="inlineStr"/>
      <c r="E581" s="18" t="inlineStr"/>
      <c r="F581" s="18" t="inlineStr"/>
      <c r="G581" s="18" t="inlineStr"/>
    </row>
    <row r="582" customHeight="1" ht="20">
      <c r="A582" s="19" t="inlineStr">
        <is>
          <r>
            <t xml:space="preserve">1.3.2.9.9. ​C3084​ EXECUÇÃO DE PINGADEIRAS​ (M)</t>
          </r>
        </is>
      </c>
      <c r="B582" s="19" t="inlineStr"/>
      <c r="C582" s="19" t="inlineStr"/>
      <c r="D582" s="19" t="inlineStr"/>
      <c r="E582" s="19" t="inlineStr"/>
      <c r="F582" s="19" t="inlineStr"/>
      <c r="G582" s="19" t="inlineStr"/>
    </row>
    <row r="583" customHeight="1" ht="15">
      <c r="A583" s="20" t="inlineStr">
        <is>
          <r>
            <t xml:space="preserve">Mão de Obra</t>
          </r>
        </is>
      </c>
      <c r="B583" s="20" t="inlineStr"/>
      <c r="C583" s="21" t="inlineStr">
        <is>
          <r>
            <t xml:space="preserve">FONTE</t>
          </r>
        </is>
      </c>
      <c r="D583" s="21" t="inlineStr">
        <is>
          <r>
            <t xml:space="preserve">UNID</t>
          </r>
        </is>
      </c>
      <c r="E583" s="21" t="inlineStr">
        <is>
          <r>
            <t xml:space="preserve">COEFICIENTE</t>
          </r>
        </is>
      </c>
      <c r="F583" s="21" t="inlineStr">
        <is>
          <r>
            <t xml:space="preserve">PREÇO UNITÁRIO</t>
          </r>
        </is>
      </c>
      <c r="G583" s="21" t="inlineStr">
        <is>
          <r>
            <t xml:space="preserve">TOTAL</t>
          </r>
        </is>
      </c>
    </row>
    <row r="584" customHeight="1" ht="15">
      <c r="A584" s="22" t="inlineStr">
        <is>
          <r>
            <t xml:space="preserve">I2391</t>
          </r>
        </is>
      </c>
      <c r="B584" s="23" t="inlineStr">
        <is>
          <r>
            <t xml:space="preserve">PEDREIRO</t>
          </r>
        </is>
      </c>
      <c r="C584" s="22" t="inlineStr">
        <is>
          <r>
            <t xml:space="preserve">SEINFRA</t>
          </r>
        </is>
      </c>
      <c r="D584" s="22" t="inlineStr">
        <is>
          <r>
            <t xml:space="preserve">H</t>
          </r>
        </is>
      </c>
      <c r="E584" s="24" t="n">
        <v>0.12</v>
      </c>
      <c r="F584" s="30" t="n">
        <v>24.16</v>
      </c>
      <c r="G584" s="30" t="n">
        <f>ROUND(ROUND(E584,8)*F584,4)</f>
        <v>2.8992</v>
      </c>
    </row>
    <row r="585" customHeight="1" ht="15">
      <c r="A585" s="22" t="inlineStr">
        <is>
          <r>
            <t xml:space="preserve">I2543</t>
          </r>
        </is>
      </c>
      <c r="B585" s="23" t="inlineStr">
        <is>
          <r>
            <t xml:space="preserve">SERVENTE</t>
          </r>
        </is>
      </c>
      <c r="C585" s="22" t="inlineStr">
        <is>
          <r>
            <t xml:space="preserve">SEINFRA</t>
          </r>
        </is>
      </c>
      <c r="D585" s="22" t="inlineStr">
        <is>
          <r>
            <t xml:space="preserve">H</t>
          </r>
        </is>
      </c>
      <c r="E585" s="24" t="n">
        <v>0.37</v>
      </c>
      <c r="F585" s="30" t="n">
        <v>18.46</v>
      </c>
      <c r="G585" s="30" t="n">
        <f>ROUND(ROUND(E585,8)*F585,4)</f>
        <v>6.8302</v>
      </c>
    </row>
    <row r="586" customHeight="1" ht="15">
      <c r="A586" s="2" t="inlineStr"/>
      <c r="B586" s="2" t="inlineStr"/>
      <c r="C586" s="2" t="inlineStr"/>
      <c r="D586" s="2" t="inlineStr"/>
      <c r="E586" s="26" t="inlineStr">
        <is>
          <r>
            <t xml:space="preserve">TOTAL Mão de Obra:</t>
          </r>
        </is>
      </c>
      <c r="F586" s="26" t="inlineStr"/>
      <c r="G586" s="31" t="n">
        <f>SUM(G584:G585)</f>
        <v>9.7294</v>
      </c>
    </row>
    <row r="587" customHeight="1" ht="15">
      <c r="A587" s="20" t="inlineStr">
        <is>
          <r>
            <t xml:space="preserve">Serviço</t>
          </r>
        </is>
      </c>
      <c r="B587" s="20" t="inlineStr"/>
      <c r="C587" s="21" t="inlineStr">
        <is>
          <r>
            <t xml:space="preserve">FONTE</t>
          </r>
        </is>
      </c>
      <c r="D587" s="21" t="inlineStr">
        <is>
          <r>
            <t xml:space="preserve">UNID</t>
          </r>
        </is>
      </c>
      <c r="E587" s="21" t="inlineStr">
        <is>
          <r>
            <t xml:space="preserve">COEFICIENTE</t>
          </r>
        </is>
      </c>
      <c r="F587" s="21" t="inlineStr">
        <is>
          <r>
            <t xml:space="preserve">PREÇO UNITÁRIO</t>
          </r>
        </is>
      </c>
      <c r="G587" s="21" t="inlineStr">
        <is>
          <r>
            <t xml:space="preserve">TOTAL</t>
          </r>
        </is>
      </c>
    </row>
    <row r="588" customHeight="1" ht="21">
      <c r="A588" s="22" t="inlineStr">
        <is>
          <r>
            <t xml:space="preserve">C3323</t>
          </r>
        </is>
      </c>
      <c r="B588" s="23" t="inlineStr">
        <is>
          <r>
            <t xml:space="preserve">ARGAMASSA DE CIMENTO E AREIA TRAÇO 1:3 COM AREIA PRODUZIDA</t>
          </r>
        </is>
      </c>
      <c r="C588" s="22" t="inlineStr">
        <is>
          <r>
            <t xml:space="preserve">SEINFRA</t>
          </r>
        </is>
      </c>
      <c r="D588" s="22" t="inlineStr">
        <is>
          <r>
            <t xml:space="preserve">M3</t>
          </r>
        </is>
      </c>
      <c r="E588" s="24" t="n">
        <v>0.005</v>
      </c>
      <c r="F588" s="30" t="n">
        <v>540.36</v>
      </c>
      <c r="G588" s="30" t="n">
        <f>ROUND(ROUND(E588,8)*F588,4)</f>
        <v>2.7018</v>
      </c>
    </row>
    <row r="589" customHeight="1" ht="15">
      <c r="A589" s="2" t="inlineStr"/>
      <c r="B589" s="2" t="inlineStr"/>
      <c r="C589" s="2" t="inlineStr"/>
      <c r="D589" s="2" t="inlineStr"/>
      <c r="E589" s="26" t="inlineStr">
        <is>
          <r>
            <t xml:space="preserve">TOTAL Serviço:</t>
          </r>
        </is>
      </c>
      <c r="F589" s="26" t="inlineStr"/>
      <c r="G589" s="31" t="n">
        <f>SUM(G588:G588)</f>
        <v>2.7018</v>
      </c>
    </row>
    <row r="590" customHeight="1" ht="15">
      <c r="A590" s="2" t="inlineStr"/>
      <c r="B590" s="2" t="inlineStr"/>
      <c r="C590" s="2" t="inlineStr"/>
      <c r="D590" s="2" t="inlineStr"/>
      <c r="E590" s="28" t="inlineStr">
        <is>
          <r>
            <t xml:space="preserve">VALOR:</t>
          </r>
        </is>
      </c>
      <c r="F590" s="28" t="inlineStr"/>
      <c r="G590" s="29" t="n">
        <f>ROUND(SUM(G586,G589),2)</f>
        <v>12.43</v>
      </c>
    </row>
    <row r="591" customHeight="1" ht="15">
      <c r="A591" s="2" t="inlineStr"/>
      <c r="B591" s="2" t="inlineStr"/>
      <c r="C591" s="2" t="inlineStr"/>
      <c r="D591" s="2" t="inlineStr"/>
      <c r="E591" s="28" t="inlineStr">
        <is>
          <r>
            <t xml:space="preserve">VALOR BDI:</t>
          </r>
        </is>
      </c>
      <c r="F591" s="28" t="inlineStr"/>
      <c r="G591" s="29" t="n">
        <f>ROUND(G590*(0/100),2)</f>
        <v>0.0</v>
      </c>
    </row>
    <row r="592" customHeight="1" ht="15">
      <c r="A592" s="2" t="inlineStr"/>
      <c r="B592" s="2" t="inlineStr"/>
      <c r="C592" s="2" t="inlineStr"/>
      <c r="D592" s="2" t="inlineStr"/>
      <c r="E592" s="28" t="inlineStr">
        <is>
          <r>
            <t xml:space="preserve">VALOR COM BDI:</t>
          </r>
        </is>
      </c>
      <c r="F592" s="28" t="inlineStr"/>
      <c r="G592" s="29" t="n">
        <f>G591+G590</f>
        <v>12.43</v>
      </c>
    </row>
    <row r="593" customHeight="1" ht="10">
      <c r="A593" s="2" t="inlineStr"/>
      <c r="B593" s="2" t="inlineStr"/>
      <c r="C593" s="2" t="inlineStr"/>
      <c r="D593" s="2" t="inlineStr"/>
      <c r="E593" s="18" t="inlineStr"/>
      <c r="F593" s="18" t="inlineStr"/>
      <c r="G593" s="18" t="inlineStr"/>
    </row>
    <row r="594" customHeight="1" ht="20">
      <c r="A594" s="19" t="inlineStr">
        <is>
          <r>
            <t xml:space="preserve">1.3.2.9.10. ​104912​ GUINDASTE DERRICK, LANÇA DE *20* M, CARGA MÁXIMA 10T, POTÊNCIA 45 KW - MATERIAIS NA OPERAÇÃO. AF_01/2024​ (H)</t>
          </r>
        </is>
      </c>
      <c r="B594" s="19" t="inlineStr"/>
      <c r="C594" s="19" t="inlineStr"/>
      <c r="D594" s="19" t="inlineStr"/>
      <c r="E594" s="19" t="inlineStr"/>
      <c r="F594" s="19" t="inlineStr"/>
      <c r="G594" s="19" t="inlineStr"/>
    </row>
    <row r="595" customHeight="1" ht="15">
      <c r="A595" s="20" t="inlineStr">
        <is>
          <r>
            <t xml:space="preserve">Especiais</t>
          </r>
        </is>
      </c>
      <c r="B595" s="20" t="inlineStr"/>
      <c r="C595" s="21" t="inlineStr">
        <is>
          <r>
            <t xml:space="preserve">FONTE</t>
          </r>
        </is>
      </c>
      <c r="D595" s="21" t="inlineStr">
        <is>
          <r>
            <t xml:space="preserve">UNID</t>
          </r>
        </is>
      </c>
      <c r="E595" s="21" t="inlineStr">
        <is>
          <r>
            <t xml:space="preserve">COEFICIENTE</t>
          </r>
        </is>
      </c>
      <c r="F595" s="21" t="inlineStr">
        <is>
          <r>
            <t xml:space="preserve">PREÇO UNITÁRIO</t>
          </r>
        </is>
      </c>
      <c r="G595" s="21" t="inlineStr">
        <is>
          <r>
            <t xml:space="preserve">TOTAL</t>
          </r>
        </is>
      </c>
    </row>
    <row r="596" customHeight="1" ht="21">
      <c r="A596" s="22" t="inlineStr">
        <is>
          <r>
            <t xml:space="preserve">00002705</t>
          </r>
        </is>
      </c>
      <c r="B596" s="23" t="inlineStr">
        <is>
          <r>
            <t xml:space="preserve">ENERGIA ELETRICA ATE 2000 KWH INDUSTRIAL, SEM DEMANDA</t>
          </r>
        </is>
      </c>
      <c r="C596" s="22" t="inlineStr">
        <is>
          <r>
            <t xml:space="preserve">SINAPI</t>
          </r>
        </is>
      </c>
      <c r="D596" s="22" t="inlineStr">
        <is>
          <r>
            <t xml:space="preserve">KWH</t>
          </r>
        </is>
      </c>
      <c r="E596" s="24" t="n">
        <v>38.25</v>
      </c>
      <c r="F596" s="25" t="n">
        <v>1.02</v>
      </c>
      <c r="G596" s="25" t="n">
        <f>TRUNC(TRUNC(E596,8)*F596,2)</f>
        <v>39.01</v>
      </c>
    </row>
    <row r="597" customHeight="1" ht="15">
      <c r="A597" s="2" t="inlineStr"/>
      <c r="B597" s="2" t="inlineStr"/>
      <c r="C597" s="2" t="inlineStr"/>
      <c r="D597" s="2" t="inlineStr"/>
      <c r="E597" s="26" t="inlineStr">
        <is>
          <r>
            <t xml:space="preserve">TOTAL Especiais:</t>
          </r>
        </is>
      </c>
      <c r="F597" s="26" t="inlineStr"/>
      <c r="G597" s="27" t="n">
        <f>SUM(G596:G596)</f>
        <v>39.01</v>
      </c>
    </row>
    <row r="598" customHeight="1" ht="15">
      <c r="A598" s="2" t="inlineStr"/>
      <c r="B598" s="2" t="inlineStr"/>
      <c r="C598" s="2" t="inlineStr"/>
      <c r="D598" s="2" t="inlineStr"/>
      <c r="E598" s="28" t="inlineStr">
        <is>
          <r>
            <t xml:space="preserve">VALOR:</t>
          </r>
        </is>
      </c>
      <c r="F598" s="28" t="inlineStr"/>
      <c r="G598" s="29" t="n">
        <f>ROUND(SUM(G597),2)</f>
        <v>39.01</v>
      </c>
    </row>
    <row r="599" customHeight="1" ht="15">
      <c r="A599" s="2" t="inlineStr"/>
      <c r="B599" s="2" t="inlineStr"/>
      <c r="C599" s="2" t="inlineStr"/>
      <c r="D599" s="2" t="inlineStr"/>
      <c r="E599" s="28" t="inlineStr">
        <is>
          <r>
            <t xml:space="preserve">VALOR BDI:</t>
          </r>
        </is>
      </c>
      <c r="F599" s="28" t="inlineStr"/>
      <c r="G599" s="29" t="n">
        <f>ROUND(G598*(0/100),2)</f>
        <v>0.0</v>
      </c>
    </row>
    <row r="600" customHeight="1" ht="15">
      <c r="A600" s="2" t="inlineStr"/>
      <c r="B600" s="2" t="inlineStr"/>
      <c r="C600" s="2" t="inlineStr"/>
      <c r="D600" s="2" t="inlineStr"/>
      <c r="E600" s="28" t="inlineStr">
        <is>
          <r>
            <t xml:space="preserve">VALOR COM BDI:</t>
          </r>
        </is>
      </c>
      <c r="F600" s="28" t="inlineStr"/>
      <c r="G600" s="29" t="n">
        <f>G599+G598</f>
        <v>39.01</v>
      </c>
    </row>
    <row r="601" customHeight="1" ht="10">
      <c r="A601" s="2" t="inlineStr"/>
      <c r="B601" s="2" t="inlineStr"/>
      <c r="C601" s="2" t="inlineStr"/>
      <c r="D601" s="2" t="inlineStr"/>
      <c r="E601" s="18" t="inlineStr"/>
      <c r="F601" s="18" t="inlineStr"/>
      <c r="G601" s="18" t="inlineStr"/>
    </row>
    <row r="602" customHeight="1" ht="20">
      <c r="A602" s="19" t="inlineStr">
        <is>
          <r>
            <t xml:space="preserve">1.3.2.10.1. ​C5225​ LONA PLÁSTICA PRETA APLICADA EM PISOS​ (M2)</t>
          </r>
        </is>
      </c>
      <c r="B602" s="19" t="inlineStr"/>
      <c r="C602" s="19" t="inlineStr"/>
      <c r="D602" s="19" t="inlineStr"/>
      <c r="E602" s="19" t="inlineStr"/>
      <c r="F602" s="19" t="inlineStr"/>
      <c r="G602" s="19" t="inlineStr"/>
    </row>
    <row r="603" customHeight="1" ht="15">
      <c r="A603" s="20" t="inlineStr">
        <is>
          <r>
            <t xml:space="preserve">Material</t>
          </r>
        </is>
      </c>
      <c r="B603" s="20" t="inlineStr"/>
      <c r="C603" s="21" t="inlineStr">
        <is>
          <r>
            <t xml:space="preserve">FONTE</t>
          </r>
        </is>
      </c>
      <c r="D603" s="21" t="inlineStr">
        <is>
          <r>
            <t xml:space="preserve">UNID</t>
          </r>
        </is>
      </c>
      <c r="E603" s="21" t="inlineStr">
        <is>
          <r>
            <t xml:space="preserve">COEFICIENTE</t>
          </r>
        </is>
      </c>
      <c r="F603" s="21" t="inlineStr">
        <is>
          <r>
            <t xml:space="preserve">PREÇO UNITÁRIO</t>
          </r>
        </is>
      </c>
      <c r="G603" s="21" t="inlineStr">
        <is>
          <r>
            <t xml:space="preserve">TOTAL</t>
          </r>
        </is>
      </c>
    </row>
    <row r="604" customHeight="1" ht="15">
      <c r="A604" s="22" t="inlineStr">
        <is>
          <r>
            <t xml:space="preserve">I1348</t>
          </r>
        </is>
      </c>
      <c r="B604" s="23" t="inlineStr">
        <is>
          <r>
            <t xml:space="preserve">LONA PLASTICA PRETA</t>
          </r>
        </is>
      </c>
      <c r="C604" s="22" t="inlineStr">
        <is>
          <r>
            <t xml:space="preserve">SEINFRA</t>
          </r>
        </is>
      </c>
      <c r="D604" s="22" t="inlineStr">
        <is>
          <r>
            <t xml:space="preserve">M2</t>
          </r>
        </is>
      </c>
      <c r="E604" s="24" t="n">
        <v>1.05</v>
      </c>
      <c r="F604" s="30" t="n">
        <v>1.15</v>
      </c>
      <c r="G604" s="30" t="n">
        <f>ROUND(ROUND(E604,8)*F604,4)</f>
        <v>1.2075</v>
      </c>
    </row>
    <row r="605" customHeight="1" ht="15">
      <c r="A605" s="2" t="inlineStr"/>
      <c r="B605" s="2" t="inlineStr"/>
      <c r="C605" s="2" t="inlineStr"/>
      <c r="D605" s="2" t="inlineStr"/>
      <c r="E605" s="26" t="inlineStr">
        <is>
          <r>
            <t xml:space="preserve">TOTAL Material:</t>
          </r>
        </is>
      </c>
      <c r="F605" s="26" t="inlineStr"/>
      <c r="G605" s="31" t="n">
        <f>SUM(G604:G604)</f>
        <v>1.2075</v>
      </c>
    </row>
    <row r="606" customHeight="1" ht="15">
      <c r="A606" s="20" t="inlineStr">
        <is>
          <r>
            <t xml:space="preserve">Mão de Obra</t>
          </r>
        </is>
      </c>
      <c r="B606" s="20" t="inlineStr"/>
      <c r="C606" s="21" t="inlineStr">
        <is>
          <r>
            <t xml:space="preserve">FONTE</t>
          </r>
        </is>
      </c>
      <c r="D606" s="21" t="inlineStr">
        <is>
          <r>
            <t xml:space="preserve">UNID</t>
          </r>
        </is>
      </c>
      <c r="E606" s="21" t="inlineStr">
        <is>
          <r>
            <t xml:space="preserve">COEFICIENTE</t>
          </r>
        </is>
      </c>
      <c r="F606" s="21" t="inlineStr">
        <is>
          <r>
            <t xml:space="preserve">PREÇO UNITÁRIO</t>
          </r>
        </is>
      </c>
      <c r="G606" s="21" t="inlineStr">
        <is>
          <r>
            <t xml:space="preserve">TOTAL</t>
          </r>
        </is>
      </c>
    </row>
    <row r="607" customHeight="1" ht="15">
      <c r="A607" s="22" t="inlineStr">
        <is>
          <r>
            <t xml:space="preserve">I2391</t>
          </r>
        </is>
      </c>
      <c r="B607" s="23" t="inlineStr">
        <is>
          <r>
            <t xml:space="preserve">PEDREIRO</t>
          </r>
        </is>
      </c>
      <c r="C607" s="22" t="inlineStr">
        <is>
          <r>
            <t xml:space="preserve">SEINFRA</t>
          </r>
        </is>
      </c>
      <c r="D607" s="22" t="inlineStr">
        <is>
          <r>
            <t xml:space="preserve">H</t>
          </r>
        </is>
      </c>
      <c r="E607" s="24" t="n">
        <v>0.0049</v>
      </c>
      <c r="F607" s="30" t="n">
        <v>24.16</v>
      </c>
      <c r="G607" s="30" t="n">
        <f>ROUND(ROUND(E607,8)*F607,4)</f>
        <v>0.1184</v>
      </c>
    </row>
    <row r="608" customHeight="1" ht="15">
      <c r="A608" s="22" t="inlineStr">
        <is>
          <r>
            <t xml:space="preserve">I2543</t>
          </r>
        </is>
      </c>
      <c r="B608" s="23" t="inlineStr">
        <is>
          <r>
            <t xml:space="preserve">SERVENTE</t>
          </r>
        </is>
      </c>
      <c r="C608" s="22" t="inlineStr">
        <is>
          <r>
            <t xml:space="preserve">SEINFRA</t>
          </r>
        </is>
      </c>
      <c r="D608" s="22" t="inlineStr">
        <is>
          <r>
            <t xml:space="preserve">H</t>
          </r>
        </is>
      </c>
      <c r="E608" s="24" t="n">
        <v>0.0059</v>
      </c>
      <c r="F608" s="30" t="n">
        <v>18.46</v>
      </c>
      <c r="G608" s="30" t="n">
        <f>ROUND(ROUND(E608,8)*F608,4)</f>
        <v>0.1089</v>
      </c>
    </row>
    <row r="609" customHeight="1" ht="15">
      <c r="A609" s="2" t="inlineStr"/>
      <c r="B609" s="2" t="inlineStr"/>
      <c r="C609" s="2" t="inlineStr"/>
      <c r="D609" s="2" t="inlineStr"/>
      <c r="E609" s="26" t="inlineStr">
        <is>
          <r>
            <t xml:space="preserve">TOTAL Mão de Obra:</t>
          </r>
        </is>
      </c>
      <c r="F609" s="26" t="inlineStr"/>
      <c r="G609" s="31" t="n">
        <f>SUM(G607:G608)</f>
        <v>0.2273</v>
      </c>
    </row>
    <row r="610" customHeight="1" ht="15">
      <c r="A610" s="2" t="inlineStr"/>
      <c r="B610" s="2" t="inlineStr"/>
      <c r="C610" s="2" t="inlineStr"/>
      <c r="D610" s="2" t="inlineStr"/>
      <c r="E610" s="28" t="inlineStr">
        <is>
          <r>
            <t xml:space="preserve">VALOR:</t>
          </r>
        </is>
      </c>
      <c r="F610" s="28" t="inlineStr"/>
      <c r="G610" s="29" t="n">
        <f>ROUND(SUM(G605,G609),2)</f>
        <v>1.43</v>
      </c>
    </row>
    <row r="611" customHeight="1" ht="15">
      <c r="A611" s="2" t="inlineStr"/>
      <c r="B611" s="2" t="inlineStr"/>
      <c r="C611" s="2" t="inlineStr"/>
      <c r="D611" s="2" t="inlineStr"/>
      <c r="E611" s="28" t="inlineStr">
        <is>
          <r>
            <t xml:space="preserve">VALOR BDI:</t>
          </r>
        </is>
      </c>
      <c r="F611" s="28" t="inlineStr"/>
      <c r="G611" s="29" t="n">
        <f>ROUND(G610*(0/100),2)</f>
        <v>0.0</v>
      </c>
    </row>
    <row r="612" customHeight="1" ht="15">
      <c r="A612" s="2" t="inlineStr"/>
      <c r="B612" s="2" t="inlineStr"/>
      <c r="C612" s="2" t="inlineStr"/>
      <c r="D612" s="2" t="inlineStr"/>
      <c r="E612" s="28" t="inlineStr">
        <is>
          <r>
            <t xml:space="preserve">VALOR COM BDI:</t>
          </r>
        </is>
      </c>
      <c r="F612" s="28" t="inlineStr"/>
      <c r="G612" s="29" t="n">
        <f>G611+G610</f>
        <v>1.43</v>
      </c>
    </row>
    <row r="613" customHeight="1" ht="10">
      <c r="A613" s="2" t="inlineStr"/>
      <c r="B613" s="2" t="inlineStr"/>
      <c r="C613" s="2" t="inlineStr"/>
      <c r="D613" s="2" t="inlineStr"/>
      <c r="E613" s="18" t="inlineStr"/>
      <c r="F613" s="18" t="inlineStr"/>
      <c r="G613" s="18" t="inlineStr"/>
    </row>
    <row r="614" customHeight="1" ht="20">
      <c r="A614" s="19" t="inlineStr">
        <is>
          <r>
            <t xml:space="preserve">1.3.2.10.2. ​C0844​ CONCRETO P/VIBR., FCK 30 MPa COM AGREGADO ADQUIRIDO​ (M3)</t>
          </r>
        </is>
      </c>
      <c r="B614" s="19" t="inlineStr"/>
      <c r="C614" s="19" t="inlineStr"/>
      <c r="D614" s="19" t="inlineStr"/>
      <c r="E614" s="19" t="inlineStr"/>
      <c r="F614" s="19" t="inlineStr"/>
      <c r="G614" s="19" t="inlineStr"/>
    </row>
    <row r="615" customHeight="1" ht="15">
      <c r="A615" s="20" t="inlineStr">
        <is>
          <r>
            <t xml:space="preserve">Equipamento Custo Horário</t>
          </r>
        </is>
      </c>
      <c r="B615" s="20" t="inlineStr"/>
      <c r="C615" s="21" t="inlineStr">
        <is>
          <r>
            <t xml:space="preserve">FONTE</t>
          </r>
        </is>
      </c>
      <c r="D615" s="21" t="inlineStr">
        <is>
          <r>
            <t xml:space="preserve">UNID</t>
          </r>
        </is>
      </c>
      <c r="E615" s="21" t="inlineStr">
        <is>
          <r>
            <t xml:space="preserve">COEFICIENTE</t>
          </r>
        </is>
      </c>
      <c r="F615" s="21" t="inlineStr">
        <is>
          <r>
            <t xml:space="preserve">PREÇO UNITÁRIO</t>
          </r>
        </is>
      </c>
      <c r="G615" s="21" t="inlineStr">
        <is>
          <r>
            <t xml:space="preserve">TOTAL</t>
          </r>
        </is>
      </c>
    </row>
    <row r="616" customHeight="1" ht="15">
      <c r="A616" s="22" t="inlineStr">
        <is>
          <r>
            <t xml:space="preserve">I0682</t>
          </r>
        </is>
      </c>
      <c r="B616" s="23" t="inlineStr">
        <is>
          <r>
            <t xml:space="preserve">BETONEIRA ELÉTRICA 580L (CHP)</t>
          </r>
        </is>
      </c>
      <c r="C616" s="22" t="inlineStr">
        <is>
          <r>
            <t xml:space="preserve">SEINFRA</t>
          </r>
        </is>
      </c>
      <c r="D616" s="22" t="inlineStr">
        <is>
          <r>
            <t xml:space="preserve">H</t>
          </r>
        </is>
      </c>
      <c r="E616" s="24" t="n">
        <v>0.714</v>
      </c>
      <c r="F616" s="30" t="n">
        <v>25.177</v>
      </c>
      <c r="G616" s="30" t="n">
        <f>ROUND(ROUND(E616,8)*F616,4)</f>
        <v>17.9764</v>
      </c>
    </row>
    <row r="617" customHeight="1" ht="18">
      <c r="A617" s="2" t="inlineStr"/>
      <c r="B617" s="2" t="inlineStr"/>
      <c r="C617" s="2" t="inlineStr"/>
      <c r="D617" s="2" t="inlineStr"/>
      <c r="E617" s="26" t="inlineStr">
        <is>
          <r>
            <t xml:space="preserve">TOTAL Equipamento Custo Horário:</t>
          </r>
        </is>
      </c>
      <c r="F617" s="26" t="inlineStr"/>
      <c r="G617" s="31" t="n">
        <f>SUM(G616:G616)</f>
        <v>17.9764</v>
      </c>
    </row>
    <row r="618" customHeight="1" ht="15">
      <c r="A618" s="20" t="inlineStr">
        <is>
          <r>
            <t xml:space="preserve">Material</t>
          </r>
        </is>
      </c>
      <c r="B618" s="20" t="inlineStr"/>
      <c r="C618" s="21" t="inlineStr">
        <is>
          <r>
            <t xml:space="preserve">FONTE</t>
          </r>
        </is>
      </c>
      <c r="D618" s="21" t="inlineStr">
        <is>
          <r>
            <t xml:space="preserve">UNID</t>
          </r>
        </is>
      </c>
      <c r="E618" s="21" t="inlineStr">
        <is>
          <r>
            <t xml:space="preserve">COEFICIENTE</t>
          </r>
        </is>
      </c>
      <c r="F618" s="21" t="inlineStr">
        <is>
          <r>
            <t xml:space="preserve">PREÇO UNITÁRIO</t>
          </r>
        </is>
      </c>
      <c r="G618" s="21" t="inlineStr">
        <is>
          <r>
            <t xml:space="preserve">TOTAL</t>
          </r>
        </is>
      </c>
    </row>
    <row r="619" customHeight="1" ht="15">
      <c r="A619" s="22" t="inlineStr">
        <is>
          <r>
            <t xml:space="preserve">I0109</t>
          </r>
        </is>
      </c>
      <c r="B619" s="23" t="inlineStr">
        <is>
          <r>
            <t xml:space="preserve">AREIA MEDIA</t>
          </r>
        </is>
      </c>
      <c r="C619" s="22" t="inlineStr">
        <is>
          <r>
            <t xml:space="preserve">SEINFRA</t>
          </r>
        </is>
      </c>
      <c r="D619" s="22" t="inlineStr">
        <is>
          <r>
            <t xml:space="preserve">M3</t>
          </r>
        </is>
      </c>
      <c r="E619" s="24" t="n">
        <v>0.929</v>
      </c>
      <c r="F619" s="30" t="n">
        <v>83.58</v>
      </c>
      <c r="G619" s="30" t="n">
        <f>ROUND(ROUND(E619,8)*F619,4)</f>
        <v>77.6458</v>
      </c>
    </row>
    <row r="620" customHeight="1" ht="15">
      <c r="A620" s="22" t="inlineStr">
        <is>
          <r>
            <t xml:space="preserve">I0280</t>
          </r>
        </is>
      </c>
      <c r="B620" s="23" t="inlineStr">
        <is>
          <r>
            <t xml:space="preserve">BRITA</t>
          </r>
        </is>
      </c>
      <c r="C620" s="22" t="inlineStr">
        <is>
          <r>
            <t xml:space="preserve">SEINFRA</t>
          </r>
        </is>
      </c>
      <c r="D620" s="22" t="inlineStr">
        <is>
          <r>
            <t xml:space="preserve">M3</t>
          </r>
        </is>
      </c>
      <c r="E620" s="24" t="n">
        <v>0.627</v>
      </c>
      <c r="F620" s="30" t="n">
        <v>100.5</v>
      </c>
      <c r="G620" s="30" t="n">
        <f>ROUND(ROUND(E620,8)*F620,4)</f>
        <v>63.0135</v>
      </c>
    </row>
    <row r="621" customHeight="1" ht="15">
      <c r="A621" s="22" t="inlineStr">
        <is>
          <r>
            <t xml:space="preserve">I0805</t>
          </r>
        </is>
      </c>
      <c r="B621" s="23" t="inlineStr">
        <is>
          <r>
            <t xml:space="preserve">CIMENTO PORTLAND</t>
          </r>
        </is>
      </c>
      <c r="C621" s="22" t="inlineStr">
        <is>
          <r>
            <t xml:space="preserve">SEINFRA</t>
          </r>
        </is>
      </c>
      <c r="D621" s="22" t="inlineStr">
        <is>
          <r>
            <t xml:space="preserve">KG</t>
          </r>
        </is>
      </c>
      <c r="E621" s="24" t="n">
        <v>396.0</v>
      </c>
      <c r="F621" s="30" t="n">
        <v>0.71</v>
      </c>
      <c r="G621" s="30" t="n">
        <f>ROUND(ROUND(E621,8)*F621,4)</f>
        <v>281.16</v>
      </c>
    </row>
    <row r="622" customHeight="1" ht="15">
      <c r="A622" s="22" t="inlineStr">
        <is>
          <r>
            <t xml:space="preserve">I1605</t>
          </r>
        </is>
      </c>
      <c r="B622" s="23" t="inlineStr">
        <is>
          <r>
            <t xml:space="preserve">PEDRISCO</t>
          </r>
        </is>
      </c>
      <c r="C622" s="22" t="inlineStr">
        <is>
          <r>
            <t xml:space="preserve">SEINFRA</t>
          </r>
        </is>
      </c>
      <c r="D622" s="22" t="inlineStr">
        <is>
          <r>
            <t xml:space="preserve">M3</t>
          </r>
        </is>
      </c>
      <c r="E622" s="24" t="n">
        <v>0.209</v>
      </c>
      <c r="F622" s="30" t="n">
        <v>100.5</v>
      </c>
      <c r="G622" s="30" t="n">
        <f>ROUND(ROUND(E622,8)*F622,4)</f>
        <v>21.0045</v>
      </c>
    </row>
    <row r="623" customHeight="1" ht="15">
      <c r="A623" s="2" t="inlineStr"/>
      <c r="B623" s="2" t="inlineStr"/>
      <c r="C623" s="2" t="inlineStr"/>
      <c r="D623" s="2" t="inlineStr"/>
      <c r="E623" s="26" t="inlineStr">
        <is>
          <r>
            <t xml:space="preserve">TOTAL Material:</t>
          </r>
        </is>
      </c>
      <c r="F623" s="26" t="inlineStr"/>
      <c r="G623" s="31" t="n">
        <f>SUM(G619:G622)</f>
        <v>442.8238</v>
      </c>
    </row>
    <row r="624" customHeight="1" ht="15">
      <c r="A624" s="20" t="inlineStr">
        <is>
          <r>
            <t xml:space="preserve">Mão de Obra</t>
          </r>
        </is>
      </c>
      <c r="B624" s="20" t="inlineStr"/>
      <c r="C624" s="21" t="inlineStr">
        <is>
          <r>
            <t xml:space="preserve">FONTE</t>
          </r>
        </is>
      </c>
      <c r="D624" s="21" t="inlineStr">
        <is>
          <r>
            <t xml:space="preserve">UNID</t>
          </r>
        </is>
      </c>
      <c r="E624" s="21" t="inlineStr">
        <is>
          <r>
            <t xml:space="preserve">COEFICIENTE</t>
          </r>
        </is>
      </c>
      <c r="F624" s="21" t="inlineStr">
        <is>
          <r>
            <t xml:space="preserve">PREÇO UNITÁRIO</t>
          </r>
        </is>
      </c>
      <c r="G624" s="21" t="inlineStr">
        <is>
          <r>
            <t xml:space="preserve">TOTAL</t>
          </r>
        </is>
      </c>
    </row>
    <row r="625" customHeight="1" ht="15">
      <c r="A625" s="22" t="inlineStr">
        <is>
          <r>
            <t xml:space="preserve">I2543</t>
          </r>
        </is>
      </c>
      <c r="B625" s="23" t="inlineStr">
        <is>
          <r>
            <t xml:space="preserve">SERVENTE</t>
          </r>
        </is>
      </c>
      <c r="C625" s="22" t="inlineStr">
        <is>
          <r>
            <t xml:space="preserve">SEINFRA</t>
          </r>
        </is>
      </c>
      <c r="D625" s="22" t="inlineStr">
        <is>
          <r>
            <t xml:space="preserve">H</t>
          </r>
        </is>
      </c>
      <c r="E625" s="24" t="n">
        <v>6.0</v>
      </c>
      <c r="F625" s="30" t="n">
        <v>18.46</v>
      </c>
      <c r="G625" s="30" t="n">
        <f>ROUND(ROUND(E625,8)*F625,4)</f>
        <v>110.76</v>
      </c>
    </row>
    <row r="626" customHeight="1" ht="15">
      <c r="A626" s="2" t="inlineStr"/>
      <c r="B626" s="2" t="inlineStr"/>
      <c r="C626" s="2" t="inlineStr"/>
      <c r="D626" s="2" t="inlineStr"/>
      <c r="E626" s="26" t="inlineStr">
        <is>
          <r>
            <t xml:space="preserve">TOTAL Mão de Obra:</t>
          </r>
        </is>
      </c>
      <c r="F626" s="26" t="inlineStr"/>
      <c r="G626" s="31" t="n">
        <f>SUM(G625:G625)</f>
        <v>110.76</v>
      </c>
    </row>
    <row r="627" customHeight="1" ht="15">
      <c r="A627" s="2" t="inlineStr"/>
      <c r="B627" s="2" t="inlineStr"/>
      <c r="C627" s="2" t="inlineStr"/>
      <c r="D627" s="2" t="inlineStr"/>
      <c r="E627" s="28" t="inlineStr">
        <is>
          <r>
            <t xml:space="preserve">VALOR:</t>
          </r>
        </is>
      </c>
      <c r="F627" s="28" t="inlineStr"/>
      <c r="G627" s="29" t="n">
        <f>ROUND(SUM(G617,G623,G626),2)</f>
        <v>571.56</v>
      </c>
    </row>
    <row r="628" customHeight="1" ht="15">
      <c r="A628" s="2" t="inlineStr"/>
      <c r="B628" s="2" t="inlineStr"/>
      <c r="C628" s="2" t="inlineStr"/>
      <c r="D628" s="2" t="inlineStr"/>
      <c r="E628" s="28" t="inlineStr">
        <is>
          <r>
            <t xml:space="preserve">VALOR BDI:</t>
          </r>
        </is>
      </c>
      <c r="F628" s="28" t="inlineStr"/>
      <c r="G628" s="29" t="n">
        <f>ROUND(G627*(0/100),2)</f>
        <v>0.0</v>
      </c>
    </row>
    <row r="629" customHeight="1" ht="15">
      <c r="A629" s="2" t="inlineStr"/>
      <c r="B629" s="2" t="inlineStr"/>
      <c r="C629" s="2" t="inlineStr"/>
      <c r="D629" s="2" t="inlineStr"/>
      <c r="E629" s="28" t="inlineStr">
        <is>
          <r>
            <t xml:space="preserve">VALOR COM BDI:</t>
          </r>
        </is>
      </c>
      <c r="F629" s="28" t="inlineStr"/>
      <c r="G629" s="29" t="n">
        <f>G628+G627</f>
        <v>571.56</v>
      </c>
    </row>
    <row r="630" customHeight="1" ht="10">
      <c r="A630" s="2" t="inlineStr"/>
      <c r="B630" s="2" t="inlineStr"/>
      <c r="C630" s="2" t="inlineStr"/>
      <c r="D630" s="2" t="inlineStr"/>
      <c r="E630" s="18" t="inlineStr"/>
      <c r="F630" s="18" t="inlineStr"/>
      <c r="G630" s="18" t="inlineStr"/>
    </row>
    <row r="631" customHeight="1" ht="20">
      <c r="A631" s="19" t="inlineStr">
        <is>
          <r>
            <t xml:space="preserve">1.3.2.10.3. ​C0216​ ARMADURA CA-50A MÉDIA D= 6,3 A 10,0mm​ (KG)</t>
          </r>
        </is>
      </c>
      <c r="B631" s="19" t="inlineStr"/>
      <c r="C631" s="19" t="inlineStr"/>
      <c r="D631" s="19" t="inlineStr"/>
      <c r="E631" s="19" t="inlineStr"/>
      <c r="F631" s="19" t="inlineStr"/>
      <c r="G631" s="19" t="inlineStr"/>
    </row>
    <row r="632" customHeight="1" ht="15">
      <c r="A632" s="20" t="inlineStr">
        <is>
          <r>
            <t xml:space="preserve">Material</t>
          </r>
        </is>
      </c>
      <c r="B632" s="20" t="inlineStr"/>
      <c r="C632" s="21" t="inlineStr">
        <is>
          <r>
            <t xml:space="preserve">FONTE</t>
          </r>
        </is>
      </c>
      <c r="D632" s="21" t="inlineStr">
        <is>
          <r>
            <t xml:space="preserve">UNID</t>
          </r>
        </is>
      </c>
      <c r="E632" s="21" t="inlineStr">
        <is>
          <r>
            <t xml:space="preserve">COEFICIENTE</t>
          </r>
        </is>
      </c>
      <c r="F632" s="21" t="inlineStr">
        <is>
          <r>
            <t xml:space="preserve">PREÇO UNITÁRIO</t>
          </r>
        </is>
      </c>
      <c r="G632" s="21" t="inlineStr">
        <is>
          <r>
            <t xml:space="preserve">TOTAL</t>
          </r>
        </is>
      </c>
    </row>
    <row r="633" customHeight="1" ht="15">
      <c r="A633" s="22" t="inlineStr">
        <is>
          <r>
            <t xml:space="preserve">I0163</t>
          </r>
        </is>
      </c>
      <c r="B633" s="23" t="inlineStr">
        <is>
          <r>
            <t xml:space="preserve">AÇO CA-50</t>
          </r>
        </is>
      </c>
      <c r="C633" s="22" t="inlineStr">
        <is>
          <r>
            <t xml:space="preserve">SEINFRA</t>
          </r>
        </is>
      </c>
      <c r="D633" s="22" t="inlineStr">
        <is>
          <r>
            <t xml:space="preserve">KG</t>
          </r>
        </is>
      </c>
      <c r="E633" s="24" t="n">
        <v>1.15</v>
      </c>
      <c r="F633" s="30" t="n">
        <v>7.1</v>
      </c>
      <c r="G633" s="30" t="n">
        <f>ROUND(ROUND(E633,8)*F633,4)</f>
        <v>8.165</v>
      </c>
    </row>
    <row r="634" customHeight="1" ht="15">
      <c r="A634" s="22" t="inlineStr">
        <is>
          <r>
            <t xml:space="preserve">I0103</t>
          </r>
        </is>
      </c>
      <c r="B634" s="23" t="inlineStr">
        <is>
          <r>
            <t xml:space="preserve">ARAME RECOZIDO N.18 BWG</t>
          </r>
        </is>
      </c>
      <c r="C634" s="22" t="inlineStr">
        <is>
          <r>
            <t xml:space="preserve">SEINFRA</t>
          </r>
        </is>
      </c>
      <c r="D634" s="22" t="inlineStr">
        <is>
          <r>
            <t xml:space="preserve">KG</t>
          </r>
        </is>
      </c>
      <c r="E634" s="24" t="n">
        <v>0.02</v>
      </c>
      <c r="F634" s="30" t="n">
        <v>16.53</v>
      </c>
      <c r="G634" s="30" t="n">
        <f>ROUND(ROUND(E634,8)*F634,4)</f>
        <v>0.3306</v>
      </c>
    </row>
    <row r="635" customHeight="1" ht="15">
      <c r="A635" s="2" t="inlineStr"/>
      <c r="B635" s="2" t="inlineStr"/>
      <c r="C635" s="2" t="inlineStr"/>
      <c r="D635" s="2" t="inlineStr"/>
      <c r="E635" s="26" t="inlineStr">
        <is>
          <r>
            <t xml:space="preserve">TOTAL Material:</t>
          </r>
        </is>
      </c>
      <c r="F635" s="26" t="inlineStr"/>
      <c r="G635" s="31" t="n">
        <f>SUM(G633:G634)</f>
        <v>8.4956</v>
      </c>
    </row>
    <row r="636" customHeight="1" ht="15">
      <c r="A636" s="20" t="inlineStr">
        <is>
          <r>
            <t xml:space="preserve">Mão de Obra</t>
          </r>
        </is>
      </c>
      <c r="B636" s="20" t="inlineStr"/>
      <c r="C636" s="21" t="inlineStr">
        <is>
          <r>
            <t xml:space="preserve">FONTE</t>
          </r>
        </is>
      </c>
      <c r="D636" s="21" t="inlineStr">
        <is>
          <r>
            <t xml:space="preserve">UNID</t>
          </r>
        </is>
      </c>
      <c r="E636" s="21" t="inlineStr">
        <is>
          <r>
            <t xml:space="preserve">COEFICIENTE</t>
          </r>
        </is>
      </c>
      <c r="F636" s="21" t="inlineStr">
        <is>
          <r>
            <t xml:space="preserve">PREÇO UNITÁRIO</t>
          </r>
        </is>
      </c>
      <c r="G636" s="21" t="inlineStr">
        <is>
          <r>
            <t xml:space="preserve">TOTAL</t>
          </r>
        </is>
      </c>
    </row>
    <row r="637" customHeight="1" ht="15">
      <c r="A637" s="22" t="inlineStr">
        <is>
          <r>
            <t xml:space="preserve">I0040</t>
          </r>
        </is>
      </c>
      <c r="B637" s="23" t="inlineStr">
        <is>
          <r>
            <t xml:space="preserve">AJUDANTE DE ARMADOR/FERREIRO</t>
          </r>
        </is>
      </c>
      <c r="C637" s="22" t="inlineStr">
        <is>
          <r>
            <t xml:space="preserve">SEINFRA</t>
          </r>
        </is>
      </c>
      <c r="D637" s="22" t="inlineStr">
        <is>
          <r>
            <t xml:space="preserve">H</t>
          </r>
        </is>
      </c>
      <c r="E637" s="24" t="n">
        <v>0.08</v>
      </c>
      <c r="F637" s="30" t="n">
        <v>19.1</v>
      </c>
      <c r="G637" s="30" t="n">
        <f>ROUND(ROUND(E637,8)*F637,4)</f>
        <v>1.528</v>
      </c>
    </row>
    <row r="638" customHeight="1" ht="15">
      <c r="A638" s="22" t="inlineStr">
        <is>
          <r>
            <t xml:space="preserve">I0121</t>
          </r>
        </is>
      </c>
      <c r="B638" s="23" t="inlineStr">
        <is>
          <r>
            <t xml:space="preserve">ARMADOR/FERREIRO</t>
          </r>
        </is>
      </c>
      <c r="C638" s="22" t="inlineStr">
        <is>
          <r>
            <t xml:space="preserve">SEINFRA</t>
          </r>
        </is>
      </c>
      <c r="D638" s="22" t="inlineStr">
        <is>
          <r>
            <t xml:space="preserve">H</t>
          </r>
        </is>
      </c>
      <c r="E638" s="24" t="n">
        <v>0.08</v>
      </c>
      <c r="F638" s="30" t="n">
        <v>24.16</v>
      </c>
      <c r="G638" s="30" t="n">
        <f>ROUND(ROUND(E638,8)*F638,4)</f>
        <v>1.9328</v>
      </c>
    </row>
    <row r="639" customHeight="1" ht="15">
      <c r="A639" s="2" t="inlineStr"/>
      <c r="B639" s="2" t="inlineStr"/>
      <c r="C639" s="2" t="inlineStr"/>
      <c r="D639" s="2" t="inlineStr"/>
      <c r="E639" s="26" t="inlineStr">
        <is>
          <r>
            <t xml:space="preserve">TOTAL Mão de Obra:</t>
          </r>
        </is>
      </c>
      <c r="F639" s="26" t="inlineStr"/>
      <c r="G639" s="31" t="n">
        <f>SUM(G637:G638)</f>
        <v>3.4608</v>
      </c>
    </row>
    <row r="640" customHeight="1" ht="15">
      <c r="A640" s="2" t="inlineStr"/>
      <c r="B640" s="2" t="inlineStr"/>
      <c r="C640" s="2" t="inlineStr"/>
      <c r="D640" s="2" t="inlineStr"/>
      <c r="E640" s="28" t="inlineStr">
        <is>
          <r>
            <t xml:space="preserve">VALOR:</t>
          </r>
        </is>
      </c>
      <c r="F640" s="28" t="inlineStr"/>
      <c r="G640" s="29" t="n">
        <f>ROUND(SUM(G635,G639),2)</f>
        <v>11.96</v>
      </c>
    </row>
    <row r="641" customHeight="1" ht="15">
      <c r="A641" s="2" t="inlineStr"/>
      <c r="B641" s="2" t="inlineStr"/>
      <c r="C641" s="2" t="inlineStr"/>
      <c r="D641" s="2" t="inlineStr"/>
      <c r="E641" s="28" t="inlineStr">
        <is>
          <r>
            <t xml:space="preserve">VALOR BDI:</t>
          </r>
        </is>
      </c>
      <c r="F641" s="28" t="inlineStr"/>
      <c r="G641" s="29" t="n">
        <f>ROUND(G640*(0/100),2)</f>
        <v>0.0</v>
      </c>
    </row>
    <row r="642" customHeight="1" ht="15">
      <c r="A642" s="2" t="inlineStr"/>
      <c r="B642" s="2" t="inlineStr"/>
      <c r="C642" s="2" t="inlineStr"/>
      <c r="D642" s="2" t="inlineStr"/>
      <c r="E642" s="28" t="inlineStr">
        <is>
          <r>
            <t xml:space="preserve">VALOR COM BDI:</t>
          </r>
        </is>
      </c>
      <c r="F642" s="28" t="inlineStr"/>
      <c r="G642" s="29" t="n">
        <f>G641+G640</f>
        <v>11.96</v>
      </c>
    </row>
    <row r="643" customHeight="1" ht="10">
      <c r="A643" s="2" t="inlineStr"/>
      <c r="B643" s="2" t="inlineStr"/>
      <c r="C643" s="2" t="inlineStr"/>
      <c r="D643" s="2" t="inlineStr"/>
      <c r="E643" s="18" t="inlineStr"/>
      <c r="F643" s="18" t="inlineStr"/>
      <c r="G643" s="18" t="inlineStr"/>
    </row>
    <row r="644" customHeight="1" ht="20">
      <c r="A644" s="19" t="inlineStr">
        <is>
          <r>
            <t xml:space="preserve">1.3.2.10.4. ​C3991​ FORMA PLANA CHAPA COMPENSADA PLASTIFICADA, ESP.= 18mm UTIL. 5X​ (M2)</t>
          </r>
        </is>
      </c>
      <c r="B644" s="19" t="inlineStr"/>
      <c r="C644" s="19" t="inlineStr"/>
      <c r="D644" s="19" t="inlineStr"/>
      <c r="E644" s="19" t="inlineStr"/>
      <c r="F644" s="19" t="inlineStr"/>
      <c r="G644" s="19" t="inlineStr"/>
    </row>
    <row r="645" customHeight="1" ht="15">
      <c r="A645" s="20" t="inlineStr">
        <is>
          <r>
            <t xml:space="preserve">Material</t>
          </r>
        </is>
      </c>
      <c r="B645" s="20" t="inlineStr"/>
      <c r="C645" s="21" t="inlineStr">
        <is>
          <r>
            <t xml:space="preserve">FONTE</t>
          </r>
        </is>
      </c>
      <c r="D645" s="21" t="inlineStr">
        <is>
          <r>
            <t xml:space="preserve">UNID</t>
          </r>
        </is>
      </c>
      <c r="E645" s="21" t="inlineStr">
        <is>
          <r>
            <t xml:space="preserve">COEFICIENTE</t>
          </r>
        </is>
      </c>
      <c r="F645" s="21" t="inlineStr">
        <is>
          <r>
            <t xml:space="preserve">PREÇO UNITÁRIO</t>
          </r>
        </is>
      </c>
      <c r="G645" s="21" t="inlineStr">
        <is>
          <r>
            <t xml:space="preserve">TOTAL</t>
          </r>
        </is>
      </c>
    </row>
    <row r="646" customHeight="1" ht="15">
      <c r="A646" s="22" t="inlineStr">
        <is>
          <r>
            <t xml:space="preserve">I0524</t>
          </r>
        </is>
      </c>
      <c r="B646" s="23" t="inlineStr">
        <is>
          <r>
            <t xml:space="preserve">CHAPA COMPENSADA PLASTIFICADA 18MM (1.22 X 2.44M)</t>
          </r>
        </is>
      </c>
      <c r="C646" s="22" t="inlineStr">
        <is>
          <r>
            <t xml:space="preserve">SEINFRA</t>
          </r>
        </is>
      </c>
      <c r="D646" s="22" t="inlineStr">
        <is>
          <r>
            <t xml:space="preserve">M2</t>
          </r>
        </is>
      </c>
      <c r="E646" s="24" t="n">
        <v>0.26</v>
      </c>
      <c r="F646" s="30" t="n">
        <v>83.15</v>
      </c>
      <c r="G646" s="30" t="n">
        <f>ROUND(ROUND(E646,8)*F646,4)</f>
        <v>21.619</v>
      </c>
    </row>
    <row r="647" customHeight="1" ht="15">
      <c r="A647" s="22" t="inlineStr">
        <is>
          <r>
            <t xml:space="preserve">I1691</t>
          </r>
        </is>
      </c>
      <c r="B647" s="23" t="inlineStr">
        <is>
          <r>
            <t xml:space="preserve">PONTALETE / BARROTE DE 3"x3"</t>
          </r>
        </is>
      </c>
      <c r="C647" s="22" t="inlineStr">
        <is>
          <r>
            <t xml:space="preserve">SEINFRA</t>
          </r>
        </is>
      </c>
      <c r="D647" s="22" t="inlineStr">
        <is>
          <r>
            <t xml:space="preserve">M</t>
          </r>
        </is>
      </c>
      <c r="E647" s="24" t="n">
        <v>1.2</v>
      </c>
      <c r="F647" s="30" t="n">
        <v>16.09</v>
      </c>
      <c r="G647" s="30" t="n">
        <f>ROUND(ROUND(E647,8)*F647,4)</f>
        <v>19.308</v>
      </c>
    </row>
    <row r="648" customHeight="1" ht="21">
      <c r="A648" s="22" t="inlineStr">
        <is>
          <r>
            <t xml:space="preserve">I2408</t>
          </r>
        </is>
      </c>
      <c r="B648" s="23" t="inlineStr">
        <is>
          <r>
            <t xml:space="preserve">PREGO 14X18 (1.1/2" x 14) (APROXIMADAMENTE 708UN/KG)</t>
          </r>
        </is>
      </c>
      <c r="C648" s="22" t="inlineStr">
        <is>
          <r>
            <t xml:space="preserve">SEINFRA</t>
          </r>
        </is>
      </c>
      <c r="D648" s="22" t="inlineStr">
        <is>
          <r>
            <t xml:space="preserve">KG</t>
          </r>
        </is>
      </c>
      <c r="E648" s="24" t="n">
        <v>0.25</v>
      </c>
      <c r="F648" s="30" t="n">
        <v>17.23</v>
      </c>
      <c r="G648" s="30" t="n">
        <f>ROUND(ROUND(E648,8)*F648,4)</f>
        <v>4.3075</v>
      </c>
    </row>
    <row r="649" customHeight="1" ht="15">
      <c r="A649" s="22" t="inlineStr">
        <is>
          <r>
            <t xml:space="preserve">I1846</t>
          </r>
        </is>
      </c>
      <c r="B649" s="23" t="inlineStr">
        <is>
          <r>
            <t xml:space="preserve">SARRAFO DE 1"X4"</t>
          </r>
        </is>
      </c>
      <c r="C649" s="22" t="inlineStr">
        <is>
          <r>
            <t xml:space="preserve">SEINFRA</t>
          </r>
        </is>
      </c>
      <c r="D649" s="22" t="inlineStr">
        <is>
          <r>
            <t xml:space="preserve">M</t>
          </r>
        </is>
      </c>
      <c r="E649" s="24" t="n">
        <v>1.53</v>
      </c>
      <c r="F649" s="30" t="n">
        <v>6.05</v>
      </c>
      <c r="G649" s="30" t="n">
        <f>ROUND(ROUND(E649,8)*F649,4)</f>
        <v>9.2565</v>
      </c>
    </row>
    <row r="650" customHeight="1" ht="15">
      <c r="A650" s="22" t="inlineStr">
        <is>
          <r>
            <t xml:space="preserve">I1916</t>
          </r>
        </is>
      </c>
      <c r="B650" s="23" t="inlineStr">
        <is>
          <r>
            <t xml:space="preserve">TABUA DE 1" DE 3A. - L = 30cm</t>
          </r>
        </is>
      </c>
      <c r="C650" s="22" t="inlineStr">
        <is>
          <r>
            <t xml:space="preserve">SEINFRA</t>
          </r>
        </is>
      </c>
      <c r="D650" s="22" t="inlineStr">
        <is>
          <r>
            <t xml:space="preserve">M</t>
          </r>
        </is>
      </c>
      <c r="E650" s="24" t="n">
        <v>1.17</v>
      </c>
      <c r="F650" s="30" t="n">
        <v>12.77</v>
      </c>
      <c r="G650" s="30" t="n">
        <f>ROUND(ROUND(E650,8)*F650,4)</f>
        <v>14.9409</v>
      </c>
    </row>
    <row r="651" customHeight="1" ht="15">
      <c r="A651" s="2" t="inlineStr"/>
      <c r="B651" s="2" t="inlineStr"/>
      <c r="C651" s="2" t="inlineStr"/>
      <c r="D651" s="2" t="inlineStr"/>
      <c r="E651" s="26" t="inlineStr">
        <is>
          <r>
            <t xml:space="preserve">TOTAL Material:</t>
          </r>
        </is>
      </c>
      <c r="F651" s="26" t="inlineStr"/>
      <c r="G651" s="31" t="n">
        <f>SUM(G646:G650)</f>
        <v>69.4319</v>
      </c>
    </row>
    <row r="652" customHeight="1" ht="15">
      <c r="A652" s="20" t="inlineStr">
        <is>
          <r>
            <t xml:space="preserve">Mão de Obra</t>
          </r>
        </is>
      </c>
      <c r="B652" s="20" t="inlineStr"/>
      <c r="C652" s="21" t="inlineStr">
        <is>
          <r>
            <t xml:space="preserve">FONTE</t>
          </r>
        </is>
      </c>
      <c r="D652" s="21" t="inlineStr">
        <is>
          <r>
            <t xml:space="preserve">UNID</t>
          </r>
        </is>
      </c>
      <c r="E652" s="21" t="inlineStr">
        <is>
          <r>
            <t xml:space="preserve">COEFICIENTE</t>
          </r>
        </is>
      </c>
      <c r="F652" s="21" t="inlineStr">
        <is>
          <r>
            <t xml:space="preserve">PREÇO UNITÁRIO</t>
          </r>
        </is>
      </c>
      <c r="G652" s="21" t="inlineStr">
        <is>
          <r>
            <t xml:space="preserve">TOTAL</t>
          </r>
        </is>
      </c>
    </row>
    <row r="653" customHeight="1" ht="15">
      <c r="A653" s="22" t="inlineStr">
        <is>
          <r>
            <t xml:space="preserve">I0041</t>
          </r>
        </is>
      </c>
      <c r="B653" s="23" t="inlineStr">
        <is>
          <r>
            <t xml:space="preserve">AJUDANTE DE CARPINTEIRO</t>
          </r>
        </is>
      </c>
      <c r="C653" s="22" t="inlineStr">
        <is>
          <r>
            <t xml:space="preserve">SEINFRA</t>
          </r>
        </is>
      </c>
      <c r="D653" s="22" t="inlineStr">
        <is>
          <r>
            <t xml:space="preserve">H</t>
          </r>
        </is>
      </c>
      <c r="E653" s="24" t="n">
        <v>1.35</v>
      </c>
      <c r="F653" s="30" t="n">
        <v>19.1</v>
      </c>
      <c r="G653" s="30" t="n">
        <f>ROUND(ROUND(E653,8)*F653,4)</f>
        <v>25.785</v>
      </c>
    </row>
    <row r="654" customHeight="1" ht="15">
      <c r="A654" s="22" t="inlineStr">
        <is>
          <r>
            <t xml:space="preserve">I0498</t>
          </r>
        </is>
      </c>
      <c r="B654" s="23" t="inlineStr">
        <is>
          <r>
            <t xml:space="preserve">CARPINTEIRO</t>
          </r>
        </is>
      </c>
      <c r="C654" s="22" t="inlineStr">
        <is>
          <r>
            <t xml:space="preserve">SEINFRA</t>
          </r>
        </is>
      </c>
      <c r="D654" s="22" t="inlineStr">
        <is>
          <r>
            <t xml:space="preserve">H</t>
          </r>
        </is>
      </c>
      <c r="E654" s="24" t="n">
        <v>1.35</v>
      </c>
      <c r="F654" s="30" t="n">
        <v>24.16</v>
      </c>
      <c r="G654" s="30" t="n">
        <f>ROUND(ROUND(E654,8)*F654,4)</f>
        <v>32.616</v>
      </c>
    </row>
    <row r="655" customHeight="1" ht="15">
      <c r="A655" s="2" t="inlineStr"/>
      <c r="B655" s="2" t="inlineStr"/>
      <c r="C655" s="2" t="inlineStr"/>
      <c r="D655" s="2" t="inlineStr"/>
      <c r="E655" s="26" t="inlineStr">
        <is>
          <r>
            <t xml:space="preserve">TOTAL Mão de Obra:</t>
          </r>
        </is>
      </c>
      <c r="F655" s="26" t="inlineStr"/>
      <c r="G655" s="31" t="n">
        <f>SUM(G653:G654)</f>
        <v>58.401</v>
      </c>
    </row>
    <row r="656" customHeight="1" ht="15">
      <c r="A656" s="2" t="inlineStr"/>
      <c r="B656" s="2" t="inlineStr"/>
      <c r="C656" s="2" t="inlineStr"/>
      <c r="D656" s="2" t="inlineStr"/>
      <c r="E656" s="28" t="inlineStr">
        <is>
          <r>
            <t xml:space="preserve">VALOR:</t>
          </r>
        </is>
      </c>
      <c r="F656" s="28" t="inlineStr"/>
      <c r="G656" s="29" t="n">
        <f>ROUND(SUM(G651,G655),2)</f>
        <v>127.83</v>
      </c>
    </row>
    <row r="657" customHeight="1" ht="15">
      <c r="A657" s="2" t="inlineStr"/>
      <c r="B657" s="2" t="inlineStr"/>
      <c r="C657" s="2" t="inlineStr"/>
      <c r="D657" s="2" t="inlineStr"/>
      <c r="E657" s="28" t="inlineStr">
        <is>
          <r>
            <t xml:space="preserve">VALOR BDI:</t>
          </r>
        </is>
      </c>
      <c r="F657" s="28" t="inlineStr"/>
      <c r="G657" s="29" t="n">
        <f>ROUND(G656*(0/100),2)</f>
        <v>0.0</v>
      </c>
    </row>
    <row r="658" customHeight="1" ht="15">
      <c r="A658" s="2" t="inlineStr"/>
      <c r="B658" s="2" t="inlineStr"/>
      <c r="C658" s="2" t="inlineStr"/>
      <c r="D658" s="2" t="inlineStr"/>
      <c r="E658" s="28" t="inlineStr">
        <is>
          <r>
            <t xml:space="preserve">VALOR COM BDI:</t>
          </r>
        </is>
      </c>
      <c r="F658" s="28" t="inlineStr"/>
      <c r="G658" s="29" t="n">
        <f>G657+G656</f>
        <v>127.83</v>
      </c>
    </row>
    <row r="659" customHeight="1" ht="10">
      <c r="A659" s="2" t="inlineStr"/>
      <c r="B659" s="2" t="inlineStr"/>
      <c r="C659" s="2" t="inlineStr"/>
      <c r="D659" s="2" t="inlineStr"/>
      <c r="E659" s="18" t="inlineStr"/>
      <c r="F659" s="18" t="inlineStr"/>
      <c r="G659" s="18" t="inlineStr"/>
    </row>
    <row r="660" customHeight="1" ht="20">
      <c r="A660" s="19" t="inlineStr">
        <is>
          <r>
            <t xml:space="preserve">1.3.2.10.5. ​C1604​ LANÇAMENTO E APLICAÇÃO DE CONCRETO S/ ELEVAÇÃO​ (M3)</t>
          </r>
        </is>
      </c>
      <c r="B660" s="19" t="inlineStr"/>
      <c r="C660" s="19" t="inlineStr"/>
      <c r="D660" s="19" t="inlineStr"/>
      <c r="E660" s="19" t="inlineStr"/>
      <c r="F660" s="19" t="inlineStr"/>
      <c r="G660" s="19" t="inlineStr"/>
    </row>
    <row r="661" customHeight="1" ht="15">
      <c r="A661" s="20" t="inlineStr">
        <is>
          <r>
            <t xml:space="preserve">Mão de Obra</t>
          </r>
        </is>
      </c>
      <c r="B661" s="20" t="inlineStr"/>
      <c r="C661" s="21" t="inlineStr">
        <is>
          <r>
            <t xml:space="preserve">FONTE</t>
          </r>
        </is>
      </c>
      <c r="D661" s="21" t="inlineStr">
        <is>
          <r>
            <t xml:space="preserve">UNID</t>
          </r>
        </is>
      </c>
      <c r="E661" s="21" t="inlineStr">
        <is>
          <r>
            <t xml:space="preserve">COEFICIENTE</t>
          </r>
        </is>
      </c>
      <c r="F661" s="21" t="inlineStr">
        <is>
          <r>
            <t xml:space="preserve">PREÇO UNITÁRIO</t>
          </r>
        </is>
      </c>
      <c r="G661" s="21" t="inlineStr">
        <is>
          <r>
            <t xml:space="preserve">TOTAL</t>
          </r>
        </is>
      </c>
    </row>
    <row r="662" customHeight="1" ht="15">
      <c r="A662" s="22" t="inlineStr">
        <is>
          <r>
            <t xml:space="preserve">I2391</t>
          </r>
        </is>
      </c>
      <c r="B662" s="23" t="inlineStr">
        <is>
          <r>
            <t xml:space="preserve">PEDREIRO</t>
          </r>
        </is>
      </c>
      <c r="C662" s="22" t="inlineStr">
        <is>
          <r>
            <t xml:space="preserve">SEINFRA</t>
          </r>
        </is>
      </c>
      <c r="D662" s="22" t="inlineStr">
        <is>
          <r>
            <t xml:space="preserve">H</t>
          </r>
        </is>
      </c>
      <c r="E662" s="24" t="n">
        <v>2.0</v>
      </c>
      <c r="F662" s="30" t="n">
        <v>24.16</v>
      </c>
      <c r="G662" s="30" t="n">
        <f>ROUND(ROUND(E662,8)*F662,4)</f>
        <v>48.32</v>
      </c>
    </row>
    <row r="663" customHeight="1" ht="15">
      <c r="A663" s="22" t="inlineStr">
        <is>
          <r>
            <t xml:space="preserve">I2543</t>
          </r>
        </is>
      </c>
      <c r="B663" s="23" t="inlineStr">
        <is>
          <r>
            <t xml:space="preserve">SERVENTE</t>
          </r>
        </is>
      </c>
      <c r="C663" s="22" t="inlineStr">
        <is>
          <r>
            <t xml:space="preserve">SEINFRA</t>
          </r>
        </is>
      </c>
      <c r="D663" s="22" t="inlineStr">
        <is>
          <r>
            <t xml:space="preserve">H</t>
          </r>
        </is>
      </c>
      <c r="E663" s="24" t="n">
        <v>6.0</v>
      </c>
      <c r="F663" s="30" t="n">
        <v>18.46</v>
      </c>
      <c r="G663" s="30" t="n">
        <f>ROUND(ROUND(E663,8)*F663,4)</f>
        <v>110.76</v>
      </c>
    </row>
    <row r="664" customHeight="1" ht="15">
      <c r="A664" s="2" t="inlineStr"/>
      <c r="B664" s="2" t="inlineStr"/>
      <c r="C664" s="2" t="inlineStr"/>
      <c r="D664" s="2" t="inlineStr"/>
      <c r="E664" s="26" t="inlineStr">
        <is>
          <r>
            <t xml:space="preserve">TOTAL Mão de Obra:</t>
          </r>
        </is>
      </c>
      <c r="F664" s="26" t="inlineStr"/>
      <c r="G664" s="31" t="n">
        <f>SUM(G662:G663)</f>
        <v>159.08</v>
      </c>
    </row>
    <row r="665" customHeight="1" ht="15">
      <c r="A665" s="2" t="inlineStr"/>
      <c r="B665" s="2" t="inlineStr"/>
      <c r="C665" s="2" t="inlineStr"/>
      <c r="D665" s="2" t="inlineStr"/>
      <c r="E665" s="28" t="inlineStr">
        <is>
          <r>
            <t xml:space="preserve">VALOR:</t>
          </r>
        </is>
      </c>
      <c r="F665" s="28" t="inlineStr"/>
      <c r="G665" s="29" t="n">
        <f>ROUND(SUM(G664),2)</f>
        <v>159.08</v>
      </c>
    </row>
    <row r="666" customHeight="1" ht="15">
      <c r="A666" s="2" t="inlineStr"/>
      <c r="B666" s="2" t="inlineStr"/>
      <c r="C666" s="2" t="inlineStr"/>
      <c r="D666" s="2" t="inlineStr"/>
      <c r="E666" s="28" t="inlineStr">
        <is>
          <r>
            <t xml:space="preserve">VALOR BDI:</t>
          </r>
        </is>
      </c>
      <c r="F666" s="28" t="inlineStr"/>
      <c r="G666" s="29" t="n">
        <f>ROUND(G665*(0/100),2)</f>
        <v>0.0</v>
      </c>
    </row>
    <row r="667" customHeight="1" ht="15">
      <c r="A667" s="2" t="inlineStr"/>
      <c r="B667" s="2" t="inlineStr"/>
      <c r="C667" s="2" t="inlineStr"/>
      <c r="D667" s="2" t="inlineStr"/>
      <c r="E667" s="28" t="inlineStr">
        <is>
          <r>
            <t xml:space="preserve">VALOR COM BDI:</t>
          </r>
        </is>
      </c>
      <c r="F667" s="28" t="inlineStr"/>
      <c r="G667" s="29" t="n">
        <f>G666+G665</f>
        <v>159.08</v>
      </c>
    </row>
    <row r="668" customHeight="1" ht="10">
      <c r="A668" s="2" t="inlineStr"/>
      <c r="B668" s="2" t="inlineStr"/>
      <c r="C668" s="2" t="inlineStr"/>
      <c r="D668" s="2" t="inlineStr"/>
      <c r="E668" s="18" t="inlineStr"/>
      <c r="F668" s="18" t="inlineStr"/>
      <c r="G668" s="18" t="inlineStr"/>
    </row>
    <row r="669" customHeight="1" ht="20">
      <c r="A669" s="19" t="inlineStr">
        <is>
          <r>
            <t xml:space="preserve">1.3.2.10.6. ​C4326​ FORNECIMENTO E COLOCAÇÃO DE CANTONEIRA EM AÇO SAC (3"X3"X5/16")​ (M)</t>
          </r>
        </is>
      </c>
      <c r="B669" s="19" t="inlineStr"/>
      <c r="C669" s="19" t="inlineStr"/>
      <c r="D669" s="19" t="inlineStr"/>
      <c r="E669" s="19" t="inlineStr"/>
      <c r="F669" s="19" t="inlineStr"/>
      <c r="G669" s="19" t="inlineStr"/>
    </row>
    <row r="670" customHeight="1" ht="15">
      <c r="A670" s="20" t="inlineStr">
        <is>
          <r>
            <t xml:space="preserve">Equipamento Custo Horário</t>
          </r>
        </is>
      </c>
      <c r="B670" s="20" t="inlineStr"/>
      <c r="C670" s="21" t="inlineStr">
        <is>
          <r>
            <t xml:space="preserve">FONTE</t>
          </r>
        </is>
      </c>
      <c r="D670" s="21" t="inlineStr">
        <is>
          <r>
            <t xml:space="preserve">UNID</t>
          </r>
        </is>
      </c>
      <c r="E670" s="21" t="inlineStr">
        <is>
          <r>
            <t xml:space="preserve">COEFICIENTE</t>
          </r>
        </is>
      </c>
      <c r="F670" s="21" t="inlineStr">
        <is>
          <r>
            <t xml:space="preserve">PREÇO UNITÁRIO</t>
          </r>
        </is>
      </c>
      <c r="G670" s="21" t="inlineStr">
        <is>
          <r>
            <t xml:space="preserve">TOTAL</t>
          </r>
        </is>
      </c>
    </row>
    <row r="671" customHeight="1" ht="15">
      <c r="A671" s="22" t="inlineStr">
        <is>
          <r>
            <t xml:space="preserve">I0749</t>
          </r>
        </is>
      </c>
      <c r="B671" s="23" t="inlineStr">
        <is>
          <r>
            <t xml:space="preserve">MÁQUINA DE SOLDA (CHP)</t>
          </r>
        </is>
      </c>
      <c r="C671" s="22" t="inlineStr">
        <is>
          <r>
            <t xml:space="preserve">SEINFRA</t>
          </r>
        </is>
      </c>
      <c r="D671" s="22" t="inlineStr">
        <is>
          <r>
            <t xml:space="preserve">H</t>
          </r>
        </is>
      </c>
      <c r="E671" s="24" t="n">
        <v>0.6</v>
      </c>
      <c r="F671" s="30" t="n">
        <v>0.0972</v>
      </c>
      <c r="G671" s="30" t="n">
        <f>ROUND(ROUND(E671,8)*F671,4)</f>
        <v>0.0583</v>
      </c>
    </row>
    <row r="672" customHeight="1" ht="18">
      <c r="A672" s="2" t="inlineStr"/>
      <c r="B672" s="2" t="inlineStr"/>
      <c r="C672" s="2" t="inlineStr"/>
      <c r="D672" s="2" t="inlineStr"/>
      <c r="E672" s="26" t="inlineStr">
        <is>
          <r>
            <t xml:space="preserve">TOTAL Equipamento Custo Horário:</t>
          </r>
        </is>
      </c>
      <c r="F672" s="26" t="inlineStr"/>
      <c r="G672" s="31" t="n">
        <f>SUM(G671:G671)</f>
        <v>0.0583</v>
      </c>
    </row>
    <row r="673" customHeight="1" ht="15">
      <c r="A673" s="20" t="inlineStr">
        <is>
          <r>
            <t xml:space="preserve">Material</t>
          </r>
        </is>
      </c>
      <c r="B673" s="20" t="inlineStr"/>
      <c r="C673" s="21" t="inlineStr">
        <is>
          <r>
            <t xml:space="preserve">FONTE</t>
          </r>
        </is>
      </c>
      <c r="D673" s="21" t="inlineStr">
        <is>
          <r>
            <t xml:space="preserve">UNID</t>
          </r>
        </is>
      </c>
      <c r="E673" s="21" t="inlineStr">
        <is>
          <r>
            <t xml:space="preserve">COEFICIENTE</t>
          </r>
        </is>
      </c>
      <c r="F673" s="21" t="inlineStr">
        <is>
          <r>
            <t xml:space="preserve">PREÇO UNITÁRIO</t>
          </r>
        </is>
      </c>
      <c r="G673" s="21" t="inlineStr">
        <is>
          <r>
            <t xml:space="preserve">TOTAL</t>
          </r>
        </is>
      </c>
    </row>
    <row r="674" customHeight="1" ht="15">
      <c r="A674" s="22" t="inlineStr">
        <is>
          <r>
            <t xml:space="preserve">I0157</t>
          </r>
        </is>
      </c>
      <c r="B674" s="23" t="inlineStr">
        <is>
          <r>
            <t xml:space="preserve">AÇO CA-25</t>
          </r>
        </is>
      </c>
      <c r="C674" s="22" t="inlineStr">
        <is>
          <r>
            <t xml:space="preserve">SEINFRA</t>
          </r>
        </is>
      </c>
      <c r="D674" s="22" t="inlineStr">
        <is>
          <r>
            <t xml:space="preserve">KG</t>
          </r>
        </is>
      </c>
      <c r="E674" s="24" t="n">
        <v>0.71</v>
      </c>
      <c r="F674" s="30" t="n">
        <v>8.23</v>
      </c>
      <c r="G674" s="30" t="n">
        <f>ROUND(ROUND(E674,8)*F674,4)</f>
        <v>5.8433</v>
      </c>
    </row>
    <row r="675" customHeight="1" ht="15">
      <c r="A675" s="22" t="inlineStr">
        <is>
          <r>
            <t xml:space="preserve">I8199</t>
          </r>
        </is>
      </c>
      <c r="B675" s="23" t="inlineStr">
        <is>
          <r>
            <t xml:space="preserve">CANTONEIRA DE AÇO 3" x 3" x 5/16" (9,07kg/m)</t>
          </r>
        </is>
      </c>
      <c r="C675" s="22" t="inlineStr">
        <is>
          <r>
            <t xml:space="preserve">SEINFRA</t>
          </r>
        </is>
      </c>
      <c r="D675" s="22" t="inlineStr">
        <is>
          <r>
            <t xml:space="preserve">KG</t>
          </r>
        </is>
      </c>
      <c r="E675" s="24" t="n">
        <v>11.07</v>
      </c>
      <c r="F675" s="30" t="n">
        <v>9.23</v>
      </c>
      <c r="G675" s="30" t="n">
        <f>ROUND(ROUND(E675,8)*F675,4)</f>
        <v>102.1761</v>
      </c>
    </row>
    <row r="676" customHeight="1" ht="15">
      <c r="A676" s="22" t="inlineStr">
        <is>
          <r>
            <t xml:space="preserve">I1061</t>
          </r>
        </is>
      </c>
      <c r="B676" s="23" t="inlineStr">
        <is>
          <r>
            <t xml:space="preserve">ELETRODOS</t>
          </r>
        </is>
      </c>
      <c r="C676" s="22" t="inlineStr">
        <is>
          <r>
            <t xml:space="preserve">SEINFRA</t>
          </r>
        </is>
      </c>
      <c r="D676" s="22" t="inlineStr">
        <is>
          <r>
            <t xml:space="preserve">KG</t>
          </r>
        </is>
      </c>
      <c r="E676" s="24" t="n">
        <v>0.6</v>
      </c>
      <c r="F676" s="30" t="n">
        <v>32.44</v>
      </c>
      <c r="G676" s="30" t="n">
        <f>ROUND(ROUND(E676,8)*F676,4)</f>
        <v>19.464</v>
      </c>
    </row>
    <row r="677" customHeight="1" ht="15">
      <c r="A677" s="2" t="inlineStr"/>
      <c r="B677" s="2" t="inlineStr"/>
      <c r="C677" s="2" t="inlineStr"/>
      <c r="D677" s="2" t="inlineStr"/>
      <c r="E677" s="26" t="inlineStr">
        <is>
          <r>
            <t xml:space="preserve">TOTAL Material:</t>
          </r>
        </is>
      </c>
      <c r="F677" s="26" t="inlineStr"/>
      <c r="G677" s="31" t="n">
        <f>SUM(G674:G676)</f>
        <v>127.4834</v>
      </c>
    </row>
    <row r="678" customHeight="1" ht="15">
      <c r="A678" s="20" t="inlineStr">
        <is>
          <r>
            <t xml:space="preserve">Mão de Obra</t>
          </r>
        </is>
      </c>
      <c r="B678" s="20" t="inlineStr"/>
      <c r="C678" s="21" t="inlineStr">
        <is>
          <r>
            <t xml:space="preserve">FONTE</t>
          </r>
        </is>
      </c>
      <c r="D678" s="21" t="inlineStr">
        <is>
          <r>
            <t xml:space="preserve">UNID</t>
          </r>
        </is>
      </c>
      <c r="E678" s="21" t="inlineStr">
        <is>
          <r>
            <t xml:space="preserve">COEFICIENTE</t>
          </r>
        </is>
      </c>
      <c r="F678" s="21" t="inlineStr">
        <is>
          <r>
            <t xml:space="preserve">PREÇO UNITÁRIO</t>
          </r>
        </is>
      </c>
      <c r="G678" s="21" t="inlineStr">
        <is>
          <r>
            <t xml:space="preserve">TOTAL</t>
          </r>
        </is>
      </c>
    </row>
    <row r="679" customHeight="1" ht="15">
      <c r="A679" s="22" t="inlineStr">
        <is>
          <r>
            <t xml:space="preserve">I2543</t>
          </r>
        </is>
      </c>
      <c r="B679" s="23" t="inlineStr">
        <is>
          <r>
            <t xml:space="preserve">SERVENTE</t>
          </r>
        </is>
      </c>
      <c r="C679" s="22" t="inlineStr">
        <is>
          <r>
            <t xml:space="preserve">SEINFRA</t>
          </r>
        </is>
      </c>
      <c r="D679" s="22" t="inlineStr">
        <is>
          <r>
            <t xml:space="preserve">H</t>
          </r>
        </is>
      </c>
      <c r="E679" s="24" t="n">
        <v>0.3</v>
      </c>
      <c r="F679" s="30" t="n">
        <v>18.46</v>
      </c>
      <c r="G679" s="30" t="n">
        <f>ROUND(ROUND(E679,8)*F679,4)</f>
        <v>5.538</v>
      </c>
    </row>
    <row r="680" customHeight="1" ht="15">
      <c r="A680" s="22" t="inlineStr">
        <is>
          <r>
            <t xml:space="preserve">I1879</t>
          </r>
        </is>
      </c>
      <c r="B680" s="23" t="inlineStr">
        <is>
          <r>
            <t xml:space="preserve">SOLDADOR</t>
          </r>
        </is>
      </c>
      <c r="C680" s="22" t="inlineStr">
        <is>
          <r>
            <t xml:space="preserve">SEINFRA</t>
          </r>
        </is>
      </c>
      <c r="D680" s="22" t="inlineStr">
        <is>
          <r>
            <t xml:space="preserve">H</t>
          </r>
        </is>
      </c>
      <c r="E680" s="24" t="n">
        <v>0.6</v>
      </c>
      <c r="F680" s="30" t="n">
        <v>25.0</v>
      </c>
      <c r="G680" s="30" t="n">
        <f>ROUND(ROUND(E680,8)*F680,4)</f>
        <v>15.0</v>
      </c>
    </row>
    <row r="681" customHeight="1" ht="15">
      <c r="A681" s="2" t="inlineStr"/>
      <c r="B681" s="2" t="inlineStr"/>
      <c r="C681" s="2" t="inlineStr"/>
      <c r="D681" s="2" t="inlineStr"/>
      <c r="E681" s="26" t="inlineStr">
        <is>
          <r>
            <t xml:space="preserve">TOTAL Mão de Obra:</t>
          </r>
        </is>
      </c>
      <c r="F681" s="26" t="inlineStr"/>
      <c r="G681" s="31" t="n">
        <f>SUM(G679:G680)</f>
        <v>20.538</v>
      </c>
    </row>
    <row r="682" customHeight="1" ht="15">
      <c r="A682" s="2" t="inlineStr"/>
      <c r="B682" s="2" t="inlineStr"/>
      <c r="C682" s="2" t="inlineStr"/>
      <c r="D682" s="2" t="inlineStr"/>
      <c r="E682" s="28" t="inlineStr">
        <is>
          <r>
            <t xml:space="preserve">VALOR:</t>
          </r>
        </is>
      </c>
      <c r="F682" s="28" t="inlineStr"/>
      <c r="G682" s="29" t="n">
        <f>ROUND(SUM(G672,G677,G681),2)</f>
        <v>148.08</v>
      </c>
    </row>
    <row r="683" customHeight="1" ht="15">
      <c r="A683" s="2" t="inlineStr"/>
      <c r="B683" s="2" t="inlineStr"/>
      <c r="C683" s="2" t="inlineStr"/>
      <c r="D683" s="2" t="inlineStr"/>
      <c r="E683" s="28" t="inlineStr">
        <is>
          <r>
            <t xml:space="preserve">VALOR BDI:</t>
          </r>
        </is>
      </c>
      <c r="F683" s="28" t="inlineStr"/>
      <c r="G683" s="29" t="n">
        <f>ROUND(G682*(0/100),2)</f>
        <v>0.0</v>
      </c>
    </row>
    <row r="684" customHeight="1" ht="15">
      <c r="A684" s="2" t="inlineStr"/>
      <c r="B684" s="2" t="inlineStr"/>
      <c r="C684" s="2" t="inlineStr"/>
      <c r="D684" s="2" t="inlineStr"/>
      <c r="E684" s="28" t="inlineStr">
        <is>
          <r>
            <t xml:space="preserve">VALOR COM BDI:</t>
          </r>
        </is>
      </c>
      <c r="F684" s="28" t="inlineStr"/>
      <c r="G684" s="29" t="n">
        <f>G683+G682</f>
        <v>148.08</v>
      </c>
    </row>
    <row r="685" customHeight="1" ht="10">
      <c r="A685" s="2" t="inlineStr"/>
      <c r="B685" s="2" t="inlineStr"/>
      <c r="C685" s="2" t="inlineStr"/>
      <c r="D685" s="2" t="inlineStr"/>
      <c r="E685" s="18" t="inlineStr"/>
      <c r="F685" s="18" t="inlineStr"/>
      <c r="G685" s="18" t="inlineStr"/>
    </row>
    <row r="686" customHeight="1" ht="20">
      <c r="A686" s="19" t="inlineStr">
        <is>
          <r>
            <t xml:space="preserve">1.3.2.10.7. ​C2268​ SELANTE ELASTRÔMETRO P/ JUNTA DE DILATAÇÃO​ (M)</t>
          </r>
        </is>
      </c>
      <c r="B686" s="19" t="inlineStr"/>
      <c r="C686" s="19" t="inlineStr"/>
      <c r="D686" s="19" t="inlineStr"/>
      <c r="E686" s="19" t="inlineStr"/>
      <c r="F686" s="19" t="inlineStr"/>
      <c r="G686" s="19" t="inlineStr"/>
    </row>
    <row r="687" customHeight="1" ht="15">
      <c r="A687" s="20" t="inlineStr">
        <is>
          <r>
            <t xml:space="preserve">Material</t>
          </r>
        </is>
      </c>
      <c r="B687" s="20" t="inlineStr"/>
      <c r="C687" s="21" t="inlineStr">
        <is>
          <r>
            <t xml:space="preserve">FONTE</t>
          </r>
        </is>
      </c>
      <c r="D687" s="21" t="inlineStr">
        <is>
          <r>
            <t xml:space="preserve">UNID</t>
          </r>
        </is>
      </c>
      <c r="E687" s="21" t="inlineStr">
        <is>
          <r>
            <t xml:space="preserve">COEFICIENTE</t>
          </r>
        </is>
      </c>
      <c r="F687" s="21" t="inlineStr">
        <is>
          <r>
            <t xml:space="preserve">PREÇO UNITÁRIO</t>
          </r>
        </is>
      </c>
      <c r="G687" s="21" t="inlineStr">
        <is>
          <r>
            <t xml:space="preserve">TOTAL</t>
          </r>
        </is>
      </c>
    </row>
    <row r="688" customHeight="1" ht="15">
      <c r="A688" s="22" t="inlineStr">
        <is>
          <r>
            <t xml:space="preserve">I1517</t>
          </r>
        </is>
      </c>
      <c r="B688" s="23" t="inlineStr">
        <is>
          <r>
            <t xml:space="preserve">MASTIQUE ELASTICO</t>
          </r>
        </is>
      </c>
      <c r="C688" s="22" t="inlineStr">
        <is>
          <r>
            <t xml:space="preserve">SEINFRA</t>
          </r>
        </is>
      </c>
      <c r="D688" s="22" t="inlineStr">
        <is>
          <r>
            <t xml:space="preserve">KG</t>
          </r>
        </is>
      </c>
      <c r="E688" s="24" t="n">
        <v>0.65</v>
      </c>
      <c r="F688" s="30" t="n">
        <v>38.24</v>
      </c>
      <c r="G688" s="30" t="n">
        <f>ROUND(ROUND(E688,8)*F688,4)</f>
        <v>24.856</v>
      </c>
    </row>
    <row r="689" customHeight="1" ht="15">
      <c r="A689" s="2" t="inlineStr"/>
      <c r="B689" s="2" t="inlineStr"/>
      <c r="C689" s="2" t="inlineStr"/>
      <c r="D689" s="2" t="inlineStr"/>
      <c r="E689" s="26" t="inlineStr">
        <is>
          <r>
            <t xml:space="preserve">TOTAL Material:</t>
          </r>
        </is>
      </c>
      <c r="F689" s="26" t="inlineStr"/>
      <c r="G689" s="31" t="n">
        <f>SUM(G688:G688)</f>
        <v>24.856</v>
      </c>
    </row>
    <row r="690" customHeight="1" ht="15">
      <c r="A690" s="20" t="inlineStr">
        <is>
          <r>
            <t xml:space="preserve">Mão de Obra</t>
          </r>
        </is>
      </c>
      <c r="B690" s="20" t="inlineStr"/>
      <c r="C690" s="21" t="inlineStr">
        <is>
          <r>
            <t xml:space="preserve">FONTE</t>
          </r>
        </is>
      </c>
      <c r="D690" s="21" t="inlineStr">
        <is>
          <r>
            <t xml:space="preserve">UNID</t>
          </r>
        </is>
      </c>
      <c r="E690" s="21" t="inlineStr">
        <is>
          <r>
            <t xml:space="preserve">COEFICIENTE</t>
          </r>
        </is>
      </c>
      <c r="F690" s="21" t="inlineStr">
        <is>
          <r>
            <t xml:space="preserve">PREÇO UNITÁRIO</t>
          </r>
        </is>
      </c>
      <c r="G690" s="21" t="inlineStr">
        <is>
          <r>
            <t xml:space="preserve">TOTAL</t>
          </r>
        </is>
      </c>
    </row>
    <row r="691" customHeight="1" ht="15">
      <c r="A691" s="22" t="inlineStr">
        <is>
          <r>
            <t xml:space="preserve">I0037</t>
          </r>
        </is>
      </c>
      <c r="B691" s="23" t="inlineStr">
        <is>
          <r>
            <t xml:space="preserve">AJUDANTE</t>
          </r>
        </is>
      </c>
      <c r="C691" s="22" t="inlineStr">
        <is>
          <r>
            <t xml:space="preserve">SEINFRA</t>
          </r>
        </is>
      </c>
      <c r="D691" s="22" t="inlineStr">
        <is>
          <r>
            <t xml:space="preserve">H</t>
          </r>
        </is>
      </c>
      <c r="E691" s="24" t="n">
        <v>0.4</v>
      </c>
      <c r="F691" s="30" t="n">
        <v>19.1</v>
      </c>
      <c r="G691" s="30" t="n">
        <f>ROUND(ROUND(E691,8)*F691,4)</f>
        <v>7.64</v>
      </c>
    </row>
    <row r="692" customHeight="1" ht="15">
      <c r="A692" s="22" t="inlineStr">
        <is>
          <r>
            <t xml:space="preserve">I0092</t>
          </r>
        </is>
      </c>
      <c r="B692" s="23" t="inlineStr">
        <is>
          <r>
            <t xml:space="preserve">APLICADOR REVESTIMENTO</t>
          </r>
        </is>
      </c>
      <c r="C692" s="22" t="inlineStr">
        <is>
          <r>
            <t xml:space="preserve">SEINFRA</t>
          </r>
        </is>
      </c>
      <c r="D692" s="22" t="inlineStr">
        <is>
          <r>
            <t xml:space="preserve">H</t>
          </r>
        </is>
      </c>
      <c r="E692" s="24" t="n">
        <v>0.6</v>
      </c>
      <c r="F692" s="30" t="n">
        <v>24.16</v>
      </c>
      <c r="G692" s="30" t="n">
        <f>ROUND(ROUND(E692,8)*F692,4)</f>
        <v>14.496</v>
      </c>
    </row>
    <row r="693" customHeight="1" ht="15">
      <c r="A693" s="2" t="inlineStr"/>
      <c r="B693" s="2" t="inlineStr"/>
      <c r="C693" s="2" t="inlineStr"/>
      <c r="D693" s="2" t="inlineStr"/>
      <c r="E693" s="26" t="inlineStr">
        <is>
          <r>
            <t xml:space="preserve">TOTAL Mão de Obra:</t>
          </r>
        </is>
      </c>
      <c r="F693" s="26" t="inlineStr"/>
      <c r="G693" s="31" t="n">
        <f>SUM(G691:G692)</f>
        <v>22.136</v>
      </c>
    </row>
    <row r="694" customHeight="1" ht="15">
      <c r="A694" s="2" t="inlineStr"/>
      <c r="B694" s="2" t="inlineStr"/>
      <c r="C694" s="2" t="inlineStr"/>
      <c r="D694" s="2" t="inlineStr"/>
      <c r="E694" s="28" t="inlineStr">
        <is>
          <r>
            <t xml:space="preserve">VALOR:</t>
          </r>
        </is>
      </c>
      <c r="F694" s="28" t="inlineStr"/>
      <c r="G694" s="29" t="n">
        <f>ROUND(SUM(G689,G693),2)</f>
        <v>46.99</v>
      </c>
    </row>
    <row r="695" customHeight="1" ht="15">
      <c r="A695" s="2" t="inlineStr"/>
      <c r="B695" s="2" t="inlineStr"/>
      <c r="C695" s="2" t="inlineStr"/>
      <c r="D695" s="2" t="inlineStr"/>
      <c r="E695" s="28" t="inlineStr">
        <is>
          <r>
            <t xml:space="preserve">VALOR BDI:</t>
          </r>
        </is>
      </c>
      <c r="F695" s="28" t="inlineStr"/>
      <c r="G695" s="29" t="n">
        <f>ROUND(G694*(0/100),2)</f>
        <v>0.0</v>
      </c>
    </row>
    <row r="696" customHeight="1" ht="15">
      <c r="A696" s="2" t="inlineStr"/>
      <c r="B696" s="2" t="inlineStr"/>
      <c r="C696" s="2" t="inlineStr"/>
      <c r="D696" s="2" t="inlineStr"/>
      <c r="E696" s="28" t="inlineStr">
        <is>
          <r>
            <t xml:space="preserve">VALOR COM BDI:</t>
          </r>
        </is>
      </c>
      <c r="F696" s="28" t="inlineStr"/>
      <c r="G696" s="29" t="n">
        <f>G695+G694</f>
        <v>46.99</v>
      </c>
    </row>
    <row r="697" customHeight="1" ht="10">
      <c r="A697" s="2" t="inlineStr"/>
      <c r="B697" s="2" t="inlineStr"/>
      <c r="C697" s="2" t="inlineStr"/>
      <c r="D697" s="2" t="inlineStr"/>
      <c r="E697" s="18" t="inlineStr"/>
      <c r="F697" s="18" t="inlineStr"/>
      <c r="G697" s="18" t="inlineStr"/>
    </row>
    <row r="698" customHeight="1" ht="20">
      <c r="A698" s="19" t="inlineStr">
        <is>
          <r>
            <t xml:space="preserve">1.3.2.10.8. ​C2473​ PINTURA C/ TINTA EPOXI EM ESTRUTURA DE AÇO CARBONO 50 MICRA C/REVÓLVER​ (M2)</t>
          </r>
        </is>
      </c>
      <c r="B698" s="19" t="inlineStr"/>
      <c r="C698" s="19" t="inlineStr"/>
      <c r="D698" s="19" t="inlineStr"/>
      <c r="E698" s="19" t="inlineStr"/>
      <c r="F698" s="19" t="inlineStr"/>
      <c r="G698" s="19" t="inlineStr"/>
    </row>
    <row r="699" customHeight="1" ht="15">
      <c r="A699" s="20" t="inlineStr">
        <is>
          <r>
            <t xml:space="preserve">Material</t>
          </r>
        </is>
      </c>
      <c r="B699" s="20" t="inlineStr"/>
      <c r="C699" s="21" t="inlineStr">
        <is>
          <r>
            <t xml:space="preserve">FONTE</t>
          </r>
        </is>
      </c>
      <c r="D699" s="21" t="inlineStr">
        <is>
          <r>
            <t xml:space="preserve">UNID</t>
          </r>
        </is>
      </c>
      <c r="E699" s="21" t="inlineStr">
        <is>
          <r>
            <t xml:space="preserve">COEFICIENTE</t>
          </r>
        </is>
      </c>
      <c r="F699" s="21" t="inlineStr">
        <is>
          <r>
            <t xml:space="preserve">PREÇO UNITÁRIO</t>
          </r>
        </is>
      </c>
      <c r="G699" s="21" t="inlineStr">
        <is>
          <r>
            <t xml:space="preserve">TOTAL</t>
          </r>
        </is>
      </c>
    </row>
    <row r="700" customHeight="1" ht="15">
      <c r="A700" s="22" t="inlineStr">
        <is>
          <r>
            <t xml:space="preserve">I1346</t>
          </r>
        </is>
      </c>
      <c r="B700" s="23" t="inlineStr">
        <is>
          <r>
            <t xml:space="preserve">LIXA PARA FERRO</t>
          </r>
        </is>
      </c>
      <c r="C700" s="22" t="inlineStr">
        <is>
          <r>
            <t xml:space="preserve">SEINFRA</t>
          </r>
        </is>
      </c>
      <c r="D700" s="22" t="inlineStr">
        <is>
          <r>
            <t xml:space="preserve">UN</t>
          </r>
        </is>
      </c>
      <c r="E700" s="24" t="n">
        <v>0.275</v>
      </c>
      <c r="F700" s="30" t="n">
        <v>2.14</v>
      </c>
      <c r="G700" s="30" t="n">
        <f>ROUND(ROUND(E700,8)*F700,4)</f>
        <v>0.5885</v>
      </c>
    </row>
    <row r="701" customHeight="1" ht="15">
      <c r="A701" s="22" t="inlineStr">
        <is>
          <r>
            <t xml:space="preserve">I1890</t>
          </r>
        </is>
      </c>
      <c r="B701" s="23" t="inlineStr">
        <is>
          <r>
            <t xml:space="preserve">SOLVENTE P/TINTA EPOXI E BORRACHA CLORADA</t>
          </r>
        </is>
      </c>
      <c r="C701" s="22" t="inlineStr">
        <is>
          <r>
            <t xml:space="preserve">SEINFRA</t>
          </r>
        </is>
      </c>
      <c r="D701" s="22" t="inlineStr">
        <is>
          <r>
            <t xml:space="preserve">L</t>
          </r>
        </is>
      </c>
      <c r="E701" s="24" t="n">
        <v>0.044</v>
      </c>
      <c r="F701" s="30" t="n">
        <v>46.25</v>
      </c>
      <c r="G701" s="30" t="n">
        <f>ROUND(ROUND(E701,8)*F701,4)</f>
        <v>2.035</v>
      </c>
    </row>
    <row r="702" customHeight="1" ht="15">
      <c r="A702" s="22" t="inlineStr">
        <is>
          <r>
            <t xml:space="preserve">I2093</t>
          </r>
        </is>
      </c>
      <c r="B702" s="23" t="inlineStr">
        <is>
          <r>
            <t xml:space="preserve">TINTA EPOXI PARA ACABAMENTO</t>
          </r>
        </is>
      </c>
      <c r="C702" s="22" t="inlineStr">
        <is>
          <r>
            <t xml:space="preserve">SEINFRA</t>
          </r>
        </is>
      </c>
      <c r="D702" s="22" t="inlineStr">
        <is>
          <r>
            <t xml:space="preserve">L</t>
          </r>
        </is>
      </c>
      <c r="E702" s="24" t="n">
        <v>0.209</v>
      </c>
      <c r="F702" s="30" t="n">
        <v>63.53</v>
      </c>
      <c r="G702" s="30" t="n">
        <f>ROUND(ROUND(E702,8)*F702,4)</f>
        <v>13.2778</v>
      </c>
    </row>
    <row r="703" customHeight="1" ht="15">
      <c r="A703" s="2" t="inlineStr"/>
      <c r="B703" s="2" t="inlineStr"/>
      <c r="C703" s="2" t="inlineStr"/>
      <c r="D703" s="2" t="inlineStr"/>
      <c r="E703" s="26" t="inlineStr">
        <is>
          <r>
            <t xml:space="preserve">TOTAL Material:</t>
          </r>
        </is>
      </c>
      <c r="F703" s="26" t="inlineStr"/>
      <c r="G703" s="31" t="n">
        <f>SUM(G700:G702)</f>
        <v>15.9013</v>
      </c>
    </row>
    <row r="704" customHeight="1" ht="15">
      <c r="A704" s="20" t="inlineStr">
        <is>
          <r>
            <t xml:space="preserve">Mão de Obra</t>
          </r>
        </is>
      </c>
      <c r="B704" s="20" t="inlineStr"/>
      <c r="C704" s="21" t="inlineStr">
        <is>
          <r>
            <t xml:space="preserve">FONTE</t>
          </r>
        </is>
      </c>
      <c r="D704" s="21" t="inlineStr">
        <is>
          <r>
            <t xml:space="preserve">UNID</t>
          </r>
        </is>
      </c>
      <c r="E704" s="21" t="inlineStr">
        <is>
          <r>
            <t xml:space="preserve">COEFICIENTE</t>
          </r>
        </is>
      </c>
      <c r="F704" s="21" t="inlineStr">
        <is>
          <r>
            <t xml:space="preserve">PREÇO UNITÁRIO</t>
          </r>
        </is>
      </c>
      <c r="G704" s="21" t="inlineStr">
        <is>
          <r>
            <t xml:space="preserve">TOTAL</t>
          </r>
        </is>
      </c>
    </row>
    <row r="705" customHeight="1" ht="15">
      <c r="A705" s="22" t="inlineStr">
        <is>
          <r>
            <t xml:space="preserve">I0045</t>
          </r>
        </is>
      </c>
      <c r="B705" s="23" t="inlineStr">
        <is>
          <r>
            <t xml:space="preserve">AJUDANTE DE PINTOR</t>
          </r>
        </is>
      </c>
      <c r="C705" s="22" t="inlineStr">
        <is>
          <r>
            <t xml:space="preserve">SEINFRA</t>
          </r>
        </is>
      </c>
      <c r="D705" s="22" t="inlineStr">
        <is>
          <r>
            <t xml:space="preserve">H</t>
          </r>
        </is>
      </c>
      <c r="E705" s="24" t="n">
        <v>0.07</v>
      </c>
      <c r="F705" s="30" t="n">
        <v>19.1</v>
      </c>
      <c r="G705" s="30" t="n">
        <f>ROUND(ROUND(E705,8)*F705,4)</f>
        <v>1.337</v>
      </c>
    </row>
    <row r="706" customHeight="1" ht="15">
      <c r="A706" s="22" t="inlineStr">
        <is>
          <r>
            <t xml:space="preserve">I2395</t>
          </r>
        </is>
      </c>
      <c r="B706" s="23" t="inlineStr">
        <is>
          <r>
            <t xml:space="preserve">PINTOR</t>
          </r>
        </is>
      </c>
      <c r="C706" s="22" t="inlineStr">
        <is>
          <r>
            <t xml:space="preserve">SEINFRA</t>
          </r>
        </is>
      </c>
      <c r="D706" s="22" t="inlineStr">
        <is>
          <r>
            <t xml:space="preserve">H</t>
          </r>
        </is>
      </c>
      <c r="E706" s="24" t="n">
        <v>0.13</v>
      </c>
      <c r="F706" s="30" t="n">
        <v>24.16</v>
      </c>
      <c r="G706" s="30" t="n">
        <f>ROUND(ROUND(E706,8)*F706,4)</f>
        <v>3.1408</v>
      </c>
    </row>
    <row r="707" customHeight="1" ht="15">
      <c r="A707" s="2" t="inlineStr"/>
      <c r="B707" s="2" t="inlineStr"/>
      <c r="C707" s="2" t="inlineStr"/>
      <c r="D707" s="2" t="inlineStr"/>
      <c r="E707" s="26" t="inlineStr">
        <is>
          <r>
            <t xml:space="preserve">TOTAL Mão de Obra:</t>
          </r>
        </is>
      </c>
      <c r="F707" s="26" t="inlineStr"/>
      <c r="G707" s="31" t="n">
        <f>SUM(G705:G706)</f>
        <v>4.4778</v>
      </c>
    </row>
    <row r="708" customHeight="1" ht="15">
      <c r="A708" s="2" t="inlineStr"/>
      <c r="B708" s="2" t="inlineStr"/>
      <c r="C708" s="2" t="inlineStr"/>
      <c r="D708" s="2" t="inlineStr"/>
      <c r="E708" s="28" t="inlineStr">
        <is>
          <r>
            <t xml:space="preserve">VALOR:</t>
          </r>
        </is>
      </c>
      <c r="F708" s="28" t="inlineStr"/>
      <c r="G708" s="29" t="n">
        <f>ROUND(SUM(G703,G707),2)</f>
        <v>20.38</v>
      </c>
    </row>
    <row r="709" customHeight="1" ht="15">
      <c r="A709" s="2" t="inlineStr"/>
      <c r="B709" s="2" t="inlineStr"/>
      <c r="C709" s="2" t="inlineStr"/>
      <c r="D709" s="2" t="inlineStr"/>
      <c r="E709" s="28" t="inlineStr">
        <is>
          <r>
            <t xml:space="preserve">VALOR BDI:</t>
          </r>
        </is>
      </c>
      <c r="F709" s="28" t="inlineStr"/>
      <c r="G709" s="29" t="n">
        <f>ROUND(G708*(0/100),2)</f>
        <v>0.0</v>
      </c>
    </row>
    <row r="710" customHeight="1" ht="15">
      <c r="A710" s="2" t="inlineStr"/>
      <c r="B710" s="2" t="inlineStr"/>
      <c r="C710" s="2" t="inlineStr"/>
      <c r="D710" s="2" t="inlineStr"/>
      <c r="E710" s="28" t="inlineStr">
        <is>
          <r>
            <t xml:space="preserve">VALOR COM BDI:</t>
          </r>
        </is>
      </c>
      <c r="F710" s="28" t="inlineStr"/>
      <c r="G710" s="29" t="n">
        <f>G709+G708</f>
        <v>20.38</v>
      </c>
    </row>
    <row r="711" customHeight="1" ht="10">
      <c r="A711" s="2" t="inlineStr"/>
      <c r="B711" s="2" t="inlineStr"/>
      <c r="C711" s="2" t="inlineStr"/>
      <c r="D711" s="2" t="inlineStr"/>
      <c r="E711" s="18" t="inlineStr"/>
      <c r="F711" s="18" t="inlineStr"/>
      <c r="G711" s="18" t="inlineStr"/>
    </row>
    <row r="712" customHeight="1" ht="20">
      <c r="A712" s="19" t="inlineStr">
        <is>
          <r>
            <t xml:space="preserve">1.3.2.10.9. ​C0220​ ARMADURA EM TELA SOLDADA DE AÇO CA-60B​ (KG)</t>
          </r>
        </is>
      </c>
      <c r="B712" s="19" t="inlineStr"/>
      <c r="C712" s="19" t="inlineStr"/>
      <c r="D712" s="19" t="inlineStr"/>
      <c r="E712" s="19" t="inlineStr"/>
      <c r="F712" s="19" t="inlineStr"/>
      <c r="G712" s="19" t="inlineStr"/>
    </row>
    <row r="713" customHeight="1" ht="15">
      <c r="A713" s="20" t="inlineStr">
        <is>
          <r>
            <t xml:space="preserve">Material</t>
          </r>
        </is>
      </c>
      <c r="B713" s="20" t="inlineStr"/>
      <c r="C713" s="21" t="inlineStr">
        <is>
          <r>
            <t xml:space="preserve">FONTE</t>
          </r>
        </is>
      </c>
      <c r="D713" s="21" t="inlineStr">
        <is>
          <r>
            <t xml:space="preserve">UNID</t>
          </r>
        </is>
      </c>
      <c r="E713" s="21" t="inlineStr">
        <is>
          <r>
            <t xml:space="preserve">COEFICIENTE</t>
          </r>
        </is>
      </c>
      <c r="F713" s="21" t="inlineStr">
        <is>
          <r>
            <t xml:space="preserve">PREÇO UNITÁRIO</t>
          </r>
        </is>
      </c>
      <c r="G713" s="21" t="inlineStr">
        <is>
          <r>
            <t xml:space="preserve">TOTAL</t>
          </r>
        </is>
      </c>
    </row>
    <row r="714" customHeight="1" ht="21">
      <c r="A714" s="22" t="inlineStr">
        <is>
          <r>
            <t xml:space="preserve">I2040</t>
          </r>
        </is>
      </c>
      <c r="B714" s="23" t="inlineStr">
        <is>
          <r>
            <t xml:space="preserve">TELA SOLDADA EM ACO CA-60 B FIO= 5,0MM MALHA 10 X 10 CM (3,11KG/M2)</t>
          </r>
        </is>
      </c>
      <c r="C714" s="22" t="inlineStr">
        <is>
          <r>
            <t xml:space="preserve">SEINFRA</t>
          </r>
        </is>
      </c>
      <c r="D714" s="22" t="inlineStr">
        <is>
          <r>
            <t xml:space="preserve">M2</t>
          </r>
        </is>
      </c>
      <c r="E714" s="24" t="n">
        <v>1.03</v>
      </c>
      <c r="F714" s="30" t="n">
        <v>23.87</v>
      </c>
      <c r="G714" s="30" t="n">
        <f>ROUND(ROUND(E714,8)*F714,4)</f>
        <v>24.5861</v>
      </c>
    </row>
    <row r="715" customHeight="1" ht="15">
      <c r="A715" s="2" t="inlineStr"/>
      <c r="B715" s="2" t="inlineStr"/>
      <c r="C715" s="2" t="inlineStr"/>
      <c r="D715" s="2" t="inlineStr"/>
      <c r="E715" s="26" t="inlineStr">
        <is>
          <r>
            <t xml:space="preserve">TOTAL Material:</t>
          </r>
        </is>
      </c>
      <c r="F715" s="26" t="inlineStr"/>
      <c r="G715" s="31" t="n">
        <f>SUM(G714:G714)</f>
        <v>24.5861</v>
      </c>
    </row>
    <row r="716" customHeight="1" ht="15">
      <c r="A716" s="20" t="inlineStr">
        <is>
          <r>
            <t xml:space="preserve">Mão de Obra</t>
          </r>
        </is>
      </c>
      <c r="B716" s="20" t="inlineStr"/>
      <c r="C716" s="21" t="inlineStr">
        <is>
          <r>
            <t xml:space="preserve">FONTE</t>
          </r>
        </is>
      </c>
      <c r="D716" s="21" t="inlineStr">
        <is>
          <r>
            <t xml:space="preserve">UNID</t>
          </r>
        </is>
      </c>
      <c r="E716" s="21" t="inlineStr">
        <is>
          <r>
            <t xml:space="preserve">COEFICIENTE</t>
          </r>
        </is>
      </c>
      <c r="F716" s="21" t="inlineStr">
        <is>
          <r>
            <t xml:space="preserve">PREÇO UNITÁRIO</t>
          </r>
        </is>
      </c>
      <c r="G716" s="21" t="inlineStr">
        <is>
          <r>
            <t xml:space="preserve">TOTAL</t>
          </r>
        </is>
      </c>
    </row>
    <row r="717" customHeight="1" ht="15">
      <c r="A717" s="22" t="inlineStr">
        <is>
          <r>
            <t xml:space="preserve">I0040</t>
          </r>
        </is>
      </c>
      <c r="B717" s="23" t="inlineStr">
        <is>
          <r>
            <t xml:space="preserve">AJUDANTE DE ARMADOR/FERREIRO</t>
          </r>
        </is>
      </c>
      <c r="C717" s="22" t="inlineStr">
        <is>
          <r>
            <t xml:space="preserve">SEINFRA</t>
          </r>
        </is>
      </c>
      <c r="D717" s="22" t="inlineStr">
        <is>
          <r>
            <t xml:space="preserve">H</t>
          </r>
        </is>
      </c>
      <c r="E717" s="24" t="n">
        <v>0.03</v>
      </c>
      <c r="F717" s="30" t="n">
        <v>19.1</v>
      </c>
      <c r="G717" s="30" t="n">
        <f>ROUND(ROUND(E717,8)*F717,4)</f>
        <v>0.573</v>
      </c>
    </row>
    <row r="718" customHeight="1" ht="15">
      <c r="A718" s="22" t="inlineStr">
        <is>
          <r>
            <t xml:space="preserve">I0121</t>
          </r>
        </is>
      </c>
      <c r="B718" s="23" t="inlineStr">
        <is>
          <r>
            <t xml:space="preserve">ARMADOR/FERREIRO</t>
          </r>
        </is>
      </c>
      <c r="C718" s="22" t="inlineStr">
        <is>
          <r>
            <t xml:space="preserve">SEINFRA</t>
          </r>
        </is>
      </c>
      <c r="D718" s="22" t="inlineStr">
        <is>
          <r>
            <t xml:space="preserve">H</t>
          </r>
        </is>
      </c>
      <c r="E718" s="24" t="n">
        <v>0.03</v>
      </c>
      <c r="F718" s="30" t="n">
        <v>24.16</v>
      </c>
      <c r="G718" s="30" t="n">
        <f>ROUND(ROUND(E718,8)*F718,4)</f>
        <v>0.7248</v>
      </c>
    </row>
    <row r="719" customHeight="1" ht="15">
      <c r="A719" s="2" t="inlineStr"/>
      <c r="B719" s="2" t="inlineStr"/>
      <c r="C719" s="2" t="inlineStr"/>
      <c r="D719" s="2" t="inlineStr"/>
      <c r="E719" s="26" t="inlineStr">
        <is>
          <r>
            <t xml:space="preserve">TOTAL Mão de Obra:</t>
          </r>
        </is>
      </c>
      <c r="F719" s="26" t="inlineStr"/>
      <c r="G719" s="31" t="n">
        <f>SUM(G717:G718)</f>
        <v>1.2978</v>
      </c>
    </row>
    <row r="720" customHeight="1" ht="15">
      <c r="A720" s="2" t="inlineStr"/>
      <c r="B720" s="2" t="inlineStr"/>
      <c r="C720" s="2" t="inlineStr"/>
      <c r="D720" s="2" t="inlineStr"/>
      <c r="E720" s="28" t="inlineStr">
        <is>
          <r>
            <t xml:space="preserve">VALOR:</t>
          </r>
        </is>
      </c>
      <c r="F720" s="28" t="inlineStr"/>
      <c r="G720" s="29" t="n">
        <f>ROUND(SUM(G715,G719),2)</f>
        <v>25.88</v>
      </c>
    </row>
    <row r="721" customHeight="1" ht="15">
      <c r="A721" s="2" t="inlineStr"/>
      <c r="B721" s="2" t="inlineStr"/>
      <c r="C721" s="2" t="inlineStr"/>
      <c r="D721" s="2" t="inlineStr"/>
      <c r="E721" s="28" t="inlineStr">
        <is>
          <r>
            <t xml:space="preserve">VALOR BDI:</t>
          </r>
        </is>
      </c>
      <c r="F721" s="28" t="inlineStr"/>
      <c r="G721" s="29" t="n">
        <f>ROUND(G720*(0/100),2)</f>
        <v>0.0</v>
      </c>
    </row>
    <row r="722" customHeight="1" ht="15">
      <c r="A722" s="2" t="inlineStr"/>
      <c r="B722" s="2" t="inlineStr"/>
      <c r="C722" s="2" t="inlineStr"/>
      <c r="D722" s="2" t="inlineStr"/>
      <c r="E722" s="28" t="inlineStr">
        <is>
          <r>
            <t xml:space="preserve">VALOR COM BDI:</t>
          </r>
        </is>
      </c>
      <c r="F722" s="28" t="inlineStr"/>
      <c r="G722" s="29" t="n">
        <f>G721+G720</f>
        <v>25.88</v>
      </c>
    </row>
    <row r="723" customHeight="1" ht="10">
      <c r="A723" s="2" t="inlineStr"/>
      <c r="B723" s="2" t="inlineStr"/>
      <c r="C723" s="2" t="inlineStr"/>
      <c r="D723" s="2" t="inlineStr"/>
      <c r="E723" s="18" t="inlineStr"/>
      <c r="F723" s="18" t="inlineStr"/>
      <c r="G723" s="18" t="inlineStr"/>
    </row>
    <row r="724" customHeight="1" ht="20">
      <c r="A724" s="19" t="inlineStr">
        <is>
          <r>
            <t xml:space="preserve">1.3.2.11.1. ​C2789​ ESCAVAÇÃO MECÂNICA SOLO DE 1A CAT. PROF. ATÉ 2.00m​ (M3)</t>
          </r>
        </is>
      </c>
      <c r="B724" s="19" t="inlineStr"/>
      <c r="C724" s="19" t="inlineStr"/>
      <c r="D724" s="19" t="inlineStr"/>
      <c r="E724" s="19" t="inlineStr"/>
      <c r="F724" s="19" t="inlineStr"/>
      <c r="G724" s="19" t="inlineStr"/>
    </row>
    <row r="725" customHeight="1" ht="15">
      <c r="A725" s="20" t="inlineStr">
        <is>
          <r>
            <t xml:space="preserve">Equipamento Custo Horário</t>
          </r>
        </is>
      </c>
      <c r="B725" s="20" t="inlineStr"/>
      <c r="C725" s="21" t="inlineStr">
        <is>
          <r>
            <t xml:space="preserve">FONTE</t>
          </r>
        </is>
      </c>
      <c r="D725" s="21" t="inlineStr">
        <is>
          <r>
            <t xml:space="preserve">UNID</t>
          </r>
        </is>
      </c>
      <c r="E725" s="21" t="inlineStr">
        <is>
          <r>
            <t xml:space="preserve">COEFICIENTE</t>
          </r>
        </is>
      </c>
      <c r="F725" s="21" t="inlineStr">
        <is>
          <r>
            <t xml:space="preserve">PREÇO UNITÁRIO</t>
          </r>
        </is>
      </c>
      <c r="G725" s="21" t="inlineStr">
        <is>
          <r>
            <t xml:space="preserve">TOTAL</t>
          </r>
        </is>
      </c>
    </row>
    <row r="726" customHeight="1" ht="15">
      <c r="A726" s="22" t="inlineStr">
        <is>
          <r>
            <t xml:space="preserve">I0765</t>
          </r>
        </is>
      </c>
      <c r="B726" s="23" t="inlineStr">
        <is>
          <r>
            <t xml:space="preserve">RETRO ESCAVADEIRA DE PNEUS (CHP)</t>
          </r>
        </is>
      </c>
      <c r="C726" s="22" t="inlineStr">
        <is>
          <r>
            <t xml:space="preserve">SEINFRA</t>
          </r>
        </is>
      </c>
      <c r="D726" s="22" t="inlineStr">
        <is>
          <r>
            <t xml:space="preserve">H</t>
          </r>
        </is>
      </c>
      <c r="E726" s="24" t="n">
        <v>0.055</v>
      </c>
      <c r="F726" s="30" t="n">
        <v>137.092</v>
      </c>
      <c r="G726" s="30" t="n">
        <f>ROUND(ROUND(E726,8)*F726,4)</f>
        <v>7.5401</v>
      </c>
    </row>
    <row r="727" customHeight="1" ht="18">
      <c r="A727" s="2" t="inlineStr"/>
      <c r="B727" s="2" t="inlineStr"/>
      <c r="C727" s="2" t="inlineStr"/>
      <c r="D727" s="2" t="inlineStr"/>
      <c r="E727" s="26" t="inlineStr">
        <is>
          <r>
            <t xml:space="preserve">TOTAL Equipamento Custo Horário:</t>
          </r>
        </is>
      </c>
      <c r="F727" s="26" t="inlineStr"/>
      <c r="G727" s="31" t="n">
        <f>SUM(G726:G726)</f>
        <v>7.5401</v>
      </c>
    </row>
    <row r="728" customHeight="1" ht="15">
      <c r="A728" s="20" t="inlineStr">
        <is>
          <r>
            <t xml:space="preserve">Mão de Obra</t>
          </r>
        </is>
      </c>
      <c r="B728" s="20" t="inlineStr"/>
      <c r="C728" s="21" t="inlineStr">
        <is>
          <r>
            <t xml:space="preserve">FONTE</t>
          </r>
        </is>
      </c>
      <c r="D728" s="21" t="inlineStr">
        <is>
          <r>
            <t xml:space="preserve">UNID</t>
          </r>
        </is>
      </c>
      <c r="E728" s="21" t="inlineStr">
        <is>
          <r>
            <t xml:space="preserve">COEFICIENTE</t>
          </r>
        </is>
      </c>
      <c r="F728" s="21" t="inlineStr">
        <is>
          <r>
            <t xml:space="preserve">PREÇO UNITÁRIO</t>
          </r>
        </is>
      </c>
      <c r="G728" s="21" t="inlineStr">
        <is>
          <r>
            <t xml:space="preserve">TOTAL</t>
          </r>
        </is>
      </c>
    </row>
    <row r="729" customHeight="1" ht="15">
      <c r="A729" s="22" t="inlineStr">
        <is>
          <r>
            <t xml:space="preserve">I2543</t>
          </r>
        </is>
      </c>
      <c r="B729" s="23" t="inlineStr">
        <is>
          <r>
            <t xml:space="preserve">SERVENTE</t>
          </r>
        </is>
      </c>
      <c r="C729" s="22" t="inlineStr">
        <is>
          <r>
            <t xml:space="preserve">SEINFRA</t>
          </r>
        </is>
      </c>
      <c r="D729" s="22" t="inlineStr">
        <is>
          <r>
            <t xml:space="preserve">H</t>
          </r>
        </is>
      </c>
      <c r="E729" s="24" t="n">
        <v>0.11</v>
      </c>
      <c r="F729" s="30" t="n">
        <v>18.46</v>
      </c>
      <c r="G729" s="30" t="n">
        <f>ROUND(ROUND(E729,8)*F729,4)</f>
        <v>2.0306</v>
      </c>
    </row>
    <row r="730" customHeight="1" ht="15">
      <c r="A730" s="2" t="inlineStr"/>
      <c r="B730" s="2" t="inlineStr"/>
      <c r="C730" s="2" t="inlineStr"/>
      <c r="D730" s="2" t="inlineStr"/>
      <c r="E730" s="26" t="inlineStr">
        <is>
          <r>
            <t xml:space="preserve">TOTAL Mão de Obra:</t>
          </r>
        </is>
      </c>
      <c r="F730" s="26" t="inlineStr"/>
      <c r="G730" s="31" t="n">
        <f>SUM(G729:G729)</f>
        <v>2.0306</v>
      </c>
    </row>
    <row r="731" customHeight="1" ht="15">
      <c r="A731" s="2" t="inlineStr"/>
      <c r="B731" s="2" t="inlineStr"/>
      <c r="C731" s="2" t="inlineStr"/>
      <c r="D731" s="2" t="inlineStr"/>
      <c r="E731" s="28" t="inlineStr">
        <is>
          <r>
            <t xml:space="preserve">VALOR:</t>
          </r>
        </is>
      </c>
      <c r="F731" s="28" t="inlineStr"/>
      <c r="G731" s="29" t="n">
        <f>ROUND(SUM(G727,G730),2)</f>
        <v>9.57</v>
      </c>
    </row>
    <row r="732" customHeight="1" ht="15">
      <c r="A732" s="2" t="inlineStr"/>
      <c r="B732" s="2" t="inlineStr"/>
      <c r="C732" s="2" t="inlineStr"/>
      <c r="D732" s="2" t="inlineStr"/>
      <c r="E732" s="28" t="inlineStr">
        <is>
          <r>
            <t xml:space="preserve">VALOR BDI:</t>
          </r>
        </is>
      </c>
      <c r="F732" s="28" t="inlineStr"/>
      <c r="G732" s="29" t="n">
        <f>ROUND(G731*(0/100),2)</f>
        <v>0.0</v>
      </c>
    </row>
    <row r="733" customHeight="1" ht="15">
      <c r="A733" s="2" t="inlineStr"/>
      <c r="B733" s="2" t="inlineStr"/>
      <c r="C733" s="2" t="inlineStr"/>
      <c r="D733" s="2" t="inlineStr"/>
      <c r="E733" s="28" t="inlineStr">
        <is>
          <r>
            <t xml:space="preserve">VALOR COM BDI:</t>
          </r>
        </is>
      </c>
      <c r="F733" s="28" t="inlineStr"/>
      <c r="G733" s="29" t="n">
        <f>G732+G731</f>
        <v>9.57</v>
      </c>
    </row>
    <row r="734" customHeight="1" ht="10">
      <c r="A734" s="2" t="inlineStr"/>
      <c r="B734" s="2" t="inlineStr"/>
      <c r="C734" s="2" t="inlineStr"/>
      <c r="D734" s="2" t="inlineStr"/>
      <c r="E734" s="18" t="inlineStr"/>
      <c r="F734" s="18" t="inlineStr"/>
      <c r="G734" s="18" t="inlineStr"/>
    </row>
    <row r="735" customHeight="1" ht="20">
      <c r="A735" s="19" t="inlineStr">
        <is>
          <r>
            <t xml:space="preserve">1.3.2.11.2. ​C0830​ CONCRETO CICLÓPICO FCK 15 MPa COM AGREGADO ADQUIRIDO​ (M3)</t>
          </r>
        </is>
      </c>
      <c r="B735" s="19" t="inlineStr"/>
      <c r="C735" s="19" t="inlineStr"/>
      <c r="D735" s="19" t="inlineStr"/>
      <c r="E735" s="19" t="inlineStr"/>
      <c r="F735" s="19" t="inlineStr"/>
      <c r="G735" s="19" t="inlineStr"/>
    </row>
    <row r="736" customHeight="1" ht="15">
      <c r="A736" s="20" t="inlineStr">
        <is>
          <r>
            <t xml:space="preserve">Equipamento Custo Horário</t>
          </r>
        </is>
      </c>
      <c r="B736" s="20" t="inlineStr"/>
      <c r="C736" s="21" t="inlineStr">
        <is>
          <r>
            <t xml:space="preserve">FONTE</t>
          </r>
        </is>
      </c>
      <c r="D736" s="21" t="inlineStr">
        <is>
          <r>
            <t xml:space="preserve">UNID</t>
          </r>
        </is>
      </c>
      <c r="E736" s="21" t="inlineStr">
        <is>
          <r>
            <t xml:space="preserve">COEFICIENTE</t>
          </r>
        </is>
      </c>
      <c r="F736" s="21" t="inlineStr">
        <is>
          <r>
            <t xml:space="preserve">PREÇO UNITÁRIO</t>
          </r>
        </is>
      </c>
      <c r="G736" s="21" t="inlineStr">
        <is>
          <r>
            <t xml:space="preserve">TOTAL</t>
          </r>
        </is>
      </c>
    </row>
    <row r="737" customHeight="1" ht="15">
      <c r="A737" s="22" t="inlineStr">
        <is>
          <r>
            <t xml:space="preserve">I0682</t>
          </r>
        </is>
      </c>
      <c r="B737" s="23" t="inlineStr">
        <is>
          <r>
            <t xml:space="preserve">BETONEIRA ELÉTRICA 580L (CHP)</t>
          </r>
        </is>
      </c>
      <c r="C737" s="22" t="inlineStr">
        <is>
          <r>
            <t xml:space="preserve">SEINFRA</t>
          </r>
        </is>
      </c>
      <c r="D737" s="22" t="inlineStr">
        <is>
          <r>
            <t xml:space="preserve">H</t>
          </r>
        </is>
      </c>
      <c r="E737" s="24" t="n">
        <v>0.4998</v>
      </c>
      <c r="F737" s="30" t="n">
        <v>25.177</v>
      </c>
      <c r="G737" s="30" t="n">
        <f>ROUND(ROUND(E737,8)*F737,4)</f>
        <v>12.5835</v>
      </c>
    </row>
    <row r="738" customHeight="1" ht="18">
      <c r="A738" s="2" t="inlineStr"/>
      <c r="B738" s="2" t="inlineStr"/>
      <c r="C738" s="2" t="inlineStr"/>
      <c r="D738" s="2" t="inlineStr"/>
      <c r="E738" s="26" t="inlineStr">
        <is>
          <r>
            <t xml:space="preserve">TOTAL Equipamento Custo Horário:</t>
          </r>
        </is>
      </c>
      <c r="F738" s="26" t="inlineStr"/>
      <c r="G738" s="31" t="n">
        <f>SUM(G737:G737)</f>
        <v>12.5835</v>
      </c>
    </row>
    <row r="739" customHeight="1" ht="15">
      <c r="A739" s="20" t="inlineStr">
        <is>
          <r>
            <t xml:space="preserve">Material</t>
          </r>
        </is>
      </c>
      <c r="B739" s="20" t="inlineStr"/>
      <c r="C739" s="21" t="inlineStr">
        <is>
          <r>
            <t xml:space="preserve">FONTE</t>
          </r>
        </is>
      </c>
      <c r="D739" s="21" t="inlineStr">
        <is>
          <r>
            <t xml:space="preserve">UNID</t>
          </r>
        </is>
      </c>
      <c r="E739" s="21" t="inlineStr">
        <is>
          <r>
            <t xml:space="preserve">COEFICIENTE</t>
          </r>
        </is>
      </c>
      <c r="F739" s="21" t="inlineStr">
        <is>
          <r>
            <t xml:space="preserve">PREÇO UNITÁRIO</t>
          </r>
        </is>
      </c>
      <c r="G739" s="21" t="inlineStr">
        <is>
          <r>
            <t xml:space="preserve">TOTAL</t>
          </r>
        </is>
      </c>
    </row>
    <row r="740" customHeight="1" ht="15">
      <c r="A740" s="22" t="inlineStr">
        <is>
          <r>
            <t xml:space="preserve">I0109</t>
          </r>
        </is>
      </c>
      <c r="B740" s="23" t="inlineStr">
        <is>
          <r>
            <t xml:space="preserve">AREIA MEDIA</t>
          </r>
        </is>
      </c>
      <c r="C740" s="22" t="inlineStr">
        <is>
          <r>
            <t xml:space="preserve">SEINFRA</t>
          </r>
        </is>
      </c>
      <c r="D740" s="22" t="inlineStr">
        <is>
          <r>
            <t xml:space="preserve">M3</t>
          </r>
        </is>
      </c>
      <c r="E740" s="24" t="n">
        <v>0.6462</v>
      </c>
      <c r="F740" s="30" t="n">
        <v>83.58</v>
      </c>
      <c r="G740" s="30" t="n">
        <f>ROUND(ROUND(E740,8)*F740,4)</f>
        <v>54.0094</v>
      </c>
    </row>
    <row r="741" customHeight="1" ht="15">
      <c r="A741" s="22" t="inlineStr">
        <is>
          <r>
            <t xml:space="preserve">I0280</t>
          </r>
        </is>
      </c>
      <c r="B741" s="23" t="inlineStr">
        <is>
          <r>
            <t xml:space="preserve">BRITA</t>
          </r>
        </is>
      </c>
      <c r="C741" s="22" t="inlineStr">
        <is>
          <r>
            <t xml:space="preserve">SEINFRA</t>
          </r>
        </is>
      </c>
      <c r="D741" s="22" t="inlineStr">
        <is>
          <r>
            <t xml:space="preserve">M3</t>
          </r>
        </is>
      </c>
      <c r="E741" s="24" t="n">
        <v>0.5852</v>
      </c>
      <c r="F741" s="30" t="n">
        <v>100.5</v>
      </c>
      <c r="G741" s="30" t="n">
        <f>ROUND(ROUND(E741,8)*F741,4)</f>
        <v>58.8126</v>
      </c>
    </row>
    <row r="742" customHeight="1" ht="15">
      <c r="A742" s="22" t="inlineStr">
        <is>
          <r>
            <t xml:space="preserve">I0805</t>
          </r>
        </is>
      </c>
      <c r="B742" s="23" t="inlineStr">
        <is>
          <r>
            <t xml:space="preserve">CIMENTO PORTLAND</t>
          </r>
        </is>
      </c>
      <c r="C742" s="22" t="inlineStr">
        <is>
          <r>
            <t xml:space="preserve">SEINFRA</t>
          </r>
        </is>
      </c>
      <c r="D742" s="22" t="inlineStr">
        <is>
          <r>
            <t xml:space="preserve">KG</t>
          </r>
        </is>
      </c>
      <c r="E742" s="24" t="n">
        <v>196.0</v>
      </c>
      <c r="F742" s="30" t="n">
        <v>0.71</v>
      </c>
      <c r="G742" s="30" t="n">
        <f>ROUND(ROUND(E742,8)*F742,4)</f>
        <v>139.16</v>
      </c>
    </row>
    <row r="743" customHeight="1" ht="15">
      <c r="A743" s="22" t="inlineStr">
        <is>
          <r>
            <t xml:space="preserve">I1600</t>
          </r>
        </is>
      </c>
      <c r="B743" s="23" t="inlineStr">
        <is>
          <r>
            <t xml:space="preserve">PEDRA DE MÃO (RACHÃO)</t>
          </r>
        </is>
      </c>
      <c r="C743" s="22" t="inlineStr">
        <is>
          <r>
            <t xml:space="preserve">SEINFRA</t>
          </r>
        </is>
      </c>
      <c r="D743" s="22" t="inlineStr">
        <is>
          <r>
            <t xml:space="preserve">M3</t>
          </r>
        </is>
      </c>
      <c r="E743" s="24" t="n">
        <v>0.4</v>
      </c>
      <c r="F743" s="30" t="n">
        <v>113.25</v>
      </c>
      <c r="G743" s="30" t="n">
        <f>ROUND(ROUND(E743,8)*F743,4)</f>
        <v>45.3</v>
      </c>
    </row>
    <row r="744" customHeight="1" ht="15">
      <c r="A744" s="2" t="inlineStr"/>
      <c r="B744" s="2" t="inlineStr"/>
      <c r="C744" s="2" t="inlineStr"/>
      <c r="D744" s="2" t="inlineStr"/>
      <c r="E744" s="26" t="inlineStr">
        <is>
          <r>
            <t xml:space="preserve">TOTAL Material:</t>
          </r>
        </is>
      </c>
      <c r="F744" s="26" t="inlineStr"/>
      <c r="G744" s="31" t="n">
        <f>SUM(G740:G743)</f>
        <v>297.282</v>
      </c>
    </row>
    <row r="745" customHeight="1" ht="15">
      <c r="A745" s="20" t="inlineStr">
        <is>
          <r>
            <t xml:space="preserve">Mão de Obra</t>
          </r>
        </is>
      </c>
      <c r="B745" s="20" t="inlineStr"/>
      <c r="C745" s="21" t="inlineStr">
        <is>
          <r>
            <t xml:space="preserve">FONTE</t>
          </r>
        </is>
      </c>
      <c r="D745" s="21" t="inlineStr">
        <is>
          <r>
            <t xml:space="preserve">UNID</t>
          </r>
        </is>
      </c>
      <c r="E745" s="21" t="inlineStr">
        <is>
          <r>
            <t xml:space="preserve">COEFICIENTE</t>
          </r>
        </is>
      </c>
      <c r="F745" s="21" t="inlineStr">
        <is>
          <r>
            <t xml:space="preserve">PREÇO UNITÁRIO</t>
          </r>
        </is>
      </c>
      <c r="G745" s="21" t="inlineStr">
        <is>
          <r>
            <t xml:space="preserve">TOTAL</t>
          </r>
        </is>
      </c>
    </row>
    <row r="746" customHeight="1" ht="15">
      <c r="A746" s="22" t="inlineStr">
        <is>
          <r>
            <t xml:space="preserve">I2391</t>
          </r>
        </is>
      </c>
      <c r="B746" s="23" t="inlineStr">
        <is>
          <r>
            <t xml:space="preserve">PEDREIRO</t>
          </r>
        </is>
      </c>
      <c r="C746" s="22" t="inlineStr">
        <is>
          <r>
            <t xml:space="preserve">SEINFRA</t>
          </r>
        </is>
      </c>
      <c r="D746" s="22" t="inlineStr">
        <is>
          <r>
            <t xml:space="preserve">H</t>
          </r>
        </is>
      </c>
      <c r="E746" s="24" t="n">
        <v>2.0</v>
      </c>
      <c r="F746" s="30" t="n">
        <v>24.16</v>
      </c>
      <c r="G746" s="30" t="n">
        <f>ROUND(ROUND(E746,8)*F746,4)</f>
        <v>48.32</v>
      </c>
    </row>
    <row r="747" customHeight="1" ht="15">
      <c r="A747" s="22" t="inlineStr">
        <is>
          <r>
            <t xml:space="preserve">I2543</t>
          </r>
        </is>
      </c>
      <c r="B747" s="23" t="inlineStr">
        <is>
          <r>
            <t xml:space="preserve">SERVENTE</t>
          </r>
        </is>
      </c>
      <c r="C747" s="22" t="inlineStr">
        <is>
          <r>
            <t xml:space="preserve">SEINFRA</t>
          </r>
        </is>
      </c>
      <c r="D747" s="22" t="inlineStr">
        <is>
          <r>
            <t xml:space="preserve">H</t>
          </r>
        </is>
      </c>
      <c r="E747" s="24" t="n">
        <v>16.0</v>
      </c>
      <c r="F747" s="30" t="n">
        <v>18.46</v>
      </c>
      <c r="G747" s="30" t="n">
        <f>ROUND(ROUND(E747,8)*F747,4)</f>
        <v>295.36</v>
      </c>
    </row>
    <row r="748" customHeight="1" ht="15">
      <c r="A748" s="2" t="inlineStr"/>
      <c r="B748" s="2" t="inlineStr"/>
      <c r="C748" s="2" t="inlineStr"/>
      <c r="D748" s="2" t="inlineStr"/>
      <c r="E748" s="26" t="inlineStr">
        <is>
          <r>
            <t xml:space="preserve">TOTAL Mão de Obra:</t>
          </r>
        </is>
      </c>
      <c r="F748" s="26" t="inlineStr"/>
      <c r="G748" s="31" t="n">
        <f>SUM(G746:G747)</f>
        <v>343.68</v>
      </c>
    </row>
    <row r="749" customHeight="1" ht="15">
      <c r="A749" s="2" t="inlineStr"/>
      <c r="B749" s="2" t="inlineStr"/>
      <c r="C749" s="2" t="inlineStr"/>
      <c r="D749" s="2" t="inlineStr"/>
      <c r="E749" s="28" t="inlineStr">
        <is>
          <r>
            <t xml:space="preserve">VALOR:</t>
          </r>
        </is>
      </c>
      <c r="F749" s="28" t="inlineStr"/>
      <c r="G749" s="29" t="n">
        <f>ROUND(SUM(G738,G744,G748),2)</f>
        <v>653.55</v>
      </c>
    </row>
    <row r="750" customHeight="1" ht="15">
      <c r="A750" s="2" t="inlineStr"/>
      <c r="B750" s="2" t="inlineStr"/>
      <c r="C750" s="2" t="inlineStr"/>
      <c r="D750" s="2" t="inlineStr"/>
      <c r="E750" s="28" t="inlineStr">
        <is>
          <r>
            <t xml:space="preserve">VALOR BDI:</t>
          </r>
        </is>
      </c>
      <c r="F750" s="28" t="inlineStr"/>
      <c r="G750" s="29" t="n">
        <f>ROUND(G749*(0/100),2)</f>
        <v>0.0</v>
      </c>
    </row>
    <row r="751" customHeight="1" ht="15">
      <c r="A751" s="2" t="inlineStr"/>
      <c r="B751" s="2" t="inlineStr"/>
      <c r="C751" s="2" t="inlineStr"/>
      <c r="D751" s="2" t="inlineStr"/>
      <c r="E751" s="28" t="inlineStr">
        <is>
          <r>
            <t xml:space="preserve">VALOR COM BDI:</t>
          </r>
        </is>
      </c>
      <c r="F751" s="28" t="inlineStr"/>
      <c r="G751" s="29" t="n">
        <f>G750+G749</f>
        <v>653.55</v>
      </c>
    </row>
    <row r="752" customHeight="1" ht="10">
      <c r="A752" s="2" t="inlineStr"/>
      <c r="B752" s="2" t="inlineStr"/>
      <c r="C752" s="2" t="inlineStr"/>
      <c r="D752" s="2" t="inlineStr"/>
      <c r="E752" s="18" t="inlineStr"/>
      <c r="F752" s="18" t="inlineStr"/>
      <c r="G752" s="18" t="inlineStr"/>
    </row>
    <row r="753" customHeight="1" ht="20">
      <c r="A753" s="19" t="inlineStr">
        <is>
          <r>
            <t xml:space="preserve">1.3.2.11.3. ​C3991​ FORMA PLANA CHAPA COMPENSADA PLASTIFICADA, ESP.= 18mm UTIL. 5X​ (M2)</t>
          </r>
        </is>
      </c>
      <c r="B753" s="19" t="inlineStr"/>
      <c r="C753" s="19" t="inlineStr"/>
      <c r="D753" s="19" t="inlineStr"/>
      <c r="E753" s="19" t="inlineStr"/>
      <c r="F753" s="19" t="inlineStr"/>
      <c r="G753" s="19" t="inlineStr"/>
    </row>
    <row r="754" customHeight="1" ht="15">
      <c r="A754" s="20" t="inlineStr">
        <is>
          <r>
            <t xml:space="preserve">Material</t>
          </r>
        </is>
      </c>
      <c r="B754" s="20" t="inlineStr"/>
      <c r="C754" s="21" t="inlineStr">
        <is>
          <r>
            <t xml:space="preserve">FONTE</t>
          </r>
        </is>
      </c>
      <c r="D754" s="21" t="inlineStr">
        <is>
          <r>
            <t xml:space="preserve">UNID</t>
          </r>
        </is>
      </c>
      <c r="E754" s="21" t="inlineStr">
        <is>
          <r>
            <t xml:space="preserve">COEFICIENTE</t>
          </r>
        </is>
      </c>
      <c r="F754" s="21" t="inlineStr">
        <is>
          <r>
            <t xml:space="preserve">PREÇO UNITÁRIO</t>
          </r>
        </is>
      </c>
      <c r="G754" s="21" t="inlineStr">
        <is>
          <r>
            <t xml:space="preserve">TOTAL</t>
          </r>
        </is>
      </c>
    </row>
    <row r="755" customHeight="1" ht="15">
      <c r="A755" s="22" t="inlineStr">
        <is>
          <r>
            <t xml:space="preserve">I0524</t>
          </r>
        </is>
      </c>
      <c r="B755" s="23" t="inlineStr">
        <is>
          <r>
            <t xml:space="preserve">CHAPA COMPENSADA PLASTIFICADA 18MM (1.22 X 2.44M)</t>
          </r>
        </is>
      </c>
      <c r="C755" s="22" t="inlineStr">
        <is>
          <r>
            <t xml:space="preserve">SEINFRA</t>
          </r>
        </is>
      </c>
      <c r="D755" s="22" t="inlineStr">
        <is>
          <r>
            <t xml:space="preserve">M2</t>
          </r>
        </is>
      </c>
      <c r="E755" s="24" t="n">
        <v>0.26</v>
      </c>
      <c r="F755" s="30" t="n">
        <v>83.15</v>
      </c>
      <c r="G755" s="30" t="n">
        <f>ROUND(ROUND(E755,8)*F755,4)</f>
        <v>21.619</v>
      </c>
    </row>
    <row r="756" customHeight="1" ht="15">
      <c r="A756" s="22" t="inlineStr">
        <is>
          <r>
            <t xml:space="preserve">I1691</t>
          </r>
        </is>
      </c>
      <c r="B756" s="23" t="inlineStr">
        <is>
          <r>
            <t xml:space="preserve">PONTALETE / BARROTE DE 3"x3"</t>
          </r>
        </is>
      </c>
      <c r="C756" s="22" t="inlineStr">
        <is>
          <r>
            <t xml:space="preserve">SEINFRA</t>
          </r>
        </is>
      </c>
      <c r="D756" s="22" t="inlineStr">
        <is>
          <r>
            <t xml:space="preserve">M</t>
          </r>
        </is>
      </c>
      <c r="E756" s="24" t="n">
        <v>1.2</v>
      </c>
      <c r="F756" s="30" t="n">
        <v>16.09</v>
      </c>
      <c r="G756" s="30" t="n">
        <f>ROUND(ROUND(E756,8)*F756,4)</f>
        <v>19.308</v>
      </c>
    </row>
    <row r="757" customHeight="1" ht="21">
      <c r="A757" s="22" t="inlineStr">
        <is>
          <r>
            <t xml:space="preserve">I2408</t>
          </r>
        </is>
      </c>
      <c r="B757" s="23" t="inlineStr">
        <is>
          <r>
            <t xml:space="preserve">PREGO 14X18 (1.1/2" x 14) (APROXIMADAMENTE 708UN/KG)</t>
          </r>
        </is>
      </c>
      <c r="C757" s="22" t="inlineStr">
        <is>
          <r>
            <t xml:space="preserve">SEINFRA</t>
          </r>
        </is>
      </c>
      <c r="D757" s="22" t="inlineStr">
        <is>
          <r>
            <t xml:space="preserve">KG</t>
          </r>
        </is>
      </c>
      <c r="E757" s="24" t="n">
        <v>0.25</v>
      </c>
      <c r="F757" s="30" t="n">
        <v>17.23</v>
      </c>
      <c r="G757" s="30" t="n">
        <f>ROUND(ROUND(E757,8)*F757,4)</f>
        <v>4.3075</v>
      </c>
    </row>
    <row r="758" customHeight="1" ht="15">
      <c r="A758" s="22" t="inlineStr">
        <is>
          <r>
            <t xml:space="preserve">I1846</t>
          </r>
        </is>
      </c>
      <c r="B758" s="23" t="inlineStr">
        <is>
          <r>
            <t xml:space="preserve">SARRAFO DE 1"X4"</t>
          </r>
        </is>
      </c>
      <c r="C758" s="22" t="inlineStr">
        <is>
          <r>
            <t xml:space="preserve">SEINFRA</t>
          </r>
        </is>
      </c>
      <c r="D758" s="22" t="inlineStr">
        <is>
          <r>
            <t xml:space="preserve">M</t>
          </r>
        </is>
      </c>
      <c r="E758" s="24" t="n">
        <v>1.53</v>
      </c>
      <c r="F758" s="30" t="n">
        <v>6.05</v>
      </c>
      <c r="G758" s="30" t="n">
        <f>ROUND(ROUND(E758,8)*F758,4)</f>
        <v>9.2565</v>
      </c>
    </row>
    <row r="759" customHeight="1" ht="15">
      <c r="A759" s="22" t="inlineStr">
        <is>
          <r>
            <t xml:space="preserve">I1916</t>
          </r>
        </is>
      </c>
      <c r="B759" s="23" t="inlineStr">
        <is>
          <r>
            <t xml:space="preserve">TABUA DE 1" DE 3A. - L = 30cm</t>
          </r>
        </is>
      </c>
      <c r="C759" s="22" t="inlineStr">
        <is>
          <r>
            <t xml:space="preserve">SEINFRA</t>
          </r>
        </is>
      </c>
      <c r="D759" s="22" t="inlineStr">
        <is>
          <r>
            <t xml:space="preserve">M</t>
          </r>
        </is>
      </c>
      <c r="E759" s="24" t="n">
        <v>1.17</v>
      </c>
      <c r="F759" s="30" t="n">
        <v>12.77</v>
      </c>
      <c r="G759" s="30" t="n">
        <f>ROUND(ROUND(E759,8)*F759,4)</f>
        <v>14.9409</v>
      </c>
    </row>
    <row r="760" customHeight="1" ht="15">
      <c r="A760" s="2" t="inlineStr"/>
      <c r="B760" s="2" t="inlineStr"/>
      <c r="C760" s="2" t="inlineStr"/>
      <c r="D760" s="2" t="inlineStr"/>
      <c r="E760" s="26" t="inlineStr">
        <is>
          <r>
            <t xml:space="preserve">TOTAL Material:</t>
          </r>
        </is>
      </c>
      <c r="F760" s="26" t="inlineStr"/>
      <c r="G760" s="31" t="n">
        <f>SUM(G755:G759)</f>
        <v>69.4319</v>
      </c>
    </row>
    <row r="761" customHeight="1" ht="15">
      <c r="A761" s="20" t="inlineStr">
        <is>
          <r>
            <t xml:space="preserve">Mão de Obra</t>
          </r>
        </is>
      </c>
      <c r="B761" s="20" t="inlineStr"/>
      <c r="C761" s="21" t="inlineStr">
        <is>
          <r>
            <t xml:space="preserve">FONTE</t>
          </r>
        </is>
      </c>
      <c r="D761" s="21" t="inlineStr">
        <is>
          <r>
            <t xml:space="preserve">UNID</t>
          </r>
        </is>
      </c>
      <c r="E761" s="21" t="inlineStr">
        <is>
          <r>
            <t xml:space="preserve">COEFICIENTE</t>
          </r>
        </is>
      </c>
      <c r="F761" s="21" t="inlineStr">
        <is>
          <r>
            <t xml:space="preserve">PREÇO UNITÁRIO</t>
          </r>
        </is>
      </c>
      <c r="G761" s="21" t="inlineStr">
        <is>
          <r>
            <t xml:space="preserve">TOTAL</t>
          </r>
        </is>
      </c>
    </row>
    <row r="762" customHeight="1" ht="15">
      <c r="A762" s="22" t="inlineStr">
        <is>
          <r>
            <t xml:space="preserve">I0041</t>
          </r>
        </is>
      </c>
      <c r="B762" s="23" t="inlineStr">
        <is>
          <r>
            <t xml:space="preserve">AJUDANTE DE CARPINTEIRO</t>
          </r>
        </is>
      </c>
      <c r="C762" s="22" t="inlineStr">
        <is>
          <r>
            <t xml:space="preserve">SEINFRA</t>
          </r>
        </is>
      </c>
      <c r="D762" s="22" t="inlineStr">
        <is>
          <r>
            <t xml:space="preserve">H</t>
          </r>
        </is>
      </c>
      <c r="E762" s="24" t="n">
        <v>1.35</v>
      </c>
      <c r="F762" s="30" t="n">
        <v>19.1</v>
      </c>
      <c r="G762" s="30" t="n">
        <f>ROUND(ROUND(E762,8)*F762,4)</f>
        <v>25.785</v>
      </c>
    </row>
    <row r="763" customHeight="1" ht="15">
      <c r="A763" s="22" t="inlineStr">
        <is>
          <r>
            <t xml:space="preserve">I0498</t>
          </r>
        </is>
      </c>
      <c r="B763" s="23" t="inlineStr">
        <is>
          <r>
            <t xml:space="preserve">CARPINTEIRO</t>
          </r>
        </is>
      </c>
      <c r="C763" s="22" t="inlineStr">
        <is>
          <r>
            <t xml:space="preserve">SEINFRA</t>
          </r>
        </is>
      </c>
      <c r="D763" s="22" t="inlineStr">
        <is>
          <r>
            <t xml:space="preserve">H</t>
          </r>
        </is>
      </c>
      <c r="E763" s="24" t="n">
        <v>1.35</v>
      </c>
      <c r="F763" s="30" t="n">
        <v>24.16</v>
      </c>
      <c r="G763" s="30" t="n">
        <f>ROUND(ROUND(E763,8)*F763,4)</f>
        <v>32.616</v>
      </c>
    </row>
    <row r="764" customHeight="1" ht="15">
      <c r="A764" s="2" t="inlineStr"/>
      <c r="B764" s="2" t="inlineStr"/>
      <c r="C764" s="2" t="inlineStr"/>
      <c r="D764" s="2" t="inlineStr"/>
      <c r="E764" s="26" t="inlineStr">
        <is>
          <r>
            <t xml:space="preserve">TOTAL Mão de Obra:</t>
          </r>
        </is>
      </c>
      <c r="F764" s="26" t="inlineStr"/>
      <c r="G764" s="31" t="n">
        <f>SUM(G762:G763)</f>
        <v>58.401</v>
      </c>
    </row>
    <row r="765" customHeight="1" ht="15">
      <c r="A765" s="2" t="inlineStr"/>
      <c r="B765" s="2" t="inlineStr"/>
      <c r="C765" s="2" t="inlineStr"/>
      <c r="D765" s="2" t="inlineStr"/>
      <c r="E765" s="28" t="inlineStr">
        <is>
          <r>
            <t xml:space="preserve">VALOR:</t>
          </r>
        </is>
      </c>
      <c r="F765" s="28" t="inlineStr"/>
      <c r="G765" s="29" t="n">
        <f>ROUND(SUM(G760,G764),2)</f>
        <v>127.83</v>
      </c>
    </row>
    <row r="766" customHeight="1" ht="15">
      <c r="A766" s="2" t="inlineStr"/>
      <c r="B766" s="2" t="inlineStr"/>
      <c r="C766" s="2" t="inlineStr"/>
      <c r="D766" s="2" t="inlineStr"/>
      <c r="E766" s="28" t="inlineStr">
        <is>
          <r>
            <t xml:space="preserve">VALOR BDI:</t>
          </r>
        </is>
      </c>
      <c r="F766" s="28" t="inlineStr"/>
      <c r="G766" s="29" t="n">
        <f>ROUND(G765*(0/100),2)</f>
        <v>0.0</v>
      </c>
    </row>
    <row r="767" customHeight="1" ht="15">
      <c r="A767" s="2" t="inlineStr"/>
      <c r="B767" s="2" t="inlineStr"/>
      <c r="C767" s="2" t="inlineStr"/>
      <c r="D767" s="2" t="inlineStr"/>
      <c r="E767" s="28" t="inlineStr">
        <is>
          <r>
            <t xml:space="preserve">VALOR COM BDI:</t>
          </r>
        </is>
      </c>
      <c r="F767" s="28" t="inlineStr"/>
      <c r="G767" s="29" t="n">
        <f>G766+G765</f>
        <v>127.83</v>
      </c>
    </row>
    <row r="768" customHeight="1" ht="10">
      <c r="A768" s="2" t="inlineStr"/>
      <c r="B768" s="2" t="inlineStr"/>
      <c r="C768" s="2" t="inlineStr"/>
      <c r="D768" s="2" t="inlineStr"/>
      <c r="E768" s="18" t="inlineStr"/>
      <c r="F768" s="18" t="inlineStr"/>
      <c r="G768" s="18" t="inlineStr"/>
    </row>
    <row r="769" customHeight="1" ht="20">
      <c r="A769" s="19" t="inlineStr">
        <is>
          <r>
            <t xml:space="preserve">1.3.2.11.4. ​C1605​ LASTRO DE BRITA APILOADO MANUALMENTE​ (M3)</t>
          </r>
        </is>
      </c>
      <c r="B769" s="19" t="inlineStr"/>
      <c r="C769" s="19" t="inlineStr"/>
      <c r="D769" s="19" t="inlineStr"/>
      <c r="E769" s="19" t="inlineStr"/>
      <c r="F769" s="19" t="inlineStr"/>
      <c r="G769" s="19" t="inlineStr"/>
    </row>
    <row r="770" customHeight="1" ht="15">
      <c r="A770" s="20" t="inlineStr">
        <is>
          <r>
            <t xml:space="preserve">Material</t>
          </r>
        </is>
      </c>
      <c r="B770" s="20" t="inlineStr"/>
      <c r="C770" s="21" t="inlineStr">
        <is>
          <r>
            <t xml:space="preserve">FONTE</t>
          </r>
        </is>
      </c>
      <c r="D770" s="21" t="inlineStr">
        <is>
          <r>
            <t xml:space="preserve">UNID</t>
          </r>
        </is>
      </c>
      <c r="E770" s="21" t="inlineStr">
        <is>
          <r>
            <t xml:space="preserve">COEFICIENTE</t>
          </r>
        </is>
      </c>
      <c r="F770" s="21" t="inlineStr">
        <is>
          <r>
            <t xml:space="preserve">PREÇO UNITÁRIO</t>
          </r>
        </is>
      </c>
      <c r="G770" s="21" t="inlineStr">
        <is>
          <r>
            <t xml:space="preserve">TOTAL</t>
          </r>
        </is>
      </c>
    </row>
    <row r="771" customHeight="1" ht="15">
      <c r="A771" s="22" t="inlineStr">
        <is>
          <r>
            <t xml:space="preserve">I0280</t>
          </r>
        </is>
      </c>
      <c r="B771" s="23" t="inlineStr">
        <is>
          <r>
            <t xml:space="preserve">BRITA</t>
          </r>
        </is>
      </c>
      <c r="C771" s="22" t="inlineStr">
        <is>
          <r>
            <t xml:space="preserve">SEINFRA</t>
          </r>
        </is>
      </c>
      <c r="D771" s="22" t="inlineStr">
        <is>
          <r>
            <t xml:space="preserve">M3</t>
          </r>
        </is>
      </c>
      <c r="E771" s="24" t="n">
        <v>1.2</v>
      </c>
      <c r="F771" s="30" t="n">
        <v>100.5</v>
      </c>
      <c r="G771" s="30" t="n">
        <f>ROUND(ROUND(E771,8)*F771,4)</f>
        <v>120.6</v>
      </c>
    </row>
    <row r="772" customHeight="1" ht="15">
      <c r="A772" s="2" t="inlineStr"/>
      <c r="B772" s="2" t="inlineStr"/>
      <c r="C772" s="2" t="inlineStr"/>
      <c r="D772" s="2" t="inlineStr"/>
      <c r="E772" s="26" t="inlineStr">
        <is>
          <r>
            <t xml:space="preserve">TOTAL Material:</t>
          </r>
        </is>
      </c>
      <c r="F772" s="26" t="inlineStr"/>
      <c r="G772" s="31" t="n">
        <f>SUM(G771:G771)</f>
        <v>120.6</v>
      </c>
    </row>
    <row r="773" customHeight="1" ht="15">
      <c r="A773" s="20" t="inlineStr">
        <is>
          <r>
            <t xml:space="preserve">Mão de Obra</t>
          </r>
        </is>
      </c>
      <c r="B773" s="20" t="inlineStr"/>
      <c r="C773" s="21" t="inlineStr">
        <is>
          <r>
            <t xml:space="preserve">FONTE</t>
          </r>
        </is>
      </c>
      <c r="D773" s="21" t="inlineStr">
        <is>
          <r>
            <t xml:space="preserve">UNID</t>
          </r>
        </is>
      </c>
      <c r="E773" s="21" t="inlineStr">
        <is>
          <r>
            <t xml:space="preserve">COEFICIENTE</t>
          </r>
        </is>
      </c>
      <c r="F773" s="21" t="inlineStr">
        <is>
          <r>
            <t xml:space="preserve">PREÇO UNITÁRIO</t>
          </r>
        </is>
      </c>
      <c r="G773" s="21" t="inlineStr">
        <is>
          <r>
            <t xml:space="preserve">TOTAL</t>
          </r>
        </is>
      </c>
    </row>
    <row r="774" customHeight="1" ht="15">
      <c r="A774" s="22" t="inlineStr">
        <is>
          <r>
            <t xml:space="preserve">I2543</t>
          </r>
        </is>
      </c>
      <c r="B774" s="23" t="inlineStr">
        <is>
          <r>
            <t xml:space="preserve">SERVENTE</t>
          </r>
        </is>
      </c>
      <c r="C774" s="22" t="inlineStr">
        <is>
          <r>
            <t xml:space="preserve">SEINFRA</t>
          </r>
        </is>
      </c>
      <c r="D774" s="22" t="inlineStr">
        <is>
          <r>
            <t xml:space="preserve">H</t>
          </r>
        </is>
      </c>
      <c r="E774" s="24" t="n">
        <v>2.5</v>
      </c>
      <c r="F774" s="30" t="n">
        <v>18.46</v>
      </c>
      <c r="G774" s="30" t="n">
        <f>ROUND(ROUND(E774,8)*F774,4)</f>
        <v>46.15</v>
      </c>
    </row>
    <row r="775" customHeight="1" ht="15">
      <c r="A775" s="2" t="inlineStr"/>
      <c r="B775" s="2" t="inlineStr"/>
      <c r="C775" s="2" t="inlineStr"/>
      <c r="D775" s="2" t="inlineStr"/>
      <c r="E775" s="26" t="inlineStr">
        <is>
          <r>
            <t xml:space="preserve">TOTAL Mão de Obra:</t>
          </r>
        </is>
      </c>
      <c r="F775" s="26" t="inlineStr"/>
      <c r="G775" s="31" t="n">
        <f>SUM(G774:G774)</f>
        <v>46.15</v>
      </c>
    </row>
    <row r="776" customHeight="1" ht="15">
      <c r="A776" s="2" t="inlineStr"/>
      <c r="B776" s="2" t="inlineStr"/>
      <c r="C776" s="2" t="inlineStr"/>
      <c r="D776" s="2" t="inlineStr"/>
      <c r="E776" s="28" t="inlineStr">
        <is>
          <r>
            <t xml:space="preserve">VALOR:</t>
          </r>
        </is>
      </c>
      <c r="F776" s="28" t="inlineStr"/>
      <c r="G776" s="29" t="n">
        <f>ROUND(SUM(G772,G775),2)</f>
        <v>166.75</v>
      </c>
    </row>
    <row r="777" customHeight="1" ht="15">
      <c r="A777" s="2" t="inlineStr"/>
      <c r="B777" s="2" t="inlineStr"/>
      <c r="C777" s="2" t="inlineStr"/>
      <c r="D777" s="2" t="inlineStr"/>
      <c r="E777" s="28" t="inlineStr">
        <is>
          <r>
            <t xml:space="preserve">VALOR BDI:</t>
          </r>
        </is>
      </c>
      <c r="F777" s="28" t="inlineStr"/>
      <c r="G777" s="29" t="n">
        <f>ROUND(G776*(0/100),2)</f>
        <v>0.0</v>
      </c>
    </row>
    <row r="778" customHeight="1" ht="15">
      <c r="A778" s="2" t="inlineStr"/>
      <c r="B778" s="2" t="inlineStr"/>
      <c r="C778" s="2" t="inlineStr"/>
      <c r="D778" s="2" t="inlineStr"/>
      <c r="E778" s="28" t="inlineStr">
        <is>
          <r>
            <t xml:space="preserve">VALOR COM BDI:</t>
          </r>
        </is>
      </c>
      <c r="F778" s="28" t="inlineStr"/>
      <c r="G778" s="29" t="n">
        <f>G777+G776</f>
        <v>166.75</v>
      </c>
    </row>
    <row r="779" customHeight="1" ht="10">
      <c r="A779" s="2" t="inlineStr"/>
      <c r="B779" s="2" t="inlineStr"/>
      <c r="C779" s="2" t="inlineStr"/>
      <c r="D779" s="2" t="inlineStr"/>
      <c r="E779" s="18" t="inlineStr"/>
      <c r="F779" s="18" t="inlineStr"/>
      <c r="G779" s="18" t="inlineStr"/>
    </row>
    <row r="780" customHeight="1" ht="20">
      <c r="A780" s="19" t="inlineStr">
        <is>
          <r>
            <t xml:space="preserve">1.3.2.12.1. ​C0851​ CONCRETO PRE-MISTURADO FCK 30 MPa​ (M3)</t>
          </r>
        </is>
      </c>
      <c r="B780" s="19" t="inlineStr"/>
      <c r="C780" s="19" t="inlineStr"/>
      <c r="D780" s="19" t="inlineStr"/>
      <c r="E780" s="19" t="inlineStr"/>
      <c r="F780" s="19" t="inlineStr"/>
      <c r="G780" s="19" t="inlineStr"/>
    </row>
    <row r="781" customHeight="1" ht="15">
      <c r="A781" s="20" t="inlineStr">
        <is>
          <r>
            <t xml:space="preserve">Material</t>
          </r>
        </is>
      </c>
      <c r="B781" s="20" t="inlineStr"/>
      <c r="C781" s="21" t="inlineStr">
        <is>
          <r>
            <t xml:space="preserve">FONTE</t>
          </r>
        </is>
      </c>
      <c r="D781" s="21" t="inlineStr">
        <is>
          <r>
            <t xml:space="preserve">UNID</t>
          </r>
        </is>
      </c>
      <c r="E781" s="21" t="inlineStr">
        <is>
          <r>
            <t xml:space="preserve">COEFICIENTE</t>
          </r>
        </is>
      </c>
      <c r="F781" s="21" t="inlineStr">
        <is>
          <r>
            <t xml:space="preserve">PREÇO UNITÁRIO</t>
          </r>
        </is>
      </c>
      <c r="G781" s="21" t="inlineStr">
        <is>
          <r>
            <t xml:space="preserve">TOTAL</t>
          </r>
        </is>
      </c>
    </row>
    <row r="782" customHeight="1" ht="15">
      <c r="A782" s="22" t="inlineStr">
        <is>
          <r>
            <t xml:space="preserve">I0829</t>
          </r>
        </is>
      </c>
      <c r="B782" s="23" t="inlineStr">
        <is>
          <r>
            <t xml:space="preserve">CONCRETO USINADO FCK=30 MPA</t>
          </r>
        </is>
      </c>
      <c r="C782" s="22" t="inlineStr">
        <is>
          <r>
            <t xml:space="preserve">SEINFRA</t>
          </r>
        </is>
      </c>
      <c r="D782" s="22" t="inlineStr">
        <is>
          <r>
            <t xml:space="preserve">M3</t>
          </r>
        </is>
      </c>
      <c r="E782" s="24" t="n">
        <v>1.02</v>
      </c>
      <c r="F782" s="30" t="n">
        <v>408.05</v>
      </c>
      <c r="G782" s="30" t="n">
        <f>ROUND(ROUND(E782,8)*F782,4)</f>
        <v>416.211</v>
      </c>
    </row>
    <row r="783" customHeight="1" ht="15">
      <c r="A783" s="2" t="inlineStr"/>
      <c r="B783" s="2" t="inlineStr"/>
      <c r="C783" s="2" t="inlineStr"/>
      <c r="D783" s="2" t="inlineStr"/>
      <c r="E783" s="26" t="inlineStr">
        <is>
          <r>
            <t xml:space="preserve">TOTAL Material:</t>
          </r>
        </is>
      </c>
      <c r="F783" s="26" t="inlineStr"/>
      <c r="G783" s="31" t="n">
        <f>SUM(G782:G782)</f>
        <v>416.211</v>
      </c>
    </row>
    <row r="784" customHeight="1" ht="15">
      <c r="A784" s="2" t="inlineStr"/>
      <c r="B784" s="2" t="inlineStr"/>
      <c r="C784" s="2" t="inlineStr"/>
      <c r="D784" s="2" t="inlineStr"/>
      <c r="E784" s="28" t="inlineStr">
        <is>
          <r>
            <t xml:space="preserve">VALOR:</t>
          </r>
        </is>
      </c>
      <c r="F784" s="28" t="inlineStr"/>
      <c r="G784" s="29" t="n">
        <f>ROUND(SUM(G783),2)</f>
        <v>416.21</v>
      </c>
    </row>
    <row r="785" customHeight="1" ht="15">
      <c r="A785" s="2" t="inlineStr"/>
      <c r="B785" s="2" t="inlineStr"/>
      <c r="C785" s="2" t="inlineStr"/>
      <c r="D785" s="2" t="inlineStr"/>
      <c r="E785" s="28" t="inlineStr">
        <is>
          <r>
            <t xml:space="preserve">VALOR BDI:</t>
          </r>
        </is>
      </c>
      <c r="F785" s="28" t="inlineStr"/>
      <c r="G785" s="29" t="n">
        <f>ROUND(G784*(0/100),2)</f>
        <v>0.0</v>
      </c>
    </row>
    <row r="786" customHeight="1" ht="15">
      <c r="A786" s="2" t="inlineStr"/>
      <c r="B786" s="2" t="inlineStr"/>
      <c r="C786" s="2" t="inlineStr"/>
      <c r="D786" s="2" t="inlineStr"/>
      <c r="E786" s="28" t="inlineStr">
        <is>
          <r>
            <t xml:space="preserve">VALOR COM BDI:</t>
          </r>
        </is>
      </c>
      <c r="F786" s="28" t="inlineStr"/>
      <c r="G786" s="29" t="n">
        <f>G785+G784</f>
        <v>416.21</v>
      </c>
    </row>
    <row r="787" customHeight="1" ht="10">
      <c r="A787" s="2" t="inlineStr"/>
      <c r="B787" s="2" t="inlineStr"/>
      <c r="C787" s="2" t="inlineStr"/>
      <c r="D787" s="2" t="inlineStr"/>
      <c r="E787" s="18" t="inlineStr"/>
      <c r="F787" s="18" t="inlineStr"/>
      <c r="G787" s="18" t="inlineStr"/>
    </row>
    <row r="788" customHeight="1" ht="20">
      <c r="A788" s="19" t="inlineStr">
        <is>
          <r>
            <t xml:space="preserve">1.3.2.12.2. ​C0216​ ARMADURA CA-50A MÉDIA D= 6,3 A 10,0mm​ (KG)</t>
          </r>
        </is>
      </c>
      <c r="B788" s="19" t="inlineStr"/>
      <c r="C788" s="19" t="inlineStr"/>
      <c r="D788" s="19" t="inlineStr"/>
      <c r="E788" s="19" t="inlineStr"/>
      <c r="F788" s="19" t="inlineStr"/>
      <c r="G788" s="19" t="inlineStr"/>
    </row>
    <row r="789" customHeight="1" ht="15">
      <c r="A789" s="20" t="inlineStr">
        <is>
          <r>
            <t xml:space="preserve">Material</t>
          </r>
        </is>
      </c>
      <c r="B789" s="20" t="inlineStr"/>
      <c r="C789" s="21" t="inlineStr">
        <is>
          <r>
            <t xml:space="preserve">FONTE</t>
          </r>
        </is>
      </c>
      <c r="D789" s="21" t="inlineStr">
        <is>
          <r>
            <t xml:space="preserve">UNID</t>
          </r>
        </is>
      </c>
      <c r="E789" s="21" t="inlineStr">
        <is>
          <r>
            <t xml:space="preserve">COEFICIENTE</t>
          </r>
        </is>
      </c>
      <c r="F789" s="21" t="inlineStr">
        <is>
          <r>
            <t xml:space="preserve">PREÇO UNITÁRIO</t>
          </r>
        </is>
      </c>
      <c r="G789" s="21" t="inlineStr">
        <is>
          <r>
            <t xml:space="preserve">TOTAL</t>
          </r>
        </is>
      </c>
    </row>
    <row r="790" customHeight="1" ht="15">
      <c r="A790" s="22" t="inlineStr">
        <is>
          <r>
            <t xml:space="preserve">I0163</t>
          </r>
        </is>
      </c>
      <c r="B790" s="23" t="inlineStr">
        <is>
          <r>
            <t xml:space="preserve">AÇO CA-50</t>
          </r>
        </is>
      </c>
      <c r="C790" s="22" t="inlineStr">
        <is>
          <r>
            <t xml:space="preserve">SEINFRA</t>
          </r>
        </is>
      </c>
      <c r="D790" s="22" t="inlineStr">
        <is>
          <r>
            <t xml:space="preserve">KG</t>
          </r>
        </is>
      </c>
      <c r="E790" s="24" t="n">
        <v>1.15</v>
      </c>
      <c r="F790" s="30" t="n">
        <v>7.1</v>
      </c>
      <c r="G790" s="30" t="n">
        <f>ROUND(ROUND(E790,8)*F790,4)</f>
        <v>8.165</v>
      </c>
    </row>
    <row r="791" customHeight="1" ht="15">
      <c r="A791" s="22" t="inlineStr">
        <is>
          <r>
            <t xml:space="preserve">I0103</t>
          </r>
        </is>
      </c>
      <c r="B791" s="23" t="inlineStr">
        <is>
          <r>
            <t xml:space="preserve">ARAME RECOZIDO N.18 BWG</t>
          </r>
        </is>
      </c>
      <c r="C791" s="22" t="inlineStr">
        <is>
          <r>
            <t xml:space="preserve">SEINFRA</t>
          </r>
        </is>
      </c>
      <c r="D791" s="22" t="inlineStr">
        <is>
          <r>
            <t xml:space="preserve">KG</t>
          </r>
        </is>
      </c>
      <c r="E791" s="24" t="n">
        <v>0.02</v>
      </c>
      <c r="F791" s="30" t="n">
        <v>16.53</v>
      </c>
      <c r="G791" s="30" t="n">
        <f>ROUND(ROUND(E791,8)*F791,4)</f>
        <v>0.3306</v>
      </c>
    </row>
    <row r="792" customHeight="1" ht="15">
      <c r="A792" s="2" t="inlineStr"/>
      <c r="B792" s="2" t="inlineStr"/>
      <c r="C792" s="2" t="inlineStr"/>
      <c r="D792" s="2" t="inlineStr"/>
      <c r="E792" s="26" t="inlineStr">
        <is>
          <r>
            <t xml:space="preserve">TOTAL Material:</t>
          </r>
        </is>
      </c>
      <c r="F792" s="26" t="inlineStr"/>
      <c r="G792" s="31" t="n">
        <f>SUM(G790:G791)</f>
        <v>8.4956</v>
      </c>
    </row>
    <row r="793" customHeight="1" ht="15">
      <c r="A793" s="20" t="inlineStr">
        <is>
          <r>
            <t xml:space="preserve">Mão de Obra</t>
          </r>
        </is>
      </c>
      <c r="B793" s="20" t="inlineStr"/>
      <c r="C793" s="21" t="inlineStr">
        <is>
          <r>
            <t xml:space="preserve">FONTE</t>
          </r>
        </is>
      </c>
      <c r="D793" s="21" t="inlineStr">
        <is>
          <r>
            <t xml:space="preserve">UNID</t>
          </r>
        </is>
      </c>
      <c r="E793" s="21" t="inlineStr">
        <is>
          <r>
            <t xml:space="preserve">COEFICIENTE</t>
          </r>
        </is>
      </c>
      <c r="F793" s="21" t="inlineStr">
        <is>
          <r>
            <t xml:space="preserve">PREÇO UNITÁRIO</t>
          </r>
        </is>
      </c>
      <c r="G793" s="21" t="inlineStr">
        <is>
          <r>
            <t xml:space="preserve">TOTAL</t>
          </r>
        </is>
      </c>
    </row>
    <row r="794" customHeight="1" ht="15">
      <c r="A794" s="22" t="inlineStr">
        <is>
          <r>
            <t xml:space="preserve">I0040</t>
          </r>
        </is>
      </c>
      <c r="B794" s="23" t="inlineStr">
        <is>
          <r>
            <t xml:space="preserve">AJUDANTE DE ARMADOR/FERREIRO</t>
          </r>
        </is>
      </c>
      <c r="C794" s="22" t="inlineStr">
        <is>
          <r>
            <t xml:space="preserve">SEINFRA</t>
          </r>
        </is>
      </c>
      <c r="D794" s="22" t="inlineStr">
        <is>
          <r>
            <t xml:space="preserve">H</t>
          </r>
        </is>
      </c>
      <c r="E794" s="24" t="n">
        <v>0.08</v>
      </c>
      <c r="F794" s="30" t="n">
        <v>19.1</v>
      </c>
      <c r="G794" s="30" t="n">
        <f>ROUND(ROUND(E794,8)*F794,4)</f>
        <v>1.528</v>
      </c>
    </row>
    <row r="795" customHeight="1" ht="15">
      <c r="A795" s="22" t="inlineStr">
        <is>
          <r>
            <t xml:space="preserve">I0121</t>
          </r>
        </is>
      </c>
      <c r="B795" s="23" t="inlineStr">
        <is>
          <r>
            <t xml:space="preserve">ARMADOR/FERREIRO</t>
          </r>
        </is>
      </c>
      <c r="C795" s="22" t="inlineStr">
        <is>
          <r>
            <t xml:space="preserve">SEINFRA</t>
          </r>
        </is>
      </c>
      <c r="D795" s="22" t="inlineStr">
        <is>
          <r>
            <t xml:space="preserve">H</t>
          </r>
        </is>
      </c>
      <c r="E795" s="24" t="n">
        <v>0.08</v>
      </c>
      <c r="F795" s="30" t="n">
        <v>24.16</v>
      </c>
      <c r="G795" s="30" t="n">
        <f>ROUND(ROUND(E795,8)*F795,4)</f>
        <v>1.9328</v>
      </c>
    </row>
    <row r="796" customHeight="1" ht="15">
      <c r="A796" s="2" t="inlineStr"/>
      <c r="B796" s="2" t="inlineStr"/>
      <c r="C796" s="2" t="inlineStr"/>
      <c r="D796" s="2" t="inlineStr"/>
      <c r="E796" s="26" t="inlineStr">
        <is>
          <r>
            <t xml:space="preserve">TOTAL Mão de Obra:</t>
          </r>
        </is>
      </c>
      <c r="F796" s="26" t="inlineStr"/>
      <c r="G796" s="31" t="n">
        <f>SUM(G794:G795)</f>
        <v>3.4608</v>
      </c>
    </row>
    <row r="797" customHeight="1" ht="15">
      <c r="A797" s="2" t="inlineStr"/>
      <c r="B797" s="2" t="inlineStr"/>
      <c r="C797" s="2" t="inlineStr"/>
      <c r="D797" s="2" t="inlineStr"/>
      <c r="E797" s="28" t="inlineStr">
        <is>
          <r>
            <t xml:space="preserve">VALOR:</t>
          </r>
        </is>
      </c>
      <c r="F797" s="28" t="inlineStr"/>
      <c r="G797" s="29" t="n">
        <f>ROUND(SUM(G792,G796),2)</f>
        <v>11.96</v>
      </c>
    </row>
    <row r="798" customHeight="1" ht="15">
      <c r="A798" s="2" t="inlineStr"/>
      <c r="B798" s="2" t="inlineStr"/>
      <c r="C798" s="2" t="inlineStr"/>
      <c r="D798" s="2" t="inlineStr"/>
      <c r="E798" s="28" t="inlineStr">
        <is>
          <r>
            <t xml:space="preserve">VALOR BDI:</t>
          </r>
        </is>
      </c>
      <c r="F798" s="28" t="inlineStr"/>
      <c r="G798" s="29" t="n">
        <f>ROUND(G797*(0/100),2)</f>
        <v>0.0</v>
      </c>
    </row>
    <row r="799" customHeight="1" ht="15">
      <c r="A799" s="2" t="inlineStr"/>
      <c r="B799" s="2" t="inlineStr"/>
      <c r="C799" s="2" t="inlineStr"/>
      <c r="D799" s="2" t="inlineStr"/>
      <c r="E799" s="28" t="inlineStr">
        <is>
          <r>
            <t xml:space="preserve">VALOR COM BDI:</t>
          </r>
        </is>
      </c>
      <c r="F799" s="28" t="inlineStr"/>
      <c r="G799" s="29" t="n">
        <f>G798+G797</f>
        <v>11.96</v>
      </c>
    </row>
    <row r="800" customHeight="1" ht="10">
      <c r="A800" s="2" t="inlineStr"/>
      <c r="B800" s="2" t="inlineStr"/>
      <c r="C800" s="2" t="inlineStr"/>
      <c r="D800" s="2" t="inlineStr"/>
      <c r="E800" s="18" t="inlineStr"/>
      <c r="F800" s="18" t="inlineStr"/>
      <c r="G800" s="18" t="inlineStr"/>
    </row>
    <row r="801" customHeight="1" ht="20">
      <c r="A801" s="19" t="inlineStr">
        <is>
          <r>
            <t xml:space="preserve">1.3.2.12.3. ​C0215​ ARMADURA CA-50A GROSSA D= 12,5 A 25,0mm​ (KG)</t>
          </r>
        </is>
      </c>
      <c r="B801" s="19" t="inlineStr"/>
      <c r="C801" s="19" t="inlineStr"/>
      <c r="D801" s="19" t="inlineStr"/>
      <c r="E801" s="19" t="inlineStr"/>
      <c r="F801" s="19" t="inlineStr"/>
      <c r="G801" s="19" t="inlineStr"/>
    </row>
    <row r="802" customHeight="1" ht="15">
      <c r="A802" s="20" t="inlineStr">
        <is>
          <r>
            <t xml:space="preserve">Material</t>
          </r>
        </is>
      </c>
      <c r="B802" s="20" t="inlineStr"/>
      <c r="C802" s="21" t="inlineStr">
        <is>
          <r>
            <t xml:space="preserve">FONTE</t>
          </r>
        </is>
      </c>
      <c r="D802" s="21" t="inlineStr">
        <is>
          <r>
            <t xml:space="preserve">UNID</t>
          </r>
        </is>
      </c>
      <c r="E802" s="21" t="inlineStr">
        <is>
          <r>
            <t xml:space="preserve">COEFICIENTE</t>
          </r>
        </is>
      </c>
      <c r="F802" s="21" t="inlineStr">
        <is>
          <r>
            <t xml:space="preserve">PREÇO UNITÁRIO</t>
          </r>
        </is>
      </c>
      <c r="G802" s="21" t="inlineStr">
        <is>
          <r>
            <t xml:space="preserve">TOTAL</t>
          </r>
        </is>
      </c>
    </row>
    <row r="803" customHeight="1" ht="15">
      <c r="A803" s="22" t="inlineStr">
        <is>
          <r>
            <t xml:space="preserve">I0163</t>
          </r>
        </is>
      </c>
      <c r="B803" s="23" t="inlineStr">
        <is>
          <r>
            <t xml:space="preserve">AÇO CA-50</t>
          </r>
        </is>
      </c>
      <c r="C803" s="22" t="inlineStr">
        <is>
          <r>
            <t xml:space="preserve">SEINFRA</t>
          </r>
        </is>
      </c>
      <c r="D803" s="22" t="inlineStr">
        <is>
          <r>
            <t xml:space="preserve">KG</t>
          </r>
        </is>
      </c>
      <c r="E803" s="24" t="n">
        <v>1.15</v>
      </c>
      <c r="F803" s="30" t="n">
        <v>7.1</v>
      </c>
      <c r="G803" s="30" t="n">
        <f>ROUND(ROUND(E803,8)*F803,4)</f>
        <v>8.165</v>
      </c>
    </row>
    <row r="804" customHeight="1" ht="15">
      <c r="A804" s="22" t="inlineStr">
        <is>
          <r>
            <t xml:space="preserve">I0103</t>
          </r>
        </is>
      </c>
      <c r="B804" s="23" t="inlineStr">
        <is>
          <r>
            <t xml:space="preserve">ARAME RECOZIDO N.18 BWG</t>
          </r>
        </is>
      </c>
      <c r="C804" s="22" t="inlineStr">
        <is>
          <r>
            <t xml:space="preserve">SEINFRA</t>
          </r>
        </is>
      </c>
      <c r="D804" s="22" t="inlineStr">
        <is>
          <r>
            <t xml:space="preserve">KG</t>
          </r>
        </is>
      </c>
      <c r="E804" s="24" t="n">
        <v>0.03</v>
      </c>
      <c r="F804" s="30" t="n">
        <v>16.53</v>
      </c>
      <c r="G804" s="30" t="n">
        <f>ROUND(ROUND(E804,8)*F804,4)</f>
        <v>0.4959</v>
      </c>
    </row>
    <row r="805" customHeight="1" ht="15">
      <c r="A805" s="2" t="inlineStr"/>
      <c r="B805" s="2" t="inlineStr"/>
      <c r="C805" s="2" t="inlineStr"/>
      <c r="D805" s="2" t="inlineStr"/>
      <c r="E805" s="26" t="inlineStr">
        <is>
          <r>
            <t xml:space="preserve">TOTAL Material:</t>
          </r>
        </is>
      </c>
      <c r="F805" s="26" t="inlineStr"/>
      <c r="G805" s="31" t="n">
        <f>SUM(G803:G804)</f>
        <v>8.6609</v>
      </c>
    </row>
    <row r="806" customHeight="1" ht="15">
      <c r="A806" s="20" t="inlineStr">
        <is>
          <r>
            <t xml:space="preserve">Mão de Obra</t>
          </r>
        </is>
      </c>
      <c r="B806" s="20" t="inlineStr"/>
      <c r="C806" s="21" t="inlineStr">
        <is>
          <r>
            <t xml:space="preserve">FONTE</t>
          </r>
        </is>
      </c>
      <c r="D806" s="21" t="inlineStr">
        <is>
          <r>
            <t xml:space="preserve">UNID</t>
          </r>
        </is>
      </c>
      <c r="E806" s="21" t="inlineStr">
        <is>
          <r>
            <t xml:space="preserve">COEFICIENTE</t>
          </r>
        </is>
      </c>
      <c r="F806" s="21" t="inlineStr">
        <is>
          <r>
            <t xml:space="preserve">PREÇO UNITÁRIO</t>
          </r>
        </is>
      </c>
      <c r="G806" s="21" t="inlineStr">
        <is>
          <r>
            <t xml:space="preserve">TOTAL</t>
          </r>
        </is>
      </c>
    </row>
    <row r="807" customHeight="1" ht="15">
      <c r="A807" s="22" t="inlineStr">
        <is>
          <r>
            <t xml:space="preserve">I0040</t>
          </r>
        </is>
      </c>
      <c r="B807" s="23" t="inlineStr">
        <is>
          <r>
            <t xml:space="preserve">AJUDANTE DE ARMADOR/FERREIRO</t>
          </r>
        </is>
      </c>
      <c r="C807" s="22" t="inlineStr">
        <is>
          <r>
            <t xml:space="preserve">SEINFRA</t>
          </r>
        </is>
      </c>
      <c r="D807" s="22" t="inlineStr">
        <is>
          <r>
            <t xml:space="preserve">H</t>
          </r>
        </is>
      </c>
      <c r="E807" s="24" t="n">
        <v>0.1</v>
      </c>
      <c r="F807" s="30" t="n">
        <v>19.1</v>
      </c>
      <c r="G807" s="30" t="n">
        <f>ROUND(ROUND(E807,8)*F807,4)</f>
        <v>1.91</v>
      </c>
    </row>
    <row r="808" customHeight="1" ht="15">
      <c r="A808" s="22" t="inlineStr">
        <is>
          <r>
            <t xml:space="preserve">I0121</t>
          </r>
        </is>
      </c>
      <c r="B808" s="23" t="inlineStr">
        <is>
          <r>
            <t xml:space="preserve">ARMADOR/FERREIRO</t>
          </r>
        </is>
      </c>
      <c r="C808" s="22" t="inlineStr">
        <is>
          <r>
            <t xml:space="preserve">SEINFRA</t>
          </r>
        </is>
      </c>
      <c r="D808" s="22" t="inlineStr">
        <is>
          <r>
            <t xml:space="preserve">H</t>
          </r>
        </is>
      </c>
      <c r="E808" s="24" t="n">
        <v>0.1</v>
      </c>
      <c r="F808" s="30" t="n">
        <v>24.16</v>
      </c>
      <c r="G808" s="30" t="n">
        <f>ROUND(ROUND(E808,8)*F808,4)</f>
        <v>2.416</v>
      </c>
    </row>
    <row r="809" customHeight="1" ht="15">
      <c r="A809" s="2" t="inlineStr"/>
      <c r="B809" s="2" t="inlineStr"/>
      <c r="C809" s="2" t="inlineStr"/>
      <c r="D809" s="2" t="inlineStr"/>
      <c r="E809" s="26" t="inlineStr">
        <is>
          <r>
            <t xml:space="preserve">TOTAL Mão de Obra:</t>
          </r>
        </is>
      </c>
      <c r="F809" s="26" t="inlineStr"/>
      <c r="G809" s="31" t="n">
        <f>SUM(G807:G808)</f>
        <v>4.326</v>
      </c>
    </row>
    <row r="810" customHeight="1" ht="15">
      <c r="A810" s="2" t="inlineStr"/>
      <c r="B810" s="2" t="inlineStr"/>
      <c r="C810" s="2" t="inlineStr"/>
      <c r="D810" s="2" t="inlineStr"/>
      <c r="E810" s="28" t="inlineStr">
        <is>
          <r>
            <t xml:space="preserve">VALOR:</t>
          </r>
        </is>
      </c>
      <c r="F810" s="28" t="inlineStr"/>
      <c r="G810" s="29" t="n">
        <f>ROUND(SUM(G805,G809),2)</f>
        <v>12.99</v>
      </c>
    </row>
    <row r="811" customHeight="1" ht="15">
      <c r="A811" s="2" t="inlineStr"/>
      <c r="B811" s="2" t="inlineStr"/>
      <c r="C811" s="2" t="inlineStr"/>
      <c r="D811" s="2" t="inlineStr"/>
      <c r="E811" s="28" t="inlineStr">
        <is>
          <r>
            <t xml:space="preserve">VALOR BDI:</t>
          </r>
        </is>
      </c>
      <c r="F811" s="28" t="inlineStr"/>
      <c r="G811" s="29" t="n">
        <f>ROUND(G810*(0/100),2)</f>
        <v>0.0</v>
      </c>
    </row>
    <row r="812" customHeight="1" ht="15">
      <c r="A812" s="2" t="inlineStr"/>
      <c r="B812" s="2" t="inlineStr"/>
      <c r="C812" s="2" t="inlineStr"/>
      <c r="D812" s="2" t="inlineStr"/>
      <c r="E812" s="28" t="inlineStr">
        <is>
          <r>
            <t xml:space="preserve">VALOR COM BDI:</t>
          </r>
        </is>
      </c>
      <c r="F812" s="28" t="inlineStr"/>
      <c r="G812" s="29" t="n">
        <f>G811+G810</f>
        <v>12.99</v>
      </c>
    </row>
    <row r="813" customHeight="1" ht="10">
      <c r="A813" s="2" t="inlineStr"/>
      <c r="B813" s="2" t="inlineStr"/>
      <c r="C813" s="2" t="inlineStr"/>
      <c r="D813" s="2" t="inlineStr"/>
      <c r="E813" s="18" t="inlineStr"/>
      <c r="F813" s="18" t="inlineStr"/>
      <c r="G813" s="18" t="inlineStr"/>
    </row>
    <row r="814" customHeight="1" ht="20">
      <c r="A814" s="19" t="inlineStr">
        <is>
          <r>
            <t xml:space="preserve">1.3.2.12.4. ​C2825​ FORMA CURVA CHAPA COMPENSADA RESINADA, ESP.= 12mm​ (M2)</t>
          </r>
        </is>
      </c>
      <c r="B814" s="19" t="inlineStr"/>
      <c r="C814" s="19" t="inlineStr"/>
      <c r="D814" s="19" t="inlineStr"/>
      <c r="E814" s="19" t="inlineStr"/>
      <c r="F814" s="19" t="inlineStr"/>
      <c r="G814" s="19" t="inlineStr"/>
    </row>
    <row r="815" customHeight="1" ht="15">
      <c r="A815" s="20" t="inlineStr">
        <is>
          <r>
            <t xml:space="preserve">Material</t>
          </r>
        </is>
      </c>
      <c r="B815" s="20" t="inlineStr"/>
      <c r="C815" s="21" t="inlineStr">
        <is>
          <r>
            <t xml:space="preserve">FONTE</t>
          </r>
        </is>
      </c>
      <c r="D815" s="21" t="inlineStr">
        <is>
          <r>
            <t xml:space="preserve">UNID</t>
          </r>
        </is>
      </c>
      <c r="E815" s="21" t="inlineStr">
        <is>
          <r>
            <t xml:space="preserve">COEFICIENTE</t>
          </r>
        </is>
      </c>
      <c r="F815" s="21" t="inlineStr">
        <is>
          <r>
            <t xml:space="preserve">PREÇO UNITÁRIO</t>
          </r>
        </is>
      </c>
      <c r="G815" s="21" t="inlineStr">
        <is>
          <r>
            <t xml:space="preserve">TOTAL</t>
          </r>
        </is>
      </c>
    </row>
    <row r="816" customHeight="1" ht="15">
      <c r="A816" s="22" t="inlineStr">
        <is>
          <r>
            <t xml:space="preserve">I0529</t>
          </r>
        </is>
      </c>
      <c r="B816" s="23" t="inlineStr">
        <is>
          <r>
            <t xml:space="preserve">CHAPA COMPENSADO RESINADO 12MM (1.10 X 2.20M)</t>
          </r>
        </is>
      </c>
      <c r="C816" s="22" t="inlineStr">
        <is>
          <r>
            <t xml:space="preserve">SEINFRA</t>
          </r>
        </is>
      </c>
      <c r="D816" s="22" t="inlineStr">
        <is>
          <r>
            <t xml:space="preserve">M2</t>
          </r>
        </is>
      </c>
      <c r="E816" s="24" t="n">
        <v>0.4</v>
      </c>
      <c r="F816" s="30" t="n">
        <v>35.95</v>
      </c>
      <c r="G816" s="30" t="n">
        <f>ROUND(ROUND(E816,8)*F816,4)</f>
        <v>14.38</v>
      </c>
    </row>
    <row r="817" customHeight="1" ht="15">
      <c r="A817" s="22" t="inlineStr">
        <is>
          <r>
            <t xml:space="preserve">I0965</t>
          </r>
        </is>
      </c>
      <c r="B817" s="23" t="inlineStr">
        <is>
          <r>
            <t xml:space="preserve">DESMOLDANTE PARA FORMAS</t>
          </r>
        </is>
      </c>
      <c r="C817" s="22" t="inlineStr">
        <is>
          <r>
            <t xml:space="preserve">SEINFRA</t>
          </r>
        </is>
      </c>
      <c r="D817" s="22" t="inlineStr">
        <is>
          <r>
            <t xml:space="preserve">L</t>
          </r>
        </is>
      </c>
      <c r="E817" s="24" t="n">
        <v>0.1</v>
      </c>
      <c r="F817" s="30" t="n">
        <v>8.45</v>
      </c>
      <c r="G817" s="30" t="n">
        <f>ROUND(ROUND(E817,8)*F817,4)</f>
        <v>0.845</v>
      </c>
    </row>
    <row r="818" customHeight="1" ht="15">
      <c r="A818" s="22" t="inlineStr">
        <is>
          <r>
            <t xml:space="preserve">I0198</t>
          </r>
        </is>
      </c>
      <c r="B818" s="23" t="inlineStr">
        <is>
          <r>
            <t xml:space="preserve">PONTALETE / BARROTE DE 3"x3" - APARELHADO</t>
          </r>
        </is>
      </c>
      <c r="C818" s="22" t="inlineStr">
        <is>
          <r>
            <t xml:space="preserve">SEINFRA</t>
          </r>
        </is>
      </c>
      <c r="D818" s="22" t="inlineStr">
        <is>
          <r>
            <t xml:space="preserve">M</t>
          </r>
        </is>
      </c>
      <c r="E818" s="24" t="n">
        <v>1.02</v>
      </c>
      <c r="F818" s="30" t="n">
        <v>22.11</v>
      </c>
      <c r="G818" s="30" t="n">
        <f>ROUND(ROUND(E818,8)*F818,4)</f>
        <v>22.5522</v>
      </c>
    </row>
    <row r="819" customHeight="1" ht="21">
      <c r="A819" s="22" t="inlineStr">
        <is>
          <r>
            <t xml:space="preserve">I2408</t>
          </r>
        </is>
      </c>
      <c r="B819" s="23" t="inlineStr">
        <is>
          <r>
            <t xml:space="preserve">PREGO 14X18 (1.1/2" x 14) (APROXIMADAMENTE 708UN/KG)</t>
          </r>
        </is>
      </c>
      <c r="C819" s="22" t="inlineStr">
        <is>
          <r>
            <t xml:space="preserve">SEINFRA</t>
          </r>
        </is>
      </c>
      <c r="D819" s="22" t="inlineStr">
        <is>
          <r>
            <t xml:space="preserve">KG</t>
          </r>
        </is>
      </c>
      <c r="E819" s="24" t="n">
        <v>0.4</v>
      </c>
      <c r="F819" s="30" t="n">
        <v>17.23</v>
      </c>
      <c r="G819" s="30" t="n">
        <f>ROUND(ROUND(E819,8)*F819,4)</f>
        <v>6.892</v>
      </c>
    </row>
    <row r="820" customHeight="1" ht="15">
      <c r="A820" s="22" t="inlineStr">
        <is>
          <r>
            <t xml:space="preserve">I2430</t>
          </r>
        </is>
      </c>
      <c r="B820" s="23" t="inlineStr">
        <is>
          <r>
            <t xml:space="preserve">TABUA EM MADEIRA TAIPA</t>
          </r>
        </is>
      </c>
      <c r="C820" s="22" t="inlineStr">
        <is>
          <r>
            <t xml:space="preserve">SEINFRA</t>
          </r>
        </is>
      </c>
      <c r="D820" s="22" t="inlineStr">
        <is>
          <r>
            <t xml:space="preserve">M2</t>
          </r>
        </is>
      </c>
      <c r="E820" s="24" t="n">
        <v>1.365</v>
      </c>
      <c r="F820" s="30" t="n">
        <v>32.58</v>
      </c>
      <c r="G820" s="30" t="n">
        <f>ROUND(ROUND(E820,8)*F820,4)</f>
        <v>44.4717</v>
      </c>
    </row>
    <row r="821" customHeight="1" ht="15">
      <c r="A821" s="2" t="inlineStr"/>
      <c r="B821" s="2" t="inlineStr"/>
      <c r="C821" s="2" t="inlineStr"/>
      <c r="D821" s="2" t="inlineStr"/>
      <c r="E821" s="26" t="inlineStr">
        <is>
          <r>
            <t xml:space="preserve">TOTAL Material:</t>
          </r>
        </is>
      </c>
      <c r="F821" s="26" t="inlineStr"/>
      <c r="G821" s="31" t="n">
        <f>SUM(G816:G820)</f>
        <v>89.1409</v>
      </c>
    </row>
    <row r="822" customHeight="1" ht="15">
      <c r="A822" s="20" t="inlineStr">
        <is>
          <r>
            <t xml:space="preserve">Mão de Obra</t>
          </r>
        </is>
      </c>
      <c r="B822" s="20" t="inlineStr"/>
      <c r="C822" s="21" t="inlineStr">
        <is>
          <r>
            <t xml:space="preserve">FONTE</t>
          </r>
        </is>
      </c>
      <c r="D822" s="21" t="inlineStr">
        <is>
          <r>
            <t xml:space="preserve">UNID</t>
          </r>
        </is>
      </c>
      <c r="E822" s="21" t="inlineStr">
        <is>
          <r>
            <t xml:space="preserve">COEFICIENTE</t>
          </r>
        </is>
      </c>
      <c r="F822" s="21" t="inlineStr">
        <is>
          <r>
            <t xml:space="preserve">PREÇO UNITÁRIO</t>
          </r>
        </is>
      </c>
      <c r="G822" s="21" t="inlineStr">
        <is>
          <r>
            <t xml:space="preserve">TOTAL</t>
          </r>
        </is>
      </c>
    </row>
    <row r="823" customHeight="1" ht="15">
      <c r="A823" s="22" t="inlineStr">
        <is>
          <r>
            <t xml:space="preserve">I0498</t>
          </r>
        </is>
      </c>
      <c r="B823" s="23" t="inlineStr">
        <is>
          <r>
            <t xml:space="preserve">CARPINTEIRO</t>
          </r>
        </is>
      </c>
      <c r="C823" s="22" t="inlineStr">
        <is>
          <r>
            <t xml:space="preserve">SEINFRA</t>
          </r>
        </is>
      </c>
      <c r="D823" s="22" t="inlineStr">
        <is>
          <r>
            <t xml:space="preserve">H</t>
          </r>
        </is>
      </c>
      <c r="E823" s="24" t="n">
        <v>3.5</v>
      </c>
      <c r="F823" s="30" t="n">
        <v>24.16</v>
      </c>
      <c r="G823" s="30" t="n">
        <f>ROUND(ROUND(E823,8)*F823,4)</f>
        <v>84.56</v>
      </c>
    </row>
    <row r="824" customHeight="1" ht="15">
      <c r="A824" s="22" t="inlineStr">
        <is>
          <r>
            <t xml:space="preserve">I2543</t>
          </r>
        </is>
      </c>
      <c r="B824" s="23" t="inlineStr">
        <is>
          <r>
            <t xml:space="preserve">SERVENTE</t>
          </r>
        </is>
      </c>
      <c r="C824" s="22" t="inlineStr">
        <is>
          <r>
            <t xml:space="preserve">SEINFRA</t>
          </r>
        </is>
      </c>
      <c r="D824" s="22" t="inlineStr">
        <is>
          <r>
            <t xml:space="preserve">H</t>
          </r>
        </is>
      </c>
      <c r="E824" s="24" t="n">
        <v>3.5</v>
      </c>
      <c r="F824" s="30" t="n">
        <v>18.46</v>
      </c>
      <c r="G824" s="30" t="n">
        <f>ROUND(ROUND(E824,8)*F824,4)</f>
        <v>64.61</v>
      </c>
    </row>
    <row r="825" customHeight="1" ht="15">
      <c r="A825" s="2" t="inlineStr"/>
      <c r="B825" s="2" t="inlineStr"/>
      <c r="C825" s="2" t="inlineStr"/>
      <c r="D825" s="2" t="inlineStr"/>
      <c r="E825" s="26" t="inlineStr">
        <is>
          <r>
            <t xml:space="preserve">TOTAL Mão de Obra:</t>
          </r>
        </is>
      </c>
      <c r="F825" s="26" t="inlineStr"/>
      <c r="G825" s="31" t="n">
        <f>SUM(G823:G824)</f>
        <v>149.17</v>
      </c>
    </row>
    <row r="826" customHeight="1" ht="15">
      <c r="A826" s="2" t="inlineStr"/>
      <c r="B826" s="2" t="inlineStr"/>
      <c r="C826" s="2" t="inlineStr"/>
      <c r="D826" s="2" t="inlineStr"/>
      <c r="E826" s="28" t="inlineStr">
        <is>
          <r>
            <t xml:space="preserve">VALOR:</t>
          </r>
        </is>
      </c>
      <c r="F826" s="28" t="inlineStr"/>
      <c r="G826" s="29" t="n">
        <f>ROUND(SUM(G821,G825),2)</f>
        <v>238.31</v>
      </c>
    </row>
    <row r="827" customHeight="1" ht="15">
      <c r="A827" s="2" t="inlineStr"/>
      <c r="B827" s="2" t="inlineStr"/>
      <c r="C827" s="2" t="inlineStr"/>
      <c r="D827" s="2" t="inlineStr"/>
      <c r="E827" s="28" t="inlineStr">
        <is>
          <r>
            <t xml:space="preserve">VALOR BDI:</t>
          </r>
        </is>
      </c>
      <c r="F827" s="28" t="inlineStr"/>
      <c r="G827" s="29" t="n">
        <f>ROUND(G826*(0/100),2)</f>
        <v>0.0</v>
      </c>
    </row>
    <row r="828" customHeight="1" ht="15">
      <c r="A828" s="2" t="inlineStr"/>
      <c r="B828" s="2" t="inlineStr"/>
      <c r="C828" s="2" t="inlineStr"/>
      <c r="D828" s="2" t="inlineStr"/>
      <c r="E828" s="28" t="inlineStr">
        <is>
          <r>
            <t xml:space="preserve">VALOR COM BDI:</t>
          </r>
        </is>
      </c>
      <c r="F828" s="28" t="inlineStr"/>
      <c r="G828" s="29" t="n">
        <f>G827+G826</f>
        <v>238.31</v>
      </c>
    </row>
    <row r="829" customHeight="1" ht="10">
      <c r="A829" s="2" t="inlineStr"/>
      <c r="B829" s="2" t="inlineStr"/>
      <c r="C829" s="2" t="inlineStr"/>
      <c r="D829" s="2" t="inlineStr"/>
      <c r="E829" s="18" t="inlineStr"/>
      <c r="F829" s="18" t="inlineStr"/>
      <c r="G829" s="18" t="inlineStr"/>
    </row>
    <row r="830" customHeight="1" ht="20">
      <c r="A830" s="19" t="inlineStr">
        <is>
          <r>
            <t xml:space="preserve">1.3.2.12.5. ​C1603​ LANÇAMENTO E APLICAÇÃO DE CONCRETO C/ ELEVAÇÃO​ (M3)</t>
          </r>
        </is>
      </c>
      <c r="B830" s="19" t="inlineStr"/>
      <c r="C830" s="19" t="inlineStr"/>
      <c r="D830" s="19" t="inlineStr"/>
      <c r="E830" s="19" t="inlineStr"/>
      <c r="F830" s="19" t="inlineStr"/>
      <c r="G830" s="19" t="inlineStr"/>
    </row>
    <row r="831" customHeight="1" ht="15">
      <c r="A831" s="20" t="inlineStr">
        <is>
          <r>
            <t xml:space="preserve">Mão de Obra</t>
          </r>
        </is>
      </c>
      <c r="B831" s="20" t="inlineStr"/>
      <c r="C831" s="21" t="inlineStr">
        <is>
          <r>
            <t xml:space="preserve">FONTE</t>
          </r>
        </is>
      </c>
      <c r="D831" s="21" t="inlineStr">
        <is>
          <r>
            <t xml:space="preserve">UNID</t>
          </r>
        </is>
      </c>
      <c r="E831" s="21" t="inlineStr">
        <is>
          <r>
            <t xml:space="preserve">COEFICIENTE</t>
          </r>
        </is>
      </c>
      <c r="F831" s="21" t="inlineStr">
        <is>
          <r>
            <t xml:space="preserve">PREÇO UNITÁRIO</t>
          </r>
        </is>
      </c>
      <c r="G831" s="21" t="inlineStr">
        <is>
          <r>
            <t xml:space="preserve">TOTAL</t>
          </r>
        </is>
      </c>
    </row>
    <row r="832" customHeight="1" ht="15">
      <c r="A832" s="22" t="inlineStr">
        <is>
          <r>
            <t xml:space="preserve">I2391</t>
          </r>
        </is>
      </c>
      <c r="B832" s="23" t="inlineStr">
        <is>
          <r>
            <t xml:space="preserve">PEDREIRO</t>
          </r>
        </is>
      </c>
      <c r="C832" s="22" t="inlineStr">
        <is>
          <r>
            <t xml:space="preserve">SEINFRA</t>
          </r>
        </is>
      </c>
      <c r="D832" s="22" t="inlineStr">
        <is>
          <r>
            <t xml:space="preserve">H</t>
          </r>
        </is>
      </c>
      <c r="E832" s="24" t="n">
        <v>5.0</v>
      </c>
      <c r="F832" s="30" t="n">
        <v>24.16</v>
      </c>
      <c r="G832" s="30" t="n">
        <f>ROUND(ROUND(E832,8)*F832,4)</f>
        <v>120.8</v>
      </c>
    </row>
    <row r="833" customHeight="1" ht="15">
      <c r="A833" s="22" t="inlineStr">
        <is>
          <r>
            <t xml:space="preserve">I2543</t>
          </r>
        </is>
      </c>
      <c r="B833" s="23" t="inlineStr">
        <is>
          <r>
            <t xml:space="preserve">SERVENTE</t>
          </r>
        </is>
      </c>
      <c r="C833" s="22" t="inlineStr">
        <is>
          <r>
            <t xml:space="preserve">SEINFRA</t>
          </r>
        </is>
      </c>
      <c r="D833" s="22" t="inlineStr">
        <is>
          <r>
            <t xml:space="preserve">H</t>
          </r>
        </is>
      </c>
      <c r="E833" s="24" t="n">
        <v>8.0</v>
      </c>
      <c r="F833" s="30" t="n">
        <v>18.46</v>
      </c>
      <c r="G833" s="30" t="n">
        <f>ROUND(ROUND(E833,8)*F833,4)</f>
        <v>147.68</v>
      </c>
    </row>
    <row r="834" customHeight="1" ht="15">
      <c r="A834" s="2" t="inlineStr"/>
      <c r="B834" s="2" t="inlineStr"/>
      <c r="C834" s="2" t="inlineStr"/>
      <c r="D834" s="2" t="inlineStr"/>
      <c r="E834" s="26" t="inlineStr">
        <is>
          <r>
            <t xml:space="preserve">TOTAL Mão de Obra:</t>
          </r>
        </is>
      </c>
      <c r="F834" s="26" t="inlineStr"/>
      <c r="G834" s="31" t="n">
        <f>SUM(G832:G833)</f>
        <v>268.48</v>
      </c>
    </row>
    <row r="835" customHeight="1" ht="15">
      <c r="A835" s="2" t="inlineStr"/>
      <c r="B835" s="2" t="inlineStr"/>
      <c r="C835" s="2" t="inlineStr"/>
      <c r="D835" s="2" t="inlineStr"/>
      <c r="E835" s="28" t="inlineStr">
        <is>
          <r>
            <t xml:space="preserve">VALOR:</t>
          </r>
        </is>
      </c>
      <c r="F835" s="28" t="inlineStr"/>
      <c r="G835" s="29" t="n">
        <f>ROUND(SUM(G834),2)</f>
        <v>268.48</v>
      </c>
    </row>
    <row r="836" customHeight="1" ht="15">
      <c r="A836" s="2" t="inlineStr"/>
      <c r="B836" s="2" t="inlineStr"/>
      <c r="C836" s="2" t="inlineStr"/>
      <c r="D836" s="2" t="inlineStr"/>
      <c r="E836" s="28" t="inlineStr">
        <is>
          <r>
            <t xml:space="preserve">VALOR BDI:</t>
          </r>
        </is>
      </c>
      <c r="F836" s="28" t="inlineStr"/>
      <c r="G836" s="29" t="n">
        <f>ROUND(G835*(0/100),2)</f>
        <v>0.0</v>
      </c>
    </row>
    <row r="837" customHeight="1" ht="15">
      <c r="A837" s="2" t="inlineStr"/>
      <c r="B837" s="2" t="inlineStr"/>
      <c r="C837" s="2" t="inlineStr"/>
      <c r="D837" s="2" t="inlineStr"/>
      <c r="E837" s="28" t="inlineStr">
        <is>
          <r>
            <t xml:space="preserve">VALOR COM BDI:</t>
          </r>
        </is>
      </c>
      <c r="F837" s="28" t="inlineStr"/>
      <c r="G837" s="29" t="n">
        <f>G836+G835</f>
        <v>268.48</v>
      </c>
    </row>
    <row r="838" customHeight="1" ht="10">
      <c r="A838" s="2" t="inlineStr"/>
      <c r="B838" s="2" t="inlineStr"/>
      <c r="C838" s="2" t="inlineStr"/>
      <c r="D838" s="2" t="inlineStr"/>
      <c r="E838" s="18" t="inlineStr"/>
      <c r="F838" s="18" t="inlineStr"/>
      <c r="G838" s="18" t="inlineStr"/>
    </row>
    <row r="839" customHeight="1" ht="20">
      <c r="A839" s="19" t="inlineStr">
        <is>
          <r>
            <t xml:space="preserve">1.3.3.1.1. ​C0844​ CONCRETO P/VIBR., FCK 30 MPa COM AGREGADO ADQUIRIDO​ (M3)</t>
          </r>
        </is>
      </c>
      <c r="B839" s="19" t="inlineStr"/>
      <c r="C839" s="19" t="inlineStr"/>
      <c r="D839" s="19" t="inlineStr"/>
      <c r="E839" s="19" t="inlineStr"/>
      <c r="F839" s="19" t="inlineStr"/>
      <c r="G839" s="19" t="inlineStr"/>
    </row>
    <row r="840" customHeight="1" ht="15">
      <c r="A840" s="20" t="inlineStr">
        <is>
          <r>
            <t xml:space="preserve">Equipamento Custo Horário</t>
          </r>
        </is>
      </c>
      <c r="B840" s="20" t="inlineStr"/>
      <c r="C840" s="21" t="inlineStr">
        <is>
          <r>
            <t xml:space="preserve">FONTE</t>
          </r>
        </is>
      </c>
      <c r="D840" s="21" t="inlineStr">
        <is>
          <r>
            <t xml:space="preserve">UNID</t>
          </r>
        </is>
      </c>
      <c r="E840" s="21" t="inlineStr">
        <is>
          <r>
            <t xml:space="preserve">COEFICIENTE</t>
          </r>
        </is>
      </c>
      <c r="F840" s="21" t="inlineStr">
        <is>
          <r>
            <t xml:space="preserve">PREÇO UNITÁRIO</t>
          </r>
        </is>
      </c>
      <c r="G840" s="21" t="inlineStr">
        <is>
          <r>
            <t xml:space="preserve">TOTAL</t>
          </r>
        </is>
      </c>
    </row>
    <row r="841" customHeight="1" ht="15">
      <c r="A841" s="22" t="inlineStr">
        <is>
          <r>
            <t xml:space="preserve">I0682</t>
          </r>
        </is>
      </c>
      <c r="B841" s="23" t="inlineStr">
        <is>
          <r>
            <t xml:space="preserve">BETONEIRA ELÉTRICA 580L (CHP)</t>
          </r>
        </is>
      </c>
      <c r="C841" s="22" t="inlineStr">
        <is>
          <r>
            <t xml:space="preserve">SEINFRA</t>
          </r>
        </is>
      </c>
      <c r="D841" s="22" t="inlineStr">
        <is>
          <r>
            <t xml:space="preserve">H</t>
          </r>
        </is>
      </c>
      <c r="E841" s="24" t="n">
        <v>0.714</v>
      </c>
      <c r="F841" s="30" t="n">
        <v>25.177</v>
      </c>
      <c r="G841" s="30" t="n">
        <f>ROUND(ROUND(E841,8)*F841,4)</f>
        <v>17.9764</v>
      </c>
    </row>
    <row r="842" customHeight="1" ht="18">
      <c r="A842" s="2" t="inlineStr"/>
      <c r="B842" s="2" t="inlineStr"/>
      <c r="C842" s="2" t="inlineStr"/>
      <c r="D842" s="2" t="inlineStr"/>
      <c r="E842" s="26" t="inlineStr">
        <is>
          <r>
            <t xml:space="preserve">TOTAL Equipamento Custo Horário:</t>
          </r>
        </is>
      </c>
      <c r="F842" s="26" t="inlineStr"/>
      <c r="G842" s="31" t="n">
        <f>SUM(G841:G841)</f>
        <v>17.9764</v>
      </c>
    </row>
    <row r="843" customHeight="1" ht="15">
      <c r="A843" s="20" t="inlineStr">
        <is>
          <r>
            <t xml:space="preserve">Material</t>
          </r>
        </is>
      </c>
      <c r="B843" s="20" t="inlineStr"/>
      <c r="C843" s="21" t="inlineStr">
        <is>
          <r>
            <t xml:space="preserve">FONTE</t>
          </r>
        </is>
      </c>
      <c r="D843" s="21" t="inlineStr">
        <is>
          <r>
            <t xml:space="preserve">UNID</t>
          </r>
        </is>
      </c>
      <c r="E843" s="21" t="inlineStr">
        <is>
          <r>
            <t xml:space="preserve">COEFICIENTE</t>
          </r>
        </is>
      </c>
      <c r="F843" s="21" t="inlineStr">
        <is>
          <r>
            <t xml:space="preserve">PREÇO UNITÁRIO</t>
          </r>
        </is>
      </c>
      <c r="G843" s="21" t="inlineStr">
        <is>
          <r>
            <t xml:space="preserve">TOTAL</t>
          </r>
        </is>
      </c>
    </row>
    <row r="844" customHeight="1" ht="15">
      <c r="A844" s="22" t="inlineStr">
        <is>
          <r>
            <t xml:space="preserve">I0109</t>
          </r>
        </is>
      </c>
      <c r="B844" s="23" t="inlineStr">
        <is>
          <r>
            <t xml:space="preserve">AREIA MEDIA</t>
          </r>
        </is>
      </c>
      <c r="C844" s="22" t="inlineStr">
        <is>
          <r>
            <t xml:space="preserve">SEINFRA</t>
          </r>
        </is>
      </c>
      <c r="D844" s="22" t="inlineStr">
        <is>
          <r>
            <t xml:space="preserve">M3</t>
          </r>
        </is>
      </c>
      <c r="E844" s="24" t="n">
        <v>0.929</v>
      </c>
      <c r="F844" s="30" t="n">
        <v>83.58</v>
      </c>
      <c r="G844" s="30" t="n">
        <f>ROUND(ROUND(E844,8)*F844,4)</f>
        <v>77.6458</v>
      </c>
    </row>
    <row r="845" customHeight="1" ht="15">
      <c r="A845" s="22" t="inlineStr">
        <is>
          <r>
            <t xml:space="preserve">I0280</t>
          </r>
        </is>
      </c>
      <c r="B845" s="23" t="inlineStr">
        <is>
          <r>
            <t xml:space="preserve">BRITA</t>
          </r>
        </is>
      </c>
      <c r="C845" s="22" t="inlineStr">
        <is>
          <r>
            <t xml:space="preserve">SEINFRA</t>
          </r>
        </is>
      </c>
      <c r="D845" s="22" t="inlineStr">
        <is>
          <r>
            <t xml:space="preserve">M3</t>
          </r>
        </is>
      </c>
      <c r="E845" s="24" t="n">
        <v>0.627</v>
      </c>
      <c r="F845" s="30" t="n">
        <v>100.5</v>
      </c>
      <c r="G845" s="30" t="n">
        <f>ROUND(ROUND(E845,8)*F845,4)</f>
        <v>63.0135</v>
      </c>
    </row>
    <row r="846" customHeight="1" ht="15">
      <c r="A846" s="22" t="inlineStr">
        <is>
          <r>
            <t xml:space="preserve">I0805</t>
          </r>
        </is>
      </c>
      <c r="B846" s="23" t="inlineStr">
        <is>
          <r>
            <t xml:space="preserve">CIMENTO PORTLAND</t>
          </r>
        </is>
      </c>
      <c r="C846" s="22" t="inlineStr">
        <is>
          <r>
            <t xml:space="preserve">SEINFRA</t>
          </r>
        </is>
      </c>
      <c r="D846" s="22" t="inlineStr">
        <is>
          <r>
            <t xml:space="preserve">KG</t>
          </r>
        </is>
      </c>
      <c r="E846" s="24" t="n">
        <v>396.0</v>
      </c>
      <c r="F846" s="30" t="n">
        <v>0.71</v>
      </c>
      <c r="G846" s="30" t="n">
        <f>ROUND(ROUND(E846,8)*F846,4)</f>
        <v>281.16</v>
      </c>
    </row>
    <row r="847" customHeight="1" ht="15">
      <c r="A847" s="22" t="inlineStr">
        <is>
          <r>
            <t xml:space="preserve">I1605</t>
          </r>
        </is>
      </c>
      <c r="B847" s="23" t="inlineStr">
        <is>
          <r>
            <t xml:space="preserve">PEDRISCO</t>
          </r>
        </is>
      </c>
      <c r="C847" s="22" t="inlineStr">
        <is>
          <r>
            <t xml:space="preserve">SEINFRA</t>
          </r>
        </is>
      </c>
      <c r="D847" s="22" t="inlineStr">
        <is>
          <r>
            <t xml:space="preserve">M3</t>
          </r>
        </is>
      </c>
      <c r="E847" s="24" t="n">
        <v>0.209</v>
      </c>
      <c r="F847" s="30" t="n">
        <v>100.5</v>
      </c>
      <c r="G847" s="30" t="n">
        <f>ROUND(ROUND(E847,8)*F847,4)</f>
        <v>21.0045</v>
      </c>
    </row>
    <row r="848" customHeight="1" ht="15">
      <c r="A848" s="2" t="inlineStr"/>
      <c r="B848" s="2" t="inlineStr"/>
      <c r="C848" s="2" t="inlineStr"/>
      <c r="D848" s="2" t="inlineStr"/>
      <c r="E848" s="26" t="inlineStr">
        <is>
          <r>
            <t xml:space="preserve">TOTAL Material:</t>
          </r>
        </is>
      </c>
      <c r="F848" s="26" t="inlineStr"/>
      <c r="G848" s="31" t="n">
        <f>SUM(G844:G847)</f>
        <v>442.8238</v>
      </c>
    </row>
    <row r="849" customHeight="1" ht="15">
      <c r="A849" s="20" t="inlineStr">
        <is>
          <r>
            <t xml:space="preserve">Mão de Obra</t>
          </r>
        </is>
      </c>
      <c r="B849" s="20" t="inlineStr"/>
      <c r="C849" s="21" t="inlineStr">
        <is>
          <r>
            <t xml:space="preserve">FONTE</t>
          </r>
        </is>
      </c>
      <c r="D849" s="21" t="inlineStr">
        <is>
          <r>
            <t xml:space="preserve">UNID</t>
          </r>
        </is>
      </c>
      <c r="E849" s="21" t="inlineStr">
        <is>
          <r>
            <t xml:space="preserve">COEFICIENTE</t>
          </r>
        </is>
      </c>
      <c r="F849" s="21" t="inlineStr">
        <is>
          <r>
            <t xml:space="preserve">PREÇO UNITÁRIO</t>
          </r>
        </is>
      </c>
      <c r="G849" s="21" t="inlineStr">
        <is>
          <r>
            <t xml:space="preserve">TOTAL</t>
          </r>
        </is>
      </c>
    </row>
    <row r="850" customHeight="1" ht="15">
      <c r="A850" s="22" t="inlineStr">
        <is>
          <r>
            <t xml:space="preserve">I2543</t>
          </r>
        </is>
      </c>
      <c r="B850" s="23" t="inlineStr">
        <is>
          <r>
            <t xml:space="preserve">SERVENTE</t>
          </r>
        </is>
      </c>
      <c r="C850" s="22" t="inlineStr">
        <is>
          <r>
            <t xml:space="preserve">SEINFRA</t>
          </r>
        </is>
      </c>
      <c r="D850" s="22" t="inlineStr">
        <is>
          <r>
            <t xml:space="preserve">H</t>
          </r>
        </is>
      </c>
      <c r="E850" s="24" t="n">
        <v>6.0</v>
      </c>
      <c r="F850" s="30" t="n">
        <v>18.46</v>
      </c>
      <c r="G850" s="30" t="n">
        <f>ROUND(ROUND(E850,8)*F850,4)</f>
        <v>110.76</v>
      </c>
    </row>
    <row r="851" customHeight="1" ht="15">
      <c r="A851" s="2" t="inlineStr"/>
      <c r="B851" s="2" t="inlineStr"/>
      <c r="C851" s="2" t="inlineStr"/>
      <c r="D851" s="2" t="inlineStr"/>
      <c r="E851" s="26" t="inlineStr">
        <is>
          <r>
            <t xml:space="preserve">TOTAL Mão de Obra:</t>
          </r>
        </is>
      </c>
      <c r="F851" s="26" t="inlineStr"/>
      <c r="G851" s="31" t="n">
        <f>SUM(G850:G850)</f>
        <v>110.76</v>
      </c>
    </row>
    <row r="852" customHeight="1" ht="15">
      <c r="A852" s="2" t="inlineStr"/>
      <c r="B852" s="2" t="inlineStr"/>
      <c r="C852" s="2" t="inlineStr"/>
      <c r="D852" s="2" t="inlineStr"/>
      <c r="E852" s="28" t="inlineStr">
        <is>
          <r>
            <t xml:space="preserve">VALOR:</t>
          </r>
        </is>
      </c>
      <c r="F852" s="28" t="inlineStr"/>
      <c r="G852" s="29" t="n">
        <f>ROUND(SUM(G842,G848,G851),2)</f>
        <v>571.56</v>
      </c>
    </row>
    <row r="853" customHeight="1" ht="15">
      <c r="A853" s="2" t="inlineStr"/>
      <c r="B853" s="2" t="inlineStr"/>
      <c r="C853" s="2" t="inlineStr"/>
      <c r="D853" s="2" t="inlineStr"/>
      <c r="E853" s="28" t="inlineStr">
        <is>
          <r>
            <t xml:space="preserve">VALOR BDI:</t>
          </r>
        </is>
      </c>
      <c r="F853" s="28" t="inlineStr"/>
      <c r="G853" s="29" t="n">
        <f>ROUND(G852*(0/100),2)</f>
        <v>0.0</v>
      </c>
    </row>
    <row r="854" customHeight="1" ht="15">
      <c r="A854" s="2" t="inlineStr"/>
      <c r="B854" s="2" t="inlineStr"/>
      <c r="C854" s="2" t="inlineStr"/>
      <c r="D854" s="2" t="inlineStr"/>
      <c r="E854" s="28" t="inlineStr">
        <is>
          <r>
            <t xml:space="preserve">VALOR COM BDI:</t>
          </r>
        </is>
      </c>
      <c r="F854" s="28" t="inlineStr"/>
      <c r="G854" s="29" t="n">
        <f>G853+G852</f>
        <v>571.56</v>
      </c>
    </row>
    <row r="855" customHeight="1" ht="10">
      <c r="A855" s="2" t="inlineStr"/>
      <c r="B855" s="2" t="inlineStr"/>
      <c r="C855" s="2" t="inlineStr"/>
      <c r="D855" s="2" t="inlineStr"/>
      <c r="E855" s="18" t="inlineStr"/>
      <c r="F855" s="18" t="inlineStr"/>
      <c r="G855" s="18" t="inlineStr"/>
    </row>
    <row r="856" customHeight="1" ht="20">
      <c r="A856" s="19" t="inlineStr">
        <is>
          <r>
            <t xml:space="preserve">1.3.3.1.2. ​C0216​ ARMADURA CA-50A MÉDIA D= 6,3 A 10,0mm​ (KG)</t>
          </r>
        </is>
      </c>
      <c r="B856" s="19" t="inlineStr"/>
      <c r="C856" s="19" t="inlineStr"/>
      <c r="D856" s="19" t="inlineStr"/>
      <c r="E856" s="19" t="inlineStr"/>
      <c r="F856" s="19" t="inlineStr"/>
      <c r="G856" s="19" t="inlineStr"/>
    </row>
    <row r="857" customHeight="1" ht="15">
      <c r="A857" s="20" t="inlineStr">
        <is>
          <r>
            <t xml:space="preserve">Material</t>
          </r>
        </is>
      </c>
      <c r="B857" s="20" t="inlineStr"/>
      <c r="C857" s="21" t="inlineStr">
        <is>
          <r>
            <t xml:space="preserve">FONTE</t>
          </r>
        </is>
      </c>
      <c r="D857" s="21" t="inlineStr">
        <is>
          <r>
            <t xml:space="preserve">UNID</t>
          </r>
        </is>
      </c>
      <c r="E857" s="21" t="inlineStr">
        <is>
          <r>
            <t xml:space="preserve">COEFICIENTE</t>
          </r>
        </is>
      </c>
      <c r="F857" s="21" t="inlineStr">
        <is>
          <r>
            <t xml:space="preserve">PREÇO UNITÁRIO</t>
          </r>
        </is>
      </c>
      <c r="G857" s="21" t="inlineStr">
        <is>
          <r>
            <t xml:space="preserve">TOTAL</t>
          </r>
        </is>
      </c>
    </row>
    <row r="858" customHeight="1" ht="15">
      <c r="A858" s="22" t="inlineStr">
        <is>
          <r>
            <t xml:space="preserve">I0163</t>
          </r>
        </is>
      </c>
      <c r="B858" s="23" t="inlineStr">
        <is>
          <r>
            <t xml:space="preserve">AÇO CA-50</t>
          </r>
        </is>
      </c>
      <c r="C858" s="22" t="inlineStr">
        <is>
          <r>
            <t xml:space="preserve">SEINFRA</t>
          </r>
        </is>
      </c>
      <c r="D858" s="22" t="inlineStr">
        <is>
          <r>
            <t xml:space="preserve">KG</t>
          </r>
        </is>
      </c>
      <c r="E858" s="24" t="n">
        <v>1.15</v>
      </c>
      <c r="F858" s="30" t="n">
        <v>7.1</v>
      </c>
      <c r="G858" s="30" t="n">
        <f>ROUND(ROUND(E858,8)*F858,4)</f>
        <v>8.165</v>
      </c>
    </row>
    <row r="859" customHeight="1" ht="15">
      <c r="A859" s="22" t="inlineStr">
        <is>
          <r>
            <t xml:space="preserve">I0103</t>
          </r>
        </is>
      </c>
      <c r="B859" s="23" t="inlineStr">
        <is>
          <r>
            <t xml:space="preserve">ARAME RECOZIDO N.18 BWG</t>
          </r>
        </is>
      </c>
      <c r="C859" s="22" t="inlineStr">
        <is>
          <r>
            <t xml:space="preserve">SEINFRA</t>
          </r>
        </is>
      </c>
      <c r="D859" s="22" t="inlineStr">
        <is>
          <r>
            <t xml:space="preserve">KG</t>
          </r>
        </is>
      </c>
      <c r="E859" s="24" t="n">
        <v>0.02</v>
      </c>
      <c r="F859" s="30" t="n">
        <v>16.53</v>
      </c>
      <c r="G859" s="30" t="n">
        <f>ROUND(ROUND(E859,8)*F859,4)</f>
        <v>0.3306</v>
      </c>
    </row>
    <row r="860" customHeight="1" ht="15">
      <c r="A860" s="2" t="inlineStr"/>
      <c r="B860" s="2" t="inlineStr"/>
      <c r="C860" s="2" t="inlineStr"/>
      <c r="D860" s="2" t="inlineStr"/>
      <c r="E860" s="26" t="inlineStr">
        <is>
          <r>
            <t xml:space="preserve">TOTAL Material:</t>
          </r>
        </is>
      </c>
      <c r="F860" s="26" t="inlineStr"/>
      <c r="G860" s="31" t="n">
        <f>SUM(G858:G859)</f>
        <v>8.4956</v>
      </c>
    </row>
    <row r="861" customHeight="1" ht="15">
      <c r="A861" s="20" t="inlineStr">
        <is>
          <r>
            <t xml:space="preserve">Mão de Obra</t>
          </r>
        </is>
      </c>
      <c r="B861" s="20" t="inlineStr"/>
      <c r="C861" s="21" t="inlineStr">
        <is>
          <r>
            <t xml:space="preserve">FONTE</t>
          </r>
        </is>
      </c>
      <c r="D861" s="21" t="inlineStr">
        <is>
          <r>
            <t xml:space="preserve">UNID</t>
          </r>
        </is>
      </c>
      <c r="E861" s="21" t="inlineStr">
        <is>
          <r>
            <t xml:space="preserve">COEFICIENTE</t>
          </r>
        </is>
      </c>
      <c r="F861" s="21" t="inlineStr">
        <is>
          <r>
            <t xml:space="preserve">PREÇO UNITÁRIO</t>
          </r>
        </is>
      </c>
      <c r="G861" s="21" t="inlineStr">
        <is>
          <r>
            <t xml:space="preserve">TOTAL</t>
          </r>
        </is>
      </c>
    </row>
    <row r="862" customHeight="1" ht="15">
      <c r="A862" s="22" t="inlineStr">
        <is>
          <r>
            <t xml:space="preserve">I0040</t>
          </r>
        </is>
      </c>
      <c r="B862" s="23" t="inlineStr">
        <is>
          <r>
            <t xml:space="preserve">AJUDANTE DE ARMADOR/FERREIRO</t>
          </r>
        </is>
      </c>
      <c r="C862" s="22" t="inlineStr">
        <is>
          <r>
            <t xml:space="preserve">SEINFRA</t>
          </r>
        </is>
      </c>
      <c r="D862" s="22" t="inlineStr">
        <is>
          <r>
            <t xml:space="preserve">H</t>
          </r>
        </is>
      </c>
      <c r="E862" s="24" t="n">
        <v>0.08</v>
      </c>
      <c r="F862" s="30" t="n">
        <v>19.1</v>
      </c>
      <c r="G862" s="30" t="n">
        <f>ROUND(ROUND(E862,8)*F862,4)</f>
        <v>1.528</v>
      </c>
    </row>
    <row r="863" customHeight="1" ht="15">
      <c r="A863" s="22" t="inlineStr">
        <is>
          <r>
            <t xml:space="preserve">I0121</t>
          </r>
        </is>
      </c>
      <c r="B863" s="23" t="inlineStr">
        <is>
          <r>
            <t xml:space="preserve">ARMADOR/FERREIRO</t>
          </r>
        </is>
      </c>
      <c r="C863" s="22" t="inlineStr">
        <is>
          <r>
            <t xml:space="preserve">SEINFRA</t>
          </r>
        </is>
      </c>
      <c r="D863" s="22" t="inlineStr">
        <is>
          <r>
            <t xml:space="preserve">H</t>
          </r>
        </is>
      </c>
      <c r="E863" s="24" t="n">
        <v>0.08</v>
      </c>
      <c r="F863" s="30" t="n">
        <v>24.16</v>
      </c>
      <c r="G863" s="30" t="n">
        <f>ROUND(ROUND(E863,8)*F863,4)</f>
        <v>1.9328</v>
      </c>
    </row>
    <row r="864" customHeight="1" ht="15">
      <c r="A864" s="2" t="inlineStr"/>
      <c r="B864" s="2" t="inlineStr"/>
      <c r="C864" s="2" t="inlineStr"/>
      <c r="D864" s="2" t="inlineStr"/>
      <c r="E864" s="26" t="inlineStr">
        <is>
          <r>
            <t xml:space="preserve">TOTAL Mão de Obra:</t>
          </r>
        </is>
      </c>
      <c r="F864" s="26" t="inlineStr"/>
      <c r="G864" s="31" t="n">
        <f>SUM(G862:G863)</f>
        <v>3.4608</v>
      </c>
    </row>
    <row r="865" customHeight="1" ht="15">
      <c r="A865" s="2" t="inlineStr"/>
      <c r="B865" s="2" t="inlineStr"/>
      <c r="C865" s="2" t="inlineStr"/>
      <c r="D865" s="2" t="inlineStr"/>
      <c r="E865" s="28" t="inlineStr">
        <is>
          <r>
            <t xml:space="preserve">VALOR:</t>
          </r>
        </is>
      </c>
      <c r="F865" s="28" t="inlineStr"/>
      <c r="G865" s="29" t="n">
        <f>ROUND(SUM(G860,G864),2)</f>
        <v>11.96</v>
      </c>
    </row>
    <row r="866" customHeight="1" ht="15">
      <c r="A866" s="2" t="inlineStr"/>
      <c r="B866" s="2" t="inlineStr"/>
      <c r="C866" s="2" t="inlineStr"/>
      <c r="D866" s="2" t="inlineStr"/>
      <c r="E866" s="28" t="inlineStr">
        <is>
          <r>
            <t xml:space="preserve">VALOR BDI:</t>
          </r>
        </is>
      </c>
      <c r="F866" s="28" t="inlineStr"/>
      <c r="G866" s="29" t="n">
        <f>ROUND(G865*(0/100),2)</f>
        <v>0.0</v>
      </c>
    </row>
    <row r="867" customHeight="1" ht="15">
      <c r="A867" s="2" t="inlineStr"/>
      <c r="B867" s="2" t="inlineStr"/>
      <c r="C867" s="2" t="inlineStr"/>
      <c r="D867" s="2" t="inlineStr"/>
      <c r="E867" s="28" t="inlineStr">
        <is>
          <r>
            <t xml:space="preserve">VALOR COM BDI:</t>
          </r>
        </is>
      </c>
      <c r="F867" s="28" t="inlineStr"/>
      <c r="G867" s="29" t="n">
        <f>G866+G865</f>
        <v>11.96</v>
      </c>
    </row>
    <row r="868" customHeight="1" ht="10">
      <c r="A868" s="2" t="inlineStr"/>
      <c r="B868" s="2" t="inlineStr"/>
      <c r="C868" s="2" t="inlineStr"/>
      <c r="D868" s="2" t="inlineStr"/>
      <c r="E868" s="18" t="inlineStr"/>
      <c r="F868" s="18" t="inlineStr"/>
      <c r="G868" s="18" t="inlineStr"/>
    </row>
    <row r="869" customHeight="1" ht="20">
      <c r="A869" s="19" t="inlineStr">
        <is>
          <r>
            <t xml:space="preserve">1.3.3.1.3. ​C1399​ FORMA PLANA CHAPA COMPENSADA PLASTIFICADA, ESP.= 12mm UTIL. 5X​ (M2)</t>
          </r>
        </is>
      </c>
      <c r="B869" s="19" t="inlineStr"/>
      <c r="C869" s="19" t="inlineStr"/>
      <c r="D869" s="19" t="inlineStr"/>
      <c r="E869" s="19" t="inlineStr"/>
      <c r="F869" s="19" t="inlineStr"/>
      <c r="G869" s="19" t="inlineStr"/>
    </row>
    <row r="870" customHeight="1" ht="15">
      <c r="A870" s="20" t="inlineStr">
        <is>
          <r>
            <t xml:space="preserve">Material</t>
          </r>
        </is>
      </c>
      <c r="B870" s="20" t="inlineStr"/>
      <c r="C870" s="21" t="inlineStr">
        <is>
          <r>
            <t xml:space="preserve">FONTE</t>
          </r>
        </is>
      </c>
      <c r="D870" s="21" t="inlineStr">
        <is>
          <r>
            <t xml:space="preserve">UNID</t>
          </r>
        </is>
      </c>
      <c r="E870" s="21" t="inlineStr">
        <is>
          <r>
            <t xml:space="preserve">COEFICIENTE</t>
          </r>
        </is>
      </c>
      <c r="F870" s="21" t="inlineStr">
        <is>
          <r>
            <t xml:space="preserve">PREÇO UNITÁRIO</t>
          </r>
        </is>
      </c>
      <c r="G870" s="21" t="inlineStr">
        <is>
          <r>
            <t xml:space="preserve">TOTAL</t>
          </r>
        </is>
      </c>
    </row>
    <row r="871" customHeight="1" ht="15">
      <c r="A871" s="22" t="inlineStr">
        <is>
          <r>
            <t xml:space="preserve">I0526</t>
          </r>
        </is>
      </c>
      <c r="B871" s="23" t="inlineStr">
        <is>
          <r>
            <t xml:space="preserve">CHAPA COMPENSADO PLASTIFICADO 12MM (1.22 X 2.44M)</t>
          </r>
        </is>
      </c>
      <c r="C871" s="22" t="inlineStr">
        <is>
          <r>
            <t xml:space="preserve">SEINFRA</t>
          </r>
        </is>
      </c>
      <c r="D871" s="22" t="inlineStr">
        <is>
          <r>
            <t xml:space="preserve">M2</t>
          </r>
        </is>
      </c>
      <c r="E871" s="24" t="n">
        <v>0.26</v>
      </c>
      <c r="F871" s="30" t="n">
        <v>69.64</v>
      </c>
      <c r="G871" s="30" t="n">
        <f>ROUND(ROUND(E871,8)*F871,4)</f>
        <v>18.1064</v>
      </c>
    </row>
    <row r="872" customHeight="1" ht="15">
      <c r="A872" s="22" t="inlineStr">
        <is>
          <r>
            <t xml:space="preserve">I1691</t>
          </r>
        </is>
      </c>
      <c r="B872" s="23" t="inlineStr">
        <is>
          <r>
            <t xml:space="preserve">PONTALETE / BARROTE DE 3"x3"</t>
          </r>
        </is>
      </c>
      <c r="C872" s="22" t="inlineStr">
        <is>
          <r>
            <t xml:space="preserve">SEINFRA</t>
          </r>
        </is>
      </c>
      <c r="D872" s="22" t="inlineStr">
        <is>
          <r>
            <t xml:space="preserve">M</t>
          </r>
        </is>
      </c>
      <c r="E872" s="24" t="n">
        <v>1.2</v>
      </c>
      <c r="F872" s="30" t="n">
        <v>16.09</v>
      </c>
      <c r="G872" s="30" t="n">
        <f>ROUND(ROUND(E872,8)*F872,4)</f>
        <v>19.308</v>
      </c>
    </row>
    <row r="873" customHeight="1" ht="21">
      <c r="A873" s="22" t="inlineStr">
        <is>
          <r>
            <t xml:space="preserve">I1728</t>
          </r>
        </is>
      </c>
      <c r="B873" s="23" t="inlineStr">
        <is>
          <r>
            <t xml:space="preserve">PREGO 18X27 (2.1/2" X 10) (APROXIMADAMENTE 198UN/KG)</t>
          </r>
        </is>
      </c>
      <c r="C873" s="22" t="inlineStr">
        <is>
          <r>
            <t xml:space="preserve">SEINFRA</t>
          </r>
        </is>
      </c>
      <c r="D873" s="22" t="inlineStr">
        <is>
          <r>
            <t xml:space="preserve">KG</t>
          </r>
        </is>
      </c>
      <c r="E873" s="24" t="n">
        <v>0.25</v>
      </c>
      <c r="F873" s="30" t="n">
        <v>14.2</v>
      </c>
      <c r="G873" s="30" t="n">
        <f>ROUND(ROUND(E873,8)*F873,4)</f>
        <v>3.55</v>
      </c>
    </row>
    <row r="874" customHeight="1" ht="15">
      <c r="A874" s="22" t="inlineStr">
        <is>
          <r>
            <t xml:space="preserve">I1846</t>
          </r>
        </is>
      </c>
      <c r="B874" s="23" t="inlineStr">
        <is>
          <r>
            <t xml:space="preserve">SARRAFO DE 1"X4"</t>
          </r>
        </is>
      </c>
      <c r="C874" s="22" t="inlineStr">
        <is>
          <r>
            <t xml:space="preserve">SEINFRA</t>
          </r>
        </is>
      </c>
      <c r="D874" s="22" t="inlineStr">
        <is>
          <r>
            <t xml:space="preserve">M</t>
          </r>
        </is>
      </c>
      <c r="E874" s="24" t="n">
        <v>1.53</v>
      </c>
      <c r="F874" s="30" t="n">
        <v>6.05</v>
      </c>
      <c r="G874" s="30" t="n">
        <f>ROUND(ROUND(E874,8)*F874,4)</f>
        <v>9.2565</v>
      </c>
    </row>
    <row r="875" customHeight="1" ht="15">
      <c r="A875" s="22" t="inlineStr">
        <is>
          <r>
            <t xml:space="preserve">I1916</t>
          </r>
        </is>
      </c>
      <c r="B875" s="23" t="inlineStr">
        <is>
          <r>
            <t xml:space="preserve">TABUA DE 1" DE 3A. - L = 30cm</t>
          </r>
        </is>
      </c>
      <c r="C875" s="22" t="inlineStr">
        <is>
          <r>
            <t xml:space="preserve">SEINFRA</t>
          </r>
        </is>
      </c>
      <c r="D875" s="22" t="inlineStr">
        <is>
          <r>
            <t xml:space="preserve">M</t>
          </r>
        </is>
      </c>
      <c r="E875" s="24" t="n">
        <v>1.17</v>
      </c>
      <c r="F875" s="30" t="n">
        <v>12.77</v>
      </c>
      <c r="G875" s="30" t="n">
        <f>ROUND(ROUND(E875,8)*F875,4)</f>
        <v>14.9409</v>
      </c>
    </row>
    <row r="876" customHeight="1" ht="15">
      <c r="A876" s="2" t="inlineStr"/>
      <c r="B876" s="2" t="inlineStr"/>
      <c r="C876" s="2" t="inlineStr"/>
      <c r="D876" s="2" t="inlineStr"/>
      <c r="E876" s="26" t="inlineStr">
        <is>
          <r>
            <t xml:space="preserve">TOTAL Material:</t>
          </r>
        </is>
      </c>
      <c r="F876" s="26" t="inlineStr"/>
      <c r="G876" s="31" t="n">
        <f>SUM(G871:G875)</f>
        <v>65.1618</v>
      </c>
    </row>
    <row r="877" customHeight="1" ht="15">
      <c r="A877" s="20" t="inlineStr">
        <is>
          <r>
            <t xml:space="preserve">Mão de Obra</t>
          </r>
        </is>
      </c>
      <c r="B877" s="20" t="inlineStr"/>
      <c r="C877" s="21" t="inlineStr">
        <is>
          <r>
            <t xml:space="preserve">FONTE</t>
          </r>
        </is>
      </c>
      <c r="D877" s="21" t="inlineStr">
        <is>
          <r>
            <t xml:space="preserve">UNID</t>
          </r>
        </is>
      </c>
      <c r="E877" s="21" t="inlineStr">
        <is>
          <r>
            <t xml:space="preserve">COEFICIENTE</t>
          </r>
        </is>
      </c>
      <c r="F877" s="21" t="inlineStr">
        <is>
          <r>
            <t xml:space="preserve">PREÇO UNITÁRIO</t>
          </r>
        </is>
      </c>
      <c r="G877" s="21" t="inlineStr">
        <is>
          <r>
            <t xml:space="preserve">TOTAL</t>
          </r>
        </is>
      </c>
    </row>
    <row r="878" customHeight="1" ht="15">
      <c r="A878" s="22" t="inlineStr">
        <is>
          <r>
            <t xml:space="preserve">I0041</t>
          </r>
        </is>
      </c>
      <c r="B878" s="23" t="inlineStr">
        <is>
          <r>
            <t xml:space="preserve">AJUDANTE DE CARPINTEIRO</t>
          </r>
        </is>
      </c>
      <c r="C878" s="22" t="inlineStr">
        <is>
          <r>
            <t xml:space="preserve">SEINFRA</t>
          </r>
        </is>
      </c>
      <c r="D878" s="22" t="inlineStr">
        <is>
          <r>
            <t xml:space="preserve">H</t>
          </r>
        </is>
      </c>
      <c r="E878" s="24" t="n">
        <v>1.35</v>
      </c>
      <c r="F878" s="30" t="n">
        <v>19.1</v>
      </c>
      <c r="G878" s="30" t="n">
        <f>ROUND(ROUND(E878,8)*F878,4)</f>
        <v>25.785</v>
      </c>
    </row>
    <row r="879" customHeight="1" ht="15">
      <c r="A879" s="22" t="inlineStr">
        <is>
          <r>
            <t xml:space="preserve">I0498</t>
          </r>
        </is>
      </c>
      <c r="B879" s="23" t="inlineStr">
        <is>
          <r>
            <t xml:space="preserve">CARPINTEIRO</t>
          </r>
        </is>
      </c>
      <c r="C879" s="22" t="inlineStr">
        <is>
          <r>
            <t xml:space="preserve">SEINFRA</t>
          </r>
        </is>
      </c>
      <c r="D879" s="22" t="inlineStr">
        <is>
          <r>
            <t xml:space="preserve">H</t>
          </r>
        </is>
      </c>
      <c r="E879" s="24" t="n">
        <v>1.35</v>
      </c>
      <c r="F879" s="30" t="n">
        <v>24.16</v>
      </c>
      <c r="G879" s="30" t="n">
        <f>ROUND(ROUND(E879,8)*F879,4)</f>
        <v>32.616</v>
      </c>
    </row>
    <row r="880" customHeight="1" ht="15">
      <c r="A880" s="2" t="inlineStr"/>
      <c r="B880" s="2" t="inlineStr"/>
      <c r="C880" s="2" t="inlineStr"/>
      <c r="D880" s="2" t="inlineStr"/>
      <c r="E880" s="26" t="inlineStr">
        <is>
          <r>
            <t xml:space="preserve">TOTAL Mão de Obra:</t>
          </r>
        </is>
      </c>
      <c r="F880" s="26" t="inlineStr"/>
      <c r="G880" s="31" t="n">
        <f>SUM(G878:G879)</f>
        <v>58.401</v>
      </c>
    </row>
    <row r="881" customHeight="1" ht="15">
      <c r="A881" s="2" t="inlineStr"/>
      <c r="B881" s="2" t="inlineStr"/>
      <c r="C881" s="2" t="inlineStr"/>
      <c r="D881" s="2" t="inlineStr"/>
      <c r="E881" s="28" t="inlineStr">
        <is>
          <r>
            <t xml:space="preserve">VALOR:</t>
          </r>
        </is>
      </c>
      <c r="F881" s="28" t="inlineStr"/>
      <c r="G881" s="29" t="n">
        <f>ROUND(SUM(G876,G880),2)</f>
        <v>123.56</v>
      </c>
    </row>
    <row r="882" customHeight="1" ht="15">
      <c r="A882" s="2" t="inlineStr"/>
      <c r="B882" s="2" t="inlineStr"/>
      <c r="C882" s="2" t="inlineStr"/>
      <c r="D882" s="2" t="inlineStr"/>
      <c r="E882" s="28" t="inlineStr">
        <is>
          <r>
            <t xml:space="preserve">VALOR BDI:</t>
          </r>
        </is>
      </c>
      <c r="F882" s="28" t="inlineStr"/>
      <c r="G882" s="29" t="n">
        <f>ROUND(G881*(0/100),2)</f>
        <v>0.0</v>
      </c>
    </row>
    <row r="883" customHeight="1" ht="15">
      <c r="A883" s="2" t="inlineStr"/>
      <c r="B883" s="2" t="inlineStr"/>
      <c r="C883" s="2" t="inlineStr"/>
      <c r="D883" s="2" t="inlineStr"/>
      <c r="E883" s="28" t="inlineStr">
        <is>
          <r>
            <t xml:space="preserve">VALOR COM BDI:</t>
          </r>
        </is>
      </c>
      <c r="F883" s="28" t="inlineStr"/>
      <c r="G883" s="29" t="n">
        <f>G882+G881</f>
        <v>123.56</v>
      </c>
    </row>
    <row r="884" customHeight="1" ht="10">
      <c r="A884" s="2" t="inlineStr"/>
      <c r="B884" s="2" t="inlineStr"/>
      <c r="C884" s="2" t="inlineStr"/>
      <c r="D884" s="2" t="inlineStr"/>
      <c r="E884" s="18" t="inlineStr"/>
      <c r="F884" s="18" t="inlineStr"/>
      <c r="G884" s="18" t="inlineStr"/>
    </row>
    <row r="885" customHeight="1" ht="20">
      <c r="A885" s="19" t="inlineStr">
        <is>
          <r>
            <t xml:space="preserve">1.3.3.1.4. ​C1603​ LANÇAMENTO E APLICAÇÃO DE CONCRETO C/ ELEVAÇÃO​ (M3)</t>
          </r>
        </is>
      </c>
      <c r="B885" s="19" t="inlineStr"/>
      <c r="C885" s="19" t="inlineStr"/>
      <c r="D885" s="19" t="inlineStr"/>
      <c r="E885" s="19" t="inlineStr"/>
      <c r="F885" s="19" t="inlineStr"/>
      <c r="G885" s="19" t="inlineStr"/>
    </row>
    <row r="886" customHeight="1" ht="15">
      <c r="A886" s="20" t="inlineStr">
        <is>
          <r>
            <t xml:space="preserve">Mão de Obra</t>
          </r>
        </is>
      </c>
      <c r="B886" s="20" t="inlineStr"/>
      <c r="C886" s="21" t="inlineStr">
        <is>
          <r>
            <t xml:space="preserve">FONTE</t>
          </r>
        </is>
      </c>
      <c r="D886" s="21" t="inlineStr">
        <is>
          <r>
            <t xml:space="preserve">UNID</t>
          </r>
        </is>
      </c>
      <c r="E886" s="21" t="inlineStr">
        <is>
          <r>
            <t xml:space="preserve">COEFICIENTE</t>
          </r>
        </is>
      </c>
      <c r="F886" s="21" t="inlineStr">
        <is>
          <r>
            <t xml:space="preserve">PREÇO UNITÁRIO</t>
          </r>
        </is>
      </c>
      <c r="G886" s="21" t="inlineStr">
        <is>
          <r>
            <t xml:space="preserve">TOTAL</t>
          </r>
        </is>
      </c>
    </row>
    <row r="887" customHeight="1" ht="15">
      <c r="A887" s="22" t="inlineStr">
        <is>
          <r>
            <t xml:space="preserve">I2391</t>
          </r>
        </is>
      </c>
      <c r="B887" s="23" t="inlineStr">
        <is>
          <r>
            <t xml:space="preserve">PEDREIRO</t>
          </r>
        </is>
      </c>
      <c r="C887" s="22" t="inlineStr">
        <is>
          <r>
            <t xml:space="preserve">SEINFRA</t>
          </r>
        </is>
      </c>
      <c r="D887" s="22" t="inlineStr">
        <is>
          <r>
            <t xml:space="preserve">H</t>
          </r>
        </is>
      </c>
      <c r="E887" s="24" t="n">
        <v>5.0</v>
      </c>
      <c r="F887" s="30" t="n">
        <v>24.16</v>
      </c>
      <c r="G887" s="30" t="n">
        <f>ROUND(ROUND(E887,8)*F887,4)</f>
        <v>120.8</v>
      </c>
    </row>
    <row r="888" customHeight="1" ht="15">
      <c r="A888" s="22" t="inlineStr">
        <is>
          <r>
            <t xml:space="preserve">I2543</t>
          </r>
        </is>
      </c>
      <c r="B888" s="23" t="inlineStr">
        <is>
          <r>
            <t xml:space="preserve">SERVENTE</t>
          </r>
        </is>
      </c>
      <c r="C888" s="22" t="inlineStr">
        <is>
          <r>
            <t xml:space="preserve">SEINFRA</t>
          </r>
        </is>
      </c>
      <c r="D888" s="22" t="inlineStr">
        <is>
          <r>
            <t xml:space="preserve">H</t>
          </r>
        </is>
      </c>
      <c r="E888" s="24" t="n">
        <v>8.0</v>
      </c>
      <c r="F888" s="30" t="n">
        <v>18.46</v>
      </c>
      <c r="G888" s="30" t="n">
        <f>ROUND(ROUND(E888,8)*F888,4)</f>
        <v>147.68</v>
      </c>
    </row>
    <row r="889" customHeight="1" ht="15">
      <c r="A889" s="2" t="inlineStr"/>
      <c r="B889" s="2" t="inlineStr"/>
      <c r="C889" s="2" t="inlineStr"/>
      <c r="D889" s="2" t="inlineStr"/>
      <c r="E889" s="26" t="inlineStr">
        <is>
          <r>
            <t xml:space="preserve">TOTAL Mão de Obra:</t>
          </r>
        </is>
      </c>
      <c r="F889" s="26" t="inlineStr"/>
      <c r="G889" s="31" t="n">
        <f>SUM(G887:G888)</f>
        <v>268.48</v>
      </c>
    </row>
    <row r="890" customHeight="1" ht="15">
      <c r="A890" s="2" t="inlineStr"/>
      <c r="B890" s="2" t="inlineStr"/>
      <c r="C890" s="2" t="inlineStr"/>
      <c r="D890" s="2" t="inlineStr"/>
      <c r="E890" s="28" t="inlineStr">
        <is>
          <r>
            <t xml:space="preserve">VALOR:</t>
          </r>
        </is>
      </c>
      <c r="F890" s="28" t="inlineStr"/>
      <c r="G890" s="29" t="n">
        <f>ROUND(SUM(G889),2)</f>
        <v>268.48</v>
      </c>
    </row>
    <row r="891" customHeight="1" ht="15">
      <c r="A891" s="2" t="inlineStr"/>
      <c r="B891" s="2" t="inlineStr"/>
      <c r="C891" s="2" t="inlineStr"/>
      <c r="D891" s="2" t="inlineStr"/>
      <c r="E891" s="28" t="inlineStr">
        <is>
          <r>
            <t xml:space="preserve">VALOR BDI:</t>
          </r>
        </is>
      </c>
      <c r="F891" s="28" t="inlineStr"/>
      <c r="G891" s="29" t="n">
        <f>ROUND(G890*(0/100),2)</f>
        <v>0.0</v>
      </c>
    </row>
    <row r="892" customHeight="1" ht="15">
      <c r="A892" s="2" t="inlineStr"/>
      <c r="B892" s="2" t="inlineStr"/>
      <c r="C892" s="2" t="inlineStr"/>
      <c r="D892" s="2" t="inlineStr"/>
      <c r="E892" s="28" t="inlineStr">
        <is>
          <r>
            <t xml:space="preserve">VALOR COM BDI:</t>
          </r>
        </is>
      </c>
      <c r="F892" s="28" t="inlineStr"/>
      <c r="G892" s="29" t="n">
        <f>G891+G890</f>
        <v>268.48</v>
      </c>
    </row>
    <row r="893" customHeight="1" ht="10">
      <c r="A893" s="2" t="inlineStr"/>
      <c r="B893" s="2" t="inlineStr"/>
      <c r="C893" s="2" t="inlineStr"/>
      <c r="D893" s="2" t="inlineStr"/>
      <c r="E893" s="18" t="inlineStr"/>
      <c r="F893" s="18" t="inlineStr"/>
      <c r="G893" s="18" t="inlineStr"/>
    </row>
    <row r="894" customHeight="1" ht="20">
      <c r="A894" s="19" t="inlineStr">
        <is>
          <r>
            <t xml:space="preserve">1.3.4.1. ​C1628​ LIMPEZA GERAL​ (M2)</t>
          </r>
        </is>
      </c>
      <c r="B894" s="19" t="inlineStr"/>
      <c r="C894" s="19" t="inlineStr"/>
      <c r="D894" s="19" t="inlineStr"/>
      <c r="E894" s="19" t="inlineStr"/>
      <c r="F894" s="19" t="inlineStr"/>
      <c r="G894" s="19" t="inlineStr"/>
    </row>
    <row r="895" customHeight="1" ht="15">
      <c r="A895" s="20" t="inlineStr">
        <is>
          <r>
            <t xml:space="preserve">Mão de Obra</t>
          </r>
        </is>
      </c>
      <c r="B895" s="20" t="inlineStr"/>
      <c r="C895" s="21" t="inlineStr">
        <is>
          <r>
            <t xml:space="preserve">FONTE</t>
          </r>
        </is>
      </c>
      <c r="D895" s="21" t="inlineStr">
        <is>
          <r>
            <t xml:space="preserve">UNID</t>
          </r>
        </is>
      </c>
      <c r="E895" s="21" t="inlineStr">
        <is>
          <r>
            <t xml:space="preserve">COEFICIENTE</t>
          </r>
        </is>
      </c>
      <c r="F895" s="21" t="inlineStr">
        <is>
          <r>
            <t xml:space="preserve">PREÇO UNITÁRIO</t>
          </r>
        </is>
      </c>
      <c r="G895" s="21" t="inlineStr">
        <is>
          <r>
            <t xml:space="preserve">TOTAL</t>
          </r>
        </is>
      </c>
    </row>
    <row r="896" customHeight="1" ht="15">
      <c r="A896" s="22" t="inlineStr">
        <is>
          <r>
            <t xml:space="preserve">I2543</t>
          </r>
        </is>
      </c>
      <c r="B896" s="23" t="inlineStr">
        <is>
          <r>
            <t xml:space="preserve">SERVENTE</t>
          </r>
        </is>
      </c>
      <c r="C896" s="22" t="inlineStr">
        <is>
          <r>
            <t xml:space="preserve">SEINFRA</t>
          </r>
        </is>
      </c>
      <c r="D896" s="22" t="inlineStr">
        <is>
          <r>
            <t xml:space="preserve">H</t>
          </r>
        </is>
      </c>
      <c r="E896" s="24" t="n">
        <v>0.7</v>
      </c>
      <c r="F896" s="30" t="n">
        <v>18.46</v>
      </c>
      <c r="G896" s="30" t="n">
        <f>ROUND(ROUND(E896,8)*F896,4)</f>
        <v>12.922</v>
      </c>
    </row>
    <row r="897" customHeight="1" ht="15">
      <c r="A897" s="2" t="inlineStr"/>
      <c r="B897" s="2" t="inlineStr"/>
      <c r="C897" s="2" t="inlineStr"/>
      <c r="D897" s="2" t="inlineStr"/>
      <c r="E897" s="26" t="inlineStr">
        <is>
          <r>
            <t xml:space="preserve">TOTAL Mão de Obra:</t>
          </r>
        </is>
      </c>
      <c r="F897" s="26" t="inlineStr"/>
      <c r="G897" s="31" t="n">
        <f>SUM(G896:G896)</f>
        <v>12.922</v>
      </c>
    </row>
    <row r="898" customHeight="1" ht="15">
      <c r="A898" s="2" t="inlineStr"/>
      <c r="B898" s="2" t="inlineStr"/>
      <c r="C898" s="2" t="inlineStr"/>
      <c r="D898" s="2" t="inlineStr"/>
      <c r="E898" s="28" t="inlineStr">
        <is>
          <r>
            <t xml:space="preserve">VALOR:</t>
          </r>
        </is>
      </c>
      <c r="F898" s="28" t="inlineStr"/>
      <c r="G898" s="29" t="n">
        <f>ROUND(SUM(G897),2)</f>
        <v>12.92</v>
      </c>
    </row>
    <row r="899" customHeight="1" ht="15">
      <c r="A899" s="2" t="inlineStr"/>
      <c r="B899" s="2" t="inlineStr"/>
      <c r="C899" s="2" t="inlineStr"/>
      <c r="D899" s="2" t="inlineStr"/>
      <c r="E899" s="28" t="inlineStr">
        <is>
          <r>
            <t xml:space="preserve">VALOR BDI:</t>
          </r>
        </is>
      </c>
      <c r="F899" s="28" t="inlineStr"/>
      <c r="G899" s="29" t="n">
        <f>ROUND(G898*(0/100),2)</f>
        <v>0.0</v>
      </c>
    </row>
    <row r="900" customHeight="1" ht="15">
      <c r="A900" s="2" t="inlineStr"/>
      <c r="B900" s="2" t="inlineStr"/>
      <c r="C900" s="2" t="inlineStr"/>
      <c r="D900" s="2" t="inlineStr"/>
      <c r="E900" s="28" t="inlineStr">
        <is>
          <r>
            <t xml:space="preserve">VALOR COM BDI:</t>
          </r>
        </is>
      </c>
      <c r="F900" s="28" t="inlineStr"/>
      <c r="G900" s="29" t="n">
        <f>G899+G898</f>
        <v>12.92</v>
      </c>
    </row>
    <row r="901" customHeight="1" ht="10">
      <c r="A901" s="2" t="inlineStr"/>
      <c r="B901" s="2" t="inlineStr"/>
      <c r="C901" s="2" t="inlineStr"/>
      <c r="D901" s="2" t="inlineStr"/>
      <c r="E901" s="18" t="inlineStr"/>
      <c r="F901" s="18" t="inlineStr"/>
      <c r="G901" s="18" t="inlineStr"/>
    </row>
    <row r="902" customHeight="1" ht="20">
      <c r="A902" s="19" t="inlineStr">
        <is>
          <r>
            <t xml:space="preserve">1.4.1.1. ​C2873​ LOCAÇÃO DA OBRA COM AUXÍLIO TOPOGRÁFICO (ÁREA ATÉ 5000 M2)​ (M2)</t>
          </r>
        </is>
      </c>
      <c r="B902" s="19" t="inlineStr"/>
      <c r="C902" s="19" t="inlineStr"/>
      <c r="D902" s="19" t="inlineStr"/>
      <c r="E902" s="19" t="inlineStr"/>
      <c r="F902" s="19" t="inlineStr"/>
      <c r="G902" s="19" t="inlineStr"/>
    </row>
    <row r="903" customHeight="1" ht="15">
      <c r="A903" s="20" t="inlineStr">
        <is>
          <r>
            <t xml:space="preserve">Equipamento Custo Horário</t>
          </r>
        </is>
      </c>
      <c r="B903" s="20" t="inlineStr"/>
      <c r="C903" s="21" t="inlineStr">
        <is>
          <r>
            <t xml:space="preserve">FONTE</t>
          </r>
        </is>
      </c>
      <c r="D903" s="21" t="inlineStr">
        <is>
          <r>
            <t xml:space="preserve">UNID</t>
          </r>
        </is>
      </c>
      <c r="E903" s="21" t="inlineStr">
        <is>
          <r>
            <t xml:space="preserve">COEFICIENTE</t>
          </r>
        </is>
      </c>
      <c r="F903" s="21" t="inlineStr">
        <is>
          <r>
            <t xml:space="preserve">PREÇO UNITÁRIO</t>
          </r>
        </is>
      </c>
      <c r="G903" s="21" t="inlineStr">
        <is>
          <r>
            <t xml:space="preserve">TOTAL</t>
          </r>
        </is>
      </c>
    </row>
    <row r="904" customHeight="1" ht="15">
      <c r="A904" s="22" t="inlineStr">
        <is>
          <r>
            <t xml:space="preserve">I0700</t>
          </r>
        </is>
      </c>
      <c r="B904" s="23" t="inlineStr">
        <is>
          <r>
            <t xml:space="preserve">CAMINHONETE SAVEIRO (CHP)</t>
          </r>
        </is>
      </c>
      <c r="C904" s="22" t="inlineStr">
        <is>
          <r>
            <t xml:space="preserve">SEINFRA</t>
          </r>
        </is>
      </c>
      <c r="D904" s="22" t="inlineStr">
        <is>
          <r>
            <t xml:space="preserve">H</t>
          </r>
        </is>
      </c>
      <c r="E904" s="24" t="n">
        <v>0.001</v>
      </c>
      <c r="F904" s="30" t="n">
        <v>79.4826</v>
      </c>
      <c r="G904" s="30" t="n">
        <f>ROUND(ROUND(E904,8)*F904,4)</f>
        <v>0.0795</v>
      </c>
    </row>
    <row r="905" customHeight="1" ht="15">
      <c r="A905" s="22" t="inlineStr">
        <is>
          <r>
            <t xml:space="preserve">I0758</t>
          </r>
        </is>
      </c>
      <c r="B905" s="23" t="inlineStr">
        <is>
          <r>
            <t xml:space="preserve">NÍVEL (CHP)</t>
          </r>
        </is>
      </c>
      <c r="C905" s="22" t="inlineStr">
        <is>
          <r>
            <t xml:space="preserve">SEINFRA</t>
          </r>
        </is>
      </c>
      <c r="D905" s="22" t="inlineStr">
        <is>
          <r>
            <t xml:space="preserve">H</t>
          </r>
        </is>
      </c>
      <c r="E905" s="24" t="n">
        <v>0.002</v>
      </c>
      <c r="F905" s="30" t="n">
        <v>1.1752</v>
      </c>
      <c r="G905" s="30" t="n">
        <f>ROUND(ROUND(E905,8)*F905,4)</f>
        <v>0.0024</v>
      </c>
    </row>
    <row r="906" customHeight="1" ht="15">
      <c r="A906" s="22" t="inlineStr">
        <is>
          <r>
            <t xml:space="preserve">I0775</t>
          </r>
        </is>
      </c>
      <c r="B906" s="23" t="inlineStr">
        <is>
          <r>
            <t xml:space="preserve">TEODOLITO (CHP)</t>
          </r>
        </is>
      </c>
      <c r="C906" s="22" t="inlineStr">
        <is>
          <r>
            <t xml:space="preserve">SEINFRA</t>
          </r>
        </is>
      </c>
      <c r="D906" s="22" t="inlineStr">
        <is>
          <r>
            <t xml:space="preserve">H</t>
          </r>
        </is>
      </c>
      <c r="E906" s="24" t="n">
        <v>0.002</v>
      </c>
      <c r="F906" s="30" t="n">
        <v>2.3202</v>
      </c>
      <c r="G906" s="30" t="n">
        <f>ROUND(ROUND(E906,8)*F906,4)</f>
        <v>0.0046</v>
      </c>
    </row>
    <row r="907" customHeight="1" ht="18">
      <c r="A907" s="2" t="inlineStr"/>
      <c r="B907" s="2" t="inlineStr"/>
      <c r="C907" s="2" t="inlineStr"/>
      <c r="D907" s="2" t="inlineStr"/>
      <c r="E907" s="26" t="inlineStr">
        <is>
          <r>
            <t xml:space="preserve">TOTAL Equipamento Custo Horário:</t>
          </r>
        </is>
      </c>
      <c r="F907" s="26" t="inlineStr"/>
      <c r="G907" s="31" t="n">
        <f>SUM(G904:G906)</f>
        <v>0.0865</v>
      </c>
    </row>
    <row r="908" customHeight="1" ht="15">
      <c r="A908" s="20" t="inlineStr">
        <is>
          <r>
            <t xml:space="preserve">Mão de Obra</t>
          </r>
        </is>
      </c>
      <c r="B908" s="20" t="inlineStr"/>
      <c r="C908" s="21" t="inlineStr">
        <is>
          <r>
            <t xml:space="preserve">FONTE</t>
          </r>
        </is>
      </c>
      <c r="D908" s="21" t="inlineStr">
        <is>
          <r>
            <t xml:space="preserve">UNID</t>
          </r>
        </is>
      </c>
      <c r="E908" s="21" t="inlineStr">
        <is>
          <r>
            <t xml:space="preserve">COEFICIENTE</t>
          </r>
        </is>
      </c>
      <c r="F908" s="21" t="inlineStr">
        <is>
          <r>
            <t xml:space="preserve">PREÇO UNITÁRIO</t>
          </r>
        </is>
      </c>
      <c r="G908" s="21" t="inlineStr">
        <is>
          <r>
            <t xml:space="preserve">TOTAL</t>
          </r>
        </is>
      </c>
    </row>
    <row r="909" customHeight="1" ht="15">
      <c r="A909" s="22" t="inlineStr">
        <is>
          <r>
            <t xml:space="preserve">I0037</t>
          </r>
        </is>
      </c>
      <c r="B909" s="23" t="inlineStr">
        <is>
          <r>
            <t xml:space="preserve">AJUDANTE</t>
          </r>
        </is>
      </c>
      <c r="C909" s="22" t="inlineStr">
        <is>
          <r>
            <t xml:space="preserve">SEINFRA</t>
          </r>
        </is>
      </c>
      <c r="D909" s="22" t="inlineStr">
        <is>
          <r>
            <t xml:space="preserve">H</t>
          </r>
        </is>
      </c>
      <c r="E909" s="24" t="n">
        <v>0.004</v>
      </c>
      <c r="F909" s="30" t="n">
        <v>19.1</v>
      </c>
      <c r="G909" s="30" t="n">
        <f>ROUND(ROUND(E909,8)*F909,4)</f>
        <v>0.0764</v>
      </c>
    </row>
    <row r="910" customHeight="1" ht="15">
      <c r="A910" s="22" t="inlineStr">
        <is>
          <r>
            <t xml:space="preserve">I2382</t>
          </r>
        </is>
      </c>
      <c r="B910" s="23" t="inlineStr">
        <is>
          <r>
            <t xml:space="preserve">NIVELADOR</t>
          </r>
        </is>
      </c>
      <c r="C910" s="22" t="inlineStr">
        <is>
          <r>
            <t xml:space="preserve">SEINFRA</t>
          </r>
        </is>
      </c>
      <c r="D910" s="22" t="inlineStr">
        <is>
          <r>
            <t xml:space="preserve">H</t>
          </r>
        </is>
      </c>
      <c r="E910" s="24" t="n">
        <v>0.002</v>
      </c>
      <c r="F910" s="30" t="n">
        <v>26.44</v>
      </c>
      <c r="G910" s="30" t="n">
        <f>ROUND(ROUND(E910,8)*F910,4)</f>
        <v>0.0529</v>
      </c>
    </row>
    <row r="911" customHeight="1" ht="15">
      <c r="A911" s="22" t="inlineStr">
        <is>
          <r>
            <t xml:space="preserve">I2445</t>
          </r>
        </is>
      </c>
      <c r="B911" s="23" t="inlineStr">
        <is>
          <r>
            <t xml:space="preserve">TOPOGRAFO</t>
          </r>
        </is>
      </c>
      <c r="C911" s="22" t="inlineStr">
        <is>
          <r>
            <t xml:space="preserve">SEINFRA</t>
          </r>
        </is>
      </c>
      <c r="D911" s="22" t="inlineStr">
        <is>
          <r>
            <t xml:space="preserve">H</t>
          </r>
        </is>
      </c>
      <c r="E911" s="24" t="n">
        <v>0.002</v>
      </c>
      <c r="F911" s="30" t="n">
        <v>31.52</v>
      </c>
      <c r="G911" s="30" t="n">
        <f>ROUND(ROUND(E911,8)*F911,4)</f>
        <v>0.063</v>
      </c>
    </row>
    <row r="912" customHeight="1" ht="15">
      <c r="A912" s="2" t="inlineStr"/>
      <c r="B912" s="2" t="inlineStr"/>
      <c r="C912" s="2" t="inlineStr"/>
      <c r="D912" s="2" t="inlineStr"/>
      <c r="E912" s="26" t="inlineStr">
        <is>
          <r>
            <t xml:space="preserve">TOTAL Mão de Obra:</t>
          </r>
        </is>
      </c>
      <c r="F912" s="26" t="inlineStr"/>
      <c r="G912" s="31" t="n">
        <f>SUM(G909:G911)</f>
        <v>0.1923</v>
      </c>
    </row>
    <row r="913" customHeight="1" ht="15">
      <c r="A913" s="2" t="inlineStr"/>
      <c r="B913" s="2" t="inlineStr"/>
      <c r="C913" s="2" t="inlineStr"/>
      <c r="D913" s="2" t="inlineStr"/>
      <c r="E913" s="28" t="inlineStr">
        <is>
          <r>
            <t xml:space="preserve">VALOR:</t>
          </r>
        </is>
      </c>
      <c r="F913" s="28" t="inlineStr"/>
      <c r="G913" s="29" t="n">
        <f>ROUND(SUM(G907,G912),2)</f>
        <v>0.28</v>
      </c>
    </row>
    <row r="914" customHeight="1" ht="15">
      <c r="A914" s="2" t="inlineStr"/>
      <c r="B914" s="2" t="inlineStr"/>
      <c r="C914" s="2" t="inlineStr"/>
      <c r="D914" s="2" t="inlineStr"/>
      <c r="E914" s="28" t="inlineStr">
        <is>
          <r>
            <t xml:space="preserve">VALOR BDI:</t>
          </r>
        </is>
      </c>
      <c r="F914" s="28" t="inlineStr"/>
      <c r="G914" s="29" t="n">
        <f>ROUND(G913*(0/100),2)</f>
        <v>0.0</v>
      </c>
    </row>
    <row r="915" customHeight="1" ht="15">
      <c r="A915" s="2" t="inlineStr"/>
      <c r="B915" s="2" t="inlineStr"/>
      <c r="C915" s="2" t="inlineStr"/>
      <c r="D915" s="2" t="inlineStr"/>
      <c r="E915" s="28" t="inlineStr">
        <is>
          <r>
            <t xml:space="preserve">VALOR COM BDI:</t>
          </r>
        </is>
      </c>
      <c r="F915" s="28" t="inlineStr"/>
      <c r="G915" s="29" t="n">
        <f>G914+G913</f>
        <v>0.28</v>
      </c>
    </row>
    <row r="916" customHeight="1" ht="10">
      <c r="A916" s="2" t="inlineStr"/>
      <c r="B916" s="2" t="inlineStr"/>
      <c r="C916" s="2" t="inlineStr"/>
      <c r="D916" s="2" t="inlineStr"/>
      <c r="E916" s="18" t="inlineStr"/>
      <c r="F916" s="18" t="inlineStr"/>
      <c r="G916" s="18" t="inlineStr"/>
    </row>
    <row r="917" customHeight="1" ht="20">
      <c r="A917" s="19" t="inlineStr">
        <is>
          <r>
            <t xml:space="preserve">1.4.2.1. ​C3179​ ESCAVAÇÃO CARGA TRANSP. 1-CAT 4001 A 5000M​ (M3)</t>
          </r>
        </is>
      </c>
      <c r="B917" s="19" t="inlineStr"/>
      <c r="C917" s="19" t="inlineStr"/>
      <c r="D917" s="19" t="inlineStr"/>
      <c r="E917" s="19" t="inlineStr"/>
      <c r="F917" s="19" t="inlineStr"/>
      <c r="G917" s="19" t="inlineStr"/>
    </row>
    <row r="918" customHeight="1" ht="15">
      <c r="A918" s="20" t="inlineStr">
        <is>
          <r>
            <t xml:space="preserve">Equipamento Custo Horário</t>
          </r>
        </is>
      </c>
      <c r="B918" s="20" t="inlineStr"/>
      <c r="C918" s="21" t="inlineStr">
        <is>
          <r>
            <t xml:space="preserve">FONTE</t>
          </r>
        </is>
      </c>
      <c r="D918" s="21" t="inlineStr">
        <is>
          <r>
            <t xml:space="preserve">UNID</t>
          </r>
        </is>
      </c>
      <c r="E918" s="21" t="inlineStr">
        <is>
          <r>
            <t xml:space="preserve">COEFICIENTE</t>
          </r>
        </is>
      </c>
      <c r="F918" s="21" t="inlineStr">
        <is>
          <r>
            <t xml:space="preserve">PREÇO UNITÁRIO</t>
          </r>
        </is>
      </c>
      <c r="G918" s="21" t="inlineStr">
        <is>
          <r>
            <t xml:space="preserve">TOTAL</t>
          </r>
        </is>
      </c>
    </row>
    <row r="919" customHeight="1" ht="15">
      <c r="A919" s="22" t="inlineStr">
        <is>
          <r>
            <t xml:space="preserve">I0576</t>
          </r>
        </is>
      </c>
      <c r="B919" s="23" t="inlineStr">
        <is>
          <r>
            <t xml:space="preserve">CAMINHÃO BASCULANTE 12 M3 (CHI)</t>
          </r>
        </is>
      </c>
      <c r="C919" s="22" t="inlineStr">
        <is>
          <r>
            <t xml:space="preserve">SEINFRA</t>
          </r>
        </is>
      </c>
      <c r="D919" s="22" t="inlineStr">
        <is>
          <r>
            <t xml:space="preserve">H</t>
          </r>
        </is>
      </c>
      <c r="E919" s="24" t="n">
        <v>0.00617647</v>
      </c>
      <c r="F919" s="30" t="n">
        <v>68.8661</v>
      </c>
      <c r="G919" s="30" t="n">
        <f>ROUND(ROUND(E919,8)*F919,4)</f>
        <v>0.4253</v>
      </c>
    </row>
    <row r="920" customHeight="1" ht="15">
      <c r="A920" s="22" t="inlineStr">
        <is>
          <r>
            <t xml:space="preserve">I0688</t>
          </r>
        </is>
      </c>
      <c r="B920" s="23" t="inlineStr">
        <is>
          <r>
            <t xml:space="preserve">CAMINHÃO BASCULANTE 12 M3 (CHP)</t>
          </r>
        </is>
      </c>
      <c r="C920" s="22" t="inlineStr">
        <is>
          <r>
            <t xml:space="preserve">SEINFRA</t>
          </r>
        </is>
      </c>
      <c r="D920" s="22" t="inlineStr">
        <is>
          <r>
            <t xml:space="preserve">H</t>
          </r>
        </is>
      </c>
      <c r="E920" s="24" t="n">
        <v>0.08205882</v>
      </c>
      <c r="F920" s="30" t="n">
        <v>210.4272</v>
      </c>
      <c r="G920" s="30" t="n">
        <f>ROUND(ROUND(E920,8)*F920,4)</f>
        <v>17.2674</v>
      </c>
    </row>
    <row r="921" customHeight="1" ht="15">
      <c r="A921" s="22" t="inlineStr">
        <is>
          <r>
            <t xml:space="preserve">I0596</t>
          </r>
        </is>
      </c>
      <c r="B921" s="23" t="inlineStr">
        <is>
          <r>
            <t xml:space="preserve">CARREGADEIRA DE PNEUS HP 180 (CHI)</t>
          </r>
        </is>
      </c>
      <c r="C921" s="22" t="inlineStr">
        <is>
          <r>
            <t xml:space="preserve">SEINFRA</t>
          </r>
        </is>
      </c>
      <c r="D921" s="22" t="inlineStr">
        <is>
          <r>
            <t xml:space="preserve">H</t>
          </r>
        </is>
      </c>
      <c r="E921" s="24" t="n">
        <v>1.9608E-4</v>
      </c>
      <c r="F921" s="30" t="n">
        <v>106.3468</v>
      </c>
      <c r="G921" s="30" t="n">
        <f>ROUND(ROUND(E921,8)*F921,4)</f>
        <v>0.0209</v>
      </c>
    </row>
    <row r="922" customHeight="1" ht="15">
      <c r="A922" s="22" t="inlineStr">
        <is>
          <r>
            <t xml:space="preserve">I0710</t>
          </r>
        </is>
      </c>
      <c r="B922" s="23" t="inlineStr">
        <is>
          <r>
            <t xml:space="preserve">CARREGADEIRA DE PNEUS HP 180 (CHP)</t>
          </r>
        </is>
      </c>
      <c r="C922" s="22" t="inlineStr">
        <is>
          <r>
            <t xml:space="preserve">SEINFRA</t>
          </r>
        </is>
      </c>
      <c r="D922" s="22" t="inlineStr">
        <is>
          <r>
            <t xml:space="preserve">H</t>
          </r>
        </is>
      </c>
      <c r="E922" s="24" t="n">
        <v>0.00960784</v>
      </c>
      <c r="F922" s="30" t="n">
        <v>328.0339</v>
      </c>
      <c r="G922" s="30" t="n">
        <f>ROUND(ROUND(E922,8)*F922,4)</f>
        <v>3.1517</v>
      </c>
    </row>
    <row r="923" customHeight="1" ht="15">
      <c r="A923" s="22" t="inlineStr">
        <is>
          <r>
            <t xml:space="preserve">I0666</t>
          </r>
        </is>
      </c>
      <c r="B923" s="23" t="inlineStr">
        <is>
          <r>
            <t xml:space="preserve">TRATOR DE ESTEIRAS C/LÂMINA E ESC. HP 155 (CHI)</t>
          </r>
        </is>
      </c>
      <c r="C923" s="22" t="inlineStr">
        <is>
          <r>
            <t xml:space="preserve">SEINFRA</t>
          </r>
        </is>
      </c>
      <c r="D923" s="22" t="inlineStr">
        <is>
          <r>
            <t xml:space="preserve">H</t>
          </r>
        </is>
      </c>
      <c r="E923" s="24" t="n">
        <v>0.0</v>
      </c>
      <c r="F923" s="30" t="n">
        <v>93.1931</v>
      </c>
      <c r="G923" s="30" t="n">
        <f>ROUND(ROUND(E923,8)*F923,4)</f>
        <v>0.0</v>
      </c>
    </row>
    <row r="924" customHeight="1" ht="15">
      <c r="A924" s="22" t="inlineStr">
        <is>
          <r>
            <t xml:space="preserve">I0779</t>
          </r>
        </is>
      </c>
      <c r="B924" s="23" t="inlineStr">
        <is>
          <r>
            <t xml:space="preserve">TRATOR DE ESTEIRAS C/LÂMINA E ESC. HP 155 (CHP)</t>
          </r>
        </is>
      </c>
      <c r="C924" s="22" t="inlineStr">
        <is>
          <r>
            <t xml:space="preserve">SEINFRA</t>
          </r>
        </is>
      </c>
      <c r="D924" s="22" t="inlineStr">
        <is>
          <r>
            <t xml:space="preserve">H</t>
          </r>
        </is>
      </c>
      <c r="E924" s="24" t="n">
        <v>0.00980392</v>
      </c>
      <c r="F924" s="30" t="n">
        <v>277.582</v>
      </c>
      <c r="G924" s="30" t="n">
        <f>ROUND(ROUND(E924,8)*F924,4)</f>
        <v>2.7214</v>
      </c>
    </row>
    <row r="925" customHeight="1" ht="18">
      <c r="A925" s="2" t="inlineStr"/>
      <c r="B925" s="2" t="inlineStr"/>
      <c r="C925" s="2" t="inlineStr"/>
      <c r="D925" s="2" t="inlineStr"/>
      <c r="E925" s="26" t="inlineStr">
        <is>
          <r>
            <t xml:space="preserve">TOTAL Equipamento Custo Horário:</t>
          </r>
        </is>
      </c>
      <c r="F925" s="26" t="inlineStr"/>
      <c r="G925" s="31" t="n">
        <f>SUM(G919:G924)</f>
        <v>23.5867</v>
      </c>
    </row>
    <row r="926" customHeight="1" ht="15">
      <c r="A926" s="20" t="inlineStr">
        <is>
          <r>
            <t xml:space="preserve">Mão de Obra</t>
          </r>
        </is>
      </c>
      <c r="B926" s="20" t="inlineStr"/>
      <c r="C926" s="21" t="inlineStr">
        <is>
          <r>
            <t xml:space="preserve">FONTE</t>
          </r>
        </is>
      </c>
      <c r="D926" s="21" t="inlineStr">
        <is>
          <r>
            <t xml:space="preserve">UNID</t>
          </r>
        </is>
      </c>
      <c r="E926" s="21" t="inlineStr">
        <is>
          <r>
            <t xml:space="preserve">COEFICIENTE</t>
          </r>
        </is>
      </c>
      <c r="F926" s="21" t="inlineStr">
        <is>
          <r>
            <t xml:space="preserve">PREÇO UNITÁRIO</t>
          </r>
        </is>
      </c>
      <c r="G926" s="21" t="inlineStr">
        <is>
          <r>
            <t xml:space="preserve">TOTAL</t>
          </r>
        </is>
      </c>
    </row>
    <row r="927" customHeight="1" ht="15">
      <c r="A927" s="22" t="inlineStr">
        <is>
          <r>
            <t xml:space="preserve">I2543</t>
          </r>
        </is>
      </c>
      <c r="B927" s="23" t="inlineStr">
        <is>
          <r>
            <t xml:space="preserve">SERVENTE</t>
          </r>
        </is>
      </c>
      <c r="C927" s="22" t="inlineStr">
        <is>
          <r>
            <t xml:space="preserve">SEINFRA</t>
          </r>
        </is>
      </c>
      <c r="D927" s="22" t="inlineStr">
        <is>
          <r>
            <t xml:space="preserve">H</t>
          </r>
        </is>
      </c>
      <c r="E927" s="24" t="n">
        <v>0.02941176</v>
      </c>
      <c r="F927" s="30" t="n">
        <v>18.46</v>
      </c>
      <c r="G927" s="30" t="n">
        <f>ROUND(ROUND(E927,8)*F927,4)</f>
        <v>0.5429</v>
      </c>
    </row>
    <row r="928" customHeight="1" ht="15">
      <c r="A928" s="2" t="inlineStr"/>
      <c r="B928" s="2" t="inlineStr"/>
      <c r="C928" s="2" t="inlineStr"/>
      <c r="D928" s="2" t="inlineStr"/>
      <c r="E928" s="26" t="inlineStr">
        <is>
          <r>
            <t xml:space="preserve">TOTAL Mão de Obra:</t>
          </r>
        </is>
      </c>
      <c r="F928" s="26" t="inlineStr"/>
      <c r="G928" s="31" t="n">
        <f>SUM(G927:G927)</f>
        <v>0.5429</v>
      </c>
    </row>
    <row r="929" customHeight="1" ht="15">
      <c r="A929" s="2" t="inlineStr"/>
      <c r="B929" s="2" t="inlineStr"/>
      <c r="C929" s="2" t="inlineStr"/>
      <c r="D929" s="2" t="inlineStr"/>
      <c r="E929" s="28" t="inlineStr">
        <is>
          <r>
            <t xml:space="preserve">VALOR:</t>
          </r>
        </is>
      </c>
      <c r="F929" s="28" t="inlineStr"/>
      <c r="G929" s="29" t="n">
        <f>ROUND(SUM(G925,G928),2)</f>
        <v>24.13</v>
      </c>
    </row>
    <row r="930" customHeight="1" ht="15">
      <c r="A930" s="2" t="inlineStr"/>
      <c r="B930" s="2" t="inlineStr"/>
      <c r="C930" s="2" t="inlineStr"/>
      <c r="D930" s="2" t="inlineStr"/>
      <c r="E930" s="28" t="inlineStr">
        <is>
          <r>
            <t xml:space="preserve">VALOR BDI:</t>
          </r>
        </is>
      </c>
      <c r="F930" s="28" t="inlineStr"/>
      <c r="G930" s="29" t="n">
        <f>ROUND(G929*(0/100),2)</f>
        <v>0.0</v>
      </c>
    </row>
    <row r="931" customHeight="1" ht="15">
      <c r="A931" s="2" t="inlineStr"/>
      <c r="B931" s="2" t="inlineStr"/>
      <c r="C931" s="2" t="inlineStr"/>
      <c r="D931" s="2" t="inlineStr"/>
      <c r="E931" s="28" t="inlineStr">
        <is>
          <r>
            <t xml:space="preserve">VALOR COM BDI:</t>
          </r>
        </is>
      </c>
      <c r="F931" s="28" t="inlineStr"/>
      <c r="G931" s="29" t="n">
        <f>G930+G929</f>
        <v>24.13</v>
      </c>
    </row>
    <row r="932" customHeight="1" ht="10">
      <c r="A932" s="2" t="inlineStr"/>
      <c r="B932" s="2" t="inlineStr"/>
      <c r="C932" s="2" t="inlineStr"/>
      <c r="D932" s="2" t="inlineStr"/>
      <c r="E932" s="18" t="inlineStr"/>
      <c r="F932" s="18" t="inlineStr"/>
      <c r="G932" s="18" t="inlineStr"/>
    </row>
    <row r="933" customHeight="1" ht="20">
      <c r="A933" s="19" t="inlineStr">
        <is>
          <r>
            <t xml:space="preserve">1.4.2.2. ​C3211​ ESCAVAÇÃO E CARGA DE MATERIAL DE JAZIDA​ (M3)</t>
          </r>
        </is>
      </c>
      <c r="B933" s="19" t="inlineStr"/>
      <c r="C933" s="19" t="inlineStr"/>
      <c r="D933" s="19" t="inlineStr"/>
      <c r="E933" s="19" t="inlineStr"/>
      <c r="F933" s="19" t="inlineStr"/>
      <c r="G933" s="19" t="inlineStr"/>
    </row>
    <row r="934" customHeight="1" ht="15">
      <c r="A934" s="20" t="inlineStr">
        <is>
          <r>
            <t xml:space="preserve">Equipamento Custo Horário</t>
          </r>
        </is>
      </c>
      <c r="B934" s="20" t="inlineStr"/>
      <c r="C934" s="21" t="inlineStr">
        <is>
          <r>
            <t xml:space="preserve">FONTE</t>
          </r>
        </is>
      </c>
      <c r="D934" s="21" t="inlineStr">
        <is>
          <r>
            <t xml:space="preserve">UNID</t>
          </r>
        </is>
      </c>
      <c r="E934" s="21" t="inlineStr">
        <is>
          <r>
            <t xml:space="preserve">COEFICIENTE</t>
          </r>
        </is>
      </c>
      <c r="F934" s="21" t="inlineStr">
        <is>
          <r>
            <t xml:space="preserve">PREÇO UNITÁRIO</t>
          </r>
        </is>
      </c>
      <c r="G934" s="21" t="inlineStr">
        <is>
          <r>
            <t xml:space="preserve">TOTAL</t>
          </r>
        </is>
      </c>
    </row>
    <row r="935" customHeight="1" ht="15">
      <c r="A935" s="22" t="inlineStr">
        <is>
          <r>
            <t xml:space="preserve">I0596</t>
          </r>
        </is>
      </c>
      <c r="B935" s="23" t="inlineStr">
        <is>
          <r>
            <t xml:space="preserve">CARREGADEIRA DE PNEUS HP 180 (CHI)</t>
          </r>
        </is>
      </c>
      <c r="C935" s="22" t="inlineStr">
        <is>
          <r>
            <t xml:space="preserve">SEINFRA</t>
          </r>
        </is>
      </c>
      <c r="D935" s="22" t="inlineStr">
        <is>
          <r>
            <t xml:space="preserve">H</t>
          </r>
        </is>
      </c>
      <c r="E935" s="24" t="n">
        <v>7.519E-5</v>
      </c>
      <c r="F935" s="30" t="n">
        <v>106.3468</v>
      </c>
      <c r="G935" s="30" t="n">
        <f>ROUND(ROUND(E935,8)*F935,4)</f>
        <v>0.008</v>
      </c>
    </row>
    <row r="936" customHeight="1" ht="15">
      <c r="A936" s="22" t="inlineStr">
        <is>
          <r>
            <t xml:space="preserve">I0710</t>
          </r>
        </is>
      </c>
      <c r="B936" s="23" t="inlineStr">
        <is>
          <r>
            <t xml:space="preserve">CARREGADEIRA DE PNEUS HP 180 (CHP)</t>
          </r>
        </is>
      </c>
      <c r="C936" s="22" t="inlineStr">
        <is>
          <r>
            <t xml:space="preserve">SEINFRA</t>
          </r>
        </is>
      </c>
      <c r="D936" s="22" t="inlineStr">
        <is>
          <r>
            <t xml:space="preserve">H</t>
          </r>
        </is>
      </c>
      <c r="E936" s="24" t="n">
        <v>0.00744361</v>
      </c>
      <c r="F936" s="30" t="n">
        <v>328.0339</v>
      </c>
      <c r="G936" s="30" t="n">
        <f>ROUND(ROUND(E936,8)*F936,4)</f>
        <v>2.4418</v>
      </c>
    </row>
    <row r="937" customHeight="1" ht="15">
      <c r="A937" s="22" t="inlineStr">
        <is>
          <r>
            <t xml:space="preserve">I0666</t>
          </r>
        </is>
      </c>
      <c r="B937" s="23" t="inlineStr">
        <is>
          <r>
            <t xml:space="preserve">TRATOR DE ESTEIRAS C/LÂMINA E ESC. HP 155 (CHI)</t>
          </r>
        </is>
      </c>
      <c r="C937" s="22" t="inlineStr">
        <is>
          <r>
            <t xml:space="preserve">SEINFRA</t>
          </r>
        </is>
      </c>
      <c r="D937" s="22" t="inlineStr">
        <is>
          <r>
            <t xml:space="preserve">H</t>
          </r>
        </is>
      </c>
      <c r="E937" s="24" t="n">
        <v>0.0</v>
      </c>
      <c r="F937" s="30" t="n">
        <v>93.1931</v>
      </c>
      <c r="G937" s="30" t="n">
        <f>ROUND(ROUND(E937,8)*F937,4)</f>
        <v>0.0</v>
      </c>
    </row>
    <row r="938" customHeight="1" ht="15">
      <c r="A938" s="22" t="inlineStr">
        <is>
          <r>
            <t xml:space="preserve">I0779</t>
          </r>
        </is>
      </c>
      <c r="B938" s="23" t="inlineStr">
        <is>
          <r>
            <t xml:space="preserve">TRATOR DE ESTEIRAS C/LÂMINA E ESC. HP 155 (CHP)</t>
          </r>
        </is>
      </c>
      <c r="C938" s="22" t="inlineStr">
        <is>
          <r>
            <t xml:space="preserve">SEINFRA</t>
          </r>
        </is>
      </c>
      <c r="D938" s="22" t="inlineStr">
        <is>
          <r>
            <t xml:space="preserve">H</t>
          </r>
        </is>
      </c>
      <c r="E938" s="24" t="n">
        <v>0.0075188</v>
      </c>
      <c r="F938" s="30" t="n">
        <v>277.582</v>
      </c>
      <c r="G938" s="30" t="n">
        <f>ROUND(ROUND(E938,8)*F938,4)</f>
        <v>2.0871</v>
      </c>
    </row>
    <row r="939" customHeight="1" ht="18">
      <c r="A939" s="2" t="inlineStr"/>
      <c r="B939" s="2" t="inlineStr"/>
      <c r="C939" s="2" t="inlineStr"/>
      <c r="D939" s="2" t="inlineStr"/>
      <c r="E939" s="26" t="inlineStr">
        <is>
          <r>
            <t xml:space="preserve">TOTAL Equipamento Custo Horário:</t>
          </r>
        </is>
      </c>
      <c r="F939" s="26" t="inlineStr"/>
      <c r="G939" s="31" t="n">
        <f>SUM(G935:G938)</f>
        <v>4.5369</v>
      </c>
    </row>
    <row r="940" customHeight="1" ht="15">
      <c r="A940" s="20" t="inlineStr">
        <is>
          <r>
            <t xml:space="preserve">Mão de Obra</t>
          </r>
        </is>
      </c>
      <c r="B940" s="20" t="inlineStr"/>
      <c r="C940" s="21" t="inlineStr">
        <is>
          <r>
            <t xml:space="preserve">FONTE</t>
          </r>
        </is>
      </c>
      <c r="D940" s="21" t="inlineStr">
        <is>
          <r>
            <t xml:space="preserve">UNID</t>
          </r>
        </is>
      </c>
      <c r="E940" s="21" t="inlineStr">
        <is>
          <r>
            <t xml:space="preserve">COEFICIENTE</t>
          </r>
        </is>
      </c>
      <c r="F940" s="21" t="inlineStr">
        <is>
          <r>
            <t xml:space="preserve">PREÇO UNITÁRIO</t>
          </r>
        </is>
      </c>
      <c r="G940" s="21" t="inlineStr">
        <is>
          <r>
            <t xml:space="preserve">TOTAL</t>
          </r>
        </is>
      </c>
    </row>
    <row r="941" customHeight="1" ht="15">
      <c r="A941" s="22" t="inlineStr">
        <is>
          <r>
            <t xml:space="preserve">I2543</t>
          </r>
        </is>
      </c>
      <c r="B941" s="23" t="inlineStr">
        <is>
          <r>
            <t xml:space="preserve">SERVENTE</t>
          </r>
        </is>
      </c>
      <c r="C941" s="22" t="inlineStr">
        <is>
          <r>
            <t xml:space="preserve">SEINFRA</t>
          </r>
        </is>
      </c>
      <c r="D941" s="22" t="inlineStr">
        <is>
          <r>
            <t xml:space="preserve">H</t>
          </r>
        </is>
      </c>
      <c r="E941" s="24" t="n">
        <v>0.01503759</v>
      </c>
      <c r="F941" s="30" t="n">
        <v>18.46</v>
      </c>
      <c r="G941" s="30" t="n">
        <f>ROUND(ROUND(E941,8)*F941,4)</f>
        <v>0.2776</v>
      </c>
    </row>
    <row r="942" customHeight="1" ht="15">
      <c r="A942" s="2" t="inlineStr"/>
      <c r="B942" s="2" t="inlineStr"/>
      <c r="C942" s="2" t="inlineStr"/>
      <c r="D942" s="2" t="inlineStr"/>
      <c r="E942" s="26" t="inlineStr">
        <is>
          <r>
            <t xml:space="preserve">TOTAL Mão de Obra:</t>
          </r>
        </is>
      </c>
      <c r="F942" s="26" t="inlineStr"/>
      <c r="G942" s="31" t="n">
        <f>SUM(G941:G941)</f>
        <v>0.2776</v>
      </c>
    </row>
    <row r="943" customHeight="1" ht="15">
      <c r="A943" s="2" t="inlineStr"/>
      <c r="B943" s="2" t="inlineStr"/>
      <c r="C943" s="2" t="inlineStr"/>
      <c r="D943" s="2" t="inlineStr"/>
      <c r="E943" s="28" t="inlineStr">
        <is>
          <r>
            <t xml:space="preserve">VALOR:</t>
          </r>
        </is>
      </c>
      <c r="F943" s="28" t="inlineStr"/>
      <c r="G943" s="29" t="n">
        <f>ROUND(SUM(G939,G942),2)</f>
        <v>4.81</v>
      </c>
    </row>
    <row r="944" customHeight="1" ht="15">
      <c r="A944" s="2" t="inlineStr"/>
      <c r="B944" s="2" t="inlineStr"/>
      <c r="C944" s="2" t="inlineStr"/>
      <c r="D944" s="2" t="inlineStr"/>
      <c r="E944" s="28" t="inlineStr">
        <is>
          <r>
            <t xml:space="preserve">VALOR BDI:</t>
          </r>
        </is>
      </c>
      <c r="F944" s="28" t="inlineStr"/>
      <c r="G944" s="29" t="n">
        <f>ROUND(G943*(0/100),2)</f>
        <v>0.0</v>
      </c>
    </row>
    <row r="945" customHeight="1" ht="15">
      <c r="A945" s="2" t="inlineStr"/>
      <c r="B945" s="2" t="inlineStr"/>
      <c r="C945" s="2" t="inlineStr"/>
      <c r="D945" s="2" t="inlineStr"/>
      <c r="E945" s="28" t="inlineStr">
        <is>
          <r>
            <t xml:space="preserve">VALOR COM BDI:</t>
          </r>
        </is>
      </c>
      <c r="F945" s="28" t="inlineStr"/>
      <c r="G945" s="29" t="n">
        <f>G944+G943</f>
        <v>4.81</v>
      </c>
    </row>
    <row r="946" customHeight="1" ht="10">
      <c r="A946" s="2" t="inlineStr"/>
      <c r="B946" s="2" t="inlineStr"/>
      <c r="C946" s="2" t="inlineStr"/>
      <c r="D946" s="2" t="inlineStr"/>
      <c r="E946" s="18" t="inlineStr"/>
      <c r="F946" s="18" t="inlineStr"/>
      <c r="G946" s="18" t="inlineStr"/>
    </row>
    <row r="947" customHeight="1" ht="20">
      <c r="A947" s="19" t="inlineStr">
        <is>
          <r>
            <t xml:space="preserve">1.4.2.3. ​C2533​ TRANSPORTE DE MATERIAL, EXCETO ROCHA EM CAMINHÃO ATÉ 5 KM​ (M3)</t>
          </r>
        </is>
      </c>
      <c r="B947" s="19" t="inlineStr"/>
      <c r="C947" s="19" t="inlineStr"/>
      <c r="D947" s="19" t="inlineStr"/>
      <c r="E947" s="19" t="inlineStr"/>
      <c r="F947" s="19" t="inlineStr"/>
      <c r="G947" s="19" t="inlineStr"/>
    </row>
    <row r="948" customHeight="1" ht="15">
      <c r="A948" s="20" t="inlineStr">
        <is>
          <r>
            <t xml:space="preserve">Equipamento Custo Horário</t>
          </r>
        </is>
      </c>
      <c r="B948" s="20" t="inlineStr"/>
      <c r="C948" s="21" t="inlineStr">
        <is>
          <r>
            <t xml:space="preserve">FONTE</t>
          </r>
        </is>
      </c>
      <c r="D948" s="21" t="inlineStr">
        <is>
          <r>
            <t xml:space="preserve">UNID</t>
          </r>
        </is>
      </c>
      <c r="E948" s="21" t="inlineStr">
        <is>
          <r>
            <t xml:space="preserve">COEFICIENTE</t>
          </r>
        </is>
      </c>
      <c r="F948" s="21" t="inlineStr">
        <is>
          <r>
            <t xml:space="preserve">PREÇO UNITÁRIO</t>
          </r>
        </is>
      </c>
      <c r="G948" s="21" t="inlineStr">
        <is>
          <r>
            <t xml:space="preserve">TOTAL</t>
          </r>
        </is>
      </c>
    </row>
    <row r="949" customHeight="1" ht="15">
      <c r="A949" s="22" t="inlineStr">
        <is>
          <r>
            <t xml:space="preserve">I0690</t>
          </r>
        </is>
      </c>
      <c r="B949" s="23" t="inlineStr">
        <is>
          <r>
            <t xml:space="preserve">CAMINHÃO BASCULANTE 6 M3 (CHP)</t>
          </r>
        </is>
      </c>
      <c r="C949" s="22" t="inlineStr">
        <is>
          <r>
            <t xml:space="preserve">SEINFRA</t>
          </r>
        </is>
      </c>
      <c r="D949" s="22" t="inlineStr">
        <is>
          <r>
            <t xml:space="preserve">H</t>
          </r>
        </is>
      </c>
      <c r="E949" s="24" t="n">
        <v>0.1852</v>
      </c>
      <c r="F949" s="30" t="n">
        <v>173.7102</v>
      </c>
      <c r="G949" s="30" t="n">
        <f>ROUND(ROUND(E949,8)*F949,4)</f>
        <v>32.1711</v>
      </c>
    </row>
    <row r="950" customHeight="1" ht="18">
      <c r="A950" s="2" t="inlineStr"/>
      <c r="B950" s="2" t="inlineStr"/>
      <c r="C950" s="2" t="inlineStr"/>
      <c r="D950" s="2" t="inlineStr"/>
      <c r="E950" s="26" t="inlineStr">
        <is>
          <r>
            <t xml:space="preserve">TOTAL Equipamento Custo Horário:</t>
          </r>
        </is>
      </c>
      <c r="F950" s="26" t="inlineStr"/>
      <c r="G950" s="31" t="n">
        <f>SUM(G949:G949)</f>
        <v>32.1711</v>
      </c>
    </row>
    <row r="951" customHeight="1" ht="15">
      <c r="A951" s="2" t="inlineStr"/>
      <c r="B951" s="2" t="inlineStr"/>
      <c r="C951" s="2" t="inlineStr"/>
      <c r="D951" s="2" t="inlineStr"/>
      <c r="E951" s="28" t="inlineStr">
        <is>
          <r>
            <t xml:space="preserve">VALOR:</t>
          </r>
        </is>
      </c>
      <c r="F951" s="28" t="inlineStr"/>
      <c r="G951" s="29" t="n">
        <f>ROUND(SUM(G950),2)</f>
        <v>32.17</v>
      </c>
    </row>
    <row r="952" customHeight="1" ht="15">
      <c r="A952" s="2" t="inlineStr"/>
      <c r="B952" s="2" t="inlineStr"/>
      <c r="C952" s="2" t="inlineStr"/>
      <c r="D952" s="2" t="inlineStr"/>
      <c r="E952" s="28" t="inlineStr">
        <is>
          <r>
            <t xml:space="preserve">VALOR BDI:</t>
          </r>
        </is>
      </c>
      <c r="F952" s="28" t="inlineStr"/>
      <c r="G952" s="29" t="n">
        <f>ROUND(G951*(0/100),2)</f>
        <v>0.0</v>
      </c>
    </row>
    <row r="953" customHeight="1" ht="15">
      <c r="A953" s="2" t="inlineStr"/>
      <c r="B953" s="2" t="inlineStr"/>
      <c r="C953" s="2" t="inlineStr"/>
      <c r="D953" s="2" t="inlineStr"/>
      <c r="E953" s="28" t="inlineStr">
        <is>
          <r>
            <t xml:space="preserve">VALOR COM BDI:</t>
          </r>
        </is>
      </c>
      <c r="F953" s="28" t="inlineStr"/>
      <c r="G953" s="29" t="n">
        <f>G952+G951</f>
        <v>32.17</v>
      </c>
    </row>
    <row r="954" customHeight="1" ht="10">
      <c r="A954" s="2" t="inlineStr"/>
      <c r="B954" s="2" t="inlineStr"/>
      <c r="C954" s="2" t="inlineStr"/>
      <c r="D954" s="2" t="inlineStr"/>
      <c r="E954" s="18" t="inlineStr"/>
      <c r="F954" s="18" t="inlineStr"/>
      <c r="G954" s="18" t="inlineStr"/>
    </row>
    <row r="955" customHeight="1" ht="20">
      <c r="A955" s="19" t="inlineStr">
        <is>
          <r>
            <t xml:space="preserve">1.4.2.4. ​C3146​ COMPACTAÇÃO DE ATERROS 100% P.N​ (M3)</t>
          </r>
        </is>
      </c>
      <c r="B955" s="19" t="inlineStr"/>
      <c r="C955" s="19" t="inlineStr"/>
      <c r="D955" s="19" t="inlineStr"/>
      <c r="E955" s="19" t="inlineStr"/>
      <c r="F955" s="19" t="inlineStr"/>
      <c r="G955" s="19" t="inlineStr"/>
    </row>
    <row r="956" customHeight="1" ht="15">
      <c r="A956" s="20" t="inlineStr">
        <is>
          <r>
            <t xml:space="preserve">Equipamento Custo Horário</t>
          </r>
        </is>
      </c>
      <c r="B956" s="20" t="inlineStr"/>
      <c r="C956" s="21" t="inlineStr">
        <is>
          <r>
            <t xml:space="preserve">FONTE</t>
          </r>
        </is>
      </c>
      <c r="D956" s="21" t="inlineStr">
        <is>
          <r>
            <t xml:space="preserve">UNID</t>
          </r>
        </is>
      </c>
      <c r="E956" s="21" t="inlineStr">
        <is>
          <r>
            <t xml:space="preserve">COEFICIENTE</t>
          </r>
        </is>
      </c>
      <c r="F956" s="21" t="inlineStr">
        <is>
          <r>
            <t xml:space="preserve">PREÇO UNITÁRIO</t>
          </r>
        </is>
      </c>
      <c r="G956" s="21" t="inlineStr">
        <is>
          <r>
            <t xml:space="preserve">TOTAL</t>
          </r>
        </is>
      </c>
    </row>
    <row r="957" customHeight="1" ht="15">
      <c r="A957" s="22" t="inlineStr">
        <is>
          <r>
            <t xml:space="preserve">I0590</t>
          </r>
        </is>
      </c>
      <c r="B957" s="23" t="inlineStr">
        <is>
          <r>
            <t xml:space="preserve">CAMINHÃO TANQUE 8.000 l (CHI)</t>
          </r>
        </is>
      </c>
      <c r="C957" s="22" t="inlineStr">
        <is>
          <r>
            <t xml:space="preserve">SEINFRA</t>
          </r>
        </is>
      </c>
      <c r="D957" s="22" t="inlineStr">
        <is>
          <r>
            <t xml:space="preserve">H</t>
          </r>
        </is>
      </c>
      <c r="E957" s="24" t="n">
        <v>0.0</v>
      </c>
      <c r="F957" s="30" t="n">
        <v>70.4941</v>
      </c>
      <c r="G957" s="30" t="n">
        <f>ROUND(ROUND(E957,8)*F957,4)</f>
        <v>0.0</v>
      </c>
    </row>
    <row r="958" customHeight="1" ht="15">
      <c r="A958" s="22" t="inlineStr">
        <is>
          <r>
            <t xml:space="preserve">I0698</t>
          </r>
        </is>
      </c>
      <c r="B958" s="23" t="inlineStr">
        <is>
          <r>
            <t xml:space="preserve">CAMINHÃO TANQUE 8.000 l (CHP)</t>
          </r>
        </is>
      </c>
      <c r="C958" s="22" t="inlineStr">
        <is>
          <r>
            <t xml:space="preserve">SEINFRA</t>
          </r>
        </is>
      </c>
      <c r="D958" s="22" t="inlineStr">
        <is>
          <r>
            <t xml:space="preserve">H</t>
          </r>
        </is>
      </c>
      <c r="E958" s="24" t="n">
        <v>0.00888889</v>
      </c>
      <c r="F958" s="30" t="n">
        <v>213.8811</v>
      </c>
      <c r="G958" s="30" t="n">
        <f>ROUND(ROUND(E958,8)*F958,4)</f>
        <v>1.9012</v>
      </c>
    </row>
    <row r="959" customHeight="1" ht="15">
      <c r="A959" s="22" t="inlineStr">
        <is>
          <r>
            <t xml:space="preserve">I0610</t>
          </r>
        </is>
      </c>
      <c r="B959" s="23" t="inlineStr">
        <is>
          <r>
            <t xml:space="preserve">COMPAC. PÉ DE CARNEIRO VIBRAT. AUTOPROP. (CHI)</t>
          </r>
        </is>
      </c>
      <c r="C959" s="22" t="inlineStr">
        <is>
          <r>
            <t xml:space="preserve">SEINFRA</t>
          </r>
        </is>
      </c>
      <c r="D959" s="22" t="inlineStr">
        <is>
          <r>
            <t xml:space="preserve">H</t>
          </r>
        </is>
      </c>
      <c r="E959" s="24" t="n">
        <v>0.00182222</v>
      </c>
      <c r="F959" s="30" t="n">
        <v>81.7441</v>
      </c>
      <c r="G959" s="30" t="n">
        <f>ROUND(ROUND(E959,8)*F959,4)</f>
        <v>0.149</v>
      </c>
    </row>
    <row r="960" customHeight="1" ht="15">
      <c r="A960" s="22" t="inlineStr">
        <is>
          <r>
            <t xml:space="preserve">I0723</t>
          </r>
        </is>
      </c>
      <c r="B960" s="23" t="inlineStr">
        <is>
          <r>
            <t xml:space="preserve">COMPAC. PÉ DE CARNEIRO VIBRAT. AUTOPROP. (CHP)</t>
          </r>
        </is>
      </c>
      <c r="C960" s="22" t="inlineStr">
        <is>
          <r>
            <t xml:space="preserve">SEINFRA</t>
          </r>
        </is>
      </c>
      <c r="D960" s="22" t="inlineStr">
        <is>
          <r>
            <t xml:space="preserve">H</t>
          </r>
        </is>
      </c>
      <c r="E960" s="24" t="n">
        <v>0.00262222</v>
      </c>
      <c r="F960" s="30" t="n">
        <v>228.4466</v>
      </c>
      <c r="G960" s="30" t="n">
        <f>ROUND(ROUND(E960,8)*F960,4)</f>
        <v>0.599</v>
      </c>
    </row>
    <row r="961" customHeight="1" ht="15">
      <c r="A961" s="22" t="inlineStr">
        <is>
          <r>
            <t xml:space="preserve">I0625</t>
          </r>
        </is>
      </c>
      <c r="B961" s="23" t="inlineStr">
        <is>
          <r>
            <t xml:space="preserve">GRADE DE DISCOS (CHI)</t>
          </r>
        </is>
      </c>
      <c r="C961" s="22" t="inlineStr">
        <is>
          <r>
            <t xml:space="preserve">SEINFRA</t>
          </r>
        </is>
      </c>
      <c r="D961" s="22" t="inlineStr">
        <is>
          <r>
            <t xml:space="preserve">H</t>
          </r>
        </is>
      </c>
      <c r="E961" s="24" t="n">
        <v>7.5556E-4</v>
      </c>
      <c r="F961" s="30" t="n">
        <v>4.8946</v>
      </c>
      <c r="G961" s="30" t="n">
        <f>ROUND(ROUND(E961,8)*F961,4)</f>
        <v>0.0037</v>
      </c>
    </row>
    <row r="962" customHeight="1" ht="15">
      <c r="A962" s="22" t="inlineStr">
        <is>
          <r>
            <t xml:space="preserve">I0739</t>
          </r>
        </is>
      </c>
      <c r="B962" s="23" t="inlineStr">
        <is>
          <r>
            <t xml:space="preserve">GRADE DE DISCOS (CHP)</t>
          </r>
        </is>
      </c>
      <c r="C962" s="22" t="inlineStr">
        <is>
          <r>
            <t xml:space="preserve">SEINFRA</t>
          </r>
        </is>
      </c>
      <c r="D962" s="22" t="inlineStr">
        <is>
          <r>
            <t xml:space="preserve">H</t>
          </r>
        </is>
      </c>
      <c r="E962" s="24" t="n">
        <v>0.00368889</v>
      </c>
      <c r="F962" s="30" t="n">
        <v>6.8842</v>
      </c>
      <c r="G962" s="30" t="n">
        <f>ROUND(ROUND(E962,8)*F962,4)</f>
        <v>0.0254</v>
      </c>
    </row>
    <row r="963" customHeight="1" ht="15">
      <c r="A963" s="22" t="inlineStr">
        <is>
          <r>
            <t xml:space="preserve">I0642</t>
          </r>
        </is>
      </c>
      <c r="B963" s="23" t="inlineStr">
        <is>
          <r>
            <t xml:space="preserve">MOTO NIVELADORA (CHI)</t>
          </r>
        </is>
      </c>
      <c r="C963" s="22" t="inlineStr">
        <is>
          <r>
            <t xml:space="preserve">SEINFRA</t>
          </r>
        </is>
      </c>
      <c r="D963" s="22" t="inlineStr">
        <is>
          <r>
            <t xml:space="preserve">H</t>
          </r>
        </is>
      </c>
      <c r="E963" s="24" t="n">
        <v>0.0</v>
      </c>
      <c r="F963" s="30" t="n">
        <v>121.9582</v>
      </c>
      <c r="G963" s="30" t="n">
        <f>ROUND(ROUND(E963,8)*F963,4)</f>
        <v>0.0</v>
      </c>
    </row>
    <row r="964" customHeight="1" ht="15">
      <c r="A964" s="22" t="inlineStr">
        <is>
          <r>
            <t xml:space="preserve">I0756</t>
          </r>
        </is>
      </c>
      <c r="B964" s="23" t="inlineStr">
        <is>
          <r>
            <t xml:space="preserve">MOTO NIVELADORA (CHP)</t>
          </r>
        </is>
      </c>
      <c r="C964" s="22" t="inlineStr">
        <is>
          <r>
            <t xml:space="preserve">SEINFRA</t>
          </r>
        </is>
      </c>
      <c r="D964" s="22" t="inlineStr">
        <is>
          <r>
            <t xml:space="preserve">H</t>
          </r>
        </is>
      </c>
      <c r="E964" s="24" t="n">
        <v>0.00444444</v>
      </c>
      <c r="F964" s="30" t="n">
        <v>307.8011</v>
      </c>
      <c r="G964" s="30" t="n">
        <f>ROUND(ROUND(E964,8)*F964,4)</f>
        <v>1.368</v>
      </c>
    </row>
    <row r="965" customHeight="1" ht="15">
      <c r="A965" s="22" t="inlineStr">
        <is>
          <r>
            <t xml:space="preserve">I0667</t>
          </r>
        </is>
      </c>
      <c r="B965" s="23" t="inlineStr">
        <is>
          <r>
            <t xml:space="preserve">TRATOR DE PNEUS (CHI)</t>
          </r>
        </is>
      </c>
      <c r="C965" s="22" t="inlineStr">
        <is>
          <r>
            <t xml:space="preserve">SEINFRA</t>
          </r>
        </is>
      </c>
      <c r="D965" s="22" t="inlineStr">
        <is>
          <r>
            <t xml:space="preserve">H</t>
          </r>
        </is>
      </c>
      <c r="E965" s="24" t="n">
        <v>7.5556E-4</v>
      </c>
      <c r="F965" s="30" t="n">
        <v>37.2018</v>
      </c>
      <c r="G965" s="30" t="n">
        <f>ROUND(ROUND(E965,8)*F965,4)</f>
        <v>0.0281</v>
      </c>
    </row>
    <row r="966" customHeight="1" ht="15">
      <c r="A966" s="22" t="inlineStr">
        <is>
          <r>
            <t xml:space="preserve">I0780</t>
          </r>
        </is>
      </c>
      <c r="B966" s="23" t="inlineStr">
        <is>
          <r>
            <t xml:space="preserve">TRATOR DE PNEUS (CHP)</t>
          </r>
        </is>
      </c>
      <c r="C966" s="22" t="inlineStr">
        <is>
          <r>
            <t xml:space="preserve">SEINFRA</t>
          </r>
        </is>
      </c>
      <c r="D966" s="22" t="inlineStr">
        <is>
          <r>
            <t xml:space="preserve">H</t>
          </r>
        </is>
      </c>
      <c r="E966" s="24" t="n">
        <v>0.00368889</v>
      </c>
      <c r="F966" s="30" t="n">
        <v>124.7249</v>
      </c>
      <c r="G966" s="30" t="n">
        <f>ROUND(ROUND(E966,8)*F966,4)</f>
        <v>0.4601</v>
      </c>
    </row>
    <row r="967" customHeight="1" ht="18">
      <c r="A967" s="2" t="inlineStr"/>
      <c r="B967" s="2" t="inlineStr"/>
      <c r="C967" s="2" t="inlineStr"/>
      <c r="D967" s="2" t="inlineStr"/>
      <c r="E967" s="26" t="inlineStr">
        <is>
          <r>
            <t xml:space="preserve">TOTAL Equipamento Custo Horário:</t>
          </r>
        </is>
      </c>
      <c r="F967" s="26" t="inlineStr"/>
      <c r="G967" s="31" t="n">
        <f>SUM(G957:G966)</f>
        <v>4.5345</v>
      </c>
    </row>
    <row r="968" customHeight="1" ht="15">
      <c r="A968" s="20" t="inlineStr">
        <is>
          <r>
            <t xml:space="preserve">Mão de Obra</t>
          </r>
        </is>
      </c>
      <c r="B968" s="20" t="inlineStr"/>
      <c r="C968" s="21" t="inlineStr">
        <is>
          <r>
            <t xml:space="preserve">FONTE</t>
          </r>
        </is>
      </c>
      <c r="D968" s="21" t="inlineStr">
        <is>
          <r>
            <t xml:space="preserve">UNID</t>
          </r>
        </is>
      </c>
      <c r="E968" s="21" t="inlineStr">
        <is>
          <r>
            <t xml:space="preserve">COEFICIENTE</t>
          </r>
        </is>
      </c>
      <c r="F968" s="21" t="inlineStr">
        <is>
          <r>
            <t xml:space="preserve">PREÇO UNITÁRIO</t>
          </r>
        </is>
      </c>
      <c r="G968" s="21" t="inlineStr">
        <is>
          <r>
            <t xml:space="preserve">TOTAL</t>
          </r>
        </is>
      </c>
    </row>
    <row r="969" customHeight="1" ht="15">
      <c r="A969" s="22" t="inlineStr">
        <is>
          <r>
            <t xml:space="preserve">I2543</t>
          </r>
        </is>
      </c>
      <c r="B969" s="23" t="inlineStr">
        <is>
          <r>
            <t xml:space="preserve">SERVENTE</t>
          </r>
        </is>
      </c>
      <c r="C969" s="22" t="inlineStr">
        <is>
          <r>
            <t xml:space="preserve">SEINFRA</t>
          </r>
        </is>
      </c>
      <c r="D969" s="22" t="inlineStr">
        <is>
          <r>
            <t xml:space="preserve">H</t>
          </r>
        </is>
      </c>
      <c r="E969" s="24" t="n">
        <v>0.02222222</v>
      </c>
      <c r="F969" s="30" t="n">
        <v>18.46</v>
      </c>
      <c r="G969" s="30" t="n">
        <f>ROUND(ROUND(E969,8)*F969,4)</f>
        <v>0.4102</v>
      </c>
    </row>
    <row r="970" customHeight="1" ht="15">
      <c r="A970" s="2" t="inlineStr"/>
      <c r="B970" s="2" t="inlineStr"/>
      <c r="C970" s="2" t="inlineStr"/>
      <c r="D970" s="2" t="inlineStr"/>
      <c r="E970" s="26" t="inlineStr">
        <is>
          <r>
            <t xml:space="preserve">TOTAL Mão de Obra:</t>
          </r>
        </is>
      </c>
      <c r="F970" s="26" t="inlineStr"/>
      <c r="G970" s="31" t="n">
        <f>SUM(G969:G969)</f>
        <v>0.4102</v>
      </c>
    </row>
    <row r="971" customHeight="1" ht="15">
      <c r="A971" s="2" t="inlineStr"/>
      <c r="B971" s="2" t="inlineStr"/>
      <c r="C971" s="2" t="inlineStr"/>
      <c r="D971" s="2" t="inlineStr"/>
      <c r="E971" s="28" t="inlineStr">
        <is>
          <r>
            <t xml:space="preserve">VALOR:</t>
          </r>
        </is>
      </c>
      <c r="F971" s="28" t="inlineStr"/>
      <c r="G971" s="29" t="n">
        <f>ROUND(SUM(G967,G970),2)</f>
        <v>4.94</v>
      </c>
    </row>
    <row r="972" customHeight="1" ht="15">
      <c r="A972" s="2" t="inlineStr"/>
      <c r="B972" s="2" t="inlineStr"/>
      <c r="C972" s="2" t="inlineStr"/>
      <c r="D972" s="2" t="inlineStr"/>
      <c r="E972" s="28" t="inlineStr">
        <is>
          <r>
            <t xml:space="preserve">VALOR BDI:</t>
          </r>
        </is>
      </c>
      <c r="F972" s="28" t="inlineStr"/>
      <c r="G972" s="29" t="n">
        <f>ROUND(G971*(0/100),2)</f>
        <v>0.0</v>
      </c>
    </row>
    <row r="973" customHeight="1" ht="15">
      <c r="A973" s="2" t="inlineStr"/>
      <c r="B973" s="2" t="inlineStr"/>
      <c r="C973" s="2" t="inlineStr"/>
      <c r="D973" s="2" t="inlineStr"/>
      <c r="E973" s="28" t="inlineStr">
        <is>
          <r>
            <t xml:space="preserve">VALOR COM BDI:</t>
          </r>
        </is>
      </c>
      <c r="F973" s="28" t="inlineStr"/>
      <c r="G973" s="29" t="n">
        <f>G972+G971</f>
        <v>4.94</v>
      </c>
    </row>
    <row r="974" customHeight="1" ht="10">
      <c r="A974" s="2" t="inlineStr"/>
      <c r="B974" s="2" t="inlineStr"/>
      <c r="C974" s="2" t="inlineStr"/>
      <c r="D974" s="2" t="inlineStr"/>
      <c r="E974" s="18" t="inlineStr"/>
      <c r="F974" s="18" t="inlineStr"/>
      <c r="G974" s="18" t="inlineStr"/>
    </row>
    <row r="975" customHeight="1" ht="20">
      <c r="A975" s="19" t="inlineStr">
        <is>
          <r>
            <t xml:space="preserve">1.4.2.5. ​C2840​ INDENIZAÇÃO DE JAZIDA​ (M3)</t>
          </r>
        </is>
      </c>
      <c r="B975" s="19" t="inlineStr"/>
      <c r="C975" s="19" t="inlineStr"/>
      <c r="D975" s="19" t="inlineStr"/>
      <c r="E975" s="19" t="inlineStr"/>
      <c r="F975" s="19" t="inlineStr"/>
      <c r="G975" s="19" t="inlineStr"/>
    </row>
    <row r="976" customHeight="1" ht="15">
      <c r="A976" s="20" t="inlineStr">
        <is>
          <r>
            <t xml:space="preserve">Material</t>
          </r>
        </is>
      </c>
      <c r="B976" s="20" t="inlineStr"/>
      <c r="C976" s="21" t="inlineStr">
        <is>
          <r>
            <t xml:space="preserve">FONTE</t>
          </r>
        </is>
      </c>
      <c r="D976" s="21" t="inlineStr">
        <is>
          <r>
            <t xml:space="preserve">UNID</t>
          </r>
        </is>
      </c>
      <c r="E976" s="21" t="inlineStr">
        <is>
          <r>
            <t xml:space="preserve">COEFICIENTE</t>
          </r>
        </is>
      </c>
      <c r="F976" s="21" t="inlineStr">
        <is>
          <r>
            <t xml:space="preserve">PREÇO UNITÁRIO</t>
          </r>
        </is>
      </c>
      <c r="G976" s="21" t="inlineStr">
        <is>
          <r>
            <t xml:space="preserve">TOTAL</t>
          </r>
        </is>
      </c>
    </row>
    <row r="977" customHeight="1" ht="15">
      <c r="A977" s="22" t="inlineStr">
        <is>
          <r>
            <t xml:space="preserve">I2354</t>
          </r>
        </is>
      </c>
      <c r="B977" s="23" t="inlineStr">
        <is>
          <r>
            <t xml:space="preserve">INDENIZAÇÃO DE JAZIDA</t>
          </r>
        </is>
      </c>
      <c r="C977" s="22" t="inlineStr">
        <is>
          <r>
            <t xml:space="preserve">SEINFRA</t>
          </r>
        </is>
      </c>
      <c r="D977" s="22" t="inlineStr">
        <is>
          <r>
            <t xml:space="preserve">M3</t>
          </r>
        </is>
      </c>
      <c r="E977" s="24" t="n">
        <v>1.0</v>
      </c>
      <c r="F977" s="30" t="n">
        <v>1.57</v>
      </c>
      <c r="G977" s="30" t="n">
        <f>ROUND(ROUND(E977,8)*F977,4)</f>
        <v>1.57</v>
      </c>
    </row>
    <row r="978" customHeight="1" ht="15">
      <c r="A978" s="2" t="inlineStr"/>
      <c r="B978" s="2" t="inlineStr"/>
      <c r="C978" s="2" t="inlineStr"/>
      <c r="D978" s="2" t="inlineStr"/>
      <c r="E978" s="26" t="inlineStr">
        <is>
          <r>
            <t xml:space="preserve">TOTAL Material:</t>
          </r>
        </is>
      </c>
      <c r="F978" s="26" t="inlineStr"/>
      <c r="G978" s="31" t="n">
        <f>SUM(G977:G977)</f>
        <v>1.57</v>
      </c>
    </row>
    <row r="979" customHeight="1" ht="15">
      <c r="A979" s="2" t="inlineStr"/>
      <c r="B979" s="2" t="inlineStr"/>
      <c r="C979" s="2" t="inlineStr"/>
      <c r="D979" s="2" t="inlineStr"/>
      <c r="E979" s="28" t="inlineStr">
        <is>
          <r>
            <t xml:space="preserve">VALOR:</t>
          </r>
        </is>
      </c>
      <c r="F979" s="28" t="inlineStr"/>
      <c r="G979" s="29" t="n">
        <f>ROUND(SUM(G978),2)</f>
        <v>1.57</v>
      </c>
    </row>
    <row r="980" customHeight="1" ht="15">
      <c r="A980" s="2" t="inlineStr"/>
      <c r="B980" s="2" t="inlineStr"/>
      <c r="C980" s="2" t="inlineStr"/>
      <c r="D980" s="2" t="inlineStr"/>
      <c r="E980" s="28" t="inlineStr">
        <is>
          <r>
            <t xml:space="preserve">VALOR BDI:</t>
          </r>
        </is>
      </c>
      <c r="F980" s="28" t="inlineStr"/>
      <c r="G980" s="29" t="n">
        <f>ROUND(G979*(0/100),2)</f>
        <v>0.0</v>
      </c>
    </row>
    <row r="981" customHeight="1" ht="15">
      <c r="A981" s="2" t="inlineStr"/>
      <c r="B981" s="2" t="inlineStr"/>
      <c r="C981" s="2" t="inlineStr"/>
      <c r="D981" s="2" t="inlineStr"/>
      <c r="E981" s="28" t="inlineStr">
        <is>
          <r>
            <t xml:space="preserve">VALOR COM BDI:</t>
          </r>
        </is>
      </c>
      <c r="F981" s="28" t="inlineStr"/>
      <c r="G981" s="29" t="n">
        <f>G980+G979</f>
        <v>1.57</v>
      </c>
    </row>
    <row r="982" customHeight="1" ht="10">
      <c r="A982" s="2" t="inlineStr"/>
      <c r="B982" s="2" t="inlineStr"/>
      <c r="C982" s="2" t="inlineStr"/>
      <c r="D982" s="2" t="inlineStr"/>
      <c r="E982" s="18" t="inlineStr"/>
      <c r="F982" s="18" t="inlineStr"/>
      <c r="G982" s="18" t="inlineStr"/>
    </row>
    <row r="983" customHeight="1" ht="20">
      <c r="A983" s="19" t="inlineStr">
        <is>
          <r>
            <t xml:space="preserve">1.4.3.1. ​C4919​ LIMPEZA MECANIZADA DE TERRENO COM REMOCAO DE CAMADA VEGETAL, UTILIZANDO TRATOR DE ESTEIRAS​ (M2)</t>
          </r>
        </is>
      </c>
      <c r="B983" s="19" t="inlineStr"/>
      <c r="C983" s="19" t="inlineStr"/>
      <c r="D983" s="19" t="inlineStr"/>
      <c r="E983" s="19" t="inlineStr"/>
      <c r="F983" s="19" t="inlineStr"/>
      <c r="G983" s="19" t="inlineStr"/>
    </row>
    <row r="984" customHeight="1" ht="15">
      <c r="A984" s="20" t="inlineStr">
        <is>
          <r>
            <t xml:space="preserve">Equipamento Custo Horário</t>
          </r>
        </is>
      </c>
      <c r="B984" s="20" t="inlineStr"/>
      <c r="C984" s="21" t="inlineStr">
        <is>
          <r>
            <t xml:space="preserve">FONTE</t>
          </r>
        </is>
      </c>
      <c r="D984" s="21" t="inlineStr">
        <is>
          <r>
            <t xml:space="preserve">UNID</t>
          </r>
        </is>
      </c>
      <c r="E984" s="21" t="inlineStr">
        <is>
          <r>
            <t xml:space="preserve">COEFICIENTE</t>
          </r>
        </is>
      </c>
      <c r="F984" s="21" t="inlineStr">
        <is>
          <r>
            <t xml:space="preserve">PREÇO UNITÁRIO</t>
          </r>
        </is>
      </c>
      <c r="G984" s="21" t="inlineStr">
        <is>
          <r>
            <t xml:space="preserve">TOTAL</t>
          </r>
        </is>
      </c>
    </row>
    <row r="985" customHeight="1" ht="15">
      <c r="A985" s="22" t="inlineStr">
        <is>
          <r>
            <t xml:space="preserve">I0779</t>
          </r>
        </is>
      </c>
      <c r="B985" s="23" t="inlineStr">
        <is>
          <r>
            <t xml:space="preserve">TRATOR DE ESTEIRAS C/LÂMINA E ESC. HP 155 (CHP)</t>
          </r>
        </is>
      </c>
      <c r="C985" s="22" t="inlineStr">
        <is>
          <r>
            <t xml:space="preserve">SEINFRA</t>
          </r>
        </is>
      </c>
      <c r="D985" s="22" t="inlineStr">
        <is>
          <r>
            <t xml:space="preserve">H</t>
          </r>
        </is>
      </c>
      <c r="E985" s="24" t="n">
        <v>6.0E-4</v>
      </c>
      <c r="F985" s="30" t="n">
        <v>277.582</v>
      </c>
      <c r="G985" s="30" t="n">
        <f>ROUND(ROUND(E985,8)*F985,4)</f>
        <v>0.1665</v>
      </c>
    </row>
    <row r="986" customHeight="1" ht="18">
      <c r="A986" s="2" t="inlineStr"/>
      <c r="B986" s="2" t="inlineStr"/>
      <c r="C986" s="2" t="inlineStr"/>
      <c r="D986" s="2" t="inlineStr"/>
      <c r="E986" s="26" t="inlineStr">
        <is>
          <r>
            <t xml:space="preserve">TOTAL Equipamento Custo Horário:</t>
          </r>
        </is>
      </c>
      <c r="F986" s="26" t="inlineStr"/>
      <c r="G986" s="31" t="n">
        <f>SUM(G985:G985)</f>
        <v>0.1665</v>
      </c>
    </row>
    <row r="987" customHeight="1" ht="15">
      <c r="A987" s="20" t="inlineStr">
        <is>
          <r>
            <t xml:space="preserve">Mão de Obra</t>
          </r>
        </is>
      </c>
      <c r="B987" s="20" t="inlineStr"/>
      <c r="C987" s="21" t="inlineStr">
        <is>
          <r>
            <t xml:space="preserve">FONTE</t>
          </r>
        </is>
      </c>
      <c r="D987" s="21" t="inlineStr">
        <is>
          <r>
            <t xml:space="preserve">UNID</t>
          </r>
        </is>
      </c>
      <c r="E987" s="21" t="inlineStr">
        <is>
          <r>
            <t xml:space="preserve">COEFICIENTE</t>
          </r>
        </is>
      </c>
      <c r="F987" s="21" t="inlineStr">
        <is>
          <r>
            <t xml:space="preserve">PREÇO UNITÁRIO</t>
          </r>
        </is>
      </c>
      <c r="G987" s="21" t="inlineStr">
        <is>
          <r>
            <t xml:space="preserve">TOTAL</t>
          </r>
        </is>
      </c>
    </row>
    <row r="988" customHeight="1" ht="15">
      <c r="A988" s="22" t="inlineStr">
        <is>
          <r>
            <t xml:space="preserve">I2543</t>
          </r>
        </is>
      </c>
      <c r="B988" s="23" t="inlineStr">
        <is>
          <r>
            <t xml:space="preserve">SERVENTE</t>
          </r>
        </is>
      </c>
      <c r="C988" s="22" t="inlineStr">
        <is>
          <r>
            <t xml:space="preserve">SEINFRA</t>
          </r>
        </is>
      </c>
      <c r="D988" s="22" t="inlineStr">
        <is>
          <r>
            <t xml:space="preserve">H</t>
          </r>
        </is>
      </c>
      <c r="E988" s="24" t="n">
        <v>0.003</v>
      </c>
      <c r="F988" s="30" t="n">
        <v>18.46</v>
      </c>
      <c r="G988" s="30" t="n">
        <f>ROUND(ROUND(E988,8)*F988,4)</f>
        <v>0.0554</v>
      </c>
    </row>
    <row r="989" customHeight="1" ht="15">
      <c r="A989" s="2" t="inlineStr"/>
      <c r="B989" s="2" t="inlineStr"/>
      <c r="C989" s="2" t="inlineStr"/>
      <c r="D989" s="2" t="inlineStr"/>
      <c r="E989" s="26" t="inlineStr">
        <is>
          <r>
            <t xml:space="preserve">TOTAL Mão de Obra:</t>
          </r>
        </is>
      </c>
      <c r="F989" s="26" t="inlineStr"/>
      <c r="G989" s="31" t="n">
        <f>SUM(G988:G988)</f>
        <v>0.0554</v>
      </c>
    </row>
    <row r="990" customHeight="1" ht="15">
      <c r="A990" s="2" t="inlineStr"/>
      <c r="B990" s="2" t="inlineStr"/>
      <c r="C990" s="2" t="inlineStr"/>
      <c r="D990" s="2" t="inlineStr"/>
      <c r="E990" s="28" t="inlineStr">
        <is>
          <r>
            <t xml:space="preserve">VALOR:</t>
          </r>
        </is>
      </c>
      <c r="F990" s="28" t="inlineStr"/>
      <c r="G990" s="29" t="n">
        <f>ROUND(SUM(G986,G989),2)</f>
        <v>0.22</v>
      </c>
    </row>
    <row r="991" customHeight="1" ht="15">
      <c r="A991" s="2" t="inlineStr"/>
      <c r="B991" s="2" t="inlineStr"/>
      <c r="C991" s="2" t="inlineStr"/>
      <c r="D991" s="2" t="inlineStr"/>
      <c r="E991" s="28" t="inlineStr">
        <is>
          <r>
            <t xml:space="preserve">VALOR BDI:</t>
          </r>
        </is>
      </c>
      <c r="F991" s="28" t="inlineStr"/>
      <c r="G991" s="29" t="n">
        <f>ROUND(G990*(0/100),2)</f>
        <v>0.0</v>
      </c>
    </row>
    <row r="992" customHeight="1" ht="15">
      <c r="A992" s="2" t="inlineStr"/>
      <c r="B992" s="2" t="inlineStr"/>
      <c r="C992" s="2" t="inlineStr"/>
      <c r="D992" s="2" t="inlineStr"/>
      <c r="E992" s="28" t="inlineStr">
        <is>
          <r>
            <t xml:space="preserve">VALOR COM BDI:</t>
          </r>
        </is>
      </c>
      <c r="F992" s="28" t="inlineStr"/>
      <c r="G992" s="29" t="n">
        <f>G991+G990</f>
        <v>0.22</v>
      </c>
    </row>
    <row r="993" customHeight="1" ht="10">
      <c r="A993" s="2" t="inlineStr"/>
      <c r="B993" s="2" t="inlineStr"/>
      <c r="C993" s="2" t="inlineStr"/>
      <c r="D993" s="2" t="inlineStr"/>
      <c r="E993" s="18" t="inlineStr"/>
      <c r="F993" s="18" t="inlineStr"/>
      <c r="G993" s="18" t="inlineStr"/>
    </row>
    <row r="994" customHeight="1" ht="20">
      <c r="A994" s="19" t="inlineStr">
        <is>
          <r>
            <t xml:space="preserve">1.4.3.2. ​P0491​ DEMOLIÇÃO PARCIAL DE PAVIMNETAÇÃO ASFÁLTICA, DE FORMA MECANIZADA, SEM REAPROVEITAMENTO. AF_09/2023​ (M2)</t>
          </r>
        </is>
      </c>
      <c r="B994" s="19" t="inlineStr"/>
      <c r="C994" s="19" t="inlineStr"/>
      <c r="D994" s="19" t="inlineStr"/>
      <c r="E994" s="19" t="inlineStr"/>
      <c r="F994" s="19" t="inlineStr"/>
      <c r="G994" s="19" t="inlineStr"/>
    </row>
    <row r="995" customHeight="1" ht="15">
      <c r="A995" s="20" t="inlineStr">
        <is>
          <r>
            <t xml:space="preserve">Equipamento Custo Horário</t>
          </r>
        </is>
      </c>
      <c r="B995" s="20" t="inlineStr"/>
      <c r="C995" s="21" t="inlineStr">
        <is>
          <r>
            <t xml:space="preserve">FONTE</t>
          </r>
        </is>
      </c>
      <c r="D995" s="21" t="inlineStr">
        <is>
          <r>
            <t xml:space="preserve">UNID</t>
          </r>
        </is>
      </c>
      <c r="E995" s="21" t="inlineStr">
        <is>
          <r>
            <t xml:space="preserve">COEFICIENTE</t>
          </r>
        </is>
      </c>
      <c r="F995" s="21" t="inlineStr">
        <is>
          <r>
            <t xml:space="preserve">PREÇO UNITÁRIO</t>
          </r>
        </is>
      </c>
      <c r="G995" s="21" t="inlineStr">
        <is>
          <r>
            <t xml:space="preserve">TOTAL</t>
          </r>
        </is>
      </c>
    </row>
    <row r="996" customHeight="1" ht="38">
      <c r="A996" s="22" t="inlineStr">
        <is>
          <r>
            <t xml:space="preserve">91285</t>
          </r>
        </is>
      </c>
      <c r="B996" s="23" t="inlineStr">
        <is>
          <r>
            <t xml:space="preserve">CORTADORA DE PISO COM MOTOR 4 TEMPOS A GASOLINA, POTÊNCIA DE 13 HP, COM DISCO DE CORTE DIAMANTADO SEGMENTADO PARA CONCRETO, DIÂMETRO DE 350 MM, FURO DE 1" (14 X 1") - CHI DIURNO. AF_08/2015</t>
          </r>
        </is>
      </c>
      <c r="C996" s="22" t="inlineStr">
        <is>
          <r>
            <t xml:space="preserve">SINAPI</t>
          </r>
        </is>
      </c>
      <c r="D996" s="22" t="inlineStr">
        <is>
          <r>
            <t xml:space="preserve">CHI</t>
          </r>
        </is>
      </c>
      <c r="E996" s="24" t="n">
        <v>0.0836</v>
      </c>
      <c r="F996" s="25" t="n">
        <v>0.6</v>
      </c>
      <c r="G996" s="25" t="n">
        <f>ROUND(ROUND(E996,8)*F996,2)</f>
        <v>0.05</v>
      </c>
    </row>
    <row r="997" customHeight="1" ht="38">
      <c r="A997" s="22" t="inlineStr">
        <is>
          <r>
            <t xml:space="preserve">91283</t>
          </r>
        </is>
      </c>
      <c r="B997" s="23" t="inlineStr">
        <is>
          <r>
            <t xml:space="preserve">CORTADORA DE PISO COM MOTOR 4 TEMPOS A GASOLINA, POTÊNCIA DE 13 HP, COM DISCO DE CORTE DIAMANTADO SEGMENTADO PARA CONCRETO, DIÂMETRO DE 350 MM, FURO DE 1" (14 X 1") - CHP DIURNO. AF_08/2015</t>
          </r>
        </is>
      </c>
      <c r="C997" s="22" t="inlineStr">
        <is>
          <r>
            <t xml:space="preserve">SINAPI</t>
          </r>
        </is>
      </c>
      <c r="D997" s="22" t="inlineStr">
        <is>
          <r>
            <t xml:space="preserve">CHP</t>
          </r>
        </is>
      </c>
      <c r="E997" s="24" t="n">
        <v>0.0524</v>
      </c>
      <c r="F997" s="25" t="n">
        <v>10.42</v>
      </c>
      <c r="G997" s="25" t="n">
        <f>ROUND(ROUND(E997,8)*F997,2)</f>
        <v>0.55</v>
      </c>
    </row>
    <row r="998" customHeight="1" ht="21">
      <c r="A998" s="22" t="inlineStr">
        <is>
          <r>
            <t xml:space="preserve">I10263</t>
          </r>
        </is>
      </c>
      <c r="B998" s="23" t="inlineStr">
        <is>
          <r>
            <t xml:space="preserve">ESCAVADEIRA HIDRÁULICA SOBRE ESTEIRAS, CAÇAMBA 0,80 M3, PESO OPER.17 T, POT. 111 HP (CHP)</t>
          </r>
        </is>
      </c>
      <c r="C998" s="22" t="inlineStr">
        <is>
          <r>
            <t xml:space="preserve">SEINFRA</t>
          </r>
        </is>
      </c>
      <c r="D998" s="22" t="inlineStr">
        <is>
          <r>
            <t xml:space="preserve">H</t>
          </r>
        </is>
      </c>
      <c r="E998" s="24" t="n">
        <v>0.0326</v>
      </c>
      <c r="F998" s="25" t="n">
        <v>246.07</v>
      </c>
      <c r="G998" s="25" t="n">
        <f>ROUND(ROUND(E998,8)*F998,2)</f>
        <v>8.02</v>
      </c>
    </row>
    <row r="999" customHeight="1" ht="21">
      <c r="A999" s="22" t="inlineStr">
        <is>
          <r>
            <t xml:space="preserve">I10264</t>
          </r>
        </is>
      </c>
      <c r="B999" s="23" t="inlineStr">
        <is>
          <r>
            <t xml:space="preserve">ESCAVADEIRA HIDRÁULICA SOBRE ESTEIRAS, CAÇAMBA 0,80 M3, PESO OPER.17 T, POT. 111 HP (CHI)</t>
          </r>
        </is>
      </c>
      <c r="C999" s="22" t="inlineStr">
        <is>
          <r>
            <t xml:space="preserve">SEINFRA</t>
          </r>
        </is>
      </c>
      <c r="D999" s="22" t="inlineStr">
        <is>
          <r>
            <t xml:space="preserve">H</t>
          </r>
        </is>
      </c>
      <c r="E999" s="24" t="n">
        <v>0.0896</v>
      </c>
      <c r="F999" s="25" t="n">
        <v>91.61</v>
      </c>
      <c r="G999" s="25" t="n">
        <f>ROUND(ROUND(E999,8)*F999,2)</f>
        <v>8.21</v>
      </c>
    </row>
    <row r="1000" customHeight="1" ht="18">
      <c r="A1000" s="2" t="inlineStr"/>
      <c r="B1000" s="2" t="inlineStr"/>
      <c r="C1000" s="2" t="inlineStr"/>
      <c r="D1000" s="2" t="inlineStr"/>
      <c r="E1000" s="26" t="inlineStr">
        <is>
          <r>
            <t xml:space="preserve">TOTAL Equipamento Custo Horário:</t>
          </r>
        </is>
      </c>
      <c r="F1000" s="26" t="inlineStr"/>
      <c r="G1000" s="27" t="n">
        <f>SUM(G996:G999)</f>
        <v>16.83</v>
      </c>
    </row>
    <row r="1001" customHeight="1" ht="15">
      <c r="A1001" s="20" t="inlineStr">
        <is>
          <r>
            <t xml:space="preserve">Mão de Obra</t>
          </r>
        </is>
      </c>
      <c r="B1001" s="20" t="inlineStr"/>
      <c r="C1001" s="21" t="inlineStr">
        <is>
          <r>
            <t xml:space="preserve">FONTE</t>
          </r>
        </is>
      </c>
      <c r="D1001" s="21" t="inlineStr">
        <is>
          <r>
            <t xml:space="preserve">UNID</t>
          </r>
        </is>
      </c>
      <c r="E1001" s="21" t="inlineStr">
        <is>
          <r>
            <t xml:space="preserve">COEFICIENTE</t>
          </r>
        </is>
      </c>
      <c r="F1001" s="21" t="inlineStr">
        <is>
          <r>
            <t xml:space="preserve">PREÇO UNITÁRIO</t>
          </r>
        </is>
      </c>
      <c r="G1001" s="21" t="inlineStr">
        <is>
          <r>
            <t xml:space="preserve">TOTAL</t>
          </r>
        </is>
      </c>
    </row>
    <row r="1002" customHeight="1" ht="15">
      <c r="A1002" s="22" t="inlineStr">
        <is>
          <r>
            <t xml:space="preserve">I2391</t>
          </r>
        </is>
      </c>
      <c r="B1002" s="23" t="inlineStr">
        <is>
          <r>
            <t xml:space="preserve">PEDREIRO</t>
          </r>
        </is>
      </c>
      <c r="C1002" s="22" t="inlineStr">
        <is>
          <r>
            <t xml:space="preserve">SEINFRA</t>
          </r>
        </is>
      </c>
      <c r="D1002" s="22" t="inlineStr">
        <is>
          <r>
            <t xml:space="preserve">H</t>
          </r>
        </is>
      </c>
      <c r="E1002" s="24" t="n">
        <v>0.2433</v>
      </c>
      <c r="F1002" s="25" t="n">
        <v>24.16</v>
      </c>
      <c r="G1002" s="25" t="n">
        <f>ROUND(ROUND(E1002,8)*F1002,2)</f>
        <v>5.88</v>
      </c>
    </row>
    <row r="1003" customHeight="1" ht="15">
      <c r="A1003" s="2" t="inlineStr"/>
      <c r="B1003" s="2" t="inlineStr"/>
      <c r="C1003" s="2" t="inlineStr"/>
      <c r="D1003" s="2" t="inlineStr"/>
      <c r="E1003" s="26" t="inlineStr">
        <is>
          <r>
            <t xml:space="preserve">TOTAL Mão de Obra:</t>
          </r>
        </is>
      </c>
      <c r="F1003" s="26" t="inlineStr"/>
      <c r="G1003" s="27" t="n">
        <f>SUM(G1002:G1002)</f>
        <v>5.88</v>
      </c>
    </row>
    <row r="1004" customHeight="1" ht="15">
      <c r="A1004" s="2" t="inlineStr"/>
      <c r="B1004" s="2" t="inlineStr"/>
      <c r="C1004" s="2" t="inlineStr"/>
      <c r="D1004" s="2" t="inlineStr"/>
      <c r="E1004" s="28" t="inlineStr">
        <is>
          <r>
            <t xml:space="preserve">VALOR:</t>
          </r>
        </is>
      </c>
      <c r="F1004" s="28" t="inlineStr"/>
      <c r="G1004" s="29" t="n">
        <f>ROUND(SUM(G1000,G1003),2)</f>
        <v>22.71</v>
      </c>
    </row>
    <row r="1005" customHeight="1" ht="15">
      <c r="A1005" s="2" t="inlineStr"/>
      <c r="B1005" s="2" t="inlineStr"/>
      <c r="C1005" s="2" t="inlineStr"/>
      <c r="D1005" s="2" t="inlineStr"/>
      <c r="E1005" s="28" t="inlineStr">
        <is>
          <r>
            <t xml:space="preserve">VALOR BDI:</t>
          </r>
        </is>
      </c>
      <c r="F1005" s="28" t="inlineStr"/>
      <c r="G1005" s="29" t="n">
        <f>ROUND(G1004*(0/100),2)</f>
        <v>0.0</v>
      </c>
    </row>
    <row r="1006" customHeight="1" ht="15">
      <c r="A1006" s="2" t="inlineStr"/>
      <c r="B1006" s="2" t="inlineStr"/>
      <c r="C1006" s="2" t="inlineStr"/>
      <c r="D1006" s="2" t="inlineStr"/>
      <c r="E1006" s="28" t="inlineStr">
        <is>
          <r>
            <t xml:space="preserve">VALOR COM BDI:</t>
          </r>
        </is>
      </c>
      <c r="F1006" s="28" t="inlineStr"/>
      <c r="G1006" s="29" t="n">
        <f>G1005+G1004</f>
        <v>22.71</v>
      </c>
    </row>
    <row r="1007" customHeight="1" ht="10">
      <c r="A1007" s="2" t="inlineStr"/>
      <c r="B1007" s="2" t="inlineStr"/>
      <c r="C1007" s="2" t="inlineStr"/>
      <c r="D1007" s="2" t="inlineStr"/>
      <c r="E1007" s="18" t="inlineStr"/>
      <c r="F1007" s="18" t="inlineStr"/>
      <c r="G1007" s="18" t="inlineStr"/>
    </row>
    <row r="1008" customHeight="1" ht="20">
      <c r="A1008" s="19" t="inlineStr">
        <is>
          <r>
            <t xml:space="preserve">1.4.3.3. ​C3259​ CARGA E TRANSPORTE ATÉ 5KM DE REVESTIMENTO BETUMINOSO DEMOLIDO​ (M3)</t>
          </r>
        </is>
      </c>
      <c r="B1008" s="19" t="inlineStr"/>
      <c r="C1008" s="19" t="inlineStr"/>
      <c r="D1008" s="19" t="inlineStr"/>
      <c r="E1008" s="19" t="inlineStr"/>
      <c r="F1008" s="19" t="inlineStr"/>
      <c r="G1008" s="19" t="inlineStr"/>
    </row>
    <row r="1009" customHeight="1" ht="15">
      <c r="A1009" s="20" t="inlineStr">
        <is>
          <r>
            <t xml:space="preserve">Equipamento Custo Horário</t>
          </r>
        </is>
      </c>
      <c r="B1009" s="20" t="inlineStr"/>
      <c r="C1009" s="21" t="inlineStr">
        <is>
          <r>
            <t xml:space="preserve">FONTE</t>
          </r>
        </is>
      </c>
      <c r="D1009" s="21" t="inlineStr">
        <is>
          <r>
            <t xml:space="preserve">UNID</t>
          </r>
        </is>
      </c>
      <c r="E1009" s="21" t="inlineStr">
        <is>
          <r>
            <t xml:space="preserve">COEFICIENTE</t>
          </r>
        </is>
      </c>
      <c r="F1009" s="21" t="inlineStr">
        <is>
          <r>
            <t xml:space="preserve">PREÇO UNITÁRIO</t>
          </r>
        </is>
      </c>
      <c r="G1009" s="21" t="inlineStr">
        <is>
          <r>
            <t xml:space="preserve">TOTAL</t>
          </r>
        </is>
      </c>
    </row>
    <row r="1010" customHeight="1" ht="15">
      <c r="A1010" s="22" t="inlineStr">
        <is>
          <r>
            <t xml:space="preserve">I0578</t>
          </r>
        </is>
      </c>
      <c r="B1010" s="23" t="inlineStr">
        <is>
          <r>
            <t xml:space="preserve">CAMINHÃO BASCULANTE 6 M3 (CHI)</t>
          </r>
        </is>
      </c>
      <c r="C1010" s="22" t="inlineStr">
        <is>
          <r>
            <t xml:space="preserve">SEINFRA</t>
          </r>
        </is>
      </c>
      <c r="D1010" s="22" t="inlineStr">
        <is>
          <r>
            <t xml:space="preserve">H</t>
          </r>
        </is>
      </c>
      <c r="E1010" s="24" t="n">
        <v>0.0016</v>
      </c>
      <c r="F1010" s="30" t="n">
        <v>62.8491</v>
      </c>
      <c r="G1010" s="30" t="n">
        <f>ROUND(ROUND(E1010,8)*F1010,4)</f>
        <v>0.1006</v>
      </c>
    </row>
    <row r="1011" customHeight="1" ht="15">
      <c r="A1011" s="22" t="inlineStr">
        <is>
          <r>
            <t xml:space="preserve">I0690</t>
          </r>
        </is>
      </c>
      <c r="B1011" s="23" t="inlineStr">
        <is>
          <r>
            <t xml:space="preserve">CAMINHÃO BASCULANTE 6 M3 (CHP)</t>
          </r>
        </is>
      </c>
      <c r="C1011" s="22" t="inlineStr">
        <is>
          <r>
            <t xml:space="preserve">SEINFRA</t>
          </r>
        </is>
      </c>
      <c r="D1011" s="22" t="inlineStr">
        <is>
          <r>
            <t xml:space="preserve">H</t>
          </r>
        </is>
      </c>
      <c r="E1011" s="24" t="n">
        <v>0.1584</v>
      </c>
      <c r="F1011" s="30" t="n">
        <v>173.7102</v>
      </c>
      <c r="G1011" s="30" t="n">
        <f>ROUND(ROUND(E1011,8)*F1011,4)</f>
        <v>27.5157</v>
      </c>
    </row>
    <row r="1012" customHeight="1" ht="15">
      <c r="A1012" s="22" t="inlineStr">
        <is>
          <r>
            <t xml:space="preserve">I0594</t>
          </r>
        </is>
      </c>
      <c r="B1012" s="23" t="inlineStr">
        <is>
          <r>
            <t xml:space="preserve">CARREGADEIRA DE PNEUS HP 111 (CHI)</t>
          </r>
        </is>
      </c>
      <c r="C1012" s="22" t="inlineStr">
        <is>
          <r>
            <t xml:space="preserve">SEINFRA</t>
          </r>
        </is>
      </c>
      <c r="D1012" s="22" t="inlineStr">
        <is>
          <r>
            <t xml:space="preserve">H</t>
          </r>
        </is>
      </c>
      <c r="E1012" s="24" t="n">
        <v>0.0</v>
      </c>
      <c r="F1012" s="30" t="n">
        <v>84.4072</v>
      </c>
      <c r="G1012" s="30" t="n">
        <f>ROUND(ROUND(E1012,8)*F1012,4)</f>
        <v>0.0</v>
      </c>
    </row>
    <row r="1013" customHeight="1" ht="15">
      <c r="A1013" s="22" t="inlineStr">
        <is>
          <r>
            <t xml:space="preserve">I0708</t>
          </r>
        </is>
      </c>
      <c r="B1013" s="23" t="inlineStr">
        <is>
          <r>
            <t xml:space="preserve">CARREGADEIRA DE PNEUS HP 111 (CHP)</t>
          </r>
        </is>
      </c>
      <c r="C1013" s="22" t="inlineStr">
        <is>
          <r>
            <t xml:space="preserve">SEINFRA</t>
          </r>
        </is>
      </c>
      <c r="D1013" s="22" t="inlineStr">
        <is>
          <r>
            <t xml:space="preserve">H</t>
          </r>
        </is>
      </c>
      <c r="E1013" s="24" t="n">
        <v>0.04</v>
      </c>
      <c r="F1013" s="30" t="n">
        <v>229.8427</v>
      </c>
      <c r="G1013" s="30" t="n">
        <f>ROUND(ROUND(E1013,8)*F1013,4)</f>
        <v>9.1937</v>
      </c>
    </row>
    <row r="1014" customHeight="1" ht="18">
      <c r="A1014" s="2" t="inlineStr"/>
      <c r="B1014" s="2" t="inlineStr"/>
      <c r="C1014" s="2" t="inlineStr"/>
      <c r="D1014" s="2" t="inlineStr"/>
      <c r="E1014" s="26" t="inlineStr">
        <is>
          <r>
            <t xml:space="preserve">TOTAL Equipamento Custo Horário:</t>
          </r>
        </is>
      </c>
      <c r="F1014" s="26" t="inlineStr"/>
      <c r="G1014" s="31" t="n">
        <f>SUM(G1010:G1013)</f>
        <v>36.81</v>
      </c>
    </row>
    <row r="1015" customHeight="1" ht="15">
      <c r="A1015" s="20" t="inlineStr">
        <is>
          <r>
            <t xml:space="preserve">Mão de Obra</t>
          </r>
        </is>
      </c>
      <c r="B1015" s="20" t="inlineStr"/>
      <c r="C1015" s="21" t="inlineStr">
        <is>
          <r>
            <t xml:space="preserve">FONTE</t>
          </r>
        </is>
      </c>
      <c r="D1015" s="21" t="inlineStr">
        <is>
          <r>
            <t xml:space="preserve">UNID</t>
          </r>
        </is>
      </c>
      <c r="E1015" s="21" t="inlineStr">
        <is>
          <r>
            <t xml:space="preserve">COEFICIENTE</t>
          </r>
        </is>
      </c>
      <c r="F1015" s="21" t="inlineStr">
        <is>
          <r>
            <t xml:space="preserve">PREÇO UNITÁRIO</t>
          </r>
        </is>
      </c>
      <c r="G1015" s="21" t="inlineStr">
        <is>
          <r>
            <t xml:space="preserve">TOTAL</t>
          </r>
        </is>
      </c>
    </row>
    <row r="1016" customHeight="1" ht="15">
      <c r="A1016" s="22" t="inlineStr">
        <is>
          <r>
            <t xml:space="preserve">I2543</t>
          </r>
        </is>
      </c>
      <c r="B1016" s="23" t="inlineStr">
        <is>
          <r>
            <t xml:space="preserve">SERVENTE</t>
          </r>
        </is>
      </c>
      <c r="C1016" s="22" t="inlineStr">
        <is>
          <r>
            <t xml:space="preserve">SEINFRA</t>
          </r>
        </is>
      </c>
      <c r="D1016" s="22" t="inlineStr">
        <is>
          <r>
            <t xml:space="preserve">H</t>
          </r>
        </is>
      </c>
      <c r="E1016" s="24" t="n">
        <v>0.08</v>
      </c>
      <c r="F1016" s="30" t="n">
        <v>18.46</v>
      </c>
      <c r="G1016" s="30" t="n">
        <f>ROUND(ROUND(E1016,8)*F1016,4)</f>
        <v>1.4768</v>
      </c>
    </row>
    <row r="1017" customHeight="1" ht="15">
      <c r="A1017" s="2" t="inlineStr"/>
      <c r="B1017" s="2" t="inlineStr"/>
      <c r="C1017" s="2" t="inlineStr"/>
      <c r="D1017" s="2" t="inlineStr"/>
      <c r="E1017" s="26" t="inlineStr">
        <is>
          <r>
            <t xml:space="preserve">TOTAL Mão de Obra:</t>
          </r>
        </is>
      </c>
      <c r="F1017" s="26" t="inlineStr"/>
      <c r="G1017" s="31" t="n">
        <f>SUM(G1016:G1016)</f>
        <v>1.4768</v>
      </c>
    </row>
    <row r="1018" customHeight="1" ht="15">
      <c r="A1018" s="2" t="inlineStr"/>
      <c r="B1018" s="2" t="inlineStr"/>
      <c r="C1018" s="2" t="inlineStr"/>
      <c r="D1018" s="2" t="inlineStr"/>
      <c r="E1018" s="28" t="inlineStr">
        <is>
          <r>
            <t xml:space="preserve">VALOR:</t>
          </r>
        </is>
      </c>
      <c r="F1018" s="28" t="inlineStr"/>
      <c r="G1018" s="29" t="n">
        <f>ROUND(SUM(G1014,G1017),2)</f>
        <v>38.29</v>
      </c>
    </row>
    <row r="1019" customHeight="1" ht="15">
      <c r="A1019" s="2" t="inlineStr"/>
      <c r="B1019" s="2" t="inlineStr"/>
      <c r="C1019" s="2" t="inlineStr"/>
      <c r="D1019" s="2" t="inlineStr"/>
      <c r="E1019" s="28" t="inlineStr">
        <is>
          <r>
            <t xml:space="preserve">VALOR BDI:</t>
          </r>
        </is>
      </c>
      <c r="F1019" s="28" t="inlineStr"/>
      <c r="G1019" s="29" t="n">
        <f>ROUND(G1018*(0/100),2)</f>
        <v>0.0</v>
      </c>
    </row>
    <row r="1020" customHeight="1" ht="15">
      <c r="A1020" s="2" t="inlineStr"/>
      <c r="B1020" s="2" t="inlineStr"/>
      <c r="C1020" s="2" t="inlineStr"/>
      <c r="D1020" s="2" t="inlineStr"/>
      <c r="E1020" s="28" t="inlineStr">
        <is>
          <r>
            <t xml:space="preserve">VALOR COM BDI:</t>
          </r>
        </is>
      </c>
      <c r="F1020" s="28" t="inlineStr"/>
      <c r="G1020" s="29" t="n">
        <f>G1019+G1018</f>
        <v>38.29</v>
      </c>
    </row>
    <row r="1021" customHeight="1" ht="10">
      <c r="A1021" s="2" t="inlineStr"/>
      <c r="B1021" s="2" t="inlineStr"/>
      <c r="C1021" s="2" t="inlineStr"/>
      <c r="D1021" s="2" t="inlineStr"/>
      <c r="E1021" s="18" t="inlineStr"/>
      <c r="F1021" s="18" t="inlineStr"/>
      <c r="G1021" s="18" t="inlineStr"/>
    </row>
    <row r="1022" customHeight="1" ht="20">
      <c r="A1022" s="19" t="inlineStr">
        <is>
          <r>
            <t xml:space="preserve">1.4.4.1. ​C3179​ ESCAVAÇÃO CARGA TRANSP. 1-CAT 4001 A 5000M​ (M3)</t>
          </r>
        </is>
      </c>
      <c r="B1022" s="19" t="inlineStr"/>
      <c r="C1022" s="19" t="inlineStr"/>
      <c r="D1022" s="19" t="inlineStr"/>
      <c r="E1022" s="19" t="inlineStr"/>
      <c r="F1022" s="19" t="inlineStr"/>
      <c r="G1022" s="19" t="inlineStr"/>
    </row>
    <row r="1023" customHeight="1" ht="15">
      <c r="A1023" s="20" t="inlineStr">
        <is>
          <r>
            <t xml:space="preserve">Equipamento Custo Horário</t>
          </r>
        </is>
      </c>
      <c r="B1023" s="20" t="inlineStr"/>
      <c r="C1023" s="21" t="inlineStr">
        <is>
          <r>
            <t xml:space="preserve">FONTE</t>
          </r>
        </is>
      </c>
      <c r="D1023" s="21" t="inlineStr">
        <is>
          <r>
            <t xml:space="preserve">UNID</t>
          </r>
        </is>
      </c>
      <c r="E1023" s="21" t="inlineStr">
        <is>
          <r>
            <t xml:space="preserve">COEFICIENTE</t>
          </r>
        </is>
      </c>
      <c r="F1023" s="21" t="inlineStr">
        <is>
          <r>
            <t xml:space="preserve">PREÇO UNITÁRIO</t>
          </r>
        </is>
      </c>
      <c r="G1023" s="21" t="inlineStr">
        <is>
          <r>
            <t xml:space="preserve">TOTAL</t>
          </r>
        </is>
      </c>
    </row>
    <row r="1024" customHeight="1" ht="15">
      <c r="A1024" s="22" t="inlineStr">
        <is>
          <r>
            <t xml:space="preserve">I0576</t>
          </r>
        </is>
      </c>
      <c r="B1024" s="23" t="inlineStr">
        <is>
          <r>
            <t xml:space="preserve">CAMINHÃO BASCULANTE 12 M3 (CHI)</t>
          </r>
        </is>
      </c>
      <c r="C1024" s="22" t="inlineStr">
        <is>
          <r>
            <t xml:space="preserve">SEINFRA</t>
          </r>
        </is>
      </c>
      <c r="D1024" s="22" t="inlineStr">
        <is>
          <r>
            <t xml:space="preserve">H</t>
          </r>
        </is>
      </c>
      <c r="E1024" s="24" t="n">
        <v>0.00617647</v>
      </c>
      <c r="F1024" s="30" t="n">
        <v>68.8661</v>
      </c>
      <c r="G1024" s="30" t="n">
        <f>ROUND(ROUND(E1024,8)*F1024,4)</f>
        <v>0.4253</v>
      </c>
    </row>
    <row r="1025" customHeight="1" ht="15">
      <c r="A1025" s="22" t="inlineStr">
        <is>
          <r>
            <t xml:space="preserve">I0688</t>
          </r>
        </is>
      </c>
      <c r="B1025" s="23" t="inlineStr">
        <is>
          <r>
            <t xml:space="preserve">CAMINHÃO BASCULANTE 12 M3 (CHP)</t>
          </r>
        </is>
      </c>
      <c r="C1025" s="22" t="inlineStr">
        <is>
          <r>
            <t xml:space="preserve">SEINFRA</t>
          </r>
        </is>
      </c>
      <c r="D1025" s="22" t="inlineStr">
        <is>
          <r>
            <t xml:space="preserve">H</t>
          </r>
        </is>
      </c>
      <c r="E1025" s="24" t="n">
        <v>0.08205882</v>
      </c>
      <c r="F1025" s="30" t="n">
        <v>210.4272</v>
      </c>
      <c r="G1025" s="30" t="n">
        <f>ROUND(ROUND(E1025,8)*F1025,4)</f>
        <v>17.2674</v>
      </c>
    </row>
    <row r="1026" customHeight="1" ht="15">
      <c r="A1026" s="22" t="inlineStr">
        <is>
          <r>
            <t xml:space="preserve">I0596</t>
          </r>
        </is>
      </c>
      <c r="B1026" s="23" t="inlineStr">
        <is>
          <r>
            <t xml:space="preserve">CARREGADEIRA DE PNEUS HP 180 (CHI)</t>
          </r>
        </is>
      </c>
      <c r="C1026" s="22" t="inlineStr">
        <is>
          <r>
            <t xml:space="preserve">SEINFRA</t>
          </r>
        </is>
      </c>
      <c r="D1026" s="22" t="inlineStr">
        <is>
          <r>
            <t xml:space="preserve">H</t>
          </r>
        </is>
      </c>
      <c r="E1026" s="24" t="n">
        <v>1.9608E-4</v>
      </c>
      <c r="F1026" s="30" t="n">
        <v>106.3468</v>
      </c>
      <c r="G1026" s="30" t="n">
        <f>ROUND(ROUND(E1026,8)*F1026,4)</f>
        <v>0.0209</v>
      </c>
    </row>
    <row r="1027" customHeight="1" ht="15">
      <c r="A1027" s="22" t="inlineStr">
        <is>
          <r>
            <t xml:space="preserve">I0710</t>
          </r>
        </is>
      </c>
      <c r="B1027" s="23" t="inlineStr">
        <is>
          <r>
            <t xml:space="preserve">CARREGADEIRA DE PNEUS HP 180 (CHP)</t>
          </r>
        </is>
      </c>
      <c r="C1027" s="22" t="inlineStr">
        <is>
          <r>
            <t xml:space="preserve">SEINFRA</t>
          </r>
        </is>
      </c>
      <c r="D1027" s="22" t="inlineStr">
        <is>
          <r>
            <t xml:space="preserve">H</t>
          </r>
        </is>
      </c>
      <c r="E1027" s="24" t="n">
        <v>0.00960784</v>
      </c>
      <c r="F1027" s="30" t="n">
        <v>328.0339</v>
      </c>
      <c r="G1027" s="30" t="n">
        <f>ROUND(ROUND(E1027,8)*F1027,4)</f>
        <v>3.1517</v>
      </c>
    </row>
    <row r="1028" customHeight="1" ht="15">
      <c r="A1028" s="22" t="inlineStr">
        <is>
          <r>
            <t xml:space="preserve">I0666</t>
          </r>
        </is>
      </c>
      <c r="B1028" s="23" t="inlineStr">
        <is>
          <r>
            <t xml:space="preserve">TRATOR DE ESTEIRAS C/LÂMINA E ESC. HP 155 (CHI)</t>
          </r>
        </is>
      </c>
      <c r="C1028" s="22" t="inlineStr">
        <is>
          <r>
            <t xml:space="preserve">SEINFRA</t>
          </r>
        </is>
      </c>
      <c r="D1028" s="22" t="inlineStr">
        <is>
          <r>
            <t xml:space="preserve">H</t>
          </r>
        </is>
      </c>
      <c r="E1028" s="24" t="n">
        <v>0.0</v>
      </c>
      <c r="F1028" s="30" t="n">
        <v>93.1931</v>
      </c>
      <c r="G1028" s="30" t="n">
        <f>ROUND(ROUND(E1028,8)*F1028,4)</f>
        <v>0.0</v>
      </c>
    </row>
    <row r="1029" customHeight="1" ht="15">
      <c r="A1029" s="22" t="inlineStr">
        <is>
          <r>
            <t xml:space="preserve">I0779</t>
          </r>
        </is>
      </c>
      <c r="B1029" s="23" t="inlineStr">
        <is>
          <r>
            <t xml:space="preserve">TRATOR DE ESTEIRAS C/LÂMINA E ESC. HP 155 (CHP)</t>
          </r>
        </is>
      </c>
      <c r="C1029" s="22" t="inlineStr">
        <is>
          <r>
            <t xml:space="preserve">SEINFRA</t>
          </r>
        </is>
      </c>
      <c r="D1029" s="22" t="inlineStr">
        <is>
          <r>
            <t xml:space="preserve">H</t>
          </r>
        </is>
      </c>
      <c r="E1029" s="24" t="n">
        <v>0.00980392</v>
      </c>
      <c r="F1029" s="30" t="n">
        <v>277.582</v>
      </c>
      <c r="G1029" s="30" t="n">
        <f>ROUND(ROUND(E1029,8)*F1029,4)</f>
        <v>2.7214</v>
      </c>
    </row>
    <row r="1030" customHeight="1" ht="18">
      <c r="A1030" s="2" t="inlineStr"/>
      <c r="B1030" s="2" t="inlineStr"/>
      <c r="C1030" s="2" t="inlineStr"/>
      <c r="D1030" s="2" t="inlineStr"/>
      <c r="E1030" s="26" t="inlineStr">
        <is>
          <r>
            <t xml:space="preserve">TOTAL Equipamento Custo Horário:</t>
          </r>
        </is>
      </c>
      <c r="F1030" s="26" t="inlineStr"/>
      <c r="G1030" s="31" t="n">
        <f>SUM(G1024:G1029)</f>
        <v>23.5867</v>
      </c>
    </row>
    <row r="1031" customHeight="1" ht="15">
      <c r="A1031" s="20" t="inlineStr">
        <is>
          <r>
            <t xml:space="preserve">Mão de Obra</t>
          </r>
        </is>
      </c>
      <c r="B1031" s="20" t="inlineStr"/>
      <c r="C1031" s="21" t="inlineStr">
        <is>
          <r>
            <t xml:space="preserve">FONTE</t>
          </r>
        </is>
      </c>
      <c r="D1031" s="21" t="inlineStr">
        <is>
          <r>
            <t xml:space="preserve">UNID</t>
          </r>
        </is>
      </c>
      <c r="E1031" s="21" t="inlineStr">
        <is>
          <r>
            <t xml:space="preserve">COEFICIENTE</t>
          </r>
        </is>
      </c>
      <c r="F1031" s="21" t="inlineStr">
        <is>
          <r>
            <t xml:space="preserve">PREÇO UNITÁRIO</t>
          </r>
        </is>
      </c>
      <c r="G1031" s="21" t="inlineStr">
        <is>
          <r>
            <t xml:space="preserve">TOTAL</t>
          </r>
        </is>
      </c>
    </row>
    <row r="1032" customHeight="1" ht="15">
      <c r="A1032" s="22" t="inlineStr">
        <is>
          <r>
            <t xml:space="preserve">I2543</t>
          </r>
        </is>
      </c>
      <c r="B1032" s="23" t="inlineStr">
        <is>
          <r>
            <t xml:space="preserve">SERVENTE</t>
          </r>
        </is>
      </c>
      <c r="C1032" s="22" t="inlineStr">
        <is>
          <r>
            <t xml:space="preserve">SEINFRA</t>
          </r>
        </is>
      </c>
      <c r="D1032" s="22" t="inlineStr">
        <is>
          <r>
            <t xml:space="preserve">H</t>
          </r>
        </is>
      </c>
      <c r="E1032" s="24" t="n">
        <v>0.02941176</v>
      </c>
      <c r="F1032" s="30" t="n">
        <v>18.46</v>
      </c>
      <c r="G1032" s="30" t="n">
        <f>ROUND(ROUND(E1032,8)*F1032,4)</f>
        <v>0.5429</v>
      </c>
    </row>
    <row r="1033" customHeight="1" ht="15">
      <c r="A1033" s="2" t="inlineStr"/>
      <c r="B1033" s="2" t="inlineStr"/>
      <c r="C1033" s="2" t="inlineStr"/>
      <c r="D1033" s="2" t="inlineStr"/>
      <c r="E1033" s="26" t="inlineStr">
        <is>
          <r>
            <t xml:space="preserve">TOTAL Mão de Obra:</t>
          </r>
        </is>
      </c>
      <c r="F1033" s="26" t="inlineStr"/>
      <c r="G1033" s="31" t="n">
        <f>SUM(G1032:G1032)</f>
        <v>0.5429</v>
      </c>
    </row>
    <row r="1034" customHeight="1" ht="15">
      <c r="A1034" s="2" t="inlineStr"/>
      <c r="B1034" s="2" t="inlineStr"/>
      <c r="C1034" s="2" t="inlineStr"/>
      <c r="D1034" s="2" t="inlineStr"/>
      <c r="E1034" s="28" t="inlineStr">
        <is>
          <r>
            <t xml:space="preserve">VALOR:</t>
          </r>
        </is>
      </c>
      <c r="F1034" s="28" t="inlineStr"/>
      <c r="G1034" s="29" t="n">
        <f>ROUND(SUM(G1030,G1033),2)</f>
        <v>24.13</v>
      </c>
    </row>
    <row r="1035" customHeight="1" ht="15">
      <c r="A1035" s="2" t="inlineStr"/>
      <c r="B1035" s="2" t="inlineStr"/>
      <c r="C1035" s="2" t="inlineStr"/>
      <c r="D1035" s="2" t="inlineStr"/>
      <c r="E1035" s="28" t="inlineStr">
        <is>
          <r>
            <t xml:space="preserve">VALOR BDI:</t>
          </r>
        </is>
      </c>
      <c r="F1035" s="28" t="inlineStr"/>
      <c r="G1035" s="29" t="n">
        <f>ROUND(G1034*(0/100),2)</f>
        <v>0.0</v>
      </c>
    </row>
    <row r="1036" customHeight="1" ht="15">
      <c r="A1036" s="2" t="inlineStr"/>
      <c r="B1036" s="2" t="inlineStr"/>
      <c r="C1036" s="2" t="inlineStr"/>
      <c r="D1036" s="2" t="inlineStr"/>
      <c r="E1036" s="28" t="inlineStr">
        <is>
          <r>
            <t xml:space="preserve">VALOR COM BDI:</t>
          </r>
        </is>
      </c>
      <c r="F1036" s="28" t="inlineStr"/>
      <c r="G1036" s="29" t="n">
        <f>G1035+G1034</f>
        <v>24.13</v>
      </c>
    </row>
    <row r="1037" customHeight="1" ht="10">
      <c r="A1037" s="2" t="inlineStr"/>
      <c r="B1037" s="2" t="inlineStr"/>
      <c r="C1037" s="2" t="inlineStr"/>
      <c r="D1037" s="2" t="inlineStr"/>
      <c r="E1037" s="18" t="inlineStr"/>
      <c r="F1037" s="18" t="inlineStr"/>
      <c r="G1037" s="18" t="inlineStr"/>
    </row>
    <row r="1038" customHeight="1" ht="20">
      <c r="A1038" s="19" t="inlineStr">
        <is>
          <r>
            <t xml:space="preserve">1.4.5.1. ​C3211​ ESCAVAÇÃO E CARGA DE MATERIAL DE JAZIDA​ (M3)</t>
          </r>
        </is>
      </c>
      <c r="B1038" s="19" t="inlineStr"/>
      <c r="C1038" s="19" t="inlineStr"/>
      <c r="D1038" s="19" t="inlineStr"/>
      <c r="E1038" s="19" t="inlineStr"/>
      <c r="F1038" s="19" t="inlineStr"/>
      <c r="G1038" s="19" t="inlineStr"/>
    </row>
    <row r="1039" customHeight="1" ht="15">
      <c r="A1039" s="20" t="inlineStr">
        <is>
          <r>
            <t xml:space="preserve">Equipamento Custo Horário</t>
          </r>
        </is>
      </c>
      <c r="B1039" s="20" t="inlineStr"/>
      <c r="C1039" s="21" t="inlineStr">
        <is>
          <r>
            <t xml:space="preserve">FONTE</t>
          </r>
        </is>
      </c>
      <c r="D1039" s="21" t="inlineStr">
        <is>
          <r>
            <t xml:space="preserve">UNID</t>
          </r>
        </is>
      </c>
      <c r="E1039" s="21" t="inlineStr">
        <is>
          <r>
            <t xml:space="preserve">COEFICIENTE</t>
          </r>
        </is>
      </c>
      <c r="F1039" s="21" t="inlineStr">
        <is>
          <r>
            <t xml:space="preserve">PREÇO UNITÁRIO</t>
          </r>
        </is>
      </c>
      <c r="G1039" s="21" t="inlineStr">
        <is>
          <r>
            <t xml:space="preserve">TOTAL</t>
          </r>
        </is>
      </c>
    </row>
    <row r="1040" customHeight="1" ht="15">
      <c r="A1040" s="22" t="inlineStr">
        <is>
          <r>
            <t xml:space="preserve">I0596</t>
          </r>
        </is>
      </c>
      <c r="B1040" s="23" t="inlineStr">
        <is>
          <r>
            <t xml:space="preserve">CARREGADEIRA DE PNEUS HP 180 (CHI)</t>
          </r>
        </is>
      </c>
      <c r="C1040" s="22" t="inlineStr">
        <is>
          <r>
            <t xml:space="preserve">SEINFRA</t>
          </r>
        </is>
      </c>
      <c r="D1040" s="22" t="inlineStr">
        <is>
          <r>
            <t xml:space="preserve">H</t>
          </r>
        </is>
      </c>
      <c r="E1040" s="24" t="n">
        <v>7.519E-5</v>
      </c>
      <c r="F1040" s="30" t="n">
        <v>106.3468</v>
      </c>
      <c r="G1040" s="30" t="n">
        <f>ROUND(ROUND(E1040,8)*F1040,4)</f>
        <v>0.008</v>
      </c>
    </row>
    <row r="1041" customHeight="1" ht="15">
      <c r="A1041" s="22" t="inlineStr">
        <is>
          <r>
            <t xml:space="preserve">I0710</t>
          </r>
        </is>
      </c>
      <c r="B1041" s="23" t="inlineStr">
        <is>
          <r>
            <t xml:space="preserve">CARREGADEIRA DE PNEUS HP 180 (CHP)</t>
          </r>
        </is>
      </c>
      <c r="C1041" s="22" t="inlineStr">
        <is>
          <r>
            <t xml:space="preserve">SEINFRA</t>
          </r>
        </is>
      </c>
      <c r="D1041" s="22" t="inlineStr">
        <is>
          <r>
            <t xml:space="preserve">H</t>
          </r>
        </is>
      </c>
      <c r="E1041" s="24" t="n">
        <v>0.00744361</v>
      </c>
      <c r="F1041" s="30" t="n">
        <v>328.0339</v>
      </c>
      <c r="G1041" s="30" t="n">
        <f>ROUND(ROUND(E1041,8)*F1041,4)</f>
        <v>2.4418</v>
      </c>
    </row>
    <row r="1042" customHeight="1" ht="15">
      <c r="A1042" s="22" t="inlineStr">
        <is>
          <r>
            <t xml:space="preserve">I0666</t>
          </r>
        </is>
      </c>
      <c r="B1042" s="23" t="inlineStr">
        <is>
          <r>
            <t xml:space="preserve">TRATOR DE ESTEIRAS C/LÂMINA E ESC. HP 155 (CHI)</t>
          </r>
        </is>
      </c>
      <c r="C1042" s="22" t="inlineStr">
        <is>
          <r>
            <t xml:space="preserve">SEINFRA</t>
          </r>
        </is>
      </c>
      <c r="D1042" s="22" t="inlineStr">
        <is>
          <r>
            <t xml:space="preserve">H</t>
          </r>
        </is>
      </c>
      <c r="E1042" s="24" t="n">
        <v>0.0</v>
      </c>
      <c r="F1042" s="30" t="n">
        <v>93.1931</v>
      </c>
      <c r="G1042" s="30" t="n">
        <f>ROUND(ROUND(E1042,8)*F1042,4)</f>
        <v>0.0</v>
      </c>
    </row>
    <row r="1043" customHeight="1" ht="15">
      <c r="A1043" s="22" t="inlineStr">
        <is>
          <r>
            <t xml:space="preserve">I0779</t>
          </r>
        </is>
      </c>
      <c r="B1043" s="23" t="inlineStr">
        <is>
          <r>
            <t xml:space="preserve">TRATOR DE ESTEIRAS C/LÂMINA E ESC. HP 155 (CHP)</t>
          </r>
        </is>
      </c>
      <c r="C1043" s="22" t="inlineStr">
        <is>
          <r>
            <t xml:space="preserve">SEINFRA</t>
          </r>
        </is>
      </c>
      <c r="D1043" s="22" t="inlineStr">
        <is>
          <r>
            <t xml:space="preserve">H</t>
          </r>
        </is>
      </c>
      <c r="E1043" s="24" t="n">
        <v>0.0075188</v>
      </c>
      <c r="F1043" s="30" t="n">
        <v>277.582</v>
      </c>
      <c r="G1043" s="30" t="n">
        <f>ROUND(ROUND(E1043,8)*F1043,4)</f>
        <v>2.0871</v>
      </c>
    </row>
    <row r="1044" customHeight="1" ht="18">
      <c r="A1044" s="2" t="inlineStr"/>
      <c r="B1044" s="2" t="inlineStr"/>
      <c r="C1044" s="2" t="inlineStr"/>
      <c r="D1044" s="2" t="inlineStr"/>
      <c r="E1044" s="26" t="inlineStr">
        <is>
          <r>
            <t xml:space="preserve">TOTAL Equipamento Custo Horário:</t>
          </r>
        </is>
      </c>
      <c r="F1044" s="26" t="inlineStr"/>
      <c r="G1044" s="31" t="n">
        <f>SUM(G1040:G1043)</f>
        <v>4.5369</v>
      </c>
    </row>
    <row r="1045" customHeight="1" ht="15">
      <c r="A1045" s="20" t="inlineStr">
        <is>
          <r>
            <t xml:space="preserve">Mão de Obra</t>
          </r>
        </is>
      </c>
      <c r="B1045" s="20" t="inlineStr"/>
      <c r="C1045" s="21" t="inlineStr">
        <is>
          <r>
            <t xml:space="preserve">FONTE</t>
          </r>
        </is>
      </c>
      <c r="D1045" s="21" t="inlineStr">
        <is>
          <r>
            <t xml:space="preserve">UNID</t>
          </r>
        </is>
      </c>
      <c r="E1045" s="21" t="inlineStr">
        <is>
          <r>
            <t xml:space="preserve">COEFICIENTE</t>
          </r>
        </is>
      </c>
      <c r="F1045" s="21" t="inlineStr">
        <is>
          <r>
            <t xml:space="preserve">PREÇO UNITÁRIO</t>
          </r>
        </is>
      </c>
      <c r="G1045" s="21" t="inlineStr">
        <is>
          <r>
            <t xml:space="preserve">TOTAL</t>
          </r>
        </is>
      </c>
    </row>
    <row r="1046" customHeight="1" ht="15">
      <c r="A1046" s="22" t="inlineStr">
        <is>
          <r>
            <t xml:space="preserve">I2543</t>
          </r>
        </is>
      </c>
      <c r="B1046" s="23" t="inlineStr">
        <is>
          <r>
            <t xml:space="preserve">SERVENTE</t>
          </r>
        </is>
      </c>
      <c r="C1046" s="22" t="inlineStr">
        <is>
          <r>
            <t xml:space="preserve">SEINFRA</t>
          </r>
        </is>
      </c>
      <c r="D1046" s="22" t="inlineStr">
        <is>
          <r>
            <t xml:space="preserve">H</t>
          </r>
        </is>
      </c>
      <c r="E1046" s="24" t="n">
        <v>0.01503759</v>
      </c>
      <c r="F1046" s="30" t="n">
        <v>18.46</v>
      </c>
      <c r="G1046" s="30" t="n">
        <f>ROUND(ROUND(E1046,8)*F1046,4)</f>
        <v>0.2776</v>
      </c>
    </row>
    <row r="1047" customHeight="1" ht="15">
      <c r="A1047" s="2" t="inlineStr"/>
      <c r="B1047" s="2" t="inlineStr"/>
      <c r="C1047" s="2" t="inlineStr"/>
      <c r="D1047" s="2" t="inlineStr"/>
      <c r="E1047" s="26" t="inlineStr">
        <is>
          <r>
            <t xml:space="preserve">TOTAL Mão de Obra:</t>
          </r>
        </is>
      </c>
      <c r="F1047" s="26" t="inlineStr"/>
      <c r="G1047" s="31" t="n">
        <f>SUM(G1046:G1046)</f>
        <v>0.2776</v>
      </c>
    </row>
    <row r="1048" customHeight="1" ht="15">
      <c r="A1048" s="2" t="inlineStr"/>
      <c r="B1048" s="2" t="inlineStr"/>
      <c r="C1048" s="2" t="inlineStr"/>
      <c r="D1048" s="2" t="inlineStr"/>
      <c r="E1048" s="28" t="inlineStr">
        <is>
          <r>
            <t xml:space="preserve">VALOR:</t>
          </r>
        </is>
      </c>
      <c r="F1048" s="28" t="inlineStr"/>
      <c r="G1048" s="29" t="n">
        <f>ROUND(SUM(G1044,G1047),2)</f>
        <v>4.81</v>
      </c>
    </row>
    <row r="1049" customHeight="1" ht="15">
      <c r="A1049" s="2" t="inlineStr"/>
      <c r="B1049" s="2" t="inlineStr"/>
      <c r="C1049" s="2" t="inlineStr"/>
      <c r="D1049" s="2" t="inlineStr"/>
      <c r="E1049" s="28" t="inlineStr">
        <is>
          <r>
            <t xml:space="preserve">VALOR BDI:</t>
          </r>
        </is>
      </c>
      <c r="F1049" s="28" t="inlineStr"/>
      <c r="G1049" s="29" t="n">
        <f>ROUND(G1048*(0/100),2)</f>
        <v>0.0</v>
      </c>
    </row>
    <row r="1050" customHeight="1" ht="15">
      <c r="A1050" s="2" t="inlineStr"/>
      <c r="B1050" s="2" t="inlineStr"/>
      <c r="C1050" s="2" t="inlineStr"/>
      <c r="D1050" s="2" t="inlineStr"/>
      <c r="E1050" s="28" t="inlineStr">
        <is>
          <r>
            <t xml:space="preserve">VALOR COM BDI:</t>
          </r>
        </is>
      </c>
      <c r="F1050" s="28" t="inlineStr"/>
      <c r="G1050" s="29" t="n">
        <f>G1049+G1048</f>
        <v>4.81</v>
      </c>
    </row>
    <row r="1051" customHeight="1" ht="10">
      <c r="A1051" s="2" t="inlineStr"/>
      <c r="B1051" s="2" t="inlineStr"/>
      <c r="C1051" s="2" t="inlineStr"/>
      <c r="D1051" s="2" t="inlineStr"/>
      <c r="E1051" s="18" t="inlineStr"/>
      <c r="F1051" s="18" t="inlineStr"/>
      <c r="G1051" s="18" t="inlineStr"/>
    </row>
    <row r="1052" customHeight="1" ht="20">
      <c r="A1052" s="19" t="inlineStr">
        <is>
          <r>
            <t xml:space="preserve">1.4.5.2. ​C2533​ TRANSPORTE DE MATERIAL, EXCETO ROCHA EM CAMINHÃO ATÉ 5 KM​ (M3)</t>
          </r>
        </is>
      </c>
      <c r="B1052" s="19" t="inlineStr"/>
      <c r="C1052" s="19" t="inlineStr"/>
      <c r="D1052" s="19" t="inlineStr"/>
      <c r="E1052" s="19" t="inlineStr"/>
      <c r="F1052" s="19" t="inlineStr"/>
      <c r="G1052" s="19" t="inlineStr"/>
    </row>
    <row r="1053" customHeight="1" ht="15">
      <c r="A1053" s="20" t="inlineStr">
        <is>
          <r>
            <t xml:space="preserve">Equipamento Custo Horário</t>
          </r>
        </is>
      </c>
      <c r="B1053" s="20" t="inlineStr"/>
      <c r="C1053" s="21" t="inlineStr">
        <is>
          <r>
            <t xml:space="preserve">FONTE</t>
          </r>
        </is>
      </c>
      <c r="D1053" s="21" t="inlineStr">
        <is>
          <r>
            <t xml:space="preserve">UNID</t>
          </r>
        </is>
      </c>
      <c r="E1053" s="21" t="inlineStr">
        <is>
          <r>
            <t xml:space="preserve">COEFICIENTE</t>
          </r>
        </is>
      </c>
      <c r="F1053" s="21" t="inlineStr">
        <is>
          <r>
            <t xml:space="preserve">PREÇO UNITÁRIO</t>
          </r>
        </is>
      </c>
      <c r="G1053" s="21" t="inlineStr">
        <is>
          <r>
            <t xml:space="preserve">TOTAL</t>
          </r>
        </is>
      </c>
    </row>
    <row r="1054" customHeight="1" ht="15">
      <c r="A1054" s="22" t="inlineStr">
        <is>
          <r>
            <t xml:space="preserve">I0690</t>
          </r>
        </is>
      </c>
      <c r="B1054" s="23" t="inlineStr">
        <is>
          <r>
            <t xml:space="preserve">CAMINHÃO BASCULANTE 6 M3 (CHP)</t>
          </r>
        </is>
      </c>
      <c r="C1054" s="22" t="inlineStr">
        <is>
          <r>
            <t xml:space="preserve">SEINFRA</t>
          </r>
        </is>
      </c>
      <c r="D1054" s="22" t="inlineStr">
        <is>
          <r>
            <t xml:space="preserve">H</t>
          </r>
        </is>
      </c>
      <c r="E1054" s="24" t="n">
        <v>0.1852</v>
      </c>
      <c r="F1054" s="30" t="n">
        <v>173.7102</v>
      </c>
      <c r="G1054" s="30" t="n">
        <f>ROUND(ROUND(E1054,8)*F1054,4)</f>
        <v>32.1711</v>
      </c>
    </row>
    <row r="1055" customHeight="1" ht="18">
      <c r="A1055" s="2" t="inlineStr"/>
      <c r="B1055" s="2" t="inlineStr"/>
      <c r="C1055" s="2" t="inlineStr"/>
      <c r="D1055" s="2" t="inlineStr"/>
      <c r="E1055" s="26" t="inlineStr">
        <is>
          <r>
            <t xml:space="preserve">TOTAL Equipamento Custo Horário:</t>
          </r>
        </is>
      </c>
      <c r="F1055" s="26" t="inlineStr"/>
      <c r="G1055" s="31" t="n">
        <f>SUM(G1054:G1054)</f>
        <v>32.1711</v>
      </c>
    </row>
    <row r="1056" customHeight="1" ht="15">
      <c r="A1056" s="2" t="inlineStr"/>
      <c r="B1056" s="2" t="inlineStr"/>
      <c r="C1056" s="2" t="inlineStr"/>
      <c r="D1056" s="2" t="inlineStr"/>
      <c r="E1056" s="28" t="inlineStr">
        <is>
          <r>
            <t xml:space="preserve">VALOR:</t>
          </r>
        </is>
      </c>
      <c r="F1056" s="28" t="inlineStr"/>
      <c r="G1056" s="29" t="n">
        <f>ROUND(SUM(G1055),2)</f>
        <v>32.17</v>
      </c>
    </row>
    <row r="1057" customHeight="1" ht="15">
      <c r="A1057" s="2" t="inlineStr"/>
      <c r="B1057" s="2" t="inlineStr"/>
      <c r="C1057" s="2" t="inlineStr"/>
      <c r="D1057" s="2" t="inlineStr"/>
      <c r="E1057" s="28" t="inlineStr">
        <is>
          <r>
            <t xml:space="preserve">VALOR BDI:</t>
          </r>
        </is>
      </c>
      <c r="F1057" s="28" t="inlineStr"/>
      <c r="G1057" s="29" t="n">
        <f>ROUND(G1056*(0/100),2)</f>
        <v>0.0</v>
      </c>
    </row>
    <row r="1058" customHeight="1" ht="15">
      <c r="A1058" s="2" t="inlineStr"/>
      <c r="B1058" s="2" t="inlineStr"/>
      <c r="C1058" s="2" t="inlineStr"/>
      <c r="D1058" s="2" t="inlineStr"/>
      <c r="E1058" s="28" t="inlineStr">
        <is>
          <r>
            <t xml:space="preserve">VALOR COM BDI:</t>
          </r>
        </is>
      </c>
      <c r="F1058" s="28" t="inlineStr"/>
      <c r="G1058" s="29" t="n">
        <f>G1057+G1056</f>
        <v>32.17</v>
      </c>
    </row>
    <row r="1059" customHeight="1" ht="10">
      <c r="A1059" s="2" t="inlineStr"/>
      <c r="B1059" s="2" t="inlineStr"/>
      <c r="C1059" s="2" t="inlineStr"/>
      <c r="D1059" s="2" t="inlineStr"/>
      <c r="E1059" s="18" t="inlineStr"/>
      <c r="F1059" s="18" t="inlineStr"/>
      <c r="G1059" s="18" t="inlineStr"/>
    </row>
    <row r="1060" customHeight="1" ht="20">
      <c r="A1060" s="19" t="inlineStr">
        <is>
          <r>
            <t xml:space="preserve">1.4.5.3. ​C3146​ COMPACTAÇÃO DE ATERROS 100% P.N​ (M3)</t>
          </r>
        </is>
      </c>
      <c r="B1060" s="19" t="inlineStr"/>
      <c r="C1060" s="19" t="inlineStr"/>
      <c r="D1060" s="19" t="inlineStr"/>
      <c r="E1060" s="19" t="inlineStr"/>
      <c r="F1060" s="19" t="inlineStr"/>
      <c r="G1060" s="19" t="inlineStr"/>
    </row>
    <row r="1061" customHeight="1" ht="15">
      <c r="A1061" s="20" t="inlineStr">
        <is>
          <r>
            <t xml:space="preserve">Equipamento Custo Horário</t>
          </r>
        </is>
      </c>
      <c r="B1061" s="20" t="inlineStr"/>
      <c r="C1061" s="21" t="inlineStr">
        <is>
          <r>
            <t xml:space="preserve">FONTE</t>
          </r>
        </is>
      </c>
      <c r="D1061" s="21" t="inlineStr">
        <is>
          <r>
            <t xml:space="preserve">UNID</t>
          </r>
        </is>
      </c>
      <c r="E1061" s="21" t="inlineStr">
        <is>
          <r>
            <t xml:space="preserve">COEFICIENTE</t>
          </r>
        </is>
      </c>
      <c r="F1061" s="21" t="inlineStr">
        <is>
          <r>
            <t xml:space="preserve">PREÇO UNITÁRIO</t>
          </r>
        </is>
      </c>
      <c r="G1061" s="21" t="inlineStr">
        <is>
          <r>
            <t xml:space="preserve">TOTAL</t>
          </r>
        </is>
      </c>
    </row>
    <row r="1062" customHeight="1" ht="15">
      <c r="A1062" s="22" t="inlineStr">
        <is>
          <r>
            <t xml:space="preserve">I0590</t>
          </r>
        </is>
      </c>
      <c r="B1062" s="23" t="inlineStr">
        <is>
          <r>
            <t xml:space="preserve">CAMINHÃO TANQUE 8.000 l (CHI)</t>
          </r>
        </is>
      </c>
      <c r="C1062" s="22" t="inlineStr">
        <is>
          <r>
            <t xml:space="preserve">SEINFRA</t>
          </r>
        </is>
      </c>
      <c r="D1062" s="22" t="inlineStr">
        <is>
          <r>
            <t xml:space="preserve">H</t>
          </r>
        </is>
      </c>
      <c r="E1062" s="24" t="n">
        <v>0.0</v>
      </c>
      <c r="F1062" s="30" t="n">
        <v>70.4941</v>
      </c>
      <c r="G1062" s="30" t="n">
        <f>ROUND(ROUND(E1062,8)*F1062,4)</f>
        <v>0.0</v>
      </c>
    </row>
    <row r="1063" customHeight="1" ht="15">
      <c r="A1063" s="22" t="inlineStr">
        <is>
          <r>
            <t xml:space="preserve">I0698</t>
          </r>
        </is>
      </c>
      <c r="B1063" s="23" t="inlineStr">
        <is>
          <r>
            <t xml:space="preserve">CAMINHÃO TANQUE 8.000 l (CHP)</t>
          </r>
        </is>
      </c>
      <c r="C1063" s="22" t="inlineStr">
        <is>
          <r>
            <t xml:space="preserve">SEINFRA</t>
          </r>
        </is>
      </c>
      <c r="D1063" s="22" t="inlineStr">
        <is>
          <r>
            <t xml:space="preserve">H</t>
          </r>
        </is>
      </c>
      <c r="E1063" s="24" t="n">
        <v>0.00888889</v>
      </c>
      <c r="F1063" s="30" t="n">
        <v>213.8811</v>
      </c>
      <c r="G1063" s="30" t="n">
        <f>ROUND(ROUND(E1063,8)*F1063,4)</f>
        <v>1.9012</v>
      </c>
    </row>
    <row r="1064" customHeight="1" ht="15">
      <c r="A1064" s="22" t="inlineStr">
        <is>
          <r>
            <t xml:space="preserve">I0610</t>
          </r>
        </is>
      </c>
      <c r="B1064" s="23" t="inlineStr">
        <is>
          <r>
            <t xml:space="preserve">COMPAC. PÉ DE CARNEIRO VIBRAT. AUTOPROP. (CHI)</t>
          </r>
        </is>
      </c>
      <c r="C1064" s="22" t="inlineStr">
        <is>
          <r>
            <t xml:space="preserve">SEINFRA</t>
          </r>
        </is>
      </c>
      <c r="D1064" s="22" t="inlineStr">
        <is>
          <r>
            <t xml:space="preserve">H</t>
          </r>
        </is>
      </c>
      <c r="E1064" s="24" t="n">
        <v>0.00182222</v>
      </c>
      <c r="F1064" s="30" t="n">
        <v>81.7441</v>
      </c>
      <c r="G1064" s="30" t="n">
        <f>ROUND(ROUND(E1064,8)*F1064,4)</f>
        <v>0.149</v>
      </c>
    </row>
    <row r="1065" customHeight="1" ht="15">
      <c r="A1065" s="22" t="inlineStr">
        <is>
          <r>
            <t xml:space="preserve">I0723</t>
          </r>
        </is>
      </c>
      <c r="B1065" s="23" t="inlineStr">
        <is>
          <r>
            <t xml:space="preserve">COMPAC. PÉ DE CARNEIRO VIBRAT. AUTOPROP. (CHP)</t>
          </r>
        </is>
      </c>
      <c r="C1065" s="22" t="inlineStr">
        <is>
          <r>
            <t xml:space="preserve">SEINFRA</t>
          </r>
        </is>
      </c>
      <c r="D1065" s="22" t="inlineStr">
        <is>
          <r>
            <t xml:space="preserve">H</t>
          </r>
        </is>
      </c>
      <c r="E1065" s="24" t="n">
        <v>0.00262222</v>
      </c>
      <c r="F1065" s="30" t="n">
        <v>228.4466</v>
      </c>
      <c r="G1065" s="30" t="n">
        <f>ROUND(ROUND(E1065,8)*F1065,4)</f>
        <v>0.599</v>
      </c>
    </row>
    <row r="1066" customHeight="1" ht="15">
      <c r="A1066" s="22" t="inlineStr">
        <is>
          <r>
            <t xml:space="preserve">I0625</t>
          </r>
        </is>
      </c>
      <c r="B1066" s="23" t="inlineStr">
        <is>
          <r>
            <t xml:space="preserve">GRADE DE DISCOS (CHI)</t>
          </r>
        </is>
      </c>
      <c r="C1066" s="22" t="inlineStr">
        <is>
          <r>
            <t xml:space="preserve">SEINFRA</t>
          </r>
        </is>
      </c>
      <c r="D1066" s="22" t="inlineStr">
        <is>
          <r>
            <t xml:space="preserve">H</t>
          </r>
        </is>
      </c>
      <c r="E1066" s="24" t="n">
        <v>7.5556E-4</v>
      </c>
      <c r="F1066" s="30" t="n">
        <v>4.8946</v>
      </c>
      <c r="G1066" s="30" t="n">
        <f>ROUND(ROUND(E1066,8)*F1066,4)</f>
        <v>0.0037</v>
      </c>
    </row>
    <row r="1067" customHeight="1" ht="15">
      <c r="A1067" s="22" t="inlineStr">
        <is>
          <r>
            <t xml:space="preserve">I0739</t>
          </r>
        </is>
      </c>
      <c r="B1067" s="23" t="inlineStr">
        <is>
          <r>
            <t xml:space="preserve">GRADE DE DISCOS (CHP)</t>
          </r>
        </is>
      </c>
      <c r="C1067" s="22" t="inlineStr">
        <is>
          <r>
            <t xml:space="preserve">SEINFRA</t>
          </r>
        </is>
      </c>
      <c r="D1067" s="22" t="inlineStr">
        <is>
          <r>
            <t xml:space="preserve">H</t>
          </r>
        </is>
      </c>
      <c r="E1067" s="24" t="n">
        <v>0.00368889</v>
      </c>
      <c r="F1067" s="30" t="n">
        <v>6.8842</v>
      </c>
      <c r="G1067" s="30" t="n">
        <f>ROUND(ROUND(E1067,8)*F1067,4)</f>
        <v>0.0254</v>
      </c>
    </row>
    <row r="1068" customHeight="1" ht="15">
      <c r="A1068" s="22" t="inlineStr">
        <is>
          <r>
            <t xml:space="preserve">I0642</t>
          </r>
        </is>
      </c>
      <c r="B1068" s="23" t="inlineStr">
        <is>
          <r>
            <t xml:space="preserve">MOTO NIVELADORA (CHI)</t>
          </r>
        </is>
      </c>
      <c r="C1068" s="22" t="inlineStr">
        <is>
          <r>
            <t xml:space="preserve">SEINFRA</t>
          </r>
        </is>
      </c>
      <c r="D1068" s="22" t="inlineStr">
        <is>
          <r>
            <t xml:space="preserve">H</t>
          </r>
        </is>
      </c>
      <c r="E1068" s="24" t="n">
        <v>0.0</v>
      </c>
      <c r="F1068" s="30" t="n">
        <v>121.9582</v>
      </c>
      <c r="G1068" s="30" t="n">
        <f>ROUND(ROUND(E1068,8)*F1068,4)</f>
        <v>0.0</v>
      </c>
    </row>
    <row r="1069" customHeight="1" ht="15">
      <c r="A1069" s="22" t="inlineStr">
        <is>
          <r>
            <t xml:space="preserve">I0756</t>
          </r>
        </is>
      </c>
      <c r="B1069" s="23" t="inlineStr">
        <is>
          <r>
            <t xml:space="preserve">MOTO NIVELADORA (CHP)</t>
          </r>
        </is>
      </c>
      <c r="C1069" s="22" t="inlineStr">
        <is>
          <r>
            <t xml:space="preserve">SEINFRA</t>
          </r>
        </is>
      </c>
      <c r="D1069" s="22" t="inlineStr">
        <is>
          <r>
            <t xml:space="preserve">H</t>
          </r>
        </is>
      </c>
      <c r="E1069" s="24" t="n">
        <v>0.00444444</v>
      </c>
      <c r="F1069" s="30" t="n">
        <v>307.8011</v>
      </c>
      <c r="G1069" s="30" t="n">
        <f>ROUND(ROUND(E1069,8)*F1069,4)</f>
        <v>1.368</v>
      </c>
    </row>
    <row r="1070" customHeight="1" ht="15">
      <c r="A1070" s="22" t="inlineStr">
        <is>
          <r>
            <t xml:space="preserve">I0667</t>
          </r>
        </is>
      </c>
      <c r="B1070" s="23" t="inlineStr">
        <is>
          <r>
            <t xml:space="preserve">TRATOR DE PNEUS (CHI)</t>
          </r>
        </is>
      </c>
      <c r="C1070" s="22" t="inlineStr">
        <is>
          <r>
            <t xml:space="preserve">SEINFRA</t>
          </r>
        </is>
      </c>
      <c r="D1070" s="22" t="inlineStr">
        <is>
          <r>
            <t xml:space="preserve">H</t>
          </r>
        </is>
      </c>
      <c r="E1070" s="24" t="n">
        <v>7.5556E-4</v>
      </c>
      <c r="F1070" s="30" t="n">
        <v>37.2018</v>
      </c>
      <c r="G1070" s="30" t="n">
        <f>ROUND(ROUND(E1070,8)*F1070,4)</f>
        <v>0.0281</v>
      </c>
    </row>
    <row r="1071" customHeight="1" ht="15">
      <c r="A1071" s="22" t="inlineStr">
        <is>
          <r>
            <t xml:space="preserve">I0780</t>
          </r>
        </is>
      </c>
      <c r="B1071" s="23" t="inlineStr">
        <is>
          <r>
            <t xml:space="preserve">TRATOR DE PNEUS (CHP)</t>
          </r>
        </is>
      </c>
      <c r="C1071" s="22" t="inlineStr">
        <is>
          <r>
            <t xml:space="preserve">SEINFRA</t>
          </r>
        </is>
      </c>
      <c r="D1071" s="22" t="inlineStr">
        <is>
          <r>
            <t xml:space="preserve">H</t>
          </r>
        </is>
      </c>
      <c r="E1071" s="24" t="n">
        <v>0.00368889</v>
      </c>
      <c r="F1071" s="30" t="n">
        <v>124.7249</v>
      </c>
      <c r="G1071" s="30" t="n">
        <f>ROUND(ROUND(E1071,8)*F1071,4)</f>
        <v>0.4601</v>
      </c>
    </row>
    <row r="1072" customHeight="1" ht="18">
      <c r="A1072" s="2" t="inlineStr"/>
      <c r="B1072" s="2" t="inlineStr"/>
      <c r="C1072" s="2" t="inlineStr"/>
      <c r="D1072" s="2" t="inlineStr"/>
      <c r="E1072" s="26" t="inlineStr">
        <is>
          <r>
            <t xml:space="preserve">TOTAL Equipamento Custo Horário:</t>
          </r>
        </is>
      </c>
      <c r="F1072" s="26" t="inlineStr"/>
      <c r="G1072" s="31" t="n">
        <f>SUM(G1062:G1071)</f>
        <v>4.5345</v>
      </c>
    </row>
    <row r="1073" customHeight="1" ht="15">
      <c r="A1073" s="20" t="inlineStr">
        <is>
          <r>
            <t xml:space="preserve">Mão de Obra</t>
          </r>
        </is>
      </c>
      <c r="B1073" s="20" t="inlineStr"/>
      <c r="C1073" s="21" t="inlineStr">
        <is>
          <r>
            <t xml:space="preserve">FONTE</t>
          </r>
        </is>
      </c>
      <c r="D1073" s="21" t="inlineStr">
        <is>
          <r>
            <t xml:space="preserve">UNID</t>
          </r>
        </is>
      </c>
      <c r="E1073" s="21" t="inlineStr">
        <is>
          <r>
            <t xml:space="preserve">COEFICIENTE</t>
          </r>
        </is>
      </c>
      <c r="F1073" s="21" t="inlineStr">
        <is>
          <r>
            <t xml:space="preserve">PREÇO UNITÁRIO</t>
          </r>
        </is>
      </c>
      <c r="G1073" s="21" t="inlineStr">
        <is>
          <r>
            <t xml:space="preserve">TOTAL</t>
          </r>
        </is>
      </c>
    </row>
    <row r="1074" customHeight="1" ht="15">
      <c r="A1074" s="22" t="inlineStr">
        <is>
          <r>
            <t xml:space="preserve">I2543</t>
          </r>
        </is>
      </c>
      <c r="B1074" s="23" t="inlineStr">
        <is>
          <r>
            <t xml:space="preserve">SERVENTE</t>
          </r>
        </is>
      </c>
      <c r="C1074" s="22" t="inlineStr">
        <is>
          <r>
            <t xml:space="preserve">SEINFRA</t>
          </r>
        </is>
      </c>
      <c r="D1074" s="22" t="inlineStr">
        <is>
          <r>
            <t xml:space="preserve">H</t>
          </r>
        </is>
      </c>
      <c r="E1074" s="24" t="n">
        <v>0.02222222</v>
      </c>
      <c r="F1074" s="30" t="n">
        <v>18.46</v>
      </c>
      <c r="G1074" s="30" t="n">
        <f>ROUND(ROUND(E1074,8)*F1074,4)</f>
        <v>0.4102</v>
      </c>
    </row>
    <row r="1075" customHeight="1" ht="15">
      <c r="A1075" s="2" t="inlineStr"/>
      <c r="B1075" s="2" t="inlineStr"/>
      <c r="C1075" s="2" t="inlineStr"/>
      <c r="D1075" s="2" t="inlineStr"/>
      <c r="E1075" s="26" t="inlineStr">
        <is>
          <r>
            <t xml:space="preserve">TOTAL Mão de Obra:</t>
          </r>
        </is>
      </c>
      <c r="F1075" s="26" t="inlineStr"/>
      <c r="G1075" s="31" t="n">
        <f>SUM(G1074:G1074)</f>
        <v>0.4102</v>
      </c>
    </row>
    <row r="1076" customHeight="1" ht="15">
      <c r="A1076" s="2" t="inlineStr"/>
      <c r="B1076" s="2" t="inlineStr"/>
      <c r="C1076" s="2" t="inlineStr"/>
      <c r="D1076" s="2" t="inlineStr"/>
      <c r="E1076" s="28" t="inlineStr">
        <is>
          <r>
            <t xml:space="preserve">VALOR:</t>
          </r>
        </is>
      </c>
      <c r="F1076" s="28" t="inlineStr"/>
      <c r="G1076" s="29" t="n">
        <f>ROUND(SUM(G1072,G1075),2)</f>
        <v>4.94</v>
      </c>
    </row>
    <row r="1077" customHeight="1" ht="15">
      <c r="A1077" s="2" t="inlineStr"/>
      <c r="B1077" s="2" t="inlineStr"/>
      <c r="C1077" s="2" t="inlineStr"/>
      <c r="D1077" s="2" t="inlineStr"/>
      <c r="E1077" s="28" t="inlineStr">
        <is>
          <r>
            <t xml:space="preserve">VALOR BDI:</t>
          </r>
        </is>
      </c>
      <c r="F1077" s="28" t="inlineStr"/>
      <c r="G1077" s="29" t="n">
        <f>ROUND(G1076*(0/100),2)</f>
        <v>0.0</v>
      </c>
    </row>
    <row r="1078" customHeight="1" ht="15">
      <c r="A1078" s="2" t="inlineStr"/>
      <c r="B1078" s="2" t="inlineStr"/>
      <c r="C1078" s="2" t="inlineStr"/>
      <c r="D1078" s="2" t="inlineStr"/>
      <c r="E1078" s="28" t="inlineStr">
        <is>
          <r>
            <t xml:space="preserve">VALOR COM BDI:</t>
          </r>
        </is>
      </c>
      <c r="F1078" s="28" t="inlineStr"/>
      <c r="G1078" s="29" t="n">
        <f>G1077+G1076</f>
        <v>4.94</v>
      </c>
    </row>
    <row r="1079" customHeight="1" ht="10">
      <c r="A1079" s="2" t="inlineStr"/>
      <c r="B1079" s="2" t="inlineStr"/>
      <c r="C1079" s="2" t="inlineStr"/>
      <c r="D1079" s="2" t="inlineStr"/>
      <c r="E1079" s="18" t="inlineStr"/>
      <c r="F1079" s="18" t="inlineStr"/>
      <c r="G1079" s="18" t="inlineStr"/>
    </row>
    <row r="1080" customHeight="1" ht="20">
      <c r="A1080" s="19" t="inlineStr">
        <is>
          <r>
            <t xml:space="preserve">1.4.5.4. ​C2840​ INDENIZAÇÃO DE JAZIDA​ (M3)</t>
          </r>
        </is>
      </c>
      <c r="B1080" s="19" t="inlineStr"/>
      <c r="C1080" s="19" t="inlineStr"/>
      <c r="D1080" s="19" t="inlineStr"/>
      <c r="E1080" s="19" t="inlineStr"/>
      <c r="F1080" s="19" t="inlineStr"/>
      <c r="G1080" s="19" t="inlineStr"/>
    </row>
    <row r="1081" customHeight="1" ht="15">
      <c r="A1081" s="20" t="inlineStr">
        <is>
          <r>
            <t xml:space="preserve">Material</t>
          </r>
        </is>
      </c>
      <c r="B1081" s="20" t="inlineStr"/>
      <c r="C1081" s="21" t="inlineStr">
        <is>
          <r>
            <t xml:space="preserve">FONTE</t>
          </r>
        </is>
      </c>
      <c r="D1081" s="21" t="inlineStr">
        <is>
          <r>
            <t xml:space="preserve">UNID</t>
          </r>
        </is>
      </c>
      <c r="E1081" s="21" t="inlineStr">
        <is>
          <r>
            <t xml:space="preserve">COEFICIENTE</t>
          </r>
        </is>
      </c>
      <c r="F1081" s="21" t="inlineStr">
        <is>
          <r>
            <t xml:space="preserve">PREÇO UNITÁRIO</t>
          </r>
        </is>
      </c>
      <c r="G1081" s="21" t="inlineStr">
        <is>
          <r>
            <t xml:space="preserve">TOTAL</t>
          </r>
        </is>
      </c>
    </row>
    <row r="1082" customHeight="1" ht="15">
      <c r="A1082" s="22" t="inlineStr">
        <is>
          <r>
            <t xml:space="preserve">I2354</t>
          </r>
        </is>
      </c>
      <c r="B1082" s="23" t="inlineStr">
        <is>
          <r>
            <t xml:space="preserve">INDENIZAÇÃO DE JAZIDA</t>
          </r>
        </is>
      </c>
      <c r="C1082" s="22" t="inlineStr">
        <is>
          <r>
            <t xml:space="preserve">SEINFRA</t>
          </r>
        </is>
      </c>
      <c r="D1082" s="22" t="inlineStr">
        <is>
          <r>
            <t xml:space="preserve">M3</t>
          </r>
        </is>
      </c>
      <c r="E1082" s="24" t="n">
        <v>1.0</v>
      </c>
      <c r="F1082" s="30" t="n">
        <v>1.57</v>
      </c>
      <c r="G1082" s="30" t="n">
        <f>ROUND(ROUND(E1082,8)*F1082,4)</f>
        <v>1.57</v>
      </c>
    </row>
    <row r="1083" customHeight="1" ht="15">
      <c r="A1083" s="2" t="inlineStr"/>
      <c r="B1083" s="2" t="inlineStr"/>
      <c r="C1083" s="2" t="inlineStr"/>
      <c r="D1083" s="2" t="inlineStr"/>
      <c r="E1083" s="26" t="inlineStr">
        <is>
          <r>
            <t xml:space="preserve">TOTAL Material:</t>
          </r>
        </is>
      </c>
      <c r="F1083" s="26" t="inlineStr"/>
      <c r="G1083" s="31" t="n">
        <f>SUM(G1082:G1082)</f>
        <v>1.57</v>
      </c>
    </row>
    <row r="1084" customHeight="1" ht="15">
      <c r="A1084" s="2" t="inlineStr"/>
      <c r="B1084" s="2" t="inlineStr"/>
      <c r="C1084" s="2" t="inlineStr"/>
      <c r="D1084" s="2" t="inlineStr"/>
      <c r="E1084" s="28" t="inlineStr">
        <is>
          <r>
            <t xml:space="preserve">VALOR:</t>
          </r>
        </is>
      </c>
      <c r="F1084" s="28" t="inlineStr"/>
      <c r="G1084" s="29" t="n">
        <f>ROUND(SUM(G1083),2)</f>
        <v>1.57</v>
      </c>
    </row>
    <row r="1085" customHeight="1" ht="15">
      <c r="A1085" s="2" t="inlineStr"/>
      <c r="B1085" s="2" t="inlineStr"/>
      <c r="C1085" s="2" t="inlineStr"/>
      <c r="D1085" s="2" t="inlineStr"/>
      <c r="E1085" s="28" t="inlineStr">
        <is>
          <r>
            <t xml:space="preserve">VALOR BDI:</t>
          </r>
        </is>
      </c>
      <c r="F1085" s="28" t="inlineStr"/>
      <c r="G1085" s="29" t="n">
        <f>ROUND(G1084*(0/100),2)</f>
        <v>0.0</v>
      </c>
    </row>
    <row r="1086" customHeight="1" ht="15">
      <c r="A1086" s="2" t="inlineStr"/>
      <c r="B1086" s="2" t="inlineStr"/>
      <c r="C1086" s="2" t="inlineStr"/>
      <c r="D1086" s="2" t="inlineStr"/>
      <c r="E1086" s="28" t="inlineStr">
        <is>
          <r>
            <t xml:space="preserve">VALOR COM BDI:</t>
          </r>
        </is>
      </c>
      <c r="F1086" s="28" t="inlineStr"/>
      <c r="G1086" s="29" t="n">
        <f>G1085+G1084</f>
        <v>1.57</v>
      </c>
    </row>
    <row r="1087" customHeight="1" ht="10">
      <c r="A1087" s="2" t="inlineStr"/>
      <c r="B1087" s="2" t="inlineStr"/>
      <c r="C1087" s="2" t="inlineStr"/>
      <c r="D1087" s="2" t="inlineStr"/>
      <c r="E1087" s="18" t="inlineStr"/>
      <c r="F1087" s="18" t="inlineStr"/>
      <c r="G1087" s="18" t="inlineStr"/>
    </row>
    <row r="1088" customHeight="1" ht="20">
      <c r="A1088" s="19" t="inlineStr">
        <is>
          <r>
            <t xml:space="preserve">1.4.6.1. ​C3233​ REGULARIZAÇÃO DO SUB-LEITO​ (M2)</t>
          </r>
        </is>
      </c>
      <c r="B1088" s="19" t="inlineStr"/>
      <c r="C1088" s="19" t="inlineStr"/>
      <c r="D1088" s="19" t="inlineStr"/>
      <c r="E1088" s="19" t="inlineStr"/>
      <c r="F1088" s="19" t="inlineStr"/>
      <c r="G1088" s="19" t="inlineStr"/>
    </row>
    <row r="1089" customHeight="1" ht="15">
      <c r="A1089" s="20" t="inlineStr">
        <is>
          <r>
            <t xml:space="preserve">Equipamento Custo Horário</t>
          </r>
        </is>
      </c>
      <c r="B1089" s="20" t="inlineStr"/>
      <c r="C1089" s="21" t="inlineStr">
        <is>
          <r>
            <t xml:space="preserve">FONTE</t>
          </r>
        </is>
      </c>
      <c r="D1089" s="21" t="inlineStr">
        <is>
          <r>
            <t xml:space="preserve">UNID</t>
          </r>
        </is>
      </c>
      <c r="E1089" s="21" t="inlineStr">
        <is>
          <r>
            <t xml:space="preserve">COEFICIENTE</t>
          </r>
        </is>
      </c>
      <c r="F1089" s="21" t="inlineStr">
        <is>
          <r>
            <t xml:space="preserve">PREÇO UNITÁRIO</t>
          </r>
        </is>
      </c>
      <c r="G1089" s="21" t="inlineStr">
        <is>
          <r>
            <t xml:space="preserve">TOTAL</t>
          </r>
        </is>
      </c>
    </row>
    <row r="1090" customHeight="1" ht="15">
      <c r="A1090" s="22" t="inlineStr">
        <is>
          <r>
            <t xml:space="preserve">I0590</t>
          </r>
        </is>
      </c>
      <c r="B1090" s="23" t="inlineStr">
        <is>
          <r>
            <t xml:space="preserve">CAMINHÃO TANQUE 8.000 l (CHI)</t>
          </r>
        </is>
      </c>
      <c r="C1090" s="22" t="inlineStr">
        <is>
          <r>
            <t xml:space="preserve">SEINFRA</t>
          </r>
        </is>
      </c>
      <c r="D1090" s="22" t="inlineStr">
        <is>
          <r>
            <t xml:space="preserve">H</t>
          </r>
        </is>
      </c>
      <c r="E1090" s="24" t="n">
        <v>0.00112821</v>
      </c>
      <c r="F1090" s="30" t="n">
        <v>70.4941</v>
      </c>
      <c r="G1090" s="30" t="n">
        <f>ROUND(ROUND(E1090,8)*F1090,4)</f>
        <v>0.0795</v>
      </c>
    </row>
    <row r="1091" customHeight="1" ht="15">
      <c r="A1091" s="22" t="inlineStr">
        <is>
          <r>
            <t xml:space="preserve">I0698</t>
          </r>
        </is>
      </c>
      <c r="B1091" s="23" t="inlineStr">
        <is>
          <r>
            <t xml:space="preserve">CAMINHÃO TANQUE 8.000 l (CHP)</t>
          </r>
        </is>
      </c>
      <c r="C1091" s="22" t="inlineStr">
        <is>
          <r>
            <t xml:space="preserve">SEINFRA</t>
          </r>
        </is>
      </c>
      <c r="D1091" s="22" t="inlineStr">
        <is>
          <r>
            <t xml:space="preserve">H</t>
          </r>
        </is>
      </c>
      <c r="E1091" s="24" t="n">
        <v>0.004</v>
      </c>
      <c r="F1091" s="30" t="n">
        <v>213.8811</v>
      </c>
      <c r="G1091" s="30" t="n">
        <f>ROUND(ROUND(E1091,8)*F1091,4)</f>
        <v>0.8555</v>
      </c>
    </row>
    <row r="1092" customHeight="1" ht="15">
      <c r="A1092" s="22" t="inlineStr">
        <is>
          <r>
            <t xml:space="preserve">I0607</t>
          </r>
        </is>
      </c>
      <c r="B1092" s="23" t="inlineStr">
        <is>
          <r>
            <t xml:space="preserve">COMPAC. DE PNEUS PRES. VAR. AUTOPR. (CHI)</t>
          </r>
        </is>
      </c>
      <c r="C1092" s="22" t="inlineStr">
        <is>
          <r>
            <t xml:space="preserve">SEINFRA</t>
          </r>
        </is>
      </c>
      <c r="D1092" s="22" t="inlineStr">
        <is>
          <r>
            <t xml:space="preserve">H</t>
          </r>
        </is>
      </c>
      <c r="E1092" s="24" t="n">
        <v>0.00220513</v>
      </c>
      <c r="F1092" s="30" t="n">
        <v>94.324</v>
      </c>
      <c r="G1092" s="30" t="n">
        <f>ROUND(ROUND(E1092,8)*F1092,4)</f>
        <v>0.208</v>
      </c>
    </row>
    <row r="1093" customHeight="1" ht="15">
      <c r="A1093" s="22" t="inlineStr">
        <is>
          <r>
            <t xml:space="preserve">I0721</t>
          </r>
        </is>
      </c>
      <c r="B1093" s="23" t="inlineStr">
        <is>
          <r>
            <t xml:space="preserve">COMPAC. DE PNEUS PRES. VAR. AUTOPR. (CHP)</t>
          </r>
        </is>
      </c>
      <c r="C1093" s="22" t="inlineStr">
        <is>
          <r>
            <t xml:space="preserve">SEINFRA</t>
          </r>
        </is>
      </c>
      <c r="D1093" s="22" t="inlineStr">
        <is>
          <r>
            <t xml:space="preserve">H</t>
          </r>
        </is>
      </c>
      <c r="E1093" s="24" t="n">
        <v>3.5897E-4</v>
      </c>
      <c r="F1093" s="30" t="n">
        <v>246.224</v>
      </c>
      <c r="G1093" s="30" t="n">
        <f>ROUND(ROUND(E1093,8)*F1093,4)</f>
        <v>0.0884</v>
      </c>
    </row>
    <row r="1094" customHeight="1" ht="15">
      <c r="A1094" s="22" t="inlineStr">
        <is>
          <r>
            <t xml:space="preserve">I0610</t>
          </r>
        </is>
      </c>
      <c r="B1094" s="23" t="inlineStr">
        <is>
          <r>
            <t xml:space="preserve">COMPAC. PÉ DE CARNEIRO VIBRAT. AUTOPROP. (CHI)</t>
          </r>
        </is>
      </c>
      <c r="C1094" s="22" t="inlineStr">
        <is>
          <r>
            <t xml:space="preserve">SEINFRA</t>
          </r>
        </is>
      </c>
      <c r="D1094" s="22" t="inlineStr">
        <is>
          <r>
            <t xml:space="preserve">H</t>
          </r>
        </is>
      </c>
      <c r="E1094" s="24" t="n">
        <v>0.00169231</v>
      </c>
      <c r="F1094" s="30" t="n">
        <v>81.7441</v>
      </c>
      <c r="G1094" s="30" t="n">
        <f>ROUND(ROUND(E1094,8)*F1094,4)</f>
        <v>0.1383</v>
      </c>
    </row>
    <row r="1095" customHeight="1" ht="15">
      <c r="A1095" s="22" t="inlineStr">
        <is>
          <r>
            <t xml:space="preserve">I0723</t>
          </r>
        </is>
      </c>
      <c r="B1095" s="23" t="inlineStr">
        <is>
          <r>
            <t xml:space="preserve">COMPAC. PÉ DE CARNEIRO VIBRAT. AUTOPROP. (CHP)</t>
          </r>
        </is>
      </c>
      <c r="C1095" s="22" t="inlineStr">
        <is>
          <r>
            <t xml:space="preserve">SEINFRA</t>
          </r>
        </is>
      </c>
      <c r="D1095" s="22" t="inlineStr">
        <is>
          <r>
            <t xml:space="preserve">H</t>
          </r>
        </is>
      </c>
      <c r="E1095" s="24" t="n">
        <v>8.7179E-4</v>
      </c>
      <c r="F1095" s="30" t="n">
        <v>228.4466</v>
      </c>
      <c r="G1095" s="30" t="n">
        <f>ROUND(ROUND(E1095,8)*F1095,4)</f>
        <v>0.1992</v>
      </c>
    </row>
    <row r="1096" customHeight="1" ht="15">
      <c r="A1096" s="22" t="inlineStr">
        <is>
          <r>
            <t xml:space="preserve">I0625</t>
          </r>
        </is>
      </c>
      <c r="B1096" s="23" t="inlineStr">
        <is>
          <r>
            <t xml:space="preserve">GRADE DE DISCOS (CHI)</t>
          </r>
        </is>
      </c>
      <c r="C1096" s="22" t="inlineStr">
        <is>
          <r>
            <t xml:space="preserve">SEINFRA</t>
          </r>
        </is>
      </c>
      <c r="D1096" s="22" t="inlineStr">
        <is>
          <r>
            <t xml:space="preserve">H</t>
          </r>
        </is>
      </c>
      <c r="E1096" s="24" t="n">
        <v>3.8462E-4</v>
      </c>
      <c r="F1096" s="30" t="n">
        <v>4.8946</v>
      </c>
      <c r="G1096" s="30" t="n">
        <f>ROUND(ROUND(E1096,8)*F1096,4)</f>
        <v>0.0019</v>
      </c>
    </row>
    <row r="1097" customHeight="1" ht="15">
      <c r="A1097" s="22" t="inlineStr">
        <is>
          <r>
            <t xml:space="preserve">I0739</t>
          </r>
        </is>
      </c>
      <c r="B1097" s="23" t="inlineStr">
        <is>
          <r>
            <t xml:space="preserve">GRADE DE DISCOS (CHP)</t>
          </r>
        </is>
      </c>
      <c r="C1097" s="22" t="inlineStr">
        <is>
          <r>
            <t xml:space="preserve">SEINFRA</t>
          </r>
        </is>
      </c>
      <c r="D1097" s="22" t="inlineStr">
        <is>
          <r>
            <t xml:space="preserve">H</t>
          </r>
        </is>
      </c>
      <c r="E1097" s="24" t="n">
        <v>0.00217949</v>
      </c>
      <c r="F1097" s="30" t="n">
        <v>6.8842</v>
      </c>
      <c r="G1097" s="30" t="n">
        <f>ROUND(ROUND(E1097,8)*F1097,4)</f>
        <v>0.015</v>
      </c>
    </row>
    <row r="1098" customHeight="1" ht="15">
      <c r="A1098" s="22" t="inlineStr">
        <is>
          <r>
            <t xml:space="preserve">I0642</t>
          </r>
        </is>
      </c>
      <c r="B1098" s="23" t="inlineStr">
        <is>
          <r>
            <t xml:space="preserve">MOTO NIVELADORA (CHI)</t>
          </r>
        </is>
      </c>
      <c r="C1098" s="22" t="inlineStr">
        <is>
          <r>
            <t xml:space="preserve">SEINFRA</t>
          </r>
        </is>
      </c>
      <c r="D1098" s="22" t="inlineStr">
        <is>
          <r>
            <t xml:space="preserve">H</t>
          </r>
        </is>
      </c>
      <c r="E1098" s="24" t="n">
        <v>0.0</v>
      </c>
      <c r="F1098" s="30" t="n">
        <v>121.9582</v>
      </c>
      <c r="G1098" s="30" t="n">
        <f>ROUND(ROUND(E1098,8)*F1098,4)</f>
        <v>0.0</v>
      </c>
    </row>
    <row r="1099" customHeight="1" ht="15">
      <c r="A1099" s="22" t="inlineStr">
        <is>
          <r>
            <t xml:space="preserve">I0756</t>
          </r>
        </is>
      </c>
      <c r="B1099" s="23" t="inlineStr">
        <is>
          <r>
            <t xml:space="preserve">MOTO NIVELADORA (CHP)</t>
          </r>
        </is>
      </c>
      <c r="C1099" s="22" t="inlineStr">
        <is>
          <r>
            <t xml:space="preserve">SEINFRA</t>
          </r>
        </is>
      </c>
      <c r="D1099" s="22" t="inlineStr">
        <is>
          <r>
            <t xml:space="preserve">H</t>
          </r>
        </is>
      </c>
      <c r="E1099" s="24" t="n">
        <v>0.0025641</v>
      </c>
      <c r="F1099" s="30" t="n">
        <v>307.8011</v>
      </c>
      <c r="G1099" s="30" t="n">
        <f>ROUND(ROUND(E1099,8)*F1099,4)</f>
        <v>0.7892</v>
      </c>
    </row>
    <row r="1100" customHeight="1" ht="15">
      <c r="A1100" s="22" t="inlineStr">
        <is>
          <r>
            <t xml:space="preserve">I0667</t>
          </r>
        </is>
      </c>
      <c r="B1100" s="23" t="inlineStr">
        <is>
          <r>
            <t xml:space="preserve">TRATOR DE PNEUS (CHI)</t>
          </r>
        </is>
      </c>
      <c r="C1100" s="22" t="inlineStr">
        <is>
          <r>
            <t xml:space="preserve">SEINFRA</t>
          </r>
        </is>
      </c>
      <c r="D1100" s="22" t="inlineStr">
        <is>
          <r>
            <t xml:space="preserve">H</t>
          </r>
        </is>
      </c>
      <c r="E1100" s="24" t="n">
        <v>3.8462E-4</v>
      </c>
      <c r="F1100" s="30" t="n">
        <v>37.2018</v>
      </c>
      <c r="G1100" s="30" t="n">
        <f>ROUND(ROUND(E1100,8)*F1100,4)</f>
        <v>0.0143</v>
      </c>
    </row>
    <row r="1101" customHeight="1" ht="15">
      <c r="A1101" s="22" t="inlineStr">
        <is>
          <r>
            <t xml:space="preserve">I0780</t>
          </r>
        </is>
      </c>
      <c r="B1101" s="23" t="inlineStr">
        <is>
          <r>
            <t xml:space="preserve">TRATOR DE PNEUS (CHP)</t>
          </r>
        </is>
      </c>
      <c r="C1101" s="22" t="inlineStr">
        <is>
          <r>
            <t xml:space="preserve">SEINFRA</t>
          </r>
        </is>
      </c>
      <c r="D1101" s="22" t="inlineStr">
        <is>
          <r>
            <t xml:space="preserve">H</t>
          </r>
        </is>
      </c>
      <c r="E1101" s="24" t="n">
        <v>0.00217949</v>
      </c>
      <c r="F1101" s="30" t="n">
        <v>124.7249</v>
      </c>
      <c r="G1101" s="30" t="n">
        <f>ROUND(ROUND(E1101,8)*F1101,4)</f>
        <v>0.2718</v>
      </c>
    </row>
    <row r="1102" customHeight="1" ht="18">
      <c r="A1102" s="2" t="inlineStr"/>
      <c r="B1102" s="2" t="inlineStr"/>
      <c r="C1102" s="2" t="inlineStr"/>
      <c r="D1102" s="2" t="inlineStr"/>
      <c r="E1102" s="26" t="inlineStr">
        <is>
          <r>
            <t xml:space="preserve">TOTAL Equipamento Custo Horário:</t>
          </r>
        </is>
      </c>
      <c r="F1102" s="26" t="inlineStr"/>
      <c r="G1102" s="31" t="n">
        <f>SUM(G1090:G1101)</f>
        <v>2.6611</v>
      </c>
    </row>
    <row r="1103" customHeight="1" ht="15">
      <c r="A1103" s="20" t="inlineStr">
        <is>
          <r>
            <t xml:space="preserve">Mão de Obra</t>
          </r>
        </is>
      </c>
      <c r="B1103" s="20" t="inlineStr"/>
      <c r="C1103" s="21" t="inlineStr">
        <is>
          <r>
            <t xml:space="preserve">FONTE</t>
          </r>
        </is>
      </c>
      <c r="D1103" s="21" t="inlineStr">
        <is>
          <r>
            <t xml:space="preserve">UNID</t>
          </r>
        </is>
      </c>
      <c r="E1103" s="21" t="inlineStr">
        <is>
          <r>
            <t xml:space="preserve">COEFICIENTE</t>
          </r>
        </is>
      </c>
      <c r="F1103" s="21" t="inlineStr">
        <is>
          <r>
            <t xml:space="preserve">PREÇO UNITÁRIO</t>
          </r>
        </is>
      </c>
      <c r="G1103" s="21" t="inlineStr">
        <is>
          <r>
            <t xml:space="preserve">TOTAL</t>
          </r>
        </is>
      </c>
    </row>
    <row r="1104" customHeight="1" ht="15">
      <c r="A1104" s="22" t="inlineStr">
        <is>
          <r>
            <t xml:space="preserve">I2543</t>
          </r>
        </is>
      </c>
      <c r="B1104" s="23" t="inlineStr">
        <is>
          <r>
            <t xml:space="preserve">SERVENTE</t>
          </r>
        </is>
      </c>
      <c r="C1104" s="22" t="inlineStr">
        <is>
          <r>
            <t xml:space="preserve">SEINFRA</t>
          </r>
        </is>
      </c>
      <c r="D1104" s="22" t="inlineStr">
        <is>
          <r>
            <t xml:space="preserve">H</t>
          </r>
        </is>
      </c>
      <c r="E1104" s="24" t="n">
        <v>0.01282051</v>
      </c>
      <c r="F1104" s="30" t="n">
        <v>18.46</v>
      </c>
      <c r="G1104" s="30" t="n">
        <f>ROUND(ROUND(E1104,8)*F1104,4)</f>
        <v>0.2367</v>
      </c>
    </row>
    <row r="1105" customHeight="1" ht="15">
      <c r="A1105" s="2" t="inlineStr"/>
      <c r="B1105" s="2" t="inlineStr"/>
      <c r="C1105" s="2" t="inlineStr"/>
      <c r="D1105" s="2" t="inlineStr"/>
      <c r="E1105" s="26" t="inlineStr">
        <is>
          <r>
            <t xml:space="preserve">TOTAL Mão de Obra:</t>
          </r>
        </is>
      </c>
      <c r="F1105" s="26" t="inlineStr"/>
      <c r="G1105" s="31" t="n">
        <f>SUM(G1104:G1104)</f>
        <v>0.2367</v>
      </c>
    </row>
    <row r="1106" customHeight="1" ht="15">
      <c r="A1106" s="2" t="inlineStr"/>
      <c r="B1106" s="2" t="inlineStr"/>
      <c r="C1106" s="2" t="inlineStr"/>
      <c r="D1106" s="2" t="inlineStr"/>
      <c r="E1106" s="28" t="inlineStr">
        <is>
          <r>
            <t xml:space="preserve">VALOR:</t>
          </r>
        </is>
      </c>
      <c r="F1106" s="28" t="inlineStr"/>
      <c r="G1106" s="29" t="n">
        <f>ROUND(SUM(G1102,G1105),2)</f>
        <v>2.9</v>
      </c>
    </row>
    <row r="1107" customHeight="1" ht="15">
      <c r="A1107" s="2" t="inlineStr"/>
      <c r="B1107" s="2" t="inlineStr"/>
      <c r="C1107" s="2" t="inlineStr"/>
      <c r="D1107" s="2" t="inlineStr"/>
      <c r="E1107" s="28" t="inlineStr">
        <is>
          <r>
            <t xml:space="preserve">VALOR BDI:</t>
          </r>
        </is>
      </c>
      <c r="F1107" s="28" t="inlineStr"/>
      <c r="G1107" s="29" t="n">
        <f>ROUND(G1106*(0/100),2)</f>
        <v>0.0</v>
      </c>
    </row>
    <row r="1108" customHeight="1" ht="15">
      <c r="A1108" s="2" t="inlineStr"/>
      <c r="B1108" s="2" t="inlineStr"/>
      <c r="C1108" s="2" t="inlineStr"/>
      <c r="D1108" s="2" t="inlineStr"/>
      <c r="E1108" s="28" t="inlineStr">
        <is>
          <r>
            <t xml:space="preserve">VALOR COM BDI:</t>
          </r>
        </is>
      </c>
      <c r="F1108" s="28" t="inlineStr"/>
      <c r="G1108" s="29" t="n">
        <f>G1107+G1106</f>
        <v>2.9</v>
      </c>
    </row>
    <row r="1109" customHeight="1" ht="10">
      <c r="A1109" s="2" t="inlineStr"/>
      <c r="B1109" s="2" t="inlineStr"/>
      <c r="C1109" s="2" t="inlineStr"/>
      <c r="D1109" s="2" t="inlineStr"/>
      <c r="E1109" s="18" t="inlineStr"/>
      <c r="F1109" s="18" t="inlineStr"/>
      <c r="G1109" s="18" t="inlineStr"/>
    </row>
    <row r="1110" customHeight="1" ht="20">
      <c r="A1110" s="19" t="inlineStr">
        <is>
          <r>
            <t xml:space="preserve">1.4.7.1. ​C3132​ BASE DE BRITA GRADUADA (S/TRANSP)​ (M3)</t>
          </r>
        </is>
      </c>
      <c r="B1110" s="19" t="inlineStr"/>
      <c r="C1110" s="19" t="inlineStr"/>
      <c r="D1110" s="19" t="inlineStr"/>
      <c r="E1110" s="19" t="inlineStr"/>
      <c r="F1110" s="19" t="inlineStr"/>
      <c r="G1110" s="19" t="inlineStr"/>
    </row>
    <row r="1111" customHeight="1" ht="15">
      <c r="A1111" s="20" t="inlineStr">
        <is>
          <r>
            <t xml:space="preserve">Equipamento Custo Horário</t>
          </r>
        </is>
      </c>
      <c r="B1111" s="20" t="inlineStr"/>
      <c r="C1111" s="21" t="inlineStr">
        <is>
          <r>
            <t xml:space="preserve">FONTE</t>
          </r>
        </is>
      </c>
      <c r="D1111" s="21" t="inlineStr">
        <is>
          <r>
            <t xml:space="preserve">UNID</t>
          </r>
        </is>
      </c>
      <c r="E1111" s="21" t="inlineStr">
        <is>
          <r>
            <t xml:space="preserve">COEFICIENTE</t>
          </r>
        </is>
      </c>
      <c r="F1111" s="21" t="inlineStr">
        <is>
          <r>
            <t xml:space="preserve">PREÇO UNITÁRIO</t>
          </r>
        </is>
      </c>
      <c r="G1111" s="21" t="inlineStr">
        <is>
          <r>
            <t xml:space="preserve">TOTAL</t>
          </r>
        </is>
      </c>
    </row>
    <row r="1112" customHeight="1" ht="15">
      <c r="A1112" s="22" t="inlineStr">
        <is>
          <r>
            <t xml:space="preserve">I0590</t>
          </r>
        </is>
      </c>
      <c r="B1112" s="23" t="inlineStr">
        <is>
          <r>
            <t xml:space="preserve">CAMINHÃO TANQUE 8.000 l (CHI)</t>
          </r>
        </is>
      </c>
      <c r="C1112" s="22" t="inlineStr">
        <is>
          <r>
            <t xml:space="preserve">SEINFRA</t>
          </r>
        </is>
      </c>
      <c r="D1112" s="22" t="inlineStr">
        <is>
          <r>
            <t xml:space="preserve">H</t>
          </r>
        </is>
      </c>
      <c r="E1112" s="24" t="n">
        <v>0.00666667</v>
      </c>
      <c r="F1112" s="30" t="n">
        <v>70.4941</v>
      </c>
      <c r="G1112" s="30" t="n">
        <f>ROUND(ROUND(E1112,8)*F1112,4)</f>
        <v>0.47</v>
      </c>
    </row>
    <row r="1113" customHeight="1" ht="15">
      <c r="A1113" s="22" t="inlineStr">
        <is>
          <r>
            <t xml:space="preserve">I0698</t>
          </r>
        </is>
      </c>
      <c r="B1113" s="23" t="inlineStr">
        <is>
          <r>
            <t xml:space="preserve">CAMINHÃO TANQUE 8.000 l (CHP)</t>
          </r>
        </is>
      </c>
      <c r="C1113" s="22" t="inlineStr">
        <is>
          <r>
            <t xml:space="preserve">SEINFRA</t>
          </r>
        </is>
      </c>
      <c r="D1113" s="22" t="inlineStr">
        <is>
          <r>
            <t xml:space="preserve">H</t>
          </r>
        </is>
      </c>
      <c r="E1113" s="24" t="n">
        <v>0.00666667</v>
      </c>
      <c r="F1113" s="30" t="n">
        <v>213.8811</v>
      </c>
      <c r="G1113" s="30" t="n">
        <f>ROUND(ROUND(E1113,8)*F1113,4)</f>
        <v>1.4259</v>
      </c>
    </row>
    <row r="1114" customHeight="1" ht="15">
      <c r="A1114" s="22" t="inlineStr">
        <is>
          <r>
            <t xml:space="preserve">I0607</t>
          </r>
        </is>
      </c>
      <c r="B1114" s="23" t="inlineStr">
        <is>
          <r>
            <t xml:space="preserve">COMPAC. DE PNEUS PRES. VAR. AUTOPR. (CHI)</t>
          </r>
        </is>
      </c>
      <c r="C1114" s="22" t="inlineStr">
        <is>
          <r>
            <t xml:space="preserve">SEINFRA</t>
          </r>
        </is>
      </c>
      <c r="D1114" s="22" t="inlineStr">
        <is>
          <r>
            <t xml:space="preserve">H</t>
          </r>
        </is>
      </c>
      <c r="E1114" s="24" t="n">
        <v>0.01146667</v>
      </c>
      <c r="F1114" s="30" t="n">
        <v>94.324</v>
      </c>
      <c r="G1114" s="30" t="n">
        <f>ROUND(ROUND(E1114,8)*F1114,4)</f>
        <v>1.0816</v>
      </c>
    </row>
    <row r="1115" customHeight="1" ht="15">
      <c r="A1115" s="22" t="inlineStr">
        <is>
          <r>
            <t xml:space="preserve">I0721</t>
          </r>
        </is>
      </c>
      <c r="B1115" s="23" t="inlineStr">
        <is>
          <r>
            <t xml:space="preserve">COMPAC. DE PNEUS PRES. VAR. AUTOPR. (CHP)</t>
          </r>
        </is>
      </c>
      <c r="C1115" s="22" t="inlineStr">
        <is>
          <r>
            <t xml:space="preserve">SEINFRA</t>
          </r>
        </is>
      </c>
      <c r="D1115" s="22" t="inlineStr">
        <is>
          <r>
            <t xml:space="preserve">H</t>
          </r>
        </is>
      </c>
      <c r="E1115" s="24" t="n">
        <v>0.00186667</v>
      </c>
      <c r="F1115" s="30" t="n">
        <v>246.224</v>
      </c>
      <c r="G1115" s="30" t="n">
        <f>ROUND(ROUND(E1115,8)*F1115,4)</f>
        <v>0.4596</v>
      </c>
    </row>
    <row r="1116" customHeight="1" ht="15">
      <c r="A1116" s="22" t="inlineStr">
        <is>
          <r>
            <t xml:space="preserve">I0609</t>
          </r>
        </is>
      </c>
      <c r="B1116" s="23" t="inlineStr">
        <is>
          <r>
            <t xml:space="preserve">COMPAC. LISO VIBRAT. AUTOPROPELIDO (CHI)</t>
          </r>
        </is>
      </c>
      <c r="C1116" s="22" t="inlineStr">
        <is>
          <r>
            <t xml:space="preserve">SEINFRA</t>
          </r>
        </is>
      </c>
      <c r="D1116" s="22" t="inlineStr">
        <is>
          <r>
            <t xml:space="preserve">H</t>
          </r>
        </is>
      </c>
      <c r="E1116" s="24" t="n">
        <v>0.00893333</v>
      </c>
      <c r="F1116" s="30" t="n">
        <v>80.3845</v>
      </c>
      <c r="G1116" s="30" t="n">
        <f>ROUND(ROUND(E1116,8)*F1116,4)</f>
        <v>0.7181</v>
      </c>
    </row>
    <row r="1117" customHeight="1" ht="15">
      <c r="A1117" s="22" t="inlineStr">
        <is>
          <r>
            <t xml:space="preserve">I0722</t>
          </r>
        </is>
      </c>
      <c r="B1117" s="23" t="inlineStr">
        <is>
          <r>
            <t xml:space="preserve">COMPAC. LISO VIBRAT. AUTOPROPELIDO (CHP)</t>
          </r>
        </is>
      </c>
      <c r="C1117" s="22" t="inlineStr">
        <is>
          <r>
            <t xml:space="preserve">SEINFRA</t>
          </r>
        </is>
      </c>
      <c r="D1117" s="22" t="inlineStr">
        <is>
          <r>
            <t xml:space="preserve">H</t>
          </r>
        </is>
      </c>
      <c r="E1117" s="24" t="n">
        <v>0.0044</v>
      </c>
      <c r="F1117" s="30" t="n">
        <v>225.7606</v>
      </c>
      <c r="G1117" s="30" t="n">
        <f>ROUND(ROUND(E1117,8)*F1117,4)</f>
        <v>0.9933</v>
      </c>
    </row>
    <row r="1118" customHeight="1" ht="15">
      <c r="A1118" s="22" t="inlineStr">
        <is>
          <r>
            <t xml:space="preserve">I0642</t>
          </r>
        </is>
      </c>
      <c r="B1118" s="23" t="inlineStr">
        <is>
          <r>
            <t xml:space="preserve">MOTO NIVELADORA (CHI)</t>
          </r>
        </is>
      </c>
      <c r="C1118" s="22" t="inlineStr">
        <is>
          <r>
            <t xml:space="preserve">SEINFRA</t>
          </r>
        </is>
      </c>
      <c r="D1118" s="22" t="inlineStr">
        <is>
          <r>
            <t xml:space="preserve">H</t>
          </r>
        </is>
      </c>
      <c r="E1118" s="24" t="n">
        <v>0.00173333</v>
      </c>
      <c r="F1118" s="30" t="n">
        <v>121.9582</v>
      </c>
      <c r="G1118" s="30" t="n">
        <f>ROUND(ROUND(E1118,8)*F1118,4)</f>
        <v>0.2114</v>
      </c>
    </row>
    <row r="1119" customHeight="1" ht="15">
      <c r="A1119" s="22" t="inlineStr">
        <is>
          <r>
            <t xml:space="preserve">I0756</t>
          </r>
        </is>
      </c>
      <c r="B1119" s="23" t="inlineStr">
        <is>
          <r>
            <t xml:space="preserve">MOTO NIVELADORA (CHP)</t>
          </r>
        </is>
      </c>
      <c r="C1119" s="22" t="inlineStr">
        <is>
          <r>
            <t xml:space="preserve">SEINFRA</t>
          </r>
        </is>
      </c>
      <c r="D1119" s="22" t="inlineStr">
        <is>
          <r>
            <t xml:space="preserve">H</t>
          </r>
        </is>
      </c>
      <c r="E1119" s="24" t="n">
        <v>0.0116</v>
      </c>
      <c r="F1119" s="30" t="n">
        <v>307.8011</v>
      </c>
      <c r="G1119" s="30" t="n">
        <f>ROUND(ROUND(E1119,8)*F1119,4)</f>
        <v>3.5705</v>
      </c>
    </row>
    <row r="1120" customHeight="1" ht="18">
      <c r="A1120" s="2" t="inlineStr"/>
      <c r="B1120" s="2" t="inlineStr"/>
      <c r="C1120" s="2" t="inlineStr"/>
      <c r="D1120" s="2" t="inlineStr"/>
      <c r="E1120" s="26" t="inlineStr">
        <is>
          <r>
            <t xml:space="preserve">TOTAL Equipamento Custo Horário:</t>
          </r>
        </is>
      </c>
      <c r="F1120" s="26" t="inlineStr"/>
      <c r="G1120" s="31" t="n">
        <f>SUM(G1112:G1119)</f>
        <v>8.9304</v>
      </c>
    </row>
    <row r="1121" customHeight="1" ht="15">
      <c r="A1121" s="20" t="inlineStr">
        <is>
          <r>
            <t xml:space="preserve">Mão de Obra</t>
          </r>
        </is>
      </c>
      <c r="B1121" s="20" t="inlineStr"/>
      <c r="C1121" s="21" t="inlineStr">
        <is>
          <r>
            <t xml:space="preserve">FONTE</t>
          </r>
        </is>
      </c>
      <c r="D1121" s="21" t="inlineStr">
        <is>
          <r>
            <t xml:space="preserve">UNID</t>
          </r>
        </is>
      </c>
      <c r="E1121" s="21" t="inlineStr">
        <is>
          <r>
            <t xml:space="preserve">COEFICIENTE</t>
          </r>
        </is>
      </c>
      <c r="F1121" s="21" t="inlineStr">
        <is>
          <r>
            <t xml:space="preserve">PREÇO UNITÁRIO</t>
          </r>
        </is>
      </c>
      <c r="G1121" s="21" t="inlineStr">
        <is>
          <r>
            <t xml:space="preserve">TOTAL</t>
          </r>
        </is>
      </c>
    </row>
    <row r="1122" customHeight="1" ht="15">
      <c r="A1122" s="22" t="inlineStr">
        <is>
          <r>
            <t xml:space="preserve">I2543</t>
          </r>
        </is>
      </c>
      <c r="B1122" s="23" t="inlineStr">
        <is>
          <r>
            <t xml:space="preserve">SERVENTE</t>
          </r>
        </is>
      </c>
      <c r="C1122" s="22" t="inlineStr">
        <is>
          <r>
            <t xml:space="preserve">SEINFRA</t>
          </r>
        </is>
      </c>
      <c r="D1122" s="22" t="inlineStr">
        <is>
          <r>
            <t xml:space="preserve">H</t>
          </r>
        </is>
      </c>
      <c r="E1122" s="24" t="n">
        <v>0.04</v>
      </c>
      <c r="F1122" s="30" t="n">
        <v>18.46</v>
      </c>
      <c r="G1122" s="30" t="n">
        <f>ROUND(ROUND(E1122,8)*F1122,4)</f>
        <v>0.7384</v>
      </c>
    </row>
    <row r="1123" customHeight="1" ht="15">
      <c r="A1123" s="2" t="inlineStr"/>
      <c r="B1123" s="2" t="inlineStr"/>
      <c r="C1123" s="2" t="inlineStr"/>
      <c r="D1123" s="2" t="inlineStr"/>
      <c r="E1123" s="26" t="inlineStr">
        <is>
          <r>
            <t xml:space="preserve">TOTAL Mão de Obra:</t>
          </r>
        </is>
      </c>
      <c r="F1123" s="26" t="inlineStr"/>
      <c r="G1123" s="31" t="n">
        <f>SUM(G1122:G1122)</f>
        <v>0.7384</v>
      </c>
    </row>
    <row r="1124" customHeight="1" ht="15">
      <c r="A1124" s="20" t="inlineStr">
        <is>
          <r>
            <t xml:space="preserve">Serviço</t>
          </r>
        </is>
      </c>
      <c r="B1124" s="20" t="inlineStr"/>
      <c r="C1124" s="21" t="inlineStr">
        <is>
          <r>
            <t xml:space="preserve">FONTE</t>
          </r>
        </is>
      </c>
      <c r="D1124" s="21" t="inlineStr">
        <is>
          <r>
            <t xml:space="preserve">UNID</t>
          </r>
        </is>
      </c>
      <c r="E1124" s="21" t="inlineStr">
        <is>
          <r>
            <t xml:space="preserve">COEFICIENTE</t>
          </r>
        </is>
      </c>
      <c r="F1124" s="21" t="inlineStr">
        <is>
          <r>
            <t xml:space="preserve">PREÇO UNITÁRIO</t>
          </r>
        </is>
      </c>
      <c r="G1124" s="21" t="inlineStr">
        <is>
          <r>
            <t xml:space="preserve">TOTAL</t>
          </r>
        </is>
      </c>
    </row>
    <row r="1125" customHeight="1" ht="15">
      <c r="A1125" s="22" t="inlineStr">
        <is>
          <r>
            <t xml:space="preserve">C3139</t>
          </r>
        </is>
      </c>
      <c r="B1125" s="23" t="inlineStr">
        <is>
          <r>
            <t xml:space="preserve">BRITA PRODUZIDA PARA BASES</t>
          </r>
        </is>
      </c>
      <c r="C1125" s="22" t="inlineStr">
        <is>
          <r>
            <t xml:space="preserve">SEINFRA</t>
          </r>
        </is>
      </c>
      <c r="D1125" s="22" t="inlineStr">
        <is>
          <r>
            <t xml:space="preserve">M3</t>
          </r>
        </is>
      </c>
      <c r="E1125" s="24" t="n">
        <v>1.3</v>
      </c>
      <c r="F1125" s="30" t="n">
        <v>93.68</v>
      </c>
      <c r="G1125" s="30" t="n">
        <f>ROUND(ROUND(E1125,8)*F1125,4)</f>
        <v>121.784</v>
      </c>
    </row>
    <row r="1126" customHeight="1" ht="15">
      <c r="A1126" s="22" t="inlineStr">
        <is>
          <r>
            <t xml:space="preserve">C3244</t>
          </r>
        </is>
      </c>
      <c r="B1126" s="23" t="inlineStr">
        <is>
          <r>
            <t xml:space="preserve">USINAGEM DE MISTURAS DE AGREGADOS</t>
          </r>
        </is>
      </c>
      <c r="C1126" s="22" t="inlineStr">
        <is>
          <r>
            <t xml:space="preserve">SEINFRA</t>
          </r>
        </is>
      </c>
      <c r="D1126" s="22" t="inlineStr">
        <is>
          <r>
            <t xml:space="preserve">M3</t>
          </r>
        </is>
      </c>
      <c r="E1126" s="24" t="n">
        <v>1.1</v>
      </c>
      <c r="F1126" s="30" t="n">
        <v>18.69</v>
      </c>
      <c r="G1126" s="30" t="n">
        <f>ROUND(ROUND(E1126,8)*F1126,4)</f>
        <v>20.559</v>
      </c>
    </row>
    <row r="1127" customHeight="1" ht="15">
      <c r="A1127" s="2" t="inlineStr"/>
      <c r="B1127" s="2" t="inlineStr"/>
      <c r="C1127" s="2" t="inlineStr"/>
      <c r="D1127" s="2" t="inlineStr"/>
      <c r="E1127" s="26" t="inlineStr">
        <is>
          <r>
            <t xml:space="preserve">TOTAL Serviço:</t>
          </r>
        </is>
      </c>
      <c r="F1127" s="26" t="inlineStr"/>
      <c r="G1127" s="31" t="n">
        <f>SUM(G1125:G1126)</f>
        <v>142.343</v>
      </c>
    </row>
    <row r="1128" customHeight="1" ht="15">
      <c r="A1128" s="2" t="inlineStr"/>
      <c r="B1128" s="2" t="inlineStr"/>
      <c r="C1128" s="2" t="inlineStr"/>
      <c r="D1128" s="2" t="inlineStr"/>
      <c r="E1128" s="28" t="inlineStr">
        <is>
          <r>
            <t xml:space="preserve">VALOR:</t>
          </r>
        </is>
      </c>
      <c r="F1128" s="28" t="inlineStr"/>
      <c r="G1128" s="29" t="n">
        <f>ROUND(SUM(G1120,G1123,G1127),2)</f>
        <v>152.02</v>
      </c>
    </row>
    <row r="1129" customHeight="1" ht="15">
      <c r="A1129" s="2" t="inlineStr"/>
      <c r="B1129" s="2" t="inlineStr"/>
      <c r="C1129" s="2" t="inlineStr"/>
      <c r="D1129" s="2" t="inlineStr"/>
      <c r="E1129" s="28" t="inlineStr">
        <is>
          <r>
            <t xml:space="preserve">VALOR BDI:</t>
          </r>
        </is>
      </c>
      <c r="F1129" s="28" t="inlineStr"/>
      <c r="G1129" s="29" t="n">
        <f>ROUND(G1128*(0/100),2)</f>
        <v>0.0</v>
      </c>
    </row>
    <row r="1130" customHeight="1" ht="15">
      <c r="A1130" s="2" t="inlineStr"/>
      <c r="B1130" s="2" t="inlineStr"/>
      <c r="C1130" s="2" t="inlineStr"/>
      <c r="D1130" s="2" t="inlineStr"/>
      <c r="E1130" s="28" t="inlineStr">
        <is>
          <r>
            <t xml:space="preserve">VALOR COM BDI:</t>
          </r>
        </is>
      </c>
      <c r="F1130" s="28" t="inlineStr"/>
      <c r="G1130" s="29" t="n">
        <f>G1129+G1128</f>
        <v>152.02</v>
      </c>
    </row>
    <row r="1131" customHeight="1" ht="10">
      <c r="A1131" s="2" t="inlineStr"/>
      <c r="B1131" s="2" t="inlineStr"/>
      <c r="C1131" s="2" t="inlineStr"/>
      <c r="D1131" s="2" t="inlineStr"/>
      <c r="E1131" s="18" t="inlineStr"/>
      <c r="F1131" s="18" t="inlineStr"/>
      <c r="G1131" s="18" t="inlineStr"/>
    </row>
    <row r="1132" customHeight="1" ht="20">
      <c r="A1132" s="19" t="inlineStr">
        <is>
          <r>
            <t xml:space="preserve">1.4.7.2. ​C3143​ TRANSPORTE LOCAL C/ DMT ATÉ 4,00 KM (Y = 1,25X + 1,30)​ (T)</t>
          </r>
        </is>
      </c>
      <c r="B1132" s="19" t="inlineStr"/>
      <c r="C1132" s="19" t="inlineStr"/>
      <c r="D1132" s="19" t="inlineStr"/>
      <c r="E1132" s="19" t="inlineStr"/>
      <c r="F1132" s="19" t="inlineStr"/>
      <c r="G1132" s="19" t="inlineStr"/>
    </row>
    <row r="1133" customHeight="1" ht="15">
      <c r="A1133" s="20" t="inlineStr">
        <is>
          <r>
            <t xml:space="preserve">Equipamento Custo Horário</t>
          </r>
        </is>
      </c>
      <c r="B1133" s="20" t="inlineStr"/>
      <c r="C1133" s="21" t="inlineStr">
        <is>
          <r>
            <t xml:space="preserve">FONTE</t>
          </r>
        </is>
      </c>
      <c r="D1133" s="21" t="inlineStr">
        <is>
          <r>
            <t xml:space="preserve">UNID</t>
          </r>
        </is>
      </c>
      <c r="E1133" s="21" t="inlineStr">
        <is>
          <r>
            <t xml:space="preserve">COEFICIENTE</t>
          </r>
        </is>
      </c>
      <c r="F1133" s="21" t="inlineStr">
        <is>
          <r>
            <t xml:space="preserve">PREÇO UNITÁRIO</t>
          </r>
        </is>
      </c>
      <c r="G1133" s="21" t="inlineStr">
        <is>
          <r>
            <t xml:space="preserve">TOTAL</t>
          </r>
        </is>
      </c>
    </row>
    <row r="1134" customHeight="1" ht="15">
      <c r="A1134" s="22" t="inlineStr">
        <is>
          <r>
            <t xml:space="preserve">I0576</t>
          </r>
        </is>
      </c>
      <c r="B1134" s="23" t="inlineStr">
        <is>
          <r>
            <t xml:space="preserve">CAMINHÃO BASCULANTE 12 M3 (CHI)</t>
          </r>
        </is>
      </c>
      <c r="C1134" s="22" t="inlineStr">
        <is>
          <r>
            <t xml:space="preserve">SEINFRA</t>
          </r>
        </is>
      </c>
      <c r="D1134" s="22" t="inlineStr">
        <is>
          <r>
            <t xml:space="preserve">H</t>
          </r>
        </is>
      </c>
      <c r="E1134" s="24" t="n">
        <v>0.0</v>
      </c>
      <c r="F1134" s="30" t="n">
        <v>68.8661</v>
      </c>
      <c r="G1134" s="30" t="n">
        <v>0.0</v>
      </c>
    </row>
    <row r="1135" customHeight="1" ht="15">
      <c r="A1135" s="22" t="inlineStr">
        <is>
          <r>
            <t xml:space="preserve">I0688</t>
          </r>
        </is>
      </c>
      <c r="B1135" s="23" t="inlineStr">
        <is>
          <r>
            <t xml:space="preserve">CAMINHÃO BASCULANTE 12 M3 (CHP)</t>
          </r>
        </is>
      </c>
      <c r="C1135" s="22" t="inlineStr">
        <is>
          <r>
            <t xml:space="preserve">SEINFRA</t>
          </r>
        </is>
      </c>
      <c r="D1135" s="22" t="inlineStr">
        <is>
          <r>
            <t xml:space="preserve">H</t>
          </r>
        </is>
      </c>
      <c r="E1135" s="24" t="n">
        <v>0.0</v>
      </c>
      <c r="F1135" s="30" t="n">
        <v>210.4272</v>
      </c>
      <c r="G1135" s="30" t="n">
        <v>0.0</v>
      </c>
    </row>
    <row r="1136" customHeight="1" ht="18">
      <c r="A1136" s="2" t="inlineStr"/>
      <c r="B1136" s="2" t="inlineStr"/>
      <c r="C1136" s="2" t="inlineStr"/>
      <c r="D1136" s="2" t="inlineStr"/>
      <c r="E1136" s="26" t="inlineStr">
        <is>
          <r>
            <t xml:space="preserve">TOTAL Equipamento Custo Horário:</t>
          </r>
        </is>
      </c>
      <c r="F1136" s="26" t="inlineStr"/>
      <c r="G1136" s="31" t="n">
        <v>0.0</v>
      </c>
    </row>
    <row r="1137" customHeight="1" ht="15">
      <c r="A1137" s="20" t="inlineStr">
        <is>
          <r>
            <t xml:space="preserve">Geral</t>
          </r>
        </is>
      </c>
      <c r="B1137" s="20" t="inlineStr"/>
      <c r="C1137" s="21" t="inlineStr">
        <is>
          <r>
            <t xml:space="preserve">FONTE</t>
          </r>
        </is>
      </c>
      <c r="D1137" s="21" t="inlineStr">
        <is>
          <r>
            <t xml:space="preserve">UNID</t>
          </r>
        </is>
      </c>
      <c r="E1137" s="21" t="inlineStr">
        <is>
          <r>
            <t xml:space="preserve">COEFICIENTE</t>
          </r>
        </is>
      </c>
      <c r="F1137" s="21" t="inlineStr">
        <is>
          <r>
            <t xml:space="preserve">PREÇO UNITÁRIO</t>
          </r>
        </is>
      </c>
      <c r="G1137" s="21" t="inlineStr">
        <is>
          <r>
            <t xml:space="preserve">TOTAL</t>
          </r>
        </is>
      </c>
    </row>
    <row r="1138" customHeight="1" ht="15">
      <c r="A1138" s="22" t="inlineStr">
        <is>
          <r>
            <t xml:space="preserve">I2897</t>
          </r>
        </is>
      </c>
      <c r="B1138" s="23" t="inlineStr">
        <is>
          <r>
            <t xml:space="preserve">CONSTANTE DO TRANSPORTE</t>
          </r>
        </is>
      </c>
      <c r="C1138" s="22" t="inlineStr">
        <is>
          <r>
            <t xml:space="preserve">SEINFRA</t>
          </r>
        </is>
      </c>
      <c r="D1138" s="22" t="inlineStr">
        <is>
          <r>
            <t xml:space="preserve">UN</t>
          </r>
        </is>
      </c>
      <c r="E1138" s="24" t="n">
        <v>1.299</v>
      </c>
      <c r="F1138" s="30" t="n">
        <v>1.0</v>
      </c>
      <c r="G1138" s="30" t="n">
        <v>1.299</v>
      </c>
    </row>
    <row r="1139" customHeight="1" ht="15">
      <c r="A1139" s="22" t="inlineStr">
        <is>
          <r>
            <t xml:space="preserve">I2896</t>
          </r>
        </is>
      </c>
      <c r="B1139" s="23" t="inlineStr">
        <is>
          <r>
            <t xml:space="preserve">TRANSPORTE</t>
          </r>
        </is>
      </c>
      <c r="C1139" s="22" t="inlineStr">
        <is>
          <r>
            <t xml:space="preserve">SEINFRA</t>
          </r>
        </is>
      </c>
      <c r="D1139" s="22" t="inlineStr">
        <is>
          <r>
            <t xml:space="preserve">TxKM</t>
          </r>
        </is>
      </c>
      <c r="E1139" s="24" t="n">
        <v>1.247</v>
      </c>
      <c r="F1139" s="30" t="n">
        <v>1.0</v>
      </c>
      <c r="G1139" s="30" t="n">
        <v>1.247</v>
      </c>
    </row>
    <row r="1140" customHeight="1" ht="15">
      <c r="A1140" s="2" t="inlineStr"/>
      <c r="B1140" s="2" t="inlineStr"/>
      <c r="C1140" s="2" t="inlineStr"/>
      <c r="D1140" s="2" t="inlineStr"/>
      <c r="E1140" s="26" t="inlineStr">
        <is>
          <r>
            <t xml:space="preserve">TOTAL Geral:</t>
          </r>
        </is>
      </c>
      <c r="F1140" s="26" t="inlineStr"/>
      <c r="G1140" s="31" t="n">
        <v>2.546</v>
      </c>
    </row>
    <row r="1141" customHeight="1" ht="15">
      <c r="A1141" s="2" t="inlineStr"/>
      <c r="B1141" s="2" t="inlineStr"/>
      <c r="C1141" s="2" t="inlineStr"/>
      <c r="D1141" s="2" t="inlineStr"/>
      <c r="E1141" s="33" t="inlineStr">
        <is>
          <r>
            <t xml:space="preserve">FÓRMULA:</t>
          </r>
        </is>
      </c>
      <c r="F1141" s="33" t="inlineStr"/>
      <c r="G1141" s="34" t="inlineStr">
        <is>
          <r>
            <t xml:space="preserve">Y = 1,25X + 1,30</t>
          </r>
        </is>
      </c>
    </row>
    <row r="1142" customHeight="1" ht="15">
      <c r="A1142" s="2" t="inlineStr"/>
      <c r="B1142" s="2" t="inlineStr"/>
      <c r="C1142" s="2" t="inlineStr"/>
      <c r="D1142" s="2" t="inlineStr"/>
      <c r="E1142" s="33" t="inlineStr">
        <is>
          <r>
            <t xml:space="preserve">DMT:</t>
          </r>
        </is>
      </c>
      <c r="F1142" s="33" t="inlineStr"/>
      <c r="G1142" s="11" t="n">
        <v>0.0</v>
      </c>
    </row>
    <row r="1143" customHeight="1" ht="15">
      <c r="A1143" s="2" t="inlineStr"/>
      <c r="B1143" s="2" t="inlineStr"/>
      <c r="C1143" s="2" t="inlineStr"/>
      <c r="D1143" s="2" t="inlineStr"/>
      <c r="E1143" s="28" t="inlineStr">
        <is>
          <r>
            <t xml:space="preserve">VALOR:</t>
          </r>
        </is>
      </c>
      <c r="F1143" s="28" t="inlineStr"/>
      <c r="G1143" s="29" t="n">
        <v>1.3</v>
      </c>
    </row>
    <row r="1144" customHeight="1" ht="15">
      <c r="A1144" s="2" t="inlineStr"/>
      <c r="B1144" s="2" t="inlineStr"/>
      <c r="C1144" s="2" t="inlineStr"/>
      <c r="D1144" s="2" t="inlineStr"/>
      <c r="E1144" s="28" t="inlineStr">
        <is>
          <r>
            <t xml:space="preserve">VALOR BDI:</t>
          </r>
        </is>
      </c>
      <c r="F1144" s="28" t="inlineStr"/>
      <c r="G1144" s="29" t="n">
        <v>0.0</v>
      </c>
    </row>
    <row r="1145" customHeight="1" ht="15">
      <c r="A1145" s="2" t="inlineStr"/>
      <c r="B1145" s="2" t="inlineStr"/>
      <c r="C1145" s="2" t="inlineStr"/>
      <c r="D1145" s="2" t="inlineStr"/>
      <c r="E1145" s="28" t="inlineStr">
        <is>
          <r>
            <t xml:space="preserve">VALOR COM BDI:</t>
          </r>
        </is>
      </c>
      <c r="F1145" s="28" t="inlineStr"/>
      <c r="G1145" s="29" t="n">
        <v>1.3</v>
      </c>
    </row>
    <row r="1146" customHeight="1" ht="10">
      <c r="A1146" s="2" t="inlineStr"/>
      <c r="B1146" s="2" t="inlineStr"/>
      <c r="C1146" s="2" t="inlineStr"/>
      <c r="D1146" s="2" t="inlineStr"/>
      <c r="E1146" s="18" t="inlineStr"/>
      <c r="F1146" s="18" t="inlineStr"/>
      <c r="G1146" s="18" t="inlineStr"/>
    </row>
    <row r="1147" customHeight="1" ht="20">
      <c r="A1147" s="19" t="inlineStr">
        <is>
          <r>
            <t xml:space="preserve">1.4.7.3. ​C2987​ COMPLEMENTAÇÃO DE TRANSPORTE EM CAMINHÃO BASCULANTE​ (M3xKM)</t>
          </r>
        </is>
      </c>
      <c r="B1147" s="19" t="inlineStr"/>
      <c r="C1147" s="19" t="inlineStr"/>
      <c r="D1147" s="19" t="inlineStr"/>
      <c r="E1147" s="19" t="inlineStr"/>
      <c r="F1147" s="19" t="inlineStr"/>
      <c r="G1147" s="19" t="inlineStr"/>
    </row>
    <row r="1148" customHeight="1" ht="15">
      <c r="A1148" s="20" t="inlineStr">
        <is>
          <r>
            <t xml:space="preserve">Equipamento Custo Horário</t>
          </r>
        </is>
      </c>
      <c r="B1148" s="20" t="inlineStr"/>
      <c r="C1148" s="21" t="inlineStr">
        <is>
          <r>
            <t xml:space="preserve">FONTE</t>
          </r>
        </is>
      </c>
      <c r="D1148" s="21" t="inlineStr">
        <is>
          <r>
            <t xml:space="preserve">UNID</t>
          </r>
        </is>
      </c>
      <c r="E1148" s="21" t="inlineStr">
        <is>
          <r>
            <t xml:space="preserve">COEFICIENTE</t>
          </r>
        </is>
      </c>
      <c r="F1148" s="21" t="inlineStr">
        <is>
          <r>
            <t xml:space="preserve">PREÇO UNITÁRIO</t>
          </r>
        </is>
      </c>
      <c r="G1148" s="21" t="inlineStr">
        <is>
          <r>
            <t xml:space="preserve">TOTAL</t>
          </r>
        </is>
      </c>
    </row>
    <row r="1149" customHeight="1" ht="15">
      <c r="A1149" s="22" t="inlineStr">
        <is>
          <r>
            <t xml:space="preserve">I0576</t>
          </r>
        </is>
      </c>
      <c r="B1149" s="23" t="inlineStr">
        <is>
          <r>
            <t xml:space="preserve">CAMINHÃO BASCULANTE 12 M3 (CHI)</t>
          </r>
        </is>
      </c>
      <c r="C1149" s="22" t="inlineStr">
        <is>
          <r>
            <t xml:space="preserve">SEINFRA</t>
          </r>
        </is>
      </c>
      <c r="D1149" s="22" t="inlineStr">
        <is>
          <r>
            <t xml:space="preserve">H</t>
          </r>
        </is>
      </c>
      <c r="E1149" s="24" t="n">
        <v>0.0</v>
      </c>
      <c r="F1149" s="30" t="n">
        <v>68.8661</v>
      </c>
      <c r="G1149" s="30" t="n">
        <f>ROUND(ROUND(E1149,8)*F1149,4)</f>
        <v>0.0</v>
      </c>
    </row>
    <row r="1150" customHeight="1" ht="15">
      <c r="A1150" s="22" t="inlineStr">
        <is>
          <r>
            <t xml:space="preserve">I0688</t>
          </r>
        </is>
      </c>
      <c r="B1150" s="23" t="inlineStr">
        <is>
          <r>
            <t xml:space="preserve">CAMINHÃO BASCULANTE 12 M3 (CHP)</t>
          </r>
        </is>
      </c>
      <c r="C1150" s="22" t="inlineStr">
        <is>
          <r>
            <t xml:space="preserve">SEINFRA</t>
          </r>
        </is>
      </c>
      <c r="D1150" s="22" t="inlineStr">
        <is>
          <r>
            <t xml:space="preserve">H</t>
          </r>
        </is>
      </c>
      <c r="E1150" s="24" t="n">
        <v>0.00636943</v>
      </c>
      <c r="F1150" s="30" t="n">
        <v>210.4272</v>
      </c>
      <c r="G1150" s="30" t="n">
        <f>ROUND(ROUND(E1150,8)*F1150,4)</f>
        <v>1.3403</v>
      </c>
    </row>
    <row r="1151" customHeight="1" ht="18">
      <c r="A1151" s="2" t="inlineStr"/>
      <c r="B1151" s="2" t="inlineStr"/>
      <c r="C1151" s="2" t="inlineStr"/>
      <c r="D1151" s="2" t="inlineStr"/>
      <c r="E1151" s="26" t="inlineStr">
        <is>
          <r>
            <t xml:space="preserve">TOTAL Equipamento Custo Horário:</t>
          </r>
        </is>
      </c>
      <c r="F1151" s="26" t="inlineStr"/>
      <c r="G1151" s="31" t="n">
        <f>SUM(G1149:G1150)</f>
        <v>1.3403</v>
      </c>
    </row>
    <row r="1152" customHeight="1" ht="15">
      <c r="A1152" s="2" t="inlineStr"/>
      <c r="B1152" s="2" t="inlineStr"/>
      <c r="C1152" s="2" t="inlineStr"/>
      <c r="D1152" s="2" t="inlineStr"/>
      <c r="E1152" s="28" t="inlineStr">
        <is>
          <r>
            <t xml:space="preserve">VALOR:</t>
          </r>
        </is>
      </c>
      <c r="F1152" s="28" t="inlineStr"/>
      <c r="G1152" s="29" t="n">
        <f>ROUND(SUM(G1151),2)</f>
        <v>1.34</v>
      </c>
    </row>
    <row r="1153" customHeight="1" ht="15">
      <c r="A1153" s="2" t="inlineStr"/>
      <c r="B1153" s="2" t="inlineStr"/>
      <c r="C1153" s="2" t="inlineStr"/>
      <c r="D1153" s="2" t="inlineStr"/>
      <c r="E1153" s="28" t="inlineStr">
        <is>
          <r>
            <t xml:space="preserve">VALOR BDI:</t>
          </r>
        </is>
      </c>
      <c r="F1153" s="28" t="inlineStr"/>
      <c r="G1153" s="29" t="n">
        <f>ROUND(G1152*(0/100),2)</f>
        <v>0.0</v>
      </c>
    </row>
    <row r="1154" customHeight="1" ht="15">
      <c r="A1154" s="2" t="inlineStr"/>
      <c r="B1154" s="2" t="inlineStr"/>
      <c r="C1154" s="2" t="inlineStr"/>
      <c r="D1154" s="2" t="inlineStr"/>
      <c r="E1154" s="28" t="inlineStr">
        <is>
          <r>
            <t xml:space="preserve">VALOR COM BDI:</t>
          </r>
        </is>
      </c>
      <c r="F1154" s="28" t="inlineStr"/>
      <c r="G1154" s="29" t="n">
        <f>G1153+G1152</f>
        <v>1.34</v>
      </c>
    </row>
    <row r="1155" customHeight="1" ht="10">
      <c r="A1155" s="2" t="inlineStr"/>
      <c r="B1155" s="2" t="inlineStr"/>
      <c r="C1155" s="2" t="inlineStr"/>
      <c r="D1155" s="2" t="inlineStr"/>
      <c r="E1155" s="18" t="inlineStr"/>
      <c r="F1155" s="18" t="inlineStr"/>
      <c r="G1155" s="18" t="inlineStr"/>
    </row>
    <row r="1156" customHeight="1" ht="20">
      <c r="A1156" s="19" t="inlineStr">
        <is>
          <r>
            <t xml:space="preserve">1.4.8.1. ​C3782​ PISO PRÉ-MOLDADO ARTICULADO E INTERTRAVADO DE 16 FACES - e = 8,0 cm (35 MPa) P/ TRÁFEGO PESADO​ (M2)</t>
          </r>
        </is>
      </c>
      <c r="B1156" s="19" t="inlineStr"/>
      <c r="C1156" s="19" t="inlineStr"/>
      <c r="D1156" s="19" t="inlineStr"/>
      <c r="E1156" s="19" t="inlineStr"/>
      <c r="F1156" s="19" t="inlineStr"/>
      <c r="G1156" s="19" t="inlineStr"/>
    </row>
    <row r="1157" customHeight="1" ht="15">
      <c r="A1157" s="20" t="inlineStr">
        <is>
          <r>
            <t xml:space="preserve">Material</t>
          </r>
        </is>
      </c>
      <c r="B1157" s="20" t="inlineStr"/>
      <c r="C1157" s="21" t="inlineStr">
        <is>
          <r>
            <t xml:space="preserve">FONTE</t>
          </r>
        </is>
      </c>
      <c r="D1157" s="21" t="inlineStr">
        <is>
          <r>
            <t xml:space="preserve">UNID</t>
          </r>
        </is>
      </c>
      <c r="E1157" s="21" t="inlineStr">
        <is>
          <r>
            <t xml:space="preserve">COEFICIENTE</t>
          </r>
        </is>
      </c>
      <c r="F1157" s="21" t="inlineStr">
        <is>
          <r>
            <t xml:space="preserve">PREÇO UNITÁRIO</t>
          </r>
        </is>
      </c>
      <c r="G1157" s="21" t="inlineStr">
        <is>
          <r>
            <t xml:space="preserve">TOTAL</t>
          </r>
        </is>
      </c>
    </row>
    <row r="1158" customHeight="1" ht="15">
      <c r="A1158" s="22" t="inlineStr">
        <is>
          <r>
            <t xml:space="preserve">I0108</t>
          </r>
        </is>
      </c>
      <c r="B1158" s="23" t="inlineStr">
        <is>
          <r>
            <t xml:space="preserve">AREIA GROSSA</t>
          </r>
        </is>
      </c>
      <c r="C1158" s="22" t="inlineStr">
        <is>
          <r>
            <t xml:space="preserve">SEINFRA</t>
          </r>
        </is>
      </c>
      <c r="D1158" s="22" t="inlineStr">
        <is>
          <r>
            <t xml:space="preserve">M3</t>
          </r>
        </is>
      </c>
      <c r="E1158" s="24" t="n">
        <v>0.15</v>
      </c>
      <c r="F1158" s="30" t="n">
        <v>119.58</v>
      </c>
      <c r="G1158" s="30" t="n">
        <f>ROUND(ROUND(E1158,8)*F1158,4)</f>
        <v>17.937</v>
      </c>
    </row>
    <row r="1159" customHeight="1" ht="15">
      <c r="A1159" s="22" t="inlineStr">
        <is>
          <r>
            <t xml:space="preserve">I0805</t>
          </r>
        </is>
      </c>
      <c r="B1159" s="23" t="inlineStr">
        <is>
          <r>
            <t xml:space="preserve">CIMENTO PORTLAND</t>
          </r>
        </is>
      </c>
      <c r="C1159" s="22" t="inlineStr">
        <is>
          <r>
            <t xml:space="preserve">SEINFRA</t>
          </r>
        </is>
      </c>
      <c r="D1159" s="22" t="inlineStr">
        <is>
          <r>
            <t xml:space="preserve">KG</t>
          </r>
        </is>
      </c>
      <c r="E1159" s="24" t="n">
        <v>4.5</v>
      </c>
      <c r="F1159" s="30" t="n">
        <v>0.71</v>
      </c>
      <c r="G1159" s="30" t="n">
        <f>ROUND(ROUND(E1159,8)*F1159,4)</f>
        <v>3.195</v>
      </c>
    </row>
    <row r="1160" customHeight="1" ht="21">
      <c r="A1160" s="22" t="inlineStr">
        <is>
          <r>
            <t xml:space="preserve">I7004</t>
          </r>
        </is>
      </c>
      <c r="B1160" s="23" t="inlineStr">
        <is>
          <r>
            <t xml:space="preserve">PISO PRÉ-MOLDADO ARTICULADO E INTERTRAVADO DE 16 FACES - e = 8,0 cm (35 MPa) P/ TRÁFEGO PESADO</t>
          </r>
        </is>
      </c>
      <c r="C1160" s="22" t="inlineStr">
        <is>
          <r>
            <t xml:space="preserve">SEINFRA</t>
          </r>
        </is>
      </c>
      <c r="D1160" s="22" t="inlineStr">
        <is>
          <r>
            <t xml:space="preserve">M2</t>
          </r>
        </is>
      </c>
      <c r="E1160" s="24" t="n">
        <v>1.05</v>
      </c>
      <c r="F1160" s="30" t="n">
        <v>49.9</v>
      </c>
      <c r="G1160" s="30" t="n">
        <f>ROUND(ROUND(E1160,8)*F1160,4)</f>
        <v>52.395</v>
      </c>
    </row>
    <row r="1161" customHeight="1" ht="15">
      <c r="A1161" s="2" t="inlineStr"/>
      <c r="B1161" s="2" t="inlineStr"/>
      <c r="C1161" s="2" t="inlineStr"/>
      <c r="D1161" s="2" t="inlineStr"/>
      <c r="E1161" s="26" t="inlineStr">
        <is>
          <r>
            <t xml:space="preserve">TOTAL Material:</t>
          </r>
        </is>
      </c>
      <c r="F1161" s="26" t="inlineStr"/>
      <c r="G1161" s="31" t="n">
        <f>SUM(G1158:G1160)</f>
        <v>73.527</v>
      </c>
    </row>
    <row r="1162" customHeight="1" ht="15">
      <c r="A1162" s="20" t="inlineStr">
        <is>
          <r>
            <t xml:space="preserve">Mão de Obra</t>
          </r>
        </is>
      </c>
      <c r="B1162" s="20" t="inlineStr"/>
      <c r="C1162" s="21" t="inlineStr">
        <is>
          <r>
            <t xml:space="preserve">FONTE</t>
          </r>
        </is>
      </c>
      <c r="D1162" s="21" t="inlineStr">
        <is>
          <r>
            <t xml:space="preserve">UNID</t>
          </r>
        </is>
      </c>
      <c r="E1162" s="21" t="inlineStr">
        <is>
          <r>
            <t xml:space="preserve">COEFICIENTE</t>
          </r>
        </is>
      </c>
      <c r="F1162" s="21" t="inlineStr">
        <is>
          <r>
            <t xml:space="preserve">PREÇO UNITÁRIO</t>
          </r>
        </is>
      </c>
      <c r="G1162" s="21" t="inlineStr">
        <is>
          <r>
            <t xml:space="preserve">TOTAL</t>
          </r>
        </is>
      </c>
    </row>
    <row r="1163" customHeight="1" ht="15">
      <c r="A1163" s="22" t="inlineStr">
        <is>
          <r>
            <t xml:space="preserve">I0445</t>
          </r>
        </is>
      </c>
      <c r="B1163" s="23" t="inlineStr">
        <is>
          <r>
            <t xml:space="preserve">CALCETEIRO</t>
          </r>
        </is>
      </c>
      <c r="C1163" s="22" t="inlineStr">
        <is>
          <r>
            <t xml:space="preserve">SEINFRA</t>
          </r>
        </is>
      </c>
      <c r="D1163" s="22" t="inlineStr">
        <is>
          <r>
            <t xml:space="preserve">H</t>
          </r>
        </is>
      </c>
      <c r="E1163" s="24" t="n">
        <v>0.75</v>
      </c>
      <c r="F1163" s="30" t="n">
        <v>24.16</v>
      </c>
      <c r="G1163" s="30" t="n">
        <f>ROUND(ROUND(E1163,8)*F1163,4)</f>
        <v>18.12</v>
      </c>
    </row>
    <row r="1164" customHeight="1" ht="15">
      <c r="A1164" s="22" t="inlineStr">
        <is>
          <r>
            <t xml:space="preserve">I2543</t>
          </r>
        </is>
      </c>
      <c r="B1164" s="23" t="inlineStr">
        <is>
          <r>
            <t xml:space="preserve">SERVENTE</t>
          </r>
        </is>
      </c>
      <c r="C1164" s="22" t="inlineStr">
        <is>
          <r>
            <t xml:space="preserve">SEINFRA</t>
          </r>
        </is>
      </c>
      <c r="D1164" s="22" t="inlineStr">
        <is>
          <r>
            <t xml:space="preserve">H</t>
          </r>
        </is>
      </c>
      <c r="E1164" s="24" t="n">
        <v>1.0</v>
      </c>
      <c r="F1164" s="30" t="n">
        <v>18.46</v>
      </c>
      <c r="G1164" s="30" t="n">
        <f>ROUND(ROUND(E1164,8)*F1164,4)</f>
        <v>18.46</v>
      </c>
    </row>
    <row r="1165" customHeight="1" ht="15">
      <c r="A1165" s="2" t="inlineStr"/>
      <c r="B1165" s="2" t="inlineStr"/>
      <c r="C1165" s="2" t="inlineStr"/>
      <c r="D1165" s="2" t="inlineStr"/>
      <c r="E1165" s="26" t="inlineStr">
        <is>
          <r>
            <t xml:space="preserve">TOTAL Mão de Obra:</t>
          </r>
        </is>
      </c>
      <c r="F1165" s="26" t="inlineStr"/>
      <c r="G1165" s="31" t="n">
        <f>SUM(G1163:G1164)</f>
        <v>36.58</v>
      </c>
    </row>
    <row r="1166" customHeight="1" ht="15">
      <c r="A1166" s="2" t="inlineStr"/>
      <c r="B1166" s="2" t="inlineStr"/>
      <c r="C1166" s="2" t="inlineStr"/>
      <c r="D1166" s="2" t="inlineStr"/>
      <c r="E1166" s="28" t="inlineStr">
        <is>
          <r>
            <t xml:space="preserve">VALOR:</t>
          </r>
        </is>
      </c>
      <c r="F1166" s="28" t="inlineStr"/>
      <c r="G1166" s="29" t="n">
        <f>ROUND(SUM(G1161,G1165),2)</f>
        <v>110.11</v>
      </c>
    </row>
    <row r="1167" customHeight="1" ht="15">
      <c r="A1167" s="2" t="inlineStr"/>
      <c r="B1167" s="2" t="inlineStr"/>
      <c r="C1167" s="2" t="inlineStr"/>
      <c r="D1167" s="2" t="inlineStr"/>
      <c r="E1167" s="28" t="inlineStr">
        <is>
          <r>
            <t xml:space="preserve">VALOR BDI:</t>
          </r>
        </is>
      </c>
      <c r="F1167" s="28" t="inlineStr"/>
      <c r="G1167" s="29" t="n">
        <f>ROUND(G1166*(0/100),2)</f>
        <v>0.0</v>
      </c>
    </row>
    <row r="1168" customHeight="1" ht="15">
      <c r="A1168" s="2" t="inlineStr"/>
      <c r="B1168" s="2" t="inlineStr"/>
      <c r="C1168" s="2" t="inlineStr"/>
      <c r="D1168" s="2" t="inlineStr"/>
      <c r="E1168" s="28" t="inlineStr">
        <is>
          <r>
            <t xml:space="preserve">VALOR COM BDI:</t>
          </r>
        </is>
      </c>
      <c r="F1168" s="28" t="inlineStr"/>
      <c r="G1168" s="29" t="n">
        <f>G1167+G1166</f>
        <v>110.11</v>
      </c>
    </row>
    <row r="1169" customHeight="1" ht="10">
      <c r="A1169" s="2" t="inlineStr"/>
      <c r="B1169" s="2" t="inlineStr"/>
      <c r="C1169" s="2" t="inlineStr"/>
      <c r="D1169" s="2" t="inlineStr"/>
      <c r="E1169" s="18" t="inlineStr"/>
      <c r="F1169" s="18" t="inlineStr"/>
      <c r="G1169" s="18" t="inlineStr"/>
    </row>
    <row r="1170" customHeight="1" ht="20">
      <c r="A1170" s="19" t="inlineStr">
        <is>
          <r>
            <t xml:space="preserve">1.4.8.2. ​C1923​ PISO PRÉ-MOLDADO ARTICULADO E INTERTRAVADO DE 16 FACES - e = 4,5 cm P/ PASSEIO​ (M2)</t>
          </r>
        </is>
      </c>
      <c r="B1170" s="19" t="inlineStr"/>
      <c r="C1170" s="19" t="inlineStr"/>
      <c r="D1170" s="19" t="inlineStr"/>
      <c r="E1170" s="19" t="inlineStr"/>
      <c r="F1170" s="19" t="inlineStr"/>
      <c r="G1170" s="19" t="inlineStr"/>
    </row>
    <row r="1171" customHeight="1" ht="15">
      <c r="A1171" s="20" t="inlineStr">
        <is>
          <r>
            <t xml:space="preserve">Material</t>
          </r>
        </is>
      </c>
      <c r="B1171" s="20" t="inlineStr"/>
      <c r="C1171" s="21" t="inlineStr">
        <is>
          <r>
            <t xml:space="preserve">FONTE</t>
          </r>
        </is>
      </c>
      <c r="D1171" s="21" t="inlineStr">
        <is>
          <r>
            <t xml:space="preserve">UNID</t>
          </r>
        </is>
      </c>
      <c r="E1171" s="21" t="inlineStr">
        <is>
          <r>
            <t xml:space="preserve">COEFICIENTE</t>
          </r>
        </is>
      </c>
      <c r="F1171" s="21" t="inlineStr">
        <is>
          <r>
            <t xml:space="preserve">PREÇO UNITÁRIO</t>
          </r>
        </is>
      </c>
      <c r="G1171" s="21" t="inlineStr">
        <is>
          <r>
            <t xml:space="preserve">TOTAL</t>
          </r>
        </is>
      </c>
    </row>
    <row r="1172" customHeight="1" ht="15">
      <c r="A1172" s="22" t="inlineStr">
        <is>
          <r>
            <t xml:space="preserve">I0108</t>
          </r>
        </is>
      </c>
      <c r="B1172" s="23" t="inlineStr">
        <is>
          <r>
            <t xml:space="preserve">AREIA GROSSA</t>
          </r>
        </is>
      </c>
      <c r="C1172" s="22" t="inlineStr">
        <is>
          <r>
            <t xml:space="preserve">SEINFRA</t>
          </r>
        </is>
      </c>
      <c r="D1172" s="22" t="inlineStr">
        <is>
          <r>
            <t xml:space="preserve">M3</t>
          </r>
        </is>
      </c>
      <c r="E1172" s="24" t="n">
        <v>0.1</v>
      </c>
      <c r="F1172" s="30" t="n">
        <v>119.58</v>
      </c>
      <c r="G1172" s="30" t="n">
        <f>ROUND(ROUND(E1172,8)*F1172,4)</f>
        <v>11.958</v>
      </c>
    </row>
    <row r="1173" customHeight="1" ht="15">
      <c r="A1173" s="22" t="inlineStr">
        <is>
          <r>
            <t xml:space="preserve">I0805</t>
          </r>
        </is>
      </c>
      <c r="B1173" s="23" t="inlineStr">
        <is>
          <r>
            <t xml:space="preserve">CIMENTO PORTLAND</t>
          </r>
        </is>
      </c>
      <c r="C1173" s="22" t="inlineStr">
        <is>
          <r>
            <t xml:space="preserve">SEINFRA</t>
          </r>
        </is>
      </c>
      <c r="D1173" s="22" t="inlineStr">
        <is>
          <r>
            <t xml:space="preserve">KG</t>
          </r>
        </is>
      </c>
      <c r="E1173" s="24" t="n">
        <v>3.0</v>
      </c>
      <c r="F1173" s="30" t="n">
        <v>0.71</v>
      </c>
      <c r="G1173" s="30" t="n">
        <f>ROUND(ROUND(E1173,8)*F1173,4)</f>
        <v>2.13</v>
      </c>
    </row>
    <row r="1174" customHeight="1" ht="21">
      <c r="A1174" s="22" t="inlineStr">
        <is>
          <r>
            <t xml:space="preserve">I1662</t>
          </r>
        </is>
      </c>
      <c r="B1174" s="23" t="inlineStr">
        <is>
          <r>
            <t xml:space="preserve">PISO PRÉ-MOLDADO ARTICULADO E INTERTRAVADO DE 16 FACES - e = 4,5 cm P/ PASSEIO</t>
          </r>
        </is>
      </c>
      <c r="C1174" s="22" t="inlineStr">
        <is>
          <r>
            <t xml:space="preserve">SEINFRA</t>
          </r>
        </is>
      </c>
      <c r="D1174" s="22" t="inlineStr">
        <is>
          <r>
            <t xml:space="preserve">M2</t>
          </r>
        </is>
      </c>
      <c r="E1174" s="24" t="n">
        <v>1.05</v>
      </c>
      <c r="F1174" s="30" t="n">
        <v>30.0</v>
      </c>
      <c r="G1174" s="30" t="n">
        <f>ROUND(ROUND(E1174,8)*F1174,4)</f>
        <v>31.5</v>
      </c>
    </row>
    <row r="1175" customHeight="1" ht="15">
      <c r="A1175" s="2" t="inlineStr"/>
      <c r="B1175" s="2" t="inlineStr"/>
      <c r="C1175" s="2" t="inlineStr"/>
      <c r="D1175" s="2" t="inlineStr"/>
      <c r="E1175" s="26" t="inlineStr">
        <is>
          <r>
            <t xml:space="preserve">TOTAL Material:</t>
          </r>
        </is>
      </c>
      <c r="F1175" s="26" t="inlineStr"/>
      <c r="G1175" s="31" t="n">
        <f>SUM(G1172:G1174)</f>
        <v>45.588</v>
      </c>
    </row>
    <row r="1176" customHeight="1" ht="15">
      <c r="A1176" s="20" t="inlineStr">
        <is>
          <r>
            <t xml:space="preserve">Mão de Obra</t>
          </r>
        </is>
      </c>
      <c r="B1176" s="20" t="inlineStr"/>
      <c r="C1176" s="21" t="inlineStr">
        <is>
          <r>
            <t xml:space="preserve">FONTE</t>
          </r>
        </is>
      </c>
      <c r="D1176" s="21" t="inlineStr">
        <is>
          <r>
            <t xml:space="preserve">UNID</t>
          </r>
        </is>
      </c>
      <c r="E1176" s="21" t="inlineStr">
        <is>
          <r>
            <t xml:space="preserve">COEFICIENTE</t>
          </r>
        </is>
      </c>
      <c r="F1176" s="21" t="inlineStr">
        <is>
          <r>
            <t xml:space="preserve">PREÇO UNITÁRIO</t>
          </r>
        </is>
      </c>
      <c r="G1176" s="21" t="inlineStr">
        <is>
          <r>
            <t xml:space="preserve">TOTAL</t>
          </r>
        </is>
      </c>
    </row>
    <row r="1177" customHeight="1" ht="15">
      <c r="A1177" s="22" t="inlineStr">
        <is>
          <r>
            <t xml:space="preserve">I0445</t>
          </r>
        </is>
      </c>
      <c r="B1177" s="23" t="inlineStr">
        <is>
          <r>
            <t xml:space="preserve">CALCETEIRO</t>
          </r>
        </is>
      </c>
      <c r="C1177" s="22" t="inlineStr">
        <is>
          <r>
            <t xml:space="preserve">SEINFRA</t>
          </r>
        </is>
      </c>
      <c r="D1177" s="22" t="inlineStr">
        <is>
          <r>
            <t xml:space="preserve">H</t>
          </r>
        </is>
      </c>
      <c r="E1177" s="24" t="n">
        <v>0.5</v>
      </c>
      <c r="F1177" s="30" t="n">
        <v>24.16</v>
      </c>
      <c r="G1177" s="30" t="n">
        <f>ROUND(ROUND(E1177,8)*F1177,4)</f>
        <v>12.08</v>
      </c>
    </row>
    <row r="1178" customHeight="1" ht="15">
      <c r="A1178" s="22" t="inlineStr">
        <is>
          <r>
            <t xml:space="preserve">I2543</t>
          </r>
        </is>
      </c>
      <c r="B1178" s="23" t="inlineStr">
        <is>
          <r>
            <t xml:space="preserve">SERVENTE</t>
          </r>
        </is>
      </c>
      <c r="C1178" s="22" t="inlineStr">
        <is>
          <r>
            <t xml:space="preserve">SEINFRA</t>
          </r>
        </is>
      </c>
      <c r="D1178" s="22" t="inlineStr">
        <is>
          <r>
            <t xml:space="preserve">H</t>
          </r>
        </is>
      </c>
      <c r="E1178" s="24" t="n">
        <v>0.75</v>
      </c>
      <c r="F1178" s="30" t="n">
        <v>18.46</v>
      </c>
      <c r="G1178" s="30" t="n">
        <f>ROUND(ROUND(E1178,8)*F1178,4)</f>
        <v>13.845</v>
      </c>
    </row>
    <row r="1179" customHeight="1" ht="15">
      <c r="A1179" s="2" t="inlineStr"/>
      <c r="B1179" s="2" t="inlineStr"/>
      <c r="C1179" s="2" t="inlineStr"/>
      <c r="D1179" s="2" t="inlineStr"/>
      <c r="E1179" s="26" t="inlineStr">
        <is>
          <r>
            <t xml:space="preserve">TOTAL Mão de Obra:</t>
          </r>
        </is>
      </c>
      <c r="F1179" s="26" t="inlineStr"/>
      <c r="G1179" s="31" t="n">
        <f>SUM(G1177:G1178)</f>
        <v>25.925</v>
      </c>
    </row>
    <row r="1180" customHeight="1" ht="15">
      <c r="A1180" s="2" t="inlineStr"/>
      <c r="B1180" s="2" t="inlineStr"/>
      <c r="C1180" s="2" t="inlineStr"/>
      <c r="D1180" s="2" t="inlineStr"/>
      <c r="E1180" s="28" t="inlineStr">
        <is>
          <r>
            <t xml:space="preserve">VALOR:</t>
          </r>
        </is>
      </c>
      <c r="F1180" s="28" t="inlineStr"/>
      <c r="G1180" s="29" t="n">
        <f>ROUND(SUM(G1175,G1179),2)</f>
        <v>71.51</v>
      </c>
    </row>
    <row r="1181" customHeight="1" ht="15">
      <c r="A1181" s="2" t="inlineStr"/>
      <c r="B1181" s="2" t="inlineStr"/>
      <c r="C1181" s="2" t="inlineStr"/>
      <c r="D1181" s="2" t="inlineStr"/>
      <c r="E1181" s="28" t="inlineStr">
        <is>
          <r>
            <t xml:space="preserve">VALOR BDI:</t>
          </r>
        </is>
      </c>
      <c r="F1181" s="28" t="inlineStr"/>
      <c r="G1181" s="29" t="n">
        <f>ROUND(G1180*(0/100),2)</f>
        <v>0.0</v>
      </c>
    </row>
    <row r="1182" customHeight="1" ht="15">
      <c r="A1182" s="2" t="inlineStr"/>
      <c r="B1182" s="2" t="inlineStr"/>
      <c r="C1182" s="2" t="inlineStr"/>
      <c r="D1182" s="2" t="inlineStr"/>
      <c r="E1182" s="28" t="inlineStr">
        <is>
          <r>
            <t xml:space="preserve">VALOR COM BDI:</t>
          </r>
        </is>
      </c>
      <c r="F1182" s="28" t="inlineStr"/>
      <c r="G1182" s="29" t="n">
        <f>G1181+G1180</f>
        <v>71.51</v>
      </c>
    </row>
    <row r="1183" customHeight="1" ht="10">
      <c r="A1183" s="2" t="inlineStr"/>
      <c r="B1183" s="2" t="inlineStr"/>
      <c r="C1183" s="2" t="inlineStr"/>
      <c r="D1183" s="2" t="inlineStr"/>
      <c r="E1183" s="18" t="inlineStr"/>
      <c r="F1183" s="18" t="inlineStr"/>
      <c r="G1183" s="18" t="inlineStr"/>
    </row>
    <row r="1184" customHeight="1" ht="20">
      <c r="A1184" s="19" t="inlineStr">
        <is>
          <r>
            <t xml:space="preserve">1.5.1.1. ​C1049​ DEMOLIÇÃO DE CONCRETO SIMPLES​ (M3)</t>
          </r>
        </is>
      </c>
      <c r="B1184" s="19" t="inlineStr"/>
      <c r="C1184" s="19" t="inlineStr"/>
      <c r="D1184" s="19" t="inlineStr"/>
      <c r="E1184" s="19" t="inlineStr"/>
      <c r="F1184" s="19" t="inlineStr"/>
      <c r="G1184" s="19" t="inlineStr"/>
    </row>
    <row r="1185" customHeight="1" ht="15">
      <c r="A1185" s="20" t="inlineStr">
        <is>
          <r>
            <t xml:space="preserve">Mão de Obra</t>
          </r>
        </is>
      </c>
      <c r="B1185" s="20" t="inlineStr"/>
      <c r="C1185" s="21" t="inlineStr">
        <is>
          <r>
            <t xml:space="preserve">FONTE</t>
          </r>
        </is>
      </c>
      <c r="D1185" s="21" t="inlineStr">
        <is>
          <r>
            <t xml:space="preserve">UNID</t>
          </r>
        </is>
      </c>
      <c r="E1185" s="21" t="inlineStr">
        <is>
          <r>
            <t xml:space="preserve">COEFICIENTE</t>
          </r>
        </is>
      </c>
      <c r="F1185" s="21" t="inlineStr">
        <is>
          <r>
            <t xml:space="preserve">PREÇO UNITÁRIO</t>
          </r>
        </is>
      </c>
      <c r="G1185" s="21" t="inlineStr">
        <is>
          <r>
            <t xml:space="preserve">TOTAL</t>
          </r>
        </is>
      </c>
    </row>
    <row r="1186" customHeight="1" ht="15">
      <c r="A1186" s="22" t="inlineStr">
        <is>
          <r>
            <t xml:space="preserve">I2391</t>
          </r>
        </is>
      </c>
      <c r="B1186" s="23" t="inlineStr">
        <is>
          <r>
            <t xml:space="preserve">PEDREIRO</t>
          </r>
        </is>
      </c>
      <c r="C1186" s="22" t="inlineStr">
        <is>
          <r>
            <t xml:space="preserve">SEINFRA</t>
          </r>
        </is>
      </c>
      <c r="D1186" s="22" t="inlineStr">
        <is>
          <r>
            <t xml:space="preserve">H</t>
          </r>
        </is>
      </c>
      <c r="E1186" s="24" t="n">
        <v>1.3</v>
      </c>
      <c r="F1186" s="30" t="n">
        <v>24.16</v>
      </c>
      <c r="G1186" s="30" t="n">
        <f>ROUND(ROUND(E1186,8)*F1186,4)</f>
        <v>31.408</v>
      </c>
    </row>
    <row r="1187" customHeight="1" ht="15">
      <c r="A1187" s="22" t="inlineStr">
        <is>
          <r>
            <t xml:space="preserve">I2543</t>
          </r>
        </is>
      </c>
      <c r="B1187" s="23" t="inlineStr">
        <is>
          <r>
            <t xml:space="preserve">SERVENTE</t>
          </r>
        </is>
      </c>
      <c r="C1187" s="22" t="inlineStr">
        <is>
          <r>
            <t xml:space="preserve">SEINFRA</t>
          </r>
        </is>
      </c>
      <c r="D1187" s="22" t="inlineStr">
        <is>
          <r>
            <t xml:space="preserve">H</t>
          </r>
        </is>
      </c>
      <c r="E1187" s="24" t="n">
        <v>13.0</v>
      </c>
      <c r="F1187" s="30" t="n">
        <v>18.46</v>
      </c>
      <c r="G1187" s="30" t="n">
        <f>ROUND(ROUND(E1187,8)*F1187,4)</f>
        <v>239.98</v>
      </c>
    </row>
    <row r="1188" customHeight="1" ht="15">
      <c r="A1188" s="2" t="inlineStr"/>
      <c r="B1188" s="2" t="inlineStr"/>
      <c r="C1188" s="2" t="inlineStr"/>
      <c r="D1188" s="2" t="inlineStr"/>
      <c r="E1188" s="26" t="inlineStr">
        <is>
          <r>
            <t xml:space="preserve">TOTAL Mão de Obra:</t>
          </r>
        </is>
      </c>
      <c r="F1188" s="26" t="inlineStr"/>
      <c r="G1188" s="31" t="n">
        <f>SUM(G1186:G1187)</f>
        <v>271.388</v>
      </c>
    </row>
    <row r="1189" customHeight="1" ht="15">
      <c r="A1189" s="2" t="inlineStr"/>
      <c r="B1189" s="2" t="inlineStr"/>
      <c r="C1189" s="2" t="inlineStr"/>
      <c r="D1189" s="2" t="inlineStr"/>
      <c r="E1189" s="28" t="inlineStr">
        <is>
          <r>
            <t xml:space="preserve">VALOR:</t>
          </r>
        </is>
      </c>
      <c r="F1189" s="28" t="inlineStr"/>
      <c r="G1189" s="29" t="n">
        <f>ROUND(SUM(G1188),2)</f>
        <v>271.39</v>
      </c>
    </row>
    <row r="1190" customHeight="1" ht="15">
      <c r="A1190" s="2" t="inlineStr"/>
      <c r="B1190" s="2" t="inlineStr"/>
      <c r="C1190" s="2" t="inlineStr"/>
      <c r="D1190" s="2" t="inlineStr"/>
      <c r="E1190" s="28" t="inlineStr">
        <is>
          <r>
            <t xml:space="preserve">VALOR BDI:</t>
          </r>
        </is>
      </c>
      <c r="F1190" s="28" t="inlineStr"/>
      <c r="G1190" s="29" t="n">
        <f>ROUND(G1189*(0/100),2)</f>
        <v>0.0</v>
      </c>
    </row>
    <row r="1191" customHeight="1" ht="15">
      <c r="A1191" s="2" t="inlineStr"/>
      <c r="B1191" s="2" t="inlineStr"/>
      <c r="C1191" s="2" t="inlineStr"/>
      <c r="D1191" s="2" t="inlineStr"/>
      <c r="E1191" s="28" t="inlineStr">
        <is>
          <r>
            <t xml:space="preserve">VALOR COM BDI:</t>
          </r>
        </is>
      </c>
      <c r="F1191" s="28" t="inlineStr"/>
      <c r="G1191" s="29" t="n">
        <f>G1190+G1189</f>
        <v>271.39</v>
      </c>
    </row>
    <row r="1192" customHeight="1" ht="10">
      <c r="A1192" s="2" t="inlineStr"/>
      <c r="B1192" s="2" t="inlineStr"/>
      <c r="C1192" s="2" t="inlineStr"/>
      <c r="D1192" s="2" t="inlineStr"/>
      <c r="E1192" s="18" t="inlineStr"/>
      <c r="F1192" s="18" t="inlineStr"/>
      <c r="G1192" s="18" t="inlineStr"/>
    </row>
    <row r="1193" customHeight="1" ht="20">
      <c r="A1193" s="19" t="inlineStr">
        <is>
          <r>
            <t xml:space="preserve">1.5.1.2. ​C0708​ CARGA MECANIZADA DE ENTULHO EM CAMINHÃO BASCULANTE​ (M3)</t>
          </r>
        </is>
      </c>
      <c r="B1193" s="19" t="inlineStr"/>
      <c r="C1193" s="19" t="inlineStr"/>
      <c r="D1193" s="19" t="inlineStr"/>
      <c r="E1193" s="19" t="inlineStr"/>
      <c r="F1193" s="19" t="inlineStr"/>
      <c r="G1193" s="19" t="inlineStr"/>
    </row>
    <row r="1194" customHeight="1" ht="15">
      <c r="A1194" s="20" t="inlineStr">
        <is>
          <r>
            <t xml:space="preserve">Equipamento Custo Horário</t>
          </r>
        </is>
      </c>
      <c r="B1194" s="20" t="inlineStr"/>
      <c r="C1194" s="21" t="inlineStr">
        <is>
          <r>
            <t xml:space="preserve">FONTE</t>
          </r>
        </is>
      </c>
      <c r="D1194" s="21" t="inlineStr">
        <is>
          <r>
            <t xml:space="preserve">UNID</t>
          </r>
        </is>
      </c>
      <c r="E1194" s="21" t="inlineStr">
        <is>
          <r>
            <t xml:space="preserve">COEFICIENTE</t>
          </r>
        </is>
      </c>
      <c r="F1194" s="21" t="inlineStr">
        <is>
          <r>
            <t xml:space="preserve">PREÇO UNITÁRIO</t>
          </r>
        </is>
      </c>
      <c r="G1194" s="21" t="inlineStr">
        <is>
          <r>
            <t xml:space="preserve">TOTAL</t>
          </r>
        </is>
      </c>
    </row>
    <row r="1195" customHeight="1" ht="15">
      <c r="A1195" s="22" t="inlineStr">
        <is>
          <r>
            <t xml:space="preserve">I0690</t>
          </r>
        </is>
      </c>
      <c r="B1195" s="23" t="inlineStr">
        <is>
          <r>
            <t xml:space="preserve">CAMINHÃO BASCULANTE 6 M3 (CHP)</t>
          </r>
        </is>
      </c>
      <c r="C1195" s="22" t="inlineStr">
        <is>
          <r>
            <t xml:space="preserve">SEINFRA</t>
          </r>
        </is>
      </c>
      <c r="D1195" s="22" t="inlineStr">
        <is>
          <r>
            <t xml:space="preserve">H</t>
          </r>
        </is>
      </c>
      <c r="E1195" s="24" t="n">
        <v>0.0104</v>
      </c>
      <c r="F1195" s="30" t="n">
        <v>173.7102</v>
      </c>
      <c r="G1195" s="30" t="n">
        <f>ROUND(ROUND(E1195,8)*F1195,4)</f>
        <v>1.8066</v>
      </c>
    </row>
    <row r="1196" customHeight="1" ht="15">
      <c r="A1196" s="22" t="inlineStr">
        <is>
          <r>
            <t xml:space="preserve">I0708</t>
          </r>
        </is>
      </c>
      <c r="B1196" s="23" t="inlineStr">
        <is>
          <r>
            <t xml:space="preserve">CARREGADEIRA DE PNEUS HP 111 (CHP)</t>
          </r>
        </is>
      </c>
      <c r="C1196" s="22" t="inlineStr">
        <is>
          <r>
            <t xml:space="preserve">SEINFRA</t>
          </r>
        </is>
      </c>
      <c r="D1196" s="22" t="inlineStr">
        <is>
          <r>
            <t xml:space="preserve">H</t>
          </r>
        </is>
      </c>
      <c r="E1196" s="24" t="n">
        <v>0.0104</v>
      </c>
      <c r="F1196" s="30" t="n">
        <v>229.8427</v>
      </c>
      <c r="G1196" s="30" t="n">
        <f>ROUND(ROUND(E1196,8)*F1196,4)</f>
        <v>2.3904</v>
      </c>
    </row>
    <row r="1197" customHeight="1" ht="18">
      <c r="A1197" s="2" t="inlineStr"/>
      <c r="B1197" s="2" t="inlineStr"/>
      <c r="C1197" s="2" t="inlineStr"/>
      <c r="D1197" s="2" t="inlineStr"/>
      <c r="E1197" s="26" t="inlineStr">
        <is>
          <r>
            <t xml:space="preserve">TOTAL Equipamento Custo Horário:</t>
          </r>
        </is>
      </c>
      <c r="F1197" s="26" t="inlineStr"/>
      <c r="G1197" s="31" t="n">
        <f>SUM(G1195:G1196)</f>
        <v>4.197</v>
      </c>
    </row>
    <row r="1198" customHeight="1" ht="15">
      <c r="A1198" s="20" t="inlineStr">
        <is>
          <r>
            <t xml:space="preserve">Mão de Obra</t>
          </r>
        </is>
      </c>
      <c r="B1198" s="20" t="inlineStr"/>
      <c r="C1198" s="21" t="inlineStr">
        <is>
          <r>
            <t xml:space="preserve">FONTE</t>
          </r>
        </is>
      </c>
      <c r="D1198" s="21" t="inlineStr">
        <is>
          <r>
            <t xml:space="preserve">UNID</t>
          </r>
        </is>
      </c>
      <c r="E1198" s="21" t="inlineStr">
        <is>
          <r>
            <t xml:space="preserve">COEFICIENTE</t>
          </r>
        </is>
      </c>
      <c r="F1198" s="21" t="inlineStr">
        <is>
          <r>
            <t xml:space="preserve">PREÇO UNITÁRIO</t>
          </r>
        </is>
      </c>
      <c r="G1198" s="21" t="inlineStr">
        <is>
          <r>
            <t xml:space="preserve">TOTAL</t>
          </r>
        </is>
      </c>
    </row>
    <row r="1199" customHeight="1" ht="15">
      <c r="A1199" s="22" t="inlineStr">
        <is>
          <r>
            <t xml:space="preserve">I2543</t>
          </r>
        </is>
      </c>
      <c r="B1199" s="23" t="inlineStr">
        <is>
          <r>
            <t xml:space="preserve">SERVENTE</t>
          </r>
        </is>
      </c>
      <c r="C1199" s="22" t="inlineStr">
        <is>
          <r>
            <t xml:space="preserve">SEINFRA</t>
          </r>
        </is>
      </c>
      <c r="D1199" s="22" t="inlineStr">
        <is>
          <r>
            <t xml:space="preserve">H</t>
          </r>
        </is>
      </c>
      <c r="E1199" s="24" t="n">
        <v>0.0208</v>
      </c>
      <c r="F1199" s="30" t="n">
        <v>18.46</v>
      </c>
      <c r="G1199" s="30" t="n">
        <f>ROUND(ROUND(E1199,8)*F1199,4)</f>
        <v>0.384</v>
      </c>
    </row>
    <row r="1200" customHeight="1" ht="15">
      <c r="A1200" s="2" t="inlineStr"/>
      <c r="B1200" s="2" t="inlineStr"/>
      <c r="C1200" s="2" t="inlineStr"/>
      <c r="D1200" s="2" t="inlineStr"/>
      <c r="E1200" s="26" t="inlineStr">
        <is>
          <r>
            <t xml:space="preserve">TOTAL Mão de Obra:</t>
          </r>
        </is>
      </c>
      <c r="F1200" s="26" t="inlineStr"/>
      <c r="G1200" s="31" t="n">
        <f>SUM(G1199:G1199)</f>
        <v>0.384</v>
      </c>
    </row>
    <row r="1201" customHeight="1" ht="15">
      <c r="A1201" s="2" t="inlineStr"/>
      <c r="B1201" s="2" t="inlineStr"/>
      <c r="C1201" s="2" t="inlineStr"/>
      <c r="D1201" s="2" t="inlineStr"/>
      <c r="E1201" s="28" t="inlineStr">
        <is>
          <r>
            <t xml:space="preserve">VALOR:</t>
          </r>
        </is>
      </c>
      <c r="F1201" s="28" t="inlineStr"/>
      <c r="G1201" s="29" t="n">
        <f>ROUND(SUM(G1197,G1200),2)</f>
        <v>4.58</v>
      </c>
    </row>
    <row r="1202" customHeight="1" ht="15">
      <c r="A1202" s="2" t="inlineStr"/>
      <c r="B1202" s="2" t="inlineStr"/>
      <c r="C1202" s="2" t="inlineStr"/>
      <c r="D1202" s="2" t="inlineStr"/>
      <c r="E1202" s="28" t="inlineStr">
        <is>
          <r>
            <t xml:space="preserve">VALOR BDI:</t>
          </r>
        </is>
      </c>
      <c r="F1202" s="28" t="inlineStr"/>
      <c r="G1202" s="29" t="n">
        <f>ROUND(G1201*(0/100),2)</f>
        <v>0.0</v>
      </c>
    </row>
    <row r="1203" customHeight="1" ht="15">
      <c r="A1203" s="2" t="inlineStr"/>
      <c r="B1203" s="2" t="inlineStr"/>
      <c r="C1203" s="2" t="inlineStr"/>
      <c r="D1203" s="2" t="inlineStr"/>
      <c r="E1203" s="28" t="inlineStr">
        <is>
          <r>
            <t xml:space="preserve">VALOR COM BDI:</t>
          </r>
        </is>
      </c>
      <c r="F1203" s="28" t="inlineStr"/>
      <c r="G1203" s="29" t="n">
        <f>G1202+G1201</f>
        <v>4.58</v>
      </c>
    </row>
    <row r="1204" customHeight="1" ht="10">
      <c r="A1204" s="2" t="inlineStr"/>
      <c r="B1204" s="2" t="inlineStr"/>
      <c r="C1204" s="2" t="inlineStr"/>
      <c r="D1204" s="2" t="inlineStr"/>
      <c r="E1204" s="18" t="inlineStr"/>
      <c r="F1204" s="18" t="inlineStr"/>
      <c r="G1204" s="18" t="inlineStr"/>
    </row>
    <row r="1205" customHeight="1" ht="20">
      <c r="A1205" s="19" t="inlineStr">
        <is>
          <r>
            <t xml:space="preserve">1.5.2.1. ​C1923​ PISO PRÉ-MOLDADO ARTICULADO E INTERTRAVADO DE 16 FACES - e = 4,5 cm P/ PASSEIO​ (M2)</t>
          </r>
        </is>
      </c>
      <c r="B1205" s="19" t="inlineStr"/>
      <c r="C1205" s="19" t="inlineStr"/>
      <c r="D1205" s="19" t="inlineStr"/>
      <c r="E1205" s="19" t="inlineStr"/>
      <c r="F1205" s="19" t="inlineStr"/>
      <c r="G1205" s="19" t="inlineStr"/>
    </row>
    <row r="1206" customHeight="1" ht="15">
      <c r="A1206" s="20" t="inlineStr">
        <is>
          <r>
            <t xml:space="preserve">Material</t>
          </r>
        </is>
      </c>
      <c r="B1206" s="20" t="inlineStr"/>
      <c r="C1206" s="21" t="inlineStr">
        <is>
          <r>
            <t xml:space="preserve">FONTE</t>
          </r>
        </is>
      </c>
      <c r="D1206" s="21" t="inlineStr">
        <is>
          <r>
            <t xml:space="preserve">UNID</t>
          </r>
        </is>
      </c>
      <c r="E1206" s="21" t="inlineStr">
        <is>
          <r>
            <t xml:space="preserve">COEFICIENTE</t>
          </r>
        </is>
      </c>
      <c r="F1206" s="21" t="inlineStr">
        <is>
          <r>
            <t xml:space="preserve">PREÇO UNITÁRIO</t>
          </r>
        </is>
      </c>
      <c r="G1206" s="21" t="inlineStr">
        <is>
          <r>
            <t xml:space="preserve">TOTAL</t>
          </r>
        </is>
      </c>
    </row>
    <row r="1207" customHeight="1" ht="15">
      <c r="A1207" s="22" t="inlineStr">
        <is>
          <r>
            <t xml:space="preserve">I0108</t>
          </r>
        </is>
      </c>
      <c r="B1207" s="23" t="inlineStr">
        <is>
          <r>
            <t xml:space="preserve">AREIA GROSSA</t>
          </r>
        </is>
      </c>
      <c r="C1207" s="22" t="inlineStr">
        <is>
          <r>
            <t xml:space="preserve">SEINFRA</t>
          </r>
        </is>
      </c>
      <c r="D1207" s="22" t="inlineStr">
        <is>
          <r>
            <t xml:space="preserve">M3</t>
          </r>
        </is>
      </c>
      <c r="E1207" s="24" t="n">
        <v>0.1</v>
      </c>
      <c r="F1207" s="30" t="n">
        <v>119.58</v>
      </c>
      <c r="G1207" s="30" t="n">
        <f>ROUND(ROUND(E1207,8)*F1207,4)</f>
        <v>11.958</v>
      </c>
    </row>
    <row r="1208" customHeight="1" ht="15">
      <c r="A1208" s="22" t="inlineStr">
        <is>
          <r>
            <t xml:space="preserve">I0805</t>
          </r>
        </is>
      </c>
      <c r="B1208" s="23" t="inlineStr">
        <is>
          <r>
            <t xml:space="preserve">CIMENTO PORTLAND</t>
          </r>
        </is>
      </c>
      <c r="C1208" s="22" t="inlineStr">
        <is>
          <r>
            <t xml:space="preserve">SEINFRA</t>
          </r>
        </is>
      </c>
      <c r="D1208" s="22" t="inlineStr">
        <is>
          <r>
            <t xml:space="preserve">KG</t>
          </r>
        </is>
      </c>
      <c r="E1208" s="24" t="n">
        <v>3.0</v>
      </c>
      <c r="F1208" s="30" t="n">
        <v>0.71</v>
      </c>
      <c r="G1208" s="30" t="n">
        <f>ROUND(ROUND(E1208,8)*F1208,4)</f>
        <v>2.13</v>
      </c>
    </row>
    <row r="1209" customHeight="1" ht="21">
      <c r="A1209" s="22" t="inlineStr">
        <is>
          <r>
            <t xml:space="preserve">I1662</t>
          </r>
        </is>
      </c>
      <c r="B1209" s="23" t="inlineStr">
        <is>
          <r>
            <t xml:space="preserve">PISO PRÉ-MOLDADO ARTICULADO E INTERTRAVADO DE 16 FACES - e = 4,5 cm P/ PASSEIO</t>
          </r>
        </is>
      </c>
      <c r="C1209" s="22" t="inlineStr">
        <is>
          <r>
            <t xml:space="preserve">SEINFRA</t>
          </r>
        </is>
      </c>
      <c r="D1209" s="22" t="inlineStr">
        <is>
          <r>
            <t xml:space="preserve">M2</t>
          </r>
        </is>
      </c>
      <c r="E1209" s="24" t="n">
        <v>1.05</v>
      </c>
      <c r="F1209" s="30" t="n">
        <v>30.0</v>
      </c>
      <c r="G1209" s="30" t="n">
        <f>ROUND(ROUND(E1209,8)*F1209,4)</f>
        <v>31.5</v>
      </c>
    </row>
    <row r="1210" customHeight="1" ht="15">
      <c r="A1210" s="2" t="inlineStr"/>
      <c r="B1210" s="2" t="inlineStr"/>
      <c r="C1210" s="2" t="inlineStr"/>
      <c r="D1210" s="2" t="inlineStr"/>
      <c r="E1210" s="26" t="inlineStr">
        <is>
          <r>
            <t xml:space="preserve">TOTAL Material:</t>
          </r>
        </is>
      </c>
      <c r="F1210" s="26" t="inlineStr"/>
      <c r="G1210" s="31" t="n">
        <f>SUM(G1207:G1209)</f>
        <v>45.588</v>
      </c>
    </row>
    <row r="1211" customHeight="1" ht="15">
      <c r="A1211" s="20" t="inlineStr">
        <is>
          <r>
            <t xml:space="preserve">Mão de Obra</t>
          </r>
        </is>
      </c>
      <c r="B1211" s="20" t="inlineStr"/>
      <c r="C1211" s="21" t="inlineStr">
        <is>
          <r>
            <t xml:space="preserve">FONTE</t>
          </r>
        </is>
      </c>
      <c r="D1211" s="21" t="inlineStr">
        <is>
          <r>
            <t xml:space="preserve">UNID</t>
          </r>
        </is>
      </c>
      <c r="E1211" s="21" t="inlineStr">
        <is>
          <r>
            <t xml:space="preserve">COEFICIENTE</t>
          </r>
        </is>
      </c>
      <c r="F1211" s="21" t="inlineStr">
        <is>
          <r>
            <t xml:space="preserve">PREÇO UNITÁRIO</t>
          </r>
        </is>
      </c>
      <c r="G1211" s="21" t="inlineStr">
        <is>
          <r>
            <t xml:space="preserve">TOTAL</t>
          </r>
        </is>
      </c>
    </row>
    <row r="1212" customHeight="1" ht="15">
      <c r="A1212" s="22" t="inlineStr">
        <is>
          <r>
            <t xml:space="preserve">I0445</t>
          </r>
        </is>
      </c>
      <c r="B1212" s="23" t="inlineStr">
        <is>
          <r>
            <t xml:space="preserve">CALCETEIRO</t>
          </r>
        </is>
      </c>
      <c r="C1212" s="22" t="inlineStr">
        <is>
          <r>
            <t xml:space="preserve">SEINFRA</t>
          </r>
        </is>
      </c>
      <c r="D1212" s="22" t="inlineStr">
        <is>
          <r>
            <t xml:space="preserve">H</t>
          </r>
        </is>
      </c>
      <c r="E1212" s="24" t="n">
        <v>0.5</v>
      </c>
      <c r="F1212" s="30" t="n">
        <v>24.16</v>
      </c>
      <c r="G1212" s="30" t="n">
        <f>ROUND(ROUND(E1212,8)*F1212,4)</f>
        <v>12.08</v>
      </c>
    </row>
    <row r="1213" customHeight="1" ht="15">
      <c r="A1213" s="22" t="inlineStr">
        <is>
          <r>
            <t xml:space="preserve">I2543</t>
          </r>
        </is>
      </c>
      <c r="B1213" s="23" t="inlineStr">
        <is>
          <r>
            <t xml:space="preserve">SERVENTE</t>
          </r>
        </is>
      </c>
      <c r="C1213" s="22" t="inlineStr">
        <is>
          <r>
            <t xml:space="preserve">SEINFRA</t>
          </r>
        </is>
      </c>
      <c r="D1213" s="22" t="inlineStr">
        <is>
          <r>
            <t xml:space="preserve">H</t>
          </r>
        </is>
      </c>
      <c r="E1213" s="24" t="n">
        <v>0.75</v>
      </c>
      <c r="F1213" s="30" t="n">
        <v>18.46</v>
      </c>
      <c r="G1213" s="30" t="n">
        <f>ROUND(ROUND(E1213,8)*F1213,4)</f>
        <v>13.845</v>
      </c>
    </row>
    <row r="1214" customHeight="1" ht="15">
      <c r="A1214" s="2" t="inlineStr"/>
      <c r="B1214" s="2" t="inlineStr"/>
      <c r="C1214" s="2" t="inlineStr"/>
      <c r="D1214" s="2" t="inlineStr"/>
      <c r="E1214" s="26" t="inlineStr">
        <is>
          <r>
            <t xml:space="preserve">TOTAL Mão de Obra:</t>
          </r>
        </is>
      </c>
      <c r="F1214" s="26" t="inlineStr"/>
      <c r="G1214" s="31" t="n">
        <f>SUM(G1212:G1213)</f>
        <v>25.925</v>
      </c>
    </row>
    <row r="1215" customHeight="1" ht="15">
      <c r="A1215" s="2" t="inlineStr"/>
      <c r="B1215" s="2" t="inlineStr"/>
      <c r="C1215" s="2" t="inlineStr"/>
      <c r="D1215" s="2" t="inlineStr"/>
      <c r="E1215" s="28" t="inlineStr">
        <is>
          <r>
            <t xml:space="preserve">VALOR:</t>
          </r>
        </is>
      </c>
      <c r="F1215" s="28" t="inlineStr"/>
      <c r="G1215" s="29" t="n">
        <f>ROUND(SUM(G1210,G1214),2)</f>
        <v>71.51</v>
      </c>
    </row>
    <row r="1216" customHeight="1" ht="15">
      <c r="A1216" s="2" t="inlineStr"/>
      <c r="B1216" s="2" t="inlineStr"/>
      <c r="C1216" s="2" t="inlineStr"/>
      <c r="D1216" s="2" t="inlineStr"/>
      <c r="E1216" s="28" t="inlineStr">
        <is>
          <r>
            <t xml:space="preserve">VALOR BDI:</t>
          </r>
        </is>
      </c>
      <c r="F1216" s="28" t="inlineStr"/>
      <c r="G1216" s="29" t="n">
        <f>ROUND(G1215*(0/100),2)</f>
        <v>0.0</v>
      </c>
    </row>
    <row r="1217" customHeight="1" ht="15">
      <c r="A1217" s="2" t="inlineStr"/>
      <c r="B1217" s="2" t="inlineStr"/>
      <c r="C1217" s="2" t="inlineStr"/>
      <c r="D1217" s="2" t="inlineStr"/>
      <c r="E1217" s="28" t="inlineStr">
        <is>
          <r>
            <t xml:space="preserve">VALOR COM BDI:</t>
          </r>
        </is>
      </c>
      <c r="F1217" s="28" t="inlineStr"/>
      <c r="G1217" s="29" t="n">
        <f>G1216+G1215</f>
        <v>71.51</v>
      </c>
    </row>
    <row r="1218" customHeight="1" ht="10">
      <c r="A1218" s="2" t="inlineStr"/>
      <c r="B1218" s="2" t="inlineStr"/>
      <c r="C1218" s="2" t="inlineStr"/>
      <c r="D1218" s="2" t="inlineStr"/>
      <c r="E1218" s="18" t="inlineStr"/>
      <c r="F1218" s="18" t="inlineStr"/>
      <c r="G1218" s="18" t="inlineStr"/>
    </row>
    <row r="1219" customHeight="1" ht="20">
      <c r="A1219" s="19" t="inlineStr">
        <is>
          <r>
            <t xml:space="preserve">1.5.2.2. ​C4624​ PISO PODOTÁTIL EXTERNO EM PMC ESP. 3CM, ASSENTADO COM ARGAMASSA (FORNECIMENTO E ASSENTAMENTO)​ (M2)</t>
          </r>
        </is>
      </c>
      <c r="B1219" s="19" t="inlineStr"/>
      <c r="C1219" s="19" t="inlineStr"/>
      <c r="D1219" s="19" t="inlineStr"/>
      <c r="E1219" s="19" t="inlineStr"/>
      <c r="F1219" s="19" t="inlineStr"/>
      <c r="G1219" s="19" t="inlineStr"/>
    </row>
    <row r="1220" customHeight="1" ht="15">
      <c r="A1220" s="20" t="inlineStr">
        <is>
          <r>
            <t xml:space="preserve">Material</t>
          </r>
        </is>
      </c>
      <c r="B1220" s="20" t="inlineStr"/>
      <c r="C1220" s="21" t="inlineStr">
        <is>
          <r>
            <t xml:space="preserve">FONTE</t>
          </r>
        </is>
      </c>
      <c r="D1220" s="21" t="inlineStr">
        <is>
          <r>
            <t xml:space="preserve">UNID</t>
          </r>
        </is>
      </c>
      <c r="E1220" s="21" t="inlineStr">
        <is>
          <r>
            <t xml:space="preserve">COEFICIENTE</t>
          </r>
        </is>
      </c>
      <c r="F1220" s="21" t="inlineStr">
        <is>
          <r>
            <t xml:space="preserve">PREÇO UNITÁRIO</t>
          </r>
        </is>
      </c>
      <c r="G1220" s="21" t="inlineStr">
        <is>
          <r>
            <t xml:space="preserve">TOTAL</t>
          </r>
        </is>
      </c>
    </row>
    <row r="1221" customHeight="1" ht="15">
      <c r="A1221" s="22" t="inlineStr">
        <is>
          <r>
            <t xml:space="preserve">I0109</t>
          </r>
        </is>
      </c>
      <c r="B1221" s="23" t="inlineStr">
        <is>
          <r>
            <t xml:space="preserve">AREIA MEDIA</t>
          </r>
        </is>
      </c>
      <c r="C1221" s="22" t="inlineStr">
        <is>
          <r>
            <t xml:space="preserve">SEINFRA</t>
          </r>
        </is>
      </c>
      <c r="D1221" s="22" t="inlineStr">
        <is>
          <r>
            <t xml:space="preserve">M3</t>
          </r>
        </is>
      </c>
      <c r="E1221" s="24" t="n">
        <v>0.0182</v>
      </c>
      <c r="F1221" s="30" t="n">
        <v>83.58</v>
      </c>
      <c r="G1221" s="30" t="n">
        <f>ROUND(ROUND(E1221,8)*F1221,4)</f>
        <v>1.5212</v>
      </c>
    </row>
    <row r="1222" customHeight="1" ht="15">
      <c r="A1222" s="22" t="inlineStr">
        <is>
          <r>
            <t xml:space="preserve">I0441</t>
          </r>
        </is>
      </c>
      <c r="B1222" s="23" t="inlineStr">
        <is>
          <r>
            <t xml:space="preserve">CAL HIDRATADA</t>
          </r>
        </is>
      </c>
      <c r="C1222" s="22" t="inlineStr">
        <is>
          <r>
            <t xml:space="preserve">SEINFRA</t>
          </r>
        </is>
      </c>
      <c r="D1222" s="22" t="inlineStr">
        <is>
          <r>
            <t xml:space="preserve">KG</t>
          </r>
        </is>
      </c>
      <c r="E1222" s="24" t="n">
        <v>2.73</v>
      </c>
      <c r="F1222" s="30" t="n">
        <v>0.96</v>
      </c>
      <c r="G1222" s="30" t="n">
        <f>ROUND(ROUND(E1222,8)*F1222,4)</f>
        <v>2.6208</v>
      </c>
    </row>
    <row r="1223" customHeight="1" ht="15">
      <c r="A1223" s="22" t="inlineStr">
        <is>
          <r>
            <t xml:space="preserve">I0805</t>
          </r>
        </is>
      </c>
      <c r="B1223" s="23" t="inlineStr">
        <is>
          <r>
            <t xml:space="preserve">CIMENTO PORTLAND</t>
          </r>
        </is>
      </c>
      <c r="C1223" s="22" t="inlineStr">
        <is>
          <r>
            <t xml:space="preserve">SEINFRA</t>
          </r>
        </is>
      </c>
      <c r="D1223" s="22" t="inlineStr">
        <is>
          <r>
            <t xml:space="preserve">KG</t>
          </r>
        </is>
      </c>
      <c r="E1223" s="24" t="n">
        <v>2.8</v>
      </c>
      <c r="F1223" s="30" t="n">
        <v>0.71</v>
      </c>
      <c r="G1223" s="30" t="n">
        <f>ROUND(ROUND(E1223,8)*F1223,4)</f>
        <v>1.988</v>
      </c>
    </row>
    <row r="1224" customHeight="1" ht="21">
      <c r="A1224" s="22" t="inlineStr">
        <is>
          <r>
            <t xml:space="preserve">I8623</t>
          </r>
        </is>
      </c>
      <c r="B1224" s="23" t="inlineStr">
        <is>
          <r>
            <t xml:space="preserve">PISO TÁTIL ALERTA OU DIRECIONAL EM PMC (CONCRETO) ESP. 3cm</t>
          </r>
        </is>
      </c>
      <c r="C1224" s="22" t="inlineStr">
        <is>
          <r>
            <t xml:space="preserve">SEINFRA</t>
          </r>
        </is>
      </c>
      <c r="D1224" s="22" t="inlineStr">
        <is>
          <r>
            <t xml:space="preserve">M2</t>
          </r>
        </is>
      </c>
      <c r="E1224" s="24" t="n">
        <v>1.1</v>
      </c>
      <c r="F1224" s="30" t="n">
        <v>67.38</v>
      </c>
      <c r="G1224" s="30" t="n">
        <f>ROUND(ROUND(E1224,8)*F1224,4)</f>
        <v>74.118</v>
      </c>
    </row>
    <row r="1225" customHeight="1" ht="15">
      <c r="A1225" s="2" t="inlineStr"/>
      <c r="B1225" s="2" t="inlineStr"/>
      <c r="C1225" s="2" t="inlineStr"/>
      <c r="D1225" s="2" t="inlineStr"/>
      <c r="E1225" s="26" t="inlineStr">
        <is>
          <r>
            <t xml:space="preserve">TOTAL Material:</t>
          </r>
        </is>
      </c>
      <c r="F1225" s="26" t="inlineStr"/>
      <c r="G1225" s="31" t="n">
        <f>SUM(G1221:G1224)</f>
        <v>80.248</v>
      </c>
    </row>
    <row r="1226" customHeight="1" ht="15">
      <c r="A1226" s="20" t="inlineStr">
        <is>
          <r>
            <t xml:space="preserve">Mão de Obra</t>
          </r>
        </is>
      </c>
      <c r="B1226" s="20" t="inlineStr"/>
      <c r="C1226" s="21" t="inlineStr">
        <is>
          <r>
            <t xml:space="preserve">FONTE</t>
          </r>
        </is>
      </c>
      <c r="D1226" s="21" t="inlineStr">
        <is>
          <r>
            <t xml:space="preserve">UNID</t>
          </r>
        </is>
      </c>
      <c r="E1226" s="21" t="inlineStr">
        <is>
          <r>
            <t xml:space="preserve">COEFICIENTE</t>
          </r>
        </is>
      </c>
      <c r="F1226" s="21" t="inlineStr">
        <is>
          <r>
            <t xml:space="preserve">PREÇO UNITÁRIO</t>
          </r>
        </is>
      </c>
      <c r="G1226" s="21" t="inlineStr">
        <is>
          <r>
            <t xml:space="preserve">TOTAL</t>
          </r>
        </is>
      </c>
    </row>
    <row r="1227" customHeight="1" ht="15">
      <c r="A1227" s="22" t="inlineStr">
        <is>
          <r>
            <t xml:space="preserve">I1328</t>
          </r>
        </is>
      </c>
      <c r="B1227" s="23" t="inlineStr">
        <is>
          <r>
            <t xml:space="preserve">LADRILHISTA</t>
          </r>
        </is>
      </c>
      <c r="C1227" s="22" t="inlineStr">
        <is>
          <r>
            <t xml:space="preserve">SEINFRA</t>
          </r>
        </is>
      </c>
      <c r="D1227" s="22" t="inlineStr">
        <is>
          <r>
            <t xml:space="preserve">H</t>
          </r>
        </is>
      </c>
      <c r="E1227" s="24" t="n">
        <v>1.6</v>
      </c>
      <c r="F1227" s="30" t="n">
        <v>24.16</v>
      </c>
      <c r="G1227" s="30" t="n">
        <f>ROUND(ROUND(E1227,8)*F1227,4)</f>
        <v>38.656</v>
      </c>
    </row>
    <row r="1228" customHeight="1" ht="15">
      <c r="A1228" s="22" t="inlineStr">
        <is>
          <r>
            <t xml:space="preserve">I2543</t>
          </r>
        </is>
      </c>
      <c r="B1228" s="23" t="inlineStr">
        <is>
          <r>
            <t xml:space="preserve">SERVENTE</t>
          </r>
        </is>
      </c>
      <c r="C1228" s="22" t="inlineStr">
        <is>
          <r>
            <t xml:space="preserve">SEINFRA</t>
          </r>
        </is>
      </c>
      <c r="D1228" s="22" t="inlineStr">
        <is>
          <r>
            <t xml:space="preserve">H</t>
          </r>
        </is>
      </c>
      <c r="E1228" s="24" t="n">
        <v>1.25</v>
      </c>
      <c r="F1228" s="30" t="n">
        <v>18.46</v>
      </c>
      <c r="G1228" s="30" t="n">
        <f>ROUND(ROUND(E1228,8)*F1228,4)</f>
        <v>23.075</v>
      </c>
    </row>
    <row r="1229" customHeight="1" ht="15">
      <c r="A1229" s="2" t="inlineStr"/>
      <c r="B1229" s="2" t="inlineStr"/>
      <c r="C1229" s="2" t="inlineStr"/>
      <c r="D1229" s="2" t="inlineStr"/>
      <c r="E1229" s="26" t="inlineStr">
        <is>
          <r>
            <t xml:space="preserve">TOTAL Mão de Obra:</t>
          </r>
        </is>
      </c>
      <c r="F1229" s="26" t="inlineStr"/>
      <c r="G1229" s="31" t="n">
        <f>SUM(G1227:G1228)</f>
        <v>61.731</v>
      </c>
    </row>
    <row r="1230" customHeight="1" ht="15">
      <c r="A1230" s="2" t="inlineStr"/>
      <c r="B1230" s="2" t="inlineStr"/>
      <c r="C1230" s="2" t="inlineStr"/>
      <c r="D1230" s="2" t="inlineStr"/>
      <c r="E1230" s="28" t="inlineStr">
        <is>
          <r>
            <t xml:space="preserve">VALOR:</t>
          </r>
        </is>
      </c>
      <c r="F1230" s="28" t="inlineStr"/>
      <c r="G1230" s="29" t="n">
        <f>ROUND(SUM(G1225,G1229),2)</f>
        <v>141.98</v>
      </c>
    </row>
    <row r="1231" customHeight="1" ht="15">
      <c r="A1231" s="2" t="inlineStr"/>
      <c r="B1231" s="2" t="inlineStr"/>
      <c r="C1231" s="2" t="inlineStr"/>
      <c r="D1231" s="2" t="inlineStr"/>
      <c r="E1231" s="28" t="inlineStr">
        <is>
          <r>
            <t xml:space="preserve">VALOR BDI:</t>
          </r>
        </is>
      </c>
      <c r="F1231" s="28" t="inlineStr"/>
      <c r="G1231" s="29" t="n">
        <f>ROUND(G1230*(0/100),2)</f>
        <v>0.0</v>
      </c>
    </row>
    <row r="1232" customHeight="1" ht="15">
      <c r="A1232" s="2" t="inlineStr"/>
      <c r="B1232" s="2" t="inlineStr"/>
      <c r="C1232" s="2" t="inlineStr"/>
      <c r="D1232" s="2" t="inlineStr"/>
      <c r="E1232" s="28" t="inlineStr">
        <is>
          <r>
            <t xml:space="preserve">VALOR COM BDI:</t>
          </r>
        </is>
      </c>
      <c r="F1232" s="28" t="inlineStr"/>
      <c r="G1232" s="29" t="n">
        <f>G1231+G1230</f>
        <v>141.98</v>
      </c>
    </row>
    <row r="1233" customHeight="1" ht="10">
      <c r="A1233" s="2" t="inlineStr"/>
      <c r="B1233" s="2" t="inlineStr"/>
      <c r="C1233" s="2" t="inlineStr"/>
      <c r="D1233" s="2" t="inlineStr"/>
      <c r="E1233" s="18" t="inlineStr"/>
      <c r="F1233" s="18" t="inlineStr"/>
      <c r="G1233" s="18" t="inlineStr"/>
    </row>
    <row r="1234" customHeight="1" ht="20">
      <c r="A1234" s="19" t="inlineStr">
        <is>
          <r>
            <t xml:space="preserve">1.6.1.1. ​C2876​ LOCAÇÃO E NIVELAMENTO DE REDE DE ESGOTO/EMISSÁRIO/DRENAGEM​ (M)</t>
          </r>
        </is>
      </c>
      <c r="B1234" s="19" t="inlineStr"/>
      <c r="C1234" s="19" t="inlineStr"/>
      <c r="D1234" s="19" t="inlineStr"/>
      <c r="E1234" s="19" t="inlineStr"/>
      <c r="F1234" s="19" t="inlineStr"/>
      <c r="G1234" s="19" t="inlineStr"/>
    </row>
    <row r="1235" customHeight="1" ht="15">
      <c r="A1235" s="20" t="inlineStr">
        <is>
          <r>
            <t xml:space="preserve">Equipamento Custo Horário</t>
          </r>
        </is>
      </c>
      <c r="B1235" s="20" t="inlineStr"/>
      <c r="C1235" s="21" t="inlineStr">
        <is>
          <r>
            <t xml:space="preserve">FONTE</t>
          </r>
        </is>
      </c>
      <c r="D1235" s="21" t="inlineStr">
        <is>
          <r>
            <t xml:space="preserve">UNID</t>
          </r>
        </is>
      </c>
      <c r="E1235" s="21" t="inlineStr">
        <is>
          <r>
            <t xml:space="preserve">COEFICIENTE</t>
          </r>
        </is>
      </c>
      <c r="F1235" s="21" t="inlineStr">
        <is>
          <r>
            <t xml:space="preserve">PREÇO UNITÁRIO</t>
          </r>
        </is>
      </c>
      <c r="G1235" s="21" t="inlineStr">
        <is>
          <r>
            <t xml:space="preserve">TOTAL</t>
          </r>
        </is>
      </c>
    </row>
    <row r="1236" customHeight="1" ht="15">
      <c r="A1236" s="22" t="inlineStr">
        <is>
          <r>
            <t xml:space="preserve">I0758</t>
          </r>
        </is>
      </c>
      <c r="B1236" s="23" t="inlineStr">
        <is>
          <r>
            <t xml:space="preserve">NÍVEL (CHP)</t>
          </r>
        </is>
      </c>
      <c r="C1236" s="22" t="inlineStr">
        <is>
          <r>
            <t xml:space="preserve">SEINFRA</t>
          </r>
        </is>
      </c>
      <c r="D1236" s="22" t="inlineStr">
        <is>
          <r>
            <t xml:space="preserve">H</t>
          </r>
        </is>
      </c>
      <c r="E1236" s="24" t="n">
        <v>0.015</v>
      </c>
      <c r="F1236" s="30" t="n">
        <v>1.1752</v>
      </c>
      <c r="G1236" s="30" t="n">
        <f>ROUND(ROUND(E1236,8)*F1236,4)</f>
        <v>0.0176</v>
      </c>
    </row>
    <row r="1237" customHeight="1" ht="15">
      <c r="A1237" s="22" t="inlineStr">
        <is>
          <r>
            <t xml:space="preserve">I0775</t>
          </r>
        </is>
      </c>
      <c r="B1237" s="23" t="inlineStr">
        <is>
          <r>
            <t xml:space="preserve">TEODOLITO (CHP)</t>
          </r>
        </is>
      </c>
      <c r="C1237" s="22" t="inlineStr">
        <is>
          <r>
            <t xml:space="preserve">SEINFRA</t>
          </r>
        </is>
      </c>
      <c r="D1237" s="22" t="inlineStr">
        <is>
          <r>
            <t xml:space="preserve">H</t>
          </r>
        </is>
      </c>
      <c r="E1237" s="24" t="n">
        <v>0.015</v>
      </c>
      <c r="F1237" s="30" t="n">
        <v>2.3202</v>
      </c>
      <c r="G1237" s="30" t="n">
        <f>ROUND(ROUND(E1237,8)*F1237,4)</f>
        <v>0.0348</v>
      </c>
    </row>
    <row r="1238" customHeight="1" ht="15">
      <c r="A1238" s="22" t="inlineStr">
        <is>
          <r>
            <t xml:space="preserve">I0786</t>
          </r>
        </is>
      </c>
      <c r="B1238" s="23" t="inlineStr">
        <is>
          <r>
            <t xml:space="preserve">VEÍCULO UTILITÁRIO KOMBI (CHP)</t>
          </r>
        </is>
      </c>
      <c r="C1238" s="22" t="inlineStr">
        <is>
          <r>
            <t xml:space="preserve">SEINFRA</t>
          </r>
        </is>
      </c>
      <c r="D1238" s="22" t="inlineStr">
        <is>
          <r>
            <t xml:space="preserve">H</t>
          </r>
        </is>
      </c>
      <c r="E1238" s="24" t="n">
        <v>0.015</v>
      </c>
      <c r="F1238" s="30" t="n">
        <v>78.0891</v>
      </c>
      <c r="G1238" s="30" t="n">
        <f>ROUND(ROUND(E1238,8)*F1238,4)</f>
        <v>1.1713</v>
      </c>
    </row>
    <row r="1239" customHeight="1" ht="18">
      <c r="A1239" s="2" t="inlineStr"/>
      <c r="B1239" s="2" t="inlineStr"/>
      <c r="C1239" s="2" t="inlineStr"/>
      <c r="D1239" s="2" t="inlineStr"/>
      <c r="E1239" s="26" t="inlineStr">
        <is>
          <r>
            <t xml:space="preserve">TOTAL Equipamento Custo Horário:</t>
          </r>
        </is>
      </c>
      <c r="F1239" s="26" t="inlineStr"/>
      <c r="G1239" s="31" t="n">
        <f>SUM(G1236:G1238)</f>
        <v>1.2237</v>
      </c>
    </row>
    <row r="1240" customHeight="1" ht="15">
      <c r="A1240" s="20" t="inlineStr">
        <is>
          <r>
            <t xml:space="preserve">Mão de Obra</t>
          </r>
        </is>
      </c>
      <c r="B1240" s="20" t="inlineStr"/>
      <c r="C1240" s="21" t="inlineStr">
        <is>
          <r>
            <t xml:space="preserve">FONTE</t>
          </r>
        </is>
      </c>
      <c r="D1240" s="21" t="inlineStr">
        <is>
          <r>
            <t xml:space="preserve">UNID</t>
          </r>
        </is>
      </c>
      <c r="E1240" s="21" t="inlineStr">
        <is>
          <r>
            <t xml:space="preserve">COEFICIENTE</t>
          </r>
        </is>
      </c>
      <c r="F1240" s="21" t="inlineStr">
        <is>
          <r>
            <t xml:space="preserve">PREÇO UNITÁRIO</t>
          </r>
        </is>
      </c>
      <c r="G1240" s="21" t="inlineStr">
        <is>
          <r>
            <t xml:space="preserve">TOTAL</t>
          </r>
        </is>
      </c>
    </row>
    <row r="1241" customHeight="1" ht="15">
      <c r="A1241" s="22" t="inlineStr">
        <is>
          <r>
            <t xml:space="preserve">I0037</t>
          </r>
        </is>
      </c>
      <c r="B1241" s="23" t="inlineStr">
        <is>
          <r>
            <t xml:space="preserve">AJUDANTE</t>
          </r>
        </is>
      </c>
      <c r="C1241" s="22" t="inlineStr">
        <is>
          <r>
            <t xml:space="preserve">SEINFRA</t>
          </r>
        </is>
      </c>
      <c r="D1241" s="22" t="inlineStr">
        <is>
          <r>
            <t xml:space="preserve">H</t>
          </r>
        </is>
      </c>
      <c r="E1241" s="24" t="n">
        <v>0.03</v>
      </c>
      <c r="F1241" s="30" t="n">
        <v>19.1</v>
      </c>
      <c r="G1241" s="30" t="n">
        <f>ROUND(ROUND(E1241,8)*F1241,4)</f>
        <v>0.573</v>
      </c>
    </row>
    <row r="1242" customHeight="1" ht="15">
      <c r="A1242" s="22" t="inlineStr">
        <is>
          <r>
            <t xml:space="preserve">I2445</t>
          </r>
        </is>
      </c>
      <c r="B1242" s="23" t="inlineStr">
        <is>
          <r>
            <t xml:space="preserve">TOPOGRAFO</t>
          </r>
        </is>
      </c>
      <c r="C1242" s="22" t="inlineStr">
        <is>
          <r>
            <t xml:space="preserve">SEINFRA</t>
          </r>
        </is>
      </c>
      <c r="D1242" s="22" t="inlineStr">
        <is>
          <r>
            <t xml:space="preserve">H</t>
          </r>
        </is>
      </c>
      <c r="E1242" s="24" t="n">
        <v>0.015</v>
      </c>
      <c r="F1242" s="30" t="n">
        <v>31.52</v>
      </c>
      <c r="G1242" s="30" t="n">
        <f>ROUND(ROUND(E1242,8)*F1242,4)</f>
        <v>0.4728</v>
      </c>
    </row>
    <row r="1243" customHeight="1" ht="15">
      <c r="A1243" s="2" t="inlineStr"/>
      <c r="B1243" s="2" t="inlineStr"/>
      <c r="C1243" s="2" t="inlineStr"/>
      <c r="D1243" s="2" t="inlineStr"/>
      <c r="E1243" s="26" t="inlineStr">
        <is>
          <r>
            <t xml:space="preserve">TOTAL Mão de Obra:</t>
          </r>
        </is>
      </c>
      <c r="F1243" s="26" t="inlineStr"/>
      <c r="G1243" s="31" t="n">
        <f>SUM(G1241:G1242)</f>
        <v>1.0458</v>
      </c>
    </row>
    <row r="1244" customHeight="1" ht="15">
      <c r="A1244" s="2" t="inlineStr"/>
      <c r="B1244" s="2" t="inlineStr"/>
      <c r="C1244" s="2" t="inlineStr"/>
      <c r="D1244" s="2" t="inlineStr"/>
      <c r="E1244" s="28" t="inlineStr">
        <is>
          <r>
            <t xml:space="preserve">VALOR:</t>
          </r>
        </is>
      </c>
      <c r="F1244" s="28" t="inlineStr"/>
      <c r="G1244" s="29" t="n">
        <f>ROUND(SUM(G1239,G1243),2)</f>
        <v>2.27</v>
      </c>
    </row>
    <row r="1245" customHeight="1" ht="15">
      <c r="A1245" s="2" t="inlineStr"/>
      <c r="B1245" s="2" t="inlineStr"/>
      <c r="C1245" s="2" t="inlineStr"/>
      <c r="D1245" s="2" t="inlineStr"/>
      <c r="E1245" s="28" t="inlineStr">
        <is>
          <r>
            <t xml:space="preserve">VALOR BDI:</t>
          </r>
        </is>
      </c>
      <c r="F1245" s="28" t="inlineStr"/>
      <c r="G1245" s="29" t="n">
        <f>ROUND(G1244*(0/100),2)</f>
        <v>0.0</v>
      </c>
    </row>
    <row r="1246" customHeight="1" ht="15">
      <c r="A1246" s="2" t="inlineStr"/>
      <c r="B1246" s="2" t="inlineStr"/>
      <c r="C1246" s="2" t="inlineStr"/>
      <c r="D1246" s="2" t="inlineStr"/>
      <c r="E1246" s="28" t="inlineStr">
        <is>
          <r>
            <t xml:space="preserve">VALOR COM BDI:</t>
          </r>
        </is>
      </c>
      <c r="F1246" s="28" t="inlineStr"/>
      <c r="G1246" s="29" t="n">
        <f>G1245+G1244</f>
        <v>2.27</v>
      </c>
    </row>
    <row r="1247" customHeight="1" ht="10">
      <c r="A1247" s="2" t="inlineStr"/>
      <c r="B1247" s="2" t="inlineStr"/>
      <c r="C1247" s="2" t="inlineStr"/>
      <c r="D1247" s="2" t="inlineStr"/>
      <c r="E1247" s="18" t="inlineStr"/>
      <c r="F1247" s="18" t="inlineStr"/>
      <c r="G1247" s="18" t="inlineStr"/>
    </row>
    <row r="1248" customHeight="1" ht="20">
      <c r="A1248" s="19" t="inlineStr">
        <is>
          <r>
            <t xml:space="preserve">1.6.1.2. ​C2790​ ESCAVAÇÃO MECÂNICA SOLO DE 1A CAT. PROF. DE 2.01 a 4.00m​ (M3)</t>
          </r>
        </is>
      </c>
      <c r="B1248" s="19" t="inlineStr"/>
      <c r="C1248" s="19" t="inlineStr"/>
      <c r="D1248" s="19" t="inlineStr"/>
      <c r="E1248" s="19" t="inlineStr"/>
      <c r="F1248" s="19" t="inlineStr"/>
      <c r="G1248" s="19" t="inlineStr"/>
    </row>
    <row r="1249" customHeight="1" ht="15">
      <c r="A1249" s="20" t="inlineStr">
        <is>
          <r>
            <t xml:space="preserve">Equipamento Custo Horário</t>
          </r>
        </is>
      </c>
      <c r="B1249" s="20" t="inlineStr"/>
      <c r="C1249" s="21" t="inlineStr">
        <is>
          <r>
            <t xml:space="preserve">FONTE</t>
          </r>
        </is>
      </c>
      <c r="D1249" s="21" t="inlineStr">
        <is>
          <r>
            <t xml:space="preserve">UNID</t>
          </r>
        </is>
      </c>
      <c r="E1249" s="21" t="inlineStr">
        <is>
          <r>
            <t xml:space="preserve">COEFICIENTE</t>
          </r>
        </is>
      </c>
      <c r="F1249" s="21" t="inlineStr">
        <is>
          <r>
            <t xml:space="preserve">PREÇO UNITÁRIO</t>
          </r>
        </is>
      </c>
      <c r="G1249" s="21" t="inlineStr">
        <is>
          <r>
            <t xml:space="preserve">TOTAL</t>
          </r>
        </is>
      </c>
    </row>
    <row r="1250" customHeight="1" ht="15">
      <c r="A1250" s="22" t="inlineStr">
        <is>
          <r>
            <t xml:space="preserve">I0765</t>
          </r>
        </is>
      </c>
      <c r="B1250" s="23" t="inlineStr">
        <is>
          <r>
            <t xml:space="preserve">RETRO ESCAVADEIRA DE PNEUS (CHP)</t>
          </r>
        </is>
      </c>
      <c r="C1250" s="22" t="inlineStr">
        <is>
          <r>
            <t xml:space="preserve">SEINFRA</t>
          </r>
        </is>
      </c>
      <c r="D1250" s="22" t="inlineStr">
        <is>
          <r>
            <t xml:space="preserve">H</t>
          </r>
        </is>
      </c>
      <c r="E1250" s="24" t="n">
        <v>0.075</v>
      </c>
      <c r="F1250" s="30" t="n">
        <v>137.092</v>
      </c>
      <c r="G1250" s="30" t="n">
        <f>ROUND(ROUND(E1250,8)*F1250,4)</f>
        <v>10.2819</v>
      </c>
    </row>
    <row r="1251" customHeight="1" ht="18">
      <c r="A1251" s="2" t="inlineStr"/>
      <c r="B1251" s="2" t="inlineStr"/>
      <c r="C1251" s="2" t="inlineStr"/>
      <c r="D1251" s="2" t="inlineStr"/>
      <c r="E1251" s="26" t="inlineStr">
        <is>
          <r>
            <t xml:space="preserve">TOTAL Equipamento Custo Horário:</t>
          </r>
        </is>
      </c>
      <c r="F1251" s="26" t="inlineStr"/>
      <c r="G1251" s="31" t="n">
        <f>SUM(G1250:G1250)</f>
        <v>10.2819</v>
      </c>
    </row>
    <row r="1252" customHeight="1" ht="15">
      <c r="A1252" s="20" t="inlineStr">
        <is>
          <r>
            <t xml:space="preserve">Mão de Obra</t>
          </r>
        </is>
      </c>
      <c r="B1252" s="20" t="inlineStr"/>
      <c r="C1252" s="21" t="inlineStr">
        <is>
          <r>
            <t xml:space="preserve">FONTE</t>
          </r>
        </is>
      </c>
      <c r="D1252" s="21" t="inlineStr">
        <is>
          <r>
            <t xml:space="preserve">UNID</t>
          </r>
        </is>
      </c>
      <c r="E1252" s="21" t="inlineStr">
        <is>
          <r>
            <t xml:space="preserve">COEFICIENTE</t>
          </r>
        </is>
      </c>
      <c r="F1252" s="21" t="inlineStr">
        <is>
          <r>
            <t xml:space="preserve">PREÇO UNITÁRIO</t>
          </r>
        </is>
      </c>
      <c r="G1252" s="21" t="inlineStr">
        <is>
          <r>
            <t xml:space="preserve">TOTAL</t>
          </r>
        </is>
      </c>
    </row>
    <row r="1253" customHeight="1" ht="15">
      <c r="A1253" s="22" t="inlineStr">
        <is>
          <r>
            <t xml:space="preserve">I2543</t>
          </r>
        </is>
      </c>
      <c r="B1253" s="23" t="inlineStr">
        <is>
          <r>
            <t xml:space="preserve">SERVENTE</t>
          </r>
        </is>
      </c>
      <c r="C1253" s="22" t="inlineStr">
        <is>
          <r>
            <t xml:space="preserve">SEINFRA</t>
          </r>
        </is>
      </c>
      <c r="D1253" s="22" t="inlineStr">
        <is>
          <r>
            <t xml:space="preserve">H</t>
          </r>
        </is>
      </c>
      <c r="E1253" s="24" t="n">
        <v>0.13</v>
      </c>
      <c r="F1253" s="30" t="n">
        <v>18.46</v>
      </c>
      <c r="G1253" s="30" t="n">
        <f>ROUND(ROUND(E1253,8)*F1253,4)</f>
        <v>2.3998</v>
      </c>
    </row>
    <row r="1254" customHeight="1" ht="15">
      <c r="A1254" s="2" t="inlineStr"/>
      <c r="B1254" s="2" t="inlineStr"/>
      <c r="C1254" s="2" t="inlineStr"/>
      <c r="D1254" s="2" t="inlineStr"/>
      <c r="E1254" s="26" t="inlineStr">
        <is>
          <r>
            <t xml:space="preserve">TOTAL Mão de Obra:</t>
          </r>
        </is>
      </c>
      <c r="F1254" s="26" t="inlineStr"/>
      <c r="G1254" s="31" t="n">
        <f>SUM(G1253:G1253)</f>
        <v>2.3998</v>
      </c>
    </row>
    <row r="1255" customHeight="1" ht="15">
      <c r="A1255" s="2" t="inlineStr"/>
      <c r="B1255" s="2" t="inlineStr"/>
      <c r="C1255" s="2" t="inlineStr"/>
      <c r="D1255" s="2" t="inlineStr"/>
      <c r="E1255" s="28" t="inlineStr">
        <is>
          <r>
            <t xml:space="preserve">VALOR:</t>
          </r>
        </is>
      </c>
      <c r="F1255" s="28" t="inlineStr"/>
      <c r="G1255" s="29" t="n">
        <f>ROUND(SUM(G1251,G1254),2)</f>
        <v>12.68</v>
      </c>
    </row>
    <row r="1256" customHeight="1" ht="15">
      <c r="A1256" s="2" t="inlineStr"/>
      <c r="B1256" s="2" t="inlineStr"/>
      <c r="C1256" s="2" t="inlineStr"/>
      <c r="D1256" s="2" t="inlineStr"/>
      <c r="E1256" s="28" t="inlineStr">
        <is>
          <r>
            <t xml:space="preserve">VALOR BDI:</t>
          </r>
        </is>
      </c>
      <c r="F1256" s="28" t="inlineStr"/>
      <c r="G1256" s="29" t="n">
        <f>ROUND(G1255*(0/100),2)</f>
        <v>0.0</v>
      </c>
    </row>
    <row r="1257" customHeight="1" ht="15">
      <c r="A1257" s="2" t="inlineStr"/>
      <c r="B1257" s="2" t="inlineStr"/>
      <c r="C1257" s="2" t="inlineStr"/>
      <c r="D1257" s="2" t="inlineStr"/>
      <c r="E1257" s="28" t="inlineStr">
        <is>
          <r>
            <t xml:space="preserve">VALOR COM BDI:</t>
          </r>
        </is>
      </c>
      <c r="F1257" s="28" t="inlineStr"/>
      <c r="G1257" s="29" t="n">
        <f>G1256+G1255</f>
        <v>12.68</v>
      </c>
    </row>
    <row r="1258" customHeight="1" ht="10">
      <c r="A1258" s="2" t="inlineStr"/>
      <c r="B1258" s="2" t="inlineStr"/>
      <c r="C1258" s="2" t="inlineStr"/>
      <c r="D1258" s="2" t="inlineStr"/>
      <c r="E1258" s="18" t="inlineStr"/>
      <c r="F1258" s="18" t="inlineStr"/>
      <c r="G1258" s="18" t="inlineStr"/>
    </row>
    <row r="1259" customHeight="1" ht="20">
      <c r="A1259" s="19" t="inlineStr">
        <is>
          <r>
            <t xml:space="preserve">1.6.1.3. ​C1605​ LASTRO DE BRITA APILOADO MANUALMENTE​ (M3)</t>
          </r>
        </is>
      </c>
      <c r="B1259" s="19" t="inlineStr"/>
      <c r="C1259" s="19" t="inlineStr"/>
      <c r="D1259" s="19" t="inlineStr"/>
      <c r="E1259" s="19" t="inlineStr"/>
      <c r="F1259" s="19" t="inlineStr"/>
      <c r="G1259" s="19" t="inlineStr"/>
    </row>
    <row r="1260" customHeight="1" ht="15">
      <c r="A1260" s="20" t="inlineStr">
        <is>
          <r>
            <t xml:space="preserve">Material</t>
          </r>
        </is>
      </c>
      <c r="B1260" s="20" t="inlineStr"/>
      <c r="C1260" s="21" t="inlineStr">
        <is>
          <r>
            <t xml:space="preserve">FONTE</t>
          </r>
        </is>
      </c>
      <c r="D1260" s="21" t="inlineStr">
        <is>
          <r>
            <t xml:space="preserve">UNID</t>
          </r>
        </is>
      </c>
      <c r="E1260" s="21" t="inlineStr">
        <is>
          <r>
            <t xml:space="preserve">COEFICIENTE</t>
          </r>
        </is>
      </c>
      <c r="F1260" s="21" t="inlineStr">
        <is>
          <r>
            <t xml:space="preserve">PREÇO UNITÁRIO</t>
          </r>
        </is>
      </c>
      <c r="G1260" s="21" t="inlineStr">
        <is>
          <r>
            <t xml:space="preserve">TOTAL</t>
          </r>
        </is>
      </c>
    </row>
    <row r="1261" customHeight="1" ht="15">
      <c r="A1261" s="22" t="inlineStr">
        <is>
          <r>
            <t xml:space="preserve">I0280</t>
          </r>
        </is>
      </c>
      <c r="B1261" s="23" t="inlineStr">
        <is>
          <r>
            <t xml:space="preserve">BRITA</t>
          </r>
        </is>
      </c>
      <c r="C1261" s="22" t="inlineStr">
        <is>
          <r>
            <t xml:space="preserve">SEINFRA</t>
          </r>
        </is>
      </c>
      <c r="D1261" s="22" t="inlineStr">
        <is>
          <r>
            <t xml:space="preserve">M3</t>
          </r>
        </is>
      </c>
      <c r="E1261" s="24" t="n">
        <v>1.2</v>
      </c>
      <c r="F1261" s="30" t="n">
        <v>100.5</v>
      </c>
      <c r="G1261" s="30" t="n">
        <f>ROUND(ROUND(E1261,8)*F1261,4)</f>
        <v>120.6</v>
      </c>
    </row>
    <row r="1262" customHeight="1" ht="15">
      <c r="A1262" s="2" t="inlineStr"/>
      <c r="B1262" s="2" t="inlineStr"/>
      <c r="C1262" s="2" t="inlineStr"/>
      <c r="D1262" s="2" t="inlineStr"/>
      <c r="E1262" s="26" t="inlineStr">
        <is>
          <r>
            <t xml:space="preserve">TOTAL Material:</t>
          </r>
        </is>
      </c>
      <c r="F1262" s="26" t="inlineStr"/>
      <c r="G1262" s="31" t="n">
        <f>SUM(G1261:G1261)</f>
        <v>120.6</v>
      </c>
    </row>
    <row r="1263" customHeight="1" ht="15">
      <c r="A1263" s="20" t="inlineStr">
        <is>
          <r>
            <t xml:space="preserve">Mão de Obra</t>
          </r>
        </is>
      </c>
      <c r="B1263" s="20" t="inlineStr"/>
      <c r="C1263" s="21" t="inlineStr">
        <is>
          <r>
            <t xml:space="preserve">FONTE</t>
          </r>
        </is>
      </c>
      <c r="D1263" s="21" t="inlineStr">
        <is>
          <r>
            <t xml:space="preserve">UNID</t>
          </r>
        </is>
      </c>
      <c r="E1263" s="21" t="inlineStr">
        <is>
          <r>
            <t xml:space="preserve">COEFICIENTE</t>
          </r>
        </is>
      </c>
      <c r="F1263" s="21" t="inlineStr">
        <is>
          <r>
            <t xml:space="preserve">PREÇO UNITÁRIO</t>
          </r>
        </is>
      </c>
      <c r="G1263" s="21" t="inlineStr">
        <is>
          <r>
            <t xml:space="preserve">TOTAL</t>
          </r>
        </is>
      </c>
    </row>
    <row r="1264" customHeight="1" ht="15">
      <c r="A1264" s="22" t="inlineStr">
        <is>
          <r>
            <t xml:space="preserve">I2543</t>
          </r>
        </is>
      </c>
      <c r="B1264" s="23" t="inlineStr">
        <is>
          <r>
            <t xml:space="preserve">SERVENTE</t>
          </r>
        </is>
      </c>
      <c r="C1264" s="22" t="inlineStr">
        <is>
          <r>
            <t xml:space="preserve">SEINFRA</t>
          </r>
        </is>
      </c>
      <c r="D1264" s="22" t="inlineStr">
        <is>
          <r>
            <t xml:space="preserve">H</t>
          </r>
        </is>
      </c>
      <c r="E1264" s="24" t="n">
        <v>2.5</v>
      </c>
      <c r="F1264" s="30" t="n">
        <v>18.46</v>
      </c>
      <c r="G1264" s="30" t="n">
        <f>ROUND(ROUND(E1264,8)*F1264,4)</f>
        <v>46.15</v>
      </c>
    </row>
    <row r="1265" customHeight="1" ht="15">
      <c r="A1265" s="2" t="inlineStr"/>
      <c r="B1265" s="2" t="inlineStr"/>
      <c r="C1265" s="2" t="inlineStr"/>
      <c r="D1265" s="2" t="inlineStr"/>
      <c r="E1265" s="26" t="inlineStr">
        <is>
          <r>
            <t xml:space="preserve">TOTAL Mão de Obra:</t>
          </r>
        </is>
      </c>
      <c r="F1265" s="26" t="inlineStr"/>
      <c r="G1265" s="31" t="n">
        <f>SUM(G1264:G1264)</f>
        <v>46.15</v>
      </c>
    </row>
    <row r="1266" customHeight="1" ht="15">
      <c r="A1266" s="2" t="inlineStr"/>
      <c r="B1266" s="2" t="inlineStr"/>
      <c r="C1266" s="2" t="inlineStr"/>
      <c r="D1266" s="2" t="inlineStr"/>
      <c r="E1266" s="28" t="inlineStr">
        <is>
          <r>
            <t xml:space="preserve">VALOR:</t>
          </r>
        </is>
      </c>
      <c r="F1266" s="28" t="inlineStr"/>
      <c r="G1266" s="29" t="n">
        <f>ROUND(SUM(G1262,G1265),2)</f>
        <v>166.75</v>
      </c>
    </row>
    <row r="1267" customHeight="1" ht="15">
      <c r="A1267" s="2" t="inlineStr"/>
      <c r="B1267" s="2" t="inlineStr"/>
      <c r="C1267" s="2" t="inlineStr"/>
      <c r="D1267" s="2" t="inlineStr"/>
      <c r="E1267" s="28" t="inlineStr">
        <is>
          <r>
            <t xml:space="preserve">VALOR BDI:</t>
          </r>
        </is>
      </c>
      <c r="F1267" s="28" t="inlineStr"/>
      <c r="G1267" s="29" t="n">
        <f>ROUND(G1266*(0/100),2)</f>
        <v>0.0</v>
      </c>
    </row>
    <row r="1268" customHeight="1" ht="15">
      <c r="A1268" s="2" t="inlineStr"/>
      <c r="B1268" s="2" t="inlineStr"/>
      <c r="C1268" s="2" t="inlineStr"/>
      <c r="D1268" s="2" t="inlineStr"/>
      <c r="E1268" s="28" t="inlineStr">
        <is>
          <r>
            <t xml:space="preserve">VALOR COM BDI:</t>
          </r>
        </is>
      </c>
      <c r="F1268" s="28" t="inlineStr"/>
      <c r="G1268" s="29" t="n">
        <f>G1267+G1266</f>
        <v>166.75</v>
      </c>
    </row>
    <row r="1269" customHeight="1" ht="10">
      <c r="A1269" s="2" t="inlineStr"/>
      <c r="B1269" s="2" t="inlineStr"/>
      <c r="C1269" s="2" t="inlineStr"/>
      <c r="D1269" s="2" t="inlineStr"/>
      <c r="E1269" s="18" t="inlineStr"/>
      <c r="F1269" s="18" t="inlineStr"/>
      <c r="G1269" s="18" t="inlineStr"/>
    </row>
    <row r="1270" customHeight="1" ht="20">
      <c r="A1270" s="19" t="inlineStr">
        <is>
          <r>
            <t xml:space="preserve">1.6.1.4. ​C3144​ TRANSPORTE LOCAL COM DMT ENTRE 4,01 Km E 30,00 Km (Y = 0,89X + 1,30)​ (T)</t>
          </r>
        </is>
      </c>
      <c r="B1270" s="19" t="inlineStr"/>
      <c r="C1270" s="19" t="inlineStr"/>
      <c r="D1270" s="19" t="inlineStr"/>
      <c r="E1270" s="19" t="inlineStr"/>
      <c r="F1270" s="19" t="inlineStr"/>
      <c r="G1270" s="19" t="inlineStr"/>
    </row>
    <row r="1271" customHeight="1" ht="15">
      <c r="A1271" s="20" t="inlineStr">
        <is>
          <r>
            <t xml:space="preserve">Equipamento Custo Horário</t>
          </r>
        </is>
      </c>
      <c r="B1271" s="20" t="inlineStr"/>
      <c r="C1271" s="21" t="inlineStr">
        <is>
          <r>
            <t xml:space="preserve">FONTE</t>
          </r>
        </is>
      </c>
      <c r="D1271" s="21" t="inlineStr">
        <is>
          <r>
            <t xml:space="preserve">UNID</t>
          </r>
        </is>
      </c>
      <c r="E1271" s="21" t="inlineStr">
        <is>
          <r>
            <t xml:space="preserve">COEFICIENTE</t>
          </r>
        </is>
      </c>
      <c r="F1271" s="21" t="inlineStr">
        <is>
          <r>
            <t xml:space="preserve">PREÇO UNITÁRIO</t>
          </r>
        </is>
      </c>
      <c r="G1271" s="21" t="inlineStr">
        <is>
          <r>
            <t xml:space="preserve">TOTAL</t>
          </r>
        </is>
      </c>
    </row>
    <row r="1272" customHeight="1" ht="15">
      <c r="A1272" s="22" t="inlineStr">
        <is>
          <r>
            <t xml:space="preserve">I0576</t>
          </r>
        </is>
      </c>
      <c r="B1272" s="23" t="inlineStr">
        <is>
          <r>
            <t xml:space="preserve">CAMINHÃO BASCULANTE 12 M3 (CHI)</t>
          </r>
        </is>
      </c>
      <c r="C1272" s="22" t="inlineStr">
        <is>
          <r>
            <t xml:space="preserve">SEINFRA</t>
          </r>
        </is>
      </c>
      <c r="D1272" s="22" t="inlineStr">
        <is>
          <r>
            <t xml:space="preserve">H</t>
          </r>
        </is>
      </c>
      <c r="E1272" s="24" t="n">
        <v>0.0</v>
      </c>
      <c r="F1272" s="30" t="n">
        <v>68.8661</v>
      </c>
      <c r="G1272" s="30" t="n">
        <v>0.0</v>
      </c>
    </row>
    <row r="1273" customHeight="1" ht="15">
      <c r="A1273" s="22" t="inlineStr">
        <is>
          <r>
            <t xml:space="preserve">I0688</t>
          </r>
        </is>
      </c>
      <c r="B1273" s="23" t="inlineStr">
        <is>
          <r>
            <t xml:space="preserve">CAMINHÃO BASCULANTE 12 M3 (CHP)</t>
          </r>
        </is>
      </c>
      <c r="C1273" s="22" t="inlineStr">
        <is>
          <r>
            <t xml:space="preserve">SEINFRA</t>
          </r>
        </is>
      </c>
      <c r="D1273" s="22" t="inlineStr">
        <is>
          <r>
            <t xml:space="preserve">H</t>
          </r>
        </is>
      </c>
      <c r="E1273" s="24" t="n">
        <v>0.0</v>
      </c>
      <c r="F1273" s="30" t="n">
        <v>210.4272</v>
      </c>
      <c r="G1273" s="30" t="n">
        <v>0.0</v>
      </c>
    </row>
    <row r="1274" customHeight="1" ht="18">
      <c r="A1274" s="2" t="inlineStr"/>
      <c r="B1274" s="2" t="inlineStr"/>
      <c r="C1274" s="2" t="inlineStr"/>
      <c r="D1274" s="2" t="inlineStr"/>
      <c r="E1274" s="26" t="inlineStr">
        <is>
          <r>
            <t xml:space="preserve">TOTAL Equipamento Custo Horário:</t>
          </r>
        </is>
      </c>
      <c r="F1274" s="26" t="inlineStr"/>
      <c r="G1274" s="31" t="n">
        <v>0.0</v>
      </c>
    </row>
    <row r="1275" customHeight="1" ht="15">
      <c r="A1275" s="20" t="inlineStr">
        <is>
          <r>
            <t xml:space="preserve">Geral</t>
          </r>
        </is>
      </c>
      <c r="B1275" s="20" t="inlineStr"/>
      <c r="C1275" s="21" t="inlineStr">
        <is>
          <r>
            <t xml:space="preserve">FONTE</t>
          </r>
        </is>
      </c>
      <c r="D1275" s="21" t="inlineStr">
        <is>
          <r>
            <t xml:space="preserve">UNID</t>
          </r>
        </is>
      </c>
      <c r="E1275" s="21" t="inlineStr">
        <is>
          <r>
            <t xml:space="preserve">COEFICIENTE</t>
          </r>
        </is>
      </c>
      <c r="F1275" s="21" t="inlineStr">
        <is>
          <r>
            <t xml:space="preserve">PREÇO UNITÁRIO</t>
          </r>
        </is>
      </c>
      <c r="G1275" s="21" t="inlineStr">
        <is>
          <r>
            <t xml:space="preserve">TOTAL</t>
          </r>
        </is>
      </c>
    </row>
    <row r="1276" customHeight="1" ht="15">
      <c r="A1276" s="22" t="inlineStr">
        <is>
          <r>
            <t xml:space="preserve">I2897</t>
          </r>
        </is>
      </c>
      <c r="B1276" s="23" t="inlineStr">
        <is>
          <r>
            <t xml:space="preserve">CONSTANTE DO TRANSPORTE</t>
          </r>
        </is>
      </c>
      <c r="C1276" s="22" t="inlineStr">
        <is>
          <r>
            <t xml:space="preserve">SEINFRA</t>
          </r>
        </is>
      </c>
      <c r="D1276" s="22" t="inlineStr">
        <is>
          <r>
            <t xml:space="preserve">UN</t>
          </r>
        </is>
      </c>
      <c r="E1276" s="24" t="n">
        <v>1.299</v>
      </c>
      <c r="F1276" s="30" t="n">
        <v>1.0</v>
      </c>
      <c r="G1276" s="30" t="n">
        <v>1.299</v>
      </c>
    </row>
    <row r="1277" customHeight="1" ht="15">
      <c r="A1277" s="22" t="inlineStr">
        <is>
          <r>
            <t xml:space="preserve">I2896</t>
          </r>
        </is>
      </c>
      <c r="B1277" s="23" t="inlineStr">
        <is>
          <r>
            <t xml:space="preserve">TRANSPORTE</t>
          </r>
        </is>
      </c>
      <c r="C1277" s="22" t="inlineStr">
        <is>
          <r>
            <t xml:space="preserve">SEINFRA</t>
          </r>
        </is>
      </c>
      <c r="D1277" s="22" t="inlineStr">
        <is>
          <r>
            <t xml:space="preserve">TxKM</t>
          </r>
        </is>
      </c>
      <c r="E1277" s="24" t="n">
        <v>0.8911</v>
      </c>
      <c r="F1277" s="30" t="n">
        <v>1.0</v>
      </c>
      <c r="G1277" s="30" t="n">
        <v>0.8911</v>
      </c>
    </row>
    <row r="1278" customHeight="1" ht="15">
      <c r="A1278" s="2" t="inlineStr"/>
      <c r="B1278" s="2" t="inlineStr"/>
      <c r="C1278" s="2" t="inlineStr"/>
      <c r="D1278" s="2" t="inlineStr"/>
      <c r="E1278" s="26" t="inlineStr">
        <is>
          <r>
            <t xml:space="preserve">TOTAL Geral:</t>
          </r>
        </is>
      </c>
      <c r="F1278" s="26" t="inlineStr"/>
      <c r="G1278" s="31" t="n">
        <v>2.1901</v>
      </c>
    </row>
    <row r="1279" customHeight="1" ht="15">
      <c r="A1279" s="2" t="inlineStr"/>
      <c r="B1279" s="2" t="inlineStr"/>
      <c r="C1279" s="2" t="inlineStr"/>
      <c r="D1279" s="2" t="inlineStr"/>
      <c r="E1279" s="33" t="inlineStr">
        <is>
          <r>
            <t xml:space="preserve">FÓRMULA:</t>
          </r>
        </is>
      </c>
      <c r="F1279" s="33" t="inlineStr"/>
      <c r="G1279" s="34" t="inlineStr">
        <is>
          <r>
            <t xml:space="preserve">Y = 0,89X + 1,30</t>
          </r>
        </is>
      </c>
    </row>
    <row r="1280" customHeight="1" ht="15">
      <c r="A1280" s="2" t="inlineStr"/>
      <c r="B1280" s="2" t="inlineStr"/>
      <c r="C1280" s="2" t="inlineStr"/>
      <c r="D1280" s="2" t="inlineStr"/>
      <c r="E1280" s="33" t="inlineStr">
        <is>
          <r>
            <t xml:space="preserve">DMT:</t>
          </r>
        </is>
      </c>
      <c r="F1280" s="33" t="inlineStr"/>
      <c r="G1280" s="11" t="n">
        <v>0.0</v>
      </c>
    </row>
    <row r="1281" customHeight="1" ht="15">
      <c r="A1281" s="2" t="inlineStr"/>
      <c r="B1281" s="2" t="inlineStr"/>
      <c r="C1281" s="2" t="inlineStr"/>
      <c r="D1281" s="2" t="inlineStr"/>
      <c r="E1281" s="28" t="inlineStr">
        <is>
          <r>
            <t xml:space="preserve">VALOR:</t>
          </r>
        </is>
      </c>
      <c r="F1281" s="28" t="inlineStr"/>
      <c r="G1281" s="29" t="n">
        <v>1.3</v>
      </c>
    </row>
    <row r="1282" customHeight="1" ht="15">
      <c r="A1282" s="2" t="inlineStr"/>
      <c r="B1282" s="2" t="inlineStr"/>
      <c r="C1282" s="2" t="inlineStr"/>
      <c r="D1282" s="2" t="inlineStr"/>
      <c r="E1282" s="28" t="inlineStr">
        <is>
          <r>
            <t xml:space="preserve">VALOR BDI:</t>
          </r>
        </is>
      </c>
      <c r="F1282" s="28" t="inlineStr"/>
      <c r="G1282" s="29" t="n">
        <v>0.0</v>
      </c>
    </row>
    <row r="1283" customHeight="1" ht="15">
      <c r="A1283" s="2" t="inlineStr"/>
      <c r="B1283" s="2" t="inlineStr"/>
      <c r="C1283" s="2" t="inlineStr"/>
      <c r="D1283" s="2" t="inlineStr"/>
      <c r="E1283" s="28" t="inlineStr">
        <is>
          <r>
            <t xml:space="preserve">VALOR COM BDI:</t>
          </r>
        </is>
      </c>
      <c r="F1283" s="28" t="inlineStr"/>
      <c r="G1283" s="29" t="n">
        <v>1.3</v>
      </c>
    </row>
    <row r="1284" customHeight="1" ht="10">
      <c r="A1284" s="2" t="inlineStr"/>
      <c r="B1284" s="2" t="inlineStr"/>
      <c r="C1284" s="2" t="inlineStr"/>
      <c r="D1284" s="2" t="inlineStr"/>
      <c r="E1284" s="18" t="inlineStr"/>
      <c r="F1284" s="18" t="inlineStr"/>
      <c r="G1284" s="18" t="inlineStr"/>
    </row>
    <row r="1285" customHeight="1" ht="20">
      <c r="A1285" s="19" t="inlineStr">
        <is>
          <r>
            <t xml:space="preserve">1.6.1.5. ​C2921​ REATERRO C/COMPACTAÇÃO MANUAL S/CONTROLE, MATERIAL DA VALA​ (M3)</t>
          </r>
        </is>
      </c>
      <c r="B1285" s="19" t="inlineStr"/>
      <c r="C1285" s="19" t="inlineStr"/>
      <c r="D1285" s="19" t="inlineStr"/>
      <c r="E1285" s="19" t="inlineStr"/>
      <c r="F1285" s="19" t="inlineStr"/>
      <c r="G1285" s="19" t="inlineStr"/>
    </row>
    <row r="1286" customHeight="1" ht="15">
      <c r="A1286" s="20" t="inlineStr">
        <is>
          <r>
            <t xml:space="preserve">Mão de Obra</t>
          </r>
        </is>
      </c>
      <c r="B1286" s="20" t="inlineStr"/>
      <c r="C1286" s="21" t="inlineStr">
        <is>
          <r>
            <t xml:space="preserve">FONTE</t>
          </r>
        </is>
      </c>
      <c r="D1286" s="21" t="inlineStr">
        <is>
          <r>
            <t xml:space="preserve">UNID</t>
          </r>
        </is>
      </c>
      <c r="E1286" s="21" t="inlineStr">
        <is>
          <r>
            <t xml:space="preserve">COEFICIENTE</t>
          </r>
        </is>
      </c>
      <c r="F1286" s="21" t="inlineStr">
        <is>
          <r>
            <t xml:space="preserve">PREÇO UNITÁRIO</t>
          </r>
        </is>
      </c>
      <c r="G1286" s="21" t="inlineStr">
        <is>
          <r>
            <t xml:space="preserve">TOTAL</t>
          </r>
        </is>
      </c>
    </row>
    <row r="1287" customHeight="1" ht="15">
      <c r="A1287" s="22" t="inlineStr">
        <is>
          <r>
            <t xml:space="preserve">I2543</t>
          </r>
        </is>
      </c>
      <c r="B1287" s="23" t="inlineStr">
        <is>
          <r>
            <t xml:space="preserve">SERVENTE</t>
          </r>
        </is>
      </c>
      <c r="C1287" s="22" t="inlineStr">
        <is>
          <r>
            <t xml:space="preserve">SEINFRA</t>
          </r>
        </is>
      </c>
      <c r="D1287" s="22" t="inlineStr">
        <is>
          <r>
            <t xml:space="preserve">H</t>
          </r>
        </is>
      </c>
      <c r="E1287" s="24" t="n">
        <v>1.7</v>
      </c>
      <c r="F1287" s="30" t="n">
        <v>18.46</v>
      </c>
      <c r="G1287" s="30" t="n">
        <f>ROUND(ROUND(E1287,8)*F1287,4)</f>
        <v>31.382</v>
      </c>
    </row>
    <row r="1288" customHeight="1" ht="15">
      <c r="A1288" s="2" t="inlineStr"/>
      <c r="B1288" s="2" t="inlineStr"/>
      <c r="C1288" s="2" t="inlineStr"/>
      <c r="D1288" s="2" t="inlineStr"/>
      <c r="E1288" s="26" t="inlineStr">
        <is>
          <r>
            <t xml:space="preserve">TOTAL Mão de Obra:</t>
          </r>
        </is>
      </c>
      <c r="F1288" s="26" t="inlineStr"/>
      <c r="G1288" s="31" t="n">
        <f>SUM(G1287:G1287)</f>
        <v>31.382</v>
      </c>
    </row>
    <row r="1289" customHeight="1" ht="15">
      <c r="A1289" s="2" t="inlineStr"/>
      <c r="B1289" s="2" t="inlineStr"/>
      <c r="C1289" s="2" t="inlineStr"/>
      <c r="D1289" s="2" t="inlineStr"/>
      <c r="E1289" s="28" t="inlineStr">
        <is>
          <r>
            <t xml:space="preserve">VALOR:</t>
          </r>
        </is>
      </c>
      <c r="F1289" s="28" t="inlineStr"/>
      <c r="G1289" s="29" t="n">
        <f>ROUND(SUM(G1288),2)</f>
        <v>31.38</v>
      </c>
    </row>
    <row r="1290" customHeight="1" ht="15">
      <c r="A1290" s="2" t="inlineStr"/>
      <c r="B1290" s="2" t="inlineStr"/>
      <c r="C1290" s="2" t="inlineStr"/>
      <c r="D1290" s="2" t="inlineStr"/>
      <c r="E1290" s="28" t="inlineStr">
        <is>
          <r>
            <t xml:space="preserve">VALOR BDI:</t>
          </r>
        </is>
      </c>
      <c r="F1290" s="28" t="inlineStr"/>
      <c r="G1290" s="29" t="n">
        <f>ROUND(G1289*(0/100),2)</f>
        <v>0.0</v>
      </c>
    </row>
    <row r="1291" customHeight="1" ht="15">
      <c r="A1291" s="2" t="inlineStr"/>
      <c r="B1291" s="2" t="inlineStr"/>
      <c r="C1291" s="2" t="inlineStr"/>
      <c r="D1291" s="2" t="inlineStr"/>
      <c r="E1291" s="28" t="inlineStr">
        <is>
          <r>
            <t xml:space="preserve">VALOR COM BDI:</t>
          </r>
        </is>
      </c>
      <c r="F1291" s="28" t="inlineStr"/>
      <c r="G1291" s="29" t="n">
        <f>G1290+G1289</f>
        <v>31.38</v>
      </c>
    </row>
    <row r="1292" customHeight="1" ht="10">
      <c r="A1292" s="2" t="inlineStr"/>
      <c r="B1292" s="2" t="inlineStr"/>
      <c r="C1292" s="2" t="inlineStr"/>
      <c r="D1292" s="2" t="inlineStr"/>
      <c r="E1292" s="18" t="inlineStr"/>
      <c r="F1292" s="18" t="inlineStr"/>
      <c r="G1292" s="18" t="inlineStr"/>
    </row>
    <row r="1293" customHeight="1" ht="20">
      <c r="A1293" s="19" t="inlineStr">
        <is>
          <r>
            <t xml:space="preserve">1.6.1.6. ​C2920​ REATERRO C/COMPACTAÇÃO MECÂNICA, E CONTROLE, MATERIAL DA VALA​ (M3)</t>
          </r>
        </is>
      </c>
      <c r="B1293" s="19" t="inlineStr"/>
      <c r="C1293" s="19" t="inlineStr"/>
      <c r="D1293" s="19" t="inlineStr"/>
      <c r="E1293" s="19" t="inlineStr"/>
      <c r="F1293" s="19" t="inlineStr"/>
      <c r="G1293" s="19" t="inlineStr"/>
    </row>
    <row r="1294" customHeight="1" ht="15">
      <c r="A1294" s="20" t="inlineStr">
        <is>
          <r>
            <t xml:space="preserve">Equipamento Custo Horário</t>
          </r>
        </is>
      </c>
      <c r="B1294" s="20" t="inlineStr"/>
      <c r="C1294" s="21" t="inlineStr">
        <is>
          <r>
            <t xml:space="preserve">FONTE</t>
          </r>
        </is>
      </c>
      <c r="D1294" s="21" t="inlineStr">
        <is>
          <r>
            <t xml:space="preserve">UNID</t>
          </r>
        </is>
      </c>
      <c r="E1294" s="21" t="inlineStr">
        <is>
          <r>
            <t xml:space="preserve">COEFICIENTE</t>
          </r>
        </is>
      </c>
      <c r="F1294" s="21" t="inlineStr">
        <is>
          <r>
            <t xml:space="preserve">PREÇO UNITÁRIO</t>
          </r>
        </is>
      </c>
      <c r="G1294" s="21" t="inlineStr">
        <is>
          <r>
            <t xml:space="preserve">TOTAL</t>
          </r>
        </is>
      </c>
    </row>
    <row r="1295" customHeight="1" ht="15">
      <c r="A1295" s="22" t="inlineStr">
        <is>
          <r>
            <t xml:space="preserve">I0706</t>
          </r>
        </is>
      </c>
      <c r="B1295" s="23" t="inlineStr">
        <is>
          <r>
            <t xml:space="preserve">CAMINHÃO TANQUE 6.000 l (CHP)</t>
          </r>
        </is>
      </c>
      <c r="C1295" s="22" t="inlineStr">
        <is>
          <r>
            <t xml:space="preserve">SEINFRA</t>
          </r>
        </is>
      </c>
      <c r="D1295" s="22" t="inlineStr">
        <is>
          <r>
            <t xml:space="preserve">H</t>
          </r>
        </is>
      </c>
      <c r="E1295" s="24" t="n">
        <v>0.035</v>
      </c>
      <c r="F1295" s="30" t="n">
        <v>181.9407</v>
      </c>
      <c r="G1295" s="30" t="n">
        <f>ROUND(ROUND(E1295,8)*F1295,4)</f>
        <v>6.3679</v>
      </c>
    </row>
    <row r="1296" customHeight="1" ht="15">
      <c r="A1296" s="22" t="inlineStr">
        <is>
          <r>
            <t xml:space="preserve">I0725</t>
          </r>
        </is>
      </c>
      <c r="B1296" s="23" t="inlineStr">
        <is>
          <r>
            <t xml:space="preserve">COMPACTADOR DE PLACA VIBRATÓRIA HP 7 (CHP)</t>
          </r>
        </is>
      </c>
      <c r="C1296" s="22" t="inlineStr">
        <is>
          <r>
            <t xml:space="preserve">SEINFRA</t>
          </r>
        </is>
      </c>
      <c r="D1296" s="22" t="inlineStr">
        <is>
          <r>
            <t xml:space="preserve">H</t>
          </r>
        </is>
      </c>
      <c r="E1296" s="24" t="n">
        <v>0.035</v>
      </c>
      <c r="F1296" s="30" t="n">
        <v>49.0941</v>
      </c>
      <c r="G1296" s="30" t="n">
        <f>ROUND(ROUND(E1296,8)*F1296,4)</f>
        <v>1.7183</v>
      </c>
    </row>
    <row r="1297" customHeight="1" ht="18">
      <c r="A1297" s="2" t="inlineStr"/>
      <c r="B1297" s="2" t="inlineStr"/>
      <c r="C1297" s="2" t="inlineStr"/>
      <c r="D1297" s="2" t="inlineStr"/>
      <c r="E1297" s="26" t="inlineStr">
        <is>
          <r>
            <t xml:space="preserve">TOTAL Equipamento Custo Horário:</t>
          </r>
        </is>
      </c>
      <c r="F1297" s="26" t="inlineStr"/>
      <c r="G1297" s="31" t="n">
        <f>SUM(G1295:G1296)</f>
        <v>8.0862</v>
      </c>
    </row>
    <row r="1298" customHeight="1" ht="15">
      <c r="A1298" s="20" t="inlineStr">
        <is>
          <r>
            <t xml:space="preserve">Mão de Obra</t>
          </r>
        </is>
      </c>
      <c r="B1298" s="20" t="inlineStr"/>
      <c r="C1298" s="21" t="inlineStr">
        <is>
          <r>
            <t xml:space="preserve">FONTE</t>
          </r>
        </is>
      </c>
      <c r="D1298" s="21" t="inlineStr">
        <is>
          <r>
            <t xml:space="preserve">UNID</t>
          </r>
        </is>
      </c>
      <c r="E1298" s="21" t="inlineStr">
        <is>
          <r>
            <t xml:space="preserve">COEFICIENTE</t>
          </r>
        </is>
      </c>
      <c r="F1298" s="21" t="inlineStr">
        <is>
          <r>
            <t xml:space="preserve">PREÇO UNITÁRIO</t>
          </r>
        </is>
      </c>
      <c r="G1298" s="21" t="inlineStr">
        <is>
          <r>
            <t xml:space="preserve">TOTAL</t>
          </r>
        </is>
      </c>
    </row>
    <row r="1299" customHeight="1" ht="15">
      <c r="A1299" s="22" t="inlineStr">
        <is>
          <r>
            <t xml:space="preserve">I2543</t>
          </r>
        </is>
      </c>
      <c r="B1299" s="23" t="inlineStr">
        <is>
          <r>
            <t xml:space="preserve">SERVENTE</t>
          </r>
        </is>
      </c>
      <c r="C1299" s="22" t="inlineStr">
        <is>
          <r>
            <t xml:space="preserve">SEINFRA</t>
          </r>
        </is>
      </c>
      <c r="D1299" s="22" t="inlineStr">
        <is>
          <r>
            <t xml:space="preserve">H</t>
          </r>
        </is>
      </c>
      <c r="E1299" s="24" t="n">
        <v>1.05</v>
      </c>
      <c r="F1299" s="30" t="n">
        <v>18.46</v>
      </c>
      <c r="G1299" s="30" t="n">
        <f>ROUND(ROUND(E1299,8)*F1299,4)</f>
        <v>19.383</v>
      </c>
    </row>
    <row r="1300" customHeight="1" ht="15">
      <c r="A1300" s="2" t="inlineStr"/>
      <c r="B1300" s="2" t="inlineStr"/>
      <c r="C1300" s="2" t="inlineStr"/>
      <c r="D1300" s="2" t="inlineStr"/>
      <c r="E1300" s="26" t="inlineStr">
        <is>
          <r>
            <t xml:space="preserve">TOTAL Mão de Obra:</t>
          </r>
        </is>
      </c>
      <c r="F1300" s="26" t="inlineStr"/>
      <c r="G1300" s="31" t="n">
        <f>SUM(G1299:G1299)</f>
        <v>19.383</v>
      </c>
    </row>
    <row r="1301" customHeight="1" ht="15">
      <c r="A1301" s="2" t="inlineStr"/>
      <c r="B1301" s="2" t="inlineStr"/>
      <c r="C1301" s="2" t="inlineStr"/>
      <c r="D1301" s="2" t="inlineStr"/>
      <c r="E1301" s="28" t="inlineStr">
        <is>
          <r>
            <t xml:space="preserve">VALOR:</t>
          </r>
        </is>
      </c>
      <c r="F1301" s="28" t="inlineStr"/>
      <c r="G1301" s="29" t="n">
        <f>ROUND(SUM(G1297,G1300),2)</f>
        <v>27.47</v>
      </c>
    </row>
    <row r="1302" customHeight="1" ht="15">
      <c r="A1302" s="2" t="inlineStr"/>
      <c r="B1302" s="2" t="inlineStr"/>
      <c r="C1302" s="2" t="inlineStr"/>
      <c r="D1302" s="2" t="inlineStr"/>
      <c r="E1302" s="28" t="inlineStr">
        <is>
          <r>
            <t xml:space="preserve">VALOR BDI:</t>
          </r>
        </is>
      </c>
      <c r="F1302" s="28" t="inlineStr"/>
      <c r="G1302" s="29" t="n">
        <f>ROUND(G1301*(0/100),2)</f>
        <v>0.0</v>
      </c>
    </row>
    <row r="1303" customHeight="1" ht="15">
      <c r="A1303" s="2" t="inlineStr"/>
      <c r="B1303" s="2" t="inlineStr"/>
      <c r="C1303" s="2" t="inlineStr"/>
      <c r="D1303" s="2" t="inlineStr"/>
      <c r="E1303" s="28" t="inlineStr">
        <is>
          <r>
            <t xml:space="preserve">VALOR COM BDI:</t>
          </r>
        </is>
      </c>
      <c r="F1303" s="28" t="inlineStr"/>
      <c r="G1303" s="29" t="n">
        <f>G1302+G1301</f>
        <v>27.47</v>
      </c>
    </row>
    <row r="1304" customHeight="1" ht="10">
      <c r="A1304" s="2" t="inlineStr"/>
      <c r="B1304" s="2" t="inlineStr"/>
      <c r="C1304" s="2" t="inlineStr"/>
      <c r="D1304" s="2" t="inlineStr"/>
      <c r="E1304" s="18" t="inlineStr"/>
      <c r="F1304" s="18" t="inlineStr"/>
      <c r="G1304" s="18" t="inlineStr"/>
    </row>
    <row r="1305" customHeight="1" ht="20">
      <c r="A1305" s="19" t="inlineStr">
        <is>
          <r>
            <t xml:space="preserve">1.6.1.7. ​C2805​ ESCORAMENTO DESCONTÍNUO COM PRANCHAS DE MADEIRA​ (M2)</t>
          </r>
        </is>
      </c>
      <c r="B1305" s="19" t="inlineStr"/>
      <c r="C1305" s="19" t="inlineStr"/>
      <c r="D1305" s="19" t="inlineStr"/>
      <c r="E1305" s="19" t="inlineStr"/>
      <c r="F1305" s="19" t="inlineStr"/>
      <c r="G1305" s="19" t="inlineStr"/>
    </row>
    <row r="1306" customHeight="1" ht="15">
      <c r="A1306" s="20" t="inlineStr">
        <is>
          <r>
            <t xml:space="preserve">Material</t>
          </r>
        </is>
      </c>
      <c r="B1306" s="20" t="inlineStr"/>
      <c r="C1306" s="21" t="inlineStr">
        <is>
          <r>
            <t xml:space="preserve">FONTE</t>
          </r>
        </is>
      </c>
      <c r="D1306" s="21" t="inlineStr">
        <is>
          <r>
            <t xml:space="preserve">UNID</t>
          </r>
        </is>
      </c>
      <c r="E1306" s="21" t="inlineStr">
        <is>
          <r>
            <t xml:space="preserve">COEFICIENTE</t>
          </r>
        </is>
      </c>
      <c r="F1306" s="21" t="inlineStr">
        <is>
          <r>
            <t xml:space="preserve">PREÇO UNITÁRIO</t>
          </r>
        </is>
      </c>
      <c r="G1306" s="21" t="inlineStr">
        <is>
          <r>
            <t xml:space="preserve">TOTAL</t>
          </r>
        </is>
      </c>
    </row>
    <row r="1307" customHeight="1" ht="15">
      <c r="A1307" s="22" t="inlineStr">
        <is>
          <r>
            <t xml:space="preserve">I2370</t>
          </r>
        </is>
      </c>
      <c r="B1307" s="23" t="inlineStr">
        <is>
          <r>
            <t xml:space="preserve">LINHA EM MADEIRA DE LEI DE 5"x2.1/2"</t>
          </r>
        </is>
      </c>
      <c r="C1307" s="22" t="inlineStr">
        <is>
          <r>
            <t xml:space="preserve">SEINFRA</t>
          </r>
        </is>
      </c>
      <c r="D1307" s="22" t="inlineStr">
        <is>
          <r>
            <t xml:space="preserve">M</t>
          </r>
        </is>
      </c>
      <c r="E1307" s="24" t="n">
        <v>0.05</v>
      </c>
      <c r="F1307" s="30" t="n">
        <v>23.13</v>
      </c>
      <c r="G1307" s="30" t="n">
        <f>ROUND(ROUND(E1307,8)*F1307,4)</f>
        <v>1.1565</v>
      </c>
    </row>
    <row r="1308" customHeight="1" ht="15">
      <c r="A1308" s="22" t="inlineStr">
        <is>
          <r>
            <t xml:space="preserve">I0198</t>
          </r>
        </is>
      </c>
      <c r="B1308" s="23" t="inlineStr">
        <is>
          <r>
            <t xml:space="preserve">PONTALETE / BARROTE DE 3"x3" - APARELHADO</t>
          </r>
        </is>
      </c>
      <c r="C1308" s="22" t="inlineStr">
        <is>
          <r>
            <t xml:space="preserve">SEINFRA</t>
          </r>
        </is>
      </c>
      <c r="D1308" s="22" t="inlineStr">
        <is>
          <r>
            <t xml:space="preserve">M</t>
          </r>
        </is>
      </c>
      <c r="E1308" s="24" t="n">
        <v>0.08</v>
      </c>
      <c r="F1308" s="30" t="n">
        <v>22.11</v>
      </c>
      <c r="G1308" s="30" t="n">
        <f>ROUND(ROUND(E1308,8)*F1308,4)</f>
        <v>1.7688</v>
      </c>
    </row>
    <row r="1309" customHeight="1" ht="15">
      <c r="A1309" s="22" t="inlineStr">
        <is>
          <r>
            <t xml:space="preserve">I2407</t>
          </r>
        </is>
      </c>
      <c r="B1309" s="23" t="inlineStr">
        <is>
          <r>
            <t xml:space="preserve">PRANCHA EM MADEIRA DE LEI</t>
          </r>
        </is>
      </c>
      <c r="C1309" s="22" t="inlineStr">
        <is>
          <r>
            <t xml:space="preserve">SEINFRA</t>
          </r>
        </is>
      </c>
      <c r="D1309" s="22" t="inlineStr">
        <is>
          <r>
            <t xml:space="preserve">M3</t>
          </r>
        </is>
      </c>
      <c r="E1309" s="24" t="n">
        <v>6.0E-4</v>
      </c>
      <c r="F1309" s="30" t="n">
        <v>2336.92</v>
      </c>
      <c r="G1309" s="30" t="n">
        <f>ROUND(ROUND(E1309,8)*F1309,4)</f>
        <v>1.4022</v>
      </c>
    </row>
    <row r="1310" customHeight="1" ht="21">
      <c r="A1310" s="22" t="inlineStr">
        <is>
          <r>
            <t xml:space="preserve">I2410</t>
          </r>
        </is>
      </c>
      <c r="B1310" s="23" t="inlineStr">
        <is>
          <r>
            <t xml:space="preserve">PREGO 18X27 (2.1/2" x 10) (APROXIMADAMENTE 198UN/KG)</t>
          </r>
        </is>
      </c>
      <c r="C1310" s="22" t="inlineStr">
        <is>
          <r>
            <t xml:space="preserve">SEINFRA</t>
          </r>
        </is>
      </c>
      <c r="D1310" s="22" t="inlineStr">
        <is>
          <r>
            <t xml:space="preserve">KG</t>
          </r>
        </is>
      </c>
      <c r="E1310" s="24" t="n">
        <v>0.1</v>
      </c>
      <c r="F1310" s="30" t="n">
        <v>14.2</v>
      </c>
      <c r="G1310" s="30" t="n">
        <f>ROUND(ROUND(E1310,8)*F1310,4)</f>
        <v>1.42</v>
      </c>
    </row>
    <row r="1311" customHeight="1" ht="15">
      <c r="A1311" s="2" t="inlineStr"/>
      <c r="B1311" s="2" t="inlineStr"/>
      <c r="C1311" s="2" t="inlineStr"/>
      <c r="D1311" s="2" t="inlineStr"/>
      <c r="E1311" s="26" t="inlineStr">
        <is>
          <r>
            <t xml:space="preserve">TOTAL Material:</t>
          </r>
        </is>
      </c>
      <c r="F1311" s="26" t="inlineStr"/>
      <c r="G1311" s="31" t="n">
        <f>SUM(G1307:G1310)</f>
        <v>5.7475</v>
      </c>
    </row>
    <row r="1312" customHeight="1" ht="15">
      <c r="A1312" s="20" t="inlineStr">
        <is>
          <r>
            <t xml:space="preserve">Mão de Obra</t>
          </r>
        </is>
      </c>
      <c r="B1312" s="20" t="inlineStr"/>
      <c r="C1312" s="21" t="inlineStr">
        <is>
          <r>
            <t xml:space="preserve">FONTE</t>
          </r>
        </is>
      </c>
      <c r="D1312" s="21" t="inlineStr">
        <is>
          <r>
            <t xml:space="preserve">UNID</t>
          </r>
        </is>
      </c>
      <c r="E1312" s="21" t="inlineStr">
        <is>
          <r>
            <t xml:space="preserve">COEFICIENTE</t>
          </r>
        </is>
      </c>
      <c r="F1312" s="21" t="inlineStr">
        <is>
          <r>
            <t xml:space="preserve">PREÇO UNITÁRIO</t>
          </r>
        </is>
      </c>
      <c r="G1312" s="21" t="inlineStr">
        <is>
          <r>
            <t xml:space="preserve">TOTAL</t>
          </r>
        </is>
      </c>
    </row>
    <row r="1313" customHeight="1" ht="15">
      <c r="A1313" s="22" t="inlineStr">
        <is>
          <r>
            <t xml:space="preserve">I0498</t>
          </r>
        </is>
      </c>
      <c r="B1313" s="23" t="inlineStr">
        <is>
          <r>
            <t xml:space="preserve">CARPINTEIRO</t>
          </r>
        </is>
      </c>
      <c r="C1313" s="22" t="inlineStr">
        <is>
          <r>
            <t xml:space="preserve">SEINFRA</t>
          </r>
        </is>
      </c>
      <c r="D1313" s="22" t="inlineStr">
        <is>
          <r>
            <t xml:space="preserve">H</t>
          </r>
        </is>
      </c>
      <c r="E1313" s="24" t="n">
        <v>0.44</v>
      </c>
      <c r="F1313" s="30" t="n">
        <v>24.16</v>
      </c>
      <c r="G1313" s="30" t="n">
        <f>ROUND(ROUND(E1313,8)*F1313,4)</f>
        <v>10.6304</v>
      </c>
    </row>
    <row r="1314" customHeight="1" ht="15">
      <c r="A1314" s="22" t="inlineStr">
        <is>
          <r>
            <t xml:space="preserve">I2543</t>
          </r>
        </is>
      </c>
      <c r="B1314" s="23" t="inlineStr">
        <is>
          <r>
            <t xml:space="preserve">SERVENTE</t>
          </r>
        </is>
      </c>
      <c r="C1314" s="22" t="inlineStr">
        <is>
          <r>
            <t xml:space="preserve">SEINFRA</t>
          </r>
        </is>
      </c>
      <c r="D1314" s="22" t="inlineStr">
        <is>
          <r>
            <t xml:space="preserve">H</t>
          </r>
        </is>
      </c>
      <c r="E1314" s="24" t="n">
        <v>1.0</v>
      </c>
      <c r="F1314" s="30" t="n">
        <v>18.46</v>
      </c>
      <c r="G1314" s="30" t="n">
        <f>ROUND(ROUND(E1314,8)*F1314,4)</f>
        <v>18.46</v>
      </c>
    </row>
    <row r="1315" customHeight="1" ht="15">
      <c r="A1315" s="2" t="inlineStr"/>
      <c r="B1315" s="2" t="inlineStr"/>
      <c r="C1315" s="2" t="inlineStr"/>
      <c r="D1315" s="2" t="inlineStr"/>
      <c r="E1315" s="26" t="inlineStr">
        <is>
          <r>
            <t xml:space="preserve">TOTAL Mão de Obra:</t>
          </r>
        </is>
      </c>
      <c r="F1315" s="26" t="inlineStr"/>
      <c r="G1315" s="31" t="n">
        <f>SUM(G1313:G1314)</f>
        <v>29.0904</v>
      </c>
    </row>
    <row r="1316" customHeight="1" ht="15">
      <c r="A1316" s="2" t="inlineStr"/>
      <c r="B1316" s="2" t="inlineStr"/>
      <c r="C1316" s="2" t="inlineStr"/>
      <c r="D1316" s="2" t="inlineStr"/>
      <c r="E1316" s="28" t="inlineStr">
        <is>
          <r>
            <t xml:space="preserve">VALOR:</t>
          </r>
        </is>
      </c>
      <c r="F1316" s="28" t="inlineStr"/>
      <c r="G1316" s="29" t="n">
        <f>ROUND(SUM(G1311,G1315),2)</f>
        <v>34.84</v>
      </c>
    </row>
    <row r="1317" customHeight="1" ht="15">
      <c r="A1317" s="2" t="inlineStr"/>
      <c r="B1317" s="2" t="inlineStr"/>
      <c r="C1317" s="2" t="inlineStr"/>
      <c r="D1317" s="2" t="inlineStr"/>
      <c r="E1317" s="28" t="inlineStr">
        <is>
          <r>
            <t xml:space="preserve">VALOR BDI:</t>
          </r>
        </is>
      </c>
      <c r="F1317" s="28" t="inlineStr"/>
      <c r="G1317" s="29" t="n">
        <f>ROUND(G1316*(0/100),2)</f>
        <v>0.0</v>
      </c>
    </row>
    <row r="1318" customHeight="1" ht="15">
      <c r="A1318" s="2" t="inlineStr"/>
      <c r="B1318" s="2" t="inlineStr"/>
      <c r="C1318" s="2" t="inlineStr"/>
      <c r="D1318" s="2" t="inlineStr"/>
      <c r="E1318" s="28" t="inlineStr">
        <is>
          <r>
            <t xml:space="preserve">VALOR COM BDI:</t>
          </r>
        </is>
      </c>
      <c r="F1318" s="28" t="inlineStr"/>
      <c r="G1318" s="29" t="n">
        <f>G1317+G1316</f>
        <v>34.84</v>
      </c>
    </row>
    <row r="1319" customHeight="1" ht="10">
      <c r="A1319" s="2" t="inlineStr"/>
      <c r="B1319" s="2" t="inlineStr"/>
      <c r="C1319" s="2" t="inlineStr"/>
      <c r="D1319" s="2" t="inlineStr"/>
      <c r="E1319" s="18" t="inlineStr"/>
      <c r="F1319" s="18" t="inlineStr"/>
      <c r="G1319" s="18" t="inlineStr"/>
    </row>
    <row r="1320" customHeight="1" ht="20">
      <c r="A1320" s="19" t="inlineStr">
        <is>
          <r>
            <t xml:space="preserve">1.6.1.8. ​C2980​ TRANSPORTE DE TUBOS E CONEXÕES DE FoFo, AÇO OU CONCRETO​ (T)</t>
          </r>
        </is>
      </c>
      <c r="B1320" s="19" t="inlineStr"/>
      <c r="C1320" s="19" t="inlineStr"/>
      <c r="D1320" s="19" t="inlineStr"/>
      <c r="E1320" s="19" t="inlineStr"/>
      <c r="F1320" s="19" t="inlineStr"/>
      <c r="G1320" s="19" t="inlineStr"/>
    </row>
    <row r="1321" customHeight="1" ht="15">
      <c r="A1321" s="20" t="inlineStr">
        <is>
          <r>
            <t xml:space="preserve">Equipamento Custo Horário</t>
          </r>
        </is>
      </c>
      <c r="B1321" s="20" t="inlineStr"/>
      <c r="C1321" s="21" t="inlineStr">
        <is>
          <r>
            <t xml:space="preserve">FONTE</t>
          </r>
        </is>
      </c>
      <c r="D1321" s="21" t="inlineStr">
        <is>
          <r>
            <t xml:space="preserve">UNID</t>
          </r>
        </is>
      </c>
      <c r="E1321" s="21" t="inlineStr">
        <is>
          <r>
            <t xml:space="preserve">COEFICIENTE</t>
          </r>
        </is>
      </c>
      <c r="F1321" s="21" t="inlineStr">
        <is>
          <r>
            <t xml:space="preserve">PREÇO UNITÁRIO</t>
          </r>
        </is>
      </c>
      <c r="G1321" s="21" t="inlineStr">
        <is>
          <r>
            <t xml:space="preserve">TOTAL</t>
          </r>
        </is>
      </c>
    </row>
    <row r="1322" customHeight="1" ht="15">
      <c r="A1322" s="22" t="inlineStr">
        <is>
          <r>
            <t xml:space="preserve">I0703</t>
          </r>
        </is>
      </c>
      <c r="B1322" s="23" t="inlineStr">
        <is>
          <r>
            <t xml:space="preserve">CAMINHÃO C/CARROCERIA DE MADEIRA HP 136 (CHP)</t>
          </r>
        </is>
      </c>
      <c r="C1322" s="22" t="inlineStr">
        <is>
          <r>
            <t xml:space="preserve">SEINFRA</t>
          </r>
        </is>
      </c>
      <c r="D1322" s="22" t="inlineStr">
        <is>
          <r>
            <t xml:space="preserve">H</t>
          </r>
        </is>
      </c>
      <c r="E1322" s="24" t="n">
        <v>0.222</v>
      </c>
      <c r="F1322" s="30" t="n">
        <v>172.3484</v>
      </c>
      <c r="G1322" s="30" t="n">
        <f>ROUND(ROUND(E1322,8)*F1322,4)</f>
        <v>38.2613</v>
      </c>
    </row>
    <row r="1323" customHeight="1" ht="18">
      <c r="A1323" s="2" t="inlineStr"/>
      <c r="B1323" s="2" t="inlineStr"/>
      <c r="C1323" s="2" t="inlineStr"/>
      <c r="D1323" s="2" t="inlineStr"/>
      <c r="E1323" s="26" t="inlineStr">
        <is>
          <r>
            <t xml:space="preserve">TOTAL Equipamento Custo Horário:</t>
          </r>
        </is>
      </c>
      <c r="F1323" s="26" t="inlineStr"/>
      <c r="G1323" s="31" t="n">
        <f>SUM(G1322:G1322)</f>
        <v>38.2613</v>
      </c>
    </row>
    <row r="1324" customHeight="1" ht="15">
      <c r="A1324" s="20" t="inlineStr">
        <is>
          <r>
            <t xml:space="preserve">Mão de Obra</t>
          </r>
        </is>
      </c>
      <c r="B1324" s="20" t="inlineStr"/>
      <c r="C1324" s="21" t="inlineStr">
        <is>
          <r>
            <t xml:space="preserve">FONTE</t>
          </r>
        </is>
      </c>
      <c r="D1324" s="21" t="inlineStr">
        <is>
          <r>
            <t xml:space="preserve">UNID</t>
          </r>
        </is>
      </c>
      <c r="E1324" s="21" t="inlineStr">
        <is>
          <r>
            <t xml:space="preserve">COEFICIENTE</t>
          </r>
        </is>
      </c>
      <c r="F1324" s="21" t="inlineStr">
        <is>
          <r>
            <t xml:space="preserve">PREÇO UNITÁRIO</t>
          </r>
        </is>
      </c>
      <c r="G1324" s="21" t="inlineStr">
        <is>
          <r>
            <t xml:space="preserve">TOTAL</t>
          </r>
        </is>
      </c>
    </row>
    <row r="1325" customHeight="1" ht="15">
      <c r="A1325" s="22" t="inlineStr">
        <is>
          <r>
            <t xml:space="preserve">I2543</t>
          </r>
        </is>
      </c>
      <c r="B1325" s="23" t="inlineStr">
        <is>
          <r>
            <t xml:space="preserve">SERVENTE</t>
          </r>
        </is>
      </c>
      <c r="C1325" s="22" t="inlineStr">
        <is>
          <r>
            <t xml:space="preserve">SEINFRA</t>
          </r>
        </is>
      </c>
      <c r="D1325" s="22" t="inlineStr">
        <is>
          <r>
            <t xml:space="preserve">H</t>
          </r>
        </is>
      </c>
      <c r="E1325" s="24" t="n">
        <v>0.5</v>
      </c>
      <c r="F1325" s="30" t="n">
        <v>18.46</v>
      </c>
      <c r="G1325" s="30" t="n">
        <f>ROUND(ROUND(E1325,8)*F1325,4)</f>
        <v>9.23</v>
      </c>
    </row>
    <row r="1326" customHeight="1" ht="15">
      <c r="A1326" s="2" t="inlineStr"/>
      <c r="B1326" s="2" t="inlineStr"/>
      <c r="C1326" s="2" t="inlineStr"/>
      <c r="D1326" s="2" t="inlineStr"/>
      <c r="E1326" s="26" t="inlineStr">
        <is>
          <r>
            <t xml:space="preserve">TOTAL Mão de Obra:</t>
          </r>
        </is>
      </c>
      <c r="F1326" s="26" t="inlineStr"/>
      <c r="G1326" s="31" t="n">
        <f>SUM(G1325:G1325)</f>
        <v>9.23</v>
      </c>
    </row>
    <row r="1327" customHeight="1" ht="15">
      <c r="A1327" s="2" t="inlineStr"/>
      <c r="B1327" s="2" t="inlineStr"/>
      <c r="C1327" s="2" t="inlineStr"/>
      <c r="D1327" s="2" t="inlineStr"/>
      <c r="E1327" s="28" t="inlineStr">
        <is>
          <r>
            <t xml:space="preserve">VALOR:</t>
          </r>
        </is>
      </c>
      <c r="F1327" s="28" t="inlineStr"/>
      <c r="G1327" s="29" t="n">
        <f>ROUND(SUM(G1323,G1326),2)</f>
        <v>47.49</v>
      </c>
    </row>
    <row r="1328" customHeight="1" ht="15">
      <c r="A1328" s="2" t="inlineStr"/>
      <c r="B1328" s="2" t="inlineStr"/>
      <c r="C1328" s="2" t="inlineStr"/>
      <c r="D1328" s="2" t="inlineStr"/>
      <c r="E1328" s="28" t="inlineStr">
        <is>
          <r>
            <t xml:space="preserve">VALOR BDI:</t>
          </r>
        </is>
      </c>
      <c r="F1328" s="28" t="inlineStr"/>
      <c r="G1328" s="29" t="n">
        <f>ROUND(G1327*(0/100),2)</f>
        <v>0.0</v>
      </c>
    </row>
    <row r="1329" customHeight="1" ht="15">
      <c r="A1329" s="2" t="inlineStr"/>
      <c r="B1329" s="2" t="inlineStr"/>
      <c r="C1329" s="2" t="inlineStr"/>
      <c r="D1329" s="2" t="inlineStr"/>
      <c r="E1329" s="28" t="inlineStr">
        <is>
          <r>
            <t xml:space="preserve">VALOR COM BDI:</t>
          </r>
        </is>
      </c>
      <c r="F1329" s="28" t="inlineStr"/>
      <c r="G1329" s="29" t="n">
        <f>G1328+G1327</f>
        <v>47.49</v>
      </c>
    </row>
    <row r="1330" customHeight="1" ht="10">
      <c r="A1330" s="2" t="inlineStr"/>
      <c r="B1330" s="2" t="inlineStr"/>
      <c r="C1330" s="2" t="inlineStr"/>
      <c r="D1330" s="2" t="inlineStr"/>
      <c r="E1330" s="18" t="inlineStr"/>
      <c r="F1330" s="18" t="inlineStr"/>
      <c r="G1330" s="18" t="inlineStr"/>
    </row>
    <row r="1331" customHeight="1" ht="20">
      <c r="A1331" s="19" t="inlineStr">
        <is>
          <r>
            <t xml:space="preserve">1.6.1.9. ​C0105​ AQUISIÇÃO, ASSENT. E REJUNT. DE TUBO DE CONCRETO ARMADO D= 60cm​ (M)</t>
          </r>
        </is>
      </c>
      <c r="B1331" s="19" t="inlineStr"/>
      <c r="C1331" s="19" t="inlineStr"/>
      <c r="D1331" s="19" t="inlineStr"/>
      <c r="E1331" s="19" t="inlineStr"/>
      <c r="F1331" s="19" t="inlineStr"/>
      <c r="G1331" s="19" t="inlineStr"/>
    </row>
    <row r="1332" customHeight="1" ht="15">
      <c r="A1332" s="20" t="inlineStr">
        <is>
          <r>
            <t xml:space="preserve">Equipamento Custo Horário</t>
          </r>
        </is>
      </c>
      <c r="B1332" s="20" t="inlineStr"/>
      <c r="C1332" s="21" t="inlineStr">
        <is>
          <r>
            <t xml:space="preserve">FONTE</t>
          </r>
        </is>
      </c>
      <c r="D1332" s="21" t="inlineStr">
        <is>
          <r>
            <t xml:space="preserve">UNID</t>
          </r>
        </is>
      </c>
      <c r="E1332" s="21" t="inlineStr">
        <is>
          <r>
            <t xml:space="preserve">COEFICIENTE</t>
          </r>
        </is>
      </c>
      <c r="F1332" s="21" t="inlineStr">
        <is>
          <r>
            <t xml:space="preserve">PREÇO UNITÁRIO</t>
          </r>
        </is>
      </c>
      <c r="G1332" s="21" t="inlineStr">
        <is>
          <r>
            <t xml:space="preserve">TOTAL</t>
          </r>
        </is>
      </c>
    </row>
    <row r="1333" customHeight="1" ht="15">
      <c r="A1333" s="22" t="inlineStr">
        <is>
          <r>
            <t xml:space="preserve">I0746</t>
          </r>
        </is>
      </c>
      <c r="B1333" s="23" t="inlineStr">
        <is>
          <r>
            <t xml:space="preserve">GUINDASTE HIDRÁULICO SOBRE PNEUS HP 45 (CHP)</t>
          </r>
        </is>
      </c>
      <c r="C1333" s="22" t="inlineStr">
        <is>
          <r>
            <t xml:space="preserve">SEINFRA</t>
          </r>
        </is>
      </c>
      <c r="D1333" s="22" t="inlineStr">
        <is>
          <r>
            <t xml:space="preserve">H</t>
          </r>
        </is>
      </c>
      <c r="E1333" s="24" t="n">
        <v>0.027</v>
      </c>
      <c r="F1333" s="30" t="n">
        <v>128.4306</v>
      </c>
      <c r="G1333" s="30" t="n">
        <f>ROUND(ROUND(E1333,8)*F1333,4)</f>
        <v>3.4676</v>
      </c>
    </row>
    <row r="1334" customHeight="1" ht="18">
      <c r="A1334" s="2" t="inlineStr"/>
      <c r="B1334" s="2" t="inlineStr"/>
      <c r="C1334" s="2" t="inlineStr"/>
      <c r="D1334" s="2" t="inlineStr"/>
      <c r="E1334" s="26" t="inlineStr">
        <is>
          <r>
            <t xml:space="preserve">TOTAL Equipamento Custo Horário:</t>
          </r>
        </is>
      </c>
      <c r="F1334" s="26" t="inlineStr"/>
      <c r="G1334" s="31" t="n">
        <f>SUM(G1333:G1333)</f>
        <v>3.4676</v>
      </c>
    </row>
    <row r="1335" customHeight="1" ht="15">
      <c r="A1335" s="20" t="inlineStr">
        <is>
          <r>
            <t xml:space="preserve">Material</t>
          </r>
        </is>
      </c>
      <c r="B1335" s="20" t="inlineStr"/>
      <c r="C1335" s="21" t="inlineStr">
        <is>
          <r>
            <t xml:space="preserve">FONTE</t>
          </r>
        </is>
      </c>
      <c r="D1335" s="21" t="inlineStr">
        <is>
          <r>
            <t xml:space="preserve">UNID</t>
          </r>
        </is>
      </c>
      <c r="E1335" s="21" t="inlineStr">
        <is>
          <r>
            <t xml:space="preserve">COEFICIENTE</t>
          </r>
        </is>
      </c>
      <c r="F1335" s="21" t="inlineStr">
        <is>
          <r>
            <t xml:space="preserve">PREÇO UNITÁRIO</t>
          </r>
        </is>
      </c>
      <c r="G1335" s="21" t="inlineStr">
        <is>
          <r>
            <t xml:space="preserve">TOTAL</t>
          </r>
        </is>
      </c>
    </row>
    <row r="1336" customHeight="1" ht="15">
      <c r="A1336" s="22" t="inlineStr">
        <is>
          <r>
            <t xml:space="preserve">I0109</t>
          </r>
        </is>
      </c>
      <c r="B1336" s="23" t="inlineStr">
        <is>
          <r>
            <t xml:space="preserve">AREIA MEDIA</t>
          </r>
        </is>
      </c>
      <c r="C1336" s="22" t="inlineStr">
        <is>
          <r>
            <t xml:space="preserve">SEINFRA</t>
          </r>
        </is>
      </c>
      <c r="D1336" s="22" t="inlineStr">
        <is>
          <r>
            <t xml:space="preserve">M3</t>
          </r>
        </is>
      </c>
      <c r="E1336" s="24" t="n">
        <v>0.0049</v>
      </c>
      <c r="F1336" s="30" t="n">
        <v>83.58</v>
      </c>
      <c r="G1336" s="30" t="n">
        <f>ROUND(ROUND(E1336,8)*F1336,4)</f>
        <v>0.4095</v>
      </c>
    </row>
    <row r="1337" customHeight="1" ht="15">
      <c r="A1337" s="22" t="inlineStr">
        <is>
          <r>
            <t xml:space="preserve">I0805</t>
          </r>
        </is>
      </c>
      <c r="B1337" s="23" t="inlineStr">
        <is>
          <r>
            <t xml:space="preserve">CIMENTO PORTLAND</t>
          </r>
        </is>
      </c>
      <c r="C1337" s="22" t="inlineStr">
        <is>
          <r>
            <t xml:space="preserve">SEINFRA</t>
          </r>
        </is>
      </c>
      <c r="D1337" s="22" t="inlineStr">
        <is>
          <r>
            <t xml:space="preserve">KG</t>
          </r>
        </is>
      </c>
      <c r="E1337" s="24" t="n">
        <v>1.94</v>
      </c>
      <c r="F1337" s="30" t="n">
        <v>0.71</v>
      </c>
      <c r="G1337" s="30" t="n">
        <f>ROUND(ROUND(E1337,8)*F1337,4)</f>
        <v>1.3774</v>
      </c>
    </row>
    <row r="1338" customHeight="1" ht="21">
      <c r="A1338" s="22" t="inlineStr">
        <is>
          <r>
            <t xml:space="preserve">I2186</t>
          </r>
        </is>
      </c>
      <c r="B1338" s="23" t="inlineStr">
        <is>
          <r>
            <t xml:space="preserve">TUBO CONCRETO ARMADO, CLASSE PA-1, DN= 600MM (NBR 8890:2018)</t>
          </r>
        </is>
      </c>
      <c r="C1338" s="22" t="inlineStr">
        <is>
          <r>
            <t xml:space="preserve">SEINFRA</t>
          </r>
        </is>
      </c>
      <c r="D1338" s="22" t="inlineStr">
        <is>
          <r>
            <t xml:space="preserve">M</t>
          </r>
        </is>
      </c>
      <c r="E1338" s="24" t="n">
        <v>1.02</v>
      </c>
      <c r="F1338" s="30" t="n">
        <v>214.93</v>
      </c>
      <c r="G1338" s="30" t="n">
        <f>ROUND(ROUND(E1338,8)*F1338,4)</f>
        <v>219.2286</v>
      </c>
    </row>
    <row r="1339" customHeight="1" ht="15">
      <c r="A1339" s="2" t="inlineStr"/>
      <c r="B1339" s="2" t="inlineStr"/>
      <c r="C1339" s="2" t="inlineStr"/>
      <c r="D1339" s="2" t="inlineStr"/>
      <c r="E1339" s="26" t="inlineStr">
        <is>
          <r>
            <t xml:space="preserve">TOTAL Material:</t>
          </r>
        </is>
      </c>
      <c r="F1339" s="26" t="inlineStr"/>
      <c r="G1339" s="31" t="n">
        <f>SUM(G1336:G1338)</f>
        <v>221.0155</v>
      </c>
    </row>
    <row r="1340" customHeight="1" ht="15">
      <c r="A1340" s="20" t="inlineStr">
        <is>
          <r>
            <t xml:space="preserve">Mão de Obra</t>
          </r>
        </is>
      </c>
      <c r="B1340" s="20" t="inlineStr"/>
      <c r="C1340" s="21" t="inlineStr">
        <is>
          <r>
            <t xml:space="preserve">FONTE</t>
          </r>
        </is>
      </c>
      <c r="D1340" s="21" t="inlineStr">
        <is>
          <r>
            <t xml:space="preserve">UNID</t>
          </r>
        </is>
      </c>
      <c r="E1340" s="21" t="inlineStr">
        <is>
          <r>
            <t xml:space="preserve">COEFICIENTE</t>
          </r>
        </is>
      </c>
      <c r="F1340" s="21" t="inlineStr">
        <is>
          <r>
            <t xml:space="preserve">PREÇO UNITÁRIO</t>
          </r>
        </is>
      </c>
      <c r="G1340" s="21" t="inlineStr">
        <is>
          <r>
            <t xml:space="preserve">TOTAL</t>
          </r>
        </is>
      </c>
    </row>
    <row r="1341" customHeight="1" ht="15">
      <c r="A1341" s="22" t="inlineStr">
        <is>
          <r>
            <t xml:space="preserve">I2391</t>
          </r>
        </is>
      </c>
      <c r="B1341" s="23" t="inlineStr">
        <is>
          <r>
            <t xml:space="preserve">PEDREIRO</t>
          </r>
        </is>
      </c>
      <c r="C1341" s="22" t="inlineStr">
        <is>
          <r>
            <t xml:space="preserve">SEINFRA</t>
          </r>
        </is>
      </c>
      <c r="D1341" s="22" t="inlineStr">
        <is>
          <r>
            <t xml:space="preserve">H</t>
          </r>
        </is>
      </c>
      <c r="E1341" s="24" t="n">
        <v>0.7</v>
      </c>
      <c r="F1341" s="30" t="n">
        <v>24.16</v>
      </c>
      <c r="G1341" s="30" t="n">
        <f>ROUND(ROUND(E1341,8)*F1341,4)</f>
        <v>16.912</v>
      </c>
    </row>
    <row r="1342" customHeight="1" ht="15">
      <c r="A1342" s="22" t="inlineStr">
        <is>
          <r>
            <t xml:space="preserve">I2543</t>
          </r>
        </is>
      </c>
      <c r="B1342" s="23" t="inlineStr">
        <is>
          <r>
            <t xml:space="preserve">SERVENTE</t>
          </r>
        </is>
      </c>
      <c r="C1342" s="22" t="inlineStr">
        <is>
          <r>
            <t xml:space="preserve">SEINFRA</t>
          </r>
        </is>
      </c>
      <c r="D1342" s="22" t="inlineStr">
        <is>
          <r>
            <t xml:space="preserve">H</t>
          </r>
        </is>
      </c>
      <c r="E1342" s="24" t="n">
        <v>0.74</v>
      </c>
      <c r="F1342" s="30" t="n">
        <v>18.46</v>
      </c>
      <c r="G1342" s="30" t="n">
        <f>ROUND(ROUND(E1342,8)*F1342,4)</f>
        <v>13.6604</v>
      </c>
    </row>
    <row r="1343" customHeight="1" ht="15">
      <c r="A1343" s="2" t="inlineStr"/>
      <c r="B1343" s="2" t="inlineStr"/>
      <c r="C1343" s="2" t="inlineStr"/>
      <c r="D1343" s="2" t="inlineStr"/>
      <c r="E1343" s="26" t="inlineStr">
        <is>
          <r>
            <t xml:space="preserve">TOTAL Mão de Obra:</t>
          </r>
        </is>
      </c>
      <c r="F1343" s="26" t="inlineStr"/>
      <c r="G1343" s="31" t="n">
        <f>SUM(G1341:G1342)</f>
        <v>30.5724</v>
      </c>
    </row>
    <row r="1344" customHeight="1" ht="15">
      <c r="A1344" s="2" t="inlineStr"/>
      <c r="B1344" s="2" t="inlineStr"/>
      <c r="C1344" s="2" t="inlineStr"/>
      <c r="D1344" s="2" t="inlineStr"/>
      <c r="E1344" s="28" t="inlineStr">
        <is>
          <r>
            <t xml:space="preserve">VALOR:</t>
          </r>
        </is>
      </c>
      <c r="F1344" s="28" t="inlineStr"/>
      <c r="G1344" s="29" t="n">
        <f>ROUND(SUM(G1334,G1339,G1343),2)</f>
        <v>255.06</v>
      </c>
    </row>
    <row r="1345" customHeight="1" ht="15">
      <c r="A1345" s="2" t="inlineStr"/>
      <c r="B1345" s="2" t="inlineStr"/>
      <c r="C1345" s="2" t="inlineStr"/>
      <c r="D1345" s="2" t="inlineStr"/>
      <c r="E1345" s="28" t="inlineStr">
        <is>
          <r>
            <t xml:space="preserve">VALOR BDI:</t>
          </r>
        </is>
      </c>
      <c r="F1345" s="28" t="inlineStr"/>
      <c r="G1345" s="29" t="n">
        <f>ROUND(G1344*(0/100),2)</f>
        <v>0.0</v>
      </c>
    </row>
    <row r="1346" customHeight="1" ht="15">
      <c r="A1346" s="2" t="inlineStr"/>
      <c r="B1346" s="2" t="inlineStr"/>
      <c r="C1346" s="2" t="inlineStr"/>
      <c r="D1346" s="2" t="inlineStr"/>
      <c r="E1346" s="28" t="inlineStr">
        <is>
          <r>
            <t xml:space="preserve">VALOR COM BDI:</t>
          </r>
        </is>
      </c>
      <c r="F1346" s="28" t="inlineStr"/>
      <c r="G1346" s="29" t="n">
        <f>G1345+G1344</f>
        <v>255.06</v>
      </c>
    </row>
    <row r="1347" customHeight="1" ht="10">
      <c r="A1347" s="2" t="inlineStr"/>
      <c r="B1347" s="2" t="inlineStr"/>
      <c r="C1347" s="2" t="inlineStr"/>
      <c r="D1347" s="2" t="inlineStr"/>
      <c r="E1347" s="18" t="inlineStr"/>
      <c r="F1347" s="18" t="inlineStr"/>
      <c r="G1347" s="18" t="inlineStr"/>
    </row>
    <row r="1348" customHeight="1" ht="20">
      <c r="A1348" s="19" t="inlineStr">
        <is>
          <r>
            <t xml:space="preserve">1.6.1.10. ​C0108​ AQUISIÇÃO, ASSENT. E REJUNT. DE TUBO DE CONCRETO ARMADO D=80cm​ (M)</t>
          </r>
        </is>
      </c>
      <c r="B1348" s="19" t="inlineStr"/>
      <c r="C1348" s="19" t="inlineStr"/>
      <c r="D1348" s="19" t="inlineStr"/>
      <c r="E1348" s="19" t="inlineStr"/>
      <c r="F1348" s="19" t="inlineStr"/>
      <c r="G1348" s="19" t="inlineStr"/>
    </row>
    <row r="1349" customHeight="1" ht="15">
      <c r="A1349" s="20" t="inlineStr">
        <is>
          <r>
            <t xml:space="preserve">Equipamento Custo Horário</t>
          </r>
        </is>
      </c>
      <c r="B1349" s="20" t="inlineStr"/>
      <c r="C1349" s="21" t="inlineStr">
        <is>
          <r>
            <t xml:space="preserve">FONTE</t>
          </r>
        </is>
      </c>
      <c r="D1349" s="21" t="inlineStr">
        <is>
          <r>
            <t xml:space="preserve">UNID</t>
          </r>
        </is>
      </c>
      <c r="E1349" s="21" t="inlineStr">
        <is>
          <r>
            <t xml:space="preserve">COEFICIENTE</t>
          </r>
        </is>
      </c>
      <c r="F1349" s="21" t="inlineStr">
        <is>
          <r>
            <t xml:space="preserve">PREÇO UNITÁRIO</t>
          </r>
        </is>
      </c>
      <c r="G1349" s="21" t="inlineStr">
        <is>
          <r>
            <t xml:space="preserve">TOTAL</t>
          </r>
        </is>
      </c>
    </row>
    <row r="1350" customHeight="1" ht="15">
      <c r="A1350" s="22" t="inlineStr">
        <is>
          <r>
            <t xml:space="preserve">I0746</t>
          </r>
        </is>
      </c>
      <c r="B1350" s="23" t="inlineStr">
        <is>
          <r>
            <t xml:space="preserve">GUINDASTE HIDRÁULICO SOBRE PNEUS HP 45 (CHP)</t>
          </r>
        </is>
      </c>
      <c r="C1350" s="22" t="inlineStr">
        <is>
          <r>
            <t xml:space="preserve">SEINFRA</t>
          </r>
        </is>
      </c>
      <c r="D1350" s="22" t="inlineStr">
        <is>
          <r>
            <t xml:space="preserve">H</t>
          </r>
        </is>
      </c>
      <c r="E1350" s="24" t="n">
        <v>0.054</v>
      </c>
      <c r="F1350" s="30" t="n">
        <v>128.4306</v>
      </c>
      <c r="G1350" s="30" t="n">
        <f>ROUND(ROUND(E1350,8)*F1350,4)</f>
        <v>6.9353</v>
      </c>
    </row>
    <row r="1351" customHeight="1" ht="18">
      <c r="A1351" s="2" t="inlineStr"/>
      <c r="B1351" s="2" t="inlineStr"/>
      <c r="C1351" s="2" t="inlineStr"/>
      <c r="D1351" s="2" t="inlineStr"/>
      <c r="E1351" s="26" t="inlineStr">
        <is>
          <r>
            <t xml:space="preserve">TOTAL Equipamento Custo Horário:</t>
          </r>
        </is>
      </c>
      <c r="F1351" s="26" t="inlineStr"/>
      <c r="G1351" s="31" t="n">
        <f>SUM(G1350:G1350)</f>
        <v>6.9353</v>
      </c>
    </row>
    <row r="1352" customHeight="1" ht="15">
      <c r="A1352" s="20" t="inlineStr">
        <is>
          <r>
            <t xml:space="preserve">Material</t>
          </r>
        </is>
      </c>
      <c r="B1352" s="20" t="inlineStr"/>
      <c r="C1352" s="21" t="inlineStr">
        <is>
          <r>
            <t xml:space="preserve">FONTE</t>
          </r>
        </is>
      </c>
      <c r="D1352" s="21" t="inlineStr">
        <is>
          <r>
            <t xml:space="preserve">UNID</t>
          </r>
        </is>
      </c>
      <c r="E1352" s="21" t="inlineStr">
        <is>
          <r>
            <t xml:space="preserve">COEFICIENTE</t>
          </r>
        </is>
      </c>
      <c r="F1352" s="21" t="inlineStr">
        <is>
          <r>
            <t xml:space="preserve">PREÇO UNITÁRIO</t>
          </r>
        </is>
      </c>
      <c r="G1352" s="21" t="inlineStr">
        <is>
          <r>
            <t xml:space="preserve">TOTAL</t>
          </r>
        </is>
      </c>
    </row>
    <row r="1353" customHeight="1" ht="15">
      <c r="A1353" s="22" t="inlineStr">
        <is>
          <r>
            <t xml:space="preserve">I0109</t>
          </r>
        </is>
      </c>
      <c r="B1353" s="23" t="inlineStr">
        <is>
          <r>
            <t xml:space="preserve">AREIA MEDIA</t>
          </r>
        </is>
      </c>
      <c r="C1353" s="22" t="inlineStr">
        <is>
          <r>
            <t xml:space="preserve">SEINFRA</t>
          </r>
        </is>
      </c>
      <c r="D1353" s="22" t="inlineStr">
        <is>
          <r>
            <t xml:space="preserve">M3</t>
          </r>
        </is>
      </c>
      <c r="E1353" s="24" t="n">
        <v>0.0097</v>
      </c>
      <c r="F1353" s="30" t="n">
        <v>83.58</v>
      </c>
      <c r="G1353" s="30" t="n">
        <f>ROUND(ROUND(E1353,8)*F1353,4)</f>
        <v>0.8107</v>
      </c>
    </row>
    <row r="1354" customHeight="1" ht="15">
      <c r="A1354" s="22" t="inlineStr">
        <is>
          <r>
            <t xml:space="preserve">I0805</t>
          </r>
        </is>
      </c>
      <c r="B1354" s="23" t="inlineStr">
        <is>
          <r>
            <t xml:space="preserve">CIMENTO PORTLAND</t>
          </r>
        </is>
      </c>
      <c r="C1354" s="22" t="inlineStr">
        <is>
          <r>
            <t xml:space="preserve">SEINFRA</t>
          </r>
        </is>
      </c>
      <c r="D1354" s="22" t="inlineStr">
        <is>
          <r>
            <t xml:space="preserve">KG</t>
          </r>
        </is>
      </c>
      <c r="E1354" s="24" t="n">
        <v>3.89</v>
      </c>
      <c r="F1354" s="30" t="n">
        <v>0.71</v>
      </c>
      <c r="G1354" s="30" t="n">
        <f>ROUND(ROUND(E1354,8)*F1354,4)</f>
        <v>2.7619</v>
      </c>
    </row>
    <row r="1355" customHeight="1" ht="21">
      <c r="A1355" s="22" t="inlineStr">
        <is>
          <r>
            <t xml:space="preserve">I2187</t>
          </r>
        </is>
      </c>
      <c r="B1355" s="23" t="inlineStr">
        <is>
          <r>
            <t xml:space="preserve">TUBO CONCRETO ARMADO, CLASSE PA-1, DN= 800MM (NBR 8890:2018)</t>
          </r>
        </is>
      </c>
      <c r="C1355" s="22" t="inlineStr">
        <is>
          <r>
            <t xml:space="preserve">SEINFRA</t>
          </r>
        </is>
      </c>
      <c r="D1355" s="22" t="inlineStr">
        <is>
          <r>
            <t xml:space="preserve">M</t>
          </r>
        </is>
      </c>
      <c r="E1355" s="24" t="n">
        <v>1.02</v>
      </c>
      <c r="F1355" s="30" t="n">
        <v>357.61</v>
      </c>
      <c r="G1355" s="30" t="n">
        <f>ROUND(ROUND(E1355,8)*F1355,4)</f>
        <v>364.7622</v>
      </c>
    </row>
    <row r="1356" customHeight="1" ht="15">
      <c r="A1356" s="2" t="inlineStr"/>
      <c r="B1356" s="2" t="inlineStr"/>
      <c r="C1356" s="2" t="inlineStr"/>
      <c r="D1356" s="2" t="inlineStr"/>
      <c r="E1356" s="26" t="inlineStr">
        <is>
          <r>
            <t xml:space="preserve">TOTAL Material:</t>
          </r>
        </is>
      </c>
      <c r="F1356" s="26" t="inlineStr"/>
      <c r="G1356" s="31" t="n">
        <f>SUM(G1353:G1355)</f>
        <v>368.3348</v>
      </c>
    </row>
    <row r="1357" customHeight="1" ht="15">
      <c r="A1357" s="20" t="inlineStr">
        <is>
          <r>
            <t xml:space="preserve">Mão de Obra</t>
          </r>
        </is>
      </c>
      <c r="B1357" s="20" t="inlineStr"/>
      <c r="C1357" s="21" t="inlineStr">
        <is>
          <r>
            <t xml:space="preserve">FONTE</t>
          </r>
        </is>
      </c>
      <c r="D1357" s="21" t="inlineStr">
        <is>
          <r>
            <t xml:space="preserve">UNID</t>
          </r>
        </is>
      </c>
      <c r="E1357" s="21" t="inlineStr">
        <is>
          <r>
            <t xml:space="preserve">COEFICIENTE</t>
          </r>
        </is>
      </c>
      <c r="F1357" s="21" t="inlineStr">
        <is>
          <r>
            <t xml:space="preserve">PREÇO UNITÁRIO</t>
          </r>
        </is>
      </c>
      <c r="G1357" s="21" t="inlineStr">
        <is>
          <r>
            <t xml:space="preserve">TOTAL</t>
          </r>
        </is>
      </c>
    </row>
    <row r="1358" customHeight="1" ht="15">
      <c r="A1358" s="22" t="inlineStr">
        <is>
          <r>
            <t xml:space="preserve">I2391</t>
          </r>
        </is>
      </c>
      <c r="B1358" s="23" t="inlineStr">
        <is>
          <r>
            <t xml:space="preserve">PEDREIRO</t>
          </r>
        </is>
      </c>
      <c r="C1358" s="22" t="inlineStr">
        <is>
          <r>
            <t xml:space="preserve">SEINFRA</t>
          </r>
        </is>
      </c>
      <c r="D1358" s="22" t="inlineStr">
        <is>
          <r>
            <t xml:space="preserve">H</t>
          </r>
        </is>
      </c>
      <c r="E1358" s="24" t="n">
        <v>1.0</v>
      </c>
      <c r="F1358" s="30" t="n">
        <v>24.16</v>
      </c>
      <c r="G1358" s="30" t="n">
        <f>ROUND(ROUND(E1358,8)*F1358,4)</f>
        <v>24.16</v>
      </c>
    </row>
    <row r="1359" customHeight="1" ht="15">
      <c r="A1359" s="22" t="inlineStr">
        <is>
          <r>
            <t xml:space="preserve">I2543</t>
          </r>
        </is>
      </c>
      <c r="B1359" s="23" t="inlineStr">
        <is>
          <r>
            <t xml:space="preserve">SERVENTE</t>
          </r>
        </is>
      </c>
      <c r="C1359" s="22" t="inlineStr">
        <is>
          <r>
            <t xml:space="preserve">SEINFRA</t>
          </r>
        </is>
      </c>
      <c r="D1359" s="22" t="inlineStr">
        <is>
          <r>
            <t xml:space="preserve">H</t>
          </r>
        </is>
      </c>
      <c r="E1359" s="24" t="n">
        <v>1.08</v>
      </c>
      <c r="F1359" s="30" t="n">
        <v>18.46</v>
      </c>
      <c r="G1359" s="30" t="n">
        <f>ROUND(ROUND(E1359,8)*F1359,4)</f>
        <v>19.9368</v>
      </c>
    </row>
    <row r="1360" customHeight="1" ht="15">
      <c r="A1360" s="2" t="inlineStr"/>
      <c r="B1360" s="2" t="inlineStr"/>
      <c r="C1360" s="2" t="inlineStr"/>
      <c r="D1360" s="2" t="inlineStr"/>
      <c r="E1360" s="26" t="inlineStr">
        <is>
          <r>
            <t xml:space="preserve">TOTAL Mão de Obra:</t>
          </r>
        </is>
      </c>
      <c r="F1360" s="26" t="inlineStr"/>
      <c r="G1360" s="31" t="n">
        <f>SUM(G1358:G1359)</f>
        <v>44.0968</v>
      </c>
    </row>
    <row r="1361" customHeight="1" ht="15">
      <c r="A1361" s="2" t="inlineStr"/>
      <c r="B1361" s="2" t="inlineStr"/>
      <c r="C1361" s="2" t="inlineStr"/>
      <c r="D1361" s="2" t="inlineStr"/>
      <c r="E1361" s="28" t="inlineStr">
        <is>
          <r>
            <t xml:space="preserve">VALOR:</t>
          </r>
        </is>
      </c>
      <c r="F1361" s="28" t="inlineStr"/>
      <c r="G1361" s="29" t="n">
        <f>ROUND(SUM(G1351,G1356,G1360),2)</f>
        <v>419.37</v>
      </c>
    </row>
    <row r="1362" customHeight="1" ht="15">
      <c r="A1362" s="2" t="inlineStr"/>
      <c r="B1362" s="2" t="inlineStr"/>
      <c r="C1362" s="2" t="inlineStr"/>
      <c r="D1362" s="2" t="inlineStr"/>
      <c r="E1362" s="28" t="inlineStr">
        <is>
          <r>
            <t xml:space="preserve">VALOR BDI:</t>
          </r>
        </is>
      </c>
      <c r="F1362" s="28" t="inlineStr"/>
      <c r="G1362" s="29" t="n">
        <f>ROUND(G1361*(0/100),2)</f>
        <v>0.0</v>
      </c>
    </row>
    <row r="1363" customHeight="1" ht="15">
      <c r="A1363" s="2" t="inlineStr"/>
      <c r="B1363" s="2" t="inlineStr"/>
      <c r="C1363" s="2" t="inlineStr"/>
      <c r="D1363" s="2" t="inlineStr"/>
      <c r="E1363" s="28" t="inlineStr">
        <is>
          <r>
            <t xml:space="preserve">VALOR COM BDI:</t>
          </r>
        </is>
      </c>
      <c r="F1363" s="28" t="inlineStr"/>
      <c r="G1363" s="29" t="n">
        <f>G1362+G1361</f>
        <v>419.37</v>
      </c>
    </row>
    <row r="1364" customHeight="1" ht="10">
      <c r="A1364" s="2" t="inlineStr"/>
      <c r="B1364" s="2" t="inlineStr"/>
      <c r="C1364" s="2" t="inlineStr"/>
      <c r="D1364" s="2" t="inlineStr"/>
      <c r="E1364" s="18" t="inlineStr"/>
      <c r="F1364" s="18" t="inlineStr"/>
      <c r="G1364" s="18" t="inlineStr"/>
    </row>
    <row r="1365" customHeight="1" ht="20">
      <c r="A1365" s="19" t="inlineStr">
        <is>
          <r>
            <t xml:space="preserve">1.6.1.11. ​C0104​ AQUISIÇÃO, ASSENT. E REJUNT. DE TUBO DE CONCRETO ARMADO D= 100cm​ (M)</t>
          </r>
        </is>
      </c>
      <c r="B1365" s="19" t="inlineStr"/>
      <c r="C1365" s="19" t="inlineStr"/>
      <c r="D1365" s="19" t="inlineStr"/>
      <c r="E1365" s="19" t="inlineStr"/>
      <c r="F1365" s="19" t="inlineStr"/>
      <c r="G1365" s="19" t="inlineStr"/>
    </row>
    <row r="1366" customHeight="1" ht="15">
      <c r="A1366" s="20" t="inlineStr">
        <is>
          <r>
            <t xml:space="preserve">Equipamento Custo Horário</t>
          </r>
        </is>
      </c>
      <c r="B1366" s="20" t="inlineStr"/>
      <c r="C1366" s="21" t="inlineStr">
        <is>
          <r>
            <t xml:space="preserve">FONTE</t>
          </r>
        </is>
      </c>
      <c r="D1366" s="21" t="inlineStr">
        <is>
          <r>
            <t xml:space="preserve">UNID</t>
          </r>
        </is>
      </c>
      <c r="E1366" s="21" t="inlineStr">
        <is>
          <r>
            <t xml:space="preserve">COEFICIENTE</t>
          </r>
        </is>
      </c>
      <c r="F1366" s="21" t="inlineStr">
        <is>
          <r>
            <t xml:space="preserve">PREÇO UNITÁRIO</t>
          </r>
        </is>
      </c>
      <c r="G1366" s="21" t="inlineStr">
        <is>
          <r>
            <t xml:space="preserve">TOTAL</t>
          </r>
        </is>
      </c>
    </row>
    <row r="1367" customHeight="1" ht="15">
      <c r="A1367" s="22" t="inlineStr">
        <is>
          <r>
            <t xml:space="preserve">I0746</t>
          </r>
        </is>
      </c>
      <c r="B1367" s="23" t="inlineStr">
        <is>
          <r>
            <t xml:space="preserve">GUINDASTE HIDRÁULICO SOBRE PNEUS HP 45 (CHP)</t>
          </r>
        </is>
      </c>
      <c r="C1367" s="22" t="inlineStr">
        <is>
          <r>
            <t xml:space="preserve">SEINFRA</t>
          </r>
        </is>
      </c>
      <c r="D1367" s="22" t="inlineStr">
        <is>
          <r>
            <t xml:space="preserve">H</t>
          </r>
        </is>
      </c>
      <c r="E1367" s="24" t="n">
        <v>0.136</v>
      </c>
      <c r="F1367" s="30" t="n">
        <v>128.4306</v>
      </c>
      <c r="G1367" s="30" t="n">
        <f>ROUND(ROUND(E1367,8)*F1367,4)</f>
        <v>17.4666</v>
      </c>
    </row>
    <row r="1368" customHeight="1" ht="18">
      <c r="A1368" s="2" t="inlineStr"/>
      <c r="B1368" s="2" t="inlineStr"/>
      <c r="C1368" s="2" t="inlineStr"/>
      <c r="D1368" s="2" t="inlineStr"/>
      <c r="E1368" s="26" t="inlineStr">
        <is>
          <r>
            <t xml:space="preserve">TOTAL Equipamento Custo Horário:</t>
          </r>
        </is>
      </c>
      <c r="F1368" s="26" t="inlineStr"/>
      <c r="G1368" s="31" t="n">
        <f>SUM(G1367:G1367)</f>
        <v>17.4666</v>
      </c>
    </row>
    <row r="1369" customHeight="1" ht="15">
      <c r="A1369" s="20" t="inlineStr">
        <is>
          <r>
            <t xml:space="preserve">Material</t>
          </r>
        </is>
      </c>
      <c r="B1369" s="20" t="inlineStr"/>
      <c r="C1369" s="21" t="inlineStr">
        <is>
          <r>
            <t xml:space="preserve">FONTE</t>
          </r>
        </is>
      </c>
      <c r="D1369" s="21" t="inlineStr">
        <is>
          <r>
            <t xml:space="preserve">UNID</t>
          </r>
        </is>
      </c>
      <c r="E1369" s="21" t="inlineStr">
        <is>
          <r>
            <t xml:space="preserve">COEFICIENTE</t>
          </r>
        </is>
      </c>
      <c r="F1369" s="21" t="inlineStr">
        <is>
          <r>
            <t xml:space="preserve">PREÇO UNITÁRIO</t>
          </r>
        </is>
      </c>
      <c r="G1369" s="21" t="inlineStr">
        <is>
          <r>
            <t xml:space="preserve">TOTAL</t>
          </r>
        </is>
      </c>
    </row>
    <row r="1370" customHeight="1" ht="15">
      <c r="A1370" s="22" t="inlineStr">
        <is>
          <r>
            <t xml:space="preserve">I0109</t>
          </r>
        </is>
      </c>
      <c r="B1370" s="23" t="inlineStr">
        <is>
          <r>
            <t xml:space="preserve">AREIA MEDIA</t>
          </r>
        </is>
      </c>
      <c r="C1370" s="22" t="inlineStr">
        <is>
          <r>
            <t xml:space="preserve">SEINFRA</t>
          </r>
        </is>
      </c>
      <c r="D1370" s="22" t="inlineStr">
        <is>
          <r>
            <t xml:space="preserve">M3</t>
          </r>
        </is>
      </c>
      <c r="E1370" s="24" t="n">
        <v>0.0182</v>
      </c>
      <c r="F1370" s="30" t="n">
        <v>83.58</v>
      </c>
      <c r="G1370" s="30" t="n">
        <f>ROUND(ROUND(E1370,8)*F1370,4)</f>
        <v>1.5212</v>
      </c>
    </row>
    <row r="1371" customHeight="1" ht="15">
      <c r="A1371" s="22" t="inlineStr">
        <is>
          <r>
            <t xml:space="preserve">I0805</t>
          </r>
        </is>
      </c>
      <c r="B1371" s="23" t="inlineStr">
        <is>
          <r>
            <t xml:space="preserve">CIMENTO PORTLAND</t>
          </r>
        </is>
      </c>
      <c r="C1371" s="22" t="inlineStr">
        <is>
          <r>
            <t xml:space="preserve">SEINFRA</t>
          </r>
        </is>
      </c>
      <c r="D1371" s="22" t="inlineStr">
        <is>
          <r>
            <t xml:space="preserve">KG</t>
          </r>
        </is>
      </c>
      <c r="E1371" s="24" t="n">
        <v>7.29</v>
      </c>
      <c r="F1371" s="30" t="n">
        <v>0.71</v>
      </c>
      <c r="G1371" s="30" t="n">
        <f>ROUND(ROUND(E1371,8)*F1371,4)</f>
        <v>5.1759</v>
      </c>
    </row>
    <row r="1372" customHeight="1" ht="21">
      <c r="A1372" s="22" t="inlineStr">
        <is>
          <r>
            <t xml:space="preserve">I2183</t>
          </r>
        </is>
      </c>
      <c r="B1372" s="23" t="inlineStr">
        <is>
          <r>
            <t xml:space="preserve">TUBO CONCRETO ARMADO, CLASSE PA-1, DN=1000MM (NBR 8890:2018)</t>
          </r>
        </is>
      </c>
      <c r="C1372" s="22" t="inlineStr">
        <is>
          <r>
            <t xml:space="preserve">SEINFRA</t>
          </r>
        </is>
      </c>
      <c r="D1372" s="22" t="inlineStr">
        <is>
          <r>
            <t xml:space="preserve">M</t>
          </r>
        </is>
      </c>
      <c r="E1372" s="24" t="n">
        <v>1.02</v>
      </c>
      <c r="F1372" s="30" t="n">
        <v>419.02</v>
      </c>
      <c r="G1372" s="30" t="n">
        <f>ROUND(ROUND(E1372,8)*F1372,4)</f>
        <v>427.4004</v>
      </c>
    </row>
    <row r="1373" customHeight="1" ht="15">
      <c r="A1373" s="2" t="inlineStr"/>
      <c r="B1373" s="2" t="inlineStr"/>
      <c r="C1373" s="2" t="inlineStr"/>
      <c r="D1373" s="2" t="inlineStr"/>
      <c r="E1373" s="26" t="inlineStr">
        <is>
          <r>
            <t xml:space="preserve">TOTAL Material:</t>
          </r>
        </is>
      </c>
      <c r="F1373" s="26" t="inlineStr"/>
      <c r="G1373" s="31" t="n">
        <f>SUM(G1370:G1372)</f>
        <v>434.0975</v>
      </c>
    </row>
    <row r="1374" customHeight="1" ht="15">
      <c r="A1374" s="20" t="inlineStr">
        <is>
          <r>
            <t xml:space="preserve">Mão de Obra</t>
          </r>
        </is>
      </c>
      <c r="B1374" s="20" t="inlineStr"/>
      <c r="C1374" s="21" t="inlineStr">
        <is>
          <r>
            <t xml:space="preserve">FONTE</t>
          </r>
        </is>
      </c>
      <c r="D1374" s="21" t="inlineStr">
        <is>
          <r>
            <t xml:space="preserve">UNID</t>
          </r>
        </is>
      </c>
      <c r="E1374" s="21" t="inlineStr">
        <is>
          <r>
            <t xml:space="preserve">COEFICIENTE</t>
          </r>
        </is>
      </c>
      <c r="F1374" s="21" t="inlineStr">
        <is>
          <r>
            <t xml:space="preserve">PREÇO UNITÁRIO</t>
          </r>
        </is>
      </c>
      <c r="G1374" s="21" t="inlineStr">
        <is>
          <r>
            <t xml:space="preserve">TOTAL</t>
          </r>
        </is>
      </c>
    </row>
    <row r="1375" customHeight="1" ht="15">
      <c r="A1375" s="22" t="inlineStr">
        <is>
          <r>
            <t xml:space="preserve">I2391</t>
          </r>
        </is>
      </c>
      <c r="B1375" s="23" t="inlineStr">
        <is>
          <r>
            <t xml:space="preserve">PEDREIRO</t>
          </r>
        </is>
      </c>
      <c r="C1375" s="22" t="inlineStr">
        <is>
          <r>
            <t xml:space="preserve">SEINFRA</t>
          </r>
        </is>
      </c>
      <c r="D1375" s="22" t="inlineStr">
        <is>
          <r>
            <t xml:space="preserve">H</t>
          </r>
        </is>
      </c>
      <c r="E1375" s="24" t="n">
        <v>1.4</v>
      </c>
      <c r="F1375" s="30" t="n">
        <v>24.16</v>
      </c>
      <c r="G1375" s="30" t="n">
        <f>ROUND(ROUND(E1375,8)*F1375,4)</f>
        <v>33.824</v>
      </c>
    </row>
    <row r="1376" customHeight="1" ht="15">
      <c r="A1376" s="22" t="inlineStr">
        <is>
          <r>
            <t xml:space="preserve">I2543</t>
          </r>
        </is>
      </c>
      <c r="B1376" s="23" t="inlineStr">
        <is>
          <r>
            <t xml:space="preserve">SERVENTE</t>
          </r>
        </is>
      </c>
      <c r="C1376" s="22" t="inlineStr">
        <is>
          <r>
            <t xml:space="preserve">SEINFRA</t>
          </r>
        </is>
      </c>
      <c r="D1376" s="22" t="inlineStr">
        <is>
          <r>
            <t xml:space="preserve">H</t>
          </r>
        </is>
      </c>
      <c r="E1376" s="24" t="n">
        <v>1.55</v>
      </c>
      <c r="F1376" s="30" t="n">
        <v>18.46</v>
      </c>
      <c r="G1376" s="30" t="n">
        <f>ROUND(ROUND(E1376,8)*F1376,4)</f>
        <v>28.613</v>
      </c>
    </row>
    <row r="1377" customHeight="1" ht="15">
      <c r="A1377" s="2" t="inlineStr"/>
      <c r="B1377" s="2" t="inlineStr"/>
      <c r="C1377" s="2" t="inlineStr"/>
      <c r="D1377" s="2" t="inlineStr"/>
      <c r="E1377" s="26" t="inlineStr">
        <is>
          <r>
            <t xml:space="preserve">TOTAL Mão de Obra:</t>
          </r>
        </is>
      </c>
      <c r="F1377" s="26" t="inlineStr"/>
      <c r="G1377" s="31" t="n">
        <f>SUM(G1375:G1376)</f>
        <v>62.437</v>
      </c>
    </row>
    <row r="1378" customHeight="1" ht="15">
      <c r="A1378" s="2" t="inlineStr"/>
      <c r="B1378" s="2" t="inlineStr"/>
      <c r="C1378" s="2" t="inlineStr"/>
      <c r="D1378" s="2" t="inlineStr"/>
      <c r="E1378" s="28" t="inlineStr">
        <is>
          <r>
            <t xml:space="preserve">VALOR:</t>
          </r>
        </is>
      </c>
      <c r="F1378" s="28" t="inlineStr"/>
      <c r="G1378" s="29" t="n">
        <f>ROUND(SUM(G1368,G1373,G1377),2)</f>
        <v>514.0</v>
      </c>
    </row>
    <row r="1379" customHeight="1" ht="15">
      <c r="A1379" s="2" t="inlineStr"/>
      <c r="B1379" s="2" t="inlineStr"/>
      <c r="C1379" s="2" t="inlineStr"/>
      <c r="D1379" s="2" t="inlineStr"/>
      <c r="E1379" s="28" t="inlineStr">
        <is>
          <r>
            <t xml:space="preserve">VALOR BDI:</t>
          </r>
        </is>
      </c>
      <c r="F1379" s="28" t="inlineStr"/>
      <c r="G1379" s="29" t="n">
        <f>ROUND(G1378*(0/100),2)</f>
        <v>0.0</v>
      </c>
    </row>
    <row r="1380" customHeight="1" ht="15">
      <c r="A1380" s="2" t="inlineStr"/>
      <c r="B1380" s="2" t="inlineStr"/>
      <c r="C1380" s="2" t="inlineStr"/>
      <c r="D1380" s="2" t="inlineStr"/>
      <c r="E1380" s="28" t="inlineStr">
        <is>
          <r>
            <t xml:space="preserve">VALOR COM BDI:</t>
          </r>
        </is>
      </c>
      <c r="F1380" s="28" t="inlineStr"/>
      <c r="G1380" s="29" t="n">
        <f>G1379+G1378</f>
        <v>514.0</v>
      </c>
    </row>
    <row r="1381" customHeight="1" ht="10">
      <c r="A1381" s="2" t="inlineStr"/>
      <c r="B1381" s="2" t="inlineStr"/>
      <c r="C1381" s="2" t="inlineStr"/>
      <c r="D1381" s="2" t="inlineStr"/>
      <c r="E1381" s="18" t="inlineStr"/>
      <c r="F1381" s="18" t="inlineStr"/>
      <c r="G1381" s="18" t="inlineStr"/>
    </row>
    <row r="1382" customHeight="1" ht="20">
      <c r="A1382" s="19" t="inlineStr">
        <is>
          <r>
            <t xml:space="preserve">1.6.1.12. ​I6061​ ANEL PRE-MOLDADO DE CONCRETO, D = 0,60M, H = 0,50M​ (UN)</t>
          </r>
        </is>
      </c>
      <c r="B1382" s="19" t="inlineStr"/>
      <c r="C1382" s="19" t="inlineStr"/>
      <c r="D1382" s="19" t="inlineStr"/>
      <c r="E1382" s="19" t="inlineStr"/>
      <c r="F1382" s="19" t="inlineStr"/>
      <c r="G1382" s="19" t="inlineStr"/>
    </row>
    <row r="1383" customHeight="1" ht="15">
      <c r="A1383" s="20" t="inlineStr">
        <is>
          <r>
            <t xml:space="preserve">Material</t>
          </r>
        </is>
      </c>
      <c r="B1383" s="20" t="inlineStr"/>
      <c r="C1383" s="21" t="inlineStr">
        <is>
          <r>
            <t xml:space="preserve">FONTE</t>
          </r>
        </is>
      </c>
      <c r="D1383" s="21" t="inlineStr">
        <is>
          <r>
            <t xml:space="preserve">UNID</t>
          </r>
        </is>
      </c>
      <c r="E1383" s="21" t="inlineStr">
        <is>
          <r>
            <t xml:space="preserve">COEFICIENTE</t>
          </r>
        </is>
      </c>
      <c r="F1383" s="21" t="inlineStr">
        <is>
          <r>
            <t xml:space="preserve">PREÇO UNITÁRIO</t>
          </r>
        </is>
      </c>
      <c r="G1383" s="21" t="inlineStr">
        <is>
          <r>
            <t xml:space="preserve">TOTAL</t>
          </r>
        </is>
      </c>
    </row>
    <row r="1384" customHeight="1" ht="15">
      <c r="A1384" s="22" t="inlineStr">
        <is>
          <r>
            <t xml:space="preserve">I6061</t>
          </r>
        </is>
      </c>
      <c r="B1384" s="23" t="inlineStr">
        <is>
          <r>
            <t xml:space="preserve">ANEL PRE-MOLDADO DE CONCRETO, D = 0,60M, H = 0,50M</t>
          </r>
        </is>
      </c>
      <c r="C1384" s="22" t="inlineStr">
        <is>
          <r>
            <t xml:space="preserve">SEINFRA</t>
          </r>
        </is>
      </c>
      <c r="D1384" s="22" t="inlineStr">
        <is>
          <r>
            <t xml:space="preserve">UN</t>
          </r>
        </is>
      </c>
      <c r="E1384" s="24" t="n">
        <v>1.0</v>
      </c>
      <c r="F1384" s="30" t="n">
        <v>55.98</v>
      </c>
      <c r="G1384" s="30" t="n">
        <f>ROUND(ROUND(E1384,8)*F1384,4)</f>
        <v>55.98</v>
      </c>
    </row>
    <row r="1385" customHeight="1" ht="15">
      <c r="A1385" s="2" t="inlineStr"/>
      <c r="B1385" s="2" t="inlineStr"/>
      <c r="C1385" s="2" t="inlineStr"/>
      <c r="D1385" s="2" t="inlineStr"/>
      <c r="E1385" s="26" t="inlineStr">
        <is>
          <r>
            <t xml:space="preserve">TOTAL Material:</t>
          </r>
        </is>
      </c>
      <c r="F1385" s="26" t="inlineStr"/>
      <c r="G1385" s="31" t="n">
        <f>SUM(G1384:G1384)</f>
        <v>55.98</v>
      </c>
    </row>
    <row r="1386" customHeight="1" ht="15">
      <c r="A1386" s="2" t="inlineStr"/>
      <c r="B1386" s="2" t="inlineStr"/>
      <c r="C1386" s="2" t="inlineStr"/>
      <c r="D1386" s="2" t="inlineStr"/>
      <c r="E1386" s="28" t="inlineStr">
        <is>
          <r>
            <t xml:space="preserve">VALOR:</t>
          </r>
        </is>
      </c>
      <c r="F1386" s="28" t="inlineStr"/>
      <c r="G1386" s="29" t="n">
        <f>ROUND(SUM(G1385),2)</f>
        <v>55.98</v>
      </c>
    </row>
    <row r="1387" customHeight="1" ht="15">
      <c r="A1387" s="2" t="inlineStr"/>
      <c r="B1387" s="2" t="inlineStr"/>
      <c r="C1387" s="2" t="inlineStr"/>
      <c r="D1387" s="2" t="inlineStr"/>
      <c r="E1387" s="28" t="inlineStr">
        <is>
          <r>
            <t xml:space="preserve">VALOR BDI:</t>
          </r>
        </is>
      </c>
      <c r="F1387" s="28" t="inlineStr"/>
      <c r="G1387" s="29" t="n">
        <f>ROUND(G1386*(0/100),2)</f>
        <v>0.0</v>
      </c>
    </row>
    <row r="1388" customHeight="1" ht="15">
      <c r="A1388" s="2" t="inlineStr"/>
      <c r="B1388" s="2" t="inlineStr"/>
      <c r="C1388" s="2" t="inlineStr"/>
      <c r="D1388" s="2" t="inlineStr"/>
      <c r="E1388" s="28" t="inlineStr">
        <is>
          <r>
            <t xml:space="preserve">VALOR COM BDI:</t>
          </r>
        </is>
      </c>
      <c r="F1388" s="28" t="inlineStr"/>
      <c r="G1388" s="29" t="n">
        <f>G1387+G1386</f>
        <v>55.98</v>
      </c>
    </row>
    <row r="1389" customHeight="1" ht="10">
      <c r="A1389" s="2" t="inlineStr"/>
      <c r="B1389" s="2" t="inlineStr"/>
      <c r="C1389" s="2" t="inlineStr"/>
      <c r="D1389" s="2" t="inlineStr"/>
      <c r="E1389" s="18" t="inlineStr"/>
      <c r="F1389" s="18" t="inlineStr"/>
      <c r="G1389" s="18" t="inlineStr"/>
    </row>
    <row r="1390" customHeight="1" ht="20">
      <c r="A1390" s="19" t="inlineStr">
        <is>
          <r>
            <t xml:space="preserve">1.6.1.13. ​P0600​ EXECUÇÃO DE CAIXA DE PASSAGEM PATA TUBO DE CONCRETO, DIÂMETRO ATÉ 0,60M​ (UND)</t>
          </r>
        </is>
      </c>
      <c r="B1390" s="19" t="inlineStr"/>
      <c r="C1390" s="19" t="inlineStr"/>
      <c r="D1390" s="19" t="inlineStr"/>
      <c r="E1390" s="19" t="inlineStr"/>
      <c r="F1390" s="19" t="inlineStr"/>
      <c r="G1390" s="19" t="inlineStr"/>
    </row>
    <row r="1391" customHeight="1" ht="15">
      <c r="A1391" s="20" t="inlineStr">
        <is>
          <r>
            <t xml:space="preserve">Material</t>
          </r>
        </is>
      </c>
      <c r="B1391" s="20" t="inlineStr"/>
      <c r="C1391" s="21" t="inlineStr">
        <is>
          <r>
            <t xml:space="preserve">FONTE</t>
          </r>
        </is>
      </c>
      <c r="D1391" s="21" t="inlineStr">
        <is>
          <r>
            <t xml:space="preserve">UNID</t>
          </r>
        </is>
      </c>
      <c r="E1391" s="21" t="inlineStr">
        <is>
          <r>
            <t xml:space="preserve">COEFICIENTE</t>
          </r>
        </is>
      </c>
      <c r="F1391" s="21" t="inlineStr">
        <is>
          <r>
            <t xml:space="preserve">PREÇO UNITÁRIO</t>
          </r>
        </is>
      </c>
      <c r="G1391" s="21" t="inlineStr">
        <is>
          <r>
            <t xml:space="preserve">TOTAL</t>
          </r>
        </is>
      </c>
    </row>
    <row r="1392" customHeight="1" ht="15">
      <c r="A1392" s="22" t="inlineStr">
        <is>
          <r>
            <t xml:space="preserve">I0163</t>
          </r>
        </is>
      </c>
      <c r="B1392" s="23" t="inlineStr">
        <is>
          <r>
            <t xml:space="preserve">AÇO CA-50</t>
          </r>
        </is>
      </c>
      <c r="C1392" s="22" t="inlineStr">
        <is>
          <r>
            <t xml:space="preserve">SEINFRA</t>
          </r>
        </is>
      </c>
      <c r="D1392" s="22" t="inlineStr">
        <is>
          <r>
            <t xml:space="preserve">KG</t>
          </r>
        </is>
      </c>
      <c r="E1392" s="24" t="n">
        <v>2.12</v>
      </c>
      <c r="F1392" s="25" t="n">
        <v>7.1</v>
      </c>
      <c r="G1392" s="25" t="n">
        <f>ROUND(ROUND(E1392,8)*F1392,2)</f>
        <v>15.05</v>
      </c>
    </row>
    <row r="1393" customHeight="1" ht="15">
      <c r="A1393" s="2" t="inlineStr"/>
      <c r="B1393" s="2" t="inlineStr"/>
      <c r="C1393" s="2" t="inlineStr"/>
      <c r="D1393" s="2" t="inlineStr"/>
      <c r="E1393" s="26" t="inlineStr">
        <is>
          <r>
            <t xml:space="preserve">TOTAL Material:</t>
          </r>
        </is>
      </c>
      <c r="F1393" s="26" t="inlineStr"/>
      <c r="G1393" s="27" t="n">
        <f>SUM(G1392:G1392)</f>
        <v>15.05</v>
      </c>
    </row>
    <row r="1394" customHeight="1" ht="15">
      <c r="A1394" s="20" t="inlineStr">
        <is>
          <r>
            <t xml:space="preserve">Serviço</t>
          </r>
        </is>
      </c>
      <c r="B1394" s="20" t="inlineStr"/>
      <c r="C1394" s="21" t="inlineStr">
        <is>
          <r>
            <t xml:space="preserve">FONTE</t>
          </r>
        </is>
      </c>
      <c r="D1394" s="21" t="inlineStr">
        <is>
          <r>
            <t xml:space="preserve">UNID</t>
          </r>
        </is>
      </c>
      <c r="E1394" s="21" t="inlineStr">
        <is>
          <r>
            <t xml:space="preserve">COEFICIENTE</t>
          </r>
        </is>
      </c>
      <c r="F1394" s="21" t="inlineStr">
        <is>
          <r>
            <t xml:space="preserve">PREÇO UNITÁRIO</t>
          </r>
        </is>
      </c>
      <c r="G1394" s="21" t="inlineStr">
        <is>
          <r>
            <t xml:space="preserve">TOTAL</t>
          </r>
        </is>
      </c>
    </row>
    <row r="1395" customHeight="1" ht="21">
      <c r="A1395" s="22" t="inlineStr">
        <is>
          <r>
            <t xml:space="preserve">C3743</t>
          </r>
        </is>
      </c>
      <c r="B1395" s="23" t="inlineStr">
        <is>
          <r>
            <t xml:space="preserve">ALVENARIA DE BLOCO DE CONCRETO (9x19x39)cm C/ARGAMASSA MISTA DE CAL HIDRATADA ESP=9 cm</t>
          </r>
        </is>
      </c>
      <c r="C1395" s="22" t="inlineStr">
        <is>
          <r>
            <t xml:space="preserve">SEINFRA</t>
          </r>
        </is>
      </c>
      <c r="D1395" s="22" t="inlineStr">
        <is>
          <r>
            <t xml:space="preserve">M2</t>
          </r>
        </is>
      </c>
      <c r="E1395" s="24" t="n">
        <v>4.8</v>
      </c>
      <c r="F1395" s="25" t="n">
        <v>64.53</v>
      </c>
      <c r="G1395" s="25" t="n">
        <f>ROUND(ROUND(E1395,8)*F1395,2)</f>
        <v>309.74</v>
      </c>
    </row>
    <row r="1396" customHeight="1" ht="21">
      <c r="A1396" s="22" t="inlineStr">
        <is>
          <r>
            <t xml:space="preserve">C0838</t>
          </r>
        </is>
      </c>
      <c r="B1396" s="23" t="inlineStr">
        <is>
          <r>
            <t xml:space="preserve">CONCRETO P/VIBR., FCK 10 MPa COM AGREGADO ADQUIRIDO</t>
          </r>
        </is>
      </c>
      <c r="C1396" s="22" t="inlineStr">
        <is>
          <r>
            <t xml:space="preserve">SEINFRA</t>
          </r>
        </is>
      </c>
      <c r="D1396" s="22" t="inlineStr">
        <is>
          <r>
            <t xml:space="preserve">M3</t>
          </r>
        </is>
      </c>
      <c r="E1396" s="24" t="n">
        <v>0.169</v>
      </c>
      <c r="F1396" s="25" t="n">
        <v>469.96</v>
      </c>
      <c r="G1396" s="25" t="n">
        <f>ROUND(ROUND(E1396,8)*F1396,2)</f>
        <v>79.42</v>
      </c>
    </row>
    <row r="1397" customHeight="1" ht="21">
      <c r="A1397" s="22" t="inlineStr">
        <is>
          <r>
            <t xml:space="preserve">C0842</t>
          </r>
        </is>
      </c>
      <c r="B1397" s="23" t="inlineStr">
        <is>
          <r>
            <t xml:space="preserve">CONCRETO P/VIBR., FCK 20 MPa COM AGREGADO ADQUIRIDO</t>
          </r>
        </is>
      </c>
      <c r="C1397" s="22" t="inlineStr">
        <is>
          <r>
            <t xml:space="preserve">SEINFRA</t>
          </r>
        </is>
      </c>
      <c r="D1397" s="22" t="inlineStr">
        <is>
          <r>
            <t xml:space="preserve">M3</t>
          </r>
        </is>
      </c>
      <c r="E1397" s="24" t="n">
        <v>0.121</v>
      </c>
      <c r="F1397" s="25" t="n">
        <v>522.58</v>
      </c>
      <c r="G1397" s="25" t="n">
        <f>ROUND(ROUND(E1397,8)*F1397,2)</f>
        <v>63.23</v>
      </c>
    </row>
    <row r="1398" customHeight="1" ht="15">
      <c r="A1398" s="22" t="inlineStr">
        <is>
          <r>
            <t xml:space="preserve">C4301</t>
          </r>
        </is>
      </c>
      <c r="B1398" s="23" t="inlineStr">
        <is>
          <r>
            <t xml:space="preserve">FORMA PARA CONCRETO "IN LOCO", INCLUSIVE DESFORMA</t>
          </r>
        </is>
      </c>
      <c r="C1398" s="22" t="inlineStr">
        <is>
          <r>
            <t xml:space="preserve">SEINFRA</t>
          </r>
        </is>
      </c>
      <c r="D1398" s="22" t="inlineStr">
        <is>
          <r>
            <t xml:space="preserve">M2</t>
          </r>
        </is>
      </c>
      <c r="E1398" s="24" t="n">
        <v>0.81</v>
      </c>
      <c r="F1398" s="25" t="n">
        <v>151.28</v>
      </c>
      <c r="G1398" s="25" t="n">
        <f>ROUND(ROUND(E1398,8)*F1398,2)</f>
        <v>122.54</v>
      </c>
    </row>
    <row r="1399" customHeight="1" ht="15">
      <c r="A1399" s="22" t="inlineStr">
        <is>
          <r>
            <t xml:space="preserve">C2860</t>
          </r>
        </is>
      </c>
      <c r="B1399" s="23" t="inlineStr">
        <is>
          <r>
            <t xml:space="preserve">LASTRO DE AREIA ADQUIRIDA</t>
          </r>
        </is>
      </c>
      <c r="C1399" s="22" t="inlineStr">
        <is>
          <r>
            <t xml:space="preserve">SEINFRA</t>
          </r>
        </is>
      </c>
      <c r="D1399" s="22" t="inlineStr">
        <is>
          <r>
            <t xml:space="preserve">M3</t>
          </r>
        </is>
      </c>
      <c r="E1399" s="24" t="n">
        <v>0.225</v>
      </c>
      <c r="F1399" s="25" t="n">
        <v>161.51</v>
      </c>
      <c r="G1399" s="25" t="n">
        <f>ROUND(ROUND(E1399,8)*F1399,2)</f>
        <v>36.34</v>
      </c>
    </row>
    <row r="1400" customHeight="1" ht="21">
      <c r="A1400" s="22" t="inlineStr">
        <is>
          <r>
            <t xml:space="preserve">C3408</t>
          </r>
        </is>
      </c>
      <c r="B1400" s="23" t="inlineStr">
        <is>
          <r>
            <t xml:space="preserve">REBOCO C/ ARGAMASSA DE CIMENTO E AREIA S/ PENEIRAR, TRAÇO 1:3</t>
          </r>
        </is>
      </c>
      <c r="C1400" s="22" t="inlineStr">
        <is>
          <r>
            <t xml:space="preserve">SEINFRA</t>
          </r>
        </is>
      </c>
      <c r="D1400" s="22" t="inlineStr">
        <is>
          <r>
            <t xml:space="preserve">M2</t>
          </r>
        </is>
      </c>
      <c r="E1400" s="24" t="n">
        <v>4.32</v>
      </c>
      <c r="F1400" s="25" t="n">
        <v>41.35</v>
      </c>
      <c r="G1400" s="25" t="n">
        <f>ROUND(ROUND(E1400,8)*F1400,2)</f>
        <v>178.63</v>
      </c>
    </row>
    <row r="1401" customHeight="1" ht="15">
      <c r="A1401" s="2" t="inlineStr"/>
      <c r="B1401" s="2" t="inlineStr"/>
      <c r="C1401" s="2" t="inlineStr"/>
      <c r="D1401" s="2" t="inlineStr"/>
      <c r="E1401" s="26" t="inlineStr">
        <is>
          <r>
            <t xml:space="preserve">TOTAL Serviço:</t>
          </r>
        </is>
      </c>
      <c r="F1401" s="26" t="inlineStr"/>
      <c r="G1401" s="27" t="n">
        <f>SUM(G1395:G1400)</f>
        <v>789.9</v>
      </c>
    </row>
    <row r="1402" customHeight="1" ht="15">
      <c r="A1402" s="2" t="inlineStr"/>
      <c r="B1402" s="2" t="inlineStr"/>
      <c r="C1402" s="2" t="inlineStr"/>
      <c r="D1402" s="2" t="inlineStr"/>
      <c r="E1402" s="28" t="inlineStr">
        <is>
          <r>
            <t xml:space="preserve">VALOR:</t>
          </r>
        </is>
      </c>
      <c r="F1402" s="28" t="inlineStr"/>
      <c r="G1402" s="29" t="n">
        <f>ROUND(SUM(G1393,G1401),2)</f>
        <v>804.95</v>
      </c>
    </row>
    <row r="1403" customHeight="1" ht="15">
      <c r="A1403" s="2" t="inlineStr"/>
      <c r="B1403" s="2" t="inlineStr"/>
      <c r="C1403" s="2" t="inlineStr"/>
      <c r="D1403" s="2" t="inlineStr"/>
      <c r="E1403" s="28" t="inlineStr">
        <is>
          <r>
            <t xml:space="preserve">VALOR BDI:</t>
          </r>
        </is>
      </c>
      <c r="F1403" s="28" t="inlineStr"/>
      <c r="G1403" s="29" t="n">
        <f>ROUND(G1402*(0/100),2)</f>
        <v>0.0</v>
      </c>
    </row>
    <row r="1404" customHeight="1" ht="15">
      <c r="A1404" s="2" t="inlineStr"/>
      <c r="B1404" s="2" t="inlineStr"/>
      <c r="C1404" s="2" t="inlineStr"/>
      <c r="D1404" s="2" t="inlineStr"/>
      <c r="E1404" s="28" t="inlineStr">
        <is>
          <r>
            <t xml:space="preserve">VALOR COM BDI:</t>
          </r>
        </is>
      </c>
      <c r="F1404" s="28" t="inlineStr"/>
      <c r="G1404" s="29" t="n">
        <f>G1403+G1402</f>
        <v>804.95</v>
      </c>
    </row>
    <row r="1405" customHeight="1" ht="10">
      <c r="A1405" s="2" t="inlineStr"/>
      <c r="B1405" s="2" t="inlineStr"/>
      <c r="C1405" s="2" t="inlineStr"/>
      <c r="D1405" s="2" t="inlineStr"/>
      <c r="E1405" s="18" t="inlineStr"/>
      <c r="F1405" s="18" t="inlineStr"/>
      <c r="G1405" s="18" t="inlineStr"/>
    </row>
    <row r="1406" customHeight="1" ht="20">
      <c r="A1406" s="19" t="inlineStr">
        <is>
          <r>
            <t xml:space="preserve">1.6.1.14. ​P0601​ EXECUÇÃO DE CAIXA DE PASSAGEM PARA TUBO DE CONCRETO, DIÂMETRO DE 0,80M​ (UND)</t>
          </r>
        </is>
      </c>
      <c r="B1406" s="19" t="inlineStr"/>
      <c r="C1406" s="19" t="inlineStr"/>
      <c r="D1406" s="19" t="inlineStr"/>
      <c r="E1406" s="19" t="inlineStr"/>
      <c r="F1406" s="19" t="inlineStr"/>
      <c r="G1406" s="19" t="inlineStr"/>
    </row>
    <row r="1407" customHeight="1" ht="15">
      <c r="A1407" s="20" t="inlineStr">
        <is>
          <r>
            <t xml:space="preserve">Material</t>
          </r>
        </is>
      </c>
      <c r="B1407" s="20" t="inlineStr"/>
      <c r="C1407" s="21" t="inlineStr">
        <is>
          <r>
            <t xml:space="preserve">FONTE</t>
          </r>
        </is>
      </c>
      <c r="D1407" s="21" t="inlineStr">
        <is>
          <r>
            <t xml:space="preserve">UNID</t>
          </r>
        </is>
      </c>
      <c r="E1407" s="21" t="inlineStr">
        <is>
          <r>
            <t xml:space="preserve">COEFICIENTE</t>
          </r>
        </is>
      </c>
      <c r="F1407" s="21" t="inlineStr">
        <is>
          <r>
            <t xml:space="preserve">PREÇO UNITÁRIO</t>
          </r>
        </is>
      </c>
      <c r="G1407" s="21" t="inlineStr">
        <is>
          <r>
            <t xml:space="preserve">TOTAL</t>
          </r>
        </is>
      </c>
    </row>
    <row r="1408" customHeight="1" ht="15">
      <c r="A1408" s="22" t="inlineStr">
        <is>
          <r>
            <t xml:space="preserve">I0163</t>
          </r>
        </is>
      </c>
      <c r="B1408" s="23" t="inlineStr">
        <is>
          <r>
            <t xml:space="preserve">AÇO CA-50</t>
          </r>
        </is>
      </c>
      <c r="C1408" s="22" t="inlineStr">
        <is>
          <r>
            <t xml:space="preserve">SEINFRA</t>
          </r>
        </is>
      </c>
      <c r="D1408" s="22" t="inlineStr">
        <is>
          <r>
            <t xml:space="preserve">KG</t>
          </r>
        </is>
      </c>
      <c r="E1408" s="24" t="n">
        <v>4.38</v>
      </c>
      <c r="F1408" s="25" t="n">
        <v>7.1</v>
      </c>
      <c r="G1408" s="25" t="n">
        <f>ROUND(ROUND(E1408,8)*F1408,2)</f>
        <v>31.1</v>
      </c>
    </row>
    <row r="1409" customHeight="1" ht="15">
      <c r="A1409" s="2" t="inlineStr"/>
      <c r="B1409" s="2" t="inlineStr"/>
      <c r="C1409" s="2" t="inlineStr"/>
      <c r="D1409" s="2" t="inlineStr"/>
      <c r="E1409" s="26" t="inlineStr">
        <is>
          <r>
            <t xml:space="preserve">TOTAL Material:</t>
          </r>
        </is>
      </c>
      <c r="F1409" s="26" t="inlineStr"/>
      <c r="G1409" s="27" t="n">
        <f>SUM(G1408:G1408)</f>
        <v>31.1</v>
      </c>
    </row>
    <row r="1410" customHeight="1" ht="15">
      <c r="A1410" s="20" t="inlineStr">
        <is>
          <r>
            <t xml:space="preserve">Serviço</t>
          </r>
        </is>
      </c>
      <c r="B1410" s="20" t="inlineStr"/>
      <c r="C1410" s="21" t="inlineStr">
        <is>
          <r>
            <t xml:space="preserve">FONTE</t>
          </r>
        </is>
      </c>
      <c r="D1410" s="21" t="inlineStr">
        <is>
          <r>
            <t xml:space="preserve">UNID</t>
          </r>
        </is>
      </c>
      <c r="E1410" s="21" t="inlineStr">
        <is>
          <r>
            <t xml:space="preserve">COEFICIENTE</t>
          </r>
        </is>
      </c>
      <c r="F1410" s="21" t="inlineStr">
        <is>
          <r>
            <t xml:space="preserve">PREÇO UNITÁRIO</t>
          </r>
        </is>
      </c>
      <c r="G1410" s="21" t="inlineStr">
        <is>
          <r>
            <t xml:space="preserve">TOTAL</t>
          </r>
        </is>
      </c>
    </row>
    <row r="1411" customHeight="1" ht="21">
      <c r="A1411" s="22" t="inlineStr">
        <is>
          <r>
            <t xml:space="preserve">C3743</t>
          </r>
        </is>
      </c>
      <c r="B1411" s="23" t="inlineStr">
        <is>
          <r>
            <t xml:space="preserve">ALVENARIA DE BLOCO DE CONCRETO (9x19x39)cm C/ARGAMASSA MISTA DE CAL HIDRATADA ESP=9 cm</t>
          </r>
        </is>
      </c>
      <c r="C1411" s="22" t="inlineStr">
        <is>
          <r>
            <t xml:space="preserve">SEINFRA</t>
          </r>
        </is>
      </c>
      <c r="D1411" s="22" t="inlineStr">
        <is>
          <r>
            <t xml:space="preserve">M2</t>
          </r>
        </is>
      </c>
      <c r="E1411" s="24" t="n">
        <v>5.54</v>
      </c>
      <c r="F1411" s="25" t="n">
        <v>64.53</v>
      </c>
      <c r="G1411" s="25" t="n">
        <f>ROUND(ROUND(E1411,8)*F1411,2)</f>
        <v>357.5</v>
      </c>
    </row>
    <row r="1412" customHeight="1" ht="21">
      <c r="A1412" s="22" t="inlineStr">
        <is>
          <r>
            <t xml:space="preserve">C0838</t>
          </r>
        </is>
      </c>
      <c r="B1412" s="23" t="inlineStr">
        <is>
          <r>
            <t xml:space="preserve">CONCRETO P/VIBR., FCK 10 MPa COM AGREGADO ADQUIRIDO</t>
          </r>
        </is>
      </c>
      <c r="C1412" s="22" t="inlineStr">
        <is>
          <r>
            <t xml:space="preserve">SEINFRA</t>
          </r>
        </is>
      </c>
      <c r="D1412" s="22" t="inlineStr">
        <is>
          <r>
            <t xml:space="preserve">M3</t>
          </r>
        </is>
      </c>
      <c r="E1412" s="24" t="n">
        <v>0.289</v>
      </c>
      <c r="F1412" s="25" t="n">
        <v>469.96</v>
      </c>
      <c r="G1412" s="25" t="n">
        <f>ROUND(ROUND(E1412,8)*F1412,2)</f>
        <v>135.82</v>
      </c>
    </row>
    <row r="1413" customHeight="1" ht="21">
      <c r="A1413" s="22" t="inlineStr">
        <is>
          <r>
            <t xml:space="preserve">C0842</t>
          </r>
        </is>
      </c>
      <c r="B1413" s="23" t="inlineStr">
        <is>
          <r>
            <t xml:space="preserve">CONCRETO P/VIBR., FCK 20 MPa COM AGREGADO ADQUIRIDO</t>
          </r>
        </is>
      </c>
      <c r="C1413" s="22" t="inlineStr">
        <is>
          <r>
            <t xml:space="preserve">SEINFRA</t>
          </r>
        </is>
      </c>
      <c r="D1413" s="22" t="inlineStr">
        <is>
          <r>
            <t xml:space="preserve">M3</t>
          </r>
        </is>
      </c>
      <c r="E1413" s="24" t="n">
        <v>0.225</v>
      </c>
      <c r="F1413" s="25" t="n">
        <v>522.58</v>
      </c>
      <c r="G1413" s="25" t="n">
        <f>ROUND(ROUND(E1413,8)*F1413,2)</f>
        <v>117.58</v>
      </c>
    </row>
    <row r="1414" customHeight="1" ht="15">
      <c r="A1414" s="22" t="inlineStr">
        <is>
          <r>
            <t xml:space="preserve">C4301</t>
          </r>
        </is>
      </c>
      <c r="B1414" s="23" t="inlineStr">
        <is>
          <r>
            <t xml:space="preserve">FORMA PARA CONCRETO "IN LOCO", INCLUSIVE DESFORMA</t>
          </r>
        </is>
      </c>
      <c r="C1414" s="22" t="inlineStr">
        <is>
          <r>
            <t xml:space="preserve">SEINFRA</t>
          </r>
        </is>
      </c>
      <c r="D1414" s="22" t="inlineStr">
        <is>
          <r>
            <t xml:space="preserve">M2</t>
          </r>
        </is>
      </c>
      <c r="E1414" s="24" t="n">
        <v>1.21</v>
      </c>
      <c r="F1414" s="25" t="n">
        <v>151.28</v>
      </c>
      <c r="G1414" s="25" t="n">
        <f>ROUND(ROUND(E1414,8)*F1414,2)</f>
        <v>183.05</v>
      </c>
    </row>
    <row r="1415" customHeight="1" ht="15">
      <c r="A1415" s="22" t="inlineStr">
        <is>
          <r>
            <t xml:space="preserve">C2860</t>
          </r>
        </is>
      </c>
      <c r="B1415" s="23" t="inlineStr">
        <is>
          <r>
            <t xml:space="preserve">LASTRO DE AREIA ADQUIRIDA</t>
          </r>
        </is>
      </c>
      <c r="C1415" s="22" t="inlineStr">
        <is>
          <r>
            <t xml:space="preserve">SEINFRA</t>
          </r>
        </is>
      </c>
      <c r="D1415" s="22" t="inlineStr">
        <is>
          <r>
            <t xml:space="preserve">M3</t>
          </r>
        </is>
      </c>
      <c r="E1415" s="24" t="n">
        <v>0.361</v>
      </c>
      <c r="F1415" s="25" t="n">
        <v>161.51</v>
      </c>
      <c r="G1415" s="25" t="n">
        <f>ROUND(ROUND(E1415,8)*F1415,2)</f>
        <v>58.31</v>
      </c>
    </row>
    <row r="1416" customHeight="1" ht="21">
      <c r="A1416" s="22" t="inlineStr">
        <is>
          <r>
            <t xml:space="preserve">C3408</t>
          </r>
        </is>
      </c>
      <c r="B1416" s="23" t="inlineStr">
        <is>
          <r>
            <t xml:space="preserve">REBOCO C/ ARGAMASSA DE CIMENTO E AREIA S/ PENEIRAR, TRAÇO 1:3</t>
          </r>
        </is>
      </c>
      <c r="C1416" s="22" t="inlineStr">
        <is>
          <r>
            <t xml:space="preserve">SEINFRA</t>
          </r>
        </is>
      </c>
      <c r="D1416" s="22" t="inlineStr">
        <is>
          <r>
            <t xml:space="preserve">M2</t>
          </r>
        </is>
      </c>
      <c r="E1416" s="24" t="n">
        <v>4.986</v>
      </c>
      <c r="F1416" s="25" t="n">
        <v>41.35</v>
      </c>
      <c r="G1416" s="25" t="n">
        <f>ROUND(ROUND(E1416,8)*F1416,2)</f>
        <v>206.17</v>
      </c>
    </row>
    <row r="1417" customHeight="1" ht="15">
      <c r="A1417" s="2" t="inlineStr"/>
      <c r="B1417" s="2" t="inlineStr"/>
      <c r="C1417" s="2" t="inlineStr"/>
      <c r="D1417" s="2" t="inlineStr"/>
      <c r="E1417" s="26" t="inlineStr">
        <is>
          <r>
            <t xml:space="preserve">TOTAL Serviço:</t>
          </r>
        </is>
      </c>
      <c r="F1417" s="26" t="inlineStr"/>
      <c r="G1417" s="27" t="n">
        <f>SUM(G1411:G1416)</f>
        <v>1058.43</v>
      </c>
    </row>
    <row r="1418" customHeight="1" ht="15">
      <c r="A1418" s="2" t="inlineStr"/>
      <c r="B1418" s="2" t="inlineStr"/>
      <c r="C1418" s="2" t="inlineStr"/>
      <c r="D1418" s="2" t="inlineStr"/>
      <c r="E1418" s="28" t="inlineStr">
        <is>
          <r>
            <t xml:space="preserve">VALOR:</t>
          </r>
        </is>
      </c>
      <c r="F1418" s="28" t="inlineStr"/>
      <c r="G1418" s="29" t="n">
        <f>ROUND(SUM(G1409,G1417),2)</f>
        <v>1089.53</v>
      </c>
    </row>
    <row r="1419" customHeight="1" ht="15">
      <c r="A1419" s="2" t="inlineStr"/>
      <c r="B1419" s="2" t="inlineStr"/>
      <c r="C1419" s="2" t="inlineStr"/>
      <c r="D1419" s="2" t="inlineStr"/>
      <c r="E1419" s="28" t="inlineStr">
        <is>
          <r>
            <t xml:space="preserve">VALOR BDI:</t>
          </r>
        </is>
      </c>
      <c r="F1419" s="28" t="inlineStr"/>
      <c r="G1419" s="29" t="n">
        <f>ROUND(G1418*(0/100),2)</f>
        <v>0.0</v>
      </c>
    </row>
    <row r="1420" customHeight="1" ht="15">
      <c r="A1420" s="2" t="inlineStr"/>
      <c r="B1420" s="2" t="inlineStr"/>
      <c r="C1420" s="2" t="inlineStr"/>
      <c r="D1420" s="2" t="inlineStr"/>
      <c r="E1420" s="28" t="inlineStr">
        <is>
          <r>
            <t xml:space="preserve">VALOR COM BDI:</t>
          </r>
        </is>
      </c>
      <c r="F1420" s="28" t="inlineStr"/>
      <c r="G1420" s="29" t="n">
        <f>G1419+G1418</f>
        <v>1089.53</v>
      </c>
    </row>
    <row r="1421" customHeight="1" ht="10">
      <c r="A1421" s="2" t="inlineStr"/>
      <c r="B1421" s="2" t="inlineStr"/>
      <c r="C1421" s="2" t="inlineStr"/>
      <c r="D1421" s="2" t="inlineStr"/>
      <c r="E1421" s="18" t="inlineStr"/>
      <c r="F1421" s="18" t="inlineStr"/>
      <c r="G1421" s="18" t="inlineStr"/>
    </row>
    <row r="1422" customHeight="1" ht="20">
      <c r="A1422" s="19" t="inlineStr">
        <is>
          <r>
            <t xml:space="preserve">1.6.1.15. ​P0602 ​ EXECUÇÃO DE CAIXA DE PASSAGEM PARA TUBO DE CONCRETO, DIÂMETRO DE 1,00M​ (UND)</t>
          </r>
        </is>
      </c>
      <c r="B1422" s="19" t="inlineStr"/>
      <c r="C1422" s="19" t="inlineStr"/>
      <c r="D1422" s="19" t="inlineStr"/>
      <c r="E1422" s="19" t="inlineStr"/>
      <c r="F1422" s="19" t="inlineStr"/>
      <c r="G1422" s="19" t="inlineStr"/>
    </row>
    <row r="1423" customHeight="1" ht="15">
      <c r="A1423" s="20" t="inlineStr">
        <is>
          <r>
            <t xml:space="preserve">Material</t>
          </r>
        </is>
      </c>
      <c r="B1423" s="20" t="inlineStr"/>
      <c r="C1423" s="21" t="inlineStr">
        <is>
          <r>
            <t xml:space="preserve">FONTE</t>
          </r>
        </is>
      </c>
      <c r="D1423" s="21" t="inlineStr">
        <is>
          <r>
            <t xml:space="preserve">UNID</t>
          </r>
        </is>
      </c>
      <c r="E1423" s="21" t="inlineStr">
        <is>
          <r>
            <t xml:space="preserve">COEFICIENTE</t>
          </r>
        </is>
      </c>
      <c r="F1423" s="21" t="inlineStr">
        <is>
          <r>
            <t xml:space="preserve">PREÇO UNITÁRIO</t>
          </r>
        </is>
      </c>
      <c r="G1423" s="21" t="inlineStr">
        <is>
          <r>
            <t xml:space="preserve">TOTAL</t>
          </r>
        </is>
      </c>
    </row>
    <row r="1424" customHeight="1" ht="15">
      <c r="A1424" s="22" t="inlineStr">
        <is>
          <r>
            <t xml:space="preserve">I0163</t>
          </r>
        </is>
      </c>
      <c r="B1424" s="23" t="inlineStr">
        <is>
          <r>
            <t xml:space="preserve">AÇO CA-50</t>
          </r>
        </is>
      </c>
      <c r="C1424" s="22" t="inlineStr">
        <is>
          <r>
            <t xml:space="preserve">SEINFRA</t>
          </r>
        </is>
      </c>
      <c r="D1424" s="22" t="inlineStr">
        <is>
          <r>
            <t xml:space="preserve">KG</t>
          </r>
        </is>
      </c>
      <c r="E1424" s="24" t="n">
        <v>110.0</v>
      </c>
      <c r="F1424" s="25" t="n">
        <v>7.1</v>
      </c>
      <c r="G1424" s="25" t="n">
        <f>ROUND(ROUND(E1424,8)*F1424,2)</f>
        <v>781.0</v>
      </c>
    </row>
    <row r="1425" customHeight="1" ht="15">
      <c r="A1425" s="2" t="inlineStr"/>
      <c r="B1425" s="2" t="inlineStr"/>
      <c r="C1425" s="2" t="inlineStr"/>
      <c r="D1425" s="2" t="inlineStr"/>
      <c r="E1425" s="26" t="inlineStr">
        <is>
          <r>
            <t xml:space="preserve">TOTAL Material:</t>
          </r>
        </is>
      </c>
      <c r="F1425" s="26" t="inlineStr"/>
      <c r="G1425" s="27" t="n">
        <f>SUM(G1424:G1424)</f>
        <v>781.0</v>
      </c>
    </row>
    <row r="1426" customHeight="1" ht="15">
      <c r="A1426" s="20" t="inlineStr">
        <is>
          <r>
            <t xml:space="preserve">Serviço</t>
          </r>
        </is>
      </c>
      <c r="B1426" s="20" t="inlineStr"/>
      <c r="C1426" s="21" t="inlineStr">
        <is>
          <r>
            <t xml:space="preserve">FONTE</t>
          </r>
        </is>
      </c>
      <c r="D1426" s="21" t="inlineStr">
        <is>
          <r>
            <t xml:space="preserve">UNID</t>
          </r>
        </is>
      </c>
      <c r="E1426" s="21" t="inlineStr">
        <is>
          <r>
            <t xml:space="preserve">COEFICIENTE</t>
          </r>
        </is>
      </c>
      <c r="F1426" s="21" t="inlineStr">
        <is>
          <r>
            <t xml:space="preserve">PREÇO UNITÁRIO</t>
          </r>
        </is>
      </c>
      <c r="G1426" s="21" t="inlineStr">
        <is>
          <r>
            <t xml:space="preserve">TOTAL</t>
          </r>
        </is>
      </c>
    </row>
    <row r="1427" customHeight="1" ht="21">
      <c r="A1427" s="22" t="inlineStr">
        <is>
          <r>
            <t xml:space="preserve">C0838</t>
          </r>
        </is>
      </c>
      <c r="B1427" s="23" t="inlineStr">
        <is>
          <r>
            <t xml:space="preserve">CONCRETO P/VIBR., FCK 10 MPa COM AGREGADO ADQUIRIDO</t>
          </r>
        </is>
      </c>
      <c r="C1427" s="22" t="inlineStr">
        <is>
          <r>
            <t xml:space="preserve">SEINFRA</t>
          </r>
        </is>
      </c>
      <c r="D1427" s="22" t="inlineStr">
        <is>
          <r>
            <t xml:space="preserve">M3</t>
          </r>
        </is>
      </c>
      <c r="E1427" s="24" t="n">
        <v>0.158</v>
      </c>
      <c r="F1427" s="25" t="n">
        <v>469.96</v>
      </c>
      <c r="G1427" s="25" t="n">
        <f>ROUND(ROUND(E1427,8)*F1427,2)</f>
        <v>74.25</v>
      </c>
    </row>
    <row r="1428" customHeight="1" ht="21">
      <c r="A1428" s="22" t="inlineStr">
        <is>
          <r>
            <t xml:space="preserve">C0842</t>
          </r>
        </is>
      </c>
      <c r="B1428" s="23" t="inlineStr">
        <is>
          <r>
            <t xml:space="preserve">CONCRETO P/VIBR., FCK 20 MPa COM AGREGADO ADQUIRIDO</t>
          </r>
        </is>
      </c>
      <c r="C1428" s="22" t="inlineStr">
        <is>
          <r>
            <t xml:space="preserve">SEINFRA</t>
          </r>
        </is>
      </c>
      <c r="D1428" s="22" t="inlineStr">
        <is>
          <r>
            <t xml:space="preserve">M3</t>
          </r>
        </is>
      </c>
      <c r="E1428" s="24" t="n">
        <v>1.92</v>
      </c>
      <c r="F1428" s="25" t="n">
        <v>522.58</v>
      </c>
      <c r="G1428" s="25" t="n">
        <f>ROUND(ROUND(E1428,8)*F1428,2)</f>
        <v>1003.35</v>
      </c>
    </row>
    <row r="1429" customHeight="1" ht="15">
      <c r="A1429" s="22" t="inlineStr">
        <is>
          <r>
            <t xml:space="preserve">C4301</t>
          </r>
        </is>
      </c>
      <c r="B1429" s="23" t="inlineStr">
        <is>
          <r>
            <t xml:space="preserve">FORMA PARA CONCRETO "IN LOCO", INCLUSIVE DESFORMA</t>
          </r>
        </is>
      </c>
      <c r="C1429" s="22" t="inlineStr">
        <is>
          <r>
            <t xml:space="preserve">SEINFRA</t>
          </r>
        </is>
      </c>
      <c r="D1429" s="22" t="inlineStr">
        <is>
          <r>
            <t xml:space="preserve">M2</t>
          </r>
        </is>
      </c>
      <c r="E1429" s="24" t="n">
        <v>28.93</v>
      </c>
      <c r="F1429" s="25" t="n">
        <v>151.28</v>
      </c>
      <c r="G1429" s="25" t="n">
        <f>ROUND(ROUND(E1429,8)*F1429,2)</f>
        <v>4376.53</v>
      </c>
    </row>
    <row r="1430" customHeight="1" ht="15">
      <c r="A1430" s="22" t="inlineStr">
        <is>
          <r>
            <t xml:space="preserve">C2860</t>
          </r>
        </is>
      </c>
      <c r="B1430" s="23" t="inlineStr">
        <is>
          <r>
            <t xml:space="preserve">LASTRO DE AREIA ADQUIRIDA</t>
          </r>
        </is>
      </c>
      <c r="C1430" s="22" t="inlineStr">
        <is>
          <r>
            <t xml:space="preserve">SEINFRA</t>
          </r>
        </is>
      </c>
      <c r="D1430" s="22" t="inlineStr">
        <is>
          <r>
            <t xml:space="preserve">M3</t>
          </r>
        </is>
      </c>
      <c r="E1430" s="24" t="n">
        <v>0.4</v>
      </c>
      <c r="F1430" s="25" t="n">
        <v>161.51</v>
      </c>
      <c r="G1430" s="25" t="n">
        <f>ROUND(ROUND(E1430,8)*F1430,2)</f>
        <v>64.6</v>
      </c>
    </row>
    <row r="1431" customHeight="1" ht="15">
      <c r="A1431" s="2" t="inlineStr"/>
      <c r="B1431" s="2" t="inlineStr"/>
      <c r="C1431" s="2" t="inlineStr"/>
      <c r="D1431" s="2" t="inlineStr"/>
      <c r="E1431" s="26" t="inlineStr">
        <is>
          <r>
            <t xml:space="preserve">TOTAL Serviço:</t>
          </r>
        </is>
      </c>
      <c r="F1431" s="26" t="inlineStr"/>
      <c r="G1431" s="27" t="n">
        <f>SUM(G1427:G1430)</f>
        <v>5518.73</v>
      </c>
    </row>
    <row r="1432" customHeight="1" ht="15">
      <c r="A1432" s="2" t="inlineStr"/>
      <c r="B1432" s="2" t="inlineStr"/>
      <c r="C1432" s="2" t="inlineStr"/>
      <c r="D1432" s="2" t="inlineStr"/>
      <c r="E1432" s="28" t="inlineStr">
        <is>
          <r>
            <t xml:space="preserve">VALOR:</t>
          </r>
        </is>
      </c>
      <c r="F1432" s="28" t="inlineStr"/>
      <c r="G1432" s="29" t="n">
        <f>ROUND(SUM(G1425,G1431),2)</f>
        <v>6299.73</v>
      </c>
    </row>
    <row r="1433" customHeight="1" ht="15">
      <c r="A1433" s="2" t="inlineStr"/>
      <c r="B1433" s="2" t="inlineStr"/>
      <c r="C1433" s="2" t="inlineStr"/>
      <c r="D1433" s="2" t="inlineStr"/>
      <c r="E1433" s="28" t="inlineStr">
        <is>
          <r>
            <t xml:space="preserve">VALOR BDI:</t>
          </r>
        </is>
      </c>
      <c r="F1433" s="28" t="inlineStr"/>
      <c r="G1433" s="29" t="n">
        <f>ROUND(G1432*(0/100),2)</f>
        <v>0.0</v>
      </c>
    </row>
    <row r="1434" customHeight="1" ht="15">
      <c r="A1434" s="2" t="inlineStr"/>
      <c r="B1434" s="2" t="inlineStr"/>
      <c r="C1434" s="2" t="inlineStr"/>
      <c r="D1434" s="2" t="inlineStr"/>
      <c r="E1434" s="28" t="inlineStr">
        <is>
          <r>
            <t xml:space="preserve">VALOR COM BDI:</t>
          </r>
        </is>
      </c>
      <c r="F1434" s="28" t="inlineStr"/>
      <c r="G1434" s="29" t="n">
        <f>G1433+G1432</f>
        <v>6299.73</v>
      </c>
    </row>
    <row r="1435" customHeight="1" ht="10">
      <c r="A1435" s="2" t="inlineStr"/>
      <c r="B1435" s="2" t="inlineStr"/>
      <c r="C1435" s="2" t="inlineStr"/>
      <c r="D1435" s="2" t="inlineStr"/>
      <c r="E1435" s="18" t="inlineStr"/>
      <c r="F1435" s="18" t="inlineStr"/>
      <c r="G1435" s="18" t="inlineStr"/>
    </row>
    <row r="1436" customHeight="1" ht="20">
      <c r="A1436" s="19" t="inlineStr">
        <is>
          <r>
            <t xml:space="preserve">1.6.1.16. ​P0492​ CARGA, DESCARGA MANUAL E TRANSPORTE DE PLACA DE CONCRETO, DISTÂNCIA DE ATÉ 5 KM​ (M3)</t>
          </r>
        </is>
      </c>
      <c r="B1436" s="19" t="inlineStr"/>
      <c r="C1436" s="19" t="inlineStr"/>
      <c r="D1436" s="19" t="inlineStr"/>
      <c r="E1436" s="19" t="inlineStr"/>
      <c r="F1436" s="19" t="inlineStr"/>
      <c r="G1436" s="19" t="inlineStr"/>
    </row>
    <row r="1437" customHeight="1" ht="15">
      <c r="A1437" s="20" t="inlineStr">
        <is>
          <r>
            <t xml:space="preserve">Equipamento Custo Horário</t>
          </r>
        </is>
      </c>
      <c r="B1437" s="20" t="inlineStr"/>
      <c r="C1437" s="21" t="inlineStr">
        <is>
          <r>
            <t xml:space="preserve">FONTE</t>
          </r>
        </is>
      </c>
      <c r="D1437" s="21" t="inlineStr">
        <is>
          <r>
            <t xml:space="preserve">UNID</t>
          </r>
        </is>
      </c>
      <c r="E1437" s="21" t="inlineStr">
        <is>
          <r>
            <t xml:space="preserve">COEFICIENTE</t>
          </r>
        </is>
      </c>
      <c r="F1437" s="21" t="inlineStr">
        <is>
          <r>
            <t xml:space="preserve">PREÇO UNITÁRIO</t>
          </r>
        </is>
      </c>
      <c r="G1437" s="21" t="inlineStr">
        <is>
          <r>
            <t xml:space="preserve">TOTAL</t>
          </r>
        </is>
      </c>
    </row>
    <row r="1438" customHeight="1" ht="15">
      <c r="A1438" s="22" t="inlineStr">
        <is>
          <r>
            <t xml:space="preserve">I0582</t>
          </r>
        </is>
      </c>
      <c r="B1438" s="23" t="inlineStr">
        <is>
          <r>
            <t xml:space="preserve">CAMINHÃO C/CARROCERIA DE MADEIRA HP 184 (CHI)</t>
          </r>
        </is>
      </c>
      <c r="C1438" s="22" t="inlineStr">
        <is>
          <r>
            <t xml:space="preserve">SEINFRA</t>
          </r>
        </is>
      </c>
      <c r="D1438" s="22" t="inlineStr">
        <is>
          <r>
            <t xml:space="preserve">H</t>
          </r>
        </is>
      </c>
      <c r="E1438" s="24" t="n">
        <v>0.231429</v>
      </c>
      <c r="F1438" s="25" t="n">
        <v>66.68</v>
      </c>
      <c r="G1438" s="25" t="n">
        <f>ROUND(ROUND(E1438,8)*F1438,2)</f>
        <v>15.43</v>
      </c>
    </row>
    <row r="1439" customHeight="1" ht="15">
      <c r="A1439" s="22" t="inlineStr">
        <is>
          <r>
            <t xml:space="preserve">I0693</t>
          </r>
        </is>
      </c>
      <c r="B1439" s="23" t="inlineStr">
        <is>
          <r>
            <t xml:space="preserve">CAMINHÃO C/CARROCERIA DE MADEIRA HP 184 (CHP)</t>
          </r>
        </is>
      </c>
      <c r="C1439" s="22" t="inlineStr">
        <is>
          <r>
            <t xml:space="preserve">SEINFRA</t>
          </r>
        </is>
      </c>
      <c r="D1439" s="22" t="inlineStr">
        <is>
          <r>
            <t xml:space="preserve">H</t>
          </r>
        </is>
      </c>
      <c r="E1439" s="24" t="n">
        <v>0.0542286</v>
      </c>
      <c r="F1439" s="25" t="n">
        <v>203.28</v>
      </c>
      <c r="G1439" s="25" t="n">
        <f>ROUND(ROUND(E1439,8)*F1439,2)</f>
        <v>11.02</v>
      </c>
    </row>
    <row r="1440" customHeight="1" ht="18">
      <c r="A1440" s="2" t="inlineStr"/>
      <c r="B1440" s="2" t="inlineStr"/>
      <c r="C1440" s="2" t="inlineStr"/>
      <c r="D1440" s="2" t="inlineStr"/>
      <c r="E1440" s="26" t="inlineStr">
        <is>
          <r>
            <t xml:space="preserve">TOTAL Equipamento Custo Horário:</t>
          </r>
        </is>
      </c>
      <c r="F1440" s="26" t="inlineStr"/>
      <c r="G1440" s="27" t="n">
        <f>SUM(G1438:G1439)</f>
        <v>26.45</v>
      </c>
    </row>
    <row r="1441" customHeight="1" ht="15">
      <c r="A1441" s="20" t="inlineStr">
        <is>
          <r>
            <t xml:space="preserve">Mão de Obra</t>
          </r>
        </is>
      </c>
      <c r="B1441" s="20" t="inlineStr"/>
      <c r="C1441" s="21" t="inlineStr">
        <is>
          <r>
            <t xml:space="preserve">FONTE</t>
          </r>
        </is>
      </c>
      <c r="D1441" s="21" t="inlineStr">
        <is>
          <r>
            <t xml:space="preserve">UNID</t>
          </r>
        </is>
      </c>
      <c r="E1441" s="21" t="inlineStr">
        <is>
          <r>
            <t xml:space="preserve">COEFICIENTE</t>
          </r>
        </is>
      </c>
      <c r="F1441" s="21" t="inlineStr">
        <is>
          <r>
            <t xml:space="preserve">PREÇO UNITÁRIO</t>
          </r>
        </is>
      </c>
      <c r="G1441" s="21" t="inlineStr">
        <is>
          <r>
            <t xml:space="preserve">TOTAL</t>
          </r>
        </is>
      </c>
    </row>
    <row r="1442" customHeight="1" ht="15">
      <c r="A1442" s="22" t="inlineStr">
        <is>
          <r>
            <t xml:space="preserve">I6815</t>
          </r>
        </is>
      </c>
      <c r="B1442" s="23" t="inlineStr">
        <is>
          <r>
            <t xml:space="preserve">ENCARREGADO DE TURMA / FEITOR</t>
          </r>
        </is>
      </c>
      <c r="C1442" s="22" t="inlineStr">
        <is>
          <r>
            <t xml:space="preserve">SEINFRA</t>
          </r>
        </is>
      </c>
      <c r="D1442" s="22" t="inlineStr">
        <is>
          <r>
            <t xml:space="preserve">H</t>
          </r>
        </is>
      </c>
      <c r="E1442" s="24" t="n">
        <v>1.0</v>
      </c>
      <c r="F1442" s="25" t="n">
        <v>29.13</v>
      </c>
      <c r="G1442" s="25" t="n">
        <f>ROUND(ROUND(E1442,8)*F1442,2)</f>
        <v>29.13</v>
      </c>
    </row>
    <row r="1443" customHeight="1" ht="15">
      <c r="A1443" s="22" t="inlineStr">
        <is>
          <r>
            <t xml:space="preserve">I2543</t>
          </r>
        </is>
      </c>
      <c r="B1443" s="23" t="inlineStr">
        <is>
          <r>
            <t xml:space="preserve">SERVENTE</t>
          </r>
        </is>
      </c>
      <c r="C1443" s="22" t="inlineStr">
        <is>
          <r>
            <t xml:space="preserve">SEINFRA</t>
          </r>
        </is>
      </c>
      <c r="D1443" s="22" t="inlineStr">
        <is>
          <r>
            <t xml:space="preserve">H</t>
          </r>
        </is>
      </c>
      <c r="E1443" s="24" t="n">
        <v>1.0</v>
      </c>
      <c r="F1443" s="25" t="n">
        <v>18.46</v>
      </c>
      <c r="G1443" s="25" t="n">
        <f>ROUND(ROUND(E1443,8)*F1443,2)</f>
        <v>18.46</v>
      </c>
    </row>
    <row r="1444" customHeight="1" ht="15">
      <c r="A1444" s="2" t="inlineStr"/>
      <c r="B1444" s="2" t="inlineStr"/>
      <c r="C1444" s="2" t="inlineStr"/>
      <c r="D1444" s="2" t="inlineStr"/>
      <c r="E1444" s="26" t="inlineStr">
        <is>
          <r>
            <t xml:space="preserve">TOTAL Mão de Obra:</t>
          </r>
        </is>
      </c>
      <c r="F1444" s="26" t="inlineStr"/>
      <c r="G1444" s="27" t="n">
        <f>SUM(G1442:G1443)</f>
        <v>47.59</v>
      </c>
    </row>
    <row r="1445" customHeight="1" ht="15">
      <c r="A1445" s="2" t="inlineStr"/>
      <c r="B1445" s="2" t="inlineStr"/>
      <c r="C1445" s="2" t="inlineStr"/>
      <c r="D1445" s="2" t="inlineStr"/>
      <c r="E1445" s="28" t="inlineStr">
        <is>
          <r>
            <t xml:space="preserve">VALOR:</t>
          </r>
        </is>
      </c>
      <c r="F1445" s="28" t="inlineStr"/>
      <c r="G1445" s="29" t="n">
        <f>ROUND(SUM(G1440,G1444),2)</f>
        <v>74.04</v>
      </c>
    </row>
    <row r="1446" customHeight="1" ht="15">
      <c r="A1446" s="2" t="inlineStr"/>
      <c r="B1446" s="2" t="inlineStr"/>
      <c r="C1446" s="2" t="inlineStr"/>
      <c r="D1446" s="2" t="inlineStr"/>
      <c r="E1446" s="28" t="inlineStr">
        <is>
          <r>
            <t xml:space="preserve">VALOR BDI:</t>
          </r>
        </is>
      </c>
      <c r="F1446" s="28" t="inlineStr"/>
      <c r="G1446" s="29" t="n">
        <f>ROUND(G1445*(0/100),2)</f>
        <v>0.0</v>
      </c>
    </row>
    <row r="1447" customHeight="1" ht="15">
      <c r="A1447" s="2" t="inlineStr"/>
      <c r="B1447" s="2" t="inlineStr"/>
      <c r="C1447" s="2" t="inlineStr"/>
      <c r="D1447" s="2" t="inlineStr"/>
      <c r="E1447" s="28" t="inlineStr">
        <is>
          <r>
            <t xml:space="preserve">VALOR COM BDI:</t>
          </r>
        </is>
      </c>
      <c r="F1447" s="28" t="inlineStr"/>
      <c r="G1447" s="29" t="n">
        <f>G1446+G1445</f>
        <v>74.04</v>
      </c>
    </row>
    <row r="1448" customHeight="1" ht="10">
      <c r="A1448" s="2" t="inlineStr"/>
      <c r="B1448" s="2" t="inlineStr"/>
      <c r="C1448" s="2" t="inlineStr"/>
      <c r="D1448" s="2" t="inlineStr"/>
      <c r="E1448" s="18" t="inlineStr"/>
      <c r="F1448" s="18" t="inlineStr"/>
      <c r="G1448" s="18" t="inlineStr"/>
    </row>
    <row r="1449" customHeight="1" ht="20">
      <c r="A1449" s="19" t="inlineStr">
        <is>
          <r>
            <t xml:space="preserve">1.6.1.17. ​I1931​ TAMPÃO FERRO FUNDIDO PARA POÇO DE VISITA T-170​ (UN)</t>
          </r>
        </is>
      </c>
      <c r="B1449" s="19" t="inlineStr"/>
      <c r="C1449" s="19" t="inlineStr"/>
      <c r="D1449" s="19" t="inlineStr"/>
      <c r="E1449" s="19" t="inlineStr"/>
      <c r="F1449" s="19" t="inlineStr"/>
      <c r="G1449" s="19" t="inlineStr"/>
    </row>
    <row r="1450" customHeight="1" ht="15">
      <c r="A1450" s="20" t="inlineStr">
        <is>
          <r>
            <t xml:space="preserve">Material</t>
          </r>
        </is>
      </c>
      <c r="B1450" s="20" t="inlineStr"/>
      <c r="C1450" s="21" t="inlineStr">
        <is>
          <r>
            <t xml:space="preserve">FONTE</t>
          </r>
        </is>
      </c>
      <c r="D1450" s="21" t="inlineStr">
        <is>
          <r>
            <t xml:space="preserve">UNID</t>
          </r>
        </is>
      </c>
      <c r="E1450" s="21" t="inlineStr">
        <is>
          <r>
            <t xml:space="preserve">COEFICIENTE</t>
          </r>
        </is>
      </c>
      <c r="F1450" s="21" t="inlineStr">
        <is>
          <r>
            <t xml:space="preserve">PREÇO UNITÁRIO</t>
          </r>
        </is>
      </c>
      <c r="G1450" s="21" t="inlineStr">
        <is>
          <r>
            <t xml:space="preserve">TOTAL</t>
          </r>
        </is>
      </c>
    </row>
    <row r="1451" customHeight="1" ht="15">
      <c r="A1451" s="22" t="inlineStr">
        <is>
          <r>
            <t xml:space="preserve">I1931</t>
          </r>
        </is>
      </c>
      <c r="B1451" s="23" t="inlineStr">
        <is>
          <r>
            <t xml:space="preserve">TAMPÃO FERRO FUNDIDO PARA POÇO DE VISITA T-170</t>
          </r>
        </is>
      </c>
      <c r="C1451" s="22" t="inlineStr">
        <is>
          <r>
            <t xml:space="preserve">SEINFRA</t>
          </r>
        </is>
      </c>
      <c r="D1451" s="22" t="inlineStr">
        <is>
          <r>
            <t xml:space="preserve">UN</t>
          </r>
        </is>
      </c>
      <c r="E1451" s="24" t="n">
        <v>1.0</v>
      </c>
      <c r="F1451" s="30" t="n">
        <v>1105.63</v>
      </c>
      <c r="G1451" s="30" t="n">
        <f>ROUND(ROUND(E1451,8)*F1451,4)</f>
        <v>1105.63</v>
      </c>
    </row>
    <row r="1452" customHeight="1" ht="15">
      <c r="A1452" s="2" t="inlineStr"/>
      <c r="B1452" s="2" t="inlineStr"/>
      <c r="C1452" s="2" t="inlineStr"/>
      <c r="D1452" s="2" t="inlineStr"/>
      <c r="E1452" s="26" t="inlineStr">
        <is>
          <r>
            <t xml:space="preserve">TOTAL Material:</t>
          </r>
        </is>
      </c>
      <c r="F1452" s="26" t="inlineStr"/>
      <c r="G1452" s="31" t="n">
        <f>SUM(G1451:G1451)</f>
        <v>1105.63</v>
      </c>
    </row>
    <row r="1453" customHeight="1" ht="15">
      <c r="A1453" s="2" t="inlineStr"/>
      <c r="B1453" s="2" t="inlineStr"/>
      <c r="C1453" s="2" t="inlineStr"/>
      <c r="D1453" s="2" t="inlineStr"/>
      <c r="E1453" s="28" t="inlineStr">
        <is>
          <r>
            <t xml:space="preserve">VALOR:</t>
          </r>
        </is>
      </c>
      <c r="F1453" s="28" t="inlineStr"/>
      <c r="G1453" s="29" t="n">
        <f>ROUND(SUM(G1452),2)</f>
        <v>1105.63</v>
      </c>
    </row>
    <row r="1454" customHeight="1" ht="15">
      <c r="A1454" s="2" t="inlineStr"/>
      <c r="B1454" s="2" t="inlineStr"/>
      <c r="C1454" s="2" t="inlineStr"/>
      <c r="D1454" s="2" t="inlineStr"/>
      <c r="E1454" s="28" t="inlineStr">
        <is>
          <r>
            <t xml:space="preserve">VALOR BDI:</t>
          </r>
        </is>
      </c>
      <c r="F1454" s="28" t="inlineStr"/>
      <c r="G1454" s="29" t="n">
        <f>ROUND(G1453*(0/100),2)</f>
        <v>0.0</v>
      </c>
    </row>
    <row r="1455" customHeight="1" ht="15">
      <c r="A1455" s="2" t="inlineStr"/>
      <c r="B1455" s="2" t="inlineStr"/>
      <c r="C1455" s="2" t="inlineStr"/>
      <c r="D1455" s="2" t="inlineStr"/>
      <c r="E1455" s="28" t="inlineStr">
        <is>
          <r>
            <t xml:space="preserve">VALOR COM BDI:</t>
          </r>
        </is>
      </c>
      <c r="F1455" s="28" t="inlineStr"/>
      <c r="G1455" s="29" t="n">
        <f>G1454+G1453</f>
        <v>1105.63</v>
      </c>
    </row>
    <row r="1456" customHeight="1" ht="10">
      <c r="A1456" s="2" t="inlineStr"/>
      <c r="B1456" s="2" t="inlineStr"/>
      <c r="C1456" s="2" t="inlineStr"/>
      <c r="D1456" s="2" t="inlineStr"/>
      <c r="E1456" s="18" t="inlineStr"/>
      <c r="F1456" s="18" t="inlineStr"/>
      <c r="G1456" s="18" t="inlineStr"/>
    </row>
    <row r="1457" customHeight="1" ht="20">
      <c r="A1457" s="19" t="inlineStr">
        <is>
          <r>
            <t xml:space="preserve">1.6.1.18. ​P0493​ ROMPIMENTO DE TUBO DE CONCRETO, Ø DE 300 A 600 MM​ (UN)</t>
          </r>
        </is>
      </c>
      <c r="B1457" s="19" t="inlineStr"/>
      <c r="C1457" s="19" t="inlineStr"/>
      <c r="D1457" s="19" t="inlineStr"/>
      <c r="E1457" s="19" t="inlineStr"/>
      <c r="F1457" s="19" t="inlineStr"/>
      <c r="G1457" s="19" t="inlineStr"/>
    </row>
    <row r="1458" customHeight="1" ht="15">
      <c r="A1458" s="20" t="inlineStr">
        <is>
          <r>
            <t xml:space="preserve">Equipamento</t>
          </r>
        </is>
      </c>
      <c r="B1458" s="20" t="inlineStr"/>
      <c r="C1458" s="21" t="inlineStr">
        <is>
          <r>
            <t xml:space="preserve">FONTE</t>
          </r>
        </is>
      </c>
      <c r="D1458" s="21" t="inlineStr">
        <is>
          <r>
            <t xml:space="preserve">UNID</t>
          </r>
        </is>
      </c>
      <c r="E1458" s="21" t="inlineStr">
        <is>
          <r>
            <t xml:space="preserve">COEFICIENTE</t>
          </r>
        </is>
      </c>
      <c r="F1458" s="21" t="inlineStr">
        <is>
          <r>
            <t xml:space="preserve">PREÇO UNITÁRIO</t>
          </r>
        </is>
      </c>
      <c r="G1458" s="21" t="inlineStr">
        <is>
          <r>
            <t xml:space="preserve">TOTAL</t>
          </r>
        </is>
      </c>
    </row>
    <row r="1459" customHeight="1" ht="21">
      <c r="A1459" s="22" t="inlineStr">
        <is>
          <r>
            <t xml:space="preserve">3174-HI-NOVACAP</t>
          </r>
        </is>
      </c>
      <c r="B1459" s="23" t="inlineStr">
        <is>
          <r>
            <t xml:space="preserve">PRENSA ELÉTRICA, 100 T (CHP)</t>
          </r>
        </is>
      </c>
      <c r="C1459" s="22" t="inlineStr">
        <is>
          <r>
            <t xml:space="preserve">Composições </t>
          </r>
        </is>
      </c>
      <c r="D1459" s="22" t="inlineStr">
        <is>
          <r>
            <t xml:space="preserve">CHP</t>
          </r>
        </is>
      </c>
      <c r="E1459" s="24" t="n">
        <v>0.9</v>
      </c>
      <c r="F1459" s="25" t="n">
        <v>27.22</v>
      </c>
      <c r="G1459" s="25" t="n">
        <f>ROUND(ROUND(E1459,8)*F1459,2)</f>
        <v>24.5</v>
      </c>
    </row>
    <row r="1460" customHeight="1" ht="21">
      <c r="A1460" s="22" t="inlineStr">
        <is>
          <r>
            <t xml:space="preserve">3174-HI-NOVACAP;</t>
          </r>
        </is>
      </c>
      <c r="B1460" s="23" t="inlineStr">
        <is>
          <r>
            <t xml:space="preserve">PRENSA ELÉTRICA, 100 T</t>
          </r>
        </is>
      </c>
      <c r="C1460" s="22" t="inlineStr">
        <is>
          <r>
            <t xml:space="preserve">Composições </t>
          </r>
        </is>
      </c>
      <c r="D1460" s="22" t="inlineStr">
        <is>
          <r>
            <t xml:space="preserve">H</t>
          </r>
        </is>
      </c>
      <c r="E1460" s="24" t="n">
        <v>0.1</v>
      </c>
      <c r="F1460" s="25" t="n">
        <v>29.38</v>
      </c>
      <c r="G1460" s="25" t="n">
        <f>ROUND(ROUND(E1460,8)*F1460,2)</f>
        <v>2.94</v>
      </c>
    </row>
    <row r="1461" customHeight="1" ht="15">
      <c r="A1461" s="2" t="inlineStr"/>
      <c r="B1461" s="2" t="inlineStr"/>
      <c r="C1461" s="2" t="inlineStr"/>
      <c r="D1461" s="2" t="inlineStr"/>
      <c r="E1461" s="26" t="inlineStr">
        <is>
          <r>
            <t xml:space="preserve">TOTAL Equipamento:</t>
          </r>
        </is>
      </c>
      <c r="F1461" s="26" t="inlineStr"/>
      <c r="G1461" s="27" t="n">
        <f>SUM(G1459:G1460)</f>
        <v>27.44</v>
      </c>
    </row>
    <row r="1462" customHeight="1" ht="15">
      <c r="A1462" s="20" t="inlineStr">
        <is>
          <r>
            <t xml:space="preserve">Equipamento Custo Horário</t>
          </r>
        </is>
      </c>
      <c r="B1462" s="20" t="inlineStr"/>
      <c r="C1462" s="21" t="inlineStr">
        <is>
          <r>
            <t xml:space="preserve">FONTE</t>
          </r>
        </is>
      </c>
      <c r="D1462" s="21" t="inlineStr">
        <is>
          <r>
            <t xml:space="preserve">UNID</t>
          </r>
        </is>
      </c>
      <c r="E1462" s="21" t="inlineStr">
        <is>
          <r>
            <t xml:space="preserve">COEFICIENTE</t>
          </r>
        </is>
      </c>
      <c r="F1462" s="21" t="inlineStr">
        <is>
          <r>
            <t xml:space="preserve">PREÇO UNITÁRIO</t>
          </r>
        </is>
      </c>
      <c r="G1462" s="21" t="inlineStr">
        <is>
          <r>
            <t xml:space="preserve">TOTAL</t>
          </r>
        </is>
      </c>
    </row>
    <row r="1463" customHeight="1" ht="15">
      <c r="A1463" s="22" t="inlineStr">
        <is>
          <r>
            <t xml:space="preserve">I0594</t>
          </r>
        </is>
      </c>
      <c r="B1463" s="23" t="inlineStr">
        <is>
          <r>
            <t xml:space="preserve">CARREGADEIRA DE PNEUS HP 111 (CHI)</t>
          </r>
        </is>
      </c>
      <c r="C1463" s="22" t="inlineStr">
        <is>
          <r>
            <t xml:space="preserve">SEINFRA</t>
          </r>
        </is>
      </c>
      <c r="D1463" s="22" t="inlineStr">
        <is>
          <r>
            <t xml:space="preserve">H</t>
          </r>
        </is>
      </c>
      <c r="E1463" s="24" t="n">
        <v>0.95</v>
      </c>
      <c r="F1463" s="25" t="n">
        <v>84.41</v>
      </c>
      <c r="G1463" s="25" t="n">
        <f>ROUND(ROUND(E1463,8)*F1463,2)</f>
        <v>80.19</v>
      </c>
    </row>
    <row r="1464" customHeight="1" ht="15">
      <c r="A1464" s="22" t="inlineStr">
        <is>
          <r>
            <t xml:space="preserve">I0708</t>
          </r>
        </is>
      </c>
      <c r="B1464" s="23" t="inlineStr">
        <is>
          <r>
            <t xml:space="preserve">CARREGADEIRA DE PNEUS HP 111 (CHP)</t>
          </r>
        </is>
      </c>
      <c r="C1464" s="22" t="inlineStr">
        <is>
          <r>
            <t xml:space="preserve">SEINFRA</t>
          </r>
        </is>
      </c>
      <c r="D1464" s="22" t="inlineStr">
        <is>
          <r>
            <t xml:space="preserve">H</t>
          </r>
        </is>
      </c>
      <c r="E1464" s="24" t="n">
        <v>0.05</v>
      </c>
      <c r="F1464" s="25" t="n">
        <v>229.84</v>
      </c>
      <c r="G1464" s="25" t="n">
        <f>ROUND(ROUND(E1464,8)*F1464,2)</f>
        <v>11.49</v>
      </c>
    </row>
    <row r="1465" customHeight="1" ht="18">
      <c r="A1465" s="2" t="inlineStr"/>
      <c r="B1465" s="2" t="inlineStr"/>
      <c r="C1465" s="2" t="inlineStr"/>
      <c r="D1465" s="2" t="inlineStr"/>
      <c r="E1465" s="26" t="inlineStr">
        <is>
          <r>
            <t xml:space="preserve">TOTAL Equipamento Custo Horário:</t>
          </r>
        </is>
      </c>
      <c r="F1465" s="26" t="inlineStr"/>
      <c r="G1465" s="27" t="n">
        <f>SUM(G1463:G1464)</f>
        <v>91.68</v>
      </c>
    </row>
    <row r="1466" customHeight="1" ht="15">
      <c r="A1466" s="20" t="inlineStr">
        <is>
          <r>
            <t xml:space="preserve">Mão de Obra</t>
          </r>
        </is>
      </c>
      <c r="B1466" s="20" t="inlineStr"/>
      <c r="C1466" s="21" t="inlineStr">
        <is>
          <r>
            <t xml:space="preserve">FONTE</t>
          </r>
        </is>
      </c>
      <c r="D1466" s="21" t="inlineStr">
        <is>
          <r>
            <t xml:space="preserve">UNID</t>
          </r>
        </is>
      </c>
      <c r="E1466" s="21" t="inlineStr">
        <is>
          <r>
            <t xml:space="preserve">COEFICIENTE</t>
          </r>
        </is>
      </c>
      <c r="F1466" s="21" t="inlineStr">
        <is>
          <r>
            <t xml:space="preserve">PREÇO UNITÁRIO</t>
          </r>
        </is>
      </c>
      <c r="G1466" s="21" t="inlineStr">
        <is>
          <r>
            <t xml:space="preserve">TOTAL</t>
          </r>
        </is>
      </c>
    </row>
    <row r="1467" customHeight="1" ht="15">
      <c r="A1467" s="22" t="inlineStr">
        <is>
          <r>
            <t xml:space="preserve">I2543</t>
          </r>
        </is>
      </c>
      <c r="B1467" s="23" t="inlineStr">
        <is>
          <r>
            <t xml:space="preserve">SERVENTE</t>
          </r>
        </is>
      </c>
      <c r="C1467" s="22" t="inlineStr">
        <is>
          <r>
            <t xml:space="preserve">SEINFRA</t>
          </r>
        </is>
      </c>
      <c r="D1467" s="22" t="inlineStr">
        <is>
          <r>
            <t xml:space="preserve">H</t>
          </r>
        </is>
      </c>
      <c r="E1467" s="24" t="n">
        <v>2.0</v>
      </c>
      <c r="F1467" s="25" t="n">
        <v>18.46</v>
      </c>
      <c r="G1467" s="25" t="n">
        <f>ROUND(ROUND(E1467,8)*F1467,2)</f>
        <v>36.92</v>
      </c>
    </row>
    <row r="1468" customHeight="1" ht="15">
      <c r="A1468" s="2" t="inlineStr"/>
      <c r="B1468" s="2" t="inlineStr"/>
      <c r="C1468" s="2" t="inlineStr"/>
      <c r="D1468" s="2" t="inlineStr"/>
      <c r="E1468" s="26" t="inlineStr">
        <is>
          <r>
            <t xml:space="preserve">TOTAL Mão de Obra:</t>
          </r>
        </is>
      </c>
      <c r="F1468" s="26" t="inlineStr"/>
      <c r="G1468" s="27" t="n">
        <f>SUM(G1467:G1467)</f>
        <v>36.92</v>
      </c>
    </row>
    <row r="1469" customHeight="1" ht="15">
      <c r="A1469" s="20" t="inlineStr">
        <is>
          <r>
            <t xml:space="preserve">Mão de Obra com Encargos Complementares</t>
          </r>
        </is>
      </c>
      <c r="B1469" s="20" t="inlineStr"/>
      <c r="C1469" s="21" t="inlineStr">
        <is>
          <r>
            <t xml:space="preserve">FONTE</t>
          </r>
        </is>
      </c>
      <c r="D1469" s="21" t="inlineStr">
        <is>
          <r>
            <t xml:space="preserve">UNID</t>
          </r>
        </is>
      </c>
      <c r="E1469" s="21" t="inlineStr">
        <is>
          <r>
            <t xml:space="preserve">COEFICIENTE</t>
          </r>
        </is>
      </c>
      <c r="F1469" s="21" t="inlineStr">
        <is>
          <r>
            <t xml:space="preserve">PREÇO UNITÁRIO</t>
          </r>
        </is>
      </c>
      <c r="G1469" s="21" t="inlineStr">
        <is>
          <r>
            <t xml:space="preserve">TOTAL</t>
          </r>
        </is>
      </c>
    </row>
    <row r="1470" customHeight="1" ht="21">
      <c r="A1470" s="22" t="inlineStr">
        <is>
          <r>
            <t xml:space="preserve">88321</t>
          </r>
        </is>
      </c>
      <c r="B1470" s="23" t="inlineStr">
        <is>
          <r>
            <t xml:space="preserve">TÉCNICO DE LABORATÓRIO COM ENCARGOS COMPLEMENTARES</t>
          </r>
        </is>
      </c>
      <c r="C1470" s="22" t="inlineStr">
        <is>
          <r>
            <t xml:space="preserve">SINAPI</t>
          </r>
        </is>
      </c>
      <c r="D1470" s="22" t="inlineStr">
        <is>
          <r>
            <t xml:space="preserve">H</t>
          </r>
        </is>
      </c>
      <c r="E1470" s="24" t="n">
        <v>1.0</v>
      </c>
      <c r="F1470" s="25" t="n">
        <v>32.11</v>
      </c>
      <c r="G1470" s="25" t="n">
        <f>ROUND(ROUND(E1470,8)*F1470,2)</f>
        <v>32.11</v>
      </c>
    </row>
    <row r="1471" customHeight="1" ht="18">
      <c r="A1471" s="2" t="inlineStr"/>
      <c r="B1471" s="2" t="inlineStr"/>
      <c r="C1471" s="2" t="inlineStr"/>
      <c r="D1471" s="2" t="inlineStr"/>
      <c r="E1471" s="26" t="inlineStr">
        <is>
          <r>
            <t xml:space="preserve">TOTAL Mão de Obra com Encargos Complementares:</t>
          </r>
        </is>
      </c>
      <c r="F1471" s="26" t="inlineStr"/>
      <c r="G1471" s="27" t="n">
        <f>SUM(G1470:G1470)</f>
        <v>32.11</v>
      </c>
    </row>
    <row r="1472" customHeight="1" ht="15">
      <c r="A1472" s="2" t="inlineStr"/>
      <c r="B1472" s="2" t="inlineStr"/>
      <c r="C1472" s="2" t="inlineStr"/>
      <c r="D1472" s="2" t="inlineStr"/>
      <c r="E1472" s="28" t="inlineStr">
        <is>
          <r>
            <t xml:space="preserve">VALOR:</t>
          </r>
        </is>
      </c>
      <c r="F1472" s="28" t="inlineStr"/>
      <c r="G1472" s="29" t="n">
        <f>ROUND(SUM(G1461,G1465,G1468,G1471),2)</f>
        <v>188.15</v>
      </c>
    </row>
    <row r="1473" customHeight="1" ht="15">
      <c r="A1473" s="2" t="inlineStr"/>
      <c r="B1473" s="2" t="inlineStr"/>
      <c r="C1473" s="2" t="inlineStr"/>
      <c r="D1473" s="2" t="inlineStr"/>
      <c r="E1473" s="28" t="inlineStr">
        <is>
          <r>
            <t xml:space="preserve">VALOR BDI:</t>
          </r>
        </is>
      </c>
      <c r="F1473" s="28" t="inlineStr"/>
      <c r="G1473" s="29" t="n">
        <f>ROUND(G1472*(0/100),2)</f>
        <v>0.0</v>
      </c>
    </row>
    <row r="1474" customHeight="1" ht="15">
      <c r="A1474" s="2" t="inlineStr"/>
      <c r="B1474" s="2" t="inlineStr"/>
      <c r="C1474" s="2" t="inlineStr"/>
      <c r="D1474" s="2" t="inlineStr"/>
      <c r="E1474" s="28" t="inlineStr">
        <is>
          <r>
            <t xml:space="preserve">VALOR COM BDI:</t>
          </r>
        </is>
      </c>
      <c r="F1474" s="28" t="inlineStr"/>
      <c r="G1474" s="29" t="n">
        <f>G1473+G1472</f>
        <v>188.15</v>
      </c>
    </row>
    <row r="1475" customHeight="1" ht="10">
      <c r="A1475" s="2" t="inlineStr"/>
      <c r="B1475" s="2" t="inlineStr"/>
      <c r="C1475" s="2" t="inlineStr"/>
      <c r="D1475" s="2" t="inlineStr"/>
      <c r="E1475" s="18" t="inlineStr"/>
      <c r="F1475" s="18" t="inlineStr"/>
      <c r="G1475" s="18" t="inlineStr"/>
    </row>
    <row r="1476" customHeight="1" ht="20">
      <c r="A1476" s="19" t="inlineStr">
        <is>
          <r>
            <t xml:space="preserve">1.6.1.19. ​P0494​ ROMPIMENTO DE TUBO DE CONCRETO, Ø DE 800 A 1500 MM​ (UN)</t>
          </r>
        </is>
      </c>
      <c r="B1476" s="19" t="inlineStr"/>
      <c r="C1476" s="19" t="inlineStr"/>
      <c r="D1476" s="19" t="inlineStr"/>
      <c r="E1476" s="19" t="inlineStr"/>
      <c r="F1476" s="19" t="inlineStr"/>
      <c r="G1476" s="19" t="inlineStr"/>
    </row>
    <row r="1477" customHeight="1" ht="15">
      <c r="A1477" s="20" t="inlineStr">
        <is>
          <r>
            <t xml:space="preserve">Equipamento</t>
          </r>
        </is>
      </c>
      <c r="B1477" s="20" t="inlineStr"/>
      <c r="C1477" s="21" t="inlineStr">
        <is>
          <r>
            <t xml:space="preserve">FONTE</t>
          </r>
        </is>
      </c>
      <c r="D1477" s="21" t="inlineStr">
        <is>
          <r>
            <t xml:space="preserve">UNID</t>
          </r>
        </is>
      </c>
      <c r="E1477" s="21" t="inlineStr">
        <is>
          <r>
            <t xml:space="preserve">COEFICIENTE</t>
          </r>
        </is>
      </c>
      <c r="F1477" s="21" t="inlineStr">
        <is>
          <r>
            <t xml:space="preserve">PREÇO UNITÁRIO</t>
          </r>
        </is>
      </c>
      <c r="G1477" s="21" t="inlineStr">
        <is>
          <r>
            <t xml:space="preserve">TOTAL</t>
          </r>
        </is>
      </c>
    </row>
    <row r="1478" customHeight="1" ht="21">
      <c r="A1478" s="22" t="inlineStr">
        <is>
          <r>
            <t xml:space="preserve">3174-HI-NOVACAP</t>
          </r>
        </is>
      </c>
      <c r="B1478" s="23" t="inlineStr">
        <is>
          <r>
            <t xml:space="preserve">PRENSA ELÉTRICA, 100 T (CHP)</t>
          </r>
        </is>
      </c>
      <c r="C1478" s="22" t="inlineStr">
        <is>
          <r>
            <t xml:space="preserve">Composições </t>
          </r>
        </is>
      </c>
      <c r="D1478" s="22" t="inlineStr">
        <is>
          <r>
            <t xml:space="preserve">CHP</t>
          </r>
        </is>
      </c>
      <c r="E1478" s="24" t="n">
        <v>0.7</v>
      </c>
      <c r="F1478" s="25" t="n">
        <v>27.22</v>
      </c>
      <c r="G1478" s="25" t="n">
        <f>ROUND(ROUND(E1478,8)*F1478,2)</f>
        <v>19.05</v>
      </c>
    </row>
    <row r="1479" customHeight="1" ht="21">
      <c r="A1479" s="22" t="inlineStr">
        <is>
          <r>
            <t xml:space="preserve">3174-HI-NOVACAP;</t>
          </r>
        </is>
      </c>
      <c r="B1479" s="23" t="inlineStr">
        <is>
          <r>
            <t xml:space="preserve">PRENSA ELÉTRICA, 100 T</t>
          </r>
        </is>
      </c>
      <c r="C1479" s="22" t="inlineStr">
        <is>
          <r>
            <t xml:space="preserve">Composições </t>
          </r>
        </is>
      </c>
      <c r="D1479" s="22" t="inlineStr">
        <is>
          <r>
            <t xml:space="preserve">H</t>
          </r>
        </is>
      </c>
      <c r="E1479" s="24" t="n">
        <v>0.3</v>
      </c>
      <c r="F1479" s="25" t="n">
        <v>29.38</v>
      </c>
      <c r="G1479" s="25" t="n">
        <f>ROUND(ROUND(E1479,8)*F1479,2)</f>
        <v>8.81</v>
      </c>
    </row>
    <row r="1480" customHeight="1" ht="15">
      <c r="A1480" s="2" t="inlineStr"/>
      <c r="B1480" s="2" t="inlineStr"/>
      <c r="C1480" s="2" t="inlineStr"/>
      <c r="D1480" s="2" t="inlineStr"/>
      <c r="E1480" s="26" t="inlineStr">
        <is>
          <r>
            <t xml:space="preserve">TOTAL Equipamento:</t>
          </r>
        </is>
      </c>
      <c r="F1480" s="26" t="inlineStr"/>
      <c r="G1480" s="27" t="n">
        <f>SUM(G1478:G1479)</f>
        <v>27.86</v>
      </c>
    </row>
    <row r="1481" customHeight="1" ht="15">
      <c r="A1481" s="20" t="inlineStr">
        <is>
          <r>
            <t xml:space="preserve">Equipamento Custo Horário</t>
          </r>
        </is>
      </c>
      <c r="B1481" s="20" t="inlineStr"/>
      <c r="C1481" s="21" t="inlineStr">
        <is>
          <r>
            <t xml:space="preserve">FONTE</t>
          </r>
        </is>
      </c>
      <c r="D1481" s="21" t="inlineStr">
        <is>
          <r>
            <t xml:space="preserve">UNID</t>
          </r>
        </is>
      </c>
      <c r="E1481" s="21" t="inlineStr">
        <is>
          <r>
            <t xml:space="preserve">COEFICIENTE</t>
          </r>
        </is>
      </c>
      <c r="F1481" s="21" t="inlineStr">
        <is>
          <r>
            <t xml:space="preserve">PREÇO UNITÁRIO</t>
          </r>
        </is>
      </c>
      <c r="G1481" s="21" t="inlineStr">
        <is>
          <r>
            <t xml:space="preserve">TOTAL</t>
          </r>
        </is>
      </c>
    </row>
    <row r="1482" customHeight="1" ht="15">
      <c r="A1482" s="22" t="inlineStr">
        <is>
          <r>
            <t xml:space="preserve">I0594</t>
          </r>
        </is>
      </c>
      <c r="B1482" s="23" t="inlineStr">
        <is>
          <r>
            <t xml:space="preserve">CARREGADEIRA DE PNEUS HP 111 (CHI)</t>
          </r>
        </is>
      </c>
      <c r="C1482" s="22" t="inlineStr">
        <is>
          <r>
            <t xml:space="preserve">SEINFRA</t>
          </r>
        </is>
      </c>
      <c r="D1482" s="22" t="inlineStr">
        <is>
          <r>
            <t xml:space="preserve">H</t>
          </r>
        </is>
      </c>
      <c r="E1482" s="24" t="n">
        <v>0.9</v>
      </c>
      <c r="F1482" s="25" t="n">
        <v>84.41</v>
      </c>
      <c r="G1482" s="25" t="n">
        <f>ROUND(ROUND(E1482,8)*F1482,2)</f>
        <v>75.97</v>
      </c>
    </row>
    <row r="1483" customHeight="1" ht="15">
      <c r="A1483" s="22" t="inlineStr">
        <is>
          <r>
            <t xml:space="preserve">I0708</t>
          </r>
        </is>
      </c>
      <c r="B1483" s="23" t="inlineStr">
        <is>
          <r>
            <t xml:space="preserve">CARREGADEIRA DE PNEUS HP 111 (CHP)</t>
          </r>
        </is>
      </c>
      <c r="C1483" s="22" t="inlineStr">
        <is>
          <r>
            <t xml:space="preserve">SEINFRA</t>
          </r>
        </is>
      </c>
      <c r="D1483" s="22" t="inlineStr">
        <is>
          <r>
            <t xml:space="preserve">H</t>
          </r>
        </is>
      </c>
      <c r="E1483" s="24" t="n">
        <v>0.1</v>
      </c>
      <c r="F1483" s="25" t="n">
        <v>229.84</v>
      </c>
      <c r="G1483" s="25" t="n">
        <f>ROUND(ROUND(E1483,8)*F1483,2)</f>
        <v>22.98</v>
      </c>
    </row>
    <row r="1484" customHeight="1" ht="18">
      <c r="A1484" s="2" t="inlineStr"/>
      <c r="B1484" s="2" t="inlineStr"/>
      <c r="C1484" s="2" t="inlineStr"/>
      <c r="D1484" s="2" t="inlineStr"/>
      <c r="E1484" s="26" t="inlineStr">
        <is>
          <r>
            <t xml:space="preserve">TOTAL Equipamento Custo Horário:</t>
          </r>
        </is>
      </c>
      <c r="F1484" s="26" t="inlineStr"/>
      <c r="G1484" s="27" t="n">
        <f>SUM(G1482:G1483)</f>
        <v>98.95</v>
      </c>
    </row>
    <row r="1485" customHeight="1" ht="15">
      <c r="A1485" s="20" t="inlineStr">
        <is>
          <r>
            <t xml:space="preserve">Mão de Obra</t>
          </r>
        </is>
      </c>
      <c r="B1485" s="20" t="inlineStr"/>
      <c r="C1485" s="21" t="inlineStr">
        <is>
          <r>
            <t xml:space="preserve">FONTE</t>
          </r>
        </is>
      </c>
      <c r="D1485" s="21" t="inlineStr">
        <is>
          <r>
            <t xml:space="preserve">UNID</t>
          </r>
        </is>
      </c>
      <c r="E1485" s="21" t="inlineStr">
        <is>
          <r>
            <t xml:space="preserve">COEFICIENTE</t>
          </r>
        </is>
      </c>
      <c r="F1485" s="21" t="inlineStr">
        <is>
          <r>
            <t xml:space="preserve">PREÇO UNITÁRIO</t>
          </r>
        </is>
      </c>
      <c r="G1485" s="21" t="inlineStr">
        <is>
          <r>
            <t xml:space="preserve">TOTAL</t>
          </r>
        </is>
      </c>
    </row>
    <row r="1486" customHeight="1" ht="15">
      <c r="A1486" s="22" t="inlineStr">
        <is>
          <r>
            <t xml:space="preserve">I2543</t>
          </r>
        </is>
      </c>
      <c r="B1486" s="23" t="inlineStr">
        <is>
          <r>
            <t xml:space="preserve">SERVENTE</t>
          </r>
        </is>
      </c>
      <c r="C1486" s="22" t="inlineStr">
        <is>
          <r>
            <t xml:space="preserve">SEINFRA</t>
          </r>
        </is>
      </c>
      <c r="D1486" s="22" t="inlineStr">
        <is>
          <r>
            <t xml:space="preserve">H</t>
          </r>
        </is>
      </c>
      <c r="E1486" s="24" t="n">
        <v>2.0</v>
      </c>
      <c r="F1486" s="25" t="n">
        <v>18.46</v>
      </c>
      <c r="G1486" s="25" t="n">
        <f>ROUND(ROUND(E1486,8)*F1486,2)</f>
        <v>36.92</v>
      </c>
    </row>
    <row r="1487" customHeight="1" ht="15">
      <c r="A1487" s="2" t="inlineStr"/>
      <c r="B1487" s="2" t="inlineStr"/>
      <c r="C1487" s="2" t="inlineStr"/>
      <c r="D1487" s="2" t="inlineStr"/>
      <c r="E1487" s="26" t="inlineStr">
        <is>
          <r>
            <t xml:space="preserve">TOTAL Mão de Obra:</t>
          </r>
        </is>
      </c>
      <c r="F1487" s="26" t="inlineStr"/>
      <c r="G1487" s="27" t="n">
        <f>SUM(G1486:G1486)</f>
        <v>36.92</v>
      </c>
    </row>
    <row r="1488" customHeight="1" ht="15">
      <c r="A1488" s="20" t="inlineStr">
        <is>
          <r>
            <t xml:space="preserve">Mão de Obra com Encargos Complementares</t>
          </r>
        </is>
      </c>
      <c r="B1488" s="20" t="inlineStr"/>
      <c r="C1488" s="21" t="inlineStr">
        <is>
          <r>
            <t xml:space="preserve">FONTE</t>
          </r>
        </is>
      </c>
      <c r="D1488" s="21" t="inlineStr">
        <is>
          <r>
            <t xml:space="preserve">UNID</t>
          </r>
        </is>
      </c>
      <c r="E1488" s="21" t="inlineStr">
        <is>
          <r>
            <t xml:space="preserve">COEFICIENTE</t>
          </r>
        </is>
      </c>
      <c r="F1488" s="21" t="inlineStr">
        <is>
          <r>
            <t xml:space="preserve">PREÇO UNITÁRIO</t>
          </r>
        </is>
      </c>
      <c r="G1488" s="21" t="inlineStr">
        <is>
          <r>
            <t xml:space="preserve">TOTAL</t>
          </r>
        </is>
      </c>
    </row>
    <row r="1489" customHeight="1" ht="21">
      <c r="A1489" s="22" t="inlineStr">
        <is>
          <r>
            <t xml:space="preserve">88321</t>
          </r>
        </is>
      </c>
      <c r="B1489" s="23" t="inlineStr">
        <is>
          <r>
            <t xml:space="preserve">TÉCNICO DE LABORATÓRIO COM ENCARGOS COMPLEMENTARES</t>
          </r>
        </is>
      </c>
      <c r="C1489" s="22" t="inlineStr">
        <is>
          <r>
            <t xml:space="preserve">SINAPI</t>
          </r>
        </is>
      </c>
      <c r="D1489" s="22" t="inlineStr">
        <is>
          <r>
            <t xml:space="preserve">H</t>
          </r>
        </is>
      </c>
      <c r="E1489" s="24" t="n">
        <v>1.0</v>
      </c>
      <c r="F1489" s="25" t="n">
        <v>32.11</v>
      </c>
      <c r="G1489" s="25" t="n">
        <f>ROUND(ROUND(E1489,8)*F1489,2)</f>
        <v>32.11</v>
      </c>
    </row>
    <row r="1490" customHeight="1" ht="18">
      <c r="A1490" s="2" t="inlineStr"/>
      <c r="B1490" s="2" t="inlineStr"/>
      <c r="C1490" s="2" t="inlineStr"/>
      <c r="D1490" s="2" t="inlineStr"/>
      <c r="E1490" s="26" t="inlineStr">
        <is>
          <r>
            <t xml:space="preserve">TOTAL Mão de Obra com Encargos Complementares:</t>
          </r>
        </is>
      </c>
      <c r="F1490" s="26" t="inlineStr"/>
      <c r="G1490" s="27" t="n">
        <f>SUM(G1489:G1489)</f>
        <v>32.11</v>
      </c>
    </row>
    <row r="1491" customHeight="1" ht="15">
      <c r="A1491" s="2" t="inlineStr"/>
      <c r="B1491" s="2" t="inlineStr"/>
      <c r="C1491" s="2" t="inlineStr"/>
      <c r="D1491" s="2" t="inlineStr"/>
      <c r="E1491" s="28" t="inlineStr">
        <is>
          <r>
            <t xml:space="preserve">VALOR:</t>
          </r>
        </is>
      </c>
      <c r="F1491" s="28" t="inlineStr"/>
      <c r="G1491" s="29" t="n">
        <f>ROUND(SUM(G1480,G1484,G1487,G1490),2)</f>
        <v>195.84</v>
      </c>
    </row>
    <row r="1492" customHeight="1" ht="15">
      <c r="A1492" s="2" t="inlineStr"/>
      <c r="B1492" s="2" t="inlineStr"/>
      <c r="C1492" s="2" t="inlineStr"/>
      <c r="D1492" s="2" t="inlineStr"/>
      <c r="E1492" s="28" t="inlineStr">
        <is>
          <r>
            <t xml:space="preserve">VALOR BDI:</t>
          </r>
        </is>
      </c>
      <c r="F1492" s="28" t="inlineStr"/>
      <c r="G1492" s="29" t="n">
        <f>ROUND(G1491*(0/100),2)</f>
        <v>0.0</v>
      </c>
    </row>
    <row r="1493" customHeight="1" ht="15">
      <c r="A1493" s="2" t="inlineStr"/>
      <c r="B1493" s="2" t="inlineStr"/>
      <c r="C1493" s="2" t="inlineStr"/>
      <c r="D1493" s="2" t="inlineStr"/>
      <c r="E1493" s="28" t="inlineStr">
        <is>
          <r>
            <t xml:space="preserve">VALOR COM BDI:</t>
          </r>
        </is>
      </c>
      <c r="F1493" s="28" t="inlineStr"/>
      <c r="G1493" s="29" t="n">
        <f>G1492+G1491</f>
        <v>195.84</v>
      </c>
    </row>
    <row r="1494" customHeight="1" ht="10">
      <c r="A1494" s="2" t="inlineStr"/>
      <c r="B1494" s="2" t="inlineStr"/>
      <c r="C1494" s="2" t="inlineStr"/>
      <c r="D1494" s="2" t="inlineStr"/>
      <c r="E1494" s="18" t="inlineStr"/>
      <c r="F1494" s="18" t="inlineStr"/>
      <c r="G1494" s="18" t="inlineStr"/>
    </row>
    <row r="1495" customHeight="1" ht="20">
      <c r="A1495" s="19" t="inlineStr">
        <is>
          <r>
            <t xml:space="preserve">1.6.1.20. ​P0490​ CAIXA PARA BOCA DE LOBO SIMPLES RETANGULAR, EM ALVENARIA COM BLOCOS DE CONCRETO, DIMENSÕES INTERNAS: 0,6X1X1,2 M. AF_12/2020​ (UN)</t>
          </r>
        </is>
      </c>
      <c r="B1495" s="19" t="inlineStr"/>
      <c r="C1495" s="19" t="inlineStr"/>
      <c r="D1495" s="19" t="inlineStr"/>
      <c r="E1495" s="19" t="inlineStr"/>
      <c r="F1495" s="19" t="inlineStr"/>
      <c r="G1495" s="19" t="inlineStr"/>
    </row>
    <row r="1496" customHeight="1" ht="15">
      <c r="A1496" s="20" t="inlineStr">
        <is>
          <r>
            <t xml:space="preserve">Equipamento Custo Horário</t>
          </r>
        </is>
      </c>
      <c r="B1496" s="20" t="inlineStr"/>
      <c r="C1496" s="21" t="inlineStr">
        <is>
          <r>
            <t xml:space="preserve">FONTE</t>
          </r>
        </is>
      </c>
      <c r="D1496" s="21" t="inlineStr">
        <is>
          <r>
            <t xml:space="preserve">UNID</t>
          </r>
        </is>
      </c>
      <c r="E1496" s="21" t="inlineStr">
        <is>
          <r>
            <t xml:space="preserve">COEFICIENTE</t>
          </r>
        </is>
      </c>
      <c r="F1496" s="21" t="inlineStr">
        <is>
          <r>
            <t xml:space="preserve">PREÇO UNITÁRIO</t>
          </r>
        </is>
      </c>
      <c r="G1496" s="21" t="inlineStr">
        <is>
          <r>
            <t xml:space="preserve">TOTAL</t>
          </r>
        </is>
      </c>
    </row>
    <row r="1497" customHeight="1" ht="15">
      <c r="A1497" s="22" t="inlineStr">
        <is>
          <r>
            <t xml:space="preserve">I0653</t>
          </r>
        </is>
      </c>
      <c r="B1497" s="23" t="inlineStr">
        <is>
          <r>
            <t xml:space="preserve">RETRO ESCAVADEIRA DE PNEUS (CHI)</t>
          </r>
        </is>
      </c>
      <c r="C1497" s="22" t="inlineStr">
        <is>
          <r>
            <t xml:space="preserve">SEINFRA</t>
          </r>
        </is>
      </c>
      <c r="D1497" s="22" t="inlineStr">
        <is>
          <r>
            <t xml:space="preserve">H</t>
          </r>
        </is>
      </c>
      <c r="E1497" s="24" t="n">
        <v>0.0637</v>
      </c>
      <c r="F1497" s="25" t="n">
        <v>53.39</v>
      </c>
      <c r="G1497" s="25" t="n">
        <f>ROUND(ROUND(E1497,8)*F1497,2)</f>
        <v>3.4</v>
      </c>
    </row>
    <row r="1498" customHeight="1" ht="15">
      <c r="A1498" s="22" t="inlineStr">
        <is>
          <r>
            <t xml:space="preserve">I0765</t>
          </r>
        </is>
      </c>
      <c r="B1498" s="23" t="inlineStr">
        <is>
          <r>
            <t xml:space="preserve">RETRO ESCAVADEIRA DE PNEUS (CHP)</t>
          </r>
        </is>
      </c>
      <c r="C1498" s="22" t="inlineStr">
        <is>
          <r>
            <t xml:space="preserve">SEINFRA</t>
          </r>
        </is>
      </c>
      <c r="D1498" s="22" t="inlineStr">
        <is>
          <r>
            <t xml:space="preserve">H</t>
          </r>
        </is>
      </c>
      <c r="E1498" s="24" t="n">
        <v>0.0313</v>
      </c>
      <c r="F1498" s="25" t="n">
        <v>137.09</v>
      </c>
      <c r="G1498" s="25" t="n">
        <f>ROUND(ROUND(E1498,8)*F1498,2)</f>
        <v>4.29</v>
      </c>
    </row>
    <row r="1499" customHeight="1" ht="18">
      <c r="A1499" s="2" t="inlineStr"/>
      <c r="B1499" s="2" t="inlineStr"/>
      <c r="C1499" s="2" t="inlineStr"/>
      <c r="D1499" s="2" t="inlineStr"/>
      <c r="E1499" s="26" t="inlineStr">
        <is>
          <r>
            <t xml:space="preserve">TOTAL Equipamento Custo Horário:</t>
          </r>
        </is>
      </c>
      <c r="F1499" s="26" t="inlineStr"/>
      <c r="G1499" s="27" t="n">
        <f>SUM(G1497:G1498)</f>
        <v>7.69</v>
      </c>
    </row>
    <row r="1500" customHeight="1" ht="15">
      <c r="A1500" s="20" t="inlineStr">
        <is>
          <r>
            <t xml:space="preserve">Material</t>
          </r>
        </is>
      </c>
      <c r="B1500" s="20" t="inlineStr"/>
      <c r="C1500" s="21" t="inlineStr">
        <is>
          <r>
            <t xml:space="preserve">FONTE</t>
          </r>
        </is>
      </c>
      <c r="D1500" s="21" t="inlineStr">
        <is>
          <r>
            <t xml:space="preserve">UNID</t>
          </r>
        </is>
      </c>
      <c r="E1500" s="21" t="inlineStr">
        <is>
          <r>
            <t xml:space="preserve">COEFICIENTE</t>
          </r>
        </is>
      </c>
      <c r="F1500" s="21" t="inlineStr">
        <is>
          <r>
            <t xml:space="preserve">PREÇO UNITÁRIO</t>
          </r>
        </is>
      </c>
      <c r="G1500" s="21" t="inlineStr">
        <is>
          <r>
            <t xml:space="preserve">TOTAL</t>
          </r>
        </is>
      </c>
    </row>
    <row r="1501" customHeight="1" ht="15">
      <c r="A1501" s="22" t="inlineStr">
        <is>
          <r>
            <t xml:space="preserve">I0163</t>
          </r>
        </is>
      </c>
      <c r="B1501" s="23" t="inlineStr">
        <is>
          <r>
            <t xml:space="preserve">AÇO CA-50</t>
          </r>
        </is>
      </c>
      <c r="C1501" s="22" t="inlineStr">
        <is>
          <r>
            <t xml:space="preserve">SEINFRA</t>
          </r>
        </is>
      </c>
      <c r="D1501" s="22" t="inlineStr">
        <is>
          <r>
            <t xml:space="preserve">KG</t>
          </r>
        </is>
      </c>
      <c r="E1501" s="24" t="n">
        <v>3.4552</v>
      </c>
      <c r="F1501" s="25" t="n">
        <v>7.1</v>
      </c>
      <c r="G1501" s="25" t="n">
        <f>ROUND(ROUND(E1501,8)*F1501,2)</f>
        <v>24.53</v>
      </c>
    </row>
    <row r="1502" customHeight="1" ht="15">
      <c r="A1502" s="22" t="inlineStr">
        <is>
          <r>
            <t xml:space="preserve">I0232</t>
          </r>
        </is>
      </c>
      <c r="B1502" s="23" t="inlineStr">
        <is>
          <r>
            <t xml:space="preserve">BLOCO DE CONCRETO 19x19x39cm - ESTRUTURAL</t>
          </r>
        </is>
      </c>
      <c r="C1502" s="22" t="inlineStr">
        <is>
          <r>
            <t xml:space="preserve">SEINFRA</t>
          </r>
        </is>
      </c>
      <c r="D1502" s="22" t="inlineStr">
        <is>
          <r>
            <t xml:space="preserve">UN</t>
          </r>
        </is>
      </c>
      <c r="E1502" s="24" t="n">
        <v>47.1757</v>
      </c>
      <c r="F1502" s="25" t="n">
        <v>4.95</v>
      </c>
      <c r="G1502" s="25" t="n">
        <f>ROUND(ROUND(E1502,8)*F1502,2)</f>
        <v>233.52</v>
      </c>
    </row>
    <row r="1503" customHeight="1" ht="21">
      <c r="A1503" s="22" t="inlineStr">
        <is>
          <r>
            <t xml:space="preserve">00000660</t>
          </r>
        </is>
      </c>
      <c r="B1503" s="23" t="inlineStr">
        <is>
          <r>
            <t xml:space="preserve">CANALETA DE CONCRETO 19 X 19 X 19 CM (CLASSE C - NBR 6136)</t>
          </r>
        </is>
      </c>
      <c r="C1503" s="22" t="inlineStr">
        <is>
          <r>
            <t xml:space="preserve">SINAPI</t>
          </r>
        </is>
      </c>
      <c r="D1503" s="22" t="inlineStr">
        <is>
          <r>
            <t xml:space="preserve">UN</t>
          </r>
        </is>
      </c>
      <c r="E1503" s="24" t="n">
        <v>21.0</v>
      </c>
      <c r="F1503" s="25" t="n">
        <v>3.65</v>
      </c>
      <c r="G1503" s="25" t="n">
        <f>ROUND(ROUND(E1503,8)*F1503,2)</f>
        <v>76.65</v>
      </c>
    </row>
    <row r="1504" customHeight="1" ht="15">
      <c r="A1504" s="22" t="inlineStr">
        <is>
          <r>
            <t xml:space="preserve">I0965</t>
          </r>
        </is>
      </c>
      <c r="B1504" s="23" t="inlineStr">
        <is>
          <r>
            <t xml:space="preserve">DESMOLDANTE PARA FORMAS</t>
          </r>
        </is>
      </c>
      <c r="C1504" s="22" t="inlineStr">
        <is>
          <r>
            <t xml:space="preserve">SEINFRA</t>
          </r>
        </is>
      </c>
      <c r="D1504" s="22" t="inlineStr">
        <is>
          <r>
            <t xml:space="preserve">L</t>
          </r>
        </is>
      </c>
      <c r="E1504" s="24" t="n">
        <v>0.0082</v>
      </c>
      <c r="F1504" s="25" t="n">
        <v>8.45</v>
      </c>
      <c r="G1504" s="25" t="n">
        <f>ROUND(ROUND(E1504,8)*F1504,2)</f>
        <v>0.07</v>
      </c>
    </row>
    <row r="1505" customHeight="1" ht="29">
      <c r="A1505" s="22" t="inlineStr">
        <is>
          <r>
            <t xml:space="preserve">00043386</t>
          </r>
        </is>
      </c>
      <c r="B1505" s="23" t="inlineStr">
        <is>
          <r>
            <t xml:space="preserve">MEIO-FIO OU GUIA DE CONCRETO PRE-MOLDADO, TIPO CHAPEU PARA BOCA DE LOBO, DIMENSOES *1,20* X 0,15 X 0,30 M</t>
          </r>
        </is>
      </c>
      <c r="C1505" s="22" t="inlineStr">
        <is>
          <r>
            <t xml:space="preserve">SINAPI</t>
          </r>
        </is>
      </c>
      <c r="D1505" s="22" t="inlineStr">
        <is>
          <r>
            <t xml:space="preserve">UN</t>
          </r>
        </is>
      </c>
      <c r="E1505" s="24" t="n">
        <v>1.0</v>
      </c>
      <c r="F1505" s="25" t="n">
        <v>42.29</v>
      </c>
      <c r="G1505" s="25" t="n">
        <f>ROUND(ROUND(E1505,8)*F1505,2)</f>
        <v>42.29</v>
      </c>
    </row>
    <row r="1506" customHeight="1" ht="15">
      <c r="A1506" s="22" t="inlineStr">
        <is>
          <r>
            <t xml:space="preserve">I1691</t>
          </r>
        </is>
      </c>
      <c r="B1506" s="23" t="inlineStr">
        <is>
          <r>
            <t xml:space="preserve">PONTALETE / BARROTE DE 3"x3"</t>
          </r>
        </is>
      </c>
      <c r="C1506" s="22" t="inlineStr">
        <is>
          <r>
            <t xml:space="preserve">SEINFRA</t>
          </r>
        </is>
      </c>
      <c r="D1506" s="22" t="inlineStr">
        <is>
          <r>
            <t xml:space="preserve">M</t>
          </r>
        </is>
      </c>
      <c r="E1506" s="24" t="n">
        <v>0.1776</v>
      </c>
      <c r="F1506" s="25" t="n">
        <v>16.09</v>
      </c>
      <c r="G1506" s="25" t="n">
        <f>ROUND(ROUND(E1506,8)*F1506,2)</f>
        <v>2.86</v>
      </c>
    </row>
    <row r="1507" customHeight="1" ht="21">
      <c r="A1507" s="22" t="inlineStr">
        <is>
          <r>
            <t xml:space="preserve">I2410</t>
          </r>
        </is>
      </c>
      <c r="B1507" s="23" t="inlineStr">
        <is>
          <r>
            <t xml:space="preserve">PREGO 18X27 (2.1/2" x 10) (APROXIMADAMENTE 198UN/KG)</t>
          </r>
        </is>
      </c>
      <c r="C1507" s="22" t="inlineStr">
        <is>
          <r>
            <t xml:space="preserve">SEINFRA</t>
          </r>
        </is>
      </c>
      <c r="D1507" s="22" t="inlineStr">
        <is>
          <r>
            <t xml:space="preserve">KG</t>
          </r>
        </is>
      </c>
      <c r="E1507" s="24" t="n">
        <v>0.0187</v>
      </c>
      <c r="F1507" s="25" t="n">
        <v>14.2</v>
      </c>
      <c r="G1507" s="25" t="n">
        <f>ROUND(ROUND(E1507,8)*F1507,2)</f>
        <v>0.27</v>
      </c>
    </row>
    <row r="1508" customHeight="1" ht="15">
      <c r="A1508" s="22" t="inlineStr">
        <is>
          <r>
            <t xml:space="preserve">I1846</t>
          </r>
        </is>
      </c>
      <c r="B1508" s="23" t="inlineStr">
        <is>
          <r>
            <t xml:space="preserve">SARRAFO DE 1"X4"</t>
          </r>
        </is>
      </c>
      <c r="C1508" s="22" t="inlineStr">
        <is>
          <r>
            <t xml:space="preserve">SEINFRA</t>
          </r>
        </is>
      </c>
      <c r="D1508" s="22" t="inlineStr">
        <is>
          <r>
            <t xml:space="preserve">M</t>
          </r>
        </is>
      </c>
      <c r="E1508" s="24" t="n">
        <v>0.2112</v>
      </c>
      <c r="F1508" s="25" t="n">
        <v>6.05</v>
      </c>
      <c r="G1508" s="25" t="n">
        <f>ROUND(ROUND(E1508,8)*F1508,2)</f>
        <v>1.28</v>
      </c>
    </row>
    <row r="1509" customHeight="1" ht="29">
      <c r="A1509" s="22" t="inlineStr">
        <is>
          <r>
            <t xml:space="preserve">00006193</t>
          </r>
        </is>
      </c>
      <c r="B1509" s="23" t="inlineStr">
        <is>
          <r>
            <t xml:space="preserve">TABUA NAO APARELHADA *2,5 X 20* CM, EM MACARANDUBA/MASSARANDUBA, ANGELIM OU EQUIVALENTE DA REGIAO - BRUTA</t>
          </r>
        </is>
      </c>
      <c r="C1509" s="22" t="inlineStr">
        <is>
          <r>
            <t xml:space="preserve">SINAPI</t>
          </r>
        </is>
      </c>
      <c r="D1509" s="22" t="inlineStr">
        <is>
          <r>
            <t xml:space="preserve">M</t>
          </r>
        </is>
      </c>
      <c r="E1509" s="24" t="n">
        <v>0.6624</v>
      </c>
      <c r="F1509" s="25" t="n">
        <v>20.49</v>
      </c>
      <c r="G1509" s="25" t="n">
        <f>ROUND(ROUND(E1509,8)*F1509,2)</f>
        <v>13.57</v>
      </c>
    </row>
    <row r="1510" customHeight="1" ht="15">
      <c r="A1510" s="2" t="inlineStr"/>
      <c r="B1510" s="2" t="inlineStr"/>
      <c r="C1510" s="2" t="inlineStr"/>
      <c r="D1510" s="2" t="inlineStr"/>
      <c r="E1510" s="26" t="inlineStr">
        <is>
          <r>
            <t xml:space="preserve">TOTAL Material:</t>
          </r>
        </is>
      </c>
      <c r="F1510" s="26" t="inlineStr"/>
      <c r="G1510" s="27" t="n">
        <f>SUM(G1501:G1509)</f>
        <v>395.04</v>
      </c>
    </row>
    <row r="1511" customHeight="1" ht="15">
      <c r="A1511" s="20" t="inlineStr">
        <is>
          <r>
            <t xml:space="preserve">Mão de Obra</t>
          </r>
        </is>
      </c>
      <c r="B1511" s="20" t="inlineStr"/>
      <c r="C1511" s="21" t="inlineStr">
        <is>
          <r>
            <t xml:space="preserve">FONTE</t>
          </r>
        </is>
      </c>
      <c r="D1511" s="21" t="inlineStr">
        <is>
          <r>
            <t xml:space="preserve">UNID</t>
          </r>
        </is>
      </c>
      <c r="E1511" s="21" t="inlineStr">
        <is>
          <r>
            <t xml:space="preserve">COEFICIENTE</t>
          </r>
        </is>
      </c>
      <c r="F1511" s="21" t="inlineStr">
        <is>
          <r>
            <t xml:space="preserve">PREÇO UNITÁRIO</t>
          </r>
        </is>
      </c>
      <c r="G1511" s="21" t="inlineStr">
        <is>
          <r>
            <t xml:space="preserve">TOTAL</t>
          </r>
        </is>
      </c>
    </row>
    <row r="1512" customHeight="1" ht="15">
      <c r="A1512" s="22" t="inlineStr">
        <is>
          <r>
            <t xml:space="preserve">I2391</t>
          </r>
        </is>
      </c>
      <c r="B1512" s="23" t="inlineStr">
        <is>
          <r>
            <t xml:space="preserve">PEDREIRO</t>
          </r>
        </is>
      </c>
      <c r="C1512" s="22" t="inlineStr">
        <is>
          <r>
            <t xml:space="preserve">SEINFRA</t>
          </r>
        </is>
      </c>
      <c r="D1512" s="22" t="inlineStr">
        <is>
          <r>
            <t xml:space="preserve">H</t>
          </r>
        </is>
      </c>
      <c r="E1512" s="24" t="n">
        <v>9.5631</v>
      </c>
      <c r="F1512" s="25" t="n">
        <v>24.16</v>
      </c>
      <c r="G1512" s="25" t="n">
        <f>ROUND(ROUND(E1512,8)*F1512,2)</f>
        <v>231.04</v>
      </c>
    </row>
    <row r="1513" customHeight="1" ht="15">
      <c r="A1513" s="22" t="inlineStr">
        <is>
          <r>
            <t xml:space="preserve">I2543</t>
          </r>
        </is>
      </c>
      <c r="B1513" s="23" t="inlineStr">
        <is>
          <r>
            <t xml:space="preserve">SERVENTE</t>
          </r>
        </is>
      </c>
      <c r="C1513" s="22" t="inlineStr">
        <is>
          <r>
            <t xml:space="preserve">SEINFRA</t>
          </r>
        </is>
      </c>
      <c r="D1513" s="22" t="inlineStr">
        <is>
          <r>
            <t xml:space="preserve">H</t>
          </r>
        </is>
      </c>
      <c r="E1513" s="24" t="n">
        <v>7.5139</v>
      </c>
      <c r="F1513" s="25" t="n">
        <v>18.46</v>
      </c>
      <c r="G1513" s="25" t="n">
        <f>ROUND(ROUND(E1513,8)*F1513,2)</f>
        <v>138.71</v>
      </c>
    </row>
    <row r="1514" customHeight="1" ht="15">
      <c r="A1514" s="2" t="inlineStr"/>
      <c r="B1514" s="2" t="inlineStr"/>
      <c r="C1514" s="2" t="inlineStr"/>
      <c r="D1514" s="2" t="inlineStr"/>
      <c r="E1514" s="26" t="inlineStr">
        <is>
          <r>
            <t xml:space="preserve">TOTAL Mão de Obra:</t>
          </r>
        </is>
      </c>
      <c r="F1514" s="26" t="inlineStr"/>
      <c r="G1514" s="27" t="n">
        <f>SUM(G1512:G1513)</f>
        <v>369.75</v>
      </c>
    </row>
    <row r="1515" customHeight="1" ht="15">
      <c r="A1515" s="20" t="inlineStr">
        <is>
          <r>
            <t xml:space="preserve">Serviço</t>
          </r>
        </is>
      </c>
      <c r="B1515" s="20" t="inlineStr"/>
      <c r="C1515" s="21" t="inlineStr">
        <is>
          <r>
            <t xml:space="preserve">FONTE</t>
          </r>
        </is>
      </c>
      <c r="D1515" s="21" t="inlineStr">
        <is>
          <r>
            <t xml:space="preserve">UNID</t>
          </r>
        </is>
      </c>
      <c r="E1515" s="21" t="inlineStr">
        <is>
          <r>
            <t xml:space="preserve">COEFICIENTE</t>
          </r>
        </is>
      </c>
      <c r="F1515" s="21" t="inlineStr">
        <is>
          <r>
            <t xml:space="preserve">PREÇO UNITÁRIO</t>
          </r>
        </is>
      </c>
      <c r="G1515" s="21" t="inlineStr">
        <is>
          <r>
            <t xml:space="preserve">TOTAL</t>
          </r>
        </is>
      </c>
    </row>
    <row r="1516" customHeight="1" ht="15">
      <c r="A1516" s="22" t="inlineStr">
        <is>
          <r>
            <t xml:space="preserve">C0170</t>
          </r>
        </is>
      </c>
      <c r="B1516" s="23" t="inlineStr">
        <is>
          <r>
            <t xml:space="preserve">ARGAMASSA DE CIMENTO E AREIA S/PEN. TRAÇO 1:3</t>
          </r>
        </is>
      </c>
      <c r="C1516" s="22" t="inlineStr">
        <is>
          <r>
            <t xml:space="preserve">SEINFRA</t>
          </r>
        </is>
      </c>
      <c r="D1516" s="22" t="inlineStr">
        <is>
          <r>
            <t xml:space="preserve">M3</t>
          </r>
        </is>
      </c>
      <c r="E1516" s="24" t="n">
        <v>0.4746</v>
      </c>
      <c r="F1516" s="25" t="n">
        <v>631.29</v>
      </c>
      <c r="G1516" s="25" t="n">
        <f>ROUND(ROUND(E1516,8)*F1516,2)</f>
        <v>299.61</v>
      </c>
    </row>
    <row r="1517" customHeight="1" ht="15">
      <c r="A1517" s="22" t="inlineStr">
        <is>
          <r>
            <t xml:space="preserve">C0171</t>
          </r>
        </is>
      </c>
      <c r="B1517" s="23" t="inlineStr">
        <is>
          <r>
            <t xml:space="preserve">ARGAMASSA DE CIMENTO E AREIA S/PEN. TRAÇO 1:4</t>
          </r>
        </is>
      </c>
      <c r="C1517" s="22" t="inlineStr">
        <is>
          <r>
            <t xml:space="preserve">SEINFRA</t>
          </r>
        </is>
      </c>
      <c r="D1517" s="22" t="inlineStr">
        <is>
          <r>
            <t xml:space="preserve">M3</t>
          </r>
        </is>
      </c>
      <c r="E1517" s="24" t="n">
        <v>0.0418</v>
      </c>
      <c r="F1517" s="25" t="n">
        <v>545.38</v>
      </c>
      <c r="G1517" s="25" t="n">
        <f>ROUND(ROUND(E1517,8)*F1517,2)</f>
        <v>22.8</v>
      </c>
    </row>
    <row r="1518" customHeight="1" ht="21">
      <c r="A1518" s="22" t="inlineStr">
        <is>
          <r>
            <t xml:space="preserve">C0842</t>
          </r>
        </is>
      </c>
      <c r="B1518" s="23" t="inlineStr">
        <is>
          <r>
            <t xml:space="preserve">CONCRETO P/VIBR., FCK 20 MPa COM AGREGADO ADQUIRIDO</t>
          </r>
        </is>
      </c>
      <c r="C1518" s="22" t="inlineStr">
        <is>
          <r>
            <t xml:space="preserve">SEINFRA</t>
          </r>
        </is>
      </c>
      <c r="D1518" s="22" t="inlineStr">
        <is>
          <r>
            <t xml:space="preserve">M3</t>
          </r>
        </is>
      </c>
      <c r="E1518" s="24" t="n">
        <v>0.1628</v>
      </c>
      <c r="F1518" s="25" t="n">
        <v>522.58</v>
      </c>
      <c r="G1518" s="25" t="n">
        <f>ROUND(ROUND(E1518,8)*F1518,2)</f>
        <v>85.08</v>
      </c>
    </row>
    <row r="1519" customHeight="1" ht="21">
      <c r="A1519" s="22" t="inlineStr">
        <is>
          <r>
            <t xml:space="preserve">89995</t>
          </r>
        </is>
      </c>
      <c r="B1519" s="23" t="inlineStr">
        <is>
          <r>
            <t xml:space="preserve">GRAUTEAMENTO DE CINTA SUPERIOR OU DE VERGA EM ALVENARIA ESTRUTURAL. AF_09/2021</t>
          </r>
        </is>
      </c>
      <c r="C1519" s="22" t="inlineStr">
        <is>
          <r>
            <t xml:space="preserve">SINAPI</t>
          </r>
        </is>
      </c>
      <c r="D1519" s="22" t="inlineStr">
        <is>
          <r>
            <t xml:space="preserve">M3</t>
          </r>
        </is>
      </c>
      <c r="E1519" s="24" t="n">
        <v>0.0615</v>
      </c>
      <c r="F1519" s="25" t="n">
        <v>1018.82</v>
      </c>
      <c r="G1519" s="25" t="n">
        <f>ROUND(ROUND(E1519,8)*F1519,2)</f>
        <v>62.66</v>
      </c>
    </row>
    <row r="1520" customHeight="1" ht="21">
      <c r="A1520" s="22" t="inlineStr">
        <is>
          <r>
            <t xml:space="preserve">89993</t>
          </r>
        </is>
      </c>
      <c r="B1520" s="23" t="inlineStr">
        <is>
          <r>
            <t xml:space="preserve">GRAUTEAMENTO VERTICAL EM ALVENARIA ESTRUTURAL. AF_09/2021</t>
          </r>
        </is>
      </c>
      <c r="C1520" s="22" t="inlineStr">
        <is>
          <r>
            <t xml:space="preserve">SINAPI</t>
          </r>
        </is>
      </c>
      <c r="D1520" s="22" t="inlineStr">
        <is>
          <r>
            <t xml:space="preserve">M3</t>
          </r>
        </is>
      </c>
      <c r="E1520" s="24" t="n">
        <v>0.0299</v>
      </c>
      <c r="F1520" s="25" t="n">
        <v>1056.61</v>
      </c>
      <c r="G1520" s="25" t="n">
        <f>ROUND(ROUND(E1520,8)*F1520,2)</f>
        <v>31.59</v>
      </c>
    </row>
    <row r="1521" customHeight="1" ht="15">
      <c r="A1521" s="22" t="inlineStr">
        <is>
          <r>
            <t xml:space="preserve">C3319</t>
          </r>
        </is>
      </c>
      <c r="B1521" s="23" t="inlineStr">
        <is>
          <r>
            <t xml:space="preserve">NIVELAMENTO DE FUNDO DE VALAS</t>
          </r>
        </is>
      </c>
      <c r="C1521" s="22" t="inlineStr">
        <is>
          <r>
            <t xml:space="preserve">SEINFRA</t>
          </r>
        </is>
      </c>
      <c r="D1521" s="22" t="inlineStr">
        <is>
          <r>
            <t xml:space="preserve">M2</t>
          </r>
        </is>
      </c>
      <c r="E1521" s="24" t="n">
        <v>1.17</v>
      </c>
      <c r="F1521" s="25" t="n">
        <v>7.06</v>
      </c>
      <c r="G1521" s="25" t="n">
        <f>ROUND(ROUND(E1521,8)*F1521,2)</f>
        <v>8.26</v>
      </c>
    </row>
    <row r="1522" customHeight="1" ht="29">
      <c r="A1522" s="22" t="inlineStr">
        <is>
          <r>
            <t xml:space="preserve">97735</t>
          </r>
        </is>
      </c>
      <c r="B1522" s="23" t="inlineStr">
        <is>
          <r>
            <t xml:space="preserve">PEÇA RETANGULAR PRÉ-MOLDADA, VOLUME DE CONCRETO DE 30 A 100 LITROS, TAXA DE AÇO APROXIMADA DE 30KG/M³. AF_03/2024</t>
          </r>
        </is>
      </c>
      <c r="C1522" s="22" t="inlineStr">
        <is>
          <r>
            <t xml:space="preserve">SINAPI</t>
          </r>
        </is>
      </c>
      <c r="D1522" s="22" t="inlineStr">
        <is>
          <r>
            <t xml:space="preserve">M3</t>
          </r>
        </is>
      </c>
      <c r="E1522" s="24" t="n">
        <v>0.0616</v>
      </c>
      <c r="F1522" s="25" t="n">
        <v>2429.41</v>
      </c>
      <c r="G1522" s="25" t="n">
        <f>ROUND(ROUND(E1522,8)*F1522,2)</f>
        <v>149.65</v>
      </c>
    </row>
    <row r="1523" customHeight="1" ht="15">
      <c r="A1523" s="2" t="inlineStr"/>
      <c r="B1523" s="2" t="inlineStr"/>
      <c r="C1523" s="2" t="inlineStr"/>
      <c r="D1523" s="2" t="inlineStr"/>
      <c r="E1523" s="26" t="inlineStr">
        <is>
          <r>
            <t xml:space="preserve">TOTAL Serviço:</t>
          </r>
        </is>
      </c>
      <c r="F1523" s="26" t="inlineStr"/>
      <c r="G1523" s="27" t="n">
        <f>SUM(G1516:G1522)</f>
        <v>659.65</v>
      </c>
    </row>
    <row r="1524" customHeight="1" ht="15">
      <c r="A1524" s="2" t="inlineStr"/>
      <c r="B1524" s="2" t="inlineStr"/>
      <c r="C1524" s="2" t="inlineStr"/>
      <c r="D1524" s="2" t="inlineStr"/>
      <c r="E1524" s="28" t="inlineStr">
        <is>
          <r>
            <t xml:space="preserve">VALOR:</t>
          </r>
        </is>
      </c>
      <c r="F1524" s="28" t="inlineStr"/>
      <c r="G1524" s="29" t="n">
        <f>ROUND(SUM(G1499,G1510,G1514,G1523),2)</f>
        <v>1432.13</v>
      </c>
    </row>
    <row r="1525" customHeight="1" ht="15">
      <c r="A1525" s="2" t="inlineStr"/>
      <c r="B1525" s="2" t="inlineStr"/>
      <c r="C1525" s="2" t="inlineStr"/>
      <c r="D1525" s="2" t="inlineStr"/>
      <c r="E1525" s="28" t="inlineStr">
        <is>
          <r>
            <t xml:space="preserve">VALOR BDI:</t>
          </r>
        </is>
      </c>
      <c r="F1525" s="28" t="inlineStr"/>
      <c r="G1525" s="29" t="n">
        <f>ROUND(G1524*(0/100),2)</f>
        <v>0.0</v>
      </c>
    </row>
    <row r="1526" customHeight="1" ht="15">
      <c r="A1526" s="2" t="inlineStr"/>
      <c r="B1526" s="2" t="inlineStr"/>
      <c r="C1526" s="2" t="inlineStr"/>
      <c r="D1526" s="2" t="inlineStr"/>
      <c r="E1526" s="28" t="inlineStr">
        <is>
          <r>
            <t xml:space="preserve">VALOR COM BDI:</t>
          </r>
        </is>
      </c>
      <c r="F1526" s="28" t="inlineStr"/>
      <c r="G1526" s="29" t="n">
        <f>G1525+G1524</f>
        <v>1432.13</v>
      </c>
    </row>
    <row r="1527" customHeight="1" ht="10">
      <c r="A1527" s="2" t="inlineStr"/>
      <c r="B1527" s="2" t="inlineStr"/>
      <c r="C1527" s="2" t="inlineStr"/>
      <c r="D1527" s="2" t="inlineStr"/>
      <c r="E1527" s="18" t="inlineStr"/>
      <c r="F1527" s="18" t="inlineStr"/>
      <c r="G1527" s="18" t="inlineStr"/>
    </row>
    <row r="1528" customHeight="1" ht="20">
      <c r="A1528" s="19" t="inlineStr">
        <is>
          <r>
            <t xml:space="preserve">1.6.1.21. ​P0495​ DISSIPADOR DE ENERGIA, PARA REDES Ø 1000 MM. (EXECUÇÃO)​ (UN)</t>
          </r>
        </is>
      </c>
      <c r="B1528" s="19" t="inlineStr"/>
      <c r="C1528" s="19" t="inlineStr"/>
      <c r="D1528" s="19" t="inlineStr"/>
      <c r="E1528" s="19" t="inlineStr"/>
      <c r="F1528" s="19" t="inlineStr"/>
      <c r="G1528" s="19" t="inlineStr"/>
    </row>
    <row r="1529" customHeight="1" ht="15">
      <c r="A1529" s="20" t="inlineStr">
        <is>
          <r>
            <t xml:space="preserve">Material</t>
          </r>
        </is>
      </c>
      <c r="B1529" s="20" t="inlineStr"/>
      <c r="C1529" s="21" t="inlineStr">
        <is>
          <r>
            <t xml:space="preserve">FONTE</t>
          </r>
        </is>
      </c>
      <c r="D1529" s="21" t="inlineStr">
        <is>
          <r>
            <t xml:space="preserve">UNID</t>
          </r>
        </is>
      </c>
      <c r="E1529" s="21" t="inlineStr">
        <is>
          <r>
            <t xml:space="preserve">COEFICIENTE</t>
          </r>
        </is>
      </c>
      <c r="F1529" s="21" t="inlineStr">
        <is>
          <r>
            <t xml:space="preserve">PREÇO UNITÁRIO</t>
          </r>
        </is>
      </c>
      <c r="G1529" s="21" t="inlineStr">
        <is>
          <r>
            <t xml:space="preserve">TOTAL</t>
          </r>
        </is>
      </c>
    </row>
    <row r="1530" customHeight="1" ht="15">
      <c r="A1530" s="22" t="inlineStr">
        <is>
          <r>
            <t xml:space="preserve">I0827</t>
          </r>
        </is>
      </c>
      <c r="B1530" s="23" t="inlineStr">
        <is>
          <r>
            <t xml:space="preserve">CONCRETO USINADO FCK=10 MPA</t>
          </r>
        </is>
      </c>
      <c r="C1530" s="22" t="inlineStr">
        <is>
          <r>
            <t xml:space="preserve">SEINFRA</t>
          </r>
        </is>
      </c>
      <c r="D1530" s="22" t="inlineStr">
        <is>
          <r>
            <t xml:space="preserve">M3</t>
          </r>
        </is>
      </c>
      <c r="E1530" s="24" t="n">
        <v>1.38</v>
      </c>
      <c r="F1530" s="25" t="n">
        <v>362.63</v>
      </c>
      <c r="G1530" s="25" t="n">
        <f>ROUND(ROUND(E1530,8)*F1530,2)</f>
        <v>500.43</v>
      </c>
    </row>
    <row r="1531" customHeight="1" ht="15">
      <c r="A1531" s="22" t="inlineStr">
        <is>
          <r>
            <t xml:space="preserve">I0828</t>
          </r>
        </is>
      </c>
      <c r="B1531" s="23" t="inlineStr">
        <is>
          <r>
            <t xml:space="preserve">CONCRETO USINADO FCK=25 MPA</t>
          </r>
        </is>
      </c>
      <c r="C1531" s="22" t="inlineStr">
        <is>
          <r>
            <t xml:space="preserve">SEINFRA</t>
          </r>
        </is>
      </c>
      <c r="D1531" s="22" t="inlineStr">
        <is>
          <r>
            <t xml:space="preserve">M3</t>
          </r>
        </is>
      </c>
      <c r="E1531" s="24" t="n">
        <v>22.23</v>
      </c>
      <c r="F1531" s="25" t="n">
        <v>394.89</v>
      </c>
      <c r="G1531" s="25" t="n">
        <f>ROUND(ROUND(E1531,8)*F1531,2)</f>
        <v>8778.4</v>
      </c>
    </row>
    <row r="1532" customHeight="1" ht="15">
      <c r="A1532" s="2" t="inlineStr"/>
      <c r="B1532" s="2" t="inlineStr"/>
      <c r="C1532" s="2" t="inlineStr"/>
      <c r="D1532" s="2" t="inlineStr"/>
      <c r="E1532" s="26" t="inlineStr">
        <is>
          <r>
            <t xml:space="preserve">TOTAL Material:</t>
          </r>
        </is>
      </c>
      <c r="F1532" s="26" t="inlineStr"/>
      <c r="G1532" s="27" t="n">
        <f>SUM(G1530:G1531)</f>
        <v>9278.83</v>
      </c>
    </row>
    <row r="1533" customHeight="1" ht="15">
      <c r="A1533" s="20" t="inlineStr">
        <is>
          <r>
            <t xml:space="preserve">Serviço</t>
          </r>
        </is>
      </c>
      <c r="B1533" s="20" t="inlineStr"/>
      <c r="C1533" s="21" t="inlineStr">
        <is>
          <r>
            <t xml:space="preserve">FONTE</t>
          </r>
        </is>
      </c>
      <c r="D1533" s="21" t="inlineStr">
        <is>
          <r>
            <t xml:space="preserve">UNID</t>
          </r>
        </is>
      </c>
      <c r="E1533" s="21" t="inlineStr">
        <is>
          <r>
            <t xml:space="preserve">COEFICIENTE</t>
          </r>
        </is>
      </c>
      <c r="F1533" s="21" t="inlineStr">
        <is>
          <r>
            <t xml:space="preserve">PREÇO UNITÁRIO</t>
          </r>
        </is>
      </c>
      <c r="G1533" s="21" t="inlineStr">
        <is>
          <r>
            <t xml:space="preserve">TOTAL</t>
          </r>
        </is>
      </c>
    </row>
    <row r="1534" customHeight="1" ht="15">
      <c r="A1534" s="22" t="inlineStr">
        <is>
          <r>
            <t xml:space="preserve">C0216</t>
          </r>
        </is>
      </c>
      <c r="B1534" s="23" t="inlineStr">
        <is>
          <r>
            <t xml:space="preserve">ARMADURA CA-50A MÉDIA D= 6,3 A 10,0mm</t>
          </r>
        </is>
      </c>
      <c r="C1534" s="22" t="inlineStr">
        <is>
          <r>
            <t xml:space="preserve">SEINFRA</t>
          </r>
        </is>
      </c>
      <c r="D1534" s="22" t="inlineStr">
        <is>
          <r>
            <t xml:space="preserve">KG</t>
          </r>
        </is>
      </c>
      <c r="E1534" s="32" t="n">
        <v>1292.0</v>
      </c>
      <c r="F1534" s="25" t="n">
        <v>11.96</v>
      </c>
      <c r="G1534" s="25" t="n">
        <f>ROUND(ROUND(E1534,8)*F1534,2)</f>
        <v>15452.32</v>
      </c>
    </row>
    <row r="1535" customHeight="1" ht="15">
      <c r="A1535" s="22" t="inlineStr">
        <is>
          <r>
            <t xml:space="preserve">C3179</t>
          </r>
        </is>
      </c>
      <c r="B1535" s="23" t="inlineStr">
        <is>
          <r>
            <t xml:space="preserve">ESCAVAÇÃO CARGA TRANSP. 1-CAT 4001 A 5000M</t>
          </r>
        </is>
      </c>
      <c r="C1535" s="22" t="inlineStr">
        <is>
          <r>
            <t xml:space="preserve">SEINFRA</t>
          </r>
        </is>
      </c>
      <c r="D1535" s="22" t="inlineStr">
        <is>
          <r>
            <t xml:space="preserve">M3</t>
          </r>
        </is>
      </c>
      <c r="E1535" s="24" t="n">
        <v>45.52</v>
      </c>
      <c r="F1535" s="25" t="n">
        <v>24.13</v>
      </c>
      <c r="G1535" s="25" t="n">
        <f>ROUND(ROUND(E1535,8)*F1535,2)</f>
        <v>1098.4</v>
      </c>
    </row>
    <row r="1536" customHeight="1" ht="15">
      <c r="A1536" s="22" t="inlineStr">
        <is>
          <r>
            <t xml:space="preserve">C3351</t>
          </r>
        </is>
      </c>
      <c r="B1536" s="23" t="inlineStr">
        <is>
          <r>
            <t xml:space="preserve">ESCORAMENTO P/ OBRAS D'ARTES CORRENTES</t>
          </r>
        </is>
      </c>
      <c r="C1536" s="22" t="inlineStr">
        <is>
          <r>
            <t xml:space="preserve">SEINFRA</t>
          </r>
        </is>
      </c>
      <c r="D1536" s="22" t="inlineStr">
        <is>
          <r>
            <t xml:space="preserve">M3</t>
          </r>
        </is>
      </c>
      <c r="E1536" s="24" t="n">
        <v>12.97</v>
      </c>
      <c r="F1536" s="25" t="n">
        <v>65.03</v>
      </c>
      <c r="G1536" s="25" t="n">
        <f>ROUND(ROUND(E1536,8)*F1536,2)</f>
        <v>843.44</v>
      </c>
    </row>
    <row r="1537" customHeight="1" ht="21">
      <c r="A1537" s="22" t="inlineStr">
        <is>
          <r>
            <t xml:space="preserve">C1401</t>
          </r>
        </is>
      </c>
      <c r="B1537" s="23" t="inlineStr">
        <is>
          <r>
            <t xml:space="preserve">FORMA DE TÁBUAS DE 1" DE 3A. P/SUPERESTRUTURA - UTIL. 2 X</t>
          </r>
        </is>
      </c>
      <c r="C1537" s="22" t="inlineStr">
        <is>
          <r>
            <t xml:space="preserve">SEINFRA</t>
          </r>
        </is>
      </c>
      <c r="D1537" s="22" t="inlineStr">
        <is>
          <r>
            <t xml:space="preserve">M2</t>
          </r>
        </is>
      </c>
      <c r="E1537" s="24" t="n">
        <v>121.26</v>
      </c>
      <c r="F1537" s="25" t="n">
        <v>162.96</v>
      </c>
      <c r="G1537" s="25" t="n">
        <f>ROUND(ROUND(E1537,8)*F1537,2)</f>
        <v>19760.53</v>
      </c>
    </row>
    <row r="1538" customHeight="1" ht="21">
      <c r="A1538" s="22" t="inlineStr">
        <is>
          <r>
            <t xml:space="preserve">C2921</t>
          </r>
        </is>
      </c>
      <c r="B1538" s="23" t="inlineStr">
        <is>
          <r>
            <t xml:space="preserve">REATERRO C/COMPACTAÇÃO MANUAL S/CONTROLE, MATERIAL DA VALA</t>
          </r>
        </is>
      </c>
      <c r="C1538" s="22" t="inlineStr">
        <is>
          <r>
            <t xml:space="preserve">SEINFRA</t>
          </r>
        </is>
      </c>
      <c r="D1538" s="22" t="inlineStr">
        <is>
          <r>
            <t xml:space="preserve">M3</t>
          </r>
        </is>
      </c>
      <c r="E1538" s="24" t="n">
        <v>21.82</v>
      </c>
      <c r="F1538" s="25" t="n">
        <v>31.38</v>
      </c>
      <c r="G1538" s="25" t="n">
        <f>ROUND(ROUND(E1538,8)*F1538,2)</f>
        <v>684.71</v>
      </c>
    </row>
    <row r="1539" customHeight="1" ht="15">
      <c r="A1539" s="2" t="inlineStr"/>
      <c r="B1539" s="2" t="inlineStr"/>
      <c r="C1539" s="2" t="inlineStr"/>
      <c r="D1539" s="2" t="inlineStr"/>
      <c r="E1539" s="26" t="inlineStr">
        <is>
          <r>
            <t xml:space="preserve">TOTAL Serviço:</t>
          </r>
        </is>
      </c>
      <c r="F1539" s="26" t="inlineStr"/>
      <c r="G1539" s="27" t="n">
        <f>SUM(G1534:G1538)</f>
        <v>37839.4</v>
      </c>
    </row>
    <row r="1540" customHeight="1" ht="15">
      <c r="A1540" s="2" t="inlineStr"/>
      <c r="B1540" s="2" t="inlineStr"/>
      <c r="C1540" s="2" t="inlineStr"/>
      <c r="D1540" s="2" t="inlineStr"/>
      <c r="E1540" s="28" t="inlineStr">
        <is>
          <r>
            <t xml:space="preserve">VALOR:</t>
          </r>
        </is>
      </c>
      <c r="F1540" s="28" t="inlineStr"/>
      <c r="G1540" s="29" t="n">
        <f>ROUND(SUM(G1532,G1539),2)</f>
        <v>47118.23</v>
      </c>
    </row>
    <row r="1541" customHeight="1" ht="15">
      <c r="A1541" s="2" t="inlineStr"/>
      <c r="B1541" s="2" t="inlineStr"/>
      <c r="C1541" s="2" t="inlineStr"/>
      <c r="D1541" s="2" t="inlineStr"/>
      <c r="E1541" s="28" t="inlineStr">
        <is>
          <r>
            <t xml:space="preserve">VALOR BDI:</t>
          </r>
        </is>
      </c>
      <c r="F1541" s="28" t="inlineStr"/>
      <c r="G1541" s="29" t="n">
        <f>ROUND(G1540*(0/100),2)</f>
        <v>0.0</v>
      </c>
    </row>
    <row r="1542" customHeight="1" ht="15">
      <c r="A1542" s="2" t="inlineStr"/>
      <c r="B1542" s="2" t="inlineStr"/>
      <c r="C1542" s="2" t="inlineStr"/>
      <c r="D1542" s="2" t="inlineStr"/>
      <c r="E1542" s="28" t="inlineStr">
        <is>
          <r>
            <t xml:space="preserve">VALOR COM BDI:</t>
          </r>
        </is>
      </c>
      <c r="F1542" s="28" t="inlineStr"/>
      <c r="G1542" s="29" t="n">
        <f>G1541+G1540</f>
        <v>47118.23</v>
      </c>
    </row>
    <row r="1543" customHeight="1" ht="10">
      <c r="A1543" s="2" t="inlineStr"/>
      <c r="B1543" s="2" t="inlineStr"/>
      <c r="C1543" s="2" t="inlineStr"/>
      <c r="D1543" s="2" t="inlineStr"/>
      <c r="E1543" s="18" t="inlineStr"/>
      <c r="F1543" s="18" t="inlineStr"/>
      <c r="G1543" s="18" t="inlineStr"/>
    </row>
    <row r="1544" customHeight="1" ht="20">
      <c r="A1544" s="19" t="inlineStr">
        <is>
          <r>
            <t xml:space="preserve">1.6.2.1. ​C0366​ BANQUETA/ MEIO FIO DE CONCRETO P/ VIAS URBANAS (1,00x0,35x0,15m)​ (M)</t>
          </r>
        </is>
      </c>
      <c r="B1544" s="19" t="inlineStr"/>
      <c r="C1544" s="19" t="inlineStr"/>
      <c r="D1544" s="19" t="inlineStr"/>
      <c r="E1544" s="19" t="inlineStr"/>
      <c r="F1544" s="19" t="inlineStr"/>
      <c r="G1544" s="19" t="inlineStr"/>
    </row>
    <row r="1545" customHeight="1" ht="15">
      <c r="A1545" s="20" t="inlineStr">
        <is>
          <r>
            <t xml:space="preserve">Mão de Obra</t>
          </r>
        </is>
      </c>
      <c r="B1545" s="20" t="inlineStr"/>
      <c r="C1545" s="21" t="inlineStr">
        <is>
          <r>
            <t xml:space="preserve">FONTE</t>
          </r>
        </is>
      </c>
      <c r="D1545" s="21" t="inlineStr">
        <is>
          <r>
            <t xml:space="preserve">UNID</t>
          </r>
        </is>
      </c>
      <c r="E1545" s="21" t="inlineStr">
        <is>
          <r>
            <t xml:space="preserve">COEFICIENTE</t>
          </r>
        </is>
      </c>
      <c r="F1545" s="21" t="inlineStr">
        <is>
          <r>
            <t xml:space="preserve">PREÇO UNITÁRIO</t>
          </r>
        </is>
      </c>
      <c r="G1545" s="21" t="inlineStr">
        <is>
          <r>
            <t xml:space="preserve">TOTAL</t>
          </r>
        </is>
      </c>
    </row>
    <row r="1546" customHeight="1" ht="15">
      <c r="A1546" s="22" t="inlineStr">
        <is>
          <r>
            <t xml:space="preserve">I2391</t>
          </r>
        </is>
      </c>
      <c r="B1546" s="23" t="inlineStr">
        <is>
          <r>
            <t xml:space="preserve">PEDREIRO</t>
          </r>
        </is>
      </c>
      <c r="C1546" s="22" t="inlineStr">
        <is>
          <r>
            <t xml:space="preserve">SEINFRA</t>
          </r>
        </is>
      </c>
      <c r="D1546" s="22" t="inlineStr">
        <is>
          <r>
            <t xml:space="preserve">H</t>
          </r>
        </is>
      </c>
      <c r="E1546" s="24" t="n">
        <v>0.3</v>
      </c>
      <c r="F1546" s="30" t="n">
        <v>24.16</v>
      </c>
      <c r="G1546" s="30" t="n">
        <f>ROUND(ROUND(E1546,8)*F1546,4)</f>
        <v>7.248</v>
      </c>
    </row>
    <row r="1547" customHeight="1" ht="15">
      <c r="A1547" s="22" t="inlineStr">
        <is>
          <r>
            <t xml:space="preserve">I2543</t>
          </r>
        </is>
      </c>
      <c r="B1547" s="23" t="inlineStr">
        <is>
          <r>
            <t xml:space="preserve">SERVENTE</t>
          </r>
        </is>
      </c>
      <c r="C1547" s="22" t="inlineStr">
        <is>
          <r>
            <t xml:space="preserve">SEINFRA</t>
          </r>
        </is>
      </c>
      <c r="D1547" s="22" t="inlineStr">
        <is>
          <r>
            <t xml:space="preserve">H</t>
          </r>
        </is>
      </c>
      <c r="E1547" s="24" t="n">
        <v>0.4</v>
      </c>
      <c r="F1547" s="30" t="n">
        <v>18.46</v>
      </c>
      <c r="G1547" s="30" t="n">
        <f>ROUND(ROUND(E1547,8)*F1547,4)</f>
        <v>7.384</v>
      </c>
    </row>
    <row r="1548" customHeight="1" ht="15">
      <c r="A1548" s="2" t="inlineStr"/>
      <c r="B1548" s="2" t="inlineStr"/>
      <c r="C1548" s="2" t="inlineStr"/>
      <c r="D1548" s="2" t="inlineStr"/>
      <c r="E1548" s="26" t="inlineStr">
        <is>
          <r>
            <t xml:space="preserve">TOTAL Mão de Obra:</t>
          </r>
        </is>
      </c>
      <c r="F1548" s="26" t="inlineStr"/>
      <c r="G1548" s="31" t="n">
        <f>SUM(G1546:G1547)</f>
        <v>14.632</v>
      </c>
    </row>
    <row r="1549" customHeight="1" ht="15">
      <c r="A1549" s="20" t="inlineStr">
        <is>
          <r>
            <t xml:space="preserve">Serviço</t>
          </r>
        </is>
      </c>
      <c r="B1549" s="20" t="inlineStr"/>
      <c r="C1549" s="21" t="inlineStr">
        <is>
          <r>
            <t xml:space="preserve">FONTE</t>
          </r>
        </is>
      </c>
      <c r="D1549" s="21" t="inlineStr">
        <is>
          <r>
            <t xml:space="preserve">UNID</t>
          </r>
        </is>
      </c>
      <c r="E1549" s="21" t="inlineStr">
        <is>
          <r>
            <t xml:space="preserve">COEFICIENTE</t>
          </r>
        </is>
      </c>
      <c r="F1549" s="21" t="inlineStr">
        <is>
          <r>
            <t xml:space="preserve">PREÇO UNITÁRIO</t>
          </r>
        </is>
      </c>
      <c r="G1549" s="21" t="inlineStr">
        <is>
          <r>
            <t xml:space="preserve">TOTAL</t>
          </r>
        </is>
      </c>
    </row>
    <row r="1550" customHeight="1" ht="15">
      <c r="A1550" s="22" t="inlineStr">
        <is>
          <r>
            <t xml:space="preserve">C3127</t>
          </r>
        </is>
      </c>
      <c r="B1550" s="23" t="inlineStr">
        <is>
          <r>
            <t xml:space="preserve">AREIA ASFALTO USINADA À FRIO - AAUF (S/TRANSP)</t>
          </r>
        </is>
      </c>
      <c r="C1550" s="22" t="inlineStr">
        <is>
          <r>
            <t xml:space="preserve">SEINFRA</t>
          </r>
        </is>
      </c>
      <c r="D1550" s="22" t="inlineStr">
        <is>
          <r>
            <t xml:space="preserve">M3</t>
          </r>
        </is>
      </c>
      <c r="E1550" s="24" t="n">
        <v>0.003</v>
      </c>
      <c r="F1550" s="30" t="n">
        <v>90.99</v>
      </c>
      <c r="G1550" s="30" t="n">
        <f>ROUND(ROUND(E1550,8)*F1550,4)</f>
        <v>0.273</v>
      </c>
    </row>
    <row r="1551" customHeight="1" ht="21">
      <c r="A1551" s="22" t="inlineStr">
        <is>
          <r>
            <t xml:space="preserve">C3324</t>
          </r>
        </is>
      </c>
      <c r="B1551" s="23" t="inlineStr">
        <is>
          <r>
            <t xml:space="preserve">ARGAMASSA DE CIMENTO E AREIA TRAÇO 1:4 COM AREIA PRODUZIDA</t>
          </r>
        </is>
      </c>
      <c r="C1551" s="22" t="inlineStr">
        <is>
          <r>
            <t xml:space="preserve">SEINFRA</t>
          </r>
        </is>
      </c>
      <c r="D1551" s="22" t="inlineStr">
        <is>
          <r>
            <t xml:space="preserve">M3</t>
          </r>
        </is>
      </c>
      <c r="E1551" s="24" t="n">
        <v>7.0E-4</v>
      </c>
      <c r="F1551" s="30" t="n">
        <v>454.45</v>
      </c>
      <c r="G1551" s="30" t="n">
        <f>ROUND(ROUND(E1551,8)*F1551,4)</f>
        <v>0.3181</v>
      </c>
    </row>
    <row r="1552" customHeight="1" ht="15">
      <c r="A1552" s="22" t="inlineStr">
        <is>
          <r>
            <t xml:space="preserve">C0588</t>
          </r>
        </is>
      </c>
      <c r="B1552" s="23" t="inlineStr">
        <is>
          <r>
            <t xml:space="preserve">CAIAÇÃO EM DUAS DEMÃOS COM SUPERCAL</t>
          </r>
        </is>
      </c>
      <c r="C1552" s="22" t="inlineStr">
        <is>
          <r>
            <t xml:space="preserve">SEINFRA</t>
          </r>
        </is>
      </c>
      <c r="D1552" s="22" t="inlineStr">
        <is>
          <r>
            <t xml:space="preserve">M2</t>
          </r>
        </is>
      </c>
      <c r="E1552" s="24" t="n">
        <v>0.25</v>
      </c>
      <c r="F1552" s="30" t="n">
        <v>5.27</v>
      </c>
      <c r="G1552" s="30" t="n">
        <f>ROUND(ROUND(E1552,8)*F1552,4)</f>
        <v>1.3175</v>
      </c>
    </row>
    <row r="1553" customHeight="1" ht="21">
      <c r="A1553" s="22" t="inlineStr">
        <is>
          <r>
            <t xml:space="preserve">C3251</t>
          </r>
        </is>
      </c>
      <c r="B1553" s="23" t="inlineStr">
        <is>
          <r>
            <t xml:space="preserve">CONFECÇÃO DE BANQUETA / MEIO FIO PRÉ-MOLDADA DE CONCRETO PARA VIAS URBANAS (1,00 x 0,35 x 0,15m)</t>
          </r>
        </is>
      </c>
      <c r="C1553" s="22" t="inlineStr">
        <is>
          <r>
            <t xml:space="preserve">SEINFRA</t>
          </r>
        </is>
      </c>
      <c r="D1553" s="22" t="inlineStr">
        <is>
          <r>
            <t xml:space="preserve">M</t>
          </r>
        </is>
      </c>
      <c r="E1553" s="24" t="n">
        <v>1.0</v>
      </c>
      <c r="F1553" s="30" t="n">
        <v>43.92</v>
      </c>
      <c r="G1553" s="30" t="n">
        <f>ROUND(ROUND(E1553,8)*F1553,4)</f>
        <v>43.92</v>
      </c>
    </row>
    <row r="1554" customHeight="1" ht="15">
      <c r="A1554" s="22" t="inlineStr">
        <is>
          <r>
            <t xml:space="preserve">C2784</t>
          </r>
        </is>
      </c>
      <c r="B1554" s="23" t="inlineStr">
        <is>
          <r>
            <t xml:space="preserve">ESCAVAÇÃO MANUAL SOLO DE 1A.CAT. PROF. ATÉ 1.50m</t>
          </r>
        </is>
      </c>
      <c r="C1554" s="22" t="inlineStr">
        <is>
          <r>
            <t xml:space="preserve">SEINFRA</t>
          </r>
        </is>
      </c>
      <c r="D1554" s="22" t="inlineStr">
        <is>
          <r>
            <t xml:space="preserve">M3</t>
          </r>
        </is>
      </c>
      <c r="E1554" s="24" t="n">
        <v>0.02</v>
      </c>
      <c r="F1554" s="30" t="n">
        <v>48.92</v>
      </c>
      <c r="G1554" s="30" t="n">
        <f>ROUND(ROUND(E1554,8)*F1554,4)</f>
        <v>0.9784</v>
      </c>
    </row>
    <row r="1555" customHeight="1" ht="15">
      <c r="A1555" s="2" t="inlineStr"/>
      <c r="B1555" s="2" t="inlineStr"/>
      <c r="C1555" s="2" t="inlineStr"/>
      <c r="D1555" s="2" t="inlineStr"/>
      <c r="E1555" s="26" t="inlineStr">
        <is>
          <r>
            <t xml:space="preserve">TOTAL Serviço:</t>
          </r>
        </is>
      </c>
      <c r="F1555" s="26" t="inlineStr"/>
      <c r="G1555" s="31" t="n">
        <f>SUM(G1550:G1554)</f>
        <v>46.807</v>
      </c>
    </row>
    <row r="1556" customHeight="1" ht="15">
      <c r="A1556" s="2" t="inlineStr"/>
      <c r="B1556" s="2" t="inlineStr"/>
      <c r="C1556" s="2" t="inlineStr"/>
      <c r="D1556" s="2" t="inlineStr"/>
      <c r="E1556" s="28" t="inlineStr">
        <is>
          <r>
            <t xml:space="preserve">VALOR:</t>
          </r>
        </is>
      </c>
      <c r="F1556" s="28" t="inlineStr"/>
      <c r="G1556" s="29" t="n">
        <f>ROUND(SUM(G1548,G1555),2)</f>
        <v>61.44</v>
      </c>
    </row>
    <row r="1557" customHeight="1" ht="15">
      <c r="A1557" s="2" t="inlineStr"/>
      <c r="B1557" s="2" t="inlineStr"/>
      <c r="C1557" s="2" t="inlineStr"/>
      <c r="D1557" s="2" t="inlineStr"/>
      <c r="E1557" s="28" t="inlineStr">
        <is>
          <r>
            <t xml:space="preserve">VALOR BDI:</t>
          </r>
        </is>
      </c>
      <c r="F1557" s="28" t="inlineStr"/>
      <c r="G1557" s="29" t="n">
        <f>ROUND(G1556*(0/100),2)</f>
        <v>0.0</v>
      </c>
    </row>
    <row r="1558" customHeight="1" ht="15">
      <c r="A1558" s="2" t="inlineStr"/>
      <c r="B1558" s="2" t="inlineStr"/>
      <c r="C1558" s="2" t="inlineStr"/>
      <c r="D1558" s="2" t="inlineStr"/>
      <c r="E1558" s="28" t="inlineStr">
        <is>
          <r>
            <t xml:space="preserve">VALOR COM BDI:</t>
          </r>
        </is>
      </c>
      <c r="F1558" s="28" t="inlineStr"/>
      <c r="G1558" s="29" t="n">
        <f>G1557+G1556</f>
        <v>61.44</v>
      </c>
    </row>
    <row r="1559" customHeight="1" ht="10">
      <c r="A1559" s="2" t="inlineStr"/>
      <c r="B1559" s="2" t="inlineStr"/>
      <c r="C1559" s="2" t="inlineStr"/>
      <c r="D1559" s="2" t="inlineStr"/>
      <c r="E1559" s="18" t="inlineStr"/>
      <c r="F1559" s="18" t="inlineStr"/>
      <c r="G1559" s="18" t="inlineStr"/>
    </row>
    <row r="1560" customHeight="1" ht="20">
      <c r="A1560" s="19" t="inlineStr">
        <is>
          <r>
            <t xml:space="preserve">1.6.2.2. ​C3111​ SARJETA DE CONCRETO SIMPLES "U" C/H=0,35m/E=0,08m​ (M)</t>
          </r>
        </is>
      </c>
      <c r="B1560" s="19" t="inlineStr"/>
      <c r="C1560" s="19" t="inlineStr"/>
      <c r="D1560" s="19" t="inlineStr"/>
      <c r="E1560" s="19" t="inlineStr"/>
      <c r="F1560" s="19" t="inlineStr"/>
      <c r="G1560" s="19" t="inlineStr"/>
    </row>
    <row r="1561" customHeight="1" ht="15">
      <c r="A1561" s="20" t="inlineStr">
        <is>
          <r>
            <t xml:space="preserve">Material</t>
          </r>
        </is>
      </c>
      <c r="B1561" s="20" t="inlineStr"/>
      <c r="C1561" s="21" t="inlineStr">
        <is>
          <r>
            <t xml:space="preserve">FONTE</t>
          </r>
        </is>
      </c>
      <c r="D1561" s="21" t="inlineStr">
        <is>
          <r>
            <t xml:space="preserve">UNID</t>
          </r>
        </is>
      </c>
      <c r="E1561" s="21" t="inlineStr">
        <is>
          <r>
            <t xml:space="preserve">COEFICIENTE</t>
          </r>
        </is>
      </c>
      <c r="F1561" s="21" t="inlineStr">
        <is>
          <r>
            <t xml:space="preserve">PREÇO UNITÁRIO</t>
          </r>
        </is>
      </c>
      <c r="G1561" s="21" t="inlineStr">
        <is>
          <r>
            <t xml:space="preserve">TOTAL</t>
          </r>
        </is>
      </c>
    </row>
    <row r="1562" customHeight="1" ht="15">
      <c r="A1562" s="22" t="inlineStr">
        <is>
          <r>
            <t xml:space="preserve">I1846</t>
          </r>
        </is>
      </c>
      <c r="B1562" s="23" t="inlineStr">
        <is>
          <r>
            <t xml:space="preserve">SARRAFO DE 1"X4"</t>
          </r>
        </is>
      </c>
      <c r="C1562" s="22" t="inlineStr">
        <is>
          <r>
            <t xml:space="preserve">SEINFRA</t>
          </r>
        </is>
      </c>
      <c r="D1562" s="22" t="inlineStr">
        <is>
          <r>
            <t xml:space="preserve">M</t>
          </r>
        </is>
      </c>
      <c r="E1562" s="24" t="n">
        <v>0.68</v>
      </c>
      <c r="F1562" s="30" t="n">
        <v>6.05</v>
      </c>
      <c r="G1562" s="30" t="n">
        <f>ROUND(ROUND(E1562,8)*F1562,4)</f>
        <v>4.114</v>
      </c>
    </row>
    <row r="1563" customHeight="1" ht="15">
      <c r="A1563" s="2" t="inlineStr"/>
      <c r="B1563" s="2" t="inlineStr"/>
      <c r="C1563" s="2" t="inlineStr"/>
      <c r="D1563" s="2" t="inlineStr"/>
      <c r="E1563" s="26" t="inlineStr">
        <is>
          <r>
            <t xml:space="preserve">TOTAL Material:</t>
          </r>
        </is>
      </c>
      <c r="F1563" s="26" t="inlineStr"/>
      <c r="G1563" s="31" t="n">
        <f>SUM(G1562:G1562)</f>
        <v>4.114</v>
      </c>
    </row>
    <row r="1564" customHeight="1" ht="15">
      <c r="A1564" s="20" t="inlineStr">
        <is>
          <r>
            <t xml:space="preserve">Mão de Obra</t>
          </r>
        </is>
      </c>
      <c r="B1564" s="20" t="inlineStr"/>
      <c r="C1564" s="21" t="inlineStr">
        <is>
          <r>
            <t xml:space="preserve">FONTE</t>
          </r>
        </is>
      </c>
      <c r="D1564" s="21" t="inlineStr">
        <is>
          <r>
            <t xml:space="preserve">UNID</t>
          </r>
        </is>
      </c>
      <c r="E1564" s="21" t="inlineStr">
        <is>
          <r>
            <t xml:space="preserve">COEFICIENTE</t>
          </r>
        </is>
      </c>
      <c r="F1564" s="21" t="inlineStr">
        <is>
          <r>
            <t xml:space="preserve">PREÇO UNITÁRIO</t>
          </r>
        </is>
      </c>
      <c r="G1564" s="21" t="inlineStr">
        <is>
          <r>
            <t xml:space="preserve">TOTAL</t>
          </r>
        </is>
      </c>
    </row>
    <row r="1565" customHeight="1" ht="15">
      <c r="A1565" s="22" t="inlineStr">
        <is>
          <r>
            <t xml:space="preserve">I0498</t>
          </r>
        </is>
      </c>
      <c r="B1565" s="23" t="inlineStr">
        <is>
          <r>
            <t xml:space="preserve">CARPINTEIRO</t>
          </r>
        </is>
      </c>
      <c r="C1565" s="22" t="inlineStr">
        <is>
          <r>
            <t xml:space="preserve">SEINFRA</t>
          </r>
        </is>
      </c>
      <c r="D1565" s="22" t="inlineStr">
        <is>
          <r>
            <t xml:space="preserve">H</t>
          </r>
        </is>
      </c>
      <c r="E1565" s="24" t="n">
        <v>0.03</v>
      </c>
      <c r="F1565" s="30" t="n">
        <v>24.16</v>
      </c>
      <c r="G1565" s="30" t="n">
        <f>ROUND(ROUND(E1565,8)*F1565,4)</f>
        <v>0.7248</v>
      </c>
    </row>
    <row r="1566" customHeight="1" ht="15">
      <c r="A1566" s="22" t="inlineStr">
        <is>
          <r>
            <t xml:space="preserve">I2543</t>
          </r>
        </is>
      </c>
      <c r="B1566" s="23" t="inlineStr">
        <is>
          <r>
            <t xml:space="preserve">SERVENTE</t>
          </r>
        </is>
      </c>
      <c r="C1566" s="22" t="inlineStr">
        <is>
          <r>
            <t xml:space="preserve">SEINFRA</t>
          </r>
        </is>
      </c>
      <c r="D1566" s="22" t="inlineStr">
        <is>
          <r>
            <t xml:space="preserve">H</t>
          </r>
        </is>
      </c>
      <c r="E1566" s="24" t="n">
        <v>0.06</v>
      </c>
      <c r="F1566" s="30" t="n">
        <v>18.46</v>
      </c>
      <c r="G1566" s="30" t="n">
        <f>ROUND(ROUND(E1566,8)*F1566,4)</f>
        <v>1.1076</v>
      </c>
    </row>
    <row r="1567" customHeight="1" ht="15">
      <c r="A1567" s="2" t="inlineStr"/>
      <c r="B1567" s="2" t="inlineStr"/>
      <c r="C1567" s="2" t="inlineStr"/>
      <c r="D1567" s="2" t="inlineStr"/>
      <c r="E1567" s="26" t="inlineStr">
        <is>
          <r>
            <t xml:space="preserve">TOTAL Mão de Obra:</t>
          </r>
        </is>
      </c>
      <c r="F1567" s="26" t="inlineStr"/>
      <c r="G1567" s="31" t="n">
        <f>SUM(G1565:G1566)</f>
        <v>1.8324</v>
      </c>
    </row>
    <row r="1568" customHeight="1" ht="15">
      <c r="A1568" s="20" t="inlineStr">
        <is>
          <r>
            <t xml:space="preserve">Serviço</t>
          </r>
        </is>
      </c>
      <c r="B1568" s="20" t="inlineStr"/>
      <c r="C1568" s="21" t="inlineStr">
        <is>
          <r>
            <t xml:space="preserve">FONTE</t>
          </r>
        </is>
      </c>
      <c r="D1568" s="21" t="inlineStr">
        <is>
          <r>
            <t xml:space="preserve">UNID</t>
          </r>
        </is>
      </c>
      <c r="E1568" s="21" t="inlineStr">
        <is>
          <r>
            <t xml:space="preserve">COEFICIENTE</t>
          </r>
        </is>
      </c>
      <c r="F1568" s="21" t="inlineStr">
        <is>
          <r>
            <t xml:space="preserve">PREÇO UNITÁRIO</t>
          </r>
        </is>
      </c>
      <c r="G1568" s="21" t="inlineStr">
        <is>
          <r>
            <t xml:space="preserve">TOTAL</t>
          </r>
        </is>
      </c>
    </row>
    <row r="1569" customHeight="1" ht="15">
      <c r="A1569" s="22" t="inlineStr">
        <is>
          <r>
            <t xml:space="preserve">C3127</t>
          </r>
        </is>
      </c>
      <c r="B1569" s="23" t="inlineStr">
        <is>
          <r>
            <t xml:space="preserve">AREIA ASFALTO USINADA À FRIO - AAUF (S/TRANSP)</t>
          </r>
        </is>
      </c>
      <c r="C1569" s="22" t="inlineStr">
        <is>
          <r>
            <t xml:space="preserve">SEINFRA</t>
          </r>
        </is>
      </c>
      <c r="D1569" s="22" t="inlineStr">
        <is>
          <r>
            <t xml:space="preserve">M3</t>
          </r>
        </is>
      </c>
      <c r="E1569" s="24" t="n">
        <v>0.0014</v>
      </c>
      <c r="F1569" s="30" t="n">
        <v>90.99</v>
      </c>
      <c r="G1569" s="30" t="n">
        <f>ROUND(ROUND(E1569,8)*F1569,4)</f>
        <v>0.1274</v>
      </c>
    </row>
    <row r="1570" customHeight="1" ht="15">
      <c r="A1570" s="22" t="inlineStr">
        <is>
          <r>
            <t xml:space="preserve">C0588</t>
          </r>
        </is>
      </c>
      <c r="B1570" s="23" t="inlineStr">
        <is>
          <r>
            <t xml:space="preserve">CAIAÇÃO EM DUAS DEMÃOS COM SUPERCAL</t>
          </r>
        </is>
      </c>
      <c r="C1570" s="22" t="inlineStr">
        <is>
          <r>
            <t xml:space="preserve">SEINFRA</t>
          </r>
        </is>
      </c>
      <c r="D1570" s="22" t="inlineStr">
        <is>
          <r>
            <t xml:space="preserve">M2</t>
          </r>
        </is>
      </c>
      <c r="E1570" s="24" t="n">
        <v>1.36</v>
      </c>
      <c r="F1570" s="30" t="n">
        <v>5.27</v>
      </c>
      <c r="G1570" s="30" t="n">
        <f>ROUND(ROUND(E1570,8)*F1570,4)</f>
        <v>7.1672</v>
      </c>
    </row>
    <row r="1571" customHeight="1" ht="21">
      <c r="A1571" s="22" t="inlineStr">
        <is>
          <r>
            <t xml:space="preserve">C3268</t>
          </r>
        </is>
      </c>
      <c r="B1571" s="23" t="inlineStr">
        <is>
          <r>
            <t xml:space="preserve">CONCRETO P/VIBR., FCK=10MPa COM AGREGADO PRODUZIDO (S/TRANSP.)</t>
          </r>
        </is>
      </c>
      <c r="C1571" s="22" t="inlineStr">
        <is>
          <r>
            <t xml:space="preserve">SEINFRA</t>
          </r>
        </is>
      </c>
      <c r="D1571" s="22" t="inlineStr">
        <is>
          <r>
            <t xml:space="preserve">M3</t>
          </r>
        </is>
      </c>
      <c r="E1571" s="24" t="n">
        <v>0.109</v>
      </c>
      <c r="F1571" s="30" t="n">
        <v>412.47</v>
      </c>
      <c r="G1571" s="30" t="n">
        <f>ROUND(ROUND(E1571,8)*F1571,4)</f>
        <v>44.9592</v>
      </c>
    </row>
    <row r="1572" customHeight="1" ht="15">
      <c r="A1572" s="22" t="inlineStr">
        <is>
          <r>
            <t xml:space="preserve">C2784</t>
          </r>
        </is>
      </c>
      <c r="B1572" s="23" t="inlineStr">
        <is>
          <r>
            <t xml:space="preserve">ESCAVAÇÃO MANUAL SOLO DE 1A.CAT. PROF. ATÉ 1.50m</t>
          </r>
        </is>
      </c>
      <c r="C1572" s="22" t="inlineStr">
        <is>
          <r>
            <t xml:space="preserve">SEINFRA</t>
          </r>
        </is>
      </c>
      <c r="D1572" s="22" t="inlineStr">
        <is>
          <r>
            <t xml:space="preserve">M3</t>
          </r>
        </is>
      </c>
      <c r="E1572" s="24" t="n">
        <v>0.284</v>
      </c>
      <c r="F1572" s="30" t="n">
        <v>48.92</v>
      </c>
      <c r="G1572" s="30" t="n">
        <f>ROUND(ROUND(E1572,8)*F1572,4)</f>
        <v>13.8933</v>
      </c>
    </row>
    <row r="1573" customHeight="1" ht="21">
      <c r="A1573" s="22" t="inlineStr">
        <is>
          <r>
            <t xml:space="preserve">C1405</t>
          </r>
        </is>
      </c>
      <c r="B1573" s="23" t="inlineStr">
        <is>
          <r>
            <t xml:space="preserve">FORMA PLANA CHAPA COMPENSADA RESINADA, ESP.= 12mm UTIL. 3 X</t>
          </r>
        </is>
      </c>
      <c r="C1573" s="22" t="inlineStr">
        <is>
          <r>
            <t xml:space="preserve">SEINFRA</t>
          </r>
        </is>
      </c>
      <c r="D1573" s="22" t="inlineStr">
        <is>
          <r>
            <t xml:space="preserve">M2</t>
          </r>
        </is>
      </c>
      <c r="E1573" s="24" t="n">
        <v>0.7</v>
      </c>
      <c r="F1573" s="30" t="n">
        <v>140.12</v>
      </c>
      <c r="G1573" s="30" t="n">
        <f>ROUND(ROUND(E1573,8)*F1573,4)</f>
        <v>98.084</v>
      </c>
    </row>
    <row r="1574" customHeight="1" ht="15">
      <c r="A1574" s="2" t="inlineStr"/>
      <c r="B1574" s="2" t="inlineStr"/>
      <c r="C1574" s="2" t="inlineStr"/>
      <c r="D1574" s="2" t="inlineStr"/>
      <c r="E1574" s="26" t="inlineStr">
        <is>
          <r>
            <t xml:space="preserve">TOTAL Serviço:</t>
          </r>
        </is>
      </c>
      <c r="F1574" s="26" t="inlineStr"/>
      <c r="G1574" s="31" t="n">
        <f>SUM(G1569:G1573)</f>
        <v>164.2311</v>
      </c>
    </row>
    <row r="1575" customHeight="1" ht="15">
      <c r="A1575" s="2" t="inlineStr"/>
      <c r="B1575" s="2" t="inlineStr"/>
      <c r="C1575" s="2" t="inlineStr"/>
      <c r="D1575" s="2" t="inlineStr"/>
      <c r="E1575" s="28" t="inlineStr">
        <is>
          <r>
            <t xml:space="preserve">VALOR:</t>
          </r>
        </is>
      </c>
      <c r="F1575" s="28" t="inlineStr"/>
      <c r="G1575" s="29" t="n">
        <f>ROUND(SUM(G1563,G1567,G1574),2)</f>
        <v>170.18</v>
      </c>
    </row>
    <row r="1576" customHeight="1" ht="15">
      <c r="A1576" s="2" t="inlineStr"/>
      <c r="B1576" s="2" t="inlineStr"/>
      <c r="C1576" s="2" t="inlineStr"/>
      <c r="D1576" s="2" t="inlineStr"/>
      <c r="E1576" s="28" t="inlineStr">
        <is>
          <r>
            <t xml:space="preserve">VALOR BDI:</t>
          </r>
        </is>
      </c>
      <c r="F1576" s="28" t="inlineStr"/>
      <c r="G1576" s="29" t="n">
        <f>ROUND(G1575*(0/100),2)</f>
        <v>0.0</v>
      </c>
    </row>
    <row r="1577" customHeight="1" ht="15">
      <c r="A1577" s="2" t="inlineStr"/>
      <c r="B1577" s="2" t="inlineStr"/>
      <c r="C1577" s="2" t="inlineStr"/>
      <c r="D1577" s="2" t="inlineStr"/>
      <c r="E1577" s="28" t="inlineStr">
        <is>
          <r>
            <t xml:space="preserve">VALOR COM BDI:</t>
          </r>
        </is>
      </c>
      <c r="F1577" s="28" t="inlineStr"/>
      <c r="G1577" s="29" t="n">
        <f>G1576+G1575</f>
        <v>170.18</v>
      </c>
    </row>
    <row r="1578" customHeight="1" ht="10">
      <c r="A1578" s="2" t="inlineStr"/>
      <c r="B1578" s="2" t="inlineStr"/>
      <c r="C1578" s="2" t="inlineStr"/>
      <c r="D1578" s="2" t="inlineStr"/>
      <c r="E1578" s="18" t="inlineStr"/>
      <c r="F1578" s="18" t="inlineStr"/>
      <c r="G1578" s="18" t="inlineStr"/>
    </row>
    <row r="1579" customHeight="1" ht="20">
      <c r="A1579" s="19" t="inlineStr">
        <is>
          <r>
            <t xml:space="preserve">1.7.1. ​C3297​ PLACA DE REGULAMENTAÇÃO/ADVERTÊNCIA REFLETIVA EM AÇO GALVANIZADO C/PELÍCULA ANTI-PICHANTE​ (M2)</t>
          </r>
        </is>
      </c>
      <c r="B1579" s="19" t="inlineStr"/>
      <c r="C1579" s="19" t="inlineStr"/>
      <c r="D1579" s="19" t="inlineStr"/>
      <c r="E1579" s="19" t="inlineStr"/>
      <c r="F1579" s="19" t="inlineStr"/>
      <c r="G1579" s="19" t="inlineStr"/>
    </row>
    <row r="1580" customHeight="1" ht="15">
      <c r="A1580" s="20" t="inlineStr">
        <is>
          <r>
            <t xml:space="preserve">Equipamento Custo Horário</t>
          </r>
        </is>
      </c>
      <c r="B1580" s="20" t="inlineStr"/>
      <c r="C1580" s="21" t="inlineStr">
        <is>
          <r>
            <t xml:space="preserve">FONTE</t>
          </r>
        </is>
      </c>
      <c r="D1580" s="21" t="inlineStr">
        <is>
          <r>
            <t xml:space="preserve">UNID</t>
          </r>
        </is>
      </c>
      <c r="E1580" s="21" t="inlineStr">
        <is>
          <r>
            <t xml:space="preserve">COEFICIENTE</t>
          </r>
        </is>
      </c>
      <c r="F1580" s="21" t="inlineStr">
        <is>
          <r>
            <t xml:space="preserve">PREÇO UNITÁRIO</t>
          </r>
        </is>
      </c>
      <c r="G1580" s="21" t="inlineStr">
        <is>
          <r>
            <t xml:space="preserve">TOTAL</t>
          </r>
        </is>
      </c>
    </row>
    <row r="1581" customHeight="1" ht="15">
      <c r="A1581" s="22" t="inlineStr">
        <is>
          <r>
            <t xml:space="preserve">I0581</t>
          </r>
        </is>
      </c>
      <c r="B1581" s="23" t="inlineStr">
        <is>
          <r>
            <t xml:space="preserve">CAMINHÃO C/CARROCERIA DE MADEIRA HP 136 (CHI)</t>
          </r>
        </is>
      </c>
      <c r="C1581" s="22" t="inlineStr">
        <is>
          <r>
            <t xml:space="preserve">SEINFRA</t>
          </r>
        </is>
      </c>
      <c r="D1581" s="22" t="inlineStr">
        <is>
          <r>
            <t xml:space="preserve">H</t>
          </r>
        </is>
      </c>
      <c r="E1581" s="24" t="n">
        <v>0.9</v>
      </c>
      <c r="F1581" s="30" t="n">
        <v>63.2959</v>
      </c>
      <c r="G1581" s="30" t="n">
        <f>ROUND(ROUND(E1581,8)*F1581,4)</f>
        <v>56.9663</v>
      </c>
    </row>
    <row r="1582" customHeight="1" ht="15">
      <c r="A1582" s="22" t="inlineStr">
        <is>
          <r>
            <t xml:space="preserve">I0703</t>
          </r>
        </is>
      </c>
      <c r="B1582" s="23" t="inlineStr">
        <is>
          <r>
            <t xml:space="preserve">CAMINHÃO C/CARROCERIA DE MADEIRA HP 136 (CHP)</t>
          </r>
        </is>
      </c>
      <c r="C1582" s="22" t="inlineStr">
        <is>
          <r>
            <t xml:space="preserve">SEINFRA</t>
          </r>
        </is>
      </c>
      <c r="D1582" s="22" t="inlineStr">
        <is>
          <r>
            <t xml:space="preserve">H</t>
          </r>
        </is>
      </c>
      <c r="E1582" s="24" t="n">
        <v>0.1</v>
      </c>
      <c r="F1582" s="30" t="n">
        <v>172.3484</v>
      </c>
      <c r="G1582" s="30" t="n">
        <f>ROUND(ROUND(E1582,8)*F1582,4)</f>
        <v>17.2348</v>
      </c>
    </row>
    <row r="1583" customHeight="1" ht="18">
      <c r="A1583" s="2" t="inlineStr"/>
      <c r="B1583" s="2" t="inlineStr"/>
      <c r="C1583" s="2" t="inlineStr"/>
      <c r="D1583" s="2" t="inlineStr"/>
      <c r="E1583" s="26" t="inlineStr">
        <is>
          <r>
            <t xml:space="preserve">TOTAL Equipamento Custo Horário:</t>
          </r>
        </is>
      </c>
      <c r="F1583" s="26" t="inlineStr"/>
      <c r="G1583" s="31" t="n">
        <f>SUM(G1581:G1582)</f>
        <v>74.2011</v>
      </c>
    </row>
    <row r="1584" customHeight="1" ht="15">
      <c r="A1584" s="20" t="inlineStr">
        <is>
          <r>
            <t xml:space="preserve">Material</t>
          </r>
        </is>
      </c>
      <c r="B1584" s="20" t="inlineStr"/>
      <c r="C1584" s="21" t="inlineStr">
        <is>
          <r>
            <t xml:space="preserve">FONTE</t>
          </r>
        </is>
      </c>
      <c r="D1584" s="21" t="inlineStr">
        <is>
          <r>
            <t xml:space="preserve">UNID</t>
          </r>
        </is>
      </c>
      <c r="E1584" s="21" t="inlineStr">
        <is>
          <r>
            <t xml:space="preserve">COEFICIENTE</t>
          </r>
        </is>
      </c>
      <c r="F1584" s="21" t="inlineStr">
        <is>
          <r>
            <t xml:space="preserve">PREÇO UNITÁRIO</t>
          </r>
        </is>
      </c>
      <c r="G1584" s="21" t="inlineStr">
        <is>
          <r>
            <t xml:space="preserve">TOTAL</t>
          </r>
        </is>
      </c>
    </row>
    <row r="1585" customHeight="1" ht="15">
      <c r="A1585" s="22" t="inlineStr">
        <is>
          <r>
            <t xml:space="preserve">I2525</t>
          </r>
        </is>
      </c>
      <c r="B1585" s="23" t="inlineStr">
        <is>
          <r>
            <t xml:space="preserve">PARAFUSO C/PORCA E ARRUELA DE 1/4X1 1/2"</t>
          </r>
        </is>
      </c>
      <c r="C1585" s="22" t="inlineStr">
        <is>
          <r>
            <t xml:space="preserve">SEINFRA</t>
          </r>
        </is>
      </c>
      <c r="D1585" s="22" t="inlineStr">
        <is>
          <r>
            <t xml:space="preserve">UN</t>
          </r>
        </is>
      </c>
      <c r="E1585" s="24" t="n">
        <v>2.0</v>
      </c>
      <c r="F1585" s="30" t="n">
        <v>0.6</v>
      </c>
      <c r="G1585" s="30" t="n">
        <f>ROUND(ROUND(E1585,8)*F1585,4)</f>
        <v>1.2</v>
      </c>
    </row>
    <row r="1586" customHeight="1" ht="15">
      <c r="A1586" s="22" t="inlineStr">
        <is>
          <r>
            <t xml:space="preserve">I2526</t>
          </r>
        </is>
      </c>
      <c r="B1586" s="23" t="inlineStr">
        <is>
          <r>
            <t xml:space="preserve">PARAFUSO C/PORCA E ARRUELA DE 5/16X3 1/2"</t>
          </r>
        </is>
      </c>
      <c r="C1586" s="22" t="inlineStr">
        <is>
          <r>
            <t xml:space="preserve">SEINFRA</t>
          </r>
        </is>
      </c>
      <c r="D1586" s="22" t="inlineStr">
        <is>
          <r>
            <t xml:space="preserve">UN</t>
          </r>
        </is>
      </c>
      <c r="E1586" s="24" t="n">
        <v>3.0</v>
      </c>
      <c r="F1586" s="30" t="n">
        <v>1.04</v>
      </c>
      <c r="G1586" s="30" t="n">
        <f>ROUND(ROUND(E1586,8)*F1586,4)</f>
        <v>3.12</v>
      </c>
    </row>
    <row r="1587" customHeight="1" ht="21">
      <c r="A1587" s="22" t="inlineStr">
        <is>
          <r>
            <t xml:space="preserve">I2573</t>
          </r>
        </is>
      </c>
      <c r="B1587" s="23" t="inlineStr">
        <is>
          <r>
            <t xml:space="preserve">PLACA REFLETIVA DE AÇO GALVANIZADO C/PELICULA ANTI-PICHANTE</t>
          </r>
        </is>
      </c>
      <c r="C1587" s="22" t="inlineStr">
        <is>
          <r>
            <t xml:space="preserve">SEINFRA</t>
          </r>
        </is>
      </c>
      <c r="D1587" s="22" t="inlineStr">
        <is>
          <r>
            <t xml:space="preserve">M2</t>
          </r>
        </is>
      </c>
      <c r="E1587" s="24" t="n">
        <v>1.0</v>
      </c>
      <c r="F1587" s="30" t="n">
        <v>671.21</v>
      </c>
      <c r="G1587" s="30" t="n">
        <f>ROUND(ROUND(E1587,8)*F1587,4)</f>
        <v>671.21</v>
      </c>
    </row>
    <row r="1588" customHeight="1" ht="15">
      <c r="A1588" s="22" t="inlineStr">
        <is>
          <r>
            <t xml:space="preserve">I0198</t>
          </r>
        </is>
      </c>
      <c r="B1588" s="23" t="inlineStr">
        <is>
          <r>
            <t xml:space="preserve">PONTALETE / BARROTE DE 3"x3" - APARELHADO</t>
          </r>
        </is>
      </c>
      <c r="C1588" s="22" t="inlineStr">
        <is>
          <r>
            <t xml:space="preserve">SEINFRA</t>
          </r>
        </is>
      </c>
      <c r="D1588" s="22" t="inlineStr">
        <is>
          <r>
            <t xml:space="preserve">M</t>
          </r>
        </is>
      </c>
      <c r="E1588" s="24" t="n">
        <v>3.0</v>
      </c>
      <c r="F1588" s="30" t="n">
        <v>22.11</v>
      </c>
      <c r="G1588" s="30" t="n">
        <f>ROUND(ROUND(E1588,8)*F1588,4)</f>
        <v>66.33</v>
      </c>
    </row>
    <row r="1589" customHeight="1" ht="15">
      <c r="A1589" s="22" t="inlineStr">
        <is>
          <r>
            <t xml:space="preserve">I2542</t>
          </r>
        </is>
      </c>
      <c r="B1589" s="23" t="inlineStr">
        <is>
          <r>
            <t xml:space="preserve">TRAVESSA DE MADEIRA C/SECAO DE 3"X1 1/2"</t>
          </r>
        </is>
      </c>
      <c r="C1589" s="22" t="inlineStr">
        <is>
          <r>
            <t xml:space="preserve">SEINFRA</t>
          </r>
        </is>
      </c>
      <c r="D1589" s="22" t="inlineStr">
        <is>
          <r>
            <t xml:space="preserve">M</t>
          </r>
        </is>
      </c>
      <c r="E1589" s="24" t="n">
        <v>1.0</v>
      </c>
      <c r="F1589" s="30" t="n">
        <v>10.49</v>
      </c>
      <c r="G1589" s="30" t="n">
        <f>ROUND(ROUND(E1589,8)*F1589,4)</f>
        <v>10.49</v>
      </c>
    </row>
    <row r="1590" customHeight="1" ht="15">
      <c r="A1590" s="2" t="inlineStr"/>
      <c r="B1590" s="2" t="inlineStr"/>
      <c r="C1590" s="2" t="inlineStr"/>
      <c r="D1590" s="2" t="inlineStr"/>
      <c r="E1590" s="26" t="inlineStr">
        <is>
          <r>
            <t xml:space="preserve">TOTAL Material:</t>
          </r>
        </is>
      </c>
      <c r="F1590" s="26" t="inlineStr"/>
      <c r="G1590" s="31" t="n">
        <f>SUM(G1585:G1589)</f>
        <v>752.35</v>
      </c>
    </row>
    <row r="1591" customHeight="1" ht="15">
      <c r="A1591" s="20" t="inlineStr">
        <is>
          <r>
            <t xml:space="preserve">Mão de Obra</t>
          </r>
        </is>
      </c>
      <c r="B1591" s="20" t="inlineStr"/>
      <c r="C1591" s="21" t="inlineStr">
        <is>
          <r>
            <t xml:space="preserve">FONTE</t>
          </r>
        </is>
      </c>
      <c r="D1591" s="21" t="inlineStr">
        <is>
          <r>
            <t xml:space="preserve">UNID</t>
          </r>
        </is>
      </c>
      <c r="E1591" s="21" t="inlineStr">
        <is>
          <r>
            <t xml:space="preserve">COEFICIENTE</t>
          </r>
        </is>
      </c>
      <c r="F1591" s="21" t="inlineStr">
        <is>
          <r>
            <t xml:space="preserve">PREÇO UNITÁRIO</t>
          </r>
        </is>
      </c>
      <c r="G1591" s="21" t="inlineStr">
        <is>
          <r>
            <t xml:space="preserve">TOTAL</t>
          </r>
        </is>
      </c>
    </row>
    <row r="1592" customHeight="1" ht="15">
      <c r="A1592" s="22" t="inlineStr">
        <is>
          <r>
            <t xml:space="preserve">I0498</t>
          </r>
        </is>
      </c>
      <c r="B1592" s="23" t="inlineStr">
        <is>
          <r>
            <t xml:space="preserve">CARPINTEIRO</t>
          </r>
        </is>
      </c>
      <c r="C1592" s="22" t="inlineStr">
        <is>
          <r>
            <t xml:space="preserve">SEINFRA</t>
          </r>
        </is>
      </c>
      <c r="D1592" s="22" t="inlineStr">
        <is>
          <r>
            <t xml:space="preserve">H</t>
          </r>
        </is>
      </c>
      <c r="E1592" s="24" t="n">
        <v>0.1</v>
      </c>
      <c r="F1592" s="30" t="n">
        <v>24.16</v>
      </c>
      <c r="G1592" s="30" t="n">
        <f>ROUND(ROUND(E1592,8)*F1592,4)</f>
        <v>2.416</v>
      </c>
    </row>
    <row r="1593" customHeight="1" ht="15">
      <c r="A1593" s="22" t="inlineStr">
        <is>
          <r>
            <t xml:space="preserve">I2543</t>
          </r>
        </is>
      </c>
      <c r="B1593" s="23" t="inlineStr">
        <is>
          <r>
            <t xml:space="preserve">SERVENTE</t>
          </r>
        </is>
      </c>
      <c r="C1593" s="22" t="inlineStr">
        <is>
          <r>
            <t xml:space="preserve">SEINFRA</t>
          </r>
        </is>
      </c>
      <c r="D1593" s="22" t="inlineStr">
        <is>
          <r>
            <t xml:space="preserve">H</t>
          </r>
        </is>
      </c>
      <c r="E1593" s="24" t="n">
        <v>1.0</v>
      </c>
      <c r="F1593" s="30" t="n">
        <v>18.46</v>
      </c>
      <c r="G1593" s="30" t="n">
        <f>ROUND(ROUND(E1593,8)*F1593,4)</f>
        <v>18.46</v>
      </c>
    </row>
    <row r="1594" customHeight="1" ht="15">
      <c r="A1594" s="2" t="inlineStr"/>
      <c r="B1594" s="2" t="inlineStr"/>
      <c r="C1594" s="2" t="inlineStr"/>
      <c r="D1594" s="2" t="inlineStr"/>
      <c r="E1594" s="26" t="inlineStr">
        <is>
          <r>
            <t xml:space="preserve">TOTAL Mão de Obra:</t>
          </r>
        </is>
      </c>
      <c r="F1594" s="26" t="inlineStr"/>
      <c r="G1594" s="31" t="n">
        <f>SUM(G1592:G1593)</f>
        <v>20.876</v>
      </c>
    </row>
    <row r="1595" customHeight="1" ht="15">
      <c r="A1595" s="20" t="inlineStr">
        <is>
          <r>
            <t xml:space="preserve">Serviço</t>
          </r>
        </is>
      </c>
      <c r="B1595" s="20" t="inlineStr"/>
      <c r="C1595" s="21" t="inlineStr">
        <is>
          <r>
            <t xml:space="preserve">FONTE</t>
          </r>
        </is>
      </c>
      <c r="D1595" s="21" t="inlineStr">
        <is>
          <r>
            <t xml:space="preserve">UNID</t>
          </r>
        </is>
      </c>
      <c r="E1595" s="21" t="inlineStr">
        <is>
          <r>
            <t xml:space="preserve">COEFICIENTE</t>
          </r>
        </is>
      </c>
      <c r="F1595" s="21" t="inlineStr">
        <is>
          <r>
            <t xml:space="preserve">PREÇO UNITÁRIO</t>
          </r>
        </is>
      </c>
      <c r="G1595" s="21" t="inlineStr">
        <is>
          <r>
            <t xml:space="preserve">TOTAL</t>
          </r>
        </is>
      </c>
    </row>
    <row r="1596" customHeight="1" ht="21">
      <c r="A1596" s="22" t="inlineStr">
        <is>
          <r>
            <t xml:space="preserve">C3268</t>
          </r>
        </is>
      </c>
      <c r="B1596" s="23" t="inlineStr">
        <is>
          <r>
            <t xml:space="preserve">CONCRETO P/VIBR., FCK=10MPa COM AGREGADO PRODUZIDO (S/TRANSP.)</t>
          </r>
        </is>
      </c>
      <c r="C1596" s="22" t="inlineStr">
        <is>
          <r>
            <t xml:space="preserve">SEINFRA</t>
          </r>
        </is>
      </c>
      <c r="D1596" s="22" t="inlineStr">
        <is>
          <r>
            <t xml:space="preserve">M3</t>
          </r>
        </is>
      </c>
      <c r="E1596" s="24" t="n">
        <v>0.018</v>
      </c>
      <c r="F1596" s="30" t="n">
        <v>412.47</v>
      </c>
      <c r="G1596" s="30" t="n">
        <f>ROUND(ROUND(E1596,8)*F1596,4)</f>
        <v>7.4245</v>
      </c>
    </row>
    <row r="1597" customHeight="1" ht="15">
      <c r="A1597" s="2" t="inlineStr"/>
      <c r="B1597" s="2" t="inlineStr"/>
      <c r="C1597" s="2" t="inlineStr"/>
      <c r="D1597" s="2" t="inlineStr"/>
      <c r="E1597" s="26" t="inlineStr">
        <is>
          <r>
            <t xml:space="preserve">TOTAL Serviço:</t>
          </r>
        </is>
      </c>
      <c r="F1597" s="26" t="inlineStr"/>
      <c r="G1597" s="31" t="n">
        <f>SUM(G1596:G1596)</f>
        <v>7.4245</v>
      </c>
    </row>
    <row r="1598" customHeight="1" ht="15">
      <c r="A1598" s="2" t="inlineStr"/>
      <c r="B1598" s="2" t="inlineStr"/>
      <c r="C1598" s="2" t="inlineStr"/>
      <c r="D1598" s="2" t="inlineStr"/>
      <c r="E1598" s="28" t="inlineStr">
        <is>
          <r>
            <t xml:space="preserve">VALOR:</t>
          </r>
        </is>
      </c>
      <c r="F1598" s="28" t="inlineStr"/>
      <c r="G1598" s="29" t="n">
        <f>ROUND(SUM(G1583,G1590,G1594,G1597),2)</f>
        <v>854.85</v>
      </c>
    </row>
    <row r="1599" customHeight="1" ht="15">
      <c r="A1599" s="2" t="inlineStr"/>
      <c r="B1599" s="2" t="inlineStr"/>
      <c r="C1599" s="2" t="inlineStr"/>
      <c r="D1599" s="2" t="inlineStr"/>
      <c r="E1599" s="28" t="inlineStr">
        <is>
          <r>
            <t xml:space="preserve">VALOR BDI:</t>
          </r>
        </is>
      </c>
      <c r="F1599" s="28" t="inlineStr"/>
      <c r="G1599" s="29" t="n">
        <f>ROUND(G1598*(0/100),2)</f>
        <v>0.0</v>
      </c>
    </row>
    <row r="1600" customHeight="1" ht="15">
      <c r="A1600" s="2" t="inlineStr"/>
      <c r="B1600" s="2" t="inlineStr"/>
      <c r="C1600" s="2" t="inlineStr"/>
      <c r="D1600" s="2" t="inlineStr"/>
      <c r="E1600" s="28" t="inlineStr">
        <is>
          <r>
            <t xml:space="preserve">VALOR COM BDI:</t>
          </r>
        </is>
      </c>
      <c r="F1600" s="28" t="inlineStr"/>
      <c r="G1600" s="29" t="n">
        <f>G1599+G1598</f>
        <v>854.85</v>
      </c>
    </row>
  </sheetData>
  <mergeCells>
    <mergeCell ref="A1:G1"/>
    <mergeCell ref="E2:G2"/>
    <mergeCell ref="A3:G3"/>
    <mergeCell ref="A4:B4"/>
    <mergeCell ref="E11:F11"/>
    <mergeCell ref="E12:F12"/>
    <mergeCell ref="E13:F13"/>
    <mergeCell ref="E14:F14"/>
    <mergeCell ref="E15:G15"/>
    <mergeCell ref="A16:G16"/>
    <mergeCell ref="A17:B17"/>
    <mergeCell ref="E22:F22"/>
    <mergeCell ref="A23:B23"/>
    <mergeCell ref="E25:F25"/>
    <mergeCell ref="E26:F26"/>
    <mergeCell ref="E27:F27"/>
    <mergeCell ref="E28:F28"/>
    <mergeCell ref="E29:G29"/>
    <mergeCell ref="A30:G30"/>
    <mergeCell ref="A31:B31"/>
    <mergeCell ref="E33:F33"/>
    <mergeCell ref="E34:F34"/>
    <mergeCell ref="E35:F35"/>
    <mergeCell ref="E36:F36"/>
    <mergeCell ref="E37:G37"/>
    <mergeCell ref="A38:G38"/>
    <mergeCell ref="A39:B39"/>
    <mergeCell ref="E41:F41"/>
    <mergeCell ref="E42:F42"/>
    <mergeCell ref="E43:F43"/>
    <mergeCell ref="E44:F44"/>
    <mergeCell ref="E45:G45"/>
    <mergeCell ref="A46:G46"/>
    <mergeCell ref="A47:B47"/>
    <mergeCell ref="E49:F49"/>
    <mergeCell ref="E50:F50"/>
    <mergeCell ref="E51:F51"/>
    <mergeCell ref="E52:F52"/>
    <mergeCell ref="E53:G53"/>
    <mergeCell ref="A54:G54"/>
    <mergeCell ref="A55:B55"/>
    <mergeCell ref="E57:F57"/>
    <mergeCell ref="E58:F58"/>
    <mergeCell ref="E59:F59"/>
    <mergeCell ref="E60:F60"/>
    <mergeCell ref="E61:G61"/>
    <mergeCell ref="A62:G62"/>
    <mergeCell ref="A63:B63"/>
    <mergeCell ref="E65:F65"/>
    <mergeCell ref="E66:F66"/>
    <mergeCell ref="E67:F67"/>
    <mergeCell ref="E68:F68"/>
    <mergeCell ref="E69:G69"/>
    <mergeCell ref="A70:G70"/>
    <mergeCell ref="A71:B71"/>
    <mergeCell ref="E73:F73"/>
    <mergeCell ref="A74:B74"/>
    <mergeCell ref="E76:F76"/>
    <mergeCell ref="E77:F77"/>
    <mergeCell ref="E78:F78"/>
    <mergeCell ref="E79:F79"/>
    <mergeCell ref="E80:G80"/>
    <mergeCell ref="A81:G81"/>
    <mergeCell ref="A82:B82"/>
    <mergeCell ref="E95:F95"/>
    <mergeCell ref="A96:B96"/>
    <mergeCell ref="E98:F98"/>
    <mergeCell ref="E99:F99"/>
    <mergeCell ref="E100:F100"/>
    <mergeCell ref="E101:F101"/>
    <mergeCell ref="E102:G102"/>
    <mergeCell ref="A103:G103"/>
    <mergeCell ref="A104:B104"/>
    <mergeCell ref="E113:F113"/>
    <mergeCell ref="A114:B114"/>
    <mergeCell ref="E116:F116"/>
    <mergeCell ref="A117:B117"/>
    <mergeCell ref="E123:F123"/>
    <mergeCell ref="E124:F124"/>
    <mergeCell ref="E125:F125"/>
    <mergeCell ref="E126:F126"/>
    <mergeCell ref="E127:G127"/>
    <mergeCell ref="A128:G128"/>
    <mergeCell ref="A129:B129"/>
    <mergeCell ref="E131:F131"/>
    <mergeCell ref="E132:F132"/>
    <mergeCell ref="E133:F133"/>
    <mergeCell ref="E134:F134"/>
    <mergeCell ref="E135:G135"/>
    <mergeCell ref="A136:G136"/>
    <mergeCell ref="A137:B137"/>
    <mergeCell ref="E150:F150"/>
    <mergeCell ref="A151:B151"/>
    <mergeCell ref="E153:F153"/>
    <mergeCell ref="A154:B154"/>
    <mergeCell ref="E158:F158"/>
    <mergeCell ref="E159:F159"/>
    <mergeCell ref="E160:F160"/>
    <mergeCell ref="E161:F161"/>
    <mergeCell ref="E162:G162"/>
    <mergeCell ref="A163:G163"/>
    <mergeCell ref="A164:B164"/>
    <mergeCell ref="E166:F166"/>
    <mergeCell ref="A167:B167"/>
    <mergeCell ref="E169:F169"/>
    <mergeCell ref="E170:F170"/>
    <mergeCell ref="E171:F171"/>
    <mergeCell ref="E172:F172"/>
    <mergeCell ref="E173:G173"/>
    <mergeCell ref="A174:G174"/>
    <mergeCell ref="A175:B175"/>
    <mergeCell ref="E180:F180"/>
    <mergeCell ref="A181:B181"/>
    <mergeCell ref="E184:F184"/>
    <mergeCell ref="E185:F185"/>
    <mergeCell ref="E186:F186"/>
    <mergeCell ref="E187:F187"/>
    <mergeCell ref="E188:G188"/>
    <mergeCell ref="A189:G189"/>
    <mergeCell ref="A190:B190"/>
    <mergeCell ref="E207:F207"/>
    <mergeCell ref="A208:B208"/>
    <mergeCell ref="E215:F215"/>
    <mergeCell ref="A216:B216"/>
    <mergeCell ref="E221:F221"/>
    <mergeCell ref="E222:F222"/>
    <mergeCell ref="E223:F223"/>
    <mergeCell ref="E224:F224"/>
    <mergeCell ref="E225:G225"/>
    <mergeCell ref="A226:G226"/>
    <mergeCell ref="A227:B227"/>
    <mergeCell ref="E240:F240"/>
    <mergeCell ref="A241:B241"/>
    <mergeCell ref="E243:F243"/>
    <mergeCell ref="A244:B244"/>
    <mergeCell ref="E249:F249"/>
    <mergeCell ref="A250:B250"/>
    <mergeCell ref="E253:F253"/>
    <mergeCell ref="E254:F254"/>
    <mergeCell ref="E255:F255"/>
    <mergeCell ref="E256:F256"/>
    <mergeCell ref="E257:G257"/>
    <mergeCell ref="A258:G258"/>
    <mergeCell ref="A259:B259"/>
    <mergeCell ref="E262:F262"/>
    <mergeCell ref="A263:B263"/>
    <mergeCell ref="E266:F266"/>
    <mergeCell ref="E267:F267"/>
    <mergeCell ref="E268:F268"/>
    <mergeCell ref="E269:F269"/>
    <mergeCell ref="E270:G270"/>
    <mergeCell ref="A271:G271"/>
    <mergeCell ref="A272:B272"/>
    <mergeCell ref="E275:F275"/>
    <mergeCell ref="A276:B276"/>
    <mergeCell ref="E279:F279"/>
    <mergeCell ref="E280:F280"/>
    <mergeCell ref="E281:F281"/>
    <mergeCell ref="E282:F282"/>
    <mergeCell ref="E283:G283"/>
    <mergeCell ref="A284:G284"/>
    <mergeCell ref="A285:B285"/>
    <mergeCell ref="E287:F287"/>
    <mergeCell ref="A288:B288"/>
    <mergeCell ref="E291:F291"/>
    <mergeCell ref="E292:F292"/>
    <mergeCell ref="E293:F293"/>
    <mergeCell ref="E294:F294"/>
    <mergeCell ref="E295:G295"/>
    <mergeCell ref="A296:G296"/>
    <mergeCell ref="A297:B297"/>
    <mergeCell ref="E300:F300"/>
    <mergeCell ref="A301:B301"/>
    <mergeCell ref="E303:F303"/>
    <mergeCell ref="A304:B304"/>
    <mergeCell ref="E307:F307"/>
    <mergeCell ref="E308:F308"/>
    <mergeCell ref="E309:F309"/>
    <mergeCell ref="E310:F310"/>
    <mergeCell ref="E311:G311"/>
    <mergeCell ref="A312:G312"/>
    <mergeCell ref="A313:B313"/>
    <mergeCell ref="E315:F315"/>
    <mergeCell ref="E316:F316"/>
    <mergeCell ref="E317:F317"/>
    <mergeCell ref="E318:F318"/>
    <mergeCell ref="E319:G319"/>
    <mergeCell ref="A320:G320"/>
    <mergeCell ref="A321:B321"/>
    <mergeCell ref="E324:F324"/>
    <mergeCell ref="A325:B325"/>
    <mergeCell ref="E328:F328"/>
    <mergeCell ref="E329:F329"/>
    <mergeCell ref="E330:F330"/>
    <mergeCell ref="E331:F331"/>
    <mergeCell ref="E332:G332"/>
    <mergeCell ref="A333:G333"/>
    <mergeCell ref="A334:B334"/>
    <mergeCell ref="E337:F337"/>
    <mergeCell ref="A338:B338"/>
    <mergeCell ref="E341:F341"/>
    <mergeCell ref="E342:F342"/>
    <mergeCell ref="E343:F343"/>
    <mergeCell ref="E344:F344"/>
    <mergeCell ref="E345:G345"/>
    <mergeCell ref="A346:G346"/>
    <mergeCell ref="A347:B347"/>
    <mergeCell ref="E353:F353"/>
    <mergeCell ref="A354:B354"/>
    <mergeCell ref="E357:F357"/>
    <mergeCell ref="E358:F358"/>
    <mergeCell ref="E359:F359"/>
    <mergeCell ref="E360:F360"/>
    <mergeCell ref="E361:G361"/>
    <mergeCell ref="A362:G362"/>
    <mergeCell ref="A363:B363"/>
    <mergeCell ref="E366:F366"/>
    <mergeCell ref="E367:F367"/>
    <mergeCell ref="E368:F368"/>
    <mergeCell ref="E369:F369"/>
    <mergeCell ref="E370:G370"/>
    <mergeCell ref="A371:G371"/>
    <mergeCell ref="A372:B372"/>
    <mergeCell ref="E374:F374"/>
    <mergeCell ref="E375:F375"/>
    <mergeCell ref="E376:F376"/>
    <mergeCell ref="E377:F377"/>
    <mergeCell ref="E378:G378"/>
    <mergeCell ref="A379:G379"/>
    <mergeCell ref="A380:B380"/>
    <mergeCell ref="E383:F383"/>
    <mergeCell ref="A384:B384"/>
    <mergeCell ref="E387:F387"/>
    <mergeCell ref="E388:F388"/>
    <mergeCell ref="E389:F389"/>
    <mergeCell ref="E390:F390"/>
    <mergeCell ref="E391:G391"/>
    <mergeCell ref="A392:G392"/>
    <mergeCell ref="A393:B393"/>
    <mergeCell ref="E396:F396"/>
    <mergeCell ref="A397:B397"/>
    <mergeCell ref="E400:F400"/>
    <mergeCell ref="E401:F401"/>
    <mergeCell ref="E402:F402"/>
    <mergeCell ref="E403:F403"/>
    <mergeCell ref="E404:G404"/>
    <mergeCell ref="A405:G405"/>
    <mergeCell ref="A406:B406"/>
    <mergeCell ref="E412:F412"/>
    <mergeCell ref="A413:B413"/>
    <mergeCell ref="E416:F416"/>
    <mergeCell ref="E417:F417"/>
    <mergeCell ref="E418:F418"/>
    <mergeCell ref="E419:F419"/>
    <mergeCell ref="E420:G420"/>
    <mergeCell ref="A421:G421"/>
    <mergeCell ref="A422:B422"/>
    <mergeCell ref="E425:F425"/>
    <mergeCell ref="E426:F426"/>
    <mergeCell ref="E427:F427"/>
    <mergeCell ref="E428:F428"/>
    <mergeCell ref="E429:G429"/>
    <mergeCell ref="A430:G430"/>
    <mergeCell ref="A431:B431"/>
    <mergeCell ref="E433:F433"/>
    <mergeCell ref="E434:F434"/>
    <mergeCell ref="E435:F435"/>
    <mergeCell ref="E436:F436"/>
    <mergeCell ref="E437:G437"/>
    <mergeCell ref="A438:G438"/>
    <mergeCell ref="A439:B439"/>
    <mergeCell ref="E442:F442"/>
    <mergeCell ref="A443:B443"/>
    <mergeCell ref="E446:F446"/>
    <mergeCell ref="E447:F447"/>
    <mergeCell ref="E448:F448"/>
    <mergeCell ref="E449:F449"/>
    <mergeCell ref="E450:G450"/>
    <mergeCell ref="A451:G451"/>
    <mergeCell ref="A452:B452"/>
    <mergeCell ref="E455:F455"/>
    <mergeCell ref="A456:B456"/>
    <mergeCell ref="E459:F459"/>
    <mergeCell ref="E460:F460"/>
    <mergeCell ref="E461:F461"/>
    <mergeCell ref="E462:F462"/>
    <mergeCell ref="E463:G463"/>
    <mergeCell ref="A464:G464"/>
    <mergeCell ref="A465:B465"/>
    <mergeCell ref="E471:F471"/>
    <mergeCell ref="A472:B472"/>
    <mergeCell ref="E475:F475"/>
    <mergeCell ref="E476:F476"/>
    <mergeCell ref="E477:F477"/>
    <mergeCell ref="E478:F478"/>
    <mergeCell ref="E479:G479"/>
    <mergeCell ref="A480:G480"/>
    <mergeCell ref="A481:B481"/>
    <mergeCell ref="E484:F484"/>
    <mergeCell ref="E485:F485"/>
    <mergeCell ref="E486:F486"/>
    <mergeCell ref="E487:F487"/>
    <mergeCell ref="E488:G488"/>
    <mergeCell ref="A489:G489"/>
    <mergeCell ref="A490:B490"/>
    <mergeCell ref="E492:F492"/>
    <mergeCell ref="E493:F493"/>
    <mergeCell ref="E494:F494"/>
    <mergeCell ref="E495:F495"/>
    <mergeCell ref="E496:G496"/>
    <mergeCell ref="A497:G497"/>
    <mergeCell ref="A498:B498"/>
    <mergeCell ref="E501:F501"/>
    <mergeCell ref="A502:B502"/>
    <mergeCell ref="E505:F505"/>
    <mergeCell ref="E506:F506"/>
    <mergeCell ref="E507:F507"/>
    <mergeCell ref="E508:F508"/>
    <mergeCell ref="E509:G509"/>
    <mergeCell ref="A510:G510"/>
    <mergeCell ref="A511:B511"/>
    <mergeCell ref="E514:F514"/>
    <mergeCell ref="E515:F515"/>
    <mergeCell ref="E516:F516"/>
    <mergeCell ref="E517:F517"/>
    <mergeCell ref="E518:G518"/>
    <mergeCell ref="A519:G519"/>
    <mergeCell ref="A520:B520"/>
    <mergeCell ref="E522:F522"/>
    <mergeCell ref="A523:B523"/>
    <mergeCell ref="E526:F526"/>
    <mergeCell ref="A527:B527"/>
    <mergeCell ref="E530:F530"/>
    <mergeCell ref="A531:B531"/>
    <mergeCell ref="E533:F533"/>
    <mergeCell ref="E534:F534"/>
    <mergeCell ref="E535:F535"/>
    <mergeCell ref="E536:F536"/>
    <mergeCell ref="E537:G537"/>
    <mergeCell ref="A538:G538"/>
    <mergeCell ref="A539:B539"/>
    <mergeCell ref="E541:F541"/>
    <mergeCell ref="A542:B542"/>
    <mergeCell ref="E544:F544"/>
    <mergeCell ref="E545:F545"/>
    <mergeCell ref="E546:F546"/>
    <mergeCell ref="E547:F547"/>
    <mergeCell ref="E548:G548"/>
    <mergeCell ref="A549:G549"/>
    <mergeCell ref="A550:B550"/>
    <mergeCell ref="E552:F552"/>
    <mergeCell ref="A553:B553"/>
    <mergeCell ref="E556:F556"/>
    <mergeCell ref="E557:F557"/>
    <mergeCell ref="E558:F558"/>
    <mergeCell ref="E559:F559"/>
    <mergeCell ref="E560:G560"/>
    <mergeCell ref="A561:G561"/>
    <mergeCell ref="A562:B562"/>
    <mergeCell ref="E565:F565"/>
    <mergeCell ref="A566:B566"/>
    <mergeCell ref="E569:F569"/>
    <mergeCell ref="E570:F570"/>
    <mergeCell ref="E571:F571"/>
    <mergeCell ref="E572:F572"/>
    <mergeCell ref="E573:G573"/>
    <mergeCell ref="A574:G574"/>
    <mergeCell ref="A575:B575"/>
    <mergeCell ref="E577:F577"/>
    <mergeCell ref="E578:F578"/>
    <mergeCell ref="E579:F579"/>
    <mergeCell ref="E580:F580"/>
    <mergeCell ref="E581:G581"/>
    <mergeCell ref="A582:G582"/>
    <mergeCell ref="A583:B583"/>
    <mergeCell ref="E586:F586"/>
    <mergeCell ref="A587:B587"/>
    <mergeCell ref="E589:F589"/>
    <mergeCell ref="E590:F590"/>
    <mergeCell ref="E591:F591"/>
    <mergeCell ref="E592:F592"/>
    <mergeCell ref="E593:G593"/>
    <mergeCell ref="A594:G594"/>
    <mergeCell ref="A595:B595"/>
    <mergeCell ref="E597:F597"/>
    <mergeCell ref="E598:F598"/>
    <mergeCell ref="E599:F599"/>
    <mergeCell ref="E600:F600"/>
    <mergeCell ref="E601:G601"/>
    <mergeCell ref="A602:G602"/>
    <mergeCell ref="A603:B603"/>
    <mergeCell ref="E605:F605"/>
    <mergeCell ref="A606:B606"/>
    <mergeCell ref="E609:F609"/>
    <mergeCell ref="E610:F610"/>
    <mergeCell ref="E611:F611"/>
    <mergeCell ref="E612:F612"/>
    <mergeCell ref="E613:G613"/>
    <mergeCell ref="A614:G614"/>
    <mergeCell ref="A615:B615"/>
    <mergeCell ref="E617:F617"/>
    <mergeCell ref="A618:B618"/>
    <mergeCell ref="E623:F623"/>
    <mergeCell ref="A624:B624"/>
    <mergeCell ref="E626:F626"/>
    <mergeCell ref="E627:F627"/>
    <mergeCell ref="E628:F628"/>
    <mergeCell ref="E629:F629"/>
    <mergeCell ref="E630:G630"/>
    <mergeCell ref="A631:G631"/>
    <mergeCell ref="A632:B632"/>
    <mergeCell ref="E635:F635"/>
    <mergeCell ref="A636:B636"/>
    <mergeCell ref="E639:F639"/>
    <mergeCell ref="E640:F640"/>
    <mergeCell ref="E641:F641"/>
    <mergeCell ref="E642:F642"/>
    <mergeCell ref="E643:G643"/>
    <mergeCell ref="A644:G644"/>
    <mergeCell ref="A645:B645"/>
    <mergeCell ref="E651:F651"/>
    <mergeCell ref="A652:B652"/>
    <mergeCell ref="E655:F655"/>
    <mergeCell ref="E656:F656"/>
    <mergeCell ref="E657:F657"/>
    <mergeCell ref="E658:F658"/>
    <mergeCell ref="E659:G659"/>
    <mergeCell ref="A660:G660"/>
    <mergeCell ref="A661:B661"/>
    <mergeCell ref="E664:F664"/>
    <mergeCell ref="E665:F665"/>
    <mergeCell ref="E666:F666"/>
    <mergeCell ref="E667:F667"/>
    <mergeCell ref="E668:G668"/>
    <mergeCell ref="A669:G669"/>
    <mergeCell ref="A670:B670"/>
    <mergeCell ref="E672:F672"/>
    <mergeCell ref="A673:B673"/>
    <mergeCell ref="E677:F677"/>
    <mergeCell ref="A678:B678"/>
    <mergeCell ref="E681:F681"/>
    <mergeCell ref="E682:F682"/>
    <mergeCell ref="E683:F683"/>
    <mergeCell ref="E684:F684"/>
    <mergeCell ref="E685:G685"/>
    <mergeCell ref="A686:G686"/>
    <mergeCell ref="A687:B687"/>
    <mergeCell ref="E689:F689"/>
    <mergeCell ref="A690:B690"/>
    <mergeCell ref="E693:F693"/>
    <mergeCell ref="E694:F694"/>
    <mergeCell ref="E695:F695"/>
    <mergeCell ref="E696:F696"/>
    <mergeCell ref="E697:G697"/>
    <mergeCell ref="A698:G698"/>
    <mergeCell ref="A699:B699"/>
    <mergeCell ref="E703:F703"/>
    <mergeCell ref="A704:B704"/>
    <mergeCell ref="E707:F707"/>
    <mergeCell ref="E708:F708"/>
    <mergeCell ref="E709:F709"/>
    <mergeCell ref="E710:F710"/>
    <mergeCell ref="E711:G711"/>
    <mergeCell ref="A712:G712"/>
    <mergeCell ref="A713:B713"/>
    <mergeCell ref="E715:F715"/>
    <mergeCell ref="A716:B716"/>
    <mergeCell ref="E719:F719"/>
    <mergeCell ref="E720:F720"/>
    <mergeCell ref="E721:F721"/>
    <mergeCell ref="E722:F722"/>
    <mergeCell ref="E723:G723"/>
    <mergeCell ref="A724:G724"/>
    <mergeCell ref="A725:B725"/>
    <mergeCell ref="E727:F727"/>
    <mergeCell ref="A728:B728"/>
    <mergeCell ref="E730:F730"/>
    <mergeCell ref="E731:F731"/>
    <mergeCell ref="E732:F732"/>
    <mergeCell ref="E733:F733"/>
    <mergeCell ref="E734:G734"/>
    <mergeCell ref="A735:G735"/>
    <mergeCell ref="A736:B736"/>
    <mergeCell ref="E738:F738"/>
    <mergeCell ref="A739:B739"/>
    <mergeCell ref="E744:F744"/>
    <mergeCell ref="A745:B745"/>
    <mergeCell ref="E748:F748"/>
    <mergeCell ref="E749:F749"/>
    <mergeCell ref="E750:F750"/>
    <mergeCell ref="E751:F751"/>
    <mergeCell ref="E752:G752"/>
    <mergeCell ref="A753:G753"/>
    <mergeCell ref="A754:B754"/>
    <mergeCell ref="E760:F760"/>
    <mergeCell ref="A761:B761"/>
    <mergeCell ref="E764:F764"/>
    <mergeCell ref="E765:F765"/>
    <mergeCell ref="E766:F766"/>
    <mergeCell ref="E767:F767"/>
    <mergeCell ref="E768:G768"/>
    <mergeCell ref="A769:G769"/>
    <mergeCell ref="A770:B770"/>
    <mergeCell ref="E772:F772"/>
    <mergeCell ref="A773:B773"/>
    <mergeCell ref="E775:F775"/>
    <mergeCell ref="E776:F776"/>
    <mergeCell ref="E777:F777"/>
    <mergeCell ref="E778:F778"/>
    <mergeCell ref="E779:G779"/>
    <mergeCell ref="A780:G780"/>
    <mergeCell ref="A781:B781"/>
    <mergeCell ref="E783:F783"/>
    <mergeCell ref="E784:F784"/>
    <mergeCell ref="E785:F785"/>
    <mergeCell ref="E786:F786"/>
    <mergeCell ref="E787:G787"/>
    <mergeCell ref="A788:G788"/>
    <mergeCell ref="A789:B789"/>
    <mergeCell ref="E792:F792"/>
    <mergeCell ref="A793:B793"/>
    <mergeCell ref="E796:F796"/>
    <mergeCell ref="E797:F797"/>
    <mergeCell ref="E798:F798"/>
    <mergeCell ref="E799:F799"/>
    <mergeCell ref="E800:G800"/>
    <mergeCell ref="A801:G801"/>
    <mergeCell ref="A802:B802"/>
    <mergeCell ref="E805:F805"/>
    <mergeCell ref="A806:B806"/>
    <mergeCell ref="E809:F809"/>
    <mergeCell ref="E810:F810"/>
    <mergeCell ref="E811:F811"/>
    <mergeCell ref="E812:F812"/>
    <mergeCell ref="E813:G813"/>
    <mergeCell ref="A814:G814"/>
    <mergeCell ref="A815:B815"/>
    <mergeCell ref="E821:F821"/>
    <mergeCell ref="A822:B822"/>
    <mergeCell ref="E825:F825"/>
    <mergeCell ref="E826:F826"/>
    <mergeCell ref="E827:F827"/>
    <mergeCell ref="E828:F828"/>
    <mergeCell ref="E829:G829"/>
    <mergeCell ref="A830:G830"/>
    <mergeCell ref="A831:B831"/>
    <mergeCell ref="E834:F834"/>
    <mergeCell ref="E835:F835"/>
    <mergeCell ref="E836:F836"/>
    <mergeCell ref="E837:F837"/>
    <mergeCell ref="E838:G838"/>
    <mergeCell ref="A839:G839"/>
    <mergeCell ref="A840:B840"/>
    <mergeCell ref="E842:F842"/>
    <mergeCell ref="A843:B843"/>
    <mergeCell ref="E848:F848"/>
    <mergeCell ref="A849:B849"/>
    <mergeCell ref="E851:F851"/>
    <mergeCell ref="E852:F852"/>
    <mergeCell ref="E853:F853"/>
    <mergeCell ref="E854:F854"/>
    <mergeCell ref="E855:G855"/>
    <mergeCell ref="A856:G856"/>
    <mergeCell ref="A857:B857"/>
    <mergeCell ref="E860:F860"/>
    <mergeCell ref="A861:B861"/>
    <mergeCell ref="E864:F864"/>
    <mergeCell ref="E865:F865"/>
    <mergeCell ref="E866:F866"/>
    <mergeCell ref="E867:F867"/>
    <mergeCell ref="E868:G868"/>
    <mergeCell ref="A869:G869"/>
    <mergeCell ref="A870:B870"/>
    <mergeCell ref="E876:F876"/>
    <mergeCell ref="A877:B877"/>
    <mergeCell ref="E880:F880"/>
    <mergeCell ref="E881:F881"/>
    <mergeCell ref="E882:F882"/>
    <mergeCell ref="E883:F883"/>
    <mergeCell ref="E884:G884"/>
    <mergeCell ref="A885:G885"/>
    <mergeCell ref="A886:B886"/>
    <mergeCell ref="E889:F889"/>
    <mergeCell ref="E890:F890"/>
    <mergeCell ref="E891:F891"/>
    <mergeCell ref="E892:F892"/>
    <mergeCell ref="E893:G893"/>
    <mergeCell ref="A894:G894"/>
    <mergeCell ref="A895:B895"/>
    <mergeCell ref="E897:F897"/>
    <mergeCell ref="E898:F898"/>
    <mergeCell ref="E899:F899"/>
    <mergeCell ref="E900:F900"/>
    <mergeCell ref="E901:G901"/>
    <mergeCell ref="A902:G902"/>
    <mergeCell ref="A903:B903"/>
    <mergeCell ref="E907:F907"/>
    <mergeCell ref="A908:B908"/>
    <mergeCell ref="E912:F912"/>
    <mergeCell ref="E913:F913"/>
    <mergeCell ref="E914:F914"/>
    <mergeCell ref="E915:F915"/>
    <mergeCell ref="E916:G916"/>
    <mergeCell ref="A917:G917"/>
    <mergeCell ref="A918:B918"/>
    <mergeCell ref="E925:F925"/>
    <mergeCell ref="A926:B926"/>
    <mergeCell ref="E928:F928"/>
    <mergeCell ref="E929:F929"/>
    <mergeCell ref="E930:F930"/>
    <mergeCell ref="E931:F931"/>
    <mergeCell ref="E932:G932"/>
    <mergeCell ref="A933:G933"/>
    <mergeCell ref="A934:B934"/>
    <mergeCell ref="E939:F939"/>
    <mergeCell ref="A940:B940"/>
    <mergeCell ref="E942:F942"/>
    <mergeCell ref="E943:F943"/>
    <mergeCell ref="E944:F944"/>
    <mergeCell ref="E945:F945"/>
    <mergeCell ref="E946:G946"/>
    <mergeCell ref="A947:G947"/>
    <mergeCell ref="A948:B948"/>
    <mergeCell ref="E950:F950"/>
    <mergeCell ref="E951:F951"/>
    <mergeCell ref="E952:F952"/>
    <mergeCell ref="E953:F953"/>
    <mergeCell ref="E954:G954"/>
    <mergeCell ref="A955:G955"/>
    <mergeCell ref="A956:B956"/>
    <mergeCell ref="E967:F967"/>
    <mergeCell ref="A968:B968"/>
    <mergeCell ref="E970:F970"/>
    <mergeCell ref="E971:F971"/>
    <mergeCell ref="E972:F972"/>
    <mergeCell ref="E973:F973"/>
    <mergeCell ref="E974:G974"/>
    <mergeCell ref="A975:G975"/>
    <mergeCell ref="A976:B976"/>
    <mergeCell ref="E978:F978"/>
    <mergeCell ref="E979:F979"/>
    <mergeCell ref="E980:F980"/>
    <mergeCell ref="E981:F981"/>
    <mergeCell ref="E982:G982"/>
    <mergeCell ref="A983:G983"/>
    <mergeCell ref="A984:B984"/>
    <mergeCell ref="E986:F986"/>
    <mergeCell ref="A987:B987"/>
    <mergeCell ref="E989:F989"/>
    <mergeCell ref="E990:F990"/>
    <mergeCell ref="E991:F991"/>
    <mergeCell ref="E992:F992"/>
    <mergeCell ref="E993:G993"/>
    <mergeCell ref="A994:G994"/>
    <mergeCell ref="A995:B995"/>
    <mergeCell ref="E1000:F1000"/>
    <mergeCell ref="A1001:B1001"/>
    <mergeCell ref="E1003:F1003"/>
    <mergeCell ref="E1004:F1004"/>
    <mergeCell ref="E1005:F1005"/>
    <mergeCell ref="E1006:F1006"/>
    <mergeCell ref="E1007:G1007"/>
    <mergeCell ref="A1008:G1008"/>
    <mergeCell ref="A1009:B1009"/>
    <mergeCell ref="E1014:F1014"/>
    <mergeCell ref="A1015:B1015"/>
    <mergeCell ref="E1017:F1017"/>
    <mergeCell ref="E1018:F1018"/>
    <mergeCell ref="E1019:F1019"/>
    <mergeCell ref="E1020:F1020"/>
    <mergeCell ref="E1021:G1021"/>
    <mergeCell ref="A1022:G1022"/>
    <mergeCell ref="A1023:B1023"/>
    <mergeCell ref="E1030:F1030"/>
    <mergeCell ref="A1031:B1031"/>
    <mergeCell ref="E1033:F1033"/>
    <mergeCell ref="E1034:F1034"/>
    <mergeCell ref="E1035:F1035"/>
    <mergeCell ref="E1036:F1036"/>
    <mergeCell ref="E1037:G1037"/>
    <mergeCell ref="A1038:G1038"/>
    <mergeCell ref="A1039:B1039"/>
    <mergeCell ref="E1044:F1044"/>
    <mergeCell ref="A1045:B1045"/>
    <mergeCell ref="E1047:F1047"/>
    <mergeCell ref="E1048:F1048"/>
    <mergeCell ref="E1049:F1049"/>
    <mergeCell ref="E1050:F1050"/>
    <mergeCell ref="E1051:G1051"/>
    <mergeCell ref="A1052:G1052"/>
    <mergeCell ref="A1053:B1053"/>
    <mergeCell ref="E1055:F1055"/>
    <mergeCell ref="E1056:F1056"/>
    <mergeCell ref="E1057:F1057"/>
    <mergeCell ref="E1058:F1058"/>
    <mergeCell ref="E1059:G1059"/>
    <mergeCell ref="A1060:G1060"/>
    <mergeCell ref="A1061:B1061"/>
    <mergeCell ref="E1072:F1072"/>
    <mergeCell ref="A1073:B1073"/>
    <mergeCell ref="E1075:F1075"/>
    <mergeCell ref="E1076:F1076"/>
    <mergeCell ref="E1077:F1077"/>
    <mergeCell ref="E1078:F1078"/>
    <mergeCell ref="E1079:G1079"/>
    <mergeCell ref="A1080:G1080"/>
    <mergeCell ref="A1081:B1081"/>
    <mergeCell ref="E1083:F1083"/>
    <mergeCell ref="E1084:F1084"/>
    <mergeCell ref="E1085:F1085"/>
    <mergeCell ref="E1086:F1086"/>
    <mergeCell ref="E1087:G1087"/>
    <mergeCell ref="A1088:G1088"/>
    <mergeCell ref="A1089:B1089"/>
    <mergeCell ref="E1102:F1102"/>
    <mergeCell ref="A1103:B1103"/>
    <mergeCell ref="E1105:F1105"/>
    <mergeCell ref="E1106:F1106"/>
    <mergeCell ref="E1107:F1107"/>
    <mergeCell ref="E1108:F1108"/>
    <mergeCell ref="E1109:G1109"/>
    <mergeCell ref="A1110:G1110"/>
    <mergeCell ref="A1111:B1111"/>
    <mergeCell ref="E1120:F1120"/>
    <mergeCell ref="A1121:B1121"/>
    <mergeCell ref="E1123:F1123"/>
    <mergeCell ref="A1124:B1124"/>
    <mergeCell ref="E1127:F1127"/>
    <mergeCell ref="E1128:F1128"/>
    <mergeCell ref="E1129:F1129"/>
    <mergeCell ref="E1130:F1130"/>
    <mergeCell ref="E1131:G1131"/>
    <mergeCell ref="A1132:G1132"/>
    <mergeCell ref="A1133:B1133"/>
    <mergeCell ref="E1136:F1136"/>
    <mergeCell ref="A1137:B1137"/>
    <mergeCell ref="E1140:F1140"/>
    <mergeCell ref="E1141:F1141"/>
    <mergeCell ref="E1142:F1142"/>
    <mergeCell ref="E1143:F1143"/>
    <mergeCell ref="E1144:F1144"/>
    <mergeCell ref="E1145:F1145"/>
    <mergeCell ref="E1146:G1146"/>
    <mergeCell ref="A1147:G1147"/>
    <mergeCell ref="A1148:B1148"/>
    <mergeCell ref="E1151:F1151"/>
    <mergeCell ref="E1152:F1152"/>
    <mergeCell ref="E1153:F1153"/>
    <mergeCell ref="E1154:F1154"/>
    <mergeCell ref="E1155:G1155"/>
    <mergeCell ref="A1156:G1156"/>
    <mergeCell ref="A1157:B1157"/>
    <mergeCell ref="E1161:F1161"/>
    <mergeCell ref="A1162:B1162"/>
    <mergeCell ref="E1165:F1165"/>
    <mergeCell ref="E1166:F1166"/>
    <mergeCell ref="E1167:F1167"/>
    <mergeCell ref="E1168:F1168"/>
    <mergeCell ref="E1169:G1169"/>
    <mergeCell ref="A1170:G1170"/>
    <mergeCell ref="A1171:B1171"/>
    <mergeCell ref="E1175:F1175"/>
    <mergeCell ref="A1176:B1176"/>
    <mergeCell ref="E1179:F1179"/>
    <mergeCell ref="E1180:F1180"/>
    <mergeCell ref="E1181:F1181"/>
    <mergeCell ref="E1182:F1182"/>
    <mergeCell ref="E1183:G1183"/>
    <mergeCell ref="A1184:G1184"/>
    <mergeCell ref="A1185:B1185"/>
    <mergeCell ref="E1188:F1188"/>
    <mergeCell ref="E1189:F1189"/>
    <mergeCell ref="E1190:F1190"/>
    <mergeCell ref="E1191:F1191"/>
    <mergeCell ref="E1192:G1192"/>
    <mergeCell ref="A1193:G1193"/>
    <mergeCell ref="A1194:B1194"/>
    <mergeCell ref="E1197:F1197"/>
    <mergeCell ref="A1198:B1198"/>
    <mergeCell ref="E1200:F1200"/>
    <mergeCell ref="E1201:F1201"/>
    <mergeCell ref="E1202:F1202"/>
    <mergeCell ref="E1203:F1203"/>
    <mergeCell ref="E1204:G1204"/>
    <mergeCell ref="A1205:G1205"/>
    <mergeCell ref="A1206:B1206"/>
    <mergeCell ref="E1210:F1210"/>
    <mergeCell ref="A1211:B1211"/>
    <mergeCell ref="E1214:F1214"/>
    <mergeCell ref="E1215:F1215"/>
    <mergeCell ref="E1216:F1216"/>
    <mergeCell ref="E1217:F1217"/>
    <mergeCell ref="E1218:G1218"/>
    <mergeCell ref="A1219:G1219"/>
    <mergeCell ref="A1220:B1220"/>
    <mergeCell ref="E1225:F1225"/>
    <mergeCell ref="A1226:B1226"/>
    <mergeCell ref="E1229:F1229"/>
    <mergeCell ref="E1230:F1230"/>
    <mergeCell ref="E1231:F1231"/>
    <mergeCell ref="E1232:F1232"/>
    <mergeCell ref="E1233:G1233"/>
    <mergeCell ref="A1234:G1234"/>
    <mergeCell ref="A1235:B1235"/>
    <mergeCell ref="E1239:F1239"/>
    <mergeCell ref="A1240:B1240"/>
    <mergeCell ref="E1243:F1243"/>
    <mergeCell ref="E1244:F1244"/>
    <mergeCell ref="E1245:F1245"/>
    <mergeCell ref="E1246:F1246"/>
    <mergeCell ref="E1247:G1247"/>
    <mergeCell ref="A1248:G1248"/>
    <mergeCell ref="A1249:B1249"/>
    <mergeCell ref="E1251:F1251"/>
    <mergeCell ref="A1252:B1252"/>
    <mergeCell ref="E1254:F1254"/>
    <mergeCell ref="E1255:F1255"/>
    <mergeCell ref="E1256:F1256"/>
    <mergeCell ref="E1257:F1257"/>
    <mergeCell ref="E1258:G1258"/>
    <mergeCell ref="A1259:G1259"/>
    <mergeCell ref="A1260:B1260"/>
    <mergeCell ref="E1262:F1262"/>
    <mergeCell ref="A1263:B1263"/>
    <mergeCell ref="E1265:F1265"/>
    <mergeCell ref="E1266:F1266"/>
    <mergeCell ref="E1267:F1267"/>
    <mergeCell ref="E1268:F1268"/>
    <mergeCell ref="E1269:G1269"/>
    <mergeCell ref="A1270:G1270"/>
    <mergeCell ref="A1271:B1271"/>
    <mergeCell ref="E1274:F1274"/>
    <mergeCell ref="A1275:B1275"/>
    <mergeCell ref="E1278:F1278"/>
    <mergeCell ref="E1279:F1279"/>
    <mergeCell ref="E1280:F1280"/>
    <mergeCell ref="E1281:F1281"/>
    <mergeCell ref="E1282:F1282"/>
    <mergeCell ref="E1283:F1283"/>
    <mergeCell ref="E1284:G1284"/>
    <mergeCell ref="A1285:G1285"/>
    <mergeCell ref="A1286:B1286"/>
    <mergeCell ref="E1288:F1288"/>
    <mergeCell ref="E1289:F1289"/>
    <mergeCell ref="E1290:F1290"/>
    <mergeCell ref="E1291:F1291"/>
    <mergeCell ref="E1292:G1292"/>
    <mergeCell ref="A1293:G1293"/>
    <mergeCell ref="A1294:B1294"/>
    <mergeCell ref="E1297:F1297"/>
    <mergeCell ref="A1298:B1298"/>
    <mergeCell ref="E1300:F1300"/>
    <mergeCell ref="E1301:F1301"/>
    <mergeCell ref="E1302:F1302"/>
    <mergeCell ref="E1303:F1303"/>
    <mergeCell ref="E1304:G1304"/>
    <mergeCell ref="A1305:G1305"/>
    <mergeCell ref="A1306:B1306"/>
    <mergeCell ref="E1311:F1311"/>
    <mergeCell ref="A1312:B1312"/>
    <mergeCell ref="E1315:F1315"/>
    <mergeCell ref="E1316:F1316"/>
    <mergeCell ref="E1317:F1317"/>
    <mergeCell ref="E1318:F1318"/>
    <mergeCell ref="E1319:G1319"/>
    <mergeCell ref="A1320:G1320"/>
    <mergeCell ref="A1321:B1321"/>
    <mergeCell ref="E1323:F1323"/>
    <mergeCell ref="A1324:B1324"/>
    <mergeCell ref="E1326:F1326"/>
    <mergeCell ref="E1327:F1327"/>
    <mergeCell ref="E1328:F1328"/>
    <mergeCell ref="E1329:F1329"/>
    <mergeCell ref="E1330:G1330"/>
    <mergeCell ref="A1331:G1331"/>
    <mergeCell ref="A1332:B1332"/>
    <mergeCell ref="E1334:F1334"/>
    <mergeCell ref="A1335:B1335"/>
    <mergeCell ref="E1339:F1339"/>
    <mergeCell ref="A1340:B1340"/>
    <mergeCell ref="E1343:F1343"/>
    <mergeCell ref="E1344:F1344"/>
    <mergeCell ref="E1345:F1345"/>
    <mergeCell ref="E1346:F1346"/>
    <mergeCell ref="E1347:G1347"/>
    <mergeCell ref="A1348:G1348"/>
    <mergeCell ref="A1349:B1349"/>
    <mergeCell ref="E1351:F1351"/>
    <mergeCell ref="A1352:B1352"/>
    <mergeCell ref="E1356:F1356"/>
    <mergeCell ref="A1357:B1357"/>
    <mergeCell ref="E1360:F1360"/>
    <mergeCell ref="E1361:F1361"/>
    <mergeCell ref="E1362:F1362"/>
    <mergeCell ref="E1363:F1363"/>
    <mergeCell ref="E1364:G1364"/>
    <mergeCell ref="A1365:G1365"/>
    <mergeCell ref="A1366:B1366"/>
    <mergeCell ref="E1368:F1368"/>
    <mergeCell ref="A1369:B1369"/>
    <mergeCell ref="E1373:F1373"/>
    <mergeCell ref="A1374:B1374"/>
    <mergeCell ref="E1377:F1377"/>
    <mergeCell ref="E1378:F1378"/>
    <mergeCell ref="E1379:F1379"/>
    <mergeCell ref="E1380:F1380"/>
    <mergeCell ref="E1381:G1381"/>
    <mergeCell ref="A1382:G1382"/>
    <mergeCell ref="A1383:B1383"/>
    <mergeCell ref="E1385:F1385"/>
    <mergeCell ref="E1386:F1386"/>
    <mergeCell ref="E1387:F1387"/>
    <mergeCell ref="E1388:F1388"/>
    <mergeCell ref="E1389:G1389"/>
    <mergeCell ref="A1390:G1390"/>
    <mergeCell ref="A1391:B1391"/>
    <mergeCell ref="E1393:F1393"/>
    <mergeCell ref="A1394:B1394"/>
    <mergeCell ref="E1401:F1401"/>
    <mergeCell ref="E1402:F1402"/>
    <mergeCell ref="E1403:F1403"/>
    <mergeCell ref="E1404:F1404"/>
    <mergeCell ref="E1405:G1405"/>
    <mergeCell ref="A1406:G1406"/>
    <mergeCell ref="A1407:B1407"/>
    <mergeCell ref="E1409:F1409"/>
    <mergeCell ref="A1410:B1410"/>
    <mergeCell ref="E1417:F1417"/>
    <mergeCell ref="E1418:F1418"/>
    <mergeCell ref="E1419:F1419"/>
    <mergeCell ref="E1420:F1420"/>
    <mergeCell ref="E1421:G1421"/>
    <mergeCell ref="A1422:G1422"/>
    <mergeCell ref="A1423:B1423"/>
    <mergeCell ref="E1425:F1425"/>
    <mergeCell ref="A1426:B1426"/>
    <mergeCell ref="E1431:F1431"/>
    <mergeCell ref="E1432:F1432"/>
    <mergeCell ref="E1433:F1433"/>
    <mergeCell ref="E1434:F1434"/>
    <mergeCell ref="E1435:G1435"/>
    <mergeCell ref="A1436:G1436"/>
    <mergeCell ref="A1437:B1437"/>
    <mergeCell ref="E1440:F1440"/>
    <mergeCell ref="A1441:B1441"/>
    <mergeCell ref="E1444:F1444"/>
    <mergeCell ref="E1445:F1445"/>
    <mergeCell ref="E1446:F1446"/>
    <mergeCell ref="E1447:F1447"/>
    <mergeCell ref="E1448:G1448"/>
    <mergeCell ref="A1449:G1449"/>
    <mergeCell ref="A1450:B1450"/>
    <mergeCell ref="E1452:F1452"/>
    <mergeCell ref="E1453:F1453"/>
    <mergeCell ref="E1454:F1454"/>
    <mergeCell ref="E1455:F1455"/>
    <mergeCell ref="E1456:G1456"/>
    <mergeCell ref="A1457:G1457"/>
    <mergeCell ref="A1458:B1458"/>
    <mergeCell ref="E1461:F1461"/>
    <mergeCell ref="A1462:B1462"/>
    <mergeCell ref="E1465:F1465"/>
    <mergeCell ref="A1466:B1466"/>
    <mergeCell ref="E1468:F1468"/>
    <mergeCell ref="A1469:B1469"/>
    <mergeCell ref="E1471:F1471"/>
    <mergeCell ref="E1472:F1472"/>
    <mergeCell ref="E1473:F1473"/>
    <mergeCell ref="E1474:F1474"/>
    <mergeCell ref="E1475:G1475"/>
    <mergeCell ref="A1476:G1476"/>
    <mergeCell ref="A1477:B1477"/>
    <mergeCell ref="E1480:F1480"/>
    <mergeCell ref="A1481:B1481"/>
    <mergeCell ref="E1484:F1484"/>
    <mergeCell ref="A1485:B1485"/>
    <mergeCell ref="E1487:F1487"/>
    <mergeCell ref="A1488:B1488"/>
    <mergeCell ref="E1490:F1490"/>
    <mergeCell ref="E1491:F1491"/>
    <mergeCell ref="E1492:F1492"/>
    <mergeCell ref="E1493:F1493"/>
    <mergeCell ref="E1494:G1494"/>
    <mergeCell ref="A1495:G1495"/>
    <mergeCell ref="A1496:B1496"/>
    <mergeCell ref="E1499:F1499"/>
    <mergeCell ref="A1500:B1500"/>
    <mergeCell ref="E1510:F1510"/>
    <mergeCell ref="A1511:B1511"/>
    <mergeCell ref="E1514:F1514"/>
    <mergeCell ref="A1515:B1515"/>
    <mergeCell ref="E1523:F1523"/>
    <mergeCell ref="E1524:F1524"/>
    <mergeCell ref="E1525:F1525"/>
    <mergeCell ref="E1526:F1526"/>
    <mergeCell ref="E1527:G1527"/>
    <mergeCell ref="A1528:G1528"/>
    <mergeCell ref="A1529:B1529"/>
    <mergeCell ref="E1532:F1532"/>
    <mergeCell ref="A1533:B1533"/>
    <mergeCell ref="E1539:F1539"/>
    <mergeCell ref="E1540:F1540"/>
    <mergeCell ref="E1541:F1541"/>
    <mergeCell ref="E1542:F1542"/>
    <mergeCell ref="E1543:G1543"/>
    <mergeCell ref="A1544:G1544"/>
    <mergeCell ref="A1545:B1545"/>
    <mergeCell ref="E1548:F1548"/>
    <mergeCell ref="A1549:B1549"/>
    <mergeCell ref="E1555:F1555"/>
    <mergeCell ref="E1556:F1556"/>
    <mergeCell ref="E1557:F1557"/>
    <mergeCell ref="E1558:F1558"/>
    <mergeCell ref="E1559:G1559"/>
    <mergeCell ref="A1560:G1560"/>
    <mergeCell ref="A1561:B1561"/>
    <mergeCell ref="E1563:F1563"/>
    <mergeCell ref="A1564:B1564"/>
    <mergeCell ref="E1567:F1567"/>
    <mergeCell ref="A1568:B1568"/>
    <mergeCell ref="E1574:F1574"/>
    <mergeCell ref="E1575:F1575"/>
    <mergeCell ref="E1576:F1576"/>
    <mergeCell ref="E1577:F1577"/>
    <mergeCell ref="E1578:G1578"/>
    <mergeCell ref="A1579:G1579"/>
    <mergeCell ref="A1580:B1580"/>
    <mergeCell ref="E1583:F1583"/>
    <mergeCell ref="A1584:B1584"/>
    <mergeCell ref="E1590:F1590"/>
    <mergeCell ref="A1591:B1591"/>
    <mergeCell ref="E1594:F1594"/>
    <mergeCell ref="A1595:B1595"/>
    <mergeCell ref="E1597:F1597"/>
    <mergeCell ref="E1598:F1598"/>
    <mergeCell ref="E1599:F1599"/>
    <mergeCell ref="E1600:F1600"/>
  </mergeCells>
  <pageMargins left="0.5" right="0.5" top="0.5" bottom="0.5" header="0.0" footer="0.0"/>
  <pageSetup orientation="portrait" scale="85" paperSize="9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512"/>
  <sheetViews>
    <sheetView workbookViewId="0"/>
  </sheetViews>
  <sheetFormatPr defaultRowHeight="15"/>
  <cols>
    <col min="1" max="1" customWidth="true" width="10.333333"/>
    <col min="2" max="2" customWidth="true" width="45.833332"/>
    <col min="3" max="3" customWidth="true" width="15.5"/>
    <col min="4" max="4" customWidth="true" width="6.1666665"/>
    <col min="5" max="5" customWidth="true" width="12.5"/>
    <col min="6" max="6" customWidth="true" width="12.5"/>
    <col min="7" max="7" customWidth="true" width="12.5"/>
  </cols>
  <sheetData>
    <row r="1" customHeight="1" ht="72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10">
      <c r="A2" s="2" t="inlineStr"/>
      <c r="B2" s="2" t="inlineStr"/>
      <c r="C2" s="2" t="inlineStr"/>
      <c r="D2" s="2" t="inlineStr"/>
      <c r="E2" s="18" t="inlineStr"/>
      <c r="F2" s="18" t="inlineStr"/>
      <c r="G2" s="18" t="inlineStr"/>
    </row>
    <row r="3" customHeight="1" ht="20">
      <c r="A3" s="19" t="inlineStr">
        <is>
          <r>
            <t xml:space="preserve">​88238​ AJUDANTE DE ARMADOR COM ENCARGOS COMPLEMENTARES​ (H)</t>
          </r>
        </is>
      </c>
      <c r="B3" s="19" t="inlineStr"/>
      <c r="C3" s="19" t="inlineStr"/>
      <c r="D3" s="19" t="inlineStr"/>
      <c r="E3" s="19" t="inlineStr"/>
      <c r="F3" s="19" t="inlineStr"/>
      <c r="G3" s="19" t="inlineStr"/>
    </row>
    <row r="4" customHeight="1" ht="15">
      <c r="A4" s="20" t="inlineStr">
        <is>
          <r>
            <t xml:space="preserve">Encargos Complementares</t>
          </r>
        </is>
      </c>
      <c r="B4" s="20" t="inlineStr"/>
      <c r="C4" s="21" t="inlineStr">
        <is>
          <r>
            <t xml:space="preserve">FONTE</t>
          </r>
        </is>
      </c>
      <c r="D4" s="21" t="inlineStr">
        <is>
          <r>
            <t xml:space="preserve">UNID</t>
          </r>
        </is>
      </c>
      <c r="E4" s="21" t="inlineStr">
        <is>
          <r>
            <t xml:space="preserve">COEFICIENTE</t>
          </r>
        </is>
      </c>
      <c r="F4" s="21" t="inlineStr">
        <is>
          <r>
            <t xml:space="preserve">PREÇO UNITÁRIO</t>
          </r>
        </is>
      </c>
      <c r="G4" s="21" t="inlineStr">
        <is>
          <r>
            <t xml:space="preserve">TOTAL</t>
          </r>
        </is>
      </c>
    </row>
    <row r="5" customHeight="1" ht="21">
      <c r="A5" s="22" t="inlineStr">
        <is>
          <r>
            <t xml:space="preserve">00037370</t>
          </r>
        </is>
      </c>
      <c r="B5" s="23" t="inlineStr">
        <is>
          <r>
            <t xml:space="preserve">ALIMENTACAO - HORISTA (COLETADO CAIXA - ENCARGOS COMPLEMENTARES)</t>
          </r>
        </is>
      </c>
      <c r="C5" s="22" t="inlineStr">
        <is>
          <r>
            <t xml:space="preserve">SINAPI</t>
          </r>
        </is>
      </c>
      <c r="D5" s="22" t="inlineStr">
        <is>
          <r>
            <t xml:space="preserve">H</t>
          </r>
        </is>
      </c>
      <c r="E5" s="24" t="n">
        <v>1.0</v>
      </c>
      <c r="F5" s="25" t="n">
        <v>3.62</v>
      </c>
      <c r="G5" s="25" t="n">
        <f>TRUNC(TRUNC(E5,8)*F5,2)</f>
        <v>3.62</v>
      </c>
    </row>
    <row r="6" customHeight="1" ht="21">
      <c r="A6" s="22" t="inlineStr">
        <is>
          <r>
            <t xml:space="preserve">00043489</t>
          </r>
        </is>
      </c>
      <c r="B6" s="23" t="inlineStr">
        <is>
          <r>
            <t xml:space="preserve">EPI - FAMILIA PEDREIRO - HORISTA (ENCARGOS COMPLEMENTARES - COLETADO CAIXA)</t>
          </r>
        </is>
      </c>
      <c r="C6" s="22" t="inlineStr">
        <is>
          <r>
            <t xml:space="preserve">SINAPI</t>
          </r>
        </is>
      </c>
      <c r="D6" s="22" t="inlineStr">
        <is>
          <r>
            <t xml:space="preserve">H</t>
          </r>
        </is>
      </c>
      <c r="E6" s="24" t="n">
        <v>1.0</v>
      </c>
      <c r="F6" s="25" t="n">
        <v>1.31</v>
      </c>
      <c r="G6" s="25" t="n">
        <f>TRUNC(TRUNC(E6,8)*F6,2)</f>
        <v>1.31</v>
      </c>
    </row>
    <row r="7" customHeight="1" ht="21">
      <c r="A7" s="22" t="inlineStr">
        <is>
          <r>
            <t xml:space="preserve">00037372</t>
          </r>
        </is>
      </c>
      <c r="B7" s="23" t="inlineStr">
        <is>
          <r>
            <t xml:space="preserve">EXAMES - HORISTA (COLETADO CAIXA - ENCARGOS COMPLEMENTARES)</t>
          </r>
        </is>
      </c>
      <c r="C7" s="22" t="inlineStr">
        <is>
          <r>
            <t xml:space="preserve">SINAPI</t>
          </r>
        </is>
      </c>
      <c r="D7" s="22" t="inlineStr">
        <is>
          <r>
            <t xml:space="preserve">H</t>
          </r>
        </is>
      </c>
      <c r="E7" s="24" t="n">
        <v>1.0</v>
      </c>
      <c r="F7" s="25" t="n">
        <v>1.43</v>
      </c>
      <c r="G7" s="25" t="n">
        <f>TRUNC(TRUNC(E7,8)*F7,2)</f>
        <v>1.43</v>
      </c>
    </row>
    <row r="8" customHeight="1" ht="21">
      <c r="A8" s="22" t="inlineStr">
        <is>
          <r>
            <t xml:space="preserve">00043465</t>
          </r>
        </is>
      </c>
      <c r="B8" s="23" t="inlineStr">
        <is>
          <r>
            <t xml:space="preserve">FERRAMENTAS - FAMILIA PEDREIRO - HORISTA (ENCARGOS COMPLEMENTARES - COLETADO CAIXA)</t>
          </r>
        </is>
      </c>
      <c r="C8" s="22" t="inlineStr">
        <is>
          <r>
            <t xml:space="preserve">SINAPI</t>
          </r>
        </is>
      </c>
      <c r="D8" s="22" t="inlineStr">
        <is>
          <r>
            <t xml:space="preserve">H</t>
          </r>
        </is>
      </c>
      <c r="E8" s="24" t="n">
        <v>1.0</v>
      </c>
      <c r="F8" s="25" t="n">
        <v>0.78</v>
      </c>
      <c r="G8" s="25" t="n">
        <f>TRUNC(TRUNC(E8,8)*F8,2)</f>
        <v>0.78</v>
      </c>
    </row>
    <row r="9" customHeight="1" ht="21">
      <c r="A9" s="22" t="inlineStr">
        <is>
          <r>
            <t xml:space="preserve">00037373</t>
          </r>
        </is>
      </c>
      <c r="B9" s="23" t="inlineStr">
        <is>
          <r>
            <t xml:space="preserve">SEGURO - HORISTA (COLETADO CAIXA - ENCARGOS COMPLEMENTARES)</t>
          </r>
        </is>
      </c>
      <c r="C9" s="22" t="inlineStr">
        <is>
          <r>
            <t xml:space="preserve">SINAPI</t>
          </r>
        </is>
      </c>
      <c r="D9" s="22" t="inlineStr">
        <is>
          <r>
            <t xml:space="preserve">H</t>
          </r>
        </is>
      </c>
      <c r="E9" s="24" t="n">
        <v>1.0</v>
      </c>
      <c r="F9" s="25" t="n">
        <v>0.08</v>
      </c>
      <c r="G9" s="25" t="n">
        <f>TRUNC(TRUNC(E9,8)*F9,2)</f>
        <v>0.08</v>
      </c>
    </row>
    <row r="10" customHeight="1" ht="21">
      <c r="A10" s="22" t="inlineStr">
        <is>
          <r>
            <t xml:space="preserve">00037371</t>
          </r>
        </is>
      </c>
      <c r="B10" s="23" t="inlineStr">
        <is>
          <r>
            <t xml:space="preserve">TRANSPORTE - HORISTA (COLETADO CAIXA - ENCARGOS COMPLEMENTARES)</t>
          </r>
        </is>
      </c>
      <c r="C10" s="22" t="inlineStr">
        <is>
          <r>
            <t xml:space="preserve">SINAPI</t>
          </r>
        </is>
      </c>
      <c r="D10" s="22" t="inlineStr">
        <is>
          <r>
            <t xml:space="preserve">H</t>
          </r>
        </is>
      </c>
      <c r="E10" s="24" t="n">
        <v>1.0</v>
      </c>
      <c r="F10" s="25" t="n">
        <v>1.09</v>
      </c>
      <c r="G10" s="25" t="n">
        <f>TRUNC(TRUNC(E10,8)*F10,2)</f>
        <v>1.09</v>
      </c>
    </row>
    <row r="11" customHeight="1" ht="15">
      <c r="A11" s="2" t="inlineStr"/>
      <c r="B11" s="2" t="inlineStr"/>
      <c r="C11" s="2" t="inlineStr"/>
      <c r="D11" s="2" t="inlineStr"/>
      <c r="E11" s="26" t="inlineStr">
        <is>
          <r>
            <t xml:space="preserve">TOTAL Encargos Complementares:</t>
          </r>
        </is>
      </c>
      <c r="F11" s="26" t="inlineStr"/>
      <c r="G11" s="27" t="n">
        <f>SUM(G5:G10)</f>
        <v>8.31</v>
      </c>
    </row>
    <row r="12" customHeight="1" ht="15">
      <c r="A12" s="20" t="inlineStr">
        <is>
          <r>
            <t xml:space="preserve">Mão de Obra</t>
          </r>
        </is>
      </c>
      <c r="B12" s="20" t="inlineStr"/>
      <c r="C12" s="21" t="inlineStr">
        <is>
          <r>
            <t xml:space="preserve">FONTE</t>
          </r>
        </is>
      </c>
      <c r="D12" s="21" t="inlineStr">
        <is>
          <r>
            <t xml:space="preserve">UNID</t>
          </r>
        </is>
      </c>
      <c r="E12" s="21" t="inlineStr">
        <is>
          <r>
            <t xml:space="preserve">COEFICIENTE</t>
          </r>
        </is>
      </c>
      <c r="F12" s="21" t="inlineStr">
        <is>
          <r>
            <t xml:space="preserve">PREÇO UNITÁRIO</t>
          </r>
        </is>
      </c>
      <c r="G12" s="21" t="inlineStr">
        <is>
          <r>
            <t xml:space="preserve">TOTAL</t>
          </r>
        </is>
      </c>
    </row>
    <row r="13" customHeight="1" ht="15">
      <c r="A13" s="22" t="inlineStr">
        <is>
          <r>
            <t xml:space="preserve">00006114</t>
          </r>
        </is>
      </c>
      <c r="B13" s="23" t="inlineStr">
        <is>
          <r>
            <t xml:space="preserve">AJUDANTE DE ARMADOR (HORISTA)</t>
          </r>
        </is>
      </c>
      <c r="C13" s="22" t="inlineStr">
        <is>
          <r>
            <t xml:space="preserve">SINAPI</t>
          </r>
        </is>
      </c>
      <c r="D13" s="22" t="inlineStr">
        <is>
          <r>
            <t xml:space="preserve">H</t>
          </r>
        </is>
      </c>
      <c r="E13" s="24" t="n">
        <v>1.0</v>
      </c>
      <c r="F13" s="25" t="n">
        <v>14.54</v>
      </c>
      <c r="G13" s="25" t="n">
        <f>TRUNC(TRUNC(E13,8)*F13,2)</f>
        <v>14.54</v>
      </c>
    </row>
    <row r="14" customHeight="1" ht="15">
      <c r="A14" s="2" t="inlineStr"/>
      <c r="B14" s="2" t="inlineStr"/>
      <c r="C14" s="2" t="inlineStr"/>
      <c r="D14" s="2" t="inlineStr"/>
      <c r="E14" s="26" t="inlineStr">
        <is>
          <r>
            <t xml:space="preserve">TOTAL Mão de Obra:</t>
          </r>
        </is>
      </c>
      <c r="F14" s="26" t="inlineStr"/>
      <c r="G14" s="27" t="n">
        <f>SUM(G13:G13)</f>
        <v>14.54</v>
      </c>
    </row>
    <row r="15" customHeight="1" ht="15">
      <c r="A15" s="20" t="inlineStr">
        <is>
          <r>
            <t xml:space="preserve">Serviço</t>
          </r>
        </is>
      </c>
      <c r="B15" s="20" t="inlineStr"/>
      <c r="C15" s="21" t="inlineStr">
        <is>
          <r>
            <t xml:space="preserve">FONTE</t>
          </r>
        </is>
      </c>
      <c r="D15" s="21" t="inlineStr">
        <is>
          <r>
            <t xml:space="preserve">UNID</t>
          </r>
        </is>
      </c>
      <c r="E15" s="21" t="inlineStr">
        <is>
          <r>
            <t xml:space="preserve">COEFICIENTE</t>
          </r>
        </is>
      </c>
      <c r="F15" s="21" t="inlineStr">
        <is>
          <r>
            <t xml:space="preserve">PREÇO UNITÁRIO</t>
          </r>
        </is>
      </c>
      <c r="G15" s="21" t="inlineStr">
        <is>
          <r>
            <t xml:space="preserve">TOTAL</t>
          </r>
        </is>
      </c>
    </row>
    <row r="16" customHeight="1" ht="21">
      <c r="A16" s="22" t="inlineStr">
        <is>
          <r>
            <t xml:space="preserve">95308</t>
          </r>
        </is>
      </c>
      <c r="B16" s="23" t="inlineStr">
        <is>
          <r>
            <t xml:space="preserve">CURSO DE CAPACITAÇÃO PARA AJUDANTE DE ARMADOR (ENCARGOS COMPLEMENTARES) - HORISTA</t>
          </r>
        </is>
      </c>
      <c r="C16" s="22" t="inlineStr">
        <is>
          <r>
            <t xml:space="preserve">SINAPI</t>
          </r>
        </is>
      </c>
      <c r="D16" s="22" t="inlineStr">
        <is>
          <r>
            <t xml:space="preserve">H</t>
          </r>
        </is>
      </c>
      <c r="E16" s="24" t="n">
        <v>1.0</v>
      </c>
      <c r="F16" s="25" t="n">
        <v>0.16</v>
      </c>
      <c r="G16" s="25" t="n">
        <f>TRUNC(TRUNC(E16,8)*F16,2)</f>
        <v>0.16</v>
      </c>
    </row>
    <row r="17" customHeight="1" ht="15">
      <c r="A17" s="2" t="inlineStr"/>
      <c r="B17" s="2" t="inlineStr"/>
      <c r="C17" s="2" t="inlineStr"/>
      <c r="D17" s="2" t="inlineStr"/>
      <c r="E17" s="26" t="inlineStr">
        <is>
          <r>
            <t xml:space="preserve">TOTAL Serviço:</t>
          </r>
        </is>
      </c>
      <c r="F17" s="26" t="inlineStr"/>
      <c r="G17" s="27" t="n">
        <f>SUM(G16:G16)</f>
        <v>0.16</v>
      </c>
    </row>
    <row r="18" customHeight="1" ht="15">
      <c r="A18" s="2" t="inlineStr"/>
      <c r="B18" s="2" t="inlineStr"/>
      <c r="C18" s="2" t="inlineStr"/>
      <c r="D18" s="2" t="inlineStr"/>
      <c r="E18" s="28" t="inlineStr">
        <is>
          <r>
            <t xml:space="preserve">VALOR:</t>
          </r>
        </is>
      </c>
      <c r="F18" s="28" t="inlineStr"/>
      <c r="G18" s="29" t="n">
        <f>ROUND(SUM(G11,G14,G17),2)</f>
        <v>23.01</v>
      </c>
    </row>
    <row r="19" customHeight="1" ht="15">
      <c r="A19" s="2" t="inlineStr"/>
      <c r="B19" s="2" t="inlineStr"/>
      <c r="C19" s="2" t="inlineStr"/>
      <c r="D19" s="2" t="inlineStr"/>
      <c r="E19" s="28" t="inlineStr">
        <is>
          <r>
            <t xml:space="preserve">VALOR BDI:</t>
          </r>
        </is>
      </c>
      <c r="F19" s="28" t="inlineStr"/>
      <c r="G19" s="29" t="n">
        <f>ROUND(G18*(0/100),2)</f>
        <v>0.0</v>
      </c>
    </row>
    <row r="20" customHeight="1" ht="15">
      <c r="A20" s="2" t="inlineStr"/>
      <c r="B20" s="2" t="inlineStr"/>
      <c r="C20" s="2" t="inlineStr"/>
      <c r="D20" s="2" t="inlineStr"/>
      <c r="E20" s="28" t="inlineStr">
        <is>
          <r>
            <t xml:space="preserve">VALOR COM BDI:</t>
          </r>
        </is>
      </c>
      <c r="F20" s="28" t="inlineStr"/>
      <c r="G20" s="29" t="n">
        <f>G19+G18</f>
        <v>23.01</v>
      </c>
    </row>
    <row r="21" customHeight="1" ht="10">
      <c r="A21" s="2" t="inlineStr"/>
      <c r="B21" s="2" t="inlineStr"/>
      <c r="C21" s="2" t="inlineStr"/>
      <c r="D21" s="2" t="inlineStr"/>
      <c r="E21" s="18" t="inlineStr"/>
      <c r="F21" s="18" t="inlineStr"/>
      <c r="G21" s="18" t="inlineStr"/>
    </row>
    <row r="22" customHeight="1" ht="20">
      <c r="A22" s="19" t="inlineStr">
        <is>
          <r>
            <t xml:space="preserve">​88239​ AJUDANTE DE CARPINTEIRO COM ENCARGOS COMPLEMENTARES​ (H)</t>
          </r>
        </is>
      </c>
      <c r="B22" s="19" t="inlineStr"/>
      <c r="C22" s="19" t="inlineStr"/>
      <c r="D22" s="19" t="inlineStr"/>
      <c r="E22" s="19" t="inlineStr"/>
      <c r="F22" s="19" t="inlineStr"/>
      <c r="G22" s="19" t="inlineStr"/>
    </row>
    <row r="23" customHeight="1" ht="15">
      <c r="A23" s="20" t="inlineStr">
        <is>
          <r>
            <t xml:space="preserve">Encargos Complementares</t>
          </r>
        </is>
      </c>
      <c r="B23" s="20" t="inlineStr"/>
      <c r="C23" s="21" t="inlineStr">
        <is>
          <r>
            <t xml:space="preserve">FONTE</t>
          </r>
        </is>
      </c>
      <c r="D23" s="21" t="inlineStr">
        <is>
          <r>
            <t xml:space="preserve">UNID</t>
          </r>
        </is>
      </c>
      <c r="E23" s="21" t="inlineStr">
        <is>
          <r>
            <t xml:space="preserve">COEFICIENTE</t>
          </r>
        </is>
      </c>
      <c r="F23" s="21" t="inlineStr">
        <is>
          <r>
            <t xml:space="preserve">PREÇO UNITÁRIO</t>
          </r>
        </is>
      </c>
      <c r="G23" s="21" t="inlineStr">
        <is>
          <r>
            <t xml:space="preserve">TOTAL</t>
          </r>
        </is>
      </c>
    </row>
    <row r="24" customHeight="1" ht="21">
      <c r="A24" s="22" t="inlineStr">
        <is>
          <r>
            <t xml:space="preserve">00037370</t>
          </r>
        </is>
      </c>
      <c r="B24" s="23" t="inlineStr">
        <is>
          <r>
            <t xml:space="preserve">ALIMENTACAO - HORISTA (COLETADO CAIXA - ENCARGOS COMPLEMENTARES)</t>
          </r>
        </is>
      </c>
      <c r="C24" s="22" t="inlineStr">
        <is>
          <r>
            <t xml:space="preserve">SINAPI</t>
          </r>
        </is>
      </c>
      <c r="D24" s="22" t="inlineStr">
        <is>
          <r>
            <t xml:space="preserve">H</t>
          </r>
        </is>
      </c>
      <c r="E24" s="24" t="n">
        <v>1.0</v>
      </c>
      <c r="F24" s="25" t="n">
        <v>3.62</v>
      </c>
      <c r="G24" s="25" t="n">
        <f>TRUNC(TRUNC(E24,8)*F24,2)</f>
        <v>3.62</v>
      </c>
    </row>
    <row r="25" customHeight="1" ht="21">
      <c r="A25" s="22" t="inlineStr">
        <is>
          <r>
            <t xml:space="preserve">00043483</t>
          </r>
        </is>
      </c>
      <c r="B25" s="23" t="inlineStr">
        <is>
          <r>
            <t xml:space="preserve">EPI - FAMILIA CARPINTEIRO DE FORMAS - HORISTA (ENCARGOS COMPLEMENTARES - COLETADO CAIXA)</t>
          </r>
        </is>
      </c>
      <c r="C25" s="22" t="inlineStr">
        <is>
          <r>
            <t xml:space="preserve">SINAPI</t>
          </r>
        </is>
      </c>
      <c r="D25" s="22" t="inlineStr">
        <is>
          <r>
            <t xml:space="preserve">H</t>
          </r>
        </is>
      </c>
      <c r="E25" s="24" t="n">
        <v>1.0</v>
      </c>
      <c r="F25" s="25" t="n">
        <v>1.43</v>
      </c>
      <c r="G25" s="25" t="n">
        <f>TRUNC(TRUNC(E25,8)*F25,2)</f>
        <v>1.43</v>
      </c>
    </row>
    <row r="26" customHeight="1" ht="21">
      <c r="A26" s="22" t="inlineStr">
        <is>
          <r>
            <t xml:space="preserve">00037372</t>
          </r>
        </is>
      </c>
      <c r="B26" s="23" t="inlineStr">
        <is>
          <r>
            <t xml:space="preserve">EXAMES - HORISTA (COLETADO CAIXA - ENCARGOS COMPLEMENTARES)</t>
          </r>
        </is>
      </c>
      <c r="C26" s="22" t="inlineStr">
        <is>
          <r>
            <t xml:space="preserve">SINAPI</t>
          </r>
        </is>
      </c>
      <c r="D26" s="22" t="inlineStr">
        <is>
          <r>
            <t xml:space="preserve">H</t>
          </r>
        </is>
      </c>
      <c r="E26" s="24" t="n">
        <v>1.0</v>
      </c>
      <c r="F26" s="25" t="n">
        <v>1.43</v>
      </c>
      <c r="G26" s="25" t="n">
        <f>TRUNC(TRUNC(E26,8)*F26,2)</f>
        <v>1.43</v>
      </c>
    </row>
    <row r="27" customHeight="1" ht="29">
      <c r="A27" s="22" t="inlineStr">
        <is>
          <r>
            <t xml:space="preserve">00043459</t>
          </r>
        </is>
      </c>
      <c r="B27" s="23" t="inlineStr">
        <is>
          <r>
            <t xml:space="preserve">FERRAMENTAS - FAMILIA CARPINTEIRO DE FORMAS - HORISTA (ENCARGOS COMPLEMENTARES - COLETADO CAIXA)</t>
          </r>
        </is>
      </c>
      <c r="C27" s="22" t="inlineStr">
        <is>
          <r>
            <t xml:space="preserve">SINAPI</t>
          </r>
        </is>
      </c>
      <c r="D27" s="22" t="inlineStr">
        <is>
          <r>
            <t xml:space="preserve">H</t>
          </r>
        </is>
      </c>
      <c r="E27" s="24" t="n">
        <v>1.0</v>
      </c>
      <c r="F27" s="25" t="n">
        <v>0.44</v>
      </c>
      <c r="G27" s="25" t="n">
        <f>TRUNC(TRUNC(E27,8)*F27,2)</f>
        <v>0.44</v>
      </c>
    </row>
    <row r="28" customHeight="1" ht="21">
      <c r="A28" s="22" t="inlineStr">
        <is>
          <r>
            <t xml:space="preserve">00037373</t>
          </r>
        </is>
      </c>
      <c r="B28" s="23" t="inlineStr">
        <is>
          <r>
            <t xml:space="preserve">SEGURO - HORISTA (COLETADO CAIXA - ENCARGOS COMPLEMENTARES)</t>
          </r>
        </is>
      </c>
      <c r="C28" s="22" t="inlineStr">
        <is>
          <r>
            <t xml:space="preserve">SINAPI</t>
          </r>
        </is>
      </c>
      <c r="D28" s="22" t="inlineStr">
        <is>
          <r>
            <t xml:space="preserve">H</t>
          </r>
        </is>
      </c>
      <c r="E28" s="24" t="n">
        <v>1.0</v>
      </c>
      <c r="F28" s="25" t="n">
        <v>0.08</v>
      </c>
      <c r="G28" s="25" t="n">
        <f>TRUNC(TRUNC(E28,8)*F28,2)</f>
        <v>0.08</v>
      </c>
    </row>
    <row r="29" customHeight="1" ht="21">
      <c r="A29" s="22" t="inlineStr">
        <is>
          <r>
            <t xml:space="preserve">00037371</t>
          </r>
        </is>
      </c>
      <c r="B29" s="23" t="inlineStr">
        <is>
          <r>
            <t xml:space="preserve">TRANSPORTE - HORISTA (COLETADO CAIXA - ENCARGOS COMPLEMENTARES)</t>
          </r>
        </is>
      </c>
      <c r="C29" s="22" t="inlineStr">
        <is>
          <r>
            <t xml:space="preserve">SINAPI</t>
          </r>
        </is>
      </c>
      <c r="D29" s="22" t="inlineStr">
        <is>
          <r>
            <t xml:space="preserve">H</t>
          </r>
        </is>
      </c>
      <c r="E29" s="24" t="n">
        <v>1.0</v>
      </c>
      <c r="F29" s="25" t="n">
        <v>1.09</v>
      </c>
      <c r="G29" s="25" t="n">
        <f>TRUNC(TRUNC(E29,8)*F29,2)</f>
        <v>1.09</v>
      </c>
    </row>
    <row r="30" customHeight="1" ht="15">
      <c r="A30" s="2" t="inlineStr"/>
      <c r="B30" s="2" t="inlineStr"/>
      <c r="C30" s="2" t="inlineStr"/>
      <c r="D30" s="2" t="inlineStr"/>
      <c r="E30" s="26" t="inlineStr">
        <is>
          <r>
            <t xml:space="preserve">TOTAL Encargos Complementares:</t>
          </r>
        </is>
      </c>
      <c r="F30" s="26" t="inlineStr"/>
      <c r="G30" s="27" t="n">
        <f>SUM(G24:G29)</f>
        <v>8.09</v>
      </c>
    </row>
    <row r="31" customHeight="1" ht="15">
      <c r="A31" s="20" t="inlineStr">
        <is>
          <r>
            <t xml:space="preserve">Mão de Obra</t>
          </r>
        </is>
      </c>
      <c r="B31" s="20" t="inlineStr"/>
      <c r="C31" s="21" t="inlineStr">
        <is>
          <r>
            <t xml:space="preserve">FONTE</t>
          </r>
        </is>
      </c>
      <c r="D31" s="21" t="inlineStr">
        <is>
          <r>
            <t xml:space="preserve">UNID</t>
          </r>
        </is>
      </c>
      <c r="E31" s="21" t="inlineStr">
        <is>
          <r>
            <t xml:space="preserve">COEFICIENTE</t>
          </r>
        </is>
      </c>
      <c r="F31" s="21" t="inlineStr">
        <is>
          <r>
            <t xml:space="preserve">PREÇO UNITÁRIO</t>
          </r>
        </is>
      </c>
      <c r="G31" s="21" t="inlineStr">
        <is>
          <r>
            <t xml:space="preserve">TOTAL</t>
          </r>
        </is>
      </c>
    </row>
    <row r="32" customHeight="1" ht="15">
      <c r="A32" s="22" t="inlineStr">
        <is>
          <r>
            <t xml:space="preserve">00006117</t>
          </r>
        </is>
      </c>
      <c r="B32" s="23" t="inlineStr">
        <is>
          <r>
            <t xml:space="preserve">CARPINTEIRO AUXILIAR (HORISTA)</t>
          </r>
        </is>
      </c>
      <c r="C32" s="22" t="inlineStr">
        <is>
          <r>
            <t xml:space="preserve">SINAPI</t>
          </r>
        </is>
      </c>
      <c r="D32" s="22" t="inlineStr">
        <is>
          <r>
            <t xml:space="preserve">H</t>
          </r>
        </is>
      </c>
      <c r="E32" s="24" t="n">
        <v>1.0</v>
      </c>
      <c r="F32" s="25" t="n">
        <v>14.54</v>
      </c>
      <c r="G32" s="25" t="n">
        <f>TRUNC(TRUNC(E32,8)*F32,2)</f>
        <v>14.54</v>
      </c>
    </row>
    <row r="33" customHeight="1" ht="15">
      <c r="A33" s="2" t="inlineStr"/>
      <c r="B33" s="2" t="inlineStr"/>
      <c r="C33" s="2" t="inlineStr"/>
      <c r="D33" s="2" t="inlineStr"/>
      <c r="E33" s="26" t="inlineStr">
        <is>
          <r>
            <t xml:space="preserve">TOTAL Mão de Obra:</t>
          </r>
        </is>
      </c>
      <c r="F33" s="26" t="inlineStr"/>
      <c r="G33" s="27" t="n">
        <f>SUM(G32:G32)</f>
        <v>14.54</v>
      </c>
    </row>
    <row r="34" customHeight="1" ht="15">
      <c r="A34" s="20" t="inlineStr">
        <is>
          <r>
            <t xml:space="preserve">Serviço</t>
          </r>
        </is>
      </c>
      <c r="B34" s="20" t="inlineStr"/>
      <c r="C34" s="21" t="inlineStr">
        <is>
          <r>
            <t xml:space="preserve">FONTE</t>
          </r>
        </is>
      </c>
      <c r="D34" s="21" t="inlineStr">
        <is>
          <r>
            <t xml:space="preserve">UNID</t>
          </r>
        </is>
      </c>
      <c r="E34" s="21" t="inlineStr">
        <is>
          <r>
            <t xml:space="preserve">COEFICIENTE</t>
          </r>
        </is>
      </c>
      <c r="F34" s="21" t="inlineStr">
        <is>
          <r>
            <t xml:space="preserve">PREÇO UNITÁRIO</t>
          </r>
        </is>
      </c>
      <c r="G34" s="21" t="inlineStr">
        <is>
          <r>
            <t xml:space="preserve">TOTAL</t>
          </r>
        </is>
      </c>
    </row>
    <row r="35" customHeight="1" ht="21">
      <c r="A35" s="22" t="inlineStr">
        <is>
          <r>
            <t xml:space="preserve">95309</t>
          </r>
        </is>
      </c>
      <c r="B35" s="23" t="inlineStr">
        <is>
          <r>
            <t xml:space="preserve">CURSO DE CAPACITAÇÃO PARA AJUDANTE DE CARPINTEIRO (ENCARGOS COMPLEMENTARES) - HORISTA</t>
          </r>
        </is>
      </c>
      <c r="C35" s="22" t="inlineStr">
        <is>
          <r>
            <t xml:space="preserve">SINAPI</t>
          </r>
        </is>
      </c>
      <c r="D35" s="22" t="inlineStr">
        <is>
          <r>
            <t xml:space="preserve">H</t>
          </r>
        </is>
      </c>
      <c r="E35" s="24" t="n">
        <v>1.0</v>
      </c>
      <c r="F35" s="25" t="n">
        <v>0.21</v>
      </c>
      <c r="G35" s="25" t="n">
        <f>TRUNC(TRUNC(E35,8)*F35,2)</f>
        <v>0.21</v>
      </c>
    </row>
    <row r="36" customHeight="1" ht="15">
      <c r="A36" s="2" t="inlineStr"/>
      <c r="B36" s="2" t="inlineStr"/>
      <c r="C36" s="2" t="inlineStr"/>
      <c r="D36" s="2" t="inlineStr"/>
      <c r="E36" s="26" t="inlineStr">
        <is>
          <r>
            <t xml:space="preserve">TOTAL Serviço:</t>
          </r>
        </is>
      </c>
      <c r="F36" s="26" t="inlineStr"/>
      <c r="G36" s="27" t="n">
        <f>SUM(G35:G35)</f>
        <v>0.21</v>
      </c>
    </row>
    <row r="37" customHeight="1" ht="15">
      <c r="A37" s="2" t="inlineStr"/>
      <c r="B37" s="2" t="inlineStr"/>
      <c r="C37" s="2" t="inlineStr"/>
      <c r="D37" s="2" t="inlineStr"/>
      <c r="E37" s="28" t="inlineStr">
        <is>
          <r>
            <t xml:space="preserve">VALOR:</t>
          </r>
        </is>
      </c>
      <c r="F37" s="28" t="inlineStr"/>
      <c r="G37" s="29" t="n">
        <f>ROUND(SUM(G30,G33,G36),2)</f>
        <v>22.84</v>
      </c>
    </row>
    <row r="38" customHeight="1" ht="15">
      <c r="A38" s="2" t="inlineStr"/>
      <c r="B38" s="2" t="inlineStr"/>
      <c r="C38" s="2" t="inlineStr"/>
      <c r="D38" s="2" t="inlineStr"/>
      <c r="E38" s="28" t="inlineStr">
        <is>
          <r>
            <t xml:space="preserve">VALOR BDI:</t>
          </r>
        </is>
      </c>
      <c r="F38" s="28" t="inlineStr"/>
      <c r="G38" s="29" t="n">
        <f>ROUND(G37*(0/100),2)</f>
        <v>0.0</v>
      </c>
    </row>
    <row r="39" customHeight="1" ht="15">
      <c r="A39" s="2" t="inlineStr"/>
      <c r="B39" s="2" t="inlineStr"/>
      <c r="C39" s="2" t="inlineStr"/>
      <c r="D39" s="2" t="inlineStr"/>
      <c r="E39" s="28" t="inlineStr">
        <is>
          <r>
            <t xml:space="preserve">VALOR COM BDI:</t>
          </r>
        </is>
      </c>
      <c r="F39" s="28" t="inlineStr"/>
      <c r="G39" s="29" t="n">
        <f>G38+G37</f>
        <v>22.84</v>
      </c>
    </row>
    <row r="40" customHeight="1" ht="10">
      <c r="A40" s="2" t="inlineStr"/>
      <c r="B40" s="2" t="inlineStr"/>
      <c r="C40" s="2" t="inlineStr"/>
      <c r="D40" s="2" t="inlineStr"/>
      <c r="E40" s="18" t="inlineStr"/>
      <c r="F40" s="18" t="inlineStr"/>
      <c r="G40" s="18" t="inlineStr"/>
    </row>
    <row r="41" customHeight="1" ht="20">
      <c r="A41" s="19" t="inlineStr">
        <is>
          <r>
            <t xml:space="preserve">​C3743​ ALVENARIA DE BLOCO DE CONCRETO (9x19x39)cm C/ARGAMASSA MISTA DE CAL HIDRATADA ESP=9 cm​ (M2)</t>
          </r>
        </is>
      </c>
      <c r="B41" s="19" t="inlineStr"/>
      <c r="C41" s="19" t="inlineStr"/>
      <c r="D41" s="19" t="inlineStr"/>
      <c r="E41" s="19" t="inlineStr"/>
      <c r="F41" s="19" t="inlineStr"/>
      <c r="G41" s="19" t="inlineStr"/>
    </row>
    <row r="42" customHeight="1" ht="15">
      <c r="A42" s="20" t="inlineStr">
        <is>
          <r>
            <t xml:space="preserve">Material</t>
          </r>
        </is>
      </c>
      <c r="B42" s="20" t="inlineStr"/>
      <c r="C42" s="21" t="inlineStr">
        <is>
          <r>
            <t xml:space="preserve">FONTE</t>
          </r>
        </is>
      </c>
      <c r="D42" s="21" t="inlineStr">
        <is>
          <r>
            <t xml:space="preserve">UNID</t>
          </r>
        </is>
      </c>
      <c r="E42" s="21" t="inlineStr">
        <is>
          <r>
            <t xml:space="preserve">COEFICIENTE</t>
          </r>
        </is>
      </c>
      <c r="F42" s="21" t="inlineStr">
        <is>
          <r>
            <t xml:space="preserve">PREÇO UNITÁRIO</t>
          </r>
        </is>
      </c>
      <c r="G42" s="21" t="inlineStr">
        <is>
          <r>
            <t xml:space="preserve">TOTAL</t>
          </r>
        </is>
      </c>
    </row>
    <row r="43" customHeight="1" ht="15">
      <c r="A43" s="22" t="inlineStr">
        <is>
          <r>
            <t xml:space="preserve">I0109</t>
          </r>
        </is>
      </c>
      <c r="B43" s="23" t="inlineStr">
        <is>
          <r>
            <t xml:space="preserve">AREIA MEDIA</t>
          </r>
        </is>
      </c>
      <c r="C43" s="22" t="inlineStr">
        <is>
          <r>
            <t xml:space="preserve">SEINFRA</t>
          </r>
        </is>
      </c>
      <c r="D43" s="22" t="inlineStr">
        <is>
          <r>
            <t xml:space="preserve">M3</t>
          </r>
        </is>
      </c>
      <c r="E43" s="24" t="n">
        <v>0.0083</v>
      </c>
      <c r="F43" s="30" t="n">
        <v>83.58</v>
      </c>
      <c r="G43" s="30" t="n">
        <f>ROUND(ROUND(E43,8)*F43,4)</f>
        <v>0.6937</v>
      </c>
    </row>
    <row r="44" customHeight="1" ht="15">
      <c r="A44" s="22" t="inlineStr">
        <is>
          <r>
            <t xml:space="preserve">I6813</t>
          </r>
        </is>
      </c>
      <c r="B44" s="23" t="inlineStr">
        <is>
          <r>
            <t xml:space="preserve">BLOCO DE CONCRETO 9x19x39cm - VEDAÇÃO</t>
          </r>
        </is>
      </c>
      <c r="C44" s="22" t="inlineStr">
        <is>
          <r>
            <t xml:space="preserve">SEINFRA</t>
          </r>
        </is>
      </c>
      <c r="D44" s="22" t="inlineStr">
        <is>
          <r>
            <t xml:space="preserve">UN</t>
          </r>
        </is>
      </c>
      <c r="E44" s="24" t="n">
        <v>13.13</v>
      </c>
      <c r="F44" s="30" t="n">
        <v>2.53</v>
      </c>
      <c r="G44" s="30" t="n">
        <f>ROUND(ROUND(E44,8)*F44,4)</f>
        <v>33.2189</v>
      </c>
    </row>
    <row r="45" customHeight="1" ht="15">
      <c r="A45" s="22" t="inlineStr">
        <is>
          <r>
            <t xml:space="preserve">I0441</t>
          </r>
        </is>
      </c>
      <c r="B45" s="23" t="inlineStr">
        <is>
          <r>
            <t xml:space="preserve">CAL HIDRATADA</t>
          </r>
        </is>
      </c>
      <c r="C45" s="22" t="inlineStr">
        <is>
          <r>
            <t xml:space="preserve">SEINFRA</t>
          </r>
        </is>
      </c>
      <c r="D45" s="22" t="inlineStr">
        <is>
          <r>
            <t xml:space="preserve">KG</t>
          </r>
        </is>
      </c>
      <c r="E45" s="24" t="n">
        <v>0.32</v>
      </c>
      <c r="F45" s="30" t="n">
        <v>0.96</v>
      </c>
      <c r="G45" s="30" t="n">
        <f>ROUND(ROUND(E45,8)*F45,4)</f>
        <v>0.3072</v>
      </c>
    </row>
    <row r="46" customHeight="1" ht="15">
      <c r="A46" s="22" t="inlineStr">
        <is>
          <r>
            <t xml:space="preserve">I0805</t>
          </r>
        </is>
      </c>
      <c r="B46" s="23" t="inlineStr">
        <is>
          <r>
            <t xml:space="preserve">CIMENTO PORTLAND</t>
          </r>
        </is>
      </c>
      <c r="C46" s="22" t="inlineStr">
        <is>
          <r>
            <t xml:space="preserve">SEINFRA</t>
          </r>
        </is>
      </c>
      <c r="D46" s="22" t="inlineStr">
        <is>
          <r>
            <t xml:space="preserve">KG</t>
          </r>
        </is>
      </c>
      <c r="E46" s="24" t="n">
        <v>1.25</v>
      </c>
      <c r="F46" s="30" t="n">
        <v>0.71</v>
      </c>
      <c r="G46" s="30" t="n">
        <f>ROUND(ROUND(E46,8)*F46,4)</f>
        <v>0.8875</v>
      </c>
    </row>
    <row r="47" customHeight="1" ht="15">
      <c r="A47" s="2" t="inlineStr"/>
      <c r="B47" s="2" t="inlineStr"/>
      <c r="C47" s="2" t="inlineStr"/>
      <c r="D47" s="2" t="inlineStr"/>
      <c r="E47" s="26" t="inlineStr">
        <is>
          <r>
            <t xml:space="preserve">TOTAL Material:</t>
          </r>
        </is>
      </c>
      <c r="F47" s="26" t="inlineStr"/>
      <c r="G47" s="31" t="n">
        <f>SUM(G43:G46)</f>
        <v>35.1073</v>
      </c>
    </row>
    <row r="48" customHeight="1" ht="15">
      <c r="A48" s="20" t="inlineStr">
        <is>
          <r>
            <t xml:space="preserve">Mão de Obra</t>
          </r>
        </is>
      </c>
      <c r="B48" s="20" t="inlineStr"/>
      <c r="C48" s="21" t="inlineStr">
        <is>
          <r>
            <t xml:space="preserve">FONTE</t>
          </r>
        </is>
      </c>
      <c r="D48" s="21" t="inlineStr">
        <is>
          <r>
            <t xml:space="preserve">UNID</t>
          </r>
        </is>
      </c>
      <c r="E48" s="21" t="inlineStr">
        <is>
          <r>
            <t xml:space="preserve">COEFICIENTE</t>
          </r>
        </is>
      </c>
      <c r="F48" s="21" t="inlineStr">
        <is>
          <r>
            <t xml:space="preserve">PREÇO UNITÁRIO</t>
          </r>
        </is>
      </c>
      <c r="G48" s="21" t="inlineStr">
        <is>
          <r>
            <t xml:space="preserve">TOTAL</t>
          </r>
        </is>
      </c>
    </row>
    <row r="49" customHeight="1" ht="15">
      <c r="A49" s="22" t="inlineStr">
        <is>
          <r>
            <t xml:space="preserve">I2391</t>
          </r>
        </is>
      </c>
      <c r="B49" s="23" t="inlineStr">
        <is>
          <r>
            <t xml:space="preserve">PEDREIRO</t>
          </r>
        </is>
      </c>
      <c r="C49" s="22" t="inlineStr">
        <is>
          <r>
            <t xml:space="preserve">SEINFRA</t>
          </r>
        </is>
      </c>
      <c r="D49" s="22" t="inlineStr">
        <is>
          <r>
            <t xml:space="preserve">H</t>
          </r>
        </is>
      </c>
      <c r="E49" s="24" t="n">
        <v>0.66</v>
      </c>
      <c r="F49" s="30" t="n">
        <v>24.16</v>
      </c>
      <c r="G49" s="30" t="n">
        <f>ROUND(ROUND(E49,8)*F49,4)</f>
        <v>15.9456</v>
      </c>
    </row>
    <row r="50" customHeight="1" ht="15">
      <c r="A50" s="22" t="inlineStr">
        <is>
          <r>
            <t xml:space="preserve">I2543</t>
          </r>
        </is>
      </c>
      <c r="B50" s="23" t="inlineStr">
        <is>
          <r>
            <t xml:space="preserve">SERVENTE</t>
          </r>
        </is>
      </c>
      <c r="C50" s="22" t="inlineStr">
        <is>
          <r>
            <t xml:space="preserve">SEINFRA</t>
          </r>
        </is>
      </c>
      <c r="D50" s="22" t="inlineStr">
        <is>
          <r>
            <t xml:space="preserve">H</t>
          </r>
        </is>
      </c>
      <c r="E50" s="24" t="n">
        <v>0.73</v>
      </c>
      <c r="F50" s="30" t="n">
        <v>18.46</v>
      </c>
      <c r="G50" s="30" t="n">
        <f>ROUND(ROUND(E50,8)*F50,4)</f>
        <v>13.4758</v>
      </c>
    </row>
    <row r="51" customHeight="1" ht="15">
      <c r="A51" s="2" t="inlineStr"/>
      <c r="B51" s="2" t="inlineStr"/>
      <c r="C51" s="2" t="inlineStr"/>
      <c r="D51" s="2" t="inlineStr"/>
      <c r="E51" s="26" t="inlineStr">
        <is>
          <r>
            <t xml:space="preserve">TOTAL Mão de Obra:</t>
          </r>
        </is>
      </c>
      <c r="F51" s="26" t="inlineStr"/>
      <c r="G51" s="31" t="n">
        <f>SUM(G49:G50)</f>
        <v>29.4214</v>
      </c>
    </row>
    <row r="52" customHeight="1" ht="15">
      <c r="A52" s="2" t="inlineStr"/>
      <c r="B52" s="2" t="inlineStr"/>
      <c r="C52" s="2" t="inlineStr"/>
      <c r="D52" s="2" t="inlineStr"/>
      <c r="E52" s="28" t="inlineStr">
        <is>
          <r>
            <t xml:space="preserve">VALOR:</t>
          </r>
        </is>
      </c>
      <c r="F52" s="28" t="inlineStr"/>
      <c r="G52" s="29" t="n">
        <f>ROUND(SUM(G47,G51),2)</f>
        <v>64.53</v>
      </c>
    </row>
    <row r="53" customHeight="1" ht="15">
      <c r="A53" s="2" t="inlineStr"/>
      <c r="B53" s="2" t="inlineStr"/>
      <c r="C53" s="2" t="inlineStr"/>
      <c r="D53" s="2" t="inlineStr"/>
      <c r="E53" s="28" t="inlineStr">
        <is>
          <r>
            <t xml:space="preserve">VALOR BDI:</t>
          </r>
        </is>
      </c>
      <c r="F53" s="28" t="inlineStr"/>
      <c r="G53" s="29" t="n">
        <f>ROUND(G52*(0/100),2)</f>
        <v>0.0</v>
      </c>
    </row>
    <row r="54" customHeight="1" ht="15">
      <c r="A54" s="2" t="inlineStr"/>
      <c r="B54" s="2" t="inlineStr"/>
      <c r="C54" s="2" t="inlineStr"/>
      <c r="D54" s="2" t="inlineStr"/>
      <c r="E54" s="28" t="inlineStr">
        <is>
          <r>
            <t xml:space="preserve">VALOR COM BDI:</t>
          </r>
        </is>
      </c>
      <c r="F54" s="28" t="inlineStr"/>
      <c r="G54" s="29" t="n">
        <f>G53+G52</f>
        <v>64.53</v>
      </c>
    </row>
    <row r="55" customHeight="1" ht="10">
      <c r="A55" s="2" t="inlineStr"/>
      <c r="B55" s="2" t="inlineStr"/>
      <c r="C55" s="2" t="inlineStr"/>
      <c r="D55" s="2" t="inlineStr"/>
      <c r="E55" s="18" t="inlineStr"/>
      <c r="F55" s="18" t="inlineStr"/>
      <c r="G55" s="18" t="inlineStr"/>
    </row>
    <row r="56" customHeight="1" ht="20">
      <c r="A56" s="19" t="inlineStr">
        <is>
          <r>
            <t xml:space="preserve">​C3127​ AREIA ASFALTO USINADA À FRIO - AAUF (S/TRANSP)​ (M3)</t>
          </r>
        </is>
      </c>
      <c r="B56" s="19" t="inlineStr"/>
      <c r="C56" s="19" t="inlineStr"/>
      <c r="D56" s="19" t="inlineStr"/>
      <c r="E56" s="19" t="inlineStr"/>
      <c r="F56" s="19" t="inlineStr"/>
      <c r="G56" s="19" t="inlineStr"/>
    </row>
    <row r="57" customHeight="1" ht="15">
      <c r="A57" s="20" t="inlineStr">
        <is>
          <r>
            <t xml:space="preserve">Equipamento Custo Horário</t>
          </r>
        </is>
      </c>
      <c r="B57" s="20" t="inlineStr"/>
      <c r="C57" s="21" t="inlineStr">
        <is>
          <r>
            <t xml:space="preserve">FONTE</t>
          </r>
        </is>
      </c>
      <c r="D57" s="21" t="inlineStr">
        <is>
          <r>
            <t xml:space="preserve">UNID</t>
          </r>
        </is>
      </c>
      <c r="E57" s="21" t="inlineStr">
        <is>
          <r>
            <t xml:space="preserve">COEFICIENTE</t>
          </r>
        </is>
      </c>
      <c r="F57" s="21" t="inlineStr">
        <is>
          <r>
            <t xml:space="preserve">PREÇO UNITÁRIO</t>
          </r>
        </is>
      </c>
      <c r="G57" s="21" t="inlineStr">
        <is>
          <r>
            <t xml:space="preserve">TOTAL</t>
          </r>
        </is>
      </c>
    </row>
    <row r="58" customHeight="1" ht="15">
      <c r="A58" s="22" t="inlineStr">
        <is>
          <r>
            <t xml:space="preserve">I0590</t>
          </r>
        </is>
      </c>
      <c r="B58" s="23" t="inlineStr">
        <is>
          <r>
            <t xml:space="preserve">CAMINHÃO TANQUE 8.000 l (CHI)</t>
          </r>
        </is>
      </c>
      <c r="C58" s="22" t="inlineStr">
        <is>
          <r>
            <t xml:space="preserve">SEINFRA</t>
          </r>
        </is>
      </c>
      <c r="D58" s="22" t="inlineStr">
        <is>
          <r>
            <t xml:space="preserve">H</t>
          </r>
        </is>
      </c>
      <c r="E58" s="24" t="n">
        <v>0.064</v>
      </c>
      <c r="F58" s="30" t="n">
        <v>70.4941</v>
      </c>
      <c r="G58" s="30" t="n">
        <f>ROUND(ROUND(E58,8)*F58,4)</f>
        <v>4.5116</v>
      </c>
    </row>
    <row r="59" customHeight="1" ht="15">
      <c r="A59" s="22" t="inlineStr">
        <is>
          <r>
            <t xml:space="preserve">I0698</t>
          </r>
        </is>
      </c>
      <c r="B59" s="23" t="inlineStr">
        <is>
          <r>
            <t xml:space="preserve">CAMINHÃO TANQUE 8.000 l (CHP)</t>
          </r>
        </is>
      </c>
      <c r="C59" s="22" t="inlineStr">
        <is>
          <r>
            <t xml:space="preserve">SEINFRA</t>
          </r>
        </is>
      </c>
      <c r="D59" s="22" t="inlineStr">
        <is>
          <r>
            <t xml:space="preserve">H</t>
          </r>
        </is>
      </c>
      <c r="E59" s="24" t="n">
        <v>0.00266667</v>
      </c>
      <c r="F59" s="30" t="n">
        <v>213.8811</v>
      </c>
      <c r="G59" s="30" t="n">
        <f>ROUND(ROUND(E59,8)*F59,4)</f>
        <v>0.5704</v>
      </c>
    </row>
    <row r="60" customHeight="1" ht="15">
      <c r="A60" s="22" t="inlineStr">
        <is>
          <r>
            <t xml:space="preserve">I0607</t>
          </r>
        </is>
      </c>
      <c r="B60" s="23" t="inlineStr">
        <is>
          <r>
            <t xml:space="preserve">COMPAC. DE PNEUS PRES. VAR. AUTOPR. (CHI)</t>
          </r>
        </is>
      </c>
      <c r="C60" s="22" t="inlineStr">
        <is>
          <r>
            <t xml:space="preserve">SEINFRA</t>
          </r>
        </is>
      </c>
      <c r="D60" s="22" t="inlineStr">
        <is>
          <r>
            <t xml:space="preserve">H</t>
          </r>
        </is>
      </c>
      <c r="E60" s="24" t="n">
        <v>0.04466667</v>
      </c>
      <c r="F60" s="30" t="n">
        <v>94.324</v>
      </c>
      <c r="G60" s="30" t="n">
        <f>ROUND(ROUND(E60,8)*F60,4)</f>
        <v>4.2131</v>
      </c>
    </row>
    <row r="61" customHeight="1" ht="15">
      <c r="A61" s="22" t="inlineStr">
        <is>
          <r>
            <t xml:space="preserve">I0721</t>
          </r>
        </is>
      </c>
      <c r="B61" s="23" t="inlineStr">
        <is>
          <r>
            <t xml:space="preserve">COMPAC. DE PNEUS PRES. VAR. AUTOPR. (CHP)</t>
          </r>
        </is>
      </c>
      <c r="C61" s="22" t="inlineStr">
        <is>
          <r>
            <t xml:space="preserve">SEINFRA</t>
          </r>
        </is>
      </c>
      <c r="D61" s="22" t="inlineStr">
        <is>
          <r>
            <t xml:space="preserve">H</t>
          </r>
        </is>
      </c>
      <c r="E61" s="24" t="n">
        <v>0.022</v>
      </c>
      <c r="F61" s="30" t="n">
        <v>246.224</v>
      </c>
      <c r="G61" s="30" t="n">
        <f>ROUND(ROUND(E61,8)*F61,4)</f>
        <v>5.4169</v>
      </c>
    </row>
    <row r="62" customHeight="1" ht="15">
      <c r="A62" s="22" t="inlineStr">
        <is>
          <r>
            <t xml:space="preserve">I0608</t>
          </r>
        </is>
      </c>
      <c r="B62" s="23" t="inlineStr">
        <is>
          <r>
            <t xml:space="preserve">COMPACTADOR LISO TANDEM AUTOPROPELIDO (CHI)</t>
          </r>
        </is>
      </c>
      <c r="C62" s="22" t="inlineStr">
        <is>
          <r>
            <t xml:space="preserve">SEINFRA</t>
          </r>
        </is>
      </c>
      <c r="D62" s="22" t="inlineStr">
        <is>
          <r>
            <t xml:space="preserve">H</t>
          </r>
        </is>
      </c>
      <c r="E62" s="24" t="n">
        <v>0.046</v>
      </c>
      <c r="F62" s="30" t="n">
        <v>58.1103</v>
      </c>
      <c r="G62" s="30" t="n">
        <f>ROUND(ROUND(E62,8)*F62,4)</f>
        <v>2.6731</v>
      </c>
    </row>
    <row r="63" customHeight="1" ht="15">
      <c r="A63" s="22" t="inlineStr">
        <is>
          <r>
            <t xml:space="preserve">I0726</t>
          </r>
        </is>
      </c>
      <c r="B63" s="23" t="inlineStr">
        <is>
          <r>
            <t xml:space="preserve">COMPACTADOR LISO TANDEM AUTOPROPELIDO (CHP)</t>
          </r>
        </is>
      </c>
      <c r="C63" s="22" t="inlineStr">
        <is>
          <r>
            <t xml:space="preserve">SEINFRA</t>
          </r>
        </is>
      </c>
      <c r="D63" s="22" t="inlineStr">
        <is>
          <r>
            <t xml:space="preserve">H</t>
          </r>
        </is>
      </c>
      <c r="E63" s="24" t="n">
        <v>0.02066667</v>
      </c>
      <c r="F63" s="30" t="n">
        <v>113.0195</v>
      </c>
      <c r="G63" s="30" t="n">
        <f>ROUND(ROUND(E63,8)*F63,4)</f>
        <v>2.3357</v>
      </c>
    </row>
    <row r="64" customHeight="1" ht="15">
      <c r="A64" s="22" t="inlineStr">
        <is>
          <r>
            <t xml:space="preserve">I0642</t>
          </r>
        </is>
      </c>
      <c r="B64" s="23" t="inlineStr">
        <is>
          <r>
            <t xml:space="preserve">MOTO NIVELADORA (CHI)</t>
          </r>
        </is>
      </c>
      <c r="C64" s="22" t="inlineStr">
        <is>
          <r>
            <t xml:space="preserve">SEINFRA</t>
          </r>
        </is>
      </c>
      <c r="D64" s="22" t="inlineStr">
        <is>
          <r>
            <t xml:space="preserve">H</t>
          </r>
        </is>
      </c>
      <c r="E64" s="24" t="n">
        <v>0.052</v>
      </c>
      <c r="F64" s="30" t="n">
        <v>121.9582</v>
      </c>
      <c r="G64" s="30" t="n">
        <f>ROUND(ROUND(E64,8)*F64,4)</f>
        <v>6.3418</v>
      </c>
    </row>
    <row r="65" customHeight="1" ht="15">
      <c r="A65" s="22" t="inlineStr">
        <is>
          <r>
            <t xml:space="preserve">I0756</t>
          </r>
        </is>
      </c>
      <c r="B65" s="23" t="inlineStr">
        <is>
          <r>
            <t xml:space="preserve">MOTO NIVELADORA (CHP)</t>
          </r>
        </is>
      </c>
      <c r="C65" s="22" t="inlineStr">
        <is>
          <r>
            <t xml:space="preserve">SEINFRA</t>
          </r>
        </is>
      </c>
      <c r="D65" s="22" t="inlineStr">
        <is>
          <r>
            <t xml:space="preserve">H</t>
          </r>
        </is>
      </c>
      <c r="E65" s="24" t="n">
        <v>0.01466667</v>
      </c>
      <c r="F65" s="30" t="n">
        <v>307.8011</v>
      </c>
      <c r="G65" s="30" t="n">
        <f>ROUND(ROUND(E65,8)*F65,4)</f>
        <v>4.5144</v>
      </c>
    </row>
    <row r="66" customHeight="1" ht="18">
      <c r="A66" s="2" t="inlineStr"/>
      <c r="B66" s="2" t="inlineStr"/>
      <c r="C66" s="2" t="inlineStr"/>
      <c r="D66" s="2" t="inlineStr"/>
      <c r="E66" s="26" t="inlineStr">
        <is>
          <r>
            <t xml:space="preserve">TOTAL Equipamento Custo Horário:</t>
          </r>
        </is>
      </c>
      <c r="F66" s="26" t="inlineStr"/>
      <c r="G66" s="31" t="n">
        <f>SUM(G58:G65)</f>
        <v>30.577</v>
      </c>
    </row>
    <row r="67" customHeight="1" ht="15">
      <c r="A67" s="20" t="inlineStr">
        <is>
          <r>
            <t xml:space="preserve">Material</t>
          </r>
        </is>
      </c>
      <c r="B67" s="20" t="inlineStr"/>
      <c r="C67" s="21" t="inlineStr">
        <is>
          <r>
            <t xml:space="preserve">FONTE</t>
          </r>
        </is>
      </c>
      <c r="D67" s="21" t="inlineStr">
        <is>
          <r>
            <t xml:space="preserve">UNID</t>
          </r>
        </is>
      </c>
      <c r="E67" s="21" t="inlineStr">
        <is>
          <r>
            <t xml:space="preserve">COEFICIENTE</t>
          </r>
        </is>
      </c>
      <c r="F67" s="21" t="inlineStr">
        <is>
          <r>
            <t xml:space="preserve">PREÇO UNITÁRIO</t>
          </r>
        </is>
      </c>
      <c r="G67" s="21" t="inlineStr">
        <is>
          <r>
            <t xml:space="preserve">TOTAL</t>
          </r>
        </is>
      </c>
    </row>
    <row r="68" customHeight="1" ht="15">
      <c r="A68" s="22" t="inlineStr">
        <is>
          <r>
            <t xml:space="preserve">I2570</t>
          </r>
        </is>
      </c>
      <c r="B68" s="23" t="inlineStr">
        <is>
          <r>
            <t xml:space="preserve">FILLER (PO CALCÁREO)</t>
          </r>
        </is>
      </c>
      <c r="C68" s="22" t="inlineStr">
        <is>
          <r>
            <t xml:space="preserve">SEINFRA</t>
          </r>
        </is>
      </c>
      <c r="D68" s="22" t="inlineStr">
        <is>
          <r>
            <t xml:space="preserve">KG</t>
          </r>
        </is>
      </c>
      <c r="E68" s="24" t="n">
        <v>66.0</v>
      </c>
      <c r="F68" s="30" t="n">
        <v>0.16</v>
      </c>
      <c r="G68" s="30" t="n">
        <f>ROUND(ROUND(E68,8)*F68,4)</f>
        <v>10.56</v>
      </c>
    </row>
    <row r="69" customHeight="1" ht="15">
      <c r="A69" s="2" t="inlineStr"/>
      <c r="B69" s="2" t="inlineStr"/>
      <c r="C69" s="2" t="inlineStr"/>
      <c r="D69" s="2" t="inlineStr"/>
      <c r="E69" s="26" t="inlineStr">
        <is>
          <r>
            <t xml:space="preserve">TOTAL Material:</t>
          </r>
        </is>
      </c>
      <c r="F69" s="26" t="inlineStr"/>
      <c r="G69" s="31" t="n">
        <f>SUM(G68:G68)</f>
        <v>10.56</v>
      </c>
    </row>
    <row r="70" customHeight="1" ht="15">
      <c r="A70" s="20" t="inlineStr">
        <is>
          <r>
            <t xml:space="preserve">Mão de Obra</t>
          </r>
        </is>
      </c>
      <c r="B70" s="20" t="inlineStr"/>
      <c r="C70" s="21" t="inlineStr">
        <is>
          <r>
            <t xml:space="preserve">FONTE</t>
          </r>
        </is>
      </c>
      <c r="D70" s="21" t="inlineStr">
        <is>
          <r>
            <t xml:space="preserve">UNID</t>
          </r>
        </is>
      </c>
      <c r="E70" s="21" t="inlineStr">
        <is>
          <r>
            <t xml:space="preserve">COEFICIENTE</t>
          </r>
        </is>
      </c>
      <c r="F70" s="21" t="inlineStr">
        <is>
          <r>
            <t xml:space="preserve">PREÇO UNITÁRIO</t>
          </r>
        </is>
      </c>
      <c r="G70" s="21" t="inlineStr">
        <is>
          <r>
            <t xml:space="preserve">TOTAL</t>
          </r>
        </is>
      </c>
    </row>
    <row r="71" customHeight="1" ht="15">
      <c r="A71" s="22" t="inlineStr">
        <is>
          <r>
            <t xml:space="preserve">I2543</t>
          </r>
        </is>
      </c>
      <c r="B71" s="23" t="inlineStr">
        <is>
          <r>
            <t xml:space="preserve">SERVENTE</t>
          </r>
        </is>
      </c>
      <c r="C71" s="22" t="inlineStr">
        <is>
          <r>
            <t xml:space="preserve">SEINFRA</t>
          </r>
        </is>
      </c>
      <c r="D71" s="22" t="inlineStr">
        <is>
          <r>
            <t xml:space="preserve">H</t>
          </r>
        </is>
      </c>
      <c r="E71" s="24" t="n">
        <v>0.66666667</v>
      </c>
      <c r="F71" s="30" t="n">
        <v>18.46</v>
      </c>
      <c r="G71" s="30" t="n">
        <f>ROUND(ROUND(E71,8)*F71,4)</f>
        <v>12.3067</v>
      </c>
    </row>
    <row r="72" customHeight="1" ht="15">
      <c r="A72" s="2" t="inlineStr"/>
      <c r="B72" s="2" t="inlineStr"/>
      <c r="C72" s="2" t="inlineStr"/>
      <c r="D72" s="2" t="inlineStr"/>
      <c r="E72" s="26" t="inlineStr">
        <is>
          <r>
            <t xml:space="preserve">TOTAL Mão de Obra:</t>
          </r>
        </is>
      </c>
      <c r="F72" s="26" t="inlineStr"/>
      <c r="G72" s="31" t="n">
        <f>SUM(G71:G71)</f>
        <v>12.3067</v>
      </c>
    </row>
    <row r="73" customHeight="1" ht="15">
      <c r="A73" s="20" t="inlineStr">
        <is>
          <r>
            <t xml:space="preserve">Serviço</t>
          </r>
        </is>
      </c>
      <c r="B73" s="20" t="inlineStr"/>
      <c r="C73" s="21" t="inlineStr">
        <is>
          <r>
            <t xml:space="preserve">FONTE</t>
          </r>
        </is>
      </c>
      <c r="D73" s="21" t="inlineStr">
        <is>
          <r>
            <t xml:space="preserve">UNID</t>
          </r>
        </is>
      </c>
      <c r="E73" s="21" t="inlineStr">
        <is>
          <r>
            <t xml:space="preserve">COEFICIENTE</t>
          </r>
        </is>
      </c>
      <c r="F73" s="21" t="inlineStr">
        <is>
          <r>
            <t xml:space="preserve">PREÇO UNITÁRIO</t>
          </r>
        </is>
      </c>
      <c r="G73" s="21" t="inlineStr">
        <is>
          <r>
            <t xml:space="preserve">TOTAL</t>
          </r>
        </is>
      </c>
    </row>
    <row r="74" customHeight="1" ht="15">
      <c r="A74" s="22" t="inlineStr">
        <is>
          <r>
            <t xml:space="preserve">C3130</t>
          </r>
        </is>
      </c>
      <c r="B74" s="23" t="inlineStr">
        <is>
          <r>
            <t xml:space="preserve">AREIA DE RIO - EXTRAÇÃO</t>
          </r>
        </is>
      </c>
      <c r="C74" s="22" t="inlineStr">
        <is>
          <r>
            <t xml:space="preserve">SEINFRA</t>
          </r>
        </is>
      </c>
      <c r="D74" s="22" t="inlineStr">
        <is>
          <r>
            <t xml:space="preserve">M3</t>
          </r>
        </is>
      </c>
      <c r="E74" s="24" t="n">
        <v>1.291</v>
      </c>
      <c r="F74" s="30" t="n">
        <v>8.8</v>
      </c>
      <c r="G74" s="30" t="n">
        <f>ROUND(ROUND(E74,8)*F74,4)</f>
        <v>11.3608</v>
      </c>
    </row>
    <row r="75" customHeight="1" ht="15">
      <c r="A75" s="22" t="inlineStr">
        <is>
          <r>
            <t xml:space="preserve">C3315</t>
          </r>
        </is>
      </c>
      <c r="B75" s="23" t="inlineStr">
        <is>
          <r>
            <t xml:space="preserve">USINAGEM DE MISTURAS BETUMINOSAS A FRIO</t>
          </r>
        </is>
      </c>
      <c r="C75" s="22" t="inlineStr">
        <is>
          <r>
            <t xml:space="preserve">SEINFRA</t>
          </r>
        </is>
      </c>
      <c r="D75" s="22" t="inlineStr">
        <is>
          <r>
            <t xml:space="preserve">M3</t>
          </r>
        </is>
      </c>
      <c r="E75" s="24" t="n">
        <v>1.05</v>
      </c>
      <c r="F75" s="30" t="n">
        <v>24.94</v>
      </c>
      <c r="G75" s="30" t="n">
        <f>ROUND(ROUND(E75,8)*F75,4)</f>
        <v>26.187</v>
      </c>
    </row>
    <row r="76" customHeight="1" ht="15">
      <c r="A76" s="2" t="inlineStr"/>
      <c r="B76" s="2" t="inlineStr"/>
      <c r="C76" s="2" t="inlineStr"/>
      <c r="D76" s="2" t="inlineStr"/>
      <c r="E76" s="26" t="inlineStr">
        <is>
          <r>
            <t xml:space="preserve">TOTAL Serviço:</t>
          </r>
        </is>
      </c>
      <c r="F76" s="26" t="inlineStr"/>
      <c r="G76" s="31" t="n">
        <f>SUM(G74:G75)</f>
        <v>37.5478</v>
      </c>
    </row>
    <row r="77" customHeight="1" ht="15">
      <c r="A77" s="2" t="inlineStr"/>
      <c r="B77" s="2" t="inlineStr"/>
      <c r="C77" s="2" t="inlineStr"/>
      <c r="D77" s="2" t="inlineStr"/>
      <c r="E77" s="28" t="inlineStr">
        <is>
          <r>
            <t xml:space="preserve">VALOR:</t>
          </r>
        </is>
      </c>
      <c r="F77" s="28" t="inlineStr"/>
      <c r="G77" s="29" t="n">
        <f>ROUND(SUM(G66,G69,G72,G76),2)</f>
        <v>90.99</v>
      </c>
    </row>
    <row r="78" customHeight="1" ht="15">
      <c r="A78" s="2" t="inlineStr"/>
      <c r="B78" s="2" t="inlineStr"/>
      <c r="C78" s="2" t="inlineStr"/>
      <c r="D78" s="2" t="inlineStr"/>
      <c r="E78" s="28" t="inlineStr">
        <is>
          <r>
            <t xml:space="preserve">VALOR BDI:</t>
          </r>
        </is>
      </c>
      <c r="F78" s="28" t="inlineStr"/>
      <c r="G78" s="29" t="n">
        <f>ROUND(G77*(0/100),2)</f>
        <v>0.0</v>
      </c>
    </row>
    <row r="79" customHeight="1" ht="15">
      <c r="A79" s="2" t="inlineStr"/>
      <c r="B79" s="2" t="inlineStr"/>
      <c r="C79" s="2" t="inlineStr"/>
      <c r="D79" s="2" t="inlineStr"/>
      <c r="E79" s="28" t="inlineStr">
        <is>
          <r>
            <t xml:space="preserve">VALOR COM BDI:</t>
          </r>
        </is>
      </c>
      <c r="F79" s="28" t="inlineStr"/>
      <c r="G79" s="29" t="n">
        <f>G78+G77</f>
        <v>90.99</v>
      </c>
    </row>
    <row r="80" customHeight="1" ht="10">
      <c r="A80" s="2" t="inlineStr"/>
      <c r="B80" s="2" t="inlineStr"/>
      <c r="C80" s="2" t="inlineStr"/>
      <c r="D80" s="2" t="inlineStr"/>
      <c r="E80" s="18" t="inlineStr"/>
      <c r="F80" s="18" t="inlineStr"/>
      <c r="G80" s="18" t="inlineStr"/>
    </row>
    <row r="81" customHeight="1" ht="20">
      <c r="A81" s="19" t="inlineStr">
        <is>
          <r>
            <t xml:space="preserve">​C3130​ AREIA DE RIO - EXTRAÇÃO​ (M3)</t>
          </r>
        </is>
      </c>
      <c r="B81" s="19" t="inlineStr"/>
      <c r="C81" s="19" t="inlineStr"/>
      <c r="D81" s="19" t="inlineStr"/>
      <c r="E81" s="19" t="inlineStr"/>
      <c r="F81" s="19" t="inlineStr"/>
      <c r="G81" s="19" t="inlineStr"/>
    </row>
    <row r="82" customHeight="1" ht="15">
      <c r="A82" s="20" t="inlineStr">
        <is>
          <r>
            <t xml:space="preserve">Equipamento Custo Horário</t>
          </r>
        </is>
      </c>
      <c r="B82" s="20" t="inlineStr"/>
      <c r="C82" s="21" t="inlineStr">
        <is>
          <r>
            <t xml:space="preserve">FONTE</t>
          </r>
        </is>
      </c>
      <c r="D82" s="21" t="inlineStr">
        <is>
          <r>
            <t xml:space="preserve">UNID</t>
          </r>
        </is>
      </c>
      <c r="E82" s="21" t="inlineStr">
        <is>
          <r>
            <t xml:space="preserve">COEFICIENTE</t>
          </r>
        </is>
      </c>
      <c r="F82" s="21" t="inlineStr">
        <is>
          <r>
            <t xml:space="preserve">PREÇO UNITÁRIO</t>
          </r>
        </is>
      </c>
      <c r="G82" s="21" t="inlineStr">
        <is>
          <r>
            <t xml:space="preserve">TOTAL</t>
          </r>
        </is>
      </c>
    </row>
    <row r="83" customHeight="1" ht="15">
      <c r="A83" s="22" t="inlineStr">
        <is>
          <r>
            <t xml:space="preserve">I0596</t>
          </r>
        </is>
      </c>
      <c r="B83" s="23" t="inlineStr">
        <is>
          <r>
            <t xml:space="preserve">CARREGADEIRA DE PNEUS HP 180 (CHI)</t>
          </r>
        </is>
      </c>
      <c r="C83" s="22" t="inlineStr">
        <is>
          <r>
            <t xml:space="preserve">SEINFRA</t>
          </r>
        </is>
      </c>
      <c r="D83" s="22" t="inlineStr">
        <is>
          <r>
            <t xml:space="preserve">H</t>
          </r>
        </is>
      </c>
      <c r="E83" s="24" t="n">
        <v>0.0</v>
      </c>
      <c r="F83" s="30" t="n">
        <v>106.3468</v>
      </c>
      <c r="G83" s="30" t="n">
        <f>ROUND(ROUND(E83,8)*F83,4)</f>
        <v>0.0</v>
      </c>
    </row>
    <row r="84" customHeight="1" ht="15">
      <c r="A84" s="22" t="inlineStr">
        <is>
          <r>
            <t xml:space="preserve">I0710</t>
          </r>
        </is>
      </c>
      <c r="B84" s="23" t="inlineStr">
        <is>
          <r>
            <t xml:space="preserve">CARREGADEIRA DE PNEUS HP 180 (CHP)</t>
          </r>
        </is>
      </c>
      <c r="C84" s="22" t="inlineStr">
        <is>
          <r>
            <t xml:space="preserve">SEINFRA</t>
          </r>
        </is>
      </c>
      <c r="D84" s="22" t="inlineStr">
        <is>
          <r>
            <t xml:space="preserve">H</t>
          </r>
        </is>
      </c>
      <c r="E84" s="24" t="n">
        <v>0.01388889</v>
      </c>
      <c r="F84" s="30" t="n">
        <v>328.0339</v>
      </c>
      <c r="G84" s="30" t="n">
        <f>ROUND(ROUND(E84,8)*F84,4)</f>
        <v>4.556</v>
      </c>
    </row>
    <row r="85" customHeight="1" ht="15">
      <c r="A85" s="22" t="inlineStr">
        <is>
          <r>
            <t xml:space="preserve">I0666</t>
          </r>
        </is>
      </c>
      <c r="B85" s="23" t="inlineStr">
        <is>
          <r>
            <t xml:space="preserve">TRATOR DE ESTEIRAS C/LÂMINA E ESC. HP 155 (CHI)</t>
          </r>
        </is>
      </c>
      <c r="C85" s="22" t="inlineStr">
        <is>
          <r>
            <t xml:space="preserve">SEINFRA</t>
          </r>
        </is>
      </c>
      <c r="D85" s="22" t="inlineStr">
        <is>
          <r>
            <t xml:space="preserve">H</t>
          </r>
        </is>
      </c>
      <c r="E85" s="24" t="n">
        <v>6.9444E-4</v>
      </c>
      <c r="F85" s="30" t="n">
        <v>93.1931</v>
      </c>
      <c r="G85" s="30" t="n">
        <f>ROUND(ROUND(E85,8)*F85,4)</f>
        <v>0.0647</v>
      </c>
    </row>
    <row r="86" customHeight="1" ht="15">
      <c r="A86" s="22" t="inlineStr">
        <is>
          <r>
            <t xml:space="preserve">I0779</t>
          </r>
        </is>
      </c>
      <c r="B86" s="23" t="inlineStr">
        <is>
          <r>
            <t xml:space="preserve">TRATOR DE ESTEIRAS C/LÂMINA E ESC. HP 155 (CHP)</t>
          </r>
        </is>
      </c>
      <c r="C86" s="22" t="inlineStr">
        <is>
          <r>
            <t xml:space="preserve">SEINFRA</t>
          </r>
        </is>
      </c>
      <c r="D86" s="22" t="inlineStr">
        <is>
          <r>
            <t xml:space="preserve">H</t>
          </r>
        </is>
      </c>
      <c r="E86" s="24" t="n">
        <v>0.01319444</v>
      </c>
      <c r="F86" s="30" t="n">
        <v>277.582</v>
      </c>
      <c r="G86" s="30" t="n">
        <f>ROUND(ROUND(E86,8)*F86,4)</f>
        <v>3.6625</v>
      </c>
    </row>
    <row r="87" customHeight="1" ht="18">
      <c r="A87" s="2" t="inlineStr"/>
      <c r="B87" s="2" t="inlineStr"/>
      <c r="C87" s="2" t="inlineStr"/>
      <c r="D87" s="2" t="inlineStr"/>
      <c r="E87" s="26" t="inlineStr">
        <is>
          <r>
            <t xml:space="preserve">TOTAL Equipamento Custo Horário:</t>
          </r>
        </is>
      </c>
      <c r="F87" s="26" t="inlineStr"/>
      <c r="G87" s="31" t="n">
        <f>SUM(G83:G86)</f>
        <v>8.2832</v>
      </c>
    </row>
    <row r="88" customHeight="1" ht="15">
      <c r="A88" s="20" t="inlineStr">
        <is>
          <r>
            <t xml:space="preserve">Mão de Obra</t>
          </r>
        </is>
      </c>
      <c r="B88" s="20" t="inlineStr"/>
      <c r="C88" s="21" t="inlineStr">
        <is>
          <r>
            <t xml:space="preserve">FONTE</t>
          </r>
        </is>
      </c>
      <c r="D88" s="21" t="inlineStr">
        <is>
          <r>
            <t xml:space="preserve">UNID</t>
          </r>
        </is>
      </c>
      <c r="E88" s="21" t="inlineStr">
        <is>
          <r>
            <t xml:space="preserve">COEFICIENTE</t>
          </r>
        </is>
      </c>
      <c r="F88" s="21" t="inlineStr">
        <is>
          <r>
            <t xml:space="preserve">PREÇO UNITÁRIO</t>
          </r>
        </is>
      </c>
      <c r="G88" s="21" t="inlineStr">
        <is>
          <r>
            <t xml:space="preserve">TOTAL</t>
          </r>
        </is>
      </c>
    </row>
    <row r="89" customHeight="1" ht="15">
      <c r="A89" s="22" t="inlineStr">
        <is>
          <r>
            <t xml:space="preserve">I2543</t>
          </r>
        </is>
      </c>
      <c r="B89" s="23" t="inlineStr">
        <is>
          <r>
            <t xml:space="preserve">SERVENTE</t>
          </r>
        </is>
      </c>
      <c r="C89" s="22" t="inlineStr">
        <is>
          <r>
            <t xml:space="preserve">SEINFRA</t>
          </r>
        </is>
      </c>
      <c r="D89" s="22" t="inlineStr">
        <is>
          <r>
            <t xml:space="preserve">H</t>
          </r>
        </is>
      </c>
      <c r="E89" s="24" t="n">
        <v>0.02777778</v>
      </c>
      <c r="F89" s="30" t="n">
        <v>18.46</v>
      </c>
      <c r="G89" s="30" t="n">
        <f>ROUND(ROUND(E89,8)*F89,4)</f>
        <v>0.5128</v>
      </c>
    </row>
    <row r="90" customHeight="1" ht="15">
      <c r="A90" s="2" t="inlineStr"/>
      <c r="B90" s="2" t="inlineStr"/>
      <c r="C90" s="2" t="inlineStr"/>
      <c r="D90" s="2" t="inlineStr"/>
      <c r="E90" s="26" t="inlineStr">
        <is>
          <r>
            <t xml:space="preserve">TOTAL Mão de Obra:</t>
          </r>
        </is>
      </c>
      <c r="F90" s="26" t="inlineStr"/>
      <c r="G90" s="31" t="n">
        <f>SUM(G89:G89)</f>
        <v>0.5128</v>
      </c>
    </row>
    <row r="91" customHeight="1" ht="15">
      <c r="A91" s="2" t="inlineStr"/>
      <c r="B91" s="2" t="inlineStr"/>
      <c r="C91" s="2" t="inlineStr"/>
      <c r="D91" s="2" t="inlineStr"/>
      <c r="E91" s="28" t="inlineStr">
        <is>
          <r>
            <t xml:space="preserve">VALOR:</t>
          </r>
        </is>
      </c>
      <c r="F91" s="28" t="inlineStr"/>
      <c r="G91" s="29" t="n">
        <f>ROUND(SUM(G87,G90),2)</f>
        <v>8.8</v>
      </c>
    </row>
    <row r="92" customHeight="1" ht="15">
      <c r="A92" s="2" t="inlineStr"/>
      <c r="B92" s="2" t="inlineStr"/>
      <c r="C92" s="2" t="inlineStr"/>
      <c r="D92" s="2" t="inlineStr"/>
      <c r="E92" s="28" t="inlineStr">
        <is>
          <r>
            <t xml:space="preserve">VALOR BDI:</t>
          </r>
        </is>
      </c>
      <c r="F92" s="28" t="inlineStr"/>
      <c r="G92" s="29" t="n">
        <f>ROUND(G91*(0/100),2)</f>
        <v>0.0</v>
      </c>
    </row>
    <row r="93" customHeight="1" ht="15">
      <c r="A93" s="2" t="inlineStr"/>
      <c r="B93" s="2" t="inlineStr"/>
      <c r="C93" s="2" t="inlineStr"/>
      <c r="D93" s="2" t="inlineStr"/>
      <c r="E93" s="28" t="inlineStr">
        <is>
          <r>
            <t xml:space="preserve">VALOR COM BDI:</t>
          </r>
        </is>
      </c>
      <c r="F93" s="28" t="inlineStr"/>
      <c r="G93" s="29" t="n">
        <f>G92+G91</f>
        <v>8.8</v>
      </c>
    </row>
    <row r="94" customHeight="1" ht="10">
      <c r="A94" s="2" t="inlineStr"/>
      <c r="B94" s="2" t="inlineStr"/>
      <c r="C94" s="2" t="inlineStr"/>
      <c r="D94" s="2" t="inlineStr"/>
      <c r="E94" s="18" t="inlineStr"/>
      <c r="F94" s="18" t="inlineStr"/>
      <c r="G94" s="18" t="inlineStr"/>
    </row>
    <row r="95" customHeight="1" ht="20">
      <c r="A95" s="19" t="inlineStr">
        <is>
          <r>
            <t xml:space="preserve">​C0170​ ARGAMASSA DE CIMENTO E AREIA S/PEN. TRAÇO 1:3​ (M3)</t>
          </r>
        </is>
      </c>
      <c r="B95" s="19" t="inlineStr"/>
      <c r="C95" s="19" t="inlineStr"/>
      <c r="D95" s="19" t="inlineStr"/>
      <c r="E95" s="19" t="inlineStr"/>
      <c r="F95" s="19" t="inlineStr"/>
      <c r="G95" s="19" t="inlineStr"/>
    </row>
    <row r="96" customHeight="1" ht="15">
      <c r="A96" s="20" t="inlineStr">
        <is>
          <r>
            <t xml:space="preserve">Material</t>
          </r>
        </is>
      </c>
      <c r="B96" s="20" t="inlineStr"/>
      <c r="C96" s="21" t="inlineStr">
        <is>
          <r>
            <t xml:space="preserve">FONTE</t>
          </r>
        </is>
      </c>
      <c r="D96" s="21" t="inlineStr">
        <is>
          <r>
            <t xml:space="preserve">UNID</t>
          </r>
        </is>
      </c>
      <c r="E96" s="21" t="inlineStr">
        <is>
          <r>
            <t xml:space="preserve">COEFICIENTE</t>
          </r>
        </is>
      </c>
      <c r="F96" s="21" t="inlineStr">
        <is>
          <r>
            <t xml:space="preserve">PREÇO UNITÁRIO</t>
          </r>
        </is>
      </c>
      <c r="G96" s="21" t="inlineStr">
        <is>
          <r>
            <t xml:space="preserve">TOTAL</t>
          </r>
        </is>
      </c>
    </row>
    <row r="97" customHeight="1" ht="15">
      <c r="A97" s="22" t="inlineStr">
        <is>
          <r>
            <t xml:space="preserve">I0109</t>
          </r>
        </is>
      </c>
      <c r="B97" s="23" t="inlineStr">
        <is>
          <r>
            <t xml:space="preserve">AREIA MEDIA</t>
          </r>
        </is>
      </c>
      <c r="C97" s="22" t="inlineStr">
        <is>
          <r>
            <t xml:space="preserve">SEINFRA</t>
          </r>
        </is>
      </c>
      <c r="D97" s="22" t="inlineStr">
        <is>
          <r>
            <t xml:space="preserve">M3</t>
          </r>
        </is>
      </c>
      <c r="E97" s="24" t="n">
        <v>1.216</v>
      </c>
      <c r="F97" s="30" t="n">
        <v>83.58</v>
      </c>
      <c r="G97" s="30" t="n">
        <f>ROUND(ROUND(E97,8)*F97,4)</f>
        <v>101.6333</v>
      </c>
    </row>
    <row r="98" customHeight="1" ht="15">
      <c r="A98" s="22" t="inlineStr">
        <is>
          <r>
            <t xml:space="preserve">I0805</t>
          </r>
        </is>
      </c>
      <c r="B98" s="23" t="inlineStr">
        <is>
          <r>
            <t xml:space="preserve">CIMENTO PORTLAND</t>
          </r>
        </is>
      </c>
      <c r="C98" s="22" t="inlineStr">
        <is>
          <r>
            <t xml:space="preserve">SEINFRA</t>
          </r>
        </is>
      </c>
      <c r="D98" s="22" t="inlineStr">
        <is>
          <r>
            <t xml:space="preserve">KG</t>
          </r>
        </is>
      </c>
      <c r="E98" s="24" t="n">
        <v>486.0</v>
      </c>
      <c r="F98" s="30" t="n">
        <v>0.71</v>
      </c>
      <c r="G98" s="30" t="n">
        <f>ROUND(ROUND(E98,8)*F98,4)</f>
        <v>345.06</v>
      </c>
    </row>
    <row r="99" customHeight="1" ht="15">
      <c r="A99" s="2" t="inlineStr"/>
      <c r="B99" s="2" t="inlineStr"/>
      <c r="C99" s="2" t="inlineStr"/>
      <c r="D99" s="2" t="inlineStr"/>
      <c r="E99" s="26" t="inlineStr">
        <is>
          <r>
            <t xml:space="preserve">TOTAL Material:</t>
          </r>
        </is>
      </c>
      <c r="F99" s="26" t="inlineStr"/>
      <c r="G99" s="31" t="n">
        <f>SUM(G97:G98)</f>
        <v>446.6933</v>
      </c>
    </row>
    <row r="100" customHeight="1" ht="15">
      <c r="A100" s="20" t="inlineStr">
        <is>
          <r>
            <t xml:space="preserve">Mão de Obra</t>
          </r>
        </is>
      </c>
      <c r="B100" s="20" t="inlineStr"/>
      <c r="C100" s="21" t="inlineStr">
        <is>
          <r>
            <t xml:space="preserve">FONTE</t>
          </r>
        </is>
      </c>
      <c r="D100" s="21" t="inlineStr">
        <is>
          <r>
            <t xml:space="preserve">UNID</t>
          </r>
        </is>
      </c>
      <c r="E100" s="21" t="inlineStr">
        <is>
          <r>
            <t xml:space="preserve">COEFICIENTE</t>
          </r>
        </is>
      </c>
      <c r="F100" s="21" t="inlineStr">
        <is>
          <r>
            <t xml:space="preserve">PREÇO UNITÁRIO</t>
          </r>
        </is>
      </c>
      <c r="G100" s="21" t="inlineStr">
        <is>
          <r>
            <t xml:space="preserve">TOTAL</t>
          </r>
        </is>
      </c>
    </row>
    <row r="101" customHeight="1" ht="15">
      <c r="A101" s="22" t="inlineStr">
        <is>
          <r>
            <t xml:space="preserve">I2543</t>
          </r>
        </is>
      </c>
      <c r="B101" s="23" t="inlineStr">
        <is>
          <r>
            <t xml:space="preserve">SERVENTE</t>
          </r>
        </is>
      </c>
      <c r="C101" s="22" t="inlineStr">
        <is>
          <r>
            <t xml:space="preserve">SEINFRA</t>
          </r>
        </is>
      </c>
      <c r="D101" s="22" t="inlineStr">
        <is>
          <r>
            <t xml:space="preserve">H</t>
          </r>
        </is>
      </c>
      <c r="E101" s="24" t="n">
        <v>10.0</v>
      </c>
      <c r="F101" s="30" t="n">
        <v>18.46</v>
      </c>
      <c r="G101" s="30" t="n">
        <f>ROUND(ROUND(E101,8)*F101,4)</f>
        <v>184.6</v>
      </c>
    </row>
    <row r="102" customHeight="1" ht="15">
      <c r="A102" s="2" t="inlineStr"/>
      <c r="B102" s="2" t="inlineStr"/>
      <c r="C102" s="2" t="inlineStr"/>
      <c r="D102" s="2" t="inlineStr"/>
      <c r="E102" s="26" t="inlineStr">
        <is>
          <r>
            <t xml:space="preserve">TOTAL Mão de Obra:</t>
          </r>
        </is>
      </c>
      <c r="F102" s="26" t="inlineStr"/>
      <c r="G102" s="31" t="n">
        <f>SUM(G101:G101)</f>
        <v>184.6</v>
      </c>
    </row>
    <row r="103" customHeight="1" ht="15">
      <c r="A103" s="2" t="inlineStr"/>
      <c r="B103" s="2" t="inlineStr"/>
      <c r="C103" s="2" t="inlineStr"/>
      <c r="D103" s="2" t="inlineStr"/>
      <c r="E103" s="28" t="inlineStr">
        <is>
          <r>
            <t xml:space="preserve">VALOR:</t>
          </r>
        </is>
      </c>
      <c r="F103" s="28" t="inlineStr"/>
      <c r="G103" s="29" t="n">
        <f>ROUND(SUM(G99,G102),2)</f>
        <v>631.29</v>
      </c>
    </row>
    <row r="104" customHeight="1" ht="15">
      <c r="A104" s="2" t="inlineStr"/>
      <c r="B104" s="2" t="inlineStr"/>
      <c r="C104" s="2" t="inlineStr"/>
      <c r="D104" s="2" t="inlineStr"/>
      <c r="E104" s="28" t="inlineStr">
        <is>
          <r>
            <t xml:space="preserve">VALOR BDI:</t>
          </r>
        </is>
      </c>
      <c r="F104" s="28" t="inlineStr"/>
      <c r="G104" s="29" t="n">
        <f>ROUND(G103*(0/100),2)</f>
        <v>0.0</v>
      </c>
    </row>
    <row r="105" customHeight="1" ht="15">
      <c r="A105" s="2" t="inlineStr"/>
      <c r="B105" s="2" t="inlineStr"/>
      <c r="C105" s="2" t="inlineStr"/>
      <c r="D105" s="2" t="inlineStr"/>
      <c r="E105" s="28" t="inlineStr">
        <is>
          <r>
            <t xml:space="preserve">VALOR COM BDI:</t>
          </r>
        </is>
      </c>
      <c r="F105" s="28" t="inlineStr"/>
      <c r="G105" s="29" t="n">
        <f>G104+G103</f>
        <v>631.29</v>
      </c>
    </row>
    <row r="106" customHeight="1" ht="10">
      <c r="A106" s="2" t="inlineStr"/>
      <c r="B106" s="2" t="inlineStr"/>
      <c r="C106" s="2" t="inlineStr"/>
      <c r="D106" s="2" t="inlineStr"/>
      <c r="E106" s="18" t="inlineStr"/>
      <c r="F106" s="18" t="inlineStr"/>
      <c r="G106" s="18" t="inlineStr"/>
    </row>
    <row r="107" customHeight="1" ht="20">
      <c r="A107" s="19" t="inlineStr">
        <is>
          <r>
            <t xml:space="preserve">​C0171​ ARGAMASSA DE CIMENTO E AREIA S/PEN. TRAÇO 1:4​ (M3)</t>
          </r>
        </is>
      </c>
      <c r="B107" s="19" t="inlineStr"/>
      <c r="C107" s="19" t="inlineStr"/>
      <c r="D107" s="19" t="inlineStr"/>
      <c r="E107" s="19" t="inlineStr"/>
      <c r="F107" s="19" t="inlineStr"/>
      <c r="G107" s="19" t="inlineStr"/>
    </row>
    <row r="108" customHeight="1" ht="15">
      <c r="A108" s="20" t="inlineStr">
        <is>
          <r>
            <t xml:space="preserve">Material</t>
          </r>
        </is>
      </c>
      <c r="B108" s="20" t="inlineStr"/>
      <c r="C108" s="21" t="inlineStr">
        <is>
          <r>
            <t xml:space="preserve">FONTE</t>
          </r>
        </is>
      </c>
      <c r="D108" s="21" t="inlineStr">
        <is>
          <r>
            <t xml:space="preserve">UNID</t>
          </r>
        </is>
      </c>
      <c r="E108" s="21" t="inlineStr">
        <is>
          <r>
            <t xml:space="preserve">COEFICIENTE</t>
          </r>
        </is>
      </c>
      <c r="F108" s="21" t="inlineStr">
        <is>
          <r>
            <t xml:space="preserve">PREÇO UNITÁRIO</t>
          </r>
        </is>
      </c>
      <c r="G108" s="21" t="inlineStr">
        <is>
          <r>
            <t xml:space="preserve">TOTAL</t>
          </r>
        </is>
      </c>
    </row>
    <row r="109" customHeight="1" ht="15">
      <c r="A109" s="22" t="inlineStr">
        <is>
          <r>
            <t xml:space="preserve">I0109</t>
          </r>
        </is>
      </c>
      <c r="B109" s="23" t="inlineStr">
        <is>
          <r>
            <t xml:space="preserve">AREIA MEDIA</t>
          </r>
        </is>
      </c>
      <c r="C109" s="22" t="inlineStr">
        <is>
          <r>
            <t xml:space="preserve">SEINFRA</t>
          </r>
        </is>
      </c>
      <c r="D109" s="22" t="inlineStr">
        <is>
          <r>
            <t xml:space="preserve">M3</t>
          </r>
        </is>
      </c>
      <c r="E109" s="24" t="n">
        <v>1.216</v>
      </c>
      <c r="F109" s="30" t="n">
        <v>83.58</v>
      </c>
      <c r="G109" s="30" t="n">
        <f>ROUND(ROUND(E109,8)*F109,4)</f>
        <v>101.6333</v>
      </c>
    </row>
    <row r="110" customHeight="1" ht="15">
      <c r="A110" s="22" t="inlineStr">
        <is>
          <r>
            <t xml:space="preserve">I0805</t>
          </r>
        </is>
      </c>
      <c r="B110" s="23" t="inlineStr">
        <is>
          <r>
            <t xml:space="preserve">CIMENTO PORTLAND</t>
          </r>
        </is>
      </c>
      <c r="C110" s="22" t="inlineStr">
        <is>
          <r>
            <t xml:space="preserve">SEINFRA</t>
          </r>
        </is>
      </c>
      <c r="D110" s="22" t="inlineStr">
        <is>
          <r>
            <t xml:space="preserve">KG</t>
          </r>
        </is>
      </c>
      <c r="E110" s="24" t="n">
        <v>365.0</v>
      </c>
      <c r="F110" s="30" t="n">
        <v>0.71</v>
      </c>
      <c r="G110" s="30" t="n">
        <f>ROUND(ROUND(E110,8)*F110,4)</f>
        <v>259.15</v>
      </c>
    </row>
    <row r="111" customHeight="1" ht="15">
      <c r="A111" s="2" t="inlineStr"/>
      <c r="B111" s="2" t="inlineStr"/>
      <c r="C111" s="2" t="inlineStr"/>
      <c r="D111" s="2" t="inlineStr"/>
      <c r="E111" s="26" t="inlineStr">
        <is>
          <r>
            <t xml:space="preserve">TOTAL Material:</t>
          </r>
        </is>
      </c>
      <c r="F111" s="26" t="inlineStr"/>
      <c r="G111" s="31" t="n">
        <f>SUM(G109:G110)</f>
        <v>360.7833</v>
      </c>
    </row>
    <row r="112" customHeight="1" ht="15">
      <c r="A112" s="20" t="inlineStr">
        <is>
          <r>
            <t xml:space="preserve">Mão de Obra</t>
          </r>
        </is>
      </c>
      <c r="B112" s="20" t="inlineStr"/>
      <c r="C112" s="21" t="inlineStr">
        <is>
          <r>
            <t xml:space="preserve">FONTE</t>
          </r>
        </is>
      </c>
      <c r="D112" s="21" t="inlineStr">
        <is>
          <r>
            <t xml:space="preserve">UNID</t>
          </r>
        </is>
      </c>
      <c r="E112" s="21" t="inlineStr">
        <is>
          <r>
            <t xml:space="preserve">COEFICIENTE</t>
          </r>
        </is>
      </c>
      <c r="F112" s="21" t="inlineStr">
        <is>
          <r>
            <t xml:space="preserve">PREÇO UNITÁRIO</t>
          </r>
        </is>
      </c>
      <c r="G112" s="21" t="inlineStr">
        <is>
          <r>
            <t xml:space="preserve">TOTAL</t>
          </r>
        </is>
      </c>
    </row>
    <row r="113" customHeight="1" ht="15">
      <c r="A113" s="22" t="inlineStr">
        <is>
          <r>
            <t xml:space="preserve">I2543</t>
          </r>
        </is>
      </c>
      <c r="B113" s="23" t="inlineStr">
        <is>
          <r>
            <t xml:space="preserve">SERVENTE</t>
          </r>
        </is>
      </c>
      <c r="C113" s="22" t="inlineStr">
        <is>
          <r>
            <t xml:space="preserve">SEINFRA</t>
          </r>
        </is>
      </c>
      <c r="D113" s="22" t="inlineStr">
        <is>
          <r>
            <t xml:space="preserve">H</t>
          </r>
        </is>
      </c>
      <c r="E113" s="24" t="n">
        <v>10.0</v>
      </c>
      <c r="F113" s="30" t="n">
        <v>18.46</v>
      </c>
      <c r="G113" s="30" t="n">
        <f>ROUND(ROUND(E113,8)*F113,4)</f>
        <v>184.6</v>
      </c>
    </row>
    <row r="114" customHeight="1" ht="15">
      <c r="A114" s="2" t="inlineStr"/>
      <c r="B114" s="2" t="inlineStr"/>
      <c r="C114" s="2" t="inlineStr"/>
      <c r="D114" s="2" t="inlineStr"/>
      <c r="E114" s="26" t="inlineStr">
        <is>
          <r>
            <t xml:space="preserve">TOTAL Mão de Obra:</t>
          </r>
        </is>
      </c>
      <c r="F114" s="26" t="inlineStr"/>
      <c r="G114" s="31" t="n">
        <f>SUM(G113:G113)</f>
        <v>184.6</v>
      </c>
    </row>
    <row r="115" customHeight="1" ht="15">
      <c r="A115" s="2" t="inlineStr"/>
      <c r="B115" s="2" t="inlineStr"/>
      <c r="C115" s="2" t="inlineStr"/>
      <c r="D115" s="2" t="inlineStr"/>
      <c r="E115" s="28" t="inlineStr">
        <is>
          <r>
            <t xml:space="preserve">VALOR:</t>
          </r>
        </is>
      </c>
      <c r="F115" s="28" t="inlineStr"/>
      <c r="G115" s="29" t="n">
        <f>ROUND(SUM(G111,G114),2)</f>
        <v>545.38</v>
      </c>
    </row>
    <row r="116" customHeight="1" ht="15">
      <c r="A116" s="2" t="inlineStr"/>
      <c r="B116" s="2" t="inlineStr"/>
      <c r="C116" s="2" t="inlineStr"/>
      <c r="D116" s="2" t="inlineStr"/>
      <c r="E116" s="28" t="inlineStr">
        <is>
          <r>
            <t xml:space="preserve">VALOR BDI:</t>
          </r>
        </is>
      </c>
      <c r="F116" s="28" t="inlineStr"/>
      <c r="G116" s="29" t="n">
        <f>ROUND(G115*(0/100),2)</f>
        <v>0.0</v>
      </c>
    </row>
    <row r="117" customHeight="1" ht="15">
      <c r="A117" s="2" t="inlineStr"/>
      <c r="B117" s="2" t="inlineStr"/>
      <c r="C117" s="2" t="inlineStr"/>
      <c r="D117" s="2" t="inlineStr"/>
      <c r="E117" s="28" t="inlineStr">
        <is>
          <r>
            <t xml:space="preserve">VALOR COM BDI:</t>
          </r>
        </is>
      </c>
      <c r="F117" s="28" t="inlineStr"/>
      <c r="G117" s="29" t="n">
        <f>G116+G115</f>
        <v>545.38</v>
      </c>
    </row>
    <row r="118" customHeight="1" ht="10">
      <c r="A118" s="2" t="inlineStr"/>
      <c r="B118" s="2" t="inlineStr"/>
      <c r="C118" s="2" t="inlineStr"/>
      <c r="D118" s="2" t="inlineStr"/>
      <c r="E118" s="18" t="inlineStr"/>
      <c r="F118" s="18" t="inlineStr"/>
      <c r="G118" s="18" t="inlineStr"/>
    </row>
    <row r="119" customHeight="1" ht="20">
      <c r="A119" s="19" t="inlineStr">
        <is>
          <r>
            <t xml:space="preserve">​C3323​ ARGAMASSA DE CIMENTO E AREIA TRAÇO 1:3 COM AREIA PRODUZIDA​ (M3)</t>
          </r>
        </is>
      </c>
      <c r="B119" s="19" t="inlineStr"/>
      <c r="C119" s="19" t="inlineStr"/>
      <c r="D119" s="19" t="inlineStr"/>
      <c r="E119" s="19" t="inlineStr"/>
      <c r="F119" s="19" t="inlineStr"/>
      <c r="G119" s="19" t="inlineStr"/>
    </row>
    <row r="120" customHeight="1" ht="15">
      <c r="A120" s="20" t="inlineStr">
        <is>
          <r>
            <t xml:space="preserve">Material</t>
          </r>
        </is>
      </c>
      <c r="B120" s="20" t="inlineStr"/>
      <c r="C120" s="21" t="inlineStr">
        <is>
          <r>
            <t xml:space="preserve">FONTE</t>
          </r>
        </is>
      </c>
      <c r="D120" s="21" t="inlineStr">
        <is>
          <r>
            <t xml:space="preserve">UNID</t>
          </r>
        </is>
      </c>
      <c r="E120" s="21" t="inlineStr">
        <is>
          <r>
            <t xml:space="preserve">COEFICIENTE</t>
          </r>
        </is>
      </c>
      <c r="F120" s="21" t="inlineStr">
        <is>
          <r>
            <t xml:space="preserve">PREÇO UNITÁRIO</t>
          </r>
        </is>
      </c>
      <c r="G120" s="21" t="inlineStr">
        <is>
          <r>
            <t xml:space="preserve">TOTAL</t>
          </r>
        </is>
      </c>
    </row>
    <row r="121" customHeight="1" ht="15">
      <c r="A121" s="22" t="inlineStr">
        <is>
          <r>
            <t xml:space="preserve">I0805</t>
          </r>
        </is>
      </c>
      <c r="B121" s="23" t="inlineStr">
        <is>
          <r>
            <t xml:space="preserve">CIMENTO PORTLAND</t>
          </r>
        </is>
      </c>
      <c r="C121" s="22" t="inlineStr">
        <is>
          <r>
            <t xml:space="preserve">SEINFRA</t>
          </r>
        </is>
      </c>
      <c r="D121" s="22" t="inlineStr">
        <is>
          <r>
            <t xml:space="preserve">KG</t>
          </r>
        </is>
      </c>
      <c r="E121" s="24" t="n">
        <v>486.0</v>
      </c>
      <c r="F121" s="30" t="n">
        <v>0.71</v>
      </c>
      <c r="G121" s="30" t="n">
        <f>ROUND(ROUND(E121,8)*F121,4)</f>
        <v>345.06</v>
      </c>
    </row>
    <row r="122" customHeight="1" ht="15">
      <c r="A122" s="2" t="inlineStr"/>
      <c r="B122" s="2" t="inlineStr"/>
      <c r="C122" s="2" t="inlineStr"/>
      <c r="D122" s="2" t="inlineStr"/>
      <c r="E122" s="26" t="inlineStr">
        <is>
          <r>
            <t xml:space="preserve">TOTAL Material:</t>
          </r>
        </is>
      </c>
      <c r="F122" s="26" t="inlineStr"/>
      <c r="G122" s="31" t="n">
        <f>SUM(G121:G121)</f>
        <v>345.06</v>
      </c>
    </row>
    <row r="123" customHeight="1" ht="15">
      <c r="A123" s="20" t="inlineStr">
        <is>
          <r>
            <t xml:space="preserve">Mão de Obra</t>
          </r>
        </is>
      </c>
      <c r="B123" s="20" t="inlineStr"/>
      <c r="C123" s="21" t="inlineStr">
        <is>
          <r>
            <t xml:space="preserve">FONTE</t>
          </r>
        </is>
      </c>
      <c r="D123" s="21" t="inlineStr">
        <is>
          <r>
            <t xml:space="preserve">UNID</t>
          </r>
        </is>
      </c>
      <c r="E123" s="21" t="inlineStr">
        <is>
          <r>
            <t xml:space="preserve">COEFICIENTE</t>
          </r>
        </is>
      </c>
      <c r="F123" s="21" t="inlineStr">
        <is>
          <r>
            <t xml:space="preserve">PREÇO UNITÁRIO</t>
          </r>
        </is>
      </c>
      <c r="G123" s="21" t="inlineStr">
        <is>
          <r>
            <t xml:space="preserve">TOTAL</t>
          </r>
        </is>
      </c>
    </row>
    <row r="124" customHeight="1" ht="15">
      <c r="A124" s="22" t="inlineStr">
        <is>
          <r>
            <t xml:space="preserve">I2543</t>
          </r>
        </is>
      </c>
      <c r="B124" s="23" t="inlineStr">
        <is>
          <r>
            <t xml:space="preserve">SERVENTE</t>
          </r>
        </is>
      </c>
      <c r="C124" s="22" t="inlineStr">
        <is>
          <r>
            <t xml:space="preserve">SEINFRA</t>
          </r>
        </is>
      </c>
      <c r="D124" s="22" t="inlineStr">
        <is>
          <r>
            <t xml:space="preserve">H</t>
          </r>
        </is>
      </c>
      <c r="E124" s="24" t="n">
        <v>10.0</v>
      </c>
      <c r="F124" s="30" t="n">
        <v>18.46</v>
      </c>
      <c r="G124" s="30" t="n">
        <f>ROUND(ROUND(E124,8)*F124,4)</f>
        <v>184.6</v>
      </c>
    </row>
    <row r="125" customHeight="1" ht="15">
      <c r="A125" s="2" t="inlineStr"/>
      <c r="B125" s="2" t="inlineStr"/>
      <c r="C125" s="2" t="inlineStr"/>
      <c r="D125" s="2" t="inlineStr"/>
      <c r="E125" s="26" t="inlineStr">
        <is>
          <r>
            <t xml:space="preserve">TOTAL Mão de Obra:</t>
          </r>
        </is>
      </c>
      <c r="F125" s="26" t="inlineStr"/>
      <c r="G125" s="31" t="n">
        <f>SUM(G124:G124)</f>
        <v>184.6</v>
      </c>
    </row>
    <row r="126" customHeight="1" ht="15">
      <c r="A126" s="20" t="inlineStr">
        <is>
          <r>
            <t xml:space="preserve">Serviço</t>
          </r>
        </is>
      </c>
      <c r="B126" s="20" t="inlineStr"/>
      <c r="C126" s="21" t="inlineStr">
        <is>
          <r>
            <t xml:space="preserve">FONTE</t>
          </r>
        </is>
      </c>
      <c r="D126" s="21" t="inlineStr">
        <is>
          <r>
            <t xml:space="preserve">UNID</t>
          </r>
        </is>
      </c>
      <c r="E126" s="21" t="inlineStr">
        <is>
          <r>
            <t xml:space="preserve">COEFICIENTE</t>
          </r>
        </is>
      </c>
      <c r="F126" s="21" t="inlineStr">
        <is>
          <r>
            <t xml:space="preserve">PREÇO UNITÁRIO</t>
          </r>
        </is>
      </c>
      <c r="G126" s="21" t="inlineStr">
        <is>
          <r>
            <t xml:space="preserve">TOTAL</t>
          </r>
        </is>
      </c>
    </row>
    <row r="127" customHeight="1" ht="15">
      <c r="A127" s="22" t="inlineStr">
        <is>
          <r>
            <t xml:space="preserve">C3130</t>
          </r>
        </is>
      </c>
      <c r="B127" s="23" t="inlineStr">
        <is>
          <r>
            <t xml:space="preserve">AREIA DE RIO - EXTRAÇÃO</t>
          </r>
        </is>
      </c>
      <c r="C127" s="22" t="inlineStr">
        <is>
          <r>
            <t xml:space="preserve">SEINFRA</t>
          </r>
        </is>
      </c>
      <c r="D127" s="22" t="inlineStr">
        <is>
          <r>
            <t xml:space="preserve">M3</t>
          </r>
        </is>
      </c>
      <c r="E127" s="24" t="n">
        <v>1.216</v>
      </c>
      <c r="F127" s="30" t="n">
        <v>8.8</v>
      </c>
      <c r="G127" s="30" t="n">
        <f>ROUND(ROUND(E127,8)*F127,4)</f>
        <v>10.7008</v>
      </c>
    </row>
    <row r="128" customHeight="1" ht="15">
      <c r="A128" s="2" t="inlineStr"/>
      <c r="B128" s="2" t="inlineStr"/>
      <c r="C128" s="2" t="inlineStr"/>
      <c r="D128" s="2" t="inlineStr"/>
      <c r="E128" s="26" t="inlineStr">
        <is>
          <r>
            <t xml:space="preserve">TOTAL Serviço:</t>
          </r>
        </is>
      </c>
      <c r="F128" s="26" t="inlineStr"/>
      <c r="G128" s="31" t="n">
        <f>SUM(G127:G127)</f>
        <v>10.7008</v>
      </c>
    </row>
    <row r="129" customHeight="1" ht="15">
      <c r="A129" s="2" t="inlineStr"/>
      <c r="B129" s="2" t="inlineStr"/>
      <c r="C129" s="2" t="inlineStr"/>
      <c r="D129" s="2" t="inlineStr"/>
      <c r="E129" s="28" t="inlineStr">
        <is>
          <r>
            <t xml:space="preserve">VALOR:</t>
          </r>
        </is>
      </c>
      <c r="F129" s="28" t="inlineStr"/>
      <c r="G129" s="29" t="n">
        <f>ROUND(SUM(G122,G125,G128),2)</f>
        <v>540.36</v>
      </c>
    </row>
    <row r="130" customHeight="1" ht="15">
      <c r="A130" s="2" t="inlineStr"/>
      <c r="B130" s="2" t="inlineStr"/>
      <c r="C130" s="2" t="inlineStr"/>
      <c r="D130" s="2" t="inlineStr"/>
      <c r="E130" s="28" t="inlineStr">
        <is>
          <r>
            <t xml:space="preserve">VALOR BDI:</t>
          </r>
        </is>
      </c>
      <c r="F130" s="28" t="inlineStr"/>
      <c r="G130" s="29" t="n">
        <f>ROUND(G129*(0/100),2)</f>
        <v>0.0</v>
      </c>
    </row>
    <row r="131" customHeight="1" ht="15">
      <c r="A131" s="2" t="inlineStr"/>
      <c r="B131" s="2" t="inlineStr"/>
      <c r="C131" s="2" t="inlineStr"/>
      <c r="D131" s="2" t="inlineStr"/>
      <c r="E131" s="28" t="inlineStr">
        <is>
          <r>
            <t xml:space="preserve">VALOR COM BDI:</t>
          </r>
        </is>
      </c>
      <c r="F131" s="28" t="inlineStr"/>
      <c r="G131" s="29" t="n">
        <f>G130+G129</f>
        <v>540.36</v>
      </c>
    </row>
    <row r="132" customHeight="1" ht="10">
      <c r="A132" s="2" t="inlineStr"/>
      <c r="B132" s="2" t="inlineStr"/>
      <c r="C132" s="2" t="inlineStr"/>
      <c r="D132" s="2" t="inlineStr"/>
      <c r="E132" s="18" t="inlineStr"/>
      <c r="F132" s="18" t="inlineStr"/>
      <c r="G132" s="18" t="inlineStr"/>
    </row>
    <row r="133" customHeight="1" ht="20">
      <c r="A133" s="19" t="inlineStr">
        <is>
          <r>
            <t xml:space="preserve">​C3324​ ARGAMASSA DE CIMENTO E AREIA TRAÇO 1:4 COM AREIA PRODUZIDA​ (M3)</t>
          </r>
        </is>
      </c>
      <c r="B133" s="19" t="inlineStr"/>
      <c r="C133" s="19" t="inlineStr"/>
      <c r="D133" s="19" t="inlineStr"/>
      <c r="E133" s="19" t="inlineStr"/>
      <c r="F133" s="19" t="inlineStr"/>
      <c r="G133" s="19" t="inlineStr"/>
    </row>
    <row r="134" customHeight="1" ht="15">
      <c r="A134" s="20" t="inlineStr">
        <is>
          <r>
            <t xml:space="preserve">Material</t>
          </r>
        </is>
      </c>
      <c r="B134" s="20" t="inlineStr"/>
      <c r="C134" s="21" t="inlineStr">
        <is>
          <r>
            <t xml:space="preserve">FONTE</t>
          </r>
        </is>
      </c>
      <c r="D134" s="21" t="inlineStr">
        <is>
          <r>
            <t xml:space="preserve">UNID</t>
          </r>
        </is>
      </c>
      <c r="E134" s="21" t="inlineStr">
        <is>
          <r>
            <t xml:space="preserve">COEFICIENTE</t>
          </r>
        </is>
      </c>
      <c r="F134" s="21" t="inlineStr">
        <is>
          <r>
            <t xml:space="preserve">PREÇO UNITÁRIO</t>
          </r>
        </is>
      </c>
      <c r="G134" s="21" t="inlineStr">
        <is>
          <r>
            <t xml:space="preserve">TOTAL</t>
          </r>
        </is>
      </c>
    </row>
    <row r="135" customHeight="1" ht="15">
      <c r="A135" s="22" t="inlineStr">
        <is>
          <r>
            <t xml:space="preserve">I0805</t>
          </r>
        </is>
      </c>
      <c r="B135" s="23" t="inlineStr">
        <is>
          <r>
            <t xml:space="preserve">CIMENTO PORTLAND</t>
          </r>
        </is>
      </c>
      <c r="C135" s="22" t="inlineStr">
        <is>
          <r>
            <t xml:space="preserve">SEINFRA</t>
          </r>
        </is>
      </c>
      <c r="D135" s="22" t="inlineStr">
        <is>
          <r>
            <t xml:space="preserve">KG</t>
          </r>
        </is>
      </c>
      <c r="E135" s="24" t="n">
        <v>365.0</v>
      </c>
      <c r="F135" s="30" t="n">
        <v>0.71</v>
      </c>
      <c r="G135" s="30" t="n">
        <f>ROUND(ROUND(E135,8)*F135,4)</f>
        <v>259.15</v>
      </c>
    </row>
    <row r="136" customHeight="1" ht="15">
      <c r="A136" s="2" t="inlineStr"/>
      <c r="B136" s="2" t="inlineStr"/>
      <c r="C136" s="2" t="inlineStr"/>
      <c r="D136" s="2" t="inlineStr"/>
      <c r="E136" s="26" t="inlineStr">
        <is>
          <r>
            <t xml:space="preserve">TOTAL Material:</t>
          </r>
        </is>
      </c>
      <c r="F136" s="26" t="inlineStr"/>
      <c r="G136" s="31" t="n">
        <f>SUM(G135:G135)</f>
        <v>259.15</v>
      </c>
    </row>
    <row r="137" customHeight="1" ht="15">
      <c r="A137" s="20" t="inlineStr">
        <is>
          <r>
            <t xml:space="preserve">Mão de Obra</t>
          </r>
        </is>
      </c>
      <c r="B137" s="20" t="inlineStr"/>
      <c r="C137" s="21" t="inlineStr">
        <is>
          <r>
            <t xml:space="preserve">FONTE</t>
          </r>
        </is>
      </c>
      <c r="D137" s="21" t="inlineStr">
        <is>
          <r>
            <t xml:space="preserve">UNID</t>
          </r>
        </is>
      </c>
      <c r="E137" s="21" t="inlineStr">
        <is>
          <r>
            <t xml:space="preserve">COEFICIENTE</t>
          </r>
        </is>
      </c>
      <c r="F137" s="21" t="inlineStr">
        <is>
          <r>
            <t xml:space="preserve">PREÇO UNITÁRIO</t>
          </r>
        </is>
      </c>
      <c r="G137" s="21" t="inlineStr">
        <is>
          <r>
            <t xml:space="preserve">TOTAL</t>
          </r>
        </is>
      </c>
    </row>
    <row r="138" customHeight="1" ht="15">
      <c r="A138" s="22" t="inlineStr">
        <is>
          <r>
            <t xml:space="preserve">I2543</t>
          </r>
        </is>
      </c>
      <c r="B138" s="23" t="inlineStr">
        <is>
          <r>
            <t xml:space="preserve">SERVENTE</t>
          </r>
        </is>
      </c>
      <c r="C138" s="22" t="inlineStr">
        <is>
          <r>
            <t xml:space="preserve">SEINFRA</t>
          </r>
        </is>
      </c>
      <c r="D138" s="22" t="inlineStr">
        <is>
          <r>
            <t xml:space="preserve">H</t>
          </r>
        </is>
      </c>
      <c r="E138" s="24" t="n">
        <v>10.0</v>
      </c>
      <c r="F138" s="30" t="n">
        <v>18.46</v>
      </c>
      <c r="G138" s="30" t="n">
        <f>ROUND(ROUND(E138,8)*F138,4)</f>
        <v>184.6</v>
      </c>
    </row>
    <row r="139" customHeight="1" ht="15">
      <c r="A139" s="2" t="inlineStr"/>
      <c r="B139" s="2" t="inlineStr"/>
      <c r="C139" s="2" t="inlineStr"/>
      <c r="D139" s="2" t="inlineStr"/>
      <c r="E139" s="26" t="inlineStr">
        <is>
          <r>
            <t xml:space="preserve">TOTAL Mão de Obra:</t>
          </r>
        </is>
      </c>
      <c r="F139" s="26" t="inlineStr"/>
      <c r="G139" s="31" t="n">
        <f>SUM(G138:G138)</f>
        <v>184.6</v>
      </c>
    </row>
    <row r="140" customHeight="1" ht="15">
      <c r="A140" s="20" t="inlineStr">
        <is>
          <r>
            <t xml:space="preserve">Serviço</t>
          </r>
        </is>
      </c>
      <c r="B140" s="20" t="inlineStr"/>
      <c r="C140" s="21" t="inlineStr">
        <is>
          <r>
            <t xml:space="preserve">FONTE</t>
          </r>
        </is>
      </c>
      <c r="D140" s="21" t="inlineStr">
        <is>
          <r>
            <t xml:space="preserve">UNID</t>
          </r>
        </is>
      </c>
      <c r="E140" s="21" t="inlineStr">
        <is>
          <r>
            <t xml:space="preserve">COEFICIENTE</t>
          </r>
        </is>
      </c>
      <c r="F140" s="21" t="inlineStr">
        <is>
          <r>
            <t xml:space="preserve">PREÇO UNITÁRIO</t>
          </r>
        </is>
      </c>
      <c r="G140" s="21" t="inlineStr">
        <is>
          <r>
            <t xml:space="preserve">TOTAL</t>
          </r>
        </is>
      </c>
    </row>
    <row r="141" customHeight="1" ht="15">
      <c r="A141" s="22" t="inlineStr">
        <is>
          <r>
            <t xml:space="preserve">C3130</t>
          </r>
        </is>
      </c>
      <c r="B141" s="23" t="inlineStr">
        <is>
          <r>
            <t xml:space="preserve">AREIA DE RIO - EXTRAÇÃO</t>
          </r>
        </is>
      </c>
      <c r="C141" s="22" t="inlineStr">
        <is>
          <r>
            <t xml:space="preserve">SEINFRA</t>
          </r>
        </is>
      </c>
      <c r="D141" s="22" t="inlineStr">
        <is>
          <r>
            <t xml:space="preserve">M3</t>
          </r>
        </is>
      </c>
      <c r="E141" s="24" t="n">
        <v>1.216</v>
      </c>
      <c r="F141" s="30" t="n">
        <v>8.8</v>
      </c>
      <c r="G141" s="30" t="n">
        <f>ROUND(ROUND(E141,8)*F141,4)</f>
        <v>10.7008</v>
      </c>
    </row>
    <row r="142" customHeight="1" ht="15">
      <c r="A142" s="2" t="inlineStr"/>
      <c r="B142" s="2" t="inlineStr"/>
      <c r="C142" s="2" t="inlineStr"/>
      <c r="D142" s="2" t="inlineStr"/>
      <c r="E142" s="26" t="inlineStr">
        <is>
          <r>
            <t xml:space="preserve">TOTAL Serviço:</t>
          </r>
        </is>
      </c>
      <c r="F142" s="26" t="inlineStr"/>
      <c r="G142" s="31" t="n">
        <f>SUM(G141:G141)</f>
        <v>10.7008</v>
      </c>
    </row>
    <row r="143" customHeight="1" ht="15">
      <c r="A143" s="2" t="inlineStr"/>
      <c r="B143" s="2" t="inlineStr"/>
      <c r="C143" s="2" t="inlineStr"/>
      <c r="D143" s="2" t="inlineStr"/>
      <c r="E143" s="28" t="inlineStr">
        <is>
          <r>
            <t xml:space="preserve">VALOR:</t>
          </r>
        </is>
      </c>
      <c r="F143" s="28" t="inlineStr"/>
      <c r="G143" s="29" t="n">
        <f>ROUND(SUM(G136,G139,G142),2)</f>
        <v>454.45</v>
      </c>
    </row>
    <row r="144" customHeight="1" ht="15">
      <c r="A144" s="2" t="inlineStr"/>
      <c r="B144" s="2" t="inlineStr"/>
      <c r="C144" s="2" t="inlineStr"/>
      <c r="D144" s="2" t="inlineStr"/>
      <c r="E144" s="28" t="inlineStr">
        <is>
          <r>
            <t xml:space="preserve">VALOR BDI:</t>
          </r>
        </is>
      </c>
      <c r="F144" s="28" t="inlineStr"/>
      <c r="G144" s="29" t="n">
        <f>ROUND(G143*(0/100),2)</f>
        <v>0.0</v>
      </c>
    </row>
    <row r="145" customHeight="1" ht="15">
      <c r="A145" s="2" t="inlineStr"/>
      <c r="B145" s="2" t="inlineStr"/>
      <c r="C145" s="2" t="inlineStr"/>
      <c r="D145" s="2" t="inlineStr"/>
      <c r="E145" s="28" t="inlineStr">
        <is>
          <r>
            <t xml:space="preserve">VALOR COM BDI:</t>
          </r>
        </is>
      </c>
      <c r="F145" s="28" t="inlineStr"/>
      <c r="G145" s="29" t="n">
        <f>G144+G143</f>
        <v>454.45</v>
      </c>
    </row>
    <row r="146" customHeight="1" ht="10">
      <c r="A146" s="2" t="inlineStr"/>
      <c r="B146" s="2" t="inlineStr"/>
      <c r="C146" s="2" t="inlineStr"/>
      <c r="D146" s="2" t="inlineStr"/>
      <c r="E146" s="18" t="inlineStr"/>
      <c r="F146" s="18" t="inlineStr"/>
      <c r="G146" s="18" t="inlineStr"/>
    </row>
    <row r="147" customHeight="1" ht="20">
      <c r="A147" s="19" t="inlineStr">
        <is>
          <r>
            <t xml:space="preserve">​88245​ ARMADOR COM ENCARGOS COMPLEMENTARES​ (H)</t>
          </r>
        </is>
      </c>
      <c r="B147" s="19" t="inlineStr"/>
      <c r="C147" s="19" t="inlineStr"/>
      <c r="D147" s="19" t="inlineStr"/>
      <c r="E147" s="19" t="inlineStr"/>
      <c r="F147" s="19" t="inlineStr"/>
      <c r="G147" s="19" t="inlineStr"/>
    </row>
    <row r="148" customHeight="1" ht="15">
      <c r="A148" s="20" t="inlineStr">
        <is>
          <r>
            <t xml:space="preserve">Encargos Complementares</t>
          </r>
        </is>
      </c>
      <c r="B148" s="20" t="inlineStr"/>
      <c r="C148" s="21" t="inlineStr">
        <is>
          <r>
            <t xml:space="preserve">FONTE</t>
          </r>
        </is>
      </c>
      <c r="D148" s="21" t="inlineStr">
        <is>
          <r>
            <t xml:space="preserve">UNID</t>
          </r>
        </is>
      </c>
      <c r="E148" s="21" t="inlineStr">
        <is>
          <r>
            <t xml:space="preserve">COEFICIENTE</t>
          </r>
        </is>
      </c>
      <c r="F148" s="21" t="inlineStr">
        <is>
          <r>
            <t xml:space="preserve">PREÇO UNITÁRIO</t>
          </r>
        </is>
      </c>
      <c r="G148" s="21" t="inlineStr">
        <is>
          <r>
            <t xml:space="preserve">TOTAL</t>
          </r>
        </is>
      </c>
    </row>
    <row r="149" customHeight="1" ht="21">
      <c r="A149" s="22" t="inlineStr">
        <is>
          <r>
            <t xml:space="preserve">00037370</t>
          </r>
        </is>
      </c>
      <c r="B149" s="23" t="inlineStr">
        <is>
          <r>
            <t xml:space="preserve">ALIMENTACAO - HORISTA (COLETADO CAIXA - ENCARGOS COMPLEMENTARES)</t>
          </r>
        </is>
      </c>
      <c r="C149" s="22" t="inlineStr">
        <is>
          <r>
            <t xml:space="preserve">SINAPI</t>
          </r>
        </is>
      </c>
      <c r="D149" s="22" t="inlineStr">
        <is>
          <r>
            <t xml:space="preserve">H</t>
          </r>
        </is>
      </c>
      <c r="E149" s="24" t="n">
        <v>1.0</v>
      </c>
      <c r="F149" s="25" t="n">
        <v>3.62</v>
      </c>
      <c r="G149" s="25" t="n">
        <f>TRUNC(TRUNC(E149,8)*F149,2)</f>
        <v>3.62</v>
      </c>
    </row>
    <row r="150" customHeight="1" ht="21">
      <c r="A150" s="22" t="inlineStr">
        <is>
          <r>
            <t xml:space="preserve">00043489</t>
          </r>
        </is>
      </c>
      <c r="B150" s="23" t="inlineStr">
        <is>
          <r>
            <t xml:space="preserve">EPI - FAMILIA PEDREIRO - HORISTA (ENCARGOS COMPLEMENTARES - COLETADO CAIXA)</t>
          </r>
        </is>
      </c>
      <c r="C150" s="22" t="inlineStr">
        <is>
          <r>
            <t xml:space="preserve">SINAPI</t>
          </r>
        </is>
      </c>
      <c r="D150" s="22" t="inlineStr">
        <is>
          <r>
            <t xml:space="preserve">H</t>
          </r>
        </is>
      </c>
      <c r="E150" s="24" t="n">
        <v>1.0</v>
      </c>
      <c r="F150" s="25" t="n">
        <v>1.31</v>
      </c>
      <c r="G150" s="25" t="n">
        <f>TRUNC(TRUNC(E150,8)*F150,2)</f>
        <v>1.31</v>
      </c>
    </row>
    <row r="151" customHeight="1" ht="21">
      <c r="A151" s="22" t="inlineStr">
        <is>
          <r>
            <t xml:space="preserve">00037372</t>
          </r>
        </is>
      </c>
      <c r="B151" s="23" t="inlineStr">
        <is>
          <r>
            <t xml:space="preserve">EXAMES - HORISTA (COLETADO CAIXA - ENCARGOS COMPLEMENTARES)</t>
          </r>
        </is>
      </c>
      <c r="C151" s="22" t="inlineStr">
        <is>
          <r>
            <t xml:space="preserve">SINAPI</t>
          </r>
        </is>
      </c>
      <c r="D151" s="22" t="inlineStr">
        <is>
          <r>
            <t xml:space="preserve">H</t>
          </r>
        </is>
      </c>
      <c r="E151" s="24" t="n">
        <v>1.0</v>
      </c>
      <c r="F151" s="25" t="n">
        <v>1.43</v>
      </c>
      <c r="G151" s="25" t="n">
        <f>TRUNC(TRUNC(E151,8)*F151,2)</f>
        <v>1.43</v>
      </c>
    </row>
    <row r="152" customHeight="1" ht="21">
      <c r="A152" s="22" t="inlineStr">
        <is>
          <r>
            <t xml:space="preserve">00043465</t>
          </r>
        </is>
      </c>
      <c r="B152" s="23" t="inlineStr">
        <is>
          <r>
            <t xml:space="preserve">FERRAMENTAS - FAMILIA PEDREIRO - HORISTA (ENCARGOS COMPLEMENTARES - COLETADO CAIXA)</t>
          </r>
        </is>
      </c>
      <c r="C152" s="22" t="inlineStr">
        <is>
          <r>
            <t xml:space="preserve">SINAPI</t>
          </r>
        </is>
      </c>
      <c r="D152" s="22" t="inlineStr">
        <is>
          <r>
            <t xml:space="preserve">H</t>
          </r>
        </is>
      </c>
      <c r="E152" s="24" t="n">
        <v>1.0</v>
      </c>
      <c r="F152" s="25" t="n">
        <v>0.78</v>
      </c>
      <c r="G152" s="25" t="n">
        <f>TRUNC(TRUNC(E152,8)*F152,2)</f>
        <v>0.78</v>
      </c>
    </row>
    <row r="153" customHeight="1" ht="21">
      <c r="A153" s="22" t="inlineStr">
        <is>
          <r>
            <t xml:space="preserve">00037373</t>
          </r>
        </is>
      </c>
      <c r="B153" s="23" t="inlineStr">
        <is>
          <r>
            <t xml:space="preserve">SEGURO - HORISTA (COLETADO CAIXA - ENCARGOS COMPLEMENTARES)</t>
          </r>
        </is>
      </c>
      <c r="C153" s="22" t="inlineStr">
        <is>
          <r>
            <t xml:space="preserve">SINAPI</t>
          </r>
        </is>
      </c>
      <c r="D153" s="22" t="inlineStr">
        <is>
          <r>
            <t xml:space="preserve">H</t>
          </r>
        </is>
      </c>
      <c r="E153" s="24" t="n">
        <v>1.0</v>
      </c>
      <c r="F153" s="25" t="n">
        <v>0.08</v>
      </c>
      <c r="G153" s="25" t="n">
        <f>TRUNC(TRUNC(E153,8)*F153,2)</f>
        <v>0.08</v>
      </c>
    </row>
    <row r="154" customHeight="1" ht="21">
      <c r="A154" s="22" t="inlineStr">
        <is>
          <r>
            <t xml:space="preserve">00037371</t>
          </r>
        </is>
      </c>
      <c r="B154" s="23" t="inlineStr">
        <is>
          <r>
            <t xml:space="preserve">TRANSPORTE - HORISTA (COLETADO CAIXA - ENCARGOS COMPLEMENTARES)</t>
          </r>
        </is>
      </c>
      <c r="C154" s="22" t="inlineStr">
        <is>
          <r>
            <t xml:space="preserve">SINAPI</t>
          </r>
        </is>
      </c>
      <c r="D154" s="22" t="inlineStr">
        <is>
          <r>
            <t xml:space="preserve">H</t>
          </r>
        </is>
      </c>
      <c r="E154" s="24" t="n">
        <v>1.0</v>
      </c>
      <c r="F154" s="25" t="n">
        <v>1.09</v>
      </c>
      <c r="G154" s="25" t="n">
        <f>TRUNC(TRUNC(E154,8)*F154,2)</f>
        <v>1.09</v>
      </c>
    </row>
    <row r="155" customHeight="1" ht="15">
      <c r="A155" s="2" t="inlineStr"/>
      <c r="B155" s="2" t="inlineStr"/>
      <c r="C155" s="2" t="inlineStr"/>
      <c r="D155" s="2" t="inlineStr"/>
      <c r="E155" s="26" t="inlineStr">
        <is>
          <r>
            <t xml:space="preserve">TOTAL Encargos Complementares:</t>
          </r>
        </is>
      </c>
      <c r="F155" s="26" t="inlineStr"/>
      <c r="G155" s="27" t="n">
        <f>SUM(G149:G154)</f>
        <v>8.31</v>
      </c>
    </row>
    <row r="156" customHeight="1" ht="15">
      <c r="A156" s="20" t="inlineStr">
        <is>
          <r>
            <t xml:space="preserve">Mão de Obra</t>
          </r>
        </is>
      </c>
      <c r="B156" s="20" t="inlineStr"/>
      <c r="C156" s="21" t="inlineStr">
        <is>
          <r>
            <t xml:space="preserve">FONTE</t>
          </r>
        </is>
      </c>
      <c r="D156" s="21" t="inlineStr">
        <is>
          <r>
            <t xml:space="preserve">UNID</t>
          </r>
        </is>
      </c>
      <c r="E156" s="21" t="inlineStr">
        <is>
          <r>
            <t xml:space="preserve">COEFICIENTE</t>
          </r>
        </is>
      </c>
      <c r="F156" s="21" t="inlineStr">
        <is>
          <r>
            <t xml:space="preserve">PREÇO UNITÁRIO</t>
          </r>
        </is>
      </c>
      <c r="G156" s="21" t="inlineStr">
        <is>
          <r>
            <t xml:space="preserve">TOTAL</t>
          </r>
        </is>
      </c>
    </row>
    <row r="157" customHeight="1" ht="15">
      <c r="A157" s="22" t="inlineStr">
        <is>
          <r>
            <t xml:space="preserve">00000378</t>
          </r>
        </is>
      </c>
      <c r="B157" s="23" t="inlineStr">
        <is>
          <r>
            <t xml:space="preserve">ARMADOR (HORISTA)</t>
          </r>
        </is>
      </c>
      <c r="C157" s="22" t="inlineStr">
        <is>
          <r>
            <t xml:space="preserve">SINAPI</t>
          </r>
        </is>
      </c>
      <c r="D157" s="22" t="inlineStr">
        <is>
          <r>
            <t xml:space="preserve">H</t>
          </r>
        </is>
      </c>
      <c r="E157" s="24" t="n">
        <v>1.0</v>
      </c>
      <c r="F157" s="25" t="n">
        <v>19.54</v>
      </c>
      <c r="G157" s="25" t="n">
        <f>TRUNC(TRUNC(E157,8)*F157,2)</f>
        <v>19.54</v>
      </c>
    </row>
    <row r="158" customHeight="1" ht="15">
      <c r="A158" s="2" t="inlineStr"/>
      <c r="B158" s="2" t="inlineStr"/>
      <c r="C158" s="2" t="inlineStr"/>
      <c r="D158" s="2" t="inlineStr"/>
      <c r="E158" s="26" t="inlineStr">
        <is>
          <r>
            <t xml:space="preserve">TOTAL Mão de Obra:</t>
          </r>
        </is>
      </c>
      <c r="F158" s="26" t="inlineStr"/>
      <c r="G158" s="27" t="n">
        <f>SUM(G157:G157)</f>
        <v>19.54</v>
      </c>
    </row>
    <row r="159" customHeight="1" ht="15">
      <c r="A159" s="20" t="inlineStr">
        <is>
          <r>
            <t xml:space="preserve">Serviço</t>
          </r>
        </is>
      </c>
      <c r="B159" s="20" t="inlineStr"/>
      <c r="C159" s="21" t="inlineStr">
        <is>
          <r>
            <t xml:space="preserve">FONTE</t>
          </r>
        </is>
      </c>
      <c r="D159" s="21" t="inlineStr">
        <is>
          <r>
            <t xml:space="preserve">UNID</t>
          </r>
        </is>
      </c>
      <c r="E159" s="21" t="inlineStr">
        <is>
          <r>
            <t xml:space="preserve">COEFICIENTE</t>
          </r>
        </is>
      </c>
      <c r="F159" s="21" t="inlineStr">
        <is>
          <r>
            <t xml:space="preserve">PREÇO UNITÁRIO</t>
          </r>
        </is>
      </c>
      <c r="G159" s="21" t="inlineStr">
        <is>
          <r>
            <t xml:space="preserve">TOTAL</t>
          </r>
        </is>
      </c>
    </row>
    <row r="160" customHeight="1" ht="21">
      <c r="A160" s="22" t="inlineStr">
        <is>
          <r>
            <t xml:space="preserve">95314</t>
          </r>
        </is>
      </c>
      <c r="B160" s="23" t="inlineStr">
        <is>
          <r>
            <t xml:space="preserve">CURSO DE CAPACITAÇÃO PARA ARMADOR (ENCARGOS COMPLEMENTARES) - HORISTA</t>
          </r>
        </is>
      </c>
      <c r="C160" s="22" t="inlineStr">
        <is>
          <r>
            <t xml:space="preserve">SINAPI</t>
          </r>
        </is>
      </c>
      <c r="D160" s="22" t="inlineStr">
        <is>
          <r>
            <t xml:space="preserve">H</t>
          </r>
        </is>
      </c>
      <c r="E160" s="24" t="n">
        <v>1.0</v>
      </c>
      <c r="F160" s="25" t="n">
        <v>0.22</v>
      </c>
      <c r="G160" s="25" t="n">
        <f>TRUNC(TRUNC(E160,8)*F160,2)</f>
        <v>0.22</v>
      </c>
    </row>
    <row r="161" customHeight="1" ht="15">
      <c r="A161" s="2" t="inlineStr"/>
      <c r="B161" s="2" t="inlineStr"/>
      <c r="C161" s="2" t="inlineStr"/>
      <c r="D161" s="2" t="inlineStr"/>
      <c r="E161" s="26" t="inlineStr">
        <is>
          <r>
            <t xml:space="preserve">TOTAL Serviço:</t>
          </r>
        </is>
      </c>
      <c r="F161" s="26" t="inlineStr"/>
      <c r="G161" s="27" t="n">
        <f>SUM(G160:G160)</f>
        <v>0.22</v>
      </c>
    </row>
    <row r="162" customHeight="1" ht="15">
      <c r="A162" s="2" t="inlineStr"/>
      <c r="B162" s="2" t="inlineStr"/>
      <c r="C162" s="2" t="inlineStr"/>
      <c r="D162" s="2" t="inlineStr"/>
      <c r="E162" s="28" t="inlineStr">
        <is>
          <r>
            <t xml:space="preserve">VALOR:</t>
          </r>
        </is>
      </c>
      <c r="F162" s="28" t="inlineStr"/>
      <c r="G162" s="29" t="n">
        <f>ROUND(SUM(G155,G158,G161),2)</f>
        <v>28.07</v>
      </c>
    </row>
    <row r="163" customHeight="1" ht="15">
      <c r="A163" s="2" t="inlineStr"/>
      <c r="B163" s="2" t="inlineStr"/>
      <c r="C163" s="2" t="inlineStr"/>
      <c r="D163" s="2" t="inlineStr"/>
      <c r="E163" s="28" t="inlineStr">
        <is>
          <r>
            <t xml:space="preserve">VALOR BDI:</t>
          </r>
        </is>
      </c>
      <c r="F163" s="28" t="inlineStr"/>
      <c r="G163" s="29" t="n">
        <f>ROUND(G162*(0/100),2)</f>
        <v>0.0</v>
      </c>
    </row>
    <row r="164" customHeight="1" ht="15">
      <c r="A164" s="2" t="inlineStr"/>
      <c r="B164" s="2" t="inlineStr"/>
      <c r="C164" s="2" t="inlineStr"/>
      <c r="D164" s="2" t="inlineStr"/>
      <c r="E164" s="28" t="inlineStr">
        <is>
          <r>
            <t xml:space="preserve">VALOR COM BDI:</t>
          </r>
        </is>
      </c>
      <c r="F164" s="28" t="inlineStr"/>
      <c r="G164" s="29" t="n">
        <f>G163+G162</f>
        <v>28.07</v>
      </c>
    </row>
    <row r="165" customHeight="1" ht="10">
      <c r="A165" s="2" t="inlineStr"/>
      <c r="B165" s="2" t="inlineStr"/>
      <c r="C165" s="2" t="inlineStr"/>
      <c r="D165" s="2" t="inlineStr"/>
      <c r="E165" s="18" t="inlineStr"/>
      <c r="F165" s="18" t="inlineStr"/>
      <c r="G165" s="18" t="inlineStr"/>
    </row>
    <row r="166" customHeight="1" ht="20">
      <c r="A166" s="19" t="inlineStr">
        <is>
          <r>
            <t xml:space="preserve">​C0216​ ARMADURA CA-50A MÉDIA D= 6,3 A 10,0mm​ (KG)</t>
          </r>
        </is>
      </c>
      <c r="B166" s="19" t="inlineStr"/>
      <c r="C166" s="19" t="inlineStr"/>
      <c r="D166" s="19" t="inlineStr"/>
      <c r="E166" s="19" t="inlineStr"/>
      <c r="F166" s="19" t="inlineStr"/>
      <c r="G166" s="19" t="inlineStr"/>
    </row>
    <row r="167" customHeight="1" ht="15">
      <c r="A167" s="20" t="inlineStr">
        <is>
          <r>
            <t xml:space="preserve">Material</t>
          </r>
        </is>
      </c>
      <c r="B167" s="20" t="inlineStr"/>
      <c r="C167" s="21" t="inlineStr">
        <is>
          <r>
            <t xml:space="preserve">FONTE</t>
          </r>
        </is>
      </c>
      <c r="D167" s="21" t="inlineStr">
        <is>
          <r>
            <t xml:space="preserve">UNID</t>
          </r>
        </is>
      </c>
      <c r="E167" s="21" t="inlineStr">
        <is>
          <r>
            <t xml:space="preserve">COEFICIENTE</t>
          </r>
        </is>
      </c>
      <c r="F167" s="21" t="inlineStr">
        <is>
          <r>
            <t xml:space="preserve">PREÇO UNITÁRIO</t>
          </r>
        </is>
      </c>
      <c r="G167" s="21" t="inlineStr">
        <is>
          <r>
            <t xml:space="preserve">TOTAL</t>
          </r>
        </is>
      </c>
    </row>
    <row r="168" customHeight="1" ht="15">
      <c r="A168" s="22" t="inlineStr">
        <is>
          <r>
            <t xml:space="preserve">I0163</t>
          </r>
        </is>
      </c>
      <c r="B168" s="23" t="inlineStr">
        <is>
          <r>
            <t xml:space="preserve">AÇO CA-50</t>
          </r>
        </is>
      </c>
      <c r="C168" s="22" t="inlineStr">
        <is>
          <r>
            <t xml:space="preserve">SEINFRA</t>
          </r>
        </is>
      </c>
      <c r="D168" s="22" t="inlineStr">
        <is>
          <r>
            <t xml:space="preserve">KG</t>
          </r>
        </is>
      </c>
      <c r="E168" s="24" t="n">
        <v>1.15</v>
      </c>
      <c r="F168" s="30" t="n">
        <v>7.1</v>
      </c>
      <c r="G168" s="30" t="n">
        <f>ROUND(ROUND(E168,8)*F168,4)</f>
        <v>8.165</v>
      </c>
    </row>
    <row r="169" customHeight="1" ht="15">
      <c r="A169" s="22" t="inlineStr">
        <is>
          <r>
            <t xml:space="preserve">I0103</t>
          </r>
        </is>
      </c>
      <c r="B169" s="23" t="inlineStr">
        <is>
          <r>
            <t xml:space="preserve">ARAME RECOZIDO N.18 BWG</t>
          </r>
        </is>
      </c>
      <c r="C169" s="22" t="inlineStr">
        <is>
          <r>
            <t xml:space="preserve">SEINFRA</t>
          </r>
        </is>
      </c>
      <c r="D169" s="22" t="inlineStr">
        <is>
          <r>
            <t xml:space="preserve">KG</t>
          </r>
        </is>
      </c>
      <c r="E169" s="24" t="n">
        <v>0.02</v>
      </c>
      <c r="F169" s="30" t="n">
        <v>16.53</v>
      </c>
      <c r="G169" s="30" t="n">
        <f>ROUND(ROUND(E169,8)*F169,4)</f>
        <v>0.3306</v>
      </c>
    </row>
    <row r="170" customHeight="1" ht="15">
      <c r="A170" s="2" t="inlineStr"/>
      <c r="B170" s="2" t="inlineStr"/>
      <c r="C170" s="2" t="inlineStr"/>
      <c r="D170" s="2" t="inlineStr"/>
      <c r="E170" s="26" t="inlineStr">
        <is>
          <r>
            <t xml:space="preserve">TOTAL Material:</t>
          </r>
        </is>
      </c>
      <c r="F170" s="26" t="inlineStr"/>
      <c r="G170" s="31" t="n">
        <f>SUM(G168:G169)</f>
        <v>8.4956</v>
      </c>
    </row>
    <row r="171" customHeight="1" ht="15">
      <c r="A171" s="20" t="inlineStr">
        <is>
          <r>
            <t xml:space="preserve">Mão de Obra</t>
          </r>
        </is>
      </c>
      <c r="B171" s="20" t="inlineStr"/>
      <c r="C171" s="21" t="inlineStr">
        <is>
          <r>
            <t xml:space="preserve">FONTE</t>
          </r>
        </is>
      </c>
      <c r="D171" s="21" t="inlineStr">
        <is>
          <r>
            <t xml:space="preserve">UNID</t>
          </r>
        </is>
      </c>
      <c r="E171" s="21" t="inlineStr">
        <is>
          <r>
            <t xml:space="preserve">COEFICIENTE</t>
          </r>
        </is>
      </c>
      <c r="F171" s="21" t="inlineStr">
        <is>
          <r>
            <t xml:space="preserve">PREÇO UNITÁRIO</t>
          </r>
        </is>
      </c>
      <c r="G171" s="21" t="inlineStr">
        <is>
          <r>
            <t xml:space="preserve">TOTAL</t>
          </r>
        </is>
      </c>
    </row>
    <row r="172" customHeight="1" ht="15">
      <c r="A172" s="22" t="inlineStr">
        <is>
          <r>
            <t xml:space="preserve">I0040</t>
          </r>
        </is>
      </c>
      <c r="B172" s="23" t="inlineStr">
        <is>
          <r>
            <t xml:space="preserve">AJUDANTE DE ARMADOR/FERREIRO</t>
          </r>
        </is>
      </c>
      <c r="C172" s="22" t="inlineStr">
        <is>
          <r>
            <t xml:space="preserve">SEINFRA</t>
          </r>
        </is>
      </c>
      <c r="D172" s="22" t="inlineStr">
        <is>
          <r>
            <t xml:space="preserve">H</t>
          </r>
        </is>
      </c>
      <c r="E172" s="24" t="n">
        <v>0.08</v>
      </c>
      <c r="F172" s="30" t="n">
        <v>19.1</v>
      </c>
      <c r="G172" s="30" t="n">
        <f>ROUND(ROUND(E172,8)*F172,4)</f>
        <v>1.528</v>
      </c>
    </row>
    <row r="173" customHeight="1" ht="15">
      <c r="A173" s="22" t="inlineStr">
        <is>
          <r>
            <t xml:space="preserve">I0121</t>
          </r>
        </is>
      </c>
      <c r="B173" s="23" t="inlineStr">
        <is>
          <r>
            <t xml:space="preserve">ARMADOR/FERREIRO</t>
          </r>
        </is>
      </c>
      <c r="C173" s="22" t="inlineStr">
        <is>
          <r>
            <t xml:space="preserve">SEINFRA</t>
          </r>
        </is>
      </c>
      <c r="D173" s="22" t="inlineStr">
        <is>
          <r>
            <t xml:space="preserve">H</t>
          </r>
        </is>
      </c>
      <c r="E173" s="24" t="n">
        <v>0.08</v>
      </c>
      <c r="F173" s="30" t="n">
        <v>24.16</v>
      </c>
      <c r="G173" s="30" t="n">
        <f>ROUND(ROUND(E173,8)*F173,4)</f>
        <v>1.9328</v>
      </c>
    </row>
    <row r="174" customHeight="1" ht="15">
      <c r="A174" s="2" t="inlineStr"/>
      <c r="B174" s="2" t="inlineStr"/>
      <c r="C174" s="2" t="inlineStr"/>
      <c r="D174" s="2" t="inlineStr"/>
      <c r="E174" s="26" t="inlineStr">
        <is>
          <r>
            <t xml:space="preserve">TOTAL Mão de Obra:</t>
          </r>
        </is>
      </c>
      <c r="F174" s="26" t="inlineStr"/>
      <c r="G174" s="31" t="n">
        <f>SUM(G172:G173)</f>
        <v>3.4608</v>
      </c>
    </row>
    <row r="175" customHeight="1" ht="15">
      <c r="A175" s="2" t="inlineStr"/>
      <c r="B175" s="2" t="inlineStr"/>
      <c r="C175" s="2" t="inlineStr"/>
      <c r="D175" s="2" t="inlineStr"/>
      <c r="E175" s="28" t="inlineStr">
        <is>
          <r>
            <t xml:space="preserve">VALOR:</t>
          </r>
        </is>
      </c>
      <c r="F175" s="28" t="inlineStr"/>
      <c r="G175" s="29" t="n">
        <f>ROUND(SUM(G170,G174),2)</f>
        <v>11.96</v>
      </c>
    </row>
    <row r="176" customHeight="1" ht="15">
      <c r="A176" s="2" t="inlineStr"/>
      <c r="B176" s="2" t="inlineStr"/>
      <c r="C176" s="2" t="inlineStr"/>
      <c r="D176" s="2" t="inlineStr"/>
      <c r="E176" s="28" t="inlineStr">
        <is>
          <r>
            <t xml:space="preserve">VALOR BDI:</t>
          </r>
        </is>
      </c>
      <c r="F176" s="28" t="inlineStr"/>
      <c r="G176" s="29" t="n">
        <f>ROUND(G175*(0/100),2)</f>
        <v>0.0</v>
      </c>
    </row>
    <row r="177" customHeight="1" ht="15">
      <c r="A177" s="2" t="inlineStr"/>
      <c r="B177" s="2" t="inlineStr"/>
      <c r="C177" s="2" t="inlineStr"/>
      <c r="D177" s="2" t="inlineStr"/>
      <c r="E177" s="28" t="inlineStr">
        <is>
          <r>
            <t xml:space="preserve">VALOR COM BDI:</t>
          </r>
        </is>
      </c>
      <c r="F177" s="28" t="inlineStr"/>
      <c r="G177" s="29" t="n">
        <f>G176+G175</f>
        <v>11.96</v>
      </c>
    </row>
    <row r="178" customHeight="1" ht="10">
      <c r="A178" s="2" t="inlineStr"/>
      <c r="B178" s="2" t="inlineStr"/>
      <c r="C178" s="2" t="inlineStr"/>
      <c r="D178" s="2" t="inlineStr"/>
      <c r="E178" s="18" t="inlineStr"/>
      <c r="F178" s="18" t="inlineStr"/>
      <c r="G178" s="18" t="inlineStr"/>
    </row>
    <row r="179" customHeight="1" ht="20">
      <c r="A179" s="19" t="inlineStr">
        <is>
          <r>
            <t xml:space="preserve">​92767​ ARMAÇÃO DE LAJE DE ESTRUTURA CONVENCIONAL DE CONCRETO ARMADO UTILIZANDO AÇO CA-60 DE 4,2 MM - MONTAGEM. AF_06/2022​ (KG)</t>
          </r>
        </is>
      </c>
      <c r="B179" s="19" t="inlineStr"/>
      <c r="C179" s="19" t="inlineStr"/>
      <c r="D179" s="19" t="inlineStr"/>
      <c r="E179" s="19" t="inlineStr"/>
      <c r="F179" s="19" t="inlineStr"/>
      <c r="G179" s="19" t="inlineStr"/>
    </row>
    <row r="180" customHeight="1" ht="15">
      <c r="A180" s="20" t="inlineStr">
        <is>
          <r>
            <t xml:space="preserve">Material</t>
          </r>
        </is>
      </c>
      <c r="B180" s="20" t="inlineStr"/>
      <c r="C180" s="21" t="inlineStr">
        <is>
          <r>
            <t xml:space="preserve">FONTE</t>
          </r>
        </is>
      </c>
      <c r="D180" s="21" t="inlineStr">
        <is>
          <r>
            <t xml:space="preserve">UNID</t>
          </r>
        </is>
      </c>
      <c r="E180" s="21" t="inlineStr">
        <is>
          <r>
            <t xml:space="preserve">COEFICIENTE</t>
          </r>
        </is>
      </c>
      <c r="F180" s="21" t="inlineStr">
        <is>
          <r>
            <t xml:space="preserve">PREÇO UNITÁRIO</t>
          </r>
        </is>
      </c>
      <c r="G180" s="21" t="inlineStr">
        <is>
          <r>
            <t xml:space="preserve">TOTAL</t>
          </r>
        </is>
      </c>
    </row>
    <row r="181" customHeight="1" ht="21">
      <c r="A181" s="22" t="inlineStr">
        <is>
          <r>
            <t xml:space="preserve">00043132</t>
          </r>
        </is>
      </c>
      <c r="B181" s="23" t="inlineStr">
        <is>
          <r>
            <t xml:space="preserve">ARAME RECOZIDO 16 BWG, D = 1,65 MM (0,016 KG/M) OU 18 BWG, D = 1,25 MM (0,01 KG/M)</t>
          </r>
        </is>
      </c>
      <c r="C181" s="22" t="inlineStr">
        <is>
          <r>
            <t xml:space="preserve">SINAPI</t>
          </r>
        </is>
      </c>
      <c r="D181" s="22" t="inlineStr">
        <is>
          <r>
            <t xml:space="preserve">KG</t>
          </r>
        </is>
      </c>
      <c r="E181" s="24" t="n">
        <v>0.025</v>
      </c>
      <c r="F181" s="25" t="n">
        <v>14.8</v>
      </c>
      <c r="G181" s="25" t="n">
        <f>TRUNC(TRUNC(E181,8)*F181,2)</f>
        <v>0.37</v>
      </c>
    </row>
    <row r="182" customHeight="1" ht="29">
      <c r="A182" s="22" t="inlineStr">
        <is>
          <r>
            <t xml:space="preserve">00039017</t>
          </r>
        </is>
      </c>
      <c r="B182" s="23" t="inlineStr">
        <is>
          <r>
            <t xml:space="preserve">ESPACADOR / DISTANCIADOR CIRCULAR COM ENTRADA LATERAL, EM PLASTICO, PARA VERGALHAO *4,2 A 12,5* MM, COBRIMENTO 20 MM</t>
          </r>
        </is>
      </c>
      <c r="C182" s="22" t="inlineStr">
        <is>
          <r>
            <t xml:space="preserve">SINAPI</t>
          </r>
        </is>
      </c>
      <c r="D182" s="22" t="inlineStr">
        <is>
          <r>
            <t xml:space="preserve">UN</t>
          </r>
        </is>
      </c>
      <c r="E182" s="24" t="n">
        <v>2.816</v>
      </c>
      <c r="F182" s="25" t="n">
        <v>0.22</v>
      </c>
      <c r="G182" s="25" t="n">
        <f>TRUNC(TRUNC(E182,8)*F182,2)</f>
        <v>0.61</v>
      </c>
    </row>
    <row r="183" customHeight="1" ht="15">
      <c r="A183" s="2" t="inlineStr"/>
      <c r="B183" s="2" t="inlineStr"/>
      <c r="C183" s="2" t="inlineStr"/>
      <c r="D183" s="2" t="inlineStr"/>
      <c r="E183" s="26" t="inlineStr">
        <is>
          <r>
            <t xml:space="preserve">TOTAL Material:</t>
          </r>
        </is>
      </c>
      <c r="F183" s="26" t="inlineStr"/>
      <c r="G183" s="27" t="n">
        <f>SUM(G181:G182)</f>
        <v>0.98</v>
      </c>
    </row>
    <row r="184" customHeight="1" ht="15">
      <c r="A184" s="20" t="inlineStr">
        <is>
          <r>
            <t xml:space="preserve">Mão de Obra com Encargos Complementares</t>
          </r>
        </is>
      </c>
      <c r="B184" s="20" t="inlineStr"/>
      <c r="C184" s="21" t="inlineStr">
        <is>
          <r>
            <t xml:space="preserve">FONTE</t>
          </r>
        </is>
      </c>
      <c r="D184" s="21" t="inlineStr">
        <is>
          <r>
            <t xml:space="preserve">UNID</t>
          </r>
        </is>
      </c>
      <c r="E184" s="21" t="inlineStr">
        <is>
          <r>
            <t xml:space="preserve">COEFICIENTE</t>
          </r>
        </is>
      </c>
      <c r="F184" s="21" t="inlineStr">
        <is>
          <r>
            <t xml:space="preserve">PREÇO UNITÁRIO</t>
          </r>
        </is>
      </c>
      <c r="G184" s="21" t="inlineStr">
        <is>
          <r>
            <t xml:space="preserve">TOTAL</t>
          </r>
        </is>
      </c>
    </row>
    <row r="185" customHeight="1" ht="21">
      <c r="A185" s="22" t="inlineStr">
        <is>
          <r>
            <t xml:space="preserve">88238</t>
          </r>
        </is>
      </c>
      <c r="B185" s="23" t="inlineStr">
        <is>
          <r>
            <t xml:space="preserve">AJUDANTE DE ARMADOR COM ENCARGOS COMPLEMENTARES</t>
          </r>
        </is>
      </c>
      <c r="C185" s="22" t="inlineStr">
        <is>
          <r>
            <t xml:space="preserve">SINAPI</t>
          </r>
        </is>
      </c>
      <c r="D185" s="22" t="inlineStr">
        <is>
          <r>
            <t xml:space="preserve">H</t>
          </r>
        </is>
      </c>
      <c r="E185" s="24" t="n">
        <v>0.0172</v>
      </c>
      <c r="F185" s="25" t="n">
        <v>23.01</v>
      </c>
      <c r="G185" s="25" t="n">
        <f>TRUNC(TRUNC(E185,8)*F185,2)</f>
        <v>0.39</v>
      </c>
    </row>
    <row r="186" customHeight="1" ht="15">
      <c r="A186" s="22" t="inlineStr">
        <is>
          <r>
            <t xml:space="preserve">88245</t>
          </r>
        </is>
      </c>
      <c r="B186" s="23" t="inlineStr">
        <is>
          <r>
            <t xml:space="preserve">ARMADOR COM ENCARGOS COMPLEMENTARES</t>
          </r>
        </is>
      </c>
      <c r="C186" s="22" t="inlineStr">
        <is>
          <r>
            <t xml:space="preserve">SINAPI</t>
          </r>
        </is>
      </c>
      <c r="D186" s="22" t="inlineStr">
        <is>
          <r>
            <t xml:space="preserve">H</t>
          </r>
        </is>
      </c>
      <c r="E186" s="24" t="n">
        <v>0.1055</v>
      </c>
      <c r="F186" s="25" t="n">
        <v>28.07</v>
      </c>
      <c r="G186" s="25" t="n">
        <f>TRUNC(TRUNC(E186,8)*F186,2)</f>
        <v>2.96</v>
      </c>
    </row>
    <row r="187" customHeight="1" ht="18">
      <c r="A187" s="2" t="inlineStr"/>
      <c r="B187" s="2" t="inlineStr"/>
      <c r="C187" s="2" t="inlineStr"/>
      <c r="D187" s="2" t="inlineStr"/>
      <c r="E187" s="26" t="inlineStr">
        <is>
          <r>
            <t xml:space="preserve">TOTAL Mão de Obra com Encargos Complementares:</t>
          </r>
        </is>
      </c>
      <c r="F187" s="26" t="inlineStr"/>
      <c r="G187" s="27" t="n">
        <f>SUM(G185:G186)</f>
        <v>3.35</v>
      </c>
    </row>
    <row r="188" customHeight="1" ht="15">
      <c r="A188" s="20" t="inlineStr">
        <is>
          <r>
            <t xml:space="preserve">Serviço</t>
          </r>
        </is>
      </c>
      <c r="B188" s="20" t="inlineStr"/>
      <c r="C188" s="21" t="inlineStr">
        <is>
          <r>
            <t xml:space="preserve">FONTE</t>
          </r>
        </is>
      </c>
      <c r="D188" s="21" t="inlineStr">
        <is>
          <r>
            <t xml:space="preserve">UNID</t>
          </r>
        </is>
      </c>
      <c r="E188" s="21" t="inlineStr">
        <is>
          <r>
            <t xml:space="preserve">COEFICIENTE</t>
          </r>
        </is>
      </c>
      <c r="F188" s="21" t="inlineStr">
        <is>
          <r>
            <t xml:space="preserve">PREÇO UNITÁRIO</t>
          </r>
        </is>
      </c>
      <c r="G188" s="21" t="inlineStr">
        <is>
          <r>
            <t xml:space="preserve">TOTAL</t>
          </r>
        </is>
      </c>
    </row>
    <row r="189" customHeight="1" ht="21">
      <c r="A189" s="22" t="inlineStr">
        <is>
          <r>
            <t xml:space="preserve">92799</t>
          </r>
        </is>
      </c>
      <c r="B189" s="23" t="inlineStr">
        <is>
          <r>
            <t xml:space="preserve">CORTE E DOBRA DE AÇO CA-60, DIÂMETRO DE 4,2 MM. AF_06/2022</t>
          </r>
        </is>
      </c>
      <c r="C189" s="22" t="inlineStr">
        <is>
          <r>
            <t xml:space="preserve">SINAPI</t>
          </r>
        </is>
      </c>
      <c r="D189" s="22" t="inlineStr">
        <is>
          <r>
            <t xml:space="preserve">KG</t>
          </r>
        </is>
      </c>
      <c r="E189" s="24" t="n">
        <v>1.0</v>
      </c>
      <c r="F189" s="25" t="n">
        <v>10.32</v>
      </c>
      <c r="G189" s="25" t="n">
        <f>TRUNC(TRUNC(E189,8)*F189,2)</f>
        <v>10.32</v>
      </c>
    </row>
    <row r="190" customHeight="1" ht="15">
      <c r="A190" s="2" t="inlineStr"/>
      <c r="B190" s="2" t="inlineStr"/>
      <c r="C190" s="2" t="inlineStr"/>
      <c r="D190" s="2" t="inlineStr"/>
      <c r="E190" s="26" t="inlineStr">
        <is>
          <r>
            <t xml:space="preserve">TOTAL Serviço:</t>
          </r>
        </is>
      </c>
      <c r="F190" s="26" t="inlineStr"/>
      <c r="G190" s="27" t="n">
        <f>SUM(G189:G189)</f>
        <v>10.32</v>
      </c>
    </row>
    <row r="191" customHeight="1" ht="15">
      <c r="A191" s="2" t="inlineStr"/>
      <c r="B191" s="2" t="inlineStr"/>
      <c r="C191" s="2" t="inlineStr"/>
      <c r="D191" s="2" t="inlineStr"/>
      <c r="E191" s="28" t="inlineStr">
        <is>
          <r>
            <t xml:space="preserve">VALOR:</t>
          </r>
        </is>
      </c>
      <c r="F191" s="28" t="inlineStr"/>
      <c r="G191" s="29" t="n">
        <f>ROUND(SUM(G183,G187,G190),2)</f>
        <v>14.65</v>
      </c>
    </row>
    <row r="192" customHeight="1" ht="15">
      <c r="A192" s="2" t="inlineStr"/>
      <c r="B192" s="2" t="inlineStr"/>
      <c r="C192" s="2" t="inlineStr"/>
      <c r="D192" s="2" t="inlineStr"/>
      <c r="E192" s="28" t="inlineStr">
        <is>
          <r>
            <t xml:space="preserve">VALOR BDI:</t>
          </r>
        </is>
      </c>
      <c r="F192" s="28" t="inlineStr"/>
      <c r="G192" s="29" t="n">
        <f>ROUND(G191*(0/100),2)</f>
        <v>0.0</v>
      </c>
    </row>
    <row r="193" customHeight="1" ht="15">
      <c r="A193" s="2" t="inlineStr"/>
      <c r="B193" s="2" t="inlineStr"/>
      <c r="C193" s="2" t="inlineStr"/>
      <c r="D193" s="2" t="inlineStr"/>
      <c r="E193" s="28" t="inlineStr">
        <is>
          <r>
            <t xml:space="preserve">VALOR COM BDI:</t>
          </r>
        </is>
      </c>
      <c r="F193" s="28" t="inlineStr"/>
      <c r="G193" s="29" t="n">
        <f>G192+G191</f>
        <v>14.65</v>
      </c>
    </row>
    <row r="194" customHeight="1" ht="10">
      <c r="A194" s="2" t="inlineStr"/>
      <c r="B194" s="2" t="inlineStr"/>
      <c r="C194" s="2" t="inlineStr"/>
      <c r="D194" s="2" t="inlineStr"/>
      <c r="E194" s="18" t="inlineStr"/>
      <c r="F194" s="18" t="inlineStr"/>
      <c r="G194" s="18" t="inlineStr"/>
    </row>
    <row r="195" customHeight="1" ht="20">
      <c r="A195" s="19" t="inlineStr">
        <is>
          <r>
            <t xml:space="preserve">​88831​ BETONEIRA CAPACIDADE NOMINAL DE 400 L, CAPACIDADE DE MISTURA 280 L, MOTOR ELÉTRICO TRIFÁSICO POTÊNCIA DE 2 CV, SEM CARREGADOR - CHI DIURNO. AF_05/2023​ (CHI)</t>
          </r>
        </is>
      </c>
      <c r="B195" s="19" t="inlineStr"/>
      <c r="C195" s="19" t="inlineStr"/>
      <c r="D195" s="19" t="inlineStr"/>
      <c r="E195" s="19" t="inlineStr"/>
      <c r="F195" s="19" t="inlineStr"/>
      <c r="G195" s="19" t="inlineStr"/>
    </row>
    <row r="196" customHeight="1" ht="15">
      <c r="A196" s="20" t="inlineStr">
        <is>
          <r>
            <t xml:space="preserve">Serviço</t>
          </r>
        </is>
      </c>
      <c r="B196" s="20" t="inlineStr"/>
      <c r="C196" s="21" t="inlineStr">
        <is>
          <r>
            <t xml:space="preserve">FONTE</t>
          </r>
        </is>
      </c>
      <c r="D196" s="21" t="inlineStr">
        <is>
          <r>
            <t xml:space="preserve">UNID</t>
          </r>
        </is>
      </c>
      <c r="E196" s="21" t="inlineStr">
        <is>
          <r>
            <t xml:space="preserve">COEFICIENTE</t>
          </r>
        </is>
      </c>
      <c r="F196" s="21" t="inlineStr">
        <is>
          <r>
            <t xml:space="preserve">PREÇO UNITÁRIO</t>
          </r>
        </is>
      </c>
      <c r="G196" s="21" t="inlineStr">
        <is>
          <r>
            <t xml:space="preserve">TOTAL</t>
          </r>
        </is>
      </c>
    </row>
    <row r="197" customHeight="1" ht="38">
      <c r="A197" s="22" t="inlineStr">
        <is>
          <r>
            <t xml:space="preserve">88826</t>
          </r>
        </is>
      </c>
      <c r="B197" s="23" t="inlineStr">
        <is>
          <r>
            <t xml:space="preserve">BETONEIRA CAPACIDADE NOMINAL DE 400 L, CAPACIDADE DE MISTURA 280 L, MOTOR ELÉTRICO TRIFÁSICO POTÊNCIA DE 2 CV, SEM CARREGADOR - DEPRECIAÇÃO. AF_05/2023</t>
          </r>
        </is>
      </c>
      <c r="C197" s="22" t="inlineStr">
        <is>
          <r>
            <t xml:space="preserve">SINAPI</t>
          </r>
        </is>
      </c>
      <c r="D197" s="22" t="inlineStr">
        <is>
          <r>
            <t xml:space="preserve">H</t>
          </r>
        </is>
      </c>
      <c r="E197" s="24" t="n">
        <v>1.0</v>
      </c>
      <c r="F197" s="25" t="n">
        <v>0.31</v>
      </c>
      <c r="G197" s="25" t="n">
        <f>TRUNC(TRUNC(E197,8)*F197,2)</f>
        <v>0.31</v>
      </c>
    </row>
    <row r="198" customHeight="1" ht="38">
      <c r="A198" s="22" t="inlineStr">
        <is>
          <r>
            <t xml:space="preserve">88827</t>
          </r>
        </is>
      </c>
      <c r="B198" s="23" t="inlineStr">
        <is>
          <r>
            <t xml:space="preserve">BETONEIRA CAPACIDADE NOMINAL DE 400 L, CAPACIDADE DE MISTURA 280 L, MOTOR ELÉTRICO TRIFÁSICO POTÊNCIA DE 2 CV, SEM CARREGADOR - JUROS. AF_05/2023</t>
          </r>
        </is>
      </c>
      <c r="C198" s="22" t="inlineStr">
        <is>
          <r>
            <t xml:space="preserve">SINAPI</t>
          </r>
        </is>
      </c>
      <c r="D198" s="22" t="inlineStr">
        <is>
          <r>
            <t xml:space="preserve">H</t>
          </r>
        </is>
      </c>
      <c r="E198" s="24" t="n">
        <v>1.0</v>
      </c>
      <c r="F198" s="25" t="n">
        <v>0.07</v>
      </c>
      <c r="G198" s="25" t="n">
        <f>TRUNC(TRUNC(E198,8)*F198,2)</f>
        <v>0.07</v>
      </c>
    </row>
    <row r="199" customHeight="1" ht="15">
      <c r="A199" s="2" t="inlineStr"/>
      <c r="B199" s="2" t="inlineStr"/>
      <c r="C199" s="2" t="inlineStr"/>
      <c r="D199" s="2" t="inlineStr"/>
      <c r="E199" s="26" t="inlineStr">
        <is>
          <r>
            <t xml:space="preserve">TOTAL Serviço:</t>
          </r>
        </is>
      </c>
      <c r="F199" s="26" t="inlineStr"/>
      <c r="G199" s="27" t="n">
        <f>SUM(G197:G198)</f>
        <v>0.38</v>
      </c>
    </row>
    <row r="200" customHeight="1" ht="15">
      <c r="A200" s="2" t="inlineStr"/>
      <c r="B200" s="2" t="inlineStr"/>
      <c r="C200" s="2" t="inlineStr"/>
      <c r="D200" s="2" t="inlineStr"/>
      <c r="E200" s="28" t="inlineStr">
        <is>
          <r>
            <t xml:space="preserve">VALOR:</t>
          </r>
        </is>
      </c>
      <c r="F200" s="28" t="inlineStr"/>
      <c r="G200" s="29" t="n">
        <f>ROUND(SUM(G199),2)</f>
        <v>0.38</v>
      </c>
    </row>
    <row r="201" customHeight="1" ht="15">
      <c r="A201" s="2" t="inlineStr"/>
      <c r="B201" s="2" t="inlineStr"/>
      <c r="C201" s="2" t="inlineStr"/>
      <c r="D201" s="2" t="inlineStr"/>
      <c r="E201" s="28" t="inlineStr">
        <is>
          <r>
            <t xml:space="preserve">VALOR BDI:</t>
          </r>
        </is>
      </c>
      <c r="F201" s="28" t="inlineStr"/>
      <c r="G201" s="29" t="n">
        <f>ROUND(G200*(0/100),2)</f>
        <v>0.0</v>
      </c>
    </row>
    <row r="202" customHeight="1" ht="15">
      <c r="A202" s="2" t="inlineStr"/>
      <c r="B202" s="2" t="inlineStr"/>
      <c r="C202" s="2" t="inlineStr"/>
      <c r="D202" s="2" t="inlineStr"/>
      <c r="E202" s="28" t="inlineStr">
        <is>
          <r>
            <t xml:space="preserve">VALOR COM BDI:</t>
          </r>
        </is>
      </c>
      <c r="F202" s="28" t="inlineStr"/>
      <c r="G202" s="29" t="n">
        <f>G201+G200</f>
        <v>0.38</v>
      </c>
    </row>
    <row r="203" customHeight="1" ht="10">
      <c r="A203" s="2" t="inlineStr"/>
      <c r="B203" s="2" t="inlineStr"/>
      <c r="C203" s="2" t="inlineStr"/>
      <c r="D203" s="2" t="inlineStr"/>
      <c r="E203" s="18" t="inlineStr"/>
      <c r="F203" s="18" t="inlineStr"/>
      <c r="G203" s="18" t="inlineStr"/>
    </row>
    <row r="204" customHeight="1" ht="20">
      <c r="A204" s="19" t="inlineStr">
        <is>
          <r>
            <t xml:space="preserve">​88830​ BETONEIRA CAPACIDADE NOMINAL DE 400 L, CAPACIDADE DE MISTURA 280 L, MOTOR ELÉTRICO TRIFÁSICO POTÊNCIA DE 2 CV, SEM CARREGADOR - CHP DIURNO. AF_05/2023​ (CHP)</t>
          </r>
        </is>
      </c>
      <c r="B204" s="19" t="inlineStr"/>
      <c r="C204" s="19" t="inlineStr"/>
      <c r="D204" s="19" t="inlineStr"/>
      <c r="E204" s="19" t="inlineStr"/>
      <c r="F204" s="19" t="inlineStr"/>
      <c r="G204" s="19" t="inlineStr"/>
    </row>
    <row r="205" customHeight="1" ht="15">
      <c r="A205" s="20" t="inlineStr">
        <is>
          <r>
            <t xml:space="preserve">Serviço</t>
          </r>
        </is>
      </c>
      <c r="B205" s="20" t="inlineStr"/>
      <c r="C205" s="21" t="inlineStr">
        <is>
          <r>
            <t xml:space="preserve">FONTE</t>
          </r>
        </is>
      </c>
      <c r="D205" s="21" t="inlineStr">
        <is>
          <r>
            <t xml:space="preserve">UNID</t>
          </r>
        </is>
      </c>
      <c r="E205" s="21" t="inlineStr">
        <is>
          <r>
            <t xml:space="preserve">COEFICIENTE</t>
          </r>
        </is>
      </c>
      <c r="F205" s="21" t="inlineStr">
        <is>
          <r>
            <t xml:space="preserve">PREÇO UNITÁRIO</t>
          </r>
        </is>
      </c>
      <c r="G205" s="21" t="inlineStr">
        <is>
          <r>
            <t xml:space="preserve">TOTAL</t>
          </r>
        </is>
      </c>
    </row>
    <row r="206" customHeight="1" ht="38">
      <c r="A206" s="22" t="inlineStr">
        <is>
          <r>
            <t xml:space="preserve">88826</t>
          </r>
        </is>
      </c>
      <c r="B206" s="23" t="inlineStr">
        <is>
          <r>
            <t xml:space="preserve">BETONEIRA CAPACIDADE NOMINAL DE 400 L, CAPACIDADE DE MISTURA 280 L, MOTOR ELÉTRICO TRIFÁSICO POTÊNCIA DE 2 CV, SEM CARREGADOR - DEPRECIAÇÃO. AF_05/2023</t>
          </r>
        </is>
      </c>
      <c r="C206" s="22" t="inlineStr">
        <is>
          <r>
            <t xml:space="preserve">SINAPI</t>
          </r>
        </is>
      </c>
      <c r="D206" s="22" t="inlineStr">
        <is>
          <r>
            <t xml:space="preserve">H</t>
          </r>
        </is>
      </c>
      <c r="E206" s="24" t="n">
        <v>1.0</v>
      </c>
      <c r="F206" s="25" t="n">
        <v>0.31</v>
      </c>
      <c r="G206" s="25" t="n">
        <f>TRUNC(TRUNC(E206,8)*F206,2)</f>
        <v>0.31</v>
      </c>
    </row>
    <row r="207" customHeight="1" ht="38">
      <c r="A207" s="22" t="inlineStr">
        <is>
          <r>
            <t xml:space="preserve">88827</t>
          </r>
        </is>
      </c>
      <c r="B207" s="23" t="inlineStr">
        <is>
          <r>
            <t xml:space="preserve">BETONEIRA CAPACIDADE NOMINAL DE 400 L, CAPACIDADE DE MISTURA 280 L, MOTOR ELÉTRICO TRIFÁSICO POTÊNCIA DE 2 CV, SEM CARREGADOR - JUROS. AF_05/2023</t>
          </r>
        </is>
      </c>
      <c r="C207" s="22" t="inlineStr">
        <is>
          <r>
            <t xml:space="preserve">SINAPI</t>
          </r>
        </is>
      </c>
      <c r="D207" s="22" t="inlineStr">
        <is>
          <r>
            <t xml:space="preserve">H</t>
          </r>
        </is>
      </c>
      <c r="E207" s="24" t="n">
        <v>1.0</v>
      </c>
      <c r="F207" s="25" t="n">
        <v>0.07</v>
      </c>
      <c r="G207" s="25" t="n">
        <f>TRUNC(TRUNC(E207,8)*F207,2)</f>
        <v>0.07</v>
      </c>
    </row>
    <row r="208" customHeight="1" ht="38">
      <c r="A208" s="22" t="inlineStr">
        <is>
          <r>
            <t xml:space="preserve">88828</t>
          </r>
        </is>
      </c>
      <c r="B208" s="23" t="inlineStr">
        <is>
          <r>
            <t xml:space="preserve">BETONEIRA CAPACIDADE NOMINAL DE 400 L, CAPACIDADE DE MISTURA 280 L, MOTOR ELÉTRICO TRIFÁSICO POTÊNCIA DE 2 CV, SEM CARREGADOR - MANUTENÇÃO. AF_05/2023</t>
          </r>
        </is>
      </c>
      <c r="C208" s="22" t="inlineStr">
        <is>
          <r>
            <t xml:space="preserve">SINAPI</t>
          </r>
        </is>
      </c>
      <c r="D208" s="22" t="inlineStr">
        <is>
          <r>
            <t xml:space="preserve">H</t>
          </r>
        </is>
      </c>
      <c r="E208" s="24" t="n">
        <v>1.0</v>
      </c>
      <c r="F208" s="25" t="n">
        <v>0.34</v>
      </c>
      <c r="G208" s="25" t="n">
        <f>TRUNC(TRUNC(E208,8)*F208,2)</f>
        <v>0.34</v>
      </c>
    </row>
    <row r="209" customHeight="1" ht="38">
      <c r="A209" s="22" t="inlineStr">
        <is>
          <r>
            <t xml:space="preserve">88829</t>
          </r>
        </is>
      </c>
      <c r="B209" s="23" t="inlineStr">
        <is>
          <r>
            <t xml:space="preserve">BETONEIRA CAPACIDADE NOMINAL DE 400 L, CAPACIDADE DE MISTURA 280 L, MOTOR ELÉTRICO TRIFÁSICO POTÊNCIA DE 2 CV, SEM CARREGADOR - MATERIAIS NA OPERAÇÃO. AF_05/2023</t>
          </r>
        </is>
      </c>
      <c r="C209" s="22" t="inlineStr">
        <is>
          <r>
            <t xml:space="preserve">SINAPI</t>
          </r>
        </is>
      </c>
      <c r="D209" s="22" t="inlineStr">
        <is>
          <r>
            <t xml:space="preserve">H</t>
          </r>
        </is>
      </c>
      <c r="E209" s="24" t="n">
        <v>1.0</v>
      </c>
      <c r="F209" s="25" t="n">
        <v>1.27</v>
      </c>
      <c r="G209" s="25" t="n">
        <f>TRUNC(TRUNC(E209,8)*F209,2)</f>
        <v>1.27</v>
      </c>
    </row>
    <row r="210" customHeight="1" ht="15">
      <c r="A210" s="2" t="inlineStr"/>
      <c r="B210" s="2" t="inlineStr"/>
      <c r="C210" s="2" t="inlineStr"/>
      <c r="D210" s="2" t="inlineStr"/>
      <c r="E210" s="26" t="inlineStr">
        <is>
          <r>
            <t xml:space="preserve">TOTAL Serviço:</t>
          </r>
        </is>
      </c>
      <c r="F210" s="26" t="inlineStr"/>
      <c r="G210" s="27" t="n">
        <f>SUM(G206:G209)</f>
        <v>1.99</v>
      </c>
    </row>
    <row r="211" customHeight="1" ht="15">
      <c r="A211" s="2" t="inlineStr"/>
      <c r="B211" s="2" t="inlineStr"/>
      <c r="C211" s="2" t="inlineStr"/>
      <c r="D211" s="2" t="inlineStr"/>
      <c r="E211" s="28" t="inlineStr">
        <is>
          <r>
            <t xml:space="preserve">VALOR:</t>
          </r>
        </is>
      </c>
      <c r="F211" s="28" t="inlineStr"/>
      <c r="G211" s="29" t="n">
        <f>ROUND(SUM(G210),2)</f>
        <v>1.99</v>
      </c>
    </row>
    <row r="212" customHeight="1" ht="15">
      <c r="A212" s="2" t="inlineStr"/>
      <c r="B212" s="2" t="inlineStr"/>
      <c r="C212" s="2" t="inlineStr"/>
      <c r="D212" s="2" t="inlineStr"/>
      <c r="E212" s="28" t="inlineStr">
        <is>
          <r>
            <t xml:space="preserve">VALOR BDI:</t>
          </r>
        </is>
      </c>
      <c r="F212" s="28" t="inlineStr"/>
      <c r="G212" s="29" t="n">
        <f>ROUND(G211*(0/100),2)</f>
        <v>0.0</v>
      </c>
    </row>
    <row r="213" customHeight="1" ht="15">
      <c r="A213" s="2" t="inlineStr"/>
      <c r="B213" s="2" t="inlineStr"/>
      <c r="C213" s="2" t="inlineStr"/>
      <c r="D213" s="2" t="inlineStr"/>
      <c r="E213" s="28" t="inlineStr">
        <is>
          <r>
            <t xml:space="preserve">VALOR COM BDI:</t>
          </r>
        </is>
      </c>
      <c r="F213" s="28" t="inlineStr"/>
      <c r="G213" s="29" t="n">
        <f>G212+G211</f>
        <v>1.99</v>
      </c>
    </row>
    <row r="214" customHeight="1" ht="10">
      <c r="A214" s="2" t="inlineStr"/>
      <c r="B214" s="2" t="inlineStr"/>
      <c r="C214" s="2" t="inlineStr"/>
      <c r="D214" s="2" t="inlineStr"/>
      <c r="E214" s="18" t="inlineStr"/>
      <c r="F214" s="18" t="inlineStr"/>
      <c r="G214" s="18" t="inlineStr"/>
    </row>
    <row r="215" customHeight="1" ht="20">
      <c r="A215" s="19" t="inlineStr">
        <is>
          <r>
            <t xml:space="preserve">​88826​ BETONEIRA CAPACIDADE NOMINAL DE 400 L, CAPACIDADE DE MISTURA 280 L, MOTOR ELÉTRICO TRIFÁSICO POTÊNCIA DE 2 CV, SEM CARREGADOR - DEPRECIAÇÃO. AF_05/2023​ (H)</t>
          </r>
        </is>
      </c>
      <c r="B215" s="19" t="inlineStr"/>
      <c r="C215" s="19" t="inlineStr"/>
      <c r="D215" s="19" t="inlineStr"/>
      <c r="E215" s="19" t="inlineStr"/>
      <c r="F215" s="19" t="inlineStr"/>
      <c r="G215" s="19" t="inlineStr"/>
    </row>
    <row r="216" customHeight="1" ht="15">
      <c r="A216" s="20" t="inlineStr">
        <is>
          <r>
            <t xml:space="preserve">Equipamento</t>
          </r>
        </is>
      </c>
      <c r="B216" s="20" t="inlineStr"/>
      <c r="C216" s="21" t="inlineStr">
        <is>
          <r>
            <t xml:space="preserve">FONTE</t>
          </r>
        </is>
      </c>
      <c r="D216" s="21" t="inlineStr">
        <is>
          <r>
            <t xml:space="preserve">UNID</t>
          </r>
        </is>
      </c>
      <c r="E216" s="21" t="inlineStr">
        <is>
          <r>
            <t xml:space="preserve">COEFICIENTE</t>
          </r>
        </is>
      </c>
      <c r="F216" s="21" t="inlineStr">
        <is>
          <r>
            <t xml:space="preserve">PREÇO UNITÁRIO</t>
          </r>
        </is>
      </c>
      <c r="G216" s="21" t="inlineStr">
        <is>
          <r>
            <t xml:space="preserve">TOTAL</t>
          </r>
        </is>
      </c>
    </row>
    <row r="217" customHeight="1" ht="29">
      <c r="A217" s="22" t="inlineStr">
        <is>
          <r>
            <t xml:space="preserve">00010535</t>
          </r>
        </is>
      </c>
      <c r="B217" s="23" t="inlineStr">
        <is>
          <r>
            <t xml:space="preserve">BETONEIRA, CAPACIDADE NOMINAL 400 L, CAPACIDADE DE MISTURA 280 L, MOTOR ELETRICO TRIFASICO 220/380 V, POTENCIA 2 CV, SEM CARREGADOR</t>
          </r>
        </is>
      </c>
      <c r="C217" s="22" t="inlineStr">
        <is>
          <r>
            <t xml:space="preserve">SINAPI</t>
          </r>
        </is>
      </c>
      <c r="D217" s="22" t="inlineStr">
        <is>
          <r>
            <t xml:space="preserve">UN</t>
          </r>
        </is>
      </c>
      <c r="E217" s="24" t="n">
        <v>6.4E-5</v>
      </c>
      <c r="F217" s="25" t="n">
        <v>4914.08</v>
      </c>
      <c r="G217" s="25" t="n">
        <f>TRUNC(TRUNC(E217,8)*F217,2)</f>
        <v>0.31</v>
      </c>
    </row>
    <row r="218" customHeight="1" ht="15">
      <c r="A218" s="2" t="inlineStr"/>
      <c r="B218" s="2" t="inlineStr"/>
      <c r="C218" s="2" t="inlineStr"/>
      <c r="D218" s="2" t="inlineStr"/>
      <c r="E218" s="26" t="inlineStr">
        <is>
          <r>
            <t xml:space="preserve">TOTAL Equipamento:</t>
          </r>
        </is>
      </c>
      <c r="F218" s="26" t="inlineStr"/>
      <c r="G218" s="27" t="n">
        <f>SUM(G217:G217)</f>
        <v>0.31</v>
      </c>
    </row>
    <row r="219" customHeight="1" ht="15">
      <c r="A219" s="2" t="inlineStr"/>
      <c r="B219" s="2" t="inlineStr"/>
      <c r="C219" s="2" t="inlineStr"/>
      <c r="D219" s="2" t="inlineStr"/>
      <c r="E219" s="28" t="inlineStr">
        <is>
          <r>
            <t xml:space="preserve">VALOR:</t>
          </r>
        </is>
      </c>
      <c r="F219" s="28" t="inlineStr"/>
      <c r="G219" s="29" t="n">
        <f>ROUND(SUM(G218),2)</f>
        <v>0.31</v>
      </c>
    </row>
    <row r="220" customHeight="1" ht="15">
      <c r="A220" s="2" t="inlineStr"/>
      <c r="B220" s="2" t="inlineStr"/>
      <c r="C220" s="2" t="inlineStr"/>
      <c r="D220" s="2" t="inlineStr"/>
      <c r="E220" s="28" t="inlineStr">
        <is>
          <r>
            <t xml:space="preserve">VALOR BDI:</t>
          </r>
        </is>
      </c>
      <c r="F220" s="28" t="inlineStr"/>
      <c r="G220" s="29" t="n">
        <f>ROUND(G219*(0/100),2)</f>
        <v>0.0</v>
      </c>
    </row>
    <row r="221" customHeight="1" ht="15">
      <c r="A221" s="2" t="inlineStr"/>
      <c r="B221" s="2" t="inlineStr"/>
      <c r="C221" s="2" t="inlineStr"/>
      <c r="D221" s="2" t="inlineStr"/>
      <c r="E221" s="28" t="inlineStr">
        <is>
          <r>
            <t xml:space="preserve">VALOR COM BDI:</t>
          </r>
        </is>
      </c>
      <c r="F221" s="28" t="inlineStr"/>
      <c r="G221" s="29" t="n">
        <f>G220+G219</f>
        <v>0.31</v>
      </c>
    </row>
    <row r="222" customHeight="1" ht="10">
      <c r="A222" s="2" t="inlineStr"/>
      <c r="B222" s="2" t="inlineStr"/>
      <c r="C222" s="2" t="inlineStr"/>
      <c r="D222" s="2" t="inlineStr"/>
      <c r="E222" s="18" t="inlineStr"/>
      <c r="F222" s="18" t="inlineStr"/>
      <c r="G222" s="18" t="inlineStr"/>
    </row>
    <row r="223" customHeight="1" ht="20">
      <c r="A223" s="19" t="inlineStr">
        <is>
          <r>
            <t xml:space="preserve">​88827​ BETONEIRA CAPACIDADE NOMINAL DE 400 L, CAPACIDADE DE MISTURA 280 L, MOTOR ELÉTRICO TRIFÁSICO POTÊNCIA DE 2 CV, SEM CARREGADOR - JUROS. AF_05/2023​ (H)</t>
          </r>
        </is>
      </c>
      <c r="B223" s="19" t="inlineStr"/>
      <c r="C223" s="19" t="inlineStr"/>
      <c r="D223" s="19" t="inlineStr"/>
      <c r="E223" s="19" t="inlineStr"/>
      <c r="F223" s="19" t="inlineStr"/>
      <c r="G223" s="19" t="inlineStr"/>
    </row>
    <row r="224" customHeight="1" ht="15">
      <c r="A224" s="20" t="inlineStr">
        <is>
          <r>
            <t xml:space="preserve">Equipamento</t>
          </r>
        </is>
      </c>
      <c r="B224" s="20" t="inlineStr"/>
      <c r="C224" s="21" t="inlineStr">
        <is>
          <r>
            <t xml:space="preserve">FONTE</t>
          </r>
        </is>
      </c>
      <c r="D224" s="21" t="inlineStr">
        <is>
          <r>
            <t xml:space="preserve">UNID</t>
          </r>
        </is>
      </c>
      <c r="E224" s="21" t="inlineStr">
        <is>
          <r>
            <t xml:space="preserve">COEFICIENTE</t>
          </r>
        </is>
      </c>
      <c r="F224" s="21" t="inlineStr">
        <is>
          <r>
            <t xml:space="preserve">PREÇO UNITÁRIO</t>
          </r>
        </is>
      </c>
      <c r="G224" s="21" t="inlineStr">
        <is>
          <r>
            <t xml:space="preserve">TOTAL</t>
          </r>
        </is>
      </c>
    </row>
    <row r="225" customHeight="1" ht="29">
      <c r="A225" s="22" t="inlineStr">
        <is>
          <r>
            <t xml:space="preserve">00010535</t>
          </r>
        </is>
      </c>
      <c r="B225" s="23" t="inlineStr">
        <is>
          <r>
            <t xml:space="preserve">BETONEIRA, CAPACIDADE NOMINAL 400 L, CAPACIDADE DE MISTURA 280 L, MOTOR ELETRICO TRIFASICO 220/380 V, POTENCIA 2 CV, SEM CARREGADOR</t>
          </r>
        </is>
      </c>
      <c r="C225" s="22" t="inlineStr">
        <is>
          <r>
            <t xml:space="preserve">SINAPI</t>
          </r>
        </is>
      </c>
      <c r="D225" s="22" t="inlineStr">
        <is>
          <r>
            <t xml:space="preserve">UN</t>
          </r>
        </is>
      </c>
      <c r="E225" s="24" t="n">
        <v>1.48E-5</v>
      </c>
      <c r="F225" s="25" t="n">
        <v>4914.08</v>
      </c>
      <c r="G225" s="25" t="n">
        <f>TRUNC(TRUNC(E225,8)*F225,2)</f>
        <v>0.07</v>
      </c>
    </row>
    <row r="226" customHeight="1" ht="15">
      <c r="A226" s="2" t="inlineStr"/>
      <c r="B226" s="2" t="inlineStr"/>
      <c r="C226" s="2" t="inlineStr"/>
      <c r="D226" s="2" t="inlineStr"/>
      <c r="E226" s="26" t="inlineStr">
        <is>
          <r>
            <t xml:space="preserve">TOTAL Equipamento:</t>
          </r>
        </is>
      </c>
      <c r="F226" s="26" t="inlineStr"/>
      <c r="G226" s="27" t="n">
        <f>SUM(G225:G225)</f>
        <v>0.07</v>
      </c>
    </row>
    <row r="227" customHeight="1" ht="15">
      <c r="A227" s="2" t="inlineStr"/>
      <c r="B227" s="2" t="inlineStr"/>
      <c r="C227" s="2" t="inlineStr"/>
      <c r="D227" s="2" t="inlineStr"/>
      <c r="E227" s="28" t="inlineStr">
        <is>
          <r>
            <t xml:space="preserve">VALOR:</t>
          </r>
        </is>
      </c>
      <c r="F227" s="28" t="inlineStr"/>
      <c r="G227" s="29" t="n">
        <f>ROUND(SUM(G226),2)</f>
        <v>0.07</v>
      </c>
    </row>
    <row r="228" customHeight="1" ht="15">
      <c r="A228" s="2" t="inlineStr"/>
      <c r="B228" s="2" t="inlineStr"/>
      <c r="C228" s="2" t="inlineStr"/>
      <c r="D228" s="2" t="inlineStr"/>
      <c r="E228" s="28" t="inlineStr">
        <is>
          <r>
            <t xml:space="preserve">VALOR BDI:</t>
          </r>
        </is>
      </c>
      <c r="F228" s="28" t="inlineStr"/>
      <c r="G228" s="29" t="n">
        <f>ROUND(G227*(0/100),2)</f>
        <v>0.0</v>
      </c>
    </row>
    <row r="229" customHeight="1" ht="15">
      <c r="A229" s="2" t="inlineStr"/>
      <c r="B229" s="2" t="inlineStr"/>
      <c r="C229" s="2" t="inlineStr"/>
      <c r="D229" s="2" t="inlineStr"/>
      <c r="E229" s="28" t="inlineStr">
        <is>
          <r>
            <t xml:space="preserve">VALOR COM BDI:</t>
          </r>
        </is>
      </c>
      <c r="F229" s="28" t="inlineStr"/>
      <c r="G229" s="29" t="n">
        <f>G228+G227</f>
        <v>0.07</v>
      </c>
    </row>
    <row r="230" customHeight="1" ht="10">
      <c r="A230" s="2" t="inlineStr"/>
      <c r="B230" s="2" t="inlineStr"/>
      <c r="C230" s="2" t="inlineStr"/>
      <c r="D230" s="2" t="inlineStr"/>
      <c r="E230" s="18" t="inlineStr"/>
      <c r="F230" s="18" t="inlineStr"/>
      <c r="G230" s="18" t="inlineStr"/>
    </row>
    <row r="231" customHeight="1" ht="20">
      <c r="A231" s="19" t="inlineStr">
        <is>
          <r>
            <t xml:space="preserve">​88828​ BETONEIRA CAPACIDADE NOMINAL DE 400 L, CAPACIDADE DE MISTURA 280 L, MOTOR ELÉTRICO TRIFÁSICO POTÊNCIA DE 2 CV, SEM CARREGADOR - MANUTENÇÃO. AF_05/2023​ (H)</t>
          </r>
        </is>
      </c>
      <c r="B231" s="19" t="inlineStr"/>
      <c r="C231" s="19" t="inlineStr"/>
      <c r="D231" s="19" t="inlineStr"/>
      <c r="E231" s="19" t="inlineStr"/>
      <c r="F231" s="19" t="inlineStr"/>
      <c r="G231" s="19" t="inlineStr"/>
    </row>
    <row r="232" customHeight="1" ht="15">
      <c r="A232" s="20" t="inlineStr">
        <is>
          <r>
            <t xml:space="preserve">Equipamento</t>
          </r>
        </is>
      </c>
      <c r="B232" s="20" t="inlineStr"/>
      <c r="C232" s="21" t="inlineStr">
        <is>
          <r>
            <t xml:space="preserve">FONTE</t>
          </r>
        </is>
      </c>
      <c r="D232" s="21" t="inlineStr">
        <is>
          <r>
            <t xml:space="preserve">UNID</t>
          </r>
        </is>
      </c>
      <c r="E232" s="21" t="inlineStr">
        <is>
          <r>
            <t xml:space="preserve">COEFICIENTE</t>
          </r>
        </is>
      </c>
      <c r="F232" s="21" t="inlineStr">
        <is>
          <r>
            <t xml:space="preserve">PREÇO UNITÁRIO</t>
          </r>
        </is>
      </c>
      <c r="G232" s="21" t="inlineStr">
        <is>
          <r>
            <t xml:space="preserve">TOTAL</t>
          </r>
        </is>
      </c>
    </row>
    <row r="233" customHeight="1" ht="29">
      <c r="A233" s="22" t="inlineStr">
        <is>
          <r>
            <t xml:space="preserve">00010535</t>
          </r>
        </is>
      </c>
      <c r="B233" s="23" t="inlineStr">
        <is>
          <r>
            <t xml:space="preserve">BETONEIRA, CAPACIDADE NOMINAL 400 L, CAPACIDADE DE MISTURA 280 L, MOTOR ELETRICO TRIFASICO 220/380 V, POTENCIA 2 CV, SEM CARREGADOR</t>
          </r>
        </is>
      </c>
      <c r="C233" s="22" t="inlineStr">
        <is>
          <r>
            <t xml:space="preserve">SINAPI</t>
          </r>
        </is>
      </c>
      <c r="D233" s="22" t="inlineStr">
        <is>
          <r>
            <t xml:space="preserve">UN</t>
          </r>
        </is>
      </c>
      <c r="E233" s="24" t="n">
        <v>7.0E-5</v>
      </c>
      <c r="F233" s="25" t="n">
        <v>4914.08</v>
      </c>
      <c r="G233" s="25" t="n">
        <f>TRUNC(TRUNC(E233,8)*F233,2)</f>
        <v>0.34</v>
      </c>
    </row>
    <row r="234" customHeight="1" ht="15">
      <c r="A234" s="2" t="inlineStr"/>
      <c r="B234" s="2" t="inlineStr"/>
      <c r="C234" s="2" t="inlineStr"/>
      <c r="D234" s="2" t="inlineStr"/>
      <c r="E234" s="26" t="inlineStr">
        <is>
          <r>
            <t xml:space="preserve">TOTAL Equipamento:</t>
          </r>
        </is>
      </c>
      <c r="F234" s="26" t="inlineStr"/>
      <c r="G234" s="27" t="n">
        <f>SUM(G233:G233)</f>
        <v>0.34</v>
      </c>
    </row>
    <row r="235" customHeight="1" ht="15">
      <c r="A235" s="2" t="inlineStr"/>
      <c r="B235" s="2" t="inlineStr"/>
      <c r="C235" s="2" t="inlineStr"/>
      <c r="D235" s="2" t="inlineStr"/>
      <c r="E235" s="28" t="inlineStr">
        <is>
          <r>
            <t xml:space="preserve">VALOR:</t>
          </r>
        </is>
      </c>
      <c r="F235" s="28" t="inlineStr"/>
      <c r="G235" s="29" t="n">
        <f>ROUND(SUM(G234),2)</f>
        <v>0.34</v>
      </c>
    </row>
    <row r="236" customHeight="1" ht="15">
      <c r="A236" s="2" t="inlineStr"/>
      <c r="B236" s="2" t="inlineStr"/>
      <c r="C236" s="2" t="inlineStr"/>
      <c r="D236" s="2" t="inlineStr"/>
      <c r="E236" s="28" t="inlineStr">
        <is>
          <r>
            <t xml:space="preserve">VALOR BDI:</t>
          </r>
        </is>
      </c>
      <c r="F236" s="28" t="inlineStr"/>
      <c r="G236" s="29" t="n">
        <f>ROUND(G235*(0/100),2)</f>
        <v>0.0</v>
      </c>
    </row>
    <row r="237" customHeight="1" ht="15">
      <c r="A237" s="2" t="inlineStr"/>
      <c r="B237" s="2" t="inlineStr"/>
      <c r="C237" s="2" t="inlineStr"/>
      <c r="D237" s="2" t="inlineStr"/>
      <c r="E237" s="28" t="inlineStr">
        <is>
          <r>
            <t xml:space="preserve">VALOR COM BDI:</t>
          </r>
        </is>
      </c>
      <c r="F237" s="28" t="inlineStr"/>
      <c r="G237" s="29" t="n">
        <f>G236+G235</f>
        <v>0.34</v>
      </c>
    </row>
    <row r="238" customHeight="1" ht="10">
      <c r="A238" s="2" t="inlineStr"/>
      <c r="B238" s="2" t="inlineStr"/>
      <c r="C238" s="2" t="inlineStr"/>
      <c r="D238" s="2" t="inlineStr"/>
      <c r="E238" s="18" t="inlineStr"/>
      <c r="F238" s="18" t="inlineStr"/>
      <c r="G238" s="18" t="inlineStr"/>
    </row>
    <row r="239" customHeight="1" ht="20">
      <c r="A239" s="19" t="inlineStr">
        <is>
          <r>
            <t xml:space="preserve">​88829​ BETONEIRA CAPACIDADE NOMINAL DE 400 L, CAPACIDADE DE MISTURA 280 L, MOTOR ELÉTRICO TRIFÁSICO POTÊNCIA DE 2 CV, SEM CARREGADOR - MATERIAIS NA OPERAÇÃO. AF_05/2023​ (H)</t>
          </r>
        </is>
      </c>
      <c r="B239" s="19" t="inlineStr"/>
      <c r="C239" s="19" t="inlineStr"/>
      <c r="D239" s="19" t="inlineStr"/>
      <c r="E239" s="19" t="inlineStr"/>
      <c r="F239" s="19" t="inlineStr"/>
      <c r="G239" s="19" t="inlineStr"/>
    </row>
    <row r="240" customHeight="1" ht="15">
      <c r="A240" s="20" t="inlineStr">
        <is>
          <r>
            <t xml:space="preserve">Especiais</t>
          </r>
        </is>
      </c>
      <c r="B240" s="20" t="inlineStr"/>
      <c r="C240" s="21" t="inlineStr">
        <is>
          <r>
            <t xml:space="preserve">FONTE</t>
          </r>
        </is>
      </c>
      <c r="D240" s="21" t="inlineStr">
        <is>
          <r>
            <t xml:space="preserve">UNID</t>
          </r>
        </is>
      </c>
      <c r="E240" s="21" t="inlineStr">
        <is>
          <r>
            <t xml:space="preserve">COEFICIENTE</t>
          </r>
        </is>
      </c>
      <c r="F240" s="21" t="inlineStr">
        <is>
          <r>
            <t xml:space="preserve">PREÇO UNITÁRIO</t>
          </r>
        </is>
      </c>
      <c r="G240" s="21" t="inlineStr">
        <is>
          <r>
            <t xml:space="preserve">TOTAL</t>
          </r>
        </is>
      </c>
    </row>
    <row r="241" customHeight="1" ht="21">
      <c r="A241" s="22" t="inlineStr">
        <is>
          <r>
            <t xml:space="preserve">00002705</t>
          </r>
        </is>
      </c>
      <c r="B241" s="23" t="inlineStr">
        <is>
          <r>
            <t xml:space="preserve">ENERGIA ELETRICA ATE 2000 KWH INDUSTRIAL, SEM DEMANDA</t>
          </r>
        </is>
      </c>
      <c r="C241" s="22" t="inlineStr">
        <is>
          <r>
            <t xml:space="preserve">SINAPI</t>
          </r>
        </is>
      </c>
      <c r="D241" s="22" t="inlineStr">
        <is>
          <r>
            <t xml:space="preserve">KWH</t>
          </r>
        </is>
      </c>
      <c r="E241" s="24" t="n">
        <v>1.25</v>
      </c>
      <c r="F241" s="25" t="n">
        <v>1.02</v>
      </c>
      <c r="G241" s="25" t="n">
        <f>TRUNC(TRUNC(E241,8)*F241,2)</f>
        <v>1.27</v>
      </c>
    </row>
    <row r="242" customHeight="1" ht="15">
      <c r="A242" s="2" t="inlineStr"/>
      <c r="B242" s="2" t="inlineStr"/>
      <c r="C242" s="2" t="inlineStr"/>
      <c r="D242" s="2" t="inlineStr"/>
      <c r="E242" s="26" t="inlineStr">
        <is>
          <r>
            <t xml:space="preserve">TOTAL Especiais:</t>
          </r>
        </is>
      </c>
      <c r="F242" s="26" t="inlineStr"/>
      <c r="G242" s="27" t="n">
        <f>SUM(G241:G241)</f>
        <v>1.27</v>
      </c>
    </row>
    <row r="243" customHeight="1" ht="15">
      <c r="A243" s="2" t="inlineStr"/>
      <c r="B243" s="2" t="inlineStr"/>
      <c r="C243" s="2" t="inlineStr"/>
      <c r="D243" s="2" t="inlineStr"/>
      <c r="E243" s="28" t="inlineStr">
        <is>
          <r>
            <t xml:space="preserve">VALOR:</t>
          </r>
        </is>
      </c>
      <c r="F243" s="28" t="inlineStr"/>
      <c r="G243" s="29" t="n">
        <f>ROUND(SUM(G242),2)</f>
        <v>1.27</v>
      </c>
    </row>
    <row r="244" customHeight="1" ht="15">
      <c r="A244" s="2" t="inlineStr"/>
      <c r="B244" s="2" t="inlineStr"/>
      <c r="C244" s="2" t="inlineStr"/>
      <c r="D244" s="2" t="inlineStr"/>
      <c r="E244" s="28" t="inlineStr">
        <is>
          <r>
            <t xml:space="preserve">VALOR BDI:</t>
          </r>
        </is>
      </c>
      <c r="F244" s="28" t="inlineStr"/>
      <c r="G244" s="29" t="n">
        <f>ROUND(G243*(0/100),2)</f>
        <v>0.0</v>
      </c>
    </row>
    <row r="245" customHeight="1" ht="15">
      <c r="A245" s="2" t="inlineStr"/>
      <c r="B245" s="2" t="inlineStr"/>
      <c r="C245" s="2" t="inlineStr"/>
      <c r="D245" s="2" t="inlineStr"/>
      <c r="E245" s="28" t="inlineStr">
        <is>
          <r>
            <t xml:space="preserve">VALOR COM BDI:</t>
          </r>
        </is>
      </c>
      <c r="F245" s="28" t="inlineStr"/>
      <c r="G245" s="29" t="n">
        <f>G244+G243</f>
        <v>1.27</v>
      </c>
    </row>
    <row r="246" customHeight="1" ht="10">
      <c r="A246" s="2" t="inlineStr"/>
      <c r="B246" s="2" t="inlineStr"/>
      <c r="C246" s="2" t="inlineStr"/>
      <c r="D246" s="2" t="inlineStr"/>
      <c r="E246" s="18" t="inlineStr"/>
      <c r="F246" s="18" t="inlineStr"/>
      <c r="G246" s="18" t="inlineStr"/>
    </row>
    <row r="247" customHeight="1" ht="20">
      <c r="A247" s="19" t="inlineStr">
        <is>
          <r>
            <t xml:space="preserve">​89226​ BETONEIRA CAPACIDADE NOMINAL DE 600 L, CAPACIDADE DE MISTURA 360 L, MOTOR ELÉTRICO TRIFÁSICO POTÊNCIA DE 4 CV, SEM CARREGADOR - CHI DIURNO. AF_05/2023​ (CHI)</t>
          </r>
        </is>
      </c>
      <c r="B247" s="19" t="inlineStr"/>
      <c r="C247" s="19" t="inlineStr"/>
      <c r="D247" s="19" t="inlineStr"/>
      <c r="E247" s="19" t="inlineStr"/>
      <c r="F247" s="19" t="inlineStr"/>
      <c r="G247" s="19" t="inlineStr"/>
    </row>
    <row r="248" customHeight="1" ht="15">
      <c r="A248" s="20" t="inlineStr">
        <is>
          <r>
            <t xml:space="preserve">Serviço</t>
          </r>
        </is>
      </c>
      <c r="B248" s="20" t="inlineStr"/>
      <c r="C248" s="21" t="inlineStr">
        <is>
          <r>
            <t xml:space="preserve">FONTE</t>
          </r>
        </is>
      </c>
      <c r="D248" s="21" t="inlineStr">
        <is>
          <r>
            <t xml:space="preserve">UNID</t>
          </r>
        </is>
      </c>
      <c r="E248" s="21" t="inlineStr">
        <is>
          <r>
            <t xml:space="preserve">COEFICIENTE</t>
          </r>
        </is>
      </c>
      <c r="F248" s="21" t="inlineStr">
        <is>
          <r>
            <t xml:space="preserve">PREÇO UNITÁRIO</t>
          </r>
        </is>
      </c>
      <c r="G248" s="21" t="inlineStr">
        <is>
          <r>
            <t xml:space="preserve">TOTAL</t>
          </r>
        </is>
      </c>
    </row>
    <row r="249" customHeight="1" ht="38">
      <c r="A249" s="22" t="inlineStr">
        <is>
          <r>
            <t xml:space="preserve">89221</t>
          </r>
        </is>
      </c>
      <c r="B249" s="23" t="inlineStr">
        <is>
          <r>
            <t xml:space="preserve">BETONEIRA CAPACIDADE NOMINAL DE 600 L, CAPACIDADE DE MISTURA 360 L, MOTOR ELÉTRICO TRIFÁSICO POTÊNCIA DE 4 CV, SEM CARREGADOR - DEPRECIAÇÃO. AF_05/2023</t>
          </r>
        </is>
      </c>
      <c r="C249" s="22" t="inlineStr">
        <is>
          <r>
            <t xml:space="preserve">SINAPI</t>
          </r>
        </is>
      </c>
      <c r="D249" s="22" t="inlineStr">
        <is>
          <r>
            <t xml:space="preserve">H</t>
          </r>
        </is>
      </c>
      <c r="E249" s="24" t="n">
        <v>1.0</v>
      </c>
      <c r="F249" s="25" t="n">
        <v>1.27</v>
      </c>
      <c r="G249" s="25" t="n">
        <f>TRUNC(TRUNC(E249,8)*F249,2)</f>
        <v>1.27</v>
      </c>
    </row>
    <row r="250" customHeight="1" ht="38">
      <c r="A250" s="22" t="inlineStr">
        <is>
          <r>
            <t xml:space="preserve">89222</t>
          </r>
        </is>
      </c>
      <c r="B250" s="23" t="inlineStr">
        <is>
          <r>
            <t xml:space="preserve">BETONEIRA CAPACIDADE NOMINAL DE 600 L, CAPACIDADE DE MISTURA 360 L, MOTOR ELÉTRICO TRIFÁSICO POTÊNCIA DE 4 CV, SEM CARREGADOR - JUROS. AF_05/2023</t>
          </r>
        </is>
      </c>
      <c r="C250" s="22" t="inlineStr">
        <is>
          <r>
            <t xml:space="preserve">SINAPI</t>
          </r>
        </is>
      </c>
      <c r="D250" s="22" t="inlineStr">
        <is>
          <r>
            <t xml:space="preserve">H</t>
          </r>
        </is>
      </c>
      <c r="E250" s="24" t="n">
        <v>1.0</v>
      </c>
      <c r="F250" s="25" t="n">
        <v>0.29</v>
      </c>
      <c r="G250" s="25" t="n">
        <f>TRUNC(TRUNC(E250,8)*F250,2)</f>
        <v>0.29</v>
      </c>
    </row>
    <row r="251" customHeight="1" ht="15">
      <c r="A251" s="2" t="inlineStr"/>
      <c r="B251" s="2" t="inlineStr"/>
      <c r="C251" s="2" t="inlineStr"/>
      <c r="D251" s="2" t="inlineStr"/>
      <c r="E251" s="26" t="inlineStr">
        <is>
          <r>
            <t xml:space="preserve">TOTAL Serviço:</t>
          </r>
        </is>
      </c>
      <c r="F251" s="26" t="inlineStr"/>
      <c r="G251" s="27" t="n">
        <f>SUM(G249:G250)</f>
        <v>1.56</v>
      </c>
    </row>
    <row r="252" customHeight="1" ht="15">
      <c r="A252" s="2" t="inlineStr"/>
      <c r="B252" s="2" t="inlineStr"/>
      <c r="C252" s="2" t="inlineStr"/>
      <c r="D252" s="2" t="inlineStr"/>
      <c r="E252" s="28" t="inlineStr">
        <is>
          <r>
            <t xml:space="preserve">VALOR:</t>
          </r>
        </is>
      </c>
      <c r="F252" s="28" t="inlineStr"/>
      <c r="G252" s="29" t="n">
        <f>ROUND(SUM(G251),2)</f>
        <v>1.56</v>
      </c>
    </row>
    <row r="253" customHeight="1" ht="15">
      <c r="A253" s="2" t="inlineStr"/>
      <c r="B253" s="2" t="inlineStr"/>
      <c r="C253" s="2" t="inlineStr"/>
      <c r="D253" s="2" t="inlineStr"/>
      <c r="E253" s="28" t="inlineStr">
        <is>
          <r>
            <t xml:space="preserve">VALOR BDI:</t>
          </r>
        </is>
      </c>
      <c r="F253" s="28" t="inlineStr"/>
      <c r="G253" s="29" t="n">
        <f>ROUND(G252*(0/100),2)</f>
        <v>0.0</v>
      </c>
    </row>
    <row r="254" customHeight="1" ht="15">
      <c r="A254" s="2" t="inlineStr"/>
      <c r="B254" s="2" t="inlineStr"/>
      <c r="C254" s="2" t="inlineStr"/>
      <c r="D254" s="2" t="inlineStr"/>
      <c r="E254" s="28" t="inlineStr">
        <is>
          <r>
            <t xml:space="preserve">VALOR COM BDI:</t>
          </r>
        </is>
      </c>
      <c r="F254" s="28" t="inlineStr"/>
      <c r="G254" s="29" t="n">
        <f>G253+G252</f>
        <v>1.56</v>
      </c>
    </row>
    <row r="255" customHeight="1" ht="10">
      <c r="A255" s="2" t="inlineStr"/>
      <c r="B255" s="2" t="inlineStr"/>
      <c r="C255" s="2" t="inlineStr"/>
      <c r="D255" s="2" t="inlineStr"/>
      <c r="E255" s="18" t="inlineStr"/>
      <c r="F255" s="18" t="inlineStr"/>
      <c r="G255" s="18" t="inlineStr"/>
    </row>
    <row r="256" customHeight="1" ht="20">
      <c r="A256" s="19" t="inlineStr">
        <is>
          <r>
            <t xml:space="preserve">​89225​ BETONEIRA CAPACIDADE NOMINAL DE 600 L, CAPACIDADE DE MISTURA 360 L, MOTOR ELÉTRICO TRIFÁSICO POTÊNCIA DE 4 CV, SEM CARREGADOR - CHP DIURNO. AF_05/2023​ (CHP)</t>
          </r>
        </is>
      </c>
      <c r="B256" s="19" t="inlineStr"/>
      <c r="C256" s="19" t="inlineStr"/>
      <c r="D256" s="19" t="inlineStr"/>
      <c r="E256" s="19" t="inlineStr"/>
      <c r="F256" s="19" t="inlineStr"/>
      <c r="G256" s="19" t="inlineStr"/>
    </row>
    <row r="257" customHeight="1" ht="15">
      <c r="A257" s="20" t="inlineStr">
        <is>
          <r>
            <t xml:space="preserve">Serviço</t>
          </r>
        </is>
      </c>
      <c r="B257" s="20" t="inlineStr"/>
      <c r="C257" s="21" t="inlineStr">
        <is>
          <r>
            <t xml:space="preserve">FONTE</t>
          </r>
        </is>
      </c>
      <c r="D257" s="21" t="inlineStr">
        <is>
          <r>
            <t xml:space="preserve">UNID</t>
          </r>
        </is>
      </c>
      <c r="E257" s="21" t="inlineStr">
        <is>
          <r>
            <t xml:space="preserve">COEFICIENTE</t>
          </r>
        </is>
      </c>
      <c r="F257" s="21" t="inlineStr">
        <is>
          <r>
            <t xml:space="preserve">PREÇO UNITÁRIO</t>
          </r>
        </is>
      </c>
      <c r="G257" s="21" t="inlineStr">
        <is>
          <r>
            <t xml:space="preserve">TOTAL</t>
          </r>
        </is>
      </c>
    </row>
    <row r="258" customHeight="1" ht="38">
      <c r="A258" s="22" t="inlineStr">
        <is>
          <r>
            <t xml:space="preserve">89221</t>
          </r>
        </is>
      </c>
      <c r="B258" s="23" t="inlineStr">
        <is>
          <r>
            <t xml:space="preserve">BETONEIRA CAPACIDADE NOMINAL DE 600 L, CAPACIDADE DE MISTURA 360 L, MOTOR ELÉTRICO TRIFÁSICO POTÊNCIA DE 4 CV, SEM CARREGADOR - DEPRECIAÇÃO. AF_05/2023</t>
          </r>
        </is>
      </c>
      <c r="C258" s="22" t="inlineStr">
        <is>
          <r>
            <t xml:space="preserve">SINAPI</t>
          </r>
        </is>
      </c>
      <c r="D258" s="22" t="inlineStr">
        <is>
          <r>
            <t xml:space="preserve">H</t>
          </r>
        </is>
      </c>
      <c r="E258" s="24" t="n">
        <v>1.0</v>
      </c>
      <c r="F258" s="25" t="n">
        <v>1.27</v>
      </c>
      <c r="G258" s="25" t="n">
        <f>TRUNC(TRUNC(E258,8)*F258,2)</f>
        <v>1.27</v>
      </c>
    </row>
    <row r="259" customHeight="1" ht="38">
      <c r="A259" s="22" t="inlineStr">
        <is>
          <r>
            <t xml:space="preserve">89222</t>
          </r>
        </is>
      </c>
      <c r="B259" s="23" t="inlineStr">
        <is>
          <r>
            <t xml:space="preserve">BETONEIRA CAPACIDADE NOMINAL DE 600 L, CAPACIDADE DE MISTURA 360 L, MOTOR ELÉTRICO TRIFÁSICO POTÊNCIA DE 4 CV, SEM CARREGADOR - JUROS. AF_05/2023</t>
          </r>
        </is>
      </c>
      <c r="C259" s="22" t="inlineStr">
        <is>
          <r>
            <t xml:space="preserve">SINAPI</t>
          </r>
        </is>
      </c>
      <c r="D259" s="22" t="inlineStr">
        <is>
          <r>
            <t xml:space="preserve">H</t>
          </r>
        </is>
      </c>
      <c r="E259" s="24" t="n">
        <v>1.0</v>
      </c>
      <c r="F259" s="25" t="n">
        <v>0.29</v>
      </c>
      <c r="G259" s="25" t="n">
        <f>TRUNC(TRUNC(E259,8)*F259,2)</f>
        <v>0.29</v>
      </c>
    </row>
    <row r="260" customHeight="1" ht="38">
      <c r="A260" s="22" t="inlineStr">
        <is>
          <r>
            <t xml:space="preserve">89223</t>
          </r>
        </is>
      </c>
      <c r="B260" s="23" t="inlineStr">
        <is>
          <r>
            <t xml:space="preserve">BETONEIRA CAPACIDADE NOMINAL DE 600 L, CAPACIDADE DE MISTURA 360 L, MOTOR ELÉTRICO TRIFÁSICO POTÊNCIA DE 4 CV, SEM CARREGADOR - MANUTENÇÃO. AF_05/2023</t>
          </r>
        </is>
      </c>
      <c r="C260" s="22" t="inlineStr">
        <is>
          <r>
            <t xml:space="preserve">SINAPI</t>
          </r>
        </is>
      </c>
      <c r="D260" s="22" t="inlineStr">
        <is>
          <r>
            <t xml:space="preserve">H</t>
          </r>
        </is>
      </c>
      <c r="E260" s="24" t="n">
        <v>1.0</v>
      </c>
      <c r="F260" s="25" t="n">
        <v>1.39</v>
      </c>
      <c r="G260" s="25" t="n">
        <f>TRUNC(TRUNC(E260,8)*F260,2)</f>
        <v>1.39</v>
      </c>
    </row>
    <row r="261" customHeight="1" ht="38">
      <c r="A261" s="22" t="inlineStr">
        <is>
          <r>
            <t xml:space="preserve">89224</t>
          </r>
        </is>
      </c>
      <c r="B261" s="23" t="inlineStr">
        <is>
          <r>
            <t xml:space="preserve">BETONEIRA CAPACIDADE NOMINAL DE 600 L, CAPACIDADE DE MISTURA 360 L, MOTOR ELÉTRICO TRIFÁSICO POTÊNCIA DE 4 CV, SEM CARREGADOR - MATERIAIS NA OPERAÇÃO. AF_05/2023</t>
          </r>
        </is>
      </c>
      <c r="C261" s="22" t="inlineStr">
        <is>
          <r>
            <t xml:space="preserve">SINAPI</t>
          </r>
        </is>
      </c>
      <c r="D261" s="22" t="inlineStr">
        <is>
          <r>
            <t xml:space="preserve">H</t>
          </r>
        </is>
      </c>
      <c r="E261" s="24" t="n">
        <v>1.0</v>
      </c>
      <c r="F261" s="25" t="n">
        <v>2.55</v>
      </c>
      <c r="G261" s="25" t="n">
        <f>TRUNC(TRUNC(E261,8)*F261,2)</f>
        <v>2.55</v>
      </c>
    </row>
    <row r="262" customHeight="1" ht="15">
      <c r="A262" s="2" t="inlineStr"/>
      <c r="B262" s="2" t="inlineStr"/>
      <c r="C262" s="2" t="inlineStr"/>
      <c r="D262" s="2" t="inlineStr"/>
      <c r="E262" s="26" t="inlineStr">
        <is>
          <r>
            <t xml:space="preserve">TOTAL Serviço:</t>
          </r>
        </is>
      </c>
      <c r="F262" s="26" t="inlineStr"/>
      <c r="G262" s="27" t="n">
        <f>SUM(G258:G261)</f>
        <v>5.5</v>
      </c>
    </row>
    <row r="263" customHeight="1" ht="15">
      <c r="A263" s="2" t="inlineStr"/>
      <c r="B263" s="2" t="inlineStr"/>
      <c r="C263" s="2" t="inlineStr"/>
      <c r="D263" s="2" t="inlineStr"/>
      <c r="E263" s="28" t="inlineStr">
        <is>
          <r>
            <t xml:space="preserve">VALOR:</t>
          </r>
        </is>
      </c>
      <c r="F263" s="28" t="inlineStr"/>
      <c r="G263" s="29" t="n">
        <f>ROUND(SUM(G262),2)</f>
        <v>5.5</v>
      </c>
    </row>
    <row r="264" customHeight="1" ht="15">
      <c r="A264" s="2" t="inlineStr"/>
      <c r="B264" s="2" t="inlineStr"/>
      <c r="C264" s="2" t="inlineStr"/>
      <c r="D264" s="2" t="inlineStr"/>
      <c r="E264" s="28" t="inlineStr">
        <is>
          <r>
            <t xml:space="preserve">VALOR BDI:</t>
          </r>
        </is>
      </c>
      <c r="F264" s="28" t="inlineStr"/>
      <c r="G264" s="29" t="n">
        <f>ROUND(G263*(0/100),2)</f>
        <v>0.0</v>
      </c>
    </row>
    <row r="265" customHeight="1" ht="15">
      <c r="A265" s="2" t="inlineStr"/>
      <c r="B265" s="2" t="inlineStr"/>
      <c r="C265" s="2" t="inlineStr"/>
      <c r="D265" s="2" t="inlineStr"/>
      <c r="E265" s="28" t="inlineStr">
        <is>
          <r>
            <t xml:space="preserve">VALOR COM BDI:</t>
          </r>
        </is>
      </c>
      <c r="F265" s="28" t="inlineStr"/>
      <c r="G265" s="29" t="n">
        <f>G264+G263</f>
        <v>5.5</v>
      </c>
    </row>
    <row r="266" customHeight="1" ht="10">
      <c r="A266" s="2" t="inlineStr"/>
      <c r="B266" s="2" t="inlineStr"/>
      <c r="C266" s="2" t="inlineStr"/>
      <c r="D266" s="2" t="inlineStr"/>
      <c r="E266" s="18" t="inlineStr"/>
      <c r="F266" s="18" t="inlineStr"/>
      <c r="G266" s="18" t="inlineStr"/>
    </row>
    <row r="267" customHeight="1" ht="20">
      <c r="A267" s="19" t="inlineStr">
        <is>
          <r>
            <t xml:space="preserve">​89221​ BETONEIRA CAPACIDADE NOMINAL DE 600 L, CAPACIDADE DE MISTURA 360 L, MOTOR ELÉTRICO TRIFÁSICO POTÊNCIA DE 4 CV, SEM CARREGADOR - DEPRECIAÇÃO. AF_05/2023​ (H)</t>
          </r>
        </is>
      </c>
      <c r="B267" s="19" t="inlineStr"/>
      <c r="C267" s="19" t="inlineStr"/>
      <c r="D267" s="19" t="inlineStr"/>
      <c r="E267" s="19" t="inlineStr"/>
      <c r="F267" s="19" t="inlineStr"/>
      <c r="G267" s="19" t="inlineStr"/>
    </row>
    <row r="268" customHeight="1" ht="15">
      <c r="A268" s="20" t="inlineStr">
        <is>
          <r>
            <t xml:space="preserve">Equipamento</t>
          </r>
        </is>
      </c>
      <c r="B268" s="20" t="inlineStr"/>
      <c r="C268" s="21" t="inlineStr">
        <is>
          <r>
            <t xml:space="preserve">FONTE</t>
          </r>
        </is>
      </c>
      <c r="D268" s="21" t="inlineStr">
        <is>
          <r>
            <t xml:space="preserve">UNID</t>
          </r>
        </is>
      </c>
      <c r="E268" s="21" t="inlineStr">
        <is>
          <r>
            <t xml:space="preserve">COEFICIENTE</t>
          </r>
        </is>
      </c>
      <c r="F268" s="21" t="inlineStr">
        <is>
          <r>
            <t xml:space="preserve">PREÇO UNITÁRIO</t>
          </r>
        </is>
      </c>
      <c r="G268" s="21" t="inlineStr">
        <is>
          <r>
            <t xml:space="preserve">TOTAL</t>
          </r>
        </is>
      </c>
    </row>
    <row r="269" customHeight="1" ht="29">
      <c r="A269" s="22" t="inlineStr">
        <is>
          <r>
            <t xml:space="preserve">00036397</t>
          </r>
        </is>
      </c>
      <c r="B269" s="23" t="inlineStr">
        <is>
          <r>
            <t xml:space="preserve">BETONEIRA, CAPACIDADE NOMINAL 600 L, CAPACIDADE DE MISTURA 360 L, MOTOR ELETRICO TRIFASICO 220/380V, POTENCIA 4CV, SEM CARREGADOR</t>
          </r>
        </is>
      </c>
      <c r="C269" s="22" t="inlineStr">
        <is>
          <r>
            <t xml:space="preserve">SINAPI</t>
          </r>
        </is>
      </c>
      <c r="D269" s="22" t="inlineStr">
        <is>
          <r>
            <t xml:space="preserve">UN</t>
          </r>
        </is>
      </c>
      <c r="E269" s="24" t="n">
        <v>6.4E-5</v>
      </c>
      <c r="F269" s="25" t="n">
        <v>19989.47</v>
      </c>
      <c r="G269" s="25" t="n">
        <f>TRUNC(TRUNC(E269,8)*F269,2)</f>
        <v>1.27</v>
      </c>
    </row>
    <row r="270" customHeight="1" ht="15">
      <c r="A270" s="2" t="inlineStr"/>
      <c r="B270" s="2" t="inlineStr"/>
      <c r="C270" s="2" t="inlineStr"/>
      <c r="D270" s="2" t="inlineStr"/>
      <c r="E270" s="26" t="inlineStr">
        <is>
          <r>
            <t xml:space="preserve">TOTAL Equipamento:</t>
          </r>
        </is>
      </c>
      <c r="F270" s="26" t="inlineStr"/>
      <c r="G270" s="27" t="n">
        <f>SUM(G269:G269)</f>
        <v>1.27</v>
      </c>
    </row>
    <row r="271" customHeight="1" ht="15">
      <c r="A271" s="2" t="inlineStr"/>
      <c r="B271" s="2" t="inlineStr"/>
      <c r="C271" s="2" t="inlineStr"/>
      <c r="D271" s="2" t="inlineStr"/>
      <c r="E271" s="28" t="inlineStr">
        <is>
          <r>
            <t xml:space="preserve">VALOR:</t>
          </r>
        </is>
      </c>
      <c r="F271" s="28" t="inlineStr"/>
      <c r="G271" s="29" t="n">
        <f>ROUND(SUM(G270),2)</f>
        <v>1.27</v>
      </c>
    </row>
    <row r="272" customHeight="1" ht="15">
      <c r="A272" s="2" t="inlineStr"/>
      <c r="B272" s="2" t="inlineStr"/>
      <c r="C272" s="2" t="inlineStr"/>
      <c r="D272" s="2" t="inlineStr"/>
      <c r="E272" s="28" t="inlineStr">
        <is>
          <r>
            <t xml:space="preserve">VALOR BDI:</t>
          </r>
        </is>
      </c>
      <c r="F272" s="28" t="inlineStr"/>
      <c r="G272" s="29" t="n">
        <f>ROUND(G271*(0/100),2)</f>
        <v>0.0</v>
      </c>
    </row>
    <row r="273" customHeight="1" ht="15">
      <c r="A273" s="2" t="inlineStr"/>
      <c r="B273" s="2" t="inlineStr"/>
      <c r="C273" s="2" t="inlineStr"/>
      <c r="D273" s="2" t="inlineStr"/>
      <c r="E273" s="28" t="inlineStr">
        <is>
          <r>
            <t xml:space="preserve">VALOR COM BDI:</t>
          </r>
        </is>
      </c>
      <c r="F273" s="28" t="inlineStr"/>
      <c r="G273" s="29" t="n">
        <f>G272+G271</f>
        <v>1.27</v>
      </c>
    </row>
    <row r="274" customHeight="1" ht="10">
      <c r="A274" s="2" t="inlineStr"/>
      <c r="B274" s="2" t="inlineStr"/>
      <c r="C274" s="2" t="inlineStr"/>
      <c r="D274" s="2" t="inlineStr"/>
      <c r="E274" s="18" t="inlineStr"/>
      <c r="F274" s="18" t="inlineStr"/>
      <c r="G274" s="18" t="inlineStr"/>
    </row>
    <row r="275" customHeight="1" ht="20">
      <c r="A275" s="19" t="inlineStr">
        <is>
          <r>
            <t xml:space="preserve">​89222​ BETONEIRA CAPACIDADE NOMINAL DE 600 L, CAPACIDADE DE MISTURA 360 L, MOTOR ELÉTRICO TRIFÁSICO POTÊNCIA DE 4 CV, SEM CARREGADOR - JUROS. AF_05/2023​ (H)</t>
          </r>
        </is>
      </c>
      <c r="B275" s="19" t="inlineStr"/>
      <c r="C275" s="19" t="inlineStr"/>
      <c r="D275" s="19" t="inlineStr"/>
      <c r="E275" s="19" t="inlineStr"/>
      <c r="F275" s="19" t="inlineStr"/>
      <c r="G275" s="19" t="inlineStr"/>
    </row>
    <row r="276" customHeight="1" ht="15">
      <c r="A276" s="20" t="inlineStr">
        <is>
          <r>
            <t xml:space="preserve">Equipamento</t>
          </r>
        </is>
      </c>
      <c r="B276" s="20" t="inlineStr"/>
      <c r="C276" s="21" t="inlineStr">
        <is>
          <r>
            <t xml:space="preserve">FONTE</t>
          </r>
        </is>
      </c>
      <c r="D276" s="21" t="inlineStr">
        <is>
          <r>
            <t xml:space="preserve">UNID</t>
          </r>
        </is>
      </c>
      <c r="E276" s="21" t="inlineStr">
        <is>
          <r>
            <t xml:space="preserve">COEFICIENTE</t>
          </r>
        </is>
      </c>
      <c r="F276" s="21" t="inlineStr">
        <is>
          <r>
            <t xml:space="preserve">PREÇO UNITÁRIO</t>
          </r>
        </is>
      </c>
      <c r="G276" s="21" t="inlineStr">
        <is>
          <r>
            <t xml:space="preserve">TOTAL</t>
          </r>
        </is>
      </c>
    </row>
    <row r="277" customHeight="1" ht="29">
      <c r="A277" s="22" t="inlineStr">
        <is>
          <r>
            <t xml:space="preserve">00036397</t>
          </r>
        </is>
      </c>
      <c r="B277" s="23" t="inlineStr">
        <is>
          <r>
            <t xml:space="preserve">BETONEIRA, CAPACIDADE NOMINAL 600 L, CAPACIDADE DE MISTURA 360 L, MOTOR ELETRICO TRIFASICO 220/380V, POTENCIA 4CV, SEM CARREGADOR</t>
          </r>
        </is>
      </c>
      <c r="C277" s="22" t="inlineStr">
        <is>
          <r>
            <t xml:space="preserve">SINAPI</t>
          </r>
        </is>
      </c>
      <c r="D277" s="22" t="inlineStr">
        <is>
          <r>
            <t xml:space="preserve">UN</t>
          </r>
        </is>
      </c>
      <c r="E277" s="24" t="n">
        <v>1.48E-5</v>
      </c>
      <c r="F277" s="25" t="n">
        <v>19989.47</v>
      </c>
      <c r="G277" s="25" t="n">
        <f>TRUNC(TRUNC(E277,8)*F277,2)</f>
        <v>0.29</v>
      </c>
    </row>
    <row r="278" customHeight="1" ht="15">
      <c r="A278" s="2" t="inlineStr"/>
      <c r="B278" s="2" t="inlineStr"/>
      <c r="C278" s="2" t="inlineStr"/>
      <c r="D278" s="2" t="inlineStr"/>
      <c r="E278" s="26" t="inlineStr">
        <is>
          <r>
            <t xml:space="preserve">TOTAL Equipamento:</t>
          </r>
        </is>
      </c>
      <c r="F278" s="26" t="inlineStr"/>
      <c r="G278" s="27" t="n">
        <f>SUM(G277:G277)</f>
        <v>0.29</v>
      </c>
    </row>
    <row r="279" customHeight="1" ht="15">
      <c r="A279" s="2" t="inlineStr"/>
      <c r="B279" s="2" t="inlineStr"/>
      <c r="C279" s="2" t="inlineStr"/>
      <c r="D279" s="2" t="inlineStr"/>
      <c r="E279" s="28" t="inlineStr">
        <is>
          <r>
            <t xml:space="preserve">VALOR:</t>
          </r>
        </is>
      </c>
      <c r="F279" s="28" t="inlineStr"/>
      <c r="G279" s="29" t="n">
        <f>ROUND(SUM(G278),2)</f>
        <v>0.29</v>
      </c>
    </row>
    <row r="280" customHeight="1" ht="15">
      <c r="A280" s="2" t="inlineStr"/>
      <c r="B280" s="2" t="inlineStr"/>
      <c r="C280" s="2" t="inlineStr"/>
      <c r="D280" s="2" t="inlineStr"/>
      <c r="E280" s="28" t="inlineStr">
        <is>
          <r>
            <t xml:space="preserve">VALOR BDI:</t>
          </r>
        </is>
      </c>
      <c r="F280" s="28" t="inlineStr"/>
      <c r="G280" s="29" t="n">
        <f>ROUND(G279*(0/100),2)</f>
        <v>0.0</v>
      </c>
    </row>
    <row r="281" customHeight="1" ht="15">
      <c r="A281" s="2" t="inlineStr"/>
      <c r="B281" s="2" t="inlineStr"/>
      <c r="C281" s="2" t="inlineStr"/>
      <c r="D281" s="2" t="inlineStr"/>
      <c r="E281" s="28" t="inlineStr">
        <is>
          <r>
            <t xml:space="preserve">VALOR COM BDI:</t>
          </r>
        </is>
      </c>
      <c r="F281" s="28" t="inlineStr"/>
      <c r="G281" s="29" t="n">
        <f>G280+G279</f>
        <v>0.29</v>
      </c>
    </row>
    <row r="282" customHeight="1" ht="10">
      <c r="A282" s="2" t="inlineStr"/>
      <c r="B282" s="2" t="inlineStr"/>
      <c r="C282" s="2" t="inlineStr"/>
      <c r="D282" s="2" t="inlineStr"/>
      <c r="E282" s="18" t="inlineStr"/>
      <c r="F282" s="18" t="inlineStr"/>
      <c r="G282" s="18" t="inlineStr"/>
    </row>
    <row r="283" customHeight="1" ht="20">
      <c r="A283" s="19" t="inlineStr">
        <is>
          <r>
            <t xml:space="preserve">​89223​ BETONEIRA CAPACIDADE NOMINAL DE 600 L, CAPACIDADE DE MISTURA 360 L, MOTOR ELÉTRICO TRIFÁSICO POTÊNCIA DE 4 CV, SEM CARREGADOR - MANUTENÇÃO. AF_05/2023​ (H)</t>
          </r>
        </is>
      </c>
      <c r="B283" s="19" t="inlineStr"/>
      <c r="C283" s="19" t="inlineStr"/>
      <c r="D283" s="19" t="inlineStr"/>
      <c r="E283" s="19" t="inlineStr"/>
      <c r="F283" s="19" t="inlineStr"/>
      <c r="G283" s="19" t="inlineStr"/>
    </row>
    <row r="284" customHeight="1" ht="15">
      <c r="A284" s="20" t="inlineStr">
        <is>
          <r>
            <t xml:space="preserve">Equipamento</t>
          </r>
        </is>
      </c>
      <c r="B284" s="20" t="inlineStr"/>
      <c r="C284" s="21" t="inlineStr">
        <is>
          <r>
            <t xml:space="preserve">FONTE</t>
          </r>
        </is>
      </c>
      <c r="D284" s="21" t="inlineStr">
        <is>
          <r>
            <t xml:space="preserve">UNID</t>
          </r>
        </is>
      </c>
      <c r="E284" s="21" t="inlineStr">
        <is>
          <r>
            <t xml:space="preserve">COEFICIENTE</t>
          </r>
        </is>
      </c>
      <c r="F284" s="21" t="inlineStr">
        <is>
          <r>
            <t xml:space="preserve">PREÇO UNITÁRIO</t>
          </r>
        </is>
      </c>
      <c r="G284" s="21" t="inlineStr">
        <is>
          <r>
            <t xml:space="preserve">TOTAL</t>
          </r>
        </is>
      </c>
    </row>
    <row r="285" customHeight="1" ht="29">
      <c r="A285" s="22" t="inlineStr">
        <is>
          <r>
            <t xml:space="preserve">00036397</t>
          </r>
        </is>
      </c>
      <c r="B285" s="23" t="inlineStr">
        <is>
          <r>
            <t xml:space="preserve">BETONEIRA, CAPACIDADE NOMINAL 600 L, CAPACIDADE DE MISTURA 360 L, MOTOR ELETRICO TRIFASICO 220/380V, POTENCIA 4CV, SEM CARREGADOR</t>
          </r>
        </is>
      </c>
      <c r="C285" s="22" t="inlineStr">
        <is>
          <r>
            <t xml:space="preserve">SINAPI</t>
          </r>
        </is>
      </c>
      <c r="D285" s="22" t="inlineStr">
        <is>
          <r>
            <t xml:space="preserve">UN</t>
          </r>
        </is>
      </c>
      <c r="E285" s="24" t="n">
        <v>7.0E-5</v>
      </c>
      <c r="F285" s="25" t="n">
        <v>19989.47</v>
      </c>
      <c r="G285" s="25" t="n">
        <f>TRUNC(TRUNC(E285,8)*F285,2)</f>
        <v>1.39</v>
      </c>
    </row>
    <row r="286" customHeight="1" ht="15">
      <c r="A286" s="2" t="inlineStr"/>
      <c r="B286" s="2" t="inlineStr"/>
      <c r="C286" s="2" t="inlineStr"/>
      <c r="D286" s="2" t="inlineStr"/>
      <c r="E286" s="26" t="inlineStr">
        <is>
          <r>
            <t xml:space="preserve">TOTAL Equipamento:</t>
          </r>
        </is>
      </c>
      <c r="F286" s="26" t="inlineStr"/>
      <c r="G286" s="27" t="n">
        <f>SUM(G285:G285)</f>
        <v>1.39</v>
      </c>
    </row>
    <row r="287" customHeight="1" ht="15">
      <c r="A287" s="2" t="inlineStr"/>
      <c r="B287" s="2" t="inlineStr"/>
      <c r="C287" s="2" t="inlineStr"/>
      <c r="D287" s="2" t="inlineStr"/>
      <c r="E287" s="28" t="inlineStr">
        <is>
          <r>
            <t xml:space="preserve">VALOR:</t>
          </r>
        </is>
      </c>
      <c r="F287" s="28" t="inlineStr"/>
      <c r="G287" s="29" t="n">
        <f>ROUND(SUM(G286),2)</f>
        <v>1.39</v>
      </c>
    </row>
    <row r="288" customHeight="1" ht="15">
      <c r="A288" s="2" t="inlineStr"/>
      <c r="B288" s="2" t="inlineStr"/>
      <c r="C288" s="2" t="inlineStr"/>
      <c r="D288" s="2" t="inlineStr"/>
      <c r="E288" s="28" t="inlineStr">
        <is>
          <r>
            <t xml:space="preserve">VALOR BDI:</t>
          </r>
        </is>
      </c>
      <c r="F288" s="28" t="inlineStr"/>
      <c r="G288" s="29" t="n">
        <f>ROUND(G287*(0/100),2)</f>
        <v>0.0</v>
      </c>
    </row>
    <row r="289" customHeight="1" ht="15">
      <c r="A289" s="2" t="inlineStr"/>
      <c r="B289" s="2" t="inlineStr"/>
      <c r="C289" s="2" t="inlineStr"/>
      <c r="D289" s="2" t="inlineStr"/>
      <c r="E289" s="28" t="inlineStr">
        <is>
          <r>
            <t xml:space="preserve">VALOR COM BDI:</t>
          </r>
        </is>
      </c>
      <c r="F289" s="28" t="inlineStr"/>
      <c r="G289" s="29" t="n">
        <f>G288+G287</f>
        <v>1.39</v>
      </c>
    </row>
    <row r="290" customHeight="1" ht="10">
      <c r="A290" s="2" t="inlineStr"/>
      <c r="B290" s="2" t="inlineStr"/>
      <c r="C290" s="2" t="inlineStr"/>
      <c r="D290" s="2" t="inlineStr"/>
      <c r="E290" s="18" t="inlineStr"/>
      <c r="F290" s="18" t="inlineStr"/>
      <c r="G290" s="18" t="inlineStr"/>
    </row>
    <row r="291" customHeight="1" ht="20">
      <c r="A291" s="19" t="inlineStr">
        <is>
          <r>
            <t xml:space="preserve">​89224​ BETONEIRA CAPACIDADE NOMINAL DE 600 L, CAPACIDADE DE MISTURA 360 L, MOTOR ELÉTRICO TRIFÁSICO POTÊNCIA DE 4 CV, SEM CARREGADOR - MATERIAIS NA OPERAÇÃO. AF_05/2023​ (H)</t>
          </r>
        </is>
      </c>
      <c r="B291" s="19" t="inlineStr"/>
      <c r="C291" s="19" t="inlineStr"/>
      <c r="D291" s="19" t="inlineStr"/>
      <c r="E291" s="19" t="inlineStr"/>
      <c r="F291" s="19" t="inlineStr"/>
      <c r="G291" s="19" t="inlineStr"/>
    </row>
    <row r="292" customHeight="1" ht="15">
      <c r="A292" s="20" t="inlineStr">
        <is>
          <r>
            <t xml:space="preserve">Especiais</t>
          </r>
        </is>
      </c>
      <c r="B292" s="20" t="inlineStr"/>
      <c r="C292" s="21" t="inlineStr">
        <is>
          <r>
            <t xml:space="preserve">FONTE</t>
          </r>
        </is>
      </c>
      <c r="D292" s="21" t="inlineStr">
        <is>
          <r>
            <t xml:space="preserve">UNID</t>
          </r>
        </is>
      </c>
      <c r="E292" s="21" t="inlineStr">
        <is>
          <r>
            <t xml:space="preserve">COEFICIENTE</t>
          </r>
        </is>
      </c>
      <c r="F292" s="21" t="inlineStr">
        <is>
          <r>
            <t xml:space="preserve">PREÇO UNITÁRIO</t>
          </r>
        </is>
      </c>
      <c r="G292" s="21" t="inlineStr">
        <is>
          <r>
            <t xml:space="preserve">TOTAL</t>
          </r>
        </is>
      </c>
    </row>
    <row r="293" customHeight="1" ht="21">
      <c r="A293" s="22" t="inlineStr">
        <is>
          <r>
            <t xml:space="preserve">00002705</t>
          </r>
        </is>
      </c>
      <c r="B293" s="23" t="inlineStr">
        <is>
          <r>
            <t xml:space="preserve">ENERGIA ELETRICA ATE 2000 KWH INDUSTRIAL, SEM DEMANDA</t>
          </r>
        </is>
      </c>
      <c r="C293" s="22" t="inlineStr">
        <is>
          <r>
            <t xml:space="preserve">SINAPI</t>
          </r>
        </is>
      </c>
      <c r="D293" s="22" t="inlineStr">
        <is>
          <r>
            <t xml:space="preserve">KWH</t>
          </r>
        </is>
      </c>
      <c r="E293" s="24" t="n">
        <v>2.5</v>
      </c>
      <c r="F293" s="25" t="n">
        <v>1.02</v>
      </c>
      <c r="G293" s="25" t="n">
        <f>TRUNC(TRUNC(E293,8)*F293,2)</f>
        <v>2.55</v>
      </c>
    </row>
    <row r="294" customHeight="1" ht="15">
      <c r="A294" s="2" t="inlineStr"/>
      <c r="B294" s="2" t="inlineStr"/>
      <c r="C294" s="2" t="inlineStr"/>
      <c r="D294" s="2" t="inlineStr"/>
      <c r="E294" s="26" t="inlineStr">
        <is>
          <r>
            <t xml:space="preserve">TOTAL Especiais:</t>
          </r>
        </is>
      </c>
      <c r="F294" s="26" t="inlineStr"/>
      <c r="G294" s="27" t="n">
        <f>SUM(G293:G293)</f>
        <v>2.55</v>
      </c>
    </row>
    <row r="295" customHeight="1" ht="15">
      <c r="A295" s="2" t="inlineStr"/>
      <c r="B295" s="2" t="inlineStr"/>
      <c r="C295" s="2" t="inlineStr"/>
      <c r="D295" s="2" t="inlineStr"/>
      <c r="E295" s="28" t="inlineStr">
        <is>
          <r>
            <t xml:space="preserve">VALOR:</t>
          </r>
        </is>
      </c>
      <c r="F295" s="28" t="inlineStr"/>
      <c r="G295" s="29" t="n">
        <f>ROUND(SUM(G294),2)</f>
        <v>2.55</v>
      </c>
    </row>
    <row r="296" customHeight="1" ht="15">
      <c r="A296" s="2" t="inlineStr"/>
      <c r="B296" s="2" t="inlineStr"/>
      <c r="C296" s="2" t="inlineStr"/>
      <c r="D296" s="2" t="inlineStr"/>
      <c r="E296" s="28" t="inlineStr">
        <is>
          <r>
            <t xml:space="preserve">VALOR BDI:</t>
          </r>
        </is>
      </c>
      <c r="F296" s="28" t="inlineStr"/>
      <c r="G296" s="29" t="n">
        <f>ROUND(G295*(0/100),2)</f>
        <v>0.0</v>
      </c>
    </row>
    <row r="297" customHeight="1" ht="15">
      <c r="A297" s="2" t="inlineStr"/>
      <c r="B297" s="2" t="inlineStr"/>
      <c r="C297" s="2" t="inlineStr"/>
      <c r="D297" s="2" t="inlineStr"/>
      <c r="E297" s="28" t="inlineStr">
        <is>
          <r>
            <t xml:space="preserve">VALOR COM BDI:</t>
          </r>
        </is>
      </c>
      <c r="F297" s="28" t="inlineStr"/>
      <c r="G297" s="29" t="n">
        <f>G296+G295</f>
        <v>2.55</v>
      </c>
    </row>
    <row r="298" customHeight="1" ht="10">
      <c r="A298" s="2" t="inlineStr"/>
      <c r="B298" s="2" t="inlineStr"/>
      <c r="C298" s="2" t="inlineStr"/>
      <c r="D298" s="2" t="inlineStr"/>
      <c r="E298" s="18" t="inlineStr"/>
      <c r="F298" s="18" t="inlineStr"/>
      <c r="G298" s="18" t="inlineStr"/>
    </row>
    <row r="299" customHeight="1" ht="20">
      <c r="A299" s="19" t="inlineStr">
        <is>
          <r>
            <t xml:space="preserve">​I0566​ BETONEIRA COM MOTOR A DIESEL (CHI)​ (H)</t>
          </r>
        </is>
      </c>
      <c r="B299" s="19" t="inlineStr"/>
      <c r="C299" s="19" t="inlineStr"/>
      <c r="D299" s="19" t="inlineStr"/>
      <c r="E299" s="19" t="inlineStr"/>
      <c r="F299" s="19" t="inlineStr"/>
      <c r="G299" s="19" t="inlineStr"/>
    </row>
    <row r="300" customHeight="1" ht="15">
      <c r="A300" s="20" t="inlineStr">
        <is>
          <r>
            <t xml:space="preserve">Geral</t>
          </r>
        </is>
      </c>
      <c r="B300" s="20" t="inlineStr"/>
      <c r="C300" s="21" t="inlineStr">
        <is>
          <r>
            <t xml:space="preserve">FONTE</t>
          </r>
        </is>
      </c>
      <c r="D300" s="21" t="inlineStr">
        <is>
          <r>
            <t xml:space="preserve">UNID</t>
          </r>
        </is>
      </c>
      <c r="E300" s="21" t="inlineStr">
        <is>
          <r>
            <t xml:space="preserve">COEFICIENTE</t>
          </r>
        </is>
      </c>
      <c r="F300" s="21" t="inlineStr">
        <is>
          <r>
            <t xml:space="preserve">PREÇO UNITÁRIO</t>
          </r>
        </is>
      </c>
      <c r="G300" s="21" t="inlineStr">
        <is>
          <r>
            <t xml:space="preserve">TOTAL</t>
          </r>
        </is>
      </c>
    </row>
    <row r="301" customHeight="1" ht="15">
      <c r="A301" s="22" t="inlineStr">
        <is>
          <r>
            <t xml:space="preserve">I2716</t>
          </r>
        </is>
      </c>
      <c r="B301" s="23" t="inlineStr">
        <is>
          <r>
            <t xml:space="preserve">MAO DE OBRA DE OPERAÇÃO BET.MOTOR DIESEL</t>
          </r>
        </is>
      </c>
      <c r="C301" s="22" t="inlineStr">
        <is>
          <r>
            <t xml:space="preserve">SEINFRA</t>
          </r>
        </is>
      </c>
      <c r="D301" s="22" t="inlineStr">
        <is>
          <r>
            <t xml:space="preserve">H</t>
          </r>
        </is>
      </c>
      <c r="E301" s="24" t="n">
        <v>1.0</v>
      </c>
      <c r="F301" s="30" t="n">
        <v>21.29</v>
      </c>
      <c r="G301" s="30" t="n">
        <f>ROUND(ROUND(E301,8)*F301,4)</f>
        <v>21.29</v>
      </c>
    </row>
    <row r="302" customHeight="1" ht="15">
      <c r="A302" s="22" t="inlineStr">
        <is>
          <r>
            <t xml:space="preserve">I2701</t>
          </r>
        </is>
      </c>
      <c r="B302" s="23" t="inlineStr">
        <is>
          <r>
            <t xml:space="preserve">DEPRECIAÇÃO</t>
          </r>
        </is>
      </c>
      <c r="C302" s="22" t="inlineStr">
        <is>
          <r>
            <t xml:space="preserve">SEINFRA</t>
          </r>
        </is>
      </c>
      <c r="D302" s="22" t="inlineStr">
        <is>
          <r>
            <t xml:space="preserve">H</t>
          </r>
        </is>
      </c>
      <c r="E302" s="24" t="n">
        <v>1.2779</v>
      </c>
      <c r="F302" s="30" t="n">
        <v>1.0</v>
      </c>
      <c r="G302" s="30" t="n">
        <f>ROUND(ROUND(E302,8)*F302,4)</f>
        <v>1.2779</v>
      </c>
    </row>
    <row r="303" customHeight="1" ht="15">
      <c r="A303" s="22" t="inlineStr">
        <is>
          <r>
            <t xml:space="preserve">I2702</t>
          </r>
        </is>
      </c>
      <c r="B303" s="23" t="inlineStr">
        <is>
          <r>
            <t xml:space="preserve">JUROS</t>
          </r>
        </is>
      </c>
      <c r="C303" s="22" t="inlineStr">
        <is>
          <r>
            <t xml:space="preserve">SEINFRA</t>
          </r>
        </is>
      </c>
      <c r="D303" s="22" t="inlineStr">
        <is>
          <r>
            <t xml:space="preserve">H</t>
          </r>
        </is>
      </c>
      <c r="E303" s="24" t="n">
        <v>0.2421</v>
      </c>
      <c r="F303" s="30" t="n">
        <v>1.0</v>
      </c>
      <c r="G303" s="30" t="n">
        <f>ROUND(ROUND(E303,8)*F303,4)</f>
        <v>0.2421</v>
      </c>
    </row>
    <row r="304" customHeight="1" ht="15">
      <c r="A304" s="2" t="inlineStr"/>
      <c r="B304" s="2" t="inlineStr"/>
      <c r="C304" s="2" t="inlineStr"/>
      <c r="D304" s="2" t="inlineStr"/>
      <c r="E304" s="26" t="inlineStr">
        <is>
          <r>
            <t xml:space="preserve">TOTAL Geral:</t>
          </r>
        </is>
      </c>
      <c r="F304" s="26" t="inlineStr"/>
      <c r="G304" s="31" t="n">
        <f>SUM(G301:G303)</f>
        <v>22.81</v>
      </c>
    </row>
    <row r="305" customHeight="1" ht="15">
      <c r="A305" s="2" t="inlineStr"/>
      <c r="B305" s="2" t="inlineStr"/>
      <c r="C305" s="2" t="inlineStr"/>
      <c r="D305" s="2" t="inlineStr"/>
      <c r="E305" s="28" t="inlineStr">
        <is>
          <r>
            <t xml:space="preserve">VALOR:</t>
          </r>
        </is>
      </c>
      <c r="F305" s="28" t="inlineStr"/>
      <c r="G305" s="29" t="n">
        <f>ROUND(SUM(G304),2)</f>
        <v>22.81</v>
      </c>
    </row>
    <row r="306" customHeight="1" ht="15">
      <c r="A306" s="2" t="inlineStr"/>
      <c r="B306" s="2" t="inlineStr"/>
      <c r="C306" s="2" t="inlineStr"/>
      <c r="D306" s="2" t="inlineStr"/>
      <c r="E306" s="28" t="inlineStr">
        <is>
          <r>
            <t xml:space="preserve">VALOR BDI:</t>
          </r>
        </is>
      </c>
      <c r="F306" s="28" t="inlineStr"/>
      <c r="G306" s="29" t="n">
        <f>ROUND(G305*(0/100),2)</f>
        <v>0.0</v>
      </c>
    </row>
    <row r="307" customHeight="1" ht="15">
      <c r="A307" s="2" t="inlineStr"/>
      <c r="B307" s="2" t="inlineStr"/>
      <c r="C307" s="2" t="inlineStr"/>
      <c r="D307" s="2" t="inlineStr"/>
      <c r="E307" s="28" t="inlineStr">
        <is>
          <r>
            <t xml:space="preserve">VALOR COM BDI:</t>
          </r>
        </is>
      </c>
      <c r="F307" s="28" t="inlineStr"/>
      <c r="G307" s="29" t="n">
        <f>G306+G305</f>
        <v>22.81</v>
      </c>
    </row>
    <row r="308" customHeight="1" ht="10">
      <c r="A308" s="2" t="inlineStr"/>
      <c r="B308" s="2" t="inlineStr"/>
      <c r="C308" s="2" t="inlineStr"/>
      <c r="D308" s="2" t="inlineStr"/>
      <c r="E308" s="18" t="inlineStr"/>
      <c r="F308" s="18" t="inlineStr"/>
      <c r="G308" s="18" t="inlineStr"/>
    </row>
    <row r="309" customHeight="1" ht="20">
      <c r="A309" s="19" t="inlineStr">
        <is>
          <r>
            <t xml:space="preserve">​I0680​ BETONEIRA COM MOTOR A DIESEL (CHP)​ (H)</t>
          </r>
        </is>
      </c>
      <c r="B309" s="19" t="inlineStr"/>
      <c r="C309" s="19" t="inlineStr"/>
      <c r="D309" s="19" t="inlineStr"/>
      <c r="E309" s="19" t="inlineStr"/>
      <c r="F309" s="19" t="inlineStr"/>
      <c r="G309" s="19" t="inlineStr"/>
    </row>
    <row r="310" customHeight="1" ht="15">
      <c r="A310" s="20" t="inlineStr">
        <is>
          <r>
            <t xml:space="preserve">Geral</t>
          </r>
        </is>
      </c>
      <c r="B310" s="20" t="inlineStr"/>
      <c r="C310" s="21" t="inlineStr">
        <is>
          <r>
            <t xml:space="preserve">FONTE</t>
          </r>
        </is>
      </c>
      <c r="D310" s="21" t="inlineStr">
        <is>
          <r>
            <t xml:space="preserve">UNID</t>
          </r>
        </is>
      </c>
      <c r="E310" s="21" t="inlineStr">
        <is>
          <r>
            <t xml:space="preserve">COEFICIENTE</t>
          </r>
        </is>
      </c>
      <c r="F310" s="21" t="inlineStr">
        <is>
          <r>
            <t xml:space="preserve">PREÇO UNITÁRIO</t>
          </r>
        </is>
      </c>
      <c r="G310" s="21" t="inlineStr">
        <is>
          <r>
            <t xml:space="preserve">TOTAL</t>
          </r>
        </is>
      </c>
    </row>
    <row r="311" customHeight="1" ht="15">
      <c r="A311" s="22" t="inlineStr">
        <is>
          <r>
            <t xml:space="preserve">I2716</t>
          </r>
        </is>
      </c>
      <c r="B311" s="23" t="inlineStr">
        <is>
          <r>
            <t xml:space="preserve">MAO DE OBRA DE OPERAÇÃO BET.MOTOR DIESEL</t>
          </r>
        </is>
      </c>
      <c r="C311" s="22" t="inlineStr">
        <is>
          <r>
            <t xml:space="preserve">SEINFRA</t>
          </r>
        </is>
      </c>
      <c r="D311" s="22" t="inlineStr">
        <is>
          <r>
            <t xml:space="preserve">H</t>
          </r>
        </is>
      </c>
      <c r="E311" s="24" t="n">
        <v>1.0</v>
      </c>
      <c r="F311" s="30" t="n">
        <v>21.29</v>
      </c>
      <c r="G311" s="30" t="n">
        <f>ROUND(ROUND(E311,8)*F311,4)</f>
        <v>21.29</v>
      </c>
    </row>
    <row r="312" customHeight="1" ht="15">
      <c r="A312" s="22" t="inlineStr">
        <is>
          <r>
            <t xml:space="preserve">I2715</t>
          </r>
        </is>
      </c>
      <c r="B312" s="23" t="inlineStr">
        <is>
          <r>
            <t xml:space="preserve">MATERIAL DE OPERAÇÃO BET.MOTOR DIESEL</t>
          </r>
        </is>
      </c>
      <c r="C312" s="22" t="inlineStr">
        <is>
          <r>
            <t xml:space="preserve">SEINFRA</t>
          </r>
        </is>
      </c>
      <c r="D312" s="22" t="inlineStr">
        <is>
          <r>
            <t xml:space="preserve">H</t>
          </r>
        </is>
      </c>
      <c r="E312" s="24" t="n">
        <v>1.0</v>
      </c>
      <c r="F312" s="30" t="n">
        <v>5.6138</v>
      </c>
      <c r="G312" s="30" t="n">
        <f>ROUND(ROUND(E312,8)*F312,4)</f>
        <v>5.6138</v>
      </c>
    </row>
    <row r="313" customHeight="1" ht="15">
      <c r="A313" s="22" t="inlineStr">
        <is>
          <r>
            <t xml:space="preserve">I2701</t>
          </r>
        </is>
      </c>
      <c r="B313" s="23" t="inlineStr">
        <is>
          <r>
            <t xml:space="preserve">DEPRECIAÇÃO</t>
          </r>
        </is>
      </c>
      <c r="C313" s="22" t="inlineStr">
        <is>
          <r>
            <t xml:space="preserve">SEINFRA</t>
          </r>
        </is>
      </c>
      <c r="D313" s="22" t="inlineStr">
        <is>
          <r>
            <t xml:space="preserve">H</t>
          </r>
        </is>
      </c>
      <c r="E313" s="24" t="n">
        <v>1.2779</v>
      </c>
      <c r="F313" s="30" t="n">
        <v>1.0</v>
      </c>
      <c r="G313" s="30" t="n">
        <f>ROUND(ROUND(E313,8)*F313,4)</f>
        <v>1.2779</v>
      </c>
    </row>
    <row r="314" customHeight="1" ht="15">
      <c r="A314" s="22" t="inlineStr">
        <is>
          <r>
            <t xml:space="preserve">I2702</t>
          </r>
        </is>
      </c>
      <c r="B314" s="23" t="inlineStr">
        <is>
          <r>
            <t xml:space="preserve">JUROS</t>
          </r>
        </is>
      </c>
      <c r="C314" s="22" t="inlineStr">
        <is>
          <r>
            <t xml:space="preserve">SEINFRA</t>
          </r>
        </is>
      </c>
      <c r="D314" s="22" t="inlineStr">
        <is>
          <r>
            <t xml:space="preserve">H</t>
          </r>
        </is>
      </c>
      <c r="E314" s="24" t="n">
        <v>0.2421</v>
      </c>
      <c r="F314" s="30" t="n">
        <v>1.0</v>
      </c>
      <c r="G314" s="30" t="n">
        <f>ROUND(ROUND(E314,8)*F314,4)</f>
        <v>0.2421</v>
      </c>
    </row>
    <row r="315" customHeight="1" ht="15">
      <c r="A315" s="22" t="inlineStr">
        <is>
          <r>
            <t xml:space="preserve">I2703</t>
          </r>
        </is>
      </c>
      <c r="B315" s="23" t="inlineStr">
        <is>
          <r>
            <t xml:space="preserve">MANUTENÇÃO</t>
          </r>
        </is>
      </c>
      <c r="C315" s="22" t="inlineStr">
        <is>
          <r>
            <t xml:space="preserve">SEINFRA</t>
          </r>
        </is>
      </c>
      <c r="D315" s="22" t="inlineStr">
        <is>
          <r>
            <t xml:space="preserve">H</t>
          </r>
        </is>
      </c>
      <c r="E315" s="24" t="n">
        <v>0.6726</v>
      </c>
      <c r="F315" s="30" t="n">
        <v>1.0</v>
      </c>
      <c r="G315" s="30" t="n">
        <f>ROUND(ROUND(E315,8)*F315,4)</f>
        <v>0.6726</v>
      </c>
    </row>
    <row r="316" customHeight="1" ht="15">
      <c r="A316" s="2" t="inlineStr"/>
      <c r="B316" s="2" t="inlineStr"/>
      <c r="C316" s="2" t="inlineStr"/>
      <c r="D316" s="2" t="inlineStr"/>
      <c r="E316" s="26" t="inlineStr">
        <is>
          <r>
            <t xml:space="preserve">TOTAL Geral:</t>
          </r>
        </is>
      </c>
      <c r="F316" s="26" t="inlineStr"/>
      <c r="G316" s="31" t="n">
        <f>SUM(G311:G315)</f>
        <v>29.0964</v>
      </c>
    </row>
    <row r="317" customHeight="1" ht="15">
      <c r="A317" s="2" t="inlineStr"/>
      <c r="B317" s="2" t="inlineStr"/>
      <c r="C317" s="2" t="inlineStr"/>
      <c r="D317" s="2" t="inlineStr"/>
      <c r="E317" s="28" t="inlineStr">
        <is>
          <r>
            <t xml:space="preserve">VALOR:</t>
          </r>
        </is>
      </c>
      <c r="F317" s="28" t="inlineStr"/>
      <c r="G317" s="29" t="n">
        <f>ROUND(SUM(G316),2)</f>
        <v>29.1</v>
      </c>
    </row>
    <row r="318" customHeight="1" ht="15">
      <c r="A318" s="2" t="inlineStr"/>
      <c r="B318" s="2" t="inlineStr"/>
      <c r="C318" s="2" t="inlineStr"/>
      <c r="D318" s="2" t="inlineStr"/>
      <c r="E318" s="28" t="inlineStr">
        <is>
          <r>
            <t xml:space="preserve">VALOR BDI:</t>
          </r>
        </is>
      </c>
      <c r="F318" s="28" t="inlineStr"/>
      <c r="G318" s="29" t="n">
        <f>ROUND(G317*(0/100),2)</f>
        <v>0.0</v>
      </c>
    </row>
    <row r="319" customHeight="1" ht="15">
      <c r="A319" s="2" t="inlineStr"/>
      <c r="B319" s="2" t="inlineStr"/>
      <c r="C319" s="2" t="inlineStr"/>
      <c r="D319" s="2" t="inlineStr"/>
      <c r="E319" s="28" t="inlineStr">
        <is>
          <r>
            <t xml:space="preserve">VALOR COM BDI:</t>
          </r>
        </is>
      </c>
      <c r="F319" s="28" t="inlineStr"/>
      <c r="G319" s="29" t="n">
        <f>G318+G317</f>
        <v>29.1</v>
      </c>
    </row>
    <row r="320" customHeight="1" ht="10">
      <c r="A320" s="2" t="inlineStr"/>
      <c r="B320" s="2" t="inlineStr"/>
      <c r="C320" s="2" t="inlineStr"/>
      <c r="D320" s="2" t="inlineStr"/>
      <c r="E320" s="18" t="inlineStr"/>
      <c r="F320" s="18" t="inlineStr"/>
      <c r="G320" s="18" t="inlineStr"/>
    </row>
    <row r="321" customHeight="1" ht="20">
      <c r="A321" s="19" t="inlineStr">
        <is>
          <r>
            <t xml:space="preserve">​I0681​ BETONEIRA ELÉTRICA 320l (CHP)​ (H)</t>
          </r>
        </is>
      </c>
      <c r="B321" s="19" t="inlineStr"/>
      <c r="C321" s="19" t="inlineStr"/>
      <c r="D321" s="19" t="inlineStr"/>
      <c r="E321" s="19" t="inlineStr"/>
      <c r="F321" s="19" t="inlineStr"/>
      <c r="G321" s="19" t="inlineStr"/>
    </row>
    <row r="322" customHeight="1" ht="15">
      <c r="A322" s="20" t="inlineStr">
        <is>
          <r>
            <t xml:space="preserve">Geral</t>
          </r>
        </is>
      </c>
      <c r="B322" s="20" t="inlineStr"/>
      <c r="C322" s="21" t="inlineStr">
        <is>
          <r>
            <t xml:space="preserve">FONTE</t>
          </r>
        </is>
      </c>
      <c r="D322" s="21" t="inlineStr">
        <is>
          <r>
            <t xml:space="preserve">UNID</t>
          </r>
        </is>
      </c>
      <c r="E322" s="21" t="inlineStr">
        <is>
          <r>
            <t xml:space="preserve">COEFICIENTE</t>
          </r>
        </is>
      </c>
      <c r="F322" s="21" t="inlineStr">
        <is>
          <r>
            <t xml:space="preserve">PREÇO UNITÁRIO</t>
          </r>
        </is>
      </c>
      <c r="G322" s="21" t="inlineStr">
        <is>
          <r>
            <t xml:space="preserve">TOTAL</t>
          </r>
        </is>
      </c>
    </row>
    <row r="323" customHeight="1" ht="15">
      <c r="A323" s="22" t="inlineStr">
        <is>
          <r>
            <t xml:space="preserve">I2712</t>
          </r>
        </is>
      </c>
      <c r="B323" s="23" t="inlineStr">
        <is>
          <r>
            <t xml:space="preserve">MAO DE OBRA DE OPERAÇÃO BET.ELET.320L</t>
          </r>
        </is>
      </c>
      <c r="C323" s="22" t="inlineStr">
        <is>
          <r>
            <t xml:space="preserve">SEINFRA</t>
          </r>
        </is>
      </c>
      <c r="D323" s="22" t="inlineStr">
        <is>
          <r>
            <t xml:space="preserve">H</t>
          </r>
        </is>
      </c>
      <c r="E323" s="24" t="n">
        <v>1.0</v>
      </c>
      <c r="F323" s="30" t="n">
        <v>21.29</v>
      </c>
      <c r="G323" s="30" t="n">
        <f>ROUND(ROUND(E323,8)*F323,4)</f>
        <v>21.29</v>
      </c>
    </row>
    <row r="324" customHeight="1" ht="15">
      <c r="A324" s="22" t="inlineStr">
        <is>
          <r>
            <t xml:space="preserve">I2701</t>
          </r>
        </is>
      </c>
      <c r="B324" s="23" t="inlineStr">
        <is>
          <r>
            <t xml:space="preserve">DEPRECIAÇÃO</t>
          </r>
        </is>
      </c>
      <c r="C324" s="22" t="inlineStr">
        <is>
          <r>
            <t xml:space="preserve">SEINFRA</t>
          </r>
        </is>
      </c>
      <c r="D324" s="22" t="inlineStr">
        <is>
          <r>
            <t xml:space="preserve">H</t>
          </r>
        </is>
      </c>
      <c r="E324" s="24" t="n">
        <v>0.9591</v>
      </c>
      <c r="F324" s="30" t="n">
        <v>1.0</v>
      </c>
      <c r="G324" s="30" t="n">
        <f>ROUND(ROUND(E324,8)*F324,4)</f>
        <v>0.9591</v>
      </c>
    </row>
    <row r="325" customHeight="1" ht="15">
      <c r="A325" s="22" t="inlineStr">
        <is>
          <r>
            <t xml:space="preserve">I2702</t>
          </r>
        </is>
      </c>
      <c r="B325" s="23" t="inlineStr">
        <is>
          <r>
            <t xml:space="preserve">JUROS</t>
          </r>
        </is>
      </c>
      <c r="C325" s="22" t="inlineStr">
        <is>
          <r>
            <t xml:space="preserve">SEINFRA</t>
          </r>
        </is>
      </c>
      <c r="D325" s="22" t="inlineStr">
        <is>
          <r>
            <t xml:space="preserve">H</t>
          </r>
        </is>
      </c>
      <c r="E325" s="24" t="n">
        <v>0.1817</v>
      </c>
      <c r="F325" s="30" t="n">
        <v>1.0</v>
      </c>
      <c r="G325" s="30" t="n">
        <f>ROUND(ROUND(E325,8)*F325,4)</f>
        <v>0.1817</v>
      </c>
    </row>
    <row r="326" customHeight="1" ht="15">
      <c r="A326" s="22" t="inlineStr">
        <is>
          <r>
            <t xml:space="preserve">I2703</t>
          </r>
        </is>
      </c>
      <c r="B326" s="23" t="inlineStr">
        <is>
          <r>
            <t xml:space="preserve">MANUTENÇÃO</t>
          </r>
        </is>
      </c>
      <c r="C326" s="22" t="inlineStr">
        <is>
          <r>
            <t xml:space="preserve">SEINFRA</t>
          </r>
        </is>
      </c>
      <c r="D326" s="22" t="inlineStr">
        <is>
          <r>
            <t xml:space="preserve">H</t>
          </r>
        </is>
      </c>
      <c r="E326" s="24" t="n">
        <v>0.5048</v>
      </c>
      <c r="F326" s="30" t="n">
        <v>1.0</v>
      </c>
      <c r="G326" s="30" t="n">
        <f>ROUND(ROUND(E326,8)*F326,4)</f>
        <v>0.5048</v>
      </c>
    </row>
    <row r="327" customHeight="1" ht="15">
      <c r="A327" s="2" t="inlineStr"/>
      <c r="B327" s="2" t="inlineStr"/>
      <c r="C327" s="2" t="inlineStr"/>
      <c r="D327" s="2" t="inlineStr"/>
      <c r="E327" s="26" t="inlineStr">
        <is>
          <r>
            <t xml:space="preserve">TOTAL Geral:</t>
          </r>
        </is>
      </c>
      <c r="F327" s="26" t="inlineStr"/>
      <c r="G327" s="31" t="n">
        <f>SUM(G323:G326)</f>
        <v>22.9356</v>
      </c>
    </row>
    <row r="328" customHeight="1" ht="15">
      <c r="A328" s="2" t="inlineStr"/>
      <c r="B328" s="2" t="inlineStr"/>
      <c r="C328" s="2" t="inlineStr"/>
      <c r="D328" s="2" t="inlineStr"/>
      <c r="E328" s="28" t="inlineStr">
        <is>
          <r>
            <t xml:space="preserve">VALOR:</t>
          </r>
        </is>
      </c>
      <c r="F328" s="28" t="inlineStr"/>
      <c r="G328" s="29" t="n">
        <f>ROUND(SUM(G327),2)</f>
        <v>22.94</v>
      </c>
    </row>
    <row r="329" customHeight="1" ht="15">
      <c r="A329" s="2" t="inlineStr"/>
      <c r="B329" s="2" t="inlineStr"/>
      <c r="C329" s="2" t="inlineStr"/>
      <c r="D329" s="2" t="inlineStr"/>
      <c r="E329" s="28" t="inlineStr">
        <is>
          <r>
            <t xml:space="preserve">VALOR BDI:</t>
          </r>
        </is>
      </c>
      <c r="F329" s="28" t="inlineStr"/>
      <c r="G329" s="29" t="n">
        <f>ROUND(G328*(0/100),2)</f>
        <v>0.0</v>
      </c>
    </row>
    <row r="330" customHeight="1" ht="15">
      <c r="A330" s="2" t="inlineStr"/>
      <c r="B330" s="2" t="inlineStr"/>
      <c r="C330" s="2" t="inlineStr"/>
      <c r="D330" s="2" t="inlineStr"/>
      <c r="E330" s="28" t="inlineStr">
        <is>
          <r>
            <t xml:space="preserve">VALOR COM BDI:</t>
          </r>
        </is>
      </c>
      <c r="F330" s="28" t="inlineStr"/>
      <c r="G330" s="29" t="n">
        <f>G329+G328</f>
        <v>22.94</v>
      </c>
    </row>
    <row r="331" customHeight="1" ht="10">
      <c r="A331" s="2" t="inlineStr"/>
      <c r="B331" s="2" t="inlineStr"/>
      <c r="C331" s="2" t="inlineStr"/>
      <c r="D331" s="2" t="inlineStr"/>
      <c r="E331" s="18" t="inlineStr"/>
      <c r="F331" s="18" t="inlineStr"/>
      <c r="G331" s="18" t="inlineStr"/>
    </row>
    <row r="332" customHeight="1" ht="20">
      <c r="A332" s="19" t="inlineStr">
        <is>
          <r>
            <t xml:space="preserve">​I0682​ BETONEIRA ELÉTRICA 580L (CHP)​ (H)</t>
          </r>
        </is>
      </c>
      <c r="B332" s="19" t="inlineStr"/>
      <c r="C332" s="19" t="inlineStr"/>
      <c r="D332" s="19" t="inlineStr"/>
      <c r="E332" s="19" t="inlineStr"/>
      <c r="F332" s="19" t="inlineStr"/>
      <c r="G332" s="19" t="inlineStr"/>
    </row>
    <row r="333" customHeight="1" ht="15">
      <c r="A333" s="20" t="inlineStr">
        <is>
          <r>
            <t xml:space="preserve">Geral</t>
          </r>
        </is>
      </c>
      <c r="B333" s="20" t="inlineStr"/>
      <c r="C333" s="21" t="inlineStr">
        <is>
          <r>
            <t xml:space="preserve">FONTE</t>
          </r>
        </is>
      </c>
      <c r="D333" s="21" t="inlineStr">
        <is>
          <r>
            <t xml:space="preserve">UNID</t>
          </r>
        </is>
      </c>
      <c r="E333" s="21" t="inlineStr">
        <is>
          <r>
            <t xml:space="preserve">COEFICIENTE</t>
          </r>
        </is>
      </c>
      <c r="F333" s="21" t="inlineStr">
        <is>
          <r>
            <t xml:space="preserve">PREÇO UNITÁRIO</t>
          </r>
        </is>
      </c>
      <c r="G333" s="21" t="inlineStr">
        <is>
          <r>
            <t xml:space="preserve">TOTAL</t>
          </r>
        </is>
      </c>
    </row>
    <row r="334" customHeight="1" ht="15">
      <c r="A334" s="22" t="inlineStr">
        <is>
          <r>
            <t xml:space="preserve">I2714</t>
          </r>
        </is>
      </c>
      <c r="B334" s="23" t="inlineStr">
        <is>
          <r>
            <t xml:space="preserve">MAO DE OBRA DE OPERAÇÃO BET.ELET.580L</t>
          </r>
        </is>
      </c>
      <c r="C334" s="22" t="inlineStr">
        <is>
          <r>
            <t xml:space="preserve">SEINFRA</t>
          </r>
        </is>
      </c>
      <c r="D334" s="22" t="inlineStr">
        <is>
          <r>
            <t xml:space="preserve">H</t>
          </r>
        </is>
      </c>
      <c r="E334" s="24" t="n">
        <v>1.0</v>
      </c>
      <c r="F334" s="30" t="n">
        <v>21.29</v>
      </c>
      <c r="G334" s="30" t="n">
        <f>ROUND(ROUND(E334,8)*F334,4)</f>
        <v>21.29</v>
      </c>
    </row>
    <row r="335" customHeight="1" ht="15">
      <c r="A335" s="22" t="inlineStr">
        <is>
          <r>
            <t xml:space="preserve">I2701</t>
          </r>
        </is>
      </c>
      <c r="B335" s="23" t="inlineStr">
        <is>
          <r>
            <t xml:space="preserve">DEPRECIAÇÃO</t>
          </r>
        </is>
      </c>
      <c r="C335" s="22" t="inlineStr">
        <is>
          <r>
            <t xml:space="preserve">SEINFRA</t>
          </r>
        </is>
      </c>
      <c r="D335" s="22" t="inlineStr">
        <is>
          <r>
            <t xml:space="preserve">H</t>
          </r>
        </is>
      </c>
      <c r="E335" s="24" t="n">
        <v>2.2654</v>
      </c>
      <c r="F335" s="30" t="n">
        <v>1.0</v>
      </c>
      <c r="G335" s="30" t="n">
        <f>ROUND(ROUND(E335,8)*F335,4)</f>
        <v>2.2654</v>
      </c>
    </row>
    <row r="336" customHeight="1" ht="15">
      <c r="A336" s="22" t="inlineStr">
        <is>
          <r>
            <t xml:space="preserve">I2702</t>
          </r>
        </is>
      </c>
      <c r="B336" s="23" t="inlineStr">
        <is>
          <r>
            <t xml:space="preserve">JUROS</t>
          </r>
        </is>
      </c>
      <c r="C336" s="22" t="inlineStr">
        <is>
          <r>
            <t xml:space="preserve">SEINFRA</t>
          </r>
        </is>
      </c>
      <c r="D336" s="22" t="inlineStr">
        <is>
          <r>
            <t xml:space="preserve">H</t>
          </r>
        </is>
      </c>
      <c r="E336" s="24" t="n">
        <v>0.4292</v>
      </c>
      <c r="F336" s="30" t="n">
        <v>1.0</v>
      </c>
      <c r="G336" s="30" t="n">
        <f>ROUND(ROUND(E336,8)*F336,4)</f>
        <v>0.4292</v>
      </c>
    </row>
    <row r="337" customHeight="1" ht="15">
      <c r="A337" s="22" t="inlineStr">
        <is>
          <r>
            <t xml:space="preserve">I2703</t>
          </r>
        </is>
      </c>
      <c r="B337" s="23" t="inlineStr">
        <is>
          <r>
            <t xml:space="preserve">MANUTENÇÃO</t>
          </r>
        </is>
      </c>
      <c r="C337" s="22" t="inlineStr">
        <is>
          <r>
            <t xml:space="preserve">SEINFRA</t>
          </r>
        </is>
      </c>
      <c r="D337" s="22" t="inlineStr">
        <is>
          <r>
            <t xml:space="preserve">H</t>
          </r>
        </is>
      </c>
      <c r="E337" s="24" t="n">
        <v>1.1923</v>
      </c>
      <c r="F337" s="30" t="n">
        <v>1.0</v>
      </c>
      <c r="G337" s="30" t="n">
        <f>ROUND(ROUND(E337,8)*F337,4)</f>
        <v>1.1923</v>
      </c>
    </row>
    <row r="338" customHeight="1" ht="15">
      <c r="A338" s="2" t="inlineStr"/>
      <c r="B338" s="2" t="inlineStr"/>
      <c r="C338" s="2" t="inlineStr"/>
      <c r="D338" s="2" t="inlineStr"/>
      <c r="E338" s="26" t="inlineStr">
        <is>
          <r>
            <t xml:space="preserve">TOTAL Geral:</t>
          </r>
        </is>
      </c>
      <c r="F338" s="26" t="inlineStr"/>
      <c r="G338" s="31" t="n">
        <f>SUM(G334:G337)</f>
        <v>25.1769</v>
      </c>
    </row>
    <row r="339" customHeight="1" ht="15">
      <c r="A339" s="2" t="inlineStr"/>
      <c r="B339" s="2" t="inlineStr"/>
      <c r="C339" s="2" t="inlineStr"/>
      <c r="D339" s="2" t="inlineStr"/>
      <c r="E339" s="28" t="inlineStr">
        <is>
          <r>
            <t xml:space="preserve">VALOR:</t>
          </r>
        </is>
      </c>
      <c r="F339" s="28" t="inlineStr"/>
      <c r="G339" s="29" t="n">
        <f>ROUND(SUM(G338),2)</f>
        <v>25.18</v>
      </c>
    </row>
    <row r="340" customHeight="1" ht="15">
      <c r="A340" s="2" t="inlineStr"/>
      <c r="B340" s="2" t="inlineStr"/>
      <c r="C340" s="2" t="inlineStr"/>
      <c r="D340" s="2" t="inlineStr"/>
      <c r="E340" s="28" t="inlineStr">
        <is>
          <r>
            <t xml:space="preserve">VALOR BDI:</t>
          </r>
        </is>
      </c>
      <c r="F340" s="28" t="inlineStr"/>
      <c r="G340" s="29" t="n">
        <f>ROUND(G339*(0/100),2)</f>
        <v>0.0</v>
      </c>
    </row>
    <row r="341" customHeight="1" ht="15">
      <c r="A341" s="2" t="inlineStr"/>
      <c r="B341" s="2" t="inlineStr"/>
      <c r="C341" s="2" t="inlineStr"/>
      <c r="D341" s="2" t="inlineStr"/>
      <c r="E341" s="28" t="inlineStr">
        <is>
          <r>
            <t xml:space="preserve">VALOR COM BDI:</t>
          </r>
        </is>
      </c>
      <c r="F341" s="28" t="inlineStr"/>
      <c r="G341" s="29" t="n">
        <f>G340+G339</f>
        <v>25.18</v>
      </c>
    </row>
    <row r="342" customHeight="1" ht="10">
      <c r="A342" s="2" t="inlineStr"/>
      <c r="B342" s="2" t="inlineStr"/>
      <c r="C342" s="2" t="inlineStr"/>
      <c r="D342" s="2" t="inlineStr"/>
      <c r="E342" s="18" t="inlineStr"/>
      <c r="F342" s="18" t="inlineStr"/>
      <c r="G342" s="18" t="inlineStr"/>
    </row>
    <row r="343" customHeight="1" ht="20">
      <c r="A343" s="19" t="inlineStr">
        <is>
          <r>
            <t xml:space="preserve">​I0569​ BOMBA COM MOTOR A DIESEL (CHI)​ (H)</t>
          </r>
        </is>
      </c>
      <c r="B343" s="19" t="inlineStr"/>
      <c r="C343" s="19" t="inlineStr"/>
      <c r="D343" s="19" t="inlineStr"/>
      <c r="E343" s="19" t="inlineStr"/>
      <c r="F343" s="19" t="inlineStr"/>
      <c r="G343" s="19" t="inlineStr"/>
    </row>
    <row r="344" customHeight="1" ht="15">
      <c r="A344" s="20" t="inlineStr">
        <is>
          <r>
            <t xml:space="preserve">Geral</t>
          </r>
        </is>
      </c>
      <c r="B344" s="20" t="inlineStr"/>
      <c r="C344" s="21" t="inlineStr">
        <is>
          <r>
            <t xml:space="preserve">FONTE</t>
          </r>
        </is>
      </c>
      <c r="D344" s="21" t="inlineStr">
        <is>
          <r>
            <t xml:space="preserve">UNID</t>
          </r>
        </is>
      </c>
      <c r="E344" s="21" t="inlineStr">
        <is>
          <r>
            <t xml:space="preserve">COEFICIENTE</t>
          </r>
        </is>
      </c>
      <c r="F344" s="21" t="inlineStr">
        <is>
          <r>
            <t xml:space="preserve">PREÇO UNITÁRIO</t>
          </r>
        </is>
      </c>
      <c r="G344" s="21" t="inlineStr">
        <is>
          <r>
            <t xml:space="preserve">TOTAL</t>
          </r>
        </is>
      </c>
    </row>
    <row r="345" customHeight="1" ht="15">
      <c r="A345" s="22" t="inlineStr">
        <is>
          <r>
            <t xml:space="preserve">I2751</t>
          </r>
        </is>
      </c>
      <c r="B345" s="23" t="inlineStr">
        <is>
          <r>
            <t xml:space="preserve">MÃO DE OBRA DE OPERAÇÃO DA BOMBA C/ MOTOR DIESEL</t>
          </r>
        </is>
      </c>
      <c r="C345" s="22" t="inlineStr">
        <is>
          <r>
            <t xml:space="preserve">SEINFRA</t>
          </r>
        </is>
      </c>
      <c r="D345" s="22" t="inlineStr">
        <is>
          <r>
            <t xml:space="preserve">H</t>
          </r>
        </is>
      </c>
      <c r="E345" s="24" t="n">
        <v>1.0</v>
      </c>
      <c r="F345" s="30" t="n">
        <v>18.46</v>
      </c>
      <c r="G345" s="30" t="n">
        <f>ROUND(ROUND(E345,8)*F345,4)</f>
        <v>18.46</v>
      </c>
    </row>
    <row r="346" customHeight="1" ht="15">
      <c r="A346" s="22" t="inlineStr">
        <is>
          <r>
            <t xml:space="preserve">I2701</t>
          </r>
        </is>
      </c>
      <c r="B346" s="23" t="inlineStr">
        <is>
          <r>
            <t xml:space="preserve">DEPRECIAÇÃO</t>
          </r>
        </is>
      </c>
      <c r="C346" s="22" t="inlineStr">
        <is>
          <r>
            <t xml:space="preserve">SEINFRA</t>
          </r>
        </is>
      </c>
      <c r="D346" s="22" t="inlineStr">
        <is>
          <r>
            <t xml:space="preserve">H</t>
          </r>
        </is>
      </c>
      <c r="E346" s="24" t="n">
        <v>5.9335</v>
      </c>
      <c r="F346" s="30" t="n">
        <v>1.0</v>
      </c>
      <c r="G346" s="30" t="n">
        <f>ROUND(ROUND(E346,8)*F346,4)</f>
        <v>5.9335</v>
      </c>
    </row>
    <row r="347" customHeight="1" ht="15">
      <c r="A347" s="22" t="inlineStr">
        <is>
          <r>
            <t xml:space="preserve">I2702</t>
          </r>
        </is>
      </c>
      <c r="B347" s="23" t="inlineStr">
        <is>
          <r>
            <t xml:space="preserve">JUROS</t>
          </r>
        </is>
      </c>
      <c r="C347" s="22" t="inlineStr">
        <is>
          <r>
            <t xml:space="preserve">SEINFRA</t>
          </r>
        </is>
      </c>
      <c r="D347" s="22" t="inlineStr">
        <is>
          <r>
            <t xml:space="preserve">H</t>
          </r>
        </is>
      </c>
      <c r="E347" s="24" t="n">
        <v>1.1242</v>
      </c>
      <c r="F347" s="30" t="n">
        <v>1.0</v>
      </c>
      <c r="G347" s="30" t="n">
        <f>ROUND(ROUND(E347,8)*F347,4)</f>
        <v>1.1242</v>
      </c>
    </row>
    <row r="348" customHeight="1" ht="15">
      <c r="A348" s="2" t="inlineStr"/>
      <c r="B348" s="2" t="inlineStr"/>
      <c r="C348" s="2" t="inlineStr"/>
      <c r="D348" s="2" t="inlineStr"/>
      <c r="E348" s="26" t="inlineStr">
        <is>
          <r>
            <t xml:space="preserve">TOTAL Geral:</t>
          </r>
        </is>
      </c>
      <c r="F348" s="26" t="inlineStr"/>
      <c r="G348" s="31" t="n">
        <f>SUM(G345:G347)</f>
        <v>25.5177</v>
      </c>
    </row>
    <row r="349" customHeight="1" ht="15">
      <c r="A349" s="2" t="inlineStr"/>
      <c r="B349" s="2" t="inlineStr"/>
      <c r="C349" s="2" t="inlineStr"/>
      <c r="D349" s="2" t="inlineStr"/>
      <c r="E349" s="28" t="inlineStr">
        <is>
          <r>
            <t xml:space="preserve">VALOR:</t>
          </r>
        </is>
      </c>
      <c r="F349" s="28" t="inlineStr"/>
      <c r="G349" s="29" t="n">
        <f>ROUND(SUM(G348),2)</f>
        <v>25.52</v>
      </c>
    </row>
    <row r="350" customHeight="1" ht="15">
      <c r="A350" s="2" t="inlineStr"/>
      <c r="B350" s="2" t="inlineStr"/>
      <c r="C350" s="2" t="inlineStr"/>
      <c r="D350" s="2" t="inlineStr"/>
      <c r="E350" s="28" t="inlineStr">
        <is>
          <r>
            <t xml:space="preserve">VALOR BDI:</t>
          </r>
        </is>
      </c>
      <c r="F350" s="28" t="inlineStr"/>
      <c r="G350" s="29" t="n">
        <f>ROUND(G349*(0/100),2)</f>
        <v>0.0</v>
      </c>
    </row>
    <row r="351" customHeight="1" ht="15">
      <c r="A351" s="2" t="inlineStr"/>
      <c r="B351" s="2" t="inlineStr"/>
      <c r="C351" s="2" t="inlineStr"/>
      <c r="D351" s="2" t="inlineStr"/>
      <c r="E351" s="28" t="inlineStr">
        <is>
          <r>
            <t xml:space="preserve">VALOR COM BDI:</t>
          </r>
        </is>
      </c>
      <c r="F351" s="28" t="inlineStr"/>
      <c r="G351" s="29" t="n">
        <f>G350+G349</f>
        <v>25.52</v>
      </c>
    </row>
    <row r="352" customHeight="1" ht="10">
      <c r="A352" s="2" t="inlineStr"/>
      <c r="B352" s="2" t="inlineStr"/>
      <c r="C352" s="2" t="inlineStr"/>
      <c r="D352" s="2" t="inlineStr"/>
      <c r="E352" s="18" t="inlineStr"/>
      <c r="F352" s="18" t="inlineStr"/>
      <c r="G352" s="18" t="inlineStr"/>
    </row>
    <row r="353" customHeight="1" ht="20">
      <c r="A353" s="19" t="inlineStr">
        <is>
          <r>
            <t xml:space="preserve">​I0683​ BOMBA COM MOTOR A DIESEL (CHP)​ (H)</t>
          </r>
        </is>
      </c>
      <c r="B353" s="19" t="inlineStr"/>
      <c r="C353" s="19" t="inlineStr"/>
      <c r="D353" s="19" t="inlineStr"/>
      <c r="E353" s="19" t="inlineStr"/>
      <c r="F353" s="19" t="inlineStr"/>
      <c r="G353" s="19" t="inlineStr"/>
    </row>
    <row r="354" customHeight="1" ht="15">
      <c r="A354" s="20" t="inlineStr">
        <is>
          <r>
            <t xml:space="preserve">Geral</t>
          </r>
        </is>
      </c>
      <c r="B354" s="20" t="inlineStr"/>
      <c r="C354" s="21" t="inlineStr">
        <is>
          <r>
            <t xml:space="preserve">FONTE</t>
          </r>
        </is>
      </c>
      <c r="D354" s="21" t="inlineStr">
        <is>
          <r>
            <t xml:space="preserve">UNID</t>
          </r>
        </is>
      </c>
      <c r="E354" s="21" t="inlineStr">
        <is>
          <r>
            <t xml:space="preserve">COEFICIENTE</t>
          </r>
        </is>
      </c>
      <c r="F354" s="21" t="inlineStr">
        <is>
          <r>
            <t xml:space="preserve">PREÇO UNITÁRIO</t>
          </r>
        </is>
      </c>
      <c r="G354" s="21" t="inlineStr">
        <is>
          <r>
            <t xml:space="preserve">TOTAL</t>
          </r>
        </is>
      </c>
    </row>
    <row r="355" customHeight="1" ht="15">
      <c r="A355" s="22" t="inlineStr">
        <is>
          <r>
            <t xml:space="preserve">I2751</t>
          </r>
        </is>
      </c>
      <c r="B355" s="23" t="inlineStr">
        <is>
          <r>
            <t xml:space="preserve">MÃO DE OBRA DE OPERAÇÃO DA BOMBA C/ MOTOR DIESEL</t>
          </r>
        </is>
      </c>
      <c r="C355" s="22" t="inlineStr">
        <is>
          <r>
            <t xml:space="preserve">SEINFRA</t>
          </r>
        </is>
      </c>
      <c r="D355" s="22" t="inlineStr">
        <is>
          <r>
            <t xml:space="preserve">H</t>
          </r>
        </is>
      </c>
      <c r="E355" s="24" t="n">
        <v>1.0</v>
      </c>
      <c r="F355" s="30" t="n">
        <v>18.46</v>
      </c>
      <c r="G355" s="30" t="n">
        <f>ROUND(ROUND(E355,8)*F355,4)</f>
        <v>18.46</v>
      </c>
    </row>
    <row r="356" customHeight="1" ht="15">
      <c r="A356" s="22" t="inlineStr">
        <is>
          <r>
            <t xml:space="preserve">I2750</t>
          </r>
        </is>
      </c>
      <c r="B356" s="23" t="inlineStr">
        <is>
          <r>
            <t xml:space="preserve">MATERIAL DE OPERAÇÃO DA BOMBA C/ MOTOR DIESEL</t>
          </r>
        </is>
      </c>
      <c r="C356" s="22" t="inlineStr">
        <is>
          <r>
            <t xml:space="preserve">SEINFRA</t>
          </r>
        </is>
      </c>
      <c r="D356" s="22" t="inlineStr">
        <is>
          <r>
            <t xml:space="preserve">H</t>
          </r>
        </is>
      </c>
      <c r="E356" s="24" t="n">
        <v>1.0</v>
      </c>
      <c r="F356" s="30" t="n">
        <v>5.6138</v>
      </c>
      <c r="G356" s="30" t="n">
        <f>ROUND(ROUND(E356,8)*F356,4)</f>
        <v>5.6138</v>
      </c>
    </row>
    <row r="357" customHeight="1" ht="15">
      <c r="A357" s="22" t="inlineStr">
        <is>
          <r>
            <t xml:space="preserve">I2701</t>
          </r>
        </is>
      </c>
      <c r="B357" s="23" t="inlineStr">
        <is>
          <r>
            <t xml:space="preserve">DEPRECIAÇÃO</t>
          </r>
        </is>
      </c>
      <c r="C357" s="22" t="inlineStr">
        <is>
          <r>
            <t xml:space="preserve">SEINFRA</t>
          </r>
        </is>
      </c>
      <c r="D357" s="22" t="inlineStr">
        <is>
          <r>
            <t xml:space="preserve">H</t>
          </r>
        </is>
      </c>
      <c r="E357" s="24" t="n">
        <v>5.9335</v>
      </c>
      <c r="F357" s="30" t="n">
        <v>1.0</v>
      </c>
      <c r="G357" s="30" t="n">
        <f>ROUND(ROUND(E357,8)*F357,4)</f>
        <v>5.9335</v>
      </c>
    </row>
    <row r="358" customHeight="1" ht="15">
      <c r="A358" s="22" t="inlineStr">
        <is>
          <r>
            <t xml:space="preserve">I2702</t>
          </r>
        </is>
      </c>
      <c r="B358" s="23" t="inlineStr">
        <is>
          <r>
            <t xml:space="preserve">JUROS</t>
          </r>
        </is>
      </c>
      <c r="C358" s="22" t="inlineStr">
        <is>
          <r>
            <t xml:space="preserve">SEINFRA</t>
          </r>
        </is>
      </c>
      <c r="D358" s="22" t="inlineStr">
        <is>
          <r>
            <t xml:space="preserve">H</t>
          </r>
        </is>
      </c>
      <c r="E358" s="24" t="n">
        <v>1.1242</v>
      </c>
      <c r="F358" s="30" t="n">
        <v>1.0</v>
      </c>
      <c r="G358" s="30" t="n">
        <f>ROUND(ROUND(E358,8)*F358,4)</f>
        <v>1.1242</v>
      </c>
    </row>
    <row r="359" customHeight="1" ht="15">
      <c r="A359" s="22" t="inlineStr">
        <is>
          <r>
            <t xml:space="preserve">I2703</t>
          </r>
        </is>
      </c>
      <c r="B359" s="23" t="inlineStr">
        <is>
          <r>
            <t xml:space="preserve">MANUTENÇÃO</t>
          </r>
        </is>
      </c>
      <c r="C359" s="22" t="inlineStr">
        <is>
          <r>
            <t xml:space="preserve">SEINFRA</t>
          </r>
        </is>
      </c>
      <c r="D359" s="22" t="inlineStr">
        <is>
          <r>
            <t xml:space="preserve">H</t>
          </r>
        </is>
      </c>
      <c r="E359" s="24" t="n">
        <v>3.1229</v>
      </c>
      <c r="F359" s="30" t="n">
        <v>1.0</v>
      </c>
      <c r="G359" s="30" t="n">
        <f>ROUND(ROUND(E359,8)*F359,4)</f>
        <v>3.1229</v>
      </c>
    </row>
    <row r="360" customHeight="1" ht="15">
      <c r="A360" s="2" t="inlineStr"/>
      <c r="B360" s="2" t="inlineStr"/>
      <c r="C360" s="2" t="inlineStr"/>
      <c r="D360" s="2" t="inlineStr"/>
      <c r="E360" s="26" t="inlineStr">
        <is>
          <r>
            <t xml:space="preserve">TOTAL Geral:</t>
          </r>
        </is>
      </c>
      <c r="F360" s="26" t="inlineStr"/>
      <c r="G360" s="31" t="n">
        <f>SUM(G355:G359)</f>
        <v>34.2544</v>
      </c>
    </row>
    <row r="361" customHeight="1" ht="15">
      <c r="A361" s="2" t="inlineStr"/>
      <c r="B361" s="2" t="inlineStr"/>
      <c r="C361" s="2" t="inlineStr"/>
      <c r="D361" s="2" t="inlineStr"/>
      <c r="E361" s="28" t="inlineStr">
        <is>
          <r>
            <t xml:space="preserve">VALOR:</t>
          </r>
        </is>
      </c>
      <c r="F361" s="28" t="inlineStr"/>
      <c r="G361" s="29" t="n">
        <f>ROUND(SUM(G360),2)</f>
        <v>34.25</v>
      </c>
    </row>
    <row r="362" customHeight="1" ht="15">
      <c r="A362" s="2" t="inlineStr"/>
      <c r="B362" s="2" t="inlineStr"/>
      <c r="C362" s="2" t="inlineStr"/>
      <c r="D362" s="2" t="inlineStr"/>
      <c r="E362" s="28" t="inlineStr">
        <is>
          <r>
            <t xml:space="preserve">VALOR BDI:</t>
          </r>
        </is>
      </c>
      <c r="F362" s="28" t="inlineStr"/>
      <c r="G362" s="29" t="n">
        <f>ROUND(G361*(0/100),2)</f>
        <v>0.0</v>
      </c>
    </row>
    <row r="363" customHeight="1" ht="15">
      <c r="A363" s="2" t="inlineStr"/>
      <c r="B363" s="2" t="inlineStr"/>
      <c r="C363" s="2" t="inlineStr"/>
      <c r="D363" s="2" t="inlineStr"/>
      <c r="E363" s="28" t="inlineStr">
        <is>
          <r>
            <t xml:space="preserve">VALOR COM BDI:</t>
          </r>
        </is>
      </c>
      <c r="F363" s="28" t="inlineStr"/>
      <c r="G363" s="29" t="n">
        <f>G362+G361</f>
        <v>34.25</v>
      </c>
    </row>
    <row r="364" customHeight="1" ht="10">
      <c r="A364" s="2" t="inlineStr"/>
      <c r="B364" s="2" t="inlineStr"/>
      <c r="C364" s="2" t="inlineStr"/>
      <c r="D364" s="2" t="inlineStr"/>
      <c r="E364" s="18" t="inlineStr"/>
      <c r="F364" s="18" t="inlineStr"/>
      <c r="G364" s="18" t="inlineStr"/>
    </row>
    <row r="365" customHeight="1" ht="20">
      <c r="A365" s="19" t="inlineStr">
        <is>
          <r>
            <t xml:space="preserve">​C3139​ BRITA PRODUZIDA PARA BASES​ (M3)</t>
          </r>
        </is>
      </c>
      <c r="B365" s="19" t="inlineStr"/>
      <c r="C365" s="19" t="inlineStr"/>
      <c r="D365" s="19" t="inlineStr"/>
      <c r="E365" s="19" t="inlineStr"/>
      <c r="F365" s="19" t="inlineStr"/>
      <c r="G365" s="19" t="inlineStr"/>
    </row>
    <row r="366" customHeight="1" ht="15">
      <c r="A366" s="20" t="inlineStr">
        <is>
          <r>
            <t xml:space="preserve">Equipamento Custo Horário</t>
          </r>
        </is>
      </c>
      <c r="B366" s="20" t="inlineStr"/>
      <c r="C366" s="21" t="inlineStr">
        <is>
          <r>
            <t xml:space="preserve">FONTE</t>
          </r>
        </is>
      </c>
      <c r="D366" s="21" t="inlineStr">
        <is>
          <r>
            <t xml:space="preserve">UNID</t>
          </r>
        </is>
      </c>
      <c r="E366" s="21" t="inlineStr">
        <is>
          <r>
            <t xml:space="preserve">COEFICIENTE</t>
          </r>
        </is>
      </c>
      <c r="F366" s="21" t="inlineStr">
        <is>
          <r>
            <t xml:space="preserve">PREÇO UNITÁRIO</t>
          </r>
        </is>
      </c>
      <c r="G366" s="21" t="inlineStr">
        <is>
          <r>
            <t xml:space="preserve">TOTAL</t>
          </r>
        </is>
      </c>
    </row>
    <row r="367" customHeight="1" ht="15">
      <c r="A367" s="22" t="inlineStr">
        <is>
          <r>
            <t xml:space="preserve">I0594</t>
          </r>
        </is>
      </c>
      <c r="B367" s="23" t="inlineStr">
        <is>
          <r>
            <t xml:space="preserve">CARREGADEIRA DE PNEUS HP 111 (CHI)</t>
          </r>
        </is>
      </c>
      <c r="C367" s="22" t="inlineStr">
        <is>
          <r>
            <t xml:space="preserve">SEINFRA</t>
          </r>
        </is>
      </c>
      <c r="D367" s="22" t="inlineStr">
        <is>
          <r>
            <t xml:space="preserve">H</t>
          </r>
        </is>
      </c>
      <c r="E367" s="24" t="n">
        <v>0.01111111</v>
      </c>
      <c r="F367" s="30" t="n">
        <v>84.4072</v>
      </c>
      <c r="G367" s="30" t="n">
        <f>ROUND(ROUND(E367,8)*F367,4)</f>
        <v>0.9379</v>
      </c>
    </row>
    <row r="368" customHeight="1" ht="15">
      <c r="A368" s="22" t="inlineStr">
        <is>
          <r>
            <t xml:space="preserve">I0708</t>
          </r>
        </is>
      </c>
      <c r="B368" s="23" t="inlineStr">
        <is>
          <r>
            <t xml:space="preserve">CARREGADEIRA DE PNEUS HP 111 (CHP)</t>
          </r>
        </is>
      </c>
      <c r="C368" s="22" t="inlineStr">
        <is>
          <r>
            <t xml:space="preserve">SEINFRA</t>
          </r>
        </is>
      </c>
      <c r="D368" s="22" t="inlineStr">
        <is>
          <r>
            <t xml:space="preserve">H</t>
          </r>
        </is>
      </c>
      <c r="E368" s="24" t="n">
        <v>0.02592593</v>
      </c>
      <c r="F368" s="30" t="n">
        <v>229.8427</v>
      </c>
      <c r="G368" s="30" t="n">
        <f>ROUND(ROUND(E368,8)*F368,4)</f>
        <v>5.9589</v>
      </c>
    </row>
    <row r="369" customHeight="1" ht="15">
      <c r="A369" s="22" t="inlineStr">
        <is>
          <r>
            <t xml:space="preserve">I0618</t>
          </r>
        </is>
      </c>
      <c r="B369" s="23" t="inlineStr">
        <is>
          <r>
            <t xml:space="preserve">CONJUNTO DE BRITAGEM 30 M3/H (CHI)</t>
          </r>
        </is>
      </c>
      <c r="C369" s="22" t="inlineStr">
        <is>
          <r>
            <t xml:space="preserve">SEINFRA</t>
          </r>
        </is>
      </c>
      <c r="D369" s="22" t="inlineStr">
        <is>
          <r>
            <t xml:space="preserve">H</t>
          </r>
        </is>
      </c>
      <c r="E369" s="24" t="n">
        <v>0.0</v>
      </c>
      <c r="F369" s="30" t="n">
        <v>310.6206</v>
      </c>
      <c r="G369" s="30" t="n">
        <f>ROUND(ROUND(E369,8)*F369,4)</f>
        <v>0.0</v>
      </c>
    </row>
    <row r="370" customHeight="1" ht="15">
      <c r="A370" s="22" t="inlineStr">
        <is>
          <r>
            <t xml:space="preserve">I0732</t>
          </r>
        </is>
      </c>
      <c r="B370" s="23" t="inlineStr">
        <is>
          <r>
            <t xml:space="preserve">CONJUNTO DE BRITAGEM 30 M3/H (CHP)</t>
          </r>
        </is>
      </c>
      <c r="C370" s="22" t="inlineStr">
        <is>
          <r>
            <t xml:space="preserve">SEINFRA</t>
          </r>
        </is>
      </c>
      <c r="D370" s="22" t="inlineStr">
        <is>
          <r>
            <t xml:space="preserve">H</t>
          </r>
        </is>
      </c>
      <c r="E370" s="24" t="n">
        <v>0.03703704</v>
      </c>
      <c r="F370" s="30" t="n">
        <v>592.4311</v>
      </c>
      <c r="G370" s="30" t="n">
        <f>ROUND(ROUND(E370,8)*F370,4)</f>
        <v>21.9419</v>
      </c>
    </row>
    <row r="371" customHeight="1" ht="15">
      <c r="A371" s="22" t="inlineStr">
        <is>
          <r>
            <t xml:space="preserve">I0626</t>
          </r>
        </is>
      </c>
      <c r="B371" s="23" t="inlineStr">
        <is>
          <r>
            <t xml:space="preserve">GRUPO GERADOR 145 KVA (CHI)</t>
          </r>
        </is>
      </c>
      <c r="C371" s="22" t="inlineStr">
        <is>
          <r>
            <t xml:space="preserve">SEINFRA</t>
          </r>
        </is>
      </c>
      <c r="D371" s="22" t="inlineStr">
        <is>
          <r>
            <t xml:space="preserve">H</t>
          </r>
        </is>
      </c>
      <c r="E371" s="24" t="n">
        <v>0.0</v>
      </c>
      <c r="F371" s="30" t="n">
        <v>33.3658</v>
      </c>
      <c r="G371" s="30" t="n">
        <f>ROUND(ROUND(E371,8)*F371,4)</f>
        <v>0.0</v>
      </c>
    </row>
    <row r="372" customHeight="1" ht="15">
      <c r="A372" s="22" t="inlineStr">
        <is>
          <r>
            <t xml:space="preserve">I0740</t>
          </r>
        </is>
      </c>
      <c r="B372" s="23" t="inlineStr">
        <is>
          <r>
            <t xml:space="preserve">GRUPO GERADOR 145 KVA (CHP)</t>
          </r>
        </is>
      </c>
      <c r="C372" s="22" t="inlineStr">
        <is>
          <r>
            <t xml:space="preserve">SEINFRA</t>
          </r>
        </is>
      </c>
      <c r="D372" s="22" t="inlineStr">
        <is>
          <r>
            <t xml:space="preserve">H</t>
          </r>
        </is>
      </c>
      <c r="E372" s="24" t="n">
        <v>0.03703704</v>
      </c>
      <c r="F372" s="30" t="n">
        <v>175.9958</v>
      </c>
      <c r="G372" s="30" t="n">
        <f>ROUND(ROUND(E372,8)*F372,4)</f>
        <v>6.5184</v>
      </c>
    </row>
    <row r="373" customHeight="1" ht="18">
      <c r="A373" s="2" t="inlineStr"/>
      <c r="B373" s="2" t="inlineStr"/>
      <c r="C373" s="2" t="inlineStr"/>
      <c r="D373" s="2" t="inlineStr"/>
      <c r="E373" s="26" t="inlineStr">
        <is>
          <r>
            <t xml:space="preserve">TOTAL Equipamento Custo Horário:</t>
          </r>
        </is>
      </c>
      <c r="F373" s="26" t="inlineStr"/>
      <c r="G373" s="31" t="n">
        <f>SUM(G367:G372)</f>
        <v>35.3571</v>
      </c>
    </row>
    <row r="374" customHeight="1" ht="15">
      <c r="A374" s="20" t="inlineStr">
        <is>
          <r>
            <t xml:space="preserve">Material</t>
          </r>
        </is>
      </c>
      <c r="B374" s="20" t="inlineStr"/>
      <c r="C374" s="21" t="inlineStr">
        <is>
          <r>
            <t xml:space="preserve">FONTE</t>
          </r>
        </is>
      </c>
      <c r="D374" s="21" t="inlineStr">
        <is>
          <r>
            <t xml:space="preserve">UNID</t>
          </r>
        </is>
      </c>
      <c r="E374" s="21" t="inlineStr">
        <is>
          <r>
            <t xml:space="preserve">COEFICIENTE</t>
          </r>
        </is>
      </c>
      <c r="F374" s="21" t="inlineStr">
        <is>
          <r>
            <t xml:space="preserve">PREÇO UNITÁRIO</t>
          </r>
        </is>
      </c>
      <c r="G374" s="21" t="inlineStr">
        <is>
          <r>
            <t xml:space="preserve">TOTAL</t>
          </r>
        </is>
      </c>
    </row>
    <row r="375" customHeight="1" ht="15">
      <c r="A375" s="22" t="inlineStr">
        <is>
          <r>
            <t xml:space="preserve">I2528</t>
          </r>
        </is>
      </c>
      <c r="B375" s="23" t="inlineStr">
        <is>
          <r>
            <t xml:space="preserve">PEÇAS DE DESGASTE DO BRITADOR</t>
          </r>
        </is>
      </c>
      <c r="C375" s="22" t="inlineStr">
        <is>
          <r>
            <t xml:space="preserve">SEINFRA</t>
          </r>
        </is>
      </c>
      <c r="D375" s="22" t="inlineStr">
        <is>
          <r>
            <t xml:space="preserve">CJ</t>
          </r>
        </is>
      </c>
      <c r="E375" s="24" t="n">
        <v>3.0E-4</v>
      </c>
      <c r="F375" s="35" t="n">
        <v>26583.0</v>
      </c>
      <c r="G375" s="30" t="n">
        <f>ROUND(ROUND(E375,8)*F375,4)</f>
        <v>7.9749</v>
      </c>
    </row>
    <row r="376" customHeight="1" ht="15">
      <c r="A376" s="2" t="inlineStr"/>
      <c r="B376" s="2" t="inlineStr"/>
      <c r="C376" s="2" t="inlineStr"/>
      <c r="D376" s="2" t="inlineStr"/>
      <c r="E376" s="26" t="inlineStr">
        <is>
          <r>
            <t xml:space="preserve">TOTAL Material:</t>
          </r>
        </is>
      </c>
      <c r="F376" s="26" t="inlineStr"/>
      <c r="G376" s="31" t="n">
        <f>SUM(G375:G375)</f>
        <v>7.9749</v>
      </c>
    </row>
    <row r="377" customHeight="1" ht="15">
      <c r="A377" s="20" t="inlineStr">
        <is>
          <r>
            <t xml:space="preserve">Mão de Obra</t>
          </r>
        </is>
      </c>
      <c r="B377" s="20" t="inlineStr"/>
      <c r="C377" s="21" t="inlineStr">
        <is>
          <r>
            <t xml:space="preserve">FONTE</t>
          </r>
        </is>
      </c>
      <c r="D377" s="21" t="inlineStr">
        <is>
          <r>
            <t xml:space="preserve">UNID</t>
          </r>
        </is>
      </c>
      <c r="E377" s="21" t="inlineStr">
        <is>
          <r>
            <t xml:space="preserve">COEFICIENTE</t>
          </r>
        </is>
      </c>
      <c r="F377" s="21" t="inlineStr">
        <is>
          <r>
            <t xml:space="preserve">PREÇO UNITÁRIO</t>
          </r>
        </is>
      </c>
      <c r="G377" s="21" t="inlineStr">
        <is>
          <r>
            <t xml:space="preserve">TOTAL</t>
          </r>
        </is>
      </c>
    </row>
    <row r="378" customHeight="1" ht="15">
      <c r="A378" s="22" t="inlineStr">
        <is>
          <r>
            <t xml:space="preserve">I2543</t>
          </r>
        </is>
      </c>
      <c r="B378" s="23" t="inlineStr">
        <is>
          <r>
            <t xml:space="preserve">SERVENTE</t>
          </r>
        </is>
      </c>
      <c r="C378" s="22" t="inlineStr">
        <is>
          <r>
            <t xml:space="preserve">SEINFRA</t>
          </r>
        </is>
      </c>
      <c r="D378" s="22" t="inlineStr">
        <is>
          <r>
            <t xml:space="preserve">H</t>
          </r>
        </is>
      </c>
      <c r="E378" s="24" t="n">
        <v>0.18518519</v>
      </c>
      <c r="F378" s="30" t="n">
        <v>18.46</v>
      </c>
      <c r="G378" s="30" t="n">
        <f>ROUND(ROUND(E378,8)*F378,4)</f>
        <v>3.4185</v>
      </c>
    </row>
    <row r="379" customHeight="1" ht="15">
      <c r="A379" s="2" t="inlineStr"/>
      <c r="B379" s="2" t="inlineStr"/>
      <c r="C379" s="2" t="inlineStr"/>
      <c r="D379" s="2" t="inlineStr"/>
      <c r="E379" s="26" t="inlineStr">
        <is>
          <r>
            <t xml:space="preserve">TOTAL Mão de Obra:</t>
          </r>
        </is>
      </c>
      <c r="F379" s="26" t="inlineStr"/>
      <c r="G379" s="31" t="n">
        <f>SUM(G378:G378)</f>
        <v>3.4185</v>
      </c>
    </row>
    <row r="380" customHeight="1" ht="15">
      <c r="A380" s="20" t="inlineStr">
        <is>
          <r>
            <t xml:space="preserve">Serviço</t>
          </r>
        </is>
      </c>
      <c r="B380" s="20" t="inlineStr"/>
      <c r="C380" s="21" t="inlineStr">
        <is>
          <r>
            <t xml:space="preserve">FONTE</t>
          </r>
        </is>
      </c>
      <c r="D380" s="21" t="inlineStr">
        <is>
          <r>
            <t xml:space="preserve">UNID</t>
          </r>
        </is>
      </c>
      <c r="E380" s="21" t="inlineStr">
        <is>
          <r>
            <t xml:space="preserve">COEFICIENTE</t>
          </r>
        </is>
      </c>
      <c r="F380" s="21" t="inlineStr">
        <is>
          <r>
            <t xml:space="preserve">PREÇO UNITÁRIO</t>
          </r>
        </is>
      </c>
      <c r="G380" s="21" t="inlineStr">
        <is>
          <r>
            <t xml:space="preserve">TOTAL</t>
          </r>
        </is>
      </c>
    </row>
    <row r="381" customHeight="1" ht="15">
      <c r="A381" s="22" t="inlineStr">
        <is>
          <r>
            <t xml:space="preserve">C3235</t>
          </r>
        </is>
      </c>
      <c r="B381" s="23" t="inlineStr">
        <is>
          <r>
            <t xml:space="preserve">ROCHA PARA BRITAGEM</t>
          </r>
        </is>
      </c>
      <c r="C381" s="22" t="inlineStr">
        <is>
          <r>
            <t xml:space="preserve">SEINFRA</t>
          </r>
        </is>
      </c>
      <c r="D381" s="22" t="inlineStr">
        <is>
          <r>
            <t xml:space="preserve">M3</t>
          </r>
        </is>
      </c>
      <c r="E381" s="24" t="n">
        <v>1.1</v>
      </c>
      <c r="F381" s="30" t="n">
        <v>42.66</v>
      </c>
      <c r="G381" s="30" t="n">
        <f>ROUND(ROUND(E381,8)*F381,4)</f>
        <v>46.926</v>
      </c>
    </row>
    <row r="382" customHeight="1" ht="15">
      <c r="A382" s="2" t="inlineStr"/>
      <c r="B382" s="2" t="inlineStr"/>
      <c r="C382" s="2" t="inlineStr"/>
      <c r="D382" s="2" t="inlineStr"/>
      <c r="E382" s="26" t="inlineStr">
        <is>
          <r>
            <t xml:space="preserve">TOTAL Serviço:</t>
          </r>
        </is>
      </c>
      <c r="F382" s="26" t="inlineStr"/>
      <c r="G382" s="31" t="n">
        <f>SUM(G381:G381)</f>
        <v>46.926</v>
      </c>
    </row>
    <row r="383" customHeight="1" ht="15">
      <c r="A383" s="2" t="inlineStr"/>
      <c r="B383" s="2" t="inlineStr"/>
      <c r="C383" s="2" t="inlineStr"/>
      <c r="D383" s="2" t="inlineStr"/>
      <c r="E383" s="28" t="inlineStr">
        <is>
          <r>
            <t xml:space="preserve">VALOR:</t>
          </r>
        </is>
      </c>
      <c r="F383" s="28" t="inlineStr"/>
      <c r="G383" s="29" t="n">
        <f>ROUND(SUM(G373,G376,G379,G382),2)</f>
        <v>93.68</v>
      </c>
    </row>
    <row r="384" customHeight="1" ht="15">
      <c r="A384" s="2" t="inlineStr"/>
      <c r="B384" s="2" t="inlineStr"/>
      <c r="C384" s="2" t="inlineStr"/>
      <c r="D384" s="2" t="inlineStr"/>
      <c r="E384" s="28" t="inlineStr">
        <is>
          <r>
            <t xml:space="preserve">VALOR BDI:</t>
          </r>
        </is>
      </c>
      <c r="F384" s="28" t="inlineStr"/>
      <c r="G384" s="29" t="n">
        <f>ROUND(G383*(0/100),2)</f>
        <v>0.0</v>
      </c>
    </row>
    <row r="385" customHeight="1" ht="15">
      <c r="A385" s="2" t="inlineStr"/>
      <c r="B385" s="2" t="inlineStr"/>
      <c r="C385" s="2" t="inlineStr"/>
      <c r="D385" s="2" t="inlineStr"/>
      <c r="E385" s="28" t="inlineStr">
        <is>
          <r>
            <t xml:space="preserve">VALOR COM BDI:</t>
          </r>
        </is>
      </c>
      <c r="F385" s="28" t="inlineStr"/>
      <c r="G385" s="29" t="n">
        <f>G384+G383</f>
        <v>93.68</v>
      </c>
    </row>
    <row r="386" customHeight="1" ht="10">
      <c r="A386" s="2" t="inlineStr"/>
      <c r="B386" s="2" t="inlineStr"/>
      <c r="C386" s="2" t="inlineStr"/>
      <c r="D386" s="2" t="inlineStr"/>
      <c r="E386" s="18" t="inlineStr"/>
      <c r="F386" s="18" t="inlineStr"/>
      <c r="G386" s="18" t="inlineStr"/>
    </row>
    <row r="387" customHeight="1" ht="20">
      <c r="A387" s="19" t="inlineStr">
        <is>
          <r>
            <t xml:space="preserve">​C3253​ BRITA PRODUZIDA PARA USOS DIVERSOS​ (M3)</t>
          </r>
        </is>
      </c>
      <c r="B387" s="19" t="inlineStr"/>
      <c r="C387" s="19" t="inlineStr"/>
      <c r="D387" s="19" t="inlineStr"/>
      <c r="E387" s="19" t="inlineStr"/>
      <c r="F387" s="19" t="inlineStr"/>
      <c r="G387" s="19" t="inlineStr"/>
    </row>
    <row r="388" customHeight="1" ht="15">
      <c r="A388" s="20" t="inlineStr">
        <is>
          <r>
            <t xml:space="preserve">Equipamento Custo Horário</t>
          </r>
        </is>
      </c>
      <c r="B388" s="20" t="inlineStr"/>
      <c r="C388" s="21" t="inlineStr">
        <is>
          <r>
            <t xml:space="preserve">FONTE</t>
          </r>
        </is>
      </c>
      <c r="D388" s="21" t="inlineStr">
        <is>
          <r>
            <t xml:space="preserve">UNID</t>
          </r>
        </is>
      </c>
      <c r="E388" s="21" t="inlineStr">
        <is>
          <r>
            <t xml:space="preserve">COEFICIENTE</t>
          </r>
        </is>
      </c>
      <c r="F388" s="21" t="inlineStr">
        <is>
          <r>
            <t xml:space="preserve">PREÇO UNITÁRIO</t>
          </r>
        </is>
      </c>
      <c r="G388" s="21" t="inlineStr">
        <is>
          <r>
            <t xml:space="preserve">TOTAL</t>
          </r>
        </is>
      </c>
    </row>
    <row r="389" customHeight="1" ht="15">
      <c r="A389" s="22" t="inlineStr">
        <is>
          <r>
            <t xml:space="preserve">I0594</t>
          </r>
        </is>
      </c>
      <c r="B389" s="23" t="inlineStr">
        <is>
          <r>
            <t xml:space="preserve">CARREGADEIRA DE PNEUS HP 111 (CHI)</t>
          </r>
        </is>
      </c>
      <c r="C389" s="22" t="inlineStr">
        <is>
          <r>
            <t xml:space="preserve">SEINFRA</t>
          </r>
        </is>
      </c>
      <c r="D389" s="22" t="inlineStr">
        <is>
          <r>
            <t xml:space="preserve">H</t>
          </r>
        </is>
      </c>
      <c r="E389" s="24" t="n">
        <v>0.01583333</v>
      </c>
      <c r="F389" s="30" t="n">
        <v>84.4072</v>
      </c>
      <c r="G389" s="30" t="n">
        <f>ROUND(ROUND(E389,8)*F389,4)</f>
        <v>1.3364</v>
      </c>
    </row>
    <row r="390" customHeight="1" ht="15">
      <c r="A390" s="22" t="inlineStr">
        <is>
          <r>
            <t xml:space="preserve">I0708</t>
          </r>
        </is>
      </c>
      <c r="B390" s="23" t="inlineStr">
        <is>
          <r>
            <t xml:space="preserve">CARREGADEIRA DE PNEUS HP 111 (CHP)</t>
          </r>
        </is>
      </c>
      <c r="C390" s="22" t="inlineStr">
        <is>
          <r>
            <t xml:space="preserve">SEINFRA</t>
          </r>
        </is>
      </c>
      <c r="D390" s="22" t="inlineStr">
        <is>
          <r>
            <t xml:space="preserve">H</t>
          </r>
        </is>
      </c>
      <c r="E390" s="24" t="n">
        <v>0.02583333</v>
      </c>
      <c r="F390" s="30" t="n">
        <v>229.8427</v>
      </c>
      <c r="G390" s="30" t="n">
        <f>ROUND(ROUND(E390,8)*F390,4)</f>
        <v>5.9376</v>
      </c>
    </row>
    <row r="391" customHeight="1" ht="15">
      <c r="A391" s="22" t="inlineStr">
        <is>
          <r>
            <t xml:space="preserve">I0618</t>
          </r>
        </is>
      </c>
      <c r="B391" s="23" t="inlineStr">
        <is>
          <r>
            <t xml:space="preserve">CONJUNTO DE BRITAGEM 30 M3/H (CHI)</t>
          </r>
        </is>
      </c>
      <c r="C391" s="22" t="inlineStr">
        <is>
          <r>
            <t xml:space="preserve">SEINFRA</t>
          </r>
        </is>
      </c>
      <c r="D391" s="22" t="inlineStr">
        <is>
          <r>
            <t xml:space="preserve">H</t>
          </r>
        </is>
      </c>
      <c r="E391" s="24" t="n">
        <v>0.0</v>
      </c>
      <c r="F391" s="30" t="n">
        <v>310.6206</v>
      </c>
      <c r="G391" s="30" t="n">
        <f>ROUND(ROUND(E391,8)*F391,4)</f>
        <v>0.0</v>
      </c>
    </row>
    <row r="392" customHeight="1" ht="15">
      <c r="A392" s="22" t="inlineStr">
        <is>
          <r>
            <t xml:space="preserve">I0732</t>
          </r>
        </is>
      </c>
      <c r="B392" s="23" t="inlineStr">
        <is>
          <r>
            <t xml:space="preserve">CONJUNTO DE BRITAGEM 30 M3/H (CHP)</t>
          </r>
        </is>
      </c>
      <c r="C392" s="22" t="inlineStr">
        <is>
          <r>
            <t xml:space="preserve">SEINFRA</t>
          </r>
        </is>
      </c>
      <c r="D392" s="22" t="inlineStr">
        <is>
          <r>
            <t xml:space="preserve">H</t>
          </r>
        </is>
      </c>
      <c r="E392" s="24" t="n">
        <v>0.04166667</v>
      </c>
      <c r="F392" s="30" t="n">
        <v>592.4311</v>
      </c>
      <c r="G392" s="30" t="n">
        <f>ROUND(ROUND(E392,8)*F392,4)</f>
        <v>24.6846</v>
      </c>
    </row>
    <row r="393" customHeight="1" ht="15">
      <c r="A393" s="22" t="inlineStr">
        <is>
          <r>
            <t xml:space="preserve">I0626</t>
          </r>
        </is>
      </c>
      <c r="B393" s="23" t="inlineStr">
        <is>
          <r>
            <t xml:space="preserve">GRUPO GERADOR 145 KVA (CHI)</t>
          </r>
        </is>
      </c>
      <c r="C393" s="22" t="inlineStr">
        <is>
          <r>
            <t xml:space="preserve">SEINFRA</t>
          </r>
        </is>
      </c>
      <c r="D393" s="22" t="inlineStr">
        <is>
          <r>
            <t xml:space="preserve">H</t>
          </r>
        </is>
      </c>
      <c r="E393" s="24" t="n">
        <v>0.0</v>
      </c>
      <c r="F393" s="30" t="n">
        <v>33.3658</v>
      </c>
      <c r="G393" s="30" t="n">
        <f>ROUND(ROUND(E393,8)*F393,4)</f>
        <v>0.0</v>
      </c>
    </row>
    <row r="394" customHeight="1" ht="15">
      <c r="A394" s="22" t="inlineStr">
        <is>
          <r>
            <t xml:space="preserve">I0740</t>
          </r>
        </is>
      </c>
      <c r="B394" s="23" t="inlineStr">
        <is>
          <r>
            <t xml:space="preserve">GRUPO GERADOR 145 KVA (CHP)</t>
          </r>
        </is>
      </c>
      <c r="C394" s="22" t="inlineStr">
        <is>
          <r>
            <t xml:space="preserve">SEINFRA</t>
          </r>
        </is>
      </c>
      <c r="D394" s="22" t="inlineStr">
        <is>
          <r>
            <t xml:space="preserve">H</t>
          </r>
        </is>
      </c>
      <c r="E394" s="24" t="n">
        <v>0.04166667</v>
      </c>
      <c r="F394" s="30" t="n">
        <v>175.9958</v>
      </c>
      <c r="G394" s="30" t="n">
        <f>ROUND(ROUND(E394,8)*F394,4)</f>
        <v>7.3332</v>
      </c>
    </row>
    <row r="395" customHeight="1" ht="18">
      <c r="A395" s="2" t="inlineStr"/>
      <c r="B395" s="2" t="inlineStr"/>
      <c r="C395" s="2" t="inlineStr"/>
      <c r="D395" s="2" t="inlineStr"/>
      <c r="E395" s="26" t="inlineStr">
        <is>
          <r>
            <t xml:space="preserve">TOTAL Equipamento Custo Horário:</t>
          </r>
        </is>
      </c>
      <c r="F395" s="26" t="inlineStr"/>
      <c r="G395" s="31" t="n">
        <f>SUM(G389:G394)</f>
        <v>39.2918</v>
      </c>
    </row>
    <row r="396" customHeight="1" ht="15">
      <c r="A396" s="20" t="inlineStr">
        <is>
          <r>
            <t xml:space="preserve">Material</t>
          </r>
        </is>
      </c>
      <c r="B396" s="20" t="inlineStr"/>
      <c r="C396" s="21" t="inlineStr">
        <is>
          <r>
            <t xml:space="preserve">FONTE</t>
          </r>
        </is>
      </c>
      <c r="D396" s="21" t="inlineStr">
        <is>
          <r>
            <t xml:space="preserve">UNID</t>
          </r>
        </is>
      </c>
      <c r="E396" s="21" t="inlineStr">
        <is>
          <r>
            <t xml:space="preserve">COEFICIENTE</t>
          </r>
        </is>
      </c>
      <c r="F396" s="21" t="inlineStr">
        <is>
          <r>
            <t xml:space="preserve">PREÇO UNITÁRIO</t>
          </r>
        </is>
      </c>
      <c r="G396" s="21" t="inlineStr">
        <is>
          <r>
            <t xml:space="preserve">TOTAL</t>
          </r>
        </is>
      </c>
    </row>
    <row r="397" customHeight="1" ht="15">
      <c r="A397" s="22" t="inlineStr">
        <is>
          <r>
            <t xml:space="preserve">I2528</t>
          </r>
        </is>
      </c>
      <c r="B397" s="23" t="inlineStr">
        <is>
          <r>
            <t xml:space="preserve">PEÇAS DE DESGASTE DO BRITADOR</t>
          </r>
        </is>
      </c>
      <c r="C397" s="22" t="inlineStr">
        <is>
          <r>
            <t xml:space="preserve">SEINFRA</t>
          </r>
        </is>
      </c>
      <c r="D397" s="22" t="inlineStr">
        <is>
          <r>
            <t xml:space="preserve">CJ</t>
          </r>
        </is>
      </c>
      <c r="E397" s="24" t="n">
        <v>4.0E-4</v>
      </c>
      <c r="F397" s="35" t="n">
        <v>26583.0</v>
      </c>
      <c r="G397" s="30" t="n">
        <f>ROUND(ROUND(E397,8)*F397,4)</f>
        <v>10.6332</v>
      </c>
    </row>
    <row r="398" customHeight="1" ht="15">
      <c r="A398" s="2" t="inlineStr"/>
      <c r="B398" s="2" t="inlineStr"/>
      <c r="C398" s="2" t="inlineStr"/>
      <c r="D398" s="2" t="inlineStr"/>
      <c r="E398" s="26" t="inlineStr">
        <is>
          <r>
            <t xml:space="preserve">TOTAL Material:</t>
          </r>
        </is>
      </c>
      <c r="F398" s="26" t="inlineStr"/>
      <c r="G398" s="31" t="n">
        <f>SUM(G397:G397)</f>
        <v>10.6332</v>
      </c>
    </row>
    <row r="399" customHeight="1" ht="15">
      <c r="A399" s="20" t="inlineStr">
        <is>
          <r>
            <t xml:space="preserve">Mão de Obra</t>
          </r>
        </is>
      </c>
      <c r="B399" s="20" t="inlineStr"/>
      <c r="C399" s="21" t="inlineStr">
        <is>
          <r>
            <t xml:space="preserve">FONTE</t>
          </r>
        </is>
      </c>
      <c r="D399" s="21" t="inlineStr">
        <is>
          <r>
            <t xml:space="preserve">UNID</t>
          </r>
        </is>
      </c>
      <c r="E399" s="21" t="inlineStr">
        <is>
          <r>
            <t xml:space="preserve">COEFICIENTE</t>
          </r>
        </is>
      </c>
      <c r="F399" s="21" t="inlineStr">
        <is>
          <r>
            <t xml:space="preserve">PREÇO UNITÁRIO</t>
          </r>
        </is>
      </c>
      <c r="G399" s="21" t="inlineStr">
        <is>
          <r>
            <t xml:space="preserve">TOTAL</t>
          </r>
        </is>
      </c>
    </row>
    <row r="400" customHeight="1" ht="15">
      <c r="A400" s="22" t="inlineStr">
        <is>
          <r>
            <t xml:space="preserve">I2543</t>
          </r>
        </is>
      </c>
      <c r="B400" s="23" t="inlineStr">
        <is>
          <r>
            <t xml:space="preserve">SERVENTE</t>
          </r>
        </is>
      </c>
      <c r="C400" s="22" t="inlineStr">
        <is>
          <r>
            <t xml:space="preserve">SEINFRA</t>
          </r>
        </is>
      </c>
      <c r="D400" s="22" t="inlineStr">
        <is>
          <r>
            <t xml:space="preserve">H</t>
          </r>
        </is>
      </c>
      <c r="E400" s="24" t="n">
        <v>0.20833333</v>
      </c>
      <c r="F400" s="30" t="n">
        <v>18.46</v>
      </c>
      <c r="G400" s="30" t="n">
        <f>ROUND(ROUND(E400,8)*F400,4)</f>
        <v>3.8458</v>
      </c>
    </row>
    <row r="401" customHeight="1" ht="15">
      <c r="A401" s="2" t="inlineStr"/>
      <c r="B401" s="2" t="inlineStr"/>
      <c r="C401" s="2" t="inlineStr"/>
      <c r="D401" s="2" t="inlineStr"/>
      <c r="E401" s="26" t="inlineStr">
        <is>
          <r>
            <t xml:space="preserve">TOTAL Mão de Obra:</t>
          </r>
        </is>
      </c>
      <c r="F401" s="26" t="inlineStr"/>
      <c r="G401" s="31" t="n">
        <f>SUM(G400:G400)</f>
        <v>3.8458</v>
      </c>
    </row>
    <row r="402" customHeight="1" ht="15">
      <c r="A402" s="20" t="inlineStr">
        <is>
          <r>
            <t xml:space="preserve">Serviço</t>
          </r>
        </is>
      </c>
      <c r="B402" s="20" t="inlineStr"/>
      <c r="C402" s="21" t="inlineStr">
        <is>
          <r>
            <t xml:space="preserve">FONTE</t>
          </r>
        </is>
      </c>
      <c r="D402" s="21" t="inlineStr">
        <is>
          <r>
            <t xml:space="preserve">UNID</t>
          </r>
        </is>
      </c>
      <c r="E402" s="21" t="inlineStr">
        <is>
          <r>
            <t xml:space="preserve">COEFICIENTE</t>
          </r>
        </is>
      </c>
      <c r="F402" s="21" t="inlineStr">
        <is>
          <r>
            <t xml:space="preserve">PREÇO UNITÁRIO</t>
          </r>
        </is>
      </c>
      <c r="G402" s="21" t="inlineStr">
        <is>
          <r>
            <t xml:space="preserve">TOTAL</t>
          </r>
        </is>
      </c>
    </row>
    <row r="403" customHeight="1" ht="15">
      <c r="A403" s="22" t="inlineStr">
        <is>
          <r>
            <t xml:space="preserve">C3235</t>
          </r>
        </is>
      </c>
      <c r="B403" s="23" t="inlineStr">
        <is>
          <r>
            <t xml:space="preserve">ROCHA PARA BRITAGEM</t>
          </r>
        </is>
      </c>
      <c r="C403" s="22" t="inlineStr">
        <is>
          <r>
            <t xml:space="preserve">SEINFRA</t>
          </r>
        </is>
      </c>
      <c r="D403" s="22" t="inlineStr">
        <is>
          <r>
            <t xml:space="preserve">M3</t>
          </r>
        </is>
      </c>
      <c r="E403" s="24" t="n">
        <v>1.1</v>
      </c>
      <c r="F403" s="30" t="n">
        <v>42.66</v>
      </c>
      <c r="G403" s="30" t="n">
        <f>ROUND(ROUND(E403,8)*F403,4)</f>
        <v>46.926</v>
      </c>
    </row>
    <row r="404" customHeight="1" ht="15">
      <c r="A404" s="2" t="inlineStr"/>
      <c r="B404" s="2" t="inlineStr"/>
      <c r="C404" s="2" t="inlineStr"/>
      <c r="D404" s="2" t="inlineStr"/>
      <c r="E404" s="26" t="inlineStr">
        <is>
          <r>
            <t xml:space="preserve">TOTAL Serviço:</t>
          </r>
        </is>
      </c>
      <c r="F404" s="26" t="inlineStr"/>
      <c r="G404" s="31" t="n">
        <f>SUM(G403:G403)</f>
        <v>46.926</v>
      </c>
    </row>
    <row r="405" customHeight="1" ht="15">
      <c r="A405" s="2" t="inlineStr"/>
      <c r="B405" s="2" t="inlineStr"/>
      <c r="C405" s="2" t="inlineStr"/>
      <c r="D405" s="2" t="inlineStr"/>
      <c r="E405" s="28" t="inlineStr">
        <is>
          <r>
            <t xml:space="preserve">VALOR:</t>
          </r>
        </is>
      </c>
      <c r="F405" s="28" t="inlineStr"/>
      <c r="G405" s="29" t="n">
        <f>ROUND(SUM(G395,G398,G401,G404),2)</f>
        <v>100.7</v>
      </c>
    </row>
    <row r="406" customHeight="1" ht="15">
      <c r="A406" s="2" t="inlineStr"/>
      <c r="B406" s="2" t="inlineStr"/>
      <c r="C406" s="2" t="inlineStr"/>
      <c r="D406" s="2" t="inlineStr"/>
      <c r="E406" s="28" t="inlineStr">
        <is>
          <r>
            <t xml:space="preserve">VALOR BDI:</t>
          </r>
        </is>
      </c>
      <c r="F406" s="28" t="inlineStr"/>
      <c r="G406" s="29" t="n">
        <f>ROUND(G405*(0/100),2)</f>
        <v>0.0</v>
      </c>
    </row>
    <row r="407" customHeight="1" ht="15">
      <c r="A407" s="2" t="inlineStr"/>
      <c r="B407" s="2" t="inlineStr"/>
      <c r="C407" s="2" t="inlineStr"/>
      <c r="D407" s="2" t="inlineStr"/>
      <c r="E407" s="28" t="inlineStr">
        <is>
          <r>
            <t xml:space="preserve">VALOR COM BDI:</t>
          </r>
        </is>
      </c>
      <c r="F407" s="28" t="inlineStr"/>
      <c r="G407" s="29" t="n">
        <f>G406+G405</f>
        <v>100.7</v>
      </c>
    </row>
    <row r="408" customHeight="1" ht="10">
      <c r="A408" s="2" t="inlineStr"/>
      <c r="B408" s="2" t="inlineStr"/>
      <c r="C408" s="2" t="inlineStr"/>
      <c r="D408" s="2" t="inlineStr"/>
      <c r="E408" s="18" t="inlineStr"/>
      <c r="F408" s="18" t="inlineStr"/>
      <c r="G408" s="18" t="inlineStr"/>
    </row>
    <row r="409" customHeight="1" ht="20">
      <c r="A409" s="19" t="inlineStr">
        <is>
          <r>
            <t xml:space="preserve">​C0588​ CAIAÇÃO EM DUAS DEMÃOS COM SUPERCAL​ (M2)</t>
          </r>
        </is>
      </c>
      <c r="B409" s="19" t="inlineStr"/>
      <c r="C409" s="19" t="inlineStr"/>
      <c r="D409" s="19" t="inlineStr"/>
      <c r="E409" s="19" t="inlineStr"/>
      <c r="F409" s="19" t="inlineStr"/>
      <c r="G409" s="19" t="inlineStr"/>
    </row>
    <row r="410" customHeight="1" ht="15">
      <c r="A410" s="20" t="inlineStr">
        <is>
          <r>
            <t xml:space="preserve">Material</t>
          </r>
        </is>
      </c>
      <c r="B410" s="20" t="inlineStr"/>
      <c r="C410" s="21" t="inlineStr">
        <is>
          <r>
            <t xml:space="preserve">FONTE</t>
          </r>
        </is>
      </c>
      <c r="D410" s="21" t="inlineStr">
        <is>
          <r>
            <t xml:space="preserve">UNID</t>
          </r>
        </is>
      </c>
      <c r="E410" s="21" t="inlineStr">
        <is>
          <r>
            <t xml:space="preserve">COEFICIENTE</t>
          </r>
        </is>
      </c>
      <c r="F410" s="21" t="inlineStr">
        <is>
          <r>
            <t xml:space="preserve">PREÇO UNITÁRIO</t>
          </r>
        </is>
      </c>
      <c r="G410" s="21" t="inlineStr">
        <is>
          <r>
            <t xml:space="preserve">TOTAL</t>
          </r>
        </is>
      </c>
    </row>
    <row r="411" customHeight="1" ht="15">
      <c r="A411" s="22" t="inlineStr">
        <is>
          <r>
            <t xml:space="preserve">I2496</t>
          </r>
        </is>
      </c>
      <c r="B411" s="23" t="inlineStr">
        <is>
          <r>
            <t xml:space="preserve">SUPERCAL</t>
          </r>
        </is>
      </c>
      <c r="C411" s="22" t="inlineStr">
        <is>
          <r>
            <t xml:space="preserve">SEINFRA</t>
          </r>
        </is>
      </c>
      <c r="D411" s="22" t="inlineStr">
        <is>
          <r>
            <t xml:space="preserve">KG</t>
          </r>
        </is>
      </c>
      <c r="E411" s="24" t="n">
        <v>0.3</v>
      </c>
      <c r="F411" s="30" t="n">
        <v>1.47</v>
      </c>
      <c r="G411" s="30" t="n">
        <f>ROUND(ROUND(E411,8)*F411,4)</f>
        <v>0.441</v>
      </c>
    </row>
    <row r="412" customHeight="1" ht="15">
      <c r="A412" s="2" t="inlineStr"/>
      <c r="B412" s="2" t="inlineStr"/>
      <c r="C412" s="2" t="inlineStr"/>
      <c r="D412" s="2" t="inlineStr"/>
      <c r="E412" s="26" t="inlineStr">
        <is>
          <r>
            <t xml:space="preserve">TOTAL Material:</t>
          </r>
        </is>
      </c>
      <c r="F412" s="26" t="inlineStr"/>
      <c r="G412" s="31" t="n">
        <f>SUM(G411:G411)</f>
        <v>0.441</v>
      </c>
    </row>
    <row r="413" customHeight="1" ht="15">
      <c r="A413" s="20" t="inlineStr">
        <is>
          <r>
            <t xml:space="preserve">Mão de Obra</t>
          </r>
        </is>
      </c>
      <c r="B413" s="20" t="inlineStr"/>
      <c r="C413" s="21" t="inlineStr">
        <is>
          <r>
            <t xml:space="preserve">FONTE</t>
          </r>
        </is>
      </c>
      <c r="D413" s="21" t="inlineStr">
        <is>
          <r>
            <t xml:space="preserve">UNID</t>
          </r>
        </is>
      </c>
      <c r="E413" s="21" t="inlineStr">
        <is>
          <r>
            <t xml:space="preserve">COEFICIENTE</t>
          </r>
        </is>
      </c>
      <c r="F413" s="21" t="inlineStr">
        <is>
          <r>
            <t xml:space="preserve">PREÇO UNITÁRIO</t>
          </r>
        </is>
      </c>
      <c r="G413" s="21" t="inlineStr">
        <is>
          <r>
            <t xml:space="preserve">TOTAL</t>
          </r>
        </is>
      </c>
    </row>
    <row r="414" customHeight="1" ht="15">
      <c r="A414" s="22" t="inlineStr">
        <is>
          <r>
            <t xml:space="preserve">I2395</t>
          </r>
        </is>
      </c>
      <c r="B414" s="23" t="inlineStr">
        <is>
          <r>
            <t xml:space="preserve">PINTOR</t>
          </r>
        </is>
      </c>
      <c r="C414" s="22" t="inlineStr">
        <is>
          <r>
            <t xml:space="preserve">SEINFRA</t>
          </r>
        </is>
      </c>
      <c r="D414" s="22" t="inlineStr">
        <is>
          <r>
            <t xml:space="preserve">H</t>
          </r>
        </is>
      </c>
      <c r="E414" s="24" t="n">
        <v>0.2</v>
      </c>
      <c r="F414" s="30" t="n">
        <v>24.16</v>
      </c>
      <c r="G414" s="30" t="n">
        <f>ROUND(ROUND(E414,8)*F414,4)</f>
        <v>4.832</v>
      </c>
    </row>
    <row r="415" customHeight="1" ht="15">
      <c r="A415" s="2" t="inlineStr"/>
      <c r="B415" s="2" t="inlineStr"/>
      <c r="C415" s="2" t="inlineStr"/>
      <c r="D415" s="2" t="inlineStr"/>
      <c r="E415" s="26" t="inlineStr">
        <is>
          <r>
            <t xml:space="preserve">TOTAL Mão de Obra:</t>
          </r>
        </is>
      </c>
      <c r="F415" s="26" t="inlineStr"/>
      <c r="G415" s="31" t="n">
        <f>SUM(G414:G414)</f>
        <v>4.832</v>
      </c>
    </row>
    <row r="416" customHeight="1" ht="15">
      <c r="A416" s="2" t="inlineStr"/>
      <c r="B416" s="2" t="inlineStr"/>
      <c r="C416" s="2" t="inlineStr"/>
      <c r="D416" s="2" t="inlineStr"/>
      <c r="E416" s="28" t="inlineStr">
        <is>
          <r>
            <t xml:space="preserve">VALOR:</t>
          </r>
        </is>
      </c>
      <c r="F416" s="28" t="inlineStr"/>
      <c r="G416" s="29" t="n">
        <f>ROUND(SUM(G412,G415),2)</f>
        <v>5.27</v>
      </c>
    </row>
    <row r="417" customHeight="1" ht="15">
      <c r="A417" s="2" t="inlineStr"/>
      <c r="B417" s="2" t="inlineStr"/>
      <c r="C417" s="2" t="inlineStr"/>
      <c r="D417" s="2" t="inlineStr"/>
      <c r="E417" s="28" t="inlineStr">
        <is>
          <r>
            <t xml:space="preserve">VALOR BDI:</t>
          </r>
        </is>
      </c>
      <c r="F417" s="28" t="inlineStr"/>
      <c r="G417" s="29" t="n">
        <f>ROUND(G416*(0/100),2)</f>
        <v>0.0</v>
      </c>
    </row>
    <row r="418" customHeight="1" ht="15">
      <c r="A418" s="2" t="inlineStr"/>
      <c r="B418" s="2" t="inlineStr"/>
      <c r="C418" s="2" t="inlineStr"/>
      <c r="D418" s="2" t="inlineStr"/>
      <c r="E418" s="28" t="inlineStr">
        <is>
          <r>
            <t xml:space="preserve">VALOR COM BDI:</t>
          </r>
        </is>
      </c>
      <c r="F418" s="28" t="inlineStr"/>
      <c r="G418" s="29" t="n">
        <f>G417+G416</f>
        <v>5.27</v>
      </c>
    </row>
    <row r="419" customHeight="1" ht="10">
      <c r="A419" s="2" t="inlineStr"/>
      <c r="B419" s="2" t="inlineStr"/>
      <c r="C419" s="2" t="inlineStr"/>
      <c r="D419" s="2" t="inlineStr"/>
      <c r="E419" s="18" t="inlineStr"/>
      <c r="F419" s="18" t="inlineStr"/>
      <c r="G419" s="18" t="inlineStr"/>
    </row>
    <row r="420" customHeight="1" ht="20">
      <c r="A420" s="19" t="inlineStr">
        <is>
          <r>
            <t xml:space="preserve">​I0700​ CAMINHONETE SAVEIRO (CHP)​ (H)</t>
          </r>
        </is>
      </c>
      <c r="B420" s="19" t="inlineStr"/>
      <c r="C420" s="19" t="inlineStr"/>
      <c r="D420" s="19" t="inlineStr"/>
      <c r="E420" s="19" t="inlineStr"/>
      <c r="F420" s="19" t="inlineStr"/>
      <c r="G420" s="19" t="inlineStr"/>
    </row>
    <row r="421" customHeight="1" ht="15">
      <c r="A421" s="20" t="inlineStr">
        <is>
          <r>
            <t xml:space="preserve">Geral</t>
          </r>
        </is>
      </c>
      <c r="B421" s="20" t="inlineStr"/>
      <c r="C421" s="21" t="inlineStr">
        <is>
          <r>
            <t xml:space="preserve">FONTE</t>
          </r>
        </is>
      </c>
      <c r="D421" s="21" t="inlineStr">
        <is>
          <r>
            <t xml:space="preserve">UNID</t>
          </r>
        </is>
      </c>
      <c r="E421" s="21" t="inlineStr">
        <is>
          <r>
            <t xml:space="preserve">COEFICIENTE</t>
          </r>
        </is>
      </c>
      <c r="F421" s="21" t="inlineStr">
        <is>
          <r>
            <t xml:space="preserve">PREÇO UNITÁRIO</t>
          </r>
        </is>
      </c>
      <c r="G421" s="21" t="inlineStr">
        <is>
          <r>
            <t xml:space="preserve">TOTAL</t>
          </r>
        </is>
      </c>
    </row>
    <row r="422" customHeight="1" ht="15">
      <c r="A422" s="22" t="inlineStr">
        <is>
          <r>
            <t xml:space="preserve">I2748</t>
          </r>
        </is>
      </c>
      <c r="B422" s="23" t="inlineStr">
        <is>
          <r>
            <t xml:space="preserve">MÃO DE OBRA DE OPERAÇÃO DA CAMINHONETE SAVEIRO</t>
          </r>
        </is>
      </c>
      <c r="C422" s="22" t="inlineStr">
        <is>
          <r>
            <t xml:space="preserve">SEINFRA</t>
          </r>
        </is>
      </c>
      <c r="D422" s="22" t="inlineStr">
        <is>
          <r>
            <t xml:space="preserve">H</t>
          </r>
        </is>
      </c>
      <c r="E422" s="24" t="n">
        <v>1.0</v>
      </c>
      <c r="F422" s="30" t="n">
        <v>18.83</v>
      </c>
      <c r="G422" s="30" t="n">
        <f>ROUND(ROUND(E422,8)*F422,4)</f>
        <v>18.83</v>
      </c>
    </row>
    <row r="423" customHeight="1" ht="15">
      <c r="A423" s="22" t="inlineStr">
        <is>
          <r>
            <t xml:space="preserve">I2747</t>
          </r>
        </is>
      </c>
      <c r="B423" s="23" t="inlineStr">
        <is>
          <r>
            <t xml:space="preserve">MATERIAL DE OPERAÇÃO DA CAMINHONETE SAVEIRO</t>
          </r>
        </is>
      </c>
      <c r="C423" s="22" t="inlineStr">
        <is>
          <r>
            <t xml:space="preserve">SEINFRA</t>
          </r>
        </is>
      </c>
      <c r="D423" s="22" t="inlineStr">
        <is>
          <r>
            <t xml:space="preserve">H</t>
          </r>
        </is>
      </c>
      <c r="E423" s="24" t="n">
        <v>1.0</v>
      </c>
      <c r="F423" s="30" t="n">
        <v>49.3776</v>
      </c>
      <c r="G423" s="30" t="n">
        <f>ROUND(ROUND(E423,8)*F423,4)</f>
        <v>49.3776</v>
      </c>
    </row>
    <row r="424" customHeight="1" ht="15">
      <c r="A424" s="22" t="inlineStr">
        <is>
          <r>
            <t xml:space="preserve">I2701</t>
          </r>
        </is>
      </c>
      <c r="B424" s="23" t="inlineStr">
        <is>
          <r>
            <t xml:space="preserve">DEPRECIAÇÃO</t>
          </r>
        </is>
      </c>
      <c r="C424" s="22" t="inlineStr">
        <is>
          <r>
            <t xml:space="preserve">SEINFRA</t>
          </r>
        </is>
      </c>
      <c r="D424" s="22" t="inlineStr">
        <is>
          <r>
            <t xml:space="preserve">H</t>
          </r>
        </is>
      </c>
      <c r="E424" s="24" t="n">
        <v>4.9834</v>
      </c>
      <c r="F424" s="30" t="n">
        <v>1.0</v>
      </c>
      <c r="G424" s="30" t="n">
        <f>ROUND(ROUND(E424,8)*F424,4)</f>
        <v>4.9834</v>
      </c>
    </row>
    <row r="425" customHeight="1" ht="15">
      <c r="A425" s="22" t="inlineStr">
        <is>
          <r>
            <t xml:space="preserve">I2702</t>
          </r>
        </is>
      </c>
      <c r="B425" s="23" t="inlineStr">
        <is>
          <r>
            <t xml:space="preserve">JUROS</t>
          </r>
        </is>
      </c>
      <c r="C425" s="22" t="inlineStr">
        <is>
          <r>
            <t xml:space="preserve">SEINFRA</t>
          </r>
        </is>
      </c>
      <c r="D425" s="22" t="inlineStr">
        <is>
          <r>
            <t xml:space="preserve">H</t>
          </r>
        </is>
      </c>
      <c r="E425" s="24" t="n">
        <v>1.3082</v>
      </c>
      <c r="F425" s="30" t="n">
        <v>1.0</v>
      </c>
      <c r="G425" s="30" t="n">
        <f>ROUND(ROUND(E425,8)*F425,4)</f>
        <v>1.3082</v>
      </c>
    </row>
    <row r="426" customHeight="1" ht="15">
      <c r="A426" s="22" t="inlineStr">
        <is>
          <r>
            <t xml:space="preserve">I2703</t>
          </r>
        </is>
      </c>
      <c r="B426" s="23" t="inlineStr">
        <is>
          <r>
            <t xml:space="preserve">MANUTENÇÃO</t>
          </r>
        </is>
      </c>
      <c r="C426" s="22" t="inlineStr">
        <is>
          <r>
            <t xml:space="preserve">SEINFRA</t>
          </r>
        </is>
      </c>
      <c r="D426" s="22" t="inlineStr">
        <is>
          <r>
            <t xml:space="preserve">H</t>
          </r>
        </is>
      </c>
      <c r="E426" s="24" t="n">
        <v>4.9834</v>
      </c>
      <c r="F426" s="30" t="n">
        <v>1.0</v>
      </c>
      <c r="G426" s="30" t="n">
        <f>ROUND(ROUND(E426,8)*F426,4)</f>
        <v>4.9834</v>
      </c>
    </row>
    <row r="427" customHeight="1" ht="15">
      <c r="A427" s="2" t="inlineStr"/>
      <c r="B427" s="2" t="inlineStr"/>
      <c r="C427" s="2" t="inlineStr"/>
      <c r="D427" s="2" t="inlineStr"/>
      <c r="E427" s="26" t="inlineStr">
        <is>
          <r>
            <t xml:space="preserve">TOTAL Geral:</t>
          </r>
        </is>
      </c>
      <c r="F427" s="26" t="inlineStr"/>
      <c r="G427" s="31" t="n">
        <f>SUM(G422:G426)</f>
        <v>79.4826</v>
      </c>
    </row>
    <row r="428" customHeight="1" ht="15">
      <c r="A428" s="2" t="inlineStr"/>
      <c r="B428" s="2" t="inlineStr"/>
      <c r="C428" s="2" t="inlineStr"/>
      <c r="D428" s="2" t="inlineStr"/>
      <c r="E428" s="28" t="inlineStr">
        <is>
          <r>
            <t xml:space="preserve">VALOR:</t>
          </r>
        </is>
      </c>
      <c r="F428" s="28" t="inlineStr"/>
      <c r="G428" s="29" t="n">
        <f>ROUND(SUM(G427),2)</f>
        <v>79.48</v>
      </c>
    </row>
    <row r="429" customHeight="1" ht="15">
      <c r="A429" s="2" t="inlineStr"/>
      <c r="B429" s="2" t="inlineStr"/>
      <c r="C429" s="2" t="inlineStr"/>
      <c r="D429" s="2" t="inlineStr"/>
      <c r="E429" s="28" t="inlineStr">
        <is>
          <r>
            <t xml:space="preserve">VALOR BDI:</t>
          </r>
        </is>
      </c>
      <c r="F429" s="28" t="inlineStr"/>
      <c r="G429" s="29" t="n">
        <f>ROUND(G428*(0/100),2)</f>
        <v>0.0</v>
      </c>
    </row>
    <row r="430" customHeight="1" ht="15">
      <c r="A430" s="2" t="inlineStr"/>
      <c r="B430" s="2" t="inlineStr"/>
      <c r="C430" s="2" t="inlineStr"/>
      <c r="D430" s="2" t="inlineStr"/>
      <c r="E430" s="28" t="inlineStr">
        <is>
          <r>
            <t xml:space="preserve">VALOR COM BDI:</t>
          </r>
        </is>
      </c>
      <c r="F430" s="28" t="inlineStr"/>
      <c r="G430" s="29" t="n">
        <f>G429+G428</f>
        <v>79.48</v>
      </c>
    </row>
    <row r="431" customHeight="1" ht="10">
      <c r="A431" s="2" t="inlineStr"/>
      <c r="B431" s="2" t="inlineStr"/>
      <c r="C431" s="2" t="inlineStr"/>
      <c r="D431" s="2" t="inlineStr"/>
      <c r="E431" s="18" t="inlineStr"/>
      <c r="F431" s="18" t="inlineStr"/>
      <c r="G431" s="18" t="inlineStr"/>
    </row>
    <row r="432" customHeight="1" ht="20">
      <c r="A432" s="19" t="inlineStr">
        <is>
          <r>
            <t xml:space="preserve">​I0576​ CAMINHÃO BASCULANTE 12 M3 (CHI)​ (H)</t>
          </r>
        </is>
      </c>
      <c r="B432" s="19" t="inlineStr"/>
      <c r="C432" s="19" t="inlineStr"/>
      <c r="D432" s="19" t="inlineStr"/>
      <c r="E432" s="19" t="inlineStr"/>
      <c r="F432" s="19" t="inlineStr"/>
      <c r="G432" s="19" t="inlineStr"/>
    </row>
    <row r="433" customHeight="1" ht="15">
      <c r="A433" s="20" t="inlineStr">
        <is>
          <r>
            <t xml:space="preserve">Geral</t>
          </r>
        </is>
      </c>
      <c r="B433" s="20" t="inlineStr"/>
      <c r="C433" s="21" t="inlineStr">
        <is>
          <r>
            <t xml:space="preserve">FONTE</t>
          </r>
        </is>
      </c>
      <c r="D433" s="21" t="inlineStr">
        <is>
          <r>
            <t xml:space="preserve">UNID</t>
          </r>
        </is>
      </c>
      <c r="E433" s="21" t="inlineStr">
        <is>
          <r>
            <t xml:space="preserve">COEFICIENTE</t>
          </r>
        </is>
      </c>
      <c r="F433" s="21" t="inlineStr">
        <is>
          <r>
            <t xml:space="preserve">PREÇO UNITÁRIO</t>
          </r>
        </is>
      </c>
      <c r="G433" s="21" t="inlineStr">
        <is>
          <r>
            <t xml:space="preserve">TOTAL</t>
          </r>
        </is>
      </c>
    </row>
    <row r="434" customHeight="1" ht="21">
      <c r="A434" s="22" t="inlineStr">
        <is>
          <r>
            <t xml:space="preserve">I2724</t>
          </r>
        </is>
      </c>
      <c r="B434" s="23" t="inlineStr">
        <is>
          <r>
            <t xml:space="preserve">MÃO DE OBRA DE OPERAÇÃO DO CAMINHÃO BASCULANTE 12M3</t>
          </r>
        </is>
      </c>
      <c r="C434" s="22" t="inlineStr">
        <is>
          <r>
            <t xml:space="preserve">SEINFRA</t>
          </r>
        </is>
      </c>
      <c r="D434" s="22" t="inlineStr">
        <is>
          <r>
            <t xml:space="preserve">H</t>
          </r>
        </is>
      </c>
      <c r="E434" s="24" t="n">
        <v>1.0</v>
      </c>
      <c r="F434" s="30" t="n">
        <v>24.51</v>
      </c>
      <c r="G434" s="30" t="n">
        <f>ROUND(ROUND(E434,8)*F434,4)</f>
        <v>24.51</v>
      </c>
    </row>
    <row r="435" customHeight="1" ht="15">
      <c r="A435" s="22" t="inlineStr">
        <is>
          <r>
            <t xml:space="preserve">I2701</t>
          </r>
        </is>
      </c>
      <c r="B435" s="23" t="inlineStr">
        <is>
          <r>
            <t xml:space="preserve">DEPRECIAÇÃO</t>
          </r>
        </is>
      </c>
      <c r="C435" s="22" t="inlineStr">
        <is>
          <r>
            <t xml:space="preserve">SEINFRA</t>
          </r>
        </is>
      </c>
      <c r="D435" s="22" t="inlineStr">
        <is>
          <r>
            <t xml:space="preserve">H</t>
          </r>
        </is>
      </c>
      <c r="E435" s="24" t="n">
        <v>33.1634</v>
      </c>
      <c r="F435" s="30" t="n">
        <v>1.0</v>
      </c>
      <c r="G435" s="30" t="n">
        <f>ROUND(ROUND(E435,8)*F435,4)</f>
        <v>33.1634</v>
      </c>
    </row>
    <row r="436" customHeight="1" ht="15">
      <c r="A436" s="22" t="inlineStr">
        <is>
          <r>
            <t xml:space="preserve">I2702</t>
          </r>
        </is>
      </c>
      <c r="B436" s="23" t="inlineStr">
        <is>
          <r>
            <t xml:space="preserve">JUROS</t>
          </r>
        </is>
      </c>
      <c r="C436" s="22" t="inlineStr">
        <is>
          <r>
            <t xml:space="preserve">SEINFRA</t>
          </r>
        </is>
      </c>
      <c r="D436" s="22" t="inlineStr">
        <is>
          <r>
            <t xml:space="preserve">H</t>
          </r>
        </is>
      </c>
      <c r="E436" s="24" t="n">
        <v>11.1927</v>
      </c>
      <c r="F436" s="30" t="n">
        <v>1.0</v>
      </c>
      <c r="G436" s="30" t="n">
        <f>ROUND(ROUND(E436,8)*F436,4)</f>
        <v>11.1927</v>
      </c>
    </row>
    <row r="437" customHeight="1" ht="15">
      <c r="A437" s="2" t="inlineStr"/>
      <c r="B437" s="2" t="inlineStr"/>
      <c r="C437" s="2" t="inlineStr"/>
      <c r="D437" s="2" t="inlineStr"/>
      <c r="E437" s="26" t="inlineStr">
        <is>
          <r>
            <t xml:space="preserve">TOTAL Geral:</t>
          </r>
        </is>
      </c>
      <c r="F437" s="26" t="inlineStr"/>
      <c r="G437" s="31" t="n">
        <f>SUM(G434:G436)</f>
        <v>68.8661</v>
      </c>
    </row>
    <row r="438" customHeight="1" ht="15">
      <c r="A438" s="2" t="inlineStr"/>
      <c r="B438" s="2" t="inlineStr"/>
      <c r="C438" s="2" t="inlineStr"/>
      <c r="D438" s="2" t="inlineStr"/>
      <c r="E438" s="28" t="inlineStr">
        <is>
          <r>
            <t xml:space="preserve">VALOR:</t>
          </r>
        </is>
      </c>
      <c r="F438" s="28" t="inlineStr"/>
      <c r="G438" s="29" t="n">
        <f>ROUND(SUM(G437),2)</f>
        <v>68.87</v>
      </c>
    </row>
    <row r="439" customHeight="1" ht="15">
      <c r="A439" s="2" t="inlineStr"/>
      <c r="B439" s="2" t="inlineStr"/>
      <c r="C439" s="2" t="inlineStr"/>
      <c r="D439" s="2" t="inlineStr"/>
      <c r="E439" s="28" t="inlineStr">
        <is>
          <r>
            <t xml:space="preserve">VALOR BDI:</t>
          </r>
        </is>
      </c>
      <c r="F439" s="28" t="inlineStr"/>
      <c r="G439" s="29" t="n">
        <f>ROUND(G438*(0/100),2)</f>
        <v>0.0</v>
      </c>
    </row>
    <row r="440" customHeight="1" ht="15">
      <c r="A440" s="2" t="inlineStr"/>
      <c r="B440" s="2" t="inlineStr"/>
      <c r="C440" s="2" t="inlineStr"/>
      <c r="D440" s="2" t="inlineStr"/>
      <c r="E440" s="28" t="inlineStr">
        <is>
          <r>
            <t xml:space="preserve">VALOR COM BDI:</t>
          </r>
        </is>
      </c>
      <c r="F440" s="28" t="inlineStr"/>
      <c r="G440" s="29" t="n">
        <f>G439+G438</f>
        <v>68.87</v>
      </c>
    </row>
    <row r="441" customHeight="1" ht="10">
      <c r="A441" s="2" t="inlineStr"/>
      <c r="B441" s="2" t="inlineStr"/>
      <c r="C441" s="2" t="inlineStr"/>
      <c r="D441" s="2" t="inlineStr"/>
      <c r="E441" s="18" t="inlineStr"/>
      <c r="F441" s="18" t="inlineStr"/>
      <c r="G441" s="18" t="inlineStr"/>
    </row>
    <row r="442" customHeight="1" ht="20">
      <c r="A442" s="19" t="inlineStr">
        <is>
          <r>
            <t xml:space="preserve">​I0688​ CAMINHÃO BASCULANTE 12 M3 (CHP)​ (H)</t>
          </r>
        </is>
      </c>
      <c r="B442" s="19" t="inlineStr"/>
      <c r="C442" s="19" t="inlineStr"/>
      <c r="D442" s="19" t="inlineStr"/>
      <c r="E442" s="19" t="inlineStr"/>
      <c r="F442" s="19" t="inlineStr"/>
      <c r="G442" s="19" t="inlineStr"/>
    </row>
    <row r="443" customHeight="1" ht="15">
      <c r="A443" s="20" t="inlineStr">
        <is>
          <r>
            <t xml:space="preserve">Geral</t>
          </r>
        </is>
      </c>
      <c r="B443" s="20" t="inlineStr"/>
      <c r="C443" s="21" t="inlineStr">
        <is>
          <r>
            <t xml:space="preserve">FONTE</t>
          </r>
        </is>
      </c>
      <c r="D443" s="21" t="inlineStr">
        <is>
          <r>
            <t xml:space="preserve">UNID</t>
          </r>
        </is>
      </c>
      <c r="E443" s="21" t="inlineStr">
        <is>
          <r>
            <t xml:space="preserve">COEFICIENTE</t>
          </r>
        </is>
      </c>
      <c r="F443" s="21" t="inlineStr">
        <is>
          <r>
            <t xml:space="preserve">PREÇO UNITÁRIO</t>
          </r>
        </is>
      </c>
      <c r="G443" s="21" t="inlineStr">
        <is>
          <r>
            <t xml:space="preserve">TOTAL</t>
          </r>
        </is>
      </c>
    </row>
    <row r="444" customHeight="1" ht="21">
      <c r="A444" s="22" t="inlineStr">
        <is>
          <r>
            <t xml:space="preserve">I2724</t>
          </r>
        </is>
      </c>
      <c r="B444" s="23" t="inlineStr">
        <is>
          <r>
            <t xml:space="preserve">MÃO DE OBRA DE OPERAÇÃO DO CAMINHÃO BASCULANTE 12M3</t>
          </r>
        </is>
      </c>
      <c r="C444" s="22" t="inlineStr">
        <is>
          <r>
            <t xml:space="preserve">SEINFRA</t>
          </r>
        </is>
      </c>
      <c r="D444" s="22" t="inlineStr">
        <is>
          <r>
            <t xml:space="preserve">H</t>
          </r>
        </is>
      </c>
      <c r="E444" s="24" t="n">
        <v>1.0</v>
      </c>
      <c r="F444" s="30" t="n">
        <v>24.51</v>
      </c>
      <c r="G444" s="30" t="n">
        <f>ROUND(ROUND(E444,8)*F444,4)</f>
        <v>24.51</v>
      </c>
    </row>
    <row r="445" customHeight="1" ht="15">
      <c r="A445" s="22" t="inlineStr">
        <is>
          <r>
            <t xml:space="preserve">I2723</t>
          </r>
        </is>
      </c>
      <c r="B445" s="23" t="inlineStr">
        <is>
          <r>
            <t xml:space="preserve">MATERIAL DE OPERAÇÃO DO CAMINHÃO BASCULANTE 12M3</t>
          </r>
        </is>
      </c>
      <c r="C445" s="22" t="inlineStr">
        <is>
          <r>
            <t xml:space="preserve">SEINFRA</t>
          </r>
        </is>
      </c>
      <c r="D445" s="22" t="inlineStr">
        <is>
          <r>
            <t xml:space="preserve">H</t>
          </r>
        </is>
      </c>
      <c r="E445" s="24" t="n">
        <v>1.0</v>
      </c>
      <c r="F445" s="30" t="n">
        <v>91.816</v>
      </c>
      <c r="G445" s="30" t="n">
        <f>ROUND(ROUND(E445,8)*F445,4)</f>
        <v>91.816</v>
      </c>
    </row>
    <row r="446" customHeight="1" ht="15">
      <c r="A446" s="22" t="inlineStr">
        <is>
          <r>
            <t xml:space="preserve">I2701</t>
          </r>
        </is>
      </c>
      <c r="B446" s="23" t="inlineStr">
        <is>
          <r>
            <t xml:space="preserve">DEPRECIAÇÃO</t>
          </r>
        </is>
      </c>
      <c r="C446" s="22" t="inlineStr">
        <is>
          <r>
            <t xml:space="preserve">SEINFRA</t>
          </r>
        </is>
      </c>
      <c r="D446" s="22" t="inlineStr">
        <is>
          <r>
            <t xml:space="preserve">H</t>
          </r>
        </is>
      </c>
      <c r="E446" s="24" t="n">
        <v>33.1634</v>
      </c>
      <c r="F446" s="30" t="n">
        <v>1.0</v>
      </c>
      <c r="G446" s="30" t="n">
        <f>ROUND(ROUND(E446,8)*F446,4)</f>
        <v>33.1634</v>
      </c>
    </row>
    <row r="447" customHeight="1" ht="15">
      <c r="A447" s="22" t="inlineStr">
        <is>
          <r>
            <t xml:space="preserve">I2702</t>
          </r>
        </is>
      </c>
      <c r="B447" s="23" t="inlineStr">
        <is>
          <r>
            <t xml:space="preserve">JUROS</t>
          </r>
        </is>
      </c>
      <c r="C447" s="22" t="inlineStr">
        <is>
          <r>
            <t xml:space="preserve">SEINFRA</t>
          </r>
        </is>
      </c>
      <c r="D447" s="22" t="inlineStr">
        <is>
          <r>
            <t xml:space="preserve">H</t>
          </r>
        </is>
      </c>
      <c r="E447" s="24" t="n">
        <v>11.1927</v>
      </c>
      <c r="F447" s="30" t="n">
        <v>1.0</v>
      </c>
      <c r="G447" s="30" t="n">
        <f>ROUND(ROUND(E447,8)*F447,4)</f>
        <v>11.1927</v>
      </c>
    </row>
    <row r="448" customHeight="1" ht="15">
      <c r="A448" s="22" t="inlineStr">
        <is>
          <r>
            <t xml:space="preserve">I2703</t>
          </r>
        </is>
      </c>
      <c r="B448" s="23" t="inlineStr">
        <is>
          <r>
            <t xml:space="preserve">MANUTENÇÃO</t>
          </r>
        </is>
      </c>
      <c r="C448" s="22" t="inlineStr">
        <is>
          <r>
            <t xml:space="preserve">SEINFRA</t>
          </r>
        </is>
      </c>
      <c r="D448" s="22" t="inlineStr">
        <is>
          <r>
            <t xml:space="preserve">H</t>
          </r>
        </is>
      </c>
      <c r="E448" s="24" t="n">
        <v>49.7451</v>
      </c>
      <c r="F448" s="30" t="n">
        <v>1.0</v>
      </c>
      <c r="G448" s="30" t="n">
        <f>ROUND(ROUND(E448,8)*F448,4)</f>
        <v>49.7451</v>
      </c>
    </row>
    <row r="449" customHeight="1" ht="15">
      <c r="A449" s="2" t="inlineStr"/>
      <c r="B449" s="2" t="inlineStr"/>
      <c r="C449" s="2" t="inlineStr"/>
      <c r="D449" s="2" t="inlineStr"/>
      <c r="E449" s="26" t="inlineStr">
        <is>
          <r>
            <t xml:space="preserve">TOTAL Geral:</t>
          </r>
        </is>
      </c>
      <c r="F449" s="26" t="inlineStr"/>
      <c r="G449" s="31" t="n">
        <f>SUM(G444:G448)</f>
        <v>210.4272</v>
      </c>
    </row>
    <row r="450" customHeight="1" ht="15">
      <c r="A450" s="2" t="inlineStr"/>
      <c r="B450" s="2" t="inlineStr"/>
      <c r="C450" s="2" t="inlineStr"/>
      <c r="D450" s="2" t="inlineStr"/>
      <c r="E450" s="28" t="inlineStr">
        <is>
          <r>
            <t xml:space="preserve">VALOR:</t>
          </r>
        </is>
      </c>
      <c r="F450" s="28" t="inlineStr"/>
      <c r="G450" s="29" t="n">
        <f>ROUND(SUM(G449),2)</f>
        <v>210.43</v>
      </c>
    </row>
    <row r="451" customHeight="1" ht="15">
      <c r="A451" s="2" t="inlineStr"/>
      <c r="B451" s="2" t="inlineStr"/>
      <c r="C451" s="2" t="inlineStr"/>
      <c r="D451" s="2" t="inlineStr"/>
      <c r="E451" s="28" t="inlineStr">
        <is>
          <r>
            <t xml:space="preserve">VALOR BDI:</t>
          </r>
        </is>
      </c>
      <c r="F451" s="28" t="inlineStr"/>
      <c r="G451" s="29" t="n">
        <f>ROUND(G450*(0/100),2)</f>
        <v>0.0</v>
      </c>
    </row>
    <row r="452" customHeight="1" ht="15">
      <c r="A452" s="2" t="inlineStr"/>
      <c r="B452" s="2" t="inlineStr"/>
      <c r="C452" s="2" t="inlineStr"/>
      <c r="D452" s="2" t="inlineStr"/>
      <c r="E452" s="28" t="inlineStr">
        <is>
          <r>
            <t xml:space="preserve">VALOR COM BDI:</t>
          </r>
        </is>
      </c>
      <c r="F452" s="28" t="inlineStr"/>
      <c r="G452" s="29" t="n">
        <f>G451+G450</f>
        <v>210.43</v>
      </c>
    </row>
    <row r="453" customHeight="1" ht="10">
      <c r="A453" s="2" t="inlineStr"/>
      <c r="B453" s="2" t="inlineStr"/>
      <c r="C453" s="2" t="inlineStr"/>
      <c r="D453" s="2" t="inlineStr"/>
      <c r="E453" s="18" t="inlineStr"/>
      <c r="F453" s="18" t="inlineStr"/>
      <c r="G453" s="18" t="inlineStr"/>
    </row>
    <row r="454" customHeight="1" ht="20">
      <c r="A454" s="19" t="inlineStr">
        <is>
          <r>
            <t xml:space="preserve">​I0578​ CAMINHÃO BASCULANTE 6 M3 (CHI)​ (H)</t>
          </r>
        </is>
      </c>
      <c r="B454" s="19" t="inlineStr"/>
      <c r="C454" s="19" t="inlineStr"/>
      <c r="D454" s="19" t="inlineStr"/>
      <c r="E454" s="19" t="inlineStr"/>
      <c r="F454" s="19" t="inlineStr"/>
      <c r="G454" s="19" t="inlineStr"/>
    </row>
    <row r="455" customHeight="1" ht="15">
      <c r="A455" s="20" t="inlineStr">
        <is>
          <r>
            <t xml:space="preserve">Geral</t>
          </r>
        </is>
      </c>
      <c r="B455" s="20" t="inlineStr"/>
      <c r="C455" s="21" t="inlineStr">
        <is>
          <r>
            <t xml:space="preserve">FONTE</t>
          </r>
        </is>
      </c>
      <c r="D455" s="21" t="inlineStr">
        <is>
          <r>
            <t xml:space="preserve">UNID</t>
          </r>
        </is>
      </c>
      <c r="E455" s="21" t="inlineStr">
        <is>
          <r>
            <t xml:space="preserve">COEFICIENTE</t>
          </r>
        </is>
      </c>
      <c r="F455" s="21" t="inlineStr">
        <is>
          <r>
            <t xml:space="preserve">PREÇO UNITÁRIO</t>
          </r>
        </is>
      </c>
      <c r="G455" s="21" t="inlineStr">
        <is>
          <r>
            <t xml:space="preserve">TOTAL</t>
          </r>
        </is>
      </c>
    </row>
    <row r="456" customHeight="1" ht="21">
      <c r="A456" s="22" t="inlineStr">
        <is>
          <r>
            <t xml:space="preserve">I2722</t>
          </r>
        </is>
      </c>
      <c r="B456" s="23" t="inlineStr">
        <is>
          <r>
            <t xml:space="preserve">MÃO DE OBRA DE OPERAÇÃO DO CAMINHÃO BASCULANTE 6M3</t>
          </r>
        </is>
      </c>
      <c r="C456" s="22" t="inlineStr">
        <is>
          <r>
            <t xml:space="preserve">SEINFRA</t>
          </r>
        </is>
      </c>
      <c r="D456" s="22" t="inlineStr">
        <is>
          <r>
            <t xml:space="preserve">H</t>
          </r>
        </is>
      </c>
      <c r="E456" s="24" t="n">
        <v>1.0</v>
      </c>
      <c r="F456" s="30" t="n">
        <v>24.51</v>
      </c>
      <c r="G456" s="30" t="n">
        <f>ROUND(ROUND(E456,8)*F456,4)</f>
        <v>24.51</v>
      </c>
    </row>
    <row r="457" customHeight="1" ht="15">
      <c r="A457" s="22" t="inlineStr">
        <is>
          <r>
            <t xml:space="preserve">I2701</t>
          </r>
        </is>
      </c>
      <c r="B457" s="23" t="inlineStr">
        <is>
          <r>
            <t xml:space="preserve">DEPRECIAÇÃO</t>
          </r>
        </is>
      </c>
      <c r="C457" s="22" t="inlineStr">
        <is>
          <r>
            <t xml:space="preserve">SEINFRA</t>
          </r>
        </is>
      </c>
      <c r="D457" s="22" t="inlineStr">
        <is>
          <r>
            <t xml:space="preserve">H</t>
          </r>
        </is>
      </c>
      <c r="E457" s="24" t="n">
        <v>28.6648</v>
      </c>
      <c r="F457" s="30" t="n">
        <v>1.0</v>
      </c>
      <c r="G457" s="30" t="n">
        <f>ROUND(ROUND(E457,8)*F457,4)</f>
        <v>28.6648</v>
      </c>
    </row>
    <row r="458" customHeight="1" ht="15">
      <c r="A458" s="22" t="inlineStr">
        <is>
          <r>
            <t xml:space="preserve">I2702</t>
          </r>
        </is>
      </c>
      <c r="B458" s="23" t="inlineStr">
        <is>
          <r>
            <t xml:space="preserve">JUROS</t>
          </r>
        </is>
      </c>
      <c r="C458" s="22" t="inlineStr">
        <is>
          <r>
            <t xml:space="preserve">SEINFRA</t>
          </r>
        </is>
      </c>
      <c r="D458" s="22" t="inlineStr">
        <is>
          <r>
            <t xml:space="preserve">H</t>
          </r>
        </is>
      </c>
      <c r="E458" s="24" t="n">
        <v>9.6744</v>
      </c>
      <c r="F458" s="30" t="n">
        <v>1.0</v>
      </c>
      <c r="G458" s="30" t="n">
        <f>ROUND(ROUND(E458,8)*F458,4)</f>
        <v>9.6744</v>
      </c>
    </row>
    <row r="459" customHeight="1" ht="15">
      <c r="A459" s="2" t="inlineStr"/>
      <c r="B459" s="2" t="inlineStr"/>
      <c r="C459" s="2" t="inlineStr"/>
      <c r="D459" s="2" t="inlineStr"/>
      <c r="E459" s="26" t="inlineStr">
        <is>
          <r>
            <t xml:space="preserve">TOTAL Geral:</t>
          </r>
        </is>
      </c>
      <c r="F459" s="26" t="inlineStr"/>
      <c r="G459" s="31" t="n">
        <f>SUM(G456:G458)</f>
        <v>62.8492</v>
      </c>
    </row>
    <row r="460" customHeight="1" ht="15">
      <c r="A460" s="2" t="inlineStr"/>
      <c r="B460" s="2" t="inlineStr"/>
      <c r="C460" s="2" t="inlineStr"/>
      <c r="D460" s="2" t="inlineStr"/>
      <c r="E460" s="28" t="inlineStr">
        <is>
          <r>
            <t xml:space="preserve">VALOR:</t>
          </r>
        </is>
      </c>
      <c r="F460" s="28" t="inlineStr"/>
      <c r="G460" s="29" t="n">
        <f>ROUND(SUM(G459),2)</f>
        <v>62.85</v>
      </c>
    </row>
    <row r="461" customHeight="1" ht="15">
      <c r="A461" s="2" t="inlineStr"/>
      <c r="B461" s="2" t="inlineStr"/>
      <c r="C461" s="2" t="inlineStr"/>
      <c r="D461" s="2" t="inlineStr"/>
      <c r="E461" s="28" t="inlineStr">
        <is>
          <r>
            <t xml:space="preserve">VALOR BDI:</t>
          </r>
        </is>
      </c>
      <c r="F461" s="28" t="inlineStr"/>
      <c r="G461" s="29" t="n">
        <f>ROUND(G460*(0/100),2)</f>
        <v>0.0</v>
      </c>
    </row>
    <row r="462" customHeight="1" ht="15">
      <c r="A462" s="2" t="inlineStr"/>
      <c r="B462" s="2" t="inlineStr"/>
      <c r="C462" s="2" t="inlineStr"/>
      <c r="D462" s="2" t="inlineStr"/>
      <c r="E462" s="28" t="inlineStr">
        <is>
          <r>
            <t xml:space="preserve">VALOR COM BDI:</t>
          </r>
        </is>
      </c>
      <c r="F462" s="28" t="inlineStr"/>
      <c r="G462" s="29" t="n">
        <f>G461+G460</f>
        <v>62.85</v>
      </c>
    </row>
    <row r="463" customHeight="1" ht="10">
      <c r="A463" s="2" t="inlineStr"/>
      <c r="B463" s="2" t="inlineStr"/>
      <c r="C463" s="2" t="inlineStr"/>
      <c r="D463" s="2" t="inlineStr"/>
      <c r="E463" s="18" t="inlineStr"/>
      <c r="F463" s="18" t="inlineStr"/>
      <c r="G463" s="18" t="inlineStr"/>
    </row>
    <row r="464" customHeight="1" ht="20">
      <c r="A464" s="19" t="inlineStr">
        <is>
          <r>
            <t xml:space="preserve">​I0690​ CAMINHÃO BASCULANTE 6 M3 (CHP)​ (H)</t>
          </r>
        </is>
      </c>
      <c r="B464" s="19" t="inlineStr"/>
      <c r="C464" s="19" t="inlineStr"/>
      <c r="D464" s="19" t="inlineStr"/>
      <c r="E464" s="19" t="inlineStr"/>
      <c r="F464" s="19" t="inlineStr"/>
      <c r="G464" s="19" t="inlineStr"/>
    </row>
    <row r="465" customHeight="1" ht="15">
      <c r="A465" s="20" t="inlineStr">
        <is>
          <r>
            <t xml:space="preserve">Geral</t>
          </r>
        </is>
      </c>
      <c r="B465" s="20" t="inlineStr"/>
      <c r="C465" s="21" t="inlineStr">
        <is>
          <r>
            <t xml:space="preserve">FONTE</t>
          </r>
        </is>
      </c>
      <c r="D465" s="21" t="inlineStr">
        <is>
          <r>
            <t xml:space="preserve">UNID</t>
          </r>
        </is>
      </c>
      <c r="E465" s="21" t="inlineStr">
        <is>
          <r>
            <t xml:space="preserve">COEFICIENTE</t>
          </r>
        </is>
      </c>
      <c r="F465" s="21" t="inlineStr">
        <is>
          <r>
            <t xml:space="preserve">PREÇO UNITÁRIO</t>
          </r>
        </is>
      </c>
      <c r="G465" s="21" t="inlineStr">
        <is>
          <r>
            <t xml:space="preserve">TOTAL</t>
          </r>
        </is>
      </c>
    </row>
    <row r="466" customHeight="1" ht="21">
      <c r="A466" s="22" t="inlineStr">
        <is>
          <r>
            <t xml:space="preserve">I2722</t>
          </r>
        </is>
      </c>
      <c r="B466" s="23" t="inlineStr">
        <is>
          <r>
            <t xml:space="preserve">MÃO DE OBRA DE OPERAÇÃO DO CAMINHÃO BASCULANTE 6M3</t>
          </r>
        </is>
      </c>
      <c r="C466" s="22" t="inlineStr">
        <is>
          <r>
            <t xml:space="preserve">SEINFRA</t>
          </r>
        </is>
      </c>
      <c r="D466" s="22" t="inlineStr">
        <is>
          <r>
            <t xml:space="preserve">H</t>
          </r>
        </is>
      </c>
      <c r="E466" s="24" t="n">
        <v>1.0</v>
      </c>
      <c r="F466" s="30" t="n">
        <v>24.51</v>
      </c>
      <c r="G466" s="30" t="n">
        <f>ROUND(ROUND(E466,8)*F466,4)</f>
        <v>24.51</v>
      </c>
    </row>
    <row r="467" customHeight="1" ht="15">
      <c r="A467" s="22" t="inlineStr">
        <is>
          <r>
            <t xml:space="preserve">I2721</t>
          </r>
        </is>
      </c>
      <c r="B467" s="23" t="inlineStr">
        <is>
          <r>
            <t xml:space="preserve">MATERIAL DE OPERAÇÃO DO CAMINHÃO BASCULANTE 6M3</t>
          </r>
        </is>
      </c>
      <c r="C467" s="22" t="inlineStr">
        <is>
          <r>
            <t xml:space="preserve">SEINFRA</t>
          </r>
        </is>
      </c>
      <c r="D467" s="22" t="inlineStr">
        <is>
          <r>
            <t xml:space="preserve">H</t>
          </r>
        </is>
      </c>
      <c r="E467" s="24" t="n">
        <v>1.0</v>
      </c>
      <c r="F467" s="30" t="n">
        <v>67.864</v>
      </c>
      <c r="G467" s="30" t="n">
        <f>ROUND(ROUND(E467,8)*F467,4)</f>
        <v>67.864</v>
      </c>
    </row>
    <row r="468" customHeight="1" ht="15">
      <c r="A468" s="22" t="inlineStr">
        <is>
          <r>
            <t xml:space="preserve">I2701</t>
          </r>
        </is>
      </c>
      <c r="B468" s="23" t="inlineStr">
        <is>
          <r>
            <t xml:space="preserve">DEPRECIAÇÃO</t>
          </r>
        </is>
      </c>
      <c r="C468" s="22" t="inlineStr">
        <is>
          <r>
            <t xml:space="preserve">SEINFRA</t>
          </r>
        </is>
      </c>
      <c r="D468" s="22" t="inlineStr">
        <is>
          <r>
            <t xml:space="preserve">H</t>
          </r>
        </is>
      </c>
      <c r="E468" s="24" t="n">
        <v>28.6648</v>
      </c>
      <c r="F468" s="30" t="n">
        <v>1.0</v>
      </c>
      <c r="G468" s="30" t="n">
        <f>ROUND(ROUND(E468,8)*F468,4)</f>
        <v>28.6648</v>
      </c>
    </row>
    <row r="469" customHeight="1" ht="15">
      <c r="A469" s="22" t="inlineStr">
        <is>
          <r>
            <t xml:space="preserve">I2702</t>
          </r>
        </is>
      </c>
      <c r="B469" s="23" t="inlineStr">
        <is>
          <r>
            <t xml:space="preserve">JUROS</t>
          </r>
        </is>
      </c>
      <c r="C469" s="22" t="inlineStr">
        <is>
          <r>
            <t xml:space="preserve">SEINFRA</t>
          </r>
        </is>
      </c>
      <c r="D469" s="22" t="inlineStr">
        <is>
          <r>
            <t xml:space="preserve">H</t>
          </r>
        </is>
      </c>
      <c r="E469" s="24" t="n">
        <v>9.6744</v>
      </c>
      <c r="F469" s="30" t="n">
        <v>1.0</v>
      </c>
      <c r="G469" s="30" t="n">
        <f>ROUND(ROUND(E469,8)*F469,4)</f>
        <v>9.6744</v>
      </c>
    </row>
    <row r="470" customHeight="1" ht="15">
      <c r="A470" s="22" t="inlineStr">
        <is>
          <r>
            <t xml:space="preserve">I2703</t>
          </r>
        </is>
      </c>
      <c r="B470" s="23" t="inlineStr">
        <is>
          <r>
            <t xml:space="preserve">MANUTENÇÃO</t>
          </r>
        </is>
      </c>
      <c r="C470" s="22" t="inlineStr">
        <is>
          <r>
            <t xml:space="preserve">SEINFRA</t>
          </r>
        </is>
      </c>
      <c r="D470" s="22" t="inlineStr">
        <is>
          <r>
            <t xml:space="preserve">H</t>
          </r>
        </is>
      </c>
      <c r="E470" s="24" t="n">
        <v>42.9971</v>
      </c>
      <c r="F470" s="30" t="n">
        <v>1.0</v>
      </c>
      <c r="G470" s="30" t="n">
        <f>ROUND(ROUND(E470,8)*F470,4)</f>
        <v>42.9971</v>
      </c>
    </row>
    <row r="471" customHeight="1" ht="15">
      <c r="A471" s="2" t="inlineStr"/>
      <c r="B471" s="2" t="inlineStr"/>
      <c r="C471" s="2" t="inlineStr"/>
      <c r="D471" s="2" t="inlineStr"/>
      <c r="E471" s="26" t="inlineStr">
        <is>
          <r>
            <t xml:space="preserve">TOTAL Geral:</t>
          </r>
        </is>
      </c>
      <c r="F471" s="26" t="inlineStr"/>
      <c r="G471" s="31" t="n">
        <f>SUM(G466:G470)</f>
        <v>173.7103</v>
      </c>
    </row>
    <row r="472" customHeight="1" ht="15">
      <c r="A472" s="2" t="inlineStr"/>
      <c r="B472" s="2" t="inlineStr"/>
      <c r="C472" s="2" t="inlineStr"/>
      <c r="D472" s="2" t="inlineStr"/>
      <c r="E472" s="28" t="inlineStr">
        <is>
          <r>
            <t xml:space="preserve">VALOR:</t>
          </r>
        </is>
      </c>
      <c r="F472" s="28" t="inlineStr"/>
      <c r="G472" s="29" t="n">
        <f>ROUND(SUM(G471),2)</f>
        <v>173.71</v>
      </c>
    </row>
    <row r="473" customHeight="1" ht="15">
      <c r="A473" s="2" t="inlineStr"/>
      <c r="B473" s="2" t="inlineStr"/>
      <c r="C473" s="2" t="inlineStr"/>
      <c r="D473" s="2" t="inlineStr"/>
      <c r="E473" s="28" t="inlineStr">
        <is>
          <r>
            <t xml:space="preserve">VALOR BDI:</t>
          </r>
        </is>
      </c>
      <c r="F473" s="28" t="inlineStr"/>
      <c r="G473" s="29" t="n">
        <f>ROUND(G472*(0/100),2)</f>
        <v>0.0</v>
      </c>
    </row>
    <row r="474" customHeight="1" ht="15">
      <c r="A474" s="2" t="inlineStr"/>
      <c r="B474" s="2" t="inlineStr"/>
      <c r="C474" s="2" t="inlineStr"/>
      <c r="D474" s="2" t="inlineStr"/>
      <c r="E474" s="28" t="inlineStr">
        <is>
          <r>
            <t xml:space="preserve">VALOR COM BDI:</t>
          </r>
        </is>
      </c>
      <c r="F474" s="28" t="inlineStr"/>
      <c r="G474" s="29" t="n">
        <f>G473+G472</f>
        <v>173.71</v>
      </c>
    </row>
    <row r="475" customHeight="1" ht="10">
      <c r="A475" s="2" t="inlineStr"/>
      <c r="B475" s="2" t="inlineStr"/>
      <c r="C475" s="2" t="inlineStr"/>
      <c r="D475" s="2" t="inlineStr"/>
      <c r="E475" s="18" t="inlineStr"/>
      <c r="F475" s="18" t="inlineStr"/>
      <c r="G475" s="18" t="inlineStr"/>
    </row>
    <row r="476" customHeight="1" ht="20">
      <c r="A476" s="19" t="inlineStr">
        <is>
          <r>
            <t xml:space="preserve">​I0581​ CAMINHÃO C/CARROCERIA DE MADEIRA HP 136 (CHI)​ (H)</t>
          </r>
        </is>
      </c>
      <c r="B476" s="19" t="inlineStr"/>
      <c r="C476" s="19" t="inlineStr"/>
      <c r="D476" s="19" t="inlineStr"/>
      <c r="E476" s="19" t="inlineStr"/>
      <c r="F476" s="19" t="inlineStr"/>
      <c r="G476" s="19" t="inlineStr"/>
    </row>
    <row r="477" customHeight="1" ht="15">
      <c r="A477" s="20" t="inlineStr">
        <is>
          <r>
            <t xml:space="preserve">Geral</t>
          </r>
        </is>
      </c>
      <c r="B477" s="20" t="inlineStr"/>
      <c r="C477" s="21" t="inlineStr">
        <is>
          <r>
            <t xml:space="preserve">FONTE</t>
          </r>
        </is>
      </c>
      <c r="D477" s="21" t="inlineStr">
        <is>
          <r>
            <t xml:space="preserve">UNID</t>
          </r>
        </is>
      </c>
      <c r="E477" s="21" t="inlineStr">
        <is>
          <r>
            <t xml:space="preserve">COEFICIENTE</t>
          </r>
        </is>
      </c>
      <c r="F477" s="21" t="inlineStr">
        <is>
          <r>
            <t xml:space="preserve">PREÇO UNITÁRIO</t>
          </r>
        </is>
      </c>
      <c r="G477" s="21" t="inlineStr">
        <is>
          <r>
            <t xml:space="preserve">TOTAL</t>
          </r>
        </is>
      </c>
    </row>
    <row r="478" customHeight="1" ht="21">
      <c r="A478" s="22" t="inlineStr">
        <is>
          <r>
            <t xml:space="preserve">I2730</t>
          </r>
        </is>
      </c>
      <c r="B478" s="23" t="inlineStr">
        <is>
          <r>
            <t xml:space="preserve">MÃO DE OBRA DE OPERAÇÃO DO CAMINHÃO C/ CARROCERIA DE MADEIRA (136 HP)</t>
          </r>
        </is>
      </c>
      <c r="C478" s="22" t="inlineStr">
        <is>
          <r>
            <t xml:space="preserve">SEINFRA</t>
          </r>
        </is>
      </c>
      <c r="D478" s="22" t="inlineStr">
        <is>
          <r>
            <t xml:space="preserve">H</t>
          </r>
        </is>
      </c>
      <c r="E478" s="24" t="n">
        <v>1.0</v>
      </c>
      <c r="F478" s="30" t="n">
        <v>24.51</v>
      </c>
      <c r="G478" s="30" t="n">
        <f>ROUND(ROUND(E478,8)*F478,4)</f>
        <v>24.51</v>
      </c>
    </row>
    <row r="479" customHeight="1" ht="15">
      <c r="A479" s="22" t="inlineStr">
        <is>
          <r>
            <t xml:space="preserve">I2701</t>
          </r>
        </is>
      </c>
      <c r="B479" s="23" t="inlineStr">
        <is>
          <r>
            <t xml:space="preserve">DEPRECIAÇÃO</t>
          </r>
        </is>
      </c>
      <c r="C479" s="22" t="inlineStr">
        <is>
          <r>
            <t xml:space="preserve">SEINFRA</t>
          </r>
        </is>
      </c>
      <c r="D479" s="22" t="inlineStr">
        <is>
          <r>
            <t xml:space="preserve">H</t>
          </r>
        </is>
      </c>
      <c r="E479" s="24" t="n">
        <v>27.459</v>
      </c>
      <c r="F479" s="30" t="n">
        <v>1.0</v>
      </c>
      <c r="G479" s="30" t="n">
        <f>ROUND(ROUND(E479,8)*F479,4)</f>
        <v>27.459</v>
      </c>
    </row>
    <row r="480" customHeight="1" ht="15">
      <c r="A480" s="22" t="inlineStr">
        <is>
          <r>
            <t xml:space="preserve">I2702</t>
          </r>
        </is>
      </c>
      <c r="B480" s="23" t="inlineStr">
        <is>
          <r>
            <t xml:space="preserve">JUROS</t>
          </r>
        </is>
      </c>
      <c r="C480" s="22" t="inlineStr">
        <is>
          <r>
            <t xml:space="preserve">SEINFRA</t>
          </r>
        </is>
      </c>
      <c r="D480" s="22" t="inlineStr">
        <is>
          <r>
            <t xml:space="preserve">H</t>
          </r>
        </is>
      </c>
      <c r="E480" s="24" t="n">
        <v>11.3268</v>
      </c>
      <c r="F480" s="30" t="n">
        <v>1.0</v>
      </c>
      <c r="G480" s="30" t="n">
        <f>ROUND(ROUND(E480,8)*F480,4)</f>
        <v>11.3268</v>
      </c>
    </row>
    <row r="481" customHeight="1" ht="15">
      <c r="A481" s="2" t="inlineStr"/>
      <c r="B481" s="2" t="inlineStr"/>
      <c r="C481" s="2" t="inlineStr"/>
      <c r="D481" s="2" t="inlineStr"/>
      <c r="E481" s="26" t="inlineStr">
        <is>
          <r>
            <t xml:space="preserve">TOTAL Geral:</t>
          </r>
        </is>
      </c>
      <c r="F481" s="26" t="inlineStr"/>
      <c r="G481" s="31" t="n">
        <f>SUM(G478:G480)</f>
        <v>63.2958</v>
      </c>
    </row>
    <row r="482" customHeight="1" ht="15">
      <c r="A482" s="2" t="inlineStr"/>
      <c r="B482" s="2" t="inlineStr"/>
      <c r="C482" s="2" t="inlineStr"/>
      <c r="D482" s="2" t="inlineStr"/>
      <c r="E482" s="28" t="inlineStr">
        <is>
          <r>
            <t xml:space="preserve">VALOR:</t>
          </r>
        </is>
      </c>
      <c r="F482" s="28" t="inlineStr"/>
      <c r="G482" s="29" t="n">
        <f>ROUND(SUM(G481),2)</f>
        <v>63.3</v>
      </c>
    </row>
    <row r="483" customHeight="1" ht="15">
      <c r="A483" s="2" t="inlineStr"/>
      <c r="B483" s="2" t="inlineStr"/>
      <c r="C483" s="2" t="inlineStr"/>
      <c r="D483" s="2" t="inlineStr"/>
      <c r="E483" s="28" t="inlineStr">
        <is>
          <r>
            <t xml:space="preserve">VALOR BDI:</t>
          </r>
        </is>
      </c>
      <c r="F483" s="28" t="inlineStr"/>
      <c r="G483" s="29" t="n">
        <f>ROUND(G482*(0/100),2)</f>
        <v>0.0</v>
      </c>
    </row>
    <row r="484" customHeight="1" ht="15">
      <c r="A484" s="2" t="inlineStr"/>
      <c r="B484" s="2" t="inlineStr"/>
      <c r="C484" s="2" t="inlineStr"/>
      <c r="D484" s="2" t="inlineStr"/>
      <c r="E484" s="28" t="inlineStr">
        <is>
          <r>
            <t xml:space="preserve">VALOR COM BDI:</t>
          </r>
        </is>
      </c>
      <c r="F484" s="28" t="inlineStr"/>
      <c r="G484" s="29" t="n">
        <f>G483+G482</f>
        <v>63.3</v>
      </c>
    </row>
    <row r="485" customHeight="1" ht="10">
      <c r="A485" s="2" t="inlineStr"/>
      <c r="B485" s="2" t="inlineStr"/>
      <c r="C485" s="2" t="inlineStr"/>
      <c r="D485" s="2" t="inlineStr"/>
      <c r="E485" s="18" t="inlineStr"/>
      <c r="F485" s="18" t="inlineStr"/>
      <c r="G485" s="18" t="inlineStr"/>
    </row>
    <row r="486" customHeight="1" ht="20">
      <c r="A486" s="19" t="inlineStr">
        <is>
          <r>
            <t xml:space="preserve">​I0703​ CAMINHÃO C/CARROCERIA DE MADEIRA HP 136 (CHP)​ (H)</t>
          </r>
        </is>
      </c>
      <c r="B486" s="19" t="inlineStr"/>
      <c r="C486" s="19" t="inlineStr"/>
      <c r="D486" s="19" t="inlineStr"/>
      <c r="E486" s="19" t="inlineStr"/>
      <c r="F486" s="19" t="inlineStr"/>
      <c r="G486" s="19" t="inlineStr"/>
    </row>
    <row r="487" customHeight="1" ht="15">
      <c r="A487" s="20" t="inlineStr">
        <is>
          <r>
            <t xml:space="preserve">Geral</t>
          </r>
        </is>
      </c>
      <c r="B487" s="20" t="inlineStr"/>
      <c r="C487" s="21" t="inlineStr">
        <is>
          <r>
            <t xml:space="preserve">FONTE</t>
          </r>
        </is>
      </c>
      <c r="D487" s="21" t="inlineStr">
        <is>
          <r>
            <t xml:space="preserve">UNID</t>
          </r>
        </is>
      </c>
      <c r="E487" s="21" t="inlineStr">
        <is>
          <r>
            <t xml:space="preserve">COEFICIENTE</t>
          </r>
        </is>
      </c>
      <c r="F487" s="21" t="inlineStr">
        <is>
          <r>
            <t xml:space="preserve">PREÇO UNITÁRIO</t>
          </r>
        </is>
      </c>
      <c r="G487" s="21" t="inlineStr">
        <is>
          <r>
            <t xml:space="preserve">TOTAL</t>
          </r>
        </is>
      </c>
    </row>
    <row r="488" customHeight="1" ht="21">
      <c r="A488" s="22" t="inlineStr">
        <is>
          <r>
            <t xml:space="preserve">I2730</t>
          </r>
        </is>
      </c>
      <c r="B488" s="23" t="inlineStr">
        <is>
          <r>
            <t xml:space="preserve">MÃO DE OBRA DE OPERAÇÃO DO CAMINHÃO C/ CARROCERIA DE MADEIRA (136 HP)</t>
          </r>
        </is>
      </c>
      <c r="C488" s="22" t="inlineStr">
        <is>
          <r>
            <t xml:space="preserve">SEINFRA</t>
          </r>
        </is>
      </c>
      <c r="D488" s="22" t="inlineStr">
        <is>
          <r>
            <t xml:space="preserve">H</t>
          </r>
        </is>
      </c>
      <c r="E488" s="24" t="n">
        <v>1.0</v>
      </c>
      <c r="F488" s="30" t="n">
        <v>24.51</v>
      </c>
      <c r="G488" s="30" t="n">
        <f>ROUND(ROUND(E488,8)*F488,4)</f>
        <v>24.51</v>
      </c>
    </row>
    <row r="489" customHeight="1" ht="21">
      <c r="A489" s="22" t="inlineStr">
        <is>
          <r>
            <t xml:space="preserve">I2729</t>
          </r>
        </is>
      </c>
      <c r="B489" s="23" t="inlineStr">
        <is>
          <r>
            <t xml:space="preserve">MATERIAL DE OPERAÇÃO DO CAMINHÃO C/ CARROCERIA DE MADEIRA (136 HP)</t>
          </r>
        </is>
      </c>
      <c r="C489" s="22" t="inlineStr">
        <is>
          <r>
            <t xml:space="preserve">SEINFRA</t>
          </r>
        </is>
      </c>
      <c r="D489" s="22" t="inlineStr">
        <is>
          <r>
            <t xml:space="preserve">H</t>
          </r>
        </is>
      </c>
      <c r="E489" s="24" t="n">
        <v>1.0</v>
      </c>
      <c r="F489" s="30" t="n">
        <v>67.864</v>
      </c>
      <c r="G489" s="30" t="n">
        <f>ROUND(ROUND(E489,8)*F489,4)</f>
        <v>67.864</v>
      </c>
    </row>
    <row r="490" customHeight="1" ht="15">
      <c r="A490" s="22" t="inlineStr">
        <is>
          <r>
            <t xml:space="preserve">I2701</t>
          </r>
        </is>
      </c>
      <c r="B490" s="23" t="inlineStr">
        <is>
          <r>
            <t xml:space="preserve">DEPRECIAÇÃO</t>
          </r>
        </is>
      </c>
      <c r="C490" s="22" t="inlineStr">
        <is>
          <r>
            <t xml:space="preserve">SEINFRA</t>
          </r>
        </is>
      </c>
      <c r="D490" s="22" t="inlineStr">
        <is>
          <r>
            <t xml:space="preserve">H</t>
          </r>
        </is>
      </c>
      <c r="E490" s="24" t="n">
        <v>27.459</v>
      </c>
      <c r="F490" s="30" t="n">
        <v>1.0</v>
      </c>
      <c r="G490" s="30" t="n">
        <f>ROUND(ROUND(E490,8)*F490,4)</f>
        <v>27.459</v>
      </c>
    </row>
    <row r="491" customHeight="1" ht="15">
      <c r="A491" s="22" t="inlineStr">
        <is>
          <r>
            <t xml:space="preserve">I2702</t>
          </r>
        </is>
      </c>
      <c r="B491" s="23" t="inlineStr">
        <is>
          <r>
            <t xml:space="preserve">JUROS</t>
          </r>
        </is>
      </c>
      <c r="C491" s="22" t="inlineStr">
        <is>
          <r>
            <t xml:space="preserve">SEINFRA</t>
          </r>
        </is>
      </c>
      <c r="D491" s="22" t="inlineStr">
        <is>
          <r>
            <t xml:space="preserve">H</t>
          </r>
        </is>
      </c>
      <c r="E491" s="24" t="n">
        <v>11.3268</v>
      </c>
      <c r="F491" s="30" t="n">
        <v>1.0</v>
      </c>
      <c r="G491" s="30" t="n">
        <f>ROUND(ROUND(E491,8)*F491,4)</f>
        <v>11.3268</v>
      </c>
    </row>
    <row r="492" customHeight="1" ht="15">
      <c r="A492" s="22" t="inlineStr">
        <is>
          <r>
            <t xml:space="preserve">I2703</t>
          </r>
        </is>
      </c>
      <c r="B492" s="23" t="inlineStr">
        <is>
          <r>
            <t xml:space="preserve">MANUTENÇÃO</t>
          </r>
        </is>
      </c>
      <c r="C492" s="22" t="inlineStr">
        <is>
          <r>
            <t xml:space="preserve">SEINFRA</t>
          </r>
        </is>
      </c>
      <c r="D492" s="22" t="inlineStr">
        <is>
          <r>
            <t xml:space="preserve">H</t>
          </r>
        </is>
      </c>
      <c r="E492" s="24" t="n">
        <v>41.1885</v>
      </c>
      <c r="F492" s="30" t="n">
        <v>1.0</v>
      </c>
      <c r="G492" s="30" t="n">
        <f>ROUND(ROUND(E492,8)*F492,4)</f>
        <v>41.1885</v>
      </c>
    </row>
    <row r="493" customHeight="1" ht="15">
      <c r="A493" s="2" t="inlineStr"/>
      <c r="B493" s="2" t="inlineStr"/>
      <c r="C493" s="2" t="inlineStr"/>
      <c r="D493" s="2" t="inlineStr"/>
      <c r="E493" s="26" t="inlineStr">
        <is>
          <r>
            <t xml:space="preserve">TOTAL Geral:</t>
          </r>
        </is>
      </c>
      <c r="F493" s="26" t="inlineStr"/>
      <c r="G493" s="31" t="n">
        <f>SUM(G488:G492)</f>
        <v>172.3483</v>
      </c>
    </row>
    <row r="494" customHeight="1" ht="15">
      <c r="A494" s="2" t="inlineStr"/>
      <c r="B494" s="2" t="inlineStr"/>
      <c r="C494" s="2" t="inlineStr"/>
      <c r="D494" s="2" t="inlineStr"/>
      <c r="E494" s="28" t="inlineStr">
        <is>
          <r>
            <t xml:space="preserve">VALOR:</t>
          </r>
        </is>
      </c>
      <c r="F494" s="28" t="inlineStr"/>
      <c r="G494" s="29" t="n">
        <f>ROUND(SUM(G493),2)</f>
        <v>172.35</v>
      </c>
    </row>
    <row r="495" customHeight="1" ht="15">
      <c r="A495" s="2" t="inlineStr"/>
      <c r="B495" s="2" t="inlineStr"/>
      <c r="C495" s="2" t="inlineStr"/>
      <c r="D495" s="2" t="inlineStr"/>
      <c r="E495" s="28" t="inlineStr">
        <is>
          <r>
            <t xml:space="preserve">VALOR BDI:</t>
          </r>
        </is>
      </c>
      <c r="F495" s="28" t="inlineStr"/>
      <c r="G495" s="29" t="n">
        <f>ROUND(G494*(0/100),2)</f>
        <v>0.0</v>
      </c>
    </row>
    <row r="496" customHeight="1" ht="15">
      <c r="A496" s="2" t="inlineStr"/>
      <c r="B496" s="2" t="inlineStr"/>
      <c r="C496" s="2" t="inlineStr"/>
      <c r="D496" s="2" t="inlineStr"/>
      <c r="E496" s="28" t="inlineStr">
        <is>
          <r>
            <t xml:space="preserve">VALOR COM BDI:</t>
          </r>
        </is>
      </c>
      <c r="F496" s="28" t="inlineStr"/>
      <c r="G496" s="29" t="n">
        <f>G495+G494</f>
        <v>172.35</v>
      </c>
    </row>
    <row r="497" customHeight="1" ht="10">
      <c r="A497" s="2" t="inlineStr"/>
      <c r="B497" s="2" t="inlineStr"/>
      <c r="C497" s="2" t="inlineStr"/>
      <c r="D497" s="2" t="inlineStr"/>
      <c r="E497" s="18" t="inlineStr"/>
      <c r="F497" s="18" t="inlineStr"/>
      <c r="G497" s="18" t="inlineStr"/>
    </row>
    <row r="498" customHeight="1" ht="20">
      <c r="A498" s="19" t="inlineStr">
        <is>
          <r>
            <t xml:space="preserve">​I0582​ CAMINHÃO C/CARROCERIA DE MADEIRA HP 184 (CHI)​ (H)</t>
          </r>
        </is>
      </c>
      <c r="B498" s="19" t="inlineStr"/>
      <c r="C498" s="19" t="inlineStr"/>
      <c r="D498" s="19" t="inlineStr"/>
      <c r="E498" s="19" t="inlineStr"/>
      <c r="F498" s="19" t="inlineStr"/>
      <c r="G498" s="19" t="inlineStr"/>
    </row>
    <row r="499" customHeight="1" ht="15">
      <c r="A499" s="20" t="inlineStr">
        <is>
          <r>
            <t xml:space="preserve">Geral</t>
          </r>
        </is>
      </c>
      <c r="B499" s="20" t="inlineStr"/>
      <c r="C499" s="21" t="inlineStr">
        <is>
          <r>
            <t xml:space="preserve">FONTE</t>
          </r>
        </is>
      </c>
      <c r="D499" s="21" t="inlineStr">
        <is>
          <r>
            <t xml:space="preserve">UNID</t>
          </r>
        </is>
      </c>
      <c r="E499" s="21" t="inlineStr">
        <is>
          <r>
            <t xml:space="preserve">COEFICIENTE</t>
          </r>
        </is>
      </c>
      <c r="F499" s="21" t="inlineStr">
        <is>
          <r>
            <t xml:space="preserve">PREÇO UNITÁRIO</t>
          </r>
        </is>
      </c>
      <c r="G499" s="21" t="inlineStr">
        <is>
          <r>
            <t xml:space="preserve">TOTAL</t>
          </r>
        </is>
      </c>
    </row>
    <row r="500" customHeight="1" ht="21">
      <c r="A500" s="22" t="inlineStr">
        <is>
          <r>
            <t xml:space="preserve">I2732</t>
          </r>
        </is>
      </c>
      <c r="B500" s="23" t="inlineStr">
        <is>
          <r>
            <t xml:space="preserve">MÃO DE OBRA DE OPERAÇÃO DO CAMINHÃO C/ CARROCERIA DE MADEIRA (184 HP)</t>
          </r>
        </is>
      </c>
      <c r="C500" s="22" t="inlineStr">
        <is>
          <r>
            <t xml:space="preserve">SEINFRA</t>
          </r>
        </is>
      </c>
      <c r="D500" s="22" t="inlineStr">
        <is>
          <r>
            <t xml:space="preserve">H</t>
          </r>
        </is>
      </c>
      <c r="E500" s="24" t="n">
        <v>1.0</v>
      </c>
      <c r="F500" s="30" t="n">
        <v>24.51</v>
      </c>
      <c r="G500" s="30" t="n">
        <f>ROUND(ROUND(E500,8)*F500,4)</f>
        <v>24.51</v>
      </c>
    </row>
    <row r="501" customHeight="1" ht="15">
      <c r="A501" s="22" t="inlineStr">
        <is>
          <r>
            <t xml:space="preserve">I2701</t>
          </r>
        </is>
      </c>
      <c r="B501" s="23" t="inlineStr">
        <is>
          <r>
            <t xml:space="preserve">DEPRECIAÇÃO</t>
          </r>
        </is>
      </c>
      <c r="C501" s="22" t="inlineStr">
        <is>
          <r>
            <t xml:space="preserve">SEINFRA</t>
          </r>
        </is>
      </c>
      <c r="D501" s="22" t="inlineStr">
        <is>
          <r>
            <t xml:space="preserve">H</t>
          </r>
        </is>
      </c>
      <c r="E501" s="24" t="n">
        <v>29.8568</v>
      </c>
      <c r="F501" s="30" t="n">
        <v>1.0</v>
      </c>
      <c r="G501" s="30" t="n">
        <f>ROUND(ROUND(E501,8)*F501,4)</f>
        <v>29.8568</v>
      </c>
    </row>
    <row r="502" customHeight="1" ht="15">
      <c r="A502" s="22" t="inlineStr">
        <is>
          <r>
            <t xml:space="preserve">I2702</t>
          </r>
        </is>
      </c>
      <c r="B502" s="23" t="inlineStr">
        <is>
          <r>
            <t xml:space="preserve">JUROS</t>
          </r>
        </is>
      </c>
      <c r="C502" s="22" t="inlineStr">
        <is>
          <r>
            <t xml:space="preserve">SEINFRA</t>
          </r>
        </is>
      </c>
      <c r="D502" s="22" t="inlineStr">
        <is>
          <r>
            <t xml:space="preserve">H</t>
          </r>
        </is>
      </c>
      <c r="E502" s="24" t="n">
        <v>12.3159</v>
      </c>
      <c r="F502" s="30" t="n">
        <v>1.0</v>
      </c>
      <c r="G502" s="30" t="n">
        <f>ROUND(ROUND(E502,8)*F502,4)</f>
        <v>12.3159</v>
      </c>
    </row>
    <row r="503" customHeight="1" ht="15">
      <c r="A503" s="2" t="inlineStr"/>
      <c r="B503" s="2" t="inlineStr"/>
      <c r="C503" s="2" t="inlineStr"/>
      <c r="D503" s="2" t="inlineStr"/>
      <c r="E503" s="26" t="inlineStr">
        <is>
          <r>
            <t xml:space="preserve">TOTAL Geral:</t>
          </r>
        </is>
      </c>
      <c r="F503" s="26" t="inlineStr"/>
      <c r="G503" s="31" t="n">
        <f>SUM(G500:G502)</f>
        <v>66.6827</v>
      </c>
    </row>
    <row r="504" customHeight="1" ht="15">
      <c r="A504" s="2" t="inlineStr"/>
      <c r="B504" s="2" t="inlineStr"/>
      <c r="C504" s="2" t="inlineStr"/>
      <c r="D504" s="2" t="inlineStr"/>
      <c r="E504" s="28" t="inlineStr">
        <is>
          <r>
            <t xml:space="preserve">VALOR:</t>
          </r>
        </is>
      </c>
      <c r="F504" s="28" t="inlineStr"/>
      <c r="G504" s="29" t="n">
        <f>ROUND(SUM(G503),2)</f>
        <v>66.68</v>
      </c>
    </row>
    <row r="505" customHeight="1" ht="15">
      <c r="A505" s="2" t="inlineStr"/>
      <c r="B505" s="2" t="inlineStr"/>
      <c r="C505" s="2" t="inlineStr"/>
      <c r="D505" s="2" t="inlineStr"/>
      <c r="E505" s="28" t="inlineStr">
        <is>
          <r>
            <t xml:space="preserve">VALOR BDI:</t>
          </r>
        </is>
      </c>
      <c r="F505" s="28" t="inlineStr"/>
      <c r="G505" s="29" t="n">
        <f>ROUND(G504*(0/100),2)</f>
        <v>0.0</v>
      </c>
    </row>
    <row r="506" customHeight="1" ht="15">
      <c r="A506" s="2" t="inlineStr"/>
      <c r="B506" s="2" t="inlineStr"/>
      <c r="C506" s="2" t="inlineStr"/>
      <c r="D506" s="2" t="inlineStr"/>
      <c r="E506" s="28" t="inlineStr">
        <is>
          <r>
            <t xml:space="preserve">VALOR COM BDI:</t>
          </r>
        </is>
      </c>
      <c r="F506" s="28" t="inlineStr"/>
      <c r="G506" s="29" t="n">
        <f>G505+G504</f>
        <v>66.68</v>
      </c>
    </row>
    <row r="507" customHeight="1" ht="10">
      <c r="A507" s="2" t="inlineStr"/>
      <c r="B507" s="2" t="inlineStr"/>
      <c r="C507" s="2" t="inlineStr"/>
      <c r="D507" s="2" t="inlineStr"/>
      <c r="E507" s="18" t="inlineStr"/>
      <c r="F507" s="18" t="inlineStr"/>
      <c r="G507" s="18" t="inlineStr"/>
    </row>
    <row r="508" customHeight="1" ht="20">
      <c r="A508" s="19" t="inlineStr">
        <is>
          <r>
            <t xml:space="preserve">​I0693​ CAMINHÃO C/CARROCERIA DE MADEIRA HP 184 (CHP)​ (H)</t>
          </r>
        </is>
      </c>
      <c r="B508" s="19" t="inlineStr"/>
      <c r="C508" s="19" t="inlineStr"/>
      <c r="D508" s="19" t="inlineStr"/>
      <c r="E508" s="19" t="inlineStr"/>
      <c r="F508" s="19" t="inlineStr"/>
      <c r="G508" s="19" t="inlineStr"/>
    </row>
    <row r="509" customHeight="1" ht="15">
      <c r="A509" s="20" t="inlineStr">
        <is>
          <r>
            <t xml:space="preserve">Geral</t>
          </r>
        </is>
      </c>
      <c r="B509" s="20" t="inlineStr"/>
      <c r="C509" s="21" t="inlineStr">
        <is>
          <r>
            <t xml:space="preserve">FONTE</t>
          </r>
        </is>
      </c>
      <c r="D509" s="21" t="inlineStr">
        <is>
          <r>
            <t xml:space="preserve">UNID</t>
          </r>
        </is>
      </c>
      <c r="E509" s="21" t="inlineStr">
        <is>
          <r>
            <t xml:space="preserve">COEFICIENTE</t>
          </r>
        </is>
      </c>
      <c r="F509" s="21" t="inlineStr">
        <is>
          <r>
            <t xml:space="preserve">PREÇO UNITÁRIO</t>
          </r>
        </is>
      </c>
      <c r="G509" s="21" t="inlineStr">
        <is>
          <r>
            <t xml:space="preserve">TOTAL</t>
          </r>
        </is>
      </c>
    </row>
    <row r="510" customHeight="1" ht="21">
      <c r="A510" s="22" t="inlineStr">
        <is>
          <r>
            <t xml:space="preserve">I2732</t>
          </r>
        </is>
      </c>
      <c r="B510" s="23" t="inlineStr">
        <is>
          <r>
            <t xml:space="preserve">MÃO DE OBRA DE OPERAÇÃO DO CAMINHÃO C/ CARROCERIA DE MADEIRA (184 HP)</t>
          </r>
        </is>
      </c>
      <c r="C510" s="22" t="inlineStr">
        <is>
          <r>
            <t xml:space="preserve">SEINFRA</t>
          </r>
        </is>
      </c>
      <c r="D510" s="22" t="inlineStr">
        <is>
          <r>
            <t xml:space="preserve">H</t>
          </r>
        </is>
      </c>
      <c r="E510" s="24" t="n">
        <v>1.0</v>
      </c>
      <c r="F510" s="30" t="n">
        <v>24.51</v>
      </c>
      <c r="G510" s="30" t="n">
        <f>ROUND(ROUND(E510,8)*F510,4)</f>
        <v>24.51</v>
      </c>
    </row>
    <row r="511" customHeight="1" ht="21">
      <c r="A511" s="22" t="inlineStr">
        <is>
          <r>
            <t xml:space="preserve">I2731</t>
          </r>
        </is>
      </c>
      <c r="B511" s="23" t="inlineStr">
        <is>
          <r>
            <t xml:space="preserve">MATERIAL DE OPERAÇÃO DO CAMINHÃO C/ CARROCERIA DE MADEIRA (184 HP)</t>
          </r>
        </is>
      </c>
      <c r="C511" s="22" t="inlineStr">
        <is>
          <r>
            <t xml:space="preserve">SEINFRA</t>
          </r>
        </is>
      </c>
      <c r="D511" s="22" t="inlineStr">
        <is>
          <r>
            <t xml:space="preserve">H</t>
          </r>
        </is>
      </c>
      <c r="E511" s="24" t="n">
        <v>1.0</v>
      </c>
      <c r="F511" s="30" t="n">
        <v>91.816</v>
      </c>
      <c r="G511" s="30" t="n">
        <f>ROUND(ROUND(E511,8)*F511,4)</f>
        <v>91.816</v>
      </c>
    </row>
    <row r="512" customHeight="1" ht="15">
      <c r="A512" s="22" t="inlineStr">
        <is>
          <r>
            <t xml:space="preserve">I2701</t>
          </r>
        </is>
      </c>
      <c r="B512" s="23" t="inlineStr">
        <is>
          <r>
            <t xml:space="preserve">DEPRECIAÇÃO</t>
          </r>
        </is>
      </c>
      <c r="C512" s="22" t="inlineStr">
        <is>
          <r>
            <t xml:space="preserve">SEINFRA</t>
          </r>
        </is>
      </c>
      <c r="D512" s="22" t="inlineStr">
        <is>
          <r>
            <t xml:space="preserve">H</t>
          </r>
        </is>
      </c>
      <c r="E512" s="24" t="n">
        <v>29.8568</v>
      </c>
      <c r="F512" s="30" t="n">
        <v>1.0</v>
      </c>
      <c r="G512" s="30" t="n">
        <f>ROUND(ROUND(E512,8)*F512,4)</f>
        <v>29.8568</v>
      </c>
    </row>
    <row r="513" customHeight="1" ht="15">
      <c r="A513" s="22" t="inlineStr">
        <is>
          <r>
            <t xml:space="preserve">I2702</t>
          </r>
        </is>
      </c>
      <c r="B513" s="23" t="inlineStr">
        <is>
          <r>
            <t xml:space="preserve">JUROS</t>
          </r>
        </is>
      </c>
      <c r="C513" s="22" t="inlineStr">
        <is>
          <r>
            <t xml:space="preserve">SEINFRA</t>
          </r>
        </is>
      </c>
      <c r="D513" s="22" t="inlineStr">
        <is>
          <r>
            <t xml:space="preserve">H</t>
          </r>
        </is>
      </c>
      <c r="E513" s="24" t="n">
        <v>12.3159</v>
      </c>
      <c r="F513" s="30" t="n">
        <v>1.0</v>
      </c>
      <c r="G513" s="30" t="n">
        <f>ROUND(ROUND(E513,8)*F513,4)</f>
        <v>12.3159</v>
      </c>
    </row>
    <row r="514" customHeight="1" ht="15">
      <c r="A514" s="22" t="inlineStr">
        <is>
          <r>
            <t xml:space="preserve">I2703</t>
          </r>
        </is>
      </c>
      <c r="B514" s="23" t="inlineStr">
        <is>
          <r>
            <t xml:space="preserve">MANUTENÇÃO</t>
          </r>
        </is>
      </c>
      <c r="C514" s="22" t="inlineStr">
        <is>
          <r>
            <t xml:space="preserve">SEINFRA</t>
          </r>
        </is>
      </c>
      <c r="D514" s="22" t="inlineStr">
        <is>
          <r>
            <t xml:space="preserve">H</t>
          </r>
        </is>
      </c>
      <c r="E514" s="24" t="n">
        <v>44.7853</v>
      </c>
      <c r="F514" s="30" t="n">
        <v>1.0</v>
      </c>
      <c r="G514" s="30" t="n">
        <f>ROUND(ROUND(E514,8)*F514,4)</f>
        <v>44.7853</v>
      </c>
    </row>
    <row r="515" customHeight="1" ht="15">
      <c r="A515" s="2" t="inlineStr"/>
      <c r="B515" s="2" t="inlineStr"/>
      <c r="C515" s="2" t="inlineStr"/>
      <c r="D515" s="2" t="inlineStr"/>
      <c r="E515" s="26" t="inlineStr">
        <is>
          <r>
            <t xml:space="preserve">TOTAL Geral:</t>
          </r>
        </is>
      </c>
      <c r="F515" s="26" t="inlineStr"/>
      <c r="G515" s="31" t="n">
        <f>SUM(G510:G514)</f>
        <v>203.284</v>
      </c>
    </row>
    <row r="516" customHeight="1" ht="15">
      <c r="A516" s="2" t="inlineStr"/>
      <c r="B516" s="2" t="inlineStr"/>
      <c r="C516" s="2" t="inlineStr"/>
      <c r="D516" s="2" t="inlineStr"/>
      <c r="E516" s="28" t="inlineStr">
        <is>
          <r>
            <t xml:space="preserve">VALOR:</t>
          </r>
        </is>
      </c>
      <c r="F516" s="28" t="inlineStr"/>
      <c r="G516" s="29" t="n">
        <f>ROUND(SUM(G515),2)</f>
        <v>203.28</v>
      </c>
    </row>
    <row r="517" customHeight="1" ht="15">
      <c r="A517" s="2" t="inlineStr"/>
      <c r="B517" s="2" t="inlineStr"/>
      <c r="C517" s="2" t="inlineStr"/>
      <c r="D517" s="2" t="inlineStr"/>
      <c r="E517" s="28" t="inlineStr">
        <is>
          <r>
            <t xml:space="preserve">VALOR BDI:</t>
          </r>
        </is>
      </c>
      <c r="F517" s="28" t="inlineStr"/>
      <c r="G517" s="29" t="n">
        <f>ROUND(G516*(0/100),2)</f>
        <v>0.0</v>
      </c>
    </row>
    <row r="518" customHeight="1" ht="15">
      <c r="A518" s="2" t="inlineStr"/>
      <c r="B518" s="2" t="inlineStr"/>
      <c r="C518" s="2" t="inlineStr"/>
      <c r="D518" s="2" t="inlineStr"/>
      <c r="E518" s="28" t="inlineStr">
        <is>
          <r>
            <t xml:space="preserve">VALOR COM BDI:</t>
          </r>
        </is>
      </c>
      <c r="F518" s="28" t="inlineStr"/>
      <c r="G518" s="29" t="n">
        <f>G517+G516</f>
        <v>203.28</v>
      </c>
    </row>
    <row r="519" customHeight="1" ht="10">
      <c r="A519" s="2" t="inlineStr"/>
      <c r="B519" s="2" t="inlineStr"/>
      <c r="C519" s="2" t="inlineStr"/>
      <c r="D519" s="2" t="inlineStr"/>
      <c r="E519" s="18" t="inlineStr"/>
      <c r="F519" s="18" t="inlineStr"/>
      <c r="G519" s="18" t="inlineStr"/>
    </row>
    <row r="520" customHeight="1" ht="20">
      <c r="A520" s="19" t="inlineStr">
        <is>
          <r>
            <t xml:space="preserve">​I0705​ CAMINHÃO COMERC. EQUIP. C/GUINDASTE (CHP)​ (H)</t>
          </r>
        </is>
      </c>
      <c r="B520" s="19" t="inlineStr"/>
      <c r="C520" s="19" t="inlineStr"/>
      <c r="D520" s="19" t="inlineStr"/>
      <c r="E520" s="19" t="inlineStr"/>
      <c r="F520" s="19" t="inlineStr"/>
      <c r="G520" s="19" t="inlineStr"/>
    </row>
    <row r="521" customHeight="1" ht="15">
      <c r="A521" s="20" t="inlineStr">
        <is>
          <r>
            <t xml:space="preserve">Geral</t>
          </r>
        </is>
      </c>
      <c r="B521" s="20" t="inlineStr"/>
      <c r="C521" s="21" t="inlineStr">
        <is>
          <r>
            <t xml:space="preserve">FONTE</t>
          </r>
        </is>
      </c>
      <c r="D521" s="21" t="inlineStr">
        <is>
          <r>
            <t xml:space="preserve">UNID</t>
          </r>
        </is>
      </c>
      <c r="E521" s="21" t="inlineStr">
        <is>
          <r>
            <t xml:space="preserve">COEFICIENTE</t>
          </r>
        </is>
      </c>
      <c r="F521" s="21" t="inlineStr">
        <is>
          <r>
            <t xml:space="preserve">PREÇO UNITÁRIO</t>
          </r>
        </is>
      </c>
      <c r="G521" s="21" t="inlineStr">
        <is>
          <r>
            <t xml:space="preserve">TOTAL</t>
          </r>
        </is>
      </c>
    </row>
    <row r="522" customHeight="1" ht="21">
      <c r="A522" s="22" t="inlineStr">
        <is>
          <r>
            <t xml:space="preserve">I2734</t>
          </r>
        </is>
      </c>
      <c r="B522" s="23" t="inlineStr">
        <is>
          <r>
            <t xml:space="preserve">MÃO DE OBRA DE OPERAÇÃO DO CAMINHÃO COMERC. EQUIP. C/ GUINDAUTO</t>
          </r>
        </is>
      </c>
      <c r="C522" s="22" t="inlineStr">
        <is>
          <r>
            <t xml:space="preserve">SEINFRA</t>
          </r>
        </is>
      </c>
      <c r="D522" s="22" t="inlineStr">
        <is>
          <r>
            <t xml:space="preserve">H</t>
          </r>
        </is>
      </c>
      <c r="E522" s="24" t="n">
        <v>1.0</v>
      </c>
      <c r="F522" s="30" t="n">
        <v>24.51</v>
      </c>
      <c r="G522" s="30" t="n">
        <f>ROUND(ROUND(E522,8)*F522,4)</f>
        <v>24.51</v>
      </c>
    </row>
    <row r="523" customHeight="1" ht="21">
      <c r="A523" s="22" t="inlineStr">
        <is>
          <r>
            <t xml:space="preserve">I2733</t>
          </r>
        </is>
      </c>
      <c r="B523" s="23" t="inlineStr">
        <is>
          <r>
            <t xml:space="preserve">MATERIAL DE OPERAÇÃO DO CAMINHÃO COMERC. EQUIP. C/ GUINDAUTO</t>
          </r>
        </is>
      </c>
      <c r="C523" s="22" t="inlineStr">
        <is>
          <r>
            <t xml:space="preserve">SEINFRA</t>
          </r>
        </is>
      </c>
      <c r="D523" s="22" t="inlineStr">
        <is>
          <r>
            <t xml:space="preserve">H</t>
          </r>
        </is>
      </c>
      <c r="E523" s="24" t="n">
        <v>1.0</v>
      </c>
      <c r="F523" s="30" t="n">
        <v>67.864</v>
      </c>
      <c r="G523" s="30" t="n">
        <f>ROUND(ROUND(E523,8)*F523,4)</f>
        <v>67.864</v>
      </c>
    </row>
    <row r="524" customHeight="1" ht="15">
      <c r="A524" s="22" t="inlineStr">
        <is>
          <r>
            <t xml:space="preserve">I2701</t>
          </r>
        </is>
      </c>
      <c r="B524" s="23" t="inlineStr">
        <is>
          <r>
            <t xml:space="preserve">DEPRECIAÇÃO</t>
          </r>
        </is>
      </c>
      <c r="C524" s="22" t="inlineStr">
        <is>
          <r>
            <t xml:space="preserve">SEINFRA</t>
          </r>
        </is>
      </c>
      <c r="D524" s="22" t="inlineStr">
        <is>
          <r>
            <t xml:space="preserve">H</t>
          </r>
        </is>
      </c>
      <c r="E524" s="24" t="n">
        <v>26.5707</v>
      </c>
      <c r="F524" s="30" t="n">
        <v>1.0</v>
      </c>
      <c r="G524" s="30" t="n">
        <f>ROUND(ROUND(E524,8)*F524,4)</f>
        <v>26.5707</v>
      </c>
    </row>
    <row r="525" customHeight="1" ht="15">
      <c r="A525" s="22" t="inlineStr">
        <is>
          <r>
            <t xml:space="preserve">I2702</t>
          </r>
        </is>
      </c>
      <c r="B525" s="23" t="inlineStr">
        <is>
          <r>
            <t xml:space="preserve">JUROS</t>
          </r>
        </is>
      </c>
      <c r="C525" s="22" t="inlineStr">
        <is>
          <r>
            <t xml:space="preserve">SEINFRA</t>
          </r>
        </is>
      </c>
      <c r="D525" s="22" t="inlineStr">
        <is>
          <r>
            <t xml:space="preserve">H</t>
          </r>
        </is>
      </c>
      <c r="E525" s="24" t="n">
        <v>10.9604</v>
      </c>
      <c r="F525" s="30" t="n">
        <v>1.0</v>
      </c>
      <c r="G525" s="30" t="n">
        <f>ROUND(ROUND(E525,8)*F525,4)</f>
        <v>10.9604</v>
      </c>
    </row>
    <row r="526" customHeight="1" ht="15">
      <c r="A526" s="22" t="inlineStr">
        <is>
          <r>
            <t xml:space="preserve">I2703</t>
          </r>
        </is>
      </c>
      <c r="B526" s="23" t="inlineStr">
        <is>
          <r>
            <t xml:space="preserve">MANUTENÇÃO</t>
          </r>
        </is>
      </c>
      <c r="C526" s="22" t="inlineStr">
        <is>
          <r>
            <t xml:space="preserve">SEINFRA</t>
          </r>
        </is>
      </c>
      <c r="D526" s="22" t="inlineStr">
        <is>
          <r>
            <t xml:space="preserve">H</t>
          </r>
        </is>
      </c>
      <c r="E526" s="24" t="n">
        <v>39.8561</v>
      </c>
      <c r="F526" s="30" t="n">
        <v>1.0</v>
      </c>
      <c r="G526" s="30" t="n">
        <f>ROUND(ROUND(E526,8)*F526,4)</f>
        <v>39.8561</v>
      </c>
    </row>
    <row r="527" customHeight="1" ht="15">
      <c r="A527" s="2" t="inlineStr"/>
      <c r="B527" s="2" t="inlineStr"/>
      <c r="C527" s="2" t="inlineStr"/>
      <c r="D527" s="2" t="inlineStr"/>
      <c r="E527" s="26" t="inlineStr">
        <is>
          <r>
            <t xml:space="preserve">TOTAL Geral:</t>
          </r>
        </is>
      </c>
      <c r="F527" s="26" t="inlineStr"/>
      <c r="G527" s="31" t="n">
        <f>SUM(G522:G526)</f>
        <v>169.7612</v>
      </c>
    </row>
    <row r="528" customHeight="1" ht="15">
      <c r="A528" s="2" t="inlineStr"/>
      <c r="B528" s="2" t="inlineStr"/>
      <c r="C528" s="2" t="inlineStr"/>
      <c r="D528" s="2" t="inlineStr"/>
      <c r="E528" s="28" t="inlineStr">
        <is>
          <r>
            <t xml:space="preserve">VALOR:</t>
          </r>
        </is>
      </c>
      <c r="F528" s="28" t="inlineStr"/>
      <c r="G528" s="29" t="n">
        <f>ROUND(SUM(G527),2)</f>
        <v>169.76</v>
      </c>
    </row>
    <row r="529" customHeight="1" ht="15">
      <c r="A529" s="2" t="inlineStr"/>
      <c r="B529" s="2" t="inlineStr"/>
      <c r="C529" s="2" t="inlineStr"/>
      <c r="D529" s="2" t="inlineStr"/>
      <c r="E529" s="28" t="inlineStr">
        <is>
          <r>
            <t xml:space="preserve">VALOR BDI:</t>
          </r>
        </is>
      </c>
      <c r="F529" s="28" t="inlineStr"/>
      <c r="G529" s="29" t="n">
        <f>ROUND(G528*(0/100),2)</f>
        <v>0.0</v>
      </c>
    </row>
    <row r="530" customHeight="1" ht="15">
      <c r="A530" s="2" t="inlineStr"/>
      <c r="B530" s="2" t="inlineStr"/>
      <c r="C530" s="2" t="inlineStr"/>
      <c r="D530" s="2" t="inlineStr"/>
      <c r="E530" s="28" t="inlineStr">
        <is>
          <r>
            <t xml:space="preserve">VALOR COM BDI:</t>
          </r>
        </is>
      </c>
      <c r="F530" s="28" t="inlineStr"/>
      <c r="G530" s="29" t="n">
        <f>G529+G528</f>
        <v>169.76</v>
      </c>
    </row>
    <row r="531" customHeight="1" ht="10">
      <c r="A531" s="2" t="inlineStr"/>
      <c r="B531" s="2" t="inlineStr"/>
      <c r="C531" s="2" t="inlineStr"/>
      <c r="D531" s="2" t="inlineStr"/>
      <c r="E531" s="18" t="inlineStr"/>
      <c r="F531" s="18" t="inlineStr"/>
      <c r="G531" s="18" t="inlineStr"/>
    </row>
    <row r="532" customHeight="1" ht="20">
      <c r="A532" s="19" t="inlineStr">
        <is>
          <r>
            <t xml:space="preserve">​I0706​ CAMINHÃO TANQUE 6.000 l (CHP)​ (H)</t>
          </r>
        </is>
      </c>
      <c r="B532" s="19" t="inlineStr"/>
      <c r="C532" s="19" t="inlineStr"/>
      <c r="D532" s="19" t="inlineStr"/>
      <c r="E532" s="19" t="inlineStr"/>
      <c r="F532" s="19" t="inlineStr"/>
      <c r="G532" s="19" t="inlineStr"/>
    </row>
    <row r="533" customHeight="1" ht="15">
      <c r="A533" s="20" t="inlineStr">
        <is>
          <r>
            <t xml:space="preserve">Geral</t>
          </r>
        </is>
      </c>
      <c r="B533" s="20" t="inlineStr"/>
      <c r="C533" s="21" t="inlineStr">
        <is>
          <r>
            <t xml:space="preserve">FONTE</t>
          </r>
        </is>
      </c>
      <c r="D533" s="21" t="inlineStr">
        <is>
          <r>
            <t xml:space="preserve">UNID</t>
          </r>
        </is>
      </c>
      <c r="E533" s="21" t="inlineStr">
        <is>
          <r>
            <t xml:space="preserve">COEFICIENTE</t>
          </r>
        </is>
      </c>
      <c r="F533" s="21" t="inlineStr">
        <is>
          <r>
            <t xml:space="preserve">PREÇO UNITÁRIO</t>
          </r>
        </is>
      </c>
      <c r="G533" s="21" t="inlineStr">
        <is>
          <r>
            <t xml:space="preserve">TOTAL</t>
          </r>
        </is>
      </c>
    </row>
    <row r="534" customHeight="1" ht="21">
      <c r="A534" s="22" t="inlineStr">
        <is>
          <r>
            <t xml:space="preserve">I2744</t>
          </r>
        </is>
      </c>
      <c r="B534" s="23" t="inlineStr">
        <is>
          <r>
            <t xml:space="preserve">MÃO DE OBRA DE OPERAÇÃO DO CAMINHÃO TANQUE 6.000 L</t>
          </r>
        </is>
      </c>
      <c r="C534" s="22" t="inlineStr">
        <is>
          <r>
            <t xml:space="preserve">SEINFRA</t>
          </r>
        </is>
      </c>
      <c r="D534" s="22" t="inlineStr">
        <is>
          <r>
            <t xml:space="preserve">H</t>
          </r>
        </is>
      </c>
      <c r="E534" s="24" t="n">
        <v>1.0</v>
      </c>
      <c r="F534" s="30" t="n">
        <v>24.51</v>
      </c>
      <c r="G534" s="30" t="n">
        <f>ROUND(ROUND(E534,8)*F534,4)</f>
        <v>24.51</v>
      </c>
    </row>
    <row r="535" customHeight="1" ht="15">
      <c r="A535" s="22" t="inlineStr">
        <is>
          <r>
            <t xml:space="preserve">I2743</t>
          </r>
        </is>
      </c>
      <c r="B535" s="23" t="inlineStr">
        <is>
          <r>
            <t xml:space="preserve">MATERIAL DE OPERAÇÃO DO CAMINHÃO TANQUE 6.000 L</t>
          </r>
        </is>
      </c>
      <c r="C535" s="22" t="inlineStr">
        <is>
          <r>
            <t xml:space="preserve">SEINFRA</t>
          </r>
        </is>
      </c>
      <c r="D535" s="22" t="inlineStr">
        <is>
          <r>
            <t xml:space="preserve">H</t>
          </r>
        </is>
      </c>
      <c r="E535" s="24" t="n">
        <v>1.0</v>
      </c>
      <c r="F535" s="30" t="n">
        <v>67.864</v>
      </c>
      <c r="G535" s="30" t="n">
        <f>ROUND(ROUND(E535,8)*F535,4)</f>
        <v>67.864</v>
      </c>
    </row>
    <row r="536" customHeight="1" ht="15">
      <c r="A536" s="22" t="inlineStr">
        <is>
          <r>
            <t xml:space="preserve">I2701</t>
          </r>
        </is>
      </c>
      <c r="B536" s="23" t="inlineStr">
        <is>
          <r>
            <t xml:space="preserve">DEPRECIAÇÃO</t>
          </r>
        </is>
      </c>
      <c r="C536" s="22" t="inlineStr">
        <is>
          <r>
            <t xml:space="preserve">SEINFRA</t>
          </r>
        </is>
      </c>
      <c r="D536" s="22" t="inlineStr">
        <is>
          <r>
            <t xml:space="preserve">H</t>
          </r>
        </is>
      </c>
      <c r="E536" s="24" t="n">
        <v>31.5654</v>
      </c>
      <c r="F536" s="30" t="n">
        <v>1.0</v>
      </c>
      <c r="G536" s="30" t="n">
        <f>ROUND(ROUND(E536,8)*F536,4)</f>
        <v>31.5654</v>
      </c>
    </row>
    <row r="537" customHeight="1" ht="15">
      <c r="A537" s="22" t="inlineStr">
        <is>
          <r>
            <t xml:space="preserve">I2702</t>
          </r>
        </is>
      </c>
      <c r="B537" s="23" t="inlineStr">
        <is>
          <r>
            <t xml:space="preserve">JUROS</t>
          </r>
        </is>
      </c>
      <c r="C537" s="22" t="inlineStr">
        <is>
          <r>
            <t xml:space="preserve">SEINFRA</t>
          </r>
        </is>
      </c>
      <c r="D537" s="22" t="inlineStr">
        <is>
          <r>
            <t xml:space="preserve">H</t>
          </r>
        </is>
      </c>
      <c r="E537" s="24" t="n">
        <v>10.6533</v>
      </c>
      <c r="F537" s="30" t="n">
        <v>1.0</v>
      </c>
      <c r="G537" s="30" t="n">
        <f>ROUND(ROUND(E537,8)*F537,4)</f>
        <v>10.6533</v>
      </c>
    </row>
    <row r="538" customHeight="1" ht="15">
      <c r="A538" s="22" t="inlineStr">
        <is>
          <r>
            <t xml:space="preserve">I2703</t>
          </r>
        </is>
      </c>
      <c r="B538" s="23" t="inlineStr">
        <is>
          <r>
            <t xml:space="preserve">MANUTENÇÃO</t>
          </r>
        </is>
      </c>
      <c r="C538" s="22" t="inlineStr">
        <is>
          <r>
            <t xml:space="preserve">SEINFRA</t>
          </r>
        </is>
      </c>
      <c r="D538" s="22" t="inlineStr">
        <is>
          <r>
            <t xml:space="preserve">H</t>
          </r>
        </is>
      </c>
      <c r="E538" s="24" t="n">
        <v>47.348</v>
      </c>
      <c r="F538" s="30" t="n">
        <v>1.0</v>
      </c>
      <c r="G538" s="30" t="n">
        <f>ROUND(ROUND(E538,8)*F538,4)</f>
        <v>47.348</v>
      </c>
    </row>
    <row r="539" customHeight="1" ht="15">
      <c r="A539" s="2" t="inlineStr"/>
      <c r="B539" s="2" t="inlineStr"/>
      <c r="C539" s="2" t="inlineStr"/>
      <c r="D539" s="2" t="inlineStr"/>
      <c r="E539" s="26" t="inlineStr">
        <is>
          <r>
            <t xml:space="preserve">TOTAL Geral:</t>
          </r>
        </is>
      </c>
      <c r="F539" s="26" t="inlineStr"/>
      <c r="G539" s="31" t="n">
        <f>SUM(G534:G538)</f>
        <v>181.9407</v>
      </c>
    </row>
    <row r="540" customHeight="1" ht="15">
      <c r="A540" s="2" t="inlineStr"/>
      <c r="B540" s="2" t="inlineStr"/>
      <c r="C540" s="2" t="inlineStr"/>
      <c r="D540" s="2" t="inlineStr"/>
      <c r="E540" s="28" t="inlineStr">
        <is>
          <r>
            <t xml:space="preserve">VALOR:</t>
          </r>
        </is>
      </c>
      <c r="F540" s="28" t="inlineStr"/>
      <c r="G540" s="29" t="n">
        <f>ROUND(SUM(G539),2)</f>
        <v>181.94</v>
      </c>
    </row>
    <row r="541" customHeight="1" ht="15">
      <c r="A541" s="2" t="inlineStr"/>
      <c r="B541" s="2" t="inlineStr"/>
      <c r="C541" s="2" t="inlineStr"/>
      <c r="D541" s="2" t="inlineStr"/>
      <c r="E541" s="28" t="inlineStr">
        <is>
          <r>
            <t xml:space="preserve">VALOR BDI:</t>
          </r>
        </is>
      </c>
      <c r="F541" s="28" t="inlineStr"/>
      <c r="G541" s="29" t="n">
        <f>ROUND(G540*(0/100),2)</f>
        <v>0.0</v>
      </c>
    </row>
    <row r="542" customHeight="1" ht="15">
      <c r="A542" s="2" t="inlineStr"/>
      <c r="B542" s="2" t="inlineStr"/>
      <c r="C542" s="2" t="inlineStr"/>
      <c r="D542" s="2" t="inlineStr"/>
      <c r="E542" s="28" t="inlineStr">
        <is>
          <r>
            <t xml:space="preserve">VALOR COM BDI:</t>
          </r>
        </is>
      </c>
      <c r="F542" s="28" t="inlineStr"/>
      <c r="G542" s="29" t="n">
        <f>G541+G540</f>
        <v>181.94</v>
      </c>
    </row>
    <row r="543" customHeight="1" ht="10">
      <c r="A543" s="2" t="inlineStr"/>
      <c r="B543" s="2" t="inlineStr"/>
      <c r="C543" s="2" t="inlineStr"/>
      <c r="D543" s="2" t="inlineStr"/>
      <c r="E543" s="18" t="inlineStr"/>
      <c r="F543" s="18" t="inlineStr"/>
      <c r="G543" s="18" t="inlineStr"/>
    </row>
    <row r="544" customHeight="1" ht="20">
      <c r="A544" s="19" t="inlineStr">
        <is>
          <r>
            <t xml:space="preserve">​I0590​ CAMINHÃO TANQUE 8.000 l (CHI)​ (H)</t>
          </r>
        </is>
      </c>
      <c r="B544" s="19" t="inlineStr"/>
      <c r="C544" s="19" t="inlineStr"/>
      <c r="D544" s="19" t="inlineStr"/>
      <c r="E544" s="19" t="inlineStr"/>
      <c r="F544" s="19" t="inlineStr"/>
      <c r="G544" s="19" t="inlineStr"/>
    </row>
    <row r="545" customHeight="1" ht="15">
      <c r="A545" s="20" t="inlineStr">
        <is>
          <r>
            <t xml:space="preserve">Geral</t>
          </r>
        </is>
      </c>
      <c r="B545" s="20" t="inlineStr"/>
      <c r="C545" s="21" t="inlineStr">
        <is>
          <r>
            <t xml:space="preserve">FONTE</t>
          </r>
        </is>
      </c>
      <c r="D545" s="21" t="inlineStr">
        <is>
          <r>
            <t xml:space="preserve">UNID</t>
          </r>
        </is>
      </c>
      <c r="E545" s="21" t="inlineStr">
        <is>
          <r>
            <t xml:space="preserve">COEFICIENTE</t>
          </r>
        </is>
      </c>
      <c r="F545" s="21" t="inlineStr">
        <is>
          <r>
            <t xml:space="preserve">PREÇO UNITÁRIO</t>
          </r>
        </is>
      </c>
      <c r="G545" s="21" t="inlineStr">
        <is>
          <r>
            <t xml:space="preserve">TOTAL</t>
          </r>
        </is>
      </c>
    </row>
    <row r="546" customHeight="1" ht="21">
      <c r="A546" s="22" t="inlineStr">
        <is>
          <r>
            <t xml:space="preserve">I2746</t>
          </r>
        </is>
      </c>
      <c r="B546" s="23" t="inlineStr">
        <is>
          <r>
            <t xml:space="preserve">MÃO DE OBRA DE OPERAÇÃO DO CAMINHÃO TANQUE 8.000 L</t>
          </r>
        </is>
      </c>
      <c r="C546" s="22" t="inlineStr">
        <is>
          <r>
            <t xml:space="preserve">SEINFRA</t>
          </r>
        </is>
      </c>
      <c r="D546" s="22" t="inlineStr">
        <is>
          <r>
            <t xml:space="preserve">H</t>
          </r>
        </is>
      </c>
      <c r="E546" s="24" t="n">
        <v>1.0</v>
      </c>
      <c r="F546" s="30" t="n">
        <v>24.51</v>
      </c>
      <c r="G546" s="30" t="n">
        <f>ROUND(ROUND(E546,8)*F546,4)</f>
        <v>24.51</v>
      </c>
    </row>
    <row r="547" customHeight="1" ht="15">
      <c r="A547" s="22" t="inlineStr">
        <is>
          <r>
            <t xml:space="preserve">I2701</t>
          </r>
        </is>
      </c>
      <c r="B547" s="23" t="inlineStr">
        <is>
          <r>
            <t xml:space="preserve">DEPRECIAÇÃO</t>
          </r>
        </is>
      </c>
      <c r="C547" s="22" t="inlineStr">
        <is>
          <r>
            <t xml:space="preserve">SEINFRA</t>
          </r>
        </is>
      </c>
      <c r="D547" s="22" t="inlineStr">
        <is>
          <r>
            <t xml:space="preserve">H</t>
          </r>
        </is>
      </c>
      <c r="E547" s="24" t="n">
        <v>34.3806</v>
      </c>
      <c r="F547" s="30" t="n">
        <v>1.0</v>
      </c>
      <c r="G547" s="30" t="n">
        <f>ROUND(ROUND(E547,8)*F547,4)</f>
        <v>34.3806</v>
      </c>
    </row>
    <row r="548" customHeight="1" ht="15">
      <c r="A548" s="22" t="inlineStr">
        <is>
          <r>
            <t xml:space="preserve">I2702</t>
          </r>
        </is>
      </c>
      <c r="B548" s="23" t="inlineStr">
        <is>
          <r>
            <t xml:space="preserve">JUROS</t>
          </r>
        </is>
      </c>
      <c r="C548" s="22" t="inlineStr">
        <is>
          <r>
            <t xml:space="preserve">SEINFRA</t>
          </r>
        </is>
      </c>
      <c r="D548" s="22" t="inlineStr">
        <is>
          <r>
            <t xml:space="preserve">H</t>
          </r>
        </is>
      </c>
      <c r="E548" s="24" t="n">
        <v>11.6035</v>
      </c>
      <c r="F548" s="30" t="n">
        <v>1.0</v>
      </c>
      <c r="G548" s="30" t="n">
        <f>ROUND(ROUND(E548,8)*F548,4)</f>
        <v>11.6035</v>
      </c>
    </row>
    <row r="549" customHeight="1" ht="15">
      <c r="A549" s="2" t="inlineStr"/>
      <c r="B549" s="2" t="inlineStr"/>
      <c r="C549" s="2" t="inlineStr"/>
      <c r="D549" s="2" t="inlineStr"/>
      <c r="E549" s="26" t="inlineStr">
        <is>
          <r>
            <t xml:space="preserve">TOTAL Geral:</t>
          </r>
        </is>
      </c>
      <c r="F549" s="26" t="inlineStr"/>
      <c r="G549" s="31" t="n">
        <f>SUM(G546:G548)</f>
        <v>70.4941</v>
      </c>
    </row>
    <row r="550" customHeight="1" ht="15">
      <c r="A550" s="2" t="inlineStr"/>
      <c r="B550" s="2" t="inlineStr"/>
      <c r="C550" s="2" t="inlineStr"/>
      <c r="D550" s="2" t="inlineStr"/>
      <c r="E550" s="28" t="inlineStr">
        <is>
          <r>
            <t xml:space="preserve">VALOR:</t>
          </r>
        </is>
      </c>
      <c r="F550" s="28" t="inlineStr"/>
      <c r="G550" s="29" t="n">
        <f>ROUND(SUM(G549),2)</f>
        <v>70.49</v>
      </c>
    </row>
    <row r="551" customHeight="1" ht="15">
      <c r="A551" s="2" t="inlineStr"/>
      <c r="B551" s="2" t="inlineStr"/>
      <c r="C551" s="2" t="inlineStr"/>
      <c r="D551" s="2" t="inlineStr"/>
      <c r="E551" s="28" t="inlineStr">
        <is>
          <r>
            <t xml:space="preserve">VALOR BDI:</t>
          </r>
        </is>
      </c>
      <c r="F551" s="28" t="inlineStr"/>
      <c r="G551" s="29" t="n">
        <f>ROUND(G550*(0/100),2)</f>
        <v>0.0</v>
      </c>
    </row>
    <row r="552" customHeight="1" ht="15">
      <c r="A552" s="2" t="inlineStr"/>
      <c r="B552" s="2" t="inlineStr"/>
      <c r="C552" s="2" t="inlineStr"/>
      <c r="D552" s="2" t="inlineStr"/>
      <c r="E552" s="28" t="inlineStr">
        <is>
          <r>
            <t xml:space="preserve">VALOR COM BDI:</t>
          </r>
        </is>
      </c>
      <c r="F552" s="28" t="inlineStr"/>
      <c r="G552" s="29" t="n">
        <f>G551+G550</f>
        <v>70.49</v>
      </c>
    </row>
    <row r="553" customHeight="1" ht="10">
      <c r="A553" s="2" t="inlineStr"/>
      <c r="B553" s="2" t="inlineStr"/>
      <c r="C553" s="2" t="inlineStr"/>
      <c r="D553" s="2" t="inlineStr"/>
      <c r="E553" s="18" t="inlineStr"/>
      <c r="F553" s="18" t="inlineStr"/>
      <c r="G553" s="18" t="inlineStr"/>
    </row>
    <row r="554" customHeight="1" ht="20">
      <c r="A554" s="19" t="inlineStr">
        <is>
          <r>
            <t xml:space="preserve">​I0698​ CAMINHÃO TANQUE 8.000 l (CHP)​ (H)</t>
          </r>
        </is>
      </c>
      <c r="B554" s="19" t="inlineStr"/>
      <c r="C554" s="19" t="inlineStr"/>
      <c r="D554" s="19" t="inlineStr"/>
      <c r="E554" s="19" t="inlineStr"/>
      <c r="F554" s="19" t="inlineStr"/>
      <c r="G554" s="19" t="inlineStr"/>
    </row>
    <row r="555" customHeight="1" ht="15">
      <c r="A555" s="20" t="inlineStr">
        <is>
          <r>
            <t xml:space="preserve">Geral</t>
          </r>
        </is>
      </c>
      <c r="B555" s="20" t="inlineStr"/>
      <c r="C555" s="21" t="inlineStr">
        <is>
          <r>
            <t xml:space="preserve">FONTE</t>
          </r>
        </is>
      </c>
      <c r="D555" s="21" t="inlineStr">
        <is>
          <r>
            <t xml:space="preserve">UNID</t>
          </r>
        </is>
      </c>
      <c r="E555" s="21" t="inlineStr">
        <is>
          <r>
            <t xml:space="preserve">COEFICIENTE</t>
          </r>
        </is>
      </c>
      <c r="F555" s="21" t="inlineStr">
        <is>
          <r>
            <t xml:space="preserve">PREÇO UNITÁRIO</t>
          </r>
        </is>
      </c>
      <c r="G555" s="21" t="inlineStr">
        <is>
          <r>
            <t xml:space="preserve">TOTAL</t>
          </r>
        </is>
      </c>
    </row>
    <row r="556" customHeight="1" ht="21">
      <c r="A556" s="22" t="inlineStr">
        <is>
          <r>
            <t xml:space="preserve">I2746</t>
          </r>
        </is>
      </c>
      <c r="B556" s="23" t="inlineStr">
        <is>
          <r>
            <t xml:space="preserve">MÃO DE OBRA DE OPERAÇÃO DO CAMINHÃO TANQUE 8.000 L</t>
          </r>
        </is>
      </c>
      <c r="C556" s="22" t="inlineStr">
        <is>
          <r>
            <t xml:space="preserve">SEINFRA</t>
          </r>
        </is>
      </c>
      <c r="D556" s="22" t="inlineStr">
        <is>
          <r>
            <t xml:space="preserve">H</t>
          </r>
        </is>
      </c>
      <c r="E556" s="24" t="n">
        <v>1.0</v>
      </c>
      <c r="F556" s="30" t="n">
        <v>24.51</v>
      </c>
      <c r="G556" s="30" t="n">
        <f>ROUND(ROUND(E556,8)*F556,4)</f>
        <v>24.51</v>
      </c>
    </row>
    <row r="557" customHeight="1" ht="15">
      <c r="A557" s="22" t="inlineStr">
        <is>
          <r>
            <t xml:space="preserve">I2745</t>
          </r>
        </is>
      </c>
      <c r="B557" s="23" t="inlineStr">
        <is>
          <r>
            <t xml:space="preserve">MATERIAL DE OPERAÇÃO DO CAMINHÃO TANQUE 8.000 L</t>
          </r>
        </is>
      </c>
      <c r="C557" s="22" t="inlineStr">
        <is>
          <r>
            <t xml:space="preserve">SEINFRA</t>
          </r>
        </is>
      </c>
      <c r="D557" s="22" t="inlineStr">
        <is>
          <r>
            <t xml:space="preserve">H</t>
          </r>
        </is>
      </c>
      <c r="E557" s="24" t="n">
        <v>1.0</v>
      </c>
      <c r="F557" s="30" t="n">
        <v>91.816</v>
      </c>
      <c r="G557" s="30" t="n">
        <f>ROUND(ROUND(E557,8)*F557,4)</f>
        <v>91.816</v>
      </c>
    </row>
    <row r="558" customHeight="1" ht="15">
      <c r="A558" s="22" t="inlineStr">
        <is>
          <r>
            <t xml:space="preserve">I2701</t>
          </r>
        </is>
      </c>
      <c r="B558" s="23" t="inlineStr">
        <is>
          <r>
            <t xml:space="preserve">DEPRECIAÇÃO</t>
          </r>
        </is>
      </c>
      <c r="C558" s="22" t="inlineStr">
        <is>
          <r>
            <t xml:space="preserve">SEINFRA</t>
          </r>
        </is>
      </c>
      <c r="D558" s="22" t="inlineStr">
        <is>
          <r>
            <t xml:space="preserve">H</t>
          </r>
        </is>
      </c>
      <c r="E558" s="24" t="n">
        <v>34.3806</v>
      </c>
      <c r="F558" s="30" t="n">
        <v>1.0</v>
      </c>
      <c r="G558" s="30" t="n">
        <f>ROUND(ROUND(E558,8)*F558,4)</f>
        <v>34.3806</v>
      </c>
    </row>
    <row r="559" customHeight="1" ht="15">
      <c r="A559" s="22" t="inlineStr">
        <is>
          <r>
            <t xml:space="preserve">I2702</t>
          </r>
        </is>
      </c>
      <c r="B559" s="23" t="inlineStr">
        <is>
          <r>
            <t xml:space="preserve">JUROS</t>
          </r>
        </is>
      </c>
      <c r="C559" s="22" t="inlineStr">
        <is>
          <r>
            <t xml:space="preserve">SEINFRA</t>
          </r>
        </is>
      </c>
      <c r="D559" s="22" t="inlineStr">
        <is>
          <r>
            <t xml:space="preserve">H</t>
          </r>
        </is>
      </c>
      <c r="E559" s="24" t="n">
        <v>11.6035</v>
      </c>
      <c r="F559" s="30" t="n">
        <v>1.0</v>
      </c>
      <c r="G559" s="30" t="n">
        <f>ROUND(ROUND(E559,8)*F559,4)</f>
        <v>11.6035</v>
      </c>
    </row>
    <row r="560" customHeight="1" ht="15">
      <c r="A560" s="22" t="inlineStr">
        <is>
          <r>
            <t xml:space="preserve">I2703</t>
          </r>
        </is>
      </c>
      <c r="B560" s="23" t="inlineStr">
        <is>
          <r>
            <t xml:space="preserve">MANUTENÇÃO</t>
          </r>
        </is>
      </c>
      <c r="C560" s="22" t="inlineStr">
        <is>
          <r>
            <t xml:space="preserve">SEINFRA</t>
          </r>
        </is>
      </c>
      <c r="D560" s="22" t="inlineStr">
        <is>
          <r>
            <t xml:space="preserve">H</t>
          </r>
        </is>
      </c>
      <c r="E560" s="24" t="n">
        <v>51.571</v>
      </c>
      <c r="F560" s="30" t="n">
        <v>1.0</v>
      </c>
      <c r="G560" s="30" t="n">
        <f>ROUND(ROUND(E560,8)*F560,4)</f>
        <v>51.571</v>
      </c>
    </row>
    <row r="561" customHeight="1" ht="15">
      <c r="A561" s="2" t="inlineStr"/>
      <c r="B561" s="2" t="inlineStr"/>
      <c r="C561" s="2" t="inlineStr"/>
      <c r="D561" s="2" t="inlineStr"/>
      <c r="E561" s="26" t="inlineStr">
        <is>
          <r>
            <t xml:space="preserve">TOTAL Geral:</t>
          </r>
        </is>
      </c>
      <c r="F561" s="26" t="inlineStr"/>
      <c r="G561" s="31" t="n">
        <f>SUM(G556:G560)</f>
        <v>213.8811</v>
      </c>
    </row>
    <row r="562" customHeight="1" ht="15">
      <c r="A562" s="2" t="inlineStr"/>
      <c r="B562" s="2" t="inlineStr"/>
      <c r="C562" s="2" t="inlineStr"/>
      <c r="D562" s="2" t="inlineStr"/>
      <c r="E562" s="28" t="inlineStr">
        <is>
          <r>
            <t xml:space="preserve">VALOR:</t>
          </r>
        </is>
      </c>
      <c r="F562" s="28" t="inlineStr"/>
      <c r="G562" s="29" t="n">
        <f>ROUND(SUM(G561),2)</f>
        <v>213.88</v>
      </c>
    </row>
    <row r="563" customHeight="1" ht="15">
      <c r="A563" s="2" t="inlineStr"/>
      <c r="B563" s="2" t="inlineStr"/>
      <c r="C563" s="2" t="inlineStr"/>
      <c r="D563" s="2" t="inlineStr"/>
      <c r="E563" s="28" t="inlineStr">
        <is>
          <r>
            <t xml:space="preserve">VALOR BDI:</t>
          </r>
        </is>
      </c>
      <c r="F563" s="28" t="inlineStr"/>
      <c r="G563" s="29" t="n">
        <f>ROUND(G562*(0/100),2)</f>
        <v>0.0</v>
      </c>
    </row>
    <row r="564" customHeight="1" ht="15">
      <c r="A564" s="2" t="inlineStr"/>
      <c r="B564" s="2" t="inlineStr"/>
      <c r="C564" s="2" t="inlineStr"/>
      <c r="D564" s="2" t="inlineStr"/>
      <c r="E564" s="28" t="inlineStr">
        <is>
          <r>
            <t xml:space="preserve">VALOR COM BDI:</t>
          </r>
        </is>
      </c>
      <c r="F564" s="28" t="inlineStr"/>
      <c r="G564" s="29" t="n">
        <f>G563+G562</f>
        <v>213.88</v>
      </c>
    </row>
    <row r="565" customHeight="1" ht="10">
      <c r="A565" s="2" t="inlineStr"/>
      <c r="B565" s="2" t="inlineStr"/>
      <c r="C565" s="2" t="inlineStr"/>
      <c r="D565" s="2" t="inlineStr"/>
      <c r="E565" s="18" t="inlineStr"/>
      <c r="F565" s="18" t="inlineStr"/>
      <c r="G565" s="18" t="inlineStr"/>
    </row>
    <row r="566" customHeight="1" ht="20">
      <c r="A566" s="19" t="inlineStr">
        <is>
          <r>
            <t xml:space="preserve">​I0593​ CAMPÂNULA DE AR COMPRIMIDO (CHI)​ (H)</t>
          </r>
        </is>
      </c>
      <c r="B566" s="19" t="inlineStr"/>
      <c r="C566" s="19" t="inlineStr"/>
      <c r="D566" s="19" t="inlineStr"/>
      <c r="E566" s="19" t="inlineStr"/>
      <c r="F566" s="19" t="inlineStr"/>
      <c r="G566" s="19" t="inlineStr"/>
    </row>
    <row r="567" customHeight="1" ht="15">
      <c r="A567" s="20" t="inlineStr">
        <is>
          <r>
            <t xml:space="preserve">Geral</t>
          </r>
        </is>
      </c>
      <c r="B567" s="20" t="inlineStr"/>
      <c r="C567" s="21" t="inlineStr">
        <is>
          <r>
            <t xml:space="preserve">FONTE</t>
          </r>
        </is>
      </c>
      <c r="D567" s="21" t="inlineStr">
        <is>
          <r>
            <t xml:space="preserve">UNID</t>
          </r>
        </is>
      </c>
      <c r="E567" s="21" t="inlineStr">
        <is>
          <r>
            <t xml:space="preserve">COEFICIENTE</t>
          </r>
        </is>
      </c>
      <c r="F567" s="21" t="inlineStr">
        <is>
          <r>
            <t xml:space="preserve">PREÇO UNITÁRIO</t>
          </r>
        </is>
      </c>
      <c r="G567" s="21" t="inlineStr">
        <is>
          <r>
            <t xml:space="preserve">TOTAL</t>
          </r>
        </is>
      </c>
    </row>
    <row r="568" customHeight="1" ht="15">
      <c r="A568" s="22" t="inlineStr">
        <is>
          <r>
            <t xml:space="preserve">I2701</t>
          </r>
        </is>
      </c>
      <c r="B568" s="23" t="inlineStr">
        <is>
          <r>
            <t xml:space="preserve">DEPRECIAÇÃO</t>
          </r>
        </is>
      </c>
      <c r="C568" s="22" t="inlineStr">
        <is>
          <r>
            <t xml:space="preserve">SEINFRA</t>
          </r>
        </is>
      </c>
      <c r="D568" s="22" t="inlineStr">
        <is>
          <r>
            <t xml:space="preserve">H</t>
          </r>
        </is>
      </c>
      <c r="E568" s="24" t="n">
        <v>9.5326</v>
      </c>
      <c r="F568" s="30" t="n">
        <v>1.0</v>
      </c>
      <c r="G568" s="30" t="n">
        <f>ROUND(ROUND(E568,8)*F568,4)</f>
        <v>9.5326</v>
      </c>
    </row>
    <row r="569" customHeight="1" ht="15">
      <c r="A569" s="22" t="inlineStr">
        <is>
          <r>
            <t xml:space="preserve">I2702</t>
          </r>
        </is>
      </c>
      <c r="B569" s="23" t="inlineStr">
        <is>
          <r>
            <t xml:space="preserve">JUROS</t>
          </r>
        </is>
      </c>
      <c r="C569" s="22" t="inlineStr">
        <is>
          <r>
            <t xml:space="preserve">SEINFRA</t>
          </r>
        </is>
      </c>
      <c r="D569" s="22" t="inlineStr">
        <is>
          <r>
            <t xml:space="preserve">H</t>
          </r>
        </is>
      </c>
      <c r="E569" s="24" t="n">
        <v>4.2144</v>
      </c>
      <c r="F569" s="30" t="n">
        <v>1.0</v>
      </c>
      <c r="G569" s="30" t="n">
        <f>ROUND(ROUND(E569,8)*F569,4)</f>
        <v>4.2144</v>
      </c>
    </row>
    <row r="570" customHeight="1" ht="15">
      <c r="A570" s="2" t="inlineStr"/>
      <c r="B570" s="2" t="inlineStr"/>
      <c r="C570" s="2" t="inlineStr"/>
      <c r="D570" s="2" t="inlineStr"/>
      <c r="E570" s="26" t="inlineStr">
        <is>
          <r>
            <t xml:space="preserve">TOTAL Geral:</t>
          </r>
        </is>
      </c>
      <c r="F570" s="26" t="inlineStr"/>
      <c r="G570" s="31" t="n">
        <f>SUM(G568:G569)</f>
        <v>13.747</v>
      </c>
    </row>
    <row r="571" customHeight="1" ht="15">
      <c r="A571" s="2" t="inlineStr"/>
      <c r="B571" s="2" t="inlineStr"/>
      <c r="C571" s="2" t="inlineStr"/>
      <c r="D571" s="2" t="inlineStr"/>
      <c r="E571" s="28" t="inlineStr">
        <is>
          <r>
            <t xml:space="preserve">VALOR:</t>
          </r>
        </is>
      </c>
      <c r="F571" s="28" t="inlineStr"/>
      <c r="G571" s="29" t="n">
        <f>ROUND(SUM(G570),2)</f>
        <v>13.75</v>
      </c>
    </row>
    <row r="572" customHeight="1" ht="15">
      <c r="A572" s="2" t="inlineStr"/>
      <c r="B572" s="2" t="inlineStr"/>
      <c r="C572" s="2" t="inlineStr"/>
      <c r="D572" s="2" t="inlineStr"/>
      <c r="E572" s="28" t="inlineStr">
        <is>
          <r>
            <t xml:space="preserve">VALOR BDI:</t>
          </r>
        </is>
      </c>
      <c r="F572" s="28" t="inlineStr"/>
      <c r="G572" s="29" t="n">
        <f>ROUND(G571*(0/100),2)</f>
        <v>0.0</v>
      </c>
    </row>
    <row r="573" customHeight="1" ht="15">
      <c r="A573" s="2" t="inlineStr"/>
      <c r="B573" s="2" t="inlineStr"/>
      <c r="C573" s="2" t="inlineStr"/>
      <c r="D573" s="2" t="inlineStr"/>
      <c r="E573" s="28" t="inlineStr">
        <is>
          <r>
            <t xml:space="preserve">VALOR COM BDI:</t>
          </r>
        </is>
      </c>
      <c r="F573" s="28" t="inlineStr"/>
      <c r="G573" s="29" t="n">
        <f>G572+G571</f>
        <v>13.75</v>
      </c>
    </row>
    <row r="574" customHeight="1" ht="10">
      <c r="A574" s="2" t="inlineStr"/>
      <c r="B574" s="2" t="inlineStr"/>
      <c r="C574" s="2" t="inlineStr"/>
      <c r="D574" s="2" t="inlineStr"/>
      <c r="E574" s="18" t="inlineStr"/>
      <c r="F574" s="18" t="inlineStr"/>
      <c r="G574" s="18" t="inlineStr"/>
    </row>
    <row r="575" customHeight="1" ht="20">
      <c r="A575" s="19" t="inlineStr">
        <is>
          <r>
            <t xml:space="preserve">​I0707​ CAMPÂNULA DE AR COMPRIMIDO (CHP)​ (H)</t>
          </r>
        </is>
      </c>
      <c r="B575" s="19" t="inlineStr"/>
      <c r="C575" s="19" t="inlineStr"/>
      <c r="D575" s="19" t="inlineStr"/>
      <c r="E575" s="19" t="inlineStr"/>
      <c r="F575" s="19" t="inlineStr"/>
      <c r="G575" s="19" t="inlineStr"/>
    </row>
    <row r="576" customHeight="1" ht="15">
      <c r="A576" s="20" t="inlineStr">
        <is>
          <r>
            <t xml:space="preserve">Geral</t>
          </r>
        </is>
      </c>
      <c r="B576" s="20" t="inlineStr"/>
      <c r="C576" s="21" t="inlineStr">
        <is>
          <r>
            <t xml:space="preserve">FONTE</t>
          </r>
        </is>
      </c>
      <c r="D576" s="21" t="inlineStr">
        <is>
          <r>
            <t xml:space="preserve">UNID</t>
          </r>
        </is>
      </c>
      <c r="E576" s="21" t="inlineStr">
        <is>
          <r>
            <t xml:space="preserve">COEFICIENTE</t>
          </r>
        </is>
      </c>
      <c r="F576" s="21" t="inlineStr">
        <is>
          <r>
            <t xml:space="preserve">PREÇO UNITÁRIO</t>
          </r>
        </is>
      </c>
      <c r="G576" s="21" t="inlineStr">
        <is>
          <r>
            <t xml:space="preserve">TOTAL</t>
          </r>
        </is>
      </c>
    </row>
    <row r="577" customHeight="1" ht="15">
      <c r="A577" s="22" t="inlineStr">
        <is>
          <r>
            <t xml:space="preserve">I2701</t>
          </r>
        </is>
      </c>
      <c r="B577" s="23" t="inlineStr">
        <is>
          <r>
            <t xml:space="preserve">DEPRECIAÇÃO</t>
          </r>
        </is>
      </c>
      <c r="C577" s="22" t="inlineStr">
        <is>
          <r>
            <t xml:space="preserve">SEINFRA</t>
          </r>
        </is>
      </c>
      <c r="D577" s="22" t="inlineStr">
        <is>
          <r>
            <t xml:space="preserve">H</t>
          </r>
        </is>
      </c>
      <c r="E577" s="24" t="n">
        <v>9.5326</v>
      </c>
      <c r="F577" s="30" t="n">
        <v>1.0</v>
      </c>
      <c r="G577" s="30" t="n">
        <f>ROUND(ROUND(E577,8)*F577,4)</f>
        <v>9.5326</v>
      </c>
    </row>
    <row r="578" customHeight="1" ht="15">
      <c r="A578" s="22" t="inlineStr">
        <is>
          <r>
            <t xml:space="preserve">I2702</t>
          </r>
        </is>
      </c>
      <c r="B578" s="23" t="inlineStr">
        <is>
          <r>
            <t xml:space="preserve">JUROS</t>
          </r>
        </is>
      </c>
      <c r="C578" s="22" t="inlineStr">
        <is>
          <r>
            <t xml:space="preserve">SEINFRA</t>
          </r>
        </is>
      </c>
      <c r="D578" s="22" t="inlineStr">
        <is>
          <r>
            <t xml:space="preserve">H</t>
          </r>
        </is>
      </c>
      <c r="E578" s="24" t="n">
        <v>4.2144</v>
      </c>
      <c r="F578" s="30" t="n">
        <v>1.0</v>
      </c>
      <c r="G578" s="30" t="n">
        <f>ROUND(ROUND(E578,8)*F578,4)</f>
        <v>4.2144</v>
      </c>
    </row>
    <row r="579" customHeight="1" ht="15">
      <c r="A579" s="22" t="inlineStr">
        <is>
          <r>
            <t xml:space="preserve">I2703</t>
          </r>
        </is>
      </c>
      <c r="B579" s="23" t="inlineStr">
        <is>
          <r>
            <t xml:space="preserve">MANUTENÇÃO</t>
          </r>
        </is>
      </c>
      <c r="C579" s="22" t="inlineStr">
        <is>
          <r>
            <t xml:space="preserve">SEINFRA</t>
          </r>
        </is>
      </c>
      <c r="D579" s="22" t="inlineStr">
        <is>
          <r>
            <t xml:space="preserve">H</t>
          </r>
        </is>
      </c>
      <c r="E579" s="24" t="n">
        <v>5.0171</v>
      </c>
      <c r="F579" s="30" t="n">
        <v>1.0</v>
      </c>
      <c r="G579" s="30" t="n">
        <f>ROUND(ROUND(E579,8)*F579,4)</f>
        <v>5.0171</v>
      </c>
    </row>
    <row r="580" customHeight="1" ht="15">
      <c r="A580" s="2" t="inlineStr"/>
      <c r="B580" s="2" t="inlineStr"/>
      <c r="C580" s="2" t="inlineStr"/>
      <c r="D580" s="2" t="inlineStr"/>
      <c r="E580" s="26" t="inlineStr">
        <is>
          <r>
            <t xml:space="preserve">TOTAL Geral:</t>
          </r>
        </is>
      </c>
      <c r="F580" s="26" t="inlineStr"/>
      <c r="G580" s="31" t="n">
        <f>SUM(G577:G579)</f>
        <v>18.7641</v>
      </c>
    </row>
    <row r="581" customHeight="1" ht="15">
      <c r="A581" s="2" t="inlineStr"/>
      <c r="B581" s="2" t="inlineStr"/>
      <c r="C581" s="2" t="inlineStr"/>
      <c r="D581" s="2" t="inlineStr"/>
      <c r="E581" s="28" t="inlineStr">
        <is>
          <r>
            <t xml:space="preserve">VALOR:</t>
          </r>
        </is>
      </c>
      <c r="F581" s="28" t="inlineStr"/>
      <c r="G581" s="29" t="n">
        <f>ROUND(SUM(G580),2)</f>
        <v>18.76</v>
      </c>
    </row>
    <row r="582" customHeight="1" ht="15">
      <c r="A582" s="2" t="inlineStr"/>
      <c r="B582" s="2" t="inlineStr"/>
      <c r="C582" s="2" t="inlineStr"/>
      <c r="D582" s="2" t="inlineStr"/>
      <c r="E582" s="28" t="inlineStr">
        <is>
          <r>
            <t xml:space="preserve">VALOR BDI:</t>
          </r>
        </is>
      </c>
      <c r="F582" s="28" t="inlineStr"/>
      <c r="G582" s="29" t="n">
        <f>ROUND(G581*(0/100),2)</f>
        <v>0.0</v>
      </c>
    </row>
    <row r="583" customHeight="1" ht="15">
      <c r="A583" s="2" t="inlineStr"/>
      <c r="B583" s="2" t="inlineStr"/>
      <c r="C583" s="2" t="inlineStr"/>
      <c r="D583" s="2" t="inlineStr"/>
      <c r="E583" s="28" t="inlineStr">
        <is>
          <r>
            <t xml:space="preserve">VALOR COM BDI:</t>
          </r>
        </is>
      </c>
      <c r="F583" s="28" t="inlineStr"/>
      <c r="G583" s="29" t="n">
        <f>G582+G581</f>
        <v>18.76</v>
      </c>
    </row>
    <row r="584" customHeight="1" ht="10">
      <c r="A584" s="2" t="inlineStr"/>
      <c r="B584" s="2" t="inlineStr"/>
      <c r="C584" s="2" t="inlineStr"/>
      <c r="D584" s="2" t="inlineStr"/>
      <c r="E584" s="18" t="inlineStr"/>
      <c r="F584" s="18" t="inlineStr"/>
      <c r="G584" s="18" t="inlineStr"/>
    </row>
    <row r="585" customHeight="1" ht="20">
      <c r="A585" s="19" t="inlineStr">
        <is>
          <r>
            <t xml:space="preserve">​88261​ CARPINTEIRO DE ESQUADRIAS COM ENCARGOS COMPLEMENTARES​ (H)</t>
          </r>
        </is>
      </c>
      <c r="B585" s="19" t="inlineStr"/>
      <c r="C585" s="19" t="inlineStr"/>
      <c r="D585" s="19" t="inlineStr"/>
      <c r="E585" s="19" t="inlineStr"/>
      <c r="F585" s="19" t="inlineStr"/>
      <c r="G585" s="19" t="inlineStr"/>
    </row>
    <row r="586" customHeight="1" ht="15">
      <c r="A586" s="20" t="inlineStr">
        <is>
          <r>
            <t xml:space="preserve">Encargos Complementares</t>
          </r>
        </is>
      </c>
      <c r="B586" s="20" t="inlineStr"/>
      <c r="C586" s="21" t="inlineStr">
        <is>
          <r>
            <t xml:space="preserve">FONTE</t>
          </r>
        </is>
      </c>
      <c r="D586" s="21" t="inlineStr">
        <is>
          <r>
            <t xml:space="preserve">UNID</t>
          </r>
        </is>
      </c>
      <c r="E586" s="21" t="inlineStr">
        <is>
          <r>
            <t xml:space="preserve">COEFICIENTE</t>
          </r>
        </is>
      </c>
      <c r="F586" s="21" t="inlineStr">
        <is>
          <r>
            <t xml:space="preserve">PREÇO UNITÁRIO</t>
          </r>
        </is>
      </c>
      <c r="G586" s="21" t="inlineStr">
        <is>
          <r>
            <t xml:space="preserve">TOTAL</t>
          </r>
        </is>
      </c>
    </row>
    <row r="587" customHeight="1" ht="21">
      <c r="A587" s="22" t="inlineStr">
        <is>
          <r>
            <t xml:space="preserve">00037370</t>
          </r>
        </is>
      </c>
      <c r="B587" s="23" t="inlineStr">
        <is>
          <r>
            <t xml:space="preserve">ALIMENTACAO - HORISTA (COLETADO CAIXA - ENCARGOS COMPLEMENTARES)</t>
          </r>
        </is>
      </c>
      <c r="C587" s="22" t="inlineStr">
        <is>
          <r>
            <t xml:space="preserve">SINAPI</t>
          </r>
        </is>
      </c>
      <c r="D587" s="22" t="inlineStr">
        <is>
          <r>
            <t xml:space="preserve">H</t>
          </r>
        </is>
      </c>
      <c r="E587" s="24" t="n">
        <v>1.0</v>
      </c>
      <c r="F587" s="25" t="n">
        <v>3.62</v>
      </c>
      <c r="G587" s="25" t="n">
        <f>TRUNC(TRUNC(E587,8)*F587,2)</f>
        <v>3.62</v>
      </c>
    </row>
    <row r="588" customHeight="1" ht="21">
      <c r="A588" s="22" t="inlineStr">
        <is>
          <r>
            <t xml:space="preserve">00043483</t>
          </r>
        </is>
      </c>
      <c r="B588" s="23" t="inlineStr">
        <is>
          <r>
            <t xml:space="preserve">EPI - FAMILIA CARPINTEIRO DE FORMAS - HORISTA (ENCARGOS COMPLEMENTARES - COLETADO CAIXA)</t>
          </r>
        </is>
      </c>
      <c r="C588" s="22" t="inlineStr">
        <is>
          <r>
            <t xml:space="preserve">SINAPI</t>
          </r>
        </is>
      </c>
      <c r="D588" s="22" t="inlineStr">
        <is>
          <r>
            <t xml:space="preserve">H</t>
          </r>
        </is>
      </c>
      <c r="E588" s="24" t="n">
        <v>1.0</v>
      </c>
      <c r="F588" s="25" t="n">
        <v>1.43</v>
      </c>
      <c r="G588" s="25" t="n">
        <f>TRUNC(TRUNC(E588,8)*F588,2)</f>
        <v>1.43</v>
      </c>
    </row>
    <row r="589" customHeight="1" ht="21">
      <c r="A589" s="22" t="inlineStr">
        <is>
          <r>
            <t xml:space="preserve">00037372</t>
          </r>
        </is>
      </c>
      <c r="B589" s="23" t="inlineStr">
        <is>
          <r>
            <t xml:space="preserve">EXAMES - HORISTA (COLETADO CAIXA - ENCARGOS COMPLEMENTARES)</t>
          </r>
        </is>
      </c>
      <c r="C589" s="22" t="inlineStr">
        <is>
          <r>
            <t xml:space="preserve">SINAPI</t>
          </r>
        </is>
      </c>
      <c r="D589" s="22" t="inlineStr">
        <is>
          <r>
            <t xml:space="preserve">H</t>
          </r>
        </is>
      </c>
      <c r="E589" s="24" t="n">
        <v>1.0</v>
      </c>
      <c r="F589" s="25" t="n">
        <v>1.43</v>
      </c>
      <c r="G589" s="25" t="n">
        <f>TRUNC(TRUNC(E589,8)*F589,2)</f>
        <v>1.43</v>
      </c>
    </row>
    <row r="590" customHeight="1" ht="29">
      <c r="A590" s="22" t="inlineStr">
        <is>
          <r>
            <t xml:space="preserve">00043459</t>
          </r>
        </is>
      </c>
      <c r="B590" s="23" t="inlineStr">
        <is>
          <r>
            <t xml:space="preserve">FERRAMENTAS - FAMILIA CARPINTEIRO DE FORMAS - HORISTA (ENCARGOS COMPLEMENTARES - COLETADO CAIXA)</t>
          </r>
        </is>
      </c>
      <c r="C590" s="22" t="inlineStr">
        <is>
          <r>
            <t xml:space="preserve">SINAPI</t>
          </r>
        </is>
      </c>
      <c r="D590" s="22" t="inlineStr">
        <is>
          <r>
            <t xml:space="preserve">H</t>
          </r>
        </is>
      </c>
      <c r="E590" s="24" t="n">
        <v>1.0</v>
      </c>
      <c r="F590" s="25" t="n">
        <v>0.44</v>
      </c>
      <c r="G590" s="25" t="n">
        <f>TRUNC(TRUNC(E590,8)*F590,2)</f>
        <v>0.44</v>
      </c>
    </row>
    <row r="591" customHeight="1" ht="21">
      <c r="A591" s="22" t="inlineStr">
        <is>
          <r>
            <t xml:space="preserve">00037373</t>
          </r>
        </is>
      </c>
      <c r="B591" s="23" t="inlineStr">
        <is>
          <r>
            <t xml:space="preserve">SEGURO - HORISTA (COLETADO CAIXA - ENCARGOS COMPLEMENTARES)</t>
          </r>
        </is>
      </c>
      <c r="C591" s="22" t="inlineStr">
        <is>
          <r>
            <t xml:space="preserve">SINAPI</t>
          </r>
        </is>
      </c>
      <c r="D591" s="22" t="inlineStr">
        <is>
          <r>
            <t xml:space="preserve">H</t>
          </r>
        </is>
      </c>
      <c r="E591" s="24" t="n">
        <v>1.0</v>
      </c>
      <c r="F591" s="25" t="n">
        <v>0.08</v>
      </c>
      <c r="G591" s="25" t="n">
        <f>TRUNC(TRUNC(E591,8)*F591,2)</f>
        <v>0.08</v>
      </c>
    </row>
    <row r="592" customHeight="1" ht="21">
      <c r="A592" s="22" t="inlineStr">
        <is>
          <r>
            <t xml:space="preserve">00037371</t>
          </r>
        </is>
      </c>
      <c r="B592" s="23" t="inlineStr">
        <is>
          <r>
            <t xml:space="preserve">TRANSPORTE - HORISTA (COLETADO CAIXA - ENCARGOS COMPLEMENTARES)</t>
          </r>
        </is>
      </c>
      <c r="C592" s="22" t="inlineStr">
        <is>
          <r>
            <t xml:space="preserve">SINAPI</t>
          </r>
        </is>
      </c>
      <c r="D592" s="22" t="inlineStr">
        <is>
          <r>
            <t xml:space="preserve">H</t>
          </r>
        </is>
      </c>
      <c r="E592" s="24" t="n">
        <v>1.0</v>
      </c>
      <c r="F592" s="25" t="n">
        <v>1.09</v>
      </c>
      <c r="G592" s="25" t="n">
        <f>TRUNC(TRUNC(E592,8)*F592,2)</f>
        <v>1.09</v>
      </c>
    </row>
    <row r="593" customHeight="1" ht="15">
      <c r="A593" s="2" t="inlineStr"/>
      <c r="B593" s="2" t="inlineStr"/>
      <c r="C593" s="2" t="inlineStr"/>
      <c r="D593" s="2" t="inlineStr"/>
      <c r="E593" s="26" t="inlineStr">
        <is>
          <r>
            <t xml:space="preserve">TOTAL Encargos Complementares:</t>
          </r>
        </is>
      </c>
      <c r="F593" s="26" t="inlineStr"/>
      <c r="G593" s="27" t="n">
        <f>SUM(G587:G592)</f>
        <v>8.09</v>
      </c>
    </row>
    <row r="594" customHeight="1" ht="15">
      <c r="A594" s="20" t="inlineStr">
        <is>
          <r>
            <t xml:space="preserve">Mão de Obra</t>
          </r>
        </is>
      </c>
      <c r="B594" s="20" t="inlineStr"/>
      <c r="C594" s="21" t="inlineStr">
        <is>
          <r>
            <t xml:space="preserve">FONTE</t>
          </r>
        </is>
      </c>
      <c r="D594" s="21" t="inlineStr">
        <is>
          <r>
            <t xml:space="preserve">UNID</t>
          </r>
        </is>
      </c>
      <c r="E594" s="21" t="inlineStr">
        <is>
          <r>
            <t xml:space="preserve">COEFICIENTE</t>
          </r>
        </is>
      </c>
      <c r="F594" s="21" t="inlineStr">
        <is>
          <r>
            <t xml:space="preserve">PREÇO UNITÁRIO</t>
          </r>
        </is>
      </c>
      <c r="G594" s="21" t="inlineStr">
        <is>
          <r>
            <t xml:space="preserve">TOTAL</t>
          </r>
        </is>
      </c>
    </row>
    <row r="595" customHeight="1" ht="15">
      <c r="A595" s="22" t="inlineStr">
        <is>
          <r>
            <t xml:space="preserve">00001214</t>
          </r>
        </is>
      </c>
      <c r="B595" s="23" t="inlineStr">
        <is>
          <r>
            <t xml:space="preserve">CARPINTEIRO DE ESQUADRIAS (HORISTA)</t>
          </r>
        </is>
      </c>
      <c r="C595" s="22" t="inlineStr">
        <is>
          <r>
            <t xml:space="preserve">SINAPI</t>
          </r>
        </is>
      </c>
      <c r="D595" s="22" t="inlineStr">
        <is>
          <r>
            <t xml:space="preserve">H</t>
          </r>
        </is>
      </c>
      <c r="E595" s="24" t="n">
        <v>1.0</v>
      </c>
      <c r="F595" s="25" t="n">
        <v>18.56</v>
      </c>
      <c r="G595" s="25" t="n">
        <f>TRUNC(TRUNC(E595,8)*F595,2)</f>
        <v>18.56</v>
      </c>
    </row>
    <row r="596" customHeight="1" ht="15">
      <c r="A596" s="2" t="inlineStr"/>
      <c r="B596" s="2" t="inlineStr"/>
      <c r="C596" s="2" t="inlineStr"/>
      <c r="D596" s="2" t="inlineStr"/>
      <c r="E596" s="26" t="inlineStr">
        <is>
          <r>
            <t xml:space="preserve">TOTAL Mão de Obra:</t>
          </r>
        </is>
      </c>
      <c r="F596" s="26" t="inlineStr"/>
      <c r="G596" s="27" t="n">
        <f>SUM(G595:G595)</f>
        <v>18.56</v>
      </c>
    </row>
    <row r="597" customHeight="1" ht="15">
      <c r="A597" s="20" t="inlineStr">
        <is>
          <r>
            <t xml:space="preserve">Serviço</t>
          </r>
        </is>
      </c>
      <c r="B597" s="20" t="inlineStr"/>
      <c r="C597" s="21" t="inlineStr">
        <is>
          <r>
            <t xml:space="preserve">FONTE</t>
          </r>
        </is>
      </c>
      <c r="D597" s="21" t="inlineStr">
        <is>
          <r>
            <t xml:space="preserve">UNID</t>
          </r>
        </is>
      </c>
      <c r="E597" s="21" t="inlineStr">
        <is>
          <r>
            <t xml:space="preserve">COEFICIENTE</t>
          </r>
        </is>
      </c>
      <c r="F597" s="21" t="inlineStr">
        <is>
          <r>
            <t xml:space="preserve">PREÇO UNITÁRIO</t>
          </r>
        </is>
      </c>
      <c r="G597" s="21" t="inlineStr">
        <is>
          <r>
            <t xml:space="preserve">TOTAL</t>
          </r>
        </is>
      </c>
    </row>
    <row r="598" customHeight="1" ht="21">
      <c r="A598" s="22" t="inlineStr">
        <is>
          <r>
            <t xml:space="preserve">95329</t>
          </r>
        </is>
      </c>
      <c r="B598" s="23" t="inlineStr">
        <is>
          <r>
            <t xml:space="preserve">CURSO DE CAPACITAÇÃO PARA CARPINTEIRO DE ESQUADRIA (ENCARGOS COMPLEMENTARES) - HORISTA</t>
          </r>
        </is>
      </c>
      <c r="C598" s="22" t="inlineStr">
        <is>
          <r>
            <t xml:space="preserve">SINAPI</t>
          </r>
        </is>
      </c>
      <c r="D598" s="22" t="inlineStr">
        <is>
          <r>
            <t xml:space="preserve">H</t>
          </r>
        </is>
      </c>
      <c r="E598" s="24" t="n">
        <v>1.0</v>
      </c>
      <c r="F598" s="25" t="n">
        <v>0.27</v>
      </c>
      <c r="G598" s="25" t="n">
        <f>TRUNC(TRUNC(E598,8)*F598,2)</f>
        <v>0.27</v>
      </c>
    </row>
    <row r="599" customHeight="1" ht="15">
      <c r="A599" s="2" t="inlineStr"/>
      <c r="B599" s="2" t="inlineStr"/>
      <c r="C599" s="2" t="inlineStr"/>
      <c r="D599" s="2" t="inlineStr"/>
      <c r="E599" s="26" t="inlineStr">
        <is>
          <r>
            <t xml:space="preserve">TOTAL Serviço:</t>
          </r>
        </is>
      </c>
      <c r="F599" s="26" t="inlineStr"/>
      <c r="G599" s="27" t="n">
        <f>SUM(G598:G598)</f>
        <v>0.27</v>
      </c>
    </row>
    <row r="600" customHeight="1" ht="15">
      <c r="A600" s="2" t="inlineStr"/>
      <c r="B600" s="2" t="inlineStr"/>
      <c r="C600" s="2" t="inlineStr"/>
      <c r="D600" s="2" t="inlineStr"/>
      <c r="E600" s="28" t="inlineStr">
        <is>
          <r>
            <t xml:space="preserve">VALOR:</t>
          </r>
        </is>
      </c>
      <c r="F600" s="28" t="inlineStr"/>
      <c r="G600" s="29" t="n">
        <f>ROUND(SUM(G593,G596,G599),2)</f>
        <v>26.92</v>
      </c>
    </row>
    <row r="601" customHeight="1" ht="15">
      <c r="A601" s="2" t="inlineStr"/>
      <c r="B601" s="2" t="inlineStr"/>
      <c r="C601" s="2" t="inlineStr"/>
      <c r="D601" s="2" t="inlineStr"/>
      <c r="E601" s="28" t="inlineStr">
        <is>
          <r>
            <t xml:space="preserve">VALOR BDI:</t>
          </r>
        </is>
      </c>
      <c r="F601" s="28" t="inlineStr"/>
      <c r="G601" s="29" t="n">
        <f>ROUND(G600*(0/100),2)</f>
        <v>0.0</v>
      </c>
    </row>
    <row r="602" customHeight="1" ht="15">
      <c r="A602" s="2" t="inlineStr"/>
      <c r="B602" s="2" t="inlineStr"/>
      <c r="C602" s="2" t="inlineStr"/>
      <c r="D602" s="2" t="inlineStr"/>
      <c r="E602" s="28" t="inlineStr">
        <is>
          <r>
            <t xml:space="preserve">VALOR COM BDI:</t>
          </r>
        </is>
      </c>
      <c r="F602" s="28" t="inlineStr"/>
      <c r="G602" s="29" t="n">
        <f>G601+G600</f>
        <v>26.92</v>
      </c>
    </row>
    <row r="603" customHeight="1" ht="10">
      <c r="A603" s="2" t="inlineStr"/>
      <c r="B603" s="2" t="inlineStr"/>
      <c r="C603" s="2" t="inlineStr"/>
      <c r="D603" s="2" t="inlineStr"/>
      <c r="E603" s="18" t="inlineStr"/>
      <c r="F603" s="18" t="inlineStr"/>
      <c r="G603" s="18" t="inlineStr"/>
    </row>
    <row r="604" customHeight="1" ht="20">
      <c r="A604" s="19" t="inlineStr">
        <is>
          <r>
            <t xml:space="preserve">​I0594​ CARREGADEIRA DE PNEUS HP 111 (CHI)​ (H)</t>
          </r>
        </is>
      </c>
      <c r="B604" s="19" t="inlineStr"/>
      <c r="C604" s="19" t="inlineStr"/>
      <c r="D604" s="19" t="inlineStr"/>
      <c r="E604" s="19" t="inlineStr"/>
      <c r="F604" s="19" t="inlineStr"/>
      <c r="G604" s="19" t="inlineStr"/>
    </row>
    <row r="605" customHeight="1" ht="15">
      <c r="A605" s="20" t="inlineStr">
        <is>
          <r>
            <t xml:space="preserve">Geral</t>
          </r>
        </is>
      </c>
      <c r="B605" s="20" t="inlineStr"/>
      <c r="C605" s="21" t="inlineStr">
        <is>
          <r>
            <t xml:space="preserve">FONTE</t>
          </r>
        </is>
      </c>
      <c r="D605" s="21" t="inlineStr">
        <is>
          <r>
            <t xml:space="preserve">UNID</t>
          </r>
        </is>
      </c>
      <c r="E605" s="21" t="inlineStr">
        <is>
          <r>
            <t xml:space="preserve">COEFICIENTE</t>
          </r>
        </is>
      </c>
      <c r="F605" s="21" t="inlineStr">
        <is>
          <r>
            <t xml:space="preserve">PREÇO UNITÁRIO</t>
          </r>
        </is>
      </c>
      <c r="G605" s="21" t="inlineStr">
        <is>
          <r>
            <t xml:space="preserve">TOTAL</t>
          </r>
        </is>
      </c>
    </row>
    <row r="606" customHeight="1" ht="21">
      <c r="A606" s="22" t="inlineStr">
        <is>
          <r>
            <t xml:space="preserve">I2753</t>
          </r>
        </is>
      </c>
      <c r="B606" s="23" t="inlineStr">
        <is>
          <r>
            <t xml:space="preserve">MÃO DE OBRA DE OPERAÇÃO DA CARREGADEIRA DE PNEUS (111 HP)</t>
          </r>
        </is>
      </c>
      <c r="C606" s="22" t="inlineStr">
        <is>
          <r>
            <t xml:space="preserve">SEINFRA</t>
          </r>
        </is>
      </c>
      <c r="D606" s="22" t="inlineStr">
        <is>
          <r>
            <t xml:space="preserve">H</t>
          </r>
        </is>
      </c>
      <c r="E606" s="24" t="n">
        <v>1.0</v>
      </c>
      <c r="F606" s="30" t="n">
        <v>28.81</v>
      </c>
      <c r="G606" s="30" t="n">
        <f>ROUND(ROUND(E606,8)*F606,4)</f>
        <v>28.81</v>
      </c>
    </row>
    <row r="607" customHeight="1" ht="15">
      <c r="A607" s="22" t="inlineStr">
        <is>
          <r>
            <t xml:space="preserve">I2701</t>
          </r>
        </is>
      </c>
      <c r="B607" s="23" t="inlineStr">
        <is>
          <r>
            <t xml:space="preserve">DEPRECIAÇÃO</t>
          </r>
        </is>
      </c>
      <c r="C607" s="22" t="inlineStr">
        <is>
          <r>
            <t xml:space="preserve">SEINFRA</t>
          </r>
        </is>
      </c>
      <c r="D607" s="22" t="inlineStr">
        <is>
          <r>
            <t xml:space="preserve">H</t>
          </r>
        </is>
      </c>
      <c r="E607" s="24" t="n">
        <v>41.568</v>
      </c>
      <c r="F607" s="30" t="n">
        <v>1.0</v>
      </c>
      <c r="G607" s="30" t="n">
        <f>ROUND(ROUND(E607,8)*F607,4)</f>
        <v>41.568</v>
      </c>
    </row>
    <row r="608" customHeight="1" ht="15">
      <c r="A608" s="22" t="inlineStr">
        <is>
          <r>
            <t xml:space="preserve">I2702</t>
          </r>
        </is>
      </c>
      <c r="B608" s="23" t="inlineStr">
        <is>
          <r>
            <t xml:space="preserve">JUROS</t>
          </r>
        </is>
      </c>
      <c r="C608" s="22" t="inlineStr">
        <is>
          <r>
            <t xml:space="preserve">SEINFRA</t>
          </r>
        </is>
      </c>
      <c r="D608" s="22" t="inlineStr">
        <is>
          <r>
            <t xml:space="preserve">H</t>
          </r>
        </is>
      </c>
      <c r="E608" s="24" t="n">
        <v>14.0292</v>
      </c>
      <c r="F608" s="30" t="n">
        <v>1.0</v>
      </c>
      <c r="G608" s="30" t="n">
        <f>ROUND(ROUND(E608,8)*F608,4)</f>
        <v>14.0292</v>
      </c>
    </row>
    <row r="609" customHeight="1" ht="15">
      <c r="A609" s="2" t="inlineStr"/>
      <c r="B609" s="2" t="inlineStr"/>
      <c r="C609" s="2" t="inlineStr"/>
      <c r="D609" s="2" t="inlineStr"/>
      <c r="E609" s="26" t="inlineStr">
        <is>
          <r>
            <t xml:space="preserve">TOTAL Geral:</t>
          </r>
        </is>
      </c>
      <c r="F609" s="26" t="inlineStr"/>
      <c r="G609" s="31" t="n">
        <f>SUM(G606:G608)</f>
        <v>84.4072</v>
      </c>
    </row>
    <row r="610" customHeight="1" ht="15">
      <c r="A610" s="2" t="inlineStr"/>
      <c r="B610" s="2" t="inlineStr"/>
      <c r="C610" s="2" t="inlineStr"/>
      <c r="D610" s="2" t="inlineStr"/>
      <c r="E610" s="28" t="inlineStr">
        <is>
          <r>
            <t xml:space="preserve">VALOR:</t>
          </r>
        </is>
      </c>
      <c r="F610" s="28" t="inlineStr"/>
      <c r="G610" s="29" t="n">
        <f>ROUND(SUM(G609),2)</f>
        <v>84.41</v>
      </c>
    </row>
    <row r="611" customHeight="1" ht="15">
      <c r="A611" s="2" t="inlineStr"/>
      <c r="B611" s="2" t="inlineStr"/>
      <c r="C611" s="2" t="inlineStr"/>
      <c r="D611" s="2" t="inlineStr"/>
      <c r="E611" s="28" t="inlineStr">
        <is>
          <r>
            <t xml:space="preserve">VALOR BDI:</t>
          </r>
        </is>
      </c>
      <c r="F611" s="28" t="inlineStr"/>
      <c r="G611" s="29" t="n">
        <f>ROUND(G610*(0/100),2)</f>
        <v>0.0</v>
      </c>
    </row>
    <row r="612" customHeight="1" ht="15">
      <c r="A612" s="2" t="inlineStr"/>
      <c r="B612" s="2" t="inlineStr"/>
      <c r="C612" s="2" t="inlineStr"/>
      <c r="D612" s="2" t="inlineStr"/>
      <c r="E612" s="28" t="inlineStr">
        <is>
          <r>
            <t xml:space="preserve">VALOR COM BDI:</t>
          </r>
        </is>
      </c>
      <c r="F612" s="28" t="inlineStr"/>
      <c r="G612" s="29" t="n">
        <f>G611+G610</f>
        <v>84.41</v>
      </c>
    </row>
    <row r="613" customHeight="1" ht="10">
      <c r="A613" s="2" t="inlineStr"/>
      <c r="B613" s="2" t="inlineStr"/>
      <c r="C613" s="2" t="inlineStr"/>
      <c r="D613" s="2" t="inlineStr"/>
      <c r="E613" s="18" t="inlineStr"/>
      <c r="F613" s="18" t="inlineStr"/>
      <c r="G613" s="18" t="inlineStr"/>
    </row>
    <row r="614" customHeight="1" ht="20">
      <c r="A614" s="19" t="inlineStr">
        <is>
          <r>
            <t xml:space="preserve">​I0708​ CARREGADEIRA DE PNEUS HP 111 (CHP)​ (H)</t>
          </r>
        </is>
      </c>
      <c r="B614" s="19" t="inlineStr"/>
      <c r="C614" s="19" t="inlineStr"/>
      <c r="D614" s="19" t="inlineStr"/>
      <c r="E614" s="19" t="inlineStr"/>
      <c r="F614" s="19" t="inlineStr"/>
      <c r="G614" s="19" t="inlineStr"/>
    </row>
    <row r="615" customHeight="1" ht="15">
      <c r="A615" s="20" t="inlineStr">
        <is>
          <r>
            <t xml:space="preserve">Geral</t>
          </r>
        </is>
      </c>
      <c r="B615" s="20" t="inlineStr"/>
      <c r="C615" s="21" t="inlineStr">
        <is>
          <r>
            <t xml:space="preserve">FONTE</t>
          </r>
        </is>
      </c>
      <c r="D615" s="21" t="inlineStr">
        <is>
          <r>
            <t xml:space="preserve">UNID</t>
          </r>
        </is>
      </c>
      <c r="E615" s="21" t="inlineStr">
        <is>
          <r>
            <t xml:space="preserve">COEFICIENTE</t>
          </r>
        </is>
      </c>
      <c r="F615" s="21" t="inlineStr">
        <is>
          <r>
            <t xml:space="preserve">PREÇO UNITÁRIO</t>
          </r>
        </is>
      </c>
      <c r="G615" s="21" t="inlineStr">
        <is>
          <r>
            <t xml:space="preserve">TOTAL</t>
          </r>
        </is>
      </c>
    </row>
    <row r="616" customHeight="1" ht="21">
      <c r="A616" s="22" t="inlineStr">
        <is>
          <r>
            <t xml:space="preserve">I2753</t>
          </r>
        </is>
      </c>
      <c r="B616" s="23" t="inlineStr">
        <is>
          <r>
            <t xml:space="preserve">MÃO DE OBRA DE OPERAÇÃO DA CARREGADEIRA DE PNEUS (111 HP)</t>
          </r>
        </is>
      </c>
      <c r="C616" s="22" t="inlineStr">
        <is>
          <r>
            <t xml:space="preserve">SEINFRA</t>
          </r>
        </is>
      </c>
      <c r="D616" s="22" t="inlineStr">
        <is>
          <r>
            <t xml:space="preserve">H</t>
          </r>
        </is>
      </c>
      <c r="E616" s="24" t="n">
        <v>1.0</v>
      </c>
      <c r="F616" s="30" t="n">
        <v>28.81</v>
      </c>
      <c r="G616" s="30" t="n">
        <f>ROUND(ROUND(E616,8)*F616,4)</f>
        <v>28.81</v>
      </c>
    </row>
    <row r="617" customHeight="1" ht="21">
      <c r="A617" s="22" t="inlineStr">
        <is>
          <r>
            <t xml:space="preserve">I2752</t>
          </r>
        </is>
      </c>
      <c r="B617" s="23" t="inlineStr">
        <is>
          <r>
            <t xml:space="preserve">MATERIAL DE OPERAÇÃO DA CARREGADEIRA DE PNEUS (111 HP)</t>
          </r>
        </is>
      </c>
      <c r="C617" s="22" t="inlineStr">
        <is>
          <r>
            <t xml:space="preserve">SEINFRA</t>
          </r>
        </is>
      </c>
      <c r="D617" s="22" t="inlineStr">
        <is>
          <r>
            <t xml:space="preserve">H</t>
          </r>
        </is>
      </c>
      <c r="E617" s="24" t="n">
        <v>1.0</v>
      </c>
      <c r="F617" s="30" t="n">
        <v>83.0835</v>
      </c>
      <c r="G617" s="30" t="n">
        <f>ROUND(ROUND(E617,8)*F617,4)</f>
        <v>83.0835</v>
      </c>
    </row>
    <row r="618" customHeight="1" ht="15">
      <c r="A618" s="22" t="inlineStr">
        <is>
          <r>
            <t xml:space="preserve">I2701</t>
          </r>
        </is>
      </c>
      <c r="B618" s="23" t="inlineStr">
        <is>
          <r>
            <t xml:space="preserve">DEPRECIAÇÃO</t>
          </r>
        </is>
      </c>
      <c r="C618" s="22" t="inlineStr">
        <is>
          <r>
            <t xml:space="preserve">SEINFRA</t>
          </r>
        </is>
      </c>
      <c r="D618" s="22" t="inlineStr">
        <is>
          <r>
            <t xml:space="preserve">H</t>
          </r>
        </is>
      </c>
      <c r="E618" s="24" t="n">
        <v>41.568</v>
      </c>
      <c r="F618" s="30" t="n">
        <v>1.0</v>
      </c>
      <c r="G618" s="30" t="n">
        <f>ROUND(ROUND(E618,8)*F618,4)</f>
        <v>41.568</v>
      </c>
    </row>
    <row r="619" customHeight="1" ht="15">
      <c r="A619" s="22" t="inlineStr">
        <is>
          <r>
            <t xml:space="preserve">I2702</t>
          </r>
        </is>
      </c>
      <c r="B619" s="23" t="inlineStr">
        <is>
          <r>
            <t xml:space="preserve">JUROS</t>
          </r>
        </is>
      </c>
      <c r="C619" s="22" t="inlineStr">
        <is>
          <r>
            <t xml:space="preserve">SEINFRA</t>
          </r>
        </is>
      </c>
      <c r="D619" s="22" t="inlineStr">
        <is>
          <r>
            <t xml:space="preserve">H</t>
          </r>
        </is>
      </c>
      <c r="E619" s="24" t="n">
        <v>14.0292</v>
      </c>
      <c r="F619" s="30" t="n">
        <v>1.0</v>
      </c>
      <c r="G619" s="30" t="n">
        <f>ROUND(ROUND(E619,8)*F619,4)</f>
        <v>14.0292</v>
      </c>
    </row>
    <row r="620" customHeight="1" ht="15">
      <c r="A620" s="22" t="inlineStr">
        <is>
          <r>
            <t xml:space="preserve">I2703</t>
          </r>
        </is>
      </c>
      <c r="B620" s="23" t="inlineStr">
        <is>
          <r>
            <t xml:space="preserve">MANUTENÇÃO</t>
          </r>
        </is>
      </c>
      <c r="C620" s="22" t="inlineStr">
        <is>
          <r>
            <t xml:space="preserve">SEINFRA</t>
          </r>
        </is>
      </c>
      <c r="D620" s="22" t="inlineStr">
        <is>
          <r>
            <t xml:space="preserve">H</t>
          </r>
        </is>
      </c>
      <c r="E620" s="24" t="n">
        <v>62.352</v>
      </c>
      <c r="F620" s="30" t="n">
        <v>1.0</v>
      </c>
      <c r="G620" s="30" t="n">
        <f>ROUND(ROUND(E620,8)*F620,4)</f>
        <v>62.352</v>
      </c>
    </row>
    <row r="621" customHeight="1" ht="15">
      <c r="A621" s="2" t="inlineStr"/>
      <c r="B621" s="2" t="inlineStr"/>
      <c r="C621" s="2" t="inlineStr"/>
      <c r="D621" s="2" t="inlineStr"/>
      <c r="E621" s="26" t="inlineStr">
        <is>
          <r>
            <t xml:space="preserve">TOTAL Geral:</t>
          </r>
        </is>
      </c>
      <c r="F621" s="26" t="inlineStr"/>
      <c r="G621" s="31" t="n">
        <f>SUM(G616:G620)</f>
        <v>229.8427</v>
      </c>
    </row>
    <row r="622" customHeight="1" ht="15">
      <c r="A622" s="2" t="inlineStr"/>
      <c r="B622" s="2" t="inlineStr"/>
      <c r="C622" s="2" t="inlineStr"/>
      <c r="D622" s="2" t="inlineStr"/>
      <c r="E622" s="28" t="inlineStr">
        <is>
          <r>
            <t xml:space="preserve">VALOR:</t>
          </r>
        </is>
      </c>
      <c r="F622" s="28" t="inlineStr"/>
      <c r="G622" s="29" t="n">
        <f>ROUND(SUM(G621),2)</f>
        <v>229.84</v>
      </c>
    </row>
    <row r="623" customHeight="1" ht="15">
      <c r="A623" s="2" t="inlineStr"/>
      <c r="B623" s="2" t="inlineStr"/>
      <c r="C623" s="2" t="inlineStr"/>
      <c r="D623" s="2" t="inlineStr"/>
      <c r="E623" s="28" t="inlineStr">
        <is>
          <r>
            <t xml:space="preserve">VALOR BDI:</t>
          </r>
        </is>
      </c>
      <c r="F623" s="28" t="inlineStr"/>
      <c r="G623" s="29" t="n">
        <f>ROUND(G622*(0/100),2)</f>
        <v>0.0</v>
      </c>
    </row>
    <row r="624" customHeight="1" ht="15">
      <c r="A624" s="2" t="inlineStr"/>
      <c r="B624" s="2" t="inlineStr"/>
      <c r="C624" s="2" t="inlineStr"/>
      <c r="D624" s="2" t="inlineStr"/>
      <c r="E624" s="28" t="inlineStr">
        <is>
          <r>
            <t xml:space="preserve">VALOR COM BDI:</t>
          </r>
        </is>
      </c>
      <c r="F624" s="28" t="inlineStr"/>
      <c r="G624" s="29" t="n">
        <f>G623+G622</f>
        <v>229.84</v>
      </c>
    </row>
    <row r="625" customHeight="1" ht="10">
      <c r="A625" s="2" t="inlineStr"/>
      <c r="B625" s="2" t="inlineStr"/>
      <c r="C625" s="2" t="inlineStr"/>
      <c r="D625" s="2" t="inlineStr"/>
      <c r="E625" s="18" t="inlineStr"/>
      <c r="F625" s="18" t="inlineStr"/>
      <c r="G625" s="18" t="inlineStr"/>
    </row>
    <row r="626" customHeight="1" ht="20">
      <c r="A626" s="19" t="inlineStr">
        <is>
          <r>
            <t xml:space="preserve">​I0596​ CARREGADEIRA DE PNEUS HP 180 (CHI)​ (H)</t>
          </r>
        </is>
      </c>
      <c r="B626" s="19" t="inlineStr"/>
      <c r="C626" s="19" t="inlineStr"/>
      <c r="D626" s="19" t="inlineStr"/>
      <c r="E626" s="19" t="inlineStr"/>
      <c r="F626" s="19" t="inlineStr"/>
      <c r="G626" s="19" t="inlineStr"/>
    </row>
    <row r="627" customHeight="1" ht="15">
      <c r="A627" s="20" t="inlineStr">
        <is>
          <r>
            <t xml:space="preserve">Geral</t>
          </r>
        </is>
      </c>
      <c r="B627" s="20" t="inlineStr"/>
      <c r="C627" s="21" t="inlineStr">
        <is>
          <r>
            <t xml:space="preserve">FONTE</t>
          </r>
        </is>
      </c>
      <c r="D627" s="21" t="inlineStr">
        <is>
          <r>
            <t xml:space="preserve">UNID</t>
          </r>
        </is>
      </c>
      <c r="E627" s="21" t="inlineStr">
        <is>
          <r>
            <t xml:space="preserve">COEFICIENTE</t>
          </r>
        </is>
      </c>
      <c r="F627" s="21" t="inlineStr">
        <is>
          <r>
            <t xml:space="preserve">PREÇO UNITÁRIO</t>
          </r>
        </is>
      </c>
      <c r="G627" s="21" t="inlineStr">
        <is>
          <r>
            <t xml:space="preserve">TOTAL</t>
          </r>
        </is>
      </c>
    </row>
    <row r="628" customHeight="1" ht="21">
      <c r="A628" s="22" t="inlineStr">
        <is>
          <r>
            <t xml:space="preserve">I2755</t>
          </r>
        </is>
      </c>
      <c r="B628" s="23" t="inlineStr">
        <is>
          <r>
            <t xml:space="preserve">MÃO DE OBRA DE OPERAÇÃO DA CARREGADEIRA DE PNEUS (180 HP)</t>
          </r>
        </is>
      </c>
      <c r="C628" s="22" t="inlineStr">
        <is>
          <r>
            <t xml:space="preserve">SEINFRA</t>
          </r>
        </is>
      </c>
      <c r="D628" s="22" t="inlineStr">
        <is>
          <r>
            <t xml:space="preserve">H</t>
          </r>
        </is>
      </c>
      <c r="E628" s="24" t="n">
        <v>1.0</v>
      </c>
      <c r="F628" s="30" t="n">
        <v>28.81</v>
      </c>
      <c r="G628" s="30" t="n">
        <f>ROUND(ROUND(E628,8)*F628,4)</f>
        <v>28.81</v>
      </c>
    </row>
    <row r="629" customHeight="1" ht="15">
      <c r="A629" s="22" t="inlineStr">
        <is>
          <r>
            <t xml:space="preserve">I2701</t>
          </r>
        </is>
      </c>
      <c r="B629" s="23" t="inlineStr">
        <is>
          <r>
            <t xml:space="preserve">DEPRECIAÇÃO</t>
          </r>
        </is>
      </c>
      <c r="C629" s="22" t="inlineStr">
        <is>
          <r>
            <t xml:space="preserve">SEINFRA</t>
          </r>
        </is>
      </c>
      <c r="D629" s="22" t="inlineStr">
        <is>
          <r>
            <t xml:space="preserve">H</t>
          </r>
        </is>
      </c>
      <c r="E629" s="24" t="n">
        <v>57.9714</v>
      </c>
      <c r="F629" s="30" t="n">
        <v>1.0</v>
      </c>
      <c r="G629" s="30" t="n">
        <f>ROUND(ROUND(E629,8)*F629,4)</f>
        <v>57.9714</v>
      </c>
    </row>
    <row r="630" customHeight="1" ht="15">
      <c r="A630" s="22" t="inlineStr">
        <is>
          <r>
            <t xml:space="preserve">I2702</t>
          </r>
        </is>
      </c>
      <c r="B630" s="23" t="inlineStr">
        <is>
          <r>
            <t xml:space="preserve">JUROS</t>
          </r>
        </is>
      </c>
      <c r="C630" s="22" t="inlineStr">
        <is>
          <r>
            <t xml:space="preserve">SEINFRA</t>
          </r>
        </is>
      </c>
      <c r="D630" s="22" t="inlineStr">
        <is>
          <r>
            <t xml:space="preserve">H</t>
          </r>
        </is>
      </c>
      <c r="E630" s="24" t="n">
        <v>19.5654</v>
      </c>
      <c r="F630" s="30" t="n">
        <v>1.0</v>
      </c>
      <c r="G630" s="30" t="n">
        <f>ROUND(ROUND(E630,8)*F630,4)</f>
        <v>19.5654</v>
      </c>
    </row>
    <row r="631" customHeight="1" ht="15">
      <c r="A631" s="2" t="inlineStr"/>
      <c r="B631" s="2" t="inlineStr"/>
      <c r="C631" s="2" t="inlineStr"/>
      <c r="D631" s="2" t="inlineStr"/>
      <c r="E631" s="26" t="inlineStr">
        <is>
          <r>
            <t xml:space="preserve">TOTAL Geral:</t>
          </r>
        </is>
      </c>
      <c r="F631" s="26" t="inlineStr"/>
      <c r="G631" s="31" t="n">
        <f>SUM(G628:G630)</f>
        <v>106.3468</v>
      </c>
    </row>
    <row r="632" customHeight="1" ht="15">
      <c r="A632" s="2" t="inlineStr"/>
      <c r="B632" s="2" t="inlineStr"/>
      <c r="C632" s="2" t="inlineStr"/>
      <c r="D632" s="2" t="inlineStr"/>
      <c r="E632" s="28" t="inlineStr">
        <is>
          <r>
            <t xml:space="preserve">VALOR:</t>
          </r>
        </is>
      </c>
      <c r="F632" s="28" t="inlineStr"/>
      <c r="G632" s="29" t="n">
        <f>ROUND(SUM(G631),2)</f>
        <v>106.35</v>
      </c>
    </row>
    <row r="633" customHeight="1" ht="15">
      <c r="A633" s="2" t="inlineStr"/>
      <c r="B633" s="2" t="inlineStr"/>
      <c r="C633" s="2" t="inlineStr"/>
      <c r="D633" s="2" t="inlineStr"/>
      <c r="E633" s="28" t="inlineStr">
        <is>
          <r>
            <t xml:space="preserve">VALOR BDI:</t>
          </r>
        </is>
      </c>
      <c r="F633" s="28" t="inlineStr"/>
      <c r="G633" s="29" t="n">
        <f>ROUND(G632*(0/100),2)</f>
        <v>0.0</v>
      </c>
    </row>
    <row r="634" customHeight="1" ht="15">
      <c r="A634" s="2" t="inlineStr"/>
      <c r="B634" s="2" t="inlineStr"/>
      <c r="C634" s="2" t="inlineStr"/>
      <c r="D634" s="2" t="inlineStr"/>
      <c r="E634" s="28" t="inlineStr">
        <is>
          <r>
            <t xml:space="preserve">VALOR COM BDI:</t>
          </r>
        </is>
      </c>
      <c r="F634" s="28" t="inlineStr"/>
      <c r="G634" s="29" t="n">
        <f>G633+G632</f>
        <v>106.35</v>
      </c>
    </row>
    <row r="635" customHeight="1" ht="10">
      <c r="A635" s="2" t="inlineStr"/>
      <c r="B635" s="2" t="inlineStr"/>
      <c r="C635" s="2" t="inlineStr"/>
      <c r="D635" s="2" t="inlineStr"/>
      <c r="E635" s="18" t="inlineStr"/>
      <c r="F635" s="18" t="inlineStr"/>
      <c r="G635" s="18" t="inlineStr"/>
    </row>
    <row r="636" customHeight="1" ht="20">
      <c r="A636" s="19" t="inlineStr">
        <is>
          <r>
            <t xml:space="preserve">​I0710​ CARREGADEIRA DE PNEUS HP 180 (CHP)​ (H)</t>
          </r>
        </is>
      </c>
      <c r="B636" s="19" t="inlineStr"/>
      <c r="C636" s="19" t="inlineStr"/>
      <c r="D636" s="19" t="inlineStr"/>
      <c r="E636" s="19" t="inlineStr"/>
      <c r="F636" s="19" t="inlineStr"/>
      <c r="G636" s="19" t="inlineStr"/>
    </row>
    <row r="637" customHeight="1" ht="15">
      <c r="A637" s="20" t="inlineStr">
        <is>
          <r>
            <t xml:space="preserve">Geral</t>
          </r>
        </is>
      </c>
      <c r="B637" s="20" t="inlineStr"/>
      <c r="C637" s="21" t="inlineStr">
        <is>
          <r>
            <t xml:space="preserve">FONTE</t>
          </r>
        </is>
      </c>
      <c r="D637" s="21" t="inlineStr">
        <is>
          <r>
            <t xml:space="preserve">UNID</t>
          </r>
        </is>
      </c>
      <c r="E637" s="21" t="inlineStr">
        <is>
          <r>
            <t xml:space="preserve">COEFICIENTE</t>
          </r>
        </is>
      </c>
      <c r="F637" s="21" t="inlineStr">
        <is>
          <r>
            <t xml:space="preserve">PREÇO UNITÁRIO</t>
          </r>
        </is>
      </c>
      <c r="G637" s="21" t="inlineStr">
        <is>
          <r>
            <t xml:space="preserve">TOTAL</t>
          </r>
        </is>
      </c>
    </row>
    <row r="638" customHeight="1" ht="21">
      <c r="A638" s="22" t="inlineStr">
        <is>
          <r>
            <t xml:space="preserve">I2755</t>
          </r>
        </is>
      </c>
      <c r="B638" s="23" t="inlineStr">
        <is>
          <r>
            <t xml:space="preserve">MÃO DE OBRA DE OPERAÇÃO DA CARREGADEIRA DE PNEUS (180 HP)</t>
          </r>
        </is>
      </c>
      <c r="C638" s="22" t="inlineStr">
        <is>
          <r>
            <t xml:space="preserve">SEINFRA</t>
          </r>
        </is>
      </c>
      <c r="D638" s="22" t="inlineStr">
        <is>
          <r>
            <t xml:space="preserve">H</t>
          </r>
        </is>
      </c>
      <c r="E638" s="24" t="n">
        <v>1.0</v>
      </c>
      <c r="F638" s="30" t="n">
        <v>28.81</v>
      </c>
      <c r="G638" s="30" t="n">
        <f>ROUND(ROUND(E638,8)*F638,4)</f>
        <v>28.81</v>
      </c>
    </row>
    <row r="639" customHeight="1" ht="21">
      <c r="A639" s="22" t="inlineStr">
        <is>
          <r>
            <t xml:space="preserve">I2754</t>
          </r>
        </is>
      </c>
      <c r="B639" s="23" t="inlineStr">
        <is>
          <r>
            <t xml:space="preserve">MATERIAL DE OPERAÇÃO DA CARREGADEIRA DE PNEUS (180 HP)</t>
          </r>
        </is>
      </c>
      <c r="C639" s="22" t="inlineStr">
        <is>
          <r>
            <t xml:space="preserve">SEINFRA</t>
          </r>
        </is>
      </c>
      <c r="D639" s="22" t="inlineStr">
        <is>
          <r>
            <t xml:space="preserve">H</t>
          </r>
        </is>
      </c>
      <c r="E639" s="24" t="n">
        <v>1.0</v>
      </c>
      <c r="F639" s="30" t="n">
        <v>134.73</v>
      </c>
      <c r="G639" s="30" t="n">
        <f>ROUND(ROUND(E639,8)*F639,4)</f>
        <v>134.73</v>
      </c>
    </row>
    <row r="640" customHeight="1" ht="15">
      <c r="A640" s="22" t="inlineStr">
        <is>
          <r>
            <t xml:space="preserve">I2701</t>
          </r>
        </is>
      </c>
      <c r="B640" s="23" t="inlineStr">
        <is>
          <r>
            <t xml:space="preserve">DEPRECIAÇÃO</t>
          </r>
        </is>
      </c>
      <c r="C640" s="22" t="inlineStr">
        <is>
          <r>
            <t xml:space="preserve">SEINFRA</t>
          </r>
        </is>
      </c>
      <c r="D640" s="22" t="inlineStr">
        <is>
          <r>
            <t xml:space="preserve">H</t>
          </r>
        </is>
      </c>
      <c r="E640" s="24" t="n">
        <v>57.9714</v>
      </c>
      <c r="F640" s="30" t="n">
        <v>1.0</v>
      </c>
      <c r="G640" s="30" t="n">
        <f>ROUND(ROUND(E640,8)*F640,4)</f>
        <v>57.9714</v>
      </c>
    </row>
    <row r="641" customHeight="1" ht="15">
      <c r="A641" s="22" t="inlineStr">
        <is>
          <r>
            <t xml:space="preserve">I2702</t>
          </r>
        </is>
      </c>
      <c r="B641" s="23" t="inlineStr">
        <is>
          <r>
            <t xml:space="preserve">JUROS</t>
          </r>
        </is>
      </c>
      <c r="C641" s="22" t="inlineStr">
        <is>
          <r>
            <t xml:space="preserve">SEINFRA</t>
          </r>
        </is>
      </c>
      <c r="D641" s="22" t="inlineStr">
        <is>
          <r>
            <t xml:space="preserve">H</t>
          </r>
        </is>
      </c>
      <c r="E641" s="24" t="n">
        <v>19.5654</v>
      </c>
      <c r="F641" s="30" t="n">
        <v>1.0</v>
      </c>
      <c r="G641" s="30" t="n">
        <f>ROUND(ROUND(E641,8)*F641,4)</f>
        <v>19.5654</v>
      </c>
    </row>
    <row r="642" customHeight="1" ht="15">
      <c r="A642" s="22" t="inlineStr">
        <is>
          <r>
            <t xml:space="preserve">I2703</t>
          </r>
        </is>
      </c>
      <c r="B642" s="23" t="inlineStr">
        <is>
          <r>
            <t xml:space="preserve">MANUTENÇÃO</t>
          </r>
        </is>
      </c>
      <c r="C642" s="22" t="inlineStr">
        <is>
          <r>
            <t xml:space="preserve">SEINFRA</t>
          </r>
        </is>
      </c>
      <c r="D642" s="22" t="inlineStr">
        <is>
          <r>
            <t xml:space="preserve">H</t>
          </r>
        </is>
      </c>
      <c r="E642" s="24" t="n">
        <v>86.9571</v>
      </c>
      <c r="F642" s="30" t="n">
        <v>1.0</v>
      </c>
      <c r="G642" s="30" t="n">
        <f>ROUND(ROUND(E642,8)*F642,4)</f>
        <v>86.9571</v>
      </c>
    </row>
    <row r="643" customHeight="1" ht="15">
      <c r="A643" s="2" t="inlineStr"/>
      <c r="B643" s="2" t="inlineStr"/>
      <c r="C643" s="2" t="inlineStr"/>
      <c r="D643" s="2" t="inlineStr"/>
      <c r="E643" s="26" t="inlineStr">
        <is>
          <r>
            <t xml:space="preserve">TOTAL Geral:</t>
          </r>
        </is>
      </c>
      <c r="F643" s="26" t="inlineStr"/>
      <c r="G643" s="31" t="n">
        <f>SUM(G638:G642)</f>
        <v>328.0339</v>
      </c>
    </row>
    <row r="644" customHeight="1" ht="15">
      <c r="A644" s="2" t="inlineStr"/>
      <c r="B644" s="2" t="inlineStr"/>
      <c r="C644" s="2" t="inlineStr"/>
      <c r="D644" s="2" t="inlineStr"/>
      <c r="E644" s="28" t="inlineStr">
        <is>
          <r>
            <t xml:space="preserve">VALOR:</t>
          </r>
        </is>
      </c>
      <c r="F644" s="28" t="inlineStr"/>
      <c r="G644" s="29" t="n">
        <f>ROUND(SUM(G643),2)</f>
        <v>328.03</v>
      </c>
    </row>
    <row r="645" customHeight="1" ht="15">
      <c r="A645" s="2" t="inlineStr"/>
      <c r="B645" s="2" t="inlineStr"/>
      <c r="C645" s="2" t="inlineStr"/>
      <c r="D645" s="2" t="inlineStr"/>
      <c r="E645" s="28" t="inlineStr">
        <is>
          <r>
            <t xml:space="preserve">VALOR BDI:</t>
          </r>
        </is>
      </c>
      <c r="F645" s="28" t="inlineStr"/>
      <c r="G645" s="29" t="n">
        <f>ROUND(G644*(0/100),2)</f>
        <v>0.0</v>
      </c>
    </row>
    <row r="646" customHeight="1" ht="15">
      <c r="A646" s="2" t="inlineStr"/>
      <c r="B646" s="2" t="inlineStr"/>
      <c r="C646" s="2" t="inlineStr"/>
      <c r="D646" s="2" t="inlineStr"/>
      <c r="E646" s="28" t="inlineStr">
        <is>
          <r>
            <t xml:space="preserve">VALOR COM BDI:</t>
          </r>
        </is>
      </c>
      <c r="F646" s="28" t="inlineStr"/>
      <c r="G646" s="29" t="n">
        <f>G645+G644</f>
        <v>328.03</v>
      </c>
    </row>
    <row r="647" customHeight="1" ht="10">
      <c r="A647" s="2" t="inlineStr"/>
      <c r="B647" s="2" t="inlineStr"/>
      <c r="C647" s="2" t="inlineStr"/>
      <c r="D647" s="2" t="inlineStr"/>
      <c r="E647" s="18" t="inlineStr"/>
      <c r="F647" s="18" t="inlineStr"/>
      <c r="G647" s="18" t="inlineStr"/>
    </row>
    <row r="648" customHeight="1" ht="20">
      <c r="A648" s="19" t="inlineStr">
        <is>
          <r>
            <t xml:space="preserve">​I0607​ COMPAC. DE PNEUS PRES. VAR. AUTOPR. (CHI)​ (H)</t>
          </r>
        </is>
      </c>
      <c r="B648" s="19" t="inlineStr"/>
      <c r="C648" s="19" t="inlineStr"/>
      <c r="D648" s="19" t="inlineStr"/>
      <c r="E648" s="19" t="inlineStr"/>
      <c r="F648" s="19" t="inlineStr"/>
      <c r="G648" s="19" t="inlineStr"/>
    </row>
    <row r="649" customHeight="1" ht="15">
      <c r="A649" s="20" t="inlineStr">
        <is>
          <r>
            <t xml:space="preserve">Geral</t>
          </r>
        </is>
      </c>
      <c r="B649" s="20" t="inlineStr"/>
      <c r="C649" s="21" t="inlineStr">
        <is>
          <r>
            <t xml:space="preserve">FONTE</t>
          </r>
        </is>
      </c>
      <c r="D649" s="21" t="inlineStr">
        <is>
          <r>
            <t xml:space="preserve">UNID</t>
          </r>
        </is>
      </c>
      <c r="E649" s="21" t="inlineStr">
        <is>
          <r>
            <t xml:space="preserve">COEFICIENTE</t>
          </r>
        </is>
      </c>
      <c r="F649" s="21" t="inlineStr">
        <is>
          <r>
            <t xml:space="preserve">PREÇO UNITÁRIO</t>
          </r>
        </is>
      </c>
      <c r="G649" s="21" t="inlineStr">
        <is>
          <r>
            <t xml:space="preserve">TOTAL</t>
          </r>
        </is>
      </c>
    </row>
    <row r="650" customHeight="1" ht="21">
      <c r="A650" s="22" t="inlineStr">
        <is>
          <r>
            <t xml:space="preserve">I2768</t>
          </r>
        </is>
      </c>
      <c r="B650" s="23" t="inlineStr">
        <is>
          <r>
            <t xml:space="preserve">MÃO DE OBRA DE OPERAÇÃO DO COMPAC. DE PNEUS PRES. VAR. AUTOPR.</t>
          </r>
        </is>
      </c>
      <c r="C650" s="22" t="inlineStr">
        <is>
          <r>
            <t xml:space="preserve">SEINFRA</t>
          </r>
        </is>
      </c>
      <c r="D650" s="22" t="inlineStr">
        <is>
          <r>
            <t xml:space="preserve">H</t>
          </r>
        </is>
      </c>
      <c r="E650" s="24" t="n">
        <v>1.0</v>
      </c>
      <c r="F650" s="30" t="n">
        <v>28.81</v>
      </c>
      <c r="G650" s="30" t="n">
        <f>ROUND(ROUND(E650,8)*F650,4)</f>
        <v>28.81</v>
      </c>
    </row>
    <row r="651" customHeight="1" ht="15">
      <c r="A651" s="22" t="inlineStr">
        <is>
          <r>
            <t xml:space="preserve">I2701</t>
          </r>
        </is>
      </c>
      <c r="B651" s="23" t="inlineStr">
        <is>
          <r>
            <t xml:space="preserve">DEPRECIAÇÃO</t>
          </r>
        </is>
      </c>
      <c r="C651" s="22" t="inlineStr">
        <is>
          <r>
            <t xml:space="preserve">SEINFRA</t>
          </r>
        </is>
      </c>
      <c r="D651" s="22" t="inlineStr">
        <is>
          <r>
            <t xml:space="preserve">H</t>
          </r>
        </is>
      </c>
      <c r="E651" s="24" t="n">
        <v>49.1355</v>
      </c>
      <c r="F651" s="30" t="n">
        <v>1.0</v>
      </c>
      <c r="G651" s="30" t="n">
        <f>ROUND(ROUND(E651,8)*F651,4)</f>
        <v>49.1355</v>
      </c>
    </row>
    <row r="652" customHeight="1" ht="15">
      <c r="A652" s="22" t="inlineStr">
        <is>
          <r>
            <t xml:space="preserve">I2702</t>
          </r>
        </is>
      </c>
      <c r="B652" s="23" t="inlineStr">
        <is>
          <r>
            <t xml:space="preserve">JUROS</t>
          </r>
        </is>
      </c>
      <c r="C652" s="22" t="inlineStr">
        <is>
          <r>
            <t xml:space="preserve">SEINFRA</t>
          </r>
        </is>
      </c>
      <c r="D652" s="22" t="inlineStr">
        <is>
          <r>
            <t xml:space="preserve">H</t>
          </r>
        </is>
      </c>
      <c r="E652" s="24" t="n">
        <v>16.3785</v>
      </c>
      <c r="F652" s="30" t="n">
        <v>1.0</v>
      </c>
      <c r="G652" s="30" t="n">
        <f>ROUND(ROUND(E652,8)*F652,4)</f>
        <v>16.3785</v>
      </c>
    </row>
    <row r="653" customHeight="1" ht="15">
      <c r="A653" s="2" t="inlineStr"/>
      <c r="B653" s="2" t="inlineStr"/>
      <c r="C653" s="2" t="inlineStr"/>
      <c r="D653" s="2" t="inlineStr"/>
      <c r="E653" s="26" t="inlineStr">
        <is>
          <r>
            <t xml:space="preserve">TOTAL Geral:</t>
          </r>
        </is>
      </c>
      <c r="F653" s="26" t="inlineStr"/>
      <c r="G653" s="31" t="n">
        <f>SUM(G650:G652)</f>
        <v>94.324</v>
      </c>
    </row>
    <row r="654" customHeight="1" ht="15">
      <c r="A654" s="2" t="inlineStr"/>
      <c r="B654" s="2" t="inlineStr"/>
      <c r="C654" s="2" t="inlineStr"/>
      <c r="D654" s="2" t="inlineStr"/>
      <c r="E654" s="28" t="inlineStr">
        <is>
          <r>
            <t xml:space="preserve">VALOR:</t>
          </r>
        </is>
      </c>
      <c r="F654" s="28" t="inlineStr"/>
      <c r="G654" s="29" t="n">
        <f>ROUND(SUM(G653),2)</f>
        <v>94.32</v>
      </c>
    </row>
    <row r="655" customHeight="1" ht="15">
      <c r="A655" s="2" t="inlineStr"/>
      <c r="B655" s="2" t="inlineStr"/>
      <c r="C655" s="2" t="inlineStr"/>
      <c r="D655" s="2" t="inlineStr"/>
      <c r="E655" s="28" t="inlineStr">
        <is>
          <r>
            <t xml:space="preserve">VALOR BDI:</t>
          </r>
        </is>
      </c>
      <c r="F655" s="28" t="inlineStr"/>
      <c r="G655" s="29" t="n">
        <f>ROUND(G654*(0/100),2)</f>
        <v>0.0</v>
      </c>
    </row>
    <row r="656" customHeight="1" ht="15">
      <c r="A656" s="2" t="inlineStr"/>
      <c r="B656" s="2" t="inlineStr"/>
      <c r="C656" s="2" t="inlineStr"/>
      <c r="D656" s="2" t="inlineStr"/>
      <c r="E656" s="28" t="inlineStr">
        <is>
          <r>
            <t xml:space="preserve">VALOR COM BDI:</t>
          </r>
        </is>
      </c>
      <c r="F656" s="28" t="inlineStr"/>
      <c r="G656" s="29" t="n">
        <f>G655+G654</f>
        <v>94.32</v>
      </c>
    </row>
    <row r="657" customHeight="1" ht="10">
      <c r="A657" s="2" t="inlineStr"/>
      <c r="B657" s="2" t="inlineStr"/>
      <c r="C657" s="2" t="inlineStr"/>
      <c r="D657" s="2" t="inlineStr"/>
      <c r="E657" s="18" t="inlineStr"/>
      <c r="F657" s="18" t="inlineStr"/>
      <c r="G657" s="18" t="inlineStr"/>
    </row>
    <row r="658" customHeight="1" ht="20">
      <c r="A658" s="19" t="inlineStr">
        <is>
          <r>
            <t xml:space="preserve">​I0721​ COMPAC. DE PNEUS PRES. VAR. AUTOPR. (CHP)​ (H)</t>
          </r>
        </is>
      </c>
      <c r="B658" s="19" t="inlineStr"/>
      <c r="C658" s="19" t="inlineStr"/>
      <c r="D658" s="19" t="inlineStr"/>
      <c r="E658" s="19" t="inlineStr"/>
      <c r="F658" s="19" t="inlineStr"/>
      <c r="G658" s="19" t="inlineStr"/>
    </row>
    <row r="659" customHeight="1" ht="15">
      <c r="A659" s="20" t="inlineStr">
        <is>
          <r>
            <t xml:space="preserve">Geral</t>
          </r>
        </is>
      </c>
      <c r="B659" s="20" t="inlineStr"/>
      <c r="C659" s="21" t="inlineStr">
        <is>
          <r>
            <t xml:space="preserve">FONTE</t>
          </r>
        </is>
      </c>
      <c r="D659" s="21" t="inlineStr">
        <is>
          <r>
            <t xml:space="preserve">UNID</t>
          </r>
        </is>
      </c>
      <c r="E659" s="21" t="inlineStr">
        <is>
          <r>
            <t xml:space="preserve">COEFICIENTE</t>
          </r>
        </is>
      </c>
      <c r="F659" s="21" t="inlineStr">
        <is>
          <r>
            <t xml:space="preserve">PREÇO UNITÁRIO</t>
          </r>
        </is>
      </c>
      <c r="G659" s="21" t="inlineStr">
        <is>
          <r>
            <t xml:space="preserve">TOTAL</t>
          </r>
        </is>
      </c>
    </row>
    <row r="660" customHeight="1" ht="21">
      <c r="A660" s="22" t="inlineStr">
        <is>
          <r>
            <t xml:space="preserve">I2768</t>
          </r>
        </is>
      </c>
      <c r="B660" s="23" t="inlineStr">
        <is>
          <r>
            <t xml:space="preserve">MÃO DE OBRA DE OPERAÇÃO DO COMPAC. DE PNEUS PRES. VAR. AUTOPR.</t>
          </r>
        </is>
      </c>
      <c r="C660" s="22" t="inlineStr">
        <is>
          <r>
            <t xml:space="preserve">SEINFRA</t>
          </r>
        </is>
      </c>
      <c r="D660" s="22" t="inlineStr">
        <is>
          <r>
            <t xml:space="preserve">H</t>
          </r>
        </is>
      </c>
      <c r="E660" s="24" t="n">
        <v>1.0</v>
      </c>
      <c r="F660" s="30" t="n">
        <v>28.81</v>
      </c>
      <c r="G660" s="30" t="n">
        <f>ROUND(ROUND(E660,8)*F660,4)</f>
        <v>28.81</v>
      </c>
    </row>
    <row r="661" customHeight="1" ht="21">
      <c r="A661" s="22" t="inlineStr">
        <is>
          <r>
            <t xml:space="preserve">I2767</t>
          </r>
        </is>
      </c>
      <c r="B661" s="23" t="inlineStr">
        <is>
          <r>
            <t xml:space="preserve">MATERIAL DE OPERAÇÃO DO COMPAC. DE PNEUS PRES. VAR. AUTOPR.</t>
          </r>
        </is>
      </c>
      <c r="C661" s="22" t="inlineStr">
        <is>
          <r>
            <t xml:space="preserve">SEINFRA</t>
          </r>
        </is>
      </c>
      <c r="D661" s="22" t="inlineStr">
        <is>
          <r>
            <t xml:space="preserve">H</t>
          </r>
        </is>
      </c>
      <c r="E661" s="24" t="n">
        <v>1.0</v>
      </c>
      <c r="F661" s="30" t="n">
        <v>97.305</v>
      </c>
      <c r="G661" s="30" t="n">
        <f>ROUND(ROUND(E661,8)*F661,4)</f>
        <v>97.305</v>
      </c>
    </row>
    <row r="662" customHeight="1" ht="15">
      <c r="A662" s="22" t="inlineStr">
        <is>
          <r>
            <t xml:space="preserve">I2701</t>
          </r>
        </is>
      </c>
      <c r="B662" s="23" t="inlineStr">
        <is>
          <r>
            <t xml:space="preserve">DEPRECIAÇÃO</t>
          </r>
        </is>
      </c>
      <c r="C662" s="22" t="inlineStr">
        <is>
          <r>
            <t xml:space="preserve">SEINFRA</t>
          </r>
        </is>
      </c>
      <c r="D662" s="22" t="inlineStr">
        <is>
          <r>
            <t xml:space="preserve">H</t>
          </r>
        </is>
      </c>
      <c r="E662" s="24" t="n">
        <v>49.1355</v>
      </c>
      <c r="F662" s="30" t="n">
        <v>1.0</v>
      </c>
      <c r="G662" s="30" t="n">
        <f>ROUND(ROUND(E662,8)*F662,4)</f>
        <v>49.1355</v>
      </c>
    </row>
    <row r="663" customHeight="1" ht="15">
      <c r="A663" s="22" t="inlineStr">
        <is>
          <r>
            <t xml:space="preserve">I2702</t>
          </r>
        </is>
      </c>
      <c r="B663" s="23" t="inlineStr">
        <is>
          <r>
            <t xml:space="preserve">JUROS</t>
          </r>
        </is>
      </c>
      <c r="C663" s="22" t="inlineStr">
        <is>
          <r>
            <t xml:space="preserve">SEINFRA</t>
          </r>
        </is>
      </c>
      <c r="D663" s="22" t="inlineStr">
        <is>
          <r>
            <t xml:space="preserve">H</t>
          </r>
        </is>
      </c>
      <c r="E663" s="24" t="n">
        <v>16.3785</v>
      </c>
      <c r="F663" s="30" t="n">
        <v>1.0</v>
      </c>
      <c r="G663" s="30" t="n">
        <f>ROUND(ROUND(E663,8)*F663,4)</f>
        <v>16.3785</v>
      </c>
    </row>
    <row r="664" customHeight="1" ht="15">
      <c r="A664" s="22" t="inlineStr">
        <is>
          <r>
            <t xml:space="preserve">I2703</t>
          </r>
        </is>
      </c>
      <c r="B664" s="23" t="inlineStr">
        <is>
          <r>
            <t xml:space="preserve">MANUTENÇÃO</t>
          </r>
        </is>
      </c>
      <c r="C664" s="22" t="inlineStr">
        <is>
          <r>
            <t xml:space="preserve">SEINFRA</t>
          </r>
        </is>
      </c>
      <c r="D664" s="22" t="inlineStr">
        <is>
          <r>
            <t xml:space="preserve">H</t>
          </r>
        </is>
      </c>
      <c r="E664" s="24" t="n">
        <v>54.595</v>
      </c>
      <c r="F664" s="30" t="n">
        <v>1.0</v>
      </c>
      <c r="G664" s="30" t="n">
        <f>ROUND(ROUND(E664,8)*F664,4)</f>
        <v>54.595</v>
      </c>
    </row>
    <row r="665" customHeight="1" ht="15">
      <c r="A665" s="2" t="inlineStr"/>
      <c r="B665" s="2" t="inlineStr"/>
      <c r="C665" s="2" t="inlineStr"/>
      <c r="D665" s="2" t="inlineStr"/>
      <c r="E665" s="26" t="inlineStr">
        <is>
          <r>
            <t xml:space="preserve">TOTAL Geral:</t>
          </r>
        </is>
      </c>
      <c r="F665" s="26" t="inlineStr"/>
      <c r="G665" s="31" t="n">
        <f>SUM(G660:G664)</f>
        <v>246.224</v>
      </c>
    </row>
    <row r="666" customHeight="1" ht="15">
      <c r="A666" s="2" t="inlineStr"/>
      <c r="B666" s="2" t="inlineStr"/>
      <c r="C666" s="2" t="inlineStr"/>
      <c r="D666" s="2" t="inlineStr"/>
      <c r="E666" s="28" t="inlineStr">
        <is>
          <r>
            <t xml:space="preserve">VALOR:</t>
          </r>
        </is>
      </c>
      <c r="F666" s="28" t="inlineStr"/>
      <c r="G666" s="29" t="n">
        <f>ROUND(SUM(G665),2)</f>
        <v>246.22</v>
      </c>
    </row>
    <row r="667" customHeight="1" ht="15">
      <c r="A667" s="2" t="inlineStr"/>
      <c r="B667" s="2" t="inlineStr"/>
      <c r="C667" s="2" t="inlineStr"/>
      <c r="D667" s="2" t="inlineStr"/>
      <c r="E667" s="28" t="inlineStr">
        <is>
          <r>
            <t xml:space="preserve">VALOR BDI:</t>
          </r>
        </is>
      </c>
      <c r="F667" s="28" t="inlineStr"/>
      <c r="G667" s="29" t="n">
        <f>ROUND(G666*(0/100),2)</f>
        <v>0.0</v>
      </c>
    </row>
    <row r="668" customHeight="1" ht="15">
      <c r="A668" s="2" t="inlineStr"/>
      <c r="B668" s="2" t="inlineStr"/>
      <c r="C668" s="2" t="inlineStr"/>
      <c r="D668" s="2" t="inlineStr"/>
      <c r="E668" s="28" t="inlineStr">
        <is>
          <r>
            <t xml:space="preserve">VALOR COM BDI:</t>
          </r>
        </is>
      </c>
      <c r="F668" s="28" t="inlineStr"/>
      <c r="G668" s="29" t="n">
        <f>G667+G666</f>
        <v>246.22</v>
      </c>
    </row>
    <row r="669" customHeight="1" ht="10">
      <c r="A669" s="2" t="inlineStr"/>
      <c r="B669" s="2" t="inlineStr"/>
      <c r="C669" s="2" t="inlineStr"/>
      <c r="D669" s="2" t="inlineStr"/>
      <c r="E669" s="18" t="inlineStr"/>
      <c r="F669" s="18" t="inlineStr"/>
      <c r="G669" s="18" t="inlineStr"/>
    </row>
    <row r="670" customHeight="1" ht="20">
      <c r="A670" s="19" t="inlineStr">
        <is>
          <r>
            <t xml:space="preserve">​I0609​ COMPAC. LISO VIBRAT. AUTOPROPELIDO (CHI)​ (H)</t>
          </r>
        </is>
      </c>
      <c r="B670" s="19" t="inlineStr"/>
      <c r="C670" s="19" t="inlineStr"/>
      <c r="D670" s="19" t="inlineStr"/>
      <c r="E670" s="19" t="inlineStr"/>
      <c r="F670" s="19" t="inlineStr"/>
      <c r="G670" s="19" t="inlineStr"/>
    </row>
    <row r="671" customHeight="1" ht="15">
      <c r="A671" s="20" t="inlineStr">
        <is>
          <r>
            <t xml:space="preserve">Geral</t>
          </r>
        </is>
      </c>
      <c r="B671" s="20" t="inlineStr"/>
      <c r="C671" s="21" t="inlineStr">
        <is>
          <r>
            <t xml:space="preserve">FONTE</t>
          </r>
        </is>
      </c>
      <c r="D671" s="21" t="inlineStr">
        <is>
          <r>
            <t xml:space="preserve">UNID</t>
          </r>
        </is>
      </c>
      <c r="E671" s="21" t="inlineStr">
        <is>
          <r>
            <t xml:space="preserve">COEFICIENTE</t>
          </r>
        </is>
      </c>
      <c r="F671" s="21" t="inlineStr">
        <is>
          <r>
            <t xml:space="preserve">PREÇO UNITÁRIO</t>
          </r>
        </is>
      </c>
      <c r="G671" s="21" t="inlineStr">
        <is>
          <r>
            <t xml:space="preserve">TOTAL</t>
          </r>
        </is>
      </c>
    </row>
    <row r="672" customHeight="1" ht="21">
      <c r="A672" s="22" t="inlineStr">
        <is>
          <r>
            <t xml:space="preserve">I2764</t>
          </r>
        </is>
      </c>
      <c r="B672" s="23" t="inlineStr">
        <is>
          <r>
            <t xml:space="preserve">MÃO DE OBRA DE OPERAÇÃO DO COMPAC. LISO VIBRAT. AUTOPROPELIDO</t>
          </r>
        </is>
      </c>
      <c r="C672" s="22" t="inlineStr">
        <is>
          <r>
            <t xml:space="preserve">SEINFRA</t>
          </r>
        </is>
      </c>
      <c r="D672" s="22" t="inlineStr">
        <is>
          <r>
            <t xml:space="preserve">H</t>
          </r>
        </is>
      </c>
      <c r="E672" s="24" t="n">
        <v>1.0</v>
      </c>
      <c r="F672" s="30" t="n">
        <v>28.81</v>
      </c>
      <c r="G672" s="30" t="n">
        <f>ROUND(ROUND(E672,8)*F672,4)</f>
        <v>28.81</v>
      </c>
    </row>
    <row r="673" customHeight="1" ht="15">
      <c r="A673" s="22" t="inlineStr">
        <is>
          <r>
            <t xml:space="preserve">I2701</t>
          </r>
        </is>
      </c>
      <c r="B673" s="23" t="inlineStr">
        <is>
          <r>
            <t xml:space="preserve">DEPRECIAÇÃO</t>
          </r>
        </is>
      </c>
      <c r="C673" s="22" t="inlineStr">
        <is>
          <r>
            <t xml:space="preserve">SEINFRA</t>
          </r>
        </is>
      </c>
      <c r="D673" s="22" t="inlineStr">
        <is>
          <r>
            <t xml:space="preserve">H</t>
          </r>
        </is>
      </c>
      <c r="E673" s="24" t="n">
        <v>37.7374</v>
      </c>
      <c r="F673" s="30" t="n">
        <v>1.0</v>
      </c>
      <c r="G673" s="30" t="n">
        <f>ROUND(ROUND(E673,8)*F673,4)</f>
        <v>37.7374</v>
      </c>
    </row>
    <row r="674" customHeight="1" ht="15">
      <c r="A674" s="22" t="inlineStr">
        <is>
          <r>
            <t xml:space="preserve">I2702</t>
          </r>
        </is>
      </c>
      <c r="B674" s="23" t="inlineStr">
        <is>
          <r>
            <t xml:space="preserve">JUROS</t>
          </r>
        </is>
      </c>
      <c r="C674" s="22" t="inlineStr">
        <is>
          <r>
            <t xml:space="preserve">SEINFRA</t>
          </r>
        </is>
      </c>
      <c r="D674" s="22" t="inlineStr">
        <is>
          <r>
            <t xml:space="preserve">H</t>
          </r>
        </is>
      </c>
      <c r="E674" s="24" t="n">
        <v>13.8371</v>
      </c>
      <c r="F674" s="30" t="n">
        <v>1.0</v>
      </c>
      <c r="G674" s="30" t="n">
        <f>ROUND(ROUND(E674,8)*F674,4)</f>
        <v>13.8371</v>
      </c>
    </row>
    <row r="675" customHeight="1" ht="15">
      <c r="A675" s="2" t="inlineStr"/>
      <c r="B675" s="2" t="inlineStr"/>
      <c r="C675" s="2" t="inlineStr"/>
      <c r="D675" s="2" t="inlineStr"/>
      <c r="E675" s="26" t="inlineStr">
        <is>
          <r>
            <t xml:space="preserve">TOTAL Geral:</t>
          </r>
        </is>
      </c>
      <c r="F675" s="26" t="inlineStr"/>
      <c r="G675" s="31" t="n">
        <f>SUM(G672:G674)</f>
        <v>80.3845</v>
      </c>
    </row>
    <row r="676" customHeight="1" ht="15">
      <c r="A676" s="2" t="inlineStr"/>
      <c r="B676" s="2" t="inlineStr"/>
      <c r="C676" s="2" t="inlineStr"/>
      <c r="D676" s="2" t="inlineStr"/>
      <c r="E676" s="28" t="inlineStr">
        <is>
          <r>
            <t xml:space="preserve">VALOR:</t>
          </r>
        </is>
      </c>
      <c r="F676" s="28" t="inlineStr"/>
      <c r="G676" s="29" t="n">
        <f>ROUND(SUM(G675),2)</f>
        <v>80.38</v>
      </c>
    </row>
    <row r="677" customHeight="1" ht="15">
      <c r="A677" s="2" t="inlineStr"/>
      <c r="B677" s="2" t="inlineStr"/>
      <c r="C677" s="2" t="inlineStr"/>
      <c r="D677" s="2" t="inlineStr"/>
      <c r="E677" s="28" t="inlineStr">
        <is>
          <r>
            <t xml:space="preserve">VALOR BDI:</t>
          </r>
        </is>
      </c>
      <c r="F677" s="28" t="inlineStr"/>
      <c r="G677" s="29" t="n">
        <f>ROUND(G676*(0/100),2)</f>
        <v>0.0</v>
      </c>
    </row>
    <row r="678" customHeight="1" ht="15">
      <c r="A678" s="2" t="inlineStr"/>
      <c r="B678" s="2" t="inlineStr"/>
      <c r="C678" s="2" t="inlineStr"/>
      <c r="D678" s="2" t="inlineStr"/>
      <c r="E678" s="28" t="inlineStr">
        <is>
          <r>
            <t xml:space="preserve">VALOR COM BDI:</t>
          </r>
        </is>
      </c>
      <c r="F678" s="28" t="inlineStr"/>
      <c r="G678" s="29" t="n">
        <f>G677+G676</f>
        <v>80.38</v>
      </c>
    </row>
    <row r="679" customHeight="1" ht="10">
      <c r="A679" s="2" t="inlineStr"/>
      <c r="B679" s="2" t="inlineStr"/>
      <c r="C679" s="2" t="inlineStr"/>
      <c r="D679" s="2" t="inlineStr"/>
      <c r="E679" s="18" t="inlineStr"/>
      <c r="F679" s="18" t="inlineStr"/>
      <c r="G679" s="18" t="inlineStr"/>
    </row>
    <row r="680" customHeight="1" ht="20">
      <c r="A680" s="19" t="inlineStr">
        <is>
          <r>
            <t xml:space="preserve">​I0722​ COMPAC. LISO VIBRAT. AUTOPROPELIDO (CHP)​ (H)</t>
          </r>
        </is>
      </c>
      <c r="B680" s="19" t="inlineStr"/>
      <c r="C680" s="19" t="inlineStr"/>
      <c r="D680" s="19" t="inlineStr"/>
      <c r="E680" s="19" t="inlineStr"/>
      <c r="F680" s="19" t="inlineStr"/>
      <c r="G680" s="19" t="inlineStr"/>
    </row>
    <row r="681" customHeight="1" ht="15">
      <c r="A681" s="20" t="inlineStr">
        <is>
          <r>
            <t xml:space="preserve">Geral</t>
          </r>
        </is>
      </c>
      <c r="B681" s="20" t="inlineStr"/>
      <c r="C681" s="21" t="inlineStr">
        <is>
          <r>
            <t xml:space="preserve">FONTE</t>
          </r>
        </is>
      </c>
      <c r="D681" s="21" t="inlineStr">
        <is>
          <r>
            <t xml:space="preserve">UNID</t>
          </r>
        </is>
      </c>
      <c r="E681" s="21" t="inlineStr">
        <is>
          <r>
            <t xml:space="preserve">COEFICIENTE</t>
          </r>
        </is>
      </c>
      <c r="F681" s="21" t="inlineStr">
        <is>
          <r>
            <t xml:space="preserve">PREÇO UNITÁRIO</t>
          </r>
        </is>
      </c>
      <c r="G681" s="21" t="inlineStr">
        <is>
          <r>
            <t xml:space="preserve">TOTAL</t>
          </r>
        </is>
      </c>
    </row>
    <row r="682" customHeight="1" ht="21">
      <c r="A682" s="22" t="inlineStr">
        <is>
          <r>
            <t xml:space="preserve">I2764</t>
          </r>
        </is>
      </c>
      <c r="B682" s="23" t="inlineStr">
        <is>
          <r>
            <t xml:space="preserve">MÃO DE OBRA DE OPERAÇÃO DO COMPAC. LISO VIBRAT. AUTOPROPELIDO</t>
          </r>
        </is>
      </c>
      <c r="C682" s="22" t="inlineStr">
        <is>
          <r>
            <t xml:space="preserve">SEINFRA</t>
          </r>
        </is>
      </c>
      <c r="D682" s="22" t="inlineStr">
        <is>
          <r>
            <t xml:space="preserve">H</t>
          </r>
        </is>
      </c>
      <c r="E682" s="24" t="n">
        <v>1.0</v>
      </c>
      <c r="F682" s="30" t="n">
        <v>28.81</v>
      </c>
      <c r="G682" s="30" t="n">
        <f>ROUND(ROUND(E682,8)*F682,4)</f>
        <v>28.81</v>
      </c>
    </row>
    <row r="683" customHeight="1" ht="21">
      <c r="A683" s="22" t="inlineStr">
        <is>
          <r>
            <t xml:space="preserve">I2763</t>
          </r>
        </is>
      </c>
      <c r="B683" s="23" t="inlineStr">
        <is>
          <r>
            <t xml:space="preserve">MATERIAL DE OPERAÇÃO DO COMPAC. LISO VIBRAT. AUTOPROPELIDO</t>
          </r>
        </is>
      </c>
      <c r="C683" s="22" t="inlineStr">
        <is>
          <r>
            <t xml:space="preserve">SEINFRA</t>
          </r>
        </is>
      </c>
      <c r="D683" s="22" t="inlineStr">
        <is>
          <r>
            <t xml:space="preserve">H</t>
          </r>
        </is>
      </c>
      <c r="E683" s="24" t="n">
        <v>1.0</v>
      </c>
      <c r="F683" s="30" t="n">
        <v>95.0595</v>
      </c>
      <c r="G683" s="30" t="n">
        <f>ROUND(ROUND(E683,8)*F683,4)</f>
        <v>95.0595</v>
      </c>
    </row>
    <row r="684" customHeight="1" ht="15">
      <c r="A684" s="22" t="inlineStr">
        <is>
          <r>
            <t xml:space="preserve">I2701</t>
          </r>
        </is>
      </c>
      <c r="B684" s="23" t="inlineStr">
        <is>
          <r>
            <t xml:space="preserve">DEPRECIAÇÃO</t>
          </r>
        </is>
      </c>
      <c r="C684" s="22" t="inlineStr">
        <is>
          <r>
            <t xml:space="preserve">SEINFRA</t>
          </r>
        </is>
      </c>
      <c r="D684" s="22" t="inlineStr">
        <is>
          <r>
            <t xml:space="preserve">H</t>
          </r>
        </is>
      </c>
      <c r="E684" s="24" t="n">
        <v>37.7374</v>
      </c>
      <c r="F684" s="30" t="n">
        <v>1.0</v>
      </c>
      <c r="G684" s="30" t="n">
        <f>ROUND(ROUND(E684,8)*F684,4)</f>
        <v>37.7374</v>
      </c>
    </row>
    <row r="685" customHeight="1" ht="15">
      <c r="A685" s="22" t="inlineStr">
        <is>
          <r>
            <t xml:space="preserve">I2702</t>
          </r>
        </is>
      </c>
      <c r="B685" s="23" t="inlineStr">
        <is>
          <r>
            <t xml:space="preserve">JUROS</t>
          </r>
        </is>
      </c>
      <c r="C685" s="22" t="inlineStr">
        <is>
          <r>
            <t xml:space="preserve">SEINFRA</t>
          </r>
        </is>
      </c>
      <c r="D685" s="22" t="inlineStr">
        <is>
          <r>
            <t xml:space="preserve">H</t>
          </r>
        </is>
      </c>
      <c r="E685" s="24" t="n">
        <v>13.8371</v>
      </c>
      <c r="F685" s="30" t="n">
        <v>1.0</v>
      </c>
      <c r="G685" s="30" t="n">
        <f>ROUND(ROUND(E685,8)*F685,4)</f>
        <v>13.8371</v>
      </c>
    </row>
    <row r="686" customHeight="1" ht="15">
      <c r="A686" s="22" t="inlineStr">
        <is>
          <r>
            <t xml:space="preserve">I2703</t>
          </r>
        </is>
      </c>
      <c r="B686" s="23" t="inlineStr">
        <is>
          <r>
            <t xml:space="preserve">MANUTENÇÃO</t>
          </r>
        </is>
      </c>
      <c r="C686" s="22" t="inlineStr">
        <is>
          <r>
            <t xml:space="preserve">SEINFRA</t>
          </r>
        </is>
      </c>
      <c r="D686" s="22" t="inlineStr">
        <is>
          <r>
            <t xml:space="preserve">H</t>
          </r>
        </is>
      </c>
      <c r="E686" s="24" t="n">
        <v>50.3166</v>
      </c>
      <c r="F686" s="30" t="n">
        <v>1.0</v>
      </c>
      <c r="G686" s="30" t="n">
        <f>ROUND(ROUND(E686,8)*F686,4)</f>
        <v>50.3166</v>
      </c>
    </row>
    <row r="687" customHeight="1" ht="15">
      <c r="A687" s="2" t="inlineStr"/>
      <c r="B687" s="2" t="inlineStr"/>
      <c r="C687" s="2" t="inlineStr"/>
      <c r="D687" s="2" t="inlineStr"/>
      <c r="E687" s="26" t="inlineStr">
        <is>
          <r>
            <t xml:space="preserve">TOTAL Geral:</t>
          </r>
        </is>
      </c>
      <c r="F687" s="26" t="inlineStr"/>
      <c r="G687" s="31" t="n">
        <f>SUM(G682:G686)</f>
        <v>225.7606</v>
      </c>
    </row>
    <row r="688" customHeight="1" ht="15">
      <c r="A688" s="2" t="inlineStr"/>
      <c r="B688" s="2" t="inlineStr"/>
      <c r="C688" s="2" t="inlineStr"/>
      <c r="D688" s="2" t="inlineStr"/>
      <c r="E688" s="28" t="inlineStr">
        <is>
          <r>
            <t xml:space="preserve">VALOR:</t>
          </r>
        </is>
      </c>
      <c r="F688" s="28" t="inlineStr"/>
      <c r="G688" s="29" t="n">
        <f>ROUND(SUM(G687),2)</f>
        <v>225.76</v>
      </c>
    </row>
    <row r="689" customHeight="1" ht="15">
      <c r="A689" s="2" t="inlineStr"/>
      <c r="B689" s="2" t="inlineStr"/>
      <c r="C689" s="2" t="inlineStr"/>
      <c r="D689" s="2" t="inlineStr"/>
      <c r="E689" s="28" t="inlineStr">
        <is>
          <r>
            <t xml:space="preserve">VALOR BDI:</t>
          </r>
        </is>
      </c>
      <c r="F689" s="28" t="inlineStr"/>
      <c r="G689" s="29" t="n">
        <f>ROUND(G688*(0/100),2)</f>
        <v>0.0</v>
      </c>
    </row>
    <row r="690" customHeight="1" ht="15">
      <c r="A690" s="2" t="inlineStr"/>
      <c r="B690" s="2" t="inlineStr"/>
      <c r="C690" s="2" t="inlineStr"/>
      <c r="D690" s="2" t="inlineStr"/>
      <c r="E690" s="28" t="inlineStr">
        <is>
          <r>
            <t xml:space="preserve">VALOR COM BDI:</t>
          </r>
        </is>
      </c>
      <c r="F690" s="28" t="inlineStr"/>
      <c r="G690" s="29" t="n">
        <f>G689+G688</f>
        <v>225.76</v>
      </c>
    </row>
    <row r="691" customHeight="1" ht="10">
      <c r="A691" s="2" t="inlineStr"/>
      <c r="B691" s="2" t="inlineStr"/>
      <c r="C691" s="2" t="inlineStr"/>
      <c r="D691" s="2" t="inlineStr"/>
      <c r="E691" s="18" t="inlineStr"/>
      <c r="F691" s="18" t="inlineStr"/>
      <c r="G691" s="18" t="inlineStr"/>
    </row>
    <row r="692" customHeight="1" ht="20">
      <c r="A692" s="19" t="inlineStr">
        <is>
          <r>
            <t xml:space="preserve">​I0610​ COMPAC. PÉ DE CARNEIRO VIBRAT. AUTOPROP. (CHI)​ (H)</t>
          </r>
        </is>
      </c>
      <c r="B692" s="19" t="inlineStr"/>
      <c r="C692" s="19" t="inlineStr"/>
      <c r="D692" s="19" t="inlineStr"/>
      <c r="E692" s="19" t="inlineStr"/>
      <c r="F692" s="19" t="inlineStr"/>
      <c r="G692" s="19" t="inlineStr"/>
    </row>
    <row r="693" customHeight="1" ht="15">
      <c r="A693" s="20" t="inlineStr">
        <is>
          <r>
            <t xml:space="preserve">Geral</t>
          </r>
        </is>
      </c>
      <c r="B693" s="20" t="inlineStr"/>
      <c r="C693" s="21" t="inlineStr">
        <is>
          <r>
            <t xml:space="preserve">FONTE</t>
          </r>
        </is>
      </c>
      <c r="D693" s="21" t="inlineStr">
        <is>
          <r>
            <t xml:space="preserve">UNID</t>
          </r>
        </is>
      </c>
      <c r="E693" s="21" t="inlineStr">
        <is>
          <r>
            <t xml:space="preserve">COEFICIENTE</t>
          </r>
        </is>
      </c>
      <c r="F693" s="21" t="inlineStr">
        <is>
          <r>
            <t xml:space="preserve">PREÇO UNITÁRIO</t>
          </r>
        </is>
      </c>
      <c r="G693" s="21" t="inlineStr">
        <is>
          <r>
            <t xml:space="preserve">TOTAL</t>
          </r>
        </is>
      </c>
    </row>
    <row r="694" customHeight="1" ht="21">
      <c r="A694" s="22" t="inlineStr">
        <is>
          <r>
            <t xml:space="preserve">I2766</t>
          </r>
        </is>
      </c>
      <c r="B694" s="23" t="inlineStr">
        <is>
          <r>
            <t xml:space="preserve">MÃO DE OBRA DE OPERAÇÃO DO COMPAC. PE DE CARN. VIBRAT. AUTOPR.</t>
          </r>
        </is>
      </c>
      <c r="C694" s="22" t="inlineStr">
        <is>
          <r>
            <t xml:space="preserve">SEINFRA</t>
          </r>
        </is>
      </c>
      <c r="D694" s="22" t="inlineStr">
        <is>
          <r>
            <t xml:space="preserve">H</t>
          </r>
        </is>
      </c>
      <c r="E694" s="24" t="n">
        <v>1.0</v>
      </c>
      <c r="F694" s="30" t="n">
        <v>28.81</v>
      </c>
      <c r="G694" s="30" t="n">
        <f>ROUND(ROUND(E694,8)*F694,4)</f>
        <v>28.81</v>
      </c>
    </row>
    <row r="695" customHeight="1" ht="15">
      <c r="A695" s="22" t="inlineStr">
        <is>
          <r>
            <t xml:space="preserve">I2701</t>
          </r>
        </is>
      </c>
      <c r="B695" s="23" t="inlineStr">
        <is>
          <r>
            <t xml:space="preserve">DEPRECIAÇÃO</t>
          </r>
        </is>
      </c>
      <c r="C695" s="22" t="inlineStr">
        <is>
          <r>
            <t xml:space="preserve">SEINFRA</t>
          </r>
        </is>
      </c>
      <c r="D695" s="22" t="inlineStr">
        <is>
          <r>
            <t xml:space="preserve">H</t>
          </r>
        </is>
      </c>
      <c r="E695" s="24" t="n">
        <v>38.7323</v>
      </c>
      <c r="F695" s="30" t="n">
        <v>1.0</v>
      </c>
      <c r="G695" s="30" t="n">
        <f>ROUND(ROUND(E695,8)*F695,4)</f>
        <v>38.7323</v>
      </c>
    </row>
    <row r="696" customHeight="1" ht="15">
      <c r="A696" s="22" t="inlineStr">
        <is>
          <r>
            <t xml:space="preserve">I2702</t>
          </r>
        </is>
      </c>
      <c r="B696" s="23" t="inlineStr">
        <is>
          <r>
            <t xml:space="preserve">JUROS</t>
          </r>
        </is>
      </c>
      <c r="C696" s="22" t="inlineStr">
        <is>
          <r>
            <t xml:space="preserve">SEINFRA</t>
          </r>
        </is>
      </c>
      <c r="D696" s="22" t="inlineStr">
        <is>
          <r>
            <t xml:space="preserve">H</t>
          </r>
        </is>
      </c>
      <c r="E696" s="24" t="n">
        <v>14.2018</v>
      </c>
      <c r="F696" s="30" t="n">
        <v>1.0</v>
      </c>
      <c r="G696" s="30" t="n">
        <f>ROUND(ROUND(E696,8)*F696,4)</f>
        <v>14.2018</v>
      </c>
    </row>
    <row r="697" customHeight="1" ht="15">
      <c r="A697" s="2" t="inlineStr"/>
      <c r="B697" s="2" t="inlineStr"/>
      <c r="C697" s="2" t="inlineStr"/>
      <c r="D697" s="2" t="inlineStr"/>
      <c r="E697" s="26" t="inlineStr">
        <is>
          <r>
            <t xml:space="preserve">TOTAL Geral:</t>
          </r>
        </is>
      </c>
      <c r="F697" s="26" t="inlineStr"/>
      <c r="G697" s="31" t="n">
        <f>SUM(G694:G696)</f>
        <v>81.7441</v>
      </c>
    </row>
    <row r="698" customHeight="1" ht="15">
      <c r="A698" s="2" t="inlineStr"/>
      <c r="B698" s="2" t="inlineStr"/>
      <c r="C698" s="2" t="inlineStr"/>
      <c r="D698" s="2" t="inlineStr"/>
      <c r="E698" s="28" t="inlineStr">
        <is>
          <r>
            <t xml:space="preserve">VALOR:</t>
          </r>
        </is>
      </c>
      <c r="F698" s="28" t="inlineStr"/>
      <c r="G698" s="29" t="n">
        <f>ROUND(SUM(G697),2)</f>
        <v>81.74</v>
      </c>
    </row>
    <row r="699" customHeight="1" ht="15">
      <c r="A699" s="2" t="inlineStr"/>
      <c r="B699" s="2" t="inlineStr"/>
      <c r="C699" s="2" t="inlineStr"/>
      <c r="D699" s="2" t="inlineStr"/>
      <c r="E699" s="28" t="inlineStr">
        <is>
          <r>
            <t xml:space="preserve">VALOR BDI:</t>
          </r>
        </is>
      </c>
      <c r="F699" s="28" t="inlineStr"/>
      <c r="G699" s="29" t="n">
        <f>ROUND(G698*(0/100),2)</f>
        <v>0.0</v>
      </c>
    </row>
    <row r="700" customHeight="1" ht="15">
      <c r="A700" s="2" t="inlineStr"/>
      <c r="B700" s="2" t="inlineStr"/>
      <c r="C700" s="2" t="inlineStr"/>
      <c r="D700" s="2" t="inlineStr"/>
      <c r="E700" s="28" t="inlineStr">
        <is>
          <r>
            <t xml:space="preserve">VALOR COM BDI:</t>
          </r>
        </is>
      </c>
      <c r="F700" s="28" t="inlineStr"/>
      <c r="G700" s="29" t="n">
        <f>G699+G698</f>
        <v>81.74</v>
      </c>
    </row>
    <row r="701" customHeight="1" ht="10">
      <c r="A701" s="2" t="inlineStr"/>
      <c r="B701" s="2" t="inlineStr"/>
      <c r="C701" s="2" t="inlineStr"/>
      <c r="D701" s="2" t="inlineStr"/>
      <c r="E701" s="18" t="inlineStr"/>
      <c r="F701" s="18" t="inlineStr"/>
      <c r="G701" s="18" t="inlineStr"/>
    </row>
    <row r="702" customHeight="1" ht="20">
      <c r="A702" s="19" t="inlineStr">
        <is>
          <r>
            <t xml:space="preserve">​I0723​ COMPAC. PÉ DE CARNEIRO VIBRAT. AUTOPROP. (CHP)​ (H)</t>
          </r>
        </is>
      </c>
      <c r="B702" s="19" t="inlineStr"/>
      <c r="C702" s="19" t="inlineStr"/>
      <c r="D702" s="19" t="inlineStr"/>
      <c r="E702" s="19" t="inlineStr"/>
      <c r="F702" s="19" t="inlineStr"/>
      <c r="G702" s="19" t="inlineStr"/>
    </row>
    <row r="703" customHeight="1" ht="15">
      <c r="A703" s="20" t="inlineStr">
        <is>
          <r>
            <t xml:space="preserve">Geral</t>
          </r>
        </is>
      </c>
      <c r="B703" s="20" t="inlineStr"/>
      <c r="C703" s="21" t="inlineStr">
        <is>
          <r>
            <t xml:space="preserve">FONTE</t>
          </r>
        </is>
      </c>
      <c r="D703" s="21" t="inlineStr">
        <is>
          <r>
            <t xml:space="preserve">UNID</t>
          </r>
        </is>
      </c>
      <c r="E703" s="21" t="inlineStr">
        <is>
          <r>
            <t xml:space="preserve">COEFICIENTE</t>
          </r>
        </is>
      </c>
      <c r="F703" s="21" t="inlineStr">
        <is>
          <r>
            <t xml:space="preserve">PREÇO UNITÁRIO</t>
          </r>
        </is>
      </c>
      <c r="G703" s="21" t="inlineStr">
        <is>
          <r>
            <t xml:space="preserve">TOTAL</t>
          </r>
        </is>
      </c>
    </row>
    <row r="704" customHeight="1" ht="21">
      <c r="A704" s="22" t="inlineStr">
        <is>
          <r>
            <t xml:space="preserve">I2766</t>
          </r>
        </is>
      </c>
      <c r="B704" s="23" t="inlineStr">
        <is>
          <r>
            <t xml:space="preserve">MÃO DE OBRA DE OPERAÇÃO DO COMPAC. PE DE CARN. VIBRAT. AUTOPR.</t>
          </r>
        </is>
      </c>
      <c r="C704" s="22" t="inlineStr">
        <is>
          <r>
            <t xml:space="preserve">SEINFRA</t>
          </r>
        </is>
      </c>
      <c r="D704" s="22" t="inlineStr">
        <is>
          <r>
            <t xml:space="preserve">H</t>
          </r>
        </is>
      </c>
      <c r="E704" s="24" t="n">
        <v>1.0</v>
      </c>
      <c r="F704" s="30" t="n">
        <v>28.81</v>
      </c>
      <c r="G704" s="30" t="n">
        <f>ROUND(ROUND(E704,8)*F704,4)</f>
        <v>28.81</v>
      </c>
    </row>
    <row r="705" customHeight="1" ht="21">
      <c r="A705" s="22" t="inlineStr">
        <is>
          <r>
            <t xml:space="preserve">I2765</t>
          </r>
        </is>
      </c>
      <c r="B705" s="23" t="inlineStr">
        <is>
          <r>
            <t xml:space="preserve">MATERIAL DE OPERAÇÃO DO COMPAC. PE DE CARN. VIBRAT. AUTOPR.</t>
          </r>
        </is>
      </c>
      <c r="C705" s="22" t="inlineStr">
        <is>
          <r>
            <t xml:space="preserve">SEINFRA</t>
          </r>
        </is>
      </c>
      <c r="D705" s="22" t="inlineStr">
        <is>
          <r>
            <t xml:space="preserve">H</t>
          </r>
        </is>
      </c>
      <c r="E705" s="24" t="n">
        <v>1.0</v>
      </c>
      <c r="F705" s="30" t="n">
        <v>95.0595</v>
      </c>
      <c r="G705" s="30" t="n">
        <f>ROUND(ROUND(E705,8)*F705,4)</f>
        <v>95.0595</v>
      </c>
    </row>
    <row r="706" customHeight="1" ht="15">
      <c r="A706" s="22" t="inlineStr">
        <is>
          <r>
            <t xml:space="preserve">I2701</t>
          </r>
        </is>
      </c>
      <c r="B706" s="23" t="inlineStr">
        <is>
          <r>
            <t xml:space="preserve">DEPRECIAÇÃO</t>
          </r>
        </is>
      </c>
      <c r="C706" s="22" t="inlineStr">
        <is>
          <r>
            <t xml:space="preserve">SEINFRA</t>
          </r>
        </is>
      </c>
      <c r="D706" s="22" t="inlineStr">
        <is>
          <r>
            <t xml:space="preserve">H</t>
          </r>
        </is>
      </c>
      <c r="E706" s="24" t="n">
        <v>38.7323</v>
      </c>
      <c r="F706" s="30" t="n">
        <v>1.0</v>
      </c>
      <c r="G706" s="30" t="n">
        <f>ROUND(ROUND(E706,8)*F706,4)</f>
        <v>38.7323</v>
      </c>
    </row>
    <row r="707" customHeight="1" ht="15">
      <c r="A707" s="22" t="inlineStr">
        <is>
          <r>
            <t xml:space="preserve">I2702</t>
          </r>
        </is>
      </c>
      <c r="B707" s="23" t="inlineStr">
        <is>
          <r>
            <t xml:space="preserve">JUROS</t>
          </r>
        </is>
      </c>
      <c r="C707" s="22" t="inlineStr">
        <is>
          <r>
            <t xml:space="preserve">SEINFRA</t>
          </r>
        </is>
      </c>
      <c r="D707" s="22" t="inlineStr">
        <is>
          <r>
            <t xml:space="preserve">H</t>
          </r>
        </is>
      </c>
      <c r="E707" s="24" t="n">
        <v>14.2018</v>
      </c>
      <c r="F707" s="30" t="n">
        <v>1.0</v>
      </c>
      <c r="G707" s="30" t="n">
        <f>ROUND(ROUND(E707,8)*F707,4)</f>
        <v>14.2018</v>
      </c>
    </row>
    <row r="708" customHeight="1" ht="15">
      <c r="A708" s="22" t="inlineStr">
        <is>
          <r>
            <t xml:space="preserve">I2703</t>
          </r>
        </is>
      </c>
      <c r="B708" s="23" t="inlineStr">
        <is>
          <r>
            <t xml:space="preserve">MANUTENÇÃO</t>
          </r>
        </is>
      </c>
      <c r="C708" s="22" t="inlineStr">
        <is>
          <r>
            <t xml:space="preserve">SEINFRA</t>
          </r>
        </is>
      </c>
      <c r="D708" s="22" t="inlineStr">
        <is>
          <r>
            <t xml:space="preserve">H</t>
          </r>
        </is>
      </c>
      <c r="E708" s="24" t="n">
        <v>51.643</v>
      </c>
      <c r="F708" s="30" t="n">
        <v>1.0</v>
      </c>
      <c r="G708" s="30" t="n">
        <f>ROUND(ROUND(E708,8)*F708,4)</f>
        <v>51.643</v>
      </c>
    </row>
    <row r="709" customHeight="1" ht="15">
      <c r="A709" s="2" t="inlineStr"/>
      <c r="B709" s="2" t="inlineStr"/>
      <c r="C709" s="2" t="inlineStr"/>
      <c r="D709" s="2" t="inlineStr"/>
      <c r="E709" s="26" t="inlineStr">
        <is>
          <r>
            <t xml:space="preserve">TOTAL Geral:</t>
          </r>
        </is>
      </c>
      <c r="F709" s="26" t="inlineStr"/>
      <c r="G709" s="31" t="n">
        <f>SUM(G704:G708)</f>
        <v>228.4466</v>
      </c>
    </row>
    <row r="710" customHeight="1" ht="15">
      <c r="A710" s="2" t="inlineStr"/>
      <c r="B710" s="2" t="inlineStr"/>
      <c r="C710" s="2" t="inlineStr"/>
      <c r="D710" s="2" t="inlineStr"/>
      <c r="E710" s="28" t="inlineStr">
        <is>
          <r>
            <t xml:space="preserve">VALOR:</t>
          </r>
        </is>
      </c>
      <c r="F710" s="28" t="inlineStr"/>
      <c r="G710" s="29" t="n">
        <f>ROUND(SUM(G709),2)</f>
        <v>228.45</v>
      </c>
    </row>
    <row r="711" customHeight="1" ht="15">
      <c r="A711" s="2" t="inlineStr"/>
      <c r="B711" s="2" t="inlineStr"/>
      <c r="C711" s="2" t="inlineStr"/>
      <c r="D711" s="2" t="inlineStr"/>
      <c r="E711" s="28" t="inlineStr">
        <is>
          <r>
            <t xml:space="preserve">VALOR BDI:</t>
          </r>
        </is>
      </c>
      <c r="F711" s="28" t="inlineStr"/>
      <c r="G711" s="29" t="n">
        <f>ROUND(G710*(0/100),2)</f>
        <v>0.0</v>
      </c>
    </row>
    <row r="712" customHeight="1" ht="15">
      <c r="A712" s="2" t="inlineStr"/>
      <c r="B712" s="2" t="inlineStr"/>
      <c r="C712" s="2" t="inlineStr"/>
      <c r="D712" s="2" t="inlineStr"/>
      <c r="E712" s="28" t="inlineStr">
        <is>
          <r>
            <t xml:space="preserve">VALOR COM BDI:</t>
          </r>
        </is>
      </c>
      <c r="F712" s="28" t="inlineStr"/>
      <c r="G712" s="29" t="n">
        <f>G711+G710</f>
        <v>228.45</v>
      </c>
    </row>
    <row r="713" customHeight="1" ht="10">
      <c r="A713" s="2" t="inlineStr"/>
      <c r="B713" s="2" t="inlineStr"/>
      <c r="C713" s="2" t="inlineStr"/>
      <c r="D713" s="2" t="inlineStr"/>
      <c r="E713" s="18" t="inlineStr"/>
      <c r="F713" s="18" t="inlineStr"/>
      <c r="G713" s="18" t="inlineStr"/>
    </row>
    <row r="714" customHeight="1" ht="20">
      <c r="A714" s="19" t="inlineStr">
        <is>
          <r>
            <t xml:space="preserve">​I0725​ COMPACTADOR DE PLACA VIBRATÓRIA HP 7 (CHP)​ (H)</t>
          </r>
        </is>
      </c>
      <c r="B714" s="19" t="inlineStr"/>
      <c r="C714" s="19" t="inlineStr"/>
      <c r="D714" s="19" t="inlineStr"/>
      <c r="E714" s="19" t="inlineStr"/>
      <c r="F714" s="19" t="inlineStr"/>
      <c r="G714" s="19" t="inlineStr"/>
    </row>
    <row r="715" customHeight="1" ht="15">
      <c r="A715" s="20" t="inlineStr">
        <is>
          <r>
            <t xml:space="preserve">Geral</t>
          </r>
        </is>
      </c>
      <c r="B715" s="20" t="inlineStr"/>
      <c r="C715" s="21" t="inlineStr">
        <is>
          <r>
            <t xml:space="preserve">FONTE</t>
          </r>
        </is>
      </c>
      <c r="D715" s="21" t="inlineStr">
        <is>
          <r>
            <t xml:space="preserve">UNID</t>
          </r>
        </is>
      </c>
      <c r="E715" s="21" t="inlineStr">
        <is>
          <r>
            <t xml:space="preserve">COEFICIENTE</t>
          </r>
        </is>
      </c>
      <c r="F715" s="21" t="inlineStr">
        <is>
          <r>
            <t xml:space="preserve">PREÇO UNITÁRIO</t>
          </r>
        </is>
      </c>
      <c r="G715" s="21" t="inlineStr">
        <is>
          <r>
            <t xml:space="preserve">TOTAL</t>
          </r>
        </is>
      </c>
    </row>
    <row r="716" customHeight="1" ht="21">
      <c r="A716" s="22" t="inlineStr">
        <is>
          <r>
            <t xml:space="preserve">I2772</t>
          </r>
        </is>
      </c>
      <c r="B716" s="23" t="inlineStr">
        <is>
          <r>
            <t xml:space="preserve">MÃO DE OBRA DE OPERAÇÃO DO COMPACTADOR DE PLACA VIBRATÓRIA (7 HP)</t>
          </r>
        </is>
      </c>
      <c r="C716" s="22" t="inlineStr">
        <is>
          <r>
            <t xml:space="preserve">SEINFRA</t>
          </r>
        </is>
      </c>
      <c r="D716" s="22" t="inlineStr">
        <is>
          <r>
            <t xml:space="preserve">H</t>
          </r>
        </is>
      </c>
      <c r="E716" s="24" t="n">
        <v>1.0</v>
      </c>
      <c r="F716" s="30" t="n">
        <v>21.29</v>
      </c>
      <c r="G716" s="30" t="n">
        <f>ROUND(ROUND(E716,8)*F716,4)</f>
        <v>21.29</v>
      </c>
    </row>
    <row r="717" customHeight="1" ht="21">
      <c r="A717" s="22" t="inlineStr">
        <is>
          <r>
            <t xml:space="preserve">I2771</t>
          </r>
        </is>
      </c>
      <c r="B717" s="23" t="inlineStr">
        <is>
          <r>
            <t xml:space="preserve">MATERIAL DE OPERAÇÃO DO COMPACTADOR DE PLACA VIBRATÓRIA (7 HP)</t>
          </r>
        </is>
      </c>
      <c r="C717" s="22" t="inlineStr">
        <is>
          <r>
            <t xml:space="preserve">SEINFRA</t>
          </r>
        </is>
      </c>
      <c r="D717" s="22" t="inlineStr">
        <is>
          <r>
            <t xml:space="preserve">H</t>
          </r>
        </is>
      </c>
      <c r="E717" s="24" t="n">
        <v>1.0</v>
      </c>
      <c r="F717" s="30" t="n">
        <v>5.2395</v>
      </c>
      <c r="G717" s="30" t="n">
        <f>ROUND(ROUND(E717,8)*F717,4)</f>
        <v>5.2395</v>
      </c>
    </row>
    <row r="718" customHeight="1" ht="15">
      <c r="A718" s="22" t="inlineStr">
        <is>
          <r>
            <t xml:space="preserve">I2701</t>
          </r>
        </is>
      </c>
      <c r="B718" s="23" t="inlineStr">
        <is>
          <r>
            <t xml:space="preserve">DEPRECIAÇÃO</t>
          </r>
        </is>
      </c>
      <c r="C718" s="22" t="inlineStr">
        <is>
          <r>
            <t xml:space="preserve">SEINFRA</t>
          </r>
        </is>
      </c>
      <c r="D718" s="22" t="inlineStr">
        <is>
          <r>
            <t xml:space="preserve">H</t>
          </r>
        </is>
      </c>
      <c r="E718" s="24" t="n">
        <v>9.0832</v>
      </c>
      <c r="F718" s="30" t="n">
        <v>1.0</v>
      </c>
      <c r="G718" s="30" t="n">
        <f>ROUND(ROUND(E718,8)*F718,4)</f>
        <v>9.0832</v>
      </c>
    </row>
    <row r="719" customHeight="1" ht="15">
      <c r="A719" s="22" t="inlineStr">
        <is>
          <r>
            <t xml:space="preserve">I2702</t>
          </r>
        </is>
      </c>
      <c r="B719" s="23" t="inlineStr">
        <is>
          <r>
            <t xml:space="preserve">JUROS</t>
          </r>
        </is>
      </c>
      <c r="C719" s="22" t="inlineStr">
        <is>
          <r>
            <t xml:space="preserve">SEINFRA</t>
          </r>
        </is>
      </c>
      <c r="D719" s="22" t="inlineStr">
        <is>
          <r>
            <t xml:space="preserve">H</t>
          </r>
        </is>
      </c>
      <c r="E719" s="24" t="n">
        <v>2.0079</v>
      </c>
      <c r="F719" s="30" t="n">
        <v>1.0</v>
      </c>
      <c r="G719" s="30" t="n">
        <f>ROUND(ROUND(E719,8)*F719,4)</f>
        <v>2.0079</v>
      </c>
    </row>
    <row r="720" customHeight="1" ht="15">
      <c r="A720" s="22" t="inlineStr">
        <is>
          <r>
            <t xml:space="preserve">I2703</t>
          </r>
        </is>
      </c>
      <c r="B720" s="23" t="inlineStr">
        <is>
          <r>
            <t xml:space="preserve">MANUTENÇÃO</t>
          </r>
        </is>
      </c>
      <c r="C720" s="22" t="inlineStr">
        <is>
          <r>
            <t xml:space="preserve">SEINFRA</t>
          </r>
        </is>
      </c>
      <c r="D720" s="22" t="inlineStr">
        <is>
          <r>
            <t xml:space="preserve">H</t>
          </r>
        </is>
      </c>
      <c r="E720" s="24" t="n">
        <v>11.4735</v>
      </c>
      <c r="F720" s="30" t="n">
        <v>1.0</v>
      </c>
      <c r="G720" s="30" t="n">
        <f>ROUND(ROUND(E720,8)*F720,4)</f>
        <v>11.4735</v>
      </c>
    </row>
    <row r="721" customHeight="1" ht="15">
      <c r="A721" s="2" t="inlineStr"/>
      <c r="B721" s="2" t="inlineStr"/>
      <c r="C721" s="2" t="inlineStr"/>
      <c r="D721" s="2" t="inlineStr"/>
      <c r="E721" s="26" t="inlineStr">
        <is>
          <r>
            <t xml:space="preserve">TOTAL Geral:</t>
          </r>
        </is>
      </c>
      <c r="F721" s="26" t="inlineStr"/>
      <c r="G721" s="31" t="n">
        <f>SUM(G716:G720)</f>
        <v>49.0941</v>
      </c>
    </row>
    <row r="722" customHeight="1" ht="15">
      <c r="A722" s="2" t="inlineStr"/>
      <c r="B722" s="2" t="inlineStr"/>
      <c r="C722" s="2" t="inlineStr"/>
      <c r="D722" s="2" t="inlineStr"/>
      <c r="E722" s="28" t="inlineStr">
        <is>
          <r>
            <t xml:space="preserve">VALOR:</t>
          </r>
        </is>
      </c>
      <c r="F722" s="28" t="inlineStr"/>
      <c r="G722" s="29" t="n">
        <f>ROUND(SUM(G721),2)</f>
        <v>49.09</v>
      </c>
    </row>
    <row r="723" customHeight="1" ht="15">
      <c r="A723" s="2" t="inlineStr"/>
      <c r="B723" s="2" t="inlineStr"/>
      <c r="C723" s="2" t="inlineStr"/>
      <c r="D723" s="2" t="inlineStr"/>
      <c r="E723" s="28" t="inlineStr">
        <is>
          <r>
            <t xml:space="preserve">VALOR BDI:</t>
          </r>
        </is>
      </c>
      <c r="F723" s="28" t="inlineStr"/>
      <c r="G723" s="29" t="n">
        <f>ROUND(G722*(0/100),2)</f>
        <v>0.0</v>
      </c>
    </row>
    <row r="724" customHeight="1" ht="15">
      <c r="A724" s="2" t="inlineStr"/>
      <c r="B724" s="2" t="inlineStr"/>
      <c r="C724" s="2" t="inlineStr"/>
      <c r="D724" s="2" t="inlineStr"/>
      <c r="E724" s="28" t="inlineStr">
        <is>
          <r>
            <t xml:space="preserve">VALOR COM BDI:</t>
          </r>
        </is>
      </c>
      <c r="F724" s="28" t="inlineStr"/>
      <c r="G724" s="29" t="n">
        <f>G723+G722</f>
        <v>49.09</v>
      </c>
    </row>
    <row r="725" customHeight="1" ht="10">
      <c r="A725" s="2" t="inlineStr"/>
      <c r="B725" s="2" t="inlineStr"/>
      <c r="C725" s="2" t="inlineStr"/>
      <c r="D725" s="2" t="inlineStr"/>
      <c r="E725" s="18" t="inlineStr"/>
      <c r="F725" s="18" t="inlineStr"/>
      <c r="G725" s="18" t="inlineStr"/>
    </row>
    <row r="726" customHeight="1" ht="20">
      <c r="A726" s="19" t="inlineStr">
        <is>
          <r>
            <t xml:space="preserve">​I0608​ COMPACTADOR LISO TANDEM AUTOPROPELIDO (CHI)​ (H)</t>
          </r>
        </is>
      </c>
      <c r="B726" s="19" t="inlineStr"/>
      <c r="C726" s="19" t="inlineStr"/>
      <c r="D726" s="19" t="inlineStr"/>
      <c r="E726" s="19" t="inlineStr"/>
      <c r="F726" s="19" t="inlineStr"/>
      <c r="G726" s="19" t="inlineStr"/>
    </row>
    <row r="727" customHeight="1" ht="15">
      <c r="A727" s="20" t="inlineStr">
        <is>
          <r>
            <t xml:space="preserve">Geral</t>
          </r>
        </is>
      </c>
      <c r="B727" s="20" t="inlineStr"/>
      <c r="C727" s="21" t="inlineStr">
        <is>
          <r>
            <t xml:space="preserve">FONTE</t>
          </r>
        </is>
      </c>
      <c r="D727" s="21" t="inlineStr">
        <is>
          <r>
            <t xml:space="preserve">UNID</t>
          </r>
        </is>
      </c>
      <c r="E727" s="21" t="inlineStr">
        <is>
          <r>
            <t xml:space="preserve">COEFICIENTE</t>
          </r>
        </is>
      </c>
      <c r="F727" s="21" t="inlineStr">
        <is>
          <r>
            <t xml:space="preserve">PREÇO UNITÁRIO</t>
          </r>
        </is>
      </c>
      <c r="G727" s="21" t="inlineStr">
        <is>
          <r>
            <t xml:space="preserve">TOTAL</t>
          </r>
        </is>
      </c>
    </row>
    <row r="728" customHeight="1" ht="21">
      <c r="A728" s="22" t="inlineStr">
        <is>
          <r>
            <t xml:space="preserve">I2762</t>
          </r>
        </is>
      </c>
      <c r="B728" s="23" t="inlineStr">
        <is>
          <r>
            <t xml:space="preserve">MÃO DE OBRA DE OPERAÇÃO DO COMPAC. LISO TANDEM AUTOPR.</t>
          </r>
        </is>
      </c>
      <c r="C728" s="22" t="inlineStr">
        <is>
          <r>
            <t xml:space="preserve">SEINFRA</t>
          </r>
        </is>
      </c>
      <c r="D728" s="22" t="inlineStr">
        <is>
          <r>
            <t xml:space="preserve">H</t>
          </r>
        </is>
      </c>
      <c r="E728" s="24" t="n">
        <v>1.0</v>
      </c>
      <c r="F728" s="30" t="n">
        <v>28.81</v>
      </c>
      <c r="G728" s="30" t="n">
        <f>ROUND(ROUND(E728,8)*F728,4)</f>
        <v>28.81</v>
      </c>
    </row>
    <row r="729" customHeight="1" ht="15">
      <c r="A729" s="22" t="inlineStr">
        <is>
          <r>
            <t xml:space="preserve">I2701</t>
          </r>
        </is>
      </c>
      <c r="B729" s="23" t="inlineStr">
        <is>
          <r>
            <t xml:space="preserve">DEPRECIAÇÃO</t>
          </r>
        </is>
      </c>
      <c r="C729" s="22" t="inlineStr">
        <is>
          <r>
            <t xml:space="preserve">SEINFRA</t>
          </r>
        </is>
      </c>
      <c r="D729" s="22" t="inlineStr">
        <is>
          <r>
            <t xml:space="preserve">H</t>
          </r>
        </is>
      </c>
      <c r="E729" s="24" t="n">
        <v>21.9752</v>
      </c>
      <c r="F729" s="30" t="n">
        <v>1.0</v>
      </c>
      <c r="G729" s="30" t="n">
        <f>ROUND(ROUND(E729,8)*F729,4)</f>
        <v>21.9752</v>
      </c>
    </row>
    <row r="730" customHeight="1" ht="15">
      <c r="A730" s="22" t="inlineStr">
        <is>
          <r>
            <t xml:space="preserve">I2702</t>
          </r>
        </is>
      </c>
      <c r="B730" s="23" t="inlineStr">
        <is>
          <r>
            <t xml:space="preserve">JUROS</t>
          </r>
        </is>
      </c>
      <c r="C730" s="22" t="inlineStr">
        <is>
          <r>
            <t xml:space="preserve">SEINFRA</t>
          </r>
        </is>
      </c>
      <c r="D730" s="22" t="inlineStr">
        <is>
          <r>
            <t xml:space="preserve">H</t>
          </r>
        </is>
      </c>
      <c r="E730" s="24" t="n">
        <v>7.3251</v>
      </c>
      <c r="F730" s="30" t="n">
        <v>1.0</v>
      </c>
      <c r="G730" s="30" t="n">
        <f>ROUND(ROUND(E730,8)*F730,4)</f>
        <v>7.3251</v>
      </c>
    </row>
    <row r="731" customHeight="1" ht="15">
      <c r="A731" s="2" t="inlineStr"/>
      <c r="B731" s="2" t="inlineStr"/>
      <c r="C731" s="2" t="inlineStr"/>
      <c r="D731" s="2" t="inlineStr"/>
      <c r="E731" s="26" t="inlineStr">
        <is>
          <r>
            <t xml:space="preserve">TOTAL Geral:</t>
          </r>
        </is>
      </c>
      <c r="F731" s="26" t="inlineStr"/>
      <c r="G731" s="31" t="n">
        <f>SUM(G728:G730)</f>
        <v>58.1103</v>
      </c>
    </row>
    <row r="732" customHeight="1" ht="15">
      <c r="A732" s="2" t="inlineStr"/>
      <c r="B732" s="2" t="inlineStr"/>
      <c r="C732" s="2" t="inlineStr"/>
      <c r="D732" s="2" t="inlineStr"/>
      <c r="E732" s="28" t="inlineStr">
        <is>
          <r>
            <t xml:space="preserve">VALOR:</t>
          </r>
        </is>
      </c>
      <c r="F732" s="28" t="inlineStr"/>
      <c r="G732" s="29" t="n">
        <f>ROUND(SUM(G731),2)</f>
        <v>58.11</v>
      </c>
    </row>
    <row r="733" customHeight="1" ht="15">
      <c r="A733" s="2" t="inlineStr"/>
      <c r="B733" s="2" t="inlineStr"/>
      <c r="C733" s="2" t="inlineStr"/>
      <c r="D733" s="2" t="inlineStr"/>
      <c r="E733" s="28" t="inlineStr">
        <is>
          <r>
            <t xml:space="preserve">VALOR BDI:</t>
          </r>
        </is>
      </c>
      <c r="F733" s="28" t="inlineStr"/>
      <c r="G733" s="29" t="n">
        <f>ROUND(G732*(0/100),2)</f>
        <v>0.0</v>
      </c>
    </row>
    <row r="734" customHeight="1" ht="15">
      <c r="A734" s="2" t="inlineStr"/>
      <c r="B734" s="2" t="inlineStr"/>
      <c r="C734" s="2" t="inlineStr"/>
      <c r="D734" s="2" t="inlineStr"/>
      <c r="E734" s="28" t="inlineStr">
        <is>
          <r>
            <t xml:space="preserve">VALOR COM BDI:</t>
          </r>
        </is>
      </c>
      <c r="F734" s="28" t="inlineStr"/>
      <c r="G734" s="29" t="n">
        <f>G733+G732</f>
        <v>58.11</v>
      </c>
    </row>
    <row r="735" customHeight="1" ht="10">
      <c r="A735" s="2" t="inlineStr"/>
      <c r="B735" s="2" t="inlineStr"/>
      <c r="C735" s="2" t="inlineStr"/>
      <c r="D735" s="2" t="inlineStr"/>
      <c r="E735" s="18" t="inlineStr"/>
      <c r="F735" s="18" t="inlineStr"/>
      <c r="G735" s="18" t="inlineStr"/>
    </row>
    <row r="736" customHeight="1" ht="20">
      <c r="A736" s="19" t="inlineStr">
        <is>
          <r>
            <t xml:space="preserve">​I0726​ COMPACTADOR LISO TANDEM AUTOPROPELIDO (CHP)​ (H)</t>
          </r>
        </is>
      </c>
      <c r="B736" s="19" t="inlineStr"/>
      <c r="C736" s="19" t="inlineStr"/>
      <c r="D736" s="19" t="inlineStr"/>
      <c r="E736" s="19" t="inlineStr"/>
      <c r="F736" s="19" t="inlineStr"/>
      <c r="G736" s="19" t="inlineStr"/>
    </row>
    <row r="737" customHeight="1" ht="15">
      <c r="A737" s="20" t="inlineStr">
        <is>
          <r>
            <t xml:space="preserve">Geral</t>
          </r>
        </is>
      </c>
      <c r="B737" s="20" t="inlineStr"/>
      <c r="C737" s="21" t="inlineStr">
        <is>
          <r>
            <t xml:space="preserve">FONTE</t>
          </r>
        </is>
      </c>
      <c r="D737" s="21" t="inlineStr">
        <is>
          <r>
            <t xml:space="preserve">UNID</t>
          </r>
        </is>
      </c>
      <c r="E737" s="21" t="inlineStr">
        <is>
          <r>
            <t xml:space="preserve">COEFICIENTE</t>
          </r>
        </is>
      </c>
      <c r="F737" s="21" t="inlineStr">
        <is>
          <r>
            <t xml:space="preserve">PREÇO UNITÁRIO</t>
          </r>
        </is>
      </c>
      <c r="G737" s="21" t="inlineStr">
        <is>
          <r>
            <t xml:space="preserve">TOTAL</t>
          </r>
        </is>
      </c>
    </row>
    <row r="738" customHeight="1" ht="21">
      <c r="A738" s="22" t="inlineStr">
        <is>
          <r>
            <t xml:space="preserve">I2762</t>
          </r>
        </is>
      </c>
      <c r="B738" s="23" t="inlineStr">
        <is>
          <r>
            <t xml:space="preserve">MÃO DE OBRA DE OPERAÇÃO DO COMPAC. LISO TANDEM AUTOPR.</t>
          </r>
        </is>
      </c>
      <c r="C738" s="22" t="inlineStr">
        <is>
          <r>
            <t xml:space="preserve">SEINFRA</t>
          </r>
        </is>
      </c>
      <c r="D738" s="22" t="inlineStr">
        <is>
          <r>
            <t xml:space="preserve">H</t>
          </r>
        </is>
      </c>
      <c r="E738" s="24" t="n">
        <v>1.0</v>
      </c>
      <c r="F738" s="30" t="n">
        <v>28.81</v>
      </c>
      <c r="G738" s="30" t="n">
        <f>ROUND(ROUND(E738,8)*F738,4)</f>
        <v>28.81</v>
      </c>
    </row>
    <row r="739" customHeight="1" ht="21">
      <c r="A739" s="22" t="inlineStr">
        <is>
          <r>
            <t xml:space="preserve">I2761</t>
          </r>
        </is>
      </c>
      <c r="B739" s="23" t="inlineStr">
        <is>
          <r>
            <t xml:space="preserve">MATERIAL DE OPERAÇÃO DO COMPAC. LISO TANDEM AUTOPR.</t>
          </r>
        </is>
      </c>
      <c r="C739" s="22" t="inlineStr">
        <is>
          <r>
            <t xml:space="preserve">SEINFRA</t>
          </r>
        </is>
      </c>
      <c r="D739" s="22" t="inlineStr">
        <is>
          <r>
            <t xml:space="preserve">H</t>
          </r>
        </is>
      </c>
      <c r="E739" s="24" t="n">
        <v>1.0</v>
      </c>
      <c r="F739" s="30" t="n">
        <v>32.934</v>
      </c>
      <c r="G739" s="30" t="n">
        <f>ROUND(ROUND(E739,8)*F739,4)</f>
        <v>32.934</v>
      </c>
    </row>
    <row r="740" customHeight="1" ht="15">
      <c r="A740" s="22" t="inlineStr">
        <is>
          <r>
            <t xml:space="preserve">I2701</t>
          </r>
        </is>
      </c>
      <c r="B740" s="23" t="inlineStr">
        <is>
          <r>
            <t xml:space="preserve">DEPRECIAÇÃO</t>
          </r>
        </is>
      </c>
      <c r="C740" s="22" t="inlineStr">
        <is>
          <r>
            <t xml:space="preserve">SEINFRA</t>
          </r>
        </is>
      </c>
      <c r="D740" s="22" t="inlineStr">
        <is>
          <r>
            <t xml:space="preserve">H</t>
          </r>
        </is>
      </c>
      <c r="E740" s="24" t="n">
        <v>21.9752</v>
      </c>
      <c r="F740" s="30" t="n">
        <v>1.0</v>
      </c>
      <c r="G740" s="30" t="n">
        <f>ROUND(ROUND(E740,8)*F740,4)</f>
        <v>21.9752</v>
      </c>
    </row>
    <row r="741" customHeight="1" ht="15">
      <c r="A741" s="22" t="inlineStr">
        <is>
          <r>
            <t xml:space="preserve">I2702</t>
          </r>
        </is>
      </c>
      <c r="B741" s="23" t="inlineStr">
        <is>
          <r>
            <t xml:space="preserve">JUROS</t>
          </r>
        </is>
      </c>
      <c r="C741" s="22" t="inlineStr">
        <is>
          <r>
            <t xml:space="preserve">SEINFRA</t>
          </r>
        </is>
      </c>
      <c r="D741" s="22" t="inlineStr">
        <is>
          <r>
            <t xml:space="preserve">H</t>
          </r>
        </is>
      </c>
      <c r="E741" s="24" t="n">
        <v>7.3251</v>
      </c>
      <c r="F741" s="30" t="n">
        <v>1.0</v>
      </c>
      <c r="G741" s="30" t="n">
        <f>ROUND(ROUND(E741,8)*F741,4)</f>
        <v>7.3251</v>
      </c>
    </row>
    <row r="742" customHeight="1" ht="15">
      <c r="A742" s="22" t="inlineStr">
        <is>
          <r>
            <t xml:space="preserve">I2703</t>
          </r>
        </is>
      </c>
      <c r="B742" s="23" t="inlineStr">
        <is>
          <r>
            <t xml:space="preserve">MANUTENÇÃO</t>
          </r>
        </is>
      </c>
      <c r="C742" s="22" t="inlineStr">
        <is>
          <r>
            <t xml:space="preserve">SEINFRA</t>
          </r>
        </is>
      </c>
      <c r="D742" s="22" t="inlineStr">
        <is>
          <r>
            <t xml:space="preserve">H</t>
          </r>
        </is>
      </c>
      <c r="E742" s="24" t="n">
        <v>21.9752</v>
      </c>
      <c r="F742" s="30" t="n">
        <v>1.0</v>
      </c>
      <c r="G742" s="30" t="n">
        <f>ROUND(ROUND(E742,8)*F742,4)</f>
        <v>21.9752</v>
      </c>
    </row>
    <row r="743" customHeight="1" ht="15">
      <c r="A743" s="2" t="inlineStr"/>
      <c r="B743" s="2" t="inlineStr"/>
      <c r="C743" s="2" t="inlineStr"/>
      <c r="D743" s="2" t="inlineStr"/>
      <c r="E743" s="26" t="inlineStr">
        <is>
          <r>
            <t xml:space="preserve">TOTAL Geral:</t>
          </r>
        </is>
      </c>
      <c r="F743" s="26" t="inlineStr"/>
      <c r="G743" s="31" t="n">
        <f>SUM(G738:G742)</f>
        <v>113.0195</v>
      </c>
    </row>
    <row r="744" customHeight="1" ht="15">
      <c r="A744" s="2" t="inlineStr"/>
      <c r="B744" s="2" t="inlineStr"/>
      <c r="C744" s="2" t="inlineStr"/>
      <c r="D744" s="2" t="inlineStr"/>
      <c r="E744" s="28" t="inlineStr">
        <is>
          <r>
            <t xml:space="preserve">VALOR:</t>
          </r>
        </is>
      </c>
      <c r="F744" s="28" t="inlineStr"/>
      <c r="G744" s="29" t="n">
        <f>ROUND(SUM(G743),2)</f>
        <v>113.02</v>
      </c>
    </row>
    <row r="745" customHeight="1" ht="15">
      <c r="A745" s="2" t="inlineStr"/>
      <c r="B745" s="2" t="inlineStr"/>
      <c r="C745" s="2" t="inlineStr"/>
      <c r="D745" s="2" t="inlineStr"/>
      <c r="E745" s="28" t="inlineStr">
        <is>
          <r>
            <t xml:space="preserve">VALOR BDI:</t>
          </r>
        </is>
      </c>
      <c r="F745" s="28" t="inlineStr"/>
      <c r="G745" s="29" t="n">
        <f>ROUND(G744*(0/100),2)</f>
        <v>0.0</v>
      </c>
    </row>
    <row r="746" customHeight="1" ht="15">
      <c r="A746" s="2" t="inlineStr"/>
      <c r="B746" s="2" t="inlineStr"/>
      <c r="C746" s="2" t="inlineStr"/>
      <c r="D746" s="2" t="inlineStr"/>
      <c r="E746" s="28" t="inlineStr">
        <is>
          <r>
            <t xml:space="preserve">VALOR COM BDI:</t>
          </r>
        </is>
      </c>
      <c r="F746" s="28" t="inlineStr"/>
      <c r="G746" s="29" t="n">
        <f>G745+G744</f>
        <v>113.02</v>
      </c>
    </row>
    <row r="747" customHeight="1" ht="10">
      <c r="A747" s="2" t="inlineStr"/>
      <c r="B747" s="2" t="inlineStr"/>
      <c r="C747" s="2" t="inlineStr"/>
      <c r="D747" s="2" t="inlineStr"/>
      <c r="E747" s="18" t="inlineStr"/>
      <c r="F747" s="18" t="inlineStr"/>
      <c r="G747" s="18" t="inlineStr"/>
    </row>
    <row r="748" customHeight="1" ht="20">
      <c r="A748" s="19" t="inlineStr">
        <is>
          <r>
            <t xml:space="preserve">​I0614​ COMPRESSOR DE AR 250 PCM (CHI)​ (H)</t>
          </r>
        </is>
      </c>
      <c r="B748" s="19" t="inlineStr"/>
      <c r="C748" s="19" t="inlineStr"/>
      <c r="D748" s="19" t="inlineStr"/>
      <c r="E748" s="19" t="inlineStr"/>
      <c r="F748" s="19" t="inlineStr"/>
      <c r="G748" s="19" t="inlineStr"/>
    </row>
    <row r="749" customHeight="1" ht="15">
      <c r="A749" s="20" t="inlineStr">
        <is>
          <r>
            <t xml:space="preserve">Geral</t>
          </r>
        </is>
      </c>
      <c r="B749" s="20" t="inlineStr"/>
      <c r="C749" s="21" t="inlineStr">
        <is>
          <r>
            <t xml:space="preserve">FONTE</t>
          </r>
        </is>
      </c>
      <c r="D749" s="21" t="inlineStr">
        <is>
          <r>
            <t xml:space="preserve">UNID</t>
          </r>
        </is>
      </c>
      <c r="E749" s="21" t="inlineStr">
        <is>
          <r>
            <t xml:space="preserve">COEFICIENTE</t>
          </r>
        </is>
      </c>
      <c r="F749" s="21" t="inlineStr">
        <is>
          <r>
            <t xml:space="preserve">PREÇO UNITÁRIO</t>
          </r>
        </is>
      </c>
      <c r="G749" s="21" t="inlineStr">
        <is>
          <r>
            <t xml:space="preserve">TOTAL</t>
          </r>
        </is>
      </c>
    </row>
    <row r="750" customHeight="1" ht="21">
      <c r="A750" s="22" t="inlineStr">
        <is>
          <r>
            <t xml:space="preserve">I2776</t>
          </r>
        </is>
      </c>
      <c r="B750" s="23" t="inlineStr">
        <is>
          <r>
            <t xml:space="preserve">MÃO DE OBRA DE OPERAÇÃO DO COMPRESSOR DE AR 250 PCM</t>
          </r>
        </is>
      </c>
      <c r="C750" s="22" t="inlineStr">
        <is>
          <r>
            <t xml:space="preserve">SEINFRA</t>
          </r>
        </is>
      </c>
      <c r="D750" s="22" t="inlineStr">
        <is>
          <r>
            <t xml:space="preserve">H</t>
          </r>
        </is>
      </c>
      <c r="E750" s="24" t="n">
        <v>1.0</v>
      </c>
      <c r="F750" s="30" t="n">
        <v>21.29</v>
      </c>
      <c r="G750" s="30" t="n">
        <f>ROUND(ROUND(E750,8)*F750,4)</f>
        <v>21.29</v>
      </c>
    </row>
    <row r="751" customHeight="1" ht="15">
      <c r="A751" s="22" t="inlineStr">
        <is>
          <r>
            <t xml:space="preserve">I2701</t>
          </r>
        </is>
      </c>
      <c r="B751" s="23" t="inlineStr">
        <is>
          <r>
            <t xml:space="preserve">DEPRECIAÇÃO</t>
          </r>
        </is>
      </c>
      <c r="C751" s="22" t="inlineStr">
        <is>
          <r>
            <t xml:space="preserve">SEINFRA</t>
          </r>
        </is>
      </c>
      <c r="D751" s="22" t="inlineStr">
        <is>
          <r>
            <t xml:space="preserve">H</t>
          </r>
        </is>
      </c>
      <c r="E751" s="24" t="n">
        <v>17.8199</v>
      </c>
      <c r="F751" s="30" t="n">
        <v>1.0</v>
      </c>
      <c r="G751" s="30" t="n">
        <f>ROUND(ROUND(E751,8)*F751,4)</f>
        <v>17.8199</v>
      </c>
    </row>
    <row r="752" customHeight="1" ht="15">
      <c r="A752" s="22" t="inlineStr">
        <is>
          <r>
            <t xml:space="preserve">I2702</t>
          </r>
        </is>
      </c>
      <c r="B752" s="23" t="inlineStr">
        <is>
          <r>
            <t xml:space="preserve">JUROS</t>
          </r>
        </is>
      </c>
      <c r="C752" s="22" t="inlineStr">
        <is>
          <r>
            <t xml:space="preserve">SEINFRA</t>
          </r>
        </is>
      </c>
      <c r="D752" s="22" t="inlineStr">
        <is>
          <r>
            <t xml:space="preserve">H</t>
          </r>
        </is>
      </c>
      <c r="E752" s="24" t="n">
        <v>5.94</v>
      </c>
      <c r="F752" s="30" t="n">
        <v>1.0</v>
      </c>
      <c r="G752" s="30" t="n">
        <f>ROUND(ROUND(E752,8)*F752,4)</f>
        <v>5.94</v>
      </c>
    </row>
    <row r="753" customHeight="1" ht="15">
      <c r="A753" s="2" t="inlineStr"/>
      <c r="B753" s="2" t="inlineStr"/>
      <c r="C753" s="2" t="inlineStr"/>
      <c r="D753" s="2" t="inlineStr"/>
      <c r="E753" s="26" t="inlineStr">
        <is>
          <r>
            <t xml:space="preserve">TOTAL Geral:</t>
          </r>
        </is>
      </c>
      <c r="F753" s="26" t="inlineStr"/>
      <c r="G753" s="31" t="n">
        <f>SUM(G750:G752)</f>
        <v>45.0499</v>
      </c>
    </row>
    <row r="754" customHeight="1" ht="15">
      <c r="A754" s="2" t="inlineStr"/>
      <c r="B754" s="2" t="inlineStr"/>
      <c r="C754" s="2" t="inlineStr"/>
      <c r="D754" s="2" t="inlineStr"/>
      <c r="E754" s="28" t="inlineStr">
        <is>
          <r>
            <t xml:space="preserve">VALOR:</t>
          </r>
        </is>
      </c>
      <c r="F754" s="28" t="inlineStr"/>
      <c r="G754" s="29" t="n">
        <f>ROUND(SUM(G753),2)</f>
        <v>45.05</v>
      </c>
    </row>
    <row r="755" customHeight="1" ht="15">
      <c r="A755" s="2" t="inlineStr"/>
      <c r="B755" s="2" t="inlineStr"/>
      <c r="C755" s="2" t="inlineStr"/>
      <c r="D755" s="2" t="inlineStr"/>
      <c r="E755" s="28" t="inlineStr">
        <is>
          <r>
            <t xml:space="preserve">VALOR BDI:</t>
          </r>
        </is>
      </c>
      <c r="F755" s="28" t="inlineStr"/>
      <c r="G755" s="29" t="n">
        <f>ROUND(G754*(0/100),2)</f>
        <v>0.0</v>
      </c>
    </row>
    <row r="756" customHeight="1" ht="15">
      <c r="A756" s="2" t="inlineStr"/>
      <c r="B756" s="2" t="inlineStr"/>
      <c r="C756" s="2" t="inlineStr"/>
      <c r="D756" s="2" t="inlineStr"/>
      <c r="E756" s="28" t="inlineStr">
        <is>
          <r>
            <t xml:space="preserve">VALOR COM BDI:</t>
          </r>
        </is>
      </c>
      <c r="F756" s="28" t="inlineStr"/>
      <c r="G756" s="29" t="n">
        <f>G755+G754</f>
        <v>45.05</v>
      </c>
    </row>
    <row r="757" customHeight="1" ht="10">
      <c r="A757" s="2" t="inlineStr"/>
      <c r="B757" s="2" t="inlineStr"/>
      <c r="C757" s="2" t="inlineStr"/>
      <c r="D757" s="2" t="inlineStr"/>
      <c r="E757" s="18" t="inlineStr"/>
      <c r="F757" s="18" t="inlineStr"/>
      <c r="G757" s="18" t="inlineStr"/>
    </row>
    <row r="758" customHeight="1" ht="20">
      <c r="A758" s="19" t="inlineStr">
        <is>
          <r>
            <t xml:space="preserve">​I0728​ COMPRESSOR DE AR 250 PCM (CHP)​ (H)</t>
          </r>
        </is>
      </c>
      <c r="B758" s="19" t="inlineStr"/>
      <c r="C758" s="19" t="inlineStr"/>
      <c r="D758" s="19" t="inlineStr"/>
      <c r="E758" s="19" t="inlineStr"/>
      <c r="F758" s="19" t="inlineStr"/>
      <c r="G758" s="19" t="inlineStr"/>
    </row>
    <row r="759" customHeight="1" ht="15">
      <c r="A759" s="20" t="inlineStr">
        <is>
          <r>
            <t xml:space="preserve">Geral</t>
          </r>
        </is>
      </c>
      <c r="B759" s="20" t="inlineStr"/>
      <c r="C759" s="21" t="inlineStr">
        <is>
          <r>
            <t xml:space="preserve">FONTE</t>
          </r>
        </is>
      </c>
      <c r="D759" s="21" t="inlineStr">
        <is>
          <r>
            <t xml:space="preserve">UNID</t>
          </r>
        </is>
      </c>
      <c r="E759" s="21" t="inlineStr">
        <is>
          <r>
            <t xml:space="preserve">COEFICIENTE</t>
          </r>
        </is>
      </c>
      <c r="F759" s="21" t="inlineStr">
        <is>
          <r>
            <t xml:space="preserve">PREÇO UNITÁRIO</t>
          </r>
        </is>
      </c>
      <c r="G759" s="21" t="inlineStr">
        <is>
          <r>
            <t xml:space="preserve">TOTAL</t>
          </r>
        </is>
      </c>
    </row>
    <row r="760" customHeight="1" ht="21">
      <c r="A760" s="22" t="inlineStr">
        <is>
          <r>
            <t xml:space="preserve">I2776</t>
          </r>
        </is>
      </c>
      <c r="B760" s="23" t="inlineStr">
        <is>
          <r>
            <t xml:space="preserve">MÃO DE OBRA DE OPERAÇÃO DO COMPRESSOR DE AR 250 PCM</t>
          </r>
        </is>
      </c>
      <c r="C760" s="22" t="inlineStr">
        <is>
          <r>
            <t xml:space="preserve">SEINFRA</t>
          </r>
        </is>
      </c>
      <c r="D760" s="22" t="inlineStr">
        <is>
          <r>
            <t xml:space="preserve">H</t>
          </r>
        </is>
      </c>
      <c r="E760" s="24" t="n">
        <v>1.0</v>
      </c>
      <c r="F760" s="30" t="n">
        <v>21.29</v>
      </c>
      <c r="G760" s="30" t="n">
        <f>ROUND(ROUND(E760,8)*F760,4)</f>
        <v>21.29</v>
      </c>
    </row>
    <row r="761" customHeight="1" ht="15">
      <c r="A761" s="22" t="inlineStr">
        <is>
          <r>
            <t xml:space="preserve">I2775</t>
          </r>
        </is>
      </c>
      <c r="B761" s="23" t="inlineStr">
        <is>
          <r>
            <t xml:space="preserve">MATERIAL DE OPERAÇÃO DO COMPRESSOR DE AR 250 PCM</t>
          </r>
        </is>
      </c>
      <c r="C761" s="22" t="inlineStr">
        <is>
          <r>
            <t xml:space="preserve">SEINFRA</t>
          </r>
        </is>
      </c>
      <c r="D761" s="22" t="inlineStr">
        <is>
          <r>
            <t xml:space="preserve">H</t>
          </r>
        </is>
      </c>
      <c r="E761" s="24" t="n">
        <v>1.0</v>
      </c>
      <c r="F761" s="30" t="n">
        <v>70.359</v>
      </c>
      <c r="G761" s="30" t="n">
        <f>ROUND(ROUND(E761,8)*F761,4)</f>
        <v>70.359</v>
      </c>
    </row>
    <row r="762" customHeight="1" ht="15">
      <c r="A762" s="22" t="inlineStr">
        <is>
          <r>
            <t xml:space="preserve">I2701</t>
          </r>
        </is>
      </c>
      <c r="B762" s="23" t="inlineStr">
        <is>
          <r>
            <t xml:space="preserve">DEPRECIAÇÃO</t>
          </r>
        </is>
      </c>
      <c r="C762" s="22" t="inlineStr">
        <is>
          <r>
            <t xml:space="preserve">SEINFRA</t>
          </r>
        </is>
      </c>
      <c r="D762" s="22" t="inlineStr">
        <is>
          <r>
            <t xml:space="preserve">H</t>
          </r>
        </is>
      </c>
      <c r="E762" s="24" t="n">
        <v>17.8199</v>
      </c>
      <c r="F762" s="30" t="n">
        <v>1.0</v>
      </c>
      <c r="G762" s="30" t="n">
        <f>ROUND(ROUND(E762,8)*F762,4)</f>
        <v>17.8199</v>
      </c>
    </row>
    <row r="763" customHeight="1" ht="15">
      <c r="A763" s="22" t="inlineStr">
        <is>
          <r>
            <t xml:space="preserve">I2702</t>
          </r>
        </is>
      </c>
      <c r="B763" s="23" t="inlineStr">
        <is>
          <r>
            <t xml:space="preserve">JUROS</t>
          </r>
        </is>
      </c>
      <c r="C763" s="22" t="inlineStr">
        <is>
          <r>
            <t xml:space="preserve">SEINFRA</t>
          </r>
        </is>
      </c>
      <c r="D763" s="22" t="inlineStr">
        <is>
          <r>
            <t xml:space="preserve">H</t>
          </r>
        </is>
      </c>
      <c r="E763" s="24" t="n">
        <v>5.94</v>
      </c>
      <c r="F763" s="30" t="n">
        <v>1.0</v>
      </c>
      <c r="G763" s="30" t="n">
        <f>ROUND(ROUND(E763,8)*F763,4)</f>
        <v>5.94</v>
      </c>
    </row>
    <row r="764" customHeight="1" ht="15">
      <c r="A764" s="22" t="inlineStr">
        <is>
          <r>
            <t xml:space="preserve">I2703</t>
          </r>
        </is>
      </c>
      <c r="B764" s="23" t="inlineStr">
        <is>
          <r>
            <t xml:space="preserve">MANUTENÇÃO</t>
          </r>
        </is>
      </c>
      <c r="C764" s="22" t="inlineStr">
        <is>
          <r>
            <t xml:space="preserve">SEINFRA</t>
          </r>
        </is>
      </c>
      <c r="D764" s="22" t="inlineStr">
        <is>
          <r>
            <t xml:space="preserve">H</t>
          </r>
        </is>
      </c>
      <c r="E764" s="24" t="n">
        <v>19.7999</v>
      </c>
      <c r="F764" s="30" t="n">
        <v>1.0</v>
      </c>
      <c r="G764" s="30" t="n">
        <f>ROUND(ROUND(E764,8)*F764,4)</f>
        <v>19.7999</v>
      </c>
    </row>
    <row r="765" customHeight="1" ht="15">
      <c r="A765" s="2" t="inlineStr"/>
      <c r="B765" s="2" t="inlineStr"/>
      <c r="C765" s="2" t="inlineStr"/>
      <c r="D765" s="2" t="inlineStr"/>
      <c r="E765" s="26" t="inlineStr">
        <is>
          <r>
            <t xml:space="preserve">TOTAL Geral:</t>
          </r>
        </is>
      </c>
      <c r="F765" s="26" t="inlineStr"/>
      <c r="G765" s="31" t="n">
        <f>SUM(G760:G764)</f>
        <v>135.2088</v>
      </c>
    </row>
    <row r="766" customHeight="1" ht="15">
      <c r="A766" s="2" t="inlineStr"/>
      <c r="B766" s="2" t="inlineStr"/>
      <c r="C766" s="2" t="inlineStr"/>
      <c r="D766" s="2" t="inlineStr"/>
      <c r="E766" s="28" t="inlineStr">
        <is>
          <r>
            <t xml:space="preserve">VALOR:</t>
          </r>
        </is>
      </c>
      <c r="F766" s="28" t="inlineStr"/>
      <c r="G766" s="29" t="n">
        <f>ROUND(SUM(G765),2)</f>
        <v>135.21</v>
      </c>
    </row>
    <row r="767" customHeight="1" ht="15">
      <c r="A767" s="2" t="inlineStr"/>
      <c r="B767" s="2" t="inlineStr"/>
      <c r="C767" s="2" t="inlineStr"/>
      <c r="D767" s="2" t="inlineStr"/>
      <c r="E767" s="28" t="inlineStr">
        <is>
          <r>
            <t xml:space="preserve">VALOR BDI:</t>
          </r>
        </is>
      </c>
      <c r="F767" s="28" t="inlineStr"/>
      <c r="G767" s="29" t="n">
        <f>ROUND(G766*(0/100),2)</f>
        <v>0.0</v>
      </c>
    </row>
    <row r="768" customHeight="1" ht="15">
      <c r="A768" s="2" t="inlineStr"/>
      <c r="B768" s="2" t="inlineStr"/>
      <c r="C768" s="2" t="inlineStr"/>
      <c r="D768" s="2" t="inlineStr"/>
      <c r="E768" s="28" t="inlineStr">
        <is>
          <r>
            <t xml:space="preserve">VALOR COM BDI:</t>
          </r>
        </is>
      </c>
      <c r="F768" s="28" t="inlineStr"/>
      <c r="G768" s="29" t="n">
        <f>G767+G766</f>
        <v>135.21</v>
      </c>
    </row>
    <row r="769" customHeight="1" ht="10">
      <c r="A769" s="2" t="inlineStr"/>
      <c r="B769" s="2" t="inlineStr"/>
      <c r="C769" s="2" t="inlineStr"/>
      <c r="D769" s="2" t="inlineStr"/>
      <c r="E769" s="18" t="inlineStr"/>
      <c r="F769" s="18" t="inlineStr"/>
      <c r="G769" s="18" t="inlineStr"/>
    </row>
    <row r="770" customHeight="1" ht="20">
      <c r="A770" s="19" t="inlineStr">
        <is>
          <r>
            <t xml:space="preserve">​94972​ CONCRETO FCK = 30MPA, TRAÇO 1:2,1:2,5 (EM MASSA SECA DE CIMENTO/ AREIA MÉDIA/ BRITA 1) - PREPARO MECÂNICO COM BETONEIRA 600 L. AF_05/2021​ (M3)</t>
          </r>
        </is>
      </c>
      <c r="B770" s="19" t="inlineStr"/>
      <c r="C770" s="19" t="inlineStr"/>
      <c r="D770" s="19" t="inlineStr"/>
      <c r="E770" s="19" t="inlineStr"/>
      <c r="F770" s="19" t="inlineStr"/>
      <c r="G770" s="19" t="inlineStr"/>
    </row>
    <row r="771" customHeight="1" ht="15">
      <c r="A771" s="20" t="inlineStr">
        <is>
          <r>
            <t xml:space="preserve">Equipamento Custo Horário</t>
          </r>
        </is>
      </c>
      <c r="B771" s="20" t="inlineStr"/>
      <c r="C771" s="21" t="inlineStr">
        <is>
          <r>
            <t xml:space="preserve">FONTE</t>
          </r>
        </is>
      </c>
      <c r="D771" s="21" t="inlineStr">
        <is>
          <r>
            <t xml:space="preserve">UNID</t>
          </r>
        </is>
      </c>
      <c r="E771" s="21" t="inlineStr">
        <is>
          <r>
            <t xml:space="preserve">COEFICIENTE</t>
          </r>
        </is>
      </c>
      <c r="F771" s="21" t="inlineStr">
        <is>
          <r>
            <t xml:space="preserve">PREÇO UNITÁRIO</t>
          </r>
        </is>
      </c>
      <c r="G771" s="21" t="inlineStr">
        <is>
          <r>
            <t xml:space="preserve">TOTAL</t>
          </r>
        </is>
      </c>
    </row>
    <row r="772" customHeight="1" ht="38">
      <c r="A772" s="22" t="inlineStr">
        <is>
          <r>
            <t xml:space="preserve">89226</t>
          </r>
        </is>
      </c>
      <c r="B772" s="23" t="inlineStr">
        <is>
          <r>
            <t xml:space="preserve">BETONEIRA CAPACIDADE NOMINAL DE 600 L, CAPACIDADE DE MISTURA 360 L, MOTOR ELÉTRICO TRIFÁSICO POTÊNCIA DE 4 CV, SEM CARREGADOR - CHI DIURNO. AF_05/2023</t>
          </r>
        </is>
      </c>
      <c r="C772" s="22" t="inlineStr">
        <is>
          <r>
            <t xml:space="preserve">SINAPI</t>
          </r>
        </is>
      </c>
      <c r="D772" s="22" t="inlineStr">
        <is>
          <r>
            <t xml:space="preserve">CHI</t>
          </r>
        </is>
      </c>
      <c r="E772" s="24" t="n">
        <v>0.6018</v>
      </c>
      <c r="F772" s="25" t="n">
        <v>1.56</v>
      </c>
      <c r="G772" s="25" t="n">
        <f>TRUNC(TRUNC(E772,8)*F772,2)</f>
        <v>0.93</v>
      </c>
    </row>
    <row r="773" customHeight="1" ht="38">
      <c r="A773" s="22" t="inlineStr">
        <is>
          <r>
            <t xml:space="preserve">89225</t>
          </r>
        </is>
      </c>
      <c r="B773" s="23" t="inlineStr">
        <is>
          <r>
            <t xml:space="preserve">BETONEIRA CAPACIDADE NOMINAL DE 600 L, CAPACIDADE DE MISTURA 360 L, MOTOR ELÉTRICO TRIFÁSICO POTÊNCIA DE 4 CV, SEM CARREGADOR - CHP DIURNO. AF_05/2023</t>
          </r>
        </is>
      </c>
      <c r="C773" s="22" t="inlineStr">
        <is>
          <r>
            <t xml:space="preserve">SINAPI</t>
          </r>
        </is>
      </c>
      <c r="D773" s="22" t="inlineStr">
        <is>
          <r>
            <t xml:space="preserve">CHP</t>
          </r>
        </is>
      </c>
      <c r="E773" s="24" t="n">
        <v>0.6382</v>
      </c>
      <c r="F773" s="25" t="n">
        <v>5.5</v>
      </c>
      <c r="G773" s="25" t="n">
        <f>TRUNC(TRUNC(E773,8)*F773,2)</f>
        <v>3.51</v>
      </c>
    </row>
    <row r="774" customHeight="1" ht="18">
      <c r="A774" s="2" t="inlineStr"/>
      <c r="B774" s="2" t="inlineStr"/>
      <c r="C774" s="2" t="inlineStr"/>
      <c r="D774" s="2" t="inlineStr"/>
      <c r="E774" s="26" t="inlineStr">
        <is>
          <r>
            <t xml:space="preserve">TOTAL Equipamento Custo Horário:</t>
          </r>
        </is>
      </c>
      <c r="F774" s="26" t="inlineStr"/>
      <c r="G774" s="27" t="n">
        <f>SUM(G772:G773)</f>
        <v>4.44</v>
      </c>
    </row>
    <row r="775" customHeight="1" ht="15">
      <c r="A775" s="20" t="inlineStr">
        <is>
          <r>
            <t xml:space="preserve">Material</t>
          </r>
        </is>
      </c>
      <c r="B775" s="20" t="inlineStr"/>
      <c r="C775" s="21" t="inlineStr">
        <is>
          <r>
            <t xml:space="preserve">FONTE</t>
          </r>
        </is>
      </c>
      <c r="D775" s="21" t="inlineStr">
        <is>
          <r>
            <t xml:space="preserve">UNID</t>
          </r>
        </is>
      </c>
      <c r="E775" s="21" t="inlineStr">
        <is>
          <r>
            <t xml:space="preserve">COEFICIENTE</t>
          </r>
        </is>
      </c>
      <c r="F775" s="21" t="inlineStr">
        <is>
          <r>
            <t xml:space="preserve">PREÇO UNITÁRIO</t>
          </r>
        </is>
      </c>
      <c r="G775" s="21" t="inlineStr">
        <is>
          <r>
            <t xml:space="preserve">TOTAL</t>
          </r>
        </is>
      </c>
    </row>
    <row r="776" customHeight="1" ht="21">
      <c r="A776" s="22" t="inlineStr">
        <is>
          <r>
            <t xml:space="preserve">00000370</t>
          </r>
        </is>
      </c>
      <c r="B776" s="23" t="inlineStr">
        <is>
          <r>
            <t xml:space="preserve">AREIA MEDIA - POSTO JAZIDA/FORNECEDOR (RETIRADO NA JAZIDA, SEM TRANSPORTE)</t>
          </r>
        </is>
      </c>
      <c r="C776" s="22" t="inlineStr">
        <is>
          <r>
            <t xml:space="preserve">SINAPI</t>
          </r>
        </is>
      </c>
      <c r="D776" s="22" t="inlineStr">
        <is>
          <r>
            <t xml:space="preserve">M3</t>
          </r>
        </is>
      </c>
      <c r="E776" s="24" t="n">
        <v>0.7119</v>
      </c>
      <c r="F776" s="25" t="n">
        <v>125.0</v>
      </c>
      <c r="G776" s="25" t="n">
        <f>TRUNC(TRUNC(E776,8)*F776,2)</f>
        <v>88.98</v>
      </c>
    </row>
    <row r="777" customHeight="1" ht="15">
      <c r="A777" s="22" t="inlineStr">
        <is>
          <r>
            <t xml:space="preserve">00001379</t>
          </r>
        </is>
      </c>
      <c r="B777" s="23" t="inlineStr">
        <is>
          <r>
            <t xml:space="preserve">CIMENTO PORTLAND COMPOSTO CP II-32</t>
          </r>
        </is>
      </c>
      <c r="C777" s="22" t="inlineStr">
        <is>
          <r>
            <t xml:space="preserve">SINAPI</t>
          </r>
        </is>
      </c>
      <c r="D777" s="22" t="inlineStr">
        <is>
          <r>
            <t xml:space="preserve">KG</t>
          </r>
        </is>
      </c>
      <c r="E777" s="24" t="n">
        <v>391.1663</v>
      </c>
      <c r="F777" s="25" t="n">
        <v>0.73</v>
      </c>
      <c r="G777" s="25" t="n">
        <f>TRUNC(TRUNC(E777,8)*F777,2)</f>
        <v>285.55</v>
      </c>
    </row>
    <row r="778" customHeight="1" ht="21">
      <c r="A778" s="22" t="inlineStr">
        <is>
          <r>
            <t xml:space="preserve">00004721</t>
          </r>
        </is>
      </c>
      <c r="B778" s="23" t="inlineStr">
        <is>
          <r>
            <t xml:space="preserve">PEDRA BRITADA N. 1 (9,5 A 19 MM) POSTO PEDREIRA/FORNECEDOR, SEM FRETE</t>
          </r>
        </is>
      </c>
      <c r="C778" s="22" t="inlineStr">
        <is>
          <r>
            <t xml:space="preserve">SINAPI</t>
          </r>
        </is>
      </c>
      <c r="D778" s="22" t="inlineStr">
        <is>
          <r>
            <t xml:space="preserve">M3</t>
          </r>
        </is>
      </c>
      <c r="E778" s="24" t="n">
        <v>0.5927</v>
      </c>
      <c r="F778" s="25" t="n">
        <v>111.23</v>
      </c>
      <c r="G778" s="25" t="n">
        <f>TRUNC(TRUNC(E778,8)*F778,2)</f>
        <v>65.92</v>
      </c>
    </row>
    <row r="779" customHeight="1" ht="15">
      <c r="A779" s="2" t="inlineStr"/>
      <c r="B779" s="2" t="inlineStr"/>
      <c r="C779" s="2" t="inlineStr"/>
      <c r="D779" s="2" t="inlineStr"/>
      <c r="E779" s="26" t="inlineStr">
        <is>
          <r>
            <t xml:space="preserve">TOTAL Material:</t>
          </r>
        </is>
      </c>
      <c r="F779" s="26" t="inlineStr"/>
      <c r="G779" s="27" t="n">
        <f>SUM(G776:G778)</f>
        <v>440.45</v>
      </c>
    </row>
    <row r="780" customHeight="1" ht="15">
      <c r="A780" s="20" t="inlineStr">
        <is>
          <r>
            <t xml:space="preserve">Mão de Obra com Encargos Complementares</t>
          </r>
        </is>
      </c>
      <c r="B780" s="20" t="inlineStr"/>
      <c r="C780" s="21" t="inlineStr">
        <is>
          <r>
            <t xml:space="preserve">FONTE</t>
          </r>
        </is>
      </c>
      <c r="D780" s="21" t="inlineStr">
        <is>
          <r>
            <t xml:space="preserve">UNID</t>
          </r>
        </is>
      </c>
      <c r="E780" s="21" t="inlineStr">
        <is>
          <r>
            <t xml:space="preserve">COEFICIENTE</t>
          </r>
        </is>
      </c>
      <c r="F780" s="21" t="inlineStr">
        <is>
          <r>
            <t xml:space="preserve">PREÇO UNITÁRIO</t>
          </r>
        </is>
      </c>
      <c r="G780" s="21" t="inlineStr">
        <is>
          <r>
            <t xml:space="preserve">TOTAL</t>
          </r>
        </is>
      </c>
    </row>
    <row r="781" customHeight="1" ht="21">
      <c r="A781" s="22" t="inlineStr">
        <is>
          <r>
            <t xml:space="preserve">88377</t>
          </r>
        </is>
      </c>
      <c r="B781" s="23" t="inlineStr">
        <is>
          <r>
            <t xml:space="preserve">OPERADOR DE BETONEIRA ESTACIONÁRIA/MISTURADOR COM ENCARGOS COMPLEMENTARES</t>
          </r>
        </is>
      </c>
      <c r="C781" s="22" t="inlineStr">
        <is>
          <r>
            <t xml:space="preserve">SINAPI</t>
          </r>
        </is>
      </c>
      <c r="D781" s="22" t="inlineStr">
        <is>
          <r>
            <t xml:space="preserve">H</t>
          </r>
        </is>
      </c>
      <c r="E781" s="24" t="n">
        <v>1.24</v>
      </c>
      <c r="F781" s="25" t="n">
        <v>27.05</v>
      </c>
      <c r="G781" s="25" t="n">
        <f>TRUNC(TRUNC(E781,8)*F781,2)</f>
        <v>33.54</v>
      </c>
    </row>
    <row r="782" customHeight="1" ht="15">
      <c r="A782" s="22" t="inlineStr">
        <is>
          <r>
            <t xml:space="preserve">88316</t>
          </r>
        </is>
      </c>
      <c r="B782" s="23" t="inlineStr">
        <is>
          <r>
            <t xml:space="preserve">SERVENTE COM ENCARGOS COMPLEMENTARES</t>
          </r>
        </is>
      </c>
      <c r="C782" s="22" t="inlineStr">
        <is>
          <r>
            <t xml:space="preserve">SINAPI</t>
          </r>
        </is>
      </c>
      <c r="D782" s="22" t="inlineStr">
        <is>
          <r>
            <t xml:space="preserve">H</t>
          </r>
        </is>
      </c>
      <c r="E782" s="24" t="n">
        <v>1.9633</v>
      </c>
      <c r="F782" s="25" t="n">
        <v>21.93</v>
      </c>
      <c r="G782" s="25" t="n">
        <f>TRUNC(TRUNC(E782,8)*F782,2)</f>
        <v>43.05</v>
      </c>
    </row>
    <row r="783" customHeight="1" ht="18">
      <c r="A783" s="2" t="inlineStr"/>
      <c r="B783" s="2" t="inlineStr"/>
      <c r="C783" s="2" t="inlineStr"/>
      <c r="D783" s="2" t="inlineStr"/>
      <c r="E783" s="26" t="inlineStr">
        <is>
          <r>
            <t xml:space="preserve">TOTAL Mão de Obra com Encargos Complementares:</t>
          </r>
        </is>
      </c>
      <c r="F783" s="26" t="inlineStr"/>
      <c r="G783" s="27" t="n">
        <f>SUM(G781:G782)</f>
        <v>76.59</v>
      </c>
    </row>
    <row r="784" customHeight="1" ht="15">
      <c r="A784" s="2" t="inlineStr"/>
      <c r="B784" s="2" t="inlineStr"/>
      <c r="C784" s="2" t="inlineStr"/>
      <c r="D784" s="2" t="inlineStr"/>
      <c r="E784" s="28" t="inlineStr">
        <is>
          <r>
            <t xml:space="preserve">VALOR:</t>
          </r>
        </is>
      </c>
      <c r="F784" s="28" t="inlineStr"/>
      <c r="G784" s="29" t="n">
        <f>ROUND(SUM(G774,G779,G783),2)</f>
        <v>521.48</v>
      </c>
    </row>
    <row r="785" customHeight="1" ht="15">
      <c r="A785" s="2" t="inlineStr"/>
      <c r="B785" s="2" t="inlineStr"/>
      <c r="C785" s="2" t="inlineStr"/>
      <c r="D785" s="2" t="inlineStr"/>
      <c r="E785" s="28" t="inlineStr">
        <is>
          <r>
            <t xml:space="preserve">VALOR BDI:</t>
          </r>
        </is>
      </c>
      <c r="F785" s="28" t="inlineStr"/>
      <c r="G785" s="29" t="n">
        <f>ROUND(G784*(0/100),2)</f>
        <v>0.0</v>
      </c>
    </row>
    <row r="786" customHeight="1" ht="15">
      <c r="A786" s="2" t="inlineStr"/>
      <c r="B786" s="2" t="inlineStr"/>
      <c r="C786" s="2" t="inlineStr"/>
      <c r="D786" s="2" t="inlineStr"/>
      <c r="E786" s="28" t="inlineStr">
        <is>
          <r>
            <t xml:space="preserve">VALOR COM BDI:</t>
          </r>
        </is>
      </c>
      <c r="F786" s="28" t="inlineStr"/>
      <c r="G786" s="29" t="n">
        <f>G785+G784</f>
        <v>521.48</v>
      </c>
    </row>
    <row r="787" customHeight="1" ht="10">
      <c r="A787" s="2" t="inlineStr"/>
      <c r="B787" s="2" t="inlineStr"/>
      <c r="C787" s="2" t="inlineStr"/>
      <c r="D787" s="2" t="inlineStr"/>
      <c r="E787" s="18" t="inlineStr"/>
      <c r="F787" s="18" t="inlineStr"/>
      <c r="G787" s="18" t="inlineStr"/>
    </row>
    <row r="788" customHeight="1" ht="20">
      <c r="A788" s="19" t="inlineStr">
        <is>
          <r>
            <t xml:space="preserve">​C0838​ CONCRETO P/VIBR., FCK 10 MPa COM AGREGADO ADQUIRIDO​ (M3)</t>
          </r>
        </is>
      </c>
      <c r="B788" s="19" t="inlineStr"/>
      <c r="C788" s="19" t="inlineStr"/>
      <c r="D788" s="19" t="inlineStr"/>
      <c r="E788" s="19" t="inlineStr"/>
      <c r="F788" s="19" t="inlineStr"/>
      <c r="G788" s="19" t="inlineStr"/>
    </row>
    <row r="789" customHeight="1" ht="15">
      <c r="A789" s="20" t="inlineStr">
        <is>
          <r>
            <t xml:space="preserve">Equipamento Custo Horário</t>
          </r>
        </is>
      </c>
      <c r="B789" s="20" t="inlineStr"/>
      <c r="C789" s="21" t="inlineStr">
        <is>
          <r>
            <t xml:space="preserve">FONTE</t>
          </r>
        </is>
      </c>
      <c r="D789" s="21" t="inlineStr">
        <is>
          <r>
            <t xml:space="preserve">UNID</t>
          </r>
        </is>
      </c>
      <c r="E789" s="21" t="inlineStr">
        <is>
          <r>
            <t xml:space="preserve">COEFICIENTE</t>
          </r>
        </is>
      </c>
      <c r="F789" s="21" t="inlineStr">
        <is>
          <r>
            <t xml:space="preserve">PREÇO UNITÁRIO</t>
          </r>
        </is>
      </c>
      <c r="G789" s="21" t="inlineStr">
        <is>
          <r>
            <t xml:space="preserve">TOTAL</t>
          </r>
        </is>
      </c>
    </row>
    <row r="790" customHeight="1" ht="15">
      <c r="A790" s="22" t="inlineStr">
        <is>
          <r>
            <t xml:space="preserve">I0682</t>
          </r>
        </is>
      </c>
      <c r="B790" s="23" t="inlineStr">
        <is>
          <r>
            <t xml:space="preserve">BETONEIRA ELÉTRICA 580L (CHP)</t>
          </r>
        </is>
      </c>
      <c r="C790" s="22" t="inlineStr">
        <is>
          <r>
            <t xml:space="preserve">SEINFRA</t>
          </r>
        </is>
      </c>
      <c r="D790" s="22" t="inlineStr">
        <is>
          <r>
            <t xml:space="preserve">H</t>
          </r>
        </is>
      </c>
      <c r="E790" s="24" t="n">
        <v>0.714</v>
      </c>
      <c r="F790" s="30" t="n">
        <v>25.177</v>
      </c>
      <c r="G790" s="30" t="n">
        <f>ROUND(ROUND(E790,8)*F790,4)</f>
        <v>17.9764</v>
      </c>
    </row>
    <row r="791" customHeight="1" ht="18">
      <c r="A791" s="2" t="inlineStr"/>
      <c r="B791" s="2" t="inlineStr"/>
      <c r="C791" s="2" t="inlineStr"/>
      <c r="D791" s="2" t="inlineStr"/>
      <c r="E791" s="26" t="inlineStr">
        <is>
          <r>
            <t xml:space="preserve">TOTAL Equipamento Custo Horário:</t>
          </r>
        </is>
      </c>
      <c r="F791" s="26" t="inlineStr"/>
      <c r="G791" s="31" t="n">
        <f>SUM(G790:G790)</f>
        <v>17.9764</v>
      </c>
    </row>
    <row r="792" customHeight="1" ht="15">
      <c r="A792" s="20" t="inlineStr">
        <is>
          <r>
            <t xml:space="preserve">Material</t>
          </r>
        </is>
      </c>
      <c r="B792" s="20" t="inlineStr"/>
      <c r="C792" s="21" t="inlineStr">
        <is>
          <r>
            <t xml:space="preserve">FONTE</t>
          </r>
        </is>
      </c>
      <c r="D792" s="21" t="inlineStr">
        <is>
          <r>
            <t xml:space="preserve">UNID</t>
          </r>
        </is>
      </c>
      <c r="E792" s="21" t="inlineStr">
        <is>
          <r>
            <t xml:space="preserve">COEFICIENTE</t>
          </r>
        </is>
      </c>
      <c r="F792" s="21" t="inlineStr">
        <is>
          <r>
            <t xml:space="preserve">PREÇO UNITÁRIO</t>
          </r>
        </is>
      </c>
      <c r="G792" s="21" t="inlineStr">
        <is>
          <r>
            <t xml:space="preserve">TOTAL</t>
          </r>
        </is>
      </c>
    </row>
    <row r="793" customHeight="1" ht="15">
      <c r="A793" s="22" t="inlineStr">
        <is>
          <r>
            <t xml:space="preserve">I0109</t>
          </r>
        </is>
      </c>
      <c r="B793" s="23" t="inlineStr">
        <is>
          <r>
            <t xml:space="preserve">AREIA MEDIA</t>
          </r>
        </is>
      </c>
      <c r="C793" s="22" t="inlineStr">
        <is>
          <r>
            <t xml:space="preserve">SEINFRA</t>
          </r>
        </is>
      </c>
      <c r="D793" s="22" t="inlineStr">
        <is>
          <r>
            <t xml:space="preserve">M3</t>
          </r>
        </is>
      </c>
      <c r="E793" s="24" t="n">
        <v>0.9197</v>
      </c>
      <c r="F793" s="30" t="n">
        <v>83.58</v>
      </c>
      <c r="G793" s="30" t="n">
        <f>ROUND(ROUND(E793,8)*F793,4)</f>
        <v>76.8685</v>
      </c>
    </row>
    <row r="794" customHeight="1" ht="15">
      <c r="A794" s="22" t="inlineStr">
        <is>
          <r>
            <t xml:space="preserve">I0805</t>
          </r>
        </is>
      </c>
      <c r="B794" s="23" t="inlineStr">
        <is>
          <r>
            <t xml:space="preserve">CIMENTO PORTLAND</t>
          </r>
        </is>
      </c>
      <c r="C794" s="22" t="inlineStr">
        <is>
          <r>
            <t xml:space="preserve">SEINFRA</t>
          </r>
        </is>
      </c>
      <c r="D794" s="22" t="inlineStr">
        <is>
          <r>
            <t xml:space="preserve">KG</t>
          </r>
        </is>
      </c>
      <c r="E794" s="24" t="n">
        <v>254.0</v>
      </c>
      <c r="F794" s="30" t="n">
        <v>0.71</v>
      </c>
      <c r="G794" s="30" t="n">
        <f>ROUND(ROUND(E794,8)*F794,4)</f>
        <v>180.34</v>
      </c>
    </row>
    <row r="795" customHeight="1" ht="15">
      <c r="A795" s="22" t="inlineStr">
        <is>
          <r>
            <t xml:space="preserve">I1605</t>
          </r>
        </is>
      </c>
      <c r="B795" s="23" t="inlineStr">
        <is>
          <r>
            <t xml:space="preserve">PEDRISCO</t>
          </r>
        </is>
      </c>
      <c r="C795" s="22" t="inlineStr">
        <is>
          <r>
            <t xml:space="preserve">SEINFRA</t>
          </r>
        </is>
      </c>
      <c r="D795" s="22" t="inlineStr">
        <is>
          <r>
            <t xml:space="preserve">M3</t>
          </r>
        </is>
      </c>
      <c r="E795" s="24" t="n">
        <v>0.836</v>
      </c>
      <c r="F795" s="30" t="n">
        <v>100.5</v>
      </c>
      <c r="G795" s="30" t="n">
        <f>ROUND(ROUND(E795,8)*F795,4)</f>
        <v>84.018</v>
      </c>
    </row>
    <row r="796" customHeight="1" ht="15">
      <c r="A796" s="2" t="inlineStr"/>
      <c r="B796" s="2" t="inlineStr"/>
      <c r="C796" s="2" t="inlineStr"/>
      <c r="D796" s="2" t="inlineStr"/>
      <c r="E796" s="26" t="inlineStr">
        <is>
          <r>
            <t xml:space="preserve">TOTAL Material:</t>
          </r>
        </is>
      </c>
      <c r="F796" s="26" t="inlineStr"/>
      <c r="G796" s="31" t="n">
        <f>SUM(G793:G795)</f>
        <v>341.2265</v>
      </c>
    </row>
    <row r="797" customHeight="1" ht="15">
      <c r="A797" s="20" t="inlineStr">
        <is>
          <r>
            <t xml:space="preserve">Mão de Obra</t>
          </r>
        </is>
      </c>
      <c r="B797" s="20" t="inlineStr"/>
      <c r="C797" s="21" t="inlineStr">
        <is>
          <r>
            <t xml:space="preserve">FONTE</t>
          </r>
        </is>
      </c>
      <c r="D797" s="21" t="inlineStr">
        <is>
          <r>
            <t xml:space="preserve">UNID</t>
          </r>
        </is>
      </c>
      <c r="E797" s="21" t="inlineStr">
        <is>
          <r>
            <t xml:space="preserve">COEFICIENTE</t>
          </r>
        </is>
      </c>
      <c r="F797" s="21" t="inlineStr">
        <is>
          <r>
            <t xml:space="preserve">PREÇO UNITÁRIO</t>
          </r>
        </is>
      </c>
      <c r="G797" s="21" t="inlineStr">
        <is>
          <r>
            <t xml:space="preserve">TOTAL</t>
          </r>
        </is>
      </c>
    </row>
    <row r="798" customHeight="1" ht="15">
      <c r="A798" s="22" t="inlineStr">
        <is>
          <r>
            <t xml:space="preserve">I2543</t>
          </r>
        </is>
      </c>
      <c r="B798" s="23" t="inlineStr">
        <is>
          <r>
            <t xml:space="preserve">SERVENTE</t>
          </r>
        </is>
      </c>
      <c r="C798" s="22" t="inlineStr">
        <is>
          <r>
            <t xml:space="preserve">SEINFRA</t>
          </r>
        </is>
      </c>
      <c r="D798" s="22" t="inlineStr">
        <is>
          <r>
            <t xml:space="preserve">H</t>
          </r>
        </is>
      </c>
      <c r="E798" s="24" t="n">
        <v>6.0</v>
      </c>
      <c r="F798" s="30" t="n">
        <v>18.46</v>
      </c>
      <c r="G798" s="30" t="n">
        <f>ROUND(ROUND(E798,8)*F798,4)</f>
        <v>110.76</v>
      </c>
    </row>
    <row r="799" customHeight="1" ht="15">
      <c r="A799" s="2" t="inlineStr"/>
      <c r="B799" s="2" t="inlineStr"/>
      <c r="C799" s="2" t="inlineStr"/>
      <c r="D799" s="2" t="inlineStr"/>
      <c r="E799" s="26" t="inlineStr">
        <is>
          <r>
            <t xml:space="preserve">TOTAL Mão de Obra:</t>
          </r>
        </is>
      </c>
      <c r="F799" s="26" t="inlineStr"/>
      <c r="G799" s="31" t="n">
        <f>SUM(G798:G798)</f>
        <v>110.76</v>
      </c>
    </row>
    <row r="800" customHeight="1" ht="15">
      <c r="A800" s="2" t="inlineStr"/>
      <c r="B800" s="2" t="inlineStr"/>
      <c r="C800" s="2" t="inlineStr"/>
      <c r="D800" s="2" t="inlineStr"/>
      <c r="E800" s="28" t="inlineStr">
        <is>
          <r>
            <t xml:space="preserve">VALOR:</t>
          </r>
        </is>
      </c>
      <c r="F800" s="28" t="inlineStr"/>
      <c r="G800" s="29" t="n">
        <f>ROUND(SUM(G791,G796,G799),2)</f>
        <v>469.96</v>
      </c>
    </row>
    <row r="801" customHeight="1" ht="15">
      <c r="A801" s="2" t="inlineStr"/>
      <c r="B801" s="2" t="inlineStr"/>
      <c r="C801" s="2" t="inlineStr"/>
      <c r="D801" s="2" t="inlineStr"/>
      <c r="E801" s="28" t="inlineStr">
        <is>
          <r>
            <t xml:space="preserve">VALOR BDI:</t>
          </r>
        </is>
      </c>
      <c r="F801" s="28" t="inlineStr"/>
      <c r="G801" s="29" t="n">
        <f>ROUND(G800*(0/100),2)</f>
        <v>0.0</v>
      </c>
    </row>
    <row r="802" customHeight="1" ht="15">
      <c r="A802" s="2" t="inlineStr"/>
      <c r="B802" s="2" t="inlineStr"/>
      <c r="C802" s="2" t="inlineStr"/>
      <c r="D802" s="2" t="inlineStr"/>
      <c r="E802" s="28" t="inlineStr">
        <is>
          <r>
            <t xml:space="preserve">VALOR COM BDI:</t>
          </r>
        </is>
      </c>
      <c r="F802" s="28" t="inlineStr"/>
      <c r="G802" s="29" t="n">
        <f>G801+G800</f>
        <v>469.96</v>
      </c>
    </row>
    <row r="803" customHeight="1" ht="10">
      <c r="A803" s="2" t="inlineStr"/>
      <c r="B803" s="2" t="inlineStr"/>
      <c r="C803" s="2" t="inlineStr"/>
      <c r="D803" s="2" t="inlineStr"/>
      <c r="E803" s="18" t="inlineStr"/>
      <c r="F803" s="18" t="inlineStr"/>
      <c r="G803" s="18" t="inlineStr"/>
    </row>
    <row r="804" customHeight="1" ht="20">
      <c r="A804" s="19" t="inlineStr">
        <is>
          <r>
            <t xml:space="preserve">​C0842​ CONCRETO P/VIBR., FCK 20 MPa COM AGREGADO ADQUIRIDO​ (M3)</t>
          </r>
        </is>
      </c>
      <c r="B804" s="19" t="inlineStr"/>
      <c r="C804" s="19" t="inlineStr"/>
      <c r="D804" s="19" t="inlineStr"/>
      <c r="E804" s="19" t="inlineStr"/>
      <c r="F804" s="19" t="inlineStr"/>
      <c r="G804" s="19" t="inlineStr"/>
    </row>
    <row r="805" customHeight="1" ht="15">
      <c r="A805" s="20" t="inlineStr">
        <is>
          <r>
            <t xml:space="preserve">Equipamento Custo Horário</t>
          </r>
        </is>
      </c>
      <c r="B805" s="20" t="inlineStr"/>
      <c r="C805" s="21" t="inlineStr">
        <is>
          <r>
            <t xml:space="preserve">FONTE</t>
          </r>
        </is>
      </c>
      <c r="D805" s="21" t="inlineStr">
        <is>
          <r>
            <t xml:space="preserve">UNID</t>
          </r>
        </is>
      </c>
      <c r="E805" s="21" t="inlineStr">
        <is>
          <r>
            <t xml:space="preserve">COEFICIENTE</t>
          </r>
        </is>
      </c>
      <c r="F805" s="21" t="inlineStr">
        <is>
          <r>
            <t xml:space="preserve">PREÇO UNITÁRIO</t>
          </r>
        </is>
      </c>
      <c r="G805" s="21" t="inlineStr">
        <is>
          <r>
            <t xml:space="preserve">TOTAL</t>
          </r>
        </is>
      </c>
    </row>
    <row r="806" customHeight="1" ht="15">
      <c r="A806" s="22" t="inlineStr">
        <is>
          <r>
            <t xml:space="preserve">I0682</t>
          </r>
        </is>
      </c>
      <c r="B806" s="23" t="inlineStr">
        <is>
          <r>
            <t xml:space="preserve">BETONEIRA ELÉTRICA 580L (CHP)</t>
          </r>
        </is>
      </c>
      <c r="C806" s="22" t="inlineStr">
        <is>
          <r>
            <t xml:space="preserve">SEINFRA</t>
          </r>
        </is>
      </c>
      <c r="D806" s="22" t="inlineStr">
        <is>
          <r>
            <t xml:space="preserve">H</t>
          </r>
        </is>
      </c>
      <c r="E806" s="24" t="n">
        <v>0.714</v>
      </c>
      <c r="F806" s="30" t="n">
        <v>25.177</v>
      </c>
      <c r="G806" s="30" t="n">
        <f>ROUND(ROUND(E806,8)*F806,4)</f>
        <v>17.9764</v>
      </c>
    </row>
    <row r="807" customHeight="1" ht="18">
      <c r="A807" s="2" t="inlineStr"/>
      <c r="B807" s="2" t="inlineStr"/>
      <c r="C807" s="2" t="inlineStr"/>
      <c r="D807" s="2" t="inlineStr"/>
      <c r="E807" s="26" t="inlineStr">
        <is>
          <r>
            <t xml:space="preserve">TOTAL Equipamento Custo Horário:</t>
          </r>
        </is>
      </c>
      <c r="F807" s="26" t="inlineStr"/>
      <c r="G807" s="31" t="n">
        <f>SUM(G806:G806)</f>
        <v>17.9764</v>
      </c>
    </row>
    <row r="808" customHeight="1" ht="15">
      <c r="A808" s="20" t="inlineStr">
        <is>
          <r>
            <t xml:space="preserve">Material</t>
          </r>
        </is>
      </c>
      <c r="B808" s="20" t="inlineStr"/>
      <c r="C808" s="21" t="inlineStr">
        <is>
          <r>
            <t xml:space="preserve">FONTE</t>
          </r>
        </is>
      </c>
      <c r="D808" s="21" t="inlineStr">
        <is>
          <r>
            <t xml:space="preserve">UNID</t>
          </r>
        </is>
      </c>
      <c r="E808" s="21" t="inlineStr">
        <is>
          <r>
            <t xml:space="preserve">COEFICIENTE</t>
          </r>
        </is>
      </c>
      <c r="F808" s="21" t="inlineStr">
        <is>
          <r>
            <t xml:space="preserve">PREÇO UNITÁRIO</t>
          </r>
        </is>
      </c>
      <c r="G808" s="21" t="inlineStr">
        <is>
          <r>
            <t xml:space="preserve">TOTAL</t>
          </r>
        </is>
      </c>
    </row>
    <row r="809" customHeight="1" ht="15">
      <c r="A809" s="22" t="inlineStr">
        <is>
          <r>
            <t xml:space="preserve">I0109</t>
          </r>
        </is>
      </c>
      <c r="B809" s="23" t="inlineStr">
        <is>
          <r>
            <t xml:space="preserve">AREIA MEDIA</t>
          </r>
        </is>
      </c>
      <c r="C809" s="22" t="inlineStr">
        <is>
          <r>
            <t xml:space="preserve">SEINFRA</t>
          </r>
        </is>
      </c>
      <c r="D809" s="22" t="inlineStr">
        <is>
          <r>
            <t xml:space="preserve">M3</t>
          </r>
        </is>
      </c>
      <c r="E809" s="24" t="n">
        <v>0.8527</v>
      </c>
      <c r="F809" s="30" t="n">
        <v>83.58</v>
      </c>
      <c r="G809" s="30" t="n">
        <f>ROUND(ROUND(E809,8)*F809,4)</f>
        <v>71.2687</v>
      </c>
    </row>
    <row r="810" customHeight="1" ht="15">
      <c r="A810" s="22" t="inlineStr">
        <is>
          <r>
            <t xml:space="preserve">I0805</t>
          </r>
        </is>
      </c>
      <c r="B810" s="23" t="inlineStr">
        <is>
          <r>
            <t xml:space="preserve">CIMENTO PORTLAND</t>
          </r>
        </is>
      </c>
      <c r="C810" s="22" t="inlineStr">
        <is>
          <r>
            <t xml:space="preserve">SEINFRA</t>
          </r>
        </is>
      </c>
      <c r="D810" s="22" t="inlineStr">
        <is>
          <r>
            <t xml:space="preserve">KG</t>
          </r>
        </is>
      </c>
      <c r="E810" s="24" t="n">
        <v>336.0</v>
      </c>
      <c r="F810" s="30" t="n">
        <v>0.71</v>
      </c>
      <c r="G810" s="30" t="n">
        <f>ROUND(ROUND(E810,8)*F810,4)</f>
        <v>238.56</v>
      </c>
    </row>
    <row r="811" customHeight="1" ht="15">
      <c r="A811" s="22" t="inlineStr">
        <is>
          <r>
            <t xml:space="preserve">I1605</t>
          </r>
        </is>
      </c>
      <c r="B811" s="23" t="inlineStr">
        <is>
          <r>
            <t xml:space="preserve">PEDRISCO</t>
          </r>
        </is>
      </c>
      <c r="C811" s="22" t="inlineStr">
        <is>
          <r>
            <t xml:space="preserve">SEINFRA</t>
          </r>
        </is>
      </c>
      <c r="D811" s="22" t="inlineStr">
        <is>
          <r>
            <t xml:space="preserve">M3</t>
          </r>
        </is>
      </c>
      <c r="E811" s="24" t="n">
        <v>0.836</v>
      </c>
      <c r="F811" s="30" t="n">
        <v>100.5</v>
      </c>
      <c r="G811" s="30" t="n">
        <f>ROUND(ROUND(E811,8)*F811,4)</f>
        <v>84.018</v>
      </c>
    </row>
    <row r="812" customHeight="1" ht="15">
      <c r="A812" s="2" t="inlineStr"/>
      <c r="B812" s="2" t="inlineStr"/>
      <c r="C812" s="2" t="inlineStr"/>
      <c r="D812" s="2" t="inlineStr"/>
      <c r="E812" s="26" t="inlineStr">
        <is>
          <r>
            <t xml:space="preserve">TOTAL Material:</t>
          </r>
        </is>
      </c>
      <c r="F812" s="26" t="inlineStr"/>
      <c r="G812" s="31" t="n">
        <f>SUM(G809:G811)</f>
        <v>393.8467</v>
      </c>
    </row>
    <row r="813" customHeight="1" ht="15">
      <c r="A813" s="20" t="inlineStr">
        <is>
          <r>
            <t xml:space="preserve">Mão de Obra</t>
          </r>
        </is>
      </c>
      <c r="B813" s="20" t="inlineStr"/>
      <c r="C813" s="21" t="inlineStr">
        <is>
          <r>
            <t xml:space="preserve">FONTE</t>
          </r>
        </is>
      </c>
      <c r="D813" s="21" t="inlineStr">
        <is>
          <r>
            <t xml:space="preserve">UNID</t>
          </r>
        </is>
      </c>
      <c r="E813" s="21" t="inlineStr">
        <is>
          <r>
            <t xml:space="preserve">COEFICIENTE</t>
          </r>
        </is>
      </c>
      <c r="F813" s="21" t="inlineStr">
        <is>
          <r>
            <t xml:space="preserve">PREÇO UNITÁRIO</t>
          </r>
        </is>
      </c>
      <c r="G813" s="21" t="inlineStr">
        <is>
          <r>
            <t xml:space="preserve">TOTAL</t>
          </r>
        </is>
      </c>
    </row>
    <row r="814" customHeight="1" ht="15">
      <c r="A814" s="22" t="inlineStr">
        <is>
          <r>
            <t xml:space="preserve">I2543</t>
          </r>
        </is>
      </c>
      <c r="B814" s="23" t="inlineStr">
        <is>
          <r>
            <t xml:space="preserve">SERVENTE</t>
          </r>
        </is>
      </c>
      <c r="C814" s="22" t="inlineStr">
        <is>
          <r>
            <t xml:space="preserve">SEINFRA</t>
          </r>
        </is>
      </c>
      <c r="D814" s="22" t="inlineStr">
        <is>
          <r>
            <t xml:space="preserve">H</t>
          </r>
        </is>
      </c>
      <c r="E814" s="24" t="n">
        <v>6.0</v>
      </c>
      <c r="F814" s="30" t="n">
        <v>18.46</v>
      </c>
      <c r="G814" s="30" t="n">
        <f>ROUND(ROUND(E814,8)*F814,4)</f>
        <v>110.76</v>
      </c>
    </row>
    <row r="815" customHeight="1" ht="15">
      <c r="A815" s="2" t="inlineStr"/>
      <c r="B815" s="2" t="inlineStr"/>
      <c r="C815" s="2" t="inlineStr"/>
      <c r="D815" s="2" t="inlineStr"/>
      <c r="E815" s="26" t="inlineStr">
        <is>
          <r>
            <t xml:space="preserve">TOTAL Mão de Obra:</t>
          </r>
        </is>
      </c>
      <c r="F815" s="26" t="inlineStr"/>
      <c r="G815" s="31" t="n">
        <f>SUM(G814:G814)</f>
        <v>110.76</v>
      </c>
    </row>
    <row r="816" customHeight="1" ht="15">
      <c r="A816" s="2" t="inlineStr"/>
      <c r="B816" s="2" t="inlineStr"/>
      <c r="C816" s="2" t="inlineStr"/>
      <c r="D816" s="2" t="inlineStr"/>
      <c r="E816" s="28" t="inlineStr">
        <is>
          <r>
            <t xml:space="preserve">VALOR:</t>
          </r>
        </is>
      </c>
      <c r="F816" s="28" t="inlineStr"/>
      <c r="G816" s="29" t="n">
        <f>ROUND(SUM(G807,G812,G815),2)</f>
        <v>522.58</v>
      </c>
    </row>
    <row r="817" customHeight="1" ht="15">
      <c r="A817" s="2" t="inlineStr"/>
      <c r="B817" s="2" t="inlineStr"/>
      <c r="C817" s="2" t="inlineStr"/>
      <c r="D817" s="2" t="inlineStr"/>
      <c r="E817" s="28" t="inlineStr">
        <is>
          <r>
            <t xml:space="preserve">VALOR BDI:</t>
          </r>
        </is>
      </c>
      <c r="F817" s="28" t="inlineStr"/>
      <c r="G817" s="29" t="n">
        <f>ROUND(G816*(0/100),2)</f>
        <v>0.0</v>
      </c>
    </row>
    <row r="818" customHeight="1" ht="15">
      <c r="A818" s="2" t="inlineStr"/>
      <c r="B818" s="2" t="inlineStr"/>
      <c r="C818" s="2" t="inlineStr"/>
      <c r="D818" s="2" t="inlineStr"/>
      <c r="E818" s="28" t="inlineStr">
        <is>
          <r>
            <t xml:space="preserve">VALOR COM BDI:</t>
          </r>
        </is>
      </c>
      <c r="F818" s="28" t="inlineStr"/>
      <c r="G818" s="29" t="n">
        <f>G817+G816</f>
        <v>522.58</v>
      </c>
    </row>
    <row r="819" customHeight="1" ht="10">
      <c r="A819" s="2" t="inlineStr"/>
      <c r="B819" s="2" t="inlineStr"/>
      <c r="C819" s="2" t="inlineStr"/>
      <c r="D819" s="2" t="inlineStr"/>
      <c r="E819" s="18" t="inlineStr"/>
      <c r="F819" s="18" t="inlineStr"/>
      <c r="G819" s="18" t="inlineStr"/>
    </row>
    <row r="820" customHeight="1" ht="20">
      <c r="A820" s="19" t="inlineStr">
        <is>
          <r>
            <t xml:space="preserve">​C3268​ CONCRETO P/VIBR., FCK=10MPa COM AGREGADO PRODUZIDO (S/TRANSP.)​ (M3)</t>
          </r>
        </is>
      </c>
      <c r="B820" s="19" t="inlineStr"/>
      <c r="C820" s="19" t="inlineStr"/>
      <c r="D820" s="19" t="inlineStr"/>
      <c r="E820" s="19" t="inlineStr"/>
      <c r="F820" s="19" t="inlineStr"/>
      <c r="G820" s="19" t="inlineStr"/>
    </row>
    <row r="821" customHeight="1" ht="15">
      <c r="A821" s="20" t="inlineStr">
        <is>
          <r>
            <t xml:space="preserve">Equipamento Custo Horário</t>
          </r>
        </is>
      </c>
      <c r="B821" s="20" t="inlineStr"/>
      <c r="C821" s="21" t="inlineStr">
        <is>
          <r>
            <t xml:space="preserve">FONTE</t>
          </r>
        </is>
      </c>
      <c r="D821" s="21" t="inlineStr">
        <is>
          <r>
            <t xml:space="preserve">UNID</t>
          </r>
        </is>
      </c>
      <c r="E821" s="21" t="inlineStr">
        <is>
          <r>
            <t xml:space="preserve">COEFICIENTE</t>
          </r>
        </is>
      </c>
      <c r="F821" s="21" t="inlineStr">
        <is>
          <r>
            <t xml:space="preserve">PREÇO UNITÁRIO</t>
          </r>
        </is>
      </c>
      <c r="G821" s="21" t="inlineStr">
        <is>
          <r>
            <t xml:space="preserve">TOTAL</t>
          </r>
        </is>
      </c>
    </row>
    <row r="822" customHeight="1" ht="15">
      <c r="A822" s="22" t="inlineStr">
        <is>
          <r>
            <t xml:space="preserve">I0566</t>
          </r>
        </is>
      </c>
      <c r="B822" s="23" t="inlineStr">
        <is>
          <r>
            <t xml:space="preserve">BETONEIRA COM MOTOR A DIESEL (CHI)</t>
          </r>
        </is>
      </c>
      <c r="C822" s="22" t="inlineStr">
        <is>
          <r>
            <t xml:space="preserve">SEINFRA</t>
          </r>
        </is>
      </c>
      <c r="D822" s="22" t="inlineStr">
        <is>
          <r>
            <t xml:space="preserve">H</t>
          </r>
        </is>
      </c>
      <c r="E822" s="24" t="n">
        <v>0.0</v>
      </c>
      <c r="F822" s="30" t="n">
        <v>22.81</v>
      </c>
      <c r="G822" s="30" t="n">
        <f>ROUND(ROUND(E822,8)*F822,4)</f>
        <v>0.0</v>
      </c>
    </row>
    <row r="823" customHeight="1" ht="15">
      <c r="A823" s="22" t="inlineStr">
        <is>
          <r>
            <t xml:space="preserve">I0680</t>
          </r>
        </is>
      </c>
      <c r="B823" s="23" t="inlineStr">
        <is>
          <r>
            <t xml:space="preserve">BETONEIRA COM MOTOR A DIESEL (CHP)</t>
          </r>
        </is>
      </c>
      <c r="C823" s="22" t="inlineStr">
        <is>
          <r>
            <t xml:space="preserve">SEINFRA</t>
          </r>
        </is>
      </c>
      <c r="D823" s="22" t="inlineStr">
        <is>
          <r>
            <t xml:space="preserve">H</t>
          </r>
        </is>
      </c>
      <c r="E823" s="24" t="n">
        <v>1.0</v>
      </c>
      <c r="F823" s="30" t="n">
        <v>29.0963</v>
      </c>
      <c r="G823" s="30" t="n">
        <f>ROUND(ROUND(E823,8)*F823,4)</f>
        <v>29.0963</v>
      </c>
    </row>
    <row r="824" customHeight="1" ht="18">
      <c r="A824" s="2" t="inlineStr"/>
      <c r="B824" s="2" t="inlineStr"/>
      <c r="C824" s="2" t="inlineStr"/>
      <c r="D824" s="2" t="inlineStr"/>
      <c r="E824" s="26" t="inlineStr">
        <is>
          <r>
            <t xml:space="preserve">TOTAL Equipamento Custo Horário:</t>
          </r>
        </is>
      </c>
      <c r="F824" s="26" t="inlineStr"/>
      <c r="G824" s="31" t="n">
        <f>SUM(G822:G823)</f>
        <v>29.0963</v>
      </c>
    </row>
    <row r="825" customHeight="1" ht="15">
      <c r="A825" s="20" t="inlineStr">
        <is>
          <r>
            <t xml:space="preserve">Material</t>
          </r>
        </is>
      </c>
      <c r="B825" s="20" t="inlineStr"/>
      <c r="C825" s="21" t="inlineStr">
        <is>
          <r>
            <t xml:space="preserve">FONTE</t>
          </r>
        </is>
      </c>
      <c r="D825" s="21" t="inlineStr">
        <is>
          <r>
            <t xml:space="preserve">UNID</t>
          </r>
        </is>
      </c>
      <c r="E825" s="21" t="inlineStr">
        <is>
          <r>
            <t xml:space="preserve">COEFICIENTE</t>
          </r>
        </is>
      </c>
      <c r="F825" s="21" t="inlineStr">
        <is>
          <r>
            <t xml:space="preserve">PREÇO UNITÁRIO</t>
          </r>
        </is>
      </c>
      <c r="G825" s="21" t="inlineStr">
        <is>
          <r>
            <t xml:space="preserve">TOTAL</t>
          </r>
        </is>
      </c>
    </row>
    <row r="826" customHeight="1" ht="15">
      <c r="A826" s="22" t="inlineStr">
        <is>
          <r>
            <t xml:space="preserve">I0805</t>
          </r>
        </is>
      </c>
      <c r="B826" s="23" t="inlineStr">
        <is>
          <r>
            <t xml:space="preserve">CIMENTO PORTLAND</t>
          </r>
        </is>
      </c>
      <c r="C826" s="22" t="inlineStr">
        <is>
          <r>
            <t xml:space="preserve">SEINFRA</t>
          </r>
        </is>
      </c>
      <c r="D826" s="22" t="inlineStr">
        <is>
          <r>
            <t xml:space="preserve">KG</t>
          </r>
        </is>
      </c>
      <c r="E826" s="24" t="n">
        <v>254.0</v>
      </c>
      <c r="F826" s="30" t="n">
        <v>0.71</v>
      </c>
      <c r="G826" s="30" t="n">
        <f>ROUND(ROUND(E826,8)*F826,4)</f>
        <v>180.34</v>
      </c>
    </row>
    <row r="827" customHeight="1" ht="15">
      <c r="A827" s="2" t="inlineStr"/>
      <c r="B827" s="2" t="inlineStr"/>
      <c r="C827" s="2" t="inlineStr"/>
      <c r="D827" s="2" t="inlineStr"/>
      <c r="E827" s="26" t="inlineStr">
        <is>
          <r>
            <t xml:space="preserve">TOTAL Material:</t>
          </r>
        </is>
      </c>
      <c r="F827" s="26" t="inlineStr"/>
      <c r="G827" s="31" t="n">
        <f>SUM(G826:G826)</f>
        <v>180.34</v>
      </c>
    </row>
    <row r="828" customHeight="1" ht="15">
      <c r="A828" s="20" t="inlineStr">
        <is>
          <r>
            <t xml:space="preserve">Mão de Obra</t>
          </r>
        </is>
      </c>
      <c r="B828" s="20" t="inlineStr"/>
      <c r="C828" s="21" t="inlineStr">
        <is>
          <r>
            <t xml:space="preserve">FONTE</t>
          </r>
        </is>
      </c>
      <c r="D828" s="21" t="inlineStr">
        <is>
          <r>
            <t xml:space="preserve">UNID</t>
          </r>
        </is>
      </c>
      <c r="E828" s="21" t="inlineStr">
        <is>
          <r>
            <t xml:space="preserve">COEFICIENTE</t>
          </r>
        </is>
      </c>
      <c r="F828" s="21" t="inlineStr">
        <is>
          <r>
            <t xml:space="preserve">PREÇO UNITÁRIO</t>
          </r>
        </is>
      </c>
      <c r="G828" s="21" t="inlineStr">
        <is>
          <r>
            <t xml:space="preserve">TOTAL</t>
          </r>
        </is>
      </c>
    </row>
    <row r="829" customHeight="1" ht="15">
      <c r="A829" s="22" t="inlineStr">
        <is>
          <r>
            <t xml:space="preserve">I2543</t>
          </r>
        </is>
      </c>
      <c r="B829" s="23" t="inlineStr">
        <is>
          <r>
            <t xml:space="preserve">SERVENTE</t>
          </r>
        </is>
      </c>
      <c r="C829" s="22" t="inlineStr">
        <is>
          <r>
            <t xml:space="preserve">SEINFRA</t>
          </r>
        </is>
      </c>
      <c r="D829" s="22" t="inlineStr">
        <is>
          <r>
            <t xml:space="preserve">H</t>
          </r>
        </is>
      </c>
      <c r="E829" s="24" t="n">
        <v>6.0</v>
      </c>
      <c r="F829" s="30" t="n">
        <v>18.46</v>
      </c>
      <c r="G829" s="30" t="n">
        <f>ROUND(ROUND(E829,8)*F829,4)</f>
        <v>110.76</v>
      </c>
    </row>
    <row r="830" customHeight="1" ht="15">
      <c r="A830" s="2" t="inlineStr"/>
      <c r="B830" s="2" t="inlineStr"/>
      <c r="C830" s="2" t="inlineStr"/>
      <c r="D830" s="2" t="inlineStr"/>
      <c r="E830" s="26" t="inlineStr">
        <is>
          <r>
            <t xml:space="preserve">TOTAL Mão de Obra:</t>
          </r>
        </is>
      </c>
      <c r="F830" s="26" t="inlineStr"/>
      <c r="G830" s="31" t="n">
        <f>SUM(G829:G829)</f>
        <v>110.76</v>
      </c>
    </row>
    <row r="831" customHeight="1" ht="15">
      <c r="A831" s="20" t="inlineStr">
        <is>
          <r>
            <t xml:space="preserve">Serviço</t>
          </r>
        </is>
      </c>
      <c r="B831" s="20" t="inlineStr"/>
      <c r="C831" s="21" t="inlineStr">
        <is>
          <r>
            <t xml:space="preserve">FONTE</t>
          </r>
        </is>
      </c>
      <c r="D831" s="21" t="inlineStr">
        <is>
          <r>
            <t xml:space="preserve">UNID</t>
          </r>
        </is>
      </c>
      <c r="E831" s="21" t="inlineStr">
        <is>
          <r>
            <t xml:space="preserve">COEFICIENTE</t>
          </r>
        </is>
      </c>
      <c r="F831" s="21" t="inlineStr">
        <is>
          <r>
            <t xml:space="preserve">PREÇO UNITÁRIO</t>
          </r>
        </is>
      </c>
      <c r="G831" s="21" t="inlineStr">
        <is>
          <r>
            <t xml:space="preserve">TOTAL</t>
          </r>
        </is>
      </c>
    </row>
    <row r="832" customHeight="1" ht="15">
      <c r="A832" s="22" t="inlineStr">
        <is>
          <r>
            <t xml:space="preserve">C3130</t>
          </r>
        </is>
      </c>
      <c r="B832" s="23" t="inlineStr">
        <is>
          <r>
            <t xml:space="preserve">AREIA DE RIO - EXTRAÇÃO</t>
          </r>
        </is>
      </c>
      <c r="C832" s="22" t="inlineStr">
        <is>
          <r>
            <t xml:space="preserve">SEINFRA</t>
          </r>
        </is>
      </c>
      <c r="D832" s="22" t="inlineStr">
        <is>
          <r>
            <t xml:space="preserve">M3</t>
          </r>
        </is>
      </c>
      <c r="E832" s="24" t="n">
        <v>0.9197</v>
      </c>
      <c r="F832" s="30" t="n">
        <v>8.8</v>
      </c>
      <c r="G832" s="30" t="n">
        <f>ROUND(ROUND(E832,8)*F832,4)</f>
        <v>8.0934</v>
      </c>
    </row>
    <row r="833" customHeight="1" ht="15">
      <c r="A833" s="22" t="inlineStr">
        <is>
          <r>
            <t xml:space="preserve">C3253</t>
          </r>
        </is>
      </c>
      <c r="B833" s="23" t="inlineStr">
        <is>
          <r>
            <t xml:space="preserve">BRITA PRODUZIDA PARA USOS DIVERSOS</t>
          </r>
        </is>
      </c>
      <c r="C833" s="22" t="inlineStr">
        <is>
          <r>
            <t xml:space="preserve">SEINFRA</t>
          </r>
        </is>
      </c>
      <c r="D833" s="22" t="inlineStr">
        <is>
          <r>
            <t xml:space="preserve">M3</t>
          </r>
        </is>
      </c>
      <c r="E833" s="24" t="n">
        <v>0.836</v>
      </c>
      <c r="F833" s="30" t="n">
        <v>100.7</v>
      </c>
      <c r="G833" s="30" t="n">
        <f>ROUND(ROUND(E833,8)*F833,4)</f>
        <v>84.1852</v>
      </c>
    </row>
    <row r="834" customHeight="1" ht="15">
      <c r="A834" s="2" t="inlineStr"/>
      <c r="B834" s="2" t="inlineStr"/>
      <c r="C834" s="2" t="inlineStr"/>
      <c r="D834" s="2" t="inlineStr"/>
      <c r="E834" s="26" t="inlineStr">
        <is>
          <r>
            <t xml:space="preserve">TOTAL Serviço:</t>
          </r>
        </is>
      </c>
      <c r="F834" s="26" t="inlineStr"/>
      <c r="G834" s="31" t="n">
        <f>SUM(G832:G833)</f>
        <v>92.2786</v>
      </c>
    </row>
    <row r="835" customHeight="1" ht="15">
      <c r="A835" s="2" t="inlineStr"/>
      <c r="B835" s="2" t="inlineStr"/>
      <c r="C835" s="2" t="inlineStr"/>
      <c r="D835" s="2" t="inlineStr"/>
      <c r="E835" s="28" t="inlineStr">
        <is>
          <r>
            <t xml:space="preserve">VALOR:</t>
          </r>
        </is>
      </c>
      <c r="F835" s="28" t="inlineStr"/>
      <c r="G835" s="29" t="n">
        <f>ROUND(SUM(G824,G827,G830,G834),2)</f>
        <v>412.47</v>
      </c>
    </row>
    <row r="836" customHeight="1" ht="15">
      <c r="A836" s="2" t="inlineStr"/>
      <c r="B836" s="2" t="inlineStr"/>
      <c r="C836" s="2" t="inlineStr"/>
      <c r="D836" s="2" t="inlineStr"/>
      <c r="E836" s="28" t="inlineStr">
        <is>
          <r>
            <t xml:space="preserve">VALOR BDI:</t>
          </r>
        </is>
      </c>
      <c r="F836" s="28" t="inlineStr"/>
      <c r="G836" s="29" t="n">
        <f>ROUND(G835*(0/100),2)</f>
        <v>0.0</v>
      </c>
    </row>
    <row r="837" customHeight="1" ht="15">
      <c r="A837" s="2" t="inlineStr"/>
      <c r="B837" s="2" t="inlineStr"/>
      <c r="C837" s="2" t="inlineStr"/>
      <c r="D837" s="2" t="inlineStr"/>
      <c r="E837" s="28" t="inlineStr">
        <is>
          <r>
            <t xml:space="preserve">VALOR COM BDI:</t>
          </r>
        </is>
      </c>
      <c r="F837" s="28" t="inlineStr"/>
      <c r="G837" s="29" t="n">
        <f>G836+G835</f>
        <v>412.47</v>
      </c>
    </row>
    <row r="838" customHeight="1" ht="10">
      <c r="A838" s="2" t="inlineStr"/>
      <c r="B838" s="2" t="inlineStr"/>
      <c r="C838" s="2" t="inlineStr"/>
      <c r="D838" s="2" t="inlineStr"/>
      <c r="E838" s="18" t="inlineStr"/>
      <c r="F838" s="18" t="inlineStr"/>
      <c r="G838" s="18" t="inlineStr"/>
    </row>
    <row r="839" customHeight="1" ht="20">
      <c r="A839" s="19" t="inlineStr">
        <is>
          <r>
            <t xml:space="preserve">​C3269​ CONCRETO P/VIBR., FCK=13,5MPa COM AGREGADO PRODUZIDO (S/TRANSP.)​ (M3)</t>
          </r>
        </is>
      </c>
      <c r="B839" s="19" t="inlineStr"/>
      <c r="C839" s="19" t="inlineStr"/>
      <c r="D839" s="19" t="inlineStr"/>
      <c r="E839" s="19" t="inlineStr"/>
      <c r="F839" s="19" t="inlineStr"/>
      <c r="G839" s="19" t="inlineStr"/>
    </row>
    <row r="840" customHeight="1" ht="15">
      <c r="A840" s="20" t="inlineStr">
        <is>
          <r>
            <t xml:space="preserve">Equipamento Custo Horário</t>
          </r>
        </is>
      </c>
      <c r="B840" s="20" t="inlineStr"/>
      <c r="C840" s="21" t="inlineStr">
        <is>
          <r>
            <t xml:space="preserve">FONTE</t>
          </r>
        </is>
      </c>
      <c r="D840" s="21" t="inlineStr">
        <is>
          <r>
            <t xml:space="preserve">UNID</t>
          </r>
        </is>
      </c>
      <c r="E840" s="21" t="inlineStr">
        <is>
          <r>
            <t xml:space="preserve">COEFICIENTE</t>
          </r>
        </is>
      </c>
      <c r="F840" s="21" t="inlineStr">
        <is>
          <r>
            <t xml:space="preserve">PREÇO UNITÁRIO</t>
          </r>
        </is>
      </c>
      <c r="G840" s="21" t="inlineStr">
        <is>
          <r>
            <t xml:space="preserve">TOTAL</t>
          </r>
        </is>
      </c>
    </row>
    <row r="841" customHeight="1" ht="15">
      <c r="A841" s="22" t="inlineStr">
        <is>
          <r>
            <t xml:space="preserve">I0566</t>
          </r>
        </is>
      </c>
      <c r="B841" s="23" t="inlineStr">
        <is>
          <r>
            <t xml:space="preserve">BETONEIRA COM MOTOR A DIESEL (CHI)</t>
          </r>
        </is>
      </c>
      <c r="C841" s="22" t="inlineStr">
        <is>
          <r>
            <t xml:space="preserve">SEINFRA</t>
          </r>
        </is>
      </c>
      <c r="D841" s="22" t="inlineStr">
        <is>
          <r>
            <t xml:space="preserve">H</t>
          </r>
        </is>
      </c>
      <c r="E841" s="24" t="n">
        <v>0.0</v>
      </c>
      <c r="F841" s="30" t="n">
        <v>22.81</v>
      </c>
      <c r="G841" s="30" t="n">
        <f>ROUND(ROUND(E841,8)*F841,4)</f>
        <v>0.0</v>
      </c>
    </row>
    <row r="842" customHeight="1" ht="15">
      <c r="A842" s="22" t="inlineStr">
        <is>
          <r>
            <t xml:space="preserve">I0680</t>
          </r>
        </is>
      </c>
      <c r="B842" s="23" t="inlineStr">
        <is>
          <r>
            <t xml:space="preserve">BETONEIRA COM MOTOR A DIESEL (CHP)</t>
          </r>
        </is>
      </c>
      <c r="C842" s="22" t="inlineStr">
        <is>
          <r>
            <t xml:space="preserve">SEINFRA</t>
          </r>
        </is>
      </c>
      <c r="D842" s="22" t="inlineStr">
        <is>
          <r>
            <t xml:space="preserve">H</t>
          </r>
        </is>
      </c>
      <c r="E842" s="24" t="n">
        <v>1.0</v>
      </c>
      <c r="F842" s="30" t="n">
        <v>29.0963</v>
      </c>
      <c r="G842" s="30" t="n">
        <f>ROUND(ROUND(E842,8)*F842,4)</f>
        <v>29.0963</v>
      </c>
    </row>
    <row r="843" customHeight="1" ht="18">
      <c r="A843" s="2" t="inlineStr"/>
      <c r="B843" s="2" t="inlineStr"/>
      <c r="C843" s="2" t="inlineStr"/>
      <c r="D843" s="2" t="inlineStr"/>
      <c r="E843" s="26" t="inlineStr">
        <is>
          <r>
            <t xml:space="preserve">TOTAL Equipamento Custo Horário:</t>
          </r>
        </is>
      </c>
      <c r="F843" s="26" t="inlineStr"/>
      <c r="G843" s="31" t="n">
        <f>SUM(G841:G842)</f>
        <v>29.0963</v>
      </c>
    </row>
    <row r="844" customHeight="1" ht="15">
      <c r="A844" s="20" t="inlineStr">
        <is>
          <r>
            <t xml:space="preserve">Material</t>
          </r>
        </is>
      </c>
      <c r="B844" s="20" t="inlineStr"/>
      <c r="C844" s="21" t="inlineStr">
        <is>
          <r>
            <t xml:space="preserve">FONTE</t>
          </r>
        </is>
      </c>
      <c r="D844" s="21" t="inlineStr">
        <is>
          <r>
            <t xml:space="preserve">UNID</t>
          </r>
        </is>
      </c>
      <c r="E844" s="21" t="inlineStr">
        <is>
          <r>
            <t xml:space="preserve">COEFICIENTE</t>
          </r>
        </is>
      </c>
      <c r="F844" s="21" t="inlineStr">
        <is>
          <r>
            <t xml:space="preserve">PREÇO UNITÁRIO</t>
          </r>
        </is>
      </c>
      <c r="G844" s="21" t="inlineStr">
        <is>
          <r>
            <t xml:space="preserve">TOTAL</t>
          </r>
        </is>
      </c>
    </row>
    <row r="845" customHeight="1" ht="15">
      <c r="A845" s="22" t="inlineStr">
        <is>
          <r>
            <t xml:space="preserve">I0805</t>
          </r>
        </is>
      </c>
      <c r="B845" s="23" t="inlineStr">
        <is>
          <r>
            <t xml:space="preserve">CIMENTO PORTLAND</t>
          </r>
        </is>
      </c>
      <c r="C845" s="22" t="inlineStr">
        <is>
          <r>
            <t xml:space="preserve">SEINFRA</t>
          </r>
        </is>
      </c>
      <c r="D845" s="22" t="inlineStr">
        <is>
          <r>
            <t xml:space="preserve">KG</t>
          </r>
        </is>
      </c>
      <c r="E845" s="24" t="n">
        <v>282.0</v>
      </c>
      <c r="F845" s="30" t="n">
        <v>0.71</v>
      </c>
      <c r="G845" s="30" t="n">
        <f>ROUND(ROUND(E845,8)*F845,4)</f>
        <v>200.22</v>
      </c>
    </row>
    <row r="846" customHeight="1" ht="15">
      <c r="A846" s="2" t="inlineStr"/>
      <c r="B846" s="2" t="inlineStr"/>
      <c r="C846" s="2" t="inlineStr"/>
      <c r="D846" s="2" t="inlineStr"/>
      <c r="E846" s="26" t="inlineStr">
        <is>
          <r>
            <t xml:space="preserve">TOTAL Material:</t>
          </r>
        </is>
      </c>
      <c r="F846" s="26" t="inlineStr"/>
      <c r="G846" s="31" t="n">
        <f>SUM(G845:G845)</f>
        <v>200.22</v>
      </c>
    </row>
    <row r="847" customHeight="1" ht="15">
      <c r="A847" s="20" t="inlineStr">
        <is>
          <r>
            <t xml:space="preserve">Mão de Obra</t>
          </r>
        </is>
      </c>
      <c r="B847" s="20" t="inlineStr"/>
      <c r="C847" s="21" t="inlineStr">
        <is>
          <r>
            <t xml:space="preserve">FONTE</t>
          </r>
        </is>
      </c>
      <c r="D847" s="21" t="inlineStr">
        <is>
          <r>
            <t xml:space="preserve">UNID</t>
          </r>
        </is>
      </c>
      <c r="E847" s="21" t="inlineStr">
        <is>
          <r>
            <t xml:space="preserve">COEFICIENTE</t>
          </r>
        </is>
      </c>
      <c r="F847" s="21" t="inlineStr">
        <is>
          <r>
            <t xml:space="preserve">PREÇO UNITÁRIO</t>
          </r>
        </is>
      </c>
      <c r="G847" s="21" t="inlineStr">
        <is>
          <r>
            <t xml:space="preserve">TOTAL</t>
          </r>
        </is>
      </c>
    </row>
    <row r="848" customHeight="1" ht="15">
      <c r="A848" s="22" t="inlineStr">
        <is>
          <r>
            <t xml:space="preserve">I2543</t>
          </r>
        </is>
      </c>
      <c r="B848" s="23" t="inlineStr">
        <is>
          <r>
            <t xml:space="preserve">SERVENTE</t>
          </r>
        </is>
      </c>
      <c r="C848" s="22" t="inlineStr">
        <is>
          <r>
            <t xml:space="preserve">SEINFRA</t>
          </r>
        </is>
      </c>
      <c r="D848" s="22" t="inlineStr">
        <is>
          <r>
            <t xml:space="preserve">H</t>
          </r>
        </is>
      </c>
      <c r="E848" s="24" t="n">
        <v>6.0</v>
      </c>
      <c r="F848" s="30" t="n">
        <v>18.46</v>
      </c>
      <c r="G848" s="30" t="n">
        <f>ROUND(ROUND(E848,8)*F848,4)</f>
        <v>110.76</v>
      </c>
    </row>
    <row r="849" customHeight="1" ht="15">
      <c r="A849" s="2" t="inlineStr"/>
      <c r="B849" s="2" t="inlineStr"/>
      <c r="C849" s="2" t="inlineStr"/>
      <c r="D849" s="2" t="inlineStr"/>
      <c r="E849" s="26" t="inlineStr">
        <is>
          <r>
            <t xml:space="preserve">TOTAL Mão de Obra:</t>
          </r>
        </is>
      </c>
      <c r="F849" s="26" t="inlineStr"/>
      <c r="G849" s="31" t="n">
        <f>SUM(G848:G848)</f>
        <v>110.76</v>
      </c>
    </row>
    <row r="850" customHeight="1" ht="15">
      <c r="A850" s="20" t="inlineStr">
        <is>
          <r>
            <t xml:space="preserve">Serviço</t>
          </r>
        </is>
      </c>
      <c r="B850" s="20" t="inlineStr"/>
      <c r="C850" s="21" t="inlineStr">
        <is>
          <r>
            <t xml:space="preserve">FONTE</t>
          </r>
        </is>
      </c>
      <c r="D850" s="21" t="inlineStr">
        <is>
          <r>
            <t xml:space="preserve">UNID</t>
          </r>
        </is>
      </c>
      <c r="E850" s="21" t="inlineStr">
        <is>
          <r>
            <t xml:space="preserve">COEFICIENTE</t>
          </r>
        </is>
      </c>
      <c r="F850" s="21" t="inlineStr">
        <is>
          <r>
            <t xml:space="preserve">PREÇO UNITÁRIO</t>
          </r>
        </is>
      </c>
      <c r="G850" s="21" t="inlineStr">
        <is>
          <r>
            <t xml:space="preserve">TOTAL</t>
          </r>
        </is>
      </c>
    </row>
    <row r="851" customHeight="1" ht="15">
      <c r="A851" s="22" t="inlineStr">
        <is>
          <r>
            <t xml:space="preserve">C3130</t>
          </r>
        </is>
      </c>
      <c r="B851" s="23" t="inlineStr">
        <is>
          <r>
            <t xml:space="preserve">AREIA DE RIO - EXTRAÇÃO</t>
          </r>
        </is>
      </c>
      <c r="C851" s="22" t="inlineStr">
        <is>
          <r>
            <t xml:space="preserve">SEINFRA</t>
          </r>
        </is>
      </c>
      <c r="D851" s="22" t="inlineStr">
        <is>
          <r>
            <t xml:space="preserve">M3</t>
          </r>
        </is>
      </c>
      <c r="E851" s="24" t="n">
        <v>0.8971</v>
      </c>
      <c r="F851" s="30" t="n">
        <v>8.8</v>
      </c>
      <c r="G851" s="30" t="n">
        <f>ROUND(ROUND(E851,8)*F851,4)</f>
        <v>7.8945</v>
      </c>
    </row>
    <row r="852" customHeight="1" ht="15">
      <c r="A852" s="22" t="inlineStr">
        <is>
          <r>
            <t xml:space="preserve">C3253</t>
          </r>
        </is>
      </c>
      <c r="B852" s="23" t="inlineStr">
        <is>
          <r>
            <t xml:space="preserve">BRITA PRODUZIDA PARA USOS DIVERSOS</t>
          </r>
        </is>
      </c>
      <c r="C852" s="22" t="inlineStr">
        <is>
          <r>
            <t xml:space="preserve">SEINFRA</t>
          </r>
        </is>
      </c>
      <c r="D852" s="22" t="inlineStr">
        <is>
          <r>
            <t xml:space="preserve">M3</t>
          </r>
        </is>
      </c>
      <c r="E852" s="24" t="n">
        <v>0.836</v>
      </c>
      <c r="F852" s="30" t="n">
        <v>100.7</v>
      </c>
      <c r="G852" s="30" t="n">
        <f>ROUND(ROUND(E852,8)*F852,4)</f>
        <v>84.1852</v>
      </c>
    </row>
    <row r="853" customHeight="1" ht="15">
      <c r="A853" s="2" t="inlineStr"/>
      <c r="B853" s="2" t="inlineStr"/>
      <c r="C853" s="2" t="inlineStr"/>
      <c r="D853" s="2" t="inlineStr"/>
      <c r="E853" s="26" t="inlineStr">
        <is>
          <r>
            <t xml:space="preserve">TOTAL Serviço:</t>
          </r>
        </is>
      </c>
      <c r="F853" s="26" t="inlineStr"/>
      <c r="G853" s="31" t="n">
        <f>SUM(G851:G852)</f>
        <v>92.0797</v>
      </c>
    </row>
    <row r="854" customHeight="1" ht="15">
      <c r="A854" s="2" t="inlineStr"/>
      <c r="B854" s="2" t="inlineStr"/>
      <c r="C854" s="2" t="inlineStr"/>
      <c r="D854" s="2" t="inlineStr"/>
      <c r="E854" s="28" t="inlineStr">
        <is>
          <r>
            <t xml:space="preserve">VALOR:</t>
          </r>
        </is>
      </c>
      <c r="F854" s="28" t="inlineStr"/>
      <c r="G854" s="29" t="n">
        <f>ROUND(SUM(G843,G846,G849,G853),2)</f>
        <v>432.15</v>
      </c>
    </row>
    <row r="855" customHeight="1" ht="15">
      <c r="A855" s="2" t="inlineStr"/>
      <c r="B855" s="2" t="inlineStr"/>
      <c r="C855" s="2" t="inlineStr"/>
      <c r="D855" s="2" t="inlineStr"/>
      <c r="E855" s="28" t="inlineStr">
        <is>
          <r>
            <t xml:space="preserve">VALOR BDI:</t>
          </r>
        </is>
      </c>
      <c r="F855" s="28" t="inlineStr"/>
      <c r="G855" s="29" t="n">
        <f>ROUND(G854*(0/100),2)</f>
        <v>0.0</v>
      </c>
    </row>
    <row r="856" customHeight="1" ht="15">
      <c r="A856" s="2" t="inlineStr"/>
      <c r="B856" s="2" t="inlineStr"/>
      <c r="C856" s="2" t="inlineStr"/>
      <c r="D856" s="2" t="inlineStr"/>
      <c r="E856" s="28" t="inlineStr">
        <is>
          <r>
            <t xml:space="preserve">VALOR COM BDI:</t>
          </r>
        </is>
      </c>
      <c r="F856" s="28" t="inlineStr"/>
      <c r="G856" s="29" t="n">
        <f>G855+G854</f>
        <v>432.15</v>
      </c>
    </row>
    <row r="857" customHeight="1" ht="10">
      <c r="A857" s="2" t="inlineStr"/>
      <c r="B857" s="2" t="inlineStr"/>
      <c r="C857" s="2" t="inlineStr"/>
      <c r="D857" s="2" t="inlineStr"/>
      <c r="E857" s="18" t="inlineStr"/>
      <c r="F857" s="18" t="inlineStr"/>
      <c r="G857" s="18" t="inlineStr"/>
    </row>
    <row r="858" customHeight="1" ht="20">
      <c r="A858" s="19" t="inlineStr">
        <is>
          <r>
            <t xml:space="preserve">​C3270​ CONCRETO P/VIBR., FCK=15MPa COM AGREGADO PRODUZIDO (S/ TRANSP.)​ (M3)</t>
          </r>
        </is>
      </c>
      <c r="B858" s="19" t="inlineStr"/>
      <c r="C858" s="19" t="inlineStr"/>
      <c r="D858" s="19" t="inlineStr"/>
      <c r="E858" s="19" t="inlineStr"/>
      <c r="F858" s="19" t="inlineStr"/>
      <c r="G858" s="19" t="inlineStr"/>
    </row>
    <row r="859" customHeight="1" ht="15">
      <c r="A859" s="20" t="inlineStr">
        <is>
          <r>
            <t xml:space="preserve">Equipamento Custo Horário</t>
          </r>
        </is>
      </c>
      <c r="B859" s="20" t="inlineStr"/>
      <c r="C859" s="21" t="inlineStr">
        <is>
          <r>
            <t xml:space="preserve">FONTE</t>
          </r>
        </is>
      </c>
      <c r="D859" s="21" t="inlineStr">
        <is>
          <r>
            <t xml:space="preserve">UNID</t>
          </r>
        </is>
      </c>
      <c r="E859" s="21" t="inlineStr">
        <is>
          <r>
            <t xml:space="preserve">COEFICIENTE</t>
          </r>
        </is>
      </c>
      <c r="F859" s="21" t="inlineStr">
        <is>
          <r>
            <t xml:space="preserve">PREÇO UNITÁRIO</t>
          </r>
        </is>
      </c>
      <c r="G859" s="21" t="inlineStr">
        <is>
          <r>
            <t xml:space="preserve">TOTAL</t>
          </r>
        </is>
      </c>
    </row>
    <row r="860" customHeight="1" ht="15">
      <c r="A860" s="22" t="inlineStr">
        <is>
          <r>
            <t xml:space="preserve">I0566</t>
          </r>
        </is>
      </c>
      <c r="B860" s="23" t="inlineStr">
        <is>
          <r>
            <t xml:space="preserve">BETONEIRA COM MOTOR A DIESEL (CHI)</t>
          </r>
        </is>
      </c>
      <c r="C860" s="22" t="inlineStr">
        <is>
          <r>
            <t xml:space="preserve">SEINFRA</t>
          </r>
        </is>
      </c>
      <c r="D860" s="22" t="inlineStr">
        <is>
          <r>
            <t xml:space="preserve">H</t>
          </r>
        </is>
      </c>
      <c r="E860" s="24" t="n">
        <v>0.0</v>
      </c>
      <c r="F860" s="30" t="n">
        <v>22.81</v>
      </c>
      <c r="G860" s="30" t="n">
        <f>ROUND(ROUND(E860,8)*F860,4)</f>
        <v>0.0</v>
      </c>
    </row>
    <row r="861" customHeight="1" ht="15">
      <c r="A861" s="22" t="inlineStr">
        <is>
          <r>
            <t xml:space="preserve">I0680</t>
          </r>
        </is>
      </c>
      <c r="B861" s="23" t="inlineStr">
        <is>
          <r>
            <t xml:space="preserve">BETONEIRA COM MOTOR A DIESEL (CHP)</t>
          </r>
        </is>
      </c>
      <c r="C861" s="22" t="inlineStr">
        <is>
          <r>
            <t xml:space="preserve">SEINFRA</t>
          </r>
        </is>
      </c>
      <c r="D861" s="22" t="inlineStr">
        <is>
          <r>
            <t xml:space="preserve">H</t>
          </r>
        </is>
      </c>
      <c r="E861" s="24" t="n">
        <v>1.0</v>
      </c>
      <c r="F861" s="30" t="n">
        <v>29.0963</v>
      </c>
      <c r="G861" s="30" t="n">
        <f>ROUND(ROUND(E861,8)*F861,4)</f>
        <v>29.0963</v>
      </c>
    </row>
    <row r="862" customHeight="1" ht="18">
      <c r="A862" s="2" t="inlineStr"/>
      <c r="B862" s="2" t="inlineStr"/>
      <c r="C862" s="2" t="inlineStr"/>
      <c r="D862" s="2" t="inlineStr"/>
      <c r="E862" s="26" t="inlineStr">
        <is>
          <r>
            <t xml:space="preserve">TOTAL Equipamento Custo Horário:</t>
          </r>
        </is>
      </c>
      <c r="F862" s="26" t="inlineStr"/>
      <c r="G862" s="31" t="n">
        <f>SUM(G860:G861)</f>
        <v>29.0963</v>
      </c>
    </row>
    <row r="863" customHeight="1" ht="15">
      <c r="A863" s="20" t="inlineStr">
        <is>
          <r>
            <t xml:space="preserve">Material</t>
          </r>
        </is>
      </c>
      <c r="B863" s="20" t="inlineStr"/>
      <c r="C863" s="21" t="inlineStr">
        <is>
          <r>
            <t xml:space="preserve">FONTE</t>
          </r>
        </is>
      </c>
      <c r="D863" s="21" t="inlineStr">
        <is>
          <r>
            <t xml:space="preserve">UNID</t>
          </r>
        </is>
      </c>
      <c r="E863" s="21" t="inlineStr">
        <is>
          <r>
            <t xml:space="preserve">COEFICIENTE</t>
          </r>
        </is>
      </c>
      <c r="F863" s="21" t="inlineStr">
        <is>
          <r>
            <t xml:space="preserve">PREÇO UNITÁRIO</t>
          </r>
        </is>
      </c>
      <c r="G863" s="21" t="inlineStr">
        <is>
          <r>
            <t xml:space="preserve">TOTAL</t>
          </r>
        </is>
      </c>
    </row>
    <row r="864" customHeight="1" ht="15">
      <c r="A864" s="22" t="inlineStr">
        <is>
          <r>
            <t xml:space="preserve">I0805</t>
          </r>
        </is>
      </c>
      <c r="B864" s="23" t="inlineStr">
        <is>
          <r>
            <t xml:space="preserve">CIMENTO PORTLAND</t>
          </r>
        </is>
      </c>
      <c r="C864" s="22" t="inlineStr">
        <is>
          <r>
            <t xml:space="preserve">SEINFRA</t>
          </r>
        </is>
      </c>
      <c r="D864" s="22" t="inlineStr">
        <is>
          <r>
            <t xml:space="preserve">KG</t>
          </r>
        </is>
      </c>
      <c r="E864" s="24" t="n">
        <v>294.0</v>
      </c>
      <c r="F864" s="30" t="n">
        <v>0.71</v>
      </c>
      <c r="G864" s="30" t="n">
        <f>ROUND(ROUND(E864,8)*F864,4)</f>
        <v>208.74</v>
      </c>
    </row>
    <row r="865" customHeight="1" ht="15">
      <c r="A865" s="2" t="inlineStr"/>
      <c r="B865" s="2" t="inlineStr"/>
      <c r="C865" s="2" t="inlineStr"/>
      <c r="D865" s="2" t="inlineStr"/>
      <c r="E865" s="26" t="inlineStr">
        <is>
          <r>
            <t xml:space="preserve">TOTAL Material:</t>
          </r>
        </is>
      </c>
      <c r="F865" s="26" t="inlineStr"/>
      <c r="G865" s="31" t="n">
        <f>SUM(G864:G864)</f>
        <v>208.74</v>
      </c>
    </row>
    <row r="866" customHeight="1" ht="15">
      <c r="A866" s="20" t="inlineStr">
        <is>
          <r>
            <t xml:space="preserve">Mão de Obra</t>
          </r>
        </is>
      </c>
      <c r="B866" s="20" t="inlineStr"/>
      <c r="C866" s="21" t="inlineStr">
        <is>
          <r>
            <t xml:space="preserve">FONTE</t>
          </r>
        </is>
      </c>
      <c r="D866" s="21" t="inlineStr">
        <is>
          <r>
            <t xml:space="preserve">UNID</t>
          </r>
        </is>
      </c>
      <c r="E866" s="21" t="inlineStr">
        <is>
          <r>
            <t xml:space="preserve">COEFICIENTE</t>
          </r>
        </is>
      </c>
      <c r="F866" s="21" t="inlineStr">
        <is>
          <r>
            <t xml:space="preserve">PREÇO UNITÁRIO</t>
          </r>
        </is>
      </c>
      <c r="G866" s="21" t="inlineStr">
        <is>
          <r>
            <t xml:space="preserve">TOTAL</t>
          </r>
        </is>
      </c>
    </row>
    <row r="867" customHeight="1" ht="15">
      <c r="A867" s="22" t="inlineStr">
        <is>
          <r>
            <t xml:space="preserve">I2543</t>
          </r>
        </is>
      </c>
      <c r="B867" s="23" t="inlineStr">
        <is>
          <r>
            <t xml:space="preserve">SERVENTE</t>
          </r>
        </is>
      </c>
      <c r="C867" s="22" t="inlineStr">
        <is>
          <r>
            <t xml:space="preserve">SEINFRA</t>
          </r>
        </is>
      </c>
      <c r="D867" s="22" t="inlineStr">
        <is>
          <r>
            <t xml:space="preserve">H</t>
          </r>
        </is>
      </c>
      <c r="E867" s="24" t="n">
        <v>6.0</v>
      </c>
      <c r="F867" s="30" t="n">
        <v>18.46</v>
      </c>
      <c r="G867" s="30" t="n">
        <f>ROUND(ROUND(E867,8)*F867,4)</f>
        <v>110.76</v>
      </c>
    </row>
    <row r="868" customHeight="1" ht="15">
      <c r="A868" s="2" t="inlineStr"/>
      <c r="B868" s="2" t="inlineStr"/>
      <c r="C868" s="2" t="inlineStr"/>
      <c r="D868" s="2" t="inlineStr"/>
      <c r="E868" s="26" t="inlineStr">
        <is>
          <r>
            <t xml:space="preserve">TOTAL Mão de Obra:</t>
          </r>
        </is>
      </c>
      <c r="F868" s="26" t="inlineStr"/>
      <c r="G868" s="31" t="n">
        <f>SUM(G867:G867)</f>
        <v>110.76</v>
      </c>
    </row>
    <row r="869" customHeight="1" ht="15">
      <c r="A869" s="20" t="inlineStr">
        <is>
          <r>
            <t xml:space="preserve">Serviço</t>
          </r>
        </is>
      </c>
      <c r="B869" s="20" t="inlineStr"/>
      <c r="C869" s="21" t="inlineStr">
        <is>
          <r>
            <t xml:space="preserve">FONTE</t>
          </r>
        </is>
      </c>
      <c r="D869" s="21" t="inlineStr">
        <is>
          <r>
            <t xml:space="preserve">UNID</t>
          </r>
        </is>
      </c>
      <c r="E869" s="21" t="inlineStr">
        <is>
          <r>
            <t xml:space="preserve">COEFICIENTE</t>
          </r>
        </is>
      </c>
      <c r="F869" s="21" t="inlineStr">
        <is>
          <r>
            <t xml:space="preserve">PREÇO UNITÁRIO</t>
          </r>
        </is>
      </c>
      <c r="G869" s="21" t="inlineStr">
        <is>
          <r>
            <t xml:space="preserve">TOTAL</t>
          </r>
        </is>
      </c>
    </row>
    <row r="870" customHeight="1" ht="15">
      <c r="A870" s="22" t="inlineStr">
        <is>
          <r>
            <t xml:space="preserve">C3130</t>
          </r>
        </is>
      </c>
      <c r="B870" s="23" t="inlineStr">
        <is>
          <r>
            <t xml:space="preserve">AREIA DE RIO - EXTRAÇÃO</t>
          </r>
        </is>
      </c>
      <c r="C870" s="22" t="inlineStr">
        <is>
          <r>
            <t xml:space="preserve">SEINFRA</t>
          </r>
        </is>
      </c>
      <c r="D870" s="22" t="inlineStr">
        <is>
          <r>
            <t xml:space="preserve">M3</t>
          </r>
        </is>
      </c>
      <c r="E870" s="24" t="n">
        <v>0.887</v>
      </c>
      <c r="F870" s="30" t="n">
        <v>8.8</v>
      </c>
      <c r="G870" s="30" t="n">
        <f>ROUND(ROUND(E870,8)*F870,4)</f>
        <v>7.8056</v>
      </c>
    </row>
    <row r="871" customHeight="1" ht="15">
      <c r="A871" s="22" t="inlineStr">
        <is>
          <r>
            <t xml:space="preserve">C3253</t>
          </r>
        </is>
      </c>
      <c r="B871" s="23" t="inlineStr">
        <is>
          <r>
            <t xml:space="preserve">BRITA PRODUZIDA PARA USOS DIVERSOS</t>
          </r>
        </is>
      </c>
      <c r="C871" s="22" t="inlineStr">
        <is>
          <r>
            <t xml:space="preserve">SEINFRA</t>
          </r>
        </is>
      </c>
      <c r="D871" s="22" t="inlineStr">
        <is>
          <r>
            <t xml:space="preserve">M3</t>
          </r>
        </is>
      </c>
      <c r="E871" s="24" t="n">
        <v>0.836</v>
      </c>
      <c r="F871" s="30" t="n">
        <v>100.7</v>
      </c>
      <c r="G871" s="30" t="n">
        <f>ROUND(ROUND(E871,8)*F871,4)</f>
        <v>84.1852</v>
      </c>
    </row>
    <row r="872" customHeight="1" ht="15">
      <c r="A872" s="2" t="inlineStr"/>
      <c r="B872" s="2" t="inlineStr"/>
      <c r="C872" s="2" t="inlineStr"/>
      <c r="D872" s="2" t="inlineStr"/>
      <c r="E872" s="26" t="inlineStr">
        <is>
          <r>
            <t xml:space="preserve">TOTAL Serviço:</t>
          </r>
        </is>
      </c>
      <c r="F872" s="26" t="inlineStr"/>
      <c r="G872" s="31" t="n">
        <f>SUM(G870:G871)</f>
        <v>91.9908</v>
      </c>
    </row>
    <row r="873" customHeight="1" ht="15">
      <c r="A873" s="2" t="inlineStr"/>
      <c r="B873" s="2" t="inlineStr"/>
      <c r="C873" s="2" t="inlineStr"/>
      <c r="D873" s="2" t="inlineStr"/>
      <c r="E873" s="28" t="inlineStr">
        <is>
          <r>
            <t xml:space="preserve">VALOR:</t>
          </r>
        </is>
      </c>
      <c r="F873" s="28" t="inlineStr"/>
      <c r="G873" s="29" t="n">
        <f>ROUND(SUM(G862,G865,G868,G872),2)</f>
        <v>440.58</v>
      </c>
    </row>
    <row r="874" customHeight="1" ht="15">
      <c r="A874" s="2" t="inlineStr"/>
      <c r="B874" s="2" t="inlineStr"/>
      <c r="C874" s="2" t="inlineStr"/>
      <c r="D874" s="2" t="inlineStr"/>
      <c r="E874" s="28" t="inlineStr">
        <is>
          <r>
            <t xml:space="preserve">VALOR BDI:</t>
          </r>
        </is>
      </c>
      <c r="F874" s="28" t="inlineStr"/>
      <c r="G874" s="29" t="n">
        <f>ROUND(G873*(0/100),2)</f>
        <v>0.0</v>
      </c>
    </row>
    <row r="875" customHeight="1" ht="15">
      <c r="A875" s="2" t="inlineStr"/>
      <c r="B875" s="2" t="inlineStr"/>
      <c r="C875" s="2" t="inlineStr"/>
      <c r="D875" s="2" t="inlineStr"/>
      <c r="E875" s="28" t="inlineStr">
        <is>
          <r>
            <t xml:space="preserve">VALOR COM BDI:</t>
          </r>
        </is>
      </c>
      <c r="F875" s="28" t="inlineStr"/>
      <c r="G875" s="29" t="n">
        <f>G874+G873</f>
        <v>440.58</v>
      </c>
    </row>
    <row r="876" customHeight="1" ht="10">
      <c r="A876" s="2" t="inlineStr"/>
      <c r="B876" s="2" t="inlineStr"/>
      <c r="C876" s="2" t="inlineStr"/>
      <c r="D876" s="2" t="inlineStr"/>
      <c r="E876" s="18" t="inlineStr"/>
      <c r="F876" s="18" t="inlineStr"/>
      <c r="G876" s="18" t="inlineStr"/>
    </row>
    <row r="877" customHeight="1" ht="20">
      <c r="A877" s="19" t="inlineStr">
        <is>
          <r>
            <t xml:space="preserve">​C3251​ CONFECÇÃO DE BANQUETA / MEIO FIO PRÉ-MOLDADA DE CONCRETO PARA VIAS URBANAS (1,00 x 0,35 x 0,15m)​ (M)</t>
          </r>
        </is>
      </c>
      <c r="B877" s="19" t="inlineStr"/>
      <c r="C877" s="19" t="inlineStr"/>
      <c r="D877" s="19" t="inlineStr"/>
      <c r="E877" s="19" t="inlineStr"/>
      <c r="F877" s="19" t="inlineStr"/>
      <c r="G877" s="19" t="inlineStr"/>
    </row>
    <row r="878" customHeight="1" ht="15">
      <c r="A878" s="20" t="inlineStr">
        <is>
          <r>
            <t xml:space="preserve">Equipamento Custo Horário</t>
          </r>
        </is>
      </c>
      <c r="B878" s="20" t="inlineStr"/>
      <c r="C878" s="21" t="inlineStr">
        <is>
          <r>
            <t xml:space="preserve">FONTE</t>
          </r>
        </is>
      </c>
      <c r="D878" s="21" t="inlineStr">
        <is>
          <r>
            <t xml:space="preserve">UNID</t>
          </r>
        </is>
      </c>
      <c r="E878" s="21" t="inlineStr">
        <is>
          <r>
            <t xml:space="preserve">COEFICIENTE</t>
          </r>
        </is>
      </c>
      <c r="F878" s="21" t="inlineStr">
        <is>
          <r>
            <t xml:space="preserve">PREÇO UNITÁRIO</t>
          </r>
        </is>
      </c>
      <c r="G878" s="21" t="inlineStr">
        <is>
          <r>
            <t xml:space="preserve">TOTAL</t>
          </r>
        </is>
      </c>
    </row>
    <row r="879" customHeight="1" ht="15">
      <c r="A879" s="22" t="inlineStr">
        <is>
          <r>
            <t xml:space="preserve">I0639</t>
          </r>
        </is>
      </c>
      <c r="B879" s="23" t="inlineStr">
        <is>
          <r>
            <t xml:space="preserve">MESA VIBRATÓRIA E FORMAS (CHI)</t>
          </r>
        </is>
      </c>
      <c r="C879" s="22" t="inlineStr">
        <is>
          <r>
            <t xml:space="preserve">SEINFRA</t>
          </r>
        </is>
      </c>
      <c r="D879" s="22" t="inlineStr">
        <is>
          <r>
            <t xml:space="preserve">H</t>
          </r>
        </is>
      </c>
      <c r="E879" s="24" t="n">
        <v>0.0</v>
      </c>
      <c r="F879" s="30" t="n">
        <v>23.2215</v>
      </c>
      <c r="G879" s="30" t="n">
        <f>ROUND(ROUND(E879,8)*F879,4)</f>
        <v>0.0</v>
      </c>
    </row>
    <row r="880" customHeight="1" ht="15">
      <c r="A880" s="22" t="inlineStr">
        <is>
          <r>
            <t xml:space="preserve">I0753</t>
          </r>
        </is>
      </c>
      <c r="B880" s="23" t="inlineStr">
        <is>
          <r>
            <t xml:space="preserve">MESA VIBRATÓRIA E FORMAS (CHP)</t>
          </r>
        </is>
      </c>
      <c r="C880" s="22" t="inlineStr">
        <is>
          <r>
            <t xml:space="preserve">SEINFRA</t>
          </r>
        </is>
      </c>
      <c r="D880" s="22" t="inlineStr">
        <is>
          <r>
            <t xml:space="preserve">H</t>
          </r>
        </is>
      </c>
      <c r="E880" s="24" t="n">
        <v>0.1</v>
      </c>
      <c r="F880" s="30" t="n">
        <v>25.1571</v>
      </c>
      <c r="G880" s="30" t="n">
        <f>ROUND(ROUND(E880,8)*F880,4)</f>
        <v>2.5157</v>
      </c>
    </row>
    <row r="881" customHeight="1" ht="18">
      <c r="A881" s="2" t="inlineStr"/>
      <c r="B881" s="2" t="inlineStr"/>
      <c r="C881" s="2" t="inlineStr"/>
      <c r="D881" s="2" t="inlineStr"/>
      <c r="E881" s="26" t="inlineStr">
        <is>
          <r>
            <t xml:space="preserve">TOTAL Equipamento Custo Horário:</t>
          </r>
        </is>
      </c>
      <c r="F881" s="26" t="inlineStr"/>
      <c r="G881" s="31" t="n">
        <f>SUM(G879:G880)</f>
        <v>2.5157</v>
      </c>
    </row>
    <row r="882" customHeight="1" ht="15">
      <c r="A882" s="20" t="inlineStr">
        <is>
          <r>
            <t xml:space="preserve">Mão de Obra</t>
          </r>
        </is>
      </c>
      <c r="B882" s="20" t="inlineStr"/>
      <c r="C882" s="21" t="inlineStr">
        <is>
          <r>
            <t xml:space="preserve">FONTE</t>
          </r>
        </is>
      </c>
      <c r="D882" s="21" t="inlineStr">
        <is>
          <r>
            <t xml:space="preserve">UNID</t>
          </r>
        </is>
      </c>
      <c r="E882" s="21" t="inlineStr">
        <is>
          <r>
            <t xml:space="preserve">COEFICIENTE</t>
          </r>
        </is>
      </c>
      <c r="F882" s="21" t="inlineStr">
        <is>
          <r>
            <t xml:space="preserve">PREÇO UNITÁRIO</t>
          </r>
        </is>
      </c>
      <c r="G882" s="21" t="inlineStr">
        <is>
          <r>
            <t xml:space="preserve">TOTAL</t>
          </r>
        </is>
      </c>
    </row>
    <row r="883" customHeight="1" ht="15">
      <c r="A883" s="22" t="inlineStr">
        <is>
          <r>
            <t xml:space="preserve">I2391</t>
          </r>
        </is>
      </c>
      <c r="B883" s="23" t="inlineStr">
        <is>
          <r>
            <t xml:space="preserve">PEDREIRO</t>
          </r>
        </is>
      </c>
      <c r="C883" s="22" t="inlineStr">
        <is>
          <r>
            <t xml:space="preserve">SEINFRA</t>
          </r>
        </is>
      </c>
      <c r="D883" s="22" t="inlineStr">
        <is>
          <r>
            <t xml:space="preserve">H</t>
          </r>
        </is>
      </c>
      <c r="E883" s="24" t="n">
        <v>0.1</v>
      </c>
      <c r="F883" s="30" t="n">
        <v>24.16</v>
      </c>
      <c r="G883" s="30" t="n">
        <f>ROUND(ROUND(E883,8)*F883,4)</f>
        <v>2.416</v>
      </c>
    </row>
    <row r="884" customHeight="1" ht="15">
      <c r="A884" s="22" t="inlineStr">
        <is>
          <r>
            <t xml:space="preserve">I2543</t>
          </r>
        </is>
      </c>
      <c r="B884" s="23" t="inlineStr">
        <is>
          <r>
            <t xml:space="preserve">SERVENTE</t>
          </r>
        </is>
      </c>
      <c r="C884" s="22" t="inlineStr">
        <is>
          <r>
            <t xml:space="preserve">SEINFRA</t>
          </r>
        </is>
      </c>
      <c r="D884" s="22" t="inlineStr">
        <is>
          <r>
            <t xml:space="preserve">H</t>
          </r>
        </is>
      </c>
      <c r="E884" s="24" t="n">
        <v>1.0</v>
      </c>
      <c r="F884" s="30" t="n">
        <v>18.46</v>
      </c>
      <c r="G884" s="30" t="n">
        <f>ROUND(ROUND(E884,8)*F884,4)</f>
        <v>18.46</v>
      </c>
    </row>
    <row r="885" customHeight="1" ht="15">
      <c r="A885" s="2" t="inlineStr"/>
      <c r="B885" s="2" t="inlineStr"/>
      <c r="C885" s="2" t="inlineStr"/>
      <c r="D885" s="2" t="inlineStr"/>
      <c r="E885" s="26" t="inlineStr">
        <is>
          <r>
            <t xml:space="preserve">TOTAL Mão de Obra:</t>
          </r>
        </is>
      </c>
      <c r="F885" s="26" t="inlineStr"/>
      <c r="G885" s="31" t="n">
        <f>SUM(G883:G884)</f>
        <v>20.876</v>
      </c>
    </row>
    <row r="886" customHeight="1" ht="15">
      <c r="A886" s="20" t="inlineStr">
        <is>
          <r>
            <t xml:space="preserve">Serviço</t>
          </r>
        </is>
      </c>
      <c r="B886" s="20" t="inlineStr"/>
      <c r="C886" s="21" t="inlineStr">
        <is>
          <r>
            <t xml:space="preserve">FONTE</t>
          </r>
        </is>
      </c>
      <c r="D886" s="21" t="inlineStr">
        <is>
          <r>
            <t xml:space="preserve">UNID</t>
          </r>
        </is>
      </c>
      <c r="E886" s="21" t="inlineStr">
        <is>
          <r>
            <t xml:space="preserve">COEFICIENTE</t>
          </r>
        </is>
      </c>
      <c r="F886" s="21" t="inlineStr">
        <is>
          <r>
            <t xml:space="preserve">PREÇO UNITÁRIO</t>
          </r>
        </is>
      </c>
      <c r="G886" s="21" t="inlineStr">
        <is>
          <r>
            <t xml:space="preserve">TOTAL</t>
          </r>
        </is>
      </c>
    </row>
    <row r="887" customHeight="1" ht="21">
      <c r="A887" s="22" t="inlineStr">
        <is>
          <r>
            <t xml:space="preserve">C3269</t>
          </r>
        </is>
      </c>
      <c r="B887" s="23" t="inlineStr">
        <is>
          <r>
            <t xml:space="preserve">CONCRETO P/VIBR., FCK=13,5MPa COM AGREGADO PRODUZIDO (S/TRANSP.)</t>
          </r>
        </is>
      </c>
      <c r="C887" s="22" t="inlineStr">
        <is>
          <r>
            <t xml:space="preserve">SEINFRA</t>
          </r>
        </is>
      </c>
      <c r="D887" s="22" t="inlineStr">
        <is>
          <r>
            <t xml:space="preserve">M3</t>
          </r>
        </is>
      </c>
      <c r="E887" s="24" t="n">
        <v>0.0475</v>
      </c>
      <c r="F887" s="30" t="n">
        <v>432.15</v>
      </c>
      <c r="G887" s="30" t="n">
        <f>ROUND(ROUND(E887,8)*F887,4)</f>
        <v>20.5271</v>
      </c>
    </row>
    <row r="888" customHeight="1" ht="15">
      <c r="A888" s="2" t="inlineStr"/>
      <c r="B888" s="2" t="inlineStr"/>
      <c r="C888" s="2" t="inlineStr"/>
      <c r="D888" s="2" t="inlineStr"/>
      <c r="E888" s="26" t="inlineStr">
        <is>
          <r>
            <t xml:space="preserve">TOTAL Serviço:</t>
          </r>
        </is>
      </c>
      <c r="F888" s="26" t="inlineStr"/>
      <c r="G888" s="31" t="n">
        <f>SUM(G887:G887)</f>
        <v>20.5271</v>
      </c>
    </row>
    <row r="889" customHeight="1" ht="15">
      <c r="A889" s="2" t="inlineStr"/>
      <c r="B889" s="2" t="inlineStr"/>
      <c r="C889" s="2" t="inlineStr"/>
      <c r="D889" s="2" t="inlineStr"/>
      <c r="E889" s="28" t="inlineStr">
        <is>
          <r>
            <t xml:space="preserve">VALOR:</t>
          </r>
        </is>
      </c>
      <c r="F889" s="28" t="inlineStr"/>
      <c r="G889" s="29" t="n">
        <f>ROUND(SUM(G881,G885,G888),2)</f>
        <v>43.92</v>
      </c>
    </row>
    <row r="890" customHeight="1" ht="15">
      <c r="A890" s="2" t="inlineStr"/>
      <c r="B890" s="2" t="inlineStr"/>
      <c r="C890" s="2" t="inlineStr"/>
      <c r="D890" s="2" t="inlineStr"/>
      <c r="E890" s="28" t="inlineStr">
        <is>
          <r>
            <t xml:space="preserve">VALOR BDI:</t>
          </r>
        </is>
      </c>
      <c r="F890" s="28" t="inlineStr"/>
      <c r="G890" s="29" t="n">
        <f>ROUND(G889*(0/100),2)</f>
        <v>0.0</v>
      </c>
    </row>
    <row r="891" customHeight="1" ht="15">
      <c r="A891" s="2" t="inlineStr"/>
      <c r="B891" s="2" t="inlineStr"/>
      <c r="C891" s="2" t="inlineStr"/>
      <c r="D891" s="2" t="inlineStr"/>
      <c r="E891" s="28" t="inlineStr">
        <is>
          <r>
            <t xml:space="preserve">VALOR COM BDI:</t>
          </r>
        </is>
      </c>
      <c r="F891" s="28" t="inlineStr"/>
      <c r="G891" s="29" t="n">
        <f>G890+G889</f>
        <v>43.92</v>
      </c>
    </row>
    <row r="892" customHeight="1" ht="10">
      <c r="A892" s="2" t="inlineStr"/>
      <c r="B892" s="2" t="inlineStr"/>
      <c r="C892" s="2" t="inlineStr"/>
      <c r="D892" s="2" t="inlineStr"/>
      <c r="E892" s="18" t="inlineStr"/>
      <c r="F892" s="18" t="inlineStr"/>
      <c r="G892" s="18" t="inlineStr"/>
    </row>
    <row r="893" customHeight="1" ht="20">
      <c r="A893" s="19" t="inlineStr">
        <is>
          <r>
            <t xml:space="preserve">​C1404​ CONFECÇÃO DE FORMA P/ PEÇAS PRÉ-MOLDADAS DE CONCRETO PROTENDIDO, REVESTIDAS C/CHAPA METÁLICA.UTIL(10 A 15X)​ (M2)</t>
          </r>
        </is>
      </c>
      <c r="B893" s="19" t="inlineStr"/>
      <c r="C893" s="19" t="inlineStr"/>
      <c r="D893" s="19" t="inlineStr"/>
      <c r="E893" s="19" t="inlineStr"/>
      <c r="F893" s="19" t="inlineStr"/>
      <c r="G893" s="19" t="inlineStr"/>
    </row>
    <row r="894" customHeight="1" ht="15">
      <c r="A894" s="20" t="inlineStr">
        <is>
          <r>
            <t xml:space="preserve">Material</t>
          </r>
        </is>
      </c>
      <c r="B894" s="20" t="inlineStr"/>
      <c r="C894" s="21" t="inlineStr">
        <is>
          <r>
            <t xml:space="preserve">FONTE</t>
          </r>
        </is>
      </c>
      <c r="D894" s="21" t="inlineStr">
        <is>
          <r>
            <t xml:space="preserve">UNID</t>
          </r>
        </is>
      </c>
      <c r="E894" s="21" t="inlineStr">
        <is>
          <r>
            <t xml:space="preserve">COEFICIENTE</t>
          </r>
        </is>
      </c>
      <c r="F894" s="21" t="inlineStr">
        <is>
          <r>
            <t xml:space="preserve">PREÇO UNITÁRIO</t>
          </r>
        </is>
      </c>
      <c r="G894" s="21" t="inlineStr">
        <is>
          <r>
            <t xml:space="preserve">TOTAL</t>
          </r>
        </is>
      </c>
    </row>
    <row r="895" customHeight="1" ht="15">
      <c r="A895" s="22" t="inlineStr">
        <is>
          <r>
            <t xml:space="preserve">I0537</t>
          </r>
        </is>
      </c>
      <c r="B895" s="23" t="inlineStr">
        <is>
          <r>
            <t xml:space="preserve">CHAPA DE AÇO GALVANIZADA ESP. 0.3MM</t>
          </r>
        </is>
      </c>
      <c r="C895" s="22" t="inlineStr">
        <is>
          <r>
            <t xml:space="preserve">SEINFRA</t>
          </r>
        </is>
      </c>
      <c r="D895" s="22" t="inlineStr">
        <is>
          <r>
            <t xml:space="preserve">M2</t>
          </r>
        </is>
      </c>
      <c r="E895" s="24" t="n">
        <v>1.08</v>
      </c>
      <c r="F895" s="30" t="n">
        <v>39.03</v>
      </c>
      <c r="G895" s="30" t="n">
        <f>ROUND(ROUND(E895,8)*F895,4)</f>
        <v>42.1524</v>
      </c>
    </row>
    <row r="896" customHeight="1" ht="15">
      <c r="A896" s="22" t="inlineStr">
        <is>
          <r>
            <t xml:space="preserve">I1496</t>
          </r>
        </is>
      </c>
      <c r="B896" s="23" t="inlineStr">
        <is>
          <r>
            <t xml:space="preserve">MADEIRA (PINHO) DE 1A.</t>
          </r>
        </is>
      </c>
      <c r="C896" s="22" t="inlineStr">
        <is>
          <r>
            <t xml:space="preserve">SEINFRA</t>
          </r>
        </is>
      </c>
      <c r="D896" s="22" t="inlineStr">
        <is>
          <r>
            <t xml:space="preserve">M3</t>
          </r>
        </is>
      </c>
      <c r="E896" s="24" t="n">
        <v>0.13</v>
      </c>
      <c r="F896" s="30" t="n">
        <v>2488.15</v>
      </c>
      <c r="G896" s="30" t="n">
        <f>ROUND(ROUND(E896,8)*F896,4)</f>
        <v>323.4595</v>
      </c>
    </row>
    <row r="897" customHeight="1" ht="15">
      <c r="A897" s="2" t="inlineStr"/>
      <c r="B897" s="2" t="inlineStr"/>
      <c r="C897" s="2" t="inlineStr"/>
      <c r="D897" s="2" t="inlineStr"/>
      <c r="E897" s="26" t="inlineStr">
        <is>
          <r>
            <t xml:space="preserve">TOTAL Material:</t>
          </r>
        </is>
      </c>
      <c r="F897" s="26" t="inlineStr"/>
      <c r="G897" s="31" t="n">
        <f>SUM(G895:G896)</f>
        <v>365.6119</v>
      </c>
    </row>
    <row r="898" customHeight="1" ht="15">
      <c r="A898" s="20" t="inlineStr">
        <is>
          <r>
            <t xml:space="preserve">Mão de Obra</t>
          </r>
        </is>
      </c>
      <c r="B898" s="20" t="inlineStr"/>
      <c r="C898" s="21" t="inlineStr">
        <is>
          <r>
            <t xml:space="preserve">FONTE</t>
          </r>
        </is>
      </c>
      <c r="D898" s="21" t="inlineStr">
        <is>
          <r>
            <t xml:space="preserve">UNID</t>
          </r>
        </is>
      </c>
      <c r="E898" s="21" t="inlineStr">
        <is>
          <r>
            <t xml:space="preserve">COEFICIENTE</t>
          </r>
        </is>
      </c>
      <c r="F898" s="21" t="inlineStr">
        <is>
          <r>
            <t xml:space="preserve">PREÇO UNITÁRIO</t>
          </r>
        </is>
      </c>
      <c r="G898" s="21" t="inlineStr">
        <is>
          <r>
            <t xml:space="preserve">TOTAL</t>
          </r>
        </is>
      </c>
    </row>
    <row r="899" customHeight="1" ht="15">
      <c r="A899" s="22" t="inlineStr">
        <is>
          <r>
            <t xml:space="preserve">I0041</t>
          </r>
        </is>
      </c>
      <c r="B899" s="23" t="inlineStr">
        <is>
          <r>
            <t xml:space="preserve">AJUDANTE DE CARPINTEIRO</t>
          </r>
        </is>
      </c>
      <c r="C899" s="22" t="inlineStr">
        <is>
          <r>
            <t xml:space="preserve">SEINFRA</t>
          </r>
        </is>
      </c>
      <c r="D899" s="22" t="inlineStr">
        <is>
          <r>
            <t xml:space="preserve">H</t>
          </r>
        </is>
      </c>
      <c r="E899" s="24" t="n">
        <v>6.0</v>
      </c>
      <c r="F899" s="30" t="n">
        <v>19.1</v>
      </c>
      <c r="G899" s="30" t="n">
        <f>ROUND(ROUND(E899,8)*F899,4)</f>
        <v>114.6</v>
      </c>
    </row>
    <row r="900" customHeight="1" ht="15">
      <c r="A900" s="22" t="inlineStr">
        <is>
          <r>
            <t xml:space="preserve">I0498</t>
          </r>
        </is>
      </c>
      <c r="B900" s="23" t="inlineStr">
        <is>
          <r>
            <t xml:space="preserve">CARPINTEIRO</t>
          </r>
        </is>
      </c>
      <c r="C900" s="22" t="inlineStr">
        <is>
          <r>
            <t xml:space="preserve">SEINFRA</t>
          </r>
        </is>
      </c>
      <c r="D900" s="22" t="inlineStr">
        <is>
          <r>
            <t xml:space="preserve">H</t>
          </r>
        </is>
      </c>
      <c r="E900" s="24" t="n">
        <v>8.0</v>
      </c>
      <c r="F900" s="30" t="n">
        <v>24.16</v>
      </c>
      <c r="G900" s="30" t="n">
        <f>ROUND(ROUND(E900,8)*F900,4)</f>
        <v>193.28</v>
      </c>
    </row>
    <row r="901" customHeight="1" ht="15">
      <c r="A901" s="2" t="inlineStr"/>
      <c r="B901" s="2" t="inlineStr"/>
      <c r="C901" s="2" t="inlineStr"/>
      <c r="D901" s="2" t="inlineStr"/>
      <c r="E901" s="26" t="inlineStr">
        <is>
          <r>
            <t xml:space="preserve">TOTAL Mão de Obra:</t>
          </r>
        </is>
      </c>
      <c r="F901" s="26" t="inlineStr"/>
      <c r="G901" s="31" t="n">
        <f>SUM(G899:G900)</f>
        <v>307.88</v>
      </c>
    </row>
    <row r="902" customHeight="1" ht="15">
      <c r="A902" s="2" t="inlineStr"/>
      <c r="B902" s="2" t="inlineStr"/>
      <c r="C902" s="2" t="inlineStr"/>
      <c r="D902" s="2" t="inlineStr"/>
      <c r="E902" s="28" t="inlineStr">
        <is>
          <r>
            <t xml:space="preserve">VALOR:</t>
          </r>
        </is>
      </c>
      <c r="F902" s="28" t="inlineStr"/>
      <c r="G902" s="29" t="n">
        <f>ROUND(SUM(G897,G901),2)</f>
        <v>673.49</v>
      </c>
    </row>
    <row r="903" customHeight="1" ht="15">
      <c r="A903" s="2" t="inlineStr"/>
      <c r="B903" s="2" t="inlineStr"/>
      <c r="C903" s="2" t="inlineStr"/>
      <c r="D903" s="2" t="inlineStr"/>
      <c r="E903" s="28" t="inlineStr">
        <is>
          <r>
            <t xml:space="preserve">VALOR BDI:</t>
          </r>
        </is>
      </c>
      <c r="F903" s="28" t="inlineStr"/>
      <c r="G903" s="29" t="n">
        <f>ROUND(G902*(0/100),2)</f>
        <v>0.0</v>
      </c>
    </row>
    <row r="904" customHeight="1" ht="15">
      <c r="A904" s="2" t="inlineStr"/>
      <c r="B904" s="2" t="inlineStr"/>
      <c r="C904" s="2" t="inlineStr"/>
      <c r="D904" s="2" t="inlineStr"/>
      <c r="E904" s="28" t="inlineStr">
        <is>
          <r>
            <t xml:space="preserve">VALOR COM BDI:</t>
          </r>
        </is>
      </c>
      <c r="F904" s="28" t="inlineStr"/>
      <c r="G904" s="29" t="n">
        <f>G903+G902</f>
        <v>673.49</v>
      </c>
    </row>
    <row r="905" customHeight="1" ht="10">
      <c r="A905" s="2" t="inlineStr"/>
      <c r="B905" s="2" t="inlineStr"/>
      <c r="C905" s="2" t="inlineStr"/>
      <c r="D905" s="2" t="inlineStr"/>
      <c r="E905" s="18" t="inlineStr"/>
      <c r="F905" s="18" t="inlineStr"/>
      <c r="G905" s="18" t="inlineStr"/>
    </row>
    <row r="906" customHeight="1" ht="20">
      <c r="A906" s="19" t="inlineStr">
        <is>
          <r>
            <t xml:space="preserve">​I0618​ CONJUNTO DE BRITAGEM 30 M3/H (CHI)​ (H)</t>
          </r>
        </is>
      </c>
      <c r="B906" s="19" t="inlineStr"/>
      <c r="C906" s="19" t="inlineStr"/>
      <c r="D906" s="19" t="inlineStr"/>
      <c r="E906" s="19" t="inlineStr"/>
      <c r="F906" s="19" t="inlineStr"/>
      <c r="G906" s="19" t="inlineStr"/>
    </row>
    <row r="907" customHeight="1" ht="15">
      <c r="A907" s="20" t="inlineStr">
        <is>
          <r>
            <t xml:space="preserve">Geral</t>
          </r>
        </is>
      </c>
      <c r="B907" s="20" t="inlineStr"/>
      <c r="C907" s="21" t="inlineStr">
        <is>
          <r>
            <t xml:space="preserve">FONTE</t>
          </r>
        </is>
      </c>
      <c r="D907" s="21" t="inlineStr">
        <is>
          <r>
            <t xml:space="preserve">UNID</t>
          </r>
        </is>
      </c>
      <c r="E907" s="21" t="inlineStr">
        <is>
          <r>
            <t xml:space="preserve">COEFICIENTE</t>
          </r>
        </is>
      </c>
      <c r="F907" s="21" t="inlineStr">
        <is>
          <r>
            <t xml:space="preserve">PREÇO UNITÁRIO</t>
          </r>
        </is>
      </c>
      <c r="G907" s="21" t="inlineStr">
        <is>
          <r>
            <t xml:space="preserve">TOTAL</t>
          </r>
        </is>
      </c>
    </row>
    <row r="908" customHeight="1" ht="21">
      <c r="A908" s="22" t="inlineStr">
        <is>
          <r>
            <t xml:space="preserve">I2781</t>
          </r>
        </is>
      </c>
      <c r="B908" s="23" t="inlineStr">
        <is>
          <r>
            <t xml:space="preserve">MÃO DE OBRA DE OPERAÇÃO DO CONJUNTO DE BRITAGEM 30 M3/H</t>
          </r>
        </is>
      </c>
      <c r="C908" s="22" t="inlineStr">
        <is>
          <r>
            <t xml:space="preserve">SEINFRA</t>
          </r>
        </is>
      </c>
      <c r="D908" s="22" t="inlineStr">
        <is>
          <r>
            <t xml:space="preserve">H</t>
          </r>
        </is>
      </c>
      <c r="E908" s="24" t="n">
        <v>1.0</v>
      </c>
      <c r="F908" s="30" t="n">
        <v>28.81</v>
      </c>
      <c r="G908" s="30" t="n">
        <f>ROUND(ROUND(E908,8)*F908,4)</f>
        <v>28.81</v>
      </c>
    </row>
    <row r="909" customHeight="1" ht="15">
      <c r="A909" s="22" t="inlineStr">
        <is>
          <r>
            <t xml:space="preserve">I2701</t>
          </r>
        </is>
      </c>
      <c r="B909" s="23" t="inlineStr">
        <is>
          <r>
            <t xml:space="preserve">DEPRECIAÇÃO</t>
          </r>
        </is>
      </c>
      <c r="C909" s="22" t="inlineStr">
        <is>
          <r>
            <t xml:space="preserve">SEINFRA</t>
          </r>
        </is>
      </c>
      <c r="D909" s="22" t="inlineStr">
        <is>
          <r>
            <t xml:space="preserve">H</t>
          </r>
        </is>
      </c>
      <c r="E909" s="24" t="n">
        <v>211.3579</v>
      </c>
      <c r="F909" s="30" t="n">
        <v>1.0</v>
      </c>
      <c r="G909" s="30" t="n">
        <f>ROUND(ROUND(E909,8)*F909,4)</f>
        <v>211.3579</v>
      </c>
    </row>
    <row r="910" customHeight="1" ht="15">
      <c r="A910" s="22" t="inlineStr">
        <is>
          <r>
            <t xml:space="preserve">I2702</t>
          </r>
        </is>
      </c>
      <c r="B910" s="23" t="inlineStr">
        <is>
          <r>
            <t xml:space="preserve">JUROS</t>
          </r>
        </is>
      </c>
      <c r="C910" s="22" t="inlineStr">
        <is>
          <r>
            <t xml:space="preserve">SEINFRA</t>
          </r>
        </is>
      </c>
      <c r="D910" s="22" t="inlineStr">
        <is>
          <r>
            <t xml:space="preserve">H</t>
          </r>
        </is>
      </c>
      <c r="E910" s="24" t="n">
        <v>70.4526</v>
      </c>
      <c r="F910" s="30" t="n">
        <v>1.0</v>
      </c>
      <c r="G910" s="30" t="n">
        <f>ROUND(ROUND(E910,8)*F910,4)</f>
        <v>70.4526</v>
      </c>
    </row>
    <row r="911" customHeight="1" ht="15">
      <c r="A911" s="2" t="inlineStr"/>
      <c r="B911" s="2" t="inlineStr"/>
      <c r="C911" s="2" t="inlineStr"/>
      <c r="D911" s="2" t="inlineStr"/>
      <c r="E911" s="26" t="inlineStr">
        <is>
          <r>
            <t xml:space="preserve">TOTAL Geral:</t>
          </r>
        </is>
      </c>
      <c r="F911" s="26" t="inlineStr"/>
      <c r="G911" s="31" t="n">
        <f>SUM(G908:G910)</f>
        <v>310.6205</v>
      </c>
    </row>
    <row r="912" customHeight="1" ht="15">
      <c r="A912" s="2" t="inlineStr"/>
      <c r="B912" s="2" t="inlineStr"/>
      <c r="C912" s="2" t="inlineStr"/>
      <c r="D912" s="2" t="inlineStr"/>
      <c r="E912" s="28" t="inlineStr">
        <is>
          <r>
            <t xml:space="preserve">VALOR:</t>
          </r>
        </is>
      </c>
      <c r="F912" s="28" t="inlineStr"/>
      <c r="G912" s="29" t="n">
        <f>ROUND(SUM(G911),2)</f>
        <v>310.62</v>
      </c>
    </row>
    <row r="913" customHeight="1" ht="15">
      <c r="A913" s="2" t="inlineStr"/>
      <c r="B913" s="2" t="inlineStr"/>
      <c r="C913" s="2" t="inlineStr"/>
      <c r="D913" s="2" t="inlineStr"/>
      <c r="E913" s="28" t="inlineStr">
        <is>
          <r>
            <t xml:space="preserve">VALOR BDI:</t>
          </r>
        </is>
      </c>
      <c r="F913" s="28" t="inlineStr"/>
      <c r="G913" s="29" t="n">
        <f>ROUND(G912*(0/100),2)</f>
        <v>0.0</v>
      </c>
    </row>
    <row r="914" customHeight="1" ht="15">
      <c r="A914" s="2" t="inlineStr"/>
      <c r="B914" s="2" t="inlineStr"/>
      <c r="C914" s="2" t="inlineStr"/>
      <c r="D914" s="2" t="inlineStr"/>
      <c r="E914" s="28" t="inlineStr">
        <is>
          <r>
            <t xml:space="preserve">VALOR COM BDI:</t>
          </r>
        </is>
      </c>
      <c r="F914" s="28" t="inlineStr"/>
      <c r="G914" s="29" t="n">
        <f>G913+G912</f>
        <v>310.62</v>
      </c>
    </row>
    <row r="915" customHeight="1" ht="10">
      <c r="A915" s="2" t="inlineStr"/>
      <c r="B915" s="2" t="inlineStr"/>
      <c r="C915" s="2" t="inlineStr"/>
      <c r="D915" s="2" t="inlineStr"/>
      <c r="E915" s="18" t="inlineStr"/>
      <c r="F915" s="18" t="inlineStr"/>
      <c r="G915" s="18" t="inlineStr"/>
    </row>
    <row r="916" customHeight="1" ht="20">
      <c r="A916" s="19" t="inlineStr">
        <is>
          <r>
            <t xml:space="preserve">​I0732​ CONJUNTO DE BRITAGEM 30 M3/H (CHP)​ (H)</t>
          </r>
        </is>
      </c>
      <c r="B916" s="19" t="inlineStr"/>
      <c r="C916" s="19" t="inlineStr"/>
      <c r="D916" s="19" t="inlineStr"/>
      <c r="E916" s="19" t="inlineStr"/>
      <c r="F916" s="19" t="inlineStr"/>
      <c r="G916" s="19" t="inlineStr"/>
    </row>
    <row r="917" customHeight="1" ht="15">
      <c r="A917" s="20" t="inlineStr">
        <is>
          <r>
            <t xml:space="preserve">Geral</t>
          </r>
        </is>
      </c>
      <c r="B917" s="20" t="inlineStr"/>
      <c r="C917" s="21" t="inlineStr">
        <is>
          <r>
            <t xml:space="preserve">FONTE</t>
          </r>
        </is>
      </c>
      <c r="D917" s="21" t="inlineStr">
        <is>
          <r>
            <t xml:space="preserve">UNID</t>
          </r>
        </is>
      </c>
      <c r="E917" s="21" t="inlineStr">
        <is>
          <r>
            <t xml:space="preserve">COEFICIENTE</t>
          </r>
        </is>
      </c>
      <c r="F917" s="21" t="inlineStr">
        <is>
          <r>
            <t xml:space="preserve">PREÇO UNITÁRIO</t>
          </r>
        </is>
      </c>
      <c r="G917" s="21" t="inlineStr">
        <is>
          <r>
            <t xml:space="preserve">TOTAL</t>
          </r>
        </is>
      </c>
    </row>
    <row r="918" customHeight="1" ht="21">
      <c r="A918" s="22" t="inlineStr">
        <is>
          <r>
            <t xml:space="preserve">I2781</t>
          </r>
        </is>
      </c>
      <c r="B918" s="23" t="inlineStr">
        <is>
          <r>
            <t xml:space="preserve">MÃO DE OBRA DE OPERAÇÃO DO CONJUNTO DE BRITAGEM 30 M3/H</t>
          </r>
        </is>
      </c>
      <c r="C918" s="22" t="inlineStr">
        <is>
          <r>
            <t xml:space="preserve">SEINFRA</t>
          </r>
        </is>
      </c>
      <c r="D918" s="22" t="inlineStr">
        <is>
          <r>
            <t xml:space="preserve">H</t>
          </r>
        </is>
      </c>
      <c r="E918" s="24" t="n">
        <v>1.0</v>
      </c>
      <c r="F918" s="30" t="n">
        <v>28.81</v>
      </c>
      <c r="G918" s="30" t="n">
        <f>ROUND(ROUND(E918,8)*F918,4)</f>
        <v>28.81</v>
      </c>
    </row>
    <row r="919" customHeight="1" ht="15">
      <c r="A919" s="22" t="inlineStr">
        <is>
          <r>
            <t xml:space="preserve">I2701</t>
          </r>
        </is>
      </c>
      <c r="B919" s="23" t="inlineStr">
        <is>
          <r>
            <t xml:space="preserve">DEPRECIAÇÃO</t>
          </r>
        </is>
      </c>
      <c r="C919" s="22" t="inlineStr">
        <is>
          <r>
            <t xml:space="preserve">SEINFRA</t>
          </r>
        </is>
      </c>
      <c r="D919" s="22" t="inlineStr">
        <is>
          <r>
            <t xml:space="preserve">H</t>
          </r>
        </is>
      </c>
      <c r="E919" s="24" t="n">
        <v>211.3579</v>
      </c>
      <c r="F919" s="30" t="n">
        <v>1.0</v>
      </c>
      <c r="G919" s="30" t="n">
        <f>ROUND(ROUND(E919,8)*F919,4)</f>
        <v>211.3579</v>
      </c>
    </row>
    <row r="920" customHeight="1" ht="15">
      <c r="A920" s="22" t="inlineStr">
        <is>
          <r>
            <t xml:space="preserve">I2702</t>
          </r>
        </is>
      </c>
      <c r="B920" s="23" t="inlineStr">
        <is>
          <r>
            <t xml:space="preserve">JUROS</t>
          </r>
        </is>
      </c>
      <c r="C920" s="22" t="inlineStr">
        <is>
          <r>
            <t xml:space="preserve">SEINFRA</t>
          </r>
        </is>
      </c>
      <c r="D920" s="22" t="inlineStr">
        <is>
          <r>
            <t xml:space="preserve">H</t>
          </r>
        </is>
      </c>
      <c r="E920" s="24" t="n">
        <v>70.4526</v>
      </c>
      <c r="F920" s="30" t="n">
        <v>1.0</v>
      </c>
      <c r="G920" s="30" t="n">
        <f>ROUND(ROUND(E920,8)*F920,4)</f>
        <v>70.4526</v>
      </c>
    </row>
    <row r="921" customHeight="1" ht="15">
      <c r="A921" s="22" t="inlineStr">
        <is>
          <r>
            <t xml:space="preserve">I2703</t>
          </r>
        </is>
      </c>
      <c r="B921" s="23" t="inlineStr">
        <is>
          <r>
            <t xml:space="preserve">MANUTENÇÃO</t>
          </r>
        </is>
      </c>
      <c r="C921" s="22" t="inlineStr">
        <is>
          <r>
            <t xml:space="preserve">SEINFRA</t>
          </r>
        </is>
      </c>
      <c r="D921" s="22" t="inlineStr">
        <is>
          <r>
            <t xml:space="preserve">H</t>
          </r>
        </is>
      </c>
      <c r="E921" s="24" t="n">
        <v>281.8106</v>
      </c>
      <c r="F921" s="30" t="n">
        <v>1.0</v>
      </c>
      <c r="G921" s="30" t="n">
        <f>ROUND(ROUND(E921,8)*F921,4)</f>
        <v>281.8106</v>
      </c>
    </row>
    <row r="922" customHeight="1" ht="15">
      <c r="A922" s="2" t="inlineStr"/>
      <c r="B922" s="2" t="inlineStr"/>
      <c r="C922" s="2" t="inlineStr"/>
      <c r="D922" s="2" t="inlineStr"/>
      <c r="E922" s="26" t="inlineStr">
        <is>
          <r>
            <t xml:space="preserve">TOTAL Geral:</t>
          </r>
        </is>
      </c>
      <c r="F922" s="26" t="inlineStr"/>
      <c r="G922" s="31" t="n">
        <f>SUM(G918:G921)</f>
        <v>592.4311</v>
      </c>
    </row>
    <row r="923" customHeight="1" ht="15">
      <c r="A923" s="2" t="inlineStr"/>
      <c r="B923" s="2" t="inlineStr"/>
      <c r="C923" s="2" t="inlineStr"/>
      <c r="D923" s="2" t="inlineStr"/>
      <c r="E923" s="28" t="inlineStr">
        <is>
          <r>
            <t xml:space="preserve">VALOR:</t>
          </r>
        </is>
      </c>
      <c r="F923" s="28" t="inlineStr"/>
      <c r="G923" s="29" t="n">
        <f>ROUND(SUM(G922),2)</f>
        <v>592.43</v>
      </c>
    </row>
    <row r="924" customHeight="1" ht="15">
      <c r="A924" s="2" t="inlineStr"/>
      <c r="B924" s="2" t="inlineStr"/>
      <c r="C924" s="2" t="inlineStr"/>
      <c r="D924" s="2" t="inlineStr"/>
      <c r="E924" s="28" t="inlineStr">
        <is>
          <r>
            <t xml:space="preserve">VALOR BDI:</t>
          </r>
        </is>
      </c>
      <c r="F924" s="28" t="inlineStr"/>
      <c r="G924" s="29" t="n">
        <f>ROUND(G923*(0/100),2)</f>
        <v>0.0</v>
      </c>
    </row>
    <row r="925" customHeight="1" ht="15">
      <c r="A925" s="2" t="inlineStr"/>
      <c r="B925" s="2" t="inlineStr"/>
      <c r="C925" s="2" t="inlineStr"/>
      <c r="D925" s="2" t="inlineStr"/>
      <c r="E925" s="28" t="inlineStr">
        <is>
          <r>
            <t xml:space="preserve">VALOR COM BDI:</t>
          </r>
        </is>
      </c>
      <c r="F925" s="28" t="inlineStr"/>
      <c r="G925" s="29" t="n">
        <f>G924+G923</f>
        <v>592.43</v>
      </c>
    </row>
    <row r="926" customHeight="1" ht="10">
      <c r="A926" s="2" t="inlineStr"/>
      <c r="B926" s="2" t="inlineStr"/>
      <c r="C926" s="2" t="inlineStr"/>
      <c r="D926" s="2" t="inlineStr"/>
      <c r="E926" s="18" t="inlineStr"/>
      <c r="F926" s="18" t="inlineStr"/>
      <c r="G926" s="18" t="inlineStr"/>
    </row>
    <row r="927" customHeight="1" ht="20">
      <c r="A927" s="19" t="inlineStr">
        <is>
          <r>
            <t xml:space="preserve">​91285​ CORTADORA DE PISO COM MOTOR 4 TEMPOS A GASOLINA, POTÊNCIA DE 13 HP, COM DISCO DE CORTE DIAMANTADO SEGMENTADO PARA CONCRETO, DIÂMETRO DE 350 MM, FURO DE 1" (14 X 1") - CHI DIURNO. AF_08/2015​ (CHI)</t>
          </r>
        </is>
      </c>
      <c r="B927" s="19" t="inlineStr"/>
      <c r="C927" s="19" t="inlineStr"/>
      <c r="D927" s="19" t="inlineStr"/>
      <c r="E927" s="19" t="inlineStr"/>
      <c r="F927" s="19" t="inlineStr"/>
      <c r="G927" s="19" t="inlineStr"/>
    </row>
    <row r="928" customHeight="1" ht="15">
      <c r="A928" s="20" t="inlineStr">
        <is>
          <r>
            <t xml:space="preserve">Serviço</t>
          </r>
        </is>
      </c>
      <c r="B928" s="20" t="inlineStr"/>
      <c r="C928" s="21" t="inlineStr">
        <is>
          <r>
            <t xml:space="preserve">FONTE</t>
          </r>
        </is>
      </c>
      <c r="D928" s="21" t="inlineStr">
        <is>
          <r>
            <t xml:space="preserve">UNID</t>
          </r>
        </is>
      </c>
      <c r="E928" s="21" t="inlineStr">
        <is>
          <r>
            <t xml:space="preserve">COEFICIENTE</t>
          </r>
        </is>
      </c>
      <c r="F928" s="21" t="inlineStr">
        <is>
          <r>
            <t xml:space="preserve">PREÇO UNITÁRIO</t>
          </r>
        </is>
      </c>
      <c r="G928" s="21" t="inlineStr">
        <is>
          <r>
            <t xml:space="preserve">TOTAL</t>
          </r>
        </is>
      </c>
    </row>
    <row r="929" customHeight="1" ht="38">
      <c r="A929" s="22" t="inlineStr">
        <is>
          <r>
            <t xml:space="preserve">91279</t>
          </r>
        </is>
      </c>
      <c r="B929" s="23" t="inlineStr">
        <is>
          <r>
            <t xml:space="preserve">CORTADORA DE PISO COM MOTOR 4 TEMPOS A GASOLINA, POTÊNCIA DE 13 HP, COM DISCO DE CORTE DIAMANTADO SEGMENTADO PARA CONCRETO, DIÂMETRO DE 350 MM, FURO DE 1" (14 X 1") - DEPRECIAÇÃO. AF_08/2015</t>
          </r>
        </is>
      </c>
      <c r="C929" s="22" t="inlineStr">
        <is>
          <r>
            <t xml:space="preserve">SINAPI</t>
          </r>
        </is>
      </c>
      <c r="D929" s="22" t="inlineStr">
        <is>
          <r>
            <t xml:space="preserve">H</t>
          </r>
        </is>
      </c>
      <c r="E929" s="24" t="n">
        <v>1.0</v>
      </c>
      <c r="F929" s="25" t="n">
        <v>0.49</v>
      </c>
      <c r="G929" s="25" t="n">
        <f>TRUNC(TRUNC(E929,8)*F929,2)</f>
        <v>0.49</v>
      </c>
    </row>
    <row r="930" customHeight="1" ht="38">
      <c r="A930" s="22" t="inlineStr">
        <is>
          <r>
            <t xml:space="preserve">91280</t>
          </r>
        </is>
      </c>
      <c r="B930" s="23" t="inlineStr">
        <is>
          <r>
            <t xml:space="preserve">CORTADORA DE PISO COM MOTOR 4 TEMPOS A GASOLINA, POTÊNCIA DE 13 HP, COM DISCO DE CORTE DIAMANTADO SEGMENTADO PARA CONCRETO, DIÂMETRO DE 350 MM, FURO DE 1" (14 X 1") - JUROS. AF_08/2015</t>
          </r>
        </is>
      </c>
      <c r="C930" s="22" t="inlineStr">
        <is>
          <r>
            <t xml:space="preserve">SINAPI</t>
          </r>
        </is>
      </c>
      <c r="D930" s="22" t="inlineStr">
        <is>
          <r>
            <t xml:space="preserve">H</t>
          </r>
        </is>
      </c>
      <c r="E930" s="24" t="n">
        <v>1.0</v>
      </c>
      <c r="F930" s="25" t="n">
        <v>0.11</v>
      </c>
      <c r="G930" s="25" t="n">
        <f>TRUNC(TRUNC(E930,8)*F930,2)</f>
        <v>0.11</v>
      </c>
    </row>
    <row r="931" customHeight="1" ht="15">
      <c r="A931" s="2" t="inlineStr"/>
      <c r="B931" s="2" t="inlineStr"/>
      <c r="C931" s="2" t="inlineStr"/>
      <c r="D931" s="2" t="inlineStr"/>
      <c r="E931" s="26" t="inlineStr">
        <is>
          <r>
            <t xml:space="preserve">TOTAL Serviço:</t>
          </r>
        </is>
      </c>
      <c r="F931" s="26" t="inlineStr"/>
      <c r="G931" s="27" t="n">
        <f>SUM(G929:G930)</f>
        <v>0.6</v>
      </c>
    </row>
    <row r="932" customHeight="1" ht="15">
      <c r="A932" s="2" t="inlineStr"/>
      <c r="B932" s="2" t="inlineStr"/>
      <c r="C932" s="2" t="inlineStr"/>
      <c r="D932" s="2" t="inlineStr"/>
      <c r="E932" s="28" t="inlineStr">
        <is>
          <r>
            <t xml:space="preserve">VALOR:</t>
          </r>
        </is>
      </c>
      <c r="F932" s="28" t="inlineStr"/>
      <c r="G932" s="29" t="n">
        <f>ROUND(SUM(G931),2)</f>
        <v>0.6</v>
      </c>
    </row>
    <row r="933" customHeight="1" ht="15">
      <c r="A933" s="2" t="inlineStr"/>
      <c r="B933" s="2" t="inlineStr"/>
      <c r="C933" s="2" t="inlineStr"/>
      <c r="D933" s="2" t="inlineStr"/>
      <c r="E933" s="28" t="inlineStr">
        <is>
          <r>
            <t xml:space="preserve">VALOR BDI:</t>
          </r>
        </is>
      </c>
      <c r="F933" s="28" t="inlineStr"/>
      <c r="G933" s="29" t="n">
        <f>ROUND(G932*(0/100),2)</f>
        <v>0.0</v>
      </c>
    </row>
    <row r="934" customHeight="1" ht="15">
      <c r="A934" s="2" t="inlineStr"/>
      <c r="B934" s="2" t="inlineStr"/>
      <c r="C934" s="2" t="inlineStr"/>
      <c r="D934" s="2" t="inlineStr"/>
      <c r="E934" s="28" t="inlineStr">
        <is>
          <r>
            <t xml:space="preserve">VALOR COM BDI:</t>
          </r>
        </is>
      </c>
      <c r="F934" s="28" t="inlineStr"/>
      <c r="G934" s="29" t="n">
        <f>G933+G932</f>
        <v>0.6</v>
      </c>
    </row>
    <row r="935" customHeight="1" ht="10">
      <c r="A935" s="2" t="inlineStr"/>
      <c r="B935" s="2" t="inlineStr"/>
      <c r="C935" s="2" t="inlineStr"/>
      <c r="D935" s="2" t="inlineStr"/>
      <c r="E935" s="18" t="inlineStr"/>
      <c r="F935" s="18" t="inlineStr"/>
      <c r="G935" s="18" t="inlineStr"/>
    </row>
    <row r="936" customHeight="1" ht="20">
      <c r="A936" s="19" t="inlineStr">
        <is>
          <r>
            <t xml:space="preserve">​91283​ CORTADORA DE PISO COM MOTOR 4 TEMPOS A GASOLINA, POTÊNCIA DE 13 HP, COM DISCO DE CORTE DIAMANTADO SEGMENTADO PARA CONCRETO, DIÂMETRO DE 350 MM, FURO DE 1" (14 X 1") - CHP DIURNO. AF_08/2015​ (CHP)</t>
          </r>
        </is>
      </c>
      <c r="B936" s="19" t="inlineStr"/>
      <c r="C936" s="19" t="inlineStr"/>
      <c r="D936" s="19" t="inlineStr"/>
      <c r="E936" s="19" t="inlineStr"/>
      <c r="F936" s="19" t="inlineStr"/>
      <c r="G936" s="19" t="inlineStr"/>
    </row>
    <row r="937" customHeight="1" ht="15">
      <c r="A937" s="20" t="inlineStr">
        <is>
          <r>
            <t xml:space="preserve">Serviço</t>
          </r>
        </is>
      </c>
      <c r="B937" s="20" t="inlineStr"/>
      <c r="C937" s="21" t="inlineStr">
        <is>
          <r>
            <t xml:space="preserve">FONTE</t>
          </r>
        </is>
      </c>
      <c r="D937" s="21" t="inlineStr">
        <is>
          <r>
            <t xml:space="preserve">UNID</t>
          </r>
        </is>
      </c>
      <c r="E937" s="21" t="inlineStr">
        <is>
          <r>
            <t xml:space="preserve">COEFICIENTE</t>
          </r>
        </is>
      </c>
      <c r="F937" s="21" t="inlineStr">
        <is>
          <r>
            <t xml:space="preserve">PREÇO UNITÁRIO</t>
          </r>
        </is>
      </c>
      <c r="G937" s="21" t="inlineStr">
        <is>
          <r>
            <t xml:space="preserve">TOTAL</t>
          </r>
        </is>
      </c>
    </row>
    <row r="938" customHeight="1" ht="38">
      <c r="A938" s="22" t="inlineStr">
        <is>
          <r>
            <t xml:space="preserve">91279</t>
          </r>
        </is>
      </c>
      <c r="B938" s="23" t="inlineStr">
        <is>
          <r>
            <t xml:space="preserve">CORTADORA DE PISO COM MOTOR 4 TEMPOS A GASOLINA, POTÊNCIA DE 13 HP, COM DISCO DE CORTE DIAMANTADO SEGMENTADO PARA CONCRETO, DIÂMETRO DE 350 MM, FURO DE 1" (14 X 1") - DEPRECIAÇÃO. AF_08/2015</t>
          </r>
        </is>
      </c>
      <c r="C938" s="22" t="inlineStr">
        <is>
          <r>
            <t xml:space="preserve">SINAPI</t>
          </r>
        </is>
      </c>
      <c r="D938" s="22" t="inlineStr">
        <is>
          <r>
            <t xml:space="preserve">H</t>
          </r>
        </is>
      </c>
      <c r="E938" s="24" t="n">
        <v>1.0</v>
      </c>
      <c r="F938" s="25" t="n">
        <v>0.49</v>
      </c>
      <c r="G938" s="25" t="n">
        <f>TRUNC(TRUNC(E938,8)*F938,2)</f>
        <v>0.49</v>
      </c>
    </row>
    <row r="939" customHeight="1" ht="38">
      <c r="A939" s="22" t="inlineStr">
        <is>
          <r>
            <t xml:space="preserve">91280</t>
          </r>
        </is>
      </c>
      <c r="B939" s="23" t="inlineStr">
        <is>
          <r>
            <t xml:space="preserve">CORTADORA DE PISO COM MOTOR 4 TEMPOS A GASOLINA, POTÊNCIA DE 13 HP, COM DISCO DE CORTE DIAMANTADO SEGMENTADO PARA CONCRETO, DIÂMETRO DE 350 MM, FURO DE 1" (14 X 1") - JUROS. AF_08/2015</t>
          </r>
        </is>
      </c>
      <c r="C939" s="22" t="inlineStr">
        <is>
          <r>
            <t xml:space="preserve">SINAPI</t>
          </r>
        </is>
      </c>
      <c r="D939" s="22" t="inlineStr">
        <is>
          <r>
            <t xml:space="preserve">H</t>
          </r>
        </is>
      </c>
      <c r="E939" s="24" t="n">
        <v>1.0</v>
      </c>
      <c r="F939" s="25" t="n">
        <v>0.11</v>
      </c>
      <c r="G939" s="25" t="n">
        <f>TRUNC(TRUNC(E939,8)*F939,2)</f>
        <v>0.11</v>
      </c>
    </row>
    <row r="940" customHeight="1" ht="38">
      <c r="A940" s="22" t="inlineStr">
        <is>
          <r>
            <t xml:space="preserve">91281</t>
          </r>
        </is>
      </c>
      <c r="B940" s="23" t="inlineStr">
        <is>
          <r>
            <t xml:space="preserve">CORTADORA DE PISO COM MOTOR 4 TEMPOS A GASOLINA, POTÊNCIA DE 13 HP, COM DISCO DE CORTE DIAMANTADO SEGMENTADO PARA CONCRETO, DIÂMETRO DE 350 MM, FURO DE 1" (14 X 1") - MANUTENÇÃO. AF_08/2015</t>
          </r>
        </is>
      </c>
      <c r="C940" s="22" t="inlineStr">
        <is>
          <r>
            <t xml:space="preserve">SINAPI</t>
          </r>
        </is>
      </c>
      <c r="D940" s="22" t="inlineStr">
        <is>
          <r>
            <t xml:space="preserve">H</t>
          </r>
        </is>
      </c>
      <c r="E940" s="24" t="n">
        <v>1.0</v>
      </c>
      <c r="F940" s="25" t="n">
        <v>0.62</v>
      </c>
      <c r="G940" s="25" t="n">
        <f>TRUNC(TRUNC(E940,8)*F940,2)</f>
        <v>0.62</v>
      </c>
    </row>
    <row r="941" customHeight="1" ht="46">
      <c r="A941" s="22" t="inlineStr">
        <is>
          <r>
            <t xml:space="preserve">91282</t>
          </r>
        </is>
      </c>
      <c r="B941" s="23" t="inlineStr">
        <is>
          <r>
            <t xml:space="preserve">CORTADORA DE PISO COM MOTOR 4 TEMPOS A GASOLINA, POTÊNCIA DE 13 HP, COM DISCO DE CORTE DIAMANTADO SEGMENTADO PARA CONCRETO, DIÂMETRO DE 350 MM, FURO DE 1" (14 X 1") - MATERIAIS NA OPERAÇÃO. AF_08/2015</t>
          </r>
        </is>
      </c>
      <c r="C941" s="22" t="inlineStr">
        <is>
          <r>
            <t xml:space="preserve">SINAPI</t>
          </r>
        </is>
      </c>
      <c r="D941" s="22" t="inlineStr">
        <is>
          <r>
            <t xml:space="preserve">H</t>
          </r>
        </is>
      </c>
      <c r="E941" s="24" t="n">
        <v>1.0</v>
      </c>
      <c r="F941" s="25" t="n">
        <v>9.2</v>
      </c>
      <c r="G941" s="25" t="n">
        <f>TRUNC(TRUNC(E941,8)*F941,2)</f>
        <v>9.2</v>
      </c>
    </row>
    <row r="942" customHeight="1" ht="15">
      <c r="A942" s="2" t="inlineStr"/>
      <c r="B942" s="2" t="inlineStr"/>
      <c r="C942" s="2" t="inlineStr"/>
      <c r="D942" s="2" t="inlineStr"/>
      <c r="E942" s="26" t="inlineStr">
        <is>
          <r>
            <t xml:space="preserve">TOTAL Serviço:</t>
          </r>
        </is>
      </c>
      <c r="F942" s="26" t="inlineStr"/>
      <c r="G942" s="27" t="n">
        <f>SUM(G938:G941)</f>
        <v>10.42</v>
      </c>
    </row>
    <row r="943" customHeight="1" ht="15">
      <c r="A943" s="2" t="inlineStr"/>
      <c r="B943" s="2" t="inlineStr"/>
      <c r="C943" s="2" t="inlineStr"/>
      <c r="D943" s="2" t="inlineStr"/>
      <c r="E943" s="28" t="inlineStr">
        <is>
          <r>
            <t xml:space="preserve">VALOR:</t>
          </r>
        </is>
      </c>
      <c r="F943" s="28" t="inlineStr"/>
      <c r="G943" s="29" t="n">
        <f>ROUND(SUM(G942),2)</f>
        <v>10.42</v>
      </c>
    </row>
    <row r="944" customHeight="1" ht="15">
      <c r="A944" s="2" t="inlineStr"/>
      <c r="B944" s="2" t="inlineStr"/>
      <c r="C944" s="2" t="inlineStr"/>
      <c r="D944" s="2" t="inlineStr"/>
      <c r="E944" s="28" t="inlineStr">
        <is>
          <r>
            <t xml:space="preserve">VALOR BDI:</t>
          </r>
        </is>
      </c>
      <c r="F944" s="28" t="inlineStr"/>
      <c r="G944" s="29" t="n">
        <f>ROUND(G943*(0/100),2)</f>
        <v>0.0</v>
      </c>
    </row>
    <row r="945" customHeight="1" ht="15">
      <c r="A945" s="2" t="inlineStr"/>
      <c r="B945" s="2" t="inlineStr"/>
      <c r="C945" s="2" t="inlineStr"/>
      <c r="D945" s="2" t="inlineStr"/>
      <c r="E945" s="28" t="inlineStr">
        <is>
          <r>
            <t xml:space="preserve">VALOR COM BDI:</t>
          </r>
        </is>
      </c>
      <c r="F945" s="28" t="inlineStr"/>
      <c r="G945" s="29" t="n">
        <f>G944+G943</f>
        <v>10.42</v>
      </c>
    </row>
    <row r="946" customHeight="1" ht="10">
      <c r="A946" s="2" t="inlineStr"/>
      <c r="B946" s="2" t="inlineStr"/>
      <c r="C946" s="2" t="inlineStr"/>
      <c r="D946" s="2" t="inlineStr"/>
      <c r="E946" s="18" t="inlineStr"/>
      <c r="F946" s="18" t="inlineStr"/>
      <c r="G946" s="18" t="inlineStr"/>
    </row>
    <row r="947" customHeight="1" ht="20">
      <c r="A947" s="19" t="inlineStr">
        <is>
          <r>
            <t xml:space="preserve">​91279​ CORTADORA DE PISO COM MOTOR 4 TEMPOS A GASOLINA, POTÊNCIA DE 13 HP, COM DISCO DE CORTE DIAMANTADO SEGMENTADO PARA CONCRETO, DIÂMETRO DE 350 MM, FURO DE 1" (14 X 1") - DEPRECIAÇÃO. AF_08/2015​ (H)</t>
          </r>
        </is>
      </c>
      <c r="B947" s="19" t="inlineStr"/>
      <c r="C947" s="19" t="inlineStr"/>
      <c r="D947" s="19" t="inlineStr"/>
      <c r="E947" s="19" t="inlineStr"/>
      <c r="F947" s="19" t="inlineStr"/>
      <c r="G947" s="19" t="inlineStr"/>
    </row>
    <row r="948" customHeight="1" ht="15">
      <c r="A948" s="20" t="inlineStr">
        <is>
          <r>
            <t xml:space="preserve">Equipamento</t>
          </r>
        </is>
      </c>
      <c r="B948" s="20" t="inlineStr"/>
      <c r="C948" s="21" t="inlineStr">
        <is>
          <r>
            <t xml:space="preserve">FONTE</t>
          </r>
        </is>
      </c>
      <c r="D948" s="21" t="inlineStr">
        <is>
          <r>
            <t xml:space="preserve">UNID</t>
          </r>
        </is>
      </c>
      <c r="E948" s="21" t="inlineStr">
        <is>
          <r>
            <t xml:space="preserve">COEFICIENTE</t>
          </r>
        </is>
      </c>
      <c r="F948" s="21" t="inlineStr">
        <is>
          <r>
            <t xml:space="preserve">PREÇO UNITÁRIO</t>
          </r>
        </is>
      </c>
      <c r="G948" s="21" t="inlineStr">
        <is>
          <r>
            <t xml:space="preserve">TOTAL</t>
          </r>
        </is>
      </c>
    </row>
    <row r="949" customHeight="1" ht="29">
      <c r="A949" s="22" t="inlineStr">
        <is>
          <r>
            <t xml:space="preserve">00011280</t>
          </r>
        </is>
      </c>
      <c r="B949" s="23" t="inlineStr">
        <is>
          <r>
            <t xml:space="preserve">CORTADEIRA DE PISO DE CONCRETO E ASFALTO, PARA DISCO PADRAO DE DIAMETRO 350 MM (14") OU 450 MM (18"), MOTOR A GASOLINA, POTENCIA 13 HP, SEM DISCO</t>
          </r>
        </is>
      </c>
      <c r="C949" s="22" t="inlineStr">
        <is>
          <r>
            <t xml:space="preserve">SINAPI</t>
          </r>
        </is>
      </c>
      <c r="D949" s="22" t="inlineStr">
        <is>
          <r>
            <t xml:space="preserve">UN</t>
          </r>
        </is>
      </c>
      <c r="E949" s="24" t="n">
        <v>6.4E-5</v>
      </c>
      <c r="F949" s="25" t="n">
        <v>7585.75</v>
      </c>
      <c r="G949" s="25" t="n">
        <f>TRUNC(TRUNC(E949,8)*F949,2)</f>
        <v>0.48</v>
      </c>
    </row>
    <row r="950" customHeight="1" ht="15">
      <c r="A950" s="2" t="inlineStr"/>
      <c r="B950" s="2" t="inlineStr"/>
      <c r="C950" s="2" t="inlineStr"/>
      <c r="D950" s="2" t="inlineStr"/>
      <c r="E950" s="26" t="inlineStr">
        <is>
          <r>
            <t xml:space="preserve">TOTAL Equipamento:</t>
          </r>
        </is>
      </c>
      <c r="F950" s="26" t="inlineStr"/>
      <c r="G950" s="27" t="n">
        <f>SUM(G949:G949)</f>
        <v>0.48</v>
      </c>
    </row>
    <row r="951" customHeight="1" ht="15">
      <c r="A951" s="20" t="inlineStr">
        <is>
          <r>
            <t xml:space="preserve">Material</t>
          </r>
        </is>
      </c>
      <c r="B951" s="20" t="inlineStr"/>
      <c r="C951" s="21" t="inlineStr">
        <is>
          <r>
            <t xml:space="preserve">FONTE</t>
          </r>
        </is>
      </c>
      <c r="D951" s="21" t="inlineStr">
        <is>
          <r>
            <t xml:space="preserve">UNID</t>
          </r>
        </is>
      </c>
      <c r="E951" s="21" t="inlineStr">
        <is>
          <r>
            <t xml:space="preserve">COEFICIENTE</t>
          </r>
        </is>
      </c>
      <c r="F951" s="21" t="inlineStr">
        <is>
          <r>
            <t xml:space="preserve">PREÇO UNITÁRIO</t>
          </r>
        </is>
      </c>
      <c r="G951" s="21" t="inlineStr">
        <is>
          <r>
            <t xml:space="preserve">TOTAL</t>
          </r>
        </is>
      </c>
    </row>
    <row r="952" customHeight="1" ht="29">
      <c r="A952" s="22" t="inlineStr">
        <is>
          <r>
            <t xml:space="preserve">00013887</t>
          </r>
        </is>
      </c>
      <c r="B952" s="23" t="inlineStr">
        <is>
          <r>
            <t xml:space="preserve">DISCO DE CORTE DIAMANTADO SEGMENTADO PARA CONCRETO/ASFALTO, DIAMETRO DE *350* MM, FURO DE 25,40 MM</t>
          </r>
        </is>
      </c>
      <c r="C952" s="22" t="inlineStr">
        <is>
          <r>
            <t xml:space="preserve">SINAPI</t>
          </r>
        </is>
      </c>
      <c r="D952" s="22" t="inlineStr">
        <is>
          <r>
            <t xml:space="preserve">UN</t>
          </r>
        </is>
      </c>
      <c r="E952" s="24" t="n">
        <v>6.4E-5</v>
      </c>
      <c r="F952" s="25" t="n">
        <v>305.88</v>
      </c>
      <c r="G952" s="25" t="n">
        <f>TRUNC(TRUNC(E952,8)*F952,2)</f>
        <v>0.01</v>
      </c>
    </row>
    <row r="953" customHeight="1" ht="15">
      <c r="A953" s="2" t="inlineStr"/>
      <c r="B953" s="2" t="inlineStr"/>
      <c r="C953" s="2" t="inlineStr"/>
      <c r="D953" s="2" t="inlineStr"/>
      <c r="E953" s="26" t="inlineStr">
        <is>
          <r>
            <t xml:space="preserve">TOTAL Material:</t>
          </r>
        </is>
      </c>
      <c r="F953" s="26" t="inlineStr"/>
      <c r="G953" s="27" t="n">
        <f>SUM(G952:G952)</f>
        <v>0.01</v>
      </c>
    </row>
    <row r="954" customHeight="1" ht="15">
      <c r="A954" s="2" t="inlineStr"/>
      <c r="B954" s="2" t="inlineStr"/>
      <c r="C954" s="2" t="inlineStr"/>
      <c r="D954" s="2" t="inlineStr"/>
      <c r="E954" s="28" t="inlineStr">
        <is>
          <r>
            <t xml:space="preserve">VALOR:</t>
          </r>
        </is>
      </c>
      <c r="F954" s="28" t="inlineStr"/>
      <c r="G954" s="29" t="n">
        <f>ROUND(SUM(G950,G953),2)</f>
        <v>0.49</v>
      </c>
    </row>
    <row r="955" customHeight="1" ht="15">
      <c r="A955" s="2" t="inlineStr"/>
      <c r="B955" s="2" t="inlineStr"/>
      <c r="C955" s="2" t="inlineStr"/>
      <c r="D955" s="2" t="inlineStr"/>
      <c r="E955" s="28" t="inlineStr">
        <is>
          <r>
            <t xml:space="preserve">VALOR BDI:</t>
          </r>
        </is>
      </c>
      <c r="F955" s="28" t="inlineStr"/>
      <c r="G955" s="29" t="n">
        <f>ROUND(G954*(0/100),2)</f>
        <v>0.0</v>
      </c>
    </row>
    <row r="956" customHeight="1" ht="15">
      <c r="A956" s="2" t="inlineStr"/>
      <c r="B956" s="2" t="inlineStr"/>
      <c r="C956" s="2" t="inlineStr"/>
      <c r="D956" s="2" t="inlineStr"/>
      <c r="E956" s="28" t="inlineStr">
        <is>
          <r>
            <t xml:space="preserve">VALOR COM BDI:</t>
          </r>
        </is>
      </c>
      <c r="F956" s="28" t="inlineStr"/>
      <c r="G956" s="29" t="n">
        <f>G955+G954</f>
        <v>0.49</v>
      </c>
    </row>
    <row r="957" customHeight="1" ht="10">
      <c r="A957" s="2" t="inlineStr"/>
      <c r="B957" s="2" t="inlineStr"/>
      <c r="C957" s="2" t="inlineStr"/>
      <c r="D957" s="2" t="inlineStr"/>
      <c r="E957" s="18" t="inlineStr"/>
      <c r="F957" s="18" t="inlineStr"/>
      <c r="G957" s="18" t="inlineStr"/>
    </row>
    <row r="958" customHeight="1" ht="20">
      <c r="A958" s="19" t="inlineStr">
        <is>
          <r>
            <t xml:space="preserve">​91280​ CORTADORA DE PISO COM MOTOR 4 TEMPOS A GASOLINA, POTÊNCIA DE 13 HP, COM DISCO DE CORTE DIAMANTADO SEGMENTADO PARA CONCRETO, DIÂMETRO DE 350 MM, FURO DE 1" (14 X 1") - JUROS. AF_08/2015​ (H)</t>
          </r>
        </is>
      </c>
      <c r="B958" s="19" t="inlineStr"/>
      <c r="C958" s="19" t="inlineStr"/>
      <c r="D958" s="19" t="inlineStr"/>
      <c r="E958" s="19" t="inlineStr"/>
      <c r="F958" s="19" t="inlineStr"/>
      <c r="G958" s="19" t="inlineStr"/>
    </row>
    <row r="959" customHeight="1" ht="15">
      <c r="A959" s="20" t="inlineStr">
        <is>
          <r>
            <t xml:space="preserve">Equipamento</t>
          </r>
        </is>
      </c>
      <c r="B959" s="20" t="inlineStr"/>
      <c r="C959" s="21" t="inlineStr">
        <is>
          <r>
            <t xml:space="preserve">FONTE</t>
          </r>
        </is>
      </c>
      <c r="D959" s="21" t="inlineStr">
        <is>
          <r>
            <t xml:space="preserve">UNID</t>
          </r>
        </is>
      </c>
      <c r="E959" s="21" t="inlineStr">
        <is>
          <r>
            <t xml:space="preserve">COEFICIENTE</t>
          </r>
        </is>
      </c>
      <c r="F959" s="21" t="inlineStr">
        <is>
          <r>
            <t xml:space="preserve">PREÇO UNITÁRIO</t>
          </r>
        </is>
      </c>
      <c r="G959" s="21" t="inlineStr">
        <is>
          <r>
            <t xml:space="preserve">TOTAL</t>
          </r>
        </is>
      </c>
    </row>
    <row r="960" customHeight="1" ht="29">
      <c r="A960" s="22" t="inlineStr">
        <is>
          <r>
            <t xml:space="preserve">00011280</t>
          </r>
        </is>
      </c>
      <c r="B960" s="23" t="inlineStr">
        <is>
          <r>
            <t xml:space="preserve">CORTADEIRA DE PISO DE CONCRETO E ASFALTO, PARA DISCO PADRAO DE DIAMETRO 350 MM (14") OU 450 MM (18"), MOTOR A GASOLINA, POTENCIA 13 HP, SEM DISCO</t>
          </r>
        </is>
      </c>
      <c r="C960" s="22" t="inlineStr">
        <is>
          <r>
            <t xml:space="preserve">SINAPI</t>
          </r>
        </is>
      </c>
      <c r="D960" s="22" t="inlineStr">
        <is>
          <r>
            <t xml:space="preserve">UN</t>
          </r>
        </is>
      </c>
      <c r="E960" s="24" t="n">
        <v>1.48E-5</v>
      </c>
      <c r="F960" s="25" t="n">
        <v>7585.75</v>
      </c>
      <c r="G960" s="25" t="n">
        <f>TRUNC(TRUNC(E960,8)*F960,2)</f>
        <v>0.11</v>
      </c>
    </row>
    <row r="961" customHeight="1" ht="15">
      <c r="A961" s="2" t="inlineStr"/>
      <c r="B961" s="2" t="inlineStr"/>
      <c r="C961" s="2" t="inlineStr"/>
      <c r="D961" s="2" t="inlineStr"/>
      <c r="E961" s="26" t="inlineStr">
        <is>
          <r>
            <t xml:space="preserve">TOTAL Equipamento:</t>
          </r>
        </is>
      </c>
      <c r="F961" s="26" t="inlineStr"/>
      <c r="G961" s="27" t="n">
        <f>SUM(G960:G960)</f>
        <v>0.11</v>
      </c>
    </row>
    <row r="962" customHeight="1" ht="15">
      <c r="A962" s="2" t="inlineStr"/>
      <c r="B962" s="2" t="inlineStr"/>
      <c r="C962" s="2" t="inlineStr"/>
      <c r="D962" s="2" t="inlineStr"/>
      <c r="E962" s="28" t="inlineStr">
        <is>
          <r>
            <t xml:space="preserve">VALOR:</t>
          </r>
        </is>
      </c>
      <c r="F962" s="28" t="inlineStr"/>
      <c r="G962" s="29" t="n">
        <f>ROUND(SUM(G961),2)</f>
        <v>0.11</v>
      </c>
    </row>
    <row r="963" customHeight="1" ht="15">
      <c r="A963" s="2" t="inlineStr"/>
      <c r="B963" s="2" t="inlineStr"/>
      <c r="C963" s="2" t="inlineStr"/>
      <c r="D963" s="2" t="inlineStr"/>
      <c r="E963" s="28" t="inlineStr">
        <is>
          <r>
            <t xml:space="preserve">VALOR BDI:</t>
          </r>
        </is>
      </c>
      <c r="F963" s="28" t="inlineStr"/>
      <c r="G963" s="29" t="n">
        <f>ROUND(G962*(0/100),2)</f>
        <v>0.0</v>
      </c>
    </row>
    <row r="964" customHeight="1" ht="15">
      <c r="A964" s="2" t="inlineStr"/>
      <c r="B964" s="2" t="inlineStr"/>
      <c r="C964" s="2" t="inlineStr"/>
      <c r="D964" s="2" t="inlineStr"/>
      <c r="E964" s="28" t="inlineStr">
        <is>
          <r>
            <t xml:space="preserve">VALOR COM BDI:</t>
          </r>
        </is>
      </c>
      <c r="F964" s="28" t="inlineStr"/>
      <c r="G964" s="29" t="n">
        <f>G963+G962</f>
        <v>0.11</v>
      </c>
    </row>
    <row r="965" customHeight="1" ht="10">
      <c r="A965" s="2" t="inlineStr"/>
      <c r="B965" s="2" t="inlineStr"/>
      <c r="C965" s="2" t="inlineStr"/>
      <c r="D965" s="2" t="inlineStr"/>
      <c r="E965" s="18" t="inlineStr"/>
      <c r="F965" s="18" t="inlineStr"/>
      <c r="G965" s="18" t="inlineStr"/>
    </row>
    <row r="966" customHeight="1" ht="20">
      <c r="A966" s="19" t="inlineStr">
        <is>
          <r>
            <t xml:space="preserve">​91281​ CORTADORA DE PISO COM MOTOR 4 TEMPOS A GASOLINA, POTÊNCIA DE 13 HP, COM DISCO DE CORTE DIAMANTADO SEGMENTADO PARA CONCRETO, DIÂMETRO DE 350 MM, FURO DE 1" (14 X 1") - MANUTENÇÃO. AF_08/2015​ (H)</t>
          </r>
        </is>
      </c>
      <c r="B966" s="19" t="inlineStr"/>
      <c r="C966" s="19" t="inlineStr"/>
      <c r="D966" s="19" t="inlineStr"/>
      <c r="E966" s="19" t="inlineStr"/>
      <c r="F966" s="19" t="inlineStr"/>
      <c r="G966" s="19" t="inlineStr"/>
    </row>
    <row r="967" customHeight="1" ht="15">
      <c r="A967" s="20" t="inlineStr">
        <is>
          <r>
            <t xml:space="preserve">Equipamento</t>
          </r>
        </is>
      </c>
      <c r="B967" s="20" t="inlineStr"/>
      <c r="C967" s="21" t="inlineStr">
        <is>
          <r>
            <t xml:space="preserve">FONTE</t>
          </r>
        </is>
      </c>
      <c r="D967" s="21" t="inlineStr">
        <is>
          <r>
            <t xml:space="preserve">UNID</t>
          </r>
        </is>
      </c>
      <c r="E967" s="21" t="inlineStr">
        <is>
          <r>
            <t xml:space="preserve">COEFICIENTE</t>
          </r>
        </is>
      </c>
      <c r="F967" s="21" t="inlineStr">
        <is>
          <r>
            <t xml:space="preserve">PREÇO UNITÁRIO</t>
          </r>
        </is>
      </c>
      <c r="G967" s="21" t="inlineStr">
        <is>
          <r>
            <t xml:space="preserve">TOTAL</t>
          </r>
        </is>
      </c>
    </row>
    <row r="968" customHeight="1" ht="29">
      <c r="A968" s="22" t="inlineStr">
        <is>
          <r>
            <t xml:space="preserve">00011280</t>
          </r>
        </is>
      </c>
      <c r="B968" s="23" t="inlineStr">
        <is>
          <r>
            <t xml:space="preserve">CORTADEIRA DE PISO DE CONCRETO E ASFALTO, PARA DISCO PADRAO DE DIAMETRO 350 MM (14") OU 450 MM (18"), MOTOR A GASOLINA, POTENCIA 13 HP, SEM DISCO</t>
          </r>
        </is>
      </c>
      <c r="C968" s="22" t="inlineStr">
        <is>
          <r>
            <t xml:space="preserve">SINAPI</t>
          </r>
        </is>
      </c>
      <c r="D968" s="22" t="inlineStr">
        <is>
          <r>
            <t xml:space="preserve">UN</t>
          </r>
        </is>
      </c>
      <c r="E968" s="24" t="n">
        <v>8.0E-5</v>
      </c>
      <c r="F968" s="25" t="n">
        <v>7585.75</v>
      </c>
      <c r="G968" s="25" t="n">
        <f>TRUNC(TRUNC(E968,8)*F968,2)</f>
        <v>0.6</v>
      </c>
    </row>
    <row r="969" customHeight="1" ht="15">
      <c r="A969" s="2" t="inlineStr"/>
      <c r="B969" s="2" t="inlineStr"/>
      <c r="C969" s="2" t="inlineStr"/>
      <c r="D969" s="2" t="inlineStr"/>
      <c r="E969" s="26" t="inlineStr">
        <is>
          <r>
            <t xml:space="preserve">TOTAL Equipamento:</t>
          </r>
        </is>
      </c>
      <c r="F969" s="26" t="inlineStr"/>
      <c r="G969" s="27" t="n">
        <f>SUM(G968:G968)</f>
        <v>0.6</v>
      </c>
    </row>
    <row r="970" customHeight="1" ht="15">
      <c r="A970" s="20" t="inlineStr">
        <is>
          <r>
            <t xml:space="preserve">Material</t>
          </r>
        </is>
      </c>
      <c r="B970" s="20" t="inlineStr"/>
      <c r="C970" s="21" t="inlineStr">
        <is>
          <r>
            <t xml:space="preserve">FONTE</t>
          </r>
        </is>
      </c>
      <c r="D970" s="21" t="inlineStr">
        <is>
          <r>
            <t xml:space="preserve">UNID</t>
          </r>
        </is>
      </c>
      <c r="E970" s="21" t="inlineStr">
        <is>
          <r>
            <t xml:space="preserve">COEFICIENTE</t>
          </r>
        </is>
      </c>
      <c r="F970" s="21" t="inlineStr">
        <is>
          <r>
            <t xml:space="preserve">PREÇO UNITÁRIO</t>
          </r>
        </is>
      </c>
      <c r="G970" s="21" t="inlineStr">
        <is>
          <r>
            <t xml:space="preserve">TOTAL</t>
          </r>
        </is>
      </c>
    </row>
    <row r="971" customHeight="1" ht="29">
      <c r="A971" s="22" t="inlineStr">
        <is>
          <r>
            <t xml:space="preserve">00013887</t>
          </r>
        </is>
      </c>
      <c r="B971" s="23" t="inlineStr">
        <is>
          <r>
            <t xml:space="preserve">DISCO DE CORTE DIAMANTADO SEGMENTADO PARA CONCRETO/ASFALTO, DIAMETRO DE *350* MM, FURO DE 25,40 MM</t>
          </r>
        </is>
      </c>
      <c r="C971" s="22" t="inlineStr">
        <is>
          <r>
            <t xml:space="preserve">SINAPI</t>
          </r>
        </is>
      </c>
      <c r="D971" s="22" t="inlineStr">
        <is>
          <r>
            <t xml:space="preserve">UN</t>
          </r>
        </is>
      </c>
      <c r="E971" s="24" t="n">
        <v>8.0E-5</v>
      </c>
      <c r="F971" s="25" t="n">
        <v>305.88</v>
      </c>
      <c r="G971" s="25" t="n">
        <f>TRUNC(TRUNC(E971,8)*F971,2)</f>
        <v>0.02</v>
      </c>
    </row>
    <row r="972" customHeight="1" ht="15">
      <c r="A972" s="2" t="inlineStr"/>
      <c r="B972" s="2" t="inlineStr"/>
      <c r="C972" s="2" t="inlineStr"/>
      <c r="D972" s="2" t="inlineStr"/>
      <c r="E972" s="26" t="inlineStr">
        <is>
          <r>
            <t xml:space="preserve">TOTAL Material:</t>
          </r>
        </is>
      </c>
      <c r="F972" s="26" t="inlineStr"/>
      <c r="G972" s="27" t="n">
        <f>SUM(G971:G971)</f>
        <v>0.02</v>
      </c>
    </row>
    <row r="973" customHeight="1" ht="15">
      <c r="A973" s="2" t="inlineStr"/>
      <c r="B973" s="2" t="inlineStr"/>
      <c r="C973" s="2" t="inlineStr"/>
      <c r="D973" s="2" t="inlineStr"/>
      <c r="E973" s="28" t="inlineStr">
        <is>
          <r>
            <t xml:space="preserve">VALOR:</t>
          </r>
        </is>
      </c>
      <c r="F973" s="28" t="inlineStr"/>
      <c r="G973" s="29" t="n">
        <f>ROUND(SUM(G969,G972),2)</f>
        <v>0.62</v>
      </c>
    </row>
    <row r="974" customHeight="1" ht="15">
      <c r="A974" s="2" t="inlineStr"/>
      <c r="B974" s="2" t="inlineStr"/>
      <c r="C974" s="2" t="inlineStr"/>
      <c r="D974" s="2" t="inlineStr"/>
      <c r="E974" s="28" t="inlineStr">
        <is>
          <r>
            <t xml:space="preserve">VALOR BDI:</t>
          </r>
        </is>
      </c>
      <c r="F974" s="28" t="inlineStr"/>
      <c r="G974" s="29" t="n">
        <f>ROUND(G973*(0/100),2)</f>
        <v>0.0</v>
      </c>
    </row>
    <row r="975" customHeight="1" ht="15">
      <c r="A975" s="2" t="inlineStr"/>
      <c r="B975" s="2" t="inlineStr"/>
      <c r="C975" s="2" t="inlineStr"/>
      <c r="D975" s="2" t="inlineStr"/>
      <c r="E975" s="28" t="inlineStr">
        <is>
          <r>
            <t xml:space="preserve">VALOR COM BDI:</t>
          </r>
        </is>
      </c>
      <c r="F975" s="28" t="inlineStr"/>
      <c r="G975" s="29" t="n">
        <f>G974+G973</f>
        <v>0.62</v>
      </c>
    </row>
    <row r="976" customHeight="1" ht="10">
      <c r="A976" s="2" t="inlineStr"/>
      <c r="B976" s="2" t="inlineStr"/>
      <c r="C976" s="2" t="inlineStr"/>
      <c r="D976" s="2" t="inlineStr"/>
      <c r="E976" s="18" t="inlineStr"/>
      <c r="F976" s="18" t="inlineStr"/>
      <c r="G976" s="18" t="inlineStr"/>
    </row>
    <row r="977" customHeight="1" ht="20">
      <c r="A977" s="19" t="inlineStr">
        <is>
          <r>
            <t xml:space="preserve">​91282​ CORTADORA DE PISO COM MOTOR 4 TEMPOS A GASOLINA, POTÊNCIA DE 13 HP, COM DISCO DE CORTE DIAMANTADO SEGMENTADO PARA CONCRETO, DIÂMETRO DE 350 MM, FURO DE 1" (14 X 1") - MATERIAIS NA OPERAÇÃO. AF_08/2015​ (H)</t>
          </r>
        </is>
      </c>
      <c r="B977" s="19" t="inlineStr"/>
      <c r="C977" s="19" t="inlineStr"/>
      <c r="D977" s="19" t="inlineStr"/>
      <c r="E977" s="19" t="inlineStr"/>
      <c r="F977" s="19" t="inlineStr"/>
      <c r="G977" s="19" t="inlineStr"/>
    </row>
    <row r="978" customHeight="1" ht="15">
      <c r="A978" s="20" t="inlineStr">
        <is>
          <r>
            <t xml:space="preserve">Material</t>
          </r>
        </is>
      </c>
      <c r="B978" s="20" t="inlineStr"/>
      <c r="C978" s="21" t="inlineStr">
        <is>
          <r>
            <t xml:space="preserve">FONTE</t>
          </r>
        </is>
      </c>
      <c r="D978" s="21" t="inlineStr">
        <is>
          <r>
            <t xml:space="preserve">UNID</t>
          </r>
        </is>
      </c>
      <c r="E978" s="21" t="inlineStr">
        <is>
          <r>
            <t xml:space="preserve">COEFICIENTE</t>
          </r>
        </is>
      </c>
      <c r="F978" s="21" t="inlineStr">
        <is>
          <r>
            <t xml:space="preserve">PREÇO UNITÁRIO</t>
          </r>
        </is>
      </c>
      <c r="G978" s="21" t="inlineStr">
        <is>
          <r>
            <t xml:space="preserve">TOTAL</t>
          </r>
        </is>
      </c>
    </row>
    <row r="979" customHeight="1" ht="15">
      <c r="A979" s="22" t="inlineStr">
        <is>
          <r>
            <t xml:space="preserve">00004222</t>
          </r>
        </is>
      </c>
      <c r="B979" s="23" t="inlineStr">
        <is>
          <r>
            <t xml:space="preserve">GASOLINA COMUM</t>
          </r>
        </is>
      </c>
      <c r="C979" s="22" t="inlineStr">
        <is>
          <r>
            <t xml:space="preserve">SINAPI</t>
          </r>
        </is>
      </c>
      <c r="D979" s="22" t="inlineStr">
        <is>
          <r>
            <t xml:space="preserve">L</t>
          </r>
        </is>
      </c>
      <c r="E979" s="24" t="n">
        <v>1.45</v>
      </c>
      <c r="F979" s="25" t="n">
        <v>6.35</v>
      </c>
      <c r="G979" s="25" t="n">
        <f>TRUNC(TRUNC(E979,8)*F979,2)</f>
        <v>9.2</v>
      </c>
    </row>
    <row r="980" customHeight="1" ht="15">
      <c r="A980" s="2" t="inlineStr"/>
      <c r="B980" s="2" t="inlineStr"/>
      <c r="C980" s="2" t="inlineStr"/>
      <c r="D980" s="2" t="inlineStr"/>
      <c r="E980" s="26" t="inlineStr">
        <is>
          <r>
            <t xml:space="preserve">TOTAL Material:</t>
          </r>
        </is>
      </c>
      <c r="F980" s="26" t="inlineStr"/>
      <c r="G980" s="27" t="n">
        <f>SUM(G979:G979)</f>
        <v>9.2</v>
      </c>
    </row>
    <row r="981" customHeight="1" ht="15">
      <c r="A981" s="2" t="inlineStr"/>
      <c r="B981" s="2" t="inlineStr"/>
      <c r="C981" s="2" t="inlineStr"/>
      <c r="D981" s="2" t="inlineStr"/>
      <c r="E981" s="28" t="inlineStr">
        <is>
          <r>
            <t xml:space="preserve">VALOR:</t>
          </r>
        </is>
      </c>
      <c r="F981" s="28" t="inlineStr"/>
      <c r="G981" s="29" t="n">
        <f>ROUND(SUM(G980),2)</f>
        <v>9.2</v>
      </c>
    </row>
    <row r="982" customHeight="1" ht="15">
      <c r="A982" s="2" t="inlineStr"/>
      <c r="B982" s="2" t="inlineStr"/>
      <c r="C982" s="2" t="inlineStr"/>
      <c r="D982" s="2" t="inlineStr"/>
      <c r="E982" s="28" t="inlineStr">
        <is>
          <r>
            <t xml:space="preserve">VALOR BDI:</t>
          </r>
        </is>
      </c>
      <c r="F982" s="28" t="inlineStr"/>
      <c r="G982" s="29" t="n">
        <f>ROUND(G981*(0/100),2)</f>
        <v>0.0</v>
      </c>
    </row>
    <row r="983" customHeight="1" ht="15">
      <c r="A983" s="2" t="inlineStr"/>
      <c r="B983" s="2" t="inlineStr"/>
      <c r="C983" s="2" t="inlineStr"/>
      <c r="D983" s="2" t="inlineStr"/>
      <c r="E983" s="28" t="inlineStr">
        <is>
          <r>
            <t xml:space="preserve">VALOR COM BDI:</t>
          </r>
        </is>
      </c>
      <c r="F983" s="28" t="inlineStr"/>
      <c r="G983" s="29" t="n">
        <f>G982+G981</f>
        <v>9.2</v>
      </c>
    </row>
    <row r="984" customHeight="1" ht="10">
      <c r="A984" s="2" t="inlineStr"/>
      <c r="B984" s="2" t="inlineStr"/>
      <c r="C984" s="2" t="inlineStr"/>
      <c r="D984" s="2" t="inlineStr"/>
      <c r="E984" s="18" t="inlineStr"/>
      <c r="F984" s="18" t="inlineStr"/>
      <c r="G984" s="18" t="inlineStr"/>
    </row>
    <row r="985" customHeight="1" ht="20">
      <c r="A985" s="19" t="inlineStr">
        <is>
          <r>
            <t xml:space="preserve">​92799​ CORTE E DOBRA DE AÇO CA-60, DIÂMETRO DE 4,2 MM. AF_06/2022​ (KG)</t>
          </r>
        </is>
      </c>
      <c r="B985" s="19" t="inlineStr"/>
      <c r="C985" s="19" t="inlineStr"/>
      <c r="D985" s="19" t="inlineStr"/>
      <c r="E985" s="19" t="inlineStr"/>
      <c r="F985" s="19" t="inlineStr"/>
      <c r="G985" s="19" t="inlineStr"/>
    </row>
    <row r="986" customHeight="1" ht="15">
      <c r="A986" s="20" t="inlineStr">
        <is>
          <r>
            <t xml:space="preserve">Material</t>
          </r>
        </is>
      </c>
      <c r="B986" s="20" t="inlineStr"/>
      <c r="C986" s="21" t="inlineStr">
        <is>
          <r>
            <t xml:space="preserve">FONTE</t>
          </r>
        </is>
      </c>
      <c r="D986" s="21" t="inlineStr">
        <is>
          <r>
            <t xml:space="preserve">UNID</t>
          </r>
        </is>
      </c>
      <c r="E986" s="21" t="inlineStr">
        <is>
          <r>
            <t xml:space="preserve">COEFICIENTE</t>
          </r>
        </is>
      </c>
      <c r="F986" s="21" t="inlineStr">
        <is>
          <r>
            <t xml:space="preserve">PREÇO UNITÁRIO</t>
          </r>
        </is>
      </c>
      <c r="G986" s="21" t="inlineStr">
        <is>
          <r>
            <t xml:space="preserve">TOTAL</t>
          </r>
        </is>
      </c>
    </row>
    <row r="987" customHeight="1" ht="21">
      <c r="A987" s="22" t="inlineStr">
        <is>
          <r>
            <t xml:space="preserve">00043059</t>
          </r>
        </is>
      </c>
      <c r="B987" s="23" t="inlineStr">
        <is>
          <r>
            <t xml:space="preserve">ACO CA-60, 4,2 MM, OU 5,0 MM, OU 6,0 MM, OU 7,0 MM, VERGALHAO</t>
          </r>
        </is>
      </c>
      <c r="C987" s="22" t="inlineStr">
        <is>
          <r>
            <t xml:space="preserve">SINAPI</t>
          </r>
        </is>
      </c>
      <c r="D987" s="22" t="inlineStr">
        <is>
          <r>
            <t xml:space="preserve">KG</t>
          </r>
        </is>
      </c>
      <c r="E987" s="24" t="n">
        <v>1.07</v>
      </c>
      <c r="F987" s="25" t="n">
        <v>6.89</v>
      </c>
      <c r="G987" s="25" t="n">
        <f>TRUNC(TRUNC(E987,8)*F987,2)</f>
        <v>7.37</v>
      </c>
    </row>
    <row r="988" customHeight="1" ht="15">
      <c r="A988" s="2" t="inlineStr"/>
      <c r="B988" s="2" t="inlineStr"/>
      <c r="C988" s="2" t="inlineStr"/>
      <c r="D988" s="2" t="inlineStr"/>
      <c r="E988" s="26" t="inlineStr">
        <is>
          <r>
            <t xml:space="preserve">TOTAL Material:</t>
          </r>
        </is>
      </c>
      <c r="F988" s="26" t="inlineStr"/>
      <c r="G988" s="27" t="n">
        <f>SUM(G987:G987)</f>
        <v>7.37</v>
      </c>
    </row>
    <row r="989" customHeight="1" ht="15">
      <c r="A989" s="20" t="inlineStr">
        <is>
          <r>
            <t xml:space="preserve">Mão de Obra com Encargos Complementares</t>
          </r>
        </is>
      </c>
      <c r="B989" s="20" t="inlineStr"/>
      <c r="C989" s="21" t="inlineStr">
        <is>
          <r>
            <t xml:space="preserve">FONTE</t>
          </r>
        </is>
      </c>
      <c r="D989" s="21" t="inlineStr">
        <is>
          <r>
            <t xml:space="preserve">UNID</t>
          </r>
        </is>
      </c>
      <c r="E989" s="21" t="inlineStr">
        <is>
          <r>
            <t xml:space="preserve">COEFICIENTE</t>
          </r>
        </is>
      </c>
      <c r="F989" s="21" t="inlineStr">
        <is>
          <r>
            <t xml:space="preserve">PREÇO UNITÁRIO</t>
          </r>
        </is>
      </c>
      <c r="G989" s="21" t="inlineStr">
        <is>
          <r>
            <t xml:space="preserve">TOTAL</t>
          </r>
        </is>
      </c>
    </row>
    <row r="990" customHeight="1" ht="21">
      <c r="A990" s="22" t="inlineStr">
        <is>
          <r>
            <t xml:space="preserve">88238</t>
          </r>
        </is>
      </c>
      <c r="B990" s="23" t="inlineStr">
        <is>
          <r>
            <t xml:space="preserve">AJUDANTE DE ARMADOR COM ENCARGOS COMPLEMENTARES</t>
          </r>
        </is>
      </c>
      <c r="C990" s="22" t="inlineStr">
        <is>
          <r>
            <t xml:space="preserve">SINAPI</t>
          </r>
        </is>
      </c>
      <c r="D990" s="22" t="inlineStr">
        <is>
          <r>
            <t xml:space="preserve">H</t>
          </r>
        </is>
      </c>
      <c r="E990" s="24" t="n">
        <v>0.0152</v>
      </c>
      <c r="F990" s="25" t="n">
        <v>23.01</v>
      </c>
      <c r="G990" s="25" t="n">
        <f>TRUNC(TRUNC(E990,8)*F990,2)</f>
        <v>0.34</v>
      </c>
    </row>
    <row r="991" customHeight="1" ht="15">
      <c r="A991" s="22" t="inlineStr">
        <is>
          <r>
            <t xml:space="preserve">88245</t>
          </r>
        </is>
      </c>
      <c r="B991" s="23" t="inlineStr">
        <is>
          <r>
            <t xml:space="preserve">ARMADOR COM ENCARGOS COMPLEMENTARES</t>
          </r>
        </is>
      </c>
      <c r="C991" s="22" t="inlineStr">
        <is>
          <r>
            <t xml:space="preserve">SINAPI</t>
          </r>
        </is>
      </c>
      <c r="D991" s="22" t="inlineStr">
        <is>
          <r>
            <t xml:space="preserve">H</t>
          </r>
        </is>
      </c>
      <c r="E991" s="24" t="n">
        <v>0.0933</v>
      </c>
      <c r="F991" s="25" t="n">
        <v>28.07</v>
      </c>
      <c r="G991" s="25" t="n">
        <f>TRUNC(TRUNC(E991,8)*F991,2)</f>
        <v>2.61</v>
      </c>
    </row>
    <row r="992" customHeight="1" ht="18">
      <c r="A992" s="2" t="inlineStr"/>
      <c r="B992" s="2" t="inlineStr"/>
      <c r="C992" s="2" t="inlineStr"/>
      <c r="D992" s="2" t="inlineStr"/>
      <c r="E992" s="26" t="inlineStr">
        <is>
          <r>
            <t xml:space="preserve">TOTAL Mão de Obra com Encargos Complementares:</t>
          </r>
        </is>
      </c>
      <c r="F992" s="26" t="inlineStr"/>
      <c r="G992" s="27" t="n">
        <f>SUM(G990:G991)</f>
        <v>2.95</v>
      </c>
    </row>
    <row r="993" customHeight="1" ht="15">
      <c r="A993" s="2" t="inlineStr"/>
      <c r="B993" s="2" t="inlineStr"/>
      <c r="C993" s="2" t="inlineStr"/>
      <c r="D993" s="2" t="inlineStr"/>
      <c r="E993" s="28" t="inlineStr">
        <is>
          <r>
            <t xml:space="preserve">VALOR:</t>
          </r>
        </is>
      </c>
      <c r="F993" s="28" t="inlineStr"/>
      <c r="G993" s="29" t="n">
        <f>ROUND(SUM(G988,G992),2)</f>
        <v>10.32</v>
      </c>
    </row>
    <row r="994" customHeight="1" ht="15">
      <c r="A994" s="2" t="inlineStr"/>
      <c r="B994" s="2" t="inlineStr"/>
      <c r="C994" s="2" t="inlineStr"/>
      <c r="D994" s="2" t="inlineStr"/>
      <c r="E994" s="28" t="inlineStr">
        <is>
          <r>
            <t xml:space="preserve">VALOR BDI:</t>
          </r>
        </is>
      </c>
      <c r="F994" s="28" t="inlineStr"/>
      <c r="G994" s="29" t="n">
        <f>ROUND(G993*(0/100),2)</f>
        <v>0.0</v>
      </c>
    </row>
    <row r="995" customHeight="1" ht="15">
      <c r="A995" s="2" t="inlineStr"/>
      <c r="B995" s="2" t="inlineStr"/>
      <c r="C995" s="2" t="inlineStr"/>
      <c r="D995" s="2" t="inlineStr"/>
      <c r="E995" s="28" t="inlineStr">
        <is>
          <r>
            <t xml:space="preserve">VALOR COM BDI:</t>
          </r>
        </is>
      </c>
      <c r="F995" s="28" t="inlineStr"/>
      <c r="G995" s="29" t="n">
        <f>G994+G993</f>
        <v>10.32</v>
      </c>
    </row>
    <row r="996" customHeight="1" ht="10">
      <c r="A996" s="2" t="inlineStr"/>
      <c r="B996" s="2" t="inlineStr"/>
      <c r="C996" s="2" t="inlineStr"/>
      <c r="D996" s="2" t="inlineStr"/>
      <c r="E996" s="18" t="inlineStr"/>
      <c r="F996" s="18" t="inlineStr"/>
      <c r="G996" s="18" t="inlineStr"/>
    </row>
    <row r="997" customHeight="1" ht="20">
      <c r="A997" s="19" t="inlineStr">
        <is>
          <r>
            <t xml:space="preserve">​95308​ CURSO DE CAPACITAÇÃO PARA AJUDANTE DE ARMADOR (ENCARGOS COMPLEMENTARES) - HORISTA​ (H)</t>
          </r>
        </is>
      </c>
      <c r="B997" s="19" t="inlineStr"/>
      <c r="C997" s="19" t="inlineStr"/>
      <c r="D997" s="19" t="inlineStr"/>
      <c r="E997" s="19" t="inlineStr"/>
      <c r="F997" s="19" t="inlineStr"/>
      <c r="G997" s="19" t="inlineStr"/>
    </row>
    <row r="998" customHeight="1" ht="15">
      <c r="A998" s="20" t="inlineStr">
        <is>
          <r>
            <t xml:space="preserve">Mão de Obra</t>
          </r>
        </is>
      </c>
      <c r="B998" s="20" t="inlineStr"/>
      <c r="C998" s="21" t="inlineStr">
        <is>
          <r>
            <t xml:space="preserve">FONTE</t>
          </r>
        </is>
      </c>
      <c r="D998" s="21" t="inlineStr">
        <is>
          <r>
            <t xml:space="preserve">UNID</t>
          </r>
        </is>
      </c>
      <c r="E998" s="21" t="inlineStr">
        <is>
          <r>
            <t xml:space="preserve">COEFICIENTE</t>
          </r>
        </is>
      </c>
      <c r="F998" s="21" t="inlineStr">
        <is>
          <r>
            <t xml:space="preserve">PREÇO UNITÁRIO</t>
          </r>
        </is>
      </c>
      <c r="G998" s="21" t="inlineStr">
        <is>
          <r>
            <t xml:space="preserve">TOTAL</t>
          </r>
        </is>
      </c>
    </row>
    <row r="999" customHeight="1" ht="15">
      <c r="A999" s="22" t="inlineStr">
        <is>
          <r>
            <t xml:space="preserve">00006114</t>
          </r>
        </is>
      </c>
      <c r="B999" s="23" t="inlineStr">
        <is>
          <r>
            <t xml:space="preserve">AJUDANTE DE ARMADOR (HORISTA)</t>
          </r>
        </is>
      </c>
      <c r="C999" s="22" t="inlineStr">
        <is>
          <r>
            <t xml:space="preserve">SINAPI</t>
          </r>
        </is>
      </c>
      <c r="D999" s="22" t="inlineStr">
        <is>
          <r>
            <t xml:space="preserve">H</t>
          </r>
        </is>
      </c>
      <c r="E999" s="24" t="n">
        <v>0.01154</v>
      </c>
      <c r="F999" s="25" t="n">
        <v>14.54</v>
      </c>
      <c r="G999" s="25" t="n">
        <f>TRUNC(TRUNC(E999,8)*F999,2)</f>
        <v>0.16</v>
      </c>
    </row>
    <row r="1000" customHeight="1" ht="15">
      <c r="A1000" s="2" t="inlineStr"/>
      <c r="B1000" s="2" t="inlineStr"/>
      <c r="C1000" s="2" t="inlineStr"/>
      <c r="D1000" s="2" t="inlineStr"/>
      <c r="E1000" s="26" t="inlineStr">
        <is>
          <r>
            <t xml:space="preserve">TOTAL Mão de Obra:</t>
          </r>
        </is>
      </c>
      <c r="F1000" s="26" t="inlineStr"/>
      <c r="G1000" s="27" t="n">
        <f>SUM(G999:G999)</f>
        <v>0.16</v>
      </c>
    </row>
    <row r="1001" customHeight="1" ht="15">
      <c r="A1001" s="2" t="inlineStr"/>
      <c r="B1001" s="2" t="inlineStr"/>
      <c r="C1001" s="2" t="inlineStr"/>
      <c r="D1001" s="2" t="inlineStr"/>
      <c r="E1001" s="28" t="inlineStr">
        <is>
          <r>
            <t xml:space="preserve">VALOR:</t>
          </r>
        </is>
      </c>
      <c r="F1001" s="28" t="inlineStr"/>
      <c r="G1001" s="29" t="n">
        <f>ROUND(SUM(G1000),2)</f>
        <v>0.16</v>
      </c>
    </row>
    <row r="1002" customHeight="1" ht="15">
      <c r="A1002" s="2" t="inlineStr"/>
      <c r="B1002" s="2" t="inlineStr"/>
      <c r="C1002" s="2" t="inlineStr"/>
      <c r="D1002" s="2" t="inlineStr"/>
      <c r="E1002" s="28" t="inlineStr">
        <is>
          <r>
            <t xml:space="preserve">VALOR BDI:</t>
          </r>
        </is>
      </c>
      <c r="F1002" s="28" t="inlineStr"/>
      <c r="G1002" s="29" t="n">
        <f>ROUND(G1001*(0/100),2)</f>
        <v>0.0</v>
      </c>
    </row>
    <row r="1003" customHeight="1" ht="15">
      <c r="A1003" s="2" t="inlineStr"/>
      <c r="B1003" s="2" t="inlineStr"/>
      <c r="C1003" s="2" t="inlineStr"/>
      <c r="D1003" s="2" t="inlineStr"/>
      <c r="E1003" s="28" t="inlineStr">
        <is>
          <r>
            <t xml:space="preserve">VALOR COM BDI:</t>
          </r>
        </is>
      </c>
      <c r="F1003" s="28" t="inlineStr"/>
      <c r="G1003" s="29" t="n">
        <f>G1002+G1001</f>
        <v>0.16</v>
      </c>
    </row>
    <row r="1004" customHeight="1" ht="10">
      <c r="A1004" s="2" t="inlineStr"/>
      <c r="B1004" s="2" t="inlineStr"/>
      <c r="C1004" s="2" t="inlineStr"/>
      <c r="D1004" s="2" t="inlineStr"/>
      <c r="E1004" s="18" t="inlineStr"/>
      <c r="F1004" s="18" t="inlineStr"/>
      <c r="G1004" s="18" t="inlineStr"/>
    </row>
    <row r="1005" customHeight="1" ht="20">
      <c r="A1005" s="19" t="inlineStr">
        <is>
          <r>
            <t xml:space="preserve">​95309​ CURSO DE CAPACITAÇÃO PARA AJUDANTE DE CARPINTEIRO (ENCARGOS COMPLEMENTARES) - HORISTA​ (H)</t>
          </r>
        </is>
      </c>
      <c r="B1005" s="19" t="inlineStr"/>
      <c r="C1005" s="19" t="inlineStr"/>
      <c r="D1005" s="19" t="inlineStr"/>
      <c r="E1005" s="19" t="inlineStr"/>
      <c r="F1005" s="19" t="inlineStr"/>
      <c r="G1005" s="19" t="inlineStr"/>
    </row>
    <row r="1006" customHeight="1" ht="15">
      <c r="A1006" s="20" t="inlineStr">
        <is>
          <r>
            <t xml:space="preserve">Mão de Obra</t>
          </r>
        </is>
      </c>
      <c r="B1006" s="20" t="inlineStr"/>
      <c r="C1006" s="21" t="inlineStr">
        <is>
          <r>
            <t xml:space="preserve">FONTE</t>
          </r>
        </is>
      </c>
      <c r="D1006" s="21" t="inlineStr">
        <is>
          <r>
            <t xml:space="preserve">UNID</t>
          </r>
        </is>
      </c>
      <c r="E1006" s="21" t="inlineStr">
        <is>
          <r>
            <t xml:space="preserve">COEFICIENTE</t>
          </r>
        </is>
      </c>
      <c r="F1006" s="21" t="inlineStr">
        <is>
          <r>
            <t xml:space="preserve">PREÇO UNITÁRIO</t>
          </r>
        </is>
      </c>
      <c r="G1006" s="21" t="inlineStr">
        <is>
          <r>
            <t xml:space="preserve">TOTAL</t>
          </r>
        </is>
      </c>
    </row>
    <row r="1007" customHeight="1" ht="15">
      <c r="A1007" s="22" t="inlineStr">
        <is>
          <r>
            <t xml:space="preserve">00006117</t>
          </r>
        </is>
      </c>
      <c r="B1007" s="23" t="inlineStr">
        <is>
          <r>
            <t xml:space="preserve">CARPINTEIRO AUXILIAR (HORISTA)</t>
          </r>
        </is>
      </c>
      <c r="C1007" s="22" t="inlineStr">
        <is>
          <r>
            <t xml:space="preserve">SINAPI</t>
          </r>
        </is>
      </c>
      <c r="D1007" s="22" t="inlineStr">
        <is>
          <r>
            <t xml:space="preserve">H</t>
          </r>
        </is>
      </c>
      <c r="E1007" s="24" t="n">
        <v>0.01476</v>
      </c>
      <c r="F1007" s="25" t="n">
        <v>14.54</v>
      </c>
      <c r="G1007" s="25" t="n">
        <f>TRUNC(TRUNC(E1007,8)*F1007,2)</f>
        <v>0.21</v>
      </c>
    </row>
    <row r="1008" customHeight="1" ht="15">
      <c r="A1008" s="2" t="inlineStr"/>
      <c r="B1008" s="2" t="inlineStr"/>
      <c r="C1008" s="2" t="inlineStr"/>
      <c r="D1008" s="2" t="inlineStr"/>
      <c r="E1008" s="26" t="inlineStr">
        <is>
          <r>
            <t xml:space="preserve">TOTAL Mão de Obra:</t>
          </r>
        </is>
      </c>
      <c r="F1008" s="26" t="inlineStr"/>
      <c r="G1008" s="27" t="n">
        <f>SUM(G1007:G1007)</f>
        <v>0.21</v>
      </c>
    </row>
    <row r="1009" customHeight="1" ht="15">
      <c r="A1009" s="2" t="inlineStr"/>
      <c r="B1009" s="2" t="inlineStr"/>
      <c r="C1009" s="2" t="inlineStr"/>
      <c r="D1009" s="2" t="inlineStr"/>
      <c r="E1009" s="28" t="inlineStr">
        <is>
          <r>
            <t xml:space="preserve">VALOR:</t>
          </r>
        </is>
      </c>
      <c r="F1009" s="28" t="inlineStr"/>
      <c r="G1009" s="29" t="n">
        <f>ROUND(SUM(G1008),2)</f>
        <v>0.21</v>
      </c>
    </row>
    <row r="1010" customHeight="1" ht="15">
      <c r="A1010" s="2" t="inlineStr"/>
      <c r="B1010" s="2" t="inlineStr"/>
      <c r="C1010" s="2" t="inlineStr"/>
      <c r="D1010" s="2" t="inlineStr"/>
      <c r="E1010" s="28" t="inlineStr">
        <is>
          <r>
            <t xml:space="preserve">VALOR BDI:</t>
          </r>
        </is>
      </c>
      <c r="F1010" s="28" t="inlineStr"/>
      <c r="G1010" s="29" t="n">
        <f>ROUND(G1009*(0/100),2)</f>
        <v>0.0</v>
      </c>
    </row>
    <row r="1011" customHeight="1" ht="15">
      <c r="A1011" s="2" t="inlineStr"/>
      <c r="B1011" s="2" t="inlineStr"/>
      <c r="C1011" s="2" t="inlineStr"/>
      <c r="D1011" s="2" t="inlineStr"/>
      <c r="E1011" s="28" t="inlineStr">
        <is>
          <r>
            <t xml:space="preserve">VALOR COM BDI:</t>
          </r>
        </is>
      </c>
      <c r="F1011" s="28" t="inlineStr"/>
      <c r="G1011" s="29" t="n">
        <f>G1010+G1009</f>
        <v>0.21</v>
      </c>
    </row>
    <row r="1012" customHeight="1" ht="10">
      <c r="A1012" s="2" t="inlineStr"/>
      <c r="B1012" s="2" t="inlineStr"/>
      <c r="C1012" s="2" t="inlineStr"/>
      <c r="D1012" s="2" t="inlineStr"/>
      <c r="E1012" s="18" t="inlineStr"/>
      <c r="F1012" s="18" t="inlineStr"/>
      <c r="G1012" s="18" t="inlineStr"/>
    </row>
    <row r="1013" customHeight="1" ht="20">
      <c r="A1013" s="19" t="inlineStr">
        <is>
          <r>
            <t xml:space="preserve">​95314​ CURSO DE CAPACITAÇÃO PARA ARMADOR (ENCARGOS COMPLEMENTARES) - HORISTA​ (H)</t>
          </r>
        </is>
      </c>
      <c r="B1013" s="19" t="inlineStr"/>
      <c r="C1013" s="19" t="inlineStr"/>
      <c r="D1013" s="19" t="inlineStr"/>
      <c r="E1013" s="19" t="inlineStr"/>
      <c r="F1013" s="19" t="inlineStr"/>
      <c r="G1013" s="19" t="inlineStr"/>
    </row>
    <row r="1014" customHeight="1" ht="15">
      <c r="A1014" s="20" t="inlineStr">
        <is>
          <r>
            <t xml:space="preserve">Mão de Obra</t>
          </r>
        </is>
      </c>
      <c r="B1014" s="20" t="inlineStr"/>
      <c r="C1014" s="21" t="inlineStr">
        <is>
          <r>
            <t xml:space="preserve">FONTE</t>
          </r>
        </is>
      </c>
      <c r="D1014" s="21" t="inlineStr">
        <is>
          <r>
            <t xml:space="preserve">UNID</t>
          </r>
        </is>
      </c>
      <c r="E1014" s="21" t="inlineStr">
        <is>
          <r>
            <t xml:space="preserve">COEFICIENTE</t>
          </r>
        </is>
      </c>
      <c r="F1014" s="21" t="inlineStr">
        <is>
          <r>
            <t xml:space="preserve">PREÇO UNITÁRIO</t>
          </r>
        </is>
      </c>
      <c r="G1014" s="21" t="inlineStr">
        <is>
          <r>
            <t xml:space="preserve">TOTAL</t>
          </r>
        </is>
      </c>
    </row>
    <row r="1015" customHeight="1" ht="15">
      <c r="A1015" s="22" t="inlineStr">
        <is>
          <r>
            <t xml:space="preserve">00000378</t>
          </r>
        </is>
      </c>
      <c r="B1015" s="23" t="inlineStr">
        <is>
          <r>
            <t xml:space="preserve">ARMADOR (HORISTA)</t>
          </r>
        </is>
      </c>
      <c r="C1015" s="22" t="inlineStr">
        <is>
          <r>
            <t xml:space="preserve">SINAPI</t>
          </r>
        </is>
      </c>
      <c r="D1015" s="22" t="inlineStr">
        <is>
          <r>
            <t xml:space="preserve">H</t>
          </r>
        </is>
      </c>
      <c r="E1015" s="24" t="n">
        <v>0.01154</v>
      </c>
      <c r="F1015" s="25" t="n">
        <v>19.54</v>
      </c>
      <c r="G1015" s="25" t="n">
        <f>TRUNC(TRUNC(E1015,8)*F1015,2)</f>
        <v>0.22</v>
      </c>
    </row>
    <row r="1016" customHeight="1" ht="15">
      <c r="A1016" s="2" t="inlineStr"/>
      <c r="B1016" s="2" t="inlineStr"/>
      <c r="C1016" s="2" t="inlineStr"/>
      <c r="D1016" s="2" t="inlineStr"/>
      <c r="E1016" s="26" t="inlineStr">
        <is>
          <r>
            <t xml:space="preserve">TOTAL Mão de Obra:</t>
          </r>
        </is>
      </c>
      <c r="F1016" s="26" t="inlineStr"/>
      <c r="G1016" s="27" t="n">
        <f>SUM(G1015:G1015)</f>
        <v>0.22</v>
      </c>
    </row>
    <row r="1017" customHeight="1" ht="15">
      <c r="A1017" s="2" t="inlineStr"/>
      <c r="B1017" s="2" t="inlineStr"/>
      <c r="C1017" s="2" t="inlineStr"/>
      <c r="D1017" s="2" t="inlineStr"/>
      <c r="E1017" s="28" t="inlineStr">
        <is>
          <r>
            <t xml:space="preserve">VALOR:</t>
          </r>
        </is>
      </c>
      <c r="F1017" s="28" t="inlineStr"/>
      <c r="G1017" s="29" t="n">
        <f>ROUND(SUM(G1016),2)</f>
        <v>0.22</v>
      </c>
    </row>
    <row r="1018" customHeight="1" ht="15">
      <c r="A1018" s="2" t="inlineStr"/>
      <c r="B1018" s="2" t="inlineStr"/>
      <c r="C1018" s="2" t="inlineStr"/>
      <c r="D1018" s="2" t="inlineStr"/>
      <c r="E1018" s="28" t="inlineStr">
        <is>
          <r>
            <t xml:space="preserve">VALOR BDI:</t>
          </r>
        </is>
      </c>
      <c r="F1018" s="28" t="inlineStr"/>
      <c r="G1018" s="29" t="n">
        <f>ROUND(G1017*(0/100),2)</f>
        <v>0.0</v>
      </c>
    </row>
    <row r="1019" customHeight="1" ht="15">
      <c r="A1019" s="2" t="inlineStr"/>
      <c r="B1019" s="2" t="inlineStr"/>
      <c r="C1019" s="2" t="inlineStr"/>
      <c r="D1019" s="2" t="inlineStr"/>
      <c r="E1019" s="28" t="inlineStr">
        <is>
          <r>
            <t xml:space="preserve">VALOR COM BDI:</t>
          </r>
        </is>
      </c>
      <c r="F1019" s="28" t="inlineStr"/>
      <c r="G1019" s="29" t="n">
        <f>G1018+G1017</f>
        <v>0.22</v>
      </c>
    </row>
    <row r="1020" customHeight="1" ht="10">
      <c r="A1020" s="2" t="inlineStr"/>
      <c r="B1020" s="2" t="inlineStr"/>
      <c r="C1020" s="2" t="inlineStr"/>
      <c r="D1020" s="2" t="inlineStr"/>
      <c r="E1020" s="18" t="inlineStr"/>
      <c r="F1020" s="18" t="inlineStr"/>
      <c r="G1020" s="18" t="inlineStr"/>
    </row>
    <row r="1021" customHeight="1" ht="20">
      <c r="A1021" s="19" t="inlineStr">
        <is>
          <r>
            <t xml:space="preserve">​95329​ CURSO DE CAPACITAÇÃO PARA CARPINTEIRO DE ESQUADRIA (ENCARGOS COMPLEMENTARES) - HORISTA​ (H)</t>
          </r>
        </is>
      </c>
      <c r="B1021" s="19" t="inlineStr"/>
      <c r="C1021" s="19" t="inlineStr"/>
      <c r="D1021" s="19" t="inlineStr"/>
      <c r="E1021" s="19" t="inlineStr"/>
      <c r="F1021" s="19" t="inlineStr"/>
      <c r="G1021" s="19" t="inlineStr"/>
    </row>
    <row r="1022" customHeight="1" ht="15">
      <c r="A1022" s="20" t="inlineStr">
        <is>
          <r>
            <t xml:space="preserve">Mão de Obra</t>
          </r>
        </is>
      </c>
      <c r="B1022" s="20" t="inlineStr"/>
      <c r="C1022" s="21" t="inlineStr">
        <is>
          <r>
            <t xml:space="preserve">FONTE</t>
          </r>
        </is>
      </c>
      <c r="D1022" s="21" t="inlineStr">
        <is>
          <r>
            <t xml:space="preserve">UNID</t>
          </r>
        </is>
      </c>
      <c r="E1022" s="21" t="inlineStr">
        <is>
          <r>
            <t xml:space="preserve">COEFICIENTE</t>
          </r>
        </is>
      </c>
      <c r="F1022" s="21" t="inlineStr">
        <is>
          <r>
            <t xml:space="preserve">PREÇO UNITÁRIO</t>
          </r>
        </is>
      </c>
      <c r="G1022" s="21" t="inlineStr">
        <is>
          <r>
            <t xml:space="preserve">TOTAL</t>
          </r>
        </is>
      </c>
    </row>
    <row r="1023" customHeight="1" ht="15">
      <c r="A1023" s="22" t="inlineStr">
        <is>
          <r>
            <t xml:space="preserve">00001214</t>
          </r>
        </is>
      </c>
      <c r="B1023" s="23" t="inlineStr">
        <is>
          <r>
            <t xml:space="preserve">CARPINTEIRO DE ESQUADRIAS (HORISTA)</t>
          </r>
        </is>
      </c>
      <c r="C1023" s="22" t="inlineStr">
        <is>
          <r>
            <t xml:space="preserve">SINAPI</t>
          </r>
        </is>
      </c>
      <c r="D1023" s="22" t="inlineStr">
        <is>
          <r>
            <t xml:space="preserve">H</t>
          </r>
        </is>
      </c>
      <c r="E1023" s="24" t="n">
        <v>0.01476</v>
      </c>
      <c r="F1023" s="25" t="n">
        <v>18.56</v>
      </c>
      <c r="G1023" s="25" t="n">
        <f>TRUNC(TRUNC(E1023,8)*F1023,2)</f>
        <v>0.27</v>
      </c>
    </row>
    <row r="1024" customHeight="1" ht="15">
      <c r="A1024" s="2" t="inlineStr"/>
      <c r="B1024" s="2" t="inlineStr"/>
      <c r="C1024" s="2" t="inlineStr"/>
      <c r="D1024" s="2" t="inlineStr"/>
      <c r="E1024" s="26" t="inlineStr">
        <is>
          <r>
            <t xml:space="preserve">TOTAL Mão de Obra:</t>
          </r>
        </is>
      </c>
      <c r="F1024" s="26" t="inlineStr"/>
      <c r="G1024" s="27" t="n">
        <f>SUM(G1023:G1023)</f>
        <v>0.27</v>
      </c>
    </row>
    <row r="1025" customHeight="1" ht="15">
      <c r="A1025" s="2" t="inlineStr"/>
      <c r="B1025" s="2" t="inlineStr"/>
      <c r="C1025" s="2" t="inlineStr"/>
      <c r="D1025" s="2" t="inlineStr"/>
      <c r="E1025" s="28" t="inlineStr">
        <is>
          <r>
            <t xml:space="preserve">VALOR:</t>
          </r>
        </is>
      </c>
      <c r="F1025" s="28" t="inlineStr"/>
      <c r="G1025" s="29" t="n">
        <f>ROUND(SUM(G1024),2)</f>
        <v>0.27</v>
      </c>
    </row>
    <row r="1026" customHeight="1" ht="15">
      <c r="A1026" s="2" t="inlineStr"/>
      <c r="B1026" s="2" t="inlineStr"/>
      <c r="C1026" s="2" t="inlineStr"/>
      <c r="D1026" s="2" t="inlineStr"/>
      <c r="E1026" s="28" t="inlineStr">
        <is>
          <r>
            <t xml:space="preserve">VALOR BDI:</t>
          </r>
        </is>
      </c>
      <c r="F1026" s="28" t="inlineStr"/>
      <c r="G1026" s="29" t="n">
        <f>ROUND(G1025*(0/100),2)</f>
        <v>0.0</v>
      </c>
    </row>
    <row r="1027" customHeight="1" ht="15">
      <c r="A1027" s="2" t="inlineStr"/>
      <c r="B1027" s="2" t="inlineStr"/>
      <c r="C1027" s="2" t="inlineStr"/>
      <c r="D1027" s="2" t="inlineStr"/>
      <c r="E1027" s="28" t="inlineStr">
        <is>
          <r>
            <t xml:space="preserve">VALOR COM BDI:</t>
          </r>
        </is>
      </c>
      <c r="F1027" s="28" t="inlineStr"/>
      <c r="G1027" s="29" t="n">
        <f>G1026+G1025</f>
        <v>0.27</v>
      </c>
    </row>
    <row r="1028" customHeight="1" ht="10">
      <c r="A1028" s="2" t="inlineStr"/>
      <c r="B1028" s="2" t="inlineStr"/>
      <c r="C1028" s="2" t="inlineStr"/>
      <c r="D1028" s="2" t="inlineStr"/>
      <c r="E1028" s="18" t="inlineStr"/>
      <c r="F1028" s="18" t="inlineStr"/>
      <c r="G1028" s="18" t="inlineStr"/>
    </row>
    <row r="1029" customHeight="1" ht="20">
      <c r="A1029" s="19" t="inlineStr">
        <is>
          <r>
            <t xml:space="preserve">​95389​ CURSO DE CAPACITAÇÃO PARA OPERADOR DE BETONEIRA ESTACIONÁRIA/MISTURADOR (ENCARGOS COMPLEMENTARES) - HORISTA​ (H)</t>
          </r>
        </is>
      </c>
      <c r="B1029" s="19" t="inlineStr"/>
      <c r="C1029" s="19" t="inlineStr"/>
      <c r="D1029" s="19" t="inlineStr"/>
      <c r="E1029" s="19" t="inlineStr"/>
      <c r="F1029" s="19" t="inlineStr"/>
      <c r="G1029" s="19" t="inlineStr"/>
    </row>
    <row r="1030" customHeight="1" ht="15">
      <c r="A1030" s="20" t="inlineStr">
        <is>
          <r>
            <t xml:space="preserve">Mão de Obra</t>
          </r>
        </is>
      </c>
      <c r="B1030" s="20" t="inlineStr"/>
      <c r="C1030" s="21" t="inlineStr">
        <is>
          <r>
            <t xml:space="preserve">FONTE</t>
          </r>
        </is>
      </c>
      <c r="D1030" s="21" t="inlineStr">
        <is>
          <r>
            <t xml:space="preserve">UNID</t>
          </r>
        </is>
      </c>
      <c r="E1030" s="21" t="inlineStr">
        <is>
          <r>
            <t xml:space="preserve">COEFICIENTE</t>
          </r>
        </is>
      </c>
      <c r="F1030" s="21" t="inlineStr">
        <is>
          <r>
            <t xml:space="preserve">PREÇO UNITÁRIO</t>
          </r>
        </is>
      </c>
      <c r="G1030" s="21" t="inlineStr">
        <is>
          <r>
            <t xml:space="preserve">TOTAL</t>
          </r>
        </is>
      </c>
    </row>
    <row r="1031" customHeight="1" ht="21">
      <c r="A1031" s="22" t="inlineStr">
        <is>
          <r>
            <t xml:space="preserve">00037666</t>
          </r>
        </is>
      </c>
      <c r="B1031" s="23" t="inlineStr">
        <is>
          <r>
            <t xml:space="preserve">OPERADOR DE BETONEIRA ESTACIONARIA / MISTURADOR (HORISTA)</t>
          </r>
        </is>
      </c>
      <c r="C1031" s="22" t="inlineStr">
        <is>
          <r>
            <t xml:space="preserve">SINAPI</t>
          </r>
        </is>
      </c>
      <c r="D1031" s="22" t="inlineStr">
        <is>
          <r>
            <t xml:space="preserve">H</t>
          </r>
        </is>
      </c>
      <c r="E1031" s="24" t="n">
        <v>0.00831</v>
      </c>
      <c r="F1031" s="25" t="n">
        <v>19.77</v>
      </c>
      <c r="G1031" s="25" t="n">
        <f>TRUNC(TRUNC(E1031,8)*F1031,2)</f>
        <v>0.16</v>
      </c>
    </row>
    <row r="1032" customHeight="1" ht="15">
      <c r="A1032" s="2" t="inlineStr"/>
      <c r="B1032" s="2" t="inlineStr"/>
      <c r="C1032" s="2" t="inlineStr"/>
      <c r="D1032" s="2" t="inlineStr"/>
      <c r="E1032" s="26" t="inlineStr">
        <is>
          <r>
            <t xml:space="preserve">TOTAL Mão de Obra:</t>
          </r>
        </is>
      </c>
      <c r="F1032" s="26" t="inlineStr"/>
      <c r="G1032" s="27" t="n">
        <f>SUM(G1031:G1031)</f>
        <v>0.16</v>
      </c>
    </row>
    <row r="1033" customHeight="1" ht="15">
      <c r="A1033" s="2" t="inlineStr"/>
      <c r="B1033" s="2" t="inlineStr"/>
      <c r="C1033" s="2" t="inlineStr"/>
      <c r="D1033" s="2" t="inlineStr"/>
      <c r="E1033" s="28" t="inlineStr">
        <is>
          <r>
            <t xml:space="preserve">VALOR:</t>
          </r>
        </is>
      </c>
      <c r="F1033" s="28" t="inlineStr"/>
      <c r="G1033" s="29" t="n">
        <f>ROUND(SUM(G1032),2)</f>
        <v>0.16</v>
      </c>
    </row>
    <row r="1034" customHeight="1" ht="15">
      <c r="A1034" s="2" t="inlineStr"/>
      <c r="B1034" s="2" t="inlineStr"/>
      <c r="C1034" s="2" t="inlineStr"/>
      <c r="D1034" s="2" t="inlineStr"/>
      <c r="E1034" s="28" t="inlineStr">
        <is>
          <r>
            <t xml:space="preserve">VALOR BDI:</t>
          </r>
        </is>
      </c>
      <c r="F1034" s="28" t="inlineStr"/>
      <c r="G1034" s="29" t="n">
        <f>ROUND(G1033*(0/100),2)</f>
        <v>0.0</v>
      </c>
    </row>
    <row r="1035" customHeight="1" ht="15">
      <c r="A1035" s="2" t="inlineStr"/>
      <c r="B1035" s="2" t="inlineStr"/>
      <c r="C1035" s="2" t="inlineStr"/>
      <c r="D1035" s="2" t="inlineStr"/>
      <c r="E1035" s="28" t="inlineStr">
        <is>
          <r>
            <t xml:space="preserve">VALOR COM BDI:</t>
          </r>
        </is>
      </c>
      <c r="F1035" s="28" t="inlineStr"/>
      <c r="G1035" s="29" t="n">
        <f>G1034+G1033</f>
        <v>0.16</v>
      </c>
    </row>
    <row r="1036" customHeight="1" ht="10">
      <c r="A1036" s="2" t="inlineStr"/>
      <c r="B1036" s="2" t="inlineStr"/>
      <c r="C1036" s="2" t="inlineStr"/>
      <c r="D1036" s="2" t="inlineStr"/>
      <c r="E1036" s="18" t="inlineStr"/>
      <c r="F1036" s="18" t="inlineStr"/>
      <c r="G1036" s="18" t="inlineStr"/>
    </row>
    <row r="1037" customHeight="1" ht="20">
      <c r="A1037" s="19" t="inlineStr">
        <is>
          <r>
            <t xml:space="preserve">​95360​ CURSO DE CAPACITAÇÃO PARA OPERADOR DE MÁQUINAS E EQUIPAMENTOS (ENCARGOS COMPLEMENTARES) - HORISTA​ (H)</t>
          </r>
        </is>
      </c>
      <c r="B1037" s="19" t="inlineStr"/>
      <c r="C1037" s="19" t="inlineStr"/>
      <c r="D1037" s="19" t="inlineStr"/>
      <c r="E1037" s="19" t="inlineStr"/>
      <c r="F1037" s="19" t="inlineStr"/>
      <c r="G1037" s="19" t="inlineStr"/>
    </row>
    <row r="1038" customHeight="1" ht="15">
      <c r="A1038" s="20" t="inlineStr">
        <is>
          <r>
            <t xml:space="preserve">Mão de Obra</t>
          </r>
        </is>
      </c>
      <c r="B1038" s="20" t="inlineStr"/>
      <c r="C1038" s="21" t="inlineStr">
        <is>
          <r>
            <t xml:space="preserve">FONTE</t>
          </r>
        </is>
      </c>
      <c r="D1038" s="21" t="inlineStr">
        <is>
          <r>
            <t xml:space="preserve">UNID</t>
          </r>
        </is>
      </c>
      <c r="E1038" s="21" t="inlineStr">
        <is>
          <r>
            <t xml:space="preserve">COEFICIENTE</t>
          </r>
        </is>
      </c>
      <c r="F1038" s="21" t="inlineStr">
        <is>
          <r>
            <t xml:space="preserve">PREÇO UNITÁRIO</t>
          </r>
        </is>
      </c>
      <c r="G1038" s="21" t="inlineStr">
        <is>
          <r>
            <t xml:space="preserve">TOTAL</t>
          </r>
        </is>
      </c>
    </row>
    <row r="1039" customHeight="1" ht="21">
      <c r="A1039" s="22" t="inlineStr">
        <is>
          <r>
            <t xml:space="preserve">00004230</t>
          </r>
        </is>
      </c>
      <c r="B1039" s="23" t="inlineStr">
        <is>
          <r>
            <t xml:space="preserve">OPERADOR DE MAQUINAS E TRATORES DIVERSOS - TERRAPLANAGEM (HORISTA)</t>
          </r>
        </is>
      </c>
      <c r="C1039" s="22" t="inlineStr">
        <is>
          <r>
            <t xml:space="preserve">SINAPI</t>
          </r>
        </is>
      </c>
      <c r="D1039" s="22" t="inlineStr">
        <is>
          <r>
            <t xml:space="preserve">H</t>
          </r>
        </is>
      </c>
      <c r="E1039" s="24" t="n">
        <v>0.01154</v>
      </c>
      <c r="F1039" s="25" t="n">
        <v>25.15</v>
      </c>
      <c r="G1039" s="25" t="n">
        <f>TRUNC(TRUNC(E1039,8)*F1039,2)</f>
        <v>0.29</v>
      </c>
    </row>
    <row r="1040" customHeight="1" ht="15">
      <c r="A1040" s="2" t="inlineStr"/>
      <c r="B1040" s="2" t="inlineStr"/>
      <c r="C1040" s="2" t="inlineStr"/>
      <c r="D1040" s="2" t="inlineStr"/>
      <c r="E1040" s="26" t="inlineStr">
        <is>
          <r>
            <t xml:space="preserve">TOTAL Mão de Obra:</t>
          </r>
        </is>
      </c>
      <c r="F1040" s="26" t="inlineStr"/>
      <c r="G1040" s="27" t="n">
        <f>SUM(G1039:G1039)</f>
        <v>0.29</v>
      </c>
    </row>
    <row r="1041" customHeight="1" ht="15">
      <c r="A1041" s="2" t="inlineStr"/>
      <c r="B1041" s="2" t="inlineStr"/>
      <c r="C1041" s="2" t="inlineStr"/>
      <c r="D1041" s="2" t="inlineStr"/>
      <c r="E1041" s="28" t="inlineStr">
        <is>
          <r>
            <t xml:space="preserve">VALOR:</t>
          </r>
        </is>
      </c>
      <c r="F1041" s="28" t="inlineStr"/>
      <c r="G1041" s="29" t="n">
        <f>ROUND(SUM(G1040),2)</f>
        <v>0.29</v>
      </c>
    </row>
    <row r="1042" customHeight="1" ht="15">
      <c r="A1042" s="2" t="inlineStr"/>
      <c r="B1042" s="2" t="inlineStr"/>
      <c r="C1042" s="2" t="inlineStr"/>
      <c r="D1042" s="2" t="inlineStr"/>
      <c r="E1042" s="28" t="inlineStr">
        <is>
          <r>
            <t xml:space="preserve">VALOR BDI:</t>
          </r>
        </is>
      </c>
      <c r="F1042" s="28" t="inlineStr"/>
      <c r="G1042" s="29" t="n">
        <f>ROUND(G1041*(0/100),2)</f>
        <v>0.0</v>
      </c>
    </row>
    <row r="1043" customHeight="1" ht="15">
      <c r="A1043" s="2" t="inlineStr"/>
      <c r="B1043" s="2" t="inlineStr"/>
      <c r="C1043" s="2" t="inlineStr"/>
      <c r="D1043" s="2" t="inlineStr"/>
      <c r="E1043" s="28" t="inlineStr">
        <is>
          <r>
            <t xml:space="preserve">VALOR COM BDI:</t>
          </r>
        </is>
      </c>
      <c r="F1043" s="28" t="inlineStr"/>
      <c r="G1043" s="29" t="n">
        <f>G1042+G1041</f>
        <v>0.29</v>
      </c>
    </row>
    <row r="1044" customHeight="1" ht="10">
      <c r="A1044" s="2" t="inlineStr"/>
      <c r="B1044" s="2" t="inlineStr"/>
      <c r="C1044" s="2" t="inlineStr"/>
      <c r="D1044" s="2" t="inlineStr"/>
      <c r="E1044" s="18" t="inlineStr"/>
      <c r="F1044" s="18" t="inlineStr"/>
      <c r="G1044" s="18" t="inlineStr"/>
    </row>
    <row r="1045" customHeight="1" ht="20">
      <c r="A1045" s="19" t="inlineStr">
        <is>
          <r>
            <t xml:space="preserve">​95371​ CURSO DE CAPACITAÇÃO PARA PEDREIRO (ENCARGOS COMPLEMENTARES) - HORISTA​ (H)</t>
          </r>
        </is>
      </c>
      <c r="B1045" s="19" t="inlineStr"/>
      <c r="C1045" s="19" t="inlineStr"/>
      <c r="D1045" s="19" t="inlineStr"/>
      <c r="E1045" s="19" t="inlineStr"/>
      <c r="F1045" s="19" t="inlineStr"/>
      <c r="G1045" s="19" t="inlineStr"/>
    </row>
    <row r="1046" customHeight="1" ht="15">
      <c r="A1046" s="20" t="inlineStr">
        <is>
          <r>
            <t xml:space="preserve">Mão de Obra</t>
          </r>
        </is>
      </c>
      <c r="B1046" s="20" t="inlineStr"/>
      <c r="C1046" s="21" t="inlineStr">
        <is>
          <r>
            <t xml:space="preserve">FONTE</t>
          </r>
        </is>
      </c>
      <c r="D1046" s="21" t="inlineStr">
        <is>
          <r>
            <t xml:space="preserve">UNID</t>
          </r>
        </is>
      </c>
      <c r="E1046" s="21" t="inlineStr">
        <is>
          <r>
            <t xml:space="preserve">COEFICIENTE</t>
          </r>
        </is>
      </c>
      <c r="F1046" s="21" t="inlineStr">
        <is>
          <r>
            <t xml:space="preserve">PREÇO UNITÁRIO</t>
          </r>
        </is>
      </c>
      <c r="G1046" s="21" t="inlineStr">
        <is>
          <r>
            <t xml:space="preserve">TOTAL</t>
          </r>
        </is>
      </c>
    </row>
    <row r="1047" customHeight="1" ht="15">
      <c r="A1047" s="22" t="inlineStr">
        <is>
          <r>
            <t xml:space="preserve">00004750</t>
          </r>
        </is>
      </c>
      <c r="B1047" s="23" t="inlineStr">
        <is>
          <r>
            <t xml:space="preserve">PEDREIRO (HORISTA)</t>
          </r>
        </is>
      </c>
      <c r="C1047" s="22" t="inlineStr">
        <is>
          <r>
            <t xml:space="preserve">SINAPI</t>
          </r>
        </is>
      </c>
      <c r="D1047" s="22" t="inlineStr">
        <is>
          <r>
            <t xml:space="preserve">H</t>
          </r>
        </is>
      </c>
      <c r="E1047" s="24" t="n">
        <v>0.0212</v>
      </c>
      <c r="F1047" s="25" t="n">
        <v>19.48</v>
      </c>
      <c r="G1047" s="25" t="n">
        <f>TRUNC(TRUNC(E1047,8)*F1047,2)</f>
        <v>0.41</v>
      </c>
    </row>
    <row r="1048" customHeight="1" ht="15">
      <c r="A1048" s="2" t="inlineStr"/>
      <c r="B1048" s="2" t="inlineStr"/>
      <c r="C1048" s="2" t="inlineStr"/>
      <c r="D1048" s="2" t="inlineStr"/>
      <c r="E1048" s="26" t="inlineStr">
        <is>
          <r>
            <t xml:space="preserve">TOTAL Mão de Obra:</t>
          </r>
        </is>
      </c>
      <c r="F1048" s="26" t="inlineStr"/>
      <c r="G1048" s="27" t="n">
        <f>SUM(G1047:G1047)</f>
        <v>0.41</v>
      </c>
    </row>
    <row r="1049" customHeight="1" ht="15">
      <c r="A1049" s="2" t="inlineStr"/>
      <c r="B1049" s="2" t="inlineStr"/>
      <c r="C1049" s="2" t="inlineStr"/>
      <c r="D1049" s="2" t="inlineStr"/>
      <c r="E1049" s="28" t="inlineStr">
        <is>
          <r>
            <t xml:space="preserve">VALOR:</t>
          </r>
        </is>
      </c>
      <c r="F1049" s="28" t="inlineStr"/>
      <c r="G1049" s="29" t="n">
        <f>ROUND(SUM(G1048),2)</f>
        <v>0.41</v>
      </c>
    </row>
    <row r="1050" customHeight="1" ht="15">
      <c r="A1050" s="2" t="inlineStr"/>
      <c r="B1050" s="2" t="inlineStr"/>
      <c r="C1050" s="2" t="inlineStr"/>
      <c r="D1050" s="2" t="inlineStr"/>
      <c r="E1050" s="28" t="inlineStr">
        <is>
          <r>
            <t xml:space="preserve">VALOR BDI:</t>
          </r>
        </is>
      </c>
      <c r="F1050" s="28" t="inlineStr"/>
      <c r="G1050" s="29" t="n">
        <f>ROUND(G1049*(0/100),2)</f>
        <v>0.0</v>
      </c>
    </row>
    <row r="1051" customHeight="1" ht="15">
      <c r="A1051" s="2" t="inlineStr"/>
      <c r="B1051" s="2" t="inlineStr"/>
      <c r="C1051" s="2" t="inlineStr"/>
      <c r="D1051" s="2" t="inlineStr"/>
      <c r="E1051" s="28" t="inlineStr">
        <is>
          <r>
            <t xml:space="preserve">VALOR COM BDI:</t>
          </r>
        </is>
      </c>
      <c r="F1051" s="28" t="inlineStr"/>
      <c r="G1051" s="29" t="n">
        <f>G1050+G1049</f>
        <v>0.41</v>
      </c>
    </row>
    <row r="1052" customHeight="1" ht="10">
      <c r="A1052" s="2" t="inlineStr"/>
      <c r="B1052" s="2" t="inlineStr"/>
      <c r="C1052" s="2" t="inlineStr"/>
      <c r="D1052" s="2" t="inlineStr"/>
      <c r="E1052" s="18" t="inlineStr"/>
      <c r="F1052" s="18" t="inlineStr"/>
      <c r="G1052" s="18" t="inlineStr"/>
    </row>
    <row r="1053" customHeight="1" ht="20">
      <c r="A1053" s="19" t="inlineStr">
        <is>
          <r>
            <t xml:space="preserve">​95378​ CURSO DE CAPACITAÇÃO PARA SERVENTE (ENCARGOS COMPLEMENTARES) - HORISTA​ (H)</t>
          </r>
        </is>
      </c>
      <c r="B1053" s="19" t="inlineStr"/>
      <c r="C1053" s="19" t="inlineStr"/>
      <c r="D1053" s="19" t="inlineStr"/>
      <c r="E1053" s="19" t="inlineStr"/>
      <c r="F1053" s="19" t="inlineStr"/>
      <c r="G1053" s="19" t="inlineStr"/>
    </row>
    <row r="1054" customHeight="1" ht="15">
      <c r="A1054" s="20" t="inlineStr">
        <is>
          <r>
            <t xml:space="preserve">Mão de Obra</t>
          </r>
        </is>
      </c>
      <c r="B1054" s="20" t="inlineStr"/>
      <c r="C1054" s="21" t="inlineStr">
        <is>
          <r>
            <t xml:space="preserve">FONTE</t>
          </r>
        </is>
      </c>
      <c r="D1054" s="21" t="inlineStr">
        <is>
          <r>
            <t xml:space="preserve">UNID</t>
          </r>
        </is>
      </c>
      <c r="E1054" s="21" t="inlineStr">
        <is>
          <r>
            <t xml:space="preserve">COEFICIENTE</t>
          </r>
        </is>
      </c>
      <c r="F1054" s="21" t="inlineStr">
        <is>
          <r>
            <t xml:space="preserve">PREÇO UNITÁRIO</t>
          </r>
        </is>
      </c>
      <c r="G1054" s="21" t="inlineStr">
        <is>
          <r>
            <t xml:space="preserve">TOTAL</t>
          </r>
        </is>
      </c>
    </row>
    <row r="1055" customHeight="1" ht="15">
      <c r="A1055" s="22" t="inlineStr">
        <is>
          <r>
            <t xml:space="preserve">00006111</t>
          </r>
        </is>
      </c>
      <c r="B1055" s="23" t="inlineStr">
        <is>
          <r>
            <t xml:space="preserve">SERVENTE DE OBRAS (HORISTA)</t>
          </r>
        </is>
      </c>
      <c r="C1055" s="22" t="inlineStr">
        <is>
          <r>
            <t xml:space="preserve">SINAPI</t>
          </r>
        </is>
      </c>
      <c r="D1055" s="22" t="inlineStr">
        <is>
          <r>
            <t xml:space="preserve">H</t>
          </r>
        </is>
      </c>
      <c r="E1055" s="24" t="n">
        <v>0.0212</v>
      </c>
      <c r="F1055" s="25" t="n">
        <v>13.43</v>
      </c>
      <c r="G1055" s="25" t="n">
        <f>TRUNC(TRUNC(E1055,8)*F1055,2)</f>
        <v>0.28</v>
      </c>
    </row>
    <row r="1056" customHeight="1" ht="15">
      <c r="A1056" s="2" t="inlineStr"/>
      <c r="B1056" s="2" t="inlineStr"/>
      <c r="C1056" s="2" t="inlineStr"/>
      <c r="D1056" s="2" t="inlineStr"/>
      <c r="E1056" s="26" t="inlineStr">
        <is>
          <r>
            <t xml:space="preserve">TOTAL Mão de Obra:</t>
          </r>
        </is>
      </c>
      <c r="F1056" s="26" t="inlineStr"/>
      <c r="G1056" s="27" t="n">
        <f>SUM(G1055:G1055)</f>
        <v>0.28</v>
      </c>
    </row>
    <row r="1057" customHeight="1" ht="15">
      <c r="A1057" s="2" t="inlineStr"/>
      <c r="B1057" s="2" t="inlineStr"/>
      <c r="C1057" s="2" t="inlineStr"/>
      <c r="D1057" s="2" t="inlineStr"/>
      <c r="E1057" s="28" t="inlineStr">
        <is>
          <r>
            <t xml:space="preserve">VALOR:</t>
          </r>
        </is>
      </c>
      <c r="F1057" s="28" t="inlineStr"/>
      <c r="G1057" s="29" t="n">
        <f>ROUND(SUM(G1056),2)</f>
        <v>0.28</v>
      </c>
    </row>
    <row r="1058" customHeight="1" ht="15">
      <c r="A1058" s="2" t="inlineStr"/>
      <c r="B1058" s="2" t="inlineStr"/>
      <c r="C1058" s="2" t="inlineStr"/>
      <c r="D1058" s="2" t="inlineStr"/>
      <c r="E1058" s="28" t="inlineStr">
        <is>
          <r>
            <t xml:space="preserve">VALOR BDI:</t>
          </r>
        </is>
      </c>
      <c r="F1058" s="28" t="inlineStr"/>
      <c r="G1058" s="29" t="n">
        <f>ROUND(G1057*(0/100),2)</f>
        <v>0.0</v>
      </c>
    </row>
    <row r="1059" customHeight="1" ht="15">
      <c r="A1059" s="2" t="inlineStr"/>
      <c r="B1059" s="2" t="inlineStr"/>
      <c r="C1059" s="2" t="inlineStr"/>
      <c r="D1059" s="2" t="inlineStr"/>
      <c r="E1059" s="28" t="inlineStr">
        <is>
          <r>
            <t xml:space="preserve">VALOR COM BDI:</t>
          </r>
        </is>
      </c>
      <c r="F1059" s="28" t="inlineStr"/>
      <c r="G1059" s="29" t="n">
        <f>G1058+G1057</f>
        <v>0.28</v>
      </c>
    </row>
    <row r="1060" customHeight="1" ht="10">
      <c r="A1060" s="2" t="inlineStr"/>
      <c r="B1060" s="2" t="inlineStr"/>
      <c r="C1060" s="2" t="inlineStr"/>
      <c r="D1060" s="2" t="inlineStr"/>
      <c r="E1060" s="18" t="inlineStr"/>
      <c r="F1060" s="18" t="inlineStr"/>
      <c r="G1060" s="18" t="inlineStr"/>
    </row>
    <row r="1061" customHeight="1" ht="20">
      <c r="A1061" s="19" t="inlineStr">
        <is>
          <r>
            <t xml:space="preserve">​95383​ CURSO DE CAPACITAÇÃO PARA TÉCNICO DE LABORATÓRIO (ENCARGOS COMPLEMENTARES) - HORISTA​ (H)</t>
          </r>
        </is>
      </c>
      <c r="B1061" s="19" t="inlineStr"/>
      <c r="C1061" s="19" t="inlineStr"/>
      <c r="D1061" s="19" t="inlineStr"/>
      <c r="E1061" s="19" t="inlineStr"/>
      <c r="F1061" s="19" t="inlineStr"/>
      <c r="G1061" s="19" t="inlineStr"/>
    </row>
    <row r="1062" customHeight="1" ht="15">
      <c r="A1062" s="20" t="inlineStr">
        <is>
          <r>
            <t xml:space="preserve">Mão de Obra</t>
          </r>
        </is>
      </c>
      <c r="B1062" s="20" t="inlineStr"/>
      <c r="C1062" s="21" t="inlineStr">
        <is>
          <r>
            <t xml:space="preserve">FONTE</t>
          </r>
        </is>
      </c>
      <c r="D1062" s="21" t="inlineStr">
        <is>
          <r>
            <t xml:space="preserve">UNID</t>
          </r>
        </is>
      </c>
      <c r="E1062" s="21" t="inlineStr">
        <is>
          <r>
            <t xml:space="preserve">COEFICIENTE</t>
          </r>
        </is>
      </c>
      <c r="F1062" s="21" t="inlineStr">
        <is>
          <r>
            <t xml:space="preserve">PREÇO UNITÁRIO</t>
          </r>
        </is>
      </c>
      <c r="G1062" s="21" t="inlineStr">
        <is>
          <r>
            <t xml:space="preserve">TOTAL</t>
          </r>
        </is>
      </c>
    </row>
    <row r="1063" customHeight="1" ht="21">
      <c r="A1063" s="22" t="inlineStr">
        <is>
          <r>
            <t xml:space="preserve">00007153</t>
          </r>
        </is>
      </c>
      <c r="B1063" s="23" t="inlineStr">
        <is>
          <r>
            <t xml:space="preserve">TECNICO EM LABORATORIO E CAMPO DE CONSTRUCAO CIVIL (HORISTA)</t>
          </r>
        </is>
      </c>
      <c r="C1063" s="22" t="inlineStr">
        <is>
          <r>
            <t xml:space="preserve">SINAPI</t>
          </r>
        </is>
      </c>
      <c r="D1063" s="22" t="inlineStr">
        <is>
          <r>
            <t xml:space="preserve">H</t>
          </r>
        </is>
      </c>
      <c r="E1063" s="24" t="n">
        <v>0.00831</v>
      </c>
      <c r="F1063" s="25" t="n">
        <v>29.49</v>
      </c>
      <c r="G1063" s="25" t="n">
        <f>TRUNC(TRUNC(E1063,8)*F1063,2)</f>
        <v>0.24</v>
      </c>
    </row>
    <row r="1064" customHeight="1" ht="15">
      <c r="A1064" s="2" t="inlineStr"/>
      <c r="B1064" s="2" t="inlineStr"/>
      <c r="C1064" s="2" t="inlineStr"/>
      <c r="D1064" s="2" t="inlineStr"/>
      <c r="E1064" s="26" t="inlineStr">
        <is>
          <r>
            <t xml:space="preserve">TOTAL Mão de Obra:</t>
          </r>
        </is>
      </c>
      <c r="F1064" s="26" t="inlineStr"/>
      <c r="G1064" s="27" t="n">
        <f>SUM(G1063:G1063)</f>
        <v>0.24</v>
      </c>
    </row>
    <row r="1065" customHeight="1" ht="15">
      <c r="A1065" s="2" t="inlineStr"/>
      <c r="B1065" s="2" t="inlineStr"/>
      <c r="C1065" s="2" t="inlineStr"/>
      <c r="D1065" s="2" t="inlineStr"/>
      <c r="E1065" s="28" t="inlineStr">
        <is>
          <r>
            <t xml:space="preserve">VALOR:</t>
          </r>
        </is>
      </c>
      <c r="F1065" s="28" t="inlineStr"/>
      <c r="G1065" s="29" t="n">
        <f>ROUND(SUM(G1064),2)</f>
        <v>0.24</v>
      </c>
    </row>
    <row r="1066" customHeight="1" ht="15">
      <c r="A1066" s="2" t="inlineStr"/>
      <c r="B1066" s="2" t="inlineStr"/>
      <c r="C1066" s="2" t="inlineStr"/>
      <c r="D1066" s="2" t="inlineStr"/>
      <c r="E1066" s="28" t="inlineStr">
        <is>
          <r>
            <t xml:space="preserve">VALOR BDI:</t>
          </r>
        </is>
      </c>
      <c r="F1066" s="28" t="inlineStr"/>
      <c r="G1066" s="29" t="n">
        <f>ROUND(G1065*(0/100),2)</f>
        <v>0.0</v>
      </c>
    </row>
    <row r="1067" customHeight="1" ht="15">
      <c r="A1067" s="2" t="inlineStr"/>
      <c r="B1067" s="2" t="inlineStr"/>
      <c r="C1067" s="2" t="inlineStr"/>
      <c r="D1067" s="2" t="inlineStr"/>
      <c r="E1067" s="28" t="inlineStr">
        <is>
          <r>
            <t xml:space="preserve">VALOR COM BDI:</t>
          </r>
        </is>
      </c>
      <c r="F1067" s="28" t="inlineStr"/>
      <c r="G1067" s="29" t="n">
        <f>G1066+G1065</f>
        <v>0.24</v>
      </c>
    </row>
    <row r="1068" customHeight="1" ht="10">
      <c r="A1068" s="2" t="inlineStr"/>
      <c r="B1068" s="2" t="inlineStr"/>
      <c r="C1068" s="2" t="inlineStr"/>
      <c r="D1068" s="2" t="inlineStr"/>
      <c r="E1068" s="18" t="inlineStr"/>
      <c r="F1068" s="18" t="inlineStr"/>
      <c r="G1068" s="18" t="inlineStr"/>
    </row>
    <row r="1069" customHeight="1" ht="20">
      <c r="A1069" s="19" t="inlineStr">
        <is>
          <r>
            <t xml:space="preserve">​C3160​ DESMATAMENTO DE JAZIDA​ (M2)</t>
          </r>
        </is>
      </c>
      <c r="B1069" s="19" t="inlineStr"/>
      <c r="C1069" s="19" t="inlineStr"/>
      <c r="D1069" s="19" t="inlineStr"/>
      <c r="E1069" s="19" t="inlineStr"/>
      <c r="F1069" s="19" t="inlineStr"/>
      <c r="G1069" s="19" t="inlineStr"/>
    </row>
    <row r="1070" customHeight="1" ht="15">
      <c r="A1070" s="20" t="inlineStr">
        <is>
          <r>
            <t xml:space="preserve">Equipamento Custo Horário</t>
          </r>
        </is>
      </c>
      <c r="B1070" s="20" t="inlineStr"/>
      <c r="C1070" s="21" t="inlineStr">
        <is>
          <r>
            <t xml:space="preserve">FONTE</t>
          </r>
        </is>
      </c>
      <c r="D1070" s="21" t="inlineStr">
        <is>
          <r>
            <t xml:space="preserve">UNID</t>
          </r>
        </is>
      </c>
      <c r="E1070" s="21" t="inlineStr">
        <is>
          <r>
            <t xml:space="preserve">COEFICIENTE</t>
          </r>
        </is>
      </c>
      <c r="F1070" s="21" t="inlineStr">
        <is>
          <r>
            <t xml:space="preserve">PREÇO UNITÁRIO</t>
          </r>
        </is>
      </c>
      <c r="G1070" s="21" t="inlineStr">
        <is>
          <r>
            <t xml:space="preserve">TOTAL</t>
          </r>
        </is>
      </c>
    </row>
    <row r="1071" customHeight="1" ht="15">
      <c r="A1071" s="22" t="inlineStr">
        <is>
          <r>
            <t xml:space="preserve">I0666</t>
          </r>
        </is>
      </c>
      <c r="B1071" s="23" t="inlineStr">
        <is>
          <r>
            <t xml:space="preserve">TRATOR DE ESTEIRAS C/LÂMINA E ESC. HP 155 (CHI)</t>
          </r>
        </is>
      </c>
      <c r="C1071" s="22" t="inlineStr">
        <is>
          <r>
            <t xml:space="preserve">SEINFRA</t>
          </r>
        </is>
      </c>
      <c r="D1071" s="22" t="inlineStr">
        <is>
          <r>
            <t xml:space="preserve">H</t>
          </r>
        </is>
      </c>
      <c r="E1071" s="24" t="n">
        <v>0.0</v>
      </c>
      <c r="F1071" s="30" t="n">
        <v>93.1931</v>
      </c>
      <c r="G1071" s="30" t="n">
        <f>ROUND(ROUND(E1071,8)*F1071,4)</f>
        <v>0.0</v>
      </c>
    </row>
    <row r="1072" customHeight="1" ht="15">
      <c r="A1072" s="22" t="inlineStr">
        <is>
          <r>
            <t xml:space="preserve">I0779</t>
          </r>
        </is>
      </c>
      <c r="B1072" s="23" t="inlineStr">
        <is>
          <r>
            <t xml:space="preserve">TRATOR DE ESTEIRAS C/LÂMINA E ESC. HP 155 (CHP)</t>
          </r>
        </is>
      </c>
      <c r="C1072" s="22" t="inlineStr">
        <is>
          <r>
            <t xml:space="preserve">SEINFRA</t>
          </r>
        </is>
      </c>
      <c r="D1072" s="22" t="inlineStr">
        <is>
          <r>
            <t xml:space="preserve">H</t>
          </r>
        </is>
      </c>
      <c r="E1072" s="24" t="n">
        <v>0.00132275</v>
      </c>
      <c r="F1072" s="30" t="n">
        <v>277.582</v>
      </c>
      <c r="G1072" s="30" t="n">
        <f>ROUND(ROUND(E1072,8)*F1072,4)</f>
        <v>0.3672</v>
      </c>
    </row>
    <row r="1073" customHeight="1" ht="18">
      <c r="A1073" s="2" t="inlineStr"/>
      <c r="B1073" s="2" t="inlineStr"/>
      <c r="C1073" s="2" t="inlineStr"/>
      <c r="D1073" s="2" t="inlineStr"/>
      <c r="E1073" s="26" t="inlineStr">
        <is>
          <r>
            <t xml:space="preserve">TOTAL Equipamento Custo Horário:</t>
          </r>
        </is>
      </c>
      <c r="F1073" s="26" t="inlineStr"/>
      <c r="G1073" s="31" t="n">
        <f>SUM(G1071:G1072)</f>
        <v>0.3672</v>
      </c>
    </row>
    <row r="1074" customHeight="1" ht="15">
      <c r="A1074" s="20" t="inlineStr">
        <is>
          <r>
            <t xml:space="preserve">Mão de Obra</t>
          </r>
        </is>
      </c>
      <c r="B1074" s="20" t="inlineStr"/>
      <c r="C1074" s="21" t="inlineStr">
        <is>
          <r>
            <t xml:space="preserve">FONTE</t>
          </r>
        </is>
      </c>
      <c r="D1074" s="21" t="inlineStr">
        <is>
          <r>
            <t xml:space="preserve">UNID</t>
          </r>
        </is>
      </c>
      <c r="E1074" s="21" t="inlineStr">
        <is>
          <r>
            <t xml:space="preserve">COEFICIENTE</t>
          </r>
        </is>
      </c>
      <c r="F1074" s="21" t="inlineStr">
        <is>
          <r>
            <t xml:space="preserve">PREÇO UNITÁRIO</t>
          </r>
        </is>
      </c>
      <c r="G1074" s="21" t="inlineStr">
        <is>
          <r>
            <t xml:space="preserve">TOTAL</t>
          </r>
        </is>
      </c>
    </row>
    <row r="1075" customHeight="1" ht="15">
      <c r="A1075" s="22" t="inlineStr">
        <is>
          <r>
            <t xml:space="preserve">I2543</t>
          </r>
        </is>
      </c>
      <c r="B1075" s="23" t="inlineStr">
        <is>
          <r>
            <t xml:space="preserve">SERVENTE</t>
          </r>
        </is>
      </c>
      <c r="C1075" s="22" t="inlineStr">
        <is>
          <r>
            <t xml:space="preserve">SEINFRA</t>
          </r>
        </is>
      </c>
      <c r="D1075" s="22" t="inlineStr">
        <is>
          <r>
            <t xml:space="preserve">H</t>
          </r>
        </is>
      </c>
      <c r="E1075" s="24" t="n">
        <v>0.0026455</v>
      </c>
      <c r="F1075" s="30" t="n">
        <v>18.46</v>
      </c>
      <c r="G1075" s="30" t="n">
        <f>ROUND(ROUND(E1075,8)*F1075,4)</f>
        <v>0.0488</v>
      </c>
    </row>
    <row r="1076" customHeight="1" ht="15">
      <c r="A1076" s="2" t="inlineStr"/>
      <c r="B1076" s="2" t="inlineStr"/>
      <c r="C1076" s="2" t="inlineStr"/>
      <c r="D1076" s="2" t="inlineStr"/>
      <c r="E1076" s="26" t="inlineStr">
        <is>
          <r>
            <t xml:space="preserve">TOTAL Mão de Obra:</t>
          </r>
        </is>
      </c>
      <c r="F1076" s="26" t="inlineStr"/>
      <c r="G1076" s="31" t="n">
        <f>SUM(G1075:G1075)</f>
        <v>0.0488</v>
      </c>
    </row>
    <row r="1077" customHeight="1" ht="15">
      <c r="A1077" s="2" t="inlineStr"/>
      <c r="B1077" s="2" t="inlineStr"/>
      <c r="C1077" s="2" t="inlineStr"/>
      <c r="D1077" s="2" t="inlineStr"/>
      <c r="E1077" s="28" t="inlineStr">
        <is>
          <r>
            <t xml:space="preserve">VALOR:</t>
          </r>
        </is>
      </c>
      <c r="F1077" s="28" t="inlineStr"/>
      <c r="G1077" s="29" t="n">
        <f>ROUND(SUM(G1073,G1076),2)</f>
        <v>0.42</v>
      </c>
    </row>
    <row r="1078" customHeight="1" ht="15">
      <c r="A1078" s="2" t="inlineStr"/>
      <c r="B1078" s="2" t="inlineStr"/>
      <c r="C1078" s="2" t="inlineStr"/>
      <c r="D1078" s="2" t="inlineStr"/>
      <c r="E1078" s="28" t="inlineStr">
        <is>
          <r>
            <t xml:space="preserve">VALOR BDI:</t>
          </r>
        </is>
      </c>
      <c r="F1078" s="28" t="inlineStr"/>
      <c r="G1078" s="29" t="n">
        <f>ROUND(G1077*(0/100),2)</f>
        <v>0.0</v>
      </c>
    </row>
    <row r="1079" customHeight="1" ht="15">
      <c r="A1079" s="2" t="inlineStr"/>
      <c r="B1079" s="2" t="inlineStr"/>
      <c r="C1079" s="2" t="inlineStr"/>
      <c r="D1079" s="2" t="inlineStr"/>
      <c r="E1079" s="28" t="inlineStr">
        <is>
          <r>
            <t xml:space="preserve">VALOR COM BDI:</t>
          </r>
        </is>
      </c>
      <c r="F1079" s="28" t="inlineStr"/>
      <c r="G1079" s="29" t="n">
        <f>G1078+G1077</f>
        <v>0.42</v>
      </c>
    </row>
    <row r="1080" customHeight="1" ht="10">
      <c r="A1080" s="2" t="inlineStr"/>
      <c r="B1080" s="2" t="inlineStr"/>
      <c r="C1080" s="2" t="inlineStr"/>
      <c r="D1080" s="2" t="inlineStr"/>
      <c r="E1080" s="18" t="inlineStr"/>
      <c r="F1080" s="18" t="inlineStr"/>
      <c r="G1080" s="18" t="inlineStr"/>
    </row>
    <row r="1081" customHeight="1" ht="20">
      <c r="A1081" s="19" t="inlineStr">
        <is>
          <r>
            <t xml:space="preserve">​I10263​ ESCAVADEIRA HIDRÁULICA SOBRE ESTEIRAS, CAÇAMBA 0,80 M3, PESO OPER.17 T, POT. 111 HP (CHP)​ (H)</t>
          </r>
        </is>
      </c>
      <c r="B1081" s="19" t="inlineStr"/>
      <c r="C1081" s="19" t="inlineStr"/>
      <c r="D1081" s="19" t="inlineStr"/>
      <c r="E1081" s="19" t="inlineStr"/>
      <c r="F1081" s="19" t="inlineStr"/>
      <c r="G1081" s="19" t="inlineStr"/>
    </row>
    <row r="1082" customHeight="1" ht="15">
      <c r="A1082" s="20" t="inlineStr">
        <is>
          <r>
            <t xml:space="preserve">Geral</t>
          </r>
        </is>
      </c>
      <c r="B1082" s="20" t="inlineStr"/>
      <c r="C1082" s="21" t="inlineStr">
        <is>
          <r>
            <t xml:space="preserve">FONTE</t>
          </r>
        </is>
      </c>
      <c r="D1082" s="21" t="inlineStr">
        <is>
          <r>
            <t xml:space="preserve">UNID</t>
          </r>
        </is>
      </c>
      <c r="E1082" s="21" t="inlineStr">
        <is>
          <r>
            <t xml:space="preserve">COEFICIENTE</t>
          </r>
        </is>
      </c>
      <c r="F1082" s="21" t="inlineStr">
        <is>
          <r>
            <t xml:space="preserve">PREÇO UNITÁRIO</t>
          </r>
        </is>
      </c>
      <c r="G1082" s="21" t="inlineStr">
        <is>
          <r>
            <t xml:space="preserve">TOTAL</t>
          </r>
        </is>
      </c>
    </row>
    <row r="1083" customHeight="1" ht="21">
      <c r="A1083" s="22" t="inlineStr">
        <is>
          <r>
            <t xml:space="preserve">I2787</t>
          </r>
        </is>
      </c>
      <c r="B1083" s="23" t="inlineStr">
        <is>
          <r>
            <t xml:space="preserve">MÃO DE OBRA DE OPERAÇÃO DA ESCAVADEIRA HIDRÁULICA</t>
          </r>
        </is>
      </c>
      <c r="C1083" s="22" t="inlineStr">
        <is>
          <r>
            <t xml:space="preserve">SEINFRA</t>
          </r>
        </is>
      </c>
      <c r="D1083" s="22" t="inlineStr">
        <is>
          <r>
            <t xml:space="preserve">H</t>
          </r>
        </is>
      </c>
      <c r="E1083" s="24" t="n">
        <v>1.0</v>
      </c>
      <c r="F1083" s="30" t="n">
        <v>28.81</v>
      </c>
      <c r="G1083" s="30" t="n">
        <f>ROUND(ROUND(E1083,8)*F1083,4)</f>
        <v>28.81</v>
      </c>
    </row>
    <row r="1084" customHeight="1" ht="21">
      <c r="A1084" s="22" t="inlineStr">
        <is>
          <r>
            <t xml:space="preserve">I10265</t>
          </r>
        </is>
      </c>
      <c r="B1084" s="23" t="inlineStr">
        <is>
          <r>
            <t xml:space="preserve">MATERIAL DE OPERAÇÃO DA ESCAVADEIRA HIDRÁULICA 111HP</t>
          </r>
        </is>
      </c>
      <c r="C1084" s="22" t="inlineStr">
        <is>
          <r>
            <t xml:space="preserve">SEINFRA</t>
          </r>
        </is>
      </c>
      <c r="D1084" s="22" t="inlineStr">
        <is>
          <r>
            <t xml:space="preserve">H</t>
          </r>
        </is>
      </c>
      <c r="E1084" s="24" t="n">
        <v>1.0</v>
      </c>
      <c r="F1084" s="30" t="n">
        <v>83.0835</v>
      </c>
      <c r="G1084" s="30" t="n">
        <f>ROUND(ROUND(E1084,8)*F1084,4)</f>
        <v>83.0835</v>
      </c>
    </row>
    <row r="1085" customHeight="1" ht="15">
      <c r="A1085" s="22" t="inlineStr">
        <is>
          <r>
            <t xml:space="preserve">I2701</t>
          </r>
        </is>
      </c>
      <c r="B1085" s="23" t="inlineStr">
        <is>
          <r>
            <t xml:space="preserve">DEPRECIAÇÃO</t>
          </r>
        </is>
      </c>
      <c r="C1085" s="22" t="inlineStr">
        <is>
          <r>
            <t xml:space="preserve">SEINFRA</t>
          </r>
        </is>
      </c>
      <c r="D1085" s="22" t="inlineStr">
        <is>
          <r>
            <t xml:space="preserve">H</t>
          </r>
        </is>
      </c>
      <c r="E1085" s="24" t="n">
        <v>49.9579</v>
      </c>
      <c r="F1085" s="30" t="n">
        <v>1.0</v>
      </c>
      <c r="G1085" s="30" t="n">
        <f>ROUND(ROUND(E1085,8)*F1085,4)</f>
        <v>49.9579</v>
      </c>
    </row>
    <row r="1086" customHeight="1" ht="15">
      <c r="A1086" s="22" t="inlineStr">
        <is>
          <r>
            <t xml:space="preserve">I2702</t>
          </r>
        </is>
      </c>
      <c r="B1086" s="23" t="inlineStr">
        <is>
          <r>
            <t xml:space="preserve">JUROS</t>
          </r>
        </is>
      </c>
      <c r="C1086" s="22" t="inlineStr">
        <is>
          <r>
            <t xml:space="preserve">SEINFRA</t>
          </r>
        </is>
      </c>
      <c r="D1086" s="22" t="inlineStr">
        <is>
          <r>
            <t xml:space="preserve">H</t>
          </r>
        </is>
      </c>
      <c r="E1086" s="24" t="n">
        <v>12.8463</v>
      </c>
      <c r="F1086" s="30" t="n">
        <v>1.0</v>
      </c>
      <c r="G1086" s="30" t="n">
        <f>ROUND(ROUND(E1086,8)*F1086,4)</f>
        <v>12.8463</v>
      </c>
    </row>
    <row r="1087" customHeight="1" ht="15">
      <c r="A1087" s="22" t="inlineStr">
        <is>
          <r>
            <t xml:space="preserve">I2703</t>
          </r>
        </is>
      </c>
      <c r="B1087" s="23" t="inlineStr">
        <is>
          <r>
            <t xml:space="preserve">MANUTENÇÃO</t>
          </r>
        </is>
      </c>
      <c r="C1087" s="22" t="inlineStr">
        <is>
          <r>
            <t xml:space="preserve">SEINFRA</t>
          </r>
        </is>
      </c>
      <c r="D1087" s="22" t="inlineStr">
        <is>
          <r>
            <t xml:space="preserve">H</t>
          </r>
        </is>
      </c>
      <c r="E1087" s="24" t="n">
        <v>71.3684</v>
      </c>
      <c r="F1087" s="30" t="n">
        <v>1.0</v>
      </c>
      <c r="G1087" s="30" t="n">
        <f>ROUND(ROUND(E1087,8)*F1087,4)</f>
        <v>71.3684</v>
      </c>
    </row>
    <row r="1088" customHeight="1" ht="15">
      <c r="A1088" s="2" t="inlineStr"/>
      <c r="B1088" s="2" t="inlineStr"/>
      <c r="C1088" s="2" t="inlineStr"/>
      <c r="D1088" s="2" t="inlineStr"/>
      <c r="E1088" s="26" t="inlineStr">
        <is>
          <r>
            <t xml:space="preserve">TOTAL Geral:</t>
          </r>
        </is>
      </c>
      <c r="F1088" s="26" t="inlineStr"/>
      <c r="G1088" s="31" t="n">
        <f>SUM(G1083:G1087)</f>
        <v>246.0661</v>
      </c>
    </row>
    <row r="1089" customHeight="1" ht="15">
      <c r="A1089" s="2" t="inlineStr"/>
      <c r="B1089" s="2" t="inlineStr"/>
      <c r="C1089" s="2" t="inlineStr"/>
      <c r="D1089" s="2" t="inlineStr"/>
      <c r="E1089" s="28" t="inlineStr">
        <is>
          <r>
            <t xml:space="preserve">VALOR:</t>
          </r>
        </is>
      </c>
      <c r="F1089" s="28" t="inlineStr"/>
      <c r="G1089" s="29" t="n">
        <f>ROUND(SUM(G1088),2)</f>
        <v>246.07</v>
      </c>
    </row>
    <row r="1090" customHeight="1" ht="15">
      <c r="A1090" s="2" t="inlineStr"/>
      <c r="B1090" s="2" t="inlineStr"/>
      <c r="C1090" s="2" t="inlineStr"/>
      <c r="D1090" s="2" t="inlineStr"/>
      <c r="E1090" s="28" t="inlineStr">
        <is>
          <r>
            <t xml:space="preserve">VALOR BDI:</t>
          </r>
        </is>
      </c>
      <c r="F1090" s="28" t="inlineStr"/>
      <c r="G1090" s="29" t="n">
        <f>ROUND(G1089*(0/100),2)</f>
        <v>0.0</v>
      </c>
    </row>
    <row r="1091" customHeight="1" ht="15">
      <c r="A1091" s="2" t="inlineStr"/>
      <c r="B1091" s="2" t="inlineStr"/>
      <c r="C1091" s="2" t="inlineStr"/>
      <c r="D1091" s="2" t="inlineStr"/>
      <c r="E1091" s="28" t="inlineStr">
        <is>
          <r>
            <t xml:space="preserve">VALOR COM BDI:</t>
          </r>
        </is>
      </c>
      <c r="F1091" s="28" t="inlineStr"/>
      <c r="G1091" s="29" t="n">
        <f>G1090+G1089</f>
        <v>246.07</v>
      </c>
    </row>
    <row r="1092" customHeight="1" ht="10">
      <c r="A1092" s="2" t="inlineStr"/>
      <c r="B1092" s="2" t="inlineStr"/>
      <c r="C1092" s="2" t="inlineStr"/>
      <c r="D1092" s="2" t="inlineStr"/>
      <c r="E1092" s="18" t="inlineStr"/>
      <c r="F1092" s="18" t="inlineStr"/>
      <c r="G1092" s="18" t="inlineStr"/>
    </row>
    <row r="1093" customHeight="1" ht="20">
      <c r="A1093" s="19" t="inlineStr">
        <is>
          <r>
            <t xml:space="preserve">​C3179​ ESCAVAÇÃO CARGA TRANSP. 1-CAT 4001 A 5000M​ (M3)</t>
          </r>
        </is>
      </c>
      <c r="B1093" s="19" t="inlineStr"/>
      <c r="C1093" s="19" t="inlineStr"/>
      <c r="D1093" s="19" t="inlineStr"/>
      <c r="E1093" s="19" t="inlineStr"/>
      <c r="F1093" s="19" t="inlineStr"/>
      <c r="G1093" s="19" t="inlineStr"/>
    </row>
    <row r="1094" customHeight="1" ht="15">
      <c r="A1094" s="20" t="inlineStr">
        <is>
          <r>
            <t xml:space="preserve">Equipamento Custo Horário</t>
          </r>
        </is>
      </c>
      <c r="B1094" s="20" t="inlineStr"/>
      <c r="C1094" s="21" t="inlineStr">
        <is>
          <r>
            <t xml:space="preserve">FONTE</t>
          </r>
        </is>
      </c>
      <c r="D1094" s="21" t="inlineStr">
        <is>
          <r>
            <t xml:space="preserve">UNID</t>
          </r>
        </is>
      </c>
      <c r="E1094" s="21" t="inlineStr">
        <is>
          <r>
            <t xml:space="preserve">COEFICIENTE</t>
          </r>
        </is>
      </c>
      <c r="F1094" s="21" t="inlineStr">
        <is>
          <r>
            <t xml:space="preserve">PREÇO UNITÁRIO</t>
          </r>
        </is>
      </c>
      <c r="G1094" s="21" t="inlineStr">
        <is>
          <r>
            <t xml:space="preserve">TOTAL</t>
          </r>
        </is>
      </c>
    </row>
    <row r="1095" customHeight="1" ht="15">
      <c r="A1095" s="22" t="inlineStr">
        <is>
          <r>
            <t xml:space="preserve">I0576</t>
          </r>
        </is>
      </c>
      <c r="B1095" s="23" t="inlineStr">
        <is>
          <r>
            <t xml:space="preserve">CAMINHÃO BASCULANTE 12 M3 (CHI)</t>
          </r>
        </is>
      </c>
      <c r="C1095" s="22" t="inlineStr">
        <is>
          <r>
            <t xml:space="preserve">SEINFRA</t>
          </r>
        </is>
      </c>
      <c r="D1095" s="22" t="inlineStr">
        <is>
          <r>
            <t xml:space="preserve">H</t>
          </r>
        </is>
      </c>
      <c r="E1095" s="24" t="n">
        <v>0.00617647</v>
      </c>
      <c r="F1095" s="30" t="n">
        <v>68.8661</v>
      </c>
      <c r="G1095" s="30" t="n">
        <f>ROUND(ROUND(E1095,8)*F1095,4)</f>
        <v>0.4253</v>
      </c>
    </row>
    <row r="1096" customHeight="1" ht="15">
      <c r="A1096" s="22" t="inlineStr">
        <is>
          <r>
            <t xml:space="preserve">I0688</t>
          </r>
        </is>
      </c>
      <c r="B1096" s="23" t="inlineStr">
        <is>
          <r>
            <t xml:space="preserve">CAMINHÃO BASCULANTE 12 M3 (CHP)</t>
          </r>
        </is>
      </c>
      <c r="C1096" s="22" t="inlineStr">
        <is>
          <r>
            <t xml:space="preserve">SEINFRA</t>
          </r>
        </is>
      </c>
      <c r="D1096" s="22" t="inlineStr">
        <is>
          <r>
            <t xml:space="preserve">H</t>
          </r>
        </is>
      </c>
      <c r="E1096" s="24" t="n">
        <v>0.08205882</v>
      </c>
      <c r="F1096" s="30" t="n">
        <v>210.4272</v>
      </c>
      <c r="G1096" s="30" t="n">
        <f>ROUND(ROUND(E1096,8)*F1096,4)</f>
        <v>17.2674</v>
      </c>
    </row>
    <row r="1097" customHeight="1" ht="15">
      <c r="A1097" s="22" t="inlineStr">
        <is>
          <r>
            <t xml:space="preserve">I0596</t>
          </r>
        </is>
      </c>
      <c r="B1097" s="23" t="inlineStr">
        <is>
          <r>
            <t xml:space="preserve">CARREGADEIRA DE PNEUS HP 180 (CHI)</t>
          </r>
        </is>
      </c>
      <c r="C1097" s="22" t="inlineStr">
        <is>
          <r>
            <t xml:space="preserve">SEINFRA</t>
          </r>
        </is>
      </c>
      <c r="D1097" s="22" t="inlineStr">
        <is>
          <r>
            <t xml:space="preserve">H</t>
          </r>
        </is>
      </c>
      <c r="E1097" s="24" t="n">
        <v>1.9608E-4</v>
      </c>
      <c r="F1097" s="30" t="n">
        <v>106.3468</v>
      </c>
      <c r="G1097" s="30" t="n">
        <f>ROUND(ROUND(E1097,8)*F1097,4)</f>
        <v>0.0209</v>
      </c>
    </row>
    <row r="1098" customHeight="1" ht="15">
      <c r="A1098" s="22" t="inlineStr">
        <is>
          <r>
            <t xml:space="preserve">I0710</t>
          </r>
        </is>
      </c>
      <c r="B1098" s="23" t="inlineStr">
        <is>
          <r>
            <t xml:space="preserve">CARREGADEIRA DE PNEUS HP 180 (CHP)</t>
          </r>
        </is>
      </c>
      <c r="C1098" s="22" t="inlineStr">
        <is>
          <r>
            <t xml:space="preserve">SEINFRA</t>
          </r>
        </is>
      </c>
      <c r="D1098" s="22" t="inlineStr">
        <is>
          <r>
            <t xml:space="preserve">H</t>
          </r>
        </is>
      </c>
      <c r="E1098" s="24" t="n">
        <v>0.00960784</v>
      </c>
      <c r="F1098" s="30" t="n">
        <v>328.0339</v>
      </c>
      <c r="G1098" s="30" t="n">
        <f>ROUND(ROUND(E1098,8)*F1098,4)</f>
        <v>3.1517</v>
      </c>
    </row>
    <row r="1099" customHeight="1" ht="15">
      <c r="A1099" s="22" t="inlineStr">
        <is>
          <r>
            <t xml:space="preserve">I0666</t>
          </r>
        </is>
      </c>
      <c r="B1099" s="23" t="inlineStr">
        <is>
          <r>
            <t xml:space="preserve">TRATOR DE ESTEIRAS C/LÂMINA E ESC. HP 155 (CHI)</t>
          </r>
        </is>
      </c>
      <c r="C1099" s="22" t="inlineStr">
        <is>
          <r>
            <t xml:space="preserve">SEINFRA</t>
          </r>
        </is>
      </c>
      <c r="D1099" s="22" t="inlineStr">
        <is>
          <r>
            <t xml:space="preserve">H</t>
          </r>
        </is>
      </c>
      <c r="E1099" s="24" t="n">
        <v>0.0</v>
      </c>
      <c r="F1099" s="30" t="n">
        <v>93.1931</v>
      </c>
      <c r="G1099" s="30" t="n">
        <f>ROUND(ROUND(E1099,8)*F1099,4)</f>
        <v>0.0</v>
      </c>
    </row>
    <row r="1100" customHeight="1" ht="15">
      <c r="A1100" s="22" t="inlineStr">
        <is>
          <r>
            <t xml:space="preserve">I0779</t>
          </r>
        </is>
      </c>
      <c r="B1100" s="23" t="inlineStr">
        <is>
          <r>
            <t xml:space="preserve">TRATOR DE ESTEIRAS C/LÂMINA E ESC. HP 155 (CHP)</t>
          </r>
        </is>
      </c>
      <c r="C1100" s="22" t="inlineStr">
        <is>
          <r>
            <t xml:space="preserve">SEINFRA</t>
          </r>
        </is>
      </c>
      <c r="D1100" s="22" t="inlineStr">
        <is>
          <r>
            <t xml:space="preserve">H</t>
          </r>
        </is>
      </c>
      <c r="E1100" s="24" t="n">
        <v>0.00980392</v>
      </c>
      <c r="F1100" s="30" t="n">
        <v>277.582</v>
      </c>
      <c r="G1100" s="30" t="n">
        <f>ROUND(ROUND(E1100,8)*F1100,4)</f>
        <v>2.7214</v>
      </c>
    </row>
    <row r="1101" customHeight="1" ht="18">
      <c r="A1101" s="2" t="inlineStr"/>
      <c r="B1101" s="2" t="inlineStr"/>
      <c r="C1101" s="2" t="inlineStr"/>
      <c r="D1101" s="2" t="inlineStr"/>
      <c r="E1101" s="26" t="inlineStr">
        <is>
          <r>
            <t xml:space="preserve">TOTAL Equipamento Custo Horário:</t>
          </r>
        </is>
      </c>
      <c r="F1101" s="26" t="inlineStr"/>
      <c r="G1101" s="31" t="n">
        <f>SUM(G1095:G1100)</f>
        <v>23.5867</v>
      </c>
    </row>
    <row r="1102" customHeight="1" ht="15">
      <c r="A1102" s="20" t="inlineStr">
        <is>
          <r>
            <t xml:space="preserve">Mão de Obra</t>
          </r>
        </is>
      </c>
      <c r="B1102" s="20" t="inlineStr"/>
      <c r="C1102" s="21" t="inlineStr">
        <is>
          <r>
            <t xml:space="preserve">FONTE</t>
          </r>
        </is>
      </c>
      <c r="D1102" s="21" t="inlineStr">
        <is>
          <r>
            <t xml:space="preserve">UNID</t>
          </r>
        </is>
      </c>
      <c r="E1102" s="21" t="inlineStr">
        <is>
          <r>
            <t xml:space="preserve">COEFICIENTE</t>
          </r>
        </is>
      </c>
      <c r="F1102" s="21" t="inlineStr">
        <is>
          <r>
            <t xml:space="preserve">PREÇO UNITÁRIO</t>
          </r>
        </is>
      </c>
      <c r="G1102" s="21" t="inlineStr">
        <is>
          <r>
            <t xml:space="preserve">TOTAL</t>
          </r>
        </is>
      </c>
    </row>
    <row r="1103" customHeight="1" ht="15">
      <c r="A1103" s="22" t="inlineStr">
        <is>
          <r>
            <t xml:space="preserve">I2543</t>
          </r>
        </is>
      </c>
      <c r="B1103" s="23" t="inlineStr">
        <is>
          <r>
            <t xml:space="preserve">SERVENTE</t>
          </r>
        </is>
      </c>
      <c r="C1103" s="22" t="inlineStr">
        <is>
          <r>
            <t xml:space="preserve">SEINFRA</t>
          </r>
        </is>
      </c>
      <c r="D1103" s="22" t="inlineStr">
        <is>
          <r>
            <t xml:space="preserve">H</t>
          </r>
        </is>
      </c>
      <c r="E1103" s="24" t="n">
        <v>0.02941176</v>
      </c>
      <c r="F1103" s="30" t="n">
        <v>18.46</v>
      </c>
      <c r="G1103" s="30" t="n">
        <f>ROUND(ROUND(E1103,8)*F1103,4)</f>
        <v>0.5429</v>
      </c>
    </row>
    <row r="1104" customHeight="1" ht="15">
      <c r="A1104" s="2" t="inlineStr"/>
      <c r="B1104" s="2" t="inlineStr"/>
      <c r="C1104" s="2" t="inlineStr"/>
      <c r="D1104" s="2" t="inlineStr"/>
      <c r="E1104" s="26" t="inlineStr">
        <is>
          <r>
            <t xml:space="preserve">TOTAL Mão de Obra:</t>
          </r>
        </is>
      </c>
      <c r="F1104" s="26" t="inlineStr"/>
      <c r="G1104" s="31" t="n">
        <f>SUM(G1103:G1103)</f>
        <v>0.5429</v>
      </c>
    </row>
    <row r="1105" customHeight="1" ht="15">
      <c r="A1105" s="2" t="inlineStr"/>
      <c r="B1105" s="2" t="inlineStr"/>
      <c r="C1105" s="2" t="inlineStr"/>
      <c r="D1105" s="2" t="inlineStr"/>
      <c r="E1105" s="28" t="inlineStr">
        <is>
          <r>
            <t xml:space="preserve">VALOR:</t>
          </r>
        </is>
      </c>
      <c r="F1105" s="28" t="inlineStr"/>
      <c r="G1105" s="29" t="n">
        <f>ROUND(SUM(G1101,G1104),2)</f>
        <v>24.13</v>
      </c>
    </row>
    <row r="1106" customHeight="1" ht="15">
      <c r="A1106" s="2" t="inlineStr"/>
      <c r="B1106" s="2" t="inlineStr"/>
      <c r="C1106" s="2" t="inlineStr"/>
      <c r="D1106" s="2" t="inlineStr"/>
      <c r="E1106" s="28" t="inlineStr">
        <is>
          <r>
            <t xml:space="preserve">VALOR BDI:</t>
          </r>
        </is>
      </c>
      <c r="F1106" s="28" t="inlineStr"/>
      <c r="G1106" s="29" t="n">
        <f>ROUND(G1105*(0/100),2)</f>
        <v>0.0</v>
      </c>
    </row>
    <row r="1107" customHeight="1" ht="15">
      <c r="A1107" s="2" t="inlineStr"/>
      <c r="B1107" s="2" t="inlineStr"/>
      <c r="C1107" s="2" t="inlineStr"/>
      <c r="D1107" s="2" t="inlineStr"/>
      <c r="E1107" s="28" t="inlineStr">
        <is>
          <r>
            <t xml:space="preserve">VALOR COM BDI:</t>
          </r>
        </is>
      </c>
      <c r="F1107" s="28" t="inlineStr"/>
      <c r="G1107" s="29" t="n">
        <f>G1106+G1105</f>
        <v>24.13</v>
      </c>
    </row>
    <row r="1108" customHeight="1" ht="10">
      <c r="A1108" s="2" t="inlineStr"/>
      <c r="B1108" s="2" t="inlineStr"/>
      <c r="C1108" s="2" t="inlineStr"/>
      <c r="D1108" s="2" t="inlineStr"/>
      <c r="E1108" s="18" t="inlineStr"/>
      <c r="F1108" s="18" t="inlineStr"/>
      <c r="G1108" s="18" t="inlineStr"/>
    </row>
    <row r="1109" customHeight="1" ht="20">
      <c r="A1109" s="19" t="inlineStr">
        <is>
          <r>
            <t xml:space="preserve">​C3211​ ESCAVAÇÃO E CARGA DE MATERIAL DE JAZIDA​ (M3)</t>
          </r>
        </is>
      </c>
      <c r="B1109" s="19" t="inlineStr"/>
      <c r="C1109" s="19" t="inlineStr"/>
      <c r="D1109" s="19" t="inlineStr"/>
      <c r="E1109" s="19" t="inlineStr"/>
      <c r="F1109" s="19" t="inlineStr"/>
      <c r="G1109" s="19" t="inlineStr"/>
    </row>
    <row r="1110" customHeight="1" ht="15">
      <c r="A1110" s="20" t="inlineStr">
        <is>
          <r>
            <t xml:space="preserve">Equipamento Custo Horário</t>
          </r>
        </is>
      </c>
      <c r="B1110" s="20" t="inlineStr"/>
      <c r="C1110" s="21" t="inlineStr">
        <is>
          <r>
            <t xml:space="preserve">FONTE</t>
          </r>
        </is>
      </c>
      <c r="D1110" s="21" t="inlineStr">
        <is>
          <r>
            <t xml:space="preserve">UNID</t>
          </r>
        </is>
      </c>
      <c r="E1110" s="21" t="inlineStr">
        <is>
          <r>
            <t xml:space="preserve">COEFICIENTE</t>
          </r>
        </is>
      </c>
      <c r="F1110" s="21" t="inlineStr">
        <is>
          <r>
            <t xml:space="preserve">PREÇO UNITÁRIO</t>
          </r>
        </is>
      </c>
      <c r="G1110" s="21" t="inlineStr">
        <is>
          <r>
            <t xml:space="preserve">TOTAL</t>
          </r>
        </is>
      </c>
    </row>
    <row r="1111" customHeight="1" ht="15">
      <c r="A1111" s="22" t="inlineStr">
        <is>
          <r>
            <t xml:space="preserve">I0596</t>
          </r>
        </is>
      </c>
      <c r="B1111" s="23" t="inlineStr">
        <is>
          <r>
            <t xml:space="preserve">CARREGADEIRA DE PNEUS HP 180 (CHI)</t>
          </r>
        </is>
      </c>
      <c r="C1111" s="22" t="inlineStr">
        <is>
          <r>
            <t xml:space="preserve">SEINFRA</t>
          </r>
        </is>
      </c>
      <c r="D1111" s="22" t="inlineStr">
        <is>
          <r>
            <t xml:space="preserve">H</t>
          </r>
        </is>
      </c>
      <c r="E1111" s="24" t="n">
        <v>7.519E-5</v>
      </c>
      <c r="F1111" s="30" t="n">
        <v>106.3468</v>
      </c>
      <c r="G1111" s="30" t="n">
        <f>ROUND(ROUND(E1111,8)*F1111,4)</f>
        <v>0.008</v>
      </c>
    </row>
    <row r="1112" customHeight="1" ht="15">
      <c r="A1112" s="22" t="inlineStr">
        <is>
          <r>
            <t xml:space="preserve">I0710</t>
          </r>
        </is>
      </c>
      <c r="B1112" s="23" t="inlineStr">
        <is>
          <r>
            <t xml:space="preserve">CARREGADEIRA DE PNEUS HP 180 (CHP)</t>
          </r>
        </is>
      </c>
      <c r="C1112" s="22" t="inlineStr">
        <is>
          <r>
            <t xml:space="preserve">SEINFRA</t>
          </r>
        </is>
      </c>
      <c r="D1112" s="22" t="inlineStr">
        <is>
          <r>
            <t xml:space="preserve">H</t>
          </r>
        </is>
      </c>
      <c r="E1112" s="24" t="n">
        <v>0.00744361</v>
      </c>
      <c r="F1112" s="30" t="n">
        <v>328.0339</v>
      </c>
      <c r="G1112" s="30" t="n">
        <f>ROUND(ROUND(E1112,8)*F1112,4)</f>
        <v>2.4418</v>
      </c>
    </row>
    <row r="1113" customHeight="1" ht="15">
      <c r="A1113" s="22" t="inlineStr">
        <is>
          <r>
            <t xml:space="preserve">I0666</t>
          </r>
        </is>
      </c>
      <c r="B1113" s="23" t="inlineStr">
        <is>
          <r>
            <t xml:space="preserve">TRATOR DE ESTEIRAS C/LÂMINA E ESC. HP 155 (CHI)</t>
          </r>
        </is>
      </c>
      <c r="C1113" s="22" t="inlineStr">
        <is>
          <r>
            <t xml:space="preserve">SEINFRA</t>
          </r>
        </is>
      </c>
      <c r="D1113" s="22" t="inlineStr">
        <is>
          <r>
            <t xml:space="preserve">H</t>
          </r>
        </is>
      </c>
      <c r="E1113" s="24" t="n">
        <v>0.0</v>
      </c>
      <c r="F1113" s="30" t="n">
        <v>93.1931</v>
      </c>
      <c r="G1113" s="30" t="n">
        <f>ROUND(ROUND(E1113,8)*F1113,4)</f>
        <v>0.0</v>
      </c>
    </row>
    <row r="1114" customHeight="1" ht="15">
      <c r="A1114" s="22" t="inlineStr">
        <is>
          <r>
            <t xml:space="preserve">I0779</t>
          </r>
        </is>
      </c>
      <c r="B1114" s="23" t="inlineStr">
        <is>
          <r>
            <t xml:space="preserve">TRATOR DE ESTEIRAS C/LÂMINA E ESC. HP 155 (CHP)</t>
          </r>
        </is>
      </c>
      <c r="C1114" s="22" t="inlineStr">
        <is>
          <r>
            <t xml:space="preserve">SEINFRA</t>
          </r>
        </is>
      </c>
      <c r="D1114" s="22" t="inlineStr">
        <is>
          <r>
            <t xml:space="preserve">H</t>
          </r>
        </is>
      </c>
      <c r="E1114" s="24" t="n">
        <v>0.0075188</v>
      </c>
      <c r="F1114" s="30" t="n">
        <v>277.582</v>
      </c>
      <c r="G1114" s="30" t="n">
        <f>ROUND(ROUND(E1114,8)*F1114,4)</f>
        <v>2.0871</v>
      </c>
    </row>
    <row r="1115" customHeight="1" ht="18">
      <c r="A1115" s="2" t="inlineStr"/>
      <c r="B1115" s="2" t="inlineStr"/>
      <c r="C1115" s="2" t="inlineStr"/>
      <c r="D1115" s="2" t="inlineStr"/>
      <c r="E1115" s="26" t="inlineStr">
        <is>
          <r>
            <t xml:space="preserve">TOTAL Equipamento Custo Horário:</t>
          </r>
        </is>
      </c>
      <c r="F1115" s="26" t="inlineStr"/>
      <c r="G1115" s="31" t="n">
        <f>SUM(G1111:G1114)</f>
        <v>4.5369</v>
      </c>
    </row>
    <row r="1116" customHeight="1" ht="15">
      <c r="A1116" s="20" t="inlineStr">
        <is>
          <r>
            <t xml:space="preserve">Mão de Obra</t>
          </r>
        </is>
      </c>
      <c r="B1116" s="20" t="inlineStr"/>
      <c r="C1116" s="21" t="inlineStr">
        <is>
          <r>
            <t xml:space="preserve">FONTE</t>
          </r>
        </is>
      </c>
      <c r="D1116" s="21" t="inlineStr">
        <is>
          <r>
            <t xml:space="preserve">UNID</t>
          </r>
        </is>
      </c>
      <c r="E1116" s="21" t="inlineStr">
        <is>
          <r>
            <t xml:space="preserve">COEFICIENTE</t>
          </r>
        </is>
      </c>
      <c r="F1116" s="21" t="inlineStr">
        <is>
          <r>
            <t xml:space="preserve">PREÇO UNITÁRIO</t>
          </r>
        </is>
      </c>
      <c r="G1116" s="21" t="inlineStr">
        <is>
          <r>
            <t xml:space="preserve">TOTAL</t>
          </r>
        </is>
      </c>
    </row>
    <row r="1117" customHeight="1" ht="15">
      <c r="A1117" s="22" t="inlineStr">
        <is>
          <r>
            <t xml:space="preserve">I2543</t>
          </r>
        </is>
      </c>
      <c r="B1117" s="23" t="inlineStr">
        <is>
          <r>
            <t xml:space="preserve">SERVENTE</t>
          </r>
        </is>
      </c>
      <c r="C1117" s="22" t="inlineStr">
        <is>
          <r>
            <t xml:space="preserve">SEINFRA</t>
          </r>
        </is>
      </c>
      <c r="D1117" s="22" t="inlineStr">
        <is>
          <r>
            <t xml:space="preserve">H</t>
          </r>
        </is>
      </c>
      <c r="E1117" s="24" t="n">
        <v>0.01503759</v>
      </c>
      <c r="F1117" s="30" t="n">
        <v>18.46</v>
      </c>
      <c r="G1117" s="30" t="n">
        <f>ROUND(ROUND(E1117,8)*F1117,4)</f>
        <v>0.2776</v>
      </c>
    </row>
    <row r="1118" customHeight="1" ht="15">
      <c r="A1118" s="2" t="inlineStr"/>
      <c r="B1118" s="2" t="inlineStr"/>
      <c r="C1118" s="2" t="inlineStr"/>
      <c r="D1118" s="2" t="inlineStr"/>
      <c r="E1118" s="26" t="inlineStr">
        <is>
          <r>
            <t xml:space="preserve">TOTAL Mão de Obra:</t>
          </r>
        </is>
      </c>
      <c r="F1118" s="26" t="inlineStr"/>
      <c r="G1118" s="31" t="n">
        <f>SUM(G1117:G1117)</f>
        <v>0.2776</v>
      </c>
    </row>
    <row r="1119" customHeight="1" ht="15">
      <c r="A1119" s="2" t="inlineStr"/>
      <c r="B1119" s="2" t="inlineStr"/>
      <c r="C1119" s="2" t="inlineStr"/>
      <c r="D1119" s="2" t="inlineStr"/>
      <c r="E1119" s="28" t="inlineStr">
        <is>
          <r>
            <t xml:space="preserve">VALOR:</t>
          </r>
        </is>
      </c>
      <c r="F1119" s="28" t="inlineStr"/>
      <c r="G1119" s="29" t="n">
        <f>ROUND(SUM(G1115,G1118),2)</f>
        <v>4.81</v>
      </c>
    </row>
    <row r="1120" customHeight="1" ht="15">
      <c r="A1120" s="2" t="inlineStr"/>
      <c r="B1120" s="2" t="inlineStr"/>
      <c r="C1120" s="2" t="inlineStr"/>
      <c r="D1120" s="2" t="inlineStr"/>
      <c r="E1120" s="28" t="inlineStr">
        <is>
          <r>
            <t xml:space="preserve">VALOR BDI:</t>
          </r>
        </is>
      </c>
      <c r="F1120" s="28" t="inlineStr"/>
      <c r="G1120" s="29" t="n">
        <f>ROUND(G1119*(0/100),2)</f>
        <v>0.0</v>
      </c>
    </row>
    <row r="1121" customHeight="1" ht="15">
      <c r="A1121" s="2" t="inlineStr"/>
      <c r="B1121" s="2" t="inlineStr"/>
      <c r="C1121" s="2" t="inlineStr"/>
      <c r="D1121" s="2" t="inlineStr"/>
      <c r="E1121" s="28" t="inlineStr">
        <is>
          <r>
            <t xml:space="preserve">VALOR COM BDI:</t>
          </r>
        </is>
      </c>
      <c r="F1121" s="28" t="inlineStr"/>
      <c r="G1121" s="29" t="n">
        <f>G1120+G1119</f>
        <v>4.81</v>
      </c>
    </row>
    <row r="1122" customHeight="1" ht="10">
      <c r="A1122" s="2" t="inlineStr"/>
      <c r="B1122" s="2" t="inlineStr"/>
      <c r="C1122" s="2" t="inlineStr"/>
      <c r="D1122" s="2" t="inlineStr"/>
      <c r="E1122" s="18" t="inlineStr"/>
      <c r="F1122" s="18" t="inlineStr"/>
      <c r="G1122" s="18" t="inlineStr"/>
    </row>
    <row r="1123" customHeight="1" ht="20">
      <c r="A1123" s="19" t="inlineStr">
        <is>
          <r>
            <t xml:space="preserve">​C2784​ ESCAVAÇÃO MANUAL SOLO DE 1A.CAT. PROF. ATÉ 1.50m​ (M3)</t>
          </r>
        </is>
      </c>
      <c r="B1123" s="19" t="inlineStr"/>
      <c r="C1123" s="19" t="inlineStr"/>
      <c r="D1123" s="19" t="inlineStr"/>
      <c r="E1123" s="19" t="inlineStr"/>
      <c r="F1123" s="19" t="inlineStr"/>
      <c r="G1123" s="19" t="inlineStr"/>
    </row>
    <row r="1124" customHeight="1" ht="15">
      <c r="A1124" s="20" t="inlineStr">
        <is>
          <r>
            <t xml:space="preserve">Mão de Obra</t>
          </r>
        </is>
      </c>
      <c r="B1124" s="20" t="inlineStr"/>
      <c r="C1124" s="21" t="inlineStr">
        <is>
          <r>
            <t xml:space="preserve">FONTE</t>
          </r>
        </is>
      </c>
      <c r="D1124" s="21" t="inlineStr">
        <is>
          <r>
            <t xml:space="preserve">UNID</t>
          </r>
        </is>
      </c>
      <c r="E1124" s="21" t="inlineStr">
        <is>
          <r>
            <t xml:space="preserve">COEFICIENTE</t>
          </r>
        </is>
      </c>
      <c r="F1124" s="21" t="inlineStr">
        <is>
          <r>
            <t xml:space="preserve">PREÇO UNITÁRIO</t>
          </r>
        </is>
      </c>
      <c r="G1124" s="21" t="inlineStr">
        <is>
          <r>
            <t xml:space="preserve">TOTAL</t>
          </r>
        </is>
      </c>
    </row>
    <row r="1125" customHeight="1" ht="15">
      <c r="A1125" s="22" t="inlineStr">
        <is>
          <r>
            <t xml:space="preserve">I2543</t>
          </r>
        </is>
      </c>
      <c r="B1125" s="23" t="inlineStr">
        <is>
          <r>
            <t xml:space="preserve">SERVENTE</t>
          </r>
        </is>
      </c>
      <c r="C1125" s="22" t="inlineStr">
        <is>
          <r>
            <t xml:space="preserve">SEINFRA</t>
          </r>
        </is>
      </c>
      <c r="D1125" s="22" t="inlineStr">
        <is>
          <r>
            <t xml:space="preserve">H</t>
          </r>
        </is>
      </c>
      <c r="E1125" s="24" t="n">
        <v>2.65</v>
      </c>
      <c r="F1125" s="30" t="n">
        <v>18.46</v>
      </c>
      <c r="G1125" s="30" t="n">
        <f>ROUND(ROUND(E1125,8)*F1125,4)</f>
        <v>48.919</v>
      </c>
    </row>
    <row r="1126" customHeight="1" ht="15">
      <c r="A1126" s="2" t="inlineStr"/>
      <c r="B1126" s="2" t="inlineStr"/>
      <c r="C1126" s="2" t="inlineStr"/>
      <c r="D1126" s="2" t="inlineStr"/>
      <c r="E1126" s="26" t="inlineStr">
        <is>
          <r>
            <t xml:space="preserve">TOTAL Mão de Obra:</t>
          </r>
        </is>
      </c>
      <c r="F1126" s="26" t="inlineStr"/>
      <c r="G1126" s="31" t="n">
        <f>SUM(G1125:G1125)</f>
        <v>48.919</v>
      </c>
    </row>
    <row r="1127" customHeight="1" ht="15">
      <c r="A1127" s="2" t="inlineStr"/>
      <c r="B1127" s="2" t="inlineStr"/>
      <c r="C1127" s="2" t="inlineStr"/>
      <c r="D1127" s="2" t="inlineStr"/>
      <c r="E1127" s="28" t="inlineStr">
        <is>
          <r>
            <t xml:space="preserve">VALOR:</t>
          </r>
        </is>
      </c>
      <c r="F1127" s="28" t="inlineStr"/>
      <c r="G1127" s="29" t="n">
        <f>ROUND(SUM(G1126),2)</f>
        <v>48.92</v>
      </c>
    </row>
    <row r="1128" customHeight="1" ht="15">
      <c r="A1128" s="2" t="inlineStr"/>
      <c r="B1128" s="2" t="inlineStr"/>
      <c r="C1128" s="2" t="inlineStr"/>
      <c r="D1128" s="2" t="inlineStr"/>
      <c r="E1128" s="28" t="inlineStr">
        <is>
          <r>
            <t xml:space="preserve">VALOR BDI:</t>
          </r>
        </is>
      </c>
      <c r="F1128" s="28" t="inlineStr"/>
      <c r="G1128" s="29" t="n">
        <f>ROUND(G1127*(0/100),2)</f>
        <v>0.0</v>
      </c>
    </row>
    <row r="1129" customHeight="1" ht="15">
      <c r="A1129" s="2" t="inlineStr"/>
      <c r="B1129" s="2" t="inlineStr"/>
      <c r="C1129" s="2" t="inlineStr"/>
      <c r="D1129" s="2" t="inlineStr"/>
      <c r="E1129" s="28" t="inlineStr">
        <is>
          <r>
            <t xml:space="preserve">VALOR COM BDI:</t>
          </r>
        </is>
      </c>
      <c r="F1129" s="28" t="inlineStr"/>
      <c r="G1129" s="29" t="n">
        <f>G1128+G1127</f>
        <v>48.92</v>
      </c>
    </row>
    <row r="1130" customHeight="1" ht="10">
      <c r="A1130" s="2" t="inlineStr"/>
      <c r="B1130" s="2" t="inlineStr"/>
      <c r="C1130" s="2" t="inlineStr"/>
      <c r="D1130" s="2" t="inlineStr"/>
      <c r="E1130" s="18" t="inlineStr"/>
      <c r="F1130" s="18" t="inlineStr"/>
      <c r="G1130" s="18" t="inlineStr"/>
    </row>
    <row r="1131" customHeight="1" ht="20">
      <c r="A1131" s="19" t="inlineStr">
        <is>
          <r>
            <t xml:space="preserve">​C3351​ ESCORAMENTO P/ OBRAS D'ARTES CORRENTES​ (M3)</t>
          </r>
        </is>
      </c>
      <c r="B1131" s="19" t="inlineStr"/>
      <c r="C1131" s="19" t="inlineStr"/>
      <c r="D1131" s="19" t="inlineStr"/>
      <c r="E1131" s="19" t="inlineStr"/>
      <c r="F1131" s="19" t="inlineStr"/>
      <c r="G1131" s="19" t="inlineStr"/>
    </row>
    <row r="1132" customHeight="1" ht="15">
      <c r="A1132" s="20" t="inlineStr">
        <is>
          <r>
            <t xml:space="preserve">Material</t>
          </r>
        </is>
      </c>
      <c r="B1132" s="20" t="inlineStr"/>
      <c r="C1132" s="21" t="inlineStr">
        <is>
          <r>
            <t xml:space="preserve">FONTE</t>
          </r>
        </is>
      </c>
      <c r="D1132" s="21" t="inlineStr">
        <is>
          <r>
            <t xml:space="preserve">UNID</t>
          </r>
        </is>
      </c>
      <c r="E1132" s="21" t="inlineStr">
        <is>
          <r>
            <t xml:space="preserve">COEFICIENTE</t>
          </r>
        </is>
      </c>
      <c r="F1132" s="21" t="inlineStr">
        <is>
          <r>
            <t xml:space="preserve">PREÇO UNITÁRIO</t>
          </r>
        </is>
      </c>
      <c r="G1132" s="21" t="inlineStr">
        <is>
          <r>
            <t xml:space="preserve">TOTAL</t>
          </r>
        </is>
      </c>
    </row>
    <row r="1133" customHeight="1" ht="15">
      <c r="A1133" s="22" t="inlineStr">
        <is>
          <r>
            <t xml:space="preserve">I2330</t>
          </r>
        </is>
      </c>
      <c r="B1133" s="23" t="inlineStr">
        <is>
          <r>
            <t xml:space="preserve">ESTRONCA EM MADEIRA ROLIÇA</t>
          </r>
        </is>
      </c>
      <c r="C1133" s="22" t="inlineStr">
        <is>
          <r>
            <t xml:space="preserve">SEINFRA</t>
          </r>
        </is>
      </c>
      <c r="D1133" s="22" t="inlineStr">
        <is>
          <r>
            <t xml:space="preserve">M</t>
          </r>
        </is>
      </c>
      <c r="E1133" s="24" t="n">
        <v>1.0</v>
      </c>
      <c r="F1133" s="30" t="n">
        <v>2.74</v>
      </c>
      <c r="G1133" s="30" t="n">
        <f>ROUND(ROUND(E1133,8)*F1133,4)</f>
        <v>2.74</v>
      </c>
    </row>
    <row r="1134" customHeight="1" ht="21">
      <c r="A1134" s="22" t="inlineStr">
        <is>
          <r>
            <t xml:space="preserve">I1730</t>
          </r>
        </is>
      </c>
      <c r="B1134" s="23" t="inlineStr">
        <is>
          <r>
            <t xml:space="preserve">PREGO 18X30 (2.3/4" X 10) (APROXIMADAMENTE 187UN/KG)</t>
          </r>
        </is>
      </c>
      <c r="C1134" s="22" t="inlineStr">
        <is>
          <r>
            <t xml:space="preserve">SEINFRA</t>
          </r>
        </is>
      </c>
      <c r="D1134" s="22" t="inlineStr">
        <is>
          <r>
            <t xml:space="preserve">KG</t>
          </r>
        </is>
      </c>
      <c r="E1134" s="24" t="n">
        <v>2.0</v>
      </c>
      <c r="F1134" s="30" t="n">
        <v>14.44</v>
      </c>
      <c r="G1134" s="30" t="n">
        <f>ROUND(ROUND(E1134,8)*F1134,4)</f>
        <v>28.88</v>
      </c>
    </row>
    <row r="1135" customHeight="1" ht="15">
      <c r="A1135" s="22" t="inlineStr">
        <is>
          <r>
            <t xml:space="preserve">I2517</t>
          </r>
        </is>
      </c>
      <c r="B1135" s="23" t="inlineStr">
        <is>
          <r>
            <t xml:space="preserve">SARRAFO DE 1" x 6"</t>
          </r>
        </is>
      </c>
      <c r="C1135" s="22" t="inlineStr">
        <is>
          <r>
            <t xml:space="preserve">SEINFRA</t>
          </r>
        </is>
      </c>
      <c r="D1135" s="22" t="inlineStr">
        <is>
          <r>
            <t xml:space="preserve">M</t>
          </r>
        </is>
      </c>
      <c r="E1135" s="24" t="n">
        <v>0.6</v>
      </c>
      <c r="F1135" s="30" t="n">
        <v>4.78</v>
      </c>
      <c r="G1135" s="30" t="n">
        <f>ROUND(ROUND(E1135,8)*F1135,4)</f>
        <v>2.868</v>
      </c>
    </row>
    <row r="1136" customHeight="1" ht="15">
      <c r="A1136" s="2" t="inlineStr"/>
      <c r="B1136" s="2" t="inlineStr"/>
      <c r="C1136" s="2" t="inlineStr"/>
      <c r="D1136" s="2" t="inlineStr"/>
      <c r="E1136" s="26" t="inlineStr">
        <is>
          <r>
            <t xml:space="preserve">TOTAL Material:</t>
          </r>
        </is>
      </c>
      <c r="F1136" s="26" t="inlineStr"/>
      <c r="G1136" s="31" t="n">
        <f>SUM(G1133:G1135)</f>
        <v>34.488</v>
      </c>
    </row>
    <row r="1137" customHeight="1" ht="15">
      <c r="A1137" s="20" t="inlineStr">
        <is>
          <r>
            <t xml:space="preserve">Mão de Obra</t>
          </r>
        </is>
      </c>
      <c r="B1137" s="20" t="inlineStr"/>
      <c r="C1137" s="21" t="inlineStr">
        <is>
          <r>
            <t xml:space="preserve">FONTE</t>
          </r>
        </is>
      </c>
      <c r="D1137" s="21" t="inlineStr">
        <is>
          <r>
            <t xml:space="preserve">UNID</t>
          </r>
        </is>
      </c>
      <c r="E1137" s="21" t="inlineStr">
        <is>
          <r>
            <t xml:space="preserve">COEFICIENTE</t>
          </r>
        </is>
      </c>
      <c r="F1137" s="21" t="inlineStr">
        <is>
          <r>
            <t xml:space="preserve">PREÇO UNITÁRIO</t>
          </r>
        </is>
      </c>
      <c r="G1137" s="21" t="inlineStr">
        <is>
          <r>
            <t xml:space="preserve">TOTAL</t>
          </r>
        </is>
      </c>
    </row>
    <row r="1138" customHeight="1" ht="15">
      <c r="A1138" s="22" t="inlineStr">
        <is>
          <r>
            <t xml:space="preserve">I0498</t>
          </r>
        </is>
      </c>
      <c r="B1138" s="23" t="inlineStr">
        <is>
          <r>
            <t xml:space="preserve">CARPINTEIRO</t>
          </r>
        </is>
      </c>
      <c r="C1138" s="22" t="inlineStr">
        <is>
          <r>
            <t xml:space="preserve">SEINFRA</t>
          </r>
        </is>
      </c>
      <c r="D1138" s="22" t="inlineStr">
        <is>
          <r>
            <t xml:space="preserve">H</t>
          </r>
        </is>
      </c>
      <c r="E1138" s="24" t="n">
        <v>0.5</v>
      </c>
      <c r="F1138" s="30" t="n">
        <v>24.16</v>
      </c>
      <c r="G1138" s="30" t="n">
        <f>ROUND(ROUND(E1138,8)*F1138,4)</f>
        <v>12.08</v>
      </c>
    </row>
    <row r="1139" customHeight="1" ht="15">
      <c r="A1139" s="22" t="inlineStr">
        <is>
          <r>
            <t xml:space="preserve">I2543</t>
          </r>
        </is>
      </c>
      <c r="B1139" s="23" t="inlineStr">
        <is>
          <r>
            <t xml:space="preserve">SERVENTE</t>
          </r>
        </is>
      </c>
      <c r="C1139" s="22" t="inlineStr">
        <is>
          <r>
            <t xml:space="preserve">SEINFRA</t>
          </r>
        </is>
      </c>
      <c r="D1139" s="22" t="inlineStr">
        <is>
          <r>
            <t xml:space="preserve">H</t>
          </r>
        </is>
      </c>
      <c r="E1139" s="24" t="n">
        <v>1.0</v>
      </c>
      <c r="F1139" s="30" t="n">
        <v>18.46</v>
      </c>
      <c r="G1139" s="30" t="n">
        <f>ROUND(ROUND(E1139,8)*F1139,4)</f>
        <v>18.46</v>
      </c>
    </row>
    <row r="1140" customHeight="1" ht="15">
      <c r="A1140" s="2" t="inlineStr"/>
      <c r="B1140" s="2" t="inlineStr"/>
      <c r="C1140" s="2" t="inlineStr"/>
      <c r="D1140" s="2" t="inlineStr"/>
      <c r="E1140" s="26" t="inlineStr">
        <is>
          <r>
            <t xml:space="preserve">TOTAL Mão de Obra:</t>
          </r>
        </is>
      </c>
      <c r="F1140" s="26" t="inlineStr"/>
      <c r="G1140" s="31" t="n">
        <f>SUM(G1138:G1139)</f>
        <v>30.54</v>
      </c>
    </row>
    <row r="1141" customHeight="1" ht="15">
      <c r="A1141" s="2" t="inlineStr"/>
      <c r="B1141" s="2" t="inlineStr"/>
      <c r="C1141" s="2" t="inlineStr"/>
      <c r="D1141" s="2" t="inlineStr"/>
      <c r="E1141" s="28" t="inlineStr">
        <is>
          <r>
            <t xml:space="preserve">VALOR:</t>
          </r>
        </is>
      </c>
      <c r="F1141" s="28" t="inlineStr"/>
      <c r="G1141" s="29" t="n">
        <f>ROUND(SUM(G1136,G1140),2)</f>
        <v>65.03</v>
      </c>
    </row>
    <row r="1142" customHeight="1" ht="15">
      <c r="A1142" s="2" t="inlineStr"/>
      <c r="B1142" s="2" t="inlineStr"/>
      <c r="C1142" s="2" t="inlineStr"/>
      <c r="D1142" s="2" t="inlineStr"/>
      <c r="E1142" s="28" t="inlineStr">
        <is>
          <r>
            <t xml:space="preserve">VALOR BDI:</t>
          </r>
        </is>
      </c>
      <c r="F1142" s="28" t="inlineStr"/>
      <c r="G1142" s="29" t="n">
        <f>ROUND(G1141*(0/100),2)</f>
        <v>0.0</v>
      </c>
    </row>
    <row r="1143" customHeight="1" ht="15">
      <c r="A1143" s="2" t="inlineStr"/>
      <c r="B1143" s="2" t="inlineStr"/>
      <c r="C1143" s="2" t="inlineStr"/>
      <c r="D1143" s="2" t="inlineStr"/>
      <c r="E1143" s="28" t="inlineStr">
        <is>
          <r>
            <t xml:space="preserve">VALOR COM BDI:</t>
          </r>
        </is>
      </c>
      <c r="F1143" s="28" t="inlineStr"/>
      <c r="G1143" s="29" t="n">
        <f>G1142+G1141</f>
        <v>65.03</v>
      </c>
    </row>
    <row r="1144" customHeight="1" ht="10">
      <c r="A1144" s="2" t="inlineStr"/>
      <c r="B1144" s="2" t="inlineStr"/>
      <c r="C1144" s="2" t="inlineStr"/>
      <c r="D1144" s="2" t="inlineStr"/>
      <c r="E1144" s="18" t="inlineStr"/>
      <c r="F1144" s="18" t="inlineStr"/>
      <c r="G1144" s="18" t="inlineStr"/>
    </row>
    <row r="1145" customHeight="1" ht="20">
      <c r="A1145" s="19" t="inlineStr">
        <is>
          <r>
            <t xml:space="preserve">​C3218​ EXPURGO DE JAZIDA​ (M3)</t>
          </r>
        </is>
      </c>
      <c r="B1145" s="19" t="inlineStr"/>
      <c r="C1145" s="19" t="inlineStr"/>
      <c r="D1145" s="19" t="inlineStr"/>
      <c r="E1145" s="19" t="inlineStr"/>
      <c r="F1145" s="19" t="inlineStr"/>
      <c r="G1145" s="19" t="inlineStr"/>
    </row>
    <row r="1146" customHeight="1" ht="15">
      <c r="A1146" s="20" t="inlineStr">
        <is>
          <r>
            <t xml:space="preserve">Equipamento Custo Horário</t>
          </r>
        </is>
      </c>
      <c r="B1146" s="20" t="inlineStr"/>
      <c r="C1146" s="21" t="inlineStr">
        <is>
          <r>
            <t xml:space="preserve">FONTE</t>
          </r>
        </is>
      </c>
      <c r="D1146" s="21" t="inlineStr">
        <is>
          <r>
            <t xml:space="preserve">UNID</t>
          </r>
        </is>
      </c>
      <c r="E1146" s="21" t="inlineStr">
        <is>
          <r>
            <t xml:space="preserve">COEFICIENTE</t>
          </r>
        </is>
      </c>
      <c r="F1146" s="21" t="inlineStr">
        <is>
          <r>
            <t xml:space="preserve">PREÇO UNITÁRIO</t>
          </r>
        </is>
      </c>
      <c r="G1146" s="21" t="inlineStr">
        <is>
          <r>
            <t xml:space="preserve">TOTAL</t>
          </r>
        </is>
      </c>
    </row>
    <row r="1147" customHeight="1" ht="15">
      <c r="A1147" s="22" t="inlineStr">
        <is>
          <r>
            <t xml:space="preserve">I0666</t>
          </r>
        </is>
      </c>
      <c r="B1147" s="23" t="inlineStr">
        <is>
          <r>
            <t xml:space="preserve">TRATOR DE ESTEIRAS C/LÂMINA E ESC. HP 155 (CHI)</t>
          </r>
        </is>
      </c>
      <c r="C1147" s="22" t="inlineStr">
        <is>
          <r>
            <t xml:space="preserve">SEINFRA</t>
          </r>
        </is>
      </c>
      <c r="D1147" s="22" t="inlineStr">
        <is>
          <r>
            <t xml:space="preserve">H</t>
          </r>
        </is>
      </c>
      <c r="E1147" s="24" t="n">
        <v>0.0</v>
      </c>
      <c r="F1147" s="30" t="n">
        <v>93.1931</v>
      </c>
      <c r="G1147" s="30" t="n">
        <f>ROUND(ROUND(E1147,8)*F1147,4)</f>
        <v>0.0</v>
      </c>
    </row>
    <row r="1148" customHeight="1" ht="15">
      <c r="A1148" s="22" t="inlineStr">
        <is>
          <r>
            <t xml:space="preserve">I0779</t>
          </r>
        </is>
      </c>
      <c r="B1148" s="23" t="inlineStr">
        <is>
          <r>
            <t xml:space="preserve">TRATOR DE ESTEIRAS C/LÂMINA E ESC. HP 155 (CHP)</t>
          </r>
        </is>
      </c>
      <c r="C1148" s="22" t="inlineStr">
        <is>
          <r>
            <t xml:space="preserve">SEINFRA</t>
          </r>
        </is>
      </c>
      <c r="D1148" s="22" t="inlineStr">
        <is>
          <r>
            <t xml:space="preserve">H</t>
          </r>
        </is>
      </c>
      <c r="E1148" s="24" t="n">
        <v>0.01162791</v>
      </c>
      <c r="F1148" s="30" t="n">
        <v>277.582</v>
      </c>
      <c r="G1148" s="30" t="n">
        <f>ROUND(ROUND(E1148,8)*F1148,4)</f>
        <v>3.2277</v>
      </c>
    </row>
    <row r="1149" customHeight="1" ht="18">
      <c r="A1149" s="2" t="inlineStr"/>
      <c r="B1149" s="2" t="inlineStr"/>
      <c r="C1149" s="2" t="inlineStr"/>
      <c r="D1149" s="2" t="inlineStr"/>
      <c r="E1149" s="26" t="inlineStr">
        <is>
          <r>
            <t xml:space="preserve">TOTAL Equipamento Custo Horário:</t>
          </r>
        </is>
      </c>
      <c r="F1149" s="26" t="inlineStr"/>
      <c r="G1149" s="31" t="n">
        <f>SUM(G1147:G1148)</f>
        <v>3.2277</v>
      </c>
    </row>
    <row r="1150" customHeight="1" ht="15">
      <c r="A1150" s="20" t="inlineStr">
        <is>
          <r>
            <t xml:space="preserve">Mão de Obra</t>
          </r>
        </is>
      </c>
      <c r="B1150" s="20" t="inlineStr"/>
      <c r="C1150" s="21" t="inlineStr">
        <is>
          <r>
            <t xml:space="preserve">FONTE</t>
          </r>
        </is>
      </c>
      <c r="D1150" s="21" t="inlineStr">
        <is>
          <r>
            <t xml:space="preserve">UNID</t>
          </r>
        </is>
      </c>
      <c r="E1150" s="21" t="inlineStr">
        <is>
          <r>
            <t xml:space="preserve">COEFICIENTE</t>
          </r>
        </is>
      </c>
      <c r="F1150" s="21" t="inlineStr">
        <is>
          <r>
            <t xml:space="preserve">PREÇO UNITÁRIO</t>
          </r>
        </is>
      </c>
      <c r="G1150" s="21" t="inlineStr">
        <is>
          <r>
            <t xml:space="preserve">TOTAL</t>
          </r>
        </is>
      </c>
    </row>
    <row r="1151" customHeight="1" ht="15">
      <c r="A1151" s="22" t="inlineStr">
        <is>
          <r>
            <t xml:space="preserve">I2543</t>
          </r>
        </is>
      </c>
      <c r="B1151" s="23" t="inlineStr">
        <is>
          <r>
            <t xml:space="preserve">SERVENTE</t>
          </r>
        </is>
      </c>
      <c r="C1151" s="22" t="inlineStr">
        <is>
          <r>
            <t xml:space="preserve">SEINFRA</t>
          </r>
        </is>
      </c>
      <c r="D1151" s="22" t="inlineStr">
        <is>
          <r>
            <t xml:space="preserve">H</t>
          </r>
        </is>
      </c>
      <c r="E1151" s="24" t="n">
        <v>0.02325581</v>
      </c>
      <c r="F1151" s="30" t="n">
        <v>18.46</v>
      </c>
      <c r="G1151" s="30" t="n">
        <f>ROUND(ROUND(E1151,8)*F1151,4)</f>
        <v>0.4293</v>
      </c>
    </row>
    <row r="1152" customHeight="1" ht="15">
      <c r="A1152" s="2" t="inlineStr"/>
      <c r="B1152" s="2" t="inlineStr"/>
      <c r="C1152" s="2" t="inlineStr"/>
      <c r="D1152" s="2" t="inlineStr"/>
      <c r="E1152" s="26" t="inlineStr">
        <is>
          <r>
            <t xml:space="preserve">TOTAL Mão de Obra:</t>
          </r>
        </is>
      </c>
      <c r="F1152" s="26" t="inlineStr"/>
      <c r="G1152" s="31" t="n">
        <f>SUM(G1151:G1151)</f>
        <v>0.4293</v>
      </c>
    </row>
    <row r="1153" customHeight="1" ht="15">
      <c r="A1153" s="2" t="inlineStr"/>
      <c r="B1153" s="2" t="inlineStr"/>
      <c r="C1153" s="2" t="inlineStr"/>
      <c r="D1153" s="2" t="inlineStr"/>
      <c r="E1153" s="28" t="inlineStr">
        <is>
          <r>
            <t xml:space="preserve">VALOR:</t>
          </r>
        </is>
      </c>
      <c r="F1153" s="28" t="inlineStr"/>
      <c r="G1153" s="29" t="n">
        <f>ROUND(SUM(G1149,G1152),2)</f>
        <v>3.66</v>
      </c>
    </row>
    <row r="1154" customHeight="1" ht="15">
      <c r="A1154" s="2" t="inlineStr"/>
      <c r="B1154" s="2" t="inlineStr"/>
      <c r="C1154" s="2" t="inlineStr"/>
      <c r="D1154" s="2" t="inlineStr"/>
      <c r="E1154" s="28" t="inlineStr">
        <is>
          <r>
            <t xml:space="preserve">VALOR BDI:</t>
          </r>
        </is>
      </c>
      <c r="F1154" s="28" t="inlineStr"/>
      <c r="G1154" s="29" t="n">
        <f>ROUND(G1153*(0/100),2)</f>
        <v>0.0</v>
      </c>
    </row>
    <row r="1155" customHeight="1" ht="15">
      <c r="A1155" s="2" t="inlineStr"/>
      <c r="B1155" s="2" t="inlineStr"/>
      <c r="C1155" s="2" t="inlineStr"/>
      <c r="D1155" s="2" t="inlineStr"/>
      <c r="E1155" s="28" t="inlineStr">
        <is>
          <r>
            <t xml:space="preserve">VALOR COM BDI:</t>
          </r>
        </is>
      </c>
      <c r="F1155" s="28" t="inlineStr"/>
      <c r="G1155" s="29" t="n">
        <f>G1154+G1153</f>
        <v>3.66</v>
      </c>
    </row>
    <row r="1156" customHeight="1" ht="10">
      <c r="A1156" s="2" t="inlineStr"/>
      <c r="B1156" s="2" t="inlineStr"/>
      <c r="C1156" s="2" t="inlineStr"/>
      <c r="D1156" s="2" t="inlineStr"/>
      <c r="E1156" s="18" t="inlineStr"/>
      <c r="F1156" s="18" t="inlineStr"/>
      <c r="G1156" s="18" t="inlineStr"/>
    </row>
    <row r="1157" customHeight="1" ht="20">
      <c r="A1157" s="19" t="inlineStr">
        <is>
          <r>
            <t xml:space="preserve">​C1401​ FORMA DE TÁBUAS DE 1" DE 3A. P/SUPERESTRUTURA - UTIL. 2 X​ (M2)</t>
          </r>
        </is>
      </c>
      <c r="B1157" s="19" t="inlineStr"/>
      <c r="C1157" s="19" t="inlineStr"/>
      <c r="D1157" s="19" t="inlineStr"/>
      <c r="E1157" s="19" t="inlineStr"/>
      <c r="F1157" s="19" t="inlineStr"/>
      <c r="G1157" s="19" t="inlineStr"/>
    </row>
    <row r="1158" customHeight="1" ht="15">
      <c r="A1158" s="20" t="inlineStr">
        <is>
          <r>
            <t xml:space="preserve">Material</t>
          </r>
        </is>
      </c>
      <c r="B1158" s="20" t="inlineStr"/>
      <c r="C1158" s="21" t="inlineStr">
        <is>
          <r>
            <t xml:space="preserve">FONTE</t>
          </r>
        </is>
      </c>
      <c r="D1158" s="21" t="inlineStr">
        <is>
          <r>
            <t xml:space="preserve">UNID</t>
          </r>
        </is>
      </c>
      <c r="E1158" s="21" t="inlineStr">
        <is>
          <r>
            <t xml:space="preserve">COEFICIENTE</t>
          </r>
        </is>
      </c>
      <c r="F1158" s="21" t="inlineStr">
        <is>
          <r>
            <t xml:space="preserve">PREÇO UNITÁRIO</t>
          </r>
        </is>
      </c>
      <c r="G1158" s="21" t="inlineStr">
        <is>
          <r>
            <t xml:space="preserve">TOTAL</t>
          </r>
        </is>
      </c>
    </row>
    <row r="1159" customHeight="1" ht="15">
      <c r="A1159" s="22" t="inlineStr">
        <is>
          <r>
            <t xml:space="preserve">I0965</t>
          </r>
        </is>
      </c>
      <c r="B1159" s="23" t="inlineStr">
        <is>
          <r>
            <t xml:space="preserve">DESMOLDANTE PARA FORMAS</t>
          </r>
        </is>
      </c>
      <c r="C1159" s="22" t="inlineStr">
        <is>
          <r>
            <t xml:space="preserve">SEINFRA</t>
          </r>
        </is>
      </c>
      <c r="D1159" s="22" t="inlineStr">
        <is>
          <r>
            <t xml:space="preserve">L</t>
          </r>
        </is>
      </c>
      <c r="E1159" s="24" t="n">
        <v>0.17</v>
      </c>
      <c r="F1159" s="30" t="n">
        <v>8.45</v>
      </c>
      <c r="G1159" s="30" t="n">
        <f>ROUND(ROUND(E1159,8)*F1159,4)</f>
        <v>1.4365</v>
      </c>
    </row>
    <row r="1160" customHeight="1" ht="15">
      <c r="A1160" s="22" t="inlineStr">
        <is>
          <r>
            <t xml:space="preserve">I1691</t>
          </r>
        </is>
      </c>
      <c r="B1160" s="23" t="inlineStr">
        <is>
          <r>
            <t xml:space="preserve">PONTALETE / BARROTE DE 3"x3"</t>
          </r>
        </is>
      </c>
      <c r="C1160" s="22" t="inlineStr">
        <is>
          <r>
            <t xml:space="preserve">SEINFRA</t>
          </r>
        </is>
      </c>
      <c r="D1160" s="22" t="inlineStr">
        <is>
          <r>
            <t xml:space="preserve">M</t>
          </r>
        </is>
      </c>
      <c r="E1160" s="24" t="n">
        <v>3.0</v>
      </c>
      <c r="F1160" s="30" t="n">
        <v>16.09</v>
      </c>
      <c r="G1160" s="30" t="n">
        <f>ROUND(ROUND(E1160,8)*F1160,4)</f>
        <v>48.27</v>
      </c>
    </row>
    <row r="1161" customHeight="1" ht="21">
      <c r="A1161" s="22" t="inlineStr">
        <is>
          <r>
            <t xml:space="preserve">I1728</t>
          </r>
        </is>
      </c>
      <c r="B1161" s="23" t="inlineStr">
        <is>
          <r>
            <t xml:space="preserve">PREGO 18X27 (2.1/2" X 10) (APROXIMADAMENTE 198UN/KG)</t>
          </r>
        </is>
      </c>
      <c r="C1161" s="22" t="inlineStr">
        <is>
          <r>
            <t xml:space="preserve">SEINFRA</t>
          </r>
        </is>
      </c>
      <c r="D1161" s="22" t="inlineStr">
        <is>
          <r>
            <t xml:space="preserve">KG</t>
          </r>
        </is>
      </c>
      <c r="E1161" s="24" t="n">
        <v>0.2</v>
      </c>
      <c r="F1161" s="30" t="n">
        <v>14.2</v>
      </c>
      <c r="G1161" s="30" t="n">
        <f>ROUND(ROUND(E1161,8)*F1161,4)</f>
        <v>2.84</v>
      </c>
    </row>
    <row r="1162" customHeight="1" ht="15">
      <c r="A1162" s="22" t="inlineStr">
        <is>
          <r>
            <t xml:space="preserve">I1846</t>
          </r>
        </is>
      </c>
      <c r="B1162" s="23" t="inlineStr">
        <is>
          <r>
            <t xml:space="preserve">SARRAFO DE 1"X4"</t>
          </r>
        </is>
      </c>
      <c r="C1162" s="22" t="inlineStr">
        <is>
          <r>
            <t xml:space="preserve">SEINFRA</t>
          </r>
        </is>
      </c>
      <c r="D1162" s="22" t="inlineStr">
        <is>
          <r>
            <t xml:space="preserve">M</t>
          </r>
        </is>
      </c>
      <c r="E1162" s="24" t="n">
        <v>1.53</v>
      </c>
      <c r="F1162" s="30" t="n">
        <v>6.05</v>
      </c>
      <c r="G1162" s="30" t="n">
        <f>ROUND(ROUND(E1162,8)*F1162,4)</f>
        <v>9.2565</v>
      </c>
    </row>
    <row r="1163" customHeight="1" ht="15">
      <c r="A1163" s="22" t="inlineStr">
        <is>
          <r>
            <t xml:space="preserve">I1916</t>
          </r>
        </is>
      </c>
      <c r="B1163" s="23" t="inlineStr">
        <is>
          <r>
            <t xml:space="preserve">TABUA DE 1" DE 3A. - L = 30cm</t>
          </r>
        </is>
      </c>
      <c r="C1163" s="22" t="inlineStr">
        <is>
          <r>
            <t xml:space="preserve">SEINFRA</t>
          </r>
        </is>
      </c>
      <c r="D1163" s="22" t="inlineStr">
        <is>
          <r>
            <t xml:space="preserve">M</t>
          </r>
        </is>
      </c>
      <c r="E1163" s="24" t="n">
        <v>2.84</v>
      </c>
      <c r="F1163" s="30" t="n">
        <v>12.77</v>
      </c>
      <c r="G1163" s="30" t="n">
        <f>ROUND(ROUND(E1163,8)*F1163,4)</f>
        <v>36.2668</v>
      </c>
    </row>
    <row r="1164" customHeight="1" ht="15">
      <c r="A1164" s="2" t="inlineStr"/>
      <c r="B1164" s="2" t="inlineStr"/>
      <c r="C1164" s="2" t="inlineStr"/>
      <c r="D1164" s="2" t="inlineStr"/>
      <c r="E1164" s="26" t="inlineStr">
        <is>
          <r>
            <t xml:space="preserve">TOTAL Material:</t>
          </r>
        </is>
      </c>
      <c r="F1164" s="26" t="inlineStr"/>
      <c r="G1164" s="31" t="n">
        <f>SUM(G1159:G1163)</f>
        <v>98.0698</v>
      </c>
    </row>
    <row r="1165" customHeight="1" ht="15">
      <c r="A1165" s="20" t="inlineStr">
        <is>
          <r>
            <t xml:space="preserve">Mão de Obra</t>
          </r>
        </is>
      </c>
      <c r="B1165" s="20" t="inlineStr"/>
      <c r="C1165" s="21" t="inlineStr">
        <is>
          <r>
            <t xml:space="preserve">FONTE</t>
          </r>
        </is>
      </c>
      <c r="D1165" s="21" t="inlineStr">
        <is>
          <r>
            <t xml:space="preserve">UNID</t>
          </r>
        </is>
      </c>
      <c r="E1165" s="21" t="inlineStr">
        <is>
          <r>
            <t xml:space="preserve">COEFICIENTE</t>
          </r>
        </is>
      </c>
      <c r="F1165" s="21" t="inlineStr">
        <is>
          <r>
            <t xml:space="preserve">PREÇO UNITÁRIO</t>
          </r>
        </is>
      </c>
      <c r="G1165" s="21" t="inlineStr">
        <is>
          <r>
            <t xml:space="preserve">TOTAL</t>
          </r>
        </is>
      </c>
    </row>
    <row r="1166" customHeight="1" ht="15">
      <c r="A1166" s="22" t="inlineStr">
        <is>
          <r>
            <t xml:space="preserve">I0041</t>
          </r>
        </is>
      </c>
      <c r="B1166" s="23" t="inlineStr">
        <is>
          <r>
            <t xml:space="preserve">AJUDANTE DE CARPINTEIRO</t>
          </r>
        </is>
      </c>
      <c r="C1166" s="22" t="inlineStr">
        <is>
          <r>
            <t xml:space="preserve">SEINFRA</t>
          </r>
        </is>
      </c>
      <c r="D1166" s="22" t="inlineStr">
        <is>
          <r>
            <t xml:space="preserve">H</t>
          </r>
        </is>
      </c>
      <c r="E1166" s="24" t="n">
        <v>1.5</v>
      </c>
      <c r="F1166" s="30" t="n">
        <v>19.1</v>
      </c>
      <c r="G1166" s="30" t="n">
        <f>ROUND(ROUND(E1166,8)*F1166,4)</f>
        <v>28.65</v>
      </c>
    </row>
    <row r="1167" customHeight="1" ht="15">
      <c r="A1167" s="22" t="inlineStr">
        <is>
          <r>
            <t xml:space="preserve">I0498</t>
          </r>
        </is>
      </c>
      <c r="B1167" s="23" t="inlineStr">
        <is>
          <r>
            <t xml:space="preserve">CARPINTEIRO</t>
          </r>
        </is>
      </c>
      <c r="C1167" s="22" t="inlineStr">
        <is>
          <r>
            <t xml:space="preserve">SEINFRA</t>
          </r>
        </is>
      </c>
      <c r="D1167" s="22" t="inlineStr">
        <is>
          <r>
            <t xml:space="preserve">H</t>
          </r>
        </is>
      </c>
      <c r="E1167" s="24" t="n">
        <v>1.5</v>
      </c>
      <c r="F1167" s="30" t="n">
        <v>24.16</v>
      </c>
      <c r="G1167" s="30" t="n">
        <f>ROUND(ROUND(E1167,8)*F1167,4)</f>
        <v>36.24</v>
      </c>
    </row>
    <row r="1168" customHeight="1" ht="15">
      <c r="A1168" s="2" t="inlineStr"/>
      <c r="B1168" s="2" t="inlineStr"/>
      <c r="C1168" s="2" t="inlineStr"/>
      <c r="D1168" s="2" t="inlineStr"/>
      <c r="E1168" s="26" t="inlineStr">
        <is>
          <r>
            <t xml:space="preserve">TOTAL Mão de Obra:</t>
          </r>
        </is>
      </c>
      <c r="F1168" s="26" t="inlineStr"/>
      <c r="G1168" s="31" t="n">
        <f>SUM(G1166:G1167)</f>
        <v>64.89</v>
      </c>
    </row>
    <row r="1169" customHeight="1" ht="15">
      <c r="A1169" s="2" t="inlineStr"/>
      <c r="B1169" s="2" t="inlineStr"/>
      <c r="C1169" s="2" t="inlineStr"/>
      <c r="D1169" s="2" t="inlineStr"/>
      <c r="E1169" s="28" t="inlineStr">
        <is>
          <r>
            <t xml:space="preserve">VALOR:</t>
          </r>
        </is>
      </c>
      <c r="F1169" s="28" t="inlineStr"/>
      <c r="G1169" s="29" t="n">
        <f>ROUND(SUM(G1164,G1168),2)</f>
        <v>162.96</v>
      </c>
    </row>
    <row r="1170" customHeight="1" ht="15">
      <c r="A1170" s="2" t="inlineStr"/>
      <c r="B1170" s="2" t="inlineStr"/>
      <c r="C1170" s="2" t="inlineStr"/>
      <c r="D1170" s="2" t="inlineStr"/>
      <c r="E1170" s="28" t="inlineStr">
        <is>
          <r>
            <t xml:space="preserve">VALOR BDI:</t>
          </r>
        </is>
      </c>
      <c r="F1170" s="28" t="inlineStr"/>
      <c r="G1170" s="29" t="n">
        <f>ROUND(G1169*(0/100),2)</f>
        <v>0.0</v>
      </c>
    </row>
    <row r="1171" customHeight="1" ht="15">
      <c r="A1171" s="2" t="inlineStr"/>
      <c r="B1171" s="2" t="inlineStr"/>
      <c r="C1171" s="2" t="inlineStr"/>
      <c r="D1171" s="2" t="inlineStr"/>
      <c r="E1171" s="28" t="inlineStr">
        <is>
          <r>
            <t xml:space="preserve">VALOR COM BDI:</t>
          </r>
        </is>
      </c>
      <c r="F1171" s="28" t="inlineStr"/>
      <c r="G1171" s="29" t="n">
        <f>G1170+G1169</f>
        <v>162.96</v>
      </c>
    </row>
    <row r="1172" customHeight="1" ht="10">
      <c r="A1172" s="2" t="inlineStr"/>
      <c r="B1172" s="2" t="inlineStr"/>
      <c r="C1172" s="2" t="inlineStr"/>
      <c r="D1172" s="2" t="inlineStr"/>
      <c r="E1172" s="18" t="inlineStr"/>
      <c r="F1172" s="18" t="inlineStr"/>
      <c r="G1172" s="18" t="inlineStr"/>
    </row>
    <row r="1173" customHeight="1" ht="20">
      <c r="A1173" s="19" t="inlineStr">
        <is>
          <r>
            <t xml:space="preserve">​C4282​ FORMA P/ CONCRETO "IN LOCO" (APLICAÇÃO)​ (M2)</t>
          </r>
        </is>
      </c>
      <c r="B1173" s="19" t="inlineStr"/>
      <c r="C1173" s="19" t="inlineStr"/>
      <c r="D1173" s="19" t="inlineStr"/>
      <c r="E1173" s="19" t="inlineStr"/>
      <c r="F1173" s="19" t="inlineStr"/>
      <c r="G1173" s="19" t="inlineStr"/>
    </row>
    <row r="1174" customHeight="1" ht="15">
      <c r="A1174" s="20" t="inlineStr">
        <is>
          <r>
            <t xml:space="preserve">Material</t>
          </r>
        </is>
      </c>
      <c r="B1174" s="20" t="inlineStr"/>
      <c r="C1174" s="21" t="inlineStr">
        <is>
          <r>
            <t xml:space="preserve">FONTE</t>
          </r>
        </is>
      </c>
      <c r="D1174" s="21" t="inlineStr">
        <is>
          <r>
            <t xml:space="preserve">UNID</t>
          </r>
        </is>
      </c>
      <c r="E1174" s="21" t="inlineStr">
        <is>
          <r>
            <t xml:space="preserve">COEFICIENTE</t>
          </r>
        </is>
      </c>
      <c r="F1174" s="21" t="inlineStr">
        <is>
          <r>
            <t xml:space="preserve">PREÇO UNITÁRIO</t>
          </r>
        </is>
      </c>
      <c r="G1174" s="21" t="inlineStr">
        <is>
          <r>
            <t xml:space="preserve">TOTAL</t>
          </r>
        </is>
      </c>
    </row>
    <row r="1175" customHeight="1" ht="15">
      <c r="A1175" s="22" t="inlineStr">
        <is>
          <r>
            <t xml:space="preserve">I7960</t>
          </r>
        </is>
      </c>
      <c r="B1175" s="23" t="inlineStr">
        <is>
          <r>
            <t xml:space="preserve">GRUA</t>
          </r>
        </is>
      </c>
      <c r="C1175" s="22" t="inlineStr">
        <is>
          <r>
            <t xml:space="preserve">SEINFRA</t>
          </r>
        </is>
      </c>
      <c r="D1175" s="22" t="inlineStr">
        <is>
          <r>
            <t xml:space="preserve">H</t>
          </r>
        </is>
      </c>
      <c r="E1175" s="24" t="n">
        <v>0.04</v>
      </c>
      <c r="F1175" s="30" t="n">
        <v>474.33</v>
      </c>
      <c r="G1175" s="30" t="n">
        <f>ROUND(ROUND(E1175,8)*F1175,4)</f>
        <v>18.9732</v>
      </c>
    </row>
    <row r="1176" customHeight="1" ht="15">
      <c r="A1176" s="22" t="inlineStr">
        <is>
          <r>
            <t xml:space="preserve">I1495</t>
          </r>
        </is>
      </c>
      <c r="B1176" s="23" t="inlineStr">
        <is>
          <r>
            <t xml:space="preserve">MADEIRA (PEROBA)</t>
          </r>
        </is>
      </c>
      <c r="C1176" s="22" t="inlineStr">
        <is>
          <r>
            <t xml:space="preserve">SEINFRA</t>
          </r>
        </is>
      </c>
      <c r="D1176" s="22" t="inlineStr">
        <is>
          <r>
            <t xml:space="preserve">M3</t>
          </r>
        </is>
      </c>
      <c r="E1176" s="24" t="n">
        <v>0.004</v>
      </c>
      <c r="F1176" s="30" t="n">
        <v>3162.71</v>
      </c>
      <c r="G1176" s="30" t="n">
        <f>ROUND(ROUND(E1176,8)*F1176,4)</f>
        <v>12.6508</v>
      </c>
    </row>
    <row r="1177" customHeight="1" ht="15">
      <c r="A1177" s="22" t="inlineStr">
        <is>
          <r>
            <t xml:space="preserve">I8207</t>
          </r>
        </is>
      </c>
      <c r="B1177" s="23" t="inlineStr">
        <is>
          <r>
            <t xml:space="preserve">PEÇAS METÁLICAS P/ FORMAS</t>
          </r>
        </is>
      </c>
      <c r="C1177" s="22" t="inlineStr">
        <is>
          <r>
            <t xml:space="preserve">SEINFRA</t>
          </r>
        </is>
      </c>
      <c r="D1177" s="22" t="inlineStr">
        <is>
          <r>
            <t xml:space="preserve">KG</t>
          </r>
        </is>
      </c>
      <c r="E1177" s="24" t="n">
        <v>2.42</v>
      </c>
      <c r="F1177" s="30" t="n">
        <v>11.29</v>
      </c>
      <c r="G1177" s="30" t="n">
        <f>ROUND(ROUND(E1177,8)*F1177,4)</f>
        <v>27.3218</v>
      </c>
    </row>
    <row r="1178" customHeight="1" ht="21">
      <c r="A1178" s="22" t="inlineStr">
        <is>
          <r>
            <t xml:space="preserve">I1730</t>
          </r>
        </is>
      </c>
      <c r="B1178" s="23" t="inlineStr">
        <is>
          <r>
            <t xml:space="preserve">PREGO 18X30 (2.3/4" X 10) (APROXIMADAMENTE 187UN/KG)</t>
          </r>
        </is>
      </c>
      <c r="C1178" s="22" t="inlineStr">
        <is>
          <r>
            <t xml:space="preserve">SEINFRA</t>
          </r>
        </is>
      </c>
      <c r="D1178" s="22" t="inlineStr">
        <is>
          <r>
            <t xml:space="preserve">KG</t>
          </r>
        </is>
      </c>
      <c r="E1178" s="24" t="n">
        <v>0.04</v>
      </c>
      <c r="F1178" s="30" t="n">
        <v>14.44</v>
      </c>
      <c r="G1178" s="30" t="n">
        <f>ROUND(ROUND(E1178,8)*F1178,4)</f>
        <v>0.5776</v>
      </c>
    </row>
    <row r="1179" customHeight="1" ht="15">
      <c r="A1179" s="2" t="inlineStr"/>
      <c r="B1179" s="2" t="inlineStr"/>
      <c r="C1179" s="2" t="inlineStr"/>
      <c r="D1179" s="2" t="inlineStr"/>
      <c r="E1179" s="26" t="inlineStr">
        <is>
          <r>
            <t xml:space="preserve">TOTAL Material:</t>
          </r>
        </is>
      </c>
      <c r="F1179" s="26" t="inlineStr"/>
      <c r="G1179" s="31" t="n">
        <f>SUM(G1175:G1178)</f>
        <v>59.5234</v>
      </c>
    </row>
    <row r="1180" customHeight="1" ht="15">
      <c r="A1180" s="20" t="inlineStr">
        <is>
          <r>
            <t xml:space="preserve">Mão de Obra</t>
          </r>
        </is>
      </c>
      <c r="B1180" s="20" t="inlineStr"/>
      <c r="C1180" s="21" t="inlineStr">
        <is>
          <r>
            <t xml:space="preserve">FONTE</t>
          </r>
        </is>
      </c>
      <c r="D1180" s="21" t="inlineStr">
        <is>
          <r>
            <t xml:space="preserve">UNID</t>
          </r>
        </is>
      </c>
      <c r="E1180" s="21" t="inlineStr">
        <is>
          <r>
            <t xml:space="preserve">COEFICIENTE</t>
          </r>
        </is>
      </c>
      <c r="F1180" s="21" t="inlineStr">
        <is>
          <r>
            <t xml:space="preserve">PREÇO UNITÁRIO</t>
          </r>
        </is>
      </c>
      <c r="G1180" s="21" t="inlineStr">
        <is>
          <r>
            <t xml:space="preserve">TOTAL</t>
          </r>
        </is>
      </c>
    </row>
    <row r="1181" customHeight="1" ht="15">
      <c r="A1181" s="22" t="inlineStr">
        <is>
          <r>
            <t xml:space="preserve">I0037</t>
          </r>
        </is>
      </c>
      <c r="B1181" s="23" t="inlineStr">
        <is>
          <r>
            <t xml:space="preserve">AJUDANTE</t>
          </r>
        </is>
      </c>
      <c r="C1181" s="22" t="inlineStr">
        <is>
          <r>
            <t xml:space="preserve">SEINFRA</t>
          </r>
        </is>
      </c>
      <c r="D1181" s="22" t="inlineStr">
        <is>
          <r>
            <t xml:space="preserve">H</t>
          </r>
        </is>
      </c>
      <c r="E1181" s="24" t="n">
        <v>0.75</v>
      </c>
      <c r="F1181" s="30" t="n">
        <v>19.1</v>
      </c>
      <c r="G1181" s="30" t="n">
        <f>ROUND(ROUND(E1181,8)*F1181,4)</f>
        <v>14.325</v>
      </c>
    </row>
    <row r="1182" customHeight="1" ht="15">
      <c r="A1182" s="22" t="inlineStr">
        <is>
          <r>
            <t xml:space="preserve">I0498</t>
          </r>
        </is>
      </c>
      <c r="B1182" s="23" t="inlineStr">
        <is>
          <r>
            <t xml:space="preserve">CARPINTEIRO</t>
          </r>
        </is>
      </c>
      <c r="C1182" s="22" t="inlineStr">
        <is>
          <r>
            <t xml:space="preserve">SEINFRA</t>
          </r>
        </is>
      </c>
      <c r="D1182" s="22" t="inlineStr">
        <is>
          <r>
            <t xml:space="preserve">H</t>
          </r>
        </is>
      </c>
      <c r="E1182" s="24" t="n">
        <v>0.75</v>
      </c>
      <c r="F1182" s="30" t="n">
        <v>24.16</v>
      </c>
      <c r="G1182" s="30" t="n">
        <f>ROUND(ROUND(E1182,8)*F1182,4)</f>
        <v>18.12</v>
      </c>
    </row>
    <row r="1183" customHeight="1" ht="15">
      <c r="A1183" s="2" t="inlineStr"/>
      <c r="B1183" s="2" t="inlineStr"/>
      <c r="C1183" s="2" t="inlineStr"/>
      <c r="D1183" s="2" t="inlineStr"/>
      <c r="E1183" s="26" t="inlineStr">
        <is>
          <r>
            <t xml:space="preserve">TOTAL Mão de Obra:</t>
          </r>
        </is>
      </c>
      <c r="F1183" s="26" t="inlineStr"/>
      <c r="G1183" s="31" t="n">
        <f>SUM(G1181:G1182)</f>
        <v>32.445</v>
      </c>
    </row>
    <row r="1184" customHeight="1" ht="15">
      <c r="A1184" s="2" t="inlineStr"/>
      <c r="B1184" s="2" t="inlineStr"/>
      <c r="C1184" s="2" t="inlineStr"/>
      <c r="D1184" s="2" t="inlineStr"/>
      <c r="E1184" s="28" t="inlineStr">
        <is>
          <r>
            <t xml:space="preserve">VALOR:</t>
          </r>
        </is>
      </c>
      <c r="F1184" s="28" t="inlineStr"/>
      <c r="G1184" s="29" t="n">
        <f>ROUND(SUM(G1179,G1183),2)</f>
        <v>91.97</v>
      </c>
    </row>
    <row r="1185" customHeight="1" ht="15">
      <c r="A1185" s="2" t="inlineStr"/>
      <c r="B1185" s="2" t="inlineStr"/>
      <c r="C1185" s="2" t="inlineStr"/>
      <c r="D1185" s="2" t="inlineStr"/>
      <c r="E1185" s="28" t="inlineStr">
        <is>
          <r>
            <t xml:space="preserve">VALOR BDI:</t>
          </r>
        </is>
      </c>
      <c r="F1185" s="28" t="inlineStr"/>
      <c r="G1185" s="29" t="n">
        <f>ROUND(G1184*(0/100),2)</f>
        <v>0.0</v>
      </c>
    </row>
    <row r="1186" customHeight="1" ht="15">
      <c r="A1186" s="2" t="inlineStr"/>
      <c r="B1186" s="2" t="inlineStr"/>
      <c r="C1186" s="2" t="inlineStr"/>
      <c r="D1186" s="2" t="inlineStr"/>
      <c r="E1186" s="28" t="inlineStr">
        <is>
          <r>
            <t xml:space="preserve">VALOR COM BDI:</t>
          </r>
        </is>
      </c>
      <c r="F1186" s="28" t="inlineStr"/>
      <c r="G1186" s="29" t="n">
        <f>G1185+G1184</f>
        <v>91.97</v>
      </c>
    </row>
    <row r="1187" customHeight="1" ht="10">
      <c r="A1187" s="2" t="inlineStr"/>
      <c r="B1187" s="2" t="inlineStr"/>
      <c r="C1187" s="2" t="inlineStr"/>
      <c r="D1187" s="2" t="inlineStr"/>
      <c r="E1187" s="18" t="inlineStr"/>
      <c r="F1187" s="18" t="inlineStr"/>
      <c r="G1187" s="18" t="inlineStr"/>
    </row>
    <row r="1188" customHeight="1" ht="20">
      <c r="A1188" s="19" t="inlineStr">
        <is>
          <r>
            <t xml:space="preserve">​C4281​ FORMA P/ CONCRETO "IN LOCO" (FABRICAÇÃO)​ (M2)</t>
          </r>
        </is>
      </c>
      <c r="B1188" s="19" t="inlineStr"/>
      <c r="C1188" s="19" t="inlineStr"/>
      <c r="D1188" s="19" t="inlineStr"/>
      <c r="E1188" s="19" t="inlineStr"/>
      <c r="F1188" s="19" t="inlineStr"/>
      <c r="G1188" s="19" t="inlineStr"/>
    </row>
    <row r="1189" customHeight="1" ht="15">
      <c r="A1189" s="20" t="inlineStr">
        <is>
          <r>
            <t xml:space="preserve">Material</t>
          </r>
        </is>
      </c>
      <c r="B1189" s="20" t="inlineStr"/>
      <c r="C1189" s="21" t="inlineStr">
        <is>
          <r>
            <t xml:space="preserve">FONTE</t>
          </r>
        </is>
      </c>
      <c r="D1189" s="21" t="inlineStr">
        <is>
          <r>
            <t xml:space="preserve">UNID</t>
          </r>
        </is>
      </c>
      <c r="E1189" s="21" t="inlineStr">
        <is>
          <r>
            <t xml:space="preserve">COEFICIENTE</t>
          </r>
        </is>
      </c>
      <c r="F1189" s="21" t="inlineStr">
        <is>
          <r>
            <t xml:space="preserve">PREÇO UNITÁRIO</t>
          </r>
        </is>
      </c>
      <c r="G1189" s="21" t="inlineStr">
        <is>
          <r>
            <t xml:space="preserve">TOTAL</t>
          </r>
        </is>
      </c>
    </row>
    <row r="1190" customHeight="1" ht="15">
      <c r="A1190" s="22" t="inlineStr">
        <is>
          <r>
            <t xml:space="preserve">I0524</t>
          </r>
        </is>
      </c>
      <c r="B1190" s="23" t="inlineStr">
        <is>
          <r>
            <t xml:space="preserve">CHAPA COMPENSADA PLASTIFICADA 18MM (1.22 X 2.44M)</t>
          </r>
        </is>
      </c>
      <c r="C1190" s="22" t="inlineStr">
        <is>
          <r>
            <t xml:space="preserve">SEINFRA</t>
          </r>
        </is>
      </c>
      <c r="D1190" s="22" t="inlineStr">
        <is>
          <r>
            <t xml:space="preserve">M2</t>
          </r>
        </is>
      </c>
      <c r="E1190" s="24" t="n">
        <v>1.1</v>
      </c>
      <c r="F1190" s="30" t="n">
        <v>83.15</v>
      </c>
      <c r="G1190" s="30" t="n">
        <f>ROUND(ROUND(E1190,8)*F1190,4)</f>
        <v>91.465</v>
      </c>
    </row>
    <row r="1191" customHeight="1" ht="15">
      <c r="A1191" s="22" t="inlineStr">
        <is>
          <r>
            <t xml:space="preserve">I1495</t>
          </r>
        </is>
      </c>
      <c r="B1191" s="23" t="inlineStr">
        <is>
          <r>
            <t xml:space="preserve">MADEIRA (PEROBA)</t>
          </r>
        </is>
      </c>
      <c r="C1191" s="22" t="inlineStr">
        <is>
          <r>
            <t xml:space="preserve">SEINFRA</t>
          </r>
        </is>
      </c>
      <c r="D1191" s="22" t="inlineStr">
        <is>
          <r>
            <t xml:space="preserve">M3</t>
          </r>
        </is>
      </c>
      <c r="E1191" s="24" t="n">
        <v>0.04</v>
      </c>
      <c r="F1191" s="30" t="n">
        <v>3162.71</v>
      </c>
      <c r="G1191" s="30" t="n">
        <f>ROUND(ROUND(E1191,8)*F1191,4)</f>
        <v>126.5084</v>
      </c>
    </row>
    <row r="1192" customHeight="1" ht="21">
      <c r="A1192" s="22" t="inlineStr">
        <is>
          <r>
            <t xml:space="preserve">I1730</t>
          </r>
        </is>
      </c>
      <c r="B1192" s="23" t="inlineStr">
        <is>
          <r>
            <t xml:space="preserve">PREGO 18X30 (2.3/4" X 10) (APROXIMADAMENTE 187UN/KG)</t>
          </r>
        </is>
      </c>
      <c r="C1192" s="22" t="inlineStr">
        <is>
          <r>
            <t xml:space="preserve">SEINFRA</t>
          </r>
        </is>
      </c>
      <c r="D1192" s="22" t="inlineStr">
        <is>
          <r>
            <t xml:space="preserve">KG</t>
          </r>
        </is>
      </c>
      <c r="E1192" s="24" t="n">
        <v>0.2</v>
      </c>
      <c r="F1192" s="30" t="n">
        <v>14.44</v>
      </c>
      <c r="G1192" s="30" t="n">
        <f>ROUND(ROUND(E1192,8)*F1192,4)</f>
        <v>2.888</v>
      </c>
    </row>
    <row r="1193" customHeight="1" ht="15">
      <c r="A1193" s="2" t="inlineStr"/>
      <c r="B1193" s="2" t="inlineStr"/>
      <c r="C1193" s="2" t="inlineStr"/>
      <c r="D1193" s="2" t="inlineStr"/>
      <c r="E1193" s="26" t="inlineStr">
        <is>
          <r>
            <t xml:space="preserve">TOTAL Material:</t>
          </r>
        </is>
      </c>
      <c r="F1193" s="26" t="inlineStr"/>
      <c r="G1193" s="31" t="n">
        <f>SUM(G1190:G1192)</f>
        <v>220.8614</v>
      </c>
    </row>
    <row r="1194" customHeight="1" ht="15">
      <c r="A1194" s="20" t="inlineStr">
        <is>
          <r>
            <t xml:space="preserve">Mão de Obra</t>
          </r>
        </is>
      </c>
      <c r="B1194" s="20" t="inlineStr"/>
      <c r="C1194" s="21" t="inlineStr">
        <is>
          <r>
            <t xml:space="preserve">FONTE</t>
          </r>
        </is>
      </c>
      <c r="D1194" s="21" t="inlineStr">
        <is>
          <r>
            <t xml:space="preserve">UNID</t>
          </r>
        </is>
      </c>
      <c r="E1194" s="21" t="inlineStr">
        <is>
          <r>
            <t xml:space="preserve">COEFICIENTE</t>
          </r>
        </is>
      </c>
      <c r="F1194" s="21" t="inlineStr">
        <is>
          <r>
            <t xml:space="preserve">PREÇO UNITÁRIO</t>
          </r>
        </is>
      </c>
      <c r="G1194" s="21" t="inlineStr">
        <is>
          <r>
            <t xml:space="preserve">TOTAL</t>
          </r>
        </is>
      </c>
    </row>
    <row r="1195" customHeight="1" ht="15">
      <c r="A1195" s="22" t="inlineStr">
        <is>
          <r>
            <t xml:space="preserve">I0037</t>
          </r>
        </is>
      </c>
      <c r="B1195" s="23" t="inlineStr">
        <is>
          <r>
            <t xml:space="preserve">AJUDANTE</t>
          </r>
        </is>
      </c>
      <c r="C1195" s="22" t="inlineStr">
        <is>
          <r>
            <t xml:space="preserve">SEINFRA</t>
          </r>
        </is>
      </c>
      <c r="D1195" s="22" t="inlineStr">
        <is>
          <r>
            <t xml:space="preserve">H</t>
          </r>
        </is>
      </c>
      <c r="E1195" s="24" t="n">
        <v>0.5</v>
      </c>
      <c r="F1195" s="30" t="n">
        <v>19.1</v>
      </c>
      <c r="G1195" s="30" t="n">
        <f>ROUND(ROUND(E1195,8)*F1195,4)</f>
        <v>9.55</v>
      </c>
    </row>
    <row r="1196" customHeight="1" ht="15">
      <c r="A1196" s="22" t="inlineStr">
        <is>
          <r>
            <t xml:space="preserve">I0498</t>
          </r>
        </is>
      </c>
      <c r="B1196" s="23" t="inlineStr">
        <is>
          <r>
            <t xml:space="preserve">CARPINTEIRO</t>
          </r>
        </is>
      </c>
      <c r="C1196" s="22" t="inlineStr">
        <is>
          <r>
            <t xml:space="preserve">SEINFRA</t>
          </r>
        </is>
      </c>
      <c r="D1196" s="22" t="inlineStr">
        <is>
          <r>
            <t xml:space="preserve">H</t>
          </r>
        </is>
      </c>
      <c r="E1196" s="24" t="n">
        <v>0.5</v>
      </c>
      <c r="F1196" s="30" t="n">
        <v>24.16</v>
      </c>
      <c r="G1196" s="30" t="n">
        <f>ROUND(ROUND(E1196,8)*F1196,4)</f>
        <v>12.08</v>
      </c>
    </row>
    <row r="1197" customHeight="1" ht="15">
      <c r="A1197" s="2" t="inlineStr"/>
      <c r="B1197" s="2" t="inlineStr"/>
      <c r="C1197" s="2" t="inlineStr"/>
      <c r="D1197" s="2" t="inlineStr"/>
      <c r="E1197" s="26" t="inlineStr">
        <is>
          <r>
            <t xml:space="preserve">TOTAL Mão de Obra:</t>
          </r>
        </is>
      </c>
      <c r="F1197" s="26" t="inlineStr"/>
      <c r="G1197" s="31" t="n">
        <f>SUM(G1195:G1196)</f>
        <v>21.63</v>
      </c>
    </row>
    <row r="1198" customHeight="1" ht="15">
      <c r="A1198" s="2" t="inlineStr"/>
      <c r="B1198" s="2" t="inlineStr"/>
      <c r="C1198" s="2" t="inlineStr"/>
      <c r="D1198" s="2" t="inlineStr"/>
      <c r="E1198" s="28" t="inlineStr">
        <is>
          <r>
            <t xml:space="preserve">VALOR:</t>
          </r>
        </is>
      </c>
      <c r="F1198" s="28" t="inlineStr"/>
      <c r="G1198" s="29" t="n">
        <f>ROUND(SUM(G1193,G1197),2)</f>
        <v>242.49</v>
      </c>
    </row>
    <row r="1199" customHeight="1" ht="15">
      <c r="A1199" s="2" t="inlineStr"/>
      <c r="B1199" s="2" t="inlineStr"/>
      <c r="C1199" s="2" t="inlineStr"/>
      <c r="D1199" s="2" t="inlineStr"/>
      <c r="E1199" s="28" t="inlineStr">
        <is>
          <r>
            <t xml:space="preserve">VALOR BDI:</t>
          </r>
        </is>
      </c>
      <c r="F1199" s="28" t="inlineStr"/>
      <c r="G1199" s="29" t="n">
        <f>ROUND(G1198*(0/100),2)</f>
        <v>0.0</v>
      </c>
    </row>
    <row r="1200" customHeight="1" ht="15">
      <c r="A1200" s="2" t="inlineStr"/>
      <c r="B1200" s="2" t="inlineStr"/>
      <c r="C1200" s="2" t="inlineStr"/>
      <c r="D1200" s="2" t="inlineStr"/>
      <c r="E1200" s="28" t="inlineStr">
        <is>
          <r>
            <t xml:space="preserve">VALOR COM BDI:</t>
          </r>
        </is>
      </c>
      <c r="F1200" s="28" t="inlineStr"/>
      <c r="G1200" s="29" t="n">
        <f>G1199+G1198</f>
        <v>242.49</v>
      </c>
    </row>
    <row r="1201" customHeight="1" ht="10">
      <c r="A1201" s="2" t="inlineStr"/>
      <c r="B1201" s="2" t="inlineStr"/>
      <c r="C1201" s="2" t="inlineStr"/>
      <c r="D1201" s="2" t="inlineStr"/>
      <c r="E1201" s="18" t="inlineStr"/>
      <c r="F1201" s="18" t="inlineStr"/>
      <c r="G1201" s="18" t="inlineStr"/>
    </row>
    <row r="1202" customHeight="1" ht="20">
      <c r="A1202" s="19" t="inlineStr">
        <is>
          <r>
            <t xml:space="preserve">​C4301​ FORMA PARA CONCRETO "IN LOCO", INCLUSIVE DESFORMA​ (M2)</t>
          </r>
        </is>
      </c>
      <c r="B1202" s="19" t="inlineStr"/>
      <c r="C1202" s="19" t="inlineStr"/>
      <c r="D1202" s="19" t="inlineStr"/>
      <c r="E1202" s="19" t="inlineStr"/>
      <c r="F1202" s="19" t="inlineStr"/>
      <c r="G1202" s="19" t="inlineStr"/>
    </row>
    <row r="1203" customHeight="1" ht="15">
      <c r="A1203" s="20" t="inlineStr">
        <is>
          <r>
            <t xml:space="preserve">Mão de Obra</t>
          </r>
        </is>
      </c>
      <c r="B1203" s="20" t="inlineStr"/>
      <c r="C1203" s="21" t="inlineStr">
        <is>
          <r>
            <t xml:space="preserve">FONTE</t>
          </r>
        </is>
      </c>
      <c r="D1203" s="21" t="inlineStr">
        <is>
          <r>
            <t xml:space="preserve">UNID</t>
          </r>
        </is>
      </c>
      <c r="E1203" s="21" t="inlineStr">
        <is>
          <r>
            <t xml:space="preserve">COEFICIENTE</t>
          </r>
        </is>
      </c>
      <c r="F1203" s="21" t="inlineStr">
        <is>
          <r>
            <t xml:space="preserve">PREÇO UNITÁRIO</t>
          </r>
        </is>
      </c>
      <c r="G1203" s="21" t="inlineStr">
        <is>
          <r>
            <t xml:space="preserve">TOTAL</t>
          </r>
        </is>
      </c>
    </row>
    <row r="1204" customHeight="1" ht="15">
      <c r="A1204" s="22" t="inlineStr">
        <is>
          <r>
            <t xml:space="preserve">I0041</t>
          </r>
        </is>
      </c>
      <c r="B1204" s="23" t="inlineStr">
        <is>
          <r>
            <t xml:space="preserve">AJUDANTE DE CARPINTEIRO</t>
          </r>
        </is>
      </c>
      <c r="C1204" s="22" t="inlineStr">
        <is>
          <r>
            <t xml:space="preserve">SEINFRA</t>
          </r>
        </is>
      </c>
      <c r="D1204" s="22" t="inlineStr">
        <is>
          <r>
            <t xml:space="preserve">H</t>
          </r>
        </is>
      </c>
      <c r="E1204" s="24" t="n">
        <v>0.25</v>
      </c>
      <c r="F1204" s="30" t="n">
        <v>19.1</v>
      </c>
      <c r="G1204" s="30" t="n">
        <f>ROUND(ROUND(E1204,8)*F1204,4)</f>
        <v>4.775</v>
      </c>
    </row>
    <row r="1205" customHeight="1" ht="15">
      <c r="A1205" s="22" t="inlineStr">
        <is>
          <r>
            <t xml:space="preserve">I0498</t>
          </r>
        </is>
      </c>
      <c r="B1205" s="23" t="inlineStr">
        <is>
          <r>
            <t xml:space="preserve">CARPINTEIRO</t>
          </r>
        </is>
      </c>
      <c r="C1205" s="22" t="inlineStr">
        <is>
          <r>
            <t xml:space="preserve">SEINFRA</t>
          </r>
        </is>
      </c>
      <c r="D1205" s="22" t="inlineStr">
        <is>
          <r>
            <t xml:space="preserve">H</t>
          </r>
        </is>
      </c>
      <c r="E1205" s="24" t="n">
        <v>0.25</v>
      </c>
      <c r="F1205" s="30" t="n">
        <v>24.16</v>
      </c>
      <c r="G1205" s="30" t="n">
        <f>ROUND(ROUND(E1205,8)*F1205,4)</f>
        <v>6.04</v>
      </c>
    </row>
    <row r="1206" customHeight="1" ht="15">
      <c r="A1206" s="2" t="inlineStr"/>
      <c r="B1206" s="2" t="inlineStr"/>
      <c r="C1206" s="2" t="inlineStr"/>
      <c r="D1206" s="2" t="inlineStr"/>
      <c r="E1206" s="26" t="inlineStr">
        <is>
          <r>
            <t xml:space="preserve">TOTAL Mão de Obra:</t>
          </r>
        </is>
      </c>
      <c r="F1206" s="26" t="inlineStr"/>
      <c r="G1206" s="31" t="n">
        <f>SUM(G1204:G1205)</f>
        <v>10.815</v>
      </c>
    </row>
    <row r="1207" customHeight="1" ht="15">
      <c r="A1207" s="20" t="inlineStr">
        <is>
          <r>
            <t xml:space="preserve">Serviço</t>
          </r>
        </is>
      </c>
      <c r="B1207" s="20" t="inlineStr"/>
      <c r="C1207" s="21" t="inlineStr">
        <is>
          <r>
            <t xml:space="preserve">FONTE</t>
          </r>
        </is>
      </c>
      <c r="D1207" s="21" t="inlineStr">
        <is>
          <r>
            <t xml:space="preserve">UNID</t>
          </r>
        </is>
      </c>
      <c r="E1207" s="21" t="inlineStr">
        <is>
          <r>
            <t xml:space="preserve">COEFICIENTE</t>
          </r>
        </is>
      </c>
      <c r="F1207" s="21" t="inlineStr">
        <is>
          <r>
            <t xml:space="preserve">PREÇO UNITÁRIO</t>
          </r>
        </is>
      </c>
      <c r="G1207" s="21" t="inlineStr">
        <is>
          <r>
            <t xml:space="preserve">TOTAL</t>
          </r>
        </is>
      </c>
    </row>
    <row r="1208" customHeight="1" ht="15">
      <c r="A1208" s="22" t="inlineStr">
        <is>
          <r>
            <t xml:space="preserve">C4282</t>
          </r>
        </is>
      </c>
      <c r="B1208" s="23" t="inlineStr">
        <is>
          <r>
            <t xml:space="preserve">FORMA P/ CONCRETO "IN LOCO" (APLICAÇÃO)</t>
          </r>
        </is>
      </c>
      <c r="C1208" s="22" t="inlineStr">
        <is>
          <r>
            <t xml:space="preserve">SEINFRA</t>
          </r>
        </is>
      </c>
      <c r="D1208" s="22" t="inlineStr">
        <is>
          <r>
            <t xml:space="preserve">M2</t>
          </r>
        </is>
      </c>
      <c r="E1208" s="24" t="n">
        <v>1.0</v>
      </c>
      <c r="F1208" s="30" t="n">
        <v>91.97</v>
      </c>
      <c r="G1208" s="30" t="n">
        <f>ROUND(ROUND(E1208,8)*F1208,4)</f>
        <v>91.97</v>
      </c>
    </row>
    <row r="1209" customHeight="1" ht="15">
      <c r="A1209" s="22" t="inlineStr">
        <is>
          <r>
            <t xml:space="preserve">C4281</t>
          </r>
        </is>
      </c>
      <c r="B1209" s="23" t="inlineStr">
        <is>
          <r>
            <t xml:space="preserve">FORMA P/ CONCRETO "IN LOCO" (FABRICAÇÃO)</t>
          </r>
        </is>
      </c>
      <c r="C1209" s="22" t="inlineStr">
        <is>
          <r>
            <t xml:space="preserve">SEINFRA</t>
          </r>
        </is>
      </c>
      <c r="D1209" s="22" t="inlineStr">
        <is>
          <r>
            <t xml:space="preserve">M2</t>
          </r>
        </is>
      </c>
      <c r="E1209" s="24" t="n">
        <v>0.2</v>
      </c>
      <c r="F1209" s="30" t="n">
        <v>242.49</v>
      </c>
      <c r="G1209" s="30" t="n">
        <f>ROUND(ROUND(E1209,8)*F1209,4)</f>
        <v>48.498</v>
      </c>
    </row>
    <row r="1210" customHeight="1" ht="15">
      <c r="A1210" s="2" t="inlineStr"/>
      <c r="B1210" s="2" t="inlineStr"/>
      <c r="C1210" s="2" t="inlineStr"/>
      <c r="D1210" s="2" t="inlineStr"/>
      <c r="E1210" s="26" t="inlineStr">
        <is>
          <r>
            <t xml:space="preserve">TOTAL Serviço:</t>
          </r>
        </is>
      </c>
      <c r="F1210" s="26" t="inlineStr"/>
      <c r="G1210" s="31" t="n">
        <f>SUM(G1208:G1209)</f>
        <v>140.468</v>
      </c>
    </row>
    <row r="1211" customHeight="1" ht="15">
      <c r="A1211" s="2" t="inlineStr"/>
      <c r="B1211" s="2" t="inlineStr"/>
      <c r="C1211" s="2" t="inlineStr"/>
      <c r="D1211" s="2" t="inlineStr"/>
      <c r="E1211" s="28" t="inlineStr">
        <is>
          <r>
            <t xml:space="preserve">VALOR:</t>
          </r>
        </is>
      </c>
      <c r="F1211" s="28" t="inlineStr"/>
      <c r="G1211" s="29" t="n">
        <f>ROUND(SUM(G1206,G1210),2)</f>
        <v>151.28</v>
      </c>
    </row>
    <row r="1212" customHeight="1" ht="15">
      <c r="A1212" s="2" t="inlineStr"/>
      <c r="B1212" s="2" t="inlineStr"/>
      <c r="C1212" s="2" t="inlineStr"/>
      <c r="D1212" s="2" t="inlineStr"/>
      <c r="E1212" s="28" t="inlineStr">
        <is>
          <r>
            <t xml:space="preserve">VALOR BDI:</t>
          </r>
        </is>
      </c>
      <c r="F1212" s="28" t="inlineStr"/>
      <c r="G1212" s="29" t="n">
        <f>ROUND(G1211*(0/100),2)</f>
        <v>0.0</v>
      </c>
    </row>
    <row r="1213" customHeight="1" ht="15">
      <c r="A1213" s="2" t="inlineStr"/>
      <c r="B1213" s="2" t="inlineStr"/>
      <c r="C1213" s="2" t="inlineStr"/>
      <c r="D1213" s="2" t="inlineStr"/>
      <c r="E1213" s="28" t="inlineStr">
        <is>
          <r>
            <t xml:space="preserve">VALOR COM BDI:</t>
          </r>
        </is>
      </c>
      <c r="F1213" s="28" t="inlineStr"/>
      <c r="G1213" s="29" t="n">
        <f>G1212+G1211</f>
        <v>151.28</v>
      </c>
    </row>
    <row r="1214" customHeight="1" ht="10">
      <c r="A1214" s="2" t="inlineStr"/>
      <c r="B1214" s="2" t="inlineStr"/>
      <c r="C1214" s="2" t="inlineStr"/>
      <c r="D1214" s="2" t="inlineStr"/>
      <c r="E1214" s="18" t="inlineStr"/>
      <c r="F1214" s="18" t="inlineStr"/>
      <c r="G1214" s="18" t="inlineStr"/>
    </row>
    <row r="1215" customHeight="1" ht="20">
      <c r="A1215" s="19" t="inlineStr">
        <is>
          <r>
            <t xml:space="preserve">​C1405​ FORMA PLANA CHAPA COMPENSADA RESINADA, ESP.= 12mm UTIL. 3 X​ (M2)</t>
          </r>
        </is>
      </c>
      <c r="B1215" s="19" t="inlineStr"/>
      <c r="C1215" s="19" t="inlineStr"/>
      <c r="D1215" s="19" t="inlineStr"/>
      <c r="E1215" s="19" t="inlineStr"/>
      <c r="F1215" s="19" t="inlineStr"/>
      <c r="G1215" s="19" t="inlineStr"/>
    </row>
    <row r="1216" customHeight="1" ht="15">
      <c r="A1216" s="20" t="inlineStr">
        <is>
          <r>
            <t xml:space="preserve">Material</t>
          </r>
        </is>
      </c>
      <c r="B1216" s="20" t="inlineStr"/>
      <c r="C1216" s="21" t="inlineStr">
        <is>
          <r>
            <t xml:space="preserve">FONTE</t>
          </r>
        </is>
      </c>
      <c r="D1216" s="21" t="inlineStr">
        <is>
          <r>
            <t xml:space="preserve">UNID</t>
          </r>
        </is>
      </c>
      <c r="E1216" s="21" t="inlineStr">
        <is>
          <r>
            <t xml:space="preserve">COEFICIENTE</t>
          </r>
        </is>
      </c>
      <c r="F1216" s="21" t="inlineStr">
        <is>
          <r>
            <t xml:space="preserve">PREÇO UNITÁRIO</t>
          </r>
        </is>
      </c>
      <c r="G1216" s="21" t="inlineStr">
        <is>
          <r>
            <t xml:space="preserve">TOTAL</t>
          </r>
        </is>
      </c>
    </row>
    <row r="1217" customHeight="1" ht="15">
      <c r="A1217" s="22" t="inlineStr">
        <is>
          <r>
            <t xml:space="preserve">I0529</t>
          </r>
        </is>
      </c>
      <c r="B1217" s="23" t="inlineStr">
        <is>
          <r>
            <t xml:space="preserve">CHAPA COMPENSADO RESINADO 12MM (1.10 X 2.20M)</t>
          </r>
        </is>
      </c>
      <c r="C1217" s="22" t="inlineStr">
        <is>
          <r>
            <t xml:space="preserve">SEINFRA</t>
          </r>
        </is>
      </c>
      <c r="D1217" s="22" t="inlineStr">
        <is>
          <r>
            <t xml:space="preserve">M2</t>
          </r>
        </is>
      </c>
      <c r="E1217" s="24" t="n">
        <v>0.43</v>
      </c>
      <c r="F1217" s="30" t="n">
        <v>35.95</v>
      </c>
      <c r="G1217" s="30" t="n">
        <f>ROUND(ROUND(E1217,8)*F1217,4)</f>
        <v>15.4585</v>
      </c>
    </row>
    <row r="1218" customHeight="1" ht="15">
      <c r="A1218" s="22" t="inlineStr">
        <is>
          <r>
            <t xml:space="preserve">I0965</t>
          </r>
        </is>
      </c>
      <c r="B1218" s="23" t="inlineStr">
        <is>
          <r>
            <t xml:space="preserve">DESMOLDANTE PARA FORMAS</t>
          </r>
        </is>
      </c>
      <c r="C1218" s="22" t="inlineStr">
        <is>
          <r>
            <t xml:space="preserve">SEINFRA</t>
          </r>
        </is>
      </c>
      <c r="D1218" s="22" t="inlineStr">
        <is>
          <r>
            <t xml:space="preserve">L</t>
          </r>
        </is>
      </c>
      <c r="E1218" s="24" t="n">
        <v>0.1</v>
      </c>
      <c r="F1218" s="30" t="n">
        <v>8.45</v>
      </c>
      <c r="G1218" s="30" t="n">
        <f>ROUND(ROUND(E1218,8)*F1218,4)</f>
        <v>0.845</v>
      </c>
    </row>
    <row r="1219" customHeight="1" ht="15">
      <c r="A1219" s="22" t="inlineStr">
        <is>
          <r>
            <t xml:space="preserve">I1691</t>
          </r>
        </is>
      </c>
      <c r="B1219" s="23" t="inlineStr">
        <is>
          <r>
            <t xml:space="preserve">PONTALETE / BARROTE DE 3"x3"</t>
          </r>
        </is>
      </c>
      <c r="C1219" s="22" t="inlineStr">
        <is>
          <r>
            <t xml:space="preserve">SEINFRA</t>
          </r>
        </is>
      </c>
      <c r="D1219" s="22" t="inlineStr">
        <is>
          <r>
            <t xml:space="preserve">M</t>
          </r>
        </is>
      </c>
      <c r="E1219" s="24" t="n">
        <v>2.0</v>
      </c>
      <c r="F1219" s="30" t="n">
        <v>16.09</v>
      </c>
      <c r="G1219" s="30" t="n">
        <f>ROUND(ROUND(E1219,8)*F1219,4)</f>
        <v>32.18</v>
      </c>
    </row>
    <row r="1220" customHeight="1" ht="21">
      <c r="A1220" s="22" t="inlineStr">
        <is>
          <r>
            <t xml:space="preserve">I1728</t>
          </r>
        </is>
      </c>
      <c r="B1220" s="23" t="inlineStr">
        <is>
          <r>
            <t xml:space="preserve">PREGO 18X27 (2.1/2" X 10) (APROXIMADAMENTE 198UN/KG)</t>
          </r>
        </is>
      </c>
      <c r="C1220" s="22" t="inlineStr">
        <is>
          <r>
            <t xml:space="preserve">SEINFRA</t>
          </r>
        </is>
      </c>
      <c r="D1220" s="22" t="inlineStr">
        <is>
          <r>
            <t xml:space="preserve">KG</t>
          </r>
        </is>
      </c>
      <c r="E1220" s="24" t="n">
        <v>0.25</v>
      </c>
      <c r="F1220" s="30" t="n">
        <v>14.2</v>
      </c>
      <c r="G1220" s="30" t="n">
        <f>ROUND(ROUND(E1220,8)*F1220,4)</f>
        <v>3.55</v>
      </c>
    </row>
    <row r="1221" customHeight="1" ht="15">
      <c r="A1221" s="22" t="inlineStr">
        <is>
          <r>
            <t xml:space="preserve">I1846</t>
          </r>
        </is>
      </c>
      <c r="B1221" s="23" t="inlineStr">
        <is>
          <r>
            <t xml:space="preserve">SARRAFO DE 1"X4"</t>
          </r>
        </is>
      </c>
      <c r="C1221" s="22" t="inlineStr">
        <is>
          <r>
            <t xml:space="preserve">SEINFRA</t>
          </r>
        </is>
      </c>
      <c r="D1221" s="22" t="inlineStr">
        <is>
          <r>
            <t xml:space="preserve">M</t>
          </r>
        </is>
      </c>
      <c r="E1221" s="24" t="n">
        <v>1.53</v>
      </c>
      <c r="F1221" s="30" t="n">
        <v>6.05</v>
      </c>
      <c r="G1221" s="30" t="n">
        <f>ROUND(ROUND(E1221,8)*F1221,4)</f>
        <v>9.2565</v>
      </c>
    </row>
    <row r="1222" customHeight="1" ht="15">
      <c r="A1222" s="22" t="inlineStr">
        <is>
          <r>
            <t xml:space="preserve">I1916</t>
          </r>
        </is>
      </c>
      <c r="B1222" s="23" t="inlineStr">
        <is>
          <r>
            <t xml:space="preserve">TABUA DE 1" DE 3A. - L = 30cm</t>
          </r>
        </is>
      </c>
      <c r="C1222" s="22" t="inlineStr">
        <is>
          <r>
            <t xml:space="preserve">SEINFRA</t>
          </r>
        </is>
      </c>
      <c r="D1222" s="22" t="inlineStr">
        <is>
          <r>
            <t xml:space="preserve">M</t>
          </r>
        </is>
      </c>
      <c r="E1222" s="24" t="n">
        <v>1.6</v>
      </c>
      <c r="F1222" s="30" t="n">
        <v>12.77</v>
      </c>
      <c r="G1222" s="30" t="n">
        <f>ROUND(ROUND(E1222,8)*F1222,4)</f>
        <v>20.432</v>
      </c>
    </row>
    <row r="1223" customHeight="1" ht="15">
      <c r="A1223" s="2" t="inlineStr"/>
      <c r="B1223" s="2" t="inlineStr"/>
      <c r="C1223" s="2" t="inlineStr"/>
      <c r="D1223" s="2" t="inlineStr"/>
      <c r="E1223" s="26" t="inlineStr">
        <is>
          <r>
            <t xml:space="preserve">TOTAL Material:</t>
          </r>
        </is>
      </c>
      <c r="F1223" s="26" t="inlineStr"/>
      <c r="G1223" s="31" t="n">
        <f>SUM(G1217:G1222)</f>
        <v>81.722</v>
      </c>
    </row>
    <row r="1224" customHeight="1" ht="15">
      <c r="A1224" s="20" t="inlineStr">
        <is>
          <r>
            <t xml:space="preserve">Mão de Obra</t>
          </r>
        </is>
      </c>
      <c r="B1224" s="20" t="inlineStr"/>
      <c r="C1224" s="21" t="inlineStr">
        <is>
          <r>
            <t xml:space="preserve">FONTE</t>
          </r>
        </is>
      </c>
      <c r="D1224" s="21" t="inlineStr">
        <is>
          <r>
            <t xml:space="preserve">UNID</t>
          </r>
        </is>
      </c>
      <c r="E1224" s="21" t="inlineStr">
        <is>
          <r>
            <t xml:space="preserve">COEFICIENTE</t>
          </r>
        </is>
      </c>
      <c r="F1224" s="21" t="inlineStr">
        <is>
          <r>
            <t xml:space="preserve">PREÇO UNITÁRIO</t>
          </r>
        </is>
      </c>
      <c r="G1224" s="21" t="inlineStr">
        <is>
          <r>
            <t xml:space="preserve">TOTAL</t>
          </r>
        </is>
      </c>
    </row>
    <row r="1225" customHeight="1" ht="15">
      <c r="A1225" s="22" t="inlineStr">
        <is>
          <r>
            <t xml:space="preserve">I0041</t>
          </r>
        </is>
      </c>
      <c r="B1225" s="23" t="inlineStr">
        <is>
          <r>
            <t xml:space="preserve">AJUDANTE DE CARPINTEIRO</t>
          </r>
        </is>
      </c>
      <c r="C1225" s="22" t="inlineStr">
        <is>
          <r>
            <t xml:space="preserve">SEINFRA</t>
          </r>
        </is>
      </c>
      <c r="D1225" s="22" t="inlineStr">
        <is>
          <r>
            <t xml:space="preserve">H</t>
          </r>
        </is>
      </c>
      <c r="E1225" s="24" t="n">
        <v>1.35</v>
      </c>
      <c r="F1225" s="30" t="n">
        <v>19.1</v>
      </c>
      <c r="G1225" s="30" t="n">
        <f>ROUND(ROUND(E1225,8)*F1225,4)</f>
        <v>25.785</v>
      </c>
    </row>
    <row r="1226" customHeight="1" ht="15">
      <c r="A1226" s="22" t="inlineStr">
        <is>
          <r>
            <t xml:space="preserve">I0498</t>
          </r>
        </is>
      </c>
      <c r="B1226" s="23" t="inlineStr">
        <is>
          <r>
            <t xml:space="preserve">CARPINTEIRO</t>
          </r>
        </is>
      </c>
      <c r="C1226" s="22" t="inlineStr">
        <is>
          <r>
            <t xml:space="preserve">SEINFRA</t>
          </r>
        </is>
      </c>
      <c r="D1226" s="22" t="inlineStr">
        <is>
          <r>
            <t xml:space="preserve">H</t>
          </r>
        </is>
      </c>
      <c r="E1226" s="24" t="n">
        <v>1.35</v>
      </c>
      <c r="F1226" s="30" t="n">
        <v>24.16</v>
      </c>
      <c r="G1226" s="30" t="n">
        <f>ROUND(ROUND(E1226,8)*F1226,4)</f>
        <v>32.616</v>
      </c>
    </row>
    <row r="1227" customHeight="1" ht="15">
      <c r="A1227" s="2" t="inlineStr"/>
      <c r="B1227" s="2" t="inlineStr"/>
      <c r="C1227" s="2" t="inlineStr"/>
      <c r="D1227" s="2" t="inlineStr"/>
      <c r="E1227" s="26" t="inlineStr">
        <is>
          <r>
            <t xml:space="preserve">TOTAL Mão de Obra:</t>
          </r>
        </is>
      </c>
      <c r="F1227" s="26" t="inlineStr"/>
      <c r="G1227" s="31" t="n">
        <f>SUM(G1225:G1226)</f>
        <v>58.401</v>
      </c>
    </row>
    <row r="1228" customHeight="1" ht="15">
      <c r="A1228" s="2" t="inlineStr"/>
      <c r="B1228" s="2" t="inlineStr"/>
      <c r="C1228" s="2" t="inlineStr"/>
      <c r="D1228" s="2" t="inlineStr"/>
      <c r="E1228" s="28" t="inlineStr">
        <is>
          <r>
            <t xml:space="preserve">VALOR:</t>
          </r>
        </is>
      </c>
      <c r="F1228" s="28" t="inlineStr"/>
      <c r="G1228" s="29" t="n">
        <f>ROUND(SUM(G1223,G1227),2)</f>
        <v>140.12</v>
      </c>
    </row>
    <row r="1229" customHeight="1" ht="15">
      <c r="A1229" s="2" t="inlineStr"/>
      <c r="B1229" s="2" t="inlineStr"/>
      <c r="C1229" s="2" t="inlineStr"/>
      <c r="D1229" s="2" t="inlineStr"/>
      <c r="E1229" s="28" t="inlineStr">
        <is>
          <r>
            <t xml:space="preserve">VALOR BDI:</t>
          </r>
        </is>
      </c>
      <c r="F1229" s="28" t="inlineStr"/>
      <c r="G1229" s="29" t="n">
        <f>ROUND(G1228*(0/100),2)</f>
        <v>0.0</v>
      </c>
    </row>
    <row r="1230" customHeight="1" ht="15">
      <c r="A1230" s="2" t="inlineStr"/>
      <c r="B1230" s="2" t="inlineStr"/>
      <c r="C1230" s="2" t="inlineStr"/>
      <c r="D1230" s="2" t="inlineStr"/>
      <c r="E1230" s="28" t="inlineStr">
        <is>
          <r>
            <t xml:space="preserve">VALOR COM BDI:</t>
          </r>
        </is>
      </c>
      <c r="F1230" s="28" t="inlineStr"/>
      <c r="G1230" s="29" t="n">
        <f>G1229+G1228</f>
        <v>140.12</v>
      </c>
    </row>
    <row r="1231" customHeight="1" ht="10">
      <c r="A1231" s="2" t="inlineStr"/>
      <c r="B1231" s="2" t="inlineStr"/>
      <c r="C1231" s="2" t="inlineStr"/>
      <c r="D1231" s="2" t="inlineStr"/>
      <c r="E1231" s="18" t="inlineStr"/>
      <c r="F1231" s="18" t="inlineStr"/>
      <c r="G1231" s="18" t="inlineStr"/>
    </row>
    <row r="1232" customHeight="1" ht="20">
      <c r="A1232" s="19" t="inlineStr">
        <is>
          <r>
            <t xml:space="preserve">​I0625​ GRADE DE DISCOS (CHI)​ (H)</t>
          </r>
        </is>
      </c>
      <c r="B1232" s="19" t="inlineStr"/>
      <c r="C1232" s="19" t="inlineStr"/>
      <c r="D1232" s="19" t="inlineStr"/>
      <c r="E1232" s="19" t="inlineStr"/>
      <c r="F1232" s="19" t="inlineStr"/>
      <c r="G1232" s="19" t="inlineStr"/>
    </row>
    <row r="1233" customHeight="1" ht="15">
      <c r="A1233" s="20" t="inlineStr">
        <is>
          <r>
            <t xml:space="preserve">Geral</t>
          </r>
        </is>
      </c>
      <c r="B1233" s="20" t="inlineStr"/>
      <c r="C1233" s="21" t="inlineStr">
        <is>
          <r>
            <t xml:space="preserve">FONTE</t>
          </r>
        </is>
      </c>
      <c r="D1233" s="21" t="inlineStr">
        <is>
          <r>
            <t xml:space="preserve">UNID</t>
          </r>
        </is>
      </c>
      <c r="E1233" s="21" t="inlineStr">
        <is>
          <r>
            <t xml:space="preserve">COEFICIENTE</t>
          </r>
        </is>
      </c>
      <c r="F1233" s="21" t="inlineStr">
        <is>
          <r>
            <t xml:space="preserve">PREÇO UNITÁRIO</t>
          </r>
        </is>
      </c>
      <c r="G1233" s="21" t="inlineStr">
        <is>
          <r>
            <t xml:space="preserve">TOTAL</t>
          </r>
        </is>
      </c>
    </row>
    <row r="1234" customHeight="1" ht="15">
      <c r="A1234" s="22" t="inlineStr">
        <is>
          <r>
            <t xml:space="preserve">I2701</t>
          </r>
        </is>
      </c>
      <c r="B1234" s="23" t="inlineStr">
        <is>
          <r>
            <t xml:space="preserve">DEPRECIAÇÃO</t>
          </r>
        </is>
      </c>
      <c r="C1234" s="22" t="inlineStr">
        <is>
          <r>
            <t xml:space="preserve">SEINFRA</t>
          </r>
        </is>
      </c>
      <c r="D1234" s="22" t="inlineStr">
        <is>
          <r>
            <t xml:space="preserve">H</t>
          </r>
        </is>
      </c>
      <c r="E1234" s="24" t="n">
        <v>3.5814</v>
      </c>
      <c r="F1234" s="30" t="n">
        <v>1.0</v>
      </c>
      <c r="G1234" s="30" t="n">
        <f>ROUND(ROUND(E1234,8)*F1234,4)</f>
        <v>3.5814</v>
      </c>
    </row>
    <row r="1235" customHeight="1" ht="15">
      <c r="A1235" s="22" t="inlineStr">
        <is>
          <r>
            <t xml:space="preserve">I2702</t>
          </r>
        </is>
      </c>
      <c r="B1235" s="23" t="inlineStr">
        <is>
          <r>
            <t xml:space="preserve">JUROS</t>
          </r>
        </is>
      </c>
      <c r="C1235" s="22" t="inlineStr">
        <is>
          <r>
            <t xml:space="preserve">SEINFRA</t>
          </r>
        </is>
      </c>
      <c r="D1235" s="22" t="inlineStr">
        <is>
          <r>
            <t xml:space="preserve">H</t>
          </r>
        </is>
      </c>
      <c r="E1235" s="24" t="n">
        <v>1.3132</v>
      </c>
      <c r="F1235" s="30" t="n">
        <v>1.0</v>
      </c>
      <c r="G1235" s="30" t="n">
        <f>ROUND(ROUND(E1235,8)*F1235,4)</f>
        <v>1.3132</v>
      </c>
    </row>
    <row r="1236" customHeight="1" ht="15">
      <c r="A1236" s="2" t="inlineStr"/>
      <c r="B1236" s="2" t="inlineStr"/>
      <c r="C1236" s="2" t="inlineStr"/>
      <c r="D1236" s="2" t="inlineStr"/>
      <c r="E1236" s="26" t="inlineStr">
        <is>
          <r>
            <t xml:space="preserve">TOTAL Geral:</t>
          </r>
        </is>
      </c>
      <c r="F1236" s="26" t="inlineStr"/>
      <c r="G1236" s="31" t="n">
        <f>SUM(G1234:G1235)</f>
        <v>4.8946</v>
      </c>
    </row>
    <row r="1237" customHeight="1" ht="15">
      <c r="A1237" s="2" t="inlineStr"/>
      <c r="B1237" s="2" t="inlineStr"/>
      <c r="C1237" s="2" t="inlineStr"/>
      <c r="D1237" s="2" t="inlineStr"/>
      <c r="E1237" s="28" t="inlineStr">
        <is>
          <r>
            <t xml:space="preserve">VALOR:</t>
          </r>
        </is>
      </c>
      <c r="F1237" s="28" t="inlineStr"/>
      <c r="G1237" s="29" t="n">
        <f>ROUND(SUM(G1236),2)</f>
        <v>4.89</v>
      </c>
    </row>
    <row r="1238" customHeight="1" ht="15">
      <c r="A1238" s="2" t="inlineStr"/>
      <c r="B1238" s="2" t="inlineStr"/>
      <c r="C1238" s="2" t="inlineStr"/>
      <c r="D1238" s="2" t="inlineStr"/>
      <c r="E1238" s="28" t="inlineStr">
        <is>
          <r>
            <t xml:space="preserve">VALOR BDI:</t>
          </r>
        </is>
      </c>
      <c r="F1238" s="28" t="inlineStr"/>
      <c r="G1238" s="29" t="n">
        <f>ROUND(G1237*(0/100),2)</f>
        <v>0.0</v>
      </c>
    </row>
    <row r="1239" customHeight="1" ht="15">
      <c r="A1239" s="2" t="inlineStr"/>
      <c r="B1239" s="2" t="inlineStr"/>
      <c r="C1239" s="2" t="inlineStr"/>
      <c r="D1239" s="2" t="inlineStr"/>
      <c r="E1239" s="28" t="inlineStr">
        <is>
          <r>
            <t xml:space="preserve">VALOR COM BDI:</t>
          </r>
        </is>
      </c>
      <c r="F1239" s="28" t="inlineStr"/>
      <c r="G1239" s="29" t="n">
        <f>G1238+G1237</f>
        <v>4.89</v>
      </c>
    </row>
    <row r="1240" customHeight="1" ht="10">
      <c r="A1240" s="2" t="inlineStr"/>
      <c r="B1240" s="2" t="inlineStr"/>
      <c r="C1240" s="2" t="inlineStr"/>
      <c r="D1240" s="2" t="inlineStr"/>
      <c r="E1240" s="18" t="inlineStr"/>
      <c r="F1240" s="18" t="inlineStr"/>
      <c r="G1240" s="18" t="inlineStr"/>
    </row>
    <row r="1241" customHeight="1" ht="20">
      <c r="A1241" s="19" t="inlineStr">
        <is>
          <r>
            <t xml:space="preserve">​I0739​ GRADE DE DISCOS (CHP)​ (H)</t>
          </r>
        </is>
      </c>
      <c r="B1241" s="19" t="inlineStr"/>
      <c r="C1241" s="19" t="inlineStr"/>
      <c r="D1241" s="19" t="inlineStr"/>
      <c r="E1241" s="19" t="inlineStr"/>
      <c r="F1241" s="19" t="inlineStr"/>
      <c r="G1241" s="19" t="inlineStr"/>
    </row>
    <row r="1242" customHeight="1" ht="15">
      <c r="A1242" s="20" t="inlineStr">
        <is>
          <r>
            <t xml:space="preserve">Geral</t>
          </r>
        </is>
      </c>
      <c r="B1242" s="20" t="inlineStr"/>
      <c r="C1242" s="21" t="inlineStr">
        <is>
          <r>
            <t xml:space="preserve">FONTE</t>
          </r>
        </is>
      </c>
      <c r="D1242" s="21" t="inlineStr">
        <is>
          <r>
            <t xml:space="preserve">UNID</t>
          </r>
        </is>
      </c>
      <c r="E1242" s="21" t="inlineStr">
        <is>
          <r>
            <t xml:space="preserve">COEFICIENTE</t>
          </r>
        </is>
      </c>
      <c r="F1242" s="21" t="inlineStr">
        <is>
          <r>
            <t xml:space="preserve">PREÇO UNITÁRIO</t>
          </r>
        </is>
      </c>
      <c r="G1242" s="21" t="inlineStr">
        <is>
          <r>
            <t xml:space="preserve">TOTAL</t>
          </r>
        </is>
      </c>
    </row>
    <row r="1243" customHeight="1" ht="15">
      <c r="A1243" s="22" t="inlineStr">
        <is>
          <r>
            <t xml:space="preserve">I2701</t>
          </r>
        </is>
      </c>
      <c r="B1243" s="23" t="inlineStr">
        <is>
          <r>
            <t xml:space="preserve">DEPRECIAÇÃO</t>
          </r>
        </is>
      </c>
      <c r="C1243" s="22" t="inlineStr">
        <is>
          <r>
            <t xml:space="preserve">SEINFRA</t>
          </r>
        </is>
      </c>
      <c r="D1243" s="22" t="inlineStr">
        <is>
          <r>
            <t xml:space="preserve">H</t>
          </r>
        </is>
      </c>
      <c r="E1243" s="24" t="n">
        <v>3.5814</v>
      </c>
      <c r="F1243" s="30" t="n">
        <v>1.0</v>
      </c>
      <c r="G1243" s="30" t="n">
        <f>ROUND(ROUND(E1243,8)*F1243,4)</f>
        <v>3.5814</v>
      </c>
    </row>
    <row r="1244" customHeight="1" ht="15">
      <c r="A1244" s="22" t="inlineStr">
        <is>
          <r>
            <t xml:space="preserve">I2702</t>
          </r>
        </is>
      </c>
      <c r="B1244" s="23" t="inlineStr">
        <is>
          <r>
            <t xml:space="preserve">JUROS</t>
          </r>
        </is>
      </c>
      <c r="C1244" s="22" t="inlineStr">
        <is>
          <r>
            <t xml:space="preserve">SEINFRA</t>
          </r>
        </is>
      </c>
      <c r="D1244" s="22" t="inlineStr">
        <is>
          <r>
            <t xml:space="preserve">H</t>
          </r>
        </is>
      </c>
      <c r="E1244" s="24" t="n">
        <v>1.3132</v>
      </c>
      <c r="F1244" s="30" t="n">
        <v>1.0</v>
      </c>
      <c r="G1244" s="30" t="n">
        <f>ROUND(ROUND(E1244,8)*F1244,4)</f>
        <v>1.3132</v>
      </c>
    </row>
    <row r="1245" customHeight="1" ht="15">
      <c r="A1245" s="22" t="inlineStr">
        <is>
          <r>
            <t xml:space="preserve">I2703</t>
          </r>
        </is>
      </c>
      <c r="B1245" s="23" t="inlineStr">
        <is>
          <r>
            <t xml:space="preserve">MANUTENÇÃO</t>
          </r>
        </is>
      </c>
      <c r="C1245" s="22" t="inlineStr">
        <is>
          <r>
            <t xml:space="preserve">SEINFRA</t>
          </r>
        </is>
      </c>
      <c r="D1245" s="22" t="inlineStr">
        <is>
          <r>
            <t xml:space="preserve">H</t>
          </r>
        </is>
      </c>
      <c r="E1245" s="24" t="n">
        <v>1.9897</v>
      </c>
      <c r="F1245" s="30" t="n">
        <v>1.0</v>
      </c>
      <c r="G1245" s="30" t="n">
        <f>ROUND(ROUND(E1245,8)*F1245,4)</f>
        <v>1.9897</v>
      </c>
    </row>
    <row r="1246" customHeight="1" ht="15">
      <c r="A1246" s="2" t="inlineStr"/>
      <c r="B1246" s="2" t="inlineStr"/>
      <c r="C1246" s="2" t="inlineStr"/>
      <c r="D1246" s="2" t="inlineStr"/>
      <c r="E1246" s="26" t="inlineStr">
        <is>
          <r>
            <t xml:space="preserve">TOTAL Geral:</t>
          </r>
        </is>
      </c>
      <c r="F1246" s="26" t="inlineStr"/>
      <c r="G1246" s="31" t="n">
        <f>SUM(G1243:G1245)</f>
        <v>6.8843</v>
      </c>
    </row>
    <row r="1247" customHeight="1" ht="15">
      <c r="A1247" s="2" t="inlineStr"/>
      <c r="B1247" s="2" t="inlineStr"/>
      <c r="C1247" s="2" t="inlineStr"/>
      <c r="D1247" s="2" t="inlineStr"/>
      <c r="E1247" s="28" t="inlineStr">
        <is>
          <r>
            <t xml:space="preserve">VALOR:</t>
          </r>
        </is>
      </c>
      <c r="F1247" s="28" t="inlineStr"/>
      <c r="G1247" s="29" t="n">
        <f>ROUND(SUM(G1246),2)</f>
        <v>6.88</v>
      </c>
    </row>
    <row r="1248" customHeight="1" ht="15">
      <c r="A1248" s="2" t="inlineStr"/>
      <c r="B1248" s="2" t="inlineStr"/>
      <c r="C1248" s="2" t="inlineStr"/>
      <c r="D1248" s="2" t="inlineStr"/>
      <c r="E1248" s="28" t="inlineStr">
        <is>
          <r>
            <t xml:space="preserve">VALOR BDI:</t>
          </r>
        </is>
      </c>
      <c r="F1248" s="28" t="inlineStr"/>
      <c r="G1248" s="29" t="n">
        <f>ROUND(G1247*(0/100),2)</f>
        <v>0.0</v>
      </c>
    </row>
    <row r="1249" customHeight="1" ht="15">
      <c r="A1249" s="2" t="inlineStr"/>
      <c r="B1249" s="2" t="inlineStr"/>
      <c r="C1249" s="2" t="inlineStr"/>
      <c r="D1249" s="2" t="inlineStr"/>
      <c r="E1249" s="28" t="inlineStr">
        <is>
          <r>
            <t xml:space="preserve">VALOR COM BDI:</t>
          </r>
        </is>
      </c>
      <c r="F1249" s="28" t="inlineStr"/>
      <c r="G1249" s="29" t="n">
        <f>G1248+G1247</f>
        <v>6.88</v>
      </c>
    </row>
    <row r="1250" customHeight="1" ht="10">
      <c r="A1250" s="2" t="inlineStr"/>
      <c r="B1250" s="2" t="inlineStr"/>
      <c r="C1250" s="2" t="inlineStr"/>
      <c r="D1250" s="2" t="inlineStr"/>
      <c r="E1250" s="18" t="inlineStr"/>
      <c r="F1250" s="18" t="inlineStr"/>
      <c r="G1250" s="18" t="inlineStr"/>
    </row>
    <row r="1251" customHeight="1" ht="20">
      <c r="A1251" s="19" t="inlineStr">
        <is>
          <r>
            <t xml:space="preserve">​90279​ GRAUTE FGK=20 MPA; TRAÇO 1:0,04:1,8:2,1 (EM MASSA SECA DE CIMENTO/ CAL/ AREIA GROSSA/ BRITA 0) - PREPARO MECÂNICO COM BETONEIRA 400 L. AF_09/2021​ (M3)</t>
          </r>
        </is>
      </c>
      <c r="B1251" s="19" t="inlineStr"/>
      <c r="C1251" s="19" t="inlineStr"/>
      <c r="D1251" s="19" t="inlineStr"/>
      <c r="E1251" s="19" t="inlineStr"/>
      <c r="F1251" s="19" t="inlineStr"/>
      <c r="G1251" s="19" t="inlineStr"/>
    </row>
    <row r="1252" customHeight="1" ht="15">
      <c r="A1252" s="20" t="inlineStr">
        <is>
          <r>
            <t xml:space="preserve">Equipamento Custo Horário</t>
          </r>
        </is>
      </c>
      <c r="B1252" s="20" t="inlineStr"/>
      <c r="C1252" s="21" t="inlineStr">
        <is>
          <r>
            <t xml:space="preserve">FONTE</t>
          </r>
        </is>
      </c>
      <c r="D1252" s="21" t="inlineStr">
        <is>
          <r>
            <t xml:space="preserve">UNID</t>
          </r>
        </is>
      </c>
      <c r="E1252" s="21" t="inlineStr">
        <is>
          <r>
            <t xml:space="preserve">COEFICIENTE</t>
          </r>
        </is>
      </c>
      <c r="F1252" s="21" t="inlineStr">
        <is>
          <r>
            <t xml:space="preserve">PREÇO UNITÁRIO</t>
          </r>
        </is>
      </c>
      <c r="G1252" s="21" t="inlineStr">
        <is>
          <r>
            <t xml:space="preserve">TOTAL</t>
          </r>
        </is>
      </c>
    </row>
    <row r="1253" customHeight="1" ht="38">
      <c r="A1253" s="22" t="inlineStr">
        <is>
          <r>
            <t xml:space="preserve">88831</t>
          </r>
        </is>
      </c>
      <c r="B1253" s="23" t="inlineStr">
        <is>
          <r>
            <t xml:space="preserve">BETONEIRA CAPACIDADE NOMINAL DE 400 L, CAPACIDADE DE MISTURA 280 L, MOTOR ELÉTRICO TRIFÁSICO POTÊNCIA DE 2 CV, SEM CARREGADOR - CHI DIURNO. AF_05/2023</t>
          </r>
        </is>
      </c>
      <c r="C1253" s="22" t="inlineStr">
        <is>
          <r>
            <t xml:space="preserve">SINAPI</t>
          </r>
        </is>
      </c>
      <c r="D1253" s="22" t="inlineStr">
        <is>
          <r>
            <t xml:space="preserve">CHI</t>
          </r>
        </is>
      </c>
      <c r="E1253" s="24" t="n">
        <v>0.4931</v>
      </c>
      <c r="F1253" s="25" t="n">
        <v>0.38</v>
      </c>
      <c r="G1253" s="25" t="n">
        <f>TRUNC(TRUNC(E1253,8)*F1253,2)</f>
        <v>0.18</v>
      </c>
    </row>
    <row r="1254" customHeight="1" ht="38">
      <c r="A1254" s="22" t="inlineStr">
        <is>
          <r>
            <t xml:space="preserve">88830</t>
          </r>
        </is>
      </c>
      <c r="B1254" s="23" t="inlineStr">
        <is>
          <r>
            <t xml:space="preserve">BETONEIRA CAPACIDADE NOMINAL DE 400 L, CAPACIDADE DE MISTURA 280 L, MOTOR ELÉTRICO TRIFÁSICO POTÊNCIA DE 2 CV, SEM CARREGADOR - CHP DIURNO. AF_05/2023</t>
          </r>
        </is>
      </c>
      <c r="C1254" s="22" t="inlineStr">
        <is>
          <r>
            <t xml:space="preserve">SINAPI</t>
          </r>
        </is>
      </c>
      <c r="D1254" s="22" t="inlineStr">
        <is>
          <r>
            <t xml:space="preserve">CHP</t>
          </r>
        </is>
      </c>
      <c r="E1254" s="24" t="n">
        <v>1.1138</v>
      </c>
      <c r="F1254" s="25" t="n">
        <v>1.99</v>
      </c>
      <c r="G1254" s="25" t="n">
        <f>TRUNC(TRUNC(E1254,8)*F1254,2)</f>
        <v>2.21</v>
      </c>
    </row>
    <row r="1255" customHeight="1" ht="18">
      <c r="A1255" s="2" t="inlineStr"/>
      <c r="B1255" s="2" t="inlineStr"/>
      <c r="C1255" s="2" t="inlineStr"/>
      <c r="D1255" s="2" t="inlineStr"/>
      <c r="E1255" s="26" t="inlineStr">
        <is>
          <r>
            <t xml:space="preserve">TOTAL Equipamento Custo Horário:</t>
          </r>
        </is>
      </c>
      <c r="F1255" s="26" t="inlineStr"/>
      <c r="G1255" s="27" t="n">
        <f>SUM(G1253:G1254)</f>
        <v>2.39</v>
      </c>
    </row>
    <row r="1256" customHeight="1" ht="15">
      <c r="A1256" s="20" t="inlineStr">
        <is>
          <r>
            <t xml:space="preserve">Material</t>
          </r>
        </is>
      </c>
      <c r="B1256" s="20" t="inlineStr"/>
      <c r="C1256" s="21" t="inlineStr">
        <is>
          <r>
            <t xml:space="preserve">FONTE</t>
          </r>
        </is>
      </c>
      <c r="D1256" s="21" t="inlineStr">
        <is>
          <r>
            <t xml:space="preserve">UNID</t>
          </r>
        </is>
      </c>
      <c r="E1256" s="21" t="inlineStr">
        <is>
          <r>
            <t xml:space="preserve">COEFICIENTE</t>
          </r>
        </is>
      </c>
      <c r="F1256" s="21" t="inlineStr">
        <is>
          <r>
            <t xml:space="preserve">PREÇO UNITÁRIO</t>
          </r>
        </is>
      </c>
      <c r="G1256" s="21" t="inlineStr">
        <is>
          <r>
            <t xml:space="preserve">TOTAL</t>
          </r>
        </is>
      </c>
    </row>
    <row r="1257" customHeight="1" ht="21">
      <c r="A1257" s="22" t="inlineStr">
        <is>
          <r>
            <t xml:space="preserve">00000367</t>
          </r>
        </is>
      </c>
      <c r="B1257" s="23" t="inlineStr">
        <is>
          <r>
            <t xml:space="preserve">AREIA GROSSA - POSTO JAZIDA/FORNECEDOR (RETIRADO NA JAZIDA, SEM TRANSPORTE)</t>
          </r>
        </is>
      </c>
      <c r="C1257" s="22" t="inlineStr">
        <is>
          <r>
            <t xml:space="preserve">SINAPI</t>
          </r>
        </is>
      </c>
      <c r="D1257" s="22" t="inlineStr">
        <is>
          <r>
            <t xml:space="preserve">M3</t>
          </r>
        </is>
      </c>
      <c r="E1257" s="24" t="n">
        <v>0.6302</v>
      </c>
      <c r="F1257" s="25" t="n">
        <v>126.63</v>
      </c>
      <c r="G1257" s="25" t="n">
        <f>TRUNC(TRUNC(E1257,8)*F1257,2)</f>
        <v>79.8</v>
      </c>
    </row>
    <row r="1258" customHeight="1" ht="15">
      <c r="A1258" s="22" t="inlineStr">
        <is>
          <r>
            <t xml:space="preserve">00001106</t>
          </r>
        </is>
      </c>
      <c r="B1258" s="23" t="inlineStr">
        <is>
          <r>
            <t xml:space="preserve">CAL HIDRATADA CH-I PARA ARGAMASSAS</t>
          </r>
        </is>
      </c>
      <c r="C1258" s="22" t="inlineStr">
        <is>
          <r>
            <t xml:space="preserve">SINAPI</t>
          </r>
        </is>
      </c>
      <c r="D1258" s="22" t="inlineStr">
        <is>
          <r>
            <t xml:space="preserve">KG</t>
          </r>
        </is>
      </c>
      <c r="E1258" s="24" t="n">
        <v>15.1255</v>
      </c>
      <c r="F1258" s="25" t="n">
        <v>1.27</v>
      </c>
      <c r="G1258" s="25" t="n">
        <f>TRUNC(TRUNC(E1258,8)*F1258,2)</f>
        <v>19.2</v>
      </c>
    </row>
    <row r="1259" customHeight="1" ht="15">
      <c r="A1259" s="22" t="inlineStr">
        <is>
          <r>
            <t xml:space="preserve">00001379</t>
          </r>
        </is>
      </c>
      <c r="B1259" s="23" t="inlineStr">
        <is>
          <r>
            <t xml:space="preserve">CIMENTO PORTLAND COMPOSTO CP II-32</t>
          </r>
        </is>
      </c>
      <c r="C1259" s="22" t="inlineStr">
        <is>
          <r>
            <t xml:space="preserve">SINAPI</t>
          </r>
        </is>
      </c>
      <c r="D1259" s="22" t="inlineStr">
        <is>
          <r>
            <t xml:space="preserve">KG</t>
          </r>
        </is>
      </c>
      <c r="E1259" s="24" t="n">
        <v>420.1527</v>
      </c>
      <c r="F1259" s="25" t="n">
        <v>0.73</v>
      </c>
      <c r="G1259" s="25" t="n">
        <f>TRUNC(TRUNC(E1259,8)*F1259,2)</f>
        <v>306.71</v>
      </c>
    </row>
    <row r="1260" customHeight="1" ht="21">
      <c r="A1260" s="22" t="inlineStr">
        <is>
          <r>
            <t xml:space="preserve">00004720</t>
          </r>
        </is>
      </c>
      <c r="B1260" s="23" t="inlineStr">
        <is>
          <r>
            <t xml:space="preserve">PEDRA BRITADA N. 0, OU PEDRISCO (4,8 A 9,5 MM) POSTO PEDREIRA/FORNECEDOR, SEM FRETE</t>
          </r>
        </is>
      </c>
      <c r="C1260" s="22" t="inlineStr">
        <is>
          <r>
            <t xml:space="preserve">SINAPI</t>
          </r>
        </is>
      </c>
      <c r="D1260" s="22" t="inlineStr">
        <is>
          <r>
            <t xml:space="preserve">M3</t>
          </r>
        </is>
      </c>
      <c r="E1260" s="24" t="n">
        <v>0.5882</v>
      </c>
      <c r="F1260" s="25" t="n">
        <v>128.42</v>
      </c>
      <c r="G1260" s="25" t="n">
        <f>TRUNC(TRUNC(E1260,8)*F1260,2)</f>
        <v>75.53</v>
      </c>
    </row>
    <row r="1261" customHeight="1" ht="15">
      <c r="A1261" s="2" t="inlineStr"/>
      <c r="B1261" s="2" t="inlineStr"/>
      <c r="C1261" s="2" t="inlineStr"/>
      <c r="D1261" s="2" t="inlineStr"/>
      <c r="E1261" s="26" t="inlineStr">
        <is>
          <r>
            <t xml:space="preserve">TOTAL Material:</t>
          </r>
        </is>
      </c>
      <c r="F1261" s="26" t="inlineStr"/>
      <c r="G1261" s="27" t="n">
        <f>SUM(G1257:G1260)</f>
        <v>481.24</v>
      </c>
    </row>
    <row r="1262" customHeight="1" ht="15">
      <c r="A1262" s="20" t="inlineStr">
        <is>
          <r>
            <t xml:space="preserve">Mão de Obra com Encargos Complementares</t>
          </r>
        </is>
      </c>
      <c r="B1262" s="20" t="inlineStr"/>
      <c r="C1262" s="21" t="inlineStr">
        <is>
          <r>
            <t xml:space="preserve">FONTE</t>
          </r>
        </is>
      </c>
      <c r="D1262" s="21" t="inlineStr">
        <is>
          <r>
            <t xml:space="preserve">UNID</t>
          </r>
        </is>
      </c>
      <c r="E1262" s="21" t="inlineStr">
        <is>
          <r>
            <t xml:space="preserve">COEFICIENTE</t>
          </r>
        </is>
      </c>
      <c r="F1262" s="21" t="inlineStr">
        <is>
          <r>
            <t xml:space="preserve">PREÇO UNITÁRIO</t>
          </r>
        </is>
      </c>
      <c r="G1262" s="21" t="inlineStr">
        <is>
          <r>
            <t xml:space="preserve">TOTAL</t>
          </r>
        </is>
      </c>
    </row>
    <row r="1263" customHeight="1" ht="21">
      <c r="A1263" s="22" t="inlineStr">
        <is>
          <r>
            <t xml:space="preserve">88377</t>
          </r>
        </is>
      </c>
      <c r="B1263" s="23" t="inlineStr">
        <is>
          <r>
            <t xml:space="preserve">OPERADOR DE BETONEIRA ESTACIONÁRIA/MISTURADOR COM ENCARGOS COMPLEMENTARES</t>
          </r>
        </is>
      </c>
      <c r="C1263" s="22" t="inlineStr">
        <is>
          <r>
            <t xml:space="preserve">SINAPI</t>
          </r>
        </is>
      </c>
      <c r="D1263" s="22" t="inlineStr">
        <is>
          <r>
            <t xml:space="preserve">H</t>
          </r>
        </is>
      </c>
      <c r="E1263" s="24" t="n">
        <v>1.6069</v>
      </c>
      <c r="F1263" s="25" t="n">
        <v>27.05</v>
      </c>
      <c r="G1263" s="25" t="n">
        <f>TRUNC(TRUNC(E1263,8)*F1263,2)</f>
        <v>43.46</v>
      </c>
    </row>
    <row r="1264" customHeight="1" ht="15">
      <c r="A1264" s="22" t="inlineStr">
        <is>
          <r>
            <t xml:space="preserve">88316</t>
          </r>
        </is>
      </c>
      <c r="B1264" s="23" t="inlineStr">
        <is>
          <r>
            <t xml:space="preserve">SERVENTE COM ENCARGOS COMPLEMENTARES</t>
          </r>
        </is>
      </c>
      <c r="C1264" s="22" t="inlineStr">
        <is>
          <r>
            <t xml:space="preserve">SINAPI</t>
          </r>
        </is>
      </c>
      <c r="D1264" s="22" t="inlineStr">
        <is>
          <r>
            <t xml:space="preserve">H</t>
          </r>
        </is>
      </c>
      <c r="E1264" s="24" t="n">
        <v>2.5492</v>
      </c>
      <c r="F1264" s="25" t="n">
        <v>21.93</v>
      </c>
      <c r="G1264" s="25" t="n">
        <f>TRUNC(TRUNC(E1264,8)*F1264,2)</f>
        <v>55.9</v>
      </c>
    </row>
    <row r="1265" customHeight="1" ht="18">
      <c r="A1265" s="2" t="inlineStr"/>
      <c r="B1265" s="2" t="inlineStr"/>
      <c r="C1265" s="2" t="inlineStr"/>
      <c r="D1265" s="2" t="inlineStr"/>
      <c r="E1265" s="26" t="inlineStr">
        <is>
          <r>
            <t xml:space="preserve">TOTAL Mão de Obra com Encargos Complementares:</t>
          </r>
        </is>
      </c>
      <c r="F1265" s="26" t="inlineStr"/>
      <c r="G1265" s="27" t="n">
        <f>SUM(G1263:G1264)</f>
        <v>99.36</v>
      </c>
    </row>
    <row r="1266" customHeight="1" ht="15">
      <c r="A1266" s="2" t="inlineStr"/>
      <c r="B1266" s="2" t="inlineStr"/>
      <c r="C1266" s="2" t="inlineStr"/>
      <c r="D1266" s="2" t="inlineStr"/>
      <c r="E1266" s="28" t="inlineStr">
        <is>
          <r>
            <t xml:space="preserve">VALOR:</t>
          </r>
        </is>
      </c>
      <c r="F1266" s="28" t="inlineStr"/>
      <c r="G1266" s="29" t="n">
        <f>ROUND(SUM(G1255,G1261,G1265),2)</f>
        <v>582.99</v>
      </c>
    </row>
    <row r="1267" customHeight="1" ht="15">
      <c r="A1267" s="2" t="inlineStr"/>
      <c r="B1267" s="2" t="inlineStr"/>
      <c r="C1267" s="2" t="inlineStr"/>
      <c r="D1267" s="2" t="inlineStr"/>
      <c r="E1267" s="28" t="inlineStr">
        <is>
          <r>
            <t xml:space="preserve">VALOR BDI:</t>
          </r>
        </is>
      </c>
      <c r="F1267" s="28" t="inlineStr"/>
      <c r="G1267" s="29" t="n">
        <f>ROUND(G1266*(0/100),2)</f>
        <v>0.0</v>
      </c>
    </row>
    <row r="1268" customHeight="1" ht="15">
      <c r="A1268" s="2" t="inlineStr"/>
      <c r="B1268" s="2" t="inlineStr"/>
      <c r="C1268" s="2" t="inlineStr"/>
      <c r="D1268" s="2" t="inlineStr"/>
      <c r="E1268" s="28" t="inlineStr">
        <is>
          <r>
            <t xml:space="preserve">VALOR COM BDI:</t>
          </r>
        </is>
      </c>
      <c r="F1268" s="28" t="inlineStr"/>
      <c r="G1268" s="29" t="n">
        <f>G1267+G1266</f>
        <v>582.99</v>
      </c>
    </row>
    <row r="1269" customHeight="1" ht="10">
      <c r="A1269" s="2" t="inlineStr"/>
      <c r="B1269" s="2" t="inlineStr"/>
      <c r="C1269" s="2" t="inlineStr"/>
      <c r="D1269" s="2" t="inlineStr"/>
      <c r="E1269" s="18" t="inlineStr"/>
      <c r="F1269" s="18" t="inlineStr"/>
      <c r="G1269" s="18" t="inlineStr"/>
    </row>
    <row r="1270" customHeight="1" ht="20">
      <c r="A1270" s="19" t="inlineStr">
        <is>
          <r>
            <t xml:space="preserve">​89995​ GRAUTEAMENTO DE CINTA SUPERIOR OU DE VERGA EM ALVENARIA ESTRUTURAL. AF_09/2021​ (M3)</t>
          </r>
        </is>
      </c>
      <c r="B1270" s="19" t="inlineStr"/>
      <c r="C1270" s="19" t="inlineStr"/>
      <c r="D1270" s="19" t="inlineStr"/>
      <c r="E1270" s="19" t="inlineStr"/>
      <c r="F1270" s="19" t="inlineStr"/>
      <c r="G1270" s="19" t="inlineStr"/>
    </row>
    <row r="1271" customHeight="1" ht="15">
      <c r="A1271" s="20" t="inlineStr">
        <is>
          <r>
            <t xml:space="preserve">Mão de Obra com Encargos Complementares</t>
          </r>
        </is>
      </c>
      <c r="B1271" s="20" t="inlineStr"/>
      <c r="C1271" s="21" t="inlineStr">
        <is>
          <r>
            <t xml:space="preserve">FONTE</t>
          </r>
        </is>
      </c>
      <c r="D1271" s="21" t="inlineStr">
        <is>
          <r>
            <t xml:space="preserve">UNID</t>
          </r>
        </is>
      </c>
      <c r="E1271" s="21" t="inlineStr">
        <is>
          <r>
            <t xml:space="preserve">COEFICIENTE</t>
          </r>
        </is>
      </c>
      <c r="F1271" s="21" t="inlineStr">
        <is>
          <r>
            <t xml:space="preserve">PREÇO UNITÁRIO</t>
          </r>
        </is>
      </c>
      <c r="G1271" s="21" t="inlineStr">
        <is>
          <r>
            <t xml:space="preserve">TOTAL</t>
          </r>
        </is>
      </c>
    </row>
    <row r="1272" customHeight="1" ht="15">
      <c r="A1272" s="22" t="inlineStr">
        <is>
          <r>
            <t xml:space="preserve">88309</t>
          </r>
        </is>
      </c>
      <c r="B1272" s="23" t="inlineStr">
        <is>
          <r>
            <t xml:space="preserve">PEDREIRO COM ENCARGOS COMPLEMENTARES</t>
          </r>
        </is>
      </c>
      <c r="C1272" s="22" t="inlineStr">
        <is>
          <r>
            <t xml:space="preserve">SINAPI</t>
          </r>
        </is>
      </c>
      <c r="D1272" s="22" t="inlineStr">
        <is>
          <r>
            <t xml:space="preserve">H</t>
          </r>
        </is>
      </c>
      <c r="E1272" s="24" t="n">
        <v>7.4148</v>
      </c>
      <c r="F1272" s="25" t="n">
        <v>28.2</v>
      </c>
      <c r="G1272" s="25" t="n">
        <f>TRUNC(TRUNC(E1272,8)*F1272,2)</f>
        <v>209.09</v>
      </c>
    </row>
    <row r="1273" customHeight="1" ht="15">
      <c r="A1273" s="22" t="inlineStr">
        <is>
          <r>
            <t xml:space="preserve">88316</t>
          </r>
        </is>
      </c>
      <c r="B1273" s="23" t="inlineStr">
        <is>
          <r>
            <t xml:space="preserve">SERVENTE COM ENCARGOS COMPLEMENTARES</t>
          </r>
        </is>
      </c>
      <c r="C1273" s="22" t="inlineStr">
        <is>
          <r>
            <t xml:space="preserve">SINAPI</t>
          </r>
        </is>
      </c>
      <c r="D1273" s="22" t="inlineStr">
        <is>
          <r>
            <t xml:space="preserve">H</t>
          </r>
        </is>
      </c>
      <c r="E1273" s="24" t="n">
        <v>4.9432</v>
      </c>
      <c r="F1273" s="25" t="n">
        <v>21.93</v>
      </c>
      <c r="G1273" s="25" t="n">
        <f>TRUNC(TRUNC(E1273,8)*F1273,2)</f>
        <v>108.4</v>
      </c>
    </row>
    <row r="1274" customHeight="1" ht="18">
      <c r="A1274" s="2" t="inlineStr"/>
      <c r="B1274" s="2" t="inlineStr"/>
      <c r="C1274" s="2" t="inlineStr"/>
      <c r="D1274" s="2" t="inlineStr"/>
      <c r="E1274" s="26" t="inlineStr">
        <is>
          <r>
            <t xml:space="preserve">TOTAL Mão de Obra com Encargos Complementares:</t>
          </r>
        </is>
      </c>
      <c r="F1274" s="26" t="inlineStr"/>
      <c r="G1274" s="27" t="n">
        <f>SUM(G1272:G1273)</f>
        <v>317.49</v>
      </c>
    </row>
    <row r="1275" customHeight="1" ht="15">
      <c r="A1275" s="20" t="inlineStr">
        <is>
          <r>
            <t xml:space="preserve">Serviço</t>
          </r>
        </is>
      </c>
      <c r="B1275" s="20" t="inlineStr"/>
      <c r="C1275" s="21" t="inlineStr">
        <is>
          <r>
            <t xml:space="preserve">FONTE</t>
          </r>
        </is>
      </c>
      <c r="D1275" s="21" t="inlineStr">
        <is>
          <r>
            <t xml:space="preserve">UNID</t>
          </r>
        </is>
      </c>
      <c r="E1275" s="21" t="inlineStr">
        <is>
          <r>
            <t xml:space="preserve">COEFICIENTE</t>
          </r>
        </is>
      </c>
      <c r="F1275" s="21" t="inlineStr">
        <is>
          <r>
            <t xml:space="preserve">PREÇO UNITÁRIO</t>
          </r>
        </is>
      </c>
      <c r="G1275" s="21" t="inlineStr">
        <is>
          <r>
            <t xml:space="preserve">TOTAL</t>
          </r>
        </is>
      </c>
    </row>
    <row r="1276" customHeight="1" ht="29">
      <c r="A1276" s="22" t="inlineStr">
        <is>
          <r>
            <t xml:space="preserve">90279</t>
          </r>
        </is>
      </c>
      <c r="B1276" s="23" t="inlineStr">
        <is>
          <r>
            <t xml:space="preserve">GRAUTE FGK=20 MPA; TRAÇO 1:0,04:1,8:2,1 (EM MASSA SECA DE CIMENTO/ CAL/ AREIA GROSSA/ BRITA 0) - PREPARO MECÂNICO COM BETONEIRA 400 L. AF_09/2021</t>
          </r>
        </is>
      </c>
      <c r="C1276" s="22" t="inlineStr">
        <is>
          <r>
            <t xml:space="preserve">SINAPI</t>
          </r>
        </is>
      </c>
      <c r="D1276" s="22" t="inlineStr">
        <is>
          <r>
            <t xml:space="preserve">M3</t>
          </r>
        </is>
      </c>
      <c r="E1276" s="24" t="n">
        <v>1.203</v>
      </c>
      <c r="F1276" s="25" t="n">
        <v>582.99</v>
      </c>
      <c r="G1276" s="25" t="n">
        <f>TRUNC(TRUNC(E1276,8)*F1276,2)</f>
        <v>701.33</v>
      </c>
    </row>
    <row r="1277" customHeight="1" ht="15">
      <c r="A1277" s="2" t="inlineStr"/>
      <c r="B1277" s="2" t="inlineStr"/>
      <c r="C1277" s="2" t="inlineStr"/>
      <c r="D1277" s="2" t="inlineStr"/>
      <c r="E1277" s="26" t="inlineStr">
        <is>
          <r>
            <t xml:space="preserve">TOTAL Serviço:</t>
          </r>
        </is>
      </c>
      <c r="F1277" s="26" t="inlineStr"/>
      <c r="G1277" s="27" t="n">
        <f>SUM(G1276:G1276)</f>
        <v>701.33</v>
      </c>
    </row>
    <row r="1278" customHeight="1" ht="15">
      <c r="A1278" s="2" t="inlineStr"/>
      <c r="B1278" s="2" t="inlineStr"/>
      <c r="C1278" s="2" t="inlineStr"/>
      <c r="D1278" s="2" t="inlineStr"/>
      <c r="E1278" s="28" t="inlineStr">
        <is>
          <r>
            <t xml:space="preserve">VALOR:</t>
          </r>
        </is>
      </c>
      <c r="F1278" s="28" t="inlineStr"/>
      <c r="G1278" s="29" t="n">
        <f>ROUND(SUM(G1274,G1277),2)</f>
        <v>1018.82</v>
      </c>
    </row>
    <row r="1279" customHeight="1" ht="15">
      <c r="A1279" s="2" t="inlineStr"/>
      <c r="B1279" s="2" t="inlineStr"/>
      <c r="C1279" s="2" t="inlineStr"/>
      <c r="D1279" s="2" t="inlineStr"/>
      <c r="E1279" s="28" t="inlineStr">
        <is>
          <r>
            <t xml:space="preserve">VALOR BDI:</t>
          </r>
        </is>
      </c>
      <c r="F1279" s="28" t="inlineStr"/>
      <c r="G1279" s="29" t="n">
        <f>ROUND(G1278*(0/100),2)</f>
        <v>0.0</v>
      </c>
    </row>
    <row r="1280" customHeight="1" ht="15">
      <c r="A1280" s="2" t="inlineStr"/>
      <c r="B1280" s="2" t="inlineStr"/>
      <c r="C1280" s="2" t="inlineStr"/>
      <c r="D1280" s="2" t="inlineStr"/>
      <c r="E1280" s="28" t="inlineStr">
        <is>
          <r>
            <t xml:space="preserve">VALOR COM BDI:</t>
          </r>
        </is>
      </c>
      <c r="F1280" s="28" t="inlineStr"/>
      <c r="G1280" s="29" t="n">
        <f>G1279+G1278</f>
        <v>1018.82</v>
      </c>
    </row>
    <row r="1281" customHeight="1" ht="10">
      <c r="A1281" s="2" t="inlineStr"/>
      <c r="B1281" s="2" t="inlineStr"/>
      <c r="C1281" s="2" t="inlineStr"/>
      <c r="D1281" s="2" t="inlineStr"/>
      <c r="E1281" s="18" t="inlineStr"/>
      <c r="F1281" s="18" t="inlineStr"/>
      <c r="G1281" s="18" t="inlineStr"/>
    </row>
    <row r="1282" customHeight="1" ht="20">
      <c r="A1282" s="19" t="inlineStr">
        <is>
          <r>
            <t xml:space="preserve">​89993​ GRAUTEAMENTO VERTICAL EM ALVENARIA ESTRUTURAL. AF_09/2021​ (M3)</t>
          </r>
        </is>
      </c>
      <c r="B1282" s="19" t="inlineStr"/>
      <c r="C1282" s="19" t="inlineStr"/>
      <c r="D1282" s="19" t="inlineStr"/>
      <c r="E1282" s="19" t="inlineStr"/>
      <c r="F1282" s="19" t="inlineStr"/>
      <c r="G1282" s="19" t="inlineStr"/>
    </row>
    <row r="1283" customHeight="1" ht="15">
      <c r="A1283" s="20" t="inlineStr">
        <is>
          <r>
            <t xml:space="preserve">Mão de Obra com Encargos Complementares</t>
          </r>
        </is>
      </c>
      <c r="B1283" s="20" t="inlineStr"/>
      <c r="C1283" s="21" t="inlineStr">
        <is>
          <r>
            <t xml:space="preserve">FONTE</t>
          </r>
        </is>
      </c>
      <c r="D1283" s="21" t="inlineStr">
        <is>
          <r>
            <t xml:space="preserve">UNID</t>
          </r>
        </is>
      </c>
      <c r="E1283" s="21" t="inlineStr">
        <is>
          <r>
            <t xml:space="preserve">COEFICIENTE</t>
          </r>
        </is>
      </c>
      <c r="F1283" s="21" t="inlineStr">
        <is>
          <r>
            <t xml:space="preserve">PREÇO UNITÁRIO</t>
          </r>
        </is>
      </c>
      <c r="G1283" s="21" t="inlineStr">
        <is>
          <r>
            <t xml:space="preserve">TOTAL</t>
          </r>
        </is>
      </c>
    </row>
    <row r="1284" customHeight="1" ht="15">
      <c r="A1284" s="22" t="inlineStr">
        <is>
          <r>
            <t xml:space="preserve">88309</t>
          </r>
        </is>
      </c>
      <c r="B1284" s="23" t="inlineStr">
        <is>
          <r>
            <t xml:space="preserve">PEDREIRO COM ENCARGOS COMPLEMENTARES</t>
          </r>
        </is>
      </c>
      <c r="C1284" s="22" t="inlineStr">
        <is>
          <r>
            <t xml:space="preserve">SINAPI</t>
          </r>
        </is>
      </c>
      <c r="D1284" s="22" t="inlineStr">
        <is>
          <r>
            <t xml:space="preserve">H</t>
          </r>
        </is>
      </c>
      <c r="E1284" s="24" t="n">
        <v>8.2973</v>
      </c>
      <c r="F1284" s="25" t="n">
        <v>28.2</v>
      </c>
      <c r="G1284" s="25" t="n">
        <f>TRUNC(TRUNC(E1284,8)*F1284,2)</f>
        <v>233.98</v>
      </c>
    </row>
    <row r="1285" customHeight="1" ht="15">
      <c r="A1285" s="22" t="inlineStr">
        <is>
          <r>
            <t xml:space="preserve">88316</t>
          </r>
        </is>
      </c>
      <c r="B1285" s="23" t="inlineStr">
        <is>
          <r>
            <t xml:space="preserve">SERVENTE COM ENCARGOS COMPLEMENTARES</t>
          </r>
        </is>
      </c>
      <c r="C1285" s="22" t="inlineStr">
        <is>
          <r>
            <t xml:space="preserve">SINAPI</t>
          </r>
        </is>
      </c>
      <c r="D1285" s="22" t="inlineStr">
        <is>
          <r>
            <t xml:space="preserve">H</t>
          </r>
        </is>
      </c>
      <c r="E1285" s="24" t="n">
        <v>5.5315</v>
      </c>
      <c r="F1285" s="25" t="n">
        <v>21.93</v>
      </c>
      <c r="G1285" s="25" t="n">
        <f>TRUNC(TRUNC(E1285,8)*F1285,2)</f>
        <v>121.3</v>
      </c>
    </row>
    <row r="1286" customHeight="1" ht="18">
      <c r="A1286" s="2" t="inlineStr"/>
      <c r="B1286" s="2" t="inlineStr"/>
      <c r="C1286" s="2" t="inlineStr"/>
      <c r="D1286" s="2" t="inlineStr"/>
      <c r="E1286" s="26" t="inlineStr">
        <is>
          <r>
            <t xml:space="preserve">TOTAL Mão de Obra com Encargos Complementares:</t>
          </r>
        </is>
      </c>
      <c r="F1286" s="26" t="inlineStr"/>
      <c r="G1286" s="27" t="n">
        <f>SUM(G1284:G1285)</f>
        <v>355.28</v>
      </c>
    </row>
    <row r="1287" customHeight="1" ht="15">
      <c r="A1287" s="20" t="inlineStr">
        <is>
          <r>
            <t xml:space="preserve">Serviço</t>
          </r>
        </is>
      </c>
      <c r="B1287" s="20" t="inlineStr"/>
      <c r="C1287" s="21" t="inlineStr">
        <is>
          <r>
            <t xml:space="preserve">FONTE</t>
          </r>
        </is>
      </c>
      <c r="D1287" s="21" t="inlineStr">
        <is>
          <r>
            <t xml:space="preserve">UNID</t>
          </r>
        </is>
      </c>
      <c r="E1287" s="21" t="inlineStr">
        <is>
          <r>
            <t xml:space="preserve">COEFICIENTE</t>
          </r>
        </is>
      </c>
      <c r="F1287" s="21" t="inlineStr">
        <is>
          <r>
            <t xml:space="preserve">PREÇO UNITÁRIO</t>
          </r>
        </is>
      </c>
      <c r="G1287" s="21" t="inlineStr">
        <is>
          <r>
            <t xml:space="preserve">TOTAL</t>
          </r>
        </is>
      </c>
    </row>
    <row r="1288" customHeight="1" ht="29">
      <c r="A1288" s="22" t="inlineStr">
        <is>
          <r>
            <t xml:space="preserve">90279</t>
          </r>
        </is>
      </c>
      <c r="B1288" s="23" t="inlineStr">
        <is>
          <r>
            <t xml:space="preserve">GRAUTE FGK=20 MPA; TRAÇO 1:0,04:1,8:2,1 (EM MASSA SECA DE CIMENTO/ CAL/ AREIA GROSSA/ BRITA 0) - PREPARO MECÂNICO COM BETONEIRA 400 L. AF_09/2021</t>
          </r>
        </is>
      </c>
      <c r="C1288" s="22" t="inlineStr">
        <is>
          <r>
            <t xml:space="preserve">SINAPI</t>
          </r>
        </is>
      </c>
      <c r="D1288" s="22" t="inlineStr">
        <is>
          <r>
            <t xml:space="preserve">M3</t>
          </r>
        </is>
      </c>
      <c r="E1288" s="24" t="n">
        <v>1.203</v>
      </c>
      <c r="F1288" s="25" t="n">
        <v>582.99</v>
      </c>
      <c r="G1288" s="25" t="n">
        <f>TRUNC(TRUNC(E1288,8)*F1288,2)</f>
        <v>701.33</v>
      </c>
    </row>
    <row r="1289" customHeight="1" ht="15">
      <c r="A1289" s="2" t="inlineStr"/>
      <c r="B1289" s="2" t="inlineStr"/>
      <c r="C1289" s="2" t="inlineStr"/>
      <c r="D1289" s="2" t="inlineStr"/>
      <c r="E1289" s="26" t="inlineStr">
        <is>
          <r>
            <t xml:space="preserve">TOTAL Serviço:</t>
          </r>
        </is>
      </c>
      <c r="F1289" s="26" t="inlineStr"/>
      <c r="G1289" s="27" t="n">
        <f>SUM(G1288:G1288)</f>
        <v>701.33</v>
      </c>
    </row>
    <row r="1290" customHeight="1" ht="15">
      <c r="A1290" s="2" t="inlineStr"/>
      <c r="B1290" s="2" t="inlineStr"/>
      <c r="C1290" s="2" t="inlineStr"/>
      <c r="D1290" s="2" t="inlineStr"/>
      <c r="E1290" s="28" t="inlineStr">
        <is>
          <r>
            <t xml:space="preserve">VALOR:</t>
          </r>
        </is>
      </c>
      <c r="F1290" s="28" t="inlineStr"/>
      <c r="G1290" s="29" t="n">
        <f>ROUND(SUM(G1286,G1289),2)</f>
        <v>1056.61</v>
      </c>
    </row>
    <row r="1291" customHeight="1" ht="15">
      <c r="A1291" s="2" t="inlineStr"/>
      <c r="B1291" s="2" t="inlineStr"/>
      <c r="C1291" s="2" t="inlineStr"/>
      <c r="D1291" s="2" t="inlineStr"/>
      <c r="E1291" s="28" t="inlineStr">
        <is>
          <r>
            <t xml:space="preserve">VALOR BDI:</t>
          </r>
        </is>
      </c>
      <c r="F1291" s="28" t="inlineStr"/>
      <c r="G1291" s="29" t="n">
        <f>ROUND(G1290*(0/100),2)</f>
        <v>0.0</v>
      </c>
    </row>
    <row r="1292" customHeight="1" ht="15">
      <c r="A1292" s="2" t="inlineStr"/>
      <c r="B1292" s="2" t="inlineStr"/>
      <c r="C1292" s="2" t="inlineStr"/>
      <c r="D1292" s="2" t="inlineStr"/>
      <c r="E1292" s="28" t="inlineStr">
        <is>
          <r>
            <t xml:space="preserve">VALOR COM BDI:</t>
          </r>
        </is>
      </c>
      <c r="F1292" s="28" t="inlineStr"/>
      <c r="G1292" s="29" t="n">
        <f>G1291+G1290</f>
        <v>1056.61</v>
      </c>
    </row>
    <row r="1293" customHeight="1" ht="10">
      <c r="A1293" s="2" t="inlineStr"/>
      <c r="B1293" s="2" t="inlineStr"/>
      <c r="C1293" s="2" t="inlineStr"/>
      <c r="D1293" s="2" t="inlineStr"/>
      <c r="E1293" s="18" t="inlineStr"/>
      <c r="F1293" s="18" t="inlineStr"/>
      <c r="G1293" s="18" t="inlineStr"/>
    </row>
    <row r="1294" customHeight="1" ht="20">
      <c r="A1294" s="19" t="inlineStr">
        <is>
          <r>
            <t xml:space="preserve">​I0626​ GRUPO GERADOR 145 KVA (CHI)​ (H)</t>
          </r>
        </is>
      </c>
      <c r="B1294" s="19" t="inlineStr"/>
      <c r="C1294" s="19" t="inlineStr"/>
      <c r="D1294" s="19" t="inlineStr"/>
      <c r="E1294" s="19" t="inlineStr"/>
      <c r="F1294" s="19" t="inlineStr"/>
      <c r="G1294" s="19" t="inlineStr"/>
    </row>
    <row r="1295" customHeight="1" ht="15">
      <c r="A1295" s="20" t="inlineStr">
        <is>
          <r>
            <t xml:space="preserve">Geral</t>
          </r>
        </is>
      </c>
      <c r="B1295" s="20" t="inlineStr"/>
      <c r="C1295" s="21" t="inlineStr">
        <is>
          <r>
            <t xml:space="preserve">FONTE</t>
          </r>
        </is>
      </c>
      <c r="D1295" s="21" t="inlineStr">
        <is>
          <r>
            <t xml:space="preserve">UNID</t>
          </r>
        </is>
      </c>
      <c r="E1295" s="21" t="inlineStr">
        <is>
          <r>
            <t xml:space="preserve">COEFICIENTE</t>
          </r>
        </is>
      </c>
      <c r="F1295" s="21" t="inlineStr">
        <is>
          <r>
            <t xml:space="preserve">PREÇO UNITÁRIO</t>
          </r>
        </is>
      </c>
      <c r="G1295" s="21" t="inlineStr">
        <is>
          <r>
            <t xml:space="preserve">TOTAL</t>
          </r>
        </is>
      </c>
    </row>
    <row r="1296" customHeight="1" ht="21">
      <c r="A1296" s="22" t="inlineStr">
        <is>
          <r>
            <t xml:space="preserve">I2792</t>
          </r>
        </is>
      </c>
      <c r="B1296" s="23" t="inlineStr">
        <is>
          <r>
            <t xml:space="preserve">MÃO DE OBRA DE OPERAÇÃO DO GRUPO GERADOR 145 KVA</t>
          </r>
        </is>
      </c>
      <c r="C1296" s="22" t="inlineStr">
        <is>
          <r>
            <t xml:space="preserve">SEINFRA</t>
          </r>
        </is>
      </c>
      <c r="D1296" s="22" t="inlineStr">
        <is>
          <r>
            <t xml:space="preserve">H</t>
          </r>
        </is>
      </c>
      <c r="E1296" s="24" t="n">
        <v>1.0</v>
      </c>
      <c r="F1296" s="30" t="n">
        <v>21.29</v>
      </c>
      <c r="G1296" s="30" t="n">
        <f>ROUND(ROUND(E1296,8)*F1296,4)</f>
        <v>21.29</v>
      </c>
    </row>
    <row r="1297" customHeight="1" ht="15">
      <c r="A1297" s="22" t="inlineStr">
        <is>
          <r>
            <t xml:space="preserve">I2701</t>
          </r>
        </is>
      </c>
      <c r="B1297" s="23" t="inlineStr">
        <is>
          <r>
            <t xml:space="preserve">DEPRECIAÇÃO</t>
          </r>
        </is>
      </c>
      <c r="C1297" s="22" t="inlineStr">
        <is>
          <r>
            <t xml:space="preserve">SEINFRA</t>
          </r>
        </is>
      </c>
      <c r="D1297" s="22" t="inlineStr">
        <is>
          <r>
            <t xml:space="preserve">H</t>
          </r>
        </is>
      </c>
      <c r="E1297" s="24" t="n">
        <v>9.0286</v>
      </c>
      <c r="F1297" s="30" t="n">
        <v>1.0</v>
      </c>
      <c r="G1297" s="30" t="n">
        <f>ROUND(ROUND(E1297,8)*F1297,4)</f>
        <v>9.0286</v>
      </c>
    </row>
    <row r="1298" customHeight="1" ht="15">
      <c r="A1298" s="22" t="inlineStr">
        <is>
          <r>
            <t xml:space="preserve">I2702</t>
          </r>
        </is>
      </c>
      <c r="B1298" s="23" t="inlineStr">
        <is>
          <r>
            <t xml:space="preserve">JUROS</t>
          </r>
        </is>
      </c>
      <c r="C1298" s="22" t="inlineStr">
        <is>
          <r>
            <t xml:space="preserve">SEINFRA</t>
          </r>
        </is>
      </c>
      <c r="D1298" s="22" t="inlineStr">
        <is>
          <r>
            <t xml:space="preserve">H</t>
          </r>
        </is>
      </c>
      <c r="E1298" s="24" t="n">
        <v>3.0472</v>
      </c>
      <c r="F1298" s="30" t="n">
        <v>1.0</v>
      </c>
      <c r="G1298" s="30" t="n">
        <f>ROUND(ROUND(E1298,8)*F1298,4)</f>
        <v>3.0472</v>
      </c>
    </row>
    <row r="1299" customHeight="1" ht="15">
      <c r="A1299" s="2" t="inlineStr"/>
      <c r="B1299" s="2" t="inlineStr"/>
      <c r="C1299" s="2" t="inlineStr"/>
      <c r="D1299" s="2" t="inlineStr"/>
      <c r="E1299" s="26" t="inlineStr">
        <is>
          <r>
            <t xml:space="preserve">TOTAL Geral:</t>
          </r>
        </is>
      </c>
      <c r="F1299" s="26" t="inlineStr"/>
      <c r="G1299" s="31" t="n">
        <f>SUM(G1296:G1298)</f>
        <v>33.3658</v>
      </c>
    </row>
    <row r="1300" customHeight="1" ht="15">
      <c r="A1300" s="2" t="inlineStr"/>
      <c r="B1300" s="2" t="inlineStr"/>
      <c r="C1300" s="2" t="inlineStr"/>
      <c r="D1300" s="2" t="inlineStr"/>
      <c r="E1300" s="28" t="inlineStr">
        <is>
          <r>
            <t xml:space="preserve">VALOR:</t>
          </r>
        </is>
      </c>
      <c r="F1300" s="28" t="inlineStr"/>
      <c r="G1300" s="29" t="n">
        <f>ROUND(SUM(G1299),2)</f>
        <v>33.37</v>
      </c>
    </row>
    <row r="1301" customHeight="1" ht="15">
      <c r="A1301" s="2" t="inlineStr"/>
      <c r="B1301" s="2" t="inlineStr"/>
      <c r="C1301" s="2" t="inlineStr"/>
      <c r="D1301" s="2" t="inlineStr"/>
      <c r="E1301" s="28" t="inlineStr">
        <is>
          <r>
            <t xml:space="preserve">VALOR BDI:</t>
          </r>
        </is>
      </c>
      <c r="F1301" s="28" t="inlineStr"/>
      <c r="G1301" s="29" t="n">
        <f>ROUND(G1300*(0/100),2)</f>
        <v>0.0</v>
      </c>
    </row>
    <row r="1302" customHeight="1" ht="15">
      <c r="A1302" s="2" t="inlineStr"/>
      <c r="B1302" s="2" t="inlineStr"/>
      <c r="C1302" s="2" t="inlineStr"/>
      <c r="D1302" s="2" t="inlineStr"/>
      <c r="E1302" s="28" t="inlineStr">
        <is>
          <r>
            <t xml:space="preserve">VALOR COM BDI:</t>
          </r>
        </is>
      </c>
      <c r="F1302" s="28" t="inlineStr"/>
      <c r="G1302" s="29" t="n">
        <f>G1301+G1300</f>
        <v>33.37</v>
      </c>
    </row>
    <row r="1303" customHeight="1" ht="10">
      <c r="A1303" s="2" t="inlineStr"/>
      <c r="B1303" s="2" t="inlineStr"/>
      <c r="C1303" s="2" t="inlineStr"/>
      <c r="D1303" s="2" t="inlineStr"/>
      <c r="E1303" s="18" t="inlineStr"/>
      <c r="F1303" s="18" t="inlineStr"/>
      <c r="G1303" s="18" t="inlineStr"/>
    </row>
    <row r="1304" customHeight="1" ht="20">
      <c r="A1304" s="19" t="inlineStr">
        <is>
          <r>
            <t xml:space="preserve">​I0740​ GRUPO GERADOR 145 KVA (CHP)​ (H)</t>
          </r>
        </is>
      </c>
      <c r="B1304" s="19" t="inlineStr"/>
      <c r="C1304" s="19" t="inlineStr"/>
      <c r="D1304" s="19" t="inlineStr"/>
      <c r="E1304" s="19" t="inlineStr"/>
      <c r="F1304" s="19" t="inlineStr"/>
      <c r="G1304" s="19" t="inlineStr"/>
    </row>
    <row r="1305" customHeight="1" ht="15">
      <c r="A1305" s="20" t="inlineStr">
        <is>
          <r>
            <t xml:space="preserve">Geral</t>
          </r>
        </is>
      </c>
      <c r="B1305" s="20" t="inlineStr"/>
      <c r="C1305" s="21" t="inlineStr">
        <is>
          <r>
            <t xml:space="preserve">FONTE</t>
          </r>
        </is>
      </c>
      <c r="D1305" s="21" t="inlineStr">
        <is>
          <r>
            <t xml:space="preserve">UNID</t>
          </r>
        </is>
      </c>
      <c r="E1305" s="21" t="inlineStr">
        <is>
          <r>
            <t xml:space="preserve">COEFICIENTE</t>
          </r>
        </is>
      </c>
      <c r="F1305" s="21" t="inlineStr">
        <is>
          <r>
            <t xml:space="preserve">PREÇO UNITÁRIO</t>
          </r>
        </is>
      </c>
      <c r="G1305" s="21" t="inlineStr">
        <is>
          <r>
            <t xml:space="preserve">TOTAL</t>
          </r>
        </is>
      </c>
    </row>
    <row r="1306" customHeight="1" ht="21">
      <c r="A1306" s="22" t="inlineStr">
        <is>
          <r>
            <t xml:space="preserve">I2792</t>
          </r>
        </is>
      </c>
      <c r="B1306" s="23" t="inlineStr">
        <is>
          <r>
            <t xml:space="preserve">MÃO DE OBRA DE OPERAÇÃO DO GRUPO GERADOR 145 KVA</t>
          </r>
        </is>
      </c>
      <c r="C1306" s="22" t="inlineStr">
        <is>
          <r>
            <t xml:space="preserve">SEINFRA</t>
          </r>
        </is>
      </c>
      <c r="D1306" s="22" t="inlineStr">
        <is>
          <r>
            <t xml:space="preserve">H</t>
          </r>
        </is>
      </c>
      <c r="E1306" s="24" t="n">
        <v>1.0</v>
      </c>
      <c r="F1306" s="30" t="n">
        <v>21.29</v>
      </c>
      <c r="G1306" s="30" t="n">
        <f>ROUND(ROUND(E1306,8)*F1306,4)</f>
        <v>21.29</v>
      </c>
    </row>
    <row r="1307" customHeight="1" ht="15">
      <c r="A1307" s="22" t="inlineStr">
        <is>
          <r>
            <t xml:space="preserve">I2791</t>
          </r>
        </is>
      </c>
      <c r="B1307" s="23" t="inlineStr">
        <is>
          <r>
            <t xml:space="preserve">MATERIAL DE OPERAÇÃO DO GRUPO GERADOR 145 KVA</t>
          </r>
        </is>
      </c>
      <c r="C1307" s="22" t="inlineStr">
        <is>
          <r>
            <t xml:space="preserve">SEINFRA</t>
          </r>
        </is>
      </c>
      <c r="D1307" s="22" t="inlineStr">
        <is>
          <r>
            <t xml:space="preserve">H</t>
          </r>
        </is>
      </c>
      <c r="E1307" s="24" t="n">
        <v>1.0</v>
      </c>
      <c r="F1307" s="30" t="n">
        <v>134.73</v>
      </c>
      <c r="G1307" s="30" t="n">
        <f>ROUND(ROUND(E1307,8)*F1307,4)</f>
        <v>134.73</v>
      </c>
    </row>
    <row r="1308" customHeight="1" ht="15">
      <c r="A1308" s="22" t="inlineStr">
        <is>
          <r>
            <t xml:space="preserve">I2701</t>
          </r>
        </is>
      </c>
      <c r="B1308" s="23" t="inlineStr">
        <is>
          <r>
            <t xml:space="preserve">DEPRECIAÇÃO</t>
          </r>
        </is>
      </c>
      <c r="C1308" s="22" t="inlineStr">
        <is>
          <r>
            <t xml:space="preserve">SEINFRA</t>
          </r>
        </is>
      </c>
      <c r="D1308" s="22" t="inlineStr">
        <is>
          <r>
            <t xml:space="preserve">H</t>
          </r>
        </is>
      </c>
      <c r="E1308" s="24" t="n">
        <v>9.0286</v>
      </c>
      <c r="F1308" s="30" t="n">
        <v>1.0</v>
      </c>
      <c r="G1308" s="30" t="n">
        <f>ROUND(ROUND(E1308,8)*F1308,4)</f>
        <v>9.0286</v>
      </c>
    </row>
    <row r="1309" customHeight="1" ht="15">
      <c r="A1309" s="22" t="inlineStr">
        <is>
          <r>
            <t xml:space="preserve">I2702</t>
          </r>
        </is>
      </c>
      <c r="B1309" s="23" t="inlineStr">
        <is>
          <r>
            <t xml:space="preserve">JUROS</t>
          </r>
        </is>
      </c>
      <c r="C1309" s="22" t="inlineStr">
        <is>
          <r>
            <t xml:space="preserve">SEINFRA</t>
          </r>
        </is>
      </c>
      <c r="D1309" s="22" t="inlineStr">
        <is>
          <r>
            <t xml:space="preserve">H</t>
          </r>
        </is>
      </c>
      <c r="E1309" s="24" t="n">
        <v>3.0472</v>
      </c>
      <c r="F1309" s="30" t="n">
        <v>1.0</v>
      </c>
      <c r="G1309" s="30" t="n">
        <f>ROUND(ROUND(E1309,8)*F1309,4)</f>
        <v>3.0472</v>
      </c>
    </row>
    <row r="1310" customHeight="1" ht="15">
      <c r="A1310" s="22" t="inlineStr">
        <is>
          <r>
            <t xml:space="preserve">I2703</t>
          </r>
        </is>
      </c>
      <c r="B1310" s="23" t="inlineStr">
        <is>
          <r>
            <t xml:space="preserve">MANUTENÇÃO</t>
          </r>
        </is>
      </c>
      <c r="C1310" s="22" t="inlineStr">
        <is>
          <r>
            <t xml:space="preserve">SEINFRA</t>
          </r>
        </is>
      </c>
      <c r="D1310" s="22" t="inlineStr">
        <is>
          <r>
            <t xml:space="preserve">H</t>
          </r>
        </is>
      </c>
      <c r="E1310" s="24" t="n">
        <v>7.9</v>
      </c>
      <c r="F1310" s="30" t="n">
        <v>1.0</v>
      </c>
      <c r="G1310" s="30" t="n">
        <f>ROUND(ROUND(E1310,8)*F1310,4)</f>
        <v>7.9</v>
      </c>
    </row>
    <row r="1311" customHeight="1" ht="15">
      <c r="A1311" s="2" t="inlineStr"/>
      <c r="B1311" s="2" t="inlineStr"/>
      <c r="C1311" s="2" t="inlineStr"/>
      <c r="D1311" s="2" t="inlineStr"/>
      <c r="E1311" s="26" t="inlineStr">
        <is>
          <r>
            <t xml:space="preserve">TOTAL Geral:</t>
          </r>
        </is>
      </c>
      <c r="F1311" s="26" t="inlineStr"/>
      <c r="G1311" s="31" t="n">
        <f>SUM(G1306:G1310)</f>
        <v>175.9958</v>
      </c>
    </row>
    <row r="1312" customHeight="1" ht="15">
      <c r="A1312" s="2" t="inlineStr"/>
      <c r="B1312" s="2" t="inlineStr"/>
      <c r="C1312" s="2" t="inlineStr"/>
      <c r="D1312" s="2" t="inlineStr"/>
      <c r="E1312" s="28" t="inlineStr">
        <is>
          <r>
            <t xml:space="preserve">VALOR:</t>
          </r>
        </is>
      </c>
      <c r="F1312" s="28" t="inlineStr"/>
      <c r="G1312" s="29" t="n">
        <f>ROUND(SUM(G1311),2)</f>
        <v>176.0</v>
      </c>
    </row>
    <row r="1313" customHeight="1" ht="15">
      <c r="A1313" s="2" t="inlineStr"/>
      <c r="B1313" s="2" t="inlineStr"/>
      <c r="C1313" s="2" t="inlineStr"/>
      <c r="D1313" s="2" t="inlineStr"/>
      <c r="E1313" s="28" t="inlineStr">
        <is>
          <r>
            <t xml:space="preserve">VALOR BDI:</t>
          </r>
        </is>
      </c>
      <c r="F1313" s="28" t="inlineStr"/>
      <c r="G1313" s="29" t="n">
        <f>ROUND(G1312*(0/100),2)</f>
        <v>0.0</v>
      </c>
    </row>
    <row r="1314" customHeight="1" ht="15">
      <c r="A1314" s="2" t="inlineStr"/>
      <c r="B1314" s="2" t="inlineStr"/>
      <c r="C1314" s="2" t="inlineStr"/>
      <c r="D1314" s="2" t="inlineStr"/>
      <c r="E1314" s="28" t="inlineStr">
        <is>
          <r>
            <t xml:space="preserve">VALOR COM BDI:</t>
          </r>
        </is>
      </c>
      <c r="F1314" s="28" t="inlineStr"/>
      <c r="G1314" s="29" t="n">
        <f>G1313+G1312</f>
        <v>176.0</v>
      </c>
    </row>
    <row r="1315" customHeight="1" ht="10">
      <c r="A1315" s="2" t="inlineStr"/>
      <c r="B1315" s="2" t="inlineStr"/>
      <c r="C1315" s="2" t="inlineStr"/>
      <c r="D1315" s="2" t="inlineStr"/>
      <c r="E1315" s="18" t="inlineStr"/>
      <c r="F1315" s="18" t="inlineStr"/>
      <c r="G1315" s="18" t="inlineStr"/>
    </row>
    <row r="1316" customHeight="1" ht="20">
      <c r="A1316" s="19" t="inlineStr">
        <is>
          <r>
            <t xml:space="preserve">​I0627​ GRUPO GERADOR 180 KVA (CHI)​ (H)</t>
          </r>
        </is>
      </c>
      <c r="B1316" s="19" t="inlineStr"/>
      <c r="C1316" s="19" t="inlineStr"/>
      <c r="D1316" s="19" t="inlineStr"/>
      <c r="E1316" s="19" t="inlineStr"/>
      <c r="F1316" s="19" t="inlineStr"/>
      <c r="G1316" s="19" t="inlineStr"/>
    </row>
    <row r="1317" customHeight="1" ht="15">
      <c r="A1317" s="20" t="inlineStr">
        <is>
          <r>
            <t xml:space="preserve">Geral</t>
          </r>
        </is>
      </c>
      <c r="B1317" s="20" t="inlineStr"/>
      <c r="C1317" s="21" t="inlineStr">
        <is>
          <r>
            <t xml:space="preserve">FONTE</t>
          </r>
        </is>
      </c>
      <c r="D1317" s="21" t="inlineStr">
        <is>
          <r>
            <t xml:space="preserve">UNID</t>
          </r>
        </is>
      </c>
      <c r="E1317" s="21" t="inlineStr">
        <is>
          <r>
            <t xml:space="preserve">COEFICIENTE</t>
          </r>
        </is>
      </c>
      <c r="F1317" s="21" t="inlineStr">
        <is>
          <r>
            <t xml:space="preserve">PREÇO UNITÁRIO</t>
          </r>
        </is>
      </c>
      <c r="G1317" s="21" t="inlineStr">
        <is>
          <r>
            <t xml:space="preserve">TOTAL</t>
          </r>
        </is>
      </c>
    </row>
    <row r="1318" customHeight="1" ht="21">
      <c r="A1318" s="22" t="inlineStr">
        <is>
          <r>
            <t xml:space="preserve">I2794</t>
          </r>
        </is>
      </c>
      <c r="B1318" s="23" t="inlineStr">
        <is>
          <r>
            <t xml:space="preserve">MÃO DE OBRA DE OPERAÇÃO DO GRUPO GERADOR 180 KVA</t>
          </r>
        </is>
      </c>
      <c r="C1318" s="22" t="inlineStr">
        <is>
          <r>
            <t xml:space="preserve">SEINFRA</t>
          </r>
        </is>
      </c>
      <c r="D1318" s="22" t="inlineStr">
        <is>
          <r>
            <t xml:space="preserve">H</t>
          </r>
        </is>
      </c>
      <c r="E1318" s="24" t="n">
        <v>1.0</v>
      </c>
      <c r="F1318" s="30" t="n">
        <v>21.29</v>
      </c>
      <c r="G1318" s="30" t="n">
        <f>ROUND(ROUND(E1318,8)*F1318,4)</f>
        <v>21.29</v>
      </c>
    </row>
    <row r="1319" customHeight="1" ht="15">
      <c r="A1319" s="22" t="inlineStr">
        <is>
          <r>
            <t xml:space="preserve">I2701</t>
          </r>
        </is>
      </c>
      <c r="B1319" s="23" t="inlineStr">
        <is>
          <r>
            <t xml:space="preserve">DEPRECIAÇÃO</t>
          </r>
        </is>
      </c>
      <c r="C1319" s="22" t="inlineStr">
        <is>
          <r>
            <t xml:space="preserve">SEINFRA</t>
          </r>
        </is>
      </c>
      <c r="D1319" s="22" t="inlineStr">
        <is>
          <r>
            <t xml:space="preserve">H</t>
          </r>
        </is>
      </c>
      <c r="E1319" s="24" t="n">
        <v>11.3227</v>
      </c>
      <c r="F1319" s="30" t="n">
        <v>1.0</v>
      </c>
      <c r="G1319" s="30" t="n">
        <f>ROUND(ROUND(E1319,8)*F1319,4)</f>
        <v>11.3227</v>
      </c>
    </row>
    <row r="1320" customHeight="1" ht="15">
      <c r="A1320" s="22" t="inlineStr">
        <is>
          <r>
            <t xml:space="preserve">I2702</t>
          </r>
        </is>
      </c>
      <c r="B1320" s="23" t="inlineStr">
        <is>
          <r>
            <t xml:space="preserve">JUROS</t>
          </r>
        </is>
      </c>
      <c r="C1320" s="22" t="inlineStr">
        <is>
          <r>
            <t xml:space="preserve">SEINFRA</t>
          </r>
        </is>
      </c>
      <c r="D1320" s="22" t="inlineStr">
        <is>
          <r>
            <t xml:space="preserve">H</t>
          </r>
        </is>
      </c>
      <c r="E1320" s="24" t="n">
        <v>3.8214</v>
      </c>
      <c r="F1320" s="30" t="n">
        <v>1.0</v>
      </c>
      <c r="G1320" s="30" t="n">
        <f>ROUND(ROUND(E1320,8)*F1320,4)</f>
        <v>3.8214</v>
      </c>
    </row>
    <row r="1321" customHeight="1" ht="15">
      <c r="A1321" s="2" t="inlineStr"/>
      <c r="B1321" s="2" t="inlineStr"/>
      <c r="C1321" s="2" t="inlineStr"/>
      <c r="D1321" s="2" t="inlineStr"/>
      <c r="E1321" s="26" t="inlineStr">
        <is>
          <r>
            <t xml:space="preserve">TOTAL Geral:</t>
          </r>
        </is>
      </c>
      <c r="F1321" s="26" t="inlineStr"/>
      <c r="G1321" s="31" t="n">
        <f>SUM(G1318:G1320)</f>
        <v>36.4341</v>
      </c>
    </row>
    <row r="1322" customHeight="1" ht="15">
      <c r="A1322" s="2" t="inlineStr"/>
      <c r="B1322" s="2" t="inlineStr"/>
      <c r="C1322" s="2" t="inlineStr"/>
      <c r="D1322" s="2" t="inlineStr"/>
      <c r="E1322" s="28" t="inlineStr">
        <is>
          <r>
            <t xml:space="preserve">VALOR:</t>
          </r>
        </is>
      </c>
      <c r="F1322" s="28" t="inlineStr"/>
      <c r="G1322" s="29" t="n">
        <f>ROUND(SUM(G1321),2)</f>
        <v>36.43</v>
      </c>
    </row>
    <row r="1323" customHeight="1" ht="15">
      <c r="A1323" s="2" t="inlineStr"/>
      <c r="B1323" s="2" t="inlineStr"/>
      <c r="C1323" s="2" t="inlineStr"/>
      <c r="D1323" s="2" t="inlineStr"/>
      <c r="E1323" s="28" t="inlineStr">
        <is>
          <r>
            <t xml:space="preserve">VALOR BDI:</t>
          </r>
        </is>
      </c>
      <c r="F1323" s="28" t="inlineStr"/>
      <c r="G1323" s="29" t="n">
        <f>ROUND(G1322*(0/100),2)</f>
        <v>0.0</v>
      </c>
    </row>
    <row r="1324" customHeight="1" ht="15">
      <c r="A1324" s="2" t="inlineStr"/>
      <c r="B1324" s="2" t="inlineStr"/>
      <c r="C1324" s="2" t="inlineStr"/>
      <c r="D1324" s="2" t="inlineStr"/>
      <c r="E1324" s="28" t="inlineStr">
        <is>
          <r>
            <t xml:space="preserve">VALOR COM BDI:</t>
          </r>
        </is>
      </c>
      <c r="F1324" s="28" t="inlineStr"/>
      <c r="G1324" s="29" t="n">
        <f>G1323+G1322</f>
        <v>36.43</v>
      </c>
    </row>
    <row r="1325" customHeight="1" ht="10">
      <c r="A1325" s="2" t="inlineStr"/>
      <c r="B1325" s="2" t="inlineStr"/>
      <c r="C1325" s="2" t="inlineStr"/>
      <c r="D1325" s="2" t="inlineStr"/>
      <c r="E1325" s="18" t="inlineStr"/>
      <c r="F1325" s="18" t="inlineStr"/>
      <c r="G1325" s="18" t="inlineStr"/>
    </row>
    <row r="1326" customHeight="1" ht="20">
      <c r="A1326" s="19" t="inlineStr">
        <is>
          <r>
            <t xml:space="preserve">​I0741​ GRUPO GERADOR 180 KVA (CHP)​ (H)</t>
          </r>
        </is>
      </c>
      <c r="B1326" s="19" t="inlineStr"/>
      <c r="C1326" s="19" t="inlineStr"/>
      <c r="D1326" s="19" t="inlineStr"/>
      <c r="E1326" s="19" t="inlineStr"/>
      <c r="F1326" s="19" t="inlineStr"/>
      <c r="G1326" s="19" t="inlineStr"/>
    </row>
    <row r="1327" customHeight="1" ht="15">
      <c r="A1327" s="20" t="inlineStr">
        <is>
          <r>
            <t xml:space="preserve">Geral</t>
          </r>
        </is>
      </c>
      <c r="B1327" s="20" t="inlineStr"/>
      <c r="C1327" s="21" t="inlineStr">
        <is>
          <r>
            <t xml:space="preserve">FONTE</t>
          </r>
        </is>
      </c>
      <c r="D1327" s="21" t="inlineStr">
        <is>
          <r>
            <t xml:space="preserve">UNID</t>
          </r>
        </is>
      </c>
      <c r="E1327" s="21" t="inlineStr">
        <is>
          <r>
            <t xml:space="preserve">COEFICIENTE</t>
          </r>
        </is>
      </c>
      <c r="F1327" s="21" t="inlineStr">
        <is>
          <r>
            <t xml:space="preserve">PREÇO UNITÁRIO</t>
          </r>
        </is>
      </c>
      <c r="G1327" s="21" t="inlineStr">
        <is>
          <r>
            <t xml:space="preserve">TOTAL</t>
          </r>
        </is>
      </c>
    </row>
    <row r="1328" customHeight="1" ht="21">
      <c r="A1328" s="22" t="inlineStr">
        <is>
          <r>
            <t xml:space="preserve">I2794</t>
          </r>
        </is>
      </c>
      <c r="B1328" s="23" t="inlineStr">
        <is>
          <r>
            <t xml:space="preserve">MÃO DE OBRA DE OPERAÇÃO DO GRUPO GERADOR 180 KVA</t>
          </r>
        </is>
      </c>
      <c r="C1328" s="22" t="inlineStr">
        <is>
          <r>
            <t xml:space="preserve">SEINFRA</t>
          </r>
        </is>
      </c>
      <c r="D1328" s="22" t="inlineStr">
        <is>
          <r>
            <t xml:space="preserve">H</t>
          </r>
        </is>
      </c>
      <c r="E1328" s="24" t="n">
        <v>1.0</v>
      </c>
      <c r="F1328" s="30" t="n">
        <v>21.29</v>
      </c>
      <c r="G1328" s="30" t="n">
        <f>ROUND(ROUND(E1328,8)*F1328,4)</f>
        <v>21.29</v>
      </c>
    </row>
    <row r="1329" customHeight="1" ht="15">
      <c r="A1329" s="22" t="inlineStr">
        <is>
          <r>
            <t xml:space="preserve">I2793</t>
          </r>
        </is>
      </c>
      <c r="B1329" s="23" t="inlineStr">
        <is>
          <r>
            <t xml:space="preserve">MATERIAL DE OPERAÇÃO DO GRUPO GERADOR 180 KVA</t>
          </r>
        </is>
      </c>
      <c r="C1329" s="22" t="inlineStr">
        <is>
          <r>
            <t xml:space="preserve">SEINFRA</t>
          </r>
        </is>
      </c>
      <c r="D1329" s="22" t="inlineStr">
        <is>
          <r>
            <t xml:space="preserve">H</t>
          </r>
        </is>
      </c>
      <c r="E1329" s="24" t="n">
        <v>1.0</v>
      </c>
      <c r="F1329" s="30" t="n">
        <v>168.4125</v>
      </c>
      <c r="G1329" s="30" t="n">
        <f>ROUND(ROUND(E1329,8)*F1329,4)</f>
        <v>168.4125</v>
      </c>
    </row>
    <row r="1330" customHeight="1" ht="15">
      <c r="A1330" s="22" t="inlineStr">
        <is>
          <r>
            <t xml:space="preserve">I2701</t>
          </r>
        </is>
      </c>
      <c r="B1330" s="23" t="inlineStr">
        <is>
          <r>
            <t xml:space="preserve">DEPRECIAÇÃO</t>
          </r>
        </is>
      </c>
      <c r="C1330" s="22" t="inlineStr">
        <is>
          <r>
            <t xml:space="preserve">SEINFRA</t>
          </r>
        </is>
      </c>
      <c r="D1330" s="22" t="inlineStr">
        <is>
          <r>
            <t xml:space="preserve">H</t>
          </r>
        </is>
      </c>
      <c r="E1330" s="24" t="n">
        <v>11.3227</v>
      </c>
      <c r="F1330" s="30" t="n">
        <v>1.0</v>
      </c>
      <c r="G1330" s="30" t="n">
        <f>ROUND(ROUND(E1330,8)*F1330,4)</f>
        <v>11.3227</v>
      </c>
    </row>
    <row r="1331" customHeight="1" ht="15">
      <c r="A1331" s="22" t="inlineStr">
        <is>
          <r>
            <t xml:space="preserve">I2702</t>
          </r>
        </is>
      </c>
      <c r="B1331" s="23" t="inlineStr">
        <is>
          <r>
            <t xml:space="preserve">JUROS</t>
          </r>
        </is>
      </c>
      <c r="C1331" s="22" t="inlineStr">
        <is>
          <r>
            <t xml:space="preserve">SEINFRA</t>
          </r>
        </is>
      </c>
      <c r="D1331" s="22" t="inlineStr">
        <is>
          <r>
            <t xml:space="preserve">H</t>
          </r>
        </is>
      </c>
      <c r="E1331" s="24" t="n">
        <v>3.8214</v>
      </c>
      <c r="F1331" s="30" t="n">
        <v>1.0</v>
      </c>
      <c r="G1331" s="30" t="n">
        <f>ROUND(ROUND(E1331,8)*F1331,4)</f>
        <v>3.8214</v>
      </c>
    </row>
    <row r="1332" customHeight="1" ht="15">
      <c r="A1332" s="22" t="inlineStr">
        <is>
          <r>
            <t xml:space="preserve">I2703</t>
          </r>
        </is>
      </c>
      <c r="B1332" s="23" t="inlineStr">
        <is>
          <r>
            <t xml:space="preserve">MANUTENÇÃO</t>
          </r>
        </is>
      </c>
      <c r="C1332" s="22" t="inlineStr">
        <is>
          <r>
            <t xml:space="preserve">SEINFRA</t>
          </r>
        </is>
      </c>
      <c r="D1332" s="22" t="inlineStr">
        <is>
          <r>
            <t xml:space="preserve">H</t>
          </r>
        </is>
      </c>
      <c r="E1332" s="24" t="n">
        <v>9.9073</v>
      </c>
      <c r="F1332" s="30" t="n">
        <v>1.0</v>
      </c>
      <c r="G1332" s="30" t="n">
        <f>ROUND(ROUND(E1332,8)*F1332,4)</f>
        <v>9.9073</v>
      </c>
    </row>
    <row r="1333" customHeight="1" ht="15">
      <c r="A1333" s="2" t="inlineStr"/>
      <c r="B1333" s="2" t="inlineStr"/>
      <c r="C1333" s="2" t="inlineStr"/>
      <c r="D1333" s="2" t="inlineStr"/>
      <c r="E1333" s="26" t="inlineStr">
        <is>
          <r>
            <t xml:space="preserve">TOTAL Geral:</t>
          </r>
        </is>
      </c>
      <c r="F1333" s="26" t="inlineStr"/>
      <c r="G1333" s="31" t="n">
        <f>SUM(G1328:G1332)</f>
        <v>214.7539</v>
      </c>
    </row>
    <row r="1334" customHeight="1" ht="15">
      <c r="A1334" s="2" t="inlineStr"/>
      <c r="B1334" s="2" t="inlineStr"/>
      <c r="C1334" s="2" t="inlineStr"/>
      <c r="D1334" s="2" t="inlineStr"/>
      <c r="E1334" s="28" t="inlineStr">
        <is>
          <r>
            <t xml:space="preserve">VALOR:</t>
          </r>
        </is>
      </c>
      <c r="F1334" s="28" t="inlineStr"/>
      <c r="G1334" s="29" t="n">
        <f>ROUND(SUM(G1333),2)</f>
        <v>214.75</v>
      </c>
    </row>
    <row r="1335" customHeight="1" ht="15">
      <c r="A1335" s="2" t="inlineStr"/>
      <c r="B1335" s="2" t="inlineStr"/>
      <c r="C1335" s="2" t="inlineStr"/>
      <c r="D1335" s="2" t="inlineStr"/>
      <c r="E1335" s="28" t="inlineStr">
        <is>
          <r>
            <t xml:space="preserve">VALOR BDI:</t>
          </r>
        </is>
      </c>
      <c r="F1335" s="28" t="inlineStr"/>
      <c r="G1335" s="29" t="n">
        <f>ROUND(G1334*(0/100),2)</f>
        <v>0.0</v>
      </c>
    </row>
    <row r="1336" customHeight="1" ht="15">
      <c r="A1336" s="2" t="inlineStr"/>
      <c r="B1336" s="2" t="inlineStr"/>
      <c r="C1336" s="2" t="inlineStr"/>
      <c r="D1336" s="2" t="inlineStr"/>
      <c r="E1336" s="28" t="inlineStr">
        <is>
          <r>
            <t xml:space="preserve">VALOR COM BDI:</t>
          </r>
        </is>
      </c>
      <c r="F1336" s="28" t="inlineStr"/>
      <c r="G1336" s="29" t="n">
        <f>G1335+G1334</f>
        <v>214.75</v>
      </c>
    </row>
    <row r="1337" customHeight="1" ht="10">
      <c r="A1337" s="2" t="inlineStr"/>
      <c r="B1337" s="2" t="inlineStr"/>
      <c r="C1337" s="2" t="inlineStr"/>
      <c r="D1337" s="2" t="inlineStr"/>
      <c r="E1337" s="18" t="inlineStr"/>
      <c r="F1337" s="18" t="inlineStr"/>
      <c r="G1337" s="18" t="inlineStr"/>
    </row>
    <row r="1338" customHeight="1" ht="20">
      <c r="A1338" s="19" t="inlineStr">
        <is>
          <r>
            <t xml:space="preserve">​I0628​ GRUPO GERADOR 36 KVA (CHI)​ (H)</t>
          </r>
        </is>
      </c>
      <c r="B1338" s="19" t="inlineStr"/>
      <c r="C1338" s="19" t="inlineStr"/>
      <c r="D1338" s="19" t="inlineStr"/>
      <c r="E1338" s="19" t="inlineStr"/>
      <c r="F1338" s="19" t="inlineStr"/>
      <c r="G1338" s="19" t="inlineStr"/>
    </row>
    <row r="1339" customHeight="1" ht="15">
      <c r="A1339" s="20" t="inlineStr">
        <is>
          <r>
            <t xml:space="preserve">Geral</t>
          </r>
        </is>
      </c>
      <c r="B1339" s="20" t="inlineStr"/>
      <c r="C1339" s="21" t="inlineStr">
        <is>
          <r>
            <t xml:space="preserve">FONTE</t>
          </r>
        </is>
      </c>
      <c r="D1339" s="21" t="inlineStr">
        <is>
          <r>
            <t xml:space="preserve">UNID</t>
          </r>
        </is>
      </c>
      <c r="E1339" s="21" t="inlineStr">
        <is>
          <r>
            <t xml:space="preserve">COEFICIENTE</t>
          </r>
        </is>
      </c>
      <c r="F1339" s="21" t="inlineStr">
        <is>
          <r>
            <t xml:space="preserve">PREÇO UNITÁRIO</t>
          </r>
        </is>
      </c>
      <c r="G1339" s="21" t="inlineStr">
        <is>
          <r>
            <t xml:space="preserve">TOTAL</t>
          </r>
        </is>
      </c>
    </row>
    <row r="1340" customHeight="1" ht="15">
      <c r="A1340" s="22" t="inlineStr">
        <is>
          <r>
            <t xml:space="preserve">I2790</t>
          </r>
        </is>
      </c>
      <c r="B1340" s="23" t="inlineStr">
        <is>
          <r>
            <t xml:space="preserve">MÃO DE OBRA DE OPERAÇÃO DO GRUPO GERADOR 36 KVA</t>
          </r>
        </is>
      </c>
      <c r="C1340" s="22" t="inlineStr">
        <is>
          <r>
            <t xml:space="preserve">SEINFRA</t>
          </r>
        </is>
      </c>
      <c r="D1340" s="22" t="inlineStr">
        <is>
          <r>
            <t xml:space="preserve">H</t>
          </r>
        </is>
      </c>
      <c r="E1340" s="24" t="n">
        <v>1.0</v>
      </c>
      <c r="F1340" s="30" t="n">
        <v>21.29</v>
      </c>
      <c r="G1340" s="30" t="n">
        <f>ROUND(ROUND(E1340,8)*F1340,4)</f>
        <v>21.29</v>
      </c>
    </row>
    <row r="1341" customHeight="1" ht="15">
      <c r="A1341" s="22" t="inlineStr">
        <is>
          <r>
            <t xml:space="preserve">I2701</t>
          </r>
        </is>
      </c>
      <c r="B1341" s="23" t="inlineStr">
        <is>
          <r>
            <t xml:space="preserve">DEPRECIAÇÃO</t>
          </r>
        </is>
      </c>
      <c r="C1341" s="22" t="inlineStr">
        <is>
          <r>
            <t xml:space="preserve">SEINFRA</t>
          </r>
        </is>
      </c>
      <c r="D1341" s="22" t="inlineStr">
        <is>
          <r>
            <t xml:space="preserve">H</t>
          </r>
        </is>
      </c>
      <c r="E1341" s="24" t="n">
        <v>4.6799</v>
      </c>
      <c r="F1341" s="30" t="n">
        <v>1.0</v>
      </c>
      <c r="G1341" s="30" t="n">
        <f>ROUND(ROUND(E1341,8)*F1341,4)</f>
        <v>4.6799</v>
      </c>
    </row>
    <row r="1342" customHeight="1" ht="15">
      <c r="A1342" s="22" t="inlineStr">
        <is>
          <r>
            <t xml:space="preserve">I2702</t>
          </r>
        </is>
      </c>
      <c r="B1342" s="23" t="inlineStr">
        <is>
          <r>
            <t xml:space="preserve">JUROS</t>
          </r>
        </is>
      </c>
      <c r="C1342" s="22" t="inlineStr">
        <is>
          <r>
            <t xml:space="preserve">SEINFRA</t>
          </r>
        </is>
      </c>
      <c r="D1342" s="22" t="inlineStr">
        <is>
          <r>
            <t xml:space="preserve">H</t>
          </r>
        </is>
      </c>
      <c r="E1342" s="24" t="n">
        <v>1.5795</v>
      </c>
      <c r="F1342" s="30" t="n">
        <v>1.0</v>
      </c>
      <c r="G1342" s="30" t="n">
        <f>ROUND(ROUND(E1342,8)*F1342,4)</f>
        <v>1.5795</v>
      </c>
    </row>
    <row r="1343" customHeight="1" ht="15">
      <c r="A1343" s="2" t="inlineStr"/>
      <c r="B1343" s="2" t="inlineStr"/>
      <c r="C1343" s="2" t="inlineStr"/>
      <c r="D1343" s="2" t="inlineStr"/>
      <c r="E1343" s="26" t="inlineStr">
        <is>
          <r>
            <t xml:space="preserve">TOTAL Geral:</t>
          </r>
        </is>
      </c>
      <c r="F1343" s="26" t="inlineStr"/>
      <c r="G1343" s="31" t="n">
        <f>SUM(G1340:G1342)</f>
        <v>27.5494</v>
      </c>
    </row>
    <row r="1344" customHeight="1" ht="15">
      <c r="A1344" s="2" t="inlineStr"/>
      <c r="B1344" s="2" t="inlineStr"/>
      <c r="C1344" s="2" t="inlineStr"/>
      <c r="D1344" s="2" t="inlineStr"/>
      <c r="E1344" s="28" t="inlineStr">
        <is>
          <r>
            <t xml:space="preserve">VALOR:</t>
          </r>
        </is>
      </c>
      <c r="F1344" s="28" t="inlineStr"/>
      <c r="G1344" s="29" t="n">
        <f>ROUND(SUM(G1343),2)</f>
        <v>27.55</v>
      </c>
    </row>
    <row r="1345" customHeight="1" ht="15">
      <c r="A1345" s="2" t="inlineStr"/>
      <c r="B1345" s="2" t="inlineStr"/>
      <c r="C1345" s="2" t="inlineStr"/>
      <c r="D1345" s="2" t="inlineStr"/>
      <c r="E1345" s="28" t="inlineStr">
        <is>
          <r>
            <t xml:space="preserve">VALOR BDI:</t>
          </r>
        </is>
      </c>
      <c r="F1345" s="28" t="inlineStr"/>
      <c r="G1345" s="29" t="n">
        <f>ROUND(G1344*(0/100),2)</f>
        <v>0.0</v>
      </c>
    </row>
    <row r="1346" customHeight="1" ht="15">
      <c r="A1346" s="2" t="inlineStr"/>
      <c r="B1346" s="2" t="inlineStr"/>
      <c r="C1346" s="2" t="inlineStr"/>
      <c r="D1346" s="2" t="inlineStr"/>
      <c r="E1346" s="28" t="inlineStr">
        <is>
          <r>
            <t xml:space="preserve">VALOR COM BDI:</t>
          </r>
        </is>
      </c>
      <c r="F1346" s="28" t="inlineStr"/>
      <c r="G1346" s="29" t="n">
        <f>G1345+G1344</f>
        <v>27.55</v>
      </c>
    </row>
    <row r="1347" customHeight="1" ht="10">
      <c r="A1347" s="2" t="inlineStr"/>
      <c r="B1347" s="2" t="inlineStr"/>
      <c r="C1347" s="2" t="inlineStr"/>
      <c r="D1347" s="2" t="inlineStr"/>
      <c r="E1347" s="18" t="inlineStr"/>
      <c r="F1347" s="18" t="inlineStr"/>
      <c r="G1347" s="18" t="inlineStr"/>
    </row>
    <row r="1348" customHeight="1" ht="20">
      <c r="A1348" s="19" t="inlineStr">
        <is>
          <r>
            <t xml:space="preserve">​I0742​ GRUPO GERADOR 36 KVA (CHP)​ (H)</t>
          </r>
        </is>
      </c>
      <c r="B1348" s="19" t="inlineStr"/>
      <c r="C1348" s="19" t="inlineStr"/>
      <c r="D1348" s="19" t="inlineStr"/>
      <c r="E1348" s="19" t="inlineStr"/>
      <c r="F1348" s="19" t="inlineStr"/>
      <c r="G1348" s="19" t="inlineStr"/>
    </row>
    <row r="1349" customHeight="1" ht="15">
      <c r="A1349" s="20" t="inlineStr">
        <is>
          <r>
            <t xml:space="preserve">Geral</t>
          </r>
        </is>
      </c>
      <c r="B1349" s="20" t="inlineStr"/>
      <c r="C1349" s="21" t="inlineStr">
        <is>
          <r>
            <t xml:space="preserve">FONTE</t>
          </r>
        </is>
      </c>
      <c r="D1349" s="21" t="inlineStr">
        <is>
          <r>
            <t xml:space="preserve">UNID</t>
          </r>
        </is>
      </c>
      <c r="E1349" s="21" t="inlineStr">
        <is>
          <r>
            <t xml:space="preserve">COEFICIENTE</t>
          </r>
        </is>
      </c>
      <c r="F1349" s="21" t="inlineStr">
        <is>
          <r>
            <t xml:space="preserve">PREÇO UNITÁRIO</t>
          </r>
        </is>
      </c>
      <c r="G1349" s="21" t="inlineStr">
        <is>
          <r>
            <t xml:space="preserve">TOTAL</t>
          </r>
        </is>
      </c>
    </row>
    <row r="1350" customHeight="1" ht="15">
      <c r="A1350" s="22" t="inlineStr">
        <is>
          <r>
            <t xml:space="preserve">I2790</t>
          </r>
        </is>
      </c>
      <c r="B1350" s="23" t="inlineStr">
        <is>
          <r>
            <t xml:space="preserve">MÃO DE OBRA DE OPERAÇÃO DO GRUPO GERADOR 36 KVA</t>
          </r>
        </is>
      </c>
      <c r="C1350" s="22" t="inlineStr">
        <is>
          <r>
            <t xml:space="preserve">SEINFRA</t>
          </r>
        </is>
      </c>
      <c r="D1350" s="22" t="inlineStr">
        <is>
          <r>
            <t xml:space="preserve">H</t>
          </r>
        </is>
      </c>
      <c r="E1350" s="24" t="n">
        <v>1.0</v>
      </c>
      <c r="F1350" s="30" t="n">
        <v>21.29</v>
      </c>
      <c r="G1350" s="30" t="n">
        <f>ROUND(ROUND(E1350,8)*F1350,4)</f>
        <v>21.29</v>
      </c>
    </row>
    <row r="1351" customHeight="1" ht="15">
      <c r="A1351" s="22" t="inlineStr">
        <is>
          <r>
            <t xml:space="preserve">I2789</t>
          </r>
        </is>
      </c>
      <c r="B1351" s="23" t="inlineStr">
        <is>
          <r>
            <t xml:space="preserve">MATERIAL DE OPERAÇÃO DO GRUPO GERADOR 36 KVA</t>
          </r>
        </is>
      </c>
      <c r="C1351" s="22" t="inlineStr">
        <is>
          <r>
            <t xml:space="preserve">SEINFRA</t>
          </r>
        </is>
      </c>
      <c r="D1351" s="22" t="inlineStr">
        <is>
          <r>
            <t xml:space="preserve">H</t>
          </r>
        </is>
      </c>
      <c r="E1351" s="24" t="n">
        <v>1.0</v>
      </c>
      <c r="F1351" s="30" t="n">
        <v>33.6825</v>
      </c>
      <c r="G1351" s="30" t="n">
        <f>ROUND(ROUND(E1351,8)*F1351,4)</f>
        <v>33.6825</v>
      </c>
    </row>
    <row r="1352" customHeight="1" ht="15">
      <c r="A1352" s="22" t="inlineStr">
        <is>
          <r>
            <t xml:space="preserve">I2701</t>
          </r>
        </is>
      </c>
      <c r="B1352" s="23" t="inlineStr">
        <is>
          <r>
            <t xml:space="preserve">DEPRECIAÇÃO</t>
          </r>
        </is>
      </c>
      <c r="C1352" s="22" t="inlineStr">
        <is>
          <r>
            <t xml:space="preserve">SEINFRA</t>
          </r>
        </is>
      </c>
      <c r="D1352" s="22" t="inlineStr">
        <is>
          <r>
            <t xml:space="preserve">H</t>
          </r>
        </is>
      </c>
      <c r="E1352" s="24" t="n">
        <v>4.6799</v>
      </c>
      <c r="F1352" s="30" t="n">
        <v>1.0</v>
      </c>
      <c r="G1352" s="30" t="n">
        <f>ROUND(ROUND(E1352,8)*F1352,4)</f>
        <v>4.6799</v>
      </c>
    </row>
    <row r="1353" customHeight="1" ht="15">
      <c r="A1353" s="22" t="inlineStr">
        <is>
          <r>
            <t xml:space="preserve">I2702</t>
          </r>
        </is>
      </c>
      <c r="B1353" s="23" t="inlineStr">
        <is>
          <r>
            <t xml:space="preserve">JUROS</t>
          </r>
        </is>
      </c>
      <c r="C1353" s="22" t="inlineStr">
        <is>
          <r>
            <t xml:space="preserve">SEINFRA</t>
          </r>
        </is>
      </c>
      <c r="D1353" s="22" t="inlineStr">
        <is>
          <r>
            <t xml:space="preserve">H</t>
          </r>
        </is>
      </c>
      <c r="E1353" s="24" t="n">
        <v>1.5795</v>
      </c>
      <c r="F1353" s="30" t="n">
        <v>1.0</v>
      </c>
      <c r="G1353" s="30" t="n">
        <f>ROUND(ROUND(E1353,8)*F1353,4)</f>
        <v>1.5795</v>
      </c>
    </row>
    <row r="1354" customHeight="1" ht="15">
      <c r="A1354" s="22" t="inlineStr">
        <is>
          <r>
            <t xml:space="preserve">I2703</t>
          </r>
        </is>
      </c>
      <c r="B1354" s="23" t="inlineStr">
        <is>
          <r>
            <t xml:space="preserve">MANUTENÇÃO</t>
          </r>
        </is>
      </c>
      <c r="C1354" s="22" t="inlineStr">
        <is>
          <r>
            <t xml:space="preserve">SEINFRA</t>
          </r>
        </is>
      </c>
      <c r="D1354" s="22" t="inlineStr">
        <is>
          <r>
            <t xml:space="preserve">H</t>
          </r>
        </is>
      </c>
      <c r="E1354" s="24" t="n">
        <v>4.0949</v>
      </c>
      <c r="F1354" s="30" t="n">
        <v>1.0</v>
      </c>
      <c r="G1354" s="30" t="n">
        <f>ROUND(ROUND(E1354,8)*F1354,4)</f>
        <v>4.0949</v>
      </c>
    </row>
    <row r="1355" customHeight="1" ht="15">
      <c r="A1355" s="2" t="inlineStr"/>
      <c r="B1355" s="2" t="inlineStr"/>
      <c r="C1355" s="2" t="inlineStr"/>
      <c r="D1355" s="2" t="inlineStr"/>
      <c r="E1355" s="26" t="inlineStr">
        <is>
          <r>
            <t xml:space="preserve">TOTAL Geral:</t>
          </r>
        </is>
      </c>
      <c r="F1355" s="26" t="inlineStr"/>
      <c r="G1355" s="31" t="n">
        <f>SUM(G1350:G1354)</f>
        <v>65.3268</v>
      </c>
    </row>
    <row r="1356" customHeight="1" ht="15">
      <c r="A1356" s="2" t="inlineStr"/>
      <c r="B1356" s="2" t="inlineStr"/>
      <c r="C1356" s="2" t="inlineStr"/>
      <c r="D1356" s="2" t="inlineStr"/>
      <c r="E1356" s="28" t="inlineStr">
        <is>
          <r>
            <t xml:space="preserve">VALOR:</t>
          </r>
        </is>
      </c>
      <c r="F1356" s="28" t="inlineStr"/>
      <c r="G1356" s="29" t="n">
        <f>ROUND(SUM(G1355),2)</f>
        <v>65.33</v>
      </c>
    </row>
    <row r="1357" customHeight="1" ht="15">
      <c r="A1357" s="2" t="inlineStr"/>
      <c r="B1357" s="2" t="inlineStr"/>
      <c r="C1357" s="2" t="inlineStr"/>
      <c r="D1357" s="2" t="inlineStr"/>
      <c r="E1357" s="28" t="inlineStr">
        <is>
          <r>
            <t xml:space="preserve">VALOR BDI:</t>
          </r>
        </is>
      </c>
      <c r="F1357" s="28" t="inlineStr"/>
      <c r="G1357" s="29" t="n">
        <f>ROUND(G1356*(0/100),2)</f>
        <v>0.0</v>
      </c>
    </row>
    <row r="1358" customHeight="1" ht="15">
      <c r="A1358" s="2" t="inlineStr"/>
      <c r="B1358" s="2" t="inlineStr"/>
      <c r="C1358" s="2" t="inlineStr"/>
      <c r="D1358" s="2" t="inlineStr"/>
      <c r="E1358" s="28" t="inlineStr">
        <is>
          <r>
            <t xml:space="preserve">VALOR COM BDI:</t>
          </r>
        </is>
      </c>
      <c r="F1358" s="28" t="inlineStr"/>
      <c r="G1358" s="29" t="n">
        <f>G1357+G1356</f>
        <v>65.33</v>
      </c>
    </row>
    <row r="1359" customHeight="1" ht="10">
      <c r="A1359" s="2" t="inlineStr"/>
      <c r="B1359" s="2" t="inlineStr"/>
      <c r="C1359" s="2" t="inlineStr"/>
      <c r="D1359" s="2" t="inlineStr"/>
      <c r="E1359" s="18" t="inlineStr"/>
      <c r="F1359" s="18" t="inlineStr"/>
      <c r="G1359" s="18" t="inlineStr"/>
    </row>
    <row r="1360" customHeight="1" ht="20">
      <c r="A1360" s="19" t="inlineStr">
        <is>
          <r>
            <t xml:space="preserve">​I0746​ GUINDASTE HIDRÁULICO SOBRE PNEUS HP 45 (CHP)​ (H)</t>
          </r>
        </is>
      </c>
      <c r="B1360" s="19" t="inlineStr"/>
      <c r="C1360" s="19" t="inlineStr"/>
      <c r="D1360" s="19" t="inlineStr"/>
      <c r="E1360" s="19" t="inlineStr"/>
      <c r="F1360" s="19" t="inlineStr"/>
      <c r="G1360" s="19" t="inlineStr"/>
    </row>
    <row r="1361" customHeight="1" ht="15">
      <c r="A1361" s="20" t="inlineStr">
        <is>
          <r>
            <t xml:space="preserve">Geral</t>
          </r>
        </is>
      </c>
      <c r="B1361" s="20" t="inlineStr"/>
      <c r="C1361" s="21" t="inlineStr">
        <is>
          <r>
            <t xml:space="preserve">FONTE</t>
          </r>
        </is>
      </c>
      <c r="D1361" s="21" t="inlineStr">
        <is>
          <r>
            <t xml:space="preserve">UNID</t>
          </r>
        </is>
      </c>
      <c r="E1361" s="21" t="inlineStr">
        <is>
          <r>
            <t xml:space="preserve">COEFICIENTE</t>
          </r>
        </is>
      </c>
      <c r="F1361" s="21" t="inlineStr">
        <is>
          <r>
            <t xml:space="preserve">PREÇO UNITÁRIO</t>
          </r>
        </is>
      </c>
      <c r="G1361" s="21" t="inlineStr">
        <is>
          <r>
            <t xml:space="preserve">TOTAL</t>
          </r>
        </is>
      </c>
    </row>
    <row r="1362" customHeight="1" ht="21">
      <c r="A1362" s="22" t="inlineStr">
        <is>
          <r>
            <t xml:space="preserve">I2802</t>
          </r>
        </is>
      </c>
      <c r="B1362" s="23" t="inlineStr">
        <is>
          <r>
            <t xml:space="preserve">MÃO DE OBRA DE OPERAÇÃO DO GUINDASTE HIDRÁULICO SOBRE PNEUS (45 HP)</t>
          </r>
        </is>
      </c>
      <c r="C1362" s="22" t="inlineStr">
        <is>
          <r>
            <t xml:space="preserve">SEINFRA</t>
          </r>
        </is>
      </c>
      <c r="D1362" s="22" t="inlineStr">
        <is>
          <r>
            <t xml:space="preserve">H</t>
          </r>
        </is>
      </c>
      <c r="E1362" s="24" t="n">
        <v>1.0</v>
      </c>
      <c r="F1362" s="30" t="n">
        <v>28.81</v>
      </c>
      <c r="G1362" s="30" t="n">
        <f>ROUND(ROUND(E1362,8)*F1362,4)</f>
        <v>28.81</v>
      </c>
    </row>
    <row r="1363" customHeight="1" ht="21">
      <c r="A1363" s="22" t="inlineStr">
        <is>
          <r>
            <t xml:space="preserve">I2801</t>
          </r>
        </is>
      </c>
      <c r="B1363" s="23" t="inlineStr">
        <is>
          <r>
            <t xml:space="preserve">MATERIAL DE OPERAÇÃO DO GUINDASTE HIDRÁULICO SOBRE PNEUS (45 HP)</t>
          </r>
        </is>
      </c>
      <c r="C1363" s="22" t="inlineStr">
        <is>
          <r>
            <t xml:space="preserve">SEINFRA</t>
          </r>
        </is>
      </c>
      <c r="D1363" s="22" t="inlineStr">
        <is>
          <r>
            <t xml:space="preserve">H</t>
          </r>
        </is>
      </c>
      <c r="E1363" s="24" t="n">
        <v>1.0</v>
      </c>
      <c r="F1363" s="30" t="n">
        <v>33.6825</v>
      </c>
      <c r="G1363" s="30" t="n">
        <f>ROUND(ROUND(E1363,8)*F1363,4)</f>
        <v>33.6825</v>
      </c>
    </row>
    <row r="1364" customHeight="1" ht="15">
      <c r="A1364" s="22" t="inlineStr">
        <is>
          <r>
            <t xml:space="preserve">I2701</t>
          </r>
        </is>
      </c>
      <c r="B1364" s="23" t="inlineStr">
        <is>
          <r>
            <t xml:space="preserve">DEPRECIAÇÃO</t>
          </r>
        </is>
      </c>
      <c r="C1364" s="22" t="inlineStr">
        <is>
          <r>
            <t xml:space="preserve">SEINFRA</t>
          </r>
        </is>
      </c>
      <c r="D1364" s="22" t="inlineStr">
        <is>
          <r>
            <t xml:space="preserve">H</t>
          </r>
        </is>
      </c>
      <c r="E1364" s="24" t="n">
        <v>26.6417</v>
      </c>
      <c r="F1364" s="30" t="n">
        <v>1.0</v>
      </c>
      <c r="G1364" s="30" t="n">
        <f>ROUND(ROUND(E1364,8)*F1364,4)</f>
        <v>26.6417</v>
      </c>
    </row>
    <row r="1365" customHeight="1" ht="15">
      <c r="A1365" s="22" t="inlineStr">
        <is>
          <r>
            <t xml:space="preserve">I2702</t>
          </r>
        </is>
      </c>
      <c r="B1365" s="23" t="inlineStr">
        <is>
          <r>
            <t xml:space="preserve">JUROS</t>
          </r>
        </is>
      </c>
      <c r="C1365" s="22" t="inlineStr">
        <is>
          <r>
            <t xml:space="preserve">SEINFRA</t>
          </r>
        </is>
      </c>
      <c r="D1365" s="22" t="inlineStr">
        <is>
          <r>
            <t xml:space="preserve">H</t>
          </r>
        </is>
      </c>
      <c r="E1365" s="24" t="n">
        <v>5.9944</v>
      </c>
      <c r="F1365" s="30" t="n">
        <v>1.0</v>
      </c>
      <c r="G1365" s="30" t="n">
        <f>ROUND(ROUND(E1365,8)*F1365,4)</f>
        <v>5.9944</v>
      </c>
    </row>
    <row r="1366" customHeight="1" ht="15">
      <c r="A1366" s="22" t="inlineStr">
        <is>
          <r>
            <t xml:space="preserve">I2703</t>
          </r>
        </is>
      </c>
      <c r="B1366" s="23" t="inlineStr">
        <is>
          <r>
            <t xml:space="preserve">MANUTENÇÃO</t>
          </r>
        </is>
      </c>
      <c r="C1366" s="22" t="inlineStr">
        <is>
          <r>
            <t xml:space="preserve">SEINFRA</t>
          </r>
        </is>
      </c>
      <c r="D1366" s="22" t="inlineStr">
        <is>
          <r>
            <t xml:space="preserve">H</t>
          </r>
        </is>
      </c>
      <c r="E1366" s="24" t="n">
        <v>33.3021</v>
      </c>
      <c r="F1366" s="30" t="n">
        <v>1.0</v>
      </c>
      <c r="G1366" s="30" t="n">
        <f>ROUND(ROUND(E1366,8)*F1366,4)</f>
        <v>33.3021</v>
      </c>
    </row>
    <row r="1367" customHeight="1" ht="15">
      <c r="A1367" s="2" t="inlineStr"/>
      <c r="B1367" s="2" t="inlineStr"/>
      <c r="C1367" s="2" t="inlineStr"/>
      <c r="D1367" s="2" t="inlineStr"/>
      <c r="E1367" s="26" t="inlineStr">
        <is>
          <r>
            <t xml:space="preserve">TOTAL Geral:</t>
          </r>
        </is>
      </c>
      <c r="F1367" s="26" t="inlineStr"/>
      <c r="G1367" s="31" t="n">
        <f>SUM(G1362:G1366)</f>
        <v>128.4307</v>
      </c>
    </row>
    <row r="1368" customHeight="1" ht="15">
      <c r="A1368" s="2" t="inlineStr"/>
      <c r="B1368" s="2" t="inlineStr"/>
      <c r="C1368" s="2" t="inlineStr"/>
      <c r="D1368" s="2" t="inlineStr"/>
      <c r="E1368" s="28" t="inlineStr">
        <is>
          <r>
            <t xml:space="preserve">VALOR:</t>
          </r>
        </is>
      </c>
      <c r="F1368" s="28" t="inlineStr"/>
      <c r="G1368" s="29" t="n">
        <f>ROUND(SUM(G1367),2)</f>
        <v>128.43</v>
      </c>
    </row>
    <row r="1369" customHeight="1" ht="15">
      <c r="A1369" s="2" t="inlineStr"/>
      <c r="B1369" s="2" t="inlineStr"/>
      <c r="C1369" s="2" t="inlineStr"/>
      <c r="D1369" s="2" t="inlineStr"/>
      <c r="E1369" s="28" t="inlineStr">
        <is>
          <r>
            <t xml:space="preserve">VALOR BDI:</t>
          </r>
        </is>
      </c>
      <c r="F1369" s="28" t="inlineStr"/>
      <c r="G1369" s="29" t="n">
        <f>ROUND(G1368*(0/100),2)</f>
        <v>0.0</v>
      </c>
    </row>
    <row r="1370" customHeight="1" ht="15">
      <c r="A1370" s="2" t="inlineStr"/>
      <c r="B1370" s="2" t="inlineStr"/>
      <c r="C1370" s="2" t="inlineStr"/>
      <c r="D1370" s="2" t="inlineStr"/>
      <c r="E1370" s="28" t="inlineStr">
        <is>
          <r>
            <t xml:space="preserve">VALOR COM BDI:</t>
          </r>
        </is>
      </c>
      <c r="F1370" s="28" t="inlineStr"/>
      <c r="G1370" s="29" t="n">
        <f>G1369+G1368</f>
        <v>128.43</v>
      </c>
    </row>
    <row r="1371" customHeight="1" ht="10">
      <c r="A1371" s="2" t="inlineStr"/>
      <c r="B1371" s="2" t="inlineStr"/>
      <c r="C1371" s="2" t="inlineStr"/>
      <c r="D1371" s="2" t="inlineStr"/>
      <c r="E1371" s="18" t="inlineStr"/>
      <c r="F1371" s="18" t="inlineStr"/>
      <c r="G1371" s="18" t="inlineStr"/>
    </row>
    <row r="1372" customHeight="1" ht="20">
      <c r="A1372" s="19" t="inlineStr">
        <is>
          <r>
            <t xml:space="preserve">​C2860​ LASTRO DE AREIA ADQUIRIDA​ (M3)</t>
          </r>
        </is>
      </c>
      <c r="B1372" s="19" t="inlineStr"/>
      <c r="C1372" s="19" t="inlineStr"/>
      <c r="D1372" s="19" t="inlineStr"/>
      <c r="E1372" s="19" t="inlineStr"/>
      <c r="F1372" s="19" t="inlineStr"/>
      <c r="G1372" s="19" t="inlineStr"/>
    </row>
    <row r="1373" customHeight="1" ht="15">
      <c r="A1373" s="20" t="inlineStr">
        <is>
          <r>
            <t xml:space="preserve">Material</t>
          </r>
        </is>
      </c>
      <c r="B1373" s="20" t="inlineStr"/>
      <c r="C1373" s="21" t="inlineStr">
        <is>
          <r>
            <t xml:space="preserve">FONTE</t>
          </r>
        </is>
      </c>
      <c r="D1373" s="21" t="inlineStr">
        <is>
          <r>
            <t xml:space="preserve">UNID</t>
          </r>
        </is>
      </c>
      <c r="E1373" s="21" t="inlineStr">
        <is>
          <r>
            <t xml:space="preserve">COEFICIENTE</t>
          </r>
        </is>
      </c>
      <c r="F1373" s="21" t="inlineStr">
        <is>
          <r>
            <t xml:space="preserve">PREÇO UNITÁRIO</t>
          </r>
        </is>
      </c>
      <c r="G1373" s="21" t="inlineStr">
        <is>
          <r>
            <t xml:space="preserve">TOTAL</t>
          </r>
        </is>
      </c>
    </row>
    <row r="1374" customHeight="1" ht="15">
      <c r="A1374" s="22" t="inlineStr">
        <is>
          <r>
            <t xml:space="preserve">I0108</t>
          </r>
        </is>
      </c>
      <c r="B1374" s="23" t="inlineStr">
        <is>
          <r>
            <t xml:space="preserve">AREIA GROSSA</t>
          </r>
        </is>
      </c>
      <c r="C1374" s="22" t="inlineStr">
        <is>
          <r>
            <t xml:space="preserve">SEINFRA</t>
          </r>
        </is>
      </c>
      <c r="D1374" s="22" t="inlineStr">
        <is>
          <r>
            <t xml:space="preserve">M3</t>
          </r>
        </is>
      </c>
      <c r="E1374" s="24" t="n">
        <v>1.15</v>
      </c>
      <c r="F1374" s="30" t="n">
        <v>119.58</v>
      </c>
      <c r="G1374" s="30" t="n">
        <f>ROUND(ROUND(E1374,8)*F1374,4)</f>
        <v>137.517</v>
      </c>
    </row>
    <row r="1375" customHeight="1" ht="15">
      <c r="A1375" s="2" t="inlineStr"/>
      <c r="B1375" s="2" t="inlineStr"/>
      <c r="C1375" s="2" t="inlineStr"/>
      <c r="D1375" s="2" t="inlineStr"/>
      <c r="E1375" s="26" t="inlineStr">
        <is>
          <r>
            <t xml:space="preserve">TOTAL Material:</t>
          </r>
        </is>
      </c>
      <c r="F1375" s="26" t="inlineStr"/>
      <c r="G1375" s="31" t="n">
        <f>SUM(G1374:G1374)</f>
        <v>137.517</v>
      </c>
    </row>
    <row r="1376" customHeight="1" ht="15">
      <c r="A1376" s="20" t="inlineStr">
        <is>
          <r>
            <t xml:space="preserve">Mão de Obra</t>
          </r>
        </is>
      </c>
      <c r="B1376" s="20" t="inlineStr"/>
      <c r="C1376" s="21" t="inlineStr">
        <is>
          <r>
            <t xml:space="preserve">FONTE</t>
          </r>
        </is>
      </c>
      <c r="D1376" s="21" t="inlineStr">
        <is>
          <r>
            <t xml:space="preserve">UNID</t>
          </r>
        </is>
      </c>
      <c r="E1376" s="21" t="inlineStr">
        <is>
          <r>
            <t xml:space="preserve">COEFICIENTE</t>
          </r>
        </is>
      </c>
      <c r="F1376" s="21" t="inlineStr">
        <is>
          <r>
            <t xml:space="preserve">PREÇO UNITÁRIO</t>
          </r>
        </is>
      </c>
      <c r="G1376" s="21" t="inlineStr">
        <is>
          <r>
            <t xml:space="preserve">TOTAL</t>
          </r>
        </is>
      </c>
    </row>
    <row r="1377" customHeight="1" ht="15">
      <c r="A1377" s="22" t="inlineStr">
        <is>
          <r>
            <t xml:space="preserve">I2543</t>
          </r>
        </is>
      </c>
      <c r="B1377" s="23" t="inlineStr">
        <is>
          <r>
            <t xml:space="preserve">SERVENTE</t>
          </r>
        </is>
      </c>
      <c r="C1377" s="22" t="inlineStr">
        <is>
          <r>
            <t xml:space="preserve">SEINFRA</t>
          </r>
        </is>
      </c>
      <c r="D1377" s="22" t="inlineStr">
        <is>
          <r>
            <t xml:space="preserve">H</t>
          </r>
        </is>
      </c>
      <c r="E1377" s="24" t="n">
        <v>1.3</v>
      </c>
      <c r="F1377" s="30" t="n">
        <v>18.46</v>
      </c>
      <c r="G1377" s="30" t="n">
        <f>ROUND(ROUND(E1377,8)*F1377,4)</f>
        <v>23.998</v>
      </c>
    </row>
    <row r="1378" customHeight="1" ht="15">
      <c r="A1378" s="2" t="inlineStr"/>
      <c r="B1378" s="2" t="inlineStr"/>
      <c r="C1378" s="2" t="inlineStr"/>
      <c r="D1378" s="2" t="inlineStr"/>
      <c r="E1378" s="26" t="inlineStr">
        <is>
          <r>
            <t xml:space="preserve">TOTAL Mão de Obra:</t>
          </r>
        </is>
      </c>
      <c r="F1378" s="26" t="inlineStr"/>
      <c r="G1378" s="31" t="n">
        <f>SUM(G1377:G1377)</f>
        <v>23.998</v>
      </c>
    </row>
    <row r="1379" customHeight="1" ht="15">
      <c r="A1379" s="2" t="inlineStr"/>
      <c r="B1379" s="2" t="inlineStr"/>
      <c r="C1379" s="2" t="inlineStr"/>
      <c r="D1379" s="2" t="inlineStr"/>
      <c r="E1379" s="28" t="inlineStr">
        <is>
          <r>
            <t xml:space="preserve">VALOR:</t>
          </r>
        </is>
      </c>
      <c r="F1379" s="28" t="inlineStr"/>
      <c r="G1379" s="29" t="n">
        <f>ROUND(SUM(G1375,G1378),2)</f>
        <v>161.51</v>
      </c>
    </row>
    <row r="1380" customHeight="1" ht="15">
      <c r="A1380" s="2" t="inlineStr"/>
      <c r="B1380" s="2" t="inlineStr"/>
      <c r="C1380" s="2" t="inlineStr"/>
      <c r="D1380" s="2" t="inlineStr"/>
      <c r="E1380" s="28" t="inlineStr">
        <is>
          <r>
            <t xml:space="preserve">VALOR BDI:</t>
          </r>
        </is>
      </c>
      <c r="F1380" s="28" t="inlineStr"/>
      <c r="G1380" s="29" t="n">
        <f>ROUND(G1379*(0/100),2)</f>
        <v>0.0</v>
      </c>
    </row>
    <row r="1381" customHeight="1" ht="15">
      <c r="A1381" s="2" t="inlineStr"/>
      <c r="B1381" s="2" t="inlineStr"/>
      <c r="C1381" s="2" t="inlineStr"/>
      <c r="D1381" s="2" t="inlineStr"/>
      <c r="E1381" s="28" t="inlineStr">
        <is>
          <r>
            <t xml:space="preserve">VALOR COM BDI:</t>
          </r>
        </is>
      </c>
      <c r="F1381" s="28" t="inlineStr"/>
      <c r="G1381" s="29" t="n">
        <f>G1380+G1379</f>
        <v>161.51</v>
      </c>
    </row>
    <row r="1382" customHeight="1" ht="10">
      <c r="A1382" s="2" t="inlineStr"/>
      <c r="B1382" s="2" t="inlineStr"/>
      <c r="C1382" s="2" t="inlineStr"/>
      <c r="D1382" s="2" t="inlineStr"/>
      <c r="E1382" s="18" t="inlineStr"/>
      <c r="F1382" s="18" t="inlineStr"/>
      <c r="G1382" s="18" t="inlineStr"/>
    </row>
    <row r="1383" customHeight="1" ht="20">
      <c r="A1383" s="19" t="inlineStr">
        <is>
          <r>
            <t xml:space="preserve">​I2712​ MAO DE OBRA DE OPERAÇÃO BET.ELET.320L​ (H)</t>
          </r>
        </is>
      </c>
      <c r="B1383" s="19" t="inlineStr"/>
      <c r="C1383" s="19" t="inlineStr"/>
      <c r="D1383" s="19" t="inlineStr"/>
      <c r="E1383" s="19" t="inlineStr"/>
      <c r="F1383" s="19" t="inlineStr"/>
      <c r="G1383" s="19" t="inlineStr"/>
    </row>
    <row r="1384" customHeight="1" ht="15">
      <c r="A1384" s="20" t="inlineStr">
        <is>
          <r>
            <t xml:space="preserve">Mão de Obra</t>
          </r>
        </is>
      </c>
      <c r="B1384" s="20" t="inlineStr"/>
      <c r="C1384" s="21" t="inlineStr">
        <is>
          <r>
            <t xml:space="preserve">FONTE</t>
          </r>
        </is>
      </c>
      <c r="D1384" s="21" t="inlineStr">
        <is>
          <r>
            <t xml:space="preserve">UNID</t>
          </r>
        </is>
      </c>
      <c r="E1384" s="21" t="inlineStr">
        <is>
          <r>
            <t xml:space="preserve">COEFICIENTE</t>
          </r>
        </is>
      </c>
      <c r="F1384" s="21" t="inlineStr">
        <is>
          <r>
            <t xml:space="preserve">PREÇO UNITÁRIO</t>
          </r>
        </is>
      </c>
      <c r="G1384" s="21" t="inlineStr">
        <is>
          <r>
            <t xml:space="preserve">TOTAL</t>
          </r>
        </is>
      </c>
    </row>
    <row r="1385" customHeight="1" ht="15">
      <c r="A1385" s="22" t="inlineStr">
        <is>
          <r>
            <t xml:space="preserve">I2548</t>
          </r>
        </is>
      </c>
      <c r="B1385" s="23" t="inlineStr">
        <is>
          <r>
            <t xml:space="preserve">OPERADOR DE BETONEIRA</t>
          </r>
        </is>
      </c>
      <c r="C1385" s="22" t="inlineStr">
        <is>
          <r>
            <t xml:space="preserve">SEINFRA</t>
          </r>
        </is>
      </c>
      <c r="D1385" s="22" t="inlineStr">
        <is>
          <r>
            <t xml:space="preserve">H</t>
          </r>
        </is>
      </c>
      <c r="E1385" s="24" t="n">
        <v>1.0</v>
      </c>
      <c r="F1385" s="30" t="n">
        <v>21.29</v>
      </c>
      <c r="G1385" s="30" t="n">
        <f>ROUND(ROUND(E1385,8)*F1385,4)</f>
        <v>21.29</v>
      </c>
    </row>
    <row r="1386" customHeight="1" ht="15">
      <c r="A1386" s="2" t="inlineStr"/>
      <c r="B1386" s="2" t="inlineStr"/>
      <c r="C1386" s="2" t="inlineStr"/>
      <c r="D1386" s="2" t="inlineStr"/>
      <c r="E1386" s="26" t="inlineStr">
        <is>
          <r>
            <t xml:space="preserve">TOTAL Mão de Obra:</t>
          </r>
        </is>
      </c>
      <c r="F1386" s="26" t="inlineStr"/>
      <c r="G1386" s="31" t="n">
        <f>SUM(G1385:G1385)</f>
        <v>21.29</v>
      </c>
    </row>
    <row r="1387" customHeight="1" ht="15">
      <c r="A1387" s="2" t="inlineStr"/>
      <c r="B1387" s="2" t="inlineStr"/>
      <c r="C1387" s="2" t="inlineStr"/>
      <c r="D1387" s="2" t="inlineStr"/>
      <c r="E1387" s="28" t="inlineStr">
        <is>
          <r>
            <t xml:space="preserve">VALOR:</t>
          </r>
        </is>
      </c>
      <c r="F1387" s="28" t="inlineStr"/>
      <c r="G1387" s="29" t="n">
        <f>ROUND(SUM(G1386),2)</f>
        <v>21.29</v>
      </c>
    </row>
    <row r="1388" customHeight="1" ht="15">
      <c r="A1388" s="2" t="inlineStr"/>
      <c r="B1388" s="2" t="inlineStr"/>
      <c r="C1388" s="2" t="inlineStr"/>
      <c r="D1388" s="2" t="inlineStr"/>
      <c r="E1388" s="28" t="inlineStr">
        <is>
          <r>
            <t xml:space="preserve">VALOR BDI:</t>
          </r>
        </is>
      </c>
      <c r="F1388" s="28" t="inlineStr"/>
      <c r="G1388" s="29" t="n">
        <f>ROUND(G1387*(0/100),2)</f>
        <v>0.0</v>
      </c>
    </row>
    <row r="1389" customHeight="1" ht="15">
      <c r="A1389" s="2" t="inlineStr"/>
      <c r="B1389" s="2" t="inlineStr"/>
      <c r="C1389" s="2" t="inlineStr"/>
      <c r="D1389" s="2" t="inlineStr"/>
      <c r="E1389" s="28" t="inlineStr">
        <is>
          <r>
            <t xml:space="preserve">VALOR COM BDI:</t>
          </r>
        </is>
      </c>
      <c r="F1389" s="28" t="inlineStr"/>
      <c r="G1389" s="29" t="n">
        <f>G1388+G1387</f>
        <v>21.29</v>
      </c>
    </row>
    <row r="1390" customHeight="1" ht="10">
      <c r="A1390" s="2" t="inlineStr"/>
      <c r="B1390" s="2" t="inlineStr"/>
      <c r="C1390" s="2" t="inlineStr"/>
      <c r="D1390" s="2" t="inlineStr"/>
      <c r="E1390" s="18" t="inlineStr"/>
      <c r="F1390" s="18" t="inlineStr"/>
      <c r="G1390" s="18" t="inlineStr"/>
    </row>
    <row r="1391" customHeight="1" ht="20">
      <c r="A1391" s="19" t="inlineStr">
        <is>
          <r>
            <t xml:space="preserve">​I2714​ MAO DE OBRA DE OPERAÇÃO BET.ELET.580L​ (H)</t>
          </r>
        </is>
      </c>
      <c r="B1391" s="19" t="inlineStr"/>
      <c r="C1391" s="19" t="inlineStr"/>
      <c r="D1391" s="19" t="inlineStr"/>
      <c r="E1391" s="19" t="inlineStr"/>
      <c r="F1391" s="19" t="inlineStr"/>
      <c r="G1391" s="19" t="inlineStr"/>
    </row>
    <row r="1392" customHeight="1" ht="15">
      <c r="A1392" s="20" t="inlineStr">
        <is>
          <r>
            <t xml:space="preserve">Mão de Obra</t>
          </r>
        </is>
      </c>
      <c r="B1392" s="20" t="inlineStr"/>
      <c r="C1392" s="21" t="inlineStr">
        <is>
          <r>
            <t xml:space="preserve">FONTE</t>
          </r>
        </is>
      </c>
      <c r="D1392" s="21" t="inlineStr">
        <is>
          <r>
            <t xml:space="preserve">UNID</t>
          </r>
        </is>
      </c>
      <c r="E1392" s="21" t="inlineStr">
        <is>
          <r>
            <t xml:space="preserve">COEFICIENTE</t>
          </r>
        </is>
      </c>
      <c r="F1392" s="21" t="inlineStr">
        <is>
          <r>
            <t xml:space="preserve">PREÇO UNITÁRIO</t>
          </r>
        </is>
      </c>
      <c r="G1392" s="21" t="inlineStr">
        <is>
          <r>
            <t xml:space="preserve">TOTAL</t>
          </r>
        </is>
      </c>
    </row>
    <row r="1393" customHeight="1" ht="15">
      <c r="A1393" s="22" t="inlineStr">
        <is>
          <r>
            <t xml:space="preserve">I2548</t>
          </r>
        </is>
      </c>
      <c r="B1393" s="23" t="inlineStr">
        <is>
          <r>
            <t xml:space="preserve">OPERADOR DE BETONEIRA</t>
          </r>
        </is>
      </c>
      <c r="C1393" s="22" t="inlineStr">
        <is>
          <r>
            <t xml:space="preserve">SEINFRA</t>
          </r>
        </is>
      </c>
      <c r="D1393" s="22" t="inlineStr">
        <is>
          <r>
            <t xml:space="preserve">H</t>
          </r>
        </is>
      </c>
      <c r="E1393" s="24" t="n">
        <v>1.0</v>
      </c>
      <c r="F1393" s="30" t="n">
        <v>21.29</v>
      </c>
      <c r="G1393" s="30" t="n">
        <f>ROUND(ROUND(E1393,8)*F1393,4)</f>
        <v>21.29</v>
      </c>
    </row>
    <row r="1394" customHeight="1" ht="15">
      <c r="A1394" s="2" t="inlineStr"/>
      <c r="B1394" s="2" t="inlineStr"/>
      <c r="C1394" s="2" t="inlineStr"/>
      <c r="D1394" s="2" t="inlineStr"/>
      <c r="E1394" s="26" t="inlineStr">
        <is>
          <r>
            <t xml:space="preserve">TOTAL Mão de Obra:</t>
          </r>
        </is>
      </c>
      <c r="F1394" s="26" t="inlineStr"/>
      <c r="G1394" s="31" t="n">
        <f>SUM(G1393:G1393)</f>
        <v>21.29</v>
      </c>
    </row>
    <row r="1395" customHeight="1" ht="15">
      <c r="A1395" s="2" t="inlineStr"/>
      <c r="B1395" s="2" t="inlineStr"/>
      <c r="C1395" s="2" t="inlineStr"/>
      <c r="D1395" s="2" t="inlineStr"/>
      <c r="E1395" s="28" t="inlineStr">
        <is>
          <r>
            <t xml:space="preserve">VALOR:</t>
          </r>
        </is>
      </c>
      <c r="F1395" s="28" t="inlineStr"/>
      <c r="G1395" s="29" t="n">
        <f>ROUND(SUM(G1394),2)</f>
        <v>21.29</v>
      </c>
    </row>
    <row r="1396" customHeight="1" ht="15">
      <c r="A1396" s="2" t="inlineStr"/>
      <c r="B1396" s="2" t="inlineStr"/>
      <c r="C1396" s="2" t="inlineStr"/>
      <c r="D1396" s="2" t="inlineStr"/>
      <c r="E1396" s="28" t="inlineStr">
        <is>
          <r>
            <t xml:space="preserve">VALOR BDI:</t>
          </r>
        </is>
      </c>
      <c r="F1396" s="28" t="inlineStr"/>
      <c r="G1396" s="29" t="n">
        <f>ROUND(G1395*(0/100),2)</f>
        <v>0.0</v>
      </c>
    </row>
    <row r="1397" customHeight="1" ht="15">
      <c r="A1397" s="2" t="inlineStr"/>
      <c r="B1397" s="2" t="inlineStr"/>
      <c r="C1397" s="2" t="inlineStr"/>
      <c r="D1397" s="2" t="inlineStr"/>
      <c r="E1397" s="28" t="inlineStr">
        <is>
          <r>
            <t xml:space="preserve">VALOR COM BDI:</t>
          </r>
        </is>
      </c>
      <c r="F1397" s="28" t="inlineStr"/>
      <c r="G1397" s="29" t="n">
        <f>G1396+G1395</f>
        <v>21.29</v>
      </c>
    </row>
    <row r="1398" customHeight="1" ht="10">
      <c r="A1398" s="2" t="inlineStr"/>
      <c r="B1398" s="2" t="inlineStr"/>
      <c r="C1398" s="2" t="inlineStr"/>
      <c r="D1398" s="2" t="inlineStr"/>
      <c r="E1398" s="18" t="inlineStr"/>
      <c r="F1398" s="18" t="inlineStr"/>
      <c r="G1398" s="18" t="inlineStr"/>
    </row>
    <row r="1399" customHeight="1" ht="20">
      <c r="A1399" s="19" t="inlineStr">
        <is>
          <r>
            <t xml:space="preserve">​I2716​ MAO DE OBRA DE OPERAÇÃO BET.MOTOR DIESEL​ (H)</t>
          </r>
        </is>
      </c>
      <c r="B1399" s="19" t="inlineStr"/>
      <c r="C1399" s="19" t="inlineStr"/>
      <c r="D1399" s="19" t="inlineStr"/>
      <c r="E1399" s="19" t="inlineStr"/>
      <c r="F1399" s="19" t="inlineStr"/>
      <c r="G1399" s="19" t="inlineStr"/>
    </row>
    <row r="1400" customHeight="1" ht="15">
      <c r="A1400" s="20" t="inlineStr">
        <is>
          <r>
            <t xml:space="preserve">Mão de Obra</t>
          </r>
        </is>
      </c>
      <c r="B1400" s="20" t="inlineStr"/>
      <c r="C1400" s="21" t="inlineStr">
        <is>
          <r>
            <t xml:space="preserve">FONTE</t>
          </r>
        </is>
      </c>
      <c r="D1400" s="21" t="inlineStr">
        <is>
          <r>
            <t xml:space="preserve">UNID</t>
          </r>
        </is>
      </c>
      <c r="E1400" s="21" t="inlineStr">
        <is>
          <r>
            <t xml:space="preserve">COEFICIENTE</t>
          </r>
        </is>
      </c>
      <c r="F1400" s="21" t="inlineStr">
        <is>
          <r>
            <t xml:space="preserve">PREÇO UNITÁRIO</t>
          </r>
        </is>
      </c>
      <c r="G1400" s="21" t="inlineStr">
        <is>
          <r>
            <t xml:space="preserve">TOTAL</t>
          </r>
        </is>
      </c>
    </row>
    <row r="1401" customHeight="1" ht="15">
      <c r="A1401" s="22" t="inlineStr">
        <is>
          <r>
            <t xml:space="preserve">I2548</t>
          </r>
        </is>
      </c>
      <c r="B1401" s="23" t="inlineStr">
        <is>
          <r>
            <t xml:space="preserve">OPERADOR DE BETONEIRA</t>
          </r>
        </is>
      </c>
      <c r="C1401" s="22" t="inlineStr">
        <is>
          <r>
            <t xml:space="preserve">SEINFRA</t>
          </r>
        </is>
      </c>
      <c r="D1401" s="22" t="inlineStr">
        <is>
          <r>
            <t xml:space="preserve">H</t>
          </r>
        </is>
      </c>
      <c r="E1401" s="24" t="n">
        <v>1.0</v>
      </c>
      <c r="F1401" s="30" t="n">
        <v>21.29</v>
      </c>
      <c r="G1401" s="30" t="n">
        <f>ROUND(ROUND(E1401,8)*F1401,4)</f>
        <v>21.29</v>
      </c>
    </row>
    <row r="1402" customHeight="1" ht="15">
      <c r="A1402" s="2" t="inlineStr"/>
      <c r="B1402" s="2" t="inlineStr"/>
      <c r="C1402" s="2" t="inlineStr"/>
      <c r="D1402" s="2" t="inlineStr"/>
      <c r="E1402" s="26" t="inlineStr">
        <is>
          <r>
            <t xml:space="preserve">TOTAL Mão de Obra:</t>
          </r>
        </is>
      </c>
      <c r="F1402" s="26" t="inlineStr"/>
      <c r="G1402" s="31" t="n">
        <f>SUM(G1401:G1401)</f>
        <v>21.29</v>
      </c>
    </row>
    <row r="1403" customHeight="1" ht="15">
      <c r="A1403" s="2" t="inlineStr"/>
      <c r="B1403" s="2" t="inlineStr"/>
      <c r="C1403" s="2" t="inlineStr"/>
      <c r="D1403" s="2" t="inlineStr"/>
      <c r="E1403" s="28" t="inlineStr">
        <is>
          <r>
            <t xml:space="preserve">VALOR:</t>
          </r>
        </is>
      </c>
      <c r="F1403" s="28" t="inlineStr"/>
      <c r="G1403" s="29" t="n">
        <f>ROUND(SUM(G1402),2)</f>
        <v>21.29</v>
      </c>
    </row>
    <row r="1404" customHeight="1" ht="15">
      <c r="A1404" s="2" t="inlineStr"/>
      <c r="B1404" s="2" t="inlineStr"/>
      <c r="C1404" s="2" t="inlineStr"/>
      <c r="D1404" s="2" t="inlineStr"/>
      <c r="E1404" s="28" t="inlineStr">
        <is>
          <r>
            <t xml:space="preserve">VALOR BDI:</t>
          </r>
        </is>
      </c>
      <c r="F1404" s="28" t="inlineStr"/>
      <c r="G1404" s="29" t="n">
        <f>ROUND(G1403*(0/100),2)</f>
        <v>0.0</v>
      </c>
    </row>
    <row r="1405" customHeight="1" ht="15">
      <c r="A1405" s="2" t="inlineStr"/>
      <c r="B1405" s="2" t="inlineStr"/>
      <c r="C1405" s="2" t="inlineStr"/>
      <c r="D1405" s="2" t="inlineStr"/>
      <c r="E1405" s="28" t="inlineStr">
        <is>
          <r>
            <t xml:space="preserve">VALOR COM BDI:</t>
          </r>
        </is>
      </c>
      <c r="F1405" s="28" t="inlineStr"/>
      <c r="G1405" s="29" t="n">
        <f>G1404+G1403</f>
        <v>21.29</v>
      </c>
    </row>
    <row r="1406" customHeight="1" ht="10">
      <c r="A1406" s="2" t="inlineStr"/>
      <c r="B1406" s="2" t="inlineStr"/>
      <c r="C1406" s="2" t="inlineStr"/>
      <c r="D1406" s="2" t="inlineStr"/>
      <c r="E1406" s="18" t="inlineStr"/>
      <c r="F1406" s="18" t="inlineStr"/>
      <c r="G1406" s="18" t="inlineStr"/>
    </row>
    <row r="1407" customHeight="1" ht="20">
      <c r="A1407" s="19" t="inlineStr">
        <is>
          <r>
            <t xml:space="preserve">​I2715​ MATERIAL DE OPERAÇÃO BET.MOTOR DIESEL​ (H)</t>
          </r>
        </is>
      </c>
      <c r="B1407" s="19" t="inlineStr"/>
      <c r="C1407" s="19" t="inlineStr"/>
      <c r="D1407" s="19" t="inlineStr"/>
      <c r="E1407" s="19" t="inlineStr"/>
      <c r="F1407" s="19" t="inlineStr"/>
      <c r="G1407" s="19" t="inlineStr"/>
    </row>
    <row r="1408" customHeight="1" ht="15">
      <c r="A1408" s="20" t="inlineStr">
        <is>
          <r>
            <t xml:space="preserve">Material</t>
          </r>
        </is>
      </c>
      <c r="B1408" s="20" t="inlineStr"/>
      <c r="C1408" s="21" t="inlineStr">
        <is>
          <r>
            <t xml:space="preserve">FONTE</t>
          </r>
        </is>
      </c>
      <c r="D1408" s="21" t="inlineStr">
        <is>
          <r>
            <t xml:space="preserve">UNID</t>
          </r>
        </is>
      </c>
      <c r="E1408" s="21" t="inlineStr">
        <is>
          <r>
            <t xml:space="preserve">COEFICIENTE</t>
          </r>
        </is>
      </c>
      <c r="F1408" s="21" t="inlineStr">
        <is>
          <r>
            <t xml:space="preserve">PREÇO UNITÁRIO</t>
          </r>
        </is>
      </c>
      <c r="G1408" s="21" t="inlineStr">
        <is>
          <r>
            <t xml:space="preserve">TOTAL</t>
          </r>
        </is>
      </c>
    </row>
    <row r="1409" customHeight="1" ht="15">
      <c r="A1409" s="22" t="inlineStr">
        <is>
          <r>
            <t xml:space="preserve">I2706</t>
          </r>
        </is>
      </c>
      <c r="B1409" s="23" t="inlineStr">
        <is>
          <r>
            <t xml:space="preserve">OLEO DIESEL</t>
          </r>
        </is>
      </c>
      <c r="C1409" s="22" t="inlineStr">
        <is>
          <r>
            <t xml:space="preserve">SEINFRA</t>
          </r>
        </is>
      </c>
      <c r="D1409" s="22" t="inlineStr">
        <is>
          <r>
            <t xml:space="preserve">L</t>
          </r>
        </is>
      </c>
      <c r="E1409" s="24" t="n">
        <v>1.125</v>
      </c>
      <c r="F1409" s="30" t="n">
        <v>4.99</v>
      </c>
      <c r="G1409" s="30" t="n">
        <f>ROUND(ROUND(E1409,8)*F1409,4)</f>
        <v>5.6138</v>
      </c>
    </row>
    <row r="1410" customHeight="1" ht="15">
      <c r="A1410" s="2" t="inlineStr"/>
      <c r="B1410" s="2" t="inlineStr"/>
      <c r="C1410" s="2" t="inlineStr"/>
      <c r="D1410" s="2" t="inlineStr"/>
      <c r="E1410" s="26" t="inlineStr">
        <is>
          <r>
            <t xml:space="preserve">TOTAL Material:</t>
          </r>
        </is>
      </c>
      <c r="F1410" s="26" t="inlineStr"/>
      <c r="G1410" s="31" t="n">
        <f>SUM(G1409:G1409)</f>
        <v>5.6138</v>
      </c>
    </row>
    <row r="1411" customHeight="1" ht="15">
      <c r="A1411" s="2" t="inlineStr"/>
      <c r="B1411" s="2" t="inlineStr"/>
      <c r="C1411" s="2" t="inlineStr"/>
      <c r="D1411" s="2" t="inlineStr"/>
      <c r="E1411" s="28" t="inlineStr">
        <is>
          <r>
            <t xml:space="preserve">VALOR:</t>
          </r>
        </is>
      </c>
      <c r="F1411" s="28" t="inlineStr"/>
      <c r="G1411" s="29" t="n">
        <f>ROUND(SUM(G1410),2)</f>
        <v>5.61</v>
      </c>
    </row>
    <row r="1412" customHeight="1" ht="15">
      <c r="A1412" s="2" t="inlineStr"/>
      <c r="B1412" s="2" t="inlineStr"/>
      <c r="C1412" s="2" t="inlineStr"/>
      <c r="D1412" s="2" t="inlineStr"/>
      <c r="E1412" s="28" t="inlineStr">
        <is>
          <r>
            <t xml:space="preserve">VALOR BDI:</t>
          </r>
        </is>
      </c>
      <c r="F1412" s="28" t="inlineStr"/>
      <c r="G1412" s="29" t="n">
        <f>ROUND(G1411*(0/100),2)</f>
        <v>0.0</v>
      </c>
    </row>
    <row r="1413" customHeight="1" ht="15">
      <c r="A1413" s="2" t="inlineStr"/>
      <c r="B1413" s="2" t="inlineStr"/>
      <c r="C1413" s="2" t="inlineStr"/>
      <c r="D1413" s="2" t="inlineStr"/>
      <c r="E1413" s="28" t="inlineStr">
        <is>
          <r>
            <t xml:space="preserve">VALOR COM BDI:</t>
          </r>
        </is>
      </c>
      <c r="F1413" s="28" t="inlineStr"/>
      <c r="G1413" s="29" t="n">
        <f>G1412+G1411</f>
        <v>5.61</v>
      </c>
    </row>
    <row r="1414" customHeight="1" ht="10">
      <c r="A1414" s="2" t="inlineStr"/>
      <c r="B1414" s="2" t="inlineStr"/>
      <c r="C1414" s="2" t="inlineStr"/>
      <c r="D1414" s="2" t="inlineStr"/>
      <c r="E1414" s="18" t="inlineStr"/>
      <c r="F1414" s="18" t="inlineStr"/>
      <c r="G1414" s="18" t="inlineStr"/>
    </row>
    <row r="1415" customHeight="1" ht="20">
      <c r="A1415" s="19" t="inlineStr">
        <is>
          <r>
            <t xml:space="preserve">​I2750​ MATERIAL DE OPERAÇÃO DA BOMBA C/ MOTOR DIESEL​ (H)</t>
          </r>
        </is>
      </c>
      <c r="B1415" s="19" t="inlineStr"/>
      <c r="C1415" s="19" t="inlineStr"/>
      <c r="D1415" s="19" t="inlineStr"/>
      <c r="E1415" s="19" t="inlineStr"/>
      <c r="F1415" s="19" t="inlineStr"/>
      <c r="G1415" s="19" t="inlineStr"/>
    </row>
    <row r="1416" customHeight="1" ht="15">
      <c r="A1416" s="20" t="inlineStr">
        <is>
          <r>
            <t xml:space="preserve">Material</t>
          </r>
        </is>
      </c>
      <c r="B1416" s="20" t="inlineStr"/>
      <c r="C1416" s="21" t="inlineStr">
        <is>
          <r>
            <t xml:space="preserve">FONTE</t>
          </r>
        </is>
      </c>
      <c r="D1416" s="21" t="inlineStr">
        <is>
          <r>
            <t xml:space="preserve">UNID</t>
          </r>
        </is>
      </c>
      <c r="E1416" s="21" t="inlineStr">
        <is>
          <r>
            <t xml:space="preserve">COEFICIENTE</t>
          </r>
        </is>
      </c>
      <c r="F1416" s="21" t="inlineStr">
        <is>
          <r>
            <t xml:space="preserve">PREÇO UNITÁRIO</t>
          </r>
        </is>
      </c>
      <c r="G1416" s="21" t="inlineStr">
        <is>
          <r>
            <t xml:space="preserve">TOTAL</t>
          </r>
        </is>
      </c>
    </row>
    <row r="1417" customHeight="1" ht="15">
      <c r="A1417" s="22" t="inlineStr">
        <is>
          <r>
            <t xml:space="preserve">I2706</t>
          </r>
        </is>
      </c>
      <c r="B1417" s="23" t="inlineStr">
        <is>
          <r>
            <t xml:space="preserve">OLEO DIESEL</t>
          </r>
        </is>
      </c>
      <c r="C1417" s="22" t="inlineStr">
        <is>
          <r>
            <t xml:space="preserve">SEINFRA</t>
          </r>
        </is>
      </c>
      <c r="D1417" s="22" t="inlineStr">
        <is>
          <r>
            <t xml:space="preserve">L</t>
          </r>
        </is>
      </c>
      <c r="E1417" s="24" t="n">
        <v>1.125</v>
      </c>
      <c r="F1417" s="30" t="n">
        <v>4.99</v>
      </c>
      <c r="G1417" s="30" t="n">
        <f>ROUND(ROUND(E1417,8)*F1417,4)</f>
        <v>5.6138</v>
      </c>
    </row>
    <row r="1418" customHeight="1" ht="15">
      <c r="A1418" s="2" t="inlineStr"/>
      <c r="B1418" s="2" t="inlineStr"/>
      <c r="C1418" s="2" t="inlineStr"/>
      <c r="D1418" s="2" t="inlineStr"/>
      <c r="E1418" s="26" t="inlineStr">
        <is>
          <r>
            <t xml:space="preserve">TOTAL Material:</t>
          </r>
        </is>
      </c>
      <c r="F1418" s="26" t="inlineStr"/>
      <c r="G1418" s="31" t="n">
        <f>SUM(G1417:G1417)</f>
        <v>5.6138</v>
      </c>
    </row>
    <row r="1419" customHeight="1" ht="15">
      <c r="A1419" s="2" t="inlineStr"/>
      <c r="B1419" s="2" t="inlineStr"/>
      <c r="C1419" s="2" t="inlineStr"/>
      <c r="D1419" s="2" t="inlineStr"/>
      <c r="E1419" s="28" t="inlineStr">
        <is>
          <r>
            <t xml:space="preserve">VALOR:</t>
          </r>
        </is>
      </c>
      <c r="F1419" s="28" t="inlineStr"/>
      <c r="G1419" s="29" t="n">
        <f>ROUND(SUM(G1418),2)</f>
        <v>5.61</v>
      </c>
    </row>
    <row r="1420" customHeight="1" ht="15">
      <c r="A1420" s="2" t="inlineStr"/>
      <c r="B1420" s="2" t="inlineStr"/>
      <c r="C1420" s="2" t="inlineStr"/>
      <c r="D1420" s="2" t="inlineStr"/>
      <c r="E1420" s="28" t="inlineStr">
        <is>
          <r>
            <t xml:space="preserve">VALOR BDI:</t>
          </r>
        </is>
      </c>
      <c r="F1420" s="28" t="inlineStr"/>
      <c r="G1420" s="29" t="n">
        <f>ROUND(G1419*(0/100),2)</f>
        <v>0.0</v>
      </c>
    </row>
    <row r="1421" customHeight="1" ht="15">
      <c r="A1421" s="2" t="inlineStr"/>
      <c r="B1421" s="2" t="inlineStr"/>
      <c r="C1421" s="2" t="inlineStr"/>
      <c r="D1421" s="2" t="inlineStr"/>
      <c r="E1421" s="28" t="inlineStr">
        <is>
          <r>
            <t xml:space="preserve">VALOR COM BDI:</t>
          </r>
        </is>
      </c>
      <c r="F1421" s="28" t="inlineStr"/>
      <c r="G1421" s="29" t="n">
        <f>G1420+G1419</f>
        <v>5.61</v>
      </c>
    </row>
    <row r="1422" customHeight="1" ht="10">
      <c r="A1422" s="2" t="inlineStr"/>
      <c r="B1422" s="2" t="inlineStr"/>
      <c r="C1422" s="2" t="inlineStr"/>
      <c r="D1422" s="2" t="inlineStr"/>
      <c r="E1422" s="18" t="inlineStr"/>
      <c r="F1422" s="18" t="inlineStr"/>
      <c r="G1422" s="18" t="inlineStr"/>
    </row>
    <row r="1423" customHeight="1" ht="20">
      <c r="A1423" s="19" t="inlineStr">
        <is>
          <r>
            <t xml:space="preserve">​I2747​ MATERIAL DE OPERAÇÃO DA CAMINHONETE SAVEIRO​ (H)</t>
          </r>
        </is>
      </c>
      <c r="B1423" s="19" t="inlineStr"/>
      <c r="C1423" s="19" t="inlineStr"/>
      <c r="D1423" s="19" t="inlineStr"/>
      <c r="E1423" s="19" t="inlineStr"/>
      <c r="F1423" s="19" t="inlineStr"/>
      <c r="G1423" s="19" t="inlineStr"/>
    </row>
    <row r="1424" customHeight="1" ht="15">
      <c r="A1424" s="20" t="inlineStr">
        <is>
          <r>
            <t xml:space="preserve">Material</t>
          </r>
        </is>
      </c>
      <c r="B1424" s="20" t="inlineStr"/>
      <c r="C1424" s="21" t="inlineStr">
        <is>
          <r>
            <t xml:space="preserve">FONTE</t>
          </r>
        </is>
      </c>
      <c r="D1424" s="21" t="inlineStr">
        <is>
          <r>
            <t xml:space="preserve">UNID</t>
          </r>
        </is>
      </c>
      <c r="E1424" s="21" t="inlineStr">
        <is>
          <r>
            <t xml:space="preserve">COEFICIENTE</t>
          </r>
        </is>
      </c>
      <c r="F1424" s="21" t="inlineStr">
        <is>
          <r>
            <t xml:space="preserve">PREÇO UNITÁRIO</t>
          </r>
        </is>
      </c>
      <c r="G1424" s="21" t="inlineStr">
        <is>
          <r>
            <t xml:space="preserve">TOTAL</t>
          </r>
        </is>
      </c>
    </row>
    <row r="1425" customHeight="1" ht="15">
      <c r="A1425" s="22" t="inlineStr">
        <is>
          <r>
            <t xml:space="preserve">I2707</t>
          </r>
        </is>
      </c>
      <c r="B1425" s="23" t="inlineStr">
        <is>
          <r>
            <t xml:space="preserve">GASOLINA</t>
          </r>
        </is>
      </c>
      <c r="C1425" s="22" t="inlineStr">
        <is>
          <r>
            <t xml:space="preserve">SEINFRA</t>
          </r>
        </is>
      </c>
      <c r="D1425" s="22" t="inlineStr">
        <is>
          <r>
            <t xml:space="preserve">L</t>
          </r>
        </is>
      </c>
      <c r="E1425" s="24" t="n">
        <v>9.72</v>
      </c>
      <c r="F1425" s="30" t="n">
        <v>5.08</v>
      </c>
      <c r="G1425" s="30" t="n">
        <f>ROUND(ROUND(E1425,8)*F1425,4)</f>
        <v>49.3776</v>
      </c>
    </row>
    <row r="1426" customHeight="1" ht="15">
      <c r="A1426" s="2" t="inlineStr"/>
      <c r="B1426" s="2" t="inlineStr"/>
      <c r="C1426" s="2" t="inlineStr"/>
      <c r="D1426" s="2" t="inlineStr"/>
      <c r="E1426" s="26" t="inlineStr">
        <is>
          <r>
            <t xml:space="preserve">TOTAL Material:</t>
          </r>
        </is>
      </c>
      <c r="F1426" s="26" t="inlineStr"/>
      <c r="G1426" s="31" t="n">
        <f>SUM(G1425:G1425)</f>
        <v>49.3776</v>
      </c>
    </row>
    <row r="1427" customHeight="1" ht="15">
      <c r="A1427" s="2" t="inlineStr"/>
      <c r="B1427" s="2" t="inlineStr"/>
      <c r="C1427" s="2" t="inlineStr"/>
      <c r="D1427" s="2" t="inlineStr"/>
      <c r="E1427" s="28" t="inlineStr">
        <is>
          <r>
            <t xml:space="preserve">VALOR:</t>
          </r>
        </is>
      </c>
      <c r="F1427" s="28" t="inlineStr"/>
      <c r="G1427" s="29" t="n">
        <f>ROUND(SUM(G1426),2)</f>
        <v>49.38</v>
      </c>
    </row>
    <row r="1428" customHeight="1" ht="15">
      <c r="A1428" s="2" t="inlineStr"/>
      <c r="B1428" s="2" t="inlineStr"/>
      <c r="C1428" s="2" t="inlineStr"/>
      <c r="D1428" s="2" t="inlineStr"/>
      <c r="E1428" s="28" t="inlineStr">
        <is>
          <r>
            <t xml:space="preserve">VALOR BDI:</t>
          </r>
        </is>
      </c>
      <c r="F1428" s="28" t="inlineStr"/>
      <c r="G1428" s="29" t="n">
        <f>ROUND(G1427*(0/100),2)</f>
        <v>0.0</v>
      </c>
    </row>
    <row r="1429" customHeight="1" ht="15">
      <c r="A1429" s="2" t="inlineStr"/>
      <c r="B1429" s="2" t="inlineStr"/>
      <c r="C1429" s="2" t="inlineStr"/>
      <c r="D1429" s="2" t="inlineStr"/>
      <c r="E1429" s="28" t="inlineStr">
        <is>
          <r>
            <t xml:space="preserve">VALOR COM BDI:</t>
          </r>
        </is>
      </c>
      <c r="F1429" s="28" t="inlineStr"/>
      <c r="G1429" s="29" t="n">
        <f>G1428+G1427</f>
        <v>49.38</v>
      </c>
    </row>
    <row r="1430" customHeight="1" ht="10">
      <c r="A1430" s="2" t="inlineStr"/>
      <c r="B1430" s="2" t="inlineStr"/>
      <c r="C1430" s="2" t="inlineStr"/>
      <c r="D1430" s="2" t="inlineStr"/>
      <c r="E1430" s="18" t="inlineStr"/>
      <c r="F1430" s="18" t="inlineStr"/>
      <c r="G1430" s="18" t="inlineStr"/>
    </row>
    <row r="1431" customHeight="1" ht="20">
      <c r="A1431" s="19" t="inlineStr">
        <is>
          <r>
            <t xml:space="preserve">​I2752​ MATERIAL DE OPERAÇÃO DA CARREGADEIRA DE PNEUS (111 HP)​ (H)</t>
          </r>
        </is>
      </c>
      <c r="B1431" s="19" t="inlineStr"/>
      <c r="C1431" s="19" t="inlineStr"/>
      <c r="D1431" s="19" t="inlineStr"/>
      <c r="E1431" s="19" t="inlineStr"/>
      <c r="F1431" s="19" t="inlineStr"/>
      <c r="G1431" s="19" t="inlineStr"/>
    </row>
    <row r="1432" customHeight="1" ht="15">
      <c r="A1432" s="20" t="inlineStr">
        <is>
          <r>
            <t xml:space="preserve">Material</t>
          </r>
        </is>
      </c>
      <c r="B1432" s="20" t="inlineStr"/>
      <c r="C1432" s="21" t="inlineStr">
        <is>
          <r>
            <t xml:space="preserve">FONTE</t>
          </r>
        </is>
      </c>
      <c r="D1432" s="21" t="inlineStr">
        <is>
          <r>
            <t xml:space="preserve">UNID</t>
          </r>
        </is>
      </c>
      <c r="E1432" s="21" t="inlineStr">
        <is>
          <r>
            <t xml:space="preserve">COEFICIENTE</t>
          </r>
        </is>
      </c>
      <c r="F1432" s="21" t="inlineStr">
        <is>
          <r>
            <t xml:space="preserve">PREÇO UNITÁRIO</t>
          </r>
        </is>
      </c>
      <c r="G1432" s="21" t="inlineStr">
        <is>
          <r>
            <t xml:space="preserve">TOTAL</t>
          </r>
        </is>
      </c>
    </row>
    <row r="1433" customHeight="1" ht="15">
      <c r="A1433" s="22" t="inlineStr">
        <is>
          <r>
            <t xml:space="preserve">I2706</t>
          </r>
        </is>
      </c>
      <c r="B1433" s="23" t="inlineStr">
        <is>
          <r>
            <t xml:space="preserve">OLEO DIESEL</t>
          </r>
        </is>
      </c>
      <c r="C1433" s="22" t="inlineStr">
        <is>
          <r>
            <t xml:space="preserve">SEINFRA</t>
          </r>
        </is>
      </c>
      <c r="D1433" s="22" t="inlineStr">
        <is>
          <r>
            <t xml:space="preserve">L</t>
          </r>
        </is>
      </c>
      <c r="E1433" s="24" t="n">
        <v>16.65</v>
      </c>
      <c r="F1433" s="30" t="n">
        <v>4.99</v>
      </c>
      <c r="G1433" s="30" t="n">
        <f>ROUND(ROUND(E1433,8)*F1433,4)</f>
        <v>83.0835</v>
      </c>
    </row>
    <row r="1434" customHeight="1" ht="15">
      <c r="A1434" s="2" t="inlineStr"/>
      <c r="B1434" s="2" t="inlineStr"/>
      <c r="C1434" s="2" t="inlineStr"/>
      <c r="D1434" s="2" t="inlineStr"/>
      <c r="E1434" s="26" t="inlineStr">
        <is>
          <r>
            <t xml:space="preserve">TOTAL Material:</t>
          </r>
        </is>
      </c>
      <c r="F1434" s="26" t="inlineStr"/>
      <c r="G1434" s="31" t="n">
        <f>SUM(G1433:G1433)</f>
        <v>83.0835</v>
      </c>
    </row>
    <row r="1435" customHeight="1" ht="15">
      <c r="A1435" s="2" t="inlineStr"/>
      <c r="B1435" s="2" t="inlineStr"/>
      <c r="C1435" s="2" t="inlineStr"/>
      <c r="D1435" s="2" t="inlineStr"/>
      <c r="E1435" s="28" t="inlineStr">
        <is>
          <r>
            <t xml:space="preserve">VALOR:</t>
          </r>
        </is>
      </c>
      <c r="F1435" s="28" t="inlineStr"/>
      <c r="G1435" s="29" t="n">
        <f>ROUND(SUM(G1434),2)</f>
        <v>83.08</v>
      </c>
    </row>
    <row r="1436" customHeight="1" ht="15">
      <c r="A1436" s="2" t="inlineStr"/>
      <c r="B1436" s="2" t="inlineStr"/>
      <c r="C1436" s="2" t="inlineStr"/>
      <c r="D1436" s="2" t="inlineStr"/>
      <c r="E1436" s="28" t="inlineStr">
        <is>
          <r>
            <t xml:space="preserve">VALOR BDI:</t>
          </r>
        </is>
      </c>
      <c r="F1436" s="28" t="inlineStr"/>
      <c r="G1436" s="29" t="n">
        <f>ROUND(G1435*(0/100),2)</f>
        <v>0.0</v>
      </c>
    </row>
    <row r="1437" customHeight="1" ht="15">
      <c r="A1437" s="2" t="inlineStr"/>
      <c r="B1437" s="2" t="inlineStr"/>
      <c r="C1437" s="2" t="inlineStr"/>
      <c r="D1437" s="2" t="inlineStr"/>
      <c r="E1437" s="28" t="inlineStr">
        <is>
          <r>
            <t xml:space="preserve">VALOR COM BDI:</t>
          </r>
        </is>
      </c>
      <c r="F1437" s="28" t="inlineStr"/>
      <c r="G1437" s="29" t="n">
        <f>G1436+G1435</f>
        <v>83.08</v>
      </c>
    </row>
    <row r="1438" customHeight="1" ht="10">
      <c r="A1438" s="2" t="inlineStr"/>
      <c r="B1438" s="2" t="inlineStr"/>
      <c r="C1438" s="2" t="inlineStr"/>
      <c r="D1438" s="2" t="inlineStr"/>
      <c r="E1438" s="18" t="inlineStr"/>
      <c r="F1438" s="18" t="inlineStr"/>
      <c r="G1438" s="18" t="inlineStr"/>
    </row>
    <row r="1439" customHeight="1" ht="20">
      <c r="A1439" s="19" t="inlineStr">
        <is>
          <r>
            <t xml:space="preserve">​I2754​ MATERIAL DE OPERAÇÃO DA CARREGADEIRA DE PNEUS (180 HP)​ (H)</t>
          </r>
        </is>
      </c>
      <c r="B1439" s="19" t="inlineStr"/>
      <c r="C1439" s="19" t="inlineStr"/>
      <c r="D1439" s="19" t="inlineStr"/>
      <c r="E1439" s="19" t="inlineStr"/>
      <c r="F1439" s="19" t="inlineStr"/>
      <c r="G1439" s="19" t="inlineStr"/>
    </row>
    <row r="1440" customHeight="1" ht="15">
      <c r="A1440" s="20" t="inlineStr">
        <is>
          <r>
            <t xml:space="preserve">Material</t>
          </r>
        </is>
      </c>
      <c r="B1440" s="20" t="inlineStr"/>
      <c r="C1440" s="21" t="inlineStr">
        <is>
          <r>
            <t xml:space="preserve">FONTE</t>
          </r>
        </is>
      </c>
      <c r="D1440" s="21" t="inlineStr">
        <is>
          <r>
            <t xml:space="preserve">UNID</t>
          </r>
        </is>
      </c>
      <c r="E1440" s="21" t="inlineStr">
        <is>
          <r>
            <t xml:space="preserve">COEFICIENTE</t>
          </r>
        </is>
      </c>
      <c r="F1440" s="21" t="inlineStr">
        <is>
          <r>
            <t xml:space="preserve">PREÇO UNITÁRIO</t>
          </r>
        </is>
      </c>
      <c r="G1440" s="21" t="inlineStr">
        <is>
          <r>
            <t xml:space="preserve">TOTAL</t>
          </r>
        </is>
      </c>
    </row>
    <row r="1441" customHeight="1" ht="15">
      <c r="A1441" s="22" t="inlineStr">
        <is>
          <r>
            <t xml:space="preserve">I2706</t>
          </r>
        </is>
      </c>
      <c r="B1441" s="23" t="inlineStr">
        <is>
          <r>
            <t xml:space="preserve">OLEO DIESEL</t>
          </r>
        </is>
      </c>
      <c r="C1441" s="22" t="inlineStr">
        <is>
          <r>
            <t xml:space="preserve">SEINFRA</t>
          </r>
        </is>
      </c>
      <c r="D1441" s="22" t="inlineStr">
        <is>
          <r>
            <t xml:space="preserve">L</t>
          </r>
        </is>
      </c>
      <c r="E1441" s="24" t="n">
        <v>27.0</v>
      </c>
      <c r="F1441" s="30" t="n">
        <v>4.99</v>
      </c>
      <c r="G1441" s="30" t="n">
        <f>ROUND(ROUND(E1441,8)*F1441,4)</f>
        <v>134.73</v>
      </c>
    </row>
    <row r="1442" customHeight="1" ht="15">
      <c r="A1442" s="2" t="inlineStr"/>
      <c r="B1442" s="2" t="inlineStr"/>
      <c r="C1442" s="2" t="inlineStr"/>
      <c r="D1442" s="2" t="inlineStr"/>
      <c r="E1442" s="26" t="inlineStr">
        <is>
          <r>
            <t xml:space="preserve">TOTAL Material:</t>
          </r>
        </is>
      </c>
      <c r="F1442" s="26" t="inlineStr"/>
      <c r="G1442" s="31" t="n">
        <f>SUM(G1441:G1441)</f>
        <v>134.73</v>
      </c>
    </row>
    <row r="1443" customHeight="1" ht="15">
      <c r="A1443" s="2" t="inlineStr"/>
      <c r="B1443" s="2" t="inlineStr"/>
      <c r="C1443" s="2" t="inlineStr"/>
      <c r="D1443" s="2" t="inlineStr"/>
      <c r="E1443" s="28" t="inlineStr">
        <is>
          <r>
            <t xml:space="preserve">VALOR:</t>
          </r>
        </is>
      </c>
      <c r="F1443" s="28" t="inlineStr"/>
      <c r="G1443" s="29" t="n">
        <f>ROUND(SUM(G1442),2)</f>
        <v>134.73</v>
      </c>
    </row>
    <row r="1444" customHeight="1" ht="15">
      <c r="A1444" s="2" t="inlineStr"/>
      <c r="B1444" s="2" t="inlineStr"/>
      <c r="C1444" s="2" t="inlineStr"/>
      <c r="D1444" s="2" t="inlineStr"/>
      <c r="E1444" s="28" t="inlineStr">
        <is>
          <r>
            <t xml:space="preserve">VALOR BDI:</t>
          </r>
        </is>
      </c>
      <c r="F1444" s="28" t="inlineStr"/>
      <c r="G1444" s="29" t="n">
        <f>ROUND(G1443*(0/100),2)</f>
        <v>0.0</v>
      </c>
    </row>
    <row r="1445" customHeight="1" ht="15">
      <c r="A1445" s="2" t="inlineStr"/>
      <c r="B1445" s="2" t="inlineStr"/>
      <c r="C1445" s="2" t="inlineStr"/>
      <c r="D1445" s="2" t="inlineStr"/>
      <c r="E1445" s="28" t="inlineStr">
        <is>
          <r>
            <t xml:space="preserve">VALOR COM BDI:</t>
          </r>
        </is>
      </c>
      <c r="F1445" s="28" t="inlineStr"/>
      <c r="G1445" s="29" t="n">
        <f>G1444+G1443</f>
        <v>134.73</v>
      </c>
    </row>
    <row r="1446" customHeight="1" ht="10">
      <c r="A1446" s="2" t="inlineStr"/>
      <c r="B1446" s="2" t="inlineStr"/>
      <c r="C1446" s="2" t="inlineStr"/>
      <c r="D1446" s="2" t="inlineStr"/>
      <c r="E1446" s="18" t="inlineStr"/>
      <c r="F1446" s="18" t="inlineStr"/>
      <c r="G1446" s="18" t="inlineStr"/>
    </row>
    <row r="1447" customHeight="1" ht="20">
      <c r="A1447" s="19" t="inlineStr">
        <is>
          <r>
            <t xml:space="preserve">​I10265​ MATERIAL DE OPERAÇÃO DA ESCAVADEIRA HIDRÁULICA 111HP​ (H)</t>
          </r>
        </is>
      </c>
      <c r="B1447" s="19" t="inlineStr"/>
      <c r="C1447" s="19" t="inlineStr"/>
      <c r="D1447" s="19" t="inlineStr"/>
      <c r="E1447" s="19" t="inlineStr"/>
      <c r="F1447" s="19" t="inlineStr"/>
      <c r="G1447" s="19" t="inlineStr"/>
    </row>
    <row r="1448" customHeight="1" ht="15">
      <c r="A1448" s="20" t="inlineStr">
        <is>
          <r>
            <t xml:space="preserve">Material</t>
          </r>
        </is>
      </c>
      <c r="B1448" s="20" t="inlineStr"/>
      <c r="C1448" s="21" t="inlineStr">
        <is>
          <r>
            <t xml:space="preserve">FONTE</t>
          </r>
        </is>
      </c>
      <c r="D1448" s="21" t="inlineStr">
        <is>
          <r>
            <t xml:space="preserve">UNID</t>
          </r>
        </is>
      </c>
      <c r="E1448" s="21" t="inlineStr">
        <is>
          <r>
            <t xml:space="preserve">COEFICIENTE</t>
          </r>
        </is>
      </c>
      <c r="F1448" s="21" t="inlineStr">
        <is>
          <r>
            <t xml:space="preserve">PREÇO UNITÁRIO</t>
          </r>
        </is>
      </c>
      <c r="G1448" s="21" t="inlineStr">
        <is>
          <r>
            <t xml:space="preserve">TOTAL</t>
          </r>
        </is>
      </c>
    </row>
    <row r="1449" customHeight="1" ht="15">
      <c r="A1449" s="22" t="inlineStr">
        <is>
          <r>
            <t xml:space="preserve">I2706</t>
          </r>
        </is>
      </c>
      <c r="B1449" s="23" t="inlineStr">
        <is>
          <r>
            <t xml:space="preserve">OLEO DIESEL</t>
          </r>
        </is>
      </c>
      <c r="C1449" s="22" t="inlineStr">
        <is>
          <r>
            <t xml:space="preserve">SEINFRA</t>
          </r>
        </is>
      </c>
      <c r="D1449" s="22" t="inlineStr">
        <is>
          <r>
            <t xml:space="preserve">L</t>
          </r>
        </is>
      </c>
      <c r="E1449" s="24" t="n">
        <v>16.65</v>
      </c>
      <c r="F1449" s="30" t="n">
        <v>4.99</v>
      </c>
      <c r="G1449" s="30" t="n">
        <f>ROUND(ROUND(E1449,8)*F1449,4)</f>
        <v>83.0835</v>
      </c>
    </row>
    <row r="1450" customHeight="1" ht="15">
      <c r="A1450" s="2" t="inlineStr"/>
      <c r="B1450" s="2" t="inlineStr"/>
      <c r="C1450" s="2" t="inlineStr"/>
      <c r="D1450" s="2" t="inlineStr"/>
      <c r="E1450" s="26" t="inlineStr">
        <is>
          <r>
            <t xml:space="preserve">TOTAL Material:</t>
          </r>
        </is>
      </c>
      <c r="F1450" s="26" t="inlineStr"/>
      <c r="G1450" s="31" t="n">
        <f>SUM(G1449:G1449)</f>
        <v>83.0835</v>
      </c>
    </row>
    <row r="1451" customHeight="1" ht="15">
      <c r="A1451" s="2" t="inlineStr"/>
      <c r="B1451" s="2" t="inlineStr"/>
      <c r="C1451" s="2" t="inlineStr"/>
      <c r="D1451" s="2" t="inlineStr"/>
      <c r="E1451" s="28" t="inlineStr">
        <is>
          <r>
            <t xml:space="preserve">VALOR:</t>
          </r>
        </is>
      </c>
      <c r="F1451" s="28" t="inlineStr"/>
      <c r="G1451" s="29" t="n">
        <f>ROUND(SUM(G1450),2)</f>
        <v>83.08</v>
      </c>
    </row>
    <row r="1452" customHeight="1" ht="15">
      <c r="A1452" s="2" t="inlineStr"/>
      <c r="B1452" s="2" t="inlineStr"/>
      <c r="C1452" s="2" t="inlineStr"/>
      <c r="D1452" s="2" t="inlineStr"/>
      <c r="E1452" s="28" t="inlineStr">
        <is>
          <r>
            <t xml:space="preserve">VALOR BDI:</t>
          </r>
        </is>
      </c>
      <c r="F1452" s="28" t="inlineStr"/>
      <c r="G1452" s="29" t="n">
        <f>ROUND(G1451*(0/100),2)</f>
        <v>0.0</v>
      </c>
    </row>
    <row r="1453" customHeight="1" ht="15">
      <c r="A1453" s="2" t="inlineStr"/>
      <c r="B1453" s="2" t="inlineStr"/>
      <c r="C1453" s="2" t="inlineStr"/>
      <c r="D1453" s="2" t="inlineStr"/>
      <c r="E1453" s="28" t="inlineStr">
        <is>
          <r>
            <t xml:space="preserve">VALOR COM BDI:</t>
          </r>
        </is>
      </c>
      <c r="F1453" s="28" t="inlineStr"/>
      <c r="G1453" s="29" t="n">
        <f>G1452+G1451</f>
        <v>83.08</v>
      </c>
    </row>
    <row r="1454" customHeight="1" ht="10">
      <c r="A1454" s="2" t="inlineStr"/>
      <c r="B1454" s="2" t="inlineStr"/>
      <c r="C1454" s="2" t="inlineStr"/>
      <c r="D1454" s="2" t="inlineStr"/>
      <c r="E1454" s="18" t="inlineStr"/>
      <c r="F1454" s="18" t="inlineStr"/>
      <c r="G1454" s="18" t="inlineStr"/>
    </row>
    <row r="1455" customHeight="1" ht="20">
      <c r="A1455" s="19" t="inlineStr">
        <is>
          <r>
            <t xml:space="preserve">​I2820​ MATERIAL DE OPERAÇÃO DA MOTO NIVELADORA​ (H)</t>
          </r>
        </is>
      </c>
      <c r="B1455" s="19" t="inlineStr"/>
      <c r="C1455" s="19" t="inlineStr"/>
      <c r="D1455" s="19" t="inlineStr"/>
      <c r="E1455" s="19" t="inlineStr"/>
      <c r="F1455" s="19" t="inlineStr"/>
      <c r="G1455" s="19" t="inlineStr"/>
    </row>
    <row r="1456" customHeight="1" ht="15">
      <c r="A1456" s="20" t="inlineStr">
        <is>
          <r>
            <t xml:space="preserve">Material</t>
          </r>
        </is>
      </c>
      <c r="B1456" s="20" t="inlineStr"/>
      <c r="C1456" s="21" t="inlineStr">
        <is>
          <r>
            <t xml:space="preserve">FONTE</t>
          </r>
        </is>
      </c>
      <c r="D1456" s="21" t="inlineStr">
        <is>
          <r>
            <t xml:space="preserve">UNID</t>
          </r>
        </is>
      </c>
      <c r="E1456" s="21" t="inlineStr">
        <is>
          <r>
            <t xml:space="preserve">COEFICIENTE</t>
          </r>
        </is>
      </c>
      <c r="F1456" s="21" t="inlineStr">
        <is>
          <r>
            <t xml:space="preserve">PREÇO UNITÁRIO</t>
          </r>
        </is>
      </c>
      <c r="G1456" s="21" t="inlineStr">
        <is>
          <r>
            <t xml:space="preserve">TOTAL</t>
          </r>
        </is>
      </c>
    </row>
    <row r="1457" customHeight="1" ht="15">
      <c r="A1457" s="22" t="inlineStr">
        <is>
          <r>
            <t xml:space="preserve">I2706</t>
          </r>
        </is>
      </c>
      <c r="B1457" s="23" t="inlineStr">
        <is>
          <r>
            <t xml:space="preserve">OLEO DIESEL</t>
          </r>
        </is>
      </c>
      <c r="C1457" s="22" t="inlineStr">
        <is>
          <r>
            <t xml:space="preserve">SEINFRA</t>
          </r>
        </is>
      </c>
      <c r="D1457" s="22" t="inlineStr">
        <is>
          <r>
            <t xml:space="preserve">L</t>
          </r>
        </is>
      </c>
      <c r="E1457" s="24" t="n">
        <v>21.0</v>
      </c>
      <c r="F1457" s="30" t="n">
        <v>4.99</v>
      </c>
      <c r="G1457" s="30" t="n">
        <f>ROUND(ROUND(E1457,8)*F1457,4)</f>
        <v>104.79</v>
      </c>
    </row>
    <row r="1458" customHeight="1" ht="15">
      <c r="A1458" s="2" t="inlineStr"/>
      <c r="B1458" s="2" t="inlineStr"/>
      <c r="C1458" s="2" t="inlineStr"/>
      <c r="D1458" s="2" t="inlineStr"/>
      <c r="E1458" s="26" t="inlineStr">
        <is>
          <r>
            <t xml:space="preserve">TOTAL Material:</t>
          </r>
        </is>
      </c>
      <c r="F1458" s="26" t="inlineStr"/>
      <c r="G1458" s="31" t="n">
        <f>SUM(G1457:G1457)</f>
        <v>104.79</v>
      </c>
    </row>
    <row r="1459" customHeight="1" ht="15">
      <c r="A1459" s="2" t="inlineStr"/>
      <c r="B1459" s="2" t="inlineStr"/>
      <c r="C1459" s="2" t="inlineStr"/>
      <c r="D1459" s="2" t="inlineStr"/>
      <c r="E1459" s="28" t="inlineStr">
        <is>
          <r>
            <t xml:space="preserve">VALOR:</t>
          </r>
        </is>
      </c>
      <c r="F1459" s="28" t="inlineStr"/>
      <c r="G1459" s="29" t="n">
        <f>ROUND(SUM(G1458),2)</f>
        <v>104.79</v>
      </c>
    </row>
    <row r="1460" customHeight="1" ht="15">
      <c r="A1460" s="2" t="inlineStr"/>
      <c r="B1460" s="2" t="inlineStr"/>
      <c r="C1460" s="2" t="inlineStr"/>
      <c r="D1460" s="2" t="inlineStr"/>
      <c r="E1460" s="28" t="inlineStr">
        <is>
          <r>
            <t xml:space="preserve">VALOR BDI:</t>
          </r>
        </is>
      </c>
      <c r="F1460" s="28" t="inlineStr"/>
      <c r="G1460" s="29" t="n">
        <f>ROUND(G1459*(0/100),2)</f>
        <v>0.0</v>
      </c>
    </row>
    <row r="1461" customHeight="1" ht="15">
      <c r="A1461" s="2" t="inlineStr"/>
      <c r="B1461" s="2" t="inlineStr"/>
      <c r="C1461" s="2" t="inlineStr"/>
      <c r="D1461" s="2" t="inlineStr"/>
      <c r="E1461" s="28" t="inlineStr">
        <is>
          <r>
            <t xml:space="preserve">VALOR COM BDI:</t>
          </r>
        </is>
      </c>
      <c r="F1461" s="28" t="inlineStr"/>
      <c r="G1461" s="29" t="n">
        <f>G1460+G1459</f>
        <v>104.79</v>
      </c>
    </row>
    <row r="1462" customHeight="1" ht="10">
      <c r="A1462" s="2" t="inlineStr"/>
      <c r="B1462" s="2" t="inlineStr"/>
      <c r="C1462" s="2" t="inlineStr"/>
      <c r="D1462" s="2" t="inlineStr"/>
      <c r="E1462" s="18" t="inlineStr"/>
      <c r="F1462" s="18" t="inlineStr"/>
      <c r="G1462" s="18" t="inlineStr"/>
    </row>
    <row r="1463" customHeight="1" ht="20">
      <c r="A1463" s="19" t="inlineStr">
        <is>
          <r>
            <t xml:space="preserve">​I2826​ MATERIAL DE OPERAÇÃO DA RETRO ESCAVADEIRA DE PNEUS​ (H)</t>
          </r>
        </is>
      </c>
      <c r="B1463" s="19" t="inlineStr"/>
      <c r="C1463" s="19" t="inlineStr"/>
      <c r="D1463" s="19" t="inlineStr"/>
      <c r="E1463" s="19" t="inlineStr"/>
      <c r="F1463" s="19" t="inlineStr"/>
      <c r="G1463" s="19" t="inlineStr"/>
    </row>
    <row r="1464" customHeight="1" ht="15">
      <c r="A1464" s="20" t="inlineStr">
        <is>
          <r>
            <t xml:space="preserve">Material</t>
          </r>
        </is>
      </c>
      <c r="B1464" s="20" t="inlineStr"/>
      <c r="C1464" s="21" t="inlineStr">
        <is>
          <r>
            <t xml:space="preserve">FONTE</t>
          </r>
        </is>
      </c>
      <c r="D1464" s="21" t="inlineStr">
        <is>
          <r>
            <t xml:space="preserve">UNID</t>
          </r>
        </is>
      </c>
      <c r="E1464" s="21" t="inlineStr">
        <is>
          <r>
            <t xml:space="preserve">COEFICIENTE</t>
          </r>
        </is>
      </c>
      <c r="F1464" s="21" t="inlineStr">
        <is>
          <r>
            <t xml:space="preserve">PREÇO UNITÁRIO</t>
          </r>
        </is>
      </c>
      <c r="G1464" s="21" t="inlineStr">
        <is>
          <r>
            <t xml:space="preserve">TOTAL</t>
          </r>
        </is>
      </c>
    </row>
    <row r="1465" customHeight="1" ht="15">
      <c r="A1465" s="22" t="inlineStr">
        <is>
          <r>
            <t xml:space="preserve">I2706</t>
          </r>
        </is>
      </c>
      <c r="B1465" s="23" t="inlineStr">
        <is>
          <r>
            <t xml:space="preserve">OLEO DIESEL</t>
          </r>
        </is>
      </c>
      <c r="C1465" s="22" t="inlineStr">
        <is>
          <r>
            <t xml:space="preserve">SEINFRA</t>
          </r>
        </is>
      </c>
      <c r="D1465" s="22" t="inlineStr">
        <is>
          <r>
            <t xml:space="preserve">L</t>
          </r>
        </is>
      </c>
      <c r="E1465" s="24" t="n">
        <v>11.25</v>
      </c>
      <c r="F1465" s="30" t="n">
        <v>4.99</v>
      </c>
      <c r="G1465" s="30" t="n">
        <f>ROUND(ROUND(E1465,8)*F1465,4)</f>
        <v>56.1375</v>
      </c>
    </row>
    <row r="1466" customHeight="1" ht="15">
      <c r="A1466" s="2" t="inlineStr"/>
      <c r="B1466" s="2" t="inlineStr"/>
      <c r="C1466" s="2" t="inlineStr"/>
      <c r="D1466" s="2" t="inlineStr"/>
      <c r="E1466" s="26" t="inlineStr">
        <is>
          <r>
            <t xml:space="preserve">TOTAL Material:</t>
          </r>
        </is>
      </c>
      <c r="F1466" s="26" t="inlineStr"/>
      <c r="G1466" s="31" t="n">
        <f>SUM(G1465:G1465)</f>
        <v>56.1375</v>
      </c>
    </row>
    <row r="1467" customHeight="1" ht="15">
      <c r="A1467" s="2" t="inlineStr"/>
      <c r="B1467" s="2" t="inlineStr"/>
      <c r="C1467" s="2" t="inlineStr"/>
      <c r="D1467" s="2" t="inlineStr"/>
      <c r="E1467" s="28" t="inlineStr">
        <is>
          <r>
            <t xml:space="preserve">VALOR:</t>
          </r>
        </is>
      </c>
      <c r="F1467" s="28" t="inlineStr"/>
      <c r="G1467" s="29" t="n">
        <f>ROUND(SUM(G1466),2)</f>
        <v>56.14</v>
      </c>
    </row>
    <row r="1468" customHeight="1" ht="15">
      <c r="A1468" s="2" t="inlineStr"/>
      <c r="B1468" s="2" t="inlineStr"/>
      <c r="C1468" s="2" t="inlineStr"/>
      <c r="D1468" s="2" t="inlineStr"/>
      <c r="E1468" s="28" t="inlineStr">
        <is>
          <r>
            <t xml:space="preserve">VALOR BDI:</t>
          </r>
        </is>
      </c>
      <c r="F1468" s="28" t="inlineStr"/>
      <c r="G1468" s="29" t="n">
        <f>ROUND(G1467*(0/100),2)</f>
        <v>0.0</v>
      </c>
    </row>
    <row r="1469" customHeight="1" ht="15">
      <c r="A1469" s="2" t="inlineStr"/>
      <c r="B1469" s="2" t="inlineStr"/>
      <c r="C1469" s="2" t="inlineStr"/>
      <c r="D1469" s="2" t="inlineStr"/>
      <c r="E1469" s="28" t="inlineStr">
        <is>
          <r>
            <t xml:space="preserve">VALOR COM BDI:</t>
          </r>
        </is>
      </c>
      <c r="F1469" s="28" t="inlineStr"/>
      <c r="G1469" s="29" t="n">
        <f>G1468+G1467</f>
        <v>56.14</v>
      </c>
    </row>
    <row r="1470" customHeight="1" ht="10">
      <c r="A1470" s="2" t="inlineStr"/>
      <c r="B1470" s="2" t="inlineStr"/>
      <c r="C1470" s="2" t="inlineStr"/>
      <c r="D1470" s="2" t="inlineStr"/>
      <c r="E1470" s="18" t="inlineStr"/>
      <c r="F1470" s="18" t="inlineStr"/>
      <c r="G1470" s="18" t="inlineStr"/>
    </row>
    <row r="1471" customHeight="1" ht="20">
      <c r="A1471" s="19" t="inlineStr">
        <is>
          <r>
            <t xml:space="preserve">​I2723​ MATERIAL DE OPERAÇÃO DO CAMINHÃO BASCULANTE 12M3​ (H)</t>
          </r>
        </is>
      </c>
      <c r="B1471" s="19" t="inlineStr"/>
      <c r="C1471" s="19" t="inlineStr"/>
      <c r="D1471" s="19" t="inlineStr"/>
      <c r="E1471" s="19" t="inlineStr"/>
      <c r="F1471" s="19" t="inlineStr"/>
      <c r="G1471" s="19" t="inlineStr"/>
    </row>
    <row r="1472" customHeight="1" ht="15">
      <c r="A1472" s="20" t="inlineStr">
        <is>
          <r>
            <t xml:space="preserve">Material</t>
          </r>
        </is>
      </c>
      <c r="B1472" s="20" t="inlineStr"/>
      <c r="C1472" s="21" t="inlineStr">
        <is>
          <r>
            <t xml:space="preserve">FONTE</t>
          </r>
        </is>
      </c>
      <c r="D1472" s="21" t="inlineStr">
        <is>
          <r>
            <t xml:space="preserve">UNID</t>
          </r>
        </is>
      </c>
      <c r="E1472" s="21" t="inlineStr">
        <is>
          <r>
            <t xml:space="preserve">COEFICIENTE</t>
          </r>
        </is>
      </c>
      <c r="F1472" s="21" t="inlineStr">
        <is>
          <r>
            <t xml:space="preserve">PREÇO UNITÁRIO</t>
          </r>
        </is>
      </c>
      <c r="G1472" s="21" t="inlineStr">
        <is>
          <r>
            <t xml:space="preserve">TOTAL</t>
          </r>
        </is>
      </c>
    </row>
    <row r="1473" customHeight="1" ht="15">
      <c r="A1473" s="22" t="inlineStr">
        <is>
          <r>
            <t xml:space="preserve">I2706</t>
          </r>
        </is>
      </c>
      <c r="B1473" s="23" t="inlineStr">
        <is>
          <r>
            <t xml:space="preserve">OLEO DIESEL</t>
          </r>
        </is>
      </c>
      <c r="C1473" s="22" t="inlineStr">
        <is>
          <r>
            <t xml:space="preserve">SEINFRA</t>
          </r>
        </is>
      </c>
      <c r="D1473" s="22" t="inlineStr">
        <is>
          <r>
            <t xml:space="preserve">L</t>
          </r>
        </is>
      </c>
      <c r="E1473" s="24" t="n">
        <v>18.4</v>
      </c>
      <c r="F1473" s="30" t="n">
        <v>4.99</v>
      </c>
      <c r="G1473" s="30" t="n">
        <f>ROUND(ROUND(E1473,8)*F1473,4)</f>
        <v>91.816</v>
      </c>
    </row>
    <row r="1474" customHeight="1" ht="15">
      <c r="A1474" s="2" t="inlineStr"/>
      <c r="B1474" s="2" t="inlineStr"/>
      <c r="C1474" s="2" t="inlineStr"/>
      <c r="D1474" s="2" t="inlineStr"/>
      <c r="E1474" s="26" t="inlineStr">
        <is>
          <r>
            <t xml:space="preserve">TOTAL Material:</t>
          </r>
        </is>
      </c>
      <c r="F1474" s="26" t="inlineStr"/>
      <c r="G1474" s="31" t="n">
        <f>SUM(G1473:G1473)</f>
        <v>91.816</v>
      </c>
    </row>
    <row r="1475" customHeight="1" ht="15">
      <c r="A1475" s="2" t="inlineStr"/>
      <c r="B1475" s="2" t="inlineStr"/>
      <c r="C1475" s="2" t="inlineStr"/>
      <c r="D1475" s="2" t="inlineStr"/>
      <c r="E1475" s="28" t="inlineStr">
        <is>
          <r>
            <t xml:space="preserve">VALOR:</t>
          </r>
        </is>
      </c>
      <c r="F1475" s="28" t="inlineStr"/>
      <c r="G1475" s="29" t="n">
        <f>ROUND(SUM(G1474),2)</f>
        <v>91.82</v>
      </c>
    </row>
    <row r="1476" customHeight="1" ht="15">
      <c r="A1476" s="2" t="inlineStr"/>
      <c r="B1476" s="2" t="inlineStr"/>
      <c r="C1476" s="2" t="inlineStr"/>
      <c r="D1476" s="2" t="inlineStr"/>
      <c r="E1476" s="28" t="inlineStr">
        <is>
          <r>
            <t xml:space="preserve">VALOR BDI:</t>
          </r>
        </is>
      </c>
      <c r="F1476" s="28" t="inlineStr"/>
      <c r="G1476" s="29" t="n">
        <f>ROUND(G1475*(0/100),2)</f>
        <v>0.0</v>
      </c>
    </row>
    <row r="1477" customHeight="1" ht="15">
      <c r="A1477" s="2" t="inlineStr"/>
      <c r="B1477" s="2" t="inlineStr"/>
      <c r="C1477" s="2" t="inlineStr"/>
      <c r="D1477" s="2" t="inlineStr"/>
      <c r="E1477" s="28" t="inlineStr">
        <is>
          <r>
            <t xml:space="preserve">VALOR COM BDI:</t>
          </r>
        </is>
      </c>
      <c r="F1477" s="28" t="inlineStr"/>
      <c r="G1477" s="29" t="n">
        <f>G1476+G1475</f>
        <v>91.82</v>
      </c>
    </row>
    <row r="1478" customHeight="1" ht="10">
      <c r="A1478" s="2" t="inlineStr"/>
      <c r="B1478" s="2" t="inlineStr"/>
      <c r="C1478" s="2" t="inlineStr"/>
      <c r="D1478" s="2" t="inlineStr"/>
      <c r="E1478" s="18" t="inlineStr"/>
      <c r="F1478" s="18" t="inlineStr"/>
      <c r="G1478" s="18" t="inlineStr"/>
    </row>
    <row r="1479" customHeight="1" ht="20">
      <c r="A1479" s="19" t="inlineStr">
        <is>
          <r>
            <t xml:space="preserve">​I2721​ MATERIAL DE OPERAÇÃO DO CAMINHÃO BASCULANTE 6M3​ (H)</t>
          </r>
        </is>
      </c>
      <c r="B1479" s="19" t="inlineStr"/>
      <c r="C1479" s="19" t="inlineStr"/>
      <c r="D1479" s="19" t="inlineStr"/>
      <c r="E1479" s="19" t="inlineStr"/>
      <c r="F1479" s="19" t="inlineStr"/>
      <c r="G1479" s="19" t="inlineStr"/>
    </row>
    <row r="1480" customHeight="1" ht="15">
      <c r="A1480" s="20" t="inlineStr">
        <is>
          <r>
            <t xml:space="preserve">Material</t>
          </r>
        </is>
      </c>
      <c r="B1480" s="20" t="inlineStr"/>
      <c r="C1480" s="21" t="inlineStr">
        <is>
          <r>
            <t xml:space="preserve">FONTE</t>
          </r>
        </is>
      </c>
      <c r="D1480" s="21" t="inlineStr">
        <is>
          <r>
            <t xml:space="preserve">UNID</t>
          </r>
        </is>
      </c>
      <c r="E1480" s="21" t="inlineStr">
        <is>
          <r>
            <t xml:space="preserve">COEFICIENTE</t>
          </r>
        </is>
      </c>
      <c r="F1480" s="21" t="inlineStr">
        <is>
          <r>
            <t xml:space="preserve">PREÇO UNITÁRIO</t>
          </r>
        </is>
      </c>
      <c r="G1480" s="21" t="inlineStr">
        <is>
          <r>
            <t xml:space="preserve">TOTAL</t>
          </r>
        </is>
      </c>
    </row>
    <row r="1481" customHeight="1" ht="15">
      <c r="A1481" s="22" t="inlineStr">
        <is>
          <r>
            <t xml:space="preserve">I2706</t>
          </r>
        </is>
      </c>
      <c r="B1481" s="23" t="inlineStr">
        <is>
          <r>
            <t xml:space="preserve">OLEO DIESEL</t>
          </r>
        </is>
      </c>
      <c r="C1481" s="22" t="inlineStr">
        <is>
          <r>
            <t xml:space="preserve">SEINFRA</t>
          </r>
        </is>
      </c>
      <c r="D1481" s="22" t="inlineStr">
        <is>
          <r>
            <t xml:space="preserve">L</t>
          </r>
        </is>
      </c>
      <c r="E1481" s="24" t="n">
        <v>13.6</v>
      </c>
      <c r="F1481" s="30" t="n">
        <v>4.99</v>
      </c>
      <c r="G1481" s="30" t="n">
        <f>ROUND(ROUND(E1481,8)*F1481,4)</f>
        <v>67.864</v>
      </c>
    </row>
    <row r="1482" customHeight="1" ht="15">
      <c r="A1482" s="2" t="inlineStr"/>
      <c r="B1482" s="2" t="inlineStr"/>
      <c r="C1482" s="2" t="inlineStr"/>
      <c r="D1482" s="2" t="inlineStr"/>
      <c r="E1482" s="26" t="inlineStr">
        <is>
          <r>
            <t xml:space="preserve">TOTAL Material:</t>
          </r>
        </is>
      </c>
      <c r="F1482" s="26" t="inlineStr"/>
      <c r="G1482" s="31" t="n">
        <f>SUM(G1481:G1481)</f>
        <v>67.864</v>
      </c>
    </row>
    <row r="1483" customHeight="1" ht="15">
      <c r="A1483" s="2" t="inlineStr"/>
      <c r="B1483" s="2" t="inlineStr"/>
      <c r="C1483" s="2" t="inlineStr"/>
      <c r="D1483" s="2" t="inlineStr"/>
      <c r="E1483" s="28" t="inlineStr">
        <is>
          <r>
            <t xml:space="preserve">VALOR:</t>
          </r>
        </is>
      </c>
      <c r="F1483" s="28" t="inlineStr"/>
      <c r="G1483" s="29" t="n">
        <f>ROUND(SUM(G1482),2)</f>
        <v>67.86</v>
      </c>
    </row>
    <row r="1484" customHeight="1" ht="15">
      <c r="A1484" s="2" t="inlineStr"/>
      <c r="B1484" s="2" t="inlineStr"/>
      <c r="C1484" s="2" t="inlineStr"/>
      <c r="D1484" s="2" t="inlineStr"/>
      <c r="E1484" s="28" t="inlineStr">
        <is>
          <r>
            <t xml:space="preserve">VALOR BDI:</t>
          </r>
        </is>
      </c>
      <c r="F1484" s="28" t="inlineStr"/>
      <c r="G1484" s="29" t="n">
        <f>ROUND(G1483*(0/100),2)</f>
        <v>0.0</v>
      </c>
    </row>
    <row r="1485" customHeight="1" ht="15">
      <c r="A1485" s="2" t="inlineStr"/>
      <c r="B1485" s="2" t="inlineStr"/>
      <c r="C1485" s="2" t="inlineStr"/>
      <c r="D1485" s="2" t="inlineStr"/>
      <c r="E1485" s="28" t="inlineStr">
        <is>
          <r>
            <t xml:space="preserve">VALOR COM BDI:</t>
          </r>
        </is>
      </c>
      <c r="F1485" s="28" t="inlineStr"/>
      <c r="G1485" s="29" t="n">
        <f>G1484+G1483</f>
        <v>67.86</v>
      </c>
    </row>
    <row r="1486" customHeight="1" ht="10">
      <c r="A1486" s="2" t="inlineStr"/>
      <c r="B1486" s="2" t="inlineStr"/>
      <c r="C1486" s="2" t="inlineStr"/>
      <c r="D1486" s="2" t="inlineStr"/>
      <c r="E1486" s="18" t="inlineStr"/>
      <c r="F1486" s="18" t="inlineStr"/>
      <c r="G1486" s="18" t="inlineStr"/>
    </row>
    <row r="1487" customHeight="1" ht="20">
      <c r="A1487" s="19" t="inlineStr">
        <is>
          <r>
            <t xml:space="preserve">​I2729​ MATERIAL DE OPERAÇÃO DO CAMINHÃO C/ CARROCERIA DE MADEIRA (136 HP)​ (H)</t>
          </r>
        </is>
      </c>
      <c r="B1487" s="19" t="inlineStr"/>
      <c r="C1487" s="19" t="inlineStr"/>
      <c r="D1487" s="19" t="inlineStr"/>
      <c r="E1487" s="19" t="inlineStr"/>
      <c r="F1487" s="19" t="inlineStr"/>
      <c r="G1487" s="19" t="inlineStr"/>
    </row>
    <row r="1488" customHeight="1" ht="15">
      <c r="A1488" s="20" t="inlineStr">
        <is>
          <r>
            <t xml:space="preserve">Material</t>
          </r>
        </is>
      </c>
      <c r="B1488" s="20" t="inlineStr"/>
      <c r="C1488" s="21" t="inlineStr">
        <is>
          <r>
            <t xml:space="preserve">FONTE</t>
          </r>
        </is>
      </c>
      <c r="D1488" s="21" t="inlineStr">
        <is>
          <r>
            <t xml:space="preserve">UNID</t>
          </r>
        </is>
      </c>
      <c r="E1488" s="21" t="inlineStr">
        <is>
          <r>
            <t xml:space="preserve">COEFICIENTE</t>
          </r>
        </is>
      </c>
      <c r="F1488" s="21" t="inlineStr">
        <is>
          <r>
            <t xml:space="preserve">PREÇO UNITÁRIO</t>
          </r>
        </is>
      </c>
      <c r="G1488" s="21" t="inlineStr">
        <is>
          <r>
            <t xml:space="preserve">TOTAL</t>
          </r>
        </is>
      </c>
    </row>
    <row r="1489" customHeight="1" ht="15">
      <c r="A1489" s="22" t="inlineStr">
        <is>
          <r>
            <t xml:space="preserve">I2706</t>
          </r>
        </is>
      </c>
      <c r="B1489" s="23" t="inlineStr">
        <is>
          <r>
            <t xml:space="preserve">OLEO DIESEL</t>
          </r>
        </is>
      </c>
      <c r="C1489" s="22" t="inlineStr">
        <is>
          <r>
            <t xml:space="preserve">SEINFRA</t>
          </r>
        </is>
      </c>
      <c r="D1489" s="22" t="inlineStr">
        <is>
          <r>
            <t xml:space="preserve">L</t>
          </r>
        </is>
      </c>
      <c r="E1489" s="24" t="n">
        <v>13.6</v>
      </c>
      <c r="F1489" s="30" t="n">
        <v>4.99</v>
      </c>
      <c r="G1489" s="30" t="n">
        <f>ROUND(ROUND(E1489,8)*F1489,4)</f>
        <v>67.864</v>
      </c>
    </row>
    <row r="1490" customHeight="1" ht="15">
      <c r="A1490" s="2" t="inlineStr"/>
      <c r="B1490" s="2" t="inlineStr"/>
      <c r="C1490" s="2" t="inlineStr"/>
      <c r="D1490" s="2" t="inlineStr"/>
      <c r="E1490" s="26" t="inlineStr">
        <is>
          <r>
            <t xml:space="preserve">TOTAL Material:</t>
          </r>
        </is>
      </c>
      <c r="F1490" s="26" t="inlineStr"/>
      <c r="G1490" s="31" t="n">
        <f>SUM(G1489:G1489)</f>
        <v>67.864</v>
      </c>
    </row>
    <row r="1491" customHeight="1" ht="15">
      <c r="A1491" s="2" t="inlineStr"/>
      <c r="B1491" s="2" t="inlineStr"/>
      <c r="C1491" s="2" t="inlineStr"/>
      <c r="D1491" s="2" t="inlineStr"/>
      <c r="E1491" s="28" t="inlineStr">
        <is>
          <r>
            <t xml:space="preserve">VALOR:</t>
          </r>
        </is>
      </c>
      <c r="F1491" s="28" t="inlineStr"/>
      <c r="G1491" s="29" t="n">
        <f>ROUND(SUM(G1490),2)</f>
        <v>67.86</v>
      </c>
    </row>
    <row r="1492" customHeight="1" ht="15">
      <c r="A1492" s="2" t="inlineStr"/>
      <c r="B1492" s="2" t="inlineStr"/>
      <c r="C1492" s="2" t="inlineStr"/>
      <c r="D1492" s="2" t="inlineStr"/>
      <c r="E1492" s="28" t="inlineStr">
        <is>
          <r>
            <t xml:space="preserve">VALOR BDI:</t>
          </r>
        </is>
      </c>
      <c r="F1492" s="28" t="inlineStr"/>
      <c r="G1492" s="29" t="n">
        <f>ROUND(G1491*(0/100),2)</f>
        <v>0.0</v>
      </c>
    </row>
    <row r="1493" customHeight="1" ht="15">
      <c r="A1493" s="2" t="inlineStr"/>
      <c r="B1493" s="2" t="inlineStr"/>
      <c r="C1493" s="2" t="inlineStr"/>
      <c r="D1493" s="2" t="inlineStr"/>
      <c r="E1493" s="28" t="inlineStr">
        <is>
          <r>
            <t xml:space="preserve">VALOR COM BDI:</t>
          </r>
        </is>
      </c>
      <c r="F1493" s="28" t="inlineStr"/>
      <c r="G1493" s="29" t="n">
        <f>G1492+G1491</f>
        <v>67.86</v>
      </c>
    </row>
    <row r="1494" customHeight="1" ht="10">
      <c r="A1494" s="2" t="inlineStr"/>
      <c r="B1494" s="2" t="inlineStr"/>
      <c r="C1494" s="2" t="inlineStr"/>
      <c r="D1494" s="2" t="inlineStr"/>
      <c r="E1494" s="18" t="inlineStr"/>
      <c r="F1494" s="18" t="inlineStr"/>
      <c r="G1494" s="18" t="inlineStr"/>
    </row>
    <row r="1495" customHeight="1" ht="20">
      <c r="A1495" s="19" t="inlineStr">
        <is>
          <r>
            <t xml:space="preserve">​I2731​ MATERIAL DE OPERAÇÃO DO CAMINHÃO C/ CARROCERIA DE MADEIRA (184 HP)​ (H)</t>
          </r>
        </is>
      </c>
      <c r="B1495" s="19" t="inlineStr"/>
      <c r="C1495" s="19" t="inlineStr"/>
      <c r="D1495" s="19" t="inlineStr"/>
      <c r="E1495" s="19" t="inlineStr"/>
      <c r="F1495" s="19" t="inlineStr"/>
      <c r="G1495" s="19" t="inlineStr"/>
    </row>
    <row r="1496" customHeight="1" ht="15">
      <c r="A1496" s="20" t="inlineStr">
        <is>
          <r>
            <t xml:space="preserve">Material</t>
          </r>
        </is>
      </c>
      <c r="B1496" s="20" t="inlineStr"/>
      <c r="C1496" s="21" t="inlineStr">
        <is>
          <r>
            <t xml:space="preserve">FONTE</t>
          </r>
        </is>
      </c>
      <c r="D1496" s="21" t="inlineStr">
        <is>
          <r>
            <t xml:space="preserve">UNID</t>
          </r>
        </is>
      </c>
      <c r="E1496" s="21" t="inlineStr">
        <is>
          <r>
            <t xml:space="preserve">COEFICIENTE</t>
          </r>
        </is>
      </c>
      <c r="F1496" s="21" t="inlineStr">
        <is>
          <r>
            <t xml:space="preserve">PREÇO UNITÁRIO</t>
          </r>
        </is>
      </c>
      <c r="G1496" s="21" t="inlineStr">
        <is>
          <r>
            <t xml:space="preserve">TOTAL</t>
          </r>
        </is>
      </c>
    </row>
    <row r="1497" customHeight="1" ht="15">
      <c r="A1497" s="22" t="inlineStr">
        <is>
          <r>
            <t xml:space="preserve">I2706</t>
          </r>
        </is>
      </c>
      <c r="B1497" s="23" t="inlineStr">
        <is>
          <r>
            <t xml:space="preserve">OLEO DIESEL</t>
          </r>
        </is>
      </c>
      <c r="C1497" s="22" t="inlineStr">
        <is>
          <r>
            <t xml:space="preserve">SEINFRA</t>
          </r>
        </is>
      </c>
      <c r="D1497" s="22" t="inlineStr">
        <is>
          <r>
            <t xml:space="preserve">L</t>
          </r>
        </is>
      </c>
      <c r="E1497" s="24" t="n">
        <v>18.4</v>
      </c>
      <c r="F1497" s="30" t="n">
        <v>4.99</v>
      </c>
      <c r="G1497" s="30" t="n">
        <f>ROUND(ROUND(E1497,8)*F1497,4)</f>
        <v>91.816</v>
      </c>
    </row>
    <row r="1498" customHeight="1" ht="15">
      <c r="A1498" s="2" t="inlineStr"/>
      <c r="B1498" s="2" t="inlineStr"/>
      <c r="C1498" s="2" t="inlineStr"/>
      <c r="D1498" s="2" t="inlineStr"/>
      <c r="E1498" s="26" t="inlineStr">
        <is>
          <r>
            <t xml:space="preserve">TOTAL Material:</t>
          </r>
        </is>
      </c>
      <c r="F1498" s="26" t="inlineStr"/>
      <c r="G1498" s="31" t="n">
        <f>SUM(G1497:G1497)</f>
        <v>91.816</v>
      </c>
    </row>
    <row r="1499" customHeight="1" ht="15">
      <c r="A1499" s="2" t="inlineStr"/>
      <c r="B1499" s="2" t="inlineStr"/>
      <c r="C1499" s="2" t="inlineStr"/>
      <c r="D1499" s="2" t="inlineStr"/>
      <c r="E1499" s="28" t="inlineStr">
        <is>
          <r>
            <t xml:space="preserve">VALOR:</t>
          </r>
        </is>
      </c>
      <c r="F1499" s="28" t="inlineStr"/>
      <c r="G1499" s="29" t="n">
        <f>ROUND(SUM(G1498),2)</f>
        <v>91.82</v>
      </c>
    </row>
    <row r="1500" customHeight="1" ht="15">
      <c r="A1500" s="2" t="inlineStr"/>
      <c r="B1500" s="2" t="inlineStr"/>
      <c r="C1500" s="2" t="inlineStr"/>
      <c r="D1500" s="2" t="inlineStr"/>
      <c r="E1500" s="28" t="inlineStr">
        <is>
          <r>
            <t xml:space="preserve">VALOR BDI:</t>
          </r>
        </is>
      </c>
      <c r="F1500" s="28" t="inlineStr"/>
      <c r="G1500" s="29" t="n">
        <f>ROUND(G1499*(0/100),2)</f>
        <v>0.0</v>
      </c>
    </row>
    <row r="1501" customHeight="1" ht="15">
      <c r="A1501" s="2" t="inlineStr"/>
      <c r="B1501" s="2" t="inlineStr"/>
      <c r="C1501" s="2" t="inlineStr"/>
      <c r="D1501" s="2" t="inlineStr"/>
      <c r="E1501" s="28" t="inlineStr">
        <is>
          <r>
            <t xml:space="preserve">VALOR COM BDI:</t>
          </r>
        </is>
      </c>
      <c r="F1501" s="28" t="inlineStr"/>
      <c r="G1501" s="29" t="n">
        <f>G1500+G1499</f>
        <v>91.82</v>
      </c>
    </row>
    <row r="1502" customHeight="1" ht="10">
      <c r="A1502" s="2" t="inlineStr"/>
      <c r="B1502" s="2" t="inlineStr"/>
      <c r="C1502" s="2" t="inlineStr"/>
      <c r="D1502" s="2" t="inlineStr"/>
      <c r="E1502" s="18" t="inlineStr"/>
      <c r="F1502" s="18" t="inlineStr"/>
      <c r="G1502" s="18" t="inlineStr"/>
    </row>
    <row r="1503" customHeight="1" ht="20">
      <c r="A1503" s="19" t="inlineStr">
        <is>
          <r>
            <t xml:space="preserve">​I2733​ MATERIAL DE OPERAÇÃO DO CAMINHÃO COMERC. EQUIP. C/ GUINDAUTO​ (H)</t>
          </r>
        </is>
      </c>
      <c r="B1503" s="19" t="inlineStr"/>
      <c r="C1503" s="19" t="inlineStr"/>
      <c r="D1503" s="19" t="inlineStr"/>
      <c r="E1503" s="19" t="inlineStr"/>
      <c r="F1503" s="19" t="inlineStr"/>
      <c r="G1503" s="19" t="inlineStr"/>
    </row>
    <row r="1504" customHeight="1" ht="15">
      <c r="A1504" s="20" t="inlineStr">
        <is>
          <r>
            <t xml:space="preserve">Material</t>
          </r>
        </is>
      </c>
      <c r="B1504" s="20" t="inlineStr"/>
      <c r="C1504" s="21" t="inlineStr">
        <is>
          <r>
            <t xml:space="preserve">FONTE</t>
          </r>
        </is>
      </c>
      <c r="D1504" s="21" t="inlineStr">
        <is>
          <r>
            <t xml:space="preserve">UNID</t>
          </r>
        </is>
      </c>
      <c r="E1504" s="21" t="inlineStr">
        <is>
          <r>
            <t xml:space="preserve">COEFICIENTE</t>
          </r>
        </is>
      </c>
      <c r="F1504" s="21" t="inlineStr">
        <is>
          <r>
            <t xml:space="preserve">PREÇO UNITÁRIO</t>
          </r>
        </is>
      </c>
      <c r="G1504" s="21" t="inlineStr">
        <is>
          <r>
            <t xml:space="preserve">TOTAL</t>
          </r>
        </is>
      </c>
    </row>
    <row r="1505" customHeight="1" ht="15">
      <c r="A1505" s="22" t="inlineStr">
        <is>
          <r>
            <t xml:space="preserve">I2706</t>
          </r>
        </is>
      </c>
      <c r="B1505" s="23" t="inlineStr">
        <is>
          <r>
            <t xml:space="preserve">OLEO DIESEL</t>
          </r>
        </is>
      </c>
      <c r="C1505" s="22" t="inlineStr">
        <is>
          <r>
            <t xml:space="preserve">SEINFRA</t>
          </r>
        </is>
      </c>
      <c r="D1505" s="22" t="inlineStr">
        <is>
          <r>
            <t xml:space="preserve">L</t>
          </r>
        </is>
      </c>
      <c r="E1505" s="24" t="n">
        <v>13.6</v>
      </c>
      <c r="F1505" s="30" t="n">
        <v>4.99</v>
      </c>
      <c r="G1505" s="30" t="n">
        <f>ROUND(ROUND(E1505,8)*F1505,4)</f>
        <v>67.864</v>
      </c>
    </row>
    <row r="1506" customHeight="1" ht="15">
      <c r="A1506" s="2" t="inlineStr"/>
      <c r="B1506" s="2" t="inlineStr"/>
      <c r="C1506" s="2" t="inlineStr"/>
      <c r="D1506" s="2" t="inlineStr"/>
      <c r="E1506" s="26" t="inlineStr">
        <is>
          <r>
            <t xml:space="preserve">TOTAL Material:</t>
          </r>
        </is>
      </c>
      <c r="F1506" s="26" t="inlineStr"/>
      <c r="G1506" s="31" t="n">
        <f>SUM(G1505:G1505)</f>
        <v>67.864</v>
      </c>
    </row>
    <row r="1507" customHeight="1" ht="15">
      <c r="A1507" s="2" t="inlineStr"/>
      <c r="B1507" s="2" t="inlineStr"/>
      <c r="C1507" s="2" t="inlineStr"/>
      <c r="D1507" s="2" t="inlineStr"/>
      <c r="E1507" s="28" t="inlineStr">
        <is>
          <r>
            <t xml:space="preserve">VALOR:</t>
          </r>
        </is>
      </c>
      <c r="F1507" s="28" t="inlineStr"/>
      <c r="G1507" s="29" t="n">
        <f>ROUND(SUM(G1506),2)</f>
        <v>67.86</v>
      </c>
    </row>
    <row r="1508" customHeight="1" ht="15">
      <c r="A1508" s="2" t="inlineStr"/>
      <c r="B1508" s="2" t="inlineStr"/>
      <c r="C1508" s="2" t="inlineStr"/>
      <c r="D1508" s="2" t="inlineStr"/>
      <c r="E1508" s="28" t="inlineStr">
        <is>
          <r>
            <t xml:space="preserve">VALOR BDI:</t>
          </r>
        </is>
      </c>
      <c r="F1508" s="28" t="inlineStr"/>
      <c r="G1508" s="29" t="n">
        <f>ROUND(G1507*(0/100),2)</f>
        <v>0.0</v>
      </c>
    </row>
    <row r="1509" customHeight="1" ht="15">
      <c r="A1509" s="2" t="inlineStr"/>
      <c r="B1509" s="2" t="inlineStr"/>
      <c r="C1509" s="2" t="inlineStr"/>
      <c r="D1509" s="2" t="inlineStr"/>
      <c r="E1509" s="28" t="inlineStr">
        <is>
          <r>
            <t xml:space="preserve">VALOR COM BDI:</t>
          </r>
        </is>
      </c>
      <c r="F1509" s="28" t="inlineStr"/>
      <c r="G1509" s="29" t="n">
        <f>G1508+G1507</f>
        <v>67.86</v>
      </c>
    </row>
    <row r="1510" customHeight="1" ht="10">
      <c r="A1510" s="2" t="inlineStr"/>
      <c r="B1510" s="2" t="inlineStr"/>
      <c r="C1510" s="2" t="inlineStr"/>
      <c r="D1510" s="2" t="inlineStr"/>
      <c r="E1510" s="18" t="inlineStr"/>
      <c r="F1510" s="18" t="inlineStr"/>
      <c r="G1510" s="18" t="inlineStr"/>
    </row>
    <row r="1511" customHeight="1" ht="20">
      <c r="A1511" s="19" t="inlineStr">
        <is>
          <r>
            <t xml:space="preserve">​I2743​ MATERIAL DE OPERAÇÃO DO CAMINHÃO TANQUE 6.000 L​ (H)</t>
          </r>
        </is>
      </c>
      <c r="B1511" s="19" t="inlineStr"/>
      <c r="C1511" s="19" t="inlineStr"/>
      <c r="D1511" s="19" t="inlineStr"/>
      <c r="E1511" s="19" t="inlineStr"/>
      <c r="F1511" s="19" t="inlineStr"/>
      <c r="G1511" s="19" t="inlineStr"/>
    </row>
    <row r="1512" customHeight="1" ht="15">
      <c r="A1512" s="20" t="inlineStr">
        <is>
          <r>
            <t xml:space="preserve">Material</t>
          </r>
        </is>
      </c>
      <c r="B1512" s="20" t="inlineStr"/>
      <c r="C1512" s="21" t="inlineStr">
        <is>
          <r>
            <t xml:space="preserve">FONTE</t>
          </r>
        </is>
      </c>
      <c r="D1512" s="21" t="inlineStr">
        <is>
          <r>
            <t xml:space="preserve">UNID</t>
          </r>
        </is>
      </c>
      <c r="E1512" s="21" t="inlineStr">
        <is>
          <r>
            <t xml:space="preserve">COEFICIENTE</t>
          </r>
        </is>
      </c>
      <c r="F1512" s="21" t="inlineStr">
        <is>
          <r>
            <t xml:space="preserve">PREÇO UNITÁRIO</t>
          </r>
        </is>
      </c>
      <c r="G1512" s="21" t="inlineStr">
        <is>
          <r>
            <t xml:space="preserve">TOTAL</t>
          </r>
        </is>
      </c>
    </row>
    <row r="1513" customHeight="1" ht="15">
      <c r="A1513" s="22" t="inlineStr">
        <is>
          <r>
            <t xml:space="preserve">I2706</t>
          </r>
        </is>
      </c>
      <c r="B1513" s="23" t="inlineStr">
        <is>
          <r>
            <t xml:space="preserve">OLEO DIESEL</t>
          </r>
        </is>
      </c>
      <c r="C1513" s="22" t="inlineStr">
        <is>
          <r>
            <t xml:space="preserve">SEINFRA</t>
          </r>
        </is>
      </c>
      <c r="D1513" s="22" t="inlineStr">
        <is>
          <r>
            <t xml:space="preserve">L</t>
          </r>
        </is>
      </c>
      <c r="E1513" s="24" t="n">
        <v>13.6</v>
      </c>
      <c r="F1513" s="30" t="n">
        <v>4.99</v>
      </c>
      <c r="G1513" s="30" t="n">
        <f>ROUND(ROUND(E1513,8)*F1513,4)</f>
        <v>67.864</v>
      </c>
    </row>
    <row r="1514" customHeight="1" ht="15">
      <c r="A1514" s="2" t="inlineStr"/>
      <c r="B1514" s="2" t="inlineStr"/>
      <c r="C1514" s="2" t="inlineStr"/>
      <c r="D1514" s="2" t="inlineStr"/>
      <c r="E1514" s="26" t="inlineStr">
        <is>
          <r>
            <t xml:space="preserve">TOTAL Material:</t>
          </r>
        </is>
      </c>
      <c r="F1514" s="26" t="inlineStr"/>
      <c r="G1514" s="31" t="n">
        <f>SUM(G1513:G1513)</f>
        <v>67.864</v>
      </c>
    </row>
    <row r="1515" customHeight="1" ht="15">
      <c r="A1515" s="2" t="inlineStr"/>
      <c r="B1515" s="2" t="inlineStr"/>
      <c r="C1515" s="2" t="inlineStr"/>
      <c r="D1515" s="2" t="inlineStr"/>
      <c r="E1515" s="28" t="inlineStr">
        <is>
          <r>
            <t xml:space="preserve">VALOR:</t>
          </r>
        </is>
      </c>
      <c r="F1515" s="28" t="inlineStr"/>
      <c r="G1515" s="29" t="n">
        <f>ROUND(SUM(G1514),2)</f>
        <v>67.86</v>
      </c>
    </row>
    <row r="1516" customHeight="1" ht="15">
      <c r="A1516" s="2" t="inlineStr"/>
      <c r="B1516" s="2" t="inlineStr"/>
      <c r="C1516" s="2" t="inlineStr"/>
      <c r="D1516" s="2" t="inlineStr"/>
      <c r="E1516" s="28" t="inlineStr">
        <is>
          <r>
            <t xml:space="preserve">VALOR BDI:</t>
          </r>
        </is>
      </c>
      <c r="F1516" s="28" t="inlineStr"/>
      <c r="G1516" s="29" t="n">
        <f>ROUND(G1515*(0/100),2)</f>
        <v>0.0</v>
      </c>
    </row>
    <row r="1517" customHeight="1" ht="15">
      <c r="A1517" s="2" t="inlineStr"/>
      <c r="B1517" s="2" t="inlineStr"/>
      <c r="C1517" s="2" t="inlineStr"/>
      <c r="D1517" s="2" t="inlineStr"/>
      <c r="E1517" s="28" t="inlineStr">
        <is>
          <r>
            <t xml:space="preserve">VALOR COM BDI:</t>
          </r>
        </is>
      </c>
      <c r="F1517" s="28" t="inlineStr"/>
      <c r="G1517" s="29" t="n">
        <f>G1516+G1515</f>
        <v>67.86</v>
      </c>
    </row>
    <row r="1518" customHeight="1" ht="10">
      <c r="A1518" s="2" t="inlineStr"/>
      <c r="B1518" s="2" t="inlineStr"/>
      <c r="C1518" s="2" t="inlineStr"/>
      <c r="D1518" s="2" t="inlineStr"/>
      <c r="E1518" s="18" t="inlineStr"/>
      <c r="F1518" s="18" t="inlineStr"/>
      <c r="G1518" s="18" t="inlineStr"/>
    </row>
    <row r="1519" customHeight="1" ht="20">
      <c r="A1519" s="19" t="inlineStr">
        <is>
          <r>
            <t xml:space="preserve">​I2745​ MATERIAL DE OPERAÇÃO DO CAMINHÃO TANQUE 8.000 L​ (H)</t>
          </r>
        </is>
      </c>
      <c r="B1519" s="19" t="inlineStr"/>
      <c r="C1519" s="19" t="inlineStr"/>
      <c r="D1519" s="19" t="inlineStr"/>
      <c r="E1519" s="19" t="inlineStr"/>
      <c r="F1519" s="19" t="inlineStr"/>
      <c r="G1519" s="19" t="inlineStr"/>
    </row>
    <row r="1520" customHeight="1" ht="15">
      <c r="A1520" s="20" t="inlineStr">
        <is>
          <r>
            <t xml:space="preserve">Material</t>
          </r>
        </is>
      </c>
      <c r="B1520" s="20" t="inlineStr"/>
      <c r="C1520" s="21" t="inlineStr">
        <is>
          <r>
            <t xml:space="preserve">FONTE</t>
          </r>
        </is>
      </c>
      <c r="D1520" s="21" t="inlineStr">
        <is>
          <r>
            <t xml:space="preserve">UNID</t>
          </r>
        </is>
      </c>
      <c r="E1520" s="21" t="inlineStr">
        <is>
          <r>
            <t xml:space="preserve">COEFICIENTE</t>
          </r>
        </is>
      </c>
      <c r="F1520" s="21" t="inlineStr">
        <is>
          <r>
            <t xml:space="preserve">PREÇO UNITÁRIO</t>
          </r>
        </is>
      </c>
      <c r="G1520" s="21" t="inlineStr">
        <is>
          <r>
            <t xml:space="preserve">TOTAL</t>
          </r>
        </is>
      </c>
    </row>
    <row r="1521" customHeight="1" ht="15">
      <c r="A1521" s="22" t="inlineStr">
        <is>
          <r>
            <t xml:space="preserve">I2706</t>
          </r>
        </is>
      </c>
      <c r="B1521" s="23" t="inlineStr">
        <is>
          <r>
            <t xml:space="preserve">OLEO DIESEL</t>
          </r>
        </is>
      </c>
      <c r="C1521" s="22" t="inlineStr">
        <is>
          <r>
            <t xml:space="preserve">SEINFRA</t>
          </r>
        </is>
      </c>
      <c r="D1521" s="22" t="inlineStr">
        <is>
          <r>
            <t xml:space="preserve">L</t>
          </r>
        </is>
      </c>
      <c r="E1521" s="24" t="n">
        <v>18.4</v>
      </c>
      <c r="F1521" s="30" t="n">
        <v>4.99</v>
      </c>
      <c r="G1521" s="30" t="n">
        <f>ROUND(ROUND(E1521,8)*F1521,4)</f>
        <v>91.816</v>
      </c>
    </row>
    <row r="1522" customHeight="1" ht="15">
      <c r="A1522" s="2" t="inlineStr"/>
      <c r="B1522" s="2" t="inlineStr"/>
      <c r="C1522" s="2" t="inlineStr"/>
      <c r="D1522" s="2" t="inlineStr"/>
      <c r="E1522" s="26" t="inlineStr">
        <is>
          <r>
            <t xml:space="preserve">TOTAL Material:</t>
          </r>
        </is>
      </c>
      <c r="F1522" s="26" t="inlineStr"/>
      <c r="G1522" s="31" t="n">
        <f>SUM(G1521:G1521)</f>
        <v>91.816</v>
      </c>
    </row>
    <row r="1523" customHeight="1" ht="15">
      <c r="A1523" s="2" t="inlineStr"/>
      <c r="B1523" s="2" t="inlineStr"/>
      <c r="C1523" s="2" t="inlineStr"/>
      <c r="D1523" s="2" t="inlineStr"/>
      <c r="E1523" s="28" t="inlineStr">
        <is>
          <r>
            <t xml:space="preserve">VALOR:</t>
          </r>
        </is>
      </c>
      <c r="F1523" s="28" t="inlineStr"/>
      <c r="G1523" s="29" t="n">
        <f>ROUND(SUM(G1522),2)</f>
        <v>91.82</v>
      </c>
    </row>
    <row r="1524" customHeight="1" ht="15">
      <c r="A1524" s="2" t="inlineStr"/>
      <c r="B1524" s="2" t="inlineStr"/>
      <c r="C1524" s="2" t="inlineStr"/>
      <c r="D1524" s="2" t="inlineStr"/>
      <c r="E1524" s="28" t="inlineStr">
        <is>
          <r>
            <t xml:space="preserve">VALOR BDI:</t>
          </r>
        </is>
      </c>
      <c r="F1524" s="28" t="inlineStr"/>
      <c r="G1524" s="29" t="n">
        <f>ROUND(G1523*(0/100),2)</f>
        <v>0.0</v>
      </c>
    </row>
    <row r="1525" customHeight="1" ht="15">
      <c r="A1525" s="2" t="inlineStr"/>
      <c r="B1525" s="2" t="inlineStr"/>
      <c r="C1525" s="2" t="inlineStr"/>
      <c r="D1525" s="2" t="inlineStr"/>
      <c r="E1525" s="28" t="inlineStr">
        <is>
          <r>
            <t xml:space="preserve">VALOR COM BDI:</t>
          </r>
        </is>
      </c>
      <c r="F1525" s="28" t="inlineStr"/>
      <c r="G1525" s="29" t="n">
        <f>G1524+G1523</f>
        <v>91.82</v>
      </c>
    </row>
    <row r="1526" customHeight="1" ht="10">
      <c r="A1526" s="2" t="inlineStr"/>
      <c r="B1526" s="2" t="inlineStr"/>
      <c r="C1526" s="2" t="inlineStr"/>
      <c r="D1526" s="2" t="inlineStr"/>
      <c r="E1526" s="18" t="inlineStr"/>
      <c r="F1526" s="18" t="inlineStr"/>
      <c r="G1526" s="18" t="inlineStr"/>
    </row>
    <row r="1527" customHeight="1" ht="20">
      <c r="A1527" s="19" t="inlineStr">
        <is>
          <r>
            <t xml:space="preserve">​I2767​ MATERIAL DE OPERAÇÃO DO COMPAC. DE PNEUS PRES. VAR. AUTOPR.​ (H)</t>
          </r>
        </is>
      </c>
      <c r="B1527" s="19" t="inlineStr"/>
      <c r="C1527" s="19" t="inlineStr"/>
      <c r="D1527" s="19" t="inlineStr"/>
      <c r="E1527" s="19" t="inlineStr"/>
      <c r="F1527" s="19" t="inlineStr"/>
      <c r="G1527" s="19" t="inlineStr"/>
    </row>
    <row r="1528" customHeight="1" ht="15">
      <c r="A1528" s="20" t="inlineStr">
        <is>
          <r>
            <t xml:space="preserve">Material</t>
          </r>
        </is>
      </c>
      <c r="B1528" s="20" t="inlineStr"/>
      <c r="C1528" s="21" t="inlineStr">
        <is>
          <r>
            <t xml:space="preserve">FONTE</t>
          </r>
        </is>
      </c>
      <c r="D1528" s="21" t="inlineStr">
        <is>
          <r>
            <t xml:space="preserve">UNID</t>
          </r>
        </is>
      </c>
      <c r="E1528" s="21" t="inlineStr">
        <is>
          <r>
            <t xml:space="preserve">COEFICIENTE</t>
          </r>
        </is>
      </c>
      <c r="F1528" s="21" t="inlineStr">
        <is>
          <r>
            <t xml:space="preserve">PREÇO UNITÁRIO</t>
          </r>
        </is>
      </c>
      <c r="G1528" s="21" t="inlineStr">
        <is>
          <r>
            <t xml:space="preserve">TOTAL</t>
          </r>
        </is>
      </c>
    </row>
    <row r="1529" customHeight="1" ht="15">
      <c r="A1529" s="22" t="inlineStr">
        <is>
          <r>
            <t xml:space="preserve">I2706</t>
          </r>
        </is>
      </c>
      <c r="B1529" s="23" t="inlineStr">
        <is>
          <r>
            <t xml:space="preserve">OLEO DIESEL</t>
          </r>
        </is>
      </c>
      <c r="C1529" s="22" t="inlineStr">
        <is>
          <r>
            <t xml:space="preserve">SEINFRA</t>
          </r>
        </is>
      </c>
      <c r="D1529" s="22" t="inlineStr">
        <is>
          <r>
            <t xml:space="preserve">L</t>
          </r>
        </is>
      </c>
      <c r="E1529" s="24" t="n">
        <v>19.5</v>
      </c>
      <c r="F1529" s="30" t="n">
        <v>4.99</v>
      </c>
      <c r="G1529" s="30" t="n">
        <f>ROUND(ROUND(E1529,8)*F1529,4)</f>
        <v>97.305</v>
      </c>
    </row>
    <row r="1530" customHeight="1" ht="15">
      <c r="A1530" s="2" t="inlineStr"/>
      <c r="B1530" s="2" t="inlineStr"/>
      <c r="C1530" s="2" t="inlineStr"/>
      <c r="D1530" s="2" t="inlineStr"/>
      <c r="E1530" s="26" t="inlineStr">
        <is>
          <r>
            <t xml:space="preserve">TOTAL Material:</t>
          </r>
        </is>
      </c>
      <c r="F1530" s="26" t="inlineStr"/>
      <c r="G1530" s="31" t="n">
        <f>SUM(G1529:G1529)</f>
        <v>97.305</v>
      </c>
    </row>
    <row r="1531" customHeight="1" ht="15">
      <c r="A1531" s="2" t="inlineStr"/>
      <c r="B1531" s="2" t="inlineStr"/>
      <c r="C1531" s="2" t="inlineStr"/>
      <c r="D1531" s="2" t="inlineStr"/>
      <c r="E1531" s="28" t="inlineStr">
        <is>
          <r>
            <t xml:space="preserve">VALOR:</t>
          </r>
        </is>
      </c>
      <c r="F1531" s="28" t="inlineStr"/>
      <c r="G1531" s="29" t="n">
        <f>ROUND(SUM(G1530),2)</f>
        <v>97.31</v>
      </c>
    </row>
    <row r="1532" customHeight="1" ht="15">
      <c r="A1532" s="2" t="inlineStr"/>
      <c r="B1532" s="2" t="inlineStr"/>
      <c r="C1532" s="2" t="inlineStr"/>
      <c r="D1532" s="2" t="inlineStr"/>
      <c r="E1532" s="28" t="inlineStr">
        <is>
          <r>
            <t xml:space="preserve">VALOR BDI:</t>
          </r>
        </is>
      </c>
      <c r="F1532" s="28" t="inlineStr"/>
      <c r="G1532" s="29" t="n">
        <f>ROUND(G1531*(0/100),2)</f>
        <v>0.0</v>
      </c>
    </row>
    <row r="1533" customHeight="1" ht="15">
      <c r="A1533" s="2" t="inlineStr"/>
      <c r="B1533" s="2" t="inlineStr"/>
      <c r="C1533" s="2" t="inlineStr"/>
      <c r="D1533" s="2" t="inlineStr"/>
      <c r="E1533" s="28" t="inlineStr">
        <is>
          <r>
            <t xml:space="preserve">VALOR COM BDI:</t>
          </r>
        </is>
      </c>
      <c r="F1533" s="28" t="inlineStr"/>
      <c r="G1533" s="29" t="n">
        <f>G1532+G1531</f>
        <v>97.31</v>
      </c>
    </row>
    <row r="1534" customHeight="1" ht="10">
      <c r="A1534" s="2" t="inlineStr"/>
      <c r="B1534" s="2" t="inlineStr"/>
      <c r="C1534" s="2" t="inlineStr"/>
      <c r="D1534" s="2" t="inlineStr"/>
      <c r="E1534" s="18" t="inlineStr"/>
      <c r="F1534" s="18" t="inlineStr"/>
      <c r="G1534" s="18" t="inlineStr"/>
    </row>
    <row r="1535" customHeight="1" ht="20">
      <c r="A1535" s="19" t="inlineStr">
        <is>
          <r>
            <t xml:space="preserve">​I2761​ MATERIAL DE OPERAÇÃO DO COMPAC. LISO TANDEM AUTOPR.​ (H)</t>
          </r>
        </is>
      </c>
      <c r="B1535" s="19" t="inlineStr"/>
      <c r="C1535" s="19" t="inlineStr"/>
      <c r="D1535" s="19" t="inlineStr"/>
      <c r="E1535" s="19" t="inlineStr"/>
      <c r="F1535" s="19" t="inlineStr"/>
      <c r="G1535" s="19" t="inlineStr"/>
    </row>
    <row r="1536" customHeight="1" ht="15">
      <c r="A1536" s="20" t="inlineStr">
        <is>
          <r>
            <t xml:space="preserve">Material</t>
          </r>
        </is>
      </c>
      <c r="B1536" s="20" t="inlineStr"/>
      <c r="C1536" s="21" t="inlineStr">
        <is>
          <r>
            <t xml:space="preserve">FONTE</t>
          </r>
        </is>
      </c>
      <c r="D1536" s="21" t="inlineStr">
        <is>
          <r>
            <t xml:space="preserve">UNID</t>
          </r>
        </is>
      </c>
      <c r="E1536" s="21" t="inlineStr">
        <is>
          <r>
            <t xml:space="preserve">COEFICIENTE</t>
          </r>
        </is>
      </c>
      <c r="F1536" s="21" t="inlineStr">
        <is>
          <r>
            <t xml:space="preserve">PREÇO UNITÁRIO</t>
          </r>
        </is>
      </c>
      <c r="G1536" s="21" t="inlineStr">
        <is>
          <r>
            <t xml:space="preserve">TOTAL</t>
          </r>
        </is>
      </c>
    </row>
    <row r="1537" customHeight="1" ht="15">
      <c r="A1537" s="22" t="inlineStr">
        <is>
          <r>
            <t xml:space="preserve">I2706</t>
          </r>
        </is>
      </c>
      <c r="B1537" s="23" t="inlineStr">
        <is>
          <r>
            <t xml:space="preserve">OLEO DIESEL</t>
          </r>
        </is>
      </c>
      <c r="C1537" s="22" t="inlineStr">
        <is>
          <r>
            <t xml:space="preserve">SEINFRA</t>
          </r>
        </is>
      </c>
      <c r="D1537" s="22" t="inlineStr">
        <is>
          <r>
            <t xml:space="preserve">L</t>
          </r>
        </is>
      </c>
      <c r="E1537" s="24" t="n">
        <v>6.6</v>
      </c>
      <c r="F1537" s="30" t="n">
        <v>4.99</v>
      </c>
      <c r="G1537" s="30" t="n">
        <f>ROUND(ROUND(E1537,8)*F1537,4)</f>
        <v>32.934</v>
      </c>
    </row>
    <row r="1538" customHeight="1" ht="15">
      <c r="A1538" s="2" t="inlineStr"/>
      <c r="B1538" s="2" t="inlineStr"/>
      <c r="C1538" s="2" t="inlineStr"/>
      <c r="D1538" s="2" t="inlineStr"/>
      <c r="E1538" s="26" t="inlineStr">
        <is>
          <r>
            <t xml:space="preserve">TOTAL Material:</t>
          </r>
        </is>
      </c>
      <c r="F1538" s="26" t="inlineStr"/>
      <c r="G1538" s="31" t="n">
        <f>SUM(G1537:G1537)</f>
        <v>32.934</v>
      </c>
    </row>
    <row r="1539" customHeight="1" ht="15">
      <c r="A1539" s="2" t="inlineStr"/>
      <c r="B1539" s="2" t="inlineStr"/>
      <c r="C1539" s="2" t="inlineStr"/>
      <c r="D1539" s="2" t="inlineStr"/>
      <c r="E1539" s="28" t="inlineStr">
        <is>
          <r>
            <t xml:space="preserve">VALOR:</t>
          </r>
        </is>
      </c>
      <c r="F1539" s="28" t="inlineStr"/>
      <c r="G1539" s="29" t="n">
        <f>ROUND(SUM(G1538),2)</f>
        <v>32.93</v>
      </c>
    </row>
    <row r="1540" customHeight="1" ht="15">
      <c r="A1540" s="2" t="inlineStr"/>
      <c r="B1540" s="2" t="inlineStr"/>
      <c r="C1540" s="2" t="inlineStr"/>
      <c r="D1540" s="2" t="inlineStr"/>
      <c r="E1540" s="28" t="inlineStr">
        <is>
          <r>
            <t xml:space="preserve">VALOR BDI:</t>
          </r>
        </is>
      </c>
      <c r="F1540" s="28" t="inlineStr"/>
      <c r="G1540" s="29" t="n">
        <f>ROUND(G1539*(0/100),2)</f>
        <v>0.0</v>
      </c>
    </row>
    <row r="1541" customHeight="1" ht="15">
      <c r="A1541" s="2" t="inlineStr"/>
      <c r="B1541" s="2" t="inlineStr"/>
      <c r="C1541" s="2" t="inlineStr"/>
      <c r="D1541" s="2" t="inlineStr"/>
      <c r="E1541" s="28" t="inlineStr">
        <is>
          <r>
            <t xml:space="preserve">VALOR COM BDI:</t>
          </r>
        </is>
      </c>
      <c r="F1541" s="28" t="inlineStr"/>
      <c r="G1541" s="29" t="n">
        <f>G1540+G1539</f>
        <v>32.93</v>
      </c>
    </row>
    <row r="1542" customHeight="1" ht="10">
      <c r="A1542" s="2" t="inlineStr"/>
      <c r="B1542" s="2" t="inlineStr"/>
      <c r="C1542" s="2" t="inlineStr"/>
      <c r="D1542" s="2" t="inlineStr"/>
      <c r="E1542" s="18" t="inlineStr"/>
      <c r="F1542" s="18" t="inlineStr"/>
      <c r="G1542" s="18" t="inlineStr"/>
    </row>
    <row r="1543" customHeight="1" ht="20">
      <c r="A1543" s="19" t="inlineStr">
        <is>
          <r>
            <t xml:space="preserve">​I2763​ MATERIAL DE OPERAÇÃO DO COMPAC. LISO VIBRAT. AUTOPROPELIDO​ (H)</t>
          </r>
        </is>
      </c>
      <c r="B1543" s="19" t="inlineStr"/>
      <c r="C1543" s="19" t="inlineStr"/>
      <c r="D1543" s="19" t="inlineStr"/>
      <c r="E1543" s="19" t="inlineStr"/>
      <c r="F1543" s="19" t="inlineStr"/>
      <c r="G1543" s="19" t="inlineStr"/>
    </row>
    <row r="1544" customHeight="1" ht="15">
      <c r="A1544" s="20" t="inlineStr">
        <is>
          <r>
            <t xml:space="preserve">Material</t>
          </r>
        </is>
      </c>
      <c r="B1544" s="20" t="inlineStr"/>
      <c r="C1544" s="21" t="inlineStr">
        <is>
          <r>
            <t xml:space="preserve">FONTE</t>
          </r>
        </is>
      </c>
      <c r="D1544" s="21" t="inlineStr">
        <is>
          <r>
            <t xml:space="preserve">UNID</t>
          </r>
        </is>
      </c>
      <c r="E1544" s="21" t="inlineStr">
        <is>
          <r>
            <t xml:space="preserve">COEFICIENTE</t>
          </r>
        </is>
      </c>
      <c r="F1544" s="21" t="inlineStr">
        <is>
          <r>
            <t xml:space="preserve">PREÇO UNITÁRIO</t>
          </r>
        </is>
      </c>
      <c r="G1544" s="21" t="inlineStr">
        <is>
          <r>
            <t xml:space="preserve">TOTAL</t>
          </r>
        </is>
      </c>
    </row>
    <row r="1545" customHeight="1" ht="15">
      <c r="A1545" s="22" t="inlineStr">
        <is>
          <r>
            <t xml:space="preserve">I2706</t>
          </r>
        </is>
      </c>
      <c r="B1545" s="23" t="inlineStr">
        <is>
          <r>
            <t xml:space="preserve">OLEO DIESEL</t>
          </r>
        </is>
      </c>
      <c r="C1545" s="22" t="inlineStr">
        <is>
          <r>
            <t xml:space="preserve">SEINFRA</t>
          </r>
        </is>
      </c>
      <c r="D1545" s="22" t="inlineStr">
        <is>
          <r>
            <t xml:space="preserve">L</t>
          </r>
        </is>
      </c>
      <c r="E1545" s="24" t="n">
        <v>19.05</v>
      </c>
      <c r="F1545" s="30" t="n">
        <v>4.99</v>
      </c>
      <c r="G1545" s="30" t="n">
        <f>ROUND(ROUND(E1545,8)*F1545,4)</f>
        <v>95.0595</v>
      </c>
    </row>
    <row r="1546" customHeight="1" ht="15">
      <c r="A1546" s="2" t="inlineStr"/>
      <c r="B1546" s="2" t="inlineStr"/>
      <c r="C1546" s="2" t="inlineStr"/>
      <c r="D1546" s="2" t="inlineStr"/>
      <c r="E1546" s="26" t="inlineStr">
        <is>
          <r>
            <t xml:space="preserve">TOTAL Material:</t>
          </r>
        </is>
      </c>
      <c r="F1546" s="26" t="inlineStr"/>
      <c r="G1546" s="31" t="n">
        <f>SUM(G1545:G1545)</f>
        <v>95.0595</v>
      </c>
    </row>
    <row r="1547" customHeight="1" ht="15">
      <c r="A1547" s="2" t="inlineStr"/>
      <c r="B1547" s="2" t="inlineStr"/>
      <c r="C1547" s="2" t="inlineStr"/>
      <c r="D1547" s="2" t="inlineStr"/>
      <c r="E1547" s="28" t="inlineStr">
        <is>
          <r>
            <t xml:space="preserve">VALOR:</t>
          </r>
        </is>
      </c>
      <c r="F1547" s="28" t="inlineStr"/>
      <c r="G1547" s="29" t="n">
        <f>ROUND(SUM(G1546),2)</f>
        <v>95.06</v>
      </c>
    </row>
    <row r="1548" customHeight="1" ht="15">
      <c r="A1548" s="2" t="inlineStr"/>
      <c r="B1548" s="2" t="inlineStr"/>
      <c r="C1548" s="2" t="inlineStr"/>
      <c r="D1548" s="2" t="inlineStr"/>
      <c r="E1548" s="28" t="inlineStr">
        <is>
          <r>
            <t xml:space="preserve">VALOR BDI:</t>
          </r>
        </is>
      </c>
      <c r="F1548" s="28" t="inlineStr"/>
      <c r="G1548" s="29" t="n">
        <f>ROUND(G1547*(0/100),2)</f>
        <v>0.0</v>
      </c>
    </row>
    <row r="1549" customHeight="1" ht="15">
      <c r="A1549" s="2" t="inlineStr"/>
      <c r="B1549" s="2" t="inlineStr"/>
      <c r="C1549" s="2" t="inlineStr"/>
      <c r="D1549" s="2" t="inlineStr"/>
      <c r="E1549" s="28" t="inlineStr">
        <is>
          <r>
            <t xml:space="preserve">VALOR COM BDI:</t>
          </r>
        </is>
      </c>
      <c r="F1549" s="28" t="inlineStr"/>
      <c r="G1549" s="29" t="n">
        <f>G1548+G1547</f>
        <v>95.06</v>
      </c>
    </row>
    <row r="1550" customHeight="1" ht="10">
      <c r="A1550" s="2" t="inlineStr"/>
      <c r="B1550" s="2" t="inlineStr"/>
      <c r="C1550" s="2" t="inlineStr"/>
      <c r="D1550" s="2" t="inlineStr"/>
      <c r="E1550" s="18" t="inlineStr"/>
      <c r="F1550" s="18" t="inlineStr"/>
      <c r="G1550" s="18" t="inlineStr"/>
    </row>
    <row r="1551" customHeight="1" ht="20">
      <c r="A1551" s="19" t="inlineStr">
        <is>
          <r>
            <t xml:space="preserve">​I2765​ MATERIAL DE OPERAÇÃO DO COMPAC. PE DE CARN. VIBRAT. AUTOPR.​ (H)</t>
          </r>
        </is>
      </c>
      <c r="B1551" s="19" t="inlineStr"/>
      <c r="C1551" s="19" t="inlineStr"/>
      <c r="D1551" s="19" t="inlineStr"/>
      <c r="E1551" s="19" t="inlineStr"/>
      <c r="F1551" s="19" t="inlineStr"/>
      <c r="G1551" s="19" t="inlineStr"/>
    </row>
    <row r="1552" customHeight="1" ht="15">
      <c r="A1552" s="20" t="inlineStr">
        <is>
          <r>
            <t xml:space="preserve">Material</t>
          </r>
        </is>
      </c>
      <c r="B1552" s="20" t="inlineStr"/>
      <c r="C1552" s="21" t="inlineStr">
        <is>
          <r>
            <t xml:space="preserve">FONTE</t>
          </r>
        </is>
      </c>
      <c r="D1552" s="21" t="inlineStr">
        <is>
          <r>
            <t xml:space="preserve">UNID</t>
          </r>
        </is>
      </c>
      <c r="E1552" s="21" t="inlineStr">
        <is>
          <r>
            <t xml:space="preserve">COEFICIENTE</t>
          </r>
        </is>
      </c>
      <c r="F1552" s="21" t="inlineStr">
        <is>
          <r>
            <t xml:space="preserve">PREÇO UNITÁRIO</t>
          </r>
        </is>
      </c>
      <c r="G1552" s="21" t="inlineStr">
        <is>
          <r>
            <t xml:space="preserve">TOTAL</t>
          </r>
        </is>
      </c>
    </row>
    <row r="1553" customHeight="1" ht="15">
      <c r="A1553" s="22" t="inlineStr">
        <is>
          <r>
            <t xml:space="preserve">I2706</t>
          </r>
        </is>
      </c>
      <c r="B1553" s="23" t="inlineStr">
        <is>
          <r>
            <t xml:space="preserve">OLEO DIESEL</t>
          </r>
        </is>
      </c>
      <c r="C1553" s="22" t="inlineStr">
        <is>
          <r>
            <t xml:space="preserve">SEINFRA</t>
          </r>
        </is>
      </c>
      <c r="D1553" s="22" t="inlineStr">
        <is>
          <r>
            <t xml:space="preserve">L</t>
          </r>
        </is>
      </c>
      <c r="E1553" s="24" t="n">
        <v>19.05</v>
      </c>
      <c r="F1553" s="30" t="n">
        <v>4.99</v>
      </c>
      <c r="G1553" s="30" t="n">
        <f>ROUND(ROUND(E1553,8)*F1553,4)</f>
        <v>95.0595</v>
      </c>
    </row>
    <row r="1554" customHeight="1" ht="15">
      <c r="A1554" s="2" t="inlineStr"/>
      <c r="B1554" s="2" t="inlineStr"/>
      <c r="C1554" s="2" t="inlineStr"/>
      <c r="D1554" s="2" t="inlineStr"/>
      <c r="E1554" s="26" t="inlineStr">
        <is>
          <r>
            <t xml:space="preserve">TOTAL Material:</t>
          </r>
        </is>
      </c>
      <c r="F1554" s="26" t="inlineStr"/>
      <c r="G1554" s="31" t="n">
        <f>SUM(G1553:G1553)</f>
        <v>95.0595</v>
      </c>
    </row>
    <row r="1555" customHeight="1" ht="15">
      <c r="A1555" s="2" t="inlineStr"/>
      <c r="B1555" s="2" t="inlineStr"/>
      <c r="C1555" s="2" t="inlineStr"/>
      <c r="D1555" s="2" t="inlineStr"/>
      <c r="E1555" s="28" t="inlineStr">
        <is>
          <r>
            <t xml:space="preserve">VALOR:</t>
          </r>
        </is>
      </c>
      <c r="F1555" s="28" t="inlineStr"/>
      <c r="G1555" s="29" t="n">
        <f>ROUND(SUM(G1554),2)</f>
        <v>95.06</v>
      </c>
    </row>
    <row r="1556" customHeight="1" ht="15">
      <c r="A1556" s="2" t="inlineStr"/>
      <c r="B1556" s="2" t="inlineStr"/>
      <c r="C1556" s="2" t="inlineStr"/>
      <c r="D1556" s="2" t="inlineStr"/>
      <c r="E1556" s="28" t="inlineStr">
        <is>
          <r>
            <t xml:space="preserve">VALOR BDI:</t>
          </r>
        </is>
      </c>
      <c r="F1556" s="28" t="inlineStr"/>
      <c r="G1556" s="29" t="n">
        <f>ROUND(G1555*(0/100),2)</f>
        <v>0.0</v>
      </c>
    </row>
    <row r="1557" customHeight="1" ht="15">
      <c r="A1557" s="2" t="inlineStr"/>
      <c r="B1557" s="2" t="inlineStr"/>
      <c r="C1557" s="2" t="inlineStr"/>
      <c r="D1557" s="2" t="inlineStr"/>
      <c r="E1557" s="28" t="inlineStr">
        <is>
          <r>
            <t xml:space="preserve">VALOR COM BDI:</t>
          </r>
        </is>
      </c>
      <c r="F1557" s="28" t="inlineStr"/>
      <c r="G1557" s="29" t="n">
        <f>G1556+G1555</f>
        <v>95.06</v>
      </c>
    </row>
    <row r="1558" customHeight="1" ht="10">
      <c r="A1558" s="2" t="inlineStr"/>
      <c r="B1558" s="2" t="inlineStr"/>
      <c r="C1558" s="2" t="inlineStr"/>
      <c r="D1558" s="2" t="inlineStr"/>
      <c r="E1558" s="18" t="inlineStr"/>
      <c r="F1558" s="18" t="inlineStr"/>
      <c r="G1558" s="18" t="inlineStr"/>
    </row>
    <row r="1559" customHeight="1" ht="20">
      <c r="A1559" s="19" t="inlineStr">
        <is>
          <r>
            <t xml:space="preserve">​I2771​ MATERIAL DE OPERAÇÃO DO COMPACTADOR DE PLACA VIBRATÓRIA (7 HP)​ (H)</t>
          </r>
        </is>
      </c>
      <c r="B1559" s="19" t="inlineStr"/>
      <c r="C1559" s="19" t="inlineStr"/>
      <c r="D1559" s="19" t="inlineStr"/>
      <c r="E1559" s="19" t="inlineStr"/>
      <c r="F1559" s="19" t="inlineStr"/>
      <c r="G1559" s="19" t="inlineStr"/>
    </row>
    <row r="1560" customHeight="1" ht="15">
      <c r="A1560" s="20" t="inlineStr">
        <is>
          <r>
            <t xml:space="preserve">Material</t>
          </r>
        </is>
      </c>
      <c r="B1560" s="20" t="inlineStr"/>
      <c r="C1560" s="21" t="inlineStr">
        <is>
          <r>
            <t xml:space="preserve">FONTE</t>
          </r>
        </is>
      </c>
      <c r="D1560" s="21" t="inlineStr">
        <is>
          <r>
            <t xml:space="preserve">UNID</t>
          </r>
        </is>
      </c>
      <c r="E1560" s="21" t="inlineStr">
        <is>
          <r>
            <t xml:space="preserve">COEFICIENTE</t>
          </r>
        </is>
      </c>
      <c r="F1560" s="21" t="inlineStr">
        <is>
          <r>
            <t xml:space="preserve">PREÇO UNITÁRIO</t>
          </r>
        </is>
      </c>
      <c r="G1560" s="21" t="inlineStr">
        <is>
          <r>
            <t xml:space="preserve">TOTAL</t>
          </r>
        </is>
      </c>
    </row>
    <row r="1561" customHeight="1" ht="15">
      <c r="A1561" s="22" t="inlineStr">
        <is>
          <r>
            <t xml:space="preserve">I2706</t>
          </r>
        </is>
      </c>
      <c r="B1561" s="23" t="inlineStr">
        <is>
          <r>
            <t xml:space="preserve">OLEO DIESEL</t>
          </r>
        </is>
      </c>
      <c r="C1561" s="22" t="inlineStr">
        <is>
          <r>
            <t xml:space="preserve">SEINFRA</t>
          </r>
        </is>
      </c>
      <c r="D1561" s="22" t="inlineStr">
        <is>
          <r>
            <t xml:space="preserve">L</t>
          </r>
        </is>
      </c>
      <c r="E1561" s="24" t="n">
        <v>1.05</v>
      </c>
      <c r="F1561" s="30" t="n">
        <v>4.99</v>
      </c>
      <c r="G1561" s="30" t="n">
        <f>ROUND(ROUND(E1561,8)*F1561,4)</f>
        <v>5.2395</v>
      </c>
    </row>
    <row r="1562" customHeight="1" ht="15">
      <c r="A1562" s="2" t="inlineStr"/>
      <c r="B1562" s="2" t="inlineStr"/>
      <c r="C1562" s="2" t="inlineStr"/>
      <c r="D1562" s="2" t="inlineStr"/>
      <c r="E1562" s="26" t="inlineStr">
        <is>
          <r>
            <t xml:space="preserve">TOTAL Material:</t>
          </r>
        </is>
      </c>
      <c r="F1562" s="26" t="inlineStr"/>
      <c r="G1562" s="31" t="n">
        <f>SUM(G1561:G1561)</f>
        <v>5.2395</v>
      </c>
    </row>
    <row r="1563" customHeight="1" ht="15">
      <c r="A1563" s="2" t="inlineStr"/>
      <c r="B1563" s="2" t="inlineStr"/>
      <c r="C1563" s="2" t="inlineStr"/>
      <c r="D1563" s="2" t="inlineStr"/>
      <c r="E1563" s="28" t="inlineStr">
        <is>
          <r>
            <t xml:space="preserve">VALOR:</t>
          </r>
        </is>
      </c>
      <c r="F1563" s="28" t="inlineStr"/>
      <c r="G1563" s="29" t="n">
        <f>ROUND(SUM(G1562),2)</f>
        <v>5.24</v>
      </c>
    </row>
    <row r="1564" customHeight="1" ht="15">
      <c r="A1564" s="2" t="inlineStr"/>
      <c r="B1564" s="2" t="inlineStr"/>
      <c r="C1564" s="2" t="inlineStr"/>
      <c r="D1564" s="2" t="inlineStr"/>
      <c r="E1564" s="28" t="inlineStr">
        <is>
          <r>
            <t xml:space="preserve">VALOR BDI:</t>
          </r>
        </is>
      </c>
      <c r="F1564" s="28" t="inlineStr"/>
      <c r="G1564" s="29" t="n">
        <f>ROUND(G1563*(0/100),2)</f>
        <v>0.0</v>
      </c>
    </row>
    <row r="1565" customHeight="1" ht="15">
      <c r="A1565" s="2" t="inlineStr"/>
      <c r="B1565" s="2" t="inlineStr"/>
      <c r="C1565" s="2" t="inlineStr"/>
      <c r="D1565" s="2" t="inlineStr"/>
      <c r="E1565" s="28" t="inlineStr">
        <is>
          <r>
            <t xml:space="preserve">VALOR COM BDI:</t>
          </r>
        </is>
      </c>
      <c r="F1565" s="28" t="inlineStr"/>
      <c r="G1565" s="29" t="n">
        <f>G1564+G1563</f>
        <v>5.24</v>
      </c>
    </row>
    <row r="1566" customHeight="1" ht="10">
      <c r="A1566" s="2" t="inlineStr"/>
      <c r="B1566" s="2" t="inlineStr"/>
      <c r="C1566" s="2" t="inlineStr"/>
      <c r="D1566" s="2" t="inlineStr"/>
      <c r="E1566" s="18" t="inlineStr"/>
      <c r="F1566" s="18" t="inlineStr"/>
      <c r="G1566" s="18" t="inlineStr"/>
    </row>
    <row r="1567" customHeight="1" ht="20">
      <c r="A1567" s="19" t="inlineStr">
        <is>
          <r>
            <t xml:space="preserve">​I2775​ MATERIAL DE OPERAÇÃO DO COMPRESSOR DE AR 250 PCM​ (H)</t>
          </r>
        </is>
      </c>
      <c r="B1567" s="19" t="inlineStr"/>
      <c r="C1567" s="19" t="inlineStr"/>
      <c r="D1567" s="19" t="inlineStr"/>
      <c r="E1567" s="19" t="inlineStr"/>
      <c r="F1567" s="19" t="inlineStr"/>
      <c r="G1567" s="19" t="inlineStr"/>
    </row>
    <row r="1568" customHeight="1" ht="15">
      <c r="A1568" s="20" t="inlineStr">
        <is>
          <r>
            <t xml:space="preserve">Material</t>
          </r>
        </is>
      </c>
      <c r="B1568" s="20" t="inlineStr"/>
      <c r="C1568" s="21" t="inlineStr">
        <is>
          <r>
            <t xml:space="preserve">FONTE</t>
          </r>
        </is>
      </c>
      <c r="D1568" s="21" t="inlineStr">
        <is>
          <r>
            <t xml:space="preserve">UNID</t>
          </r>
        </is>
      </c>
      <c r="E1568" s="21" t="inlineStr">
        <is>
          <r>
            <t xml:space="preserve">COEFICIENTE</t>
          </r>
        </is>
      </c>
      <c r="F1568" s="21" t="inlineStr">
        <is>
          <r>
            <t xml:space="preserve">PREÇO UNITÁRIO</t>
          </r>
        </is>
      </c>
      <c r="G1568" s="21" t="inlineStr">
        <is>
          <r>
            <t xml:space="preserve">TOTAL</t>
          </r>
        </is>
      </c>
    </row>
    <row r="1569" customHeight="1" ht="15">
      <c r="A1569" s="22" t="inlineStr">
        <is>
          <r>
            <t xml:space="preserve">I2706</t>
          </r>
        </is>
      </c>
      <c r="B1569" s="23" t="inlineStr">
        <is>
          <r>
            <t xml:space="preserve">OLEO DIESEL</t>
          </r>
        </is>
      </c>
      <c r="C1569" s="22" t="inlineStr">
        <is>
          <r>
            <t xml:space="preserve">SEINFRA</t>
          </r>
        </is>
      </c>
      <c r="D1569" s="22" t="inlineStr">
        <is>
          <r>
            <t xml:space="preserve">L</t>
          </r>
        </is>
      </c>
      <c r="E1569" s="24" t="n">
        <v>14.1</v>
      </c>
      <c r="F1569" s="30" t="n">
        <v>4.99</v>
      </c>
      <c r="G1569" s="30" t="n">
        <f>ROUND(ROUND(E1569,8)*F1569,4)</f>
        <v>70.359</v>
      </c>
    </row>
    <row r="1570" customHeight="1" ht="15">
      <c r="A1570" s="2" t="inlineStr"/>
      <c r="B1570" s="2" t="inlineStr"/>
      <c r="C1570" s="2" t="inlineStr"/>
      <c r="D1570" s="2" t="inlineStr"/>
      <c r="E1570" s="26" t="inlineStr">
        <is>
          <r>
            <t xml:space="preserve">TOTAL Material:</t>
          </r>
        </is>
      </c>
      <c r="F1570" s="26" t="inlineStr"/>
      <c r="G1570" s="31" t="n">
        <f>SUM(G1569:G1569)</f>
        <v>70.359</v>
      </c>
    </row>
    <row r="1571" customHeight="1" ht="15">
      <c r="A1571" s="2" t="inlineStr"/>
      <c r="B1571" s="2" t="inlineStr"/>
      <c r="C1571" s="2" t="inlineStr"/>
      <c r="D1571" s="2" t="inlineStr"/>
      <c r="E1571" s="28" t="inlineStr">
        <is>
          <r>
            <t xml:space="preserve">VALOR:</t>
          </r>
        </is>
      </c>
      <c r="F1571" s="28" t="inlineStr"/>
      <c r="G1571" s="29" t="n">
        <f>ROUND(SUM(G1570),2)</f>
        <v>70.36</v>
      </c>
    </row>
    <row r="1572" customHeight="1" ht="15">
      <c r="A1572" s="2" t="inlineStr"/>
      <c r="B1572" s="2" t="inlineStr"/>
      <c r="C1572" s="2" t="inlineStr"/>
      <c r="D1572" s="2" t="inlineStr"/>
      <c r="E1572" s="28" t="inlineStr">
        <is>
          <r>
            <t xml:space="preserve">VALOR BDI:</t>
          </r>
        </is>
      </c>
      <c r="F1572" s="28" t="inlineStr"/>
      <c r="G1572" s="29" t="n">
        <f>ROUND(G1571*(0/100),2)</f>
        <v>0.0</v>
      </c>
    </row>
    <row r="1573" customHeight="1" ht="15">
      <c r="A1573" s="2" t="inlineStr"/>
      <c r="B1573" s="2" t="inlineStr"/>
      <c r="C1573" s="2" t="inlineStr"/>
      <c r="D1573" s="2" t="inlineStr"/>
      <c r="E1573" s="28" t="inlineStr">
        <is>
          <r>
            <t xml:space="preserve">VALOR COM BDI:</t>
          </r>
        </is>
      </c>
      <c r="F1573" s="28" t="inlineStr"/>
      <c r="G1573" s="29" t="n">
        <f>G1572+G1571</f>
        <v>70.36</v>
      </c>
    </row>
    <row r="1574" customHeight="1" ht="10">
      <c r="A1574" s="2" t="inlineStr"/>
      <c r="B1574" s="2" t="inlineStr"/>
      <c r="C1574" s="2" t="inlineStr"/>
      <c r="D1574" s="2" t="inlineStr"/>
      <c r="E1574" s="18" t="inlineStr"/>
      <c r="F1574" s="18" t="inlineStr"/>
      <c r="G1574" s="18" t="inlineStr"/>
    </row>
    <row r="1575" customHeight="1" ht="20">
      <c r="A1575" s="19" t="inlineStr">
        <is>
          <r>
            <t xml:space="preserve">​I2791​ MATERIAL DE OPERAÇÃO DO GRUPO GERADOR 145 KVA​ (H)</t>
          </r>
        </is>
      </c>
      <c r="B1575" s="19" t="inlineStr"/>
      <c r="C1575" s="19" t="inlineStr"/>
      <c r="D1575" s="19" t="inlineStr"/>
      <c r="E1575" s="19" t="inlineStr"/>
      <c r="F1575" s="19" t="inlineStr"/>
      <c r="G1575" s="19" t="inlineStr"/>
    </row>
    <row r="1576" customHeight="1" ht="15">
      <c r="A1576" s="20" t="inlineStr">
        <is>
          <r>
            <t xml:space="preserve">Material</t>
          </r>
        </is>
      </c>
      <c r="B1576" s="20" t="inlineStr"/>
      <c r="C1576" s="21" t="inlineStr">
        <is>
          <r>
            <t xml:space="preserve">FONTE</t>
          </r>
        </is>
      </c>
      <c r="D1576" s="21" t="inlineStr">
        <is>
          <r>
            <t xml:space="preserve">UNID</t>
          </r>
        </is>
      </c>
      <c r="E1576" s="21" t="inlineStr">
        <is>
          <r>
            <t xml:space="preserve">COEFICIENTE</t>
          </r>
        </is>
      </c>
      <c r="F1576" s="21" t="inlineStr">
        <is>
          <r>
            <t xml:space="preserve">PREÇO UNITÁRIO</t>
          </r>
        </is>
      </c>
      <c r="G1576" s="21" t="inlineStr">
        <is>
          <r>
            <t xml:space="preserve">TOTAL</t>
          </r>
        </is>
      </c>
    </row>
    <row r="1577" customHeight="1" ht="15">
      <c r="A1577" s="22" t="inlineStr">
        <is>
          <r>
            <t xml:space="preserve">I2706</t>
          </r>
        </is>
      </c>
      <c r="B1577" s="23" t="inlineStr">
        <is>
          <r>
            <t xml:space="preserve">OLEO DIESEL</t>
          </r>
        </is>
      </c>
      <c r="C1577" s="22" t="inlineStr">
        <is>
          <r>
            <t xml:space="preserve">SEINFRA</t>
          </r>
        </is>
      </c>
      <c r="D1577" s="22" t="inlineStr">
        <is>
          <r>
            <t xml:space="preserve">L</t>
          </r>
        </is>
      </c>
      <c r="E1577" s="24" t="n">
        <v>27.0</v>
      </c>
      <c r="F1577" s="30" t="n">
        <v>4.99</v>
      </c>
      <c r="G1577" s="30" t="n">
        <f>ROUND(ROUND(E1577,8)*F1577,4)</f>
        <v>134.73</v>
      </c>
    </row>
    <row r="1578" customHeight="1" ht="15">
      <c r="A1578" s="2" t="inlineStr"/>
      <c r="B1578" s="2" t="inlineStr"/>
      <c r="C1578" s="2" t="inlineStr"/>
      <c r="D1578" s="2" t="inlineStr"/>
      <c r="E1578" s="26" t="inlineStr">
        <is>
          <r>
            <t xml:space="preserve">TOTAL Material:</t>
          </r>
        </is>
      </c>
      <c r="F1578" s="26" t="inlineStr"/>
      <c r="G1578" s="31" t="n">
        <f>SUM(G1577:G1577)</f>
        <v>134.73</v>
      </c>
    </row>
    <row r="1579" customHeight="1" ht="15">
      <c r="A1579" s="2" t="inlineStr"/>
      <c r="B1579" s="2" t="inlineStr"/>
      <c r="C1579" s="2" t="inlineStr"/>
      <c r="D1579" s="2" t="inlineStr"/>
      <c r="E1579" s="28" t="inlineStr">
        <is>
          <r>
            <t xml:space="preserve">VALOR:</t>
          </r>
        </is>
      </c>
      <c r="F1579" s="28" t="inlineStr"/>
      <c r="G1579" s="29" t="n">
        <f>ROUND(SUM(G1578),2)</f>
        <v>134.73</v>
      </c>
    </row>
    <row r="1580" customHeight="1" ht="15">
      <c r="A1580" s="2" t="inlineStr"/>
      <c r="B1580" s="2" t="inlineStr"/>
      <c r="C1580" s="2" t="inlineStr"/>
      <c r="D1580" s="2" t="inlineStr"/>
      <c r="E1580" s="28" t="inlineStr">
        <is>
          <r>
            <t xml:space="preserve">VALOR BDI:</t>
          </r>
        </is>
      </c>
      <c r="F1580" s="28" t="inlineStr"/>
      <c r="G1580" s="29" t="n">
        <f>ROUND(G1579*(0/100),2)</f>
        <v>0.0</v>
      </c>
    </row>
    <row r="1581" customHeight="1" ht="15">
      <c r="A1581" s="2" t="inlineStr"/>
      <c r="B1581" s="2" t="inlineStr"/>
      <c r="C1581" s="2" t="inlineStr"/>
      <c r="D1581" s="2" t="inlineStr"/>
      <c r="E1581" s="28" t="inlineStr">
        <is>
          <r>
            <t xml:space="preserve">VALOR COM BDI:</t>
          </r>
        </is>
      </c>
      <c r="F1581" s="28" t="inlineStr"/>
      <c r="G1581" s="29" t="n">
        <f>G1580+G1579</f>
        <v>134.73</v>
      </c>
    </row>
    <row r="1582" customHeight="1" ht="10">
      <c r="A1582" s="2" t="inlineStr"/>
      <c r="B1582" s="2" t="inlineStr"/>
      <c r="C1582" s="2" t="inlineStr"/>
      <c r="D1582" s="2" t="inlineStr"/>
      <c r="E1582" s="18" t="inlineStr"/>
      <c r="F1582" s="18" t="inlineStr"/>
      <c r="G1582" s="18" t="inlineStr"/>
    </row>
    <row r="1583" customHeight="1" ht="20">
      <c r="A1583" s="19" t="inlineStr">
        <is>
          <r>
            <t xml:space="preserve">​I2793​ MATERIAL DE OPERAÇÃO DO GRUPO GERADOR 180 KVA​ (H)</t>
          </r>
        </is>
      </c>
      <c r="B1583" s="19" t="inlineStr"/>
      <c r="C1583" s="19" t="inlineStr"/>
      <c r="D1583" s="19" t="inlineStr"/>
      <c r="E1583" s="19" t="inlineStr"/>
      <c r="F1583" s="19" t="inlineStr"/>
      <c r="G1583" s="19" t="inlineStr"/>
    </row>
    <row r="1584" customHeight="1" ht="15">
      <c r="A1584" s="20" t="inlineStr">
        <is>
          <r>
            <t xml:space="preserve">Material</t>
          </r>
        </is>
      </c>
      <c r="B1584" s="20" t="inlineStr"/>
      <c r="C1584" s="21" t="inlineStr">
        <is>
          <r>
            <t xml:space="preserve">FONTE</t>
          </r>
        </is>
      </c>
      <c r="D1584" s="21" t="inlineStr">
        <is>
          <r>
            <t xml:space="preserve">UNID</t>
          </r>
        </is>
      </c>
      <c r="E1584" s="21" t="inlineStr">
        <is>
          <r>
            <t xml:space="preserve">COEFICIENTE</t>
          </r>
        </is>
      </c>
      <c r="F1584" s="21" t="inlineStr">
        <is>
          <r>
            <t xml:space="preserve">PREÇO UNITÁRIO</t>
          </r>
        </is>
      </c>
      <c r="G1584" s="21" t="inlineStr">
        <is>
          <r>
            <t xml:space="preserve">TOTAL</t>
          </r>
        </is>
      </c>
    </row>
    <row r="1585" customHeight="1" ht="15">
      <c r="A1585" s="22" t="inlineStr">
        <is>
          <r>
            <t xml:space="preserve">I2706</t>
          </r>
        </is>
      </c>
      <c r="B1585" s="23" t="inlineStr">
        <is>
          <r>
            <t xml:space="preserve">OLEO DIESEL</t>
          </r>
        </is>
      </c>
      <c r="C1585" s="22" t="inlineStr">
        <is>
          <r>
            <t xml:space="preserve">SEINFRA</t>
          </r>
        </is>
      </c>
      <c r="D1585" s="22" t="inlineStr">
        <is>
          <r>
            <t xml:space="preserve">L</t>
          </r>
        </is>
      </c>
      <c r="E1585" s="24" t="n">
        <v>33.75</v>
      </c>
      <c r="F1585" s="30" t="n">
        <v>4.99</v>
      </c>
      <c r="G1585" s="30" t="n">
        <f>ROUND(ROUND(E1585,8)*F1585,4)</f>
        <v>168.4125</v>
      </c>
    </row>
    <row r="1586" customHeight="1" ht="15">
      <c r="A1586" s="2" t="inlineStr"/>
      <c r="B1586" s="2" t="inlineStr"/>
      <c r="C1586" s="2" t="inlineStr"/>
      <c r="D1586" s="2" t="inlineStr"/>
      <c r="E1586" s="26" t="inlineStr">
        <is>
          <r>
            <t xml:space="preserve">TOTAL Material:</t>
          </r>
        </is>
      </c>
      <c r="F1586" s="26" t="inlineStr"/>
      <c r="G1586" s="31" t="n">
        <f>SUM(G1585:G1585)</f>
        <v>168.4125</v>
      </c>
    </row>
    <row r="1587" customHeight="1" ht="15">
      <c r="A1587" s="2" t="inlineStr"/>
      <c r="B1587" s="2" t="inlineStr"/>
      <c r="C1587" s="2" t="inlineStr"/>
      <c r="D1587" s="2" t="inlineStr"/>
      <c r="E1587" s="28" t="inlineStr">
        <is>
          <r>
            <t xml:space="preserve">VALOR:</t>
          </r>
        </is>
      </c>
      <c r="F1587" s="28" t="inlineStr"/>
      <c r="G1587" s="29" t="n">
        <f>ROUND(SUM(G1586),2)</f>
        <v>168.41</v>
      </c>
    </row>
    <row r="1588" customHeight="1" ht="15">
      <c r="A1588" s="2" t="inlineStr"/>
      <c r="B1588" s="2" t="inlineStr"/>
      <c r="C1588" s="2" t="inlineStr"/>
      <c r="D1588" s="2" t="inlineStr"/>
      <c r="E1588" s="28" t="inlineStr">
        <is>
          <r>
            <t xml:space="preserve">VALOR BDI:</t>
          </r>
        </is>
      </c>
      <c r="F1588" s="28" t="inlineStr"/>
      <c r="G1588" s="29" t="n">
        <f>ROUND(G1587*(0/100),2)</f>
        <v>0.0</v>
      </c>
    </row>
    <row r="1589" customHeight="1" ht="15">
      <c r="A1589" s="2" t="inlineStr"/>
      <c r="B1589" s="2" t="inlineStr"/>
      <c r="C1589" s="2" t="inlineStr"/>
      <c r="D1589" s="2" t="inlineStr"/>
      <c r="E1589" s="28" t="inlineStr">
        <is>
          <r>
            <t xml:space="preserve">VALOR COM BDI:</t>
          </r>
        </is>
      </c>
      <c r="F1589" s="28" t="inlineStr"/>
      <c r="G1589" s="29" t="n">
        <f>G1588+G1587</f>
        <v>168.41</v>
      </c>
    </row>
    <row r="1590" customHeight="1" ht="10">
      <c r="A1590" s="2" t="inlineStr"/>
      <c r="B1590" s="2" t="inlineStr"/>
      <c r="C1590" s="2" t="inlineStr"/>
      <c r="D1590" s="2" t="inlineStr"/>
      <c r="E1590" s="18" t="inlineStr"/>
      <c r="F1590" s="18" t="inlineStr"/>
      <c r="G1590" s="18" t="inlineStr"/>
    </row>
    <row r="1591" customHeight="1" ht="20">
      <c r="A1591" s="19" t="inlineStr">
        <is>
          <r>
            <t xml:space="preserve">​I2789​ MATERIAL DE OPERAÇÃO DO GRUPO GERADOR 36 KVA​ (H)</t>
          </r>
        </is>
      </c>
      <c r="B1591" s="19" t="inlineStr"/>
      <c r="C1591" s="19" t="inlineStr"/>
      <c r="D1591" s="19" t="inlineStr"/>
      <c r="E1591" s="19" t="inlineStr"/>
      <c r="F1591" s="19" t="inlineStr"/>
      <c r="G1591" s="19" t="inlineStr"/>
    </row>
    <row r="1592" customHeight="1" ht="15">
      <c r="A1592" s="20" t="inlineStr">
        <is>
          <r>
            <t xml:space="preserve">Material</t>
          </r>
        </is>
      </c>
      <c r="B1592" s="20" t="inlineStr"/>
      <c r="C1592" s="21" t="inlineStr">
        <is>
          <r>
            <t xml:space="preserve">FONTE</t>
          </r>
        </is>
      </c>
      <c r="D1592" s="21" t="inlineStr">
        <is>
          <r>
            <t xml:space="preserve">UNID</t>
          </r>
        </is>
      </c>
      <c r="E1592" s="21" t="inlineStr">
        <is>
          <r>
            <t xml:space="preserve">COEFICIENTE</t>
          </r>
        </is>
      </c>
      <c r="F1592" s="21" t="inlineStr">
        <is>
          <r>
            <t xml:space="preserve">PREÇO UNITÁRIO</t>
          </r>
        </is>
      </c>
      <c r="G1592" s="21" t="inlineStr">
        <is>
          <r>
            <t xml:space="preserve">TOTAL</t>
          </r>
        </is>
      </c>
    </row>
    <row r="1593" customHeight="1" ht="15">
      <c r="A1593" s="22" t="inlineStr">
        <is>
          <r>
            <t xml:space="preserve">I2706</t>
          </r>
        </is>
      </c>
      <c r="B1593" s="23" t="inlineStr">
        <is>
          <r>
            <t xml:space="preserve">OLEO DIESEL</t>
          </r>
        </is>
      </c>
      <c r="C1593" s="22" t="inlineStr">
        <is>
          <r>
            <t xml:space="preserve">SEINFRA</t>
          </r>
        </is>
      </c>
      <c r="D1593" s="22" t="inlineStr">
        <is>
          <r>
            <t xml:space="preserve">L</t>
          </r>
        </is>
      </c>
      <c r="E1593" s="24" t="n">
        <v>6.75</v>
      </c>
      <c r="F1593" s="30" t="n">
        <v>4.99</v>
      </c>
      <c r="G1593" s="30" t="n">
        <f>ROUND(ROUND(E1593,8)*F1593,4)</f>
        <v>33.6825</v>
      </c>
    </row>
    <row r="1594" customHeight="1" ht="15">
      <c r="A1594" s="2" t="inlineStr"/>
      <c r="B1594" s="2" t="inlineStr"/>
      <c r="C1594" s="2" t="inlineStr"/>
      <c r="D1594" s="2" t="inlineStr"/>
      <c r="E1594" s="26" t="inlineStr">
        <is>
          <r>
            <t xml:space="preserve">TOTAL Material:</t>
          </r>
        </is>
      </c>
      <c r="F1594" s="26" t="inlineStr"/>
      <c r="G1594" s="31" t="n">
        <f>SUM(G1593:G1593)</f>
        <v>33.6825</v>
      </c>
    </row>
    <row r="1595" customHeight="1" ht="15">
      <c r="A1595" s="2" t="inlineStr"/>
      <c r="B1595" s="2" t="inlineStr"/>
      <c r="C1595" s="2" t="inlineStr"/>
      <c r="D1595" s="2" t="inlineStr"/>
      <c r="E1595" s="28" t="inlineStr">
        <is>
          <r>
            <t xml:space="preserve">VALOR:</t>
          </r>
        </is>
      </c>
      <c r="F1595" s="28" t="inlineStr"/>
      <c r="G1595" s="29" t="n">
        <f>ROUND(SUM(G1594),2)</f>
        <v>33.68</v>
      </c>
    </row>
    <row r="1596" customHeight="1" ht="15">
      <c r="A1596" s="2" t="inlineStr"/>
      <c r="B1596" s="2" t="inlineStr"/>
      <c r="C1596" s="2" t="inlineStr"/>
      <c r="D1596" s="2" t="inlineStr"/>
      <c r="E1596" s="28" t="inlineStr">
        <is>
          <r>
            <t xml:space="preserve">VALOR BDI:</t>
          </r>
        </is>
      </c>
      <c r="F1596" s="28" t="inlineStr"/>
      <c r="G1596" s="29" t="n">
        <f>ROUND(G1595*(0/100),2)</f>
        <v>0.0</v>
      </c>
    </row>
    <row r="1597" customHeight="1" ht="15">
      <c r="A1597" s="2" t="inlineStr"/>
      <c r="B1597" s="2" t="inlineStr"/>
      <c r="C1597" s="2" t="inlineStr"/>
      <c r="D1597" s="2" t="inlineStr"/>
      <c r="E1597" s="28" t="inlineStr">
        <is>
          <r>
            <t xml:space="preserve">VALOR COM BDI:</t>
          </r>
        </is>
      </c>
      <c r="F1597" s="28" t="inlineStr"/>
      <c r="G1597" s="29" t="n">
        <f>G1596+G1595</f>
        <v>33.68</v>
      </c>
    </row>
    <row r="1598" customHeight="1" ht="10">
      <c r="A1598" s="2" t="inlineStr"/>
      <c r="B1598" s="2" t="inlineStr"/>
      <c r="C1598" s="2" t="inlineStr"/>
      <c r="D1598" s="2" t="inlineStr"/>
      <c r="E1598" s="18" t="inlineStr"/>
      <c r="F1598" s="18" t="inlineStr"/>
      <c r="G1598" s="18" t="inlineStr"/>
    </row>
    <row r="1599" customHeight="1" ht="20">
      <c r="A1599" s="19" t="inlineStr">
        <is>
          <r>
            <t xml:space="preserve">​I2801​ MATERIAL DE OPERAÇÃO DO GUINDASTE HIDRÁULICO SOBRE PNEUS (45 HP)​ (H)</t>
          </r>
        </is>
      </c>
      <c r="B1599" s="19" t="inlineStr"/>
      <c r="C1599" s="19" t="inlineStr"/>
      <c r="D1599" s="19" t="inlineStr"/>
      <c r="E1599" s="19" t="inlineStr"/>
      <c r="F1599" s="19" t="inlineStr"/>
      <c r="G1599" s="19" t="inlineStr"/>
    </row>
    <row r="1600" customHeight="1" ht="15">
      <c r="A1600" s="20" t="inlineStr">
        <is>
          <r>
            <t xml:space="preserve">Material</t>
          </r>
        </is>
      </c>
      <c r="B1600" s="20" t="inlineStr"/>
      <c r="C1600" s="21" t="inlineStr">
        <is>
          <r>
            <t xml:space="preserve">FONTE</t>
          </r>
        </is>
      </c>
      <c r="D1600" s="21" t="inlineStr">
        <is>
          <r>
            <t xml:space="preserve">UNID</t>
          </r>
        </is>
      </c>
      <c r="E1600" s="21" t="inlineStr">
        <is>
          <r>
            <t xml:space="preserve">COEFICIENTE</t>
          </r>
        </is>
      </c>
      <c r="F1600" s="21" t="inlineStr">
        <is>
          <r>
            <t xml:space="preserve">PREÇO UNITÁRIO</t>
          </r>
        </is>
      </c>
      <c r="G1600" s="21" t="inlineStr">
        <is>
          <r>
            <t xml:space="preserve">TOTAL</t>
          </r>
        </is>
      </c>
    </row>
    <row r="1601" customHeight="1" ht="15">
      <c r="A1601" s="22" t="inlineStr">
        <is>
          <r>
            <t xml:space="preserve">I2706</t>
          </r>
        </is>
      </c>
      <c r="B1601" s="23" t="inlineStr">
        <is>
          <r>
            <t xml:space="preserve">OLEO DIESEL</t>
          </r>
        </is>
      </c>
      <c r="C1601" s="22" t="inlineStr">
        <is>
          <r>
            <t xml:space="preserve">SEINFRA</t>
          </r>
        </is>
      </c>
      <c r="D1601" s="22" t="inlineStr">
        <is>
          <r>
            <t xml:space="preserve">L</t>
          </r>
        </is>
      </c>
      <c r="E1601" s="24" t="n">
        <v>6.75</v>
      </c>
      <c r="F1601" s="30" t="n">
        <v>4.99</v>
      </c>
      <c r="G1601" s="30" t="n">
        <f>ROUND(ROUND(E1601,8)*F1601,4)</f>
        <v>33.6825</v>
      </c>
    </row>
    <row r="1602" customHeight="1" ht="15">
      <c r="A1602" s="2" t="inlineStr"/>
      <c r="B1602" s="2" t="inlineStr"/>
      <c r="C1602" s="2" t="inlineStr"/>
      <c r="D1602" s="2" t="inlineStr"/>
      <c r="E1602" s="26" t="inlineStr">
        <is>
          <r>
            <t xml:space="preserve">TOTAL Material:</t>
          </r>
        </is>
      </c>
      <c r="F1602" s="26" t="inlineStr"/>
      <c r="G1602" s="31" t="n">
        <f>SUM(G1601:G1601)</f>
        <v>33.6825</v>
      </c>
    </row>
    <row r="1603" customHeight="1" ht="15">
      <c r="A1603" s="2" t="inlineStr"/>
      <c r="B1603" s="2" t="inlineStr"/>
      <c r="C1603" s="2" t="inlineStr"/>
      <c r="D1603" s="2" t="inlineStr"/>
      <c r="E1603" s="28" t="inlineStr">
        <is>
          <r>
            <t xml:space="preserve">VALOR:</t>
          </r>
        </is>
      </c>
      <c r="F1603" s="28" t="inlineStr"/>
      <c r="G1603" s="29" t="n">
        <f>ROUND(SUM(G1602),2)</f>
        <v>33.68</v>
      </c>
    </row>
    <row r="1604" customHeight="1" ht="15">
      <c r="A1604" s="2" t="inlineStr"/>
      <c r="B1604" s="2" t="inlineStr"/>
      <c r="C1604" s="2" t="inlineStr"/>
      <c r="D1604" s="2" t="inlineStr"/>
      <c r="E1604" s="28" t="inlineStr">
        <is>
          <r>
            <t xml:space="preserve">VALOR BDI:</t>
          </r>
        </is>
      </c>
      <c r="F1604" s="28" t="inlineStr"/>
      <c r="G1604" s="29" t="n">
        <f>ROUND(G1603*(0/100),2)</f>
        <v>0.0</v>
      </c>
    </row>
    <row r="1605" customHeight="1" ht="15">
      <c r="A1605" s="2" t="inlineStr"/>
      <c r="B1605" s="2" t="inlineStr"/>
      <c r="C1605" s="2" t="inlineStr"/>
      <c r="D1605" s="2" t="inlineStr"/>
      <c r="E1605" s="28" t="inlineStr">
        <is>
          <r>
            <t xml:space="preserve">VALOR COM BDI:</t>
          </r>
        </is>
      </c>
      <c r="F1605" s="28" t="inlineStr"/>
      <c r="G1605" s="29" t="n">
        <f>G1604+G1603</f>
        <v>33.68</v>
      </c>
    </row>
    <row r="1606" customHeight="1" ht="10">
      <c r="A1606" s="2" t="inlineStr"/>
      <c r="B1606" s="2" t="inlineStr"/>
      <c r="C1606" s="2" t="inlineStr"/>
      <c r="D1606" s="2" t="inlineStr"/>
      <c r="E1606" s="18" t="inlineStr"/>
      <c r="F1606" s="18" t="inlineStr"/>
      <c r="G1606" s="18" t="inlineStr"/>
    </row>
    <row r="1607" customHeight="1" ht="20">
      <c r="A1607" s="19" t="inlineStr">
        <is>
          <r>
            <t xml:space="preserve">​I2841​ MATERIAL DE OPERAÇÃO DO TRATOR DE ESTEIRAS C/ LÂMINA E ESC. (155 HP)​ (H)</t>
          </r>
        </is>
      </c>
      <c r="B1607" s="19" t="inlineStr"/>
      <c r="C1607" s="19" t="inlineStr"/>
      <c r="D1607" s="19" t="inlineStr"/>
      <c r="E1607" s="19" t="inlineStr"/>
      <c r="F1607" s="19" t="inlineStr"/>
      <c r="G1607" s="19" t="inlineStr"/>
    </row>
    <row r="1608" customHeight="1" ht="15">
      <c r="A1608" s="20" t="inlineStr">
        <is>
          <r>
            <t xml:space="preserve">Material</t>
          </r>
        </is>
      </c>
      <c r="B1608" s="20" t="inlineStr"/>
      <c r="C1608" s="21" t="inlineStr">
        <is>
          <r>
            <t xml:space="preserve">FONTE</t>
          </r>
        </is>
      </c>
      <c r="D1608" s="21" t="inlineStr">
        <is>
          <r>
            <t xml:space="preserve">UNID</t>
          </r>
        </is>
      </c>
      <c r="E1608" s="21" t="inlineStr">
        <is>
          <r>
            <t xml:space="preserve">COEFICIENTE</t>
          </r>
        </is>
      </c>
      <c r="F1608" s="21" t="inlineStr">
        <is>
          <r>
            <t xml:space="preserve">PREÇO UNITÁRIO</t>
          </r>
        </is>
      </c>
      <c r="G1608" s="21" t="inlineStr">
        <is>
          <r>
            <t xml:space="preserve">TOTAL</t>
          </r>
        </is>
      </c>
    </row>
    <row r="1609" customHeight="1" ht="15">
      <c r="A1609" s="22" t="inlineStr">
        <is>
          <r>
            <t xml:space="preserve">I2706</t>
          </r>
        </is>
      </c>
      <c r="B1609" s="23" t="inlineStr">
        <is>
          <r>
            <t xml:space="preserve">OLEO DIESEL</t>
          </r>
        </is>
      </c>
      <c r="C1609" s="22" t="inlineStr">
        <is>
          <r>
            <t xml:space="preserve">SEINFRA</t>
          </r>
        </is>
      </c>
      <c r="D1609" s="22" t="inlineStr">
        <is>
          <r>
            <t xml:space="preserve">L</t>
          </r>
        </is>
      </c>
      <c r="E1609" s="24" t="n">
        <v>23.25</v>
      </c>
      <c r="F1609" s="30" t="n">
        <v>4.99</v>
      </c>
      <c r="G1609" s="30" t="n">
        <f>ROUND(ROUND(E1609,8)*F1609,4)</f>
        <v>116.0175</v>
      </c>
    </row>
    <row r="1610" customHeight="1" ht="15">
      <c r="A1610" s="2" t="inlineStr"/>
      <c r="B1610" s="2" t="inlineStr"/>
      <c r="C1610" s="2" t="inlineStr"/>
      <c r="D1610" s="2" t="inlineStr"/>
      <c r="E1610" s="26" t="inlineStr">
        <is>
          <r>
            <t xml:space="preserve">TOTAL Material:</t>
          </r>
        </is>
      </c>
      <c r="F1610" s="26" t="inlineStr"/>
      <c r="G1610" s="31" t="n">
        <f>SUM(G1609:G1609)</f>
        <v>116.0175</v>
      </c>
    </row>
    <row r="1611" customHeight="1" ht="15">
      <c r="A1611" s="2" t="inlineStr"/>
      <c r="B1611" s="2" t="inlineStr"/>
      <c r="C1611" s="2" t="inlineStr"/>
      <c r="D1611" s="2" t="inlineStr"/>
      <c r="E1611" s="28" t="inlineStr">
        <is>
          <r>
            <t xml:space="preserve">VALOR:</t>
          </r>
        </is>
      </c>
      <c r="F1611" s="28" t="inlineStr"/>
      <c r="G1611" s="29" t="n">
        <f>ROUND(SUM(G1610),2)</f>
        <v>116.02</v>
      </c>
    </row>
    <row r="1612" customHeight="1" ht="15">
      <c r="A1612" s="2" t="inlineStr"/>
      <c r="B1612" s="2" t="inlineStr"/>
      <c r="C1612" s="2" t="inlineStr"/>
      <c r="D1612" s="2" t="inlineStr"/>
      <c r="E1612" s="28" t="inlineStr">
        <is>
          <r>
            <t xml:space="preserve">VALOR BDI:</t>
          </r>
        </is>
      </c>
      <c r="F1612" s="28" t="inlineStr"/>
      <c r="G1612" s="29" t="n">
        <f>ROUND(G1611*(0/100),2)</f>
        <v>0.0</v>
      </c>
    </row>
    <row r="1613" customHeight="1" ht="15">
      <c r="A1613" s="2" t="inlineStr"/>
      <c r="B1613" s="2" t="inlineStr"/>
      <c r="C1613" s="2" t="inlineStr"/>
      <c r="D1613" s="2" t="inlineStr"/>
      <c r="E1613" s="28" t="inlineStr">
        <is>
          <r>
            <t xml:space="preserve">VALOR COM BDI:</t>
          </r>
        </is>
      </c>
      <c r="F1613" s="28" t="inlineStr"/>
      <c r="G1613" s="29" t="n">
        <f>G1612+G1611</f>
        <v>116.02</v>
      </c>
    </row>
    <row r="1614" customHeight="1" ht="10">
      <c r="A1614" s="2" t="inlineStr"/>
      <c r="B1614" s="2" t="inlineStr"/>
      <c r="C1614" s="2" t="inlineStr"/>
      <c r="D1614" s="2" t="inlineStr"/>
      <c r="E1614" s="18" t="inlineStr"/>
      <c r="F1614" s="18" t="inlineStr"/>
      <c r="G1614" s="18" t="inlineStr"/>
    </row>
    <row r="1615" customHeight="1" ht="20">
      <c r="A1615" s="19" t="inlineStr">
        <is>
          <r>
            <t xml:space="preserve">​I2843​ MATERIAL DE OPERAÇÃO DO TRATOR DE PNEUS​ (H)</t>
          </r>
        </is>
      </c>
      <c r="B1615" s="19" t="inlineStr"/>
      <c r="C1615" s="19" t="inlineStr"/>
      <c r="D1615" s="19" t="inlineStr"/>
      <c r="E1615" s="19" t="inlineStr"/>
      <c r="F1615" s="19" t="inlineStr"/>
      <c r="G1615" s="19" t="inlineStr"/>
    </row>
    <row r="1616" customHeight="1" ht="15">
      <c r="A1616" s="20" t="inlineStr">
        <is>
          <r>
            <t xml:space="preserve">Material</t>
          </r>
        </is>
      </c>
      <c r="B1616" s="20" t="inlineStr"/>
      <c r="C1616" s="21" t="inlineStr">
        <is>
          <r>
            <t xml:space="preserve">FONTE</t>
          </r>
        </is>
      </c>
      <c r="D1616" s="21" t="inlineStr">
        <is>
          <r>
            <t xml:space="preserve">UNID</t>
          </r>
        </is>
      </c>
      <c r="E1616" s="21" t="inlineStr">
        <is>
          <r>
            <t xml:space="preserve">COEFICIENTE</t>
          </r>
        </is>
      </c>
      <c r="F1616" s="21" t="inlineStr">
        <is>
          <r>
            <t xml:space="preserve">PREÇO UNITÁRIO</t>
          </r>
        </is>
      </c>
      <c r="G1616" s="21" t="inlineStr">
        <is>
          <r>
            <t xml:space="preserve">TOTAL</t>
          </r>
        </is>
      </c>
    </row>
    <row r="1617" customHeight="1" ht="15">
      <c r="A1617" s="22" t="inlineStr">
        <is>
          <r>
            <t xml:space="preserve">I2706</t>
          </r>
        </is>
      </c>
      <c r="B1617" s="23" t="inlineStr">
        <is>
          <r>
            <t xml:space="preserve">OLEO DIESEL</t>
          </r>
        </is>
      </c>
      <c r="C1617" s="22" t="inlineStr">
        <is>
          <r>
            <t xml:space="preserve">SEINFRA</t>
          </r>
        </is>
      </c>
      <c r="D1617" s="22" t="inlineStr">
        <is>
          <r>
            <t xml:space="preserve">L</t>
          </r>
        </is>
      </c>
      <c r="E1617" s="24" t="n">
        <v>15.0</v>
      </c>
      <c r="F1617" s="30" t="n">
        <v>4.99</v>
      </c>
      <c r="G1617" s="30" t="n">
        <f>ROUND(ROUND(E1617,8)*F1617,4)</f>
        <v>74.85</v>
      </c>
    </row>
    <row r="1618" customHeight="1" ht="15">
      <c r="A1618" s="2" t="inlineStr"/>
      <c r="B1618" s="2" t="inlineStr"/>
      <c r="C1618" s="2" t="inlineStr"/>
      <c r="D1618" s="2" t="inlineStr"/>
      <c r="E1618" s="26" t="inlineStr">
        <is>
          <r>
            <t xml:space="preserve">TOTAL Material:</t>
          </r>
        </is>
      </c>
      <c r="F1618" s="26" t="inlineStr"/>
      <c r="G1618" s="31" t="n">
        <f>SUM(G1617:G1617)</f>
        <v>74.85</v>
      </c>
    </row>
    <row r="1619" customHeight="1" ht="15">
      <c r="A1619" s="2" t="inlineStr"/>
      <c r="B1619" s="2" t="inlineStr"/>
      <c r="C1619" s="2" t="inlineStr"/>
      <c r="D1619" s="2" t="inlineStr"/>
      <c r="E1619" s="28" t="inlineStr">
        <is>
          <r>
            <t xml:space="preserve">VALOR:</t>
          </r>
        </is>
      </c>
      <c r="F1619" s="28" t="inlineStr"/>
      <c r="G1619" s="29" t="n">
        <f>ROUND(SUM(G1618),2)</f>
        <v>74.85</v>
      </c>
    </row>
    <row r="1620" customHeight="1" ht="15">
      <c r="A1620" s="2" t="inlineStr"/>
      <c r="B1620" s="2" t="inlineStr"/>
      <c r="C1620" s="2" t="inlineStr"/>
      <c r="D1620" s="2" t="inlineStr"/>
      <c r="E1620" s="28" t="inlineStr">
        <is>
          <r>
            <t xml:space="preserve">VALOR BDI:</t>
          </r>
        </is>
      </c>
      <c r="F1620" s="28" t="inlineStr"/>
      <c r="G1620" s="29" t="n">
        <f>ROUND(G1619*(0/100),2)</f>
        <v>0.0</v>
      </c>
    </row>
    <row r="1621" customHeight="1" ht="15">
      <c r="A1621" s="2" t="inlineStr"/>
      <c r="B1621" s="2" t="inlineStr"/>
      <c r="C1621" s="2" t="inlineStr"/>
      <c r="D1621" s="2" t="inlineStr"/>
      <c r="E1621" s="28" t="inlineStr">
        <is>
          <r>
            <t xml:space="preserve">VALOR COM BDI:</t>
          </r>
        </is>
      </c>
      <c r="F1621" s="28" t="inlineStr"/>
      <c r="G1621" s="29" t="n">
        <f>G1620+G1619</f>
        <v>74.85</v>
      </c>
    </row>
    <row r="1622" customHeight="1" ht="10">
      <c r="A1622" s="2" t="inlineStr"/>
      <c r="B1622" s="2" t="inlineStr"/>
      <c r="C1622" s="2" t="inlineStr"/>
      <c r="D1622" s="2" t="inlineStr"/>
      <c r="E1622" s="18" t="inlineStr"/>
      <c r="F1622" s="18" t="inlineStr"/>
      <c r="G1622" s="18" t="inlineStr"/>
    </row>
    <row r="1623" customHeight="1" ht="20">
      <c r="A1623" s="19" t="inlineStr">
        <is>
          <r>
            <t xml:space="preserve">​I2855​ MATERIAL DE OPERAÇÃO DO VEÍCULO UTILITÁRIO KOMBI​ (H)</t>
          </r>
        </is>
      </c>
      <c r="B1623" s="19" t="inlineStr"/>
      <c r="C1623" s="19" t="inlineStr"/>
      <c r="D1623" s="19" t="inlineStr"/>
      <c r="E1623" s="19" t="inlineStr"/>
      <c r="F1623" s="19" t="inlineStr"/>
      <c r="G1623" s="19" t="inlineStr"/>
    </row>
    <row r="1624" customHeight="1" ht="15">
      <c r="A1624" s="20" t="inlineStr">
        <is>
          <r>
            <t xml:space="preserve">Material</t>
          </r>
        </is>
      </c>
      <c r="B1624" s="20" t="inlineStr"/>
      <c r="C1624" s="21" t="inlineStr">
        <is>
          <r>
            <t xml:space="preserve">FONTE</t>
          </r>
        </is>
      </c>
      <c r="D1624" s="21" t="inlineStr">
        <is>
          <r>
            <t xml:space="preserve">UNID</t>
          </r>
        </is>
      </c>
      <c r="E1624" s="21" t="inlineStr">
        <is>
          <r>
            <t xml:space="preserve">COEFICIENTE</t>
          </r>
        </is>
      </c>
      <c r="F1624" s="21" t="inlineStr">
        <is>
          <r>
            <t xml:space="preserve">PREÇO UNITÁRIO</t>
          </r>
        </is>
      </c>
      <c r="G1624" s="21" t="inlineStr">
        <is>
          <r>
            <t xml:space="preserve">TOTAL</t>
          </r>
        </is>
      </c>
    </row>
    <row r="1625" customHeight="1" ht="15">
      <c r="A1625" s="22" t="inlineStr">
        <is>
          <r>
            <t xml:space="preserve">I2707</t>
          </r>
        </is>
      </c>
      <c r="B1625" s="23" t="inlineStr">
        <is>
          <r>
            <t xml:space="preserve">GASOLINA</t>
          </r>
        </is>
      </c>
      <c r="C1625" s="22" t="inlineStr">
        <is>
          <r>
            <t xml:space="preserve">SEINFRA</t>
          </r>
        </is>
      </c>
      <c r="D1625" s="22" t="inlineStr">
        <is>
          <r>
            <t xml:space="preserve">L</t>
          </r>
        </is>
      </c>
      <c r="E1625" s="24" t="n">
        <v>9.718</v>
      </c>
      <c r="F1625" s="30" t="n">
        <v>5.08</v>
      </c>
      <c r="G1625" s="30" t="n">
        <f>ROUND(ROUND(E1625,8)*F1625,4)</f>
        <v>49.3674</v>
      </c>
    </row>
    <row r="1626" customHeight="1" ht="15">
      <c r="A1626" s="2" t="inlineStr"/>
      <c r="B1626" s="2" t="inlineStr"/>
      <c r="C1626" s="2" t="inlineStr"/>
      <c r="D1626" s="2" t="inlineStr"/>
      <c r="E1626" s="26" t="inlineStr">
        <is>
          <r>
            <t xml:space="preserve">TOTAL Material:</t>
          </r>
        </is>
      </c>
      <c r="F1626" s="26" t="inlineStr"/>
      <c r="G1626" s="31" t="n">
        <f>SUM(G1625:G1625)</f>
        <v>49.3674</v>
      </c>
    </row>
    <row r="1627" customHeight="1" ht="15">
      <c r="A1627" s="2" t="inlineStr"/>
      <c r="B1627" s="2" t="inlineStr"/>
      <c r="C1627" s="2" t="inlineStr"/>
      <c r="D1627" s="2" t="inlineStr"/>
      <c r="E1627" s="28" t="inlineStr">
        <is>
          <r>
            <t xml:space="preserve">VALOR:</t>
          </r>
        </is>
      </c>
      <c r="F1627" s="28" t="inlineStr"/>
      <c r="G1627" s="29" t="n">
        <f>ROUND(SUM(G1626),2)</f>
        <v>49.37</v>
      </c>
    </row>
    <row r="1628" customHeight="1" ht="15">
      <c r="A1628" s="2" t="inlineStr"/>
      <c r="B1628" s="2" t="inlineStr"/>
      <c r="C1628" s="2" t="inlineStr"/>
      <c r="D1628" s="2" t="inlineStr"/>
      <c r="E1628" s="28" t="inlineStr">
        <is>
          <r>
            <t xml:space="preserve">VALOR BDI:</t>
          </r>
        </is>
      </c>
      <c r="F1628" s="28" t="inlineStr"/>
      <c r="G1628" s="29" t="n">
        <f>ROUND(G1627*(0/100),2)</f>
        <v>0.0</v>
      </c>
    </row>
    <row r="1629" customHeight="1" ht="15">
      <c r="A1629" s="2" t="inlineStr"/>
      <c r="B1629" s="2" t="inlineStr"/>
      <c r="C1629" s="2" t="inlineStr"/>
      <c r="D1629" s="2" t="inlineStr"/>
      <c r="E1629" s="28" t="inlineStr">
        <is>
          <r>
            <t xml:space="preserve">VALOR COM BDI:</t>
          </r>
        </is>
      </c>
      <c r="F1629" s="28" t="inlineStr"/>
      <c r="G1629" s="29" t="n">
        <f>G1628+G1627</f>
        <v>49.37</v>
      </c>
    </row>
    <row r="1630" customHeight="1" ht="10">
      <c r="A1630" s="2" t="inlineStr"/>
      <c r="B1630" s="2" t="inlineStr"/>
      <c r="C1630" s="2" t="inlineStr"/>
      <c r="D1630" s="2" t="inlineStr"/>
      <c r="E1630" s="18" t="inlineStr"/>
      <c r="F1630" s="18" t="inlineStr"/>
      <c r="G1630" s="18" t="inlineStr"/>
    </row>
    <row r="1631" customHeight="1" ht="20">
      <c r="A1631" s="19" t="inlineStr">
        <is>
          <r>
            <t xml:space="preserve">​I0639​ MESA VIBRATÓRIA E FORMAS (CHI)​ (H)</t>
          </r>
        </is>
      </c>
      <c r="B1631" s="19" t="inlineStr"/>
      <c r="C1631" s="19" t="inlineStr"/>
      <c r="D1631" s="19" t="inlineStr"/>
      <c r="E1631" s="19" t="inlineStr"/>
      <c r="F1631" s="19" t="inlineStr"/>
      <c r="G1631" s="19" t="inlineStr"/>
    </row>
    <row r="1632" customHeight="1" ht="15">
      <c r="A1632" s="20" t="inlineStr">
        <is>
          <r>
            <t xml:space="preserve">Geral</t>
          </r>
        </is>
      </c>
      <c r="B1632" s="20" t="inlineStr"/>
      <c r="C1632" s="21" t="inlineStr">
        <is>
          <r>
            <t xml:space="preserve">FONTE</t>
          </r>
        </is>
      </c>
      <c r="D1632" s="21" t="inlineStr">
        <is>
          <r>
            <t xml:space="preserve">UNID</t>
          </r>
        </is>
      </c>
      <c r="E1632" s="21" t="inlineStr">
        <is>
          <r>
            <t xml:space="preserve">COEFICIENTE</t>
          </r>
        </is>
      </c>
      <c r="F1632" s="21" t="inlineStr">
        <is>
          <r>
            <t xml:space="preserve">PREÇO UNITÁRIO</t>
          </r>
        </is>
      </c>
      <c r="G1632" s="21" t="inlineStr">
        <is>
          <r>
            <t xml:space="preserve">TOTAL</t>
          </r>
        </is>
      </c>
    </row>
    <row r="1633" customHeight="1" ht="21">
      <c r="A1633" s="22" t="inlineStr">
        <is>
          <r>
            <t xml:space="preserve">I2815</t>
          </r>
        </is>
      </c>
      <c r="B1633" s="23" t="inlineStr">
        <is>
          <r>
            <t xml:space="preserve">MÃO DE OBRA DE OPERAÇÃO DA MESA VIBRATÓRIA E FORMAS</t>
          </r>
        </is>
      </c>
      <c r="C1633" s="22" t="inlineStr">
        <is>
          <r>
            <t xml:space="preserve">SEINFRA</t>
          </r>
        </is>
      </c>
      <c r="D1633" s="22" t="inlineStr">
        <is>
          <r>
            <t xml:space="preserve">H</t>
          </r>
        </is>
      </c>
      <c r="E1633" s="24" t="n">
        <v>1.0</v>
      </c>
      <c r="F1633" s="30" t="n">
        <v>18.46</v>
      </c>
      <c r="G1633" s="30" t="n">
        <f>ROUND(ROUND(E1633,8)*F1633,4)</f>
        <v>18.46</v>
      </c>
    </row>
    <row r="1634" customHeight="1" ht="15">
      <c r="A1634" s="22" t="inlineStr">
        <is>
          <r>
            <t xml:space="preserve">I2701</t>
          </r>
        </is>
      </c>
      <c r="B1634" s="23" t="inlineStr">
        <is>
          <r>
            <t xml:space="preserve">DEPRECIAÇÃO</t>
          </r>
        </is>
      </c>
      <c r="C1634" s="22" t="inlineStr">
        <is>
          <r>
            <t xml:space="preserve">SEINFRA</t>
          </r>
        </is>
      </c>
      <c r="D1634" s="22" t="inlineStr">
        <is>
          <r>
            <t xml:space="preserve">H</t>
          </r>
        </is>
      </c>
      <c r="E1634" s="24" t="n">
        <v>3.484</v>
      </c>
      <c r="F1634" s="30" t="n">
        <v>1.0</v>
      </c>
      <c r="G1634" s="30" t="n">
        <f>ROUND(ROUND(E1634,8)*F1634,4)</f>
        <v>3.484</v>
      </c>
    </row>
    <row r="1635" customHeight="1" ht="15">
      <c r="A1635" s="22" t="inlineStr">
        <is>
          <r>
            <t xml:space="preserve">I2702</t>
          </r>
        </is>
      </c>
      <c r="B1635" s="23" t="inlineStr">
        <is>
          <r>
            <t xml:space="preserve">JUROS</t>
          </r>
        </is>
      </c>
      <c r="C1635" s="22" t="inlineStr">
        <is>
          <r>
            <t xml:space="preserve">SEINFRA</t>
          </r>
        </is>
      </c>
      <c r="D1635" s="22" t="inlineStr">
        <is>
          <r>
            <t xml:space="preserve">H</t>
          </r>
        </is>
      </c>
      <c r="E1635" s="24" t="n">
        <v>1.2775</v>
      </c>
      <c r="F1635" s="30" t="n">
        <v>1.0</v>
      </c>
      <c r="G1635" s="30" t="n">
        <f>ROUND(ROUND(E1635,8)*F1635,4)</f>
        <v>1.2775</v>
      </c>
    </row>
    <row r="1636" customHeight="1" ht="15">
      <c r="A1636" s="2" t="inlineStr"/>
      <c r="B1636" s="2" t="inlineStr"/>
      <c r="C1636" s="2" t="inlineStr"/>
      <c r="D1636" s="2" t="inlineStr"/>
      <c r="E1636" s="26" t="inlineStr">
        <is>
          <r>
            <t xml:space="preserve">TOTAL Geral:</t>
          </r>
        </is>
      </c>
      <c r="F1636" s="26" t="inlineStr"/>
      <c r="G1636" s="31" t="n">
        <f>SUM(G1633:G1635)</f>
        <v>23.2215</v>
      </c>
    </row>
    <row r="1637" customHeight="1" ht="15">
      <c r="A1637" s="2" t="inlineStr"/>
      <c r="B1637" s="2" t="inlineStr"/>
      <c r="C1637" s="2" t="inlineStr"/>
      <c r="D1637" s="2" t="inlineStr"/>
      <c r="E1637" s="28" t="inlineStr">
        <is>
          <r>
            <t xml:space="preserve">VALOR:</t>
          </r>
        </is>
      </c>
      <c r="F1637" s="28" t="inlineStr"/>
      <c r="G1637" s="29" t="n">
        <f>ROUND(SUM(G1636),2)</f>
        <v>23.22</v>
      </c>
    </row>
    <row r="1638" customHeight="1" ht="15">
      <c r="A1638" s="2" t="inlineStr"/>
      <c r="B1638" s="2" t="inlineStr"/>
      <c r="C1638" s="2" t="inlineStr"/>
      <c r="D1638" s="2" t="inlineStr"/>
      <c r="E1638" s="28" t="inlineStr">
        <is>
          <r>
            <t xml:space="preserve">VALOR BDI:</t>
          </r>
        </is>
      </c>
      <c r="F1638" s="28" t="inlineStr"/>
      <c r="G1638" s="29" t="n">
        <f>ROUND(G1637*(0/100),2)</f>
        <v>0.0</v>
      </c>
    </row>
    <row r="1639" customHeight="1" ht="15">
      <c r="A1639" s="2" t="inlineStr"/>
      <c r="B1639" s="2" t="inlineStr"/>
      <c r="C1639" s="2" t="inlineStr"/>
      <c r="D1639" s="2" t="inlineStr"/>
      <c r="E1639" s="28" t="inlineStr">
        <is>
          <r>
            <t xml:space="preserve">VALOR COM BDI:</t>
          </r>
        </is>
      </c>
      <c r="F1639" s="28" t="inlineStr"/>
      <c r="G1639" s="29" t="n">
        <f>G1638+G1637</f>
        <v>23.22</v>
      </c>
    </row>
    <row r="1640" customHeight="1" ht="10">
      <c r="A1640" s="2" t="inlineStr"/>
      <c r="B1640" s="2" t="inlineStr"/>
      <c r="C1640" s="2" t="inlineStr"/>
      <c r="D1640" s="2" t="inlineStr"/>
      <c r="E1640" s="18" t="inlineStr"/>
      <c r="F1640" s="18" t="inlineStr"/>
      <c r="G1640" s="18" t="inlineStr"/>
    </row>
    <row r="1641" customHeight="1" ht="20">
      <c r="A1641" s="19" t="inlineStr">
        <is>
          <r>
            <t xml:space="preserve">​I0753​ MESA VIBRATÓRIA E FORMAS (CHP)​ (H)</t>
          </r>
        </is>
      </c>
      <c r="B1641" s="19" t="inlineStr"/>
      <c r="C1641" s="19" t="inlineStr"/>
      <c r="D1641" s="19" t="inlineStr"/>
      <c r="E1641" s="19" t="inlineStr"/>
      <c r="F1641" s="19" t="inlineStr"/>
      <c r="G1641" s="19" t="inlineStr"/>
    </row>
    <row r="1642" customHeight="1" ht="15">
      <c r="A1642" s="20" t="inlineStr">
        <is>
          <r>
            <t xml:space="preserve">Geral</t>
          </r>
        </is>
      </c>
      <c r="B1642" s="20" t="inlineStr"/>
      <c r="C1642" s="21" t="inlineStr">
        <is>
          <r>
            <t xml:space="preserve">FONTE</t>
          </r>
        </is>
      </c>
      <c r="D1642" s="21" t="inlineStr">
        <is>
          <r>
            <t xml:space="preserve">UNID</t>
          </r>
        </is>
      </c>
      <c r="E1642" s="21" t="inlineStr">
        <is>
          <r>
            <t xml:space="preserve">COEFICIENTE</t>
          </r>
        </is>
      </c>
      <c r="F1642" s="21" t="inlineStr">
        <is>
          <r>
            <t xml:space="preserve">PREÇO UNITÁRIO</t>
          </r>
        </is>
      </c>
      <c r="G1642" s="21" t="inlineStr">
        <is>
          <r>
            <t xml:space="preserve">TOTAL</t>
          </r>
        </is>
      </c>
    </row>
    <row r="1643" customHeight="1" ht="21">
      <c r="A1643" s="22" t="inlineStr">
        <is>
          <r>
            <t xml:space="preserve">I2815</t>
          </r>
        </is>
      </c>
      <c r="B1643" s="23" t="inlineStr">
        <is>
          <r>
            <t xml:space="preserve">MÃO DE OBRA DE OPERAÇÃO DA MESA VIBRATÓRIA E FORMAS</t>
          </r>
        </is>
      </c>
      <c r="C1643" s="22" t="inlineStr">
        <is>
          <r>
            <t xml:space="preserve">SEINFRA</t>
          </r>
        </is>
      </c>
      <c r="D1643" s="22" t="inlineStr">
        <is>
          <r>
            <t xml:space="preserve">H</t>
          </r>
        </is>
      </c>
      <c r="E1643" s="24" t="n">
        <v>1.0</v>
      </c>
      <c r="F1643" s="30" t="n">
        <v>18.46</v>
      </c>
      <c r="G1643" s="30" t="n">
        <f>ROUND(ROUND(E1643,8)*F1643,4)</f>
        <v>18.46</v>
      </c>
    </row>
    <row r="1644" customHeight="1" ht="15">
      <c r="A1644" s="22" t="inlineStr">
        <is>
          <r>
            <t xml:space="preserve">I2701</t>
          </r>
        </is>
      </c>
      <c r="B1644" s="23" t="inlineStr">
        <is>
          <r>
            <t xml:space="preserve">DEPRECIAÇÃO</t>
          </r>
        </is>
      </c>
      <c r="C1644" s="22" t="inlineStr">
        <is>
          <r>
            <t xml:space="preserve">SEINFRA</t>
          </r>
        </is>
      </c>
      <c r="D1644" s="22" t="inlineStr">
        <is>
          <r>
            <t xml:space="preserve">H</t>
          </r>
        </is>
      </c>
      <c r="E1644" s="24" t="n">
        <v>3.484</v>
      </c>
      <c r="F1644" s="30" t="n">
        <v>1.0</v>
      </c>
      <c r="G1644" s="30" t="n">
        <f>ROUND(ROUND(E1644,8)*F1644,4)</f>
        <v>3.484</v>
      </c>
    </row>
    <row r="1645" customHeight="1" ht="15">
      <c r="A1645" s="22" t="inlineStr">
        <is>
          <r>
            <t xml:space="preserve">I2702</t>
          </r>
        </is>
      </c>
      <c r="B1645" s="23" t="inlineStr">
        <is>
          <r>
            <t xml:space="preserve">JUROS</t>
          </r>
        </is>
      </c>
      <c r="C1645" s="22" t="inlineStr">
        <is>
          <r>
            <t xml:space="preserve">SEINFRA</t>
          </r>
        </is>
      </c>
      <c r="D1645" s="22" t="inlineStr">
        <is>
          <r>
            <t xml:space="preserve">H</t>
          </r>
        </is>
      </c>
      <c r="E1645" s="24" t="n">
        <v>1.2775</v>
      </c>
      <c r="F1645" s="30" t="n">
        <v>1.0</v>
      </c>
      <c r="G1645" s="30" t="n">
        <f>ROUND(ROUND(E1645,8)*F1645,4)</f>
        <v>1.2775</v>
      </c>
    </row>
    <row r="1646" customHeight="1" ht="15">
      <c r="A1646" s="22" t="inlineStr">
        <is>
          <r>
            <t xml:space="preserve">I2703</t>
          </r>
        </is>
      </c>
      <c r="B1646" s="23" t="inlineStr">
        <is>
          <r>
            <t xml:space="preserve">MANUTENÇÃO</t>
          </r>
        </is>
      </c>
      <c r="C1646" s="22" t="inlineStr">
        <is>
          <r>
            <t xml:space="preserve">SEINFRA</t>
          </r>
        </is>
      </c>
      <c r="D1646" s="22" t="inlineStr">
        <is>
          <r>
            <t xml:space="preserve">H</t>
          </r>
        </is>
      </c>
      <c r="E1646" s="24" t="n">
        <v>1.9356</v>
      </c>
      <c r="F1646" s="30" t="n">
        <v>1.0</v>
      </c>
      <c r="G1646" s="30" t="n">
        <f>ROUND(ROUND(E1646,8)*F1646,4)</f>
        <v>1.9356</v>
      </c>
    </row>
    <row r="1647" customHeight="1" ht="15">
      <c r="A1647" s="2" t="inlineStr"/>
      <c r="B1647" s="2" t="inlineStr"/>
      <c r="C1647" s="2" t="inlineStr"/>
      <c r="D1647" s="2" t="inlineStr"/>
      <c r="E1647" s="26" t="inlineStr">
        <is>
          <r>
            <t xml:space="preserve">TOTAL Geral:</t>
          </r>
        </is>
      </c>
      <c r="F1647" s="26" t="inlineStr"/>
      <c r="G1647" s="31" t="n">
        <f>SUM(G1643:G1646)</f>
        <v>25.1571</v>
      </c>
    </row>
    <row r="1648" customHeight="1" ht="15">
      <c r="A1648" s="2" t="inlineStr"/>
      <c r="B1648" s="2" t="inlineStr"/>
      <c r="C1648" s="2" t="inlineStr"/>
      <c r="D1648" s="2" t="inlineStr"/>
      <c r="E1648" s="28" t="inlineStr">
        <is>
          <r>
            <t xml:space="preserve">VALOR:</t>
          </r>
        </is>
      </c>
      <c r="F1648" s="28" t="inlineStr"/>
      <c r="G1648" s="29" t="n">
        <f>ROUND(SUM(G1647),2)</f>
        <v>25.16</v>
      </c>
    </row>
    <row r="1649" customHeight="1" ht="15">
      <c r="A1649" s="2" t="inlineStr"/>
      <c r="B1649" s="2" t="inlineStr"/>
      <c r="C1649" s="2" t="inlineStr"/>
      <c r="D1649" s="2" t="inlineStr"/>
      <c r="E1649" s="28" t="inlineStr">
        <is>
          <r>
            <t xml:space="preserve">VALOR BDI:</t>
          </r>
        </is>
      </c>
      <c r="F1649" s="28" t="inlineStr"/>
      <c r="G1649" s="29" t="n">
        <f>ROUND(G1648*(0/100),2)</f>
        <v>0.0</v>
      </c>
    </row>
    <row r="1650" customHeight="1" ht="15">
      <c r="A1650" s="2" t="inlineStr"/>
      <c r="B1650" s="2" t="inlineStr"/>
      <c r="C1650" s="2" t="inlineStr"/>
      <c r="D1650" s="2" t="inlineStr"/>
      <c r="E1650" s="28" t="inlineStr">
        <is>
          <r>
            <t xml:space="preserve">VALOR COM BDI:</t>
          </r>
        </is>
      </c>
      <c r="F1650" s="28" t="inlineStr"/>
      <c r="G1650" s="29" t="n">
        <f>G1649+G1648</f>
        <v>25.16</v>
      </c>
    </row>
    <row r="1651" customHeight="1" ht="10">
      <c r="A1651" s="2" t="inlineStr"/>
      <c r="B1651" s="2" t="inlineStr"/>
      <c r="C1651" s="2" t="inlineStr"/>
      <c r="D1651" s="2" t="inlineStr"/>
      <c r="E1651" s="18" t="inlineStr"/>
      <c r="F1651" s="18" t="inlineStr"/>
      <c r="G1651" s="18" t="inlineStr"/>
    </row>
    <row r="1652" customHeight="1" ht="20">
      <c r="A1652" s="19" t="inlineStr">
        <is>
          <r>
            <t xml:space="preserve">​I0642​ MOTO NIVELADORA (CHI)​ (H)</t>
          </r>
        </is>
      </c>
      <c r="B1652" s="19" t="inlineStr"/>
      <c r="C1652" s="19" t="inlineStr"/>
      <c r="D1652" s="19" t="inlineStr"/>
      <c r="E1652" s="19" t="inlineStr"/>
      <c r="F1652" s="19" t="inlineStr"/>
      <c r="G1652" s="19" t="inlineStr"/>
    </row>
    <row r="1653" customHeight="1" ht="15">
      <c r="A1653" s="20" t="inlineStr">
        <is>
          <r>
            <t xml:space="preserve">Geral</t>
          </r>
        </is>
      </c>
      <c r="B1653" s="20" t="inlineStr"/>
      <c r="C1653" s="21" t="inlineStr">
        <is>
          <r>
            <t xml:space="preserve">FONTE</t>
          </r>
        </is>
      </c>
      <c r="D1653" s="21" t="inlineStr">
        <is>
          <r>
            <t xml:space="preserve">UNID</t>
          </r>
        </is>
      </c>
      <c r="E1653" s="21" t="inlineStr">
        <is>
          <r>
            <t xml:space="preserve">COEFICIENTE</t>
          </r>
        </is>
      </c>
      <c r="F1653" s="21" t="inlineStr">
        <is>
          <r>
            <t xml:space="preserve">PREÇO UNITÁRIO</t>
          </r>
        </is>
      </c>
      <c r="G1653" s="21" t="inlineStr">
        <is>
          <r>
            <t xml:space="preserve">TOTAL</t>
          </r>
        </is>
      </c>
    </row>
    <row r="1654" customHeight="1" ht="15">
      <c r="A1654" s="22" t="inlineStr">
        <is>
          <r>
            <t xml:space="preserve">I2821</t>
          </r>
        </is>
      </c>
      <c r="B1654" s="23" t="inlineStr">
        <is>
          <r>
            <t xml:space="preserve">MÃO DE OBRA DE OPERAÇÃO DA MOTO NIVELADORA</t>
          </r>
        </is>
      </c>
      <c r="C1654" s="22" t="inlineStr">
        <is>
          <r>
            <t xml:space="preserve">SEINFRA</t>
          </r>
        </is>
      </c>
      <c r="D1654" s="22" t="inlineStr">
        <is>
          <r>
            <t xml:space="preserve">H</t>
          </r>
        </is>
      </c>
      <c r="E1654" s="24" t="n">
        <v>1.0</v>
      </c>
      <c r="F1654" s="30" t="n">
        <v>32.8</v>
      </c>
      <c r="G1654" s="30" t="n">
        <f>ROUND(ROUND(E1654,8)*F1654,4)</f>
        <v>32.8</v>
      </c>
    </row>
    <row r="1655" customHeight="1" ht="15">
      <c r="A1655" s="22" t="inlineStr">
        <is>
          <r>
            <t xml:space="preserve">I2701</t>
          </r>
        </is>
      </c>
      <c r="B1655" s="23" t="inlineStr">
        <is>
          <r>
            <t xml:space="preserve">DEPRECIAÇÃO</t>
          </r>
        </is>
      </c>
      <c r="C1655" s="22" t="inlineStr">
        <is>
          <r>
            <t xml:space="preserve">SEINFRA</t>
          </r>
        </is>
      </c>
      <c r="D1655" s="22" t="inlineStr">
        <is>
          <r>
            <t xml:space="preserve">H</t>
          </r>
        </is>
      </c>
      <c r="E1655" s="24" t="n">
        <v>64.8423</v>
      </c>
      <c r="F1655" s="30" t="n">
        <v>1.0</v>
      </c>
      <c r="G1655" s="30" t="n">
        <f>ROUND(ROUND(E1655,8)*F1655,4)</f>
        <v>64.8423</v>
      </c>
    </row>
    <row r="1656" customHeight="1" ht="15">
      <c r="A1656" s="22" t="inlineStr">
        <is>
          <r>
            <t xml:space="preserve">I2702</t>
          </r>
        </is>
      </c>
      <c r="B1656" s="23" t="inlineStr">
        <is>
          <r>
            <t xml:space="preserve">JUROS</t>
          </r>
        </is>
      </c>
      <c r="C1656" s="22" t="inlineStr">
        <is>
          <r>
            <t xml:space="preserve">SEINFRA</t>
          </r>
        </is>
      </c>
      <c r="D1656" s="22" t="inlineStr">
        <is>
          <r>
            <t xml:space="preserve">H</t>
          </r>
        </is>
      </c>
      <c r="E1656" s="24" t="n">
        <v>24.3159</v>
      </c>
      <c r="F1656" s="30" t="n">
        <v>1.0</v>
      </c>
      <c r="G1656" s="30" t="n">
        <f>ROUND(ROUND(E1656,8)*F1656,4)</f>
        <v>24.3159</v>
      </c>
    </row>
    <row r="1657" customHeight="1" ht="15">
      <c r="A1657" s="2" t="inlineStr"/>
      <c r="B1657" s="2" t="inlineStr"/>
      <c r="C1657" s="2" t="inlineStr"/>
      <c r="D1657" s="2" t="inlineStr"/>
      <c r="E1657" s="26" t="inlineStr">
        <is>
          <r>
            <t xml:space="preserve">TOTAL Geral:</t>
          </r>
        </is>
      </c>
      <c r="F1657" s="26" t="inlineStr"/>
      <c r="G1657" s="31" t="n">
        <f>SUM(G1654:G1656)</f>
        <v>121.9582</v>
      </c>
    </row>
    <row r="1658" customHeight="1" ht="15">
      <c r="A1658" s="2" t="inlineStr"/>
      <c r="B1658" s="2" t="inlineStr"/>
      <c r="C1658" s="2" t="inlineStr"/>
      <c r="D1658" s="2" t="inlineStr"/>
      <c r="E1658" s="28" t="inlineStr">
        <is>
          <r>
            <t xml:space="preserve">VALOR:</t>
          </r>
        </is>
      </c>
      <c r="F1658" s="28" t="inlineStr"/>
      <c r="G1658" s="29" t="n">
        <f>ROUND(SUM(G1657),2)</f>
        <v>121.96</v>
      </c>
    </row>
    <row r="1659" customHeight="1" ht="15">
      <c r="A1659" s="2" t="inlineStr"/>
      <c r="B1659" s="2" t="inlineStr"/>
      <c r="C1659" s="2" t="inlineStr"/>
      <c r="D1659" s="2" t="inlineStr"/>
      <c r="E1659" s="28" t="inlineStr">
        <is>
          <r>
            <t xml:space="preserve">VALOR BDI:</t>
          </r>
        </is>
      </c>
      <c r="F1659" s="28" t="inlineStr"/>
      <c r="G1659" s="29" t="n">
        <f>ROUND(G1658*(0/100),2)</f>
        <v>0.0</v>
      </c>
    </row>
    <row r="1660" customHeight="1" ht="15">
      <c r="A1660" s="2" t="inlineStr"/>
      <c r="B1660" s="2" t="inlineStr"/>
      <c r="C1660" s="2" t="inlineStr"/>
      <c r="D1660" s="2" t="inlineStr"/>
      <c r="E1660" s="28" t="inlineStr">
        <is>
          <r>
            <t xml:space="preserve">VALOR COM BDI:</t>
          </r>
        </is>
      </c>
      <c r="F1660" s="28" t="inlineStr"/>
      <c r="G1660" s="29" t="n">
        <f>G1659+G1658</f>
        <v>121.96</v>
      </c>
    </row>
    <row r="1661" customHeight="1" ht="10">
      <c r="A1661" s="2" t="inlineStr"/>
      <c r="B1661" s="2" t="inlineStr"/>
      <c r="C1661" s="2" t="inlineStr"/>
      <c r="D1661" s="2" t="inlineStr"/>
      <c r="E1661" s="18" t="inlineStr"/>
      <c r="F1661" s="18" t="inlineStr"/>
      <c r="G1661" s="18" t="inlineStr"/>
    </row>
    <row r="1662" customHeight="1" ht="20">
      <c r="A1662" s="19" t="inlineStr">
        <is>
          <r>
            <t xml:space="preserve">​I0756​ MOTO NIVELADORA (CHP)​ (H)</t>
          </r>
        </is>
      </c>
      <c r="B1662" s="19" t="inlineStr"/>
      <c r="C1662" s="19" t="inlineStr"/>
      <c r="D1662" s="19" t="inlineStr"/>
      <c r="E1662" s="19" t="inlineStr"/>
      <c r="F1662" s="19" t="inlineStr"/>
      <c r="G1662" s="19" t="inlineStr"/>
    </row>
    <row r="1663" customHeight="1" ht="15">
      <c r="A1663" s="20" t="inlineStr">
        <is>
          <r>
            <t xml:space="preserve">Geral</t>
          </r>
        </is>
      </c>
      <c r="B1663" s="20" t="inlineStr"/>
      <c r="C1663" s="21" t="inlineStr">
        <is>
          <r>
            <t xml:space="preserve">FONTE</t>
          </r>
        </is>
      </c>
      <c r="D1663" s="21" t="inlineStr">
        <is>
          <r>
            <t xml:space="preserve">UNID</t>
          </r>
        </is>
      </c>
      <c r="E1663" s="21" t="inlineStr">
        <is>
          <r>
            <t xml:space="preserve">COEFICIENTE</t>
          </r>
        </is>
      </c>
      <c r="F1663" s="21" t="inlineStr">
        <is>
          <r>
            <t xml:space="preserve">PREÇO UNITÁRIO</t>
          </r>
        </is>
      </c>
      <c r="G1663" s="21" t="inlineStr">
        <is>
          <r>
            <t xml:space="preserve">TOTAL</t>
          </r>
        </is>
      </c>
    </row>
    <row r="1664" customHeight="1" ht="15">
      <c r="A1664" s="22" t="inlineStr">
        <is>
          <r>
            <t xml:space="preserve">I2821</t>
          </r>
        </is>
      </c>
      <c r="B1664" s="23" t="inlineStr">
        <is>
          <r>
            <t xml:space="preserve">MÃO DE OBRA DE OPERAÇÃO DA MOTO NIVELADORA</t>
          </r>
        </is>
      </c>
      <c r="C1664" s="22" t="inlineStr">
        <is>
          <r>
            <t xml:space="preserve">SEINFRA</t>
          </r>
        </is>
      </c>
      <c r="D1664" s="22" t="inlineStr">
        <is>
          <r>
            <t xml:space="preserve">H</t>
          </r>
        </is>
      </c>
      <c r="E1664" s="24" t="n">
        <v>1.0</v>
      </c>
      <c r="F1664" s="30" t="n">
        <v>32.8</v>
      </c>
      <c r="G1664" s="30" t="n">
        <f>ROUND(ROUND(E1664,8)*F1664,4)</f>
        <v>32.8</v>
      </c>
    </row>
    <row r="1665" customHeight="1" ht="15">
      <c r="A1665" s="22" t="inlineStr">
        <is>
          <r>
            <t xml:space="preserve">I2820</t>
          </r>
        </is>
      </c>
      <c r="B1665" s="23" t="inlineStr">
        <is>
          <r>
            <t xml:space="preserve">MATERIAL DE OPERAÇÃO DA MOTO NIVELADORA</t>
          </r>
        </is>
      </c>
      <c r="C1665" s="22" t="inlineStr">
        <is>
          <r>
            <t xml:space="preserve">SEINFRA</t>
          </r>
        </is>
      </c>
      <c r="D1665" s="22" t="inlineStr">
        <is>
          <r>
            <t xml:space="preserve">H</t>
          </r>
        </is>
      </c>
      <c r="E1665" s="24" t="n">
        <v>1.0</v>
      </c>
      <c r="F1665" s="30" t="n">
        <v>104.79</v>
      </c>
      <c r="G1665" s="30" t="n">
        <f>ROUND(ROUND(E1665,8)*F1665,4)</f>
        <v>104.79</v>
      </c>
    </row>
    <row r="1666" customHeight="1" ht="15">
      <c r="A1666" s="22" t="inlineStr">
        <is>
          <r>
            <t xml:space="preserve">I2701</t>
          </r>
        </is>
      </c>
      <c r="B1666" s="23" t="inlineStr">
        <is>
          <r>
            <t xml:space="preserve">DEPRECIAÇÃO</t>
          </r>
        </is>
      </c>
      <c r="C1666" s="22" t="inlineStr">
        <is>
          <r>
            <t xml:space="preserve">SEINFRA</t>
          </r>
        </is>
      </c>
      <c r="D1666" s="22" t="inlineStr">
        <is>
          <r>
            <t xml:space="preserve">H</t>
          </r>
        </is>
      </c>
      <c r="E1666" s="24" t="n">
        <v>64.8423</v>
      </c>
      <c r="F1666" s="30" t="n">
        <v>1.0</v>
      </c>
      <c r="G1666" s="30" t="n">
        <f>ROUND(ROUND(E1666,8)*F1666,4)</f>
        <v>64.8423</v>
      </c>
    </row>
    <row r="1667" customHeight="1" ht="15">
      <c r="A1667" s="22" t="inlineStr">
        <is>
          <r>
            <t xml:space="preserve">I2702</t>
          </r>
        </is>
      </c>
      <c r="B1667" s="23" t="inlineStr">
        <is>
          <r>
            <t xml:space="preserve">JUROS</t>
          </r>
        </is>
      </c>
      <c r="C1667" s="22" t="inlineStr">
        <is>
          <r>
            <t xml:space="preserve">SEINFRA</t>
          </r>
        </is>
      </c>
      <c r="D1667" s="22" t="inlineStr">
        <is>
          <r>
            <t xml:space="preserve">H</t>
          </r>
        </is>
      </c>
      <c r="E1667" s="24" t="n">
        <v>24.3159</v>
      </c>
      <c r="F1667" s="30" t="n">
        <v>1.0</v>
      </c>
      <c r="G1667" s="30" t="n">
        <f>ROUND(ROUND(E1667,8)*F1667,4)</f>
        <v>24.3159</v>
      </c>
    </row>
    <row r="1668" customHeight="1" ht="15">
      <c r="A1668" s="22" t="inlineStr">
        <is>
          <r>
            <t xml:space="preserve">I2703</t>
          </r>
        </is>
      </c>
      <c r="B1668" s="23" t="inlineStr">
        <is>
          <r>
            <t xml:space="preserve">MANUTENÇÃO</t>
          </r>
        </is>
      </c>
      <c r="C1668" s="22" t="inlineStr">
        <is>
          <r>
            <t xml:space="preserve">SEINFRA</t>
          </r>
        </is>
      </c>
      <c r="D1668" s="22" t="inlineStr">
        <is>
          <r>
            <t xml:space="preserve">H</t>
          </r>
        </is>
      </c>
      <c r="E1668" s="24" t="n">
        <v>81.0529</v>
      </c>
      <c r="F1668" s="30" t="n">
        <v>1.0</v>
      </c>
      <c r="G1668" s="30" t="n">
        <f>ROUND(ROUND(E1668,8)*F1668,4)</f>
        <v>81.0529</v>
      </c>
    </row>
    <row r="1669" customHeight="1" ht="15">
      <c r="A1669" s="2" t="inlineStr"/>
      <c r="B1669" s="2" t="inlineStr"/>
      <c r="C1669" s="2" t="inlineStr"/>
      <c r="D1669" s="2" t="inlineStr"/>
      <c r="E1669" s="26" t="inlineStr">
        <is>
          <r>
            <t xml:space="preserve">TOTAL Geral:</t>
          </r>
        </is>
      </c>
      <c r="F1669" s="26" t="inlineStr"/>
      <c r="G1669" s="31" t="n">
        <f>SUM(G1664:G1668)</f>
        <v>307.8011</v>
      </c>
    </row>
    <row r="1670" customHeight="1" ht="15">
      <c r="A1670" s="2" t="inlineStr"/>
      <c r="B1670" s="2" t="inlineStr"/>
      <c r="C1670" s="2" t="inlineStr"/>
      <c r="D1670" s="2" t="inlineStr"/>
      <c r="E1670" s="28" t="inlineStr">
        <is>
          <r>
            <t xml:space="preserve">VALOR:</t>
          </r>
        </is>
      </c>
      <c r="F1670" s="28" t="inlineStr"/>
      <c r="G1670" s="29" t="n">
        <f>ROUND(SUM(G1669),2)</f>
        <v>307.8</v>
      </c>
    </row>
    <row r="1671" customHeight="1" ht="15">
      <c r="A1671" s="2" t="inlineStr"/>
      <c r="B1671" s="2" t="inlineStr"/>
      <c r="C1671" s="2" t="inlineStr"/>
      <c r="D1671" s="2" t="inlineStr"/>
      <c r="E1671" s="28" t="inlineStr">
        <is>
          <r>
            <t xml:space="preserve">VALOR BDI:</t>
          </r>
        </is>
      </c>
      <c r="F1671" s="28" t="inlineStr"/>
      <c r="G1671" s="29" t="n">
        <f>ROUND(G1670*(0/100),2)</f>
        <v>0.0</v>
      </c>
    </row>
    <row r="1672" customHeight="1" ht="15">
      <c r="A1672" s="2" t="inlineStr"/>
      <c r="B1672" s="2" t="inlineStr"/>
      <c r="C1672" s="2" t="inlineStr"/>
      <c r="D1672" s="2" t="inlineStr"/>
      <c r="E1672" s="28" t="inlineStr">
        <is>
          <r>
            <t xml:space="preserve">VALOR COM BDI:</t>
          </r>
        </is>
      </c>
      <c r="F1672" s="28" t="inlineStr"/>
      <c r="G1672" s="29" t="n">
        <f>G1671+G1670</f>
        <v>307.8</v>
      </c>
    </row>
    <row r="1673" customHeight="1" ht="10">
      <c r="A1673" s="2" t="inlineStr"/>
      <c r="B1673" s="2" t="inlineStr"/>
      <c r="C1673" s="2" t="inlineStr"/>
      <c r="D1673" s="2" t="inlineStr"/>
      <c r="E1673" s="18" t="inlineStr"/>
      <c r="F1673" s="18" t="inlineStr"/>
      <c r="G1673" s="18" t="inlineStr"/>
    </row>
    <row r="1674" customHeight="1" ht="20">
      <c r="A1674" s="19" t="inlineStr">
        <is>
          <r>
            <t xml:space="preserve">​I0749​ MÁQUINA DE SOLDA (CHP)​ (H)</t>
          </r>
        </is>
      </c>
      <c r="B1674" s="19" t="inlineStr"/>
      <c r="C1674" s="19" t="inlineStr"/>
      <c r="D1674" s="19" t="inlineStr"/>
      <c r="E1674" s="19" t="inlineStr"/>
      <c r="F1674" s="19" t="inlineStr"/>
      <c r="G1674" s="19" t="inlineStr"/>
    </row>
    <row r="1675" customHeight="1" ht="15">
      <c r="A1675" s="20" t="inlineStr">
        <is>
          <r>
            <t xml:space="preserve">Geral</t>
          </r>
        </is>
      </c>
      <c r="B1675" s="20" t="inlineStr"/>
      <c r="C1675" s="21" t="inlineStr">
        <is>
          <r>
            <t xml:space="preserve">FONTE</t>
          </r>
        </is>
      </c>
      <c r="D1675" s="21" t="inlineStr">
        <is>
          <r>
            <t xml:space="preserve">UNID</t>
          </r>
        </is>
      </c>
      <c r="E1675" s="21" t="inlineStr">
        <is>
          <r>
            <t xml:space="preserve">COEFICIENTE</t>
          </r>
        </is>
      </c>
      <c r="F1675" s="21" t="inlineStr">
        <is>
          <r>
            <t xml:space="preserve">PREÇO UNITÁRIO</t>
          </r>
        </is>
      </c>
      <c r="G1675" s="21" t="inlineStr">
        <is>
          <r>
            <t xml:space="preserve">TOTAL</t>
          </r>
        </is>
      </c>
    </row>
    <row r="1676" customHeight="1" ht="15">
      <c r="A1676" s="22" t="inlineStr">
        <is>
          <r>
            <t xml:space="preserve">I2701</t>
          </r>
        </is>
      </c>
      <c r="B1676" s="23" t="inlineStr">
        <is>
          <r>
            <t xml:space="preserve">DEPRECIAÇÃO</t>
          </r>
        </is>
      </c>
      <c r="C1676" s="22" t="inlineStr">
        <is>
          <r>
            <t xml:space="preserve">SEINFRA</t>
          </r>
        </is>
      </c>
      <c r="D1676" s="22" t="inlineStr">
        <is>
          <r>
            <t xml:space="preserve">H</t>
          </r>
        </is>
      </c>
      <c r="E1676" s="24" t="n">
        <v>0.0526</v>
      </c>
      <c r="F1676" s="30" t="n">
        <v>1.0</v>
      </c>
      <c r="G1676" s="30" t="n">
        <f>ROUND(ROUND(E1676,8)*F1676,4)</f>
        <v>0.0526</v>
      </c>
    </row>
    <row r="1677" customHeight="1" ht="15">
      <c r="A1677" s="22" t="inlineStr">
        <is>
          <r>
            <t xml:space="preserve">I2702</t>
          </r>
        </is>
      </c>
      <c r="B1677" s="23" t="inlineStr">
        <is>
          <r>
            <t xml:space="preserve">JUROS</t>
          </r>
        </is>
      </c>
      <c r="C1677" s="22" t="inlineStr">
        <is>
          <r>
            <t xml:space="preserve">SEINFRA</t>
          </r>
        </is>
      </c>
      <c r="D1677" s="22" t="inlineStr">
        <is>
          <r>
            <t xml:space="preserve">H</t>
          </r>
        </is>
      </c>
      <c r="E1677" s="24" t="n">
        <v>0.0118</v>
      </c>
      <c r="F1677" s="30" t="n">
        <v>1.0</v>
      </c>
      <c r="G1677" s="30" t="n">
        <f>ROUND(ROUND(E1677,8)*F1677,4)</f>
        <v>0.0118</v>
      </c>
    </row>
    <row r="1678" customHeight="1" ht="15">
      <c r="A1678" s="22" t="inlineStr">
        <is>
          <r>
            <t xml:space="preserve">I2703</t>
          </r>
        </is>
      </c>
      <c r="B1678" s="23" t="inlineStr">
        <is>
          <r>
            <t xml:space="preserve">MANUTENÇÃO</t>
          </r>
        </is>
      </c>
      <c r="C1678" s="22" t="inlineStr">
        <is>
          <r>
            <t xml:space="preserve">SEINFRA</t>
          </r>
        </is>
      </c>
      <c r="D1678" s="22" t="inlineStr">
        <is>
          <r>
            <t xml:space="preserve">H</t>
          </r>
        </is>
      </c>
      <c r="E1678" s="24" t="n">
        <v>0.0328</v>
      </c>
      <c r="F1678" s="30" t="n">
        <v>1.0</v>
      </c>
      <c r="G1678" s="30" t="n">
        <f>ROUND(ROUND(E1678,8)*F1678,4)</f>
        <v>0.0328</v>
      </c>
    </row>
    <row r="1679" customHeight="1" ht="15">
      <c r="A1679" s="2" t="inlineStr"/>
      <c r="B1679" s="2" t="inlineStr"/>
      <c r="C1679" s="2" t="inlineStr"/>
      <c r="D1679" s="2" t="inlineStr"/>
      <c r="E1679" s="26" t="inlineStr">
        <is>
          <r>
            <t xml:space="preserve">TOTAL Geral:</t>
          </r>
        </is>
      </c>
      <c r="F1679" s="26" t="inlineStr"/>
      <c r="G1679" s="31" t="n">
        <f>SUM(G1676:G1678)</f>
        <v>0.0972</v>
      </c>
    </row>
    <row r="1680" customHeight="1" ht="15">
      <c r="A1680" s="2" t="inlineStr"/>
      <c r="B1680" s="2" t="inlineStr"/>
      <c r="C1680" s="2" t="inlineStr"/>
      <c r="D1680" s="2" t="inlineStr"/>
      <c r="E1680" s="28" t="inlineStr">
        <is>
          <r>
            <t xml:space="preserve">VALOR:</t>
          </r>
        </is>
      </c>
      <c r="F1680" s="28" t="inlineStr"/>
      <c r="G1680" s="29" t="n">
        <f>ROUND(SUM(G1679),2)</f>
        <v>0.1</v>
      </c>
    </row>
    <row r="1681" customHeight="1" ht="15">
      <c r="A1681" s="2" t="inlineStr"/>
      <c r="B1681" s="2" t="inlineStr"/>
      <c r="C1681" s="2" t="inlineStr"/>
      <c r="D1681" s="2" t="inlineStr"/>
      <c r="E1681" s="28" t="inlineStr">
        <is>
          <r>
            <t xml:space="preserve">VALOR BDI:</t>
          </r>
        </is>
      </c>
      <c r="F1681" s="28" t="inlineStr"/>
      <c r="G1681" s="29" t="n">
        <f>ROUND(G1680*(0/100),2)</f>
        <v>0.0</v>
      </c>
    </row>
    <row r="1682" customHeight="1" ht="15">
      <c r="A1682" s="2" t="inlineStr"/>
      <c r="B1682" s="2" t="inlineStr"/>
      <c r="C1682" s="2" t="inlineStr"/>
      <c r="D1682" s="2" t="inlineStr"/>
      <c r="E1682" s="28" t="inlineStr">
        <is>
          <r>
            <t xml:space="preserve">VALOR COM BDI:</t>
          </r>
        </is>
      </c>
      <c r="F1682" s="28" t="inlineStr"/>
      <c r="G1682" s="29" t="n">
        <f>G1681+G1680</f>
        <v>0.1</v>
      </c>
    </row>
    <row r="1683" customHeight="1" ht="10">
      <c r="A1683" s="2" t="inlineStr"/>
      <c r="B1683" s="2" t="inlineStr"/>
      <c r="C1683" s="2" t="inlineStr"/>
      <c r="D1683" s="2" t="inlineStr"/>
      <c r="E1683" s="18" t="inlineStr"/>
      <c r="F1683" s="18" t="inlineStr"/>
      <c r="G1683" s="18" t="inlineStr"/>
    </row>
    <row r="1684" customHeight="1" ht="20">
      <c r="A1684" s="19" t="inlineStr">
        <is>
          <r>
            <t xml:space="preserve">​I2751​ MÃO DE OBRA DE OPERAÇÃO DA BOMBA C/ MOTOR DIESEL​ (H)</t>
          </r>
        </is>
      </c>
      <c r="B1684" s="19" t="inlineStr"/>
      <c r="C1684" s="19" t="inlineStr"/>
      <c r="D1684" s="19" t="inlineStr"/>
      <c r="E1684" s="19" t="inlineStr"/>
      <c r="F1684" s="19" t="inlineStr"/>
      <c r="G1684" s="19" t="inlineStr"/>
    </row>
    <row r="1685" customHeight="1" ht="15">
      <c r="A1685" s="20" t="inlineStr">
        <is>
          <r>
            <t xml:space="preserve">Mão de Obra</t>
          </r>
        </is>
      </c>
      <c r="B1685" s="20" t="inlineStr"/>
      <c r="C1685" s="21" t="inlineStr">
        <is>
          <r>
            <t xml:space="preserve">FONTE</t>
          </r>
        </is>
      </c>
      <c r="D1685" s="21" t="inlineStr">
        <is>
          <r>
            <t xml:space="preserve">UNID</t>
          </r>
        </is>
      </c>
      <c r="E1685" s="21" t="inlineStr">
        <is>
          <r>
            <t xml:space="preserve">COEFICIENTE</t>
          </r>
        </is>
      </c>
      <c r="F1685" s="21" t="inlineStr">
        <is>
          <r>
            <t xml:space="preserve">PREÇO UNITÁRIO</t>
          </r>
        </is>
      </c>
      <c r="G1685" s="21" t="inlineStr">
        <is>
          <r>
            <t xml:space="preserve">TOTAL</t>
          </r>
        </is>
      </c>
    </row>
    <row r="1686" customHeight="1" ht="15">
      <c r="A1686" s="22" t="inlineStr">
        <is>
          <r>
            <t xml:space="preserve">I2543</t>
          </r>
        </is>
      </c>
      <c r="B1686" s="23" t="inlineStr">
        <is>
          <r>
            <t xml:space="preserve">SERVENTE</t>
          </r>
        </is>
      </c>
      <c r="C1686" s="22" t="inlineStr">
        <is>
          <r>
            <t xml:space="preserve">SEINFRA</t>
          </r>
        </is>
      </c>
      <c r="D1686" s="22" t="inlineStr">
        <is>
          <r>
            <t xml:space="preserve">H</t>
          </r>
        </is>
      </c>
      <c r="E1686" s="24" t="n">
        <v>1.0</v>
      </c>
      <c r="F1686" s="30" t="n">
        <v>18.46</v>
      </c>
      <c r="G1686" s="30" t="n">
        <f>ROUND(ROUND(E1686,8)*F1686,4)</f>
        <v>18.46</v>
      </c>
    </row>
    <row r="1687" customHeight="1" ht="15">
      <c r="A1687" s="2" t="inlineStr"/>
      <c r="B1687" s="2" t="inlineStr"/>
      <c r="C1687" s="2" t="inlineStr"/>
      <c r="D1687" s="2" t="inlineStr"/>
      <c r="E1687" s="26" t="inlineStr">
        <is>
          <r>
            <t xml:space="preserve">TOTAL Mão de Obra:</t>
          </r>
        </is>
      </c>
      <c r="F1687" s="26" t="inlineStr"/>
      <c r="G1687" s="31" t="n">
        <f>SUM(G1686:G1686)</f>
        <v>18.46</v>
      </c>
    </row>
    <row r="1688" customHeight="1" ht="15">
      <c r="A1688" s="2" t="inlineStr"/>
      <c r="B1688" s="2" t="inlineStr"/>
      <c r="C1688" s="2" t="inlineStr"/>
      <c r="D1688" s="2" t="inlineStr"/>
      <c r="E1688" s="28" t="inlineStr">
        <is>
          <r>
            <t xml:space="preserve">VALOR:</t>
          </r>
        </is>
      </c>
      <c r="F1688" s="28" t="inlineStr"/>
      <c r="G1688" s="29" t="n">
        <f>ROUND(SUM(G1687),2)</f>
        <v>18.46</v>
      </c>
    </row>
    <row r="1689" customHeight="1" ht="15">
      <c r="A1689" s="2" t="inlineStr"/>
      <c r="B1689" s="2" t="inlineStr"/>
      <c r="C1689" s="2" t="inlineStr"/>
      <c r="D1689" s="2" t="inlineStr"/>
      <c r="E1689" s="28" t="inlineStr">
        <is>
          <r>
            <t xml:space="preserve">VALOR BDI:</t>
          </r>
        </is>
      </c>
      <c r="F1689" s="28" t="inlineStr"/>
      <c r="G1689" s="29" t="n">
        <f>ROUND(G1688*(0/100),2)</f>
        <v>0.0</v>
      </c>
    </row>
    <row r="1690" customHeight="1" ht="15">
      <c r="A1690" s="2" t="inlineStr"/>
      <c r="B1690" s="2" t="inlineStr"/>
      <c r="C1690" s="2" t="inlineStr"/>
      <c r="D1690" s="2" t="inlineStr"/>
      <c r="E1690" s="28" t="inlineStr">
        <is>
          <r>
            <t xml:space="preserve">VALOR COM BDI:</t>
          </r>
        </is>
      </c>
      <c r="F1690" s="28" t="inlineStr"/>
      <c r="G1690" s="29" t="n">
        <f>G1689+G1688</f>
        <v>18.46</v>
      </c>
    </row>
    <row r="1691" customHeight="1" ht="10">
      <c r="A1691" s="2" t="inlineStr"/>
      <c r="B1691" s="2" t="inlineStr"/>
      <c r="C1691" s="2" t="inlineStr"/>
      <c r="D1691" s="2" t="inlineStr"/>
      <c r="E1691" s="18" t="inlineStr"/>
      <c r="F1691" s="18" t="inlineStr"/>
      <c r="G1691" s="18" t="inlineStr"/>
    </row>
    <row r="1692" customHeight="1" ht="20">
      <c r="A1692" s="19" t="inlineStr">
        <is>
          <r>
            <t xml:space="preserve">​I2748​ MÃO DE OBRA DE OPERAÇÃO DA CAMINHONETE SAVEIRO​ (H)</t>
          </r>
        </is>
      </c>
      <c r="B1692" s="19" t="inlineStr"/>
      <c r="C1692" s="19" t="inlineStr"/>
      <c r="D1692" s="19" t="inlineStr"/>
      <c r="E1692" s="19" t="inlineStr"/>
      <c r="F1692" s="19" t="inlineStr"/>
      <c r="G1692" s="19" t="inlineStr"/>
    </row>
    <row r="1693" customHeight="1" ht="15">
      <c r="A1693" s="20" t="inlineStr">
        <is>
          <r>
            <t xml:space="preserve">Mão de Obra</t>
          </r>
        </is>
      </c>
      <c r="B1693" s="20" t="inlineStr"/>
      <c r="C1693" s="21" t="inlineStr">
        <is>
          <r>
            <t xml:space="preserve">FONTE</t>
          </r>
        </is>
      </c>
      <c r="D1693" s="21" t="inlineStr">
        <is>
          <r>
            <t xml:space="preserve">UNID</t>
          </r>
        </is>
      </c>
      <c r="E1693" s="21" t="inlineStr">
        <is>
          <r>
            <t xml:space="preserve">COEFICIENTE</t>
          </r>
        </is>
      </c>
      <c r="F1693" s="21" t="inlineStr">
        <is>
          <r>
            <t xml:space="preserve">PREÇO UNITÁRIO</t>
          </r>
        </is>
      </c>
      <c r="G1693" s="21" t="inlineStr">
        <is>
          <r>
            <t xml:space="preserve">TOTAL</t>
          </r>
        </is>
      </c>
    </row>
    <row r="1694" customHeight="1" ht="15">
      <c r="A1694" s="22" t="inlineStr">
        <is>
          <r>
            <t xml:space="preserve">I2380</t>
          </r>
        </is>
      </c>
      <c r="B1694" s="23" t="inlineStr">
        <is>
          <r>
            <t xml:space="preserve">MOTORISTA</t>
          </r>
        </is>
      </c>
      <c r="C1694" s="22" t="inlineStr">
        <is>
          <r>
            <t xml:space="preserve">SEINFRA</t>
          </r>
        </is>
      </c>
      <c r="D1694" s="22" t="inlineStr">
        <is>
          <r>
            <t xml:space="preserve">H</t>
          </r>
        </is>
      </c>
      <c r="E1694" s="24" t="n">
        <v>1.0</v>
      </c>
      <c r="F1694" s="30" t="n">
        <v>18.83</v>
      </c>
      <c r="G1694" s="30" t="n">
        <f>ROUND(ROUND(E1694,8)*F1694,4)</f>
        <v>18.83</v>
      </c>
    </row>
    <row r="1695" customHeight="1" ht="15">
      <c r="A1695" s="2" t="inlineStr"/>
      <c r="B1695" s="2" t="inlineStr"/>
      <c r="C1695" s="2" t="inlineStr"/>
      <c r="D1695" s="2" t="inlineStr"/>
      <c r="E1695" s="26" t="inlineStr">
        <is>
          <r>
            <t xml:space="preserve">TOTAL Mão de Obra:</t>
          </r>
        </is>
      </c>
      <c r="F1695" s="26" t="inlineStr"/>
      <c r="G1695" s="31" t="n">
        <f>SUM(G1694:G1694)</f>
        <v>18.83</v>
      </c>
    </row>
    <row r="1696" customHeight="1" ht="15">
      <c r="A1696" s="2" t="inlineStr"/>
      <c r="B1696" s="2" t="inlineStr"/>
      <c r="C1696" s="2" t="inlineStr"/>
      <c r="D1696" s="2" t="inlineStr"/>
      <c r="E1696" s="28" t="inlineStr">
        <is>
          <r>
            <t xml:space="preserve">VALOR:</t>
          </r>
        </is>
      </c>
      <c r="F1696" s="28" t="inlineStr"/>
      <c r="G1696" s="29" t="n">
        <f>ROUND(SUM(G1695),2)</f>
        <v>18.83</v>
      </c>
    </row>
    <row r="1697" customHeight="1" ht="15">
      <c r="A1697" s="2" t="inlineStr"/>
      <c r="B1697" s="2" t="inlineStr"/>
      <c r="C1697" s="2" t="inlineStr"/>
      <c r="D1697" s="2" t="inlineStr"/>
      <c r="E1697" s="28" t="inlineStr">
        <is>
          <r>
            <t xml:space="preserve">VALOR BDI:</t>
          </r>
        </is>
      </c>
      <c r="F1697" s="28" t="inlineStr"/>
      <c r="G1697" s="29" t="n">
        <f>ROUND(G1696*(0/100),2)</f>
        <v>0.0</v>
      </c>
    </row>
    <row r="1698" customHeight="1" ht="15">
      <c r="A1698" s="2" t="inlineStr"/>
      <c r="B1698" s="2" t="inlineStr"/>
      <c r="C1698" s="2" t="inlineStr"/>
      <c r="D1698" s="2" t="inlineStr"/>
      <c r="E1698" s="28" t="inlineStr">
        <is>
          <r>
            <t xml:space="preserve">VALOR COM BDI:</t>
          </r>
        </is>
      </c>
      <c r="F1698" s="28" t="inlineStr"/>
      <c r="G1698" s="29" t="n">
        <f>G1697+G1696</f>
        <v>18.83</v>
      </c>
    </row>
    <row r="1699" customHeight="1" ht="10">
      <c r="A1699" s="2" t="inlineStr"/>
      <c r="B1699" s="2" t="inlineStr"/>
      <c r="C1699" s="2" t="inlineStr"/>
      <c r="D1699" s="2" t="inlineStr"/>
      <c r="E1699" s="18" t="inlineStr"/>
      <c r="F1699" s="18" t="inlineStr"/>
      <c r="G1699" s="18" t="inlineStr"/>
    </row>
    <row r="1700" customHeight="1" ht="20">
      <c r="A1700" s="19" t="inlineStr">
        <is>
          <r>
            <t xml:space="preserve">​I2753​ MÃO DE OBRA DE OPERAÇÃO DA CARREGADEIRA DE PNEUS (111 HP)​ (H)</t>
          </r>
        </is>
      </c>
      <c r="B1700" s="19" t="inlineStr"/>
      <c r="C1700" s="19" t="inlineStr"/>
      <c r="D1700" s="19" t="inlineStr"/>
      <c r="E1700" s="19" t="inlineStr"/>
      <c r="F1700" s="19" t="inlineStr"/>
      <c r="G1700" s="19" t="inlineStr"/>
    </row>
    <row r="1701" customHeight="1" ht="15">
      <c r="A1701" s="20" t="inlineStr">
        <is>
          <r>
            <t xml:space="preserve">Mão de Obra</t>
          </r>
        </is>
      </c>
      <c r="B1701" s="20" t="inlineStr"/>
      <c r="C1701" s="21" t="inlineStr">
        <is>
          <r>
            <t xml:space="preserve">FONTE</t>
          </r>
        </is>
      </c>
      <c r="D1701" s="21" t="inlineStr">
        <is>
          <r>
            <t xml:space="preserve">UNID</t>
          </r>
        </is>
      </c>
      <c r="E1701" s="21" t="inlineStr">
        <is>
          <r>
            <t xml:space="preserve">COEFICIENTE</t>
          </r>
        </is>
      </c>
      <c r="F1701" s="21" t="inlineStr">
        <is>
          <r>
            <t xml:space="preserve">PREÇO UNITÁRIO</t>
          </r>
        </is>
      </c>
      <c r="G1701" s="21" t="inlineStr">
        <is>
          <r>
            <t xml:space="preserve">TOTAL</t>
          </r>
        </is>
      </c>
    </row>
    <row r="1702" customHeight="1" ht="15">
      <c r="A1702" s="22" t="inlineStr">
        <is>
          <r>
            <t xml:space="preserve">I2550</t>
          </r>
        </is>
      </c>
      <c r="B1702" s="23" t="inlineStr">
        <is>
          <r>
            <t xml:space="preserve">OPERADOR DE CARREGADEIRA</t>
          </r>
        </is>
      </c>
      <c r="C1702" s="22" t="inlineStr">
        <is>
          <r>
            <t xml:space="preserve">SEINFRA</t>
          </r>
        </is>
      </c>
      <c r="D1702" s="22" t="inlineStr">
        <is>
          <r>
            <t xml:space="preserve">H</t>
          </r>
        </is>
      </c>
      <c r="E1702" s="24" t="n">
        <v>1.0</v>
      </c>
      <c r="F1702" s="30" t="n">
        <v>28.81</v>
      </c>
      <c r="G1702" s="30" t="n">
        <f>ROUND(ROUND(E1702,8)*F1702,4)</f>
        <v>28.81</v>
      </c>
    </row>
    <row r="1703" customHeight="1" ht="15">
      <c r="A1703" s="2" t="inlineStr"/>
      <c r="B1703" s="2" t="inlineStr"/>
      <c r="C1703" s="2" t="inlineStr"/>
      <c r="D1703" s="2" t="inlineStr"/>
      <c r="E1703" s="26" t="inlineStr">
        <is>
          <r>
            <t xml:space="preserve">TOTAL Mão de Obra:</t>
          </r>
        </is>
      </c>
      <c r="F1703" s="26" t="inlineStr"/>
      <c r="G1703" s="31" t="n">
        <f>SUM(G1702:G1702)</f>
        <v>28.81</v>
      </c>
    </row>
    <row r="1704" customHeight="1" ht="15">
      <c r="A1704" s="2" t="inlineStr"/>
      <c r="B1704" s="2" t="inlineStr"/>
      <c r="C1704" s="2" t="inlineStr"/>
      <c r="D1704" s="2" t="inlineStr"/>
      <c r="E1704" s="28" t="inlineStr">
        <is>
          <r>
            <t xml:space="preserve">VALOR:</t>
          </r>
        </is>
      </c>
      <c r="F1704" s="28" t="inlineStr"/>
      <c r="G1704" s="29" t="n">
        <f>ROUND(SUM(G1703),2)</f>
        <v>28.81</v>
      </c>
    </row>
    <row r="1705" customHeight="1" ht="15">
      <c r="A1705" s="2" t="inlineStr"/>
      <c r="B1705" s="2" t="inlineStr"/>
      <c r="C1705" s="2" t="inlineStr"/>
      <c r="D1705" s="2" t="inlineStr"/>
      <c r="E1705" s="28" t="inlineStr">
        <is>
          <r>
            <t xml:space="preserve">VALOR BDI:</t>
          </r>
        </is>
      </c>
      <c r="F1705" s="28" t="inlineStr"/>
      <c r="G1705" s="29" t="n">
        <f>ROUND(G1704*(0/100),2)</f>
        <v>0.0</v>
      </c>
    </row>
    <row r="1706" customHeight="1" ht="15">
      <c r="A1706" s="2" t="inlineStr"/>
      <c r="B1706" s="2" t="inlineStr"/>
      <c r="C1706" s="2" t="inlineStr"/>
      <c r="D1706" s="2" t="inlineStr"/>
      <c r="E1706" s="28" t="inlineStr">
        <is>
          <r>
            <t xml:space="preserve">VALOR COM BDI:</t>
          </r>
        </is>
      </c>
      <c r="F1706" s="28" t="inlineStr"/>
      <c r="G1706" s="29" t="n">
        <f>G1705+G1704</f>
        <v>28.81</v>
      </c>
    </row>
    <row r="1707" customHeight="1" ht="10">
      <c r="A1707" s="2" t="inlineStr"/>
      <c r="B1707" s="2" t="inlineStr"/>
      <c r="C1707" s="2" t="inlineStr"/>
      <c r="D1707" s="2" t="inlineStr"/>
      <c r="E1707" s="18" t="inlineStr"/>
      <c r="F1707" s="18" t="inlineStr"/>
      <c r="G1707" s="18" t="inlineStr"/>
    </row>
    <row r="1708" customHeight="1" ht="20">
      <c r="A1708" s="19" t="inlineStr">
        <is>
          <r>
            <t xml:space="preserve">​I2755​ MÃO DE OBRA DE OPERAÇÃO DA CARREGADEIRA DE PNEUS (180 HP)​ (H)</t>
          </r>
        </is>
      </c>
      <c r="B1708" s="19" t="inlineStr"/>
      <c r="C1708" s="19" t="inlineStr"/>
      <c r="D1708" s="19" t="inlineStr"/>
      <c r="E1708" s="19" t="inlineStr"/>
      <c r="F1708" s="19" t="inlineStr"/>
      <c r="G1708" s="19" t="inlineStr"/>
    </row>
    <row r="1709" customHeight="1" ht="15">
      <c r="A1709" s="20" t="inlineStr">
        <is>
          <r>
            <t xml:space="preserve">Mão de Obra</t>
          </r>
        </is>
      </c>
      <c r="B1709" s="20" t="inlineStr"/>
      <c r="C1709" s="21" t="inlineStr">
        <is>
          <r>
            <t xml:space="preserve">FONTE</t>
          </r>
        </is>
      </c>
      <c r="D1709" s="21" t="inlineStr">
        <is>
          <r>
            <t xml:space="preserve">UNID</t>
          </r>
        </is>
      </c>
      <c r="E1709" s="21" t="inlineStr">
        <is>
          <r>
            <t xml:space="preserve">COEFICIENTE</t>
          </r>
        </is>
      </c>
      <c r="F1709" s="21" t="inlineStr">
        <is>
          <r>
            <t xml:space="preserve">PREÇO UNITÁRIO</t>
          </r>
        </is>
      </c>
      <c r="G1709" s="21" t="inlineStr">
        <is>
          <r>
            <t xml:space="preserve">TOTAL</t>
          </r>
        </is>
      </c>
    </row>
    <row r="1710" customHeight="1" ht="15">
      <c r="A1710" s="22" t="inlineStr">
        <is>
          <r>
            <t xml:space="preserve">I2550</t>
          </r>
        </is>
      </c>
      <c r="B1710" s="23" t="inlineStr">
        <is>
          <r>
            <t xml:space="preserve">OPERADOR DE CARREGADEIRA</t>
          </r>
        </is>
      </c>
      <c r="C1710" s="22" t="inlineStr">
        <is>
          <r>
            <t xml:space="preserve">SEINFRA</t>
          </r>
        </is>
      </c>
      <c r="D1710" s="22" t="inlineStr">
        <is>
          <r>
            <t xml:space="preserve">H</t>
          </r>
        </is>
      </c>
      <c r="E1710" s="24" t="n">
        <v>1.0</v>
      </c>
      <c r="F1710" s="30" t="n">
        <v>28.81</v>
      </c>
      <c r="G1710" s="30" t="n">
        <f>ROUND(ROUND(E1710,8)*F1710,4)</f>
        <v>28.81</v>
      </c>
    </row>
    <row r="1711" customHeight="1" ht="15">
      <c r="A1711" s="2" t="inlineStr"/>
      <c r="B1711" s="2" t="inlineStr"/>
      <c r="C1711" s="2" t="inlineStr"/>
      <c r="D1711" s="2" t="inlineStr"/>
      <c r="E1711" s="26" t="inlineStr">
        <is>
          <r>
            <t xml:space="preserve">TOTAL Mão de Obra:</t>
          </r>
        </is>
      </c>
      <c r="F1711" s="26" t="inlineStr"/>
      <c r="G1711" s="31" t="n">
        <f>SUM(G1710:G1710)</f>
        <v>28.81</v>
      </c>
    </row>
    <row r="1712" customHeight="1" ht="15">
      <c r="A1712" s="2" t="inlineStr"/>
      <c r="B1712" s="2" t="inlineStr"/>
      <c r="C1712" s="2" t="inlineStr"/>
      <c r="D1712" s="2" t="inlineStr"/>
      <c r="E1712" s="28" t="inlineStr">
        <is>
          <r>
            <t xml:space="preserve">VALOR:</t>
          </r>
        </is>
      </c>
      <c r="F1712" s="28" t="inlineStr"/>
      <c r="G1712" s="29" t="n">
        <f>ROUND(SUM(G1711),2)</f>
        <v>28.81</v>
      </c>
    </row>
    <row r="1713" customHeight="1" ht="15">
      <c r="A1713" s="2" t="inlineStr"/>
      <c r="B1713" s="2" t="inlineStr"/>
      <c r="C1713" s="2" t="inlineStr"/>
      <c r="D1713" s="2" t="inlineStr"/>
      <c r="E1713" s="28" t="inlineStr">
        <is>
          <r>
            <t xml:space="preserve">VALOR BDI:</t>
          </r>
        </is>
      </c>
      <c r="F1713" s="28" t="inlineStr"/>
      <c r="G1713" s="29" t="n">
        <f>ROUND(G1712*(0/100),2)</f>
        <v>0.0</v>
      </c>
    </row>
    <row r="1714" customHeight="1" ht="15">
      <c r="A1714" s="2" t="inlineStr"/>
      <c r="B1714" s="2" t="inlineStr"/>
      <c r="C1714" s="2" t="inlineStr"/>
      <c r="D1714" s="2" t="inlineStr"/>
      <c r="E1714" s="28" t="inlineStr">
        <is>
          <r>
            <t xml:space="preserve">VALOR COM BDI:</t>
          </r>
        </is>
      </c>
      <c r="F1714" s="28" t="inlineStr"/>
      <c r="G1714" s="29" t="n">
        <f>G1713+G1712</f>
        <v>28.81</v>
      </c>
    </row>
    <row r="1715" customHeight="1" ht="10">
      <c r="A1715" s="2" t="inlineStr"/>
      <c r="B1715" s="2" t="inlineStr"/>
      <c r="C1715" s="2" t="inlineStr"/>
      <c r="D1715" s="2" t="inlineStr"/>
      <c r="E1715" s="18" t="inlineStr"/>
      <c r="F1715" s="18" t="inlineStr"/>
      <c r="G1715" s="18" t="inlineStr"/>
    </row>
    <row r="1716" customHeight="1" ht="20">
      <c r="A1716" s="19" t="inlineStr">
        <is>
          <r>
            <t xml:space="preserve">​I2787​ MÃO DE OBRA DE OPERAÇÃO DA ESCAVADEIRA HIDRÁULICA​ (H)</t>
          </r>
        </is>
      </c>
      <c r="B1716" s="19" t="inlineStr"/>
      <c r="C1716" s="19" t="inlineStr"/>
      <c r="D1716" s="19" t="inlineStr"/>
      <c r="E1716" s="19" t="inlineStr"/>
      <c r="F1716" s="19" t="inlineStr"/>
      <c r="G1716" s="19" t="inlineStr"/>
    </row>
    <row r="1717" customHeight="1" ht="15">
      <c r="A1717" s="20" t="inlineStr">
        <is>
          <r>
            <t xml:space="preserve">Mão de Obra</t>
          </r>
        </is>
      </c>
      <c r="B1717" s="20" t="inlineStr"/>
      <c r="C1717" s="21" t="inlineStr">
        <is>
          <r>
            <t xml:space="preserve">FONTE</t>
          </r>
        </is>
      </c>
      <c r="D1717" s="21" t="inlineStr">
        <is>
          <r>
            <t xml:space="preserve">UNID</t>
          </r>
        </is>
      </c>
      <c r="E1717" s="21" t="inlineStr">
        <is>
          <r>
            <t xml:space="preserve">COEFICIENTE</t>
          </r>
        </is>
      </c>
      <c r="F1717" s="21" t="inlineStr">
        <is>
          <r>
            <t xml:space="preserve">PREÇO UNITÁRIO</t>
          </r>
        </is>
      </c>
      <c r="G1717" s="21" t="inlineStr">
        <is>
          <r>
            <t xml:space="preserve">TOTAL</t>
          </r>
        </is>
      </c>
    </row>
    <row r="1718" customHeight="1" ht="15">
      <c r="A1718" s="22" t="inlineStr">
        <is>
          <r>
            <t xml:space="preserve">I2561</t>
          </r>
        </is>
      </c>
      <c r="B1718" s="23" t="inlineStr">
        <is>
          <r>
            <t xml:space="preserve">OPERADOR DE RETRO ESCAVADEIRA</t>
          </r>
        </is>
      </c>
      <c r="C1718" s="22" t="inlineStr">
        <is>
          <r>
            <t xml:space="preserve">SEINFRA</t>
          </r>
        </is>
      </c>
      <c r="D1718" s="22" t="inlineStr">
        <is>
          <r>
            <t xml:space="preserve">H</t>
          </r>
        </is>
      </c>
      <c r="E1718" s="24" t="n">
        <v>1.0</v>
      </c>
      <c r="F1718" s="30" t="n">
        <v>28.81</v>
      </c>
      <c r="G1718" s="30" t="n">
        <f>ROUND(ROUND(E1718,8)*F1718,4)</f>
        <v>28.81</v>
      </c>
    </row>
    <row r="1719" customHeight="1" ht="15">
      <c r="A1719" s="2" t="inlineStr"/>
      <c r="B1719" s="2" t="inlineStr"/>
      <c r="C1719" s="2" t="inlineStr"/>
      <c r="D1719" s="2" t="inlineStr"/>
      <c r="E1719" s="26" t="inlineStr">
        <is>
          <r>
            <t xml:space="preserve">TOTAL Mão de Obra:</t>
          </r>
        </is>
      </c>
      <c r="F1719" s="26" t="inlineStr"/>
      <c r="G1719" s="31" t="n">
        <f>SUM(G1718:G1718)</f>
        <v>28.81</v>
      </c>
    </row>
    <row r="1720" customHeight="1" ht="15">
      <c r="A1720" s="2" t="inlineStr"/>
      <c r="B1720" s="2" t="inlineStr"/>
      <c r="C1720" s="2" t="inlineStr"/>
      <c r="D1720" s="2" t="inlineStr"/>
      <c r="E1720" s="28" t="inlineStr">
        <is>
          <r>
            <t xml:space="preserve">VALOR:</t>
          </r>
        </is>
      </c>
      <c r="F1720" s="28" t="inlineStr"/>
      <c r="G1720" s="29" t="n">
        <f>ROUND(SUM(G1719),2)</f>
        <v>28.81</v>
      </c>
    </row>
    <row r="1721" customHeight="1" ht="15">
      <c r="A1721" s="2" t="inlineStr"/>
      <c r="B1721" s="2" t="inlineStr"/>
      <c r="C1721" s="2" t="inlineStr"/>
      <c r="D1721" s="2" t="inlineStr"/>
      <c r="E1721" s="28" t="inlineStr">
        <is>
          <r>
            <t xml:space="preserve">VALOR BDI:</t>
          </r>
        </is>
      </c>
      <c r="F1721" s="28" t="inlineStr"/>
      <c r="G1721" s="29" t="n">
        <f>ROUND(G1720*(0/100),2)</f>
        <v>0.0</v>
      </c>
    </row>
    <row r="1722" customHeight="1" ht="15">
      <c r="A1722" s="2" t="inlineStr"/>
      <c r="B1722" s="2" t="inlineStr"/>
      <c r="C1722" s="2" t="inlineStr"/>
      <c r="D1722" s="2" t="inlineStr"/>
      <c r="E1722" s="28" t="inlineStr">
        <is>
          <r>
            <t xml:space="preserve">VALOR COM BDI:</t>
          </r>
        </is>
      </c>
      <c r="F1722" s="28" t="inlineStr"/>
      <c r="G1722" s="29" t="n">
        <f>G1721+G1720</f>
        <v>28.81</v>
      </c>
    </row>
    <row r="1723" customHeight="1" ht="10">
      <c r="A1723" s="2" t="inlineStr"/>
      <c r="B1723" s="2" t="inlineStr"/>
      <c r="C1723" s="2" t="inlineStr"/>
      <c r="D1723" s="2" t="inlineStr"/>
      <c r="E1723" s="18" t="inlineStr"/>
      <c r="F1723" s="18" t="inlineStr"/>
      <c r="G1723" s="18" t="inlineStr"/>
    </row>
    <row r="1724" customHeight="1" ht="20">
      <c r="A1724" s="19" t="inlineStr">
        <is>
          <r>
            <t xml:space="preserve">​I2815​ MÃO DE OBRA DE OPERAÇÃO DA MESA VIBRATÓRIA E FORMAS​ (H)</t>
          </r>
        </is>
      </c>
      <c r="B1724" s="19" t="inlineStr"/>
      <c r="C1724" s="19" t="inlineStr"/>
      <c r="D1724" s="19" t="inlineStr"/>
      <c r="E1724" s="19" t="inlineStr"/>
      <c r="F1724" s="19" t="inlineStr"/>
      <c r="G1724" s="19" t="inlineStr"/>
    </row>
    <row r="1725" customHeight="1" ht="15">
      <c r="A1725" s="20" t="inlineStr">
        <is>
          <r>
            <t xml:space="preserve">Mão de Obra</t>
          </r>
        </is>
      </c>
      <c r="B1725" s="20" t="inlineStr"/>
      <c r="C1725" s="21" t="inlineStr">
        <is>
          <r>
            <t xml:space="preserve">FONTE</t>
          </r>
        </is>
      </c>
      <c r="D1725" s="21" t="inlineStr">
        <is>
          <r>
            <t xml:space="preserve">UNID</t>
          </r>
        </is>
      </c>
      <c r="E1725" s="21" t="inlineStr">
        <is>
          <r>
            <t xml:space="preserve">COEFICIENTE</t>
          </r>
        </is>
      </c>
      <c r="F1725" s="21" t="inlineStr">
        <is>
          <r>
            <t xml:space="preserve">PREÇO UNITÁRIO</t>
          </r>
        </is>
      </c>
      <c r="G1725" s="21" t="inlineStr">
        <is>
          <r>
            <t xml:space="preserve">TOTAL</t>
          </r>
        </is>
      </c>
    </row>
    <row r="1726" customHeight="1" ht="15">
      <c r="A1726" s="22" t="inlineStr">
        <is>
          <r>
            <t xml:space="preserve">I2543</t>
          </r>
        </is>
      </c>
      <c r="B1726" s="23" t="inlineStr">
        <is>
          <r>
            <t xml:space="preserve">SERVENTE</t>
          </r>
        </is>
      </c>
      <c r="C1726" s="22" t="inlineStr">
        <is>
          <r>
            <t xml:space="preserve">SEINFRA</t>
          </r>
        </is>
      </c>
      <c r="D1726" s="22" t="inlineStr">
        <is>
          <r>
            <t xml:space="preserve">H</t>
          </r>
        </is>
      </c>
      <c r="E1726" s="24" t="n">
        <v>1.0</v>
      </c>
      <c r="F1726" s="30" t="n">
        <v>18.46</v>
      </c>
      <c r="G1726" s="30" t="n">
        <f>ROUND(ROUND(E1726,8)*F1726,4)</f>
        <v>18.46</v>
      </c>
    </row>
    <row r="1727" customHeight="1" ht="15">
      <c r="A1727" s="2" t="inlineStr"/>
      <c r="B1727" s="2" t="inlineStr"/>
      <c r="C1727" s="2" t="inlineStr"/>
      <c r="D1727" s="2" t="inlineStr"/>
      <c r="E1727" s="26" t="inlineStr">
        <is>
          <r>
            <t xml:space="preserve">TOTAL Mão de Obra:</t>
          </r>
        </is>
      </c>
      <c r="F1727" s="26" t="inlineStr"/>
      <c r="G1727" s="31" t="n">
        <f>SUM(G1726:G1726)</f>
        <v>18.46</v>
      </c>
    </row>
    <row r="1728" customHeight="1" ht="15">
      <c r="A1728" s="2" t="inlineStr"/>
      <c r="B1728" s="2" t="inlineStr"/>
      <c r="C1728" s="2" t="inlineStr"/>
      <c r="D1728" s="2" t="inlineStr"/>
      <c r="E1728" s="28" t="inlineStr">
        <is>
          <r>
            <t xml:space="preserve">VALOR:</t>
          </r>
        </is>
      </c>
      <c r="F1728" s="28" t="inlineStr"/>
      <c r="G1728" s="29" t="n">
        <f>ROUND(SUM(G1727),2)</f>
        <v>18.46</v>
      </c>
    </row>
    <row r="1729" customHeight="1" ht="15">
      <c r="A1729" s="2" t="inlineStr"/>
      <c r="B1729" s="2" t="inlineStr"/>
      <c r="C1729" s="2" t="inlineStr"/>
      <c r="D1729" s="2" t="inlineStr"/>
      <c r="E1729" s="28" t="inlineStr">
        <is>
          <r>
            <t xml:space="preserve">VALOR BDI:</t>
          </r>
        </is>
      </c>
      <c r="F1729" s="28" t="inlineStr"/>
      <c r="G1729" s="29" t="n">
        <f>ROUND(G1728*(0/100),2)</f>
        <v>0.0</v>
      </c>
    </row>
    <row r="1730" customHeight="1" ht="15">
      <c r="A1730" s="2" t="inlineStr"/>
      <c r="B1730" s="2" t="inlineStr"/>
      <c r="C1730" s="2" t="inlineStr"/>
      <c r="D1730" s="2" t="inlineStr"/>
      <c r="E1730" s="28" t="inlineStr">
        <is>
          <r>
            <t xml:space="preserve">VALOR COM BDI:</t>
          </r>
        </is>
      </c>
      <c r="F1730" s="28" t="inlineStr"/>
      <c r="G1730" s="29" t="n">
        <f>G1729+G1728</f>
        <v>18.46</v>
      </c>
    </row>
    <row r="1731" customHeight="1" ht="10">
      <c r="A1731" s="2" t="inlineStr"/>
      <c r="B1731" s="2" t="inlineStr"/>
      <c r="C1731" s="2" t="inlineStr"/>
      <c r="D1731" s="2" t="inlineStr"/>
      <c r="E1731" s="18" t="inlineStr"/>
      <c r="F1731" s="18" t="inlineStr"/>
      <c r="G1731" s="18" t="inlineStr"/>
    </row>
    <row r="1732" customHeight="1" ht="20">
      <c r="A1732" s="19" t="inlineStr">
        <is>
          <r>
            <t xml:space="preserve">​I2821​ MÃO DE OBRA DE OPERAÇÃO DA MOTO NIVELADORA​ (H)</t>
          </r>
        </is>
      </c>
      <c r="B1732" s="19" t="inlineStr"/>
      <c r="C1732" s="19" t="inlineStr"/>
      <c r="D1732" s="19" t="inlineStr"/>
      <c r="E1732" s="19" t="inlineStr"/>
      <c r="F1732" s="19" t="inlineStr"/>
      <c r="G1732" s="19" t="inlineStr"/>
    </row>
    <row r="1733" customHeight="1" ht="15">
      <c r="A1733" s="20" t="inlineStr">
        <is>
          <r>
            <t xml:space="preserve">Mão de Obra</t>
          </r>
        </is>
      </c>
      <c r="B1733" s="20" t="inlineStr"/>
      <c r="C1733" s="21" t="inlineStr">
        <is>
          <r>
            <t xml:space="preserve">FONTE</t>
          </r>
        </is>
      </c>
      <c r="D1733" s="21" t="inlineStr">
        <is>
          <r>
            <t xml:space="preserve">UNID</t>
          </r>
        </is>
      </c>
      <c r="E1733" s="21" t="inlineStr">
        <is>
          <r>
            <t xml:space="preserve">COEFICIENTE</t>
          </r>
        </is>
      </c>
      <c r="F1733" s="21" t="inlineStr">
        <is>
          <r>
            <t xml:space="preserve">PREÇO UNITÁRIO</t>
          </r>
        </is>
      </c>
      <c r="G1733" s="21" t="inlineStr">
        <is>
          <r>
            <t xml:space="preserve">TOTAL</t>
          </r>
        </is>
      </c>
    </row>
    <row r="1734" customHeight="1" ht="15">
      <c r="A1734" s="22" t="inlineStr">
        <is>
          <r>
            <t xml:space="preserve">I2560</t>
          </r>
        </is>
      </c>
      <c r="B1734" s="23" t="inlineStr">
        <is>
          <r>
            <t xml:space="preserve">OPERADOR DE MOTONIVELADORA</t>
          </r>
        </is>
      </c>
      <c r="C1734" s="22" t="inlineStr">
        <is>
          <r>
            <t xml:space="preserve">SEINFRA</t>
          </r>
        </is>
      </c>
      <c r="D1734" s="22" t="inlineStr">
        <is>
          <r>
            <t xml:space="preserve">H</t>
          </r>
        </is>
      </c>
      <c r="E1734" s="24" t="n">
        <v>1.0</v>
      </c>
      <c r="F1734" s="30" t="n">
        <v>32.8</v>
      </c>
      <c r="G1734" s="30" t="n">
        <f>ROUND(ROUND(E1734,8)*F1734,4)</f>
        <v>32.8</v>
      </c>
    </row>
    <row r="1735" customHeight="1" ht="15">
      <c r="A1735" s="2" t="inlineStr"/>
      <c r="B1735" s="2" t="inlineStr"/>
      <c r="C1735" s="2" t="inlineStr"/>
      <c r="D1735" s="2" t="inlineStr"/>
      <c r="E1735" s="26" t="inlineStr">
        <is>
          <r>
            <t xml:space="preserve">TOTAL Mão de Obra:</t>
          </r>
        </is>
      </c>
      <c r="F1735" s="26" t="inlineStr"/>
      <c r="G1735" s="31" t="n">
        <f>SUM(G1734:G1734)</f>
        <v>32.8</v>
      </c>
    </row>
    <row r="1736" customHeight="1" ht="15">
      <c r="A1736" s="2" t="inlineStr"/>
      <c r="B1736" s="2" t="inlineStr"/>
      <c r="C1736" s="2" t="inlineStr"/>
      <c r="D1736" s="2" t="inlineStr"/>
      <c r="E1736" s="28" t="inlineStr">
        <is>
          <r>
            <t xml:space="preserve">VALOR:</t>
          </r>
        </is>
      </c>
      <c r="F1736" s="28" t="inlineStr"/>
      <c r="G1736" s="29" t="n">
        <f>ROUND(SUM(G1735),2)</f>
        <v>32.8</v>
      </c>
    </row>
    <row r="1737" customHeight="1" ht="15">
      <c r="A1737" s="2" t="inlineStr"/>
      <c r="B1737" s="2" t="inlineStr"/>
      <c r="C1737" s="2" t="inlineStr"/>
      <c r="D1737" s="2" t="inlineStr"/>
      <c r="E1737" s="28" t="inlineStr">
        <is>
          <r>
            <t xml:space="preserve">VALOR BDI:</t>
          </r>
        </is>
      </c>
      <c r="F1737" s="28" t="inlineStr"/>
      <c r="G1737" s="29" t="n">
        <f>ROUND(G1736*(0/100),2)</f>
        <v>0.0</v>
      </c>
    </row>
    <row r="1738" customHeight="1" ht="15">
      <c r="A1738" s="2" t="inlineStr"/>
      <c r="B1738" s="2" t="inlineStr"/>
      <c r="C1738" s="2" t="inlineStr"/>
      <c r="D1738" s="2" t="inlineStr"/>
      <c r="E1738" s="28" t="inlineStr">
        <is>
          <r>
            <t xml:space="preserve">VALOR COM BDI:</t>
          </r>
        </is>
      </c>
      <c r="F1738" s="28" t="inlineStr"/>
      <c r="G1738" s="29" t="n">
        <f>G1737+G1736</f>
        <v>32.8</v>
      </c>
    </row>
    <row r="1739" customHeight="1" ht="10">
      <c r="A1739" s="2" t="inlineStr"/>
      <c r="B1739" s="2" t="inlineStr"/>
      <c r="C1739" s="2" t="inlineStr"/>
      <c r="D1739" s="2" t="inlineStr"/>
      <c r="E1739" s="18" t="inlineStr"/>
      <c r="F1739" s="18" t="inlineStr"/>
      <c r="G1739" s="18" t="inlineStr"/>
    </row>
    <row r="1740" customHeight="1" ht="20">
      <c r="A1740" s="19" t="inlineStr">
        <is>
          <r>
            <t xml:space="preserve">​I2823​ MÃO DE OBRA DE OPERAÇÃO DA PERFURATRIZ PNEUMÁTICA​ (H)</t>
          </r>
        </is>
      </c>
      <c r="B1740" s="19" t="inlineStr"/>
      <c r="C1740" s="19" t="inlineStr"/>
      <c r="D1740" s="19" t="inlineStr"/>
      <c r="E1740" s="19" t="inlineStr"/>
      <c r="F1740" s="19" t="inlineStr"/>
      <c r="G1740" s="19" t="inlineStr"/>
    </row>
    <row r="1741" customHeight="1" ht="15">
      <c r="A1741" s="20" t="inlineStr">
        <is>
          <r>
            <t xml:space="preserve">Mão de Obra</t>
          </r>
        </is>
      </c>
      <c r="B1741" s="20" t="inlineStr"/>
      <c r="C1741" s="21" t="inlineStr">
        <is>
          <r>
            <t xml:space="preserve">FONTE</t>
          </r>
        </is>
      </c>
      <c r="D1741" s="21" t="inlineStr">
        <is>
          <r>
            <t xml:space="preserve">UNID</t>
          </r>
        </is>
      </c>
      <c r="E1741" s="21" t="inlineStr">
        <is>
          <r>
            <t xml:space="preserve">COEFICIENTE</t>
          </r>
        </is>
      </c>
      <c r="F1741" s="21" t="inlineStr">
        <is>
          <r>
            <t xml:space="preserve">PREÇO UNITÁRIO</t>
          </r>
        </is>
      </c>
      <c r="G1741" s="21" t="inlineStr">
        <is>
          <r>
            <t xml:space="preserve">TOTAL</t>
          </r>
        </is>
      </c>
    </row>
    <row r="1742" customHeight="1" ht="15">
      <c r="A1742" s="22" t="inlineStr">
        <is>
          <r>
            <t xml:space="preserve">I2523</t>
          </r>
        </is>
      </c>
      <c r="B1742" s="23" t="inlineStr">
        <is>
          <r>
            <t xml:space="preserve">OPERADOR DE PERFURATRIZ / ROMPEDOR</t>
          </r>
        </is>
      </c>
      <c r="C1742" s="22" t="inlineStr">
        <is>
          <r>
            <t xml:space="preserve">SEINFRA</t>
          </r>
        </is>
      </c>
      <c r="D1742" s="22" t="inlineStr">
        <is>
          <r>
            <t xml:space="preserve">H</t>
          </r>
        </is>
      </c>
      <c r="E1742" s="24" t="n">
        <v>1.0</v>
      </c>
      <c r="F1742" s="30" t="n">
        <v>21.29</v>
      </c>
      <c r="G1742" s="30" t="n">
        <f>ROUND(ROUND(E1742,8)*F1742,4)</f>
        <v>21.29</v>
      </c>
    </row>
    <row r="1743" customHeight="1" ht="15">
      <c r="A1743" s="2" t="inlineStr"/>
      <c r="B1743" s="2" t="inlineStr"/>
      <c r="C1743" s="2" t="inlineStr"/>
      <c r="D1743" s="2" t="inlineStr"/>
      <c r="E1743" s="26" t="inlineStr">
        <is>
          <r>
            <t xml:space="preserve">TOTAL Mão de Obra:</t>
          </r>
        </is>
      </c>
      <c r="F1743" s="26" t="inlineStr"/>
      <c r="G1743" s="31" t="n">
        <f>SUM(G1742:G1742)</f>
        <v>21.29</v>
      </c>
    </row>
    <row r="1744" customHeight="1" ht="15">
      <c r="A1744" s="2" t="inlineStr"/>
      <c r="B1744" s="2" t="inlineStr"/>
      <c r="C1744" s="2" t="inlineStr"/>
      <c r="D1744" s="2" t="inlineStr"/>
      <c r="E1744" s="28" t="inlineStr">
        <is>
          <r>
            <t xml:space="preserve">VALOR:</t>
          </r>
        </is>
      </c>
      <c r="F1744" s="28" t="inlineStr"/>
      <c r="G1744" s="29" t="n">
        <f>ROUND(SUM(G1743),2)</f>
        <v>21.29</v>
      </c>
    </row>
    <row r="1745" customHeight="1" ht="15">
      <c r="A1745" s="2" t="inlineStr"/>
      <c r="B1745" s="2" t="inlineStr"/>
      <c r="C1745" s="2" t="inlineStr"/>
      <c r="D1745" s="2" t="inlineStr"/>
      <c r="E1745" s="28" t="inlineStr">
        <is>
          <r>
            <t xml:space="preserve">VALOR BDI:</t>
          </r>
        </is>
      </c>
      <c r="F1745" s="28" t="inlineStr"/>
      <c r="G1745" s="29" t="n">
        <f>ROUND(G1744*(0/100),2)</f>
        <v>0.0</v>
      </c>
    </row>
    <row r="1746" customHeight="1" ht="15">
      <c r="A1746" s="2" t="inlineStr"/>
      <c r="B1746" s="2" t="inlineStr"/>
      <c r="C1746" s="2" t="inlineStr"/>
      <c r="D1746" s="2" t="inlineStr"/>
      <c r="E1746" s="28" t="inlineStr">
        <is>
          <r>
            <t xml:space="preserve">VALOR COM BDI:</t>
          </r>
        </is>
      </c>
      <c r="F1746" s="28" t="inlineStr"/>
      <c r="G1746" s="29" t="n">
        <f>G1745+G1744</f>
        <v>21.29</v>
      </c>
    </row>
    <row r="1747" customHeight="1" ht="10">
      <c r="A1747" s="2" t="inlineStr"/>
      <c r="B1747" s="2" t="inlineStr"/>
      <c r="C1747" s="2" t="inlineStr"/>
      <c r="D1747" s="2" t="inlineStr"/>
      <c r="E1747" s="18" t="inlineStr"/>
      <c r="F1747" s="18" t="inlineStr"/>
      <c r="G1747" s="18" t="inlineStr"/>
    </row>
    <row r="1748" customHeight="1" ht="20">
      <c r="A1748" s="19" t="inlineStr">
        <is>
          <r>
            <t xml:space="preserve">​I2827​ MÃO DE OBRA DE OPERAÇÃO DA RETRO ESCAVADEIRA DE PNEUS​ (H)</t>
          </r>
        </is>
      </c>
      <c r="B1748" s="19" t="inlineStr"/>
      <c r="C1748" s="19" t="inlineStr"/>
      <c r="D1748" s="19" t="inlineStr"/>
      <c r="E1748" s="19" t="inlineStr"/>
      <c r="F1748" s="19" t="inlineStr"/>
      <c r="G1748" s="19" t="inlineStr"/>
    </row>
    <row r="1749" customHeight="1" ht="15">
      <c r="A1749" s="20" t="inlineStr">
        <is>
          <r>
            <t xml:space="preserve">Mão de Obra</t>
          </r>
        </is>
      </c>
      <c r="B1749" s="20" t="inlineStr"/>
      <c r="C1749" s="21" t="inlineStr">
        <is>
          <r>
            <t xml:space="preserve">FONTE</t>
          </r>
        </is>
      </c>
      <c r="D1749" s="21" t="inlineStr">
        <is>
          <r>
            <t xml:space="preserve">UNID</t>
          </r>
        </is>
      </c>
      <c r="E1749" s="21" t="inlineStr">
        <is>
          <r>
            <t xml:space="preserve">COEFICIENTE</t>
          </r>
        </is>
      </c>
      <c r="F1749" s="21" t="inlineStr">
        <is>
          <r>
            <t xml:space="preserve">PREÇO UNITÁRIO</t>
          </r>
        </is>
      </c>
      <c r="G1749" s="21" t="inlineStr">
        <is>
          <r>
            <t xml:space="preserve">TOTAL</t>
          </r>
        </is>
      </c>
    </row>
    <row r="1750" customHeight="1" ht="15">
      <c r="A1750" s="22" t="inlineStr">
        <is>
          <r>
            <t xml:space="preserve">I2561</t>
          </r>
        </is>
      </c>
      <c r="B1750" s="23" t="inlineStr">
        <is>
          <r>
            <t xml:space="preserve">OPERADOR DE RETRO ESCAVADEIRA</t>
          </r>
        </is>
      </c>
      <c r="C1750" s="22" t="inlineStr">
        <is>
          <r>
            <t xml:space="preserve">SEINFRA</t>
          </r>
        </is>
      </c>
      <c r="D1750" s="22" t="inlineStr">
        <is>
          <r>
            <t xml:space="preserve">H</t>
          </r>
        </is>
      </c>
      <c r="E1750" s="24" t="n">
        <v>1.0</v>
      </c>
      <c r="F1750" s="30" t="n">
        <v>28.81</v>
      </c>
      <c r="G1750" s="30" t="n">
        <f>ROUND(ROUND(E1750,8)*F1750,4)</f>
        <v>28.81</v>
      </c>
    </row>
    <row r="1751" customHeight="1" ht="15">
      <c r="A1751" s="2" t="inlineStr"/>
      <c r="B1751" s="2" t="inlineStr"/>
      <c r="C1751" s="2" t="inlineStr"/>
      <c r="D1751" s="2" t="inlineStr"/>
      <c r="E1751" s="26" t="inlineStr">
        <is>
          <r>
            <t xml:space="preserve">TOTAL Mão de Obra:</t>
          </r>
        </is>
      </c>
      <c r="F1751" s="26" t="inlineStr"/>
      <c r="G1751" s="31" t="n">
        <f>SUM(G1750:G1750)</f>
        <v>28.81</v>
      </c>
    </row>
    <row r="1752" customHeight="1" ht="15">
      <c r="A1752" s="2" t="inlineStr"/>
      <c r="B1752" s="2" t="inlineStr"/>
      <c r="C1752" s="2" t="inlineStr"/>
      <c r="D1752" s="2" t="inlineStr"/>
      <c r="E1752" s="28" t="inlineStr">
        <is>
          <r>
            <t xml:space="preserve">VALOR:</t>
          </r>
        </is>
      </c>
      <c r="F1752" s="28" t="inlineStr"/>
      <c r="G1752" s="29" t="n">
        <f>ROUND(SUM(G1751),2)</f>
        <v>28.81</v>
      </c>
    </row>
    <row r="1753" customHeight="1" ht="15">
      <c r="A1753" s="2" t="inlineStr"/>
      <c r="B1753" s="2" t="inlineStr"/>
      <c r="C1753" s="2" t="inlineStr"/>
      <c r="D1753" s="2" t="inlineStr"/>
      <c r="E1753" s="28" t="inlineStr">
        <is>
          <r>
            <t xml:space="preserve">VALOR BDI:</t>
          </r>
        </is>
      </c>
      <c r="F1753" s="28" t="inlineStr"/>
      <c r="G1753" s="29" t="n">
        <f>ROUND(G1752*(0/100),2)</f>
        <v>0.0</v>
      </c>
    </row>
    <row r="1754" customHeight="1" ht="15">
      <c r="A1754" s="2" t="inlineStr"/>
      <c r="B1754" s="2" t="inlineStr"/>
      <c r="C1754" s="2" t="inlineStr"/>
      <c r="D1754" s="2" t="inlineStr"/>
      <c r="E1754" s="28" t="inlineStr">
        <is>
          <r>
            <t xml:space="preserve">VALOR COM BDI:</t>
          </r>
        </is>
      </c>
      <c r="F1754" s="28" t="inlineStr"/>
      <c r="G1754" s="29" t="n">
        <f>G1753+G1752</f>
        <v>28.81</v>
      </c>
    </row>
    <row r="1755" customHeight="1" ht="10">
      <c r="A1755" s="2" t="inlineStr"/>
      <c r="B1755" s="2" t="inlineStr"/>
      <c r="C1755" s="2" t="inlineStr"/>
      <c r="D1755" s="2" t="inlineStr"/>
      <c r="E1755" s="18" t="inlineStr"/>
      <c r="F1755" s="18" t="inlineStr"/>
      <c r="G1755" s="18" t="inlineStr"/>
    </row>
    <row r="1756" customHeight="1" ht="20">
      <c r="A1756" s="19" t="inlineStr">
        <is>
          <r>
            <t xml:space="preserve">​I2845​ MÃO DE OBRA DE OPERAÇÃO DA USINA DE MISTURAS BETUM. A FRIO​ (H)</t>
          </r>
        </is>
      </c>
      <c r="B1756" s="19" t="inlineStr"/>
      <c r="C1756" s="19" t="inlineStr"/>
      <c r="D1756" s="19" t="inlineStr"/>
      <c r="E1756" s="19" t="inlineStr"/>
      <c r="F1756" s="19" t="inlineStr"/>
      <c r="G1756" s="19" t="inlineStr"/>
    </row>
    <row r="1757" customHeight="1" ht="15">
      <c r="A1757" s="20" t="inlineStr">
        <is>
          <r>
            <t xml:space="preserve">Mão de Obra</t>
          </r>
        </is>
      </c>
      <c r="B1757" s="20" t="inlineStr"/>
      <c r="C1757" s="21" t="inlineStr">
        <is>
          <r>
            <t xml:space="preserve">FONTE</t>
          </r>
        </is>
      </c>
      <c r="D1757" s="21" t="inlineStr">
        <is>
          <r>
            <t xml:space="preserve">UNID</t>
          </r>
        </is>
      </c>
      <c r="E1757" s="21" t="inlineStr">
        <is>
          <r>
            <t xml:space="preserve">COEFICIENTE</t>
          </r>
        </is>
      </c>
      <c r="F1757" s="21" t="inlineStr">
        <is>
          <r>
            <t xml:space="preserve">PREÇO UNITÁRIO</t>
          </r>
        </is>
      </c>
      <c r="G1757" s="21" t="inlineStr">
        <is>
          <r>
            <t xml:space="preserve">TOTAL</t>
          </r>
        </is>
      </c>
    </row>
    <row r="1758" customHeight="1" ht="15">
      <c r="A1758" s="22" t="inlineStr">
        <is>
          <r>
            <t xml:space="preserve">I2564</t>
          </r>
        </is>
      </c>
      <c r="B1758" s="23" t="inlineStr">
        <is>
          <r>
            <t xml:space="preserve">OPERADOR DE USINA DE MISTURA BETUMINOSA</t>
          </r>
        </is>
      </c>
      <c r="C1758" s="22" t="inlineStr">
        <is>
          <r>
            <t xml:space="preserve">SEINFRA</t>
          </r>
        </is>
      </c>
      <c r="D1758" s="22" t="inlineStr">
        <is>
          <r>
            <t xml:space="preserve">H</t>
          </r>
        </is>
      </c>
      <c r="E1758" s="24" t="n">
        <v>1.0</v>
      </c>
      <c r="F1758" s="30" t="n">
        <v>28.81</v>
      </c>
      <c r="G1758" s="30" t="n">
        <f>ROUND(ROUND(E1758,8)*F1758,4)</f>
        <v>28.81</v>
      </c>
    </row>
    <row r="1759" customHeight="1" ht="15">
      <c r="A1759" s="2" t="inlineStr"/>
      <c r="B1759" s="2" t="inlineStr"/>
      <c r="C1759" s="2" t="inlineStr"/>
      <c r="D1759" s="2" t="inlineStr"/>
      <c r="E1759" s="26" t="inlineStr">
        <is>
          <r>
            <t xml:space="preserve">TOTAL Mão de Obra:</t>
          </r>
        </is>
      </c>
      <c r="F1759" s="26" t="inlineStr"/>
      <c r="G1759" s="31" t="n">
        <f>SUM(G1758:G1758)</f>
        <v>28.81</v>
      </c>
    </row>
    <row r="1760" customHeight="1" ht="15">
      <c r="A1760" s="2" t="inlineStr"/>
      <c r="B1760" s="2" t="inlineStr"/>
      <c r="C1760" s="2" t="inlineStr"/>
      <c r="D1760" s="2" t="inlineStr"/>
      <c r="E1760" s="28" t="inlineStr">
        <is>
          <r>
            <t xml:space="preserve">VALOR:</t>
          </r>
        </is>
      </c>
      <c r="F1760" s="28" t="inlineStr"/>
      <c r="G1760" s="29" t="n">
        <f>ROUND(SUM(G1759),2)</f>
        <v>28.81</v>
      </c>
    </row>
    <row r="1761" customHeight="1" ht="15">
      <c r="A1761" s="2" t="inlineStr"/>
      <c r="B1761" s="2" t="inlineStr"/>
      <c r="C1761" s="2" t="inlineStr"/>
      <c r="D1761" s="2" t="inlineStr"/>
      <c r="E1761" s="28" t="inlineStr">
        <is>
          <r>
            <t xml:space="preserve">VALOR BDI:</t>
          </r>
        </is>
      </c>
      <c r="F1761" s="28" t="inlineStr"/>
      <c r="G1761" s="29" t="n">
        <f>ROUND(G1760*(0/100),2)</f>
        <v>0.0</v>
      </c>
    </row>
    <row r="1762" customHeight="1" ht="15">
      <c r="A1762" s="2" t="inlineStr"/>
      <c r="B1762" s="2" t="inlineStr"/>
      <c r="C1762" s="2" t="inlineStr"/>
      <c r="D1762" s="2" t="inlineStr"/>
      <c r="E1762" s="28" t="inlineStr">
        <is>
          <r>
            <t xml:space="preserve">VALOR COM BDI:</t>
          </r>
        </is>
      </c>
      <c r="F1762" s="28" t="inlineStr"/>
      <c r="G1762" s="29" t="n">
        <f>G1761+G1760</f>
        <v>28.81</v>
      </c>
    </row>
    <row r="1763" customHeight="1" ht="10">
      <c r="A1763" s="2" t="inlineStr"/>
      <c r="B1763" s="2" t="inlineStr"/>
      <c r="C1763" s="2" t="inlineStr"/>
      <c r="D1763" s="2" t="inlineStr"/>
      <c r="E1763" s="18" t="inlineStr"/>
      <c r="F1763" s="18" t="inlineStr"/>
      <c r="G1763" s="18" t="inlineStr"/>
    </row>
    <row r="1764" customHeight="1" ht="20">
      <c r="A1764" s="19" t="inlineStr">
        <is>
          <r>
            <t xml:space="preserve">​I2848​ MÃO DE OBRA DE OPERAÇÃO DA USINA MISTURADORA DE SOLOS​ (H)</t>
          </r>
        </is>
      </c>
      <c r="B1764" s="19" t="inlineStr"/>
      <c r="C1764" s="19" t="inlineStr"/>
      <c r="D1764" s="19" t="inlineStr"/>
      <c r="E1764" s="19" t="inlineStr"/>
      <c r="F1764" s="19" t="inlineStr"/>
      <c r="G1764" s="19" t="inlineStr"/>
    </row>
    <row r="1765" customHeight="1" ht="15">
      <c r="A1765" s="20" t="inlineStr">
        <is>
          <r>
            <t xml:space="preserve">Mão de Obra</t>
          </r>
        </is>
      </c>
      <c r="B1765" s="20" t="inlineStr"/>
      <c r="C1765" s="21" t="inlineStr">
        <is>
          <r>
            <t xml:space="preserve">FONTE</t>
          </r>
        </is>
      </c>
      <c r="D1765" s="21" t="inlineStr">
        <is>
          <r>
            <t xml:space="preserve">UNID</t>
          </r>
        </is>
      </c>
      <c r="E1765" s="21" t="inlineStr">
        <is>
          <r>
            <t xml:space="preserve">COEFICIENTE</t>
          </r>
        </is>
      </c>
      <c r="F1765" s="21" t="inlineStr">
        <is>
          <r>
            <t xml:space="preserve">PREÇO UNITÁRIO</t>
          </r>
        </is>
      </c>
      <c r="G1765" s="21" t="inlineStr">
        <is>
          <r>
            <t xml:space="preserve">TOTAL</t>
          </r>
        </is>
      </c>
    </row>
    <row r="1766" customHeight="1" ht="15">
      <c r="A1766" s="22" t="inlineStr">
        <is>
          <r>
            <t xml:space="preserve">I2524</t>
          </r>
        </is>
      </c>
      <c r="B1766" s="23" t="inlineStr">
        <is>
          <r>
            <t xml:space="preserve">OPERADOR DE USINA MISTURADORA DE SOLOS E</t>
          </r>
        </is>
      </c>
      <c r="C1766" s="22" t="inlineStr">
        <is>
          <r>
            <t xml:space="preserve">SEINFRA</t>
          </r>
        </is>
      </c>
      <c r="D1766" s="22" t="inlineStr">
        <is>
          <r>
            <t xml:space="preserve">H</t>
          </r>
        </is>
      </c>
      <c r="E1766" s="24" t="n">
        <v>1.0</v>
      </c>
      <c r="F1766" s="30" t="n">
        <v>28.81</v>
      </c>
      <c r="G1766" s="30" t="n">
        <f>ROUND(ROUND(E1766,8)*F1766,4)</f>
        <v>28.81</v>
      </c>
    </row>
    <row r="1767" customHeight="1" ht="15">
      <c r="A1767" s="2" t="inlineStr"/>
      <c r="B1767" s="2" t="inlineStr"/>
      <c r="C1767" s="2" t="inlineStr"/>
      <c r="D1767" s="2" t="inlineStr"/>
      <c r="E1767" s="26" t="inlineStr">
        <is>
          <r>
            <t xml:space="preserve">TOTAL Mão de Obra:</t>
          </r>
        </is>
      </c>
      <c r="F1767" s="26" t="inlineStr"/>
      <c r="G1767" s="31" t="n">
        <f>SUM(G1766:G1766)</f>
        <v>28.81</v>
      </c>
    </row>
    <row r="1768" customHeight="1" ht="15">
      <c r="A1768" s="2" t="inlineStr"/>
      <c r="B1768" s="2" t="inlineStr"/>
      <c r="C1768" s="2" t="inlineStr"/>
      <c r="D1768" s="2" t="inlineStr"/>
      <c r="E1768" s="28" t="inlineStr">
        <is>
          <r>
            <t xml:space="preserve">VALOR:</t>
          </r>
        </is>
      </c>
      <c r="F1768" s="28" t="inlineStr"/>
      <c r="G1768" s="29" t="n">
        <f>ROUND(SUM(G1767),2)</f>
        <v>28.81</v>
      </c>
    </row>
    <row r="1769" customHeight="1" ht="15">
      <c r="A1769" s="2" t="inlineStr"/>
      <c r="B1769" s="2" t="inlineStr"/>
      <c r="C1769" s="2" t="inlineStr"/>
      <c r="D1769" s="2" t="inlineStr"/>
      <c r="E1769" s="28" t="inlineStr">
        <is>
          <r>
            <t xml:space="preserve">VALOR BDI:</t>
          </r>
        </is>
      </c>
      <c r="F1769" s="28" t="inlineStr"/>
      <c r="G1769" s="29" t="n">
        <f>ROUND(G1768*(0/100),2)</f>
        <v>0.0</v>
      </c>
    </row>
    <row r="1770" customHeight="1" ht="15">
      <c r="A1770" s="2" t="inlineStr"/>
      <c r="B1770" s="2" t="inlineStr"/>
      <c r="C1770" s="2" t="inlineStr"/>
      <c r="D1770" s="2" t="inlineStr"/>
      <c r="E1770" s="28" t="inlineStr">
        <is>
          <r>
            <t xml:space="preserve">VALOR COM BDI:</t>
          </r>
        </is>
      </c>
      <c r="F1770" s="28" t="inlineStr"/>
      <c r="G1770" s="29" t="n">
        <f>G1769+G1768</f>
        <v>28.81</v>
      </c>
    </row>
    <row r="1771" customHeight="1" ht="10">
      <c r="A1771" s="2" t="inlineStr"/>
      <c r="B1771" s="2" t="inlineStr"/>
      <c r="C1771" s="2" t="inlineStr"/>
      <c r="D1771" s="2" t="inlineStr"/>
      <c r="E1771" s="18" t="inlineStr"/>
      <c r="F1771" s="18" t="inlineStr"/>
      <c r="G1771" s="18" t="inlineStr"/>
    </row>
    <row r="1772" customHeight="1" ht="20">
      <c r="A1772" s="19" t="inlineStr">
        <is>
          <r>
            <t xml:space="preserve">​I2724​ MÃO DE OBRA DE OPERAÇÃO DO CAMINHÃO BASCULANTE 12M3​ (H)</t>
          </r>
        </is>
      </c>
      <c r="B1772" s="19" t="inlineStr"/>
      <c r="C1772" s="19" t="inlineStr"/>
      <c r="D1772" s="19" t="inlineStr"/>
      <c r="E1772" s="19" t="inlineStr"/>
      <c r="F1772" s="19" t="inlineStr"/>
      <c r="G1772" s="19" t="inlineStr"/>
    </row>
    <row r="1773" customHeight="1" ht="15">
      <c r="A1773" s="20" t="inlineStr">
        <is>
          <r>
            <t xml:space="preserve">Mão de Obra</t>
          </r>
        </is>
      </c>
      <c r="B1773" s="20" t="inlineStr"/>
      <c r="C1773" s="21" t="inlineStr">
        <is>
          <r>
            <t xml:space="preserve">FONTE</t>
          </r>
        </is>
      </c>
      <c r="D1773" s="21" t="inlineStr">
        <is>
          <r>
            <t xml:space="preserve">UNID</t>
          </r>
        </is>
      </c>
      <c r="E1773" s="21" t="inlineStr">
        <is>
          <r>
            <t xml:space="preserve">COEFICIENTE</t>
          </r>
        </is>
      </c>
      <c r="F1773" s="21" t="inlineStr">
        <is>
          <r>
            <t xml:space="preserve">PREÇO UNITÁRIO</t>
          </r>
        </is>
      </c>
      <c r="G1773" s="21" t="inlineStr">
        <is>
          <r>
            <t xml:space="preserve">TOTAL</t>
          </r>
        </is>
      </c>
    </row>
    <row r="1774" customHeight="1" ht="15">
      <c r="A1774" s="22" t="inlineStr">
        <is>
          <r>
            <t xml:space="preserve">I2545</t>
          </r>
        </is>
      </c>
      <c r="B1774" s="23" t="inlineStr">
        <is>
          <r>
            <t xml:space="preserve">MOTORISTA DE CAMINHÃO</t>
          </r>
        </is>
      </c>
      <c r="C1774" s="22" t="inlineStr">
        <is>
          <r>
            <t xml:space="preserve">SEINFRA</t>
          </r>
        </is>
      </c>
      <c r="D1774" s="22" t="inlineStr">
        <is>
          <r>
            <t xml:space="preserve">H</t>
          </r>
        </is>
      </c>
      <c r="E1774" s="24" t="n">
        <v>1.0</v>
      </c>
      <c r="F1774" s="30" t="n">
        <v>24.51</v>
      </c>
      <c r="G1774" s="30" t="n">
        <f>ROUND(ROUND(E1774,8)*F1774,4)</f>
        <v>24.51</v>
      </c>
    </row>
    <row r="1775" customHeight="1" ht="15">
      <c r="A1775" s="2" t="inlineStr"/>
      <c r="B1775" s="2" t="inlineStr"/>
      <c r="C1775" s="2" t="inlineStr"/>
      <c r="D1775" s="2" t="inlineStr"/>
      <c r="E1775" s="26" t="inlineStr">
        <is>
          <r>
            <t xml:space="preserve">TOTAL Mão de Obra:</t>
          </r>
        </is>
      </c>
      <c r="F1775" s="26" t="inlineStr"/>
      <c r="G1775" s="31" t="n">
        <f>SUM(G1774:G1774)</f>
        <v>24.51</v>
      </c>
    </row>
    <row r="1776" customHeight="1" ht="15">
      <c r="A1776" s="2" t="inlineStr"/>
      <c r="B1776" s="2" t="inlineStr"/>
      <c r="C1776" s="2" t="inlineStr"/>
      <c r="D1776" s="2" t="inlineStr"/>
      <c r="E1776" s="28" t="inlineStr">
        <is>
          <r>
            <t xml:space="preserve">VALOR:</t>
          </r>
        </is>
      </c>
      <c r="F1776" s="28" t="inlineStr"/>
      <c r="G1776" s="29" t="n">
        <f>ROUND(SUM(G1775),2)</f>
        <v>24.51</v>
      </c>
    </row>
    <row r="1777" customHeight="1" ht="15">
      <c r="A1777" s="2" t="inlineStr"/>
      <c r="B1777" s="2" t="inlineStr"/>
      <c r="C1777" s="2" t="inlineStr"/>
      <c r="D1777" s="2" t="inlineStr"/>
      <c r="E1777" s="28" t="inlineStr">
        <is>
          <r>
            <t xml:space="preserve">VALOR BDI:</t>
          </r>
        </is>
      </c>
      <c r="F1777" s="28" t="inlineStr"/>
      <c r="G1777" s="29" t="n">
        <f>ROUND(G1776*(0/100),2)</f>
        <v>0.0</v>
      </c>
    </row>
    <row r="1778" customHeight="1" ht="15">
      <c r="A1778" s="2" t="inlineStr"/>
      <c r="B1778" s="2" t="inlineStr"/>
      <c r="C1778" s="2" t="inlineStr"/>
      <c r="D1778" s="2" t="inlineStr"/>
      <c r="E1778" s="28" t="inlineStr">
        <is>
          <r>
            <t xml:space="preserve">VALOR COM BDI:</t>
          </r>
        </is>
      </c>
      <c r="F1778" s="28" t="inlineStr"/>
      <c r="G1778" s="29" t="n">
        <f>G1777+G1776</f>
        <v>24.51</v>
      </c>
    </row>
    <row r="1779" customHeight="1" ht="10">
      <c r="A1779" s="2" t="inlineStr"/>
      <c r="B1779" s="2" t="inlineStr"/>
      <c r="C1779" s="2" t="inlineStr"/>
      <c r="D1779" s="2" t="inlineStr"/>
      <c r="E1779" s="18" t="inlineStr"/>
      <c r="F1779" s="18" t="inlineStr"/>
      <c r="G1779" s="18" t="inlineStr"/>
    </row>
    <row r="1780" customHeight="1" ht="20">
      <c r="A1780" s="19" t="inlineStr">
        <is>
          <r>
            <t xml:space="preserve">​I2722​ MÃO DE OBRA DE OPERAÇÃO DO CAMINHÃO BASCULANTE 6M3​ (H)</t>
          </r>
        </is>
      </c>
      <c r="B1780" s="19" t="inlineStr"/>
      <c r="C1780" s="19" t="inlineStr"/>
      <c r="D1780" s="19" t="inlineStr"/>
      <c r="E1780" s="19" t="inlineStr"/>
      <c r="F1780" s="19" t="inlineStr"/>
      <c r="G1780" s="19" t="inlineStr"/>
    </row>
    <row r="1781" customHeight="1" ht="15">
      <c r="A1781" s="20" t="inlineStr">
        <is>
          <r>
            <t xml:space="preserve">Mão de Obra</t>
          </r>
        </is>
      </c>
      <c r="B1781" s="20" t="inlineStr"/>
      <c r="C1781" s="21" t="inlineStr">
        <is>
          <r>
            <t xml:space="preserve">FONTE</t>
          </r>
        </is>
      </c>
      <c r="D1781" s="21" t="inlineStr">
        <is>
          <r>
            <t xml:space="preserve">UNID</t>
          </r>
        </is>
      </c>
      <c r="E1781" s="21" t="inlineStr">
        <is>
          <r>
            <t xml:space="preserve">COEFICIENTE</t>
          </r>
        </is>
      </c>
      <c r="F1781" s="21" t="inlineStr">
        <is>
          <r>
            <t xml:space="preserve">PREÇO UNITÁRIO</t>
          </r>
        </is>
      </c>
      <c r="G1781" s="21" t="inlineStr">
        <is>
          <r>
            <t xml:space="preserve">TOTAL</t>
          </r>
        </is>
      </c>
    </row>
    <row r="1782" customHeight="1" ht="15">
      <c r="A1782" s="22" t="inlineStr">
        <is>
          <r>
            <t xml:space="preserve">I2545</t>
          </r>
        </is>
      </c>
      <c r="B1782" s="23" t="inlineStr">
        <is>
          <r>
            <t xml:space="preserve">MOTORISTA DE CAMINHÃO</t>
          </r>
        </is>
      </c>
      <c r="C1782" s="22" t="inlineStr">
        <is>
          <r>
            <t xml:space="preserve">SEINFRA</t>
          </r>
        </is>
      </c>
      <c r="D1782" s="22" t="inlineStr">
        <is>
          <r>
            <t xml:space="preserve">H</t>
          </r>
        </is>
      </c>
      <c r="E1782" s="24" t="n">
        <v>1.0</v>
      </c>
      <c r="F1782" s="30" t="n">
        <v>24.51</v>
      </c>
      <c r="G1782" s="30" t="n">
        <f>ROUND(ROUND(E1782,8)*F1782,4)</f>
        <v>24.51</v>
      </c>
    </row>
    <row r="1783" customHeight="1" ht="15">
      <c r="A1783" s="2" t="inlineStr"/>
      <c r="B1783" s="2" t="inlineStr"/>
      <c r="C1783" s="2" t="inlineStr"/>
      <c r="D1783" s="2" t="inlineStr"/>
      <c r="E1783" s="26" t="inlineStr">
        <is>
          <r>
            <t xml:space="preserve">TOTAL Mão de Obra:</t>
          </r>
        </is>
      </c>
      <c r="F1783" s="26" t="inlineStr"/>
      <c r="G1783" s="31" t="n">
        <f>SUM(G1782:G1782)</f>
        <v>24.51</v>
      </c>
    </row>
    <row r="1784" customHeight="1" ht="15">
      <c r="A1784" s="2" t="inlineStr"/>
      <c r="B1784" s="2" t="inlineStr"/>
      <c r="C1784" s="2" t="inlineStr"/>
      <c r="D1784" s="2" t="inlineStr"/>
      <c r="E1784" s="28" t="inlineStr">
        <is>
          <r>
            <t xml:space="preserve">VALOR:</t>
          </r>
        </is>
      </c>
      <c r="F1784" s="28" t="inlineStr"/>
      <c r="G1784" s="29" t="n">
        <f>ROUND(SUM(G1783),2)</f>
        <v>24.51</v>
      </c>
    </row>
    <row r="1785" customHeight="1" ht="15">
      <c r="A1785" s="2" t="inlineStr"/>
      <c r="B1785" s="2" t="inlineStr"/>
      <c r="C1785" s="2" t="inlineStr"/>
      <c r="D1785" s="2" t="inlineStr"/>
      <c r="E1785" s="28" t="inlineStr">
        <is>
          <r>
            <t xml:space="preserve">VALOR BDI:</t>
          </r>
        </is>
      </c>
      <c r="F1785" s="28" t="inlineStr"/>
      <c r="G1785" s="29" t="n">
        <f>ROUND(G1784*(0/100),2)</f>
        <v>0.0</v>
      </c>
    </row>
    <row r="1786" customHeight="1" ht="15">
      <c r="A1786" s="2" t="inlineStr"/>
      <c r="B1786" s="2" t="inlineStr"/>
      <c r="C1786" s="2" t="inlineStr"/>
      <c r="D1786" s="2" t="inlineStr"/>
      <c r="E1786" s="28" t="inlineStr">
        <is>
          <r>
            <t xml:space="preserve">VALOR COM BDI:</t>
          </r>
        </is>
      </c>
      <c r="F1786" s="28" t="inlineStr"/>
      <c r="G1786" s="29" t="n">
        <f>G1785+G1784</f>
        <v>24.51</v>
      </c>
    </row>
    <row r="1787" customHeight="1" ht="10">
      <c r="A1787" s="2" t="inlineStr"/>
      <c r="B1787" s="2" t="inlineStr"/>
      <c r="C1787" s="2" t="inlineStr"/>
      <c r="D1787" s="2" t="inlineStr"/>
      <c r="E1787" s="18" t="inlineStr"/>
      <c r="F1787" s="18" t="inlineStr"/>
      <c r="G1787" s="18" t="inlineStr"/>
    </row>
    <row r="1788" customHeight="1" ht="20">
      <c r="A1788" s="19" t="inlineStr">
        <is>
          <r>
            <t xml:space="preserve">​I2730​ MÃO DE OBRA DE OPERAÇÃO DO CAMINHÃO C/ CARROCERIA DE MADEIRA (136 HP)​ (H)</t>
          </r>
        </is>
      </c>
      <c r="B1788" s="19" t="inlineStr"/>
      <c r="C1788" s="19" t="inlineStr"/>
      <c r="D1788" s="19" t="inlineStr"/>
      <c r="E1788" s="19" t="inlineStr"/>
      <c r="F1788" s="19" t="inlineStr"/>
      <c r="G1788" s="19" t="inlineStr"/>
    </row>
    <row r="1789" customHeight="1" ht="15">
      <c r="A1789" s="20" t="inlineStr">
        <is>
          <r>
            <t xml:space="preserve">Mão de Obra</t>
          </r>
        </is>
      </c>
      <c r="B1789" s="20" t="inlineStr"/>
      <c r="C1789" s="21" t="inlineStr">
        <is>
          <r>
            <t xml:space="preserve">FONTE</t>
          </r>
        </is>
      </c>
      <c r="D1789" s="21" t="inlineStr">
        <is>
          <r>
            <t xml:space="preserve">UNID</t>
          </r>
        </is>
      </c>
      <c r="E1789" s="21" t="inlineStr">
        <is>
          <r>
            <t xml:space="preserve">COEFICIENTE</t>
          </r>
        </is>
      </c>
      <c r="F1789" s="21" t="inlineStr">
        <is>
          <r>
            <t xml:space="preserve">PREÇO UNITÁRIO</t>
          </r>
        </is>
      </c>
      <c r="G1789" s="21" t="inlineStr">
        <is>
          <r>
            <t xml:space="preserve">TOTAL</t>
          </r>
        </is>
      </c>
    </row>
    <row r="1790" customHeight="1" ht="15">
      <c r="A1790" s="22" t="inlineStr">
        <is>
          <r>
            <t xml:space="preserve">I2545</t>
          </r>
        </is>
      </c>
      <c r="B1790" s="23" t="inlineStr">
        <is>
          <r>
            <t xml:space="preserve">MOTORISTA DE CAMINHÃO</t>
          </r>
        </is>
      </c>
      <c r="C1790" s="22" t="inlineStr">
        <is>
          <r>
            <t xml:space="preserve">SEINFRA</t>
          </r>
        </is>
      </c>
      <c r="D1790" s="22" t="inlineStr">
        <is>
          <r>
            <t xml:space="preserve">H</t>
          </r>
        </is>
      </c>
      <c r="E1790" s="24" t="n">
        <v>1.0</v>
      </c>
      <c r="F1790" s="30" t="n">
        <v>24.51</v>
      </c>
      <c r="G1790" s="30" t="n">
        <f>ROUND(ROUND(E1790,8)*F1790,4)</f>
        <v>24.51</v>
      </c>
    </row>
    <row r="1791" customHeight="1" ht="15">
      <c r="A1791" s="2" t="inlineStr"/>
      <c r="B1791" s="2" t="inlineStr"/>
      <c r="C1791" s="2" t="inlineStr"/>
      <c r="D1791" s="2" t="inlineStr"/>
      <c r="E1791" s="26" t="inlineStr">
        <is>
          <r>
            <t xml:space="preserve">TOTAL Mão de Obra:</t>
          </r>
        </is>
      </c>
      <c r="F1791" s="26" t="inlineStr"/>
      <c r="G1791" s="31" t="n">
        <f>SUM(G1790:G1790)</f>
        <v>24.51</v>
      </c>
    </row>
    <row r="1792" customHeight="1" ht="15">
      <c r="A1792" s="2" t="inlineStr"/>
      <c r="B1792" s="2" t="inlineStr"/>
      <c r="C1792" s="2" t="inlineStr"/>
      <c r="D1792" s="2" t="inlineStr"/>
      <c r="E1792" s="28" t="inlineStr">
        <is>
          <r>
            <t xml:space="preserve">VALOR:</t>
          </r>
        </is>
      </c>
      <c r="F1792" s="28" t="inlineStr"/>
      <c r="G1792" s="29" t="n">
        <f>ROUND(SUM(G1791),2)</f>
        <v>24.51</v>
      </c>
    </row>
    <row r="1793" customHeight="1" ht="15">
      <c r="A1793" s="2" t="inlineStr"/>
      <c r="B1793" s="2" t="inlineStr"/>
      <c r="C1793" s="2" t="inlineStr"/>
      <c r="D1793" s="2" t="inlineStr"/>
      <c r="E1793" s="28" t="inlineStr">
        <is>
          <r>
            <t xml:space="preserve">VALOR BDI:</t>
          </r>
        </is>
      </c>
      <c r="F1793" s="28" t="inlineStr"/>
      <c r="G1793" s="29" t="n">
        <f>ROUND(G1792*(0/100),2)</f>
        <v>0.0</v>
      </c>
    </row>
    <row r="1794" customHeight="1" ht="15">
      <c r="A1794" s="2" t="inlineStr"/>
      <c r="B1794" s="2" t="inlineStr"/>
      <c r="C1794" s="2" t="inlineStr"/>
      <c r="D1794" s="2" t="inlineStr"/>
      <c r="E1794" s="28" t="inlineStr">
        <is>
          <r>
            <t xml:space="preserve">VALOR COM BDI:</t>
          </r>
        </is>
      </c>
      <c r="F1794" s="28" t="inlineStr"/>
      <c r="G1794" s="29" t="n">
        <f>G1793+G1792</f>
        <v>24.51</v>
      </c>
    </row>
    <row r="1795" customHeight="1" ht="10">
      <c r="A1795" s="2" t="inlineStr"/>
      <c r="B1795" s="2" t="inlineStr"/>
      <c r="C1795" s="2" t="inlineStr"/>
      <c r="D1795" s="2" t="inlineStr"/>
      <c r="E1795" s="18" t="inlineStr"/>
      <c r="F1795" s="18" t="inlineStr"/>
      <c r="G1795" s="18" t="inlineStr"/>
    </row>
    <row r="1796" customHeight="1" ht="20">
      <c r="A1796" s="19" t="inlineStr">
        <is>
          <r>
            <t xml:space="preserve">​I2732​ MÃO DE OBRA DE OPERAÇÃO DO CAMINHÃO C/ CARROCERIA DE MADEIRA (184 HP)​ (H)</t>
          </r>
        </is>
      </c>
      <c r="B1796" s="19" t="inlineStr"/>
      <c r="C1796" s="19" t="inlineStr"/>
      <c r="D1796" s="19" t="inlineStr"/>
      <c r="E1796" s="19" t="inlineStr"/>
      <c r="F1796" s="19" t="inlineStr"/>
      <c r="G1796" s="19" t="inlineStr"/>
    </row>
    <row r="1797" customHeight="1" ht="15">
      <c r="A1797" s="20" t="inlineStr">
        <is>
          <r>
            <t xml:space="preserve">Mão de Obra</t>
          </r>
        </is>
      </c>
      <c r="B1797" s="20" t="inlineStr"/>
      <c r="C1797" s="21" t="inlineStr">
        <is>
          <r>
            <t xml:space="preserve">FONTE</t>
          </r>
        </is>
      </c>
      <c r="D1797" s="21" t="inlineStr">
        <is>
          <r>
            <t xml:space="preserve">UNID</t>
          </r>
        </is>
      </c>
      <c r="E1797" s="21" t="inlineStr">
        <is>
          <r>
            <t xml:space="preserve">COEFICIENTE</t>
          </r>
        </is>
      </c>
      <c r="F1797" s="21" t="inlineStr">
        <is>
          <r>
            <t xml:space="preserve">PREÇO UNITÁRIO</t>
          </r>
        </is>
      </c>
      <c r="G1797" s="21" t="inlineStr">
        <is>
          <r>
            <t xml:space="preserve">TOTAL</t>
          </r>
        </is>
      </c>
    </row>
    <row r="1798" customHeight="1" ht="15">
      <c r="A1798" s="22" t="inlineStr">
        <is>
          <r>
            <t xml:space="preserve">I2545</t>
          </r>
        </is>
      </c>
      <c r="B1798" s="23" t="inlineStr">
        <is>
          <r>
            <t xml:space="preserve">MOTORISTA DE CAMINHÃO</t>
          </r>
        </is>
      </c>
      <c r="C1798" s="22" t="inlineStr">
        <is>
          <r>
            <t xml:space="preserve">SEINFRA</t>
          </r>
        </is>
      </c>
      <c r="D1798" s="22" t="inlineStr">
        <is>
          <r>
            <t xml:space="preserve">H</t>
          </r>
        </is>
      </c>
      <c r="E1798" s="24" t="n">
        <v>1.0</v>
      </c>
      <c r="F1798" s="30" t="n">
        <v>24.51</v>
      </c>
      <c r="G1798" s="30" t="n">
        <f>ROUND(ROUND(E1798,8)*F1798,4)</f>
        <v>24.51</v>
      </c>
    </row>
    <row r="1799" customHeight="1" ht="15">
      <c r="A1799" s="2" t="inlineStr"/>
      <c r="B1799" s="2" t="inlineStr"/>
      <c r="C1799" s="2" t="inlineStr"/>
      <c r="D1799" s="2" t="inlineStr"/>
      <c r="E1799" s="26" t="inlineStr">
        <is>
          <r>
            <t xml:space="preserve">TOTAL Mão de Obra:</t>
          </r>
        </is>
      </c>
      <c r="F1799" s="26" t="inlineStr"/>
      <c r="G1799" s="31" t="n">
        <f>SUM(G1798:G1798)</f>
        <v>24.51</v>
      </c>
    </row>
    <row r="1800" customHeight="1" ht="15">
      <c r="A1800" s="2" t="inlineStr"/>
      <c r="B1800" s="2" t="inlineStr"/>
      <c r="C1800" s="2" t="inlineStr"/>
      <c r="D1800" s="2" t="inlineStr"/>
      <c r="E1800" s="28" t="inlineStr">
        <is>
          <r>
            <t xml:space="preserve">VALOR:</t>
          </r>
        </is>
      </c>
      <c r="F1800" s="28" t="inlineStr"/>
      <c r="G1800" s="29" t="n">
        <f>ROUND(SUM(G1799),2)</f>
        <v>24.51</v>
      </c>
    </row>
    <row r="1801" customHeight="1" ht="15">
      <c r="A1801" s="2" t="inlineStr"/>
      <c r="B1801" s="2" t="inlineStr"/>
      <c r="C1801" s="2" t="inlineStr"/>
      <c r="D1801" s="2" t="inlineStr"/>
      <c r="E1801" s="28" t="inlineStr">
        <is>
          <r>
            <t xml:space="preserve">VALOR BDI:</t>
          </r>
        </is>
      </c>
      <c r="F1801" s="28" t="inlineStr"/>
      <c r="G1801" s="29" t="n">
        <f>ROUND(G1800*(0/100),2)</f>
        <v>0.0</v>
      </c>
    </row>
    <row r="1802" customHeight="1" ht="15">
      <c r="A1802" s="2" t="inlineStr"/>
      <c r="B1802" s="2" t="inlineStr"/>
      <c r="C1802" s="2" t="inlineStr"/>
      <c r="D1802" s="2" t="inlineStr"/>
      <c r="E1802" s="28" t="inlineStr">
        <is>
          <r>
            <t xml:space="preserve">VALOR COM BDI:</t>
          </r>
        </is>
      </c>
      <c r="F1802" s="28" t="inlineStr"/>
      <c r="G1802" s="29" t="n">
        <f>G1801+G1800</f>
        <v>24.51</v>
      </c>
    </row>
    <row r="1803" customHeight="1" ht="10">
      <c r="A1803" s="2" t="inlineStr"/>
      <c r="B1803" s="2" t="inlineStr"/>
      <c r="C1803" s="2" t="inlineStr"/>
      <c r="D1803" s="2" t="inlineStr"/>
      <c r="E1803" s="18" t="inlineStr"/>
      <c r="F1803" s="18" t="inlineStr"/>
      <c r="G1803" s="18" t="inlineStr"/>
    </row>
    <row r="1804" customHeight="1" ht="20">
      <c r="A1804" s="19" t="inlineStr">
        <is>
          <r>
            <t xml:space="preserve">​I2734​ MÃO DE OBRA DE OPERAÇÃO DO CAMINHÃO COMERC. EQUIP. C/ GUINDAUTO​ (H)</t>
          </r>
        </is>
      </c>
      <c r="B1804" s="19" t="inlineStr"/>
      <c r="C1804" s="19" t="inlineStr"/>
      <c r="D1804" s="19" t="inlineStr"/>
      <c r="E1804" s="19" t="inlineStr"/>
      <c r="F1804" s="19" t="inlineStr"/>
      <c r="G1804" s="19" t="inlineStr"/>
    </row>
    <row r="1805" customHeight="1" ht="15">
      <c r="A1805" s="20" t="inlineStr">
        <is>
          <r>
            <t xml:space="preserve">Mão de Obra</t>
          </r>
        </is>
      </c>
      <c r="B1805" s="20" t="inlineStr"/>
      <c r="C1805" s="21" t="inlineStr">
        <is>
          <r>
            <t xml:space="preserve">FONTE</t>
          </r>
        </is>
      </c>
      <c r="D1805" s="21" t="inlineStr">
        <is>
          <r>
            <t xml:space="preserve">UNID</t>
          </r>
        </is>
      </c>
      <c r="E1805" s="21" t="inlineStr">
        <is>
          <r>
            <t xml:space="preserve">COEFICIENTE</t>
          </r>
        </is>
      </c>
      <c r="F1805" s="21" t="inlineStr">
        <is>
          <r>
            <t xml:space="preserve">PREÇO UNITÁRIO</t>
          </r>
        </is>
      </c>
      <c r="G1805" s="21" t="inlineStr">
        <is>
          <r>
            <t xml:space="preserve">TOTAL</t>
          </r>
        </is>
      </c>
    </row>
    <row r="1806" customHeight="1" ht="15">
      <c r="A1806" s="22" t="inlineStr">
        <is>
          <r>
            <t xml:space="preserve">I2545</t>
          </r>
        </is>
      </c>
      <c r="B1806" s="23" t="inlineStr">
        <is>
          <r>
            <t xml:space="preserve">MOTORISTA DE CAMINHÃO</t>
          </r>
        </is>
      </c>
      <c r="C1806" s="22" t="inlineStr">
        <is>
          <r>
            <t xml:space="preserve">SEINFRA</t>
          </r>
        </is>
      </c>
      <c r="D1806" s="22" t="inlineStr">
        <is>
          <r>
            <t xml:space="preserve">H</t>
          </r>
        </is>
      </c>
      <c r="E1806" s="24" t="n">
        <v>1.0</v>
      </c>
      <c r="F1806" s="30" t="n">
        <v>24.51</v>
      </c>
      <c r="G1806" s="30" t="n">
        <f>ROUND(ROUND(E1806,8)*F1806,4)</f>
        <v>24.51</v>
      </c>
    </row>
    <row r="1807" customHeight="1" ht="15">
      <c r="A1807" s="2" t="inlineStr"/>
      <c r="B1807" s="2" t="inlineStr"/>
      <c r="C1807" s="2" t="inlineStr"/>
      <c r="D1807" s="2" t="inlineStr"/>
      <c r="E1807" s="26" t="inlineStr">
        <is>
          <r>
            <t xml:space="preserve">TOTAL Mão de Obra:</t>
          </r>
        </is>
      </c>
      <c r="F1807" s="26" t="inlineStr"/>
      <c r="G1807" s="31" t="n">
        <f>SUM(G1806:G1806)</f>
        <v>24.51</v>
      </c>
    </row>
    <row r="1808" customHeight="1" ht="15">
      <c r="A1808" s="2" t="inlineStr"/>
      <c r="B1808" s="2" t="inlineStr"/>
      <c r="C1808" s="2" t="inlineStr"/>
      <c r="D1808" s="2" t="inlineStr"/>
      <c r="E1808" s="28" t="inlineStr">
        <is>
          <r>
            <t xml:space="preserve">VALOR:</t>
          </r>
        </is>
      </c>
      <c r="F1808" s="28" t="inlineStr"/>
      <c r="G1808" s="29" t="n">
        <f>ROUND(SUM(G1807),2)</f>
        <v>24.51</v>
      </c>
    </row>
    <row r="1809" customHeight="1" ht="15">
      <c r="A1809" s="2" t="inlineStr"/>
      <c r="B1809" s="2" t="inlineStr"/>
      <c r="C1809" s="2" t="inlineStr"/>
      <c r="D1809" s="2" t="inlineStr"/>
      <c r="E1809" s="28" t="inlineStr">
        <is>
          <r>
            <t xml:space="preserve">VALOR BDI:</t>
          </r>
        </is>
      </c>
      <c r="F1809" s="28" t="inlineStr"/>
      <c r="G1809" s="29" t="n">
        <f>ROUND(G1808*(0/100),2)</f>
        <v>0.0</v>
      </c>
    </row>
    <row r="1810" customHeight="1" ht="15">
      <c r="A1810" s="2" t="inlineStr"/>
      <c r="B1810" s="2" t="inlineStr"/>
      <c r="C1810" s="2" t="inlineStr"/>
      <c r="D1810" s="2" t="inlineStr"/>
      <c r="E1810" s="28" t="inlineStr">
        <is>
          <r>
            <t xml:space="preserve">VALOR COM BDI:</t>
          </r>
        </is>
      </c>
      <c r="F1810" s="28" t="inlineStr"/>
      <c r="G1810" s="29" t="n">
        <f>G1809+G1808</f>
        <v>24.51</v>
      </c>
    </row>
    <row r="1811" customHeight="1" ht="10">
      <c r="A1811" s="2" t="inlineStr"/>
      <c r="B1811" s="2" t="inlineStr"/>
      <c r="C1811" s="2" t="inlineStr"/>
      <c r="D1811" s="2" t="inlineStr"/>
      <c r="E1811" s="18" t="inlineStr"/>
      <c r="F1811" s="18" t="inlineStr"/>
      <c r="G1811" s="18" t="inlineStr"/>
    </row>
    <row r="1812" customHeight="1" ht="20">
      <c r="A1812" s="19" t="inlineStr">
        <is>
          <r>
            <t xml:space="preserve">​I2744​ MÃO DE OBRA DE OPERAÇÃO DO CAMINHÃO TANQUE 6.000 L​ (H)</t>
          </r>
        </is>
      </c>
      <c r="B1812" s="19" t="inlineStr"/>
      <c r="C1812" s="19" t="inlineStr"/>
      <c r="D1812" s="19" t="inlineStr"/>
      <c r="E1812" s="19" t="inlineStr"/>
      <c r="F1812" s="19" t="inlineStr"/>
      <c r="G1812" s="19" t="inlineStr"/>
    </row>
    <row r="1813" customHeight="1" ht="15">
      <c r="A1813" s="20" t="inlineStr">
        <is>
          <r>
            <t xml:space="preserve">Mão de Obra</t>
          </r>
        </is>
      </c>
      <c r="B1813" s="20" t="inlineStr"/>
      <c r="C1813" s="21" t="inlineStr">
        <is>
          <r>
            <t xml:space="preserve">FONTE</t>
          </r>
        </is>
      </c>
      <c r="D1813" s="21" t="inlineStr">
        <is>
          <r>
            <t xml:space="preserve">UNID</t>
          </r>
        </is>
      </c>
      <c r="E1813" s="21" t="inlineStr">
        <is>
          <r>
            <t xml:space="preserve">COEFICIENTE</t>
          </r>
        </is>
      </c>
      <c r="F1813" s="21" t="inlineStr">
        <is>
          <r>
            <t xml:space="preserve">PREÇO UNITÁRIO</t>
          </r>
        </is>
      </c>
      <c r="G1813" s="21" t="inlineStr">
        <is>
          <r>
            <t xml:space="preserve">TOTAL</t>
          </r>
        </is>
      </c>
    </row>
    <row r="1814" customHeight="1" ht="15">
      <c r="A1814" s="22" t="inlineStr">
        <is>
          <r>
            <t xml:space="preserve">I2545</t>
          </r>
        </is>
      </c>
      <c r="B1814" s="23" t="inlineStr">
        <is>
          <r>
            <t xml:space="preserve">MOTORISTA DE CAMINHÃO</t>
          </r>
        </is>
      </c>
      <c r="C1814" s="22" t="inlineStr">
        <is>
          <r>
            <t xml:space="preserve">SEINFRA</t>
          </r>
        </is>
      </c>
      <c r="D1814" s="22" t="inlineStr">
        <is>
          <r>
            <t xml:space="preserve">H</t>
          </r>
        </is>
      </c>
      <c r="E1814" s="24" t="n">
        <v>1.0</v>
      </c>
      <c r="F1814" s="30" t="n">
        <v>24.51</v>
      </c>
      <c r="G1814" s="30" t="n">
        <f>ROUND(ROUND(E1814,8)*F1814,4)</f>
        <v>24.51</v>
      </c>
    </row>
    <row r="1815" customHeight="1" ht="15">
      <c r="A1815" s="2" t="inlineStr"/>
      <c r="B1815" s="2" t="inlineStr"/>
      <c r="C1815" s="2" t="inlineStr"/>
      <c r="D1815" s="2" t="inlineStr"/>
      <c r="E1815" s="26" t="inlineStr">
        <is>
          <r>
            <t xml:space="preserve">TOTAL Mão de Obra:</t>
          </r>
        </is>
      </c>
      <c r="F1815" s="26" t="inlineStr"/>
      <c r="G1815" s="31" t="n">
        <f>SUM(G1814:G1814)</f>
        <v>24.51</v>
      </c>
    </row>
    <row r="1816" customHeight="1" ht="15">
      <c r="A1816" s="2" t="inlineStr"/>
      <c r="B1816" s="2" t="inlineStr"/>
      <c r="C1816" s="2" t="inlineStr"/>
      <c r="D1816" s="2" t="inlineStr"/>
      <c r="E1816" s="28" t="inlineStr">
        <is>
          <r>
            <t xml:space="preserve">VALOR:</t>
          </r>
        </is>
      </c>
      <c r="F1816" s="28" t="inlineStr"/>
      <c r="G1816" s="29" t="n">
        <f>ROUND(SUM(G1815),2)</f>
        <v>24.51</v>
      </c>
    </row>
    <row r="1817" customHeight="1" ht="15">
      <c r="A1817" s="2" t="inlineStr"/>
      <c r="B1817" s="2" t="inlineStr"/>
      <c r="C1817" s="2" t="inlineStr"/>
      <c r="D1817" s="2" t="inlineStr"/>
      <c r="E1817" s="28" t="inlineStr">
        <is>
          <r>
            <t xml:space="preserve">VALOR BDI:</t>
          </r>
        </is>
      </c>
      <c r="F1817" s="28" t="inlineStr"/>
      <c r="G1817" s="29" t="n">
        <f>ROUND(G1816*(0/100),2)</f>
        <v>0.0</v>
      </c>
    </row>
    <row r="1818" customHeight="1" ht="15">
      <c r="A1818" s="2" t="inlineStr"/>
      <c r="B1818" s="2" t="inlineStr"/>
      <c r="C1818" s="2" t="inlineStr"/>
      <c r="D1818" s="2" t="inlineStr"/>
      <c r="E1818" s="28" t="inlineStr">
        <is>
          <r>
            <t xml:space="preserve">VALOR COM BDI:</t>
          </r>
        </is>
      </c>
      <c r="F1818" s="28" t="inlineStr"/>
      <c r="G1818" s="29" t="n">
        <f>G1817+G1816</f>
        <v>24.51</v>
      </c>
    </row>
    <row r="1819" customHeight="1" ht="10">
      <c r="A1819" s="2" t="inlineStr"/>
      <c r="B1819" s="2" t="inlineStr"/>
      <c r="C1819" s="2" t="inlineStr"/>
      <c r="D1819" s="2" t="inlineStr"/>
      <c r="E1819" s="18" t="inlineStr"/>
      <c r="F1819" s="18" t="inlineStr"/>
      <c r="G1819" s="18" t="inlineStr"/>
    </row>
    <row r="1820" customHeight="1" ht="20">
      <c r="A1820" s="19" t="inlineStr">
        <is>
          <r>
            <t xml:space="preserve">​I2746​ MÃO DE OBRA DE OPERAÇÃO DO CAMINHÃO TANQUE 8.000 L​ (H)</t>
          </r>
        </is>
      </c>
      <c r="B1820" s="19" t="inlineStr"/>
      <c r="C1820" s="19" t="inlineStr"/>
      <c r="D1820" s="19" t="inlineStr"/>
      <c r="E1820" s="19" t="inlineStr"/>
      <c r="F1820" s="19" t="inlineStr"/>
      <c r="G1820" s="19" t="inlineStr"/>
    </row>
    <row r="1821" customHeight="1" ht="15">
      <c r="A1821" s="20" t="inlineStr">
        <is>
          <r>
            <t xml:space="preserve">Mão de Obra</t>
          </r>
        </is>
      </c>
      <c r="B1821" s="20" t="inlineStr"/>
      <c r="C1821" s="21" t="inlineStr">
        <is>
          <r>
            <t xml:space="preserve">FONTE</t>
          </r>
        </is>
      </c>
      <c r="D1821" s="21" t="inlineStr">
        <is>
          <r>
            <t xml:space="preserve">UNID</t>
          </r>
        </is>
      </c>
      <c r="E1821" s="21" t="inlineStr">
        <is>
          <r>
            <t xml:space="preserve">COEFICIENTE</t>
          </r>
        </is>
      </c>
      <c r="F1821" s="21" t="inlineStr">
        <is>
          <r>
            <t xml:space="preserve">PREÇO UNITÁRIO</t>
          </r>
        </is>
      </c>
      <c r="G1821" s="21" t="inlineStr">
        <is>
          <r>
            <t xml:space="preserve">TOTAL</t>
          </r>
        </is>
      </c>
    </row>
    <row r="1822" customHeight="1" ht="15">
      <c r="A1822" s="22" t="inlineStr">
        <is>
          <r>
            <t xml:space="preserve">I2545</t>
          </r>
        </is>
      </c>
      <c r="B1822" s="23" t="inlineStr">
        <is>
          <r>
            <t xml:space="preserve">MOTORISTA DE CAMINHÃO</t>
          </r>
        </is>
      </c>
      <c r="C1822" s="22" t="inlineStr">
        <is>
          <r>
            <t xml:space="preserve">SEINFRA</t>
          </r>
        </is>
      </c>
      <c r="D1822" s="22" t="inlineStr">
        <is>
          <r>
            <t xml:space="preserve">H</t>
          </r>
        </is>
      </c>
      <c r="E1822" s="24" t="n">
        <v>1.0</v>
      </c>
      <c r="F1822" s="30" t="n">
        <v>24.51</v>
      </c>
      <c r="G1822" s="30" t="n">
        <f>ROUND(ROUND(E1822,8)*F1822,4)</f>
        <v>24.51</v>
      </c>
    </row>
    <row r="1823" customHeight="1" ht="15">
      <c r="A1823" s="2" t="inlineStr"/>
      <c r="B1823" s="2" t="inlineStr"/>
      <c r="C1823" s="2" t="inlineStr"/>
      <c r="D1823" s="2" t="inlineStr"/>
      <c r="E1823" s="26" t="inlineStr">
        <is>
          <r>
            <t xml:space="preserve">TOTAL Mão de Obra:</t>
          </r>
        </is>
      </c>
      <c r="F1823" s="26" t="inlineStr"/>
      <c r="G1823" s="31" t="n">
        <f>SUM(G1822:G1822)</f>
        <v>24.51</v>
      </c>
    </row>
    <row r="1824" customHeight="1" ht="15">
      <c r="A1824" s="2" t="inlineStr"/>
      <c r="B1824" s="2" t="inlineStr"/>
      <c r="C1824" s="2" t="inlineStr"/>
      <c r="D1824" s="2" t="inlineStr"/>
      <c r="E1824" s="28" t="inlineStr">
        <is>
          <r>
            <t xml:space="preserve">VALOR:</t>
          </r>
        </is>
      </c>
      <c r="F1824" s="28" t="inlineStr"/>
      <c r="G1824" s="29" t="n">
        <f>ROUND(SUM(G1823),2)</f>
        <v>24.51</v>
      </c>
    </row>
    <row r="1825" customHeight="1" ht="15">
      <c r="A1825" s="2" t="inlineStr"/>
      <c r="B1825" s="2" t="inlineStr"/>
      <c r="C1825" s="2" t="inlineStr"/>
      <c r="D1825" s="2" t="inlineStr"/>
      <c r="E1825" s="28" t="inlineStr">
        <is>
          <r>
            <t xml:space="preserve">VALOR BDI:</t>
          </r>
        </is>
      </c>
      <c r="F1825" s="28" t="inlineStr"/>
      <c r="G1825" s="29" t="n">
        <f>ROUND(G1824*(0/100),2)</f>
        <v>0.0</v>
      </c>
    </row>
    <row r="1826" customHeight="1" ht="15">
      <c r="A1826" s="2" t="inlineStr"/>
      <c r="B1826" s="2" t="inlineStr"/>
      <c r="C1826" s="2" t="inlineStr"/>
      <c r="D1826" s="2" t="inlineStr"/>
      <c r="E1826" s="28" t="inlineStr">
        <is>
          <r>
            <t xml:space="preserve">VALOR COM BDI:</t>
          </r>
        </is>
      </c>
      <c r="F1826" s="28" t="inlineStr"/>
      <c r="G1826" s="29" t="n">
        <f>G1825+G1824</f>
        <v>24.51</v>
      </c>
    </row>
    <row r="1827" customHeight="1" ht="10">
      <c r="A1827" s="2" t="inlineStr"/>
      <c r="B1827" s="2" t="inlineStr"/>
      <c r="C1827" s="2" t="inlineStr"/>
      <c r="D1827" s="2" t="inlineStr"/>
      <c r="E1827" s="18" t="inlineStr"/>
      <c r="F1827" s="18" t="inlineStr"/>
      <c r="G1827" s="18" t="inlineStr"/>
    </row>
    <row r="1828" customHeight="1" ht="20">
      <c r="A1828" s="19" t="inlineStr">
        <is>
          <r>
            <t xml:space="preserve">​I2768​ MÃO DE OBRA DE OPERAÇÃO DO COMPAC. DE PNEUS PRES. VAR. AUTOPR.​ (H)</t>
          </r>
        </is>
      </c>
      <c r="B1828" s="19" t="inlineStr"/>
      <c r="C1828" s="19" t="inlineStr"/>
      <c r="D1828" s="19" t="inlineStr"/>
      <c r="E1828" s="19" t="inlineStr"/>
      <c r="F1828" s="19" t="inlineStr"/>
      <c r="G1828" s="19" t="inlineStr"/>
    </row>
    <row r="1829" customHeight="1" ht="15">
      <c r="A1829" s="20" t="inlineStr">
        <is>
          <r>
            <t xml:space="preserve">Mão de Obra</t>
          </r>
        </is>
      </c>
      <c r="B1829" s="20" t="inlineStr"/>
      <c r="C1829" s="21" t="inlineStr">
        <is>
          <r>
            <t xml:space="preserve">FONTE</t>
          </r>
        </is>
      </c>
      <c r="D1829" s="21" t="inlineStr">
        <is>
          <r>
            <t xml:space="preserve">UNID</t>
          </r>
        </is>
      </c>
      <c r="E1829" s="21" t="inlineStr">
        <is>
          <r>
            <t xml:space="preserve">COEFICIENTE</t>
          </r>
        </is>
      </c>
      <c r="F1829" s="21" t="inlineStr">
        <is>
          <r>
            <t xml:space="preserve">PREÇO UNITÁRIO</t>
          </r>
        </is>
      </c>
      <c r="G1829" s="21" t="inlineStr">
        <is>
          <r>
            <t xml:space="preserve">TOTAL</t>
          </r>
        </is>
      </c>
    </row>
    <row r="1830" customHeight="1" ht="15">
      <c r="A1830" s="22" t="inlineStr">
        <is>
          <r>
            <t xml:space="preserve">I2551</t>
          </r>
        </is>
      </c>
      <c r="B1830" s="23" t="inlineStr">
        <is>
          <r>
            <t xml:space="preserve">OPERADOR DE COMPACTADOR AUTO PROPELIDO</t>
          </r>
        </is>
      </c>
      <c r="C1830" s="22" t="inlineStr">
        <is>
          <r>
            <t xml:space="preserve">SEINFRA</t>
          </r>
        </is>
      </c>
      <c r="D1830" s="22" t="inlineStr">
        <is>
          <r>
            <t xml:space="preserve">H</t>
          </r>
        </is>
      </c>
      <c r="E1830" s="24" t="n">
        <v>1.0</v>
      </c>
      <c r="F1830" s="30" t="n">
        <v>28.81</v>
      </c>
      <c r="G1830" s="30" t="n">
        <f>ROUND(ROUND(E1830,8)*F1830,4)</f>
        <v>28.81</v>
      </c>
    </row>
    <row r="1831" customHeight="1" ht="15">
      <c r="A1831" s="2" t="inlineStr"/>
      <c r="B1831" s="2" t="inlineStr"/>
      <c r="C1831" s="2" t="inlineStr"/>
      <c r="D1831" s="2" t="inlineStr"/>
      <c r="E1831" s="26" t="inlineStr">
        <is>
          <r>
            <t xml:space="preserve">TOTAL Mão de Obra:</t>
          </r>
        </is>
      </c>
      <c r="F1831" s="26" t="inlineStr"/>
      <c r="G1831" s="31" t="n">
        <f>SUM(G1830:G1830)</f>
        <v>28.81</v>
      </c>
    </row>
    <row r="1832" customHeight="1" ht="15">
      <c r="A1832" s="2" t="inlineStr"/>
      <c r="B1832" s="2" t="inlineStr"/>
      <c r="C1832" s="2" t="inlineStr"/>
      <c r="D1832" s="2" t="inlineStr"/>
      <c r="E1832" s="28" t="inlineStr">
        <is>
          <r>
            <t xml:space="preserve">VALOR:</t>
          </r>
        </is>
      </c>
      <c r="F1832" s="28" t="inlineStr"/>
      <c r="G1832" s="29" t="n">
        <f>ROUND(SUM(G1831),2)</f>
        <v>28.81</v>
      </c>
    </row>
    <row r="1833" customHeight="1" ht="15">
      <c r="A1833" s="2" t="inlineStr"/>
      <c r="B1833" s="2" t="inlineStr"/>
      <c r="C1833" s="2" t="inlineStr"/>
      <c r="D1833" s="2" t="inlineStr"/>
      <c r="E1833" s="28" t="inlineStr">
        <is>
          <r>
            <t xml:space="preserve">VALOR BDI:</t>
          </r>
        </is>
      </c>
      <c r="F1833" s="28" t="inlineStr"/>
      <c r="G1833" s="29" t="n">
        <f>ROUND(G1832*(0/100),2)</f>
        <v>0.0</v>
      </c>
    </row>
    <row r="1834" customHeight="1" ht="15">
      <c r="A1834" s="2" t="inlineStr"/>
      <c r="B1834" s="2" t="inlineStr"/>
      <c r="C1834" s="2" t="inlineStr"/>
      <c r="D1834" s="2" t="inlineStr"/>
      <c r="E1834" s="28" t="inlineStr">
        <is>
          <r>
            <t xml:space="preserve">VALOR COM BDI:</t>
          </r>
        </is>
      </c>
      <c r="F1834" s="28" t="inlineStr"/>
      <c r="G1834" s="29" t="n">
        <f>G1833+G1832</f>
        <v>28.81</v>
      </c>
    </row>
    <row r="1835" customHeight="1" ht="10">
      <c r="A1835" s="2" t="inlineStr"/>
      <c r="B1835" s="2" t="inlineStr"/>
      <c r="C1835" s="2" t="inlineStr"/>
      <c r="D1835" s="2" t="inlineStr"/>
      <c r="E1835" s="18" t="inlineStr"/>
      <c r="F1835" s="18" t="inlineStr"/>
      <c r="G1835" s="18" t="inlineStr"/>
    </row>
    <row r="1836" customHeight="1" ht="20">
      <c r="A1836" s="19" t="inlineStr">
        <is>
          <r>
            <t xml:space="preserve">​I2762​ MÃO DE OBRA DE OPERAÇÃO DO COMPAC. LISO TANDEM AUTOPR.​ (H)</t>
          </r>
        </is>
      </c>
      <c r="B1836" s="19" t="inlineStr"/>
      <c r="C1836" s="19" t="inlineStr"/>
      <c r="D1836" s="19" t="inlineStr"/>
      <c r="E1836" s="19" t="inlineStr"/>
      <c r="F1836" s="19" t="inlineStr"/>
      <c r="G1836" s="19" t="inlineStr"/>
    </row>
    <row r="1837" customHeight="1" ht="15">
      <c r="A1837" s="20" t="inlineStr">
        <is>
          <r>
            <t xml:space="preserve">Mão de Obra</t>
          </r>
        </is>
      </c>
      <c r="B1837" s="20" t="inlineStr"/>
      <c r="C1837" s="21" t="inlineStr">
        <is>
          <r>
            <t xml:space="preserve">FONTE</t>
          </r>
        </is>
      </c>
      <c r="D1837" s="21" t="inlineStr">
        <is>
          <r>
            <t xml:space="preserve">UNID</t>
          </r>
        </is>
      </c>
      <c r="E1837" s="21" t="inlineStr">
        <is>
          <r>
            <t xml:space="preserve">COEFICIENTE</t>
          </r>
        </is>
      </c>
      <c r="F1837" s="21" t="inlineStr">
        <is>
          <r>
            <t xml:space="preserve">PREÇO UNITÁRIO</t>
          </r>
        </is>
      </c>
      <c r="G1837" s="21" t="inlineStr">
        <is>
          <r>
            <t xml:space="preserve">TOTAL</t>
          </r>
        </is>
      </c>
    </row>
    <row r="1838" customHeight="1" ht="15">
      <c r="A1838" s="22" t="inlineStr">
        <is>
          <r>
            <t xml:space="preserve">I2551</t>
          </r>
        </is>
      </c>
      <c r="B1838" s="23" t="inlineStr">
        <is>
          <r>
            <t xml:space="preserve">OPERADOR DE COMPACTADOR AUTO PROPELIDO</t>
          </r>
        </is>
      </c>
      <c r="C1838" s="22" t="inlineStr">
        <is>
          <r>
            <t xml:space="preserve">SEINFRA</t>
          </r>
        </is>
      </c>
      <c r="D1838" s="22" t="inlineStr">
        <is>
          <r>
            <t xml:space="preserve">H</t>
          </r>
        </is>
      </c>
      <c r="E1838" s="24" t="n">
        <v>1.0</v>
      </c>
      <c r="F1838" s="30" t="n">
        <v>28.81</v>
      </c>
      <c r="G1838" s="30" t="n">
        <f>ROUND(ROUND(E1838,8)*F1838,4)</f>
        <v>28.81</v>
      </c>
    </row>
    <row r="1839" customHeight="1" ht="15">
      <c r="A1839" s="2" t="inlineStr"/>
      <c r="B1839" s="2" t="inlineStr"/>
      <c r="C1839" s="2" t="inlineStr"/>
      <c r="D1839" s="2" t="inlineStr"/>
      <c r="E1839" s="26" t="inlineStr">
        <is>
          <r>
            <t xml:space="preserve">TOTAL Mão de Obra:</t>
          </r>
        </is>
      </c>
      <c r="F1839" s="26" t="inlineStr"/>
      <c r="G1839" s="31" t="n">
        <f>SUM(G1838:G1838)</f>
        <v>28.81</v>
      </c>
    </row>
    <row r="1840" customHeight="1" ht="15">
      <c r="A1840" s="2" t="inlineStr"/>
      <c r="B1840" s="2" t="inlineStr"/>
      <c r="C1840" s="2" t="inlineStr"/>
      <c r="D1840" s="2" t="inlineStr"/>
      <c r="E1840" s="28" t="inlineStr">
        <is>
          <r>
            <t xml:space="preserve">VALOR:</t>
          </r>
        </is>
      </c>
      <c r="F1840" s="28" t="inlineStr"/>
      <c r="G1840" s="29" t="n">
        <f>ROUND(SUM(G1839),2)</f>
        <v>28.81</v>
      </c>
    </row>
    <row r="1841" customHeight="1" ht="15">
      <c r="A1841" s="2" t="inlineStr"/>
      <c r="B1841" s="2" t="inlineStr"/>
      <c r="C1841" s="2" t="inlineStr"/>
      <c r="D1841" s="2" t="inlineStr"/>
      <c r="E1841" s="28" t="inlineStr">
        <is>
          <r>
            <t xml:space="preserve">VALOR BDI:</t>
          </r>
        </is>
      </c>
      <c r="F1841" s="28" t="inlineStr"/>
      <c r="G1841" s="29" t="n">
        <f>ROUND(G1840*(0/100),2)</f>
        <v>0.0</v>
      </c>
    </row>
    <row r="1842" customHeight="1" ht="15">
      <c r="A1842" s="2" t="inlineStr"/>
      <c r="B1842" s="2" t="inlineStr"/>
      <c r="C1842" s="2" t="inlineStr"/>
      <c r="D1842" s="2" t="inlineStr"/>
      <c r="E1842" s="28" t="inlineStr">
        <is>
          <r>
            <t xml:space="preserve">VALOR COM BDI:</t>
          </r>
        </is>
      </c>
      <c r="F1842" s="28" t="inlineStr"/>
      <c r="G1842" s="29" t="n">
        <f>G1841+G1840</f>
        <v>28.81</v>
      </c>
    </row>
    <row r="1843" customHeight="1" ht="10">
      <c r="A1843" s="2" t="inlineStr"/>
      <c r="B1843" s="2" t="inlineStr"/>
      <c r="C1843" s="2" t="inlineStr"/>
      <c r="D1843" s="2" t="inlineStr"/>
      <c r="E1843" s="18" t="inlineStr"/>
      <c r="F1843" s="18" t="inlineStr"/>
      <c r="G1843" s="18" t="inlineStr"/>
    </row>
    <row r="1844" customHeight="1" ht="20">
      <c r="A1844" s="19" t="inlineStr">
        <is>
          <r>
            <t xml:space="preserve">​I2764​ MÃO DE OBRA DE OPERAÇÃO DO COMPAC. LISO VIBRAT. AUTOPROPELIDO​ (H)</t>
          </r>
        </is>
      </c>
      <c r="B1844" s="19" t="inlineStr"/>
      <c r="C1844" s="19" t="inlineStr"/>
      <c r="D1844" s="19" t="inlineStr"/>
      <c r="E1844" s="19" t="inlineStr"/>
      <c r="F1844" s="19" t="inlineStr"/>
      <c r="G1844" s="19" t="inlineStr"/>
    </row>
    <row r="1845" customHeight="1" ht="15">
      <c r="A1845" s="20" t="inlineStr">
        <is>
          <r>
            <t xml:space="preserve">Mão de Obra</t>
          </r>
        </is>
      </c>
      <c r="B1845" s="20" t="inlineStr"/>
      <c r="C1845" s="21" t="inlineStr">
        <is>
          <r>
            <t xml:space="preserve">FONTE</t>
          </r>
        </is>
      </c>
      <c r="D1845" s="21" t="inlineStr">
        <is>
          <r>
            <t xml:space="preserve">UNID</t>
          </r>
        </is>
      </c>
      <c r="E1845" s="21" t="inlineStr">
        <is>
          <r>
            <t xml:space="preserve">COEFICIENTE</t>
          </r>
        </is>
      </c>
      <c r="F1845" s="21" t="inlineStr">
        <is>
          <r>
            <t xml:space="preserve">PREÇO UNITÁRIO</t>
          </r>
        </is>
      </c>
      <c r="G1845" s="21" t="inlineStr">
        <is>
          <r>
            <t xml:space="preserve">TOTAL</t>
          </r>
        </is>
      </c>
    </row>
    <row r="1846" customHeight="1" ht="15">
      <c r="A1846" s="22" t="inlineStr">
        <is>
          <r>
            <t xml:space="preserve">I2551</t>
          </r>
        </is>
      </c>
      <c r="B1846" s="23" t="inlineStr">
        <is>
          <r>
            <t xml:space="preserve">OPERADOR DE COMPACTADOR AUTO PROPELIDO</t>
          </r>
        </is>
      </c>
      <c r="C1846" s="22" t="inlineStr">
        <is>
          <r>
            <t xml:space="preserve">SEINFRA</t>
          </r>
        </is>
      </c>
      <c r="D1846" s="22" t="inlineStr">
        <is>
          <r>
            <t xml:space="preserve">H</t>
          </r>
        </is>
      </c>
      <c r="E1846" s="24" t="n">
        <v>1.0</v>
      </c>
      <c r="F1846" s="30" t="n">
        <v>28.81</v>
      </c>
      <c r="G1846" s="30" t="n">
        <f>ROUND(ROUND(E1846,8)*F1846,4)</f>
        <v>28.81</v>
      </c>
    </row>
    <row r="1847" customHeight="1" ht="15">
      <c r="A1847" s="2" t="inlineStr"/>
      <c r="B1847" s="2" t="inlineStr"/>
      <c r="C1847" s="2" t="inlineStr"/>
      <c r="D1847" s="2" t="inlineStr"/>
      <c r="E1847" s="26" t="inlineStr">
        <is>
          <r>
            <t xml:space="preserve">TOTAL Mão de Obra:</t>
          </r>
        </is>
      </c>
      <c r="F1847" s="26" t="inlineStr"/>
      <c r="G1847" s="31" t="n">
        <f>SUM(G1846:G1846)</f>
        <v>28.81</v>
      </c>
    </row>
    <row r="1848" customHeight="1" ht="15">
      <c r="A1848" s="2" t="inlineStr"/>
      <c r="B1848" s="2" t="inlineStr"/>
      <c r="C1848" s="2" t="inlineStr"/>
      <c r="D1848" s="2" t="inlineStr"/>
      <c r="E1848" s="28" t="inlineStr">
        <is>
          <r>
            <t xml:space="preserve">VALOR:</t>
          </r>
        </is>
      </c>
      <c r="F1848" s="28" t="inlineStr"/>
      <c r="G1848" s="29" t="n">
        <f>ROUND(SUM(G1847),2)</f>
        <v>28.81</v>
      </c>
    </row>
    <row r="1849" customHeight="1" ht="15">
      <c r="A1849" s="2" t="inlineStr"/>
      <c r="B1849" s="2" t="inlineStr"/>
      <c r="C1849" s="2" t="inlineStr"/>
      <c r="D1849" s="2" t="inlineStr"/>
      <c r="E1849" s="28" t="inlineStr">
        <is>
          <r>
            <t xml:space="preserve">VALOR BDI:</t>
          </r>
        </is>
      </c>
      <c r="F1849" s="28" t="inlineStr"/>
      <c r="G1849" s="29" t="n">
        <f>ROUND(G1848*(0/100),2)</f>
        <v>0.0</v>
      </c>
    </row>
    <row r="1850" customHeight="1" ht="15">
      <c r="A1850" s="2" t="inlineStr"/>
      <c r="B1850" s="2" t="inlineStr"/>
      <c r="C1850" s="2" t="inlineStr"/>
      <c r="D1850" s="2" t="inlineStr"/>
      <c r="E1850" s="28" t="inlineStr">
        <is>
          <r>
            <t xml:space="preserve">VALOR COM BDI:</t>
          </r>
        </is>
      </c>
      <c r="F1850" s="28" t="inlineStr"/>
      <c r="G1850" s="29" t="n">
        <f>G1849+G1848</f>
        <v>28.81</v>
      </c>
    </row>
    <row r="1851" customHeight="1" ht="10">
      <c r="A1851" s="2" t="inlineStr"/>
      <c r="B1851" s="2" t="inlineStr"/>
      <c r="C1851" s="2" t="inlineStr"/>
      <c r="D1851" s="2" t="inlineStr"/>
      <c r="E1851" s="18" t="inlineStr"/>
      <c r="F1851" s="18" t="inlineStr"/>
      <c r="G1851" s="18" t="inlineStr"/>
    </row>
    <row r="1852" customHeight="1" ht="20">
      <c r="A1852" s="19" t="inlineStr">
        <is>
          <r>
            <t xml:space="preserve">​I2766​ MÃO DE OBRA DE OPERAÇÃO DO COMPAC. PE DE CARN. VIBRAT. AUTOPR.​ (H)</t>
          </r>
        </is>
      </c>
      <c r="B1852" s="19" t="inlineStr"/>
      <c r="C1852" s="19" t="inlineStr"/>
      <c r="D1852" s="19" t="inlineStr"/>
      <c r="E1852" s="19" t="inlineStr"/>
      <c r="F1852" s="19" t="inlineStr"/>
      <c r="G1852" s="19" t="inlineStr"/>
    </row>
    <row r="1853" customHeight="1" ht="15">
      <c r="A1853" s="20" t="inlineStr">
        <is>
          <r>
            <t xml:space="preserve">Mão de Obra</t>
          </r>
        </is>
      </c>
      <c r="B1853" s="20" t="inlineStr"/>
      <c r="C1853" s="21" t="inlineStr">
        <is>
          <r>
            <t xml:space="preserve">FONTE</t>
          </r>
        </is>
      </c>
      <c r="D1853" s="21" t="inlineStr">
        <is>
          <r>
            <t xml:space="preserve">UNID</t>
          </r>
        </is>
      </c>
      <c r="E1853" s="21" t="inlineStr">
        <is>
          <r>
            <t xml:space="preserve">COEFICIENTE</t>
          </r>
        </is>
      </c>
      <c r="F1853" s="21" t="inlineStr">
        <is>
          <r>
            <t xml:space="preserve">PREÇO UNITÁRIO</t>
          </r>
        </is>
      </c>
      <c r="G1853" s="21" t="inlineStr">
        <is>
          <r>
            <t xml:space="preserve">TOTAL</t>
          </r>
        </is>
      </c>
    </row>
    <row r="1854" customHeight="1" ht="15">
      <c r="A1854" s="22" t="inlineStr">
        <is>
          <r>
            <t xml:space="preserve">I2551</t>
          </r>
        </is>
      </c>
      <c r="B1854" s="23" t="inlineStr">
        <is>
          <r>
            <t xml:space="preserve">OPERADOR DE COMPACTADOR AUTO PROPELIDO</t>
          </r>
        </is>
      </c>
      <c r="C1854" s="22" t="inlineStr">
        <is>
          <r>
            <t xml:space="preserve">SEINFRA</t>
          </r>
        </is>
      </c>
      <c r="D1854" s="22" t="inlineStr">
        <is>
          <r>
            <t xml:space="preserve">H</t>
          </r>
        </is>
      </c>
      <c r="E1854" s="24" t="n">
        <v>1.0</v>
      </c>
      <c r="F1854" s="30" t="n">
        <v>28.81</v>
      </c>
      <c r="G1854" s="30" t="n">
        <f>ROUND(ROUND(E1854,8)*F1854,4)</f>
        <v>28.81</v>
      </c>
    </row>
    <row r="1855" customHeight="1" ht="15">
      <c r="A1855" s="2" t="inlineStr"/>
      <c r="B1855" s="2" t="inlineStr"/>
      <c r="C1855" s="2" t="inlineStr"/>
      <c r="D1855" s="2" t="inlineStr"/>
      <c r="E1855" s="26" t="inlineStr">
        <is>
          <r>
            <t xml:space="preserve">TOTAL Mão de Obra:</t>
          </r>
        </is>
      </c>
      <c r="F1855" s="26" t="inlineStr"/>
      <c r="G1855" s="31" t="n">
        <f>SUM(G1854:G1854)</f>
        <v>28.81</v>
      </c>
    </row>
    <row r="1856" customHeight="1" ht="15">
      <c r="A1856" s="2" t="inlineStr"/>
      <c r="B1856" s="2" t="inlineStr"/>
      <c r="C1856" s="2" t="inlineStr"/>
      <c r="D1856" s="2" t="inlineStr"/>
      <c r="E1856" s="28" t="inlineStr">
        <is>
          <r>
            <t xml:space="preserve">VALOR:</t>
          </r>
        </is>
      </c>
      <c r="F1856" s="28" t="inlineStr"/>
      <c r="G1856" s="29" t="n">
        <f>ROUND(SUM(G1855),2)</f>
        <v>28.81</v>
      </c>
    </row>
    <row r="1857" customHeight="1" ht="15">
      <c r="A1857" s="2" t="inlineStr"/>
      <c r="B1857" s="2" t="inlineStr"/>
      <c r="C1857" s="2" t="inlineStr"/>
      <c r="D1857" s="2" t="inlineStr"/>
      <c r="E1857" s="28" t="inlineStr">
        <is>
          <r>
            <t xml:space="preserve">VALOR BDI:</t>
          </r>
        </is>
      </c>
      <c r="F1857" s="28" t="inlineStr"/>
      <c r="G1857" s="29" t="n">
        <f>ROUND(G1856*(0/100),2)</f>
        <v>0.0</v>
      </c>
    </row>
    <row r="1858" customHeight="1" ht="15">
      <c r="A1858" s="2" t="inlineStr"/>
      <c r="B1858" s="2" t="inlineStr"/>
      <c r="C1858" s="2" t="inlineStr"/>
      <c r="D1858" s="2" t="inlineStr"/>
      <c r="E1858" s="28" t="inlineStr">
        <is>
          <r>
            <t xml:space="preserve">VALOR COM BDI:</t>
          </r>
        </is>
      </c>
      <c r="F1858" s="28" t="inlineStr"/>
      <c r="G1858" s="29" t="n">
        <f>G1857+G1856</f>
        <v>28.81</v>
      </c>
    </row>
    <row r="1859" customHeight="1" ht="10">
      <c r="A1859" s="2" t="inlineStr"/>
      <c r="B1859" s="2" t="inlineStr"/>
      <c r="C1859" s="2" t="inlineStr"/>
      <c r="D1859" s="2" t="inlineStr"/>
      <c r="E1859" s="18" t="inlineStr"/>
      <c r="F1859" s="18" t="inlineStr"/>
      <c r="G1859" s="18" t="inlineStr"/>
    </row>
    <row r="1860" customHeight="1" ht="20">
      <c r="A1860" s="19" t="inlineStr">
        <is>
          <r>
            <t xml:space="preserve">​I2772​ MÃO DE OBRA DE OPERAÇÃO DO COMPACTADOR DE PLACA VIBRATÓRIA (7 HP)​ (H)</t>
          </r>
        </is>
      </c>
      <c r="B1860" s="19" t="inlineStr"/>
      <c r="C1860" s="19" t="inlineStr"/>
      <c r="D1860" s="19" t="inlineStr"/>
      <c r="E1860" s="19" t="inlineStr"/>
      <c r="F1860" s="19" t="inlineStr"/>
      <c r="G1860" s="19" t="inlineStr"/>
    </row>
    <row r="1861" customHeight="1" ht="15">
      <c r="A1861" s="20" t="inlineStr">
        <is>
          <r>
            <t xml:space="preserve">Mão de Obra</t>
          </r>
        </is>
      </c>
      <c r="B1861" s="20" t="inlineStr"/>
      <c r="C1861" s="21" t="inlineStr">
        <is>
          <r>
            <t xml:space="preserve">FONTE</t>
          </r>
        </is>
      </c>
      <c r="D1861" s="21" t="inlineStr">
        <is>
          <r>
            <t xml:space="preserve">UNID</t>
          </r>
        </is>
      </c>
      <c r="E1861" s="21" t="inlineStr">
        <is>
          <r>
            <t xml:space="preserve">COEFICIENTE</t>
          </r>
        </is>
      </c>
      <c r="F1861" s="21" t="inlineStr">
        <is>
          <r>
            <t xml:space="preserve">PREÇO UNITÁRIO</t>
          </r>
        </is>
      </c>
      <c r="G1861" s="21" t="inlineStr">
        <is>
          <r>
            <t xml:space="preserve">TOTAL</t>
          </r>
        </is>
      </c>
    </row>
    <row r="1862" customHeight="1" ht="15">
      <c r="A1862" s="22" t="inlineStr">
        <is>
          <r>
            <t xml:space="preserve">I2552</t>
          </r>
        </is>
      </c>
      <c r="B1862" s="23" t="inlineStr">
        <is>
          <r>
            <t xml:space="preserve">OPERADOR DE COMPACTADOR DE PLACA VIBRATORIA</t>
          </r>
        </is>
      </c>
      <c r="C1862" s="22" t="inlineStr">
        <is>
          <r>
            <t xml:space="preserve">SEINFRA</t>
          </r>
        </is>
      </c>
      <c r="D1862" s="22" t="inlineStr">
        <is>
          <r>
            <t xml:space="preserve">H</t>
          </r>
        </is>
      </c>
      <c r="E1862" s="24" t="n">
        <v>1.0</v>
      </c>
      <c r="F1862" s="30" t="n">
        <v>21.29</v>
      </c>
      <c r="G1862" s="30" t="n">
        <f>ROUND(ROUND(E1862,8)*F1862,4)</f>
        <v>21.29</v>
      </c>
    </row>
    <row r="1863" customHeight="1" ht="15">
      <c r="A1863" s="2" t="inlineStr"/>
      <c r="B1863" s="2" t="inlineStr"/>
      <c r="C1863" s="2" t="inlineStr"/>
      <c r="D1863" s="2" t="inlineStr"/>
      <c r="E1863" s="26" t="inlineStr">
        <is>
          <r>
            <t xml:space="preserve">TOTAL Mão de Obra:</t>
          </r>
        </is>
      </c>
      <c r="F1863" s="26" t="inlineStr"/>
      <c r="G1863" s="31" t="n">
        <f>SUM(G1862:G1862)</f>
        <v>21.29</v>
      </c>
    </row>
    <row r="1864" customHeight="1" ht="15">
      <c r="A1864" s="2" t="inlineStr"/>
      <c r="B1864" s="2" t="inlineStr"/>
      <c r="C1864" s="2" t="inlineStr"/>
      <c r="D1864" s="2" t="inlineStr"/>
      <c r="E1864" s="28" t="inlineStr">
        <is>
          <r>
            <t xml:space="preserve">VALOR:</t>
          </r>
        </is>
      </c>
      <c r="F1864" s="28" t="inlineStr"/>
      <c r="G1864" s="29" t="n">
        <f>ROUND(SUM(G1863),2)</f>
        <v>21.29</v>
      </c>
    </row>
    <row r="1865" customHeight="1" ht="15">
      <c r="A1865" s="2" t="inlineStr"/>
      <c r="B1865" s="2" t="inlineStr"/>
      <c r="C1865" s="2" t="inlineStr"/>
      <c r="D1865" s="2" t="inlineStr"/>
      <c r="E1865" s="28" t="inlineStr">
        <is>
          <r>
            <t xml:space="preserve">VALOR BDI:</t>
          </r>
        </is>
      </c>
      <c r="F1865" s="28" t="inlineStr"/>
      <c r="G1865" s="29" t="n">
        <f>ROUND(G1864*(0/100),2)</f>
        <v>0.0</v>
      </c>
    </row>
    <row r="1866" customHeight="1" ht="15">
      <c r="A1866" s="2" t="inlineStr"/>
      <c r="B1866" s="2" t="inlineStr"/>
      <c r="C1866" s="2" t="inlineStr"/>
      <c r="D1866" s="2" t="inlineStr"/>
      <c r="E1866" s="28" t="inlineStr">
        <is>
          <r>
            <t xml:space="preserve">VALOR COM BDI:</t>
          </r>
        </is>
      </c>
      <c r="F1866" s="28" t="inlineStr"/>
      <c r="G1866" s="29" t="n">
        <f>G1865+G1864</f>
        <v>21.29</v>
      </c>
    </row>
    <row r="1867" customHeight="1" ht="10">
      <c r="A1867" s="2" t="inlineStr"/>
      <c r="B1867" s="2" t="inlineStr"/>
      <c r="C1867" s="2" t="inlineStr"/>
      <c r="D1867" s="2" t="inlineStr"/>
      <c r="E1867" s="18" t="inlineStr"/>
      <c r="F1867" s="18" t="inlineStr"/>
      <c r="G1867" s="18" t="inlineStr"/>
    </row>
    <row r="1868" customHeight="1" ht="20">
      <c r="A1868" s="19" t="inlineStr">
        <is>
          <r>
            <t xml:space="preserve">​I2776​ MÃO DE OBRA DE OPERAÇÃO DO COMPRESSOR DE AR 250 PCM​ (H)</t>
          </r>
        </is>
      </c>
      <c r="B1868" s="19" t="inlineStr"/>
      <c r="C1868" s="19" t="inlineStr"/>
      <c r="D1868" s="19" t="inlineStr"/>
      <c r="E1868" s="19" t="inlineStr"/>
      <c r="F1868" s="19" t="inlineStr"/>
      <c r="G1868" s="19" t="inlineStr"/>
    </row>
    <row r="1869" customHeight="1" ht="15">
      <c r="A1869" s="20" t="inlineStr">
        <is>
          <r>
            <t xml:space="preserve">Mão de Obra</t>
          </r>
        </is>
      </c>
      <c r="B1869" s="20" t="inlineStr"/>
      <c r="C1869" s="21" t="inlineStr">
        <is>
          <r>
            <t xml:space="preserve">FONTE</t>
          </r>
        </is>
      </c>
      <c r="D1869" s="21" t="inlineStr">
        <is>
          <r>
            <t xml:space="preserve">UNID</t>
          </r>
        </is>
      </c>
      <c r="E1869" s="21" t="inlineStr">
        <is>
          <r>
            <t xml:space="preserve">COEFICIENTE</t>
          </r>
        </is>
      </c>
      <c r="F1869" s="21" t="inlineStr">
        <is>
          <r>
            <t xml:space="preserve">PREÇO UNITÁRIO</t>
          </r>
        </is>
      </c>
      <c r="G1869" s="21" t="inlineStr">
        <is>
          <r>
            <t xml:space="preserve">TOTAL</t>
          </r>
        </is>
      </c>
    </row>
    <row r="1870" customHeight="1" ht="15">
      <c r="A1870" s="22" t="inlineStr">
        <is>
          <r>
            <t xml:space="preserve">I2553</t>
          </r>
        </is>
      </c>
      <c r="B1870" s="23" t="inlineStr">
        <is>
          <r>
            <t xml:space="preserve">OPERADOR DE COMPRESSOR DE AR</t>
          </r>
        </is>
      </c>
      <c r="C1870" s="22" t="inlineStr">
        <is>
          <r>
            <t xml:space="preserve">SEINFRA</t>
          </r>
        </is>
      </c>
      <c r="D1870" s="22" t="inlineStr">
        <is>
          <r>
            <t xml:space="preserve">H</t>
          </r>
        </is>
      </c>
      <c r="E1870" s="24" t="n">
        <v>1.0</v>
      </c>
      <c r="F1870" s="30" t="n">
        <v>21.29</v>
      </c>
      <c r="G1870" s="30" t="n">
        <f>ROUND(ROUND(E1870,8)*F1870,4)</f>
        <v>21.29</v>
      </c>
    </row>
    <row r="1871" customHeight="1" ht="15">
      <c r="A1871" s="2" t="inlineStr"/>
      <c r="B1871" s="2" t="inlineStr"/>
      <c r="C1871" s="2" t="inlineStr"/>
      <c r="D1871" s="2" t="inlineStr"/>
      <c r="E1871" s="26" t="inlineStr">
        <is>
          <r>
            <t xml:space="preserve">TOTAL Mão de Obra:</t>
          </r>
        </is>
      </c>
      <c r="F1871" s="26" t="inlineStr"/>
      <c r="G1871" s="31" t="n">
        <f>SUM(G1870:G1870)</f>
        <v>21.29</v>
      </c>
    </row>
    <row r="1872" customHeight="1" ht="15">
      <c r="A1872" s="2" t="inlineStr"/>
      <c r="B1872" s="2" t="inlineStr"/>
      <c r="C1872" s="2" t="inlineStr"/>
      <c r="D1872" s="2" t="inlineStr"/>
      <c r="E1872" s="28" t="inlineStr">
        <is>
          <r>
            <t xml:space="preserve">VALOR:</t>
          </r>
        </is>
      </c>
      <c r="F1872" s="28" t="inlineStr"/>
      <c r="G1872" s="29" t="n">
        <f>ROUND(SUM(G1871),2)</f>
        <v>21.29</v>
      </c>
    </row>
    <row r="1873" customHeight="1" ht="15">
      <c r="A1873" s="2" t="inlineStr"/>
      <c r="B1873" s="2" t="inlineStr"/>
      <c r="C1873" s="2" t="inlineStr"/>
      <c r="D1873" s="2" t="inlineStr"/>
      <c r="E1873" s="28" t="inlineStr">
        <is>
          <r>
            <t xml:space="preserve">VALOR BDI:</t>
          </r>
        </is>
      </c>
      <c r="F1873" s="28" t="inlineStr"/>
      <c r="G1873" s="29" t="n">
        <f>ROUND(G1872*(0/100),2)</f>
        <v>0.0</v>
      </c>
    </row>
    <row r="1874" customHeight="1" ht="15">
      <c r="A1874" s="2" t="inlineStr"/>
      <c r="B1874" s="2" t="inlineStr"/>
      <c r="C1874" s="2" t="inlineStr"/>
      <c r="D1874" s="2" t="inlineStr"/>
      <c r="E1874" s="28" t="inlineStr">
        <is>
          <r>
            <t xml:space="preserve">VALOR COM BDI:</t>
          </r>
        </is>
      </c>
      <c r="F1874" s="28" t="inlineStr"/>
      <c r="G1874" s="29" t="n">
        <f>G1873+G1872</f>
        <v>21.29</v>
      </c>
    </row>
    <row r="1875" customHeight="1" ht="10">
      <c r="A1875" s="2" t="inlineStr"/>
      <c r="B1875" s="2" t="inlineStr"/>
      <c r="C1875" s="2" t="inlineStr"/>
      <c r="D1875" s="2" t="inlineStr"/>
      <c r="E1875" s="18" t="inlineStr"/>
      <c r="F1875" s="18" t="inlineStr"/>
      <c r="G1875" s="18" t="inlineStr"/>
    </row>
    <row r="1876" customHeight="1" ht="20">
      <c r="A1876" s="19" t="inlineStr">
        <is>
          <r>
            <t xml:space="preserve">​I2781​ MÃO DE OBRA DE OPERAÇÃO DO CONJUNTO DE BRITAGEM 30 M3/H​ (H)</t>
          </r>
        </is>
      </c>
      <c r="B1876" s="19" t="inlineStr"/>
      <c r="C1876" s="19" t="inlineStr"/>
      <c r="D1876" s="19" t="inlineStr"/>
      <c r="E1876" s="19" t="inlineStr"/>
      <c r="F1876" s="19" t="inlineStr"/>
      <c r="G1876" s="19" t="inlineStr"/>
    </row>
    <row r="1877" customHeight="1" ht="15">
      <c r="A1877" s="20" t="inlineStr">
        <is>
          <r>
            <t xml:space="preserve">Mão de Obra</t>
          </r>
        </is>
      </c>
      <c r="B1877" s="20" t="inlineStr"/>
      <c r="C1877" s="21" t="inlineStr">
        <is>
          <r>
            <t xml:space="preserve">FONTE</t>
          </r>
        </is>
      </c>
      <c r="D1877" s="21" t="inlineStr">
        <is>
          <r>
            <t xml:space="preserve">UNID</t>
          </r>
        </is>
      </c>
      <c r="E1877" s="21" t="inlineStr">
        <is>
          <r>
            <t xml:space="preserve">COEFICIENTE</t>
          </r>
        </is>
      </c>
      <c r="F1877" s="21" t="inlineStr">
        <is>
          <r>
            <t xml:space="preserve">PREÇO UNITÁRIO</t>
          </r>
        </is>
      </c>
      <c r="G1877" s="21" t="inlineStr">
        <is>
          <r>
            <t xml:space="preserve">TOTAL</t>
          </r>
        </is>
      </c>
    </row>
    <row r="1878" customHeight="1" ht="15">
      <c r="A1878" s="22" t="inlineStr">
        <is>
          <r>
            <t xml:space="preserve">I2554</t>
          </r>
        </is>
      </c>
      <c r="B1878" s="23" t="inlineStr">
        <is>
          <r>
            <t xml:space="preserve">OPERADOR DE CONJUNTO DE BRITAGEM</t>
          </r>
        </is>
      </c>
      <c r="C1878" s="22" t="inlineStr">
        <is>
          <r>
            <t xml:space="preserve">SEINFRA</t>
          </r>
        </is>
      </c>
      <c r="D1878" s="22" t="inlineStr">
        <is>
          <r>
            <t xml:space="preserve">H</t>
          </r>
        </is>
      </c>
      <c r="E1878" s="24" t="n">
        <v>1.0</v>
      </c>
      <c r="F1878" s="30" t="n">
        <v>28.81</v>
      </c>
      <c r="G1878" s="30" t="n">
        <f>ROUND(ROUND(E1878,8)*F1878,4)</f>
        <v>28.81</v>
      </c>
    </row>
    <row r="1879" customHeight="1" ht="15">
      <c r="A1879" s="2" t="inlineStr"/>
      <c r="B1879" s="2" t="inlineStr"/>
      <c r="C1879" s="2" t="inlineStr"/>
      <c r="D1879" s="2" t="inlineStr"/>
      <c r="E1879" s="26" t="inlineStr">
        <is>
          <r>
            <t xml:space="preserve">TOTAL Mão de Obra:</t>
          </r>
        </is>
      </c>
      <c r="F1879" s="26" t="inlineStr"/>
      <c r="G1879" s="31" t="n">
        <f>SUM(G1878:G1878)</f>
        <v>28.81</v>
      </c>
    </row>
    <row r="1880" customHeight="1" ht="15">
      <c r="A1880" s="2" t="inlineStr"/>
      <c r="B1880" s="2" t="inlineStr"/>
      <c r="C1880" s="2" t="inlineStr"/>
      <c r="D1880" s="2" t="inlineStr"/>
      <c r="E1880" s="28" t="inlineStr">
        <is>
          <r>
            <t xml:space="preserve">VALOR:</t>
          </r>
        </is>
      </c>
      <c r="F1880" s="28" t="inlineStr"/>
      <c r="G1880" s="29" t="n">
        <f>ROUND(SUM(G1879),2)</f>
        <v>28.81</v>
      </c>
    </row>
    <row r="1881" customHeight="1" ht="15">
      <c r="A1881" s="2" t="inlineStr"/>
      <c r="B1881" s="2" t="inlineStr"/>
      <c r="C1881" s="2" t="inlineStr"/>
      <c r="D1881" s="2" t="inlineStr"/>
      <c r="E1881" s="28" t="inlineStr">
        <is>
          <r>
            <t xml:space="preserve">VALOR BDI:</t>
          </r>
        </is>
      </c>
      <c r="F1881" s="28" t="inlineStr"/>
      <c r="G1881" s="29" t="n">
        <f>ROUND(G1880*(0/100),2)</f>
        <v>0.0</v>
      </c>
    </row>
    <row r="1882" customHeight="1" ht="15">
      <c r="A1882" s="2" t="inlineStr"/>
      <c r="B1882" s="2" t="inlineStr"/>
      <c r="C1882" s="2" t="inlineStr"/>
      <c r="D1882" s="2" t="inlineStr"/>
      <c r="E1882" s="28" t="inlineStr">
        <is>
          <r>
            <t xml:space="preserve">VALOR COM BDI:</t>
          </r>
        </is>
      </c>
      <c r="F1882" s="28" t="inlineStr"/>
      <c r="G1882" s="29" t="n">
        <f>G1881+G1880</f>
        <v>28.81</v>
      </c>
    </row>
    <row r="1883" customHeight="1" ht="10">
      <c r="A1883" s="2" t="inlineStr"/>
      <c r="B1883" s="2" t="inlineStr"/>
      <c r="C1883" s="2" t="inlineStr"/>
      <c r="D1883" s="2" t="inlineStr"/>
      <c r="E1883" s="18" t="inlineStr"/>
      <c r="F1883" s="18" t="inlineStr"/>
      <c r="G1883" s="18" t="inlineStr"/>
    </row>
    <row r="1884" customHeight="1" ht="20">
      <c r="A1884" s="19" t="inlineStr">
        <is>
          <r>
            <t xml:space="preserve">​I2792​ MÃO DE OBRA DE OPERAÇÃO DO GRUPO GERADOR 145 KVA​ (H)</t>
          </r>
        </is>
      </c>
      <c r="B1884" s="19" t="inlineStr"/>
      <c r="C1884" s="19" t="inlineStr"/>
      <c r="D1884" s="19" t="inlineStr"/>
      <c r="E1884" s="19" t="inlineStr"/>
      <c r="F1884" s="19" t="inlineStr"/>
      <c r="G1884" s="19" t="inlineStr"/>
    </row>
    <row r="1885" customHeight="1" ht="15">
      <c r="A1885" s="20" t="inlineStr">
        <is>
          <r>
            <t xml:space="preserve">Mão de Obra</t>
          </r>
        </is>
      </c>
      <c r="B1885" s="20" t="inlineStr"/>
      <c r="C1885" s="21" t="inlineStr">
        <is>
          <r>
            <t xml:space="preserve">FONTE</t>
          </r>
        </is>
      </c>
      <c r="D1885" s="21" t="inlineStr">
        <is>
          <r>
            <t xml:space="preserve">UNID</t>
          </r>
        </is>
      </c>
      <c r="E1885" s="21" t="inlineStr">
        <is>
          <r>
            <t xml:space="preserve">COEFICIENTE</t>
          </r>
        </is>
      </c>
      <c r="F1885" s="21" t="inlineStr">
        <is>
          <r>
            <t xml:space="preserve">PREÇO UNITÁRIO</t>
          </r>
        </is>
      </c>
      <c r="G1885" s="21" t="inlineStr">
        <is>
          <r>
            <t xml:space="preserve">TOTAL</t>
          </r>
        </is>
      </c>
    </row>
    <row r="1886" customHeight="1" ht="15">
      <c r="A1886" s="22" t="inlineStr">
        <is>
          <r>
            <t xml:space="preserve">I2555</t>
          </r>
        </is>
      </c>
      <c r="B1886" s="23" t="inlineStr">
        <is>
          <r>
            <t xml:space="preserve">OPERADOR DE GRUPO GERADOR</t>
          </r>
        </is>
      </c>
      <c r="C1886" s="22" t="inlineStr">
        <is>
          <r>
            <t xml:space="preserve">SEINFRA</t>
          </r>
        </is>
      </c>
      <c r="D1886" s="22" t="inlineStr">
        <is>
          <r>
            <t xml:space="preserve">H</t>
          </r>
        </is>
      </c>
      <c r="E1886" s="24" t="n">
        <v>1.0</v>
      </c>
      <c r="F1886" s="30" t="n">
        <v>21.29</v>
      </c>
      <c r="G1886" s="30" t="n">
        <f>ROUND(ROUND(E1886,8)*F1886,4)</f>
        <v>21.29</v>
      </c>
    </row>
    <row r="1887" customHeight="1" ht="15">
      <c r="A1887" s="2" t="inlineStr"/>
      <c r="B1887" s="2" t="inlineStr"/>
      <c r="C1887" s="2" t="inlineStr"/>
      <c r="D1887" s="2" t="inlineStr"/>
      <c r="E1887" s="26" t="inlineStr">
        <is>
          <r>
            <t xml:space="preserve">TOTAL Mão de Obra:</t>
          </r>
        </is>
      </c>
      <c r="F1887" s="26" t="inlineStr"/>
      <c r="G1887" s="31" t="n">
        <f>SUM(G1886:G1886)</f>
        <v>21.29</v>
      </c>
    </row>
    <row r="1888" customHeight="1" ht="15">
      <c r="A1888" s="2" t="inlineStr"/>
      <c r="B1888" s="2" t="inlineStr"/>
      <c r="C1888" s="2" t="inlineStr"/>
      <c r="D1888" s="2" t="inlineStr"/>
      <c r="E1888" s="28" t="inlineStr">
        <is>
          <r>
            <t xml:space="preserve">VALOR:</t>
          </r>
        </is>
      </c>
      <c r="F1888" s="28" t="inlineStr"/>
      <c r="G1888" s="29" t="n">
        <f>ROUND(SUM(G1887),2)</f>
        <v>21.29</v>
      </c>
    </row>
    <row r="1889" customHeight="1" ht="15">
      <c r="A1889" s="2" t="inlineStr"/>
      <c r="B1889" s="2" t="inlineStr"/>
      <c r="C1889" s="2" t="inlineStr"/>
      <c r="D1889" s="2" t="inlineStr"/>
      <c r="E1889" s="28" t="inlineStr">
        <is>
          <r>
            <t xml:space="preserve">VALOR BDI:</t>
          </r>
        </is>
      </c>
      <c r="F1889" s="28" t="inlineStr"/>
      <c r="G1889" s="29" t="n">
        <f>ROUND(G1888*(0/100),2)</f>
        <v>0.0</v>
      </c>
    </row>
    <row r="1890" customHeight="1" ht="15">
      <c r="A1890" s="2" t="inlineStr"/>
      <c r="B1890" s="2" t="inlineStr"/>
      <c r="C1890" s="2" t="inlineStr"/>
      <c r="D1890" s="2" t="inlineStr"/>
      <c r="E1890" s="28" t="inlineStr">
        <is>
          <r>
            <t xml:space="preserve">VALOR COM BDI:</t>
          </r>
        </is>
      </c>
      <c r="F1890" s="28" t="inlineStr"/>
      <c r="G1890" s="29" t="n">
        <f>G1889+G1888</f>
        <v>21.29</v>
      </c>
    </row>
    <row r="1891" customHeight="1" ht="10">
      <c r="A1891" s="2" t="inlineStr"/>
      <c r="B1891" s="2" t="inlineStr"/>
      <c r="C1891" s="2" t="inlineStr"/>
      <c r="D1891" s="2" t="inlineStr"/>
      <c r="E1891" s="18" t="inlineStr"/>
      <c r="F1891" s="18" t="inlineStr"/>
      <c r="G1891" s="18" t="inlineStr"/>
    </row>
    <row r="1892" customHeight="1" ht="20">
      <c r="A1892" s="19" t="inlineStr">
        <is>
          <r>
            <t xml:space="preserve">​I2794​ MÃO DE OBRA DE OPERAÇÃO DO GRUPO GERADOR 180 KVA​ (H)</t>
          </r>
        </is>
      </c>
      <c r="B1892" s="19" t="inlineStr"/>
      <c r="C1892" s="19" t="inlineStr"/>
      <c r="D1892" s="19" t="inlineStr"/>
      <c r="E1892" s="19" t="inlineStr"/>
      <c r="F1892" s="19" t="inlineStr"/>
      <c r="G1892" s="19" t="inlineStr"/>
    </row>
    <row r="1893" customHeight="1" ht="15">
      <c r="A1893" s="20" t="inlineStr">
        <is>
          <r>
            <t xml:space="preserve">Mão de Obra</t>
          </r>
        </is>
      </c>
      <c r="B1893" s="20" t="inlineStr"/>
      <c r="C1893" s="21" t="inlineStr">
        <is>
          <r>
            <t xml:space="preserve">FONTE</t>
          </r>
        </is>
      </c>
      <c r="D1893" s="21" t="inlineStr">
        <is>
          <r>
            <t xml:space="preserve">UNID</t>
          </r>
        </is>
      </c>
      <c r="E1893" s="21" t="inlineStr">
        <is>
          <r>
            <t xml:space="preserve">COEFICIENTE</t>
          </r>
        </is>
      </c>
      <c r="F1893" s="21" t="inlineStr">
        <is>
          <r>
            <t xml:space="preserve">PREÇO UNITÁRIO</t>
          </r>
        </is>
      </c>
      <c r="G1893" s="21" t="inlineStr">
        <is>
          <r>
            <t xml:space="preserve">TOTAL</t>
          </r>
        </is>
      </c>
    </row>
    <row r="1894" customHeight="1" ht="15">
      <c r="A1894" s="22" t="inlineStr">
        <is>
          <r>
            <t xml:space="preserve">I2555</t>
          </r>
        </is>
      </c>
      <c r="B1894" s="23" t="inlineStr">
        <is>
          <r>
            <t xml:space="preserve">OPERADOR DE GRUPO GERADOR</t>
          </r>
        </is>
      </c>
      <c r="C1894" s="22" t="inlineStr">
        <is>
          <r>
            <t xml:space="preserve">SEINFRA</t>
          </r>
        </is>
      </c>
      <c r="D1894" s="22" t="inlineStr">
        <is>
          <r>
            <t xml:space="preserve">H</t>
          </r>
        </is>
      </c>
      <c r="E1894" s="24" t="n">
        <v>1.0</v>
      </c>
      <c r="F1894" s="30" t="n">
        <v>21.29</v>
      </c>
      <c r="G1894" s="30" t="n">
        <f>ROUND(ROUND(E1894,8)*F1894,4)</f>
        <v>21.29</v>
      </c>
    </row>
    <row r="1895" customHeight="1" ht="15">
      <c r="A1895" s="2" t="inlineStr"/>
      <c r="B1895" s="2" t="inlineStr"/>
      <c r="C1895" s="2" t="inlineStr"/>
      <c r="D1895" s="2" t="inlineStr"/>
      <c r="E1895" s="26" t="inlineStr">
        <is>
          <r>
            <t xml:space="preserve">TOTAL Mão de Obra:</t>
          </r>
        </is>
      </c>
      <c r="F1895" s="26" t="inlineStr"/>
      <c r="G1895" s="31" t="n">
        <f>SUM(G1894:G1894)</f>
        <v>21.29</v>
      </c>
    </row>
    <row r="1896" customHeight="1" ht="15">
      <c r="A1896" s="2" t="inlineStr"/>
      <c r="B1896" s="2" t="inlineStr"/>
      <c r="C1896" s="2" t="inlineStr"/>
      <c r="D1896" s="2" t="inlineStr"/>
      <c r="E1896" s="28" t="inlineStr">
        <is>
          <r>
            <t xml:space="preserve">VALOR:</t>
          </r>
        </is>
      </c>
      <c r="F1896" s="28" t="inlineStr"/>
      <c r="G1896" s="29" t="n">
        <f>ROUND(SUM(G1895),2)</f>
        <v>21.29</v>
      </c>
    </row>
    <row r="1897" customHeight="1" ht="15">
      <c r="A1897" s="2" t="inlineStr"/>
      <c r="B1897" s="2" t="inlineStr"/>
      <c r="C1897" s="2" t="inlineStr"/>
      <c r="D1897" s="2" t="inlineStr"/>
      <c r="E1897" s="28" t="inlineStr">
        <is>
          <r>
            <t xml:space="preserve">VALOR BDI:</t>
          </r>
        </is>
      </c>
      <c r="F1897" s="28" t="inlineStr"/>
      <c r="G1897" s="29" t="n">
        <f>ROUND(G1896*(0/100),2)</f>
        <v>0.0</v>
      </c>
    </row>
    <row r="1898" customHeight="1" ht="15">
      <c r="A1898" s="2" t="inlineStr"/>
      <c r="B1898" s="2" t="inlineStr"/>
      <c r="C1898" s="2" t="inlineStr"/>
      <c r="D1898" s="2" t="inlineStr"/>
      <c r="E1898" s="28" t="inlineStr">
        <is>
          <r>
            <t xml:space="preserve">VALOR COM BDI:</t>
          </r>
        </is>
      </c>
      <c r="F1898" s="28" t="inlineStr"/>
      <c r="G1898" s="29" t="n">
        <f>G1897+G1896</f>
        <v>21.29</v>
      </c>
    </row>
    <row r="1899" customHeight="1" ht="10">
      <c r="A1899" s="2" t="inlineStr"/>
      <c r="B1899" s="2" t="inlineStr"/>
      <c r="C1899" s="2" t="inlineStr"/>
      <c r="D1899" s="2" t="inlineStr"/>
      <c r="E1899" s="18" t="inlineStr"/>
      <c r="F1899" s="18" t="inlineStr"/>
      <c r="G1899" s="18" t="inlineStr"/>
    </row>
    <row r="1900" customHeight="1" ht="20">
      <c r="A1900" s="19" t="inlineStr">
        <is>
          <r>
            <t xml:space="preserve">​I2790​ MÃO DE OBRA DE OPERAÇÃO DO GRUPO GERADOR 36 KVA​ (H)</t>
          </r>
        </is>
      </c>
      <c r="B1900" s="19" t="inlineStr"/>
      <c r="C1900" s="19" t="inlineStr"/>
      <c r="D1900" s="19" t="inlineStr"/>
      <c r="E1900" s="19" t="inlineStr"/>
      <c r="F1900" s="19" t="inlineStr"/>
      <c r="G1900" s="19" t="inlineStr"/>
    </row>
    <row r="1901" customHeight="1" ht="15">
      <c r="A1901" s="20" t="inlineStr">
        <is>
          <r>
            <t xml:space="preserve">Mão de Obra</t>
          </r>
        </is>
      </c>
      <c r="B1901" s="20" t="inlineStr"/>
      <c r="C1901" s="21" t="inlineStr">
        <is>
          <r>
            <t xml:space="preserve">FONTE</t>
          </r>
        </is>
      </c>
      <c r="D1901" s="21" t="inlineStr">
        <is>
          <r>
            <t xml:space="preserve">UNID</t>
          </r>
        </is>
      </c>
      <c r="E1901" s="21" t="inlineStr">
        <is>
          <r>
            <t xml:space="preserve">COEFICIENTE</t>
          </r>
        </is>
      </c>
      <c r="F1901" s="21" t="inlineStr">
        <is>
          <r>
            <t xml:space="preserve">PREÇO UNITÁRIO</t>
          </r>
        </is>
      </c>
      <c r="G1901" s="21" t="inlineStr">
        <is>
          <r>
            <t xml:space="preserve">TOTAL</t>
          </r>
        </is>
      </c>
    </row>
    <row r="1902" customHeight="1" ht="15">
      <c r="A1902" s="22" t="inlineStr">
        <is>
          <r>
            <t xml:space="preserve">I2555</t>
          </r>
        </is>
      </c>
      <c r="B1902" s="23" t="inlineStr">
        <is>
          <r>
            <t xml:space="preserve">OPERADOR DE GRUPO GERADOR</t>
          </r>
        </is>
      </c>
      <c r="C1902" s="22" t="inlineStr">
        <is>
          <r>
            <t xml:space="preserve">SEINFRA</t>
          </r>
        </is>
      </c>
      <c r="D1902" s="22" t="inlineStr">
        <is>
          <r>
            <t xml:space="preserve">H</t>
          </r>
        </is>
      </c>
      <c r="E1902" s="24" t="n">
        <v>1.0</v>
      </c>
      <c r="F1902" s="30" t="n">
        <v>21.29</v>
      </c>
      <c r="G1902" s="30" t="n">
        <f>ROUND(ROUND(E1902,8)*F1902,4)</f>
        <v>21.29</v>
      </c>
    </row>
    <row r="1903" customHeight="1" ht="15">
      <c r="A1903" s="2" t="inlineStr"/>
      <c r="B1903" s="2" t="inlineStr"/>
      <c r="C1903" s="2" t="inlineStr"/>
      <c r="D1903" s="2" t="inlineStr"/>
      <c r="E1903" s="26" t="inlineStr">
        <is>
          <r>
            <t xml:space="preserve">TOTAL Mão de Obra:</t>
          </r>
        </is>
      </c>
      <c r="F1903" s="26" t="inlineStr"/>
      <c r="G1903" s="31" t="n">
        <f>SUM(G1902:G1902)</f>
        <v>21.29</v>
      </c>
    </row>
    <row r="1904" customHeight="1" ht="15">
      <c r="A1904" s="2" t="inlineStr"/>
      <c r="B1904" s="2" t="inlineStr"/>
      <c r="C1904" s="2" t="inlineStr"/>
      <c r="D1904" s="2" t="inlineStr"/>
      <c r="E1904" s="28" t="inlineStr">
        <is>
          <r>
            <t xml:space="preserve">VALOR:</t>
          </r>
        </is>
      </c>
      <c r="F1904" s="28" t="inlineStr"/>
      <c r="G1904" s="29" t="n">
        <f>ROUND(SUM(G1903),2)</f>
        <v>21.29</v>
      </c>
    </row>
    <row r="1905" customHeight="1" ht="15">
      <c r="A1905" s="2" t="inlineStr"/>
      <c r="B1905" s="2" t="inlineStr"/>
      <c r="C1905" s="2" t="inlineStr"/>
      <c r="D1905" s="2" t="inlineStr"/>
      <c r="E1905" s="28" t="inlineStr">
        <is>
          <r>
            <t xml:space="preserve">VALOR BDI:</t>
          </r>
        </is>
      </c>
      <c r="F1905" s="28" t="inlineStr"/>
      <c r="G1905" s="29" t="n">
        <f>ROUND(G1904*(0/100),2)</f>
        <v>0.0</v>
      </c>
    </row>
    <row r="1906" customHeight="1" ht="15">
      <c r="A1906" s="2" t="inlineStr"/>
      <c r="B1906" s="2" t="inlineStr"/>
      <c r="C1906" s="2" t="inlineStr"/>
      <c r="D1906" s="2" t="inlineStr"/>
      <c r="E1906" s="28" t="inlineStr">
        <is>
          <r>
            <t xml:space="preserve">VALOR COM BDI:</t>
          </r>
        </is>
      </c>
      <c r="F1906" s="28" t="inlineStr"/>
      <c r="G1906" s="29" t="n">
        <f>G1905+G1904</f>
        <v>21.29</v>
      </c>
    </row>
    <row r="1907" customHeight="1" ht="10">
      <c r="A1907" s="2" t="inlineStr"/>
      <c r="B1907" s="2" t="inlineStr"/>
      <c r="C1907" s="2" t="inlineStr"/>
      <c r="D1907" s="2" t="inlineStr"/>
      <c r="E1907" s="18" t="inlineStr"/>
      <c r="F1907" s="18" t="inlineStr"/>
      <c r="G1907" s="18" t="inlineStr"/>
    </row>
    <row r="1908" customHeight="1" ht="20">
      <c r="A1908" s="19" t="inlineStr">
        <is>
          <r>
            <t xml:space="preserve">​I2802​ MÃO DE OBRA DE OPERAÇÃO DO GUINDASTE HIDRÁULICO SOBRE PNEUS (45 HP)​ (H)</t>
          </r>
        </is>
      </c>
      <c r="B1908" s="19" t="inlineStr"/>
      <c r="C1908" s="19" t="inlineStr"/>
      <c r="D1908" s="19" t="inlineStr"/>
      <c r="E1908" s="19" t="inlineStr"/>
      <c r="F1908" s="19" t="inlineStr"/>
      <c r="G1908" s="19" t="inlineStr"/>
    </row>
    <row r="1909" customHeight="1" ht="15">
      <c r="A1909" s="20" t="inlineStr">
        <is>
          <r>
            <t xml:space="preserve">Mão de Obra</t>
          </r>
        </is>
      </c>
      <c r="B1909" s="20" t="inlineStr"/>
      <c r="C1909" s="21" t="inlineStr">
        <is>
          <r>
            <t xml:space="preserve">FONTE</t>
          </r>
        </is>
      </c>
      <c r="D1909" s="21" t="inlineStr">
        <is>
          <r>
            <t xml:space="preserve">UNID</t>
          </r>
        </is>
      </c>
      <c r="E1909" s="21" t="inlineStr">
        <is>
          <r>
            <t xml:space="preserve">COEFICIENTE</t>
          </r>
        </is>
      </c>
      <c r="F1909" s="21" t="inlineStr">
        <is>
          <r>
            <t xml:space="preserve">PREÇO UNITÁRIO</t>
          </r>
        </is>
      </c>
      <c r="G1909" s="21" t="inlineStr">
        <is>
          <r>
            <t xml:space="preserve">TOTAL</t>
          </r>
        </is>
      </c>
    </row>
    <row r="1910" customHeight="1" ht="15">
      <c r="A1910" s="22" t="inlineStr">
        <is>
          <r>
            <t xml:space="preserve">I2561</t>
          </r>
        </is>
      </c>
      <c r="B1910" s="23" t="inlineStr">
        <is>
          <r>
            <t xml:space="preserve">OPERADOR DE RETRO ESCAVADEIRA</t>
          </r>
        </is>
      </c>
      <c r="C1910" s="22" t="inlineStr">
        <is>
          <r>
            <t xml:space="preserve">SEINFRA</t>
          </r>
        </is>
      </c>
      <c r="D1910" s="22" t="inlineStr">
        <is>
          <r>
            <t xml:space="preserve">H</t>
          </r>
        </is>
      </c>
      <c r="E1910" s="24" t="n">
        <v>1.0</v>
      </c>
      <c r="F1910" s="30" t="n">
        <v>28.81</v>
      </c>
      <c r="G1910" s="30" t="n">
        <f>ROUND(ROUND(E1910,8)*F1910,4)</f>
        <v>28.81</v>
      </c>
    </row>
    <row r="1911" customHeight="1" ht="15">
      <c r="A1911" s="2" t="inlineStr"/>
      <c r="B1911" s="2" t="inlineStr"/>
      <c r="C1911" s="2" t="inlineStr"/>
      <c r="D1911" s="2" t="inlineStr"/>
      <c r="E1911" s="26" t="inlineStr">
        <is>
          <r>
            <t xml:space="preserve">TOTAL Mão de Obra:</t>
          </r>
        </is>
      </c>
      <c r="F1911" s="26" t="inlineStr"/>
      <c r="G1911" s="31" t="n">
        <f>SUM(G1910:G1910)</f>
        <v>28.81</v>
      </c>
    </row>
    <row r="1912" customHeight="1" ht="15">
      <c r="A1912" s="2" t="inlineStr"/>
      <c r="B1912" s="2" t="inlineStr"/>
      <c r="C1912" s="2" t="inlineStr"/>
      <c r="D1912" s="2" t="inlineStr"/>
      <c r="E1912" s="28" t="inlineStr">
        <is>
          <r>
            <t xml:space="preserve">VALOR:</t>
          </r>
        </is>
      </c>
      <c r="F1912" s="28" t="inlineStr"/>
      <c r="G1912" s="29" t="n">
        <f>ROUND(SUM(G1911),2)</f>
        <v>28.81</v>
      </c>
    </row>
    <row r="1913" customHeight="1" ht="15">
      <c r="A1913" s="2" t="inlineStr"/>
      <c r="B1913" s="2" t="inlineStr"/>
      <c r="C1913" s="2" t="inlineStr"/>
      <c r="D1913" s="2" t="inlineStr"/>
      <c r="E1913" s="28" t="inlineStr">
        <is>
          <r>
            <t xml:space="preserve">VALOR BDI:</t>
          </r>
        </is>
      </c>
      <c r="F1913" s="28" t="inlineStr"/>
      <c r="G1913" s="29" t="n">
        <f>ROUND(G1912*(0/100),2)</f>
        <v>0.0</v>
      </c>
    </row>
    <row r="1914" customHeight="1" ht="15">
      <c r="A1914" s="2" t="inlineStr"/>
      <c r="B1914" s="2" t="inlineStr"/>
      <c r="C1914" s="2" t="inlineStr"/>
      <c r="D1914" s="2" t="inlineStr"/>
      <c r="E1914" s="28" t="inlineStr">
        <is>
          <r>
            <t xml:space="preserve">VALOR COM BDI:</t>
          </r>
        </is>
      </c>
      <c r="F1914" s="28" t="inlineStr"/>
      <c r="G1914" s="29" t="n">
        <f>G1913+G1912</f>
        <v>28.81</v>
      </c>
    </row>
    <row r="1915" customHeight="1" ht="10">
      <c r="A1915" s="2" t="inlineStr"/>
      <c r="B1915" s="2" t="inlineStr"/>
      <c r="C1915" s="2" t="inlineStr"/>
      <c r="D1915" s="2" t="inlineStr"/>
      <c r="E1915" s="18" t="inlineStr"/>
      <c r="F1915" s="18" t="inlineStr"/>
      <c r="G1915" s="18" t="inlineStr"/>
    </row>
    <row r="1916" customHeight="1" ht="20">
      <c r="A1916" s="19" t="inlineStr">
        <is>
          <r>
            <t xml:space="preserve">​I2828​ MÃO DE OBRA DE OPERAÇÃO DO ROMPEDOR PNEUMÁTICO​ (H)</t>
          </r>
        </is>
      </c>
      <c r="B1916" s="19" t="inlineStr"/>
      <c r="C1916" s="19" t="inlineStr"/>
      <c r="D1916" s="19" t="inlineStr"/>
      <c r="E1916" s="19" t="inlineStr"/>
      <c r="F1916" s="19" t="inlineStr"/>
      <c r="G1916" s="19" t="inlineStr"/>
    </row>
    <row r="1917" customHeight="1" ht="15">
      <c r="A1917" s="20" t="inlineStr">
        <is>
          <r>
            <t xml:space="preserve">Mão de Obra</t>
          </r>
        </is>
      </c>
      <c r="B1917" s="20" t="inlineStr"/>
      <c r="C1917" s="21" t="inlineStr">
        <is>
          <r>
            <t xml:space="preserve">FONTE</t>
          </r>
        </is>
      </c>
      <c r="D1917" s="21" t="inlineStr">
        <is>
          <r>
            <t xml:space="preserve">UNID</t>
          </r>
        </is>
      </c>
      <c r="E1917" s="21" t="inlineStr">
        <is>
          <r>
            <t xml:space="preserve">COEFICIENTE</t>
          </r>
        </is>
      </c>
      <c r="F1917" s="21" t="inlineStr">
        <is>
          <r>
            <t xml:space="preserve">PREÇO UNITÁRIO</t>
          </r>
        </is>
      </c>
      <c r="G1917" s="21" t="inlineStr">
        <is>
          <r>
            <t xml:space="preserve">TOTAL</t>
          </r>
        </is>
      </c>
    </row>
    <row r="1918" customHeight="1" ht="15">
      <c r="A1918" s="22" t="inlineStr">
        <is>
          <r>
            <t xml:space="preserve">I2523</t>
          </r>
        </is>
      </c>
      <c r="B1918" s="23" t="inlineStr">
        <is>
          <r>
            <t xml:space="preserve">OPERADOR DE PERFURATRIZ / ROMPEDOR</t>
          </r>
        </is>
      </c>
      <c r="C1918" s="22" t="inlineStr">
        <is>
          <r>
            <t xml:space="preserve">SEINFRA</t>
          </r>
        </is>
      </c>
      <c r="D1918" s="22" t="inlineStr">
        <is>
          <r>
            <t xml:space="preserve">H</t>
          </r>
        </is>
      </c>
      <c r="E1918" s="24" t="n">
        <v>1.0</v>
      </c>
      <c r="F1918" s="30" t="n">
        <v>21.29</v>
      </c>
      <c r="G1918" s="30" t="n">
        <f>ROUND(ROUND(E1918,8)*F1918,4)</f>
        <v>21.29</v>
      </c>
    </row>
    <row r="1919" customHeight="1" ht="15">
      <c r="A1919" s="2" t="inlineStr"/>
      <c r="B1919" s="2" t="inlineStr"/>
      <c r="C1919" s="2" t="inlineStr"/>
      <c r="D1919" s="2" t="inlineStr"/>
      <c r="E1919" s="26" t="inlineStr">
        <is>
          <r>
            <t xml:space="preserve">TOTAL Mão de Obra:</t>
          </r>
        </is>
      </c>
      <c r="F1919" s="26" t="inlineStr"/>
      <c r="G1919" s="31" t="n">
        <f>SUM(G1918:G1918)</f>
        <v>21.29</v>
      </c>
    </row>
    <row r="1920" customHeight="1" ht="15">
      <c r="A1920" s="2" t="inlineStr"/>
      <c r="B1920" s="2" t="inlineStr"/>
      <c r="C1920" s="2" t="inlineStr"/>
      <c r="D1920" s="2" t="inlineStr"/>
      <c r="E1920" s="28" t="inlineStr">
        <is>
          <r>
            <t xml:space="preserve">VALOR:</t>
          </r>
        </is>
      </c>
      <c r="F1920" s="28" t="inlineStr"/>
      <c r="G1920" s="29" t="n">
        <f>ROUND(SUM(G1919),2)</f>
        <v>21.29</v>
      </c>
    </row>
    <row r="1921" customHeight="1" ht="15">
      <c r="A1921" s="2" t="inlineStr"/>
      <c r="B1921" s="2" t="inlineStr"/>
      <c r="C1921" s="2" t="inlineStr"/>
      <c r="D1921" s="2" t="inlineStr"/>
      <c r="E1921" s="28" t="inlineStr">
        <is>
          <r>
            <t xml:space="preserve">VALOR BDI:</t>
          </r>
        </is>
      </c>
      <c r="F1921" s="28" t="inlineStr"/>
      <c r="G1921" s="29" t="n">
        <f>ROUND(G1920*(0/100),2)</f>
        <v>0.0</v>
      </c>
    </row>
    <row r="1922" customHeight="1" ht="15">
      <c r="A1922" s="2" t="inlineStr"/>
      <c r="B1922" s="2" t="inlineStr"/>
      <c r="C1922" s="2" t="inlineStr"/>
      <c r="D1922" s="2" t="inlineStr"/>
      <c r="E1922" s="28" t="inlineStr">
        <is>
          <r>
            <t xml:space="preserve">VALOR COM BDI:</t>
          </r>
        </is>
      </c>
      <c r="F1922" s="28" t="inlineStr"/>
      <c r="G1922" s="29" t="n">
        <f>G1921+G1920</f>
        <v>21.29</v>
      </c>
    </row>
    <row r="1923" customHeight="1" ht="10">
      <c r="A1923" s="2" t="inlineStr"/>
      <c r="B1923" s="2" t="inlineStr"/>
      <c r="C1923" s="2" t="inlineStr"/>
      <c r="D1923" s="2" t="inlineStr"/>
      <c r="E1923" s="18" t="inlineStr"/>
      <c r="F1923" s="18" t="inlineStr"/>
      <c r="G1923" s="18" t="inlineStr"/>
    </row>
    <row r="1924" customHeight="1" ht="20">
      <c r="A1924" s="19" t="inlineStr">
        <is>
          <r>
            <t xml:space="preserve">​I2842​ MÃO DE OBRA DE OPERAÇÃO DO TRATOR DE ESTEIRAS C/ LÂMINA E ESC. (155 HP)​ (H)</t>
          </r>
        </is>
      </c>
      <c r="B1924" s="19" t="inlineStr"/>
      <c r="C1924" s="19" t="inlineStr"/>
      <c r="D1924" s="19" t="inlineStr"/>
      <c r="E1924" s="19" t="inlineStr"/>
      <c r="F1924" s="19" t="inlineStr"/>
      <c r="G1924" s="19" t="inlineStr"/>
    </row>
    <row r="1925" customHeight="1" ht="15">
      <c r="A1925" s="20" t="inlineStr">
        <is>
          <r>
            <t xml:space="preserve">Mão de Obra</t>
          </r>
        </is>
      </c>
      <c r="B1925" s="20" t="inlineStr"/>
      <c r="C1925" s="21" t="inlineStr">
        <is>
          <r>
            <t xml:space="preserve">FONTE</t>
          </r>
        </is>
      </c>
      <c r="D1925" s="21" t="inlineStr">
        <is>
          <r>
            <t xml:space="preserve">UNID</t>
          </r>
        </is>
      </c>
      <c r="E1925" s="21" t="inlineStr">
        <is>
          <r>
            <t xml:space="preserve">COEFICIENTE</t>
          </r>
        </is>
      </c>
      <c r="F1925" s="21" t="inlineStr">
        <is>
          <r>
            <t xml:space="preserve">PREÇO UNITÁRIO</t>
          </r>
        </is>
      </c>
      <c r="G1925" s="21" t="inlineStr">
        <is>
          <r>
            <t xml:space="preserve">TOTAL</t>
          </r>
        </is>
      </c>
    </row>
    <row r="1926" customHeight="1" ht="15">
      <c r="A1926" s="22" t="inlineStr">
        <is>
          <r>
            <t xml:space="preserve">I2562</t>
          </r>
        </is>
      </c>
      <c r="B1926" s="23" t="inlineStr">
        <is>
          <r>
            <t xml:space="preserve">OPERADOR DE TRATOR DE ESTEIRAS</t>
          </r>
        </is>
      </c>
      <c r="C1926" s="22" t="inlineStr">
        <is>
          <r>
            <t xml:space="preserve">SEINFRA</t>
          </r>
        </is>
      </c>
      <c r="D1926" s="22" t="inlineStr">
        <is>
          <r>
            <t xml:space="preserve">H</t>
          </r>
        </is>
      </c>
      <c r="E1926" s="24" t="n">
        <v>1.0</v>
      </c>
      <c r="F1926" s="30" t="n">
        <v>28.81</v>
      </c>
      <c r="G1926" s="30" t="n">
        <f>ROUND(ROUND(E1926,8)*F1926,4)</f>
        <v>28.81</v>
      </c>
    </row>
    <row r="1927" customHeight="1" ht="15">
      <c r="A1927" s="2" t="inlineStr"/>
      <c r="B1927" s="2" t="inlineStr"/>
      <c r="C1927" s="2" t="inlineStr"/>
      <c r="D1927" s="2" t="inlineStr"/>
      <c r="E1927" s="26" t="inlineStr">
        <is>
          <r>
            <t xml:space="preserve">TOTAL Mão de Obra:</t>
          </r>
        </is>
      </c>
      <c r="F1927" s="26" t="inlineStr"/>
      <c r="G1927" s="31" t="n">
        <f>SUM(G1926:G1926)</f>
        <v>28.81</v>
      </c>
    </row>
    <row r="1928" customHeight="1" ht="15">
      <c r="A1928" s="2" t="inlineStr"/>
      <c r="B1928" s="2" t="inlineStr"/>
      <c r="C1928" s="2" t="inlineStr"/>
      <c r="D1928" s="2" t="inlineStr"/>
      <c r="E1928" s="28" t="inlineStr">
        <is>
          <r>
            <t xml:space="preserve">VALOR:</t>
          </r>
        </is>
      </c>
      <c r="F1928" s="28" t="inlineStr"/>
      <c r="G1928" s="29" t="n">
        <f>ROUND(SUM(G1927),2)</f>
        <v>28.81</v>
      </c>
    </row>
    <row r="1929" customHeight="1" ht="15">
      <c r="A1929" s="2" t="inlineStr"/>
      <c r="B1929" s="2" t="inlineStr"/>
      <c r="C1929" s="2" t="inlineStr"/>
      <c r="D1929" s="2" t="inlineStr"/>
      <c r="E1929" s="28" t="inlineStr">
        <is>
          <r>
            <t xml:space="preserve">VALOR BDI:</t>
          </r>
        </is>
      </c>
      <c r="F1929" s="28" t="inlineStr"/>
      <c r="G1929" s="29" t="n">
        <f>ROUND(G1928*(0/100),2)</f>
        <v>0.0</v>
      </c>
    </row>
    <row r="1930" customHeight="1" ht="15">
      <c r="A1930" s="2" t="inlineStr"/>
      <c r="B1930" s="2" t="inlineStr"/>
      <c r="C1930" s="2" t="inlineStr"/>
      <c r="D1930" s="2" t="inlineStr"/>
      <c r="E1930" s="28" t="inlineStr">
        <is>
          <r>
            <t xml:space="preserve">VALOR COM BDI:</t>
          </r>
        </is>
      </c>
      <c r="F1930" s="28" t="inlineStr"/>
      <c r="G1930" s="29" t="n">
        <f>G1929+G1928</f>
        <v>28.81</v>
      </c>
    </row>
    <row r="1931" customHeight="1" ht="10">
      <c r="A1931" s="2" t="inlineStr"/>
      <c r="B1931" s="2" t="inlineStr"/>
      <c r="C1931" s="2" t="inlineStr"/>
      <c r="D1931" s="2" t="inlineStr"/>
      <c r="E1931" s="18" t="inlineStr"/>
      <c r="F1931" s="18" t="inlineStr"/>
      <c r="G1931" s="18" t="inlineStr"/>
    </row>
    <row r="1932" customHeight="1" ht="20">
      <c r="A1932" s="19" t="inlineStr">
        <is>
          <r>
            <t xml:space="preserve">​I2844​ MÃO DE OBRA DE OPERAÇÃO DO TRATOR DE PNEUS​ (H)</t>
          </r>
        </is>
      </c>
      <c r="B1932" s="19" t="inlineStr"/>
      <c r="C1932" s="19" t="inlineStr"/>
      <c r="D1932" s="19" t="inlineStr"/>
      <c r="E1932" s="19" t="inlineStr"/>
      <c r="F1932" s="19" t="inlineStr"/>
      <c r="G1932" s="19" t="inlineStr"/>
    </row>
    <row r="1933" customHeight="1" ht="15">
      <c r="A1933" s="20" t="inlineStr">
        <is>
          <r>
            <t xml:space="preserve">Mão de Obra</t>
          </r>
        </is>
      </c>
      <c r="B1933" s="20" t="inlineStr"/>
      <c r="C1933" s="21" t="inlineStr">
        <is>
          <r>
            <t xml:space="preserve">FONTE</t>
          </r>
        </is>
      </c>
      <c r="D1933" s="21" t="inlineStr">
        <is>
          <r>
            <t xml:space="preserve">UNID</t>
          </r>
        </is>
      </c>
      <c r="E1933" s="21" t="inlineStr">
        <is>
          <r>
            <t xml:space="preserve">COEFICIENTE</t>
          </r>
        </is>
      </c>
      <c r="F1933" s="21" t="inlineStr">
        <is>
          <r>
            <t xml:space="preserve">PREÇO UNITÁRIO</t>
          </r>
        </is>
      </c>
      <c r="G1933" s="21" t="inlineStr">
        <is>
          <r>
            <t xml:space="preserve">TOTAL</t>
          </r>
        </is>
      </c>
    </row>
    <row r="1934" customHeight="1" ht="15">
      <c r="A1934" s="22" t="inlineStr">
        <is>
          <r>
            <t xml:space="preserve">I2563</t>
          </r>
        </is>
      </c>
      <c r="B1934" s="23" t="inlineStr">
        <is>
          <r>
            <t xml:space="preserve">OPERADOR DE TRATOR DE PNEUS</t>
          </r>
        </is>
      </c>
      <c r="C1934" s="22" t="inlineStr">
        <is>
          <r>
            <t xml:space="preserve">SEINFRA</t>
          </r>
        </is>
      </c>
      <c r="D1934" s="22" t="inlineStr">
        <is>
          <r>
            <t xml:space="preserve">H</t>
          </r>
        </is>
      </c>
      <c r="E1934" s="24" t="n">
        <v>1.0</v>
      </c>
      <c r="F1934" s="30" t="n">
        <v>21.29</v>
      </c>
      <c r="G1934" s="30" t="n">
        <f>ROUND(ROUND(E1934,8)*F1934,4)</f>
        <v>21.29</v>
      </c>
    </row>
    <row r="1935" customHeight="1" ht="15">
      <c r="A1935" s="2" t="inlineStr"/>
      <c r="B1935" s="2" t="inlineStr"/>
      <c r="C1935" s="2" t="inlineStr"/>
      <c r="D1935" s="2" t="inlineStr"/>
      <c r="E1935" s="26" t="inlineStr">
        <is>
          <r>
            <t xml:space="preserve">TOTAL Mão de Obra:</t>
          </r>
        </is>
      </c>
      <c r="F1935" s="26" t="inlineStr"/>
      <c r="G1935" s="31" t="n">
        <f>SUM(G1934:G1934)</f>
        <v>21.29</v>
      </c>
    </row>
    <row r="1936" customHeight="1" ht="15">
      <c r="A1936" s="2" t="inlineStr"/>
      <c r="B1936" s="2" t="inlineStr"/>
      <c r="C1936" s="2" t="inlineStr"/>
      <c r="D1936" s="2" t="inlineStr"/>
      <c r="E1936" s="28" t="inlineStr">
        <is>
          <r>
            <t xml:space="preserve">VALOR:</t>
          </r>
        </is>
      </c>
      <c r="F1936" s="28" t="inlineStr"/>
      <c r="G1936" s="29" t="n">
        <f>ROUND(SUM(G1935),2)</f>
        <v>21.29</v>
      </c>
    </row>
    <row r="1937" customHeight="1" ht="15">
      <c r="A1937" s="2" t="inlineStr"/>
      <c r="B1937" s="2" t="inlineStr"/>
      <c r="C1937" s="2" t="inlineStr"/>
      <c r="D1937" s="2" t="inlineStr"/>
      <c r="E1937" s="28" t="inlineStr">
        <is>
          <r>
            <t xml:space="preserve">VALOR BDI:</t>
          </r>
        </is>
      </c>
      <c r="F1937" s="28" t="inlineStr"/>
      <c r="G1937" s="29" t="n">
        <f>ROUND(G1936*(0/100),2)</f>
        <v>0.0</v>
      </c>
    </row>
    <row r="1938" customHeight="1" ht="15">
      <c r="A1938" s="2" t="inlineStr"/>
      <c r="B1938" s="2" t="inlineStr"/>
      <c r="C1938" s="2" t="inlineStr"/>
      <c r="D1938" s="2" t="inlineStr"/>
      <c r="E1938" s="28" t="inlineStr">
        <is>
          <r>
            <t xml:space="preserve">VALOR COM BDI:</t>
          </r>
        </is>
      </c>
      <c r="F1938" s="28" t="inlineStr"/>
      <c r="G1938" s="29" t="n">
        <f>G1937+G1936</f>
        <v>21.29</v>
      </c>
    </row>
    <row r="1939" customHeight="1" ht="10">
      <c r="A1939" s="2" t="inlineStr"/>
      <c r="B1939" s="2" t="inlineStr"/>
      <c r="C1939" s="2" t="inlineStr"/>
      <c r="D1939" s="2" t="inlineStr"/>
      <c r="E1939" s="18" t="inlineStr"/>
      <c r="F1939" s="18" t="inlineStr"/>
      <c r="G1939" s="18" t="inlineStr"/>
    </row>
    <row r="1940" customHeight="1" ht="20">
      <c r="A1940" s="19" t="inlineStr">
        <is>
          <r>
            <t xml:space="preserve">​I2856​ MÃO DE OBRA DE OPERAÇÃO DO VEÍCULO UTILITÁRIO KOMBI​ (H)</t>
          </r>
        </is>
      </c>
      <c r="B1940" s="19" t="inlineStr"/>
      <c r="C1940" s="19" t="inlineStr"/>
      <c r="D1940" s="19" t="inlineStr"/>
      <c r="E1940" s="19" t="inlineStr"/>
      <c r="F1940" s="19" t="inlineStr"/>
      <c r="G1940" s="19" t="inlineStr"/>
    </row>
    <row r="1941" customHeight="1" ht="15">
      <c r="A1941" s="20" t="inlineStr">
        <is>
          <r>
            <t xml:space="preserve">Mão de Obra</t>
          </r>
        </is>
      </c>
      <c r="B1941" s="20" t="inlineStr"/>
      <c r="C1941" s="21" t="inlineStr">
        <is>
          <r>
            <t xml:space="preserve">FONTE</t>
          </r>
        </is>
      </c>
      <c r="D1941" s="21" t="inlineStr">
        <is>
          <r>
            <t xml:space="preserve">UNID</t>
          </r>
        </is>
      </c>
      <c r="E1941" s="21" t="inlineStr">
        <is>
          <r>
            <t xml:space="preserve">COEFICIENTE</t>
          </r>
        </is>
      </c>
      <c r="F1941" s="21" t="inlineStr">
        <is>
          <r>
            <t xml:space="preserve">PREÇO UNITÁRIO</t>
          </r>
        </is>
      </c>
      <c r="G1941" s="21" t="inlineStr">
        <is>
          <r>
            <t xml:space="preserve">TOTAL</t>
          </r>
        </is>
      </c>
    </row>
    <row r="1942" customHeight="1" ht="15">
      <c r="A1942" s="22" t="inlineStr">
        <is>
          <r>
            <t xml:space="preserve">I2380</t>
          </r>
        </is>
      </c>
      <c r="B1942" s="23" t="inlineStr">
        <is>
          <r>
            <t xml:space="preserve">MOTORISTA</t>
          </r>
        </is>
      </c>
      <c r="C1942" s="22" t="inlineStr">
        <is>
          <r>
            <t xml:space="preserve">SEINFRA</t>
          </r>
        </is>
      </c>
      <c r="D1942" s="22" t="inlineStr">
        <is>
          <r>
            <t xml:space="preserve">H</t>
          </r>
        </is>
      </c>
      <c r="E1942" s="24" t="n">
        <v>1.0</v>
      </c>
      <c r="F1942" s="30" t="n">
        <v>18.83</v>
      </c>
      <c r="G1942" s="30" t="n">
        <f>ROUND(ROUND(E1942,8)*F1942,4)</f>
        <v>18.83</v>
      </c>
    </row>
    <row r="1943" customHeight="1" ht="15">
      <c r="A1943" s="2" t="inlineStr"/>
      <c r="B1943" s="2" t="inlineStr"/>
      <c r="C1943" s="2" t="inlineStr"/>
      <c r="D1943" s="2" t="inlineStr"/>
      <c r="E1943" s="26" t="inlineStr">
        <is>
          <r>
            <t xml:space="preserve">TOTAL Mão de Obra:</t>
          </r>
        </is>
      </c>
      <c r="F1943" s="26" t="inlineStr"/>
      <c r="G1943" s="31" t="n">
        <f>SUM(G1942:G1942)</f>
        <v>18.83</v>
      </c>
    </row>
    <row r="1944" customHeight="1" ht="15">
      <c r="A1944" s="2" t="inlineStr"/>
      <c r="B1944" s="2" t="inlineStr"/>
      <c r="C1944" s="2" t="inlineStr"/>
      <c r="D1944" s="2" t="inlineStr"/>
      <c r="E1944" s="28" t="inlineStr">
        <is>
          <r>
            <t xml:space="preserve">VALOR:</t>
          </r>
        </is>
      </c>
      <c r="F1944" s="28" t="inlineStr"/>
      <c r="G1944" s="29" t="n">
        <f>ROUND(SUM(G1943),2)</f>
        <v>18.83</v>
      </c>
    </row>
    <row r="1945" customHeight="1" ht="15">
      <c r="A1945" s="2" t="inlineStr"/>
      <c r="B1945" s="2" t="inlineStr"/>
      <c r="C1945" s="2" t="inlineStr"/>
      <c r="D1945" s="2" t="inlineStr"/>
      <c r="E1945" s="28" t="inlineStr">
        <is>
          <r>
            <t xml:space="preserve">VALOR BDI:</t>
          </r>
        </is>
      </c>
      <c r="F1945" s="28" t="inlineStr"/>
      <c r="G1945" s="29" t="n">
        <f>ROUND(G1944*(0/100),2)</f>
        <v>0.0</v>
      </c>
    </row>
    <row r="1946" customHeight="1" ht="15">
      <c r="A1946" s="2" t="inlineStr"/>
      <c r="B1946" s="2" t="inlineStr"/>
      <c r="C1946" s="2" t="inlineStr"/>
      <c r="D1946" s="2" t="inlineStr"/>
      <c r="E1946" s="28" t="inlineStr">
        <is>
          <r>
            <t xml:space="preserve">VALOR COM BDI:</t>
          </r>
        </is>
      </c>
      <c r="F1946" s="28" t="inlineStr"/>
      <c r="G1946" s="29" t="n">
        <f>G1945+G1944</f>
        <v>18.83</v>
      </c>
    </row>
    <row r="1947" customHeight="1" ht="10">
      <c r="A1947" s="2" t="inlineStr"/>
      <c r="B1947" s="2" t="inlineStr"/>
      <c r="C1947" s="2" t="inlineStr"/>
      <c r="D1947" s="2" t="inlineStr"/>
      <c r="E1947" s="18" t="inlineStr"/>
      <c r="F1947" s="18" t="inlineStr"/>
      <c r="G1947" s="18" t="inlineStr"/>
    </row>
    <row r="1948" customHeight="1" ht="20">
      <c r="A1948" s="19" t="inlineStr">
        <is>
          <r>
            <t xml:space="preserve">​C3319​ NIVELAMENTO DE FUNDO DE VALAS​ (M2)</t>
          </r>
        </is>
      </c>
      <c r="B1948" s="19" t="inlineStr"/>
      <c r="C1948" s="19" t="inlineStr"/>
      <c r="D1948" s="19" t="inlineStr"/>
      <c r="E1948" s="19" t="inlineStr"/>
      <c r="F1948" s="19" t="inlineStr"/>
      <c r="G1948" s="19" t="inlineStr"/>
    </row>
    <row r="1949" customHeight="1" ht="15">
      <c r="A1949" s="20" t="inlineStr">
        <is>
          <r>
            <t xml:space="preserve">Mão de Obra</t>
          </r>
        </is>
      </c>
      <c r="B1949" s="20" t="inlineStr"/>
      <c r="C1949" s="21" t="inlineStr">
        <is>
          <r>
            <t xml:space="preserve">FONTE</t>
          </r>
        </is>
      </c>
      <c r="D1949" s="21" t="inlineStr">
        <is>
          <r>
            <t xml:space="preserve">UNID</t>
          </r>
        </is>
      </c>
      <c r="E1949" s="21" t="inlineStr">
        <is>
          <r>
            <t xml:space="preserve">COEFICIENTE</t>
          </r>
        </is>
      </c>
      <c r="F1949" s="21" t="inlineStr">
        <is>
          <r>
            <t xml:space="preserve">PREÇO UNITÁRIO</t>
          </r>
        </is>
      </c>
      <c r="G1949" s="21" t="inlineStr">
        <is>
          <r>
            <t xml:space="preserve">TOTAL</t>
          </r>
        </is>
      </c>
    </row>
    <row r="1950" customHeight="1" ht="15">
      <c r="A1950" s="22" t="inlineStr">
        <is>
          <r>
            <t xml:space="preserve">I0498</t>
          </r>
        </is>
      </c>
      <c r="B1950" s="23" t="inlineStr">
        <is>
          <r>
            <t xml:space="preserve">CARPINTEIRO</t>
          </r>
        </is>
      </c>
      <c r="C1950" s="22" t="inlineStr">
        <is>
          <r>
            <t xml:space="preserve">SEINFRA</t>
          </r>
        </is>
      </c>
      <c r="D1950" s="22" t="inlineStr">
        <is>
          <r>
            <t xml:space="preserve">H</t>
          </r>
        </is>
      </c>
      <c r="E1950" s="24" t="n">
        <v>0.003</v>
      </c>
      <c r="F1950" s="30" t="n">
        <v>24.16</v>
      </c>
      <c r="G1950" s="30" t="n">
        <f>ROUND(ROUND(E1950,8)*F1950,4)</f>
        <v>0.0725</v>
      </c>
    </row>
    <row r="1951" customHeight="1" ht="15">
      <c r="A1951" s="22" t="inlineStr">
        <is>
          <r>
            <t xml:space="preserve">I2391</t>
          </r>
        </is>
      </c>
      <c r="B1951" s="23" t="inlineStr">
        <is>
          <r>
            <t xml:space="preserve">PEDREIRO</t>
          </r>
        </is>
      </c>
      <c r="C1951" s="22" t="inlineStr">
        <is>
          <r>
            <t xml:space="preserve">SEINFRA</t>
          </r>
        </is>
      </c>
      <c r="D1951" s="22" t="inlineStr">
        <is>
          <r>
            <t xml:space="preserve">H</t>
          </r>
        </is>
      </c>
      <c r="E1951" s="24" t="n">
        <v>0.06</v>
      </c>
      <c r="F1951" s="30" t="n">
        <v>24.16</v>
      </c>
      <c r="G1951" s="30" t="n">
        <f>ROUND(ROUND(E1951,8)*F1951,4)</f>
        <v>1.4496</v>
      </c>
    </row>
    <row r="1952" customHeight="1" ht="15">
      <c r="A1952" s="22" t="inlineStr">
        <is>
          <r>
            <t xml:space="preserve">I2543</t>
          </r>
        </is>
      </c>
      <c r="B1952" s="23" t="inlineStr">
        <is>
          <r>
            <t xml:space="preserve">SERVENTE</t>
          </r>
        </is>
      </c>
      <c r="C1952" s="22" t="inlineStr">
        <is>
          <r>
            <t xml:space="preserve">SEINFRA</t>
          </r>
        </is>
      </c>
      <c r="D1952" s="22" t="inlineStr">
        <is>
          <r>
            <t xml:space="preserve">H</t>
          </r>
        </is>
      </c>
      <c r="E1952" s="24" t="n">
        <v>0.3</v>
      </c>
      <c r="F1952" s="30" t="n">
        <v>18.46</v>
      </c>
      <c r="G1952" s="30" t="n">
        <f>ROUND(ROUND(E1952,8)*F1952,4)</f>
        <v>5.538</v>
      </c>
    </row>
    <row r="1953" customHeight="1" ht="15">
      <c r="A1953" s="2" t="inlineStr"/>
      <c r="B1953" s="2" t="inlineStr"/>
      <c r="C1953" s="2" t="inlineStr"/>
      <c r="D1953" s="2" t="inlineStr"/>
      <c r="E1953" s="26" t="inlineStr">
        <is>
          <r>
            <t xml:space="preserve">TOTAL Mão de Obra:</t>
          </r>
        </is>
      </c>
      <c r="F1953" s="26" t="inlineStr"/>
      <c r="G1953" s="31" t="n">
        <f>SUM(G1950:G1952)</f>
        <v>7.0601</v>
      </c>
    </row>
    <row r="1954" customHeight="1" ht="15">
      <c r="A1954" s="2" t="inlineStr"/>
      <c r="B1954" s="2" t="inlineStr"/>
      <c r="C1954" s="2" t="inlineStr"/>
      <c r="D1954" s="2" t="inlineStr"/>
      <c r="E1954" s="28" t="inlineStr">
        <is>
          <r>
            <t xml:space="preserve">VALOR:</t>
          </r>
        </is>
      </c>
      <c r="F1954" s="28" t="inlineStr"/>
      <c r="G1954" s="29" t="n">
        <f>ROUND(SUM(G1953),2)</f>
        <v>7.06</v>
      </c>
    </row>
    <row r="1955" customHeight="1" ht="15">
      <c r="A1955" s="2" t="inlineStr"/>
      <c r="B1955" s="2" t="inlineStr"/>
      <c r="C1955" s="2" t="inlineStr"/>
      <c r="D1955" s="2" t="inlineStr"/>
      <c r="E1955" s="28" t="inlineStr">
        <is>
          <r>
            <t xml:space="preserve">VALOR BDI:</t>
          </r>
        </is>
      </c>
      <c r="F1955" s="28" t="inlineStr"/>
      <c r="G1955" s="29" t="n">
        <f>ROUND(G1954*(0/100),2)</f>
        <v>0.0</v>
      </c>
    </row>
    <row r="1956" customHeight="1" ht="15">
      <c r="A1956" s="2" t="inlineStr"/>
      <c r="B1956" s="2" t="inlineStr"/>
      <c r="C1956" s="2" t="inlineStr"/>
      <c r="D1956" s="2" t="inlineStr"/>
      <c r="E1956" s="28" t="inlineStr">
        <is>
          <r>
            <t xml:space="preserve">VALOR COM BDI:</t>
          </r>
        </is>
      </c>
      <c r="F1956" s="28" t="inlineStr"/>
      <c r="G1956" s="29" t="n">
        <f>G1955+G1954</f>
        <v>7.06</v>
      </c>
    </row>
    <row r="1957" customHeight="1" ht="10">
      <c r="A1957" s="2" t="inlineStr"/>
      <c r="B1957" s="2" t="inlineStr"/>
      <c r="C1957" s="2" t="inlineStr"/>
      <c r="D1957" s="2" t="inlineStr"/>
      <c r="E1957" s="18" t="inlineStr"/>
      <c r="F1957" s="18" t="inlineStr"/>
      <c r="G1957" s="18" t="inlineStr"/>
    </row>
    <row r="1958" customHeight="1" ht="20">
      <c r="A1958" s="19" t="inlineStr">
        <is>
          <r>
            <t xml:space="preserve">​I0758​ NÍVEL (CHP)​ (H)</t>
          </r>
        </is>
      </c>
      <c r="B1958" s="19" t="inlineStr"/>
      <c r="C1958" s="19" t="inlineStr"/>
      <c r="D1958" s="19" t="inlineStr"/>
      <c r="E1958" s="19" t="inlineStr"/>
      <c r="F1958" s="19" t="inlineStr"/>
      <c r="G1958" s="19" t="inlineStr"/>
    </row>
    <row r="1959" customHeight="1" ht="15">
      <c r="A1959" s="20" t="inlineStr">
        <is>
          <r>
            <t xml:space="preserve">Geral</t>
          </r>
        </is>
      </c>
      <c r="B1959" s="20" t="inlineStr"/>
      <c r="C1959" s="21" t="inlineStr">
        <is>
          <r>
            <t xml:space="preserve">FONTE</t>
          </r>
        </is>
      </c>
      <c r="D1959" s="21" t="inlineStr">
        <is>
          <r>
            <t xml:space="preserve">UNID</t>
          </r>
        </is>
      </c>
      <c r="E1959" s="21" t="inlineStr">
        <is>
          <r>
            <t xml:space="preserve">COEFICIENTE</t>
          </r>
        </is>
      </c>
      <c r="F1959" s="21" t="inlineStr">
        <is>
          <r>
            <t xml:space="preserve">PREÇO UNITÁRIO</t>
          </r>
        </is>
      </c>
      <c r="G1959" s="21" t="inlineStr">
        <is>
          <r>
            <t xml:space="preserve">TOTAL</t>
          </r>
        </is>
      </c>
    </row>
    <row r="1960" customHeight="1" ht="15">
      <c r="A1960" s="22" t="inlineStr">
        <is>
          <r>
            <t xml:space="preserve">I2701</t>
          </r>
        </is>
      </c>
      <c r="B1960" s="23" t="inlineStr">
        <is>
          <r>
            <t xml:space="preserve">DEPRECIAÇÃO</t>
          </r>
        </is>
      </c>
      <c r="C1960" s="22" t="inlineStr">
        <is>
          <r>
            <t xml:space="preserve">SEINFRA</t>
          </r>
        </is>
      </c>
      <c r="D1960" s="22" t="inlineStr">
        <is>
          <r>
            <t xml:space="preserve">H</t>
          </r>
        </is>
      </c>
      <c r="E1960" s="24" t="n">
        <v>0.5768</v>
      </c>
      <c r="F1960" s="30" t="n">
        <v>1.0</v>
      </c>
      <c r="G1960" s="30" t="n">
        <f>ROUND(ROUND(E1960,8)*F1960,4)</f>
        <v>0.5768</v>
      </c>
    </row>
    <row r="1961" customHeight="1" ht="15">
      <c r="A1961" s="22" t="inlineStr">
        <is>
          <r>
            <t xml:space="preserve">I2702</t>
          </r>
        </is>
      </c>
      <c r="B1961" s="23" t="inlineStr">
        <is>
          <r>
            <t xml:space="preserve">JUROS</t>
          </r>
        </is>
      </c>
      <c r="C1961" s="22" t="inlineStr">
        <is>
          <r>
            <t xml:space="preserve">SEINFRA</t>
          </r>
        </is>
      </c>
      <c r="D1961" s="22" t="inlineStr">
        <is>
          <r>
            <t xml:space="preserve">H</t>
          </r>
        </is>
      </c>
      <c r="E1961" s="24" t="n">
        <v>0.2379</v>
      </c>
      <c r="F1961" s="30" t="n">
        <v>1.0</v>
      </c>
      <c r="G1961" s="30" t="n">
        <f>ROUND(ROUND(E1961,8)*F1961,4)</f>
        <v>0.2379</v>
      </c>
    </row>
    <row r="1962" customHeight="1" ht="15">
      <c r="A1962" s="22" t="inlineStr">
        <is>
          <r>
            <t xml:space="preserve">I2703</t>
          </r>
        </is>
      </c>
      <c r="B1962" s="23" t="inlineStr">
        <is>
          <r>
            <t xml:space="preserve">MANUTENÇÃO</t>
          </r>
        </is>
      </c>
      <c r="C1962" s="22" t="inlineStr">
        <is>
          <r>
            <t xml:space="preserve">SEINFRA</t>
          </r>
        </is>
      </c>
      <c r="D1962" s="22" t="inlineStr">
        <is>
          <r>
            <t xml:space="preserve">H</t>
          </r>
        </is>
      </c>
      <c r="E1962" s="24" t="n">
        <v>0.3605</v>
      </c>
      <c r="F1962" s="30" t="n">
        <v>1.0</v>
      </c>
      <c r="G1962" s="30" t="n">
        <f>ROUND(ROUND(E1962,8)*F1962,4)</f>
        <v>0.3605</v>
      </c>
    </row>
    <row r="1963" customHeight="1" ht="15">
      <c r="A1963" s="2" t="inlineStr"/>
      <c r="B1963" s="2" t="inlineStr"/>
      <c r="C1963" s="2" t="inlineStr"/>
      <c r="D1963" s="2" t="inlineStr"/>
      <c r="E1963" s="26" t="inlineStr">
        <is>
          <r>
            <t xml:space="preserve">TOTAL Geral:</t>
          </r>
        </is>
      </c>
      <c r="F1963" s="26" t="inlineStr"/>
      <c r="G1963" s="31" t="n">
        <f>SUM(G1960:G1962)</f>
        <v>1.1752</v>
      </c>
    </row>
    <row r="1964" customHeight="1" ht="15">
      <c r="A1964" s="2" t="inlineStr"/>
      <c r="B1964" s="2" t="inlineStr"/>
      <c r="C1964" s="2" t="inlineStr"/>
      <c r="D1964" s="2" t="inlineStr"/>
      <c r="E1964" s="28" t="inlineStr">
        <is>
          <r>
            <t xml:space="preserve">VALOR:</t>
          </r>
        </is>
      </c>
      <c r="F1964" s="28" t="inlineStr"/>
      <c r="G1964" s="29" t="n">
        <f>ROUND(SUM(G1963),2)</f>
        <v>1.18</v>
      </c>
    </row>
    <row r="1965" customHeight="1" ht="15">
      <c r="A1965" s="2" t="inlineStr"/>
      <c r="B1965" s="2" t="inlineStr"/>
      <c r="C1965" s="2" t="inlineStr"/>
      <c r="D1965" s="2" t="inlineStr"/>
      <c r="E1965" s="28" t="inlineStr">
        <is>
          <r>
            <t xml:space="preserve">VALOR BDI:</t>
          </r>
        </is>
      </c>
      <c r="F1965" s="28" t="inlineStr"/>
      <c r="G1965" s="29" t="n">
        <f>ROUND(G1964*(0/100),2)</f>
        <v>0.0</v>
      </c>
    </row>
    <row r="1966" customHeight="1" ht="15">
      <c r="A1966" s="2" t="inlineStr"/>
      <c r="B1966" s="2" t="inlineStr"/>
      <c r="C1966" s="2" t="inlineStr"/>
      <c r="D1966" s="2" t="inlineStr"/>
      <c r="E1966" s="28" t="inlineStr">
        <is>
          <r>
            <t xml:space="preserve">VALOR COM BDI:</t>
          </r>
        </is>
      </c>
      <c r="F1966" s="28" t="inlineStr"/>
      <c r="G1966" s="29" t="n">
        <f>G1965+G1964</f>
        <v>1.18</v>
      </c>
    </row>
    <row r="1967" customHeight="1" ht="10">
      <c r="A1967" s="2" t="inlineStr"/>
      <c r="B1967" s="2" t="inlineStr"/>
      <c r="C1967" s="2" t="inlineStr"/>
      <c r="D1967" s="2" t="inlineStr"/>
      <c r="E1967" s="18" t="inlineStr"/>
      <c r="F1967" s="18" t="inlineStr"/>
      <c r="G1967" s="18" t="inlineStr"/>
    </row>
    <row r="1968" customHeight="1" ht="20">
      <c r="A1968" s="19" t="inlineStr">
        <is>
          <r>
            <t xml:space="preserve">​88377​ OPERADOR DE BETONEIRA ESTACIONÁRIA/MISTURADOR COM ENCARGOS COMPLEMENTARES​ (H)</t>
          </r>
        </is>
      </c>
      <c r="B1968" s="19" t="inlineStr"/>
      <c r="C1968" s="19" t="inlineStr"/>
      <c r="D1968" s="19" t="inlineStr"/>
      <c r="E1968" s="19" t="inlineStr"/>
      <c r="F1968" s="19" t="inlineStr"/>
      <c r="G1968" s="19" t="inlineStr"/>
    </row>
    <row r="1969" customHeight="1" ht="15">
      <c r="A1969" s="20" t="inlineStr">
        <is>
          <r>
            <t xml:space="preserve">Encargos Complementares</t>
          </r>
        </is>
      </c>
      <c r="B1969" s="20" t="inlineStr"/>
      <c r="C1969" s="21" t="inlineStr">
        <is>
          <r>
            <t xml:space="preserve">FONTE</t>
          </r>
        </is>
      </c>
      <c r="D1969" s="21" t="inlineStr">
        <is>
          <r>
            <t xml:space="preserve">UNID</t>
          </r>
        </is>
      </c>
      <c r="E1969" s="21" t="inlineStr">
        <is>
          <r>
            <t xml:space="preserve">COEFICIENTE</t>
          </r>
        </is>
      </c>
      <c r="F1969" s="21" t="inlineStr">
        <is>
          <r>
            <t xml:space="preserve">PREÇO UNITÁRIO</t>
          </r>
        </is>
      </c>
      <c r="G1969" s="21" t="inlineStr">
        <is>
          <r>
            <t xml:space="preserve">TOTAL</t>
          </r>
        </is>
      </c>
    </row>
    <row r="1970" customHeight="1" ht="21">
      <c r="A1970" s="22" t="inlineStr">
        <is>
          <r>
            <t xml:space="preserve">00037370</t>
          </r>
        </is>
      </c>
      <c r="B1970" s="23" t="inlineStr">
        <is>
          <r>
            <t xml:space="preserve">ALIMENTACAO - HORISTA (COLETADO CAIXA - ENCARGOS COMPLEMENTARES)</t>
          </r>
        </is>
      </c>
      <c r="C1970" s="22" t="inlineStr">
        <is>
          <r>
            <t xml:space="preserve">SINAPI</t>
          </r>
        </is>
      </c>
      <c r="D1970" s="22" t="inlineStr">
        <is>
          <r>
            <t xml:space="preserve">H</t>
          </r>
        </is>
      </c>
      <c r="E1970" s="24" t="n">
        <v>1.0</v>
      </c>
      <c r="F1970" s="25" t="n">
        <v>3.62</v>
      </c>
      <c r="G1970" s="25" t="n">
        <f>TRUNC(TRUNC(E1970,8)*F1970,2)</f>
        <v>3.62</v>
      </c>
    </row>
    <row r="1971" customHeight="1" ht="21">
      <c r="A1971" s="22" t="inlineStr">
        <is>
          <r>
            <t xml:space="preserve">00043488</t>
          </r>
        </is>
      </c>
      <c r="B1971" s="23" t="inlineStr">
        <is>
          <r>
            <t xml:space="preserve">EPI - FAMILIA OPERADOR ESCAVADEIRA - HORISTA (ENCARGOS COMPLEMENTARES - COLETADO CAIXA)</t>
          </r>
        </is>
      </c>
      <c r="C1971" s="22" t="inlineStr">
        <is>
          <r>
            <t xml:space="preserve">SINAPI</t>
          </r>
        </is>
      </c>
      <c r="D1971" s="22" t="inlineStr">
        <is>
          <r>
            <t xml:space="preserve">H</t>
          </r>
        </is>
      </c>
      <c r="E1971" s="24" t="n">
        <v>1.0</v>
      </c>
      <c r="F1971" s="25" t="n">
        <v>0.89</v>
      </c>
      <c r="G1971" s="25" t="n">
        <f>TRUNC(TRUNC(E1971,8)*F1971,2)</f>
        <v>0.89</v>
      </c>
    </row>
    <row r="1972" customHeight="1" ht="21">
      <c r="A1972" s="22" t="inlineStr">
        <is>
          <r>
            <t xml:space="preserve">00037372</t>
          </r>
        </is>
      </c>
      <c r="B1972" s="23" t="inlineStr">
        <is>
          <r>
            <t xml:space="preserve">EXAMES - HORISTA (COLETADO CAIXA - ENCARGOS COMPLEMENTARES)</t>
          </r>
        </is>
      </c>
      <c r="C1972" s="22" t="inlineStr">
        <is>
          <r>
            <t xml:space="preserve">SINAPI</t>
          </r>
        </is>
      </c>
      <c r="D1972" s="22" t="inlineStr">
        <is>
          <r>
            <t xml:space="preserve">H</t>
          </r>
        </is>
      </c>
      <c r="E1972" s="24" t="n">
        <v>1.0</v>
      </c>
      <c r="F1972" s="25" t="n">
        <v>1.43</v>
      </c>
      <c r="G1972" s="25" t="n">
        <f>TRUNC(TRUNC(E1972,8)*F1972,2)</f>
        <v>1.43</v>
      </c>
    </row>
    <row r="1973" customHeight="1" ht="29">
      <c r="A1973" s="22" t="inlineStr">
        <is>
          <r>
            <t xml:space="preserve">00043464</t>
          </r>
        </is>
      </c>
      <c r="B1973" s="23" t="inlineStr">
        <is>
          <r>
            <t xml:space="preserve">FERRAMENTAS - FAMILIA OPERADOR ESCAVADEIRA - HORISTA (ENCARGOS COMPLEMENTARES - COLETADO CAIXA)</t>
          </r>
        </is>
      </c>
      <c r="C1973" s="22" t="inlineStr">
        <is>
          <r>
            <t xml:space="preserve">SINAPI</t>
          </r>
        </is>
      </c>
      <c r="D1973" s="22" t="inlineStr">
        <is>
          <r>
            <t xml:space="preserve">H</t>
          </r>
        </is>
      </c>
      <c r="E1973" s="24" t="n">
        <v>1.0</v>
      </c>
      <c r="F1973" s="25" t="n">
        <v>0.01</v>
      </c>
      <c r="G1973" s="25" t="n">
        <f>TRUNC(TRUNC(E1973,8)*F1973,2)</f>
        <v>0.01</v>
      </c>
    </row>
    <row r="1974" customHeight="1" ht="21">
      <c r="A1974" s="22" t="inlineStr">
        <is>
          <r>
            <t xml:space="preserve">00037373</t>
          </r>
        </is>
      </c>
      <c r="B1974" s="23" t="inlineStr">
        <is>
          <r>
            <t xml:space="preserve">SEGURO - HORISTA (COLETADO CAIXA - ENCARGOS COMPLEMENTARES)</t>
          </r>
        </is>
      </c>
      <c r="C1974" s="22" t="inlineStr">
        <is>
          <r>
            <t xml:space="preserve">SINAPI</t>
          </r>
        </is>
      </c>
      <c r="D1974" s="22" t="inlineStr">
        <is>
          <r>
            <t xml:space="preserve">H</t>
          </r>
        </is>
      </c>
      <c r="E1974" s="24" t="n">
        <v>1.0</v>
      </c>
      <c r="F1974" s="25" t="n">
        <v>0.08</v>
      </c>
      <c r="G1974" s="25" t="n">
        <f>TRUNC(TRUNC(E1974,8)*F1974,2)</f>
        <v>0.08</v>
      </c>
    </row>
    <row r="1975" customHeight="1" ht="21">
      <c r="A1975" s="22" t="inlineStr">
        <is>
          <r>
            <t xml:space="preserve">00037371</t>
          </r>
        </is>
      </c>
      <c r="B1975" s="23" t="inlineStr">
        <is>
          <r>
            <t xml:space="preserve">TRANSPORTE - HORISTA (COLETADO CAIXA - ENCARGOS COMPLEMENTARES)</t>
          </r>
        </is>
      </c>
      <c r="C1975" s="22" t="inlineStr">
        <is>
          <r>
            <t xml:space="preserve">SINAPI</t>
          </r>
        </is>
      </c>
      <c r="D1975" s="22" t="inlineStr">
        <is>
          <r>
            <t xml:space="preserve">H</t>
          </r>
        </is>
      </c>
      <c r="E1975" s="24" t="n">
        <v>1.0</v>
      </c>
      <c r="F1975" s="25" t="n">
        <v>1.09</v>
      </c>
      <c r="G1975" s="25" t="n">
        <f>TRUNC(TRUNC(E1975,8)*F1975,2)</f>
        <v>1.09</v>
      </c>
    </row>
    <row r="1976" customHeight="1" ht="15">
      <c r="A1976" s="2" t="inlineStr"/>
      <c r="B1976" s="2" t="inlineStr"/>
      <c r="C1976" s="2" t="inlineStr"/>
      <c r="D1976" s="2" t="inlineStr"/>
      <c r="E1976" s="26" t="inlineStr">
        <is>
          <r>
            <t xml:space="preserve">TOTAL Encargos Complementares:</t>
          </r>
        </is>
      </c>
      <c r="F1976" s="26" t="inlineStr"/>
      <c r="G1976" s="27" t="n">
        <f>SUM(G1970:G1975)</f>
        <v>7.12</v>
      </c>
    </row>
    <row r="1977" customHeight="1" ht="15">
      <c r="A1977" s="20" t="inlineStr">
        <is>
          <r>
            <t xml:space="preserve">Mão de Obra</t>
          </r>
        </is>
      </c>
      <c r="B1977" s="20" t="inlineStr"/>
      <c r="C1977" s="21" t="inlineStr">
        <is>
          <r>
            <t xml:space="preserve">FONTE</t>
          </r>
        </is>
      </c>
      <c r="D1977" s="21" t="inlineStr">
        <is>
          <r>
            <t xml:space="preserve">UNID</t>
          </r>
        </is>
      </c>
      <c r="E1977" s="21" t="inlineStr">
        <is>
          <r>
            <t xml:space="preserve">COEFICIENTE</t>
          </r>
        </is>
      </c>
      <c r="F1977" s="21" t="inlineStr">
        <is>
          <r>
            <t xml:space="preserve">PREÇO UNITÁRIO</t>
          </r>
        </is>
      </c>
      <c r="G1977" s="21" t="inlineStr">
        <is>
          <r>
            <t xml:space="preserve">TOTAL</t>
          </r>
        </is>
      </c>
    </row>
    <row r="1978" customHeight="1" ht="21">
      <c r="A1978" s="22" t="inlineStr">
        <is>
          <r>
            <t xml:space="preserve">00037666</t>
          </r>
        </is>
      </c>
      <c r="B1978" s="23" t="inlineStr">
        <is>
          <r>
            <t xml:space="preserve">OPERADOR DE BETONEIRA ESTACIONARIA / MISTURADOR (HORISTA)</t>
          </r>
        </is>
      </c>
      <c r="C1978" s="22" t="inlineStr">
        <is>
          <r>
            <t xml:space="preserve">SINAPI</t>
          </r>
        </is>
      </c>
      <c r="D1978" s="22" t="inlineStr">
        <is>
          <r>
            <t xml:space="preserve">H</t>
          </r>
        </is>
      </c>
      <c r="E1978" s="24" t="n">
        <v>1.0</v>
      </c>
      <c r="F1978" s="25" t="n">
        <v>19.77</v>
      </c>
      <c r="G1978" s="25" t="n">
        <f>TRUNC(TRUNC(E1978,8)*F1978,2)</f>
        <v>19.77</v>
      </c>
    </row>
    <row r="1979" customHeight="1" ht="15">
      <c r="A1979" s="2" t="inlineStr"/>
      <c r="B1979" s="2" t="inlineStr"/>
      <c r="C1979" s="2" t="inlineStr"/>
      <c r="D1979" s="2" t="inlineStr"/>
      <c r="E1979" s="26" t="inlineStr">
        <is>
          <r>
            <t xml:space="preserve">TOTAL Mão de Obra:</t>
          </r>
        </is>
      </c>
      <c r="F1979" s="26" t="inlineStr"/>
      <c r="G1979" s="27" t="n">
        <f>SUM(G1978:G1978)</f>
        <v>19.77</v>
      </c>
    </row>
    <row r="1980" customHeight="1" ht="15">
      <c r="A1980" s="20" t="inlineStr">
        <is>
          <r>
            <t xml:space="preserve">Serviço</t>
          </r>
        </is>
      </c>
      <c r="B1980" s="20" t="inlineStr"/>
      <c r="C1980" s="21" t="inlineStr">
        <is>
          <r>
            <t xml:space="preserve">FONTE</t>
          </r>
        </is>
      </c>
      <c r="D1980" s="21" t="inlineStr">
        <is>
          <r>
            <t xml:space="preserve">UNID</t>
          </r>
        </is>
      </c>
      <c r="E1980" s="21" t="inlineStr">
        <is>
          <r>
            <t xml:space="preserve">COEFICIENTE</t>
          </r>
        </is>
      </c>
      <c r="F1980" s="21" t="inlineStr">
        <is>
          <r>
            <t xml:space="preserve">PREÇO UNITÁRIO</t>
          </r>
        </is>
      </c>
      <c r="G1980" s="21" t="inlineStr">
        <is>
          <r>
            <t xml:space="preserve">TOTAL</t>
          </r>
        </is>
      </c>
    </row>
    <row r="1981" customHeight="1" ht="29">
      <c r="A1981" s="22" t="inlineStr">
        <is>
          <r>
            <t xml:space="preserve">95389</t>
          </r>
        </is>
      </c>
      <c r="B1981" s="23" t="inlineStr">
        <is>
          <r>
            <t xml:space="preserve">CURSO DE CAPACITAÇÃO PARA OPERADOR DE BETONEIRA ESTACIONÁRIA/MISTURADOR (ENCARGOS COMPLEMENTARES) - HORISTA</t>
          </r>
        </is>
      </c>
      <c r="C1981" s="22" t="inlineStr">
        <is>
          <r>
            <t xml:space="preserve">SINAPI</t>
          </r>
        </is>
      </c>
      <c r="D1981" s="22" t="inlineStr">
        <is>
          <r>
            <t xml:space="preserve">H</t>
          </r>
        </is>
      </c>
      <c r="E1981" s="24" t="n">
        <v>1.0</v>
      </c>
      <c r="F1981" s="25" t="n">
        <v>0.16</v>
      </c>
      <c r="G1981" s="25" t="n">
        <f>TRUNC(TRUNC(E1981,8)*F1981,2)</f>
        <v>0.16</v>
      </c>
    </row>
    <row r="1982" customHeight="1" ht="15">
      <c r="A1982" s="2" t="inlineStr"/>
      <c r="B1982" s="2" t="inlineStr"/>
      <c r="C1982" s="2" t="inlineStr"/>
      <c r="D1982" s="2" t="inlineStr"/>
      <c r="E1982" s="26" t="inlineStr">
        <is>
          <r>
            <t xml:space="preserve">TOTAL Serviço:</t>
          </r>
        </is>
      </c>
      <c r="F1982" s="26" t="inlineStr"/>
      <c r="G1982" s="27" t="n">
        <f>SUM(G1981:G1981)</f>
        <v>0.16</v>
      </c>
    </row>
    <row r="1983" customHeight="1" ht="15">
      <c r="A1983" s="2" t="inlineStr"/>
      <c r="B1983" s="2" t="inlineStr"/>
      <c r="C1983" s="2" t="inlineStr"/>
      <c r="D1983" s="2" t="inlineStr"/>
      <c r="E1983" s="28" t="inlineStr">
        <is>
          <r>
            <t xml:space="preserve">VALOR:</t>
          </r>
        </is>
      </c>
      <c r="F1983" s="28" t="inlineStr"/>
      <c r="G1983" s="29" t="n">
        <f>ROUND(SUM(G1976,G1979,G1982),2)</f>
        <v>27.05</v>
      </c>
    </row>
    <row r="1984" customHeight="1" ht="15">
      <c r="A1984" s="2" t="inlineStr"/>
      <c r="B1984" s="2" t="inlineStr"/>
      <c r="C1984" s="2" t="inlineStr"/>
      <c r="D1984" s="2" t="inlineStr"/>
      <c r="E1984" s="28" t="inlineStr">
        <is>
          <r>
            <t xml:space="preserve">VALOR BDI:</t>
          </r>
        </is>
      </c>
      <c r="F1984" s="28" t="inlineStr"/>
      <c r="G1984" s="29" t="n">
        <f>ROUND(G1983*(0/100),2)</f>
        <v>0.0</v>
      </c>
    </row>
    <row r="1985" customHeight="1" ht="15">
      <c r="A1985" s="2" t="inlineStr"/>
      <c r="B1985" s="2" t="inlineStr"/>
      <c r="C1985" s="2" t="inlineStr"/>
      <c r="D1985" s="2" t="inlineStr"/>
      <c r="E1985" s="28" t="inlineStr">
        <is>
          <r>
            <t xml:space="preserve">VALOR COM BDI:</t>
          </r>
        </is>
      </c>
      <c r="F1985" s="28" t="inlineStr"/>
      <c r="G1985" s="29" t="n">
        <f>G1984+G1983</f>
        <v>27.05</v>
      </c>
    </row>
    <row r="1986" customHeight="1" ht="10">
      <c r="A1986" s="2" t="inlineStr"/>
      <c r="B1986" s="2" t="inlineStr"/>
      <c r="C1986" s="2" t="inlineStr"/>
      <c r="D1986" s="2" t="inlineStr"/>
      <c r="E1986" s="18" t="inlineStr"/>
      <c r="F1986" s="18" t="inlineStr"/>
      <c r="G1986" s="18" t="inlineStr"/>
    </row>
    <row r="1987" customHeight="1" ht="20">
      <c r="A1987" s="19" t="inlineStr">
        <is>
          <r>
            <t xml:space="preserve">​88297​ OPERADOR DE MÁQUINAS E EQUIPAMENTOS COM ENCARGOS COMPLEMENTARES​ (H)</t>
          </r>
        </is>
      </c>
      <c r="B1987" s="19" t="inlineStr"/>
      <c r="C1987" s="19" t="inlineStr"/>
      <c r="D1987" s="19" t="inlineStr"/>
      <c r="E1987" s="19" t="inlineStr"/>
      <c r="F1987" s="19" t="inlineStr"/>
      <c r="G1987" s="19" t="inlineStr"/>
    </row>
    <row r="1988" customHeight="1" ht="15">
      <c r="A1988" s="20" t="inlineStr">
        <is>
          <r>
            <t xml:space="preserve">Encargos Complementares</t>
          </r>
        </is>
      </c>
      <c r="B1988" s="20" t="inlineStr"/>
      <c r="C1988" s="21" t="inlineStr">
        <is>
          <r>
            <t xml:space="preserve">FONTE</t>
          </r>
        </is>
      </c>
      <c r="D1988" s="21" t="inlineStr">
        <is>
          <r>
            <t xml:space="preserve">UNID</t>
          </r>
        </is>
      </c>
      <c r="E1988" s="21" t="inlineStr">
        <is>
          <r>
            <t xml:space="preserve">COEFICIENTE</t>
          </r>
        </is>
      </c>
      <c r="F1988" s="21" t="inlineStr">
        <is>
          <r>
            <t xml:space="preserve">PREÇO UNITÁRIO</t>
          </r>
        </is>
      </c>
      <c r="G1988" s="21" t="inlineStr">
        <is>
          <r>
            <t xml:space="preserve">TOTAL</t>
          </r>
        </is>
      </c>
    </row>
    <row r="1989" customHeight="1" ht="21">
      <c r="A1989" s="22" t="inlineStr">
        <is>
          <r>
            <t xml:space="preserve">00037370</t>
          </r>
        </is>
      </c>
      <c r="B1989" s="23" t="inlineStr">
        <is>
          <r>
            <t xml:space="preserve">ALIMENTACAO - HORISTA (COLETADO CAIXA - ENCARGOS COMPLEMENTARES)</t>
          </r>
        </is>
      </c>
      <c r="C1989" s="22" t="inlineStr">
        <is>
          <r>
            <t xml:space="preserve">SINAPI</t>
          </r>
        </is>
      </c>
      <c r="D1989" s="22" t="inlineStr">
        <is>
          <r>
            <t xml:space="preserve">H</t>
          </r>
        </is>
      </c>
      <c r="E1989" s="24" t="n">
        <v>1.0</v>
      </c>
      <c r="F1989" s="25" t="n">
        <v>3.62</v>
      </c>
      <c r="G1989" s="25" t="n">
        <f>TRUNC(TRUNC(E1989,8)*F1989,2)</f>
        <v>3.62</v>
      </c>
    </row>
    <row r="1990" customHeight="1" ht="21">
      <c r="A1990" s="22" t="inlineStr">
        <is>
          <r>
            <t xml:space="preserve">00043488</t>
          </r>
        </is>
      </c>
      <c r="B1990" s="23" t="inlineStr">
        <is>
          <r>
            <t xml:space="preserve">EPI - FAMILIA OPERADOR ESCAVADEIRA - HORISTA (ENCARGOS COMPLEMENTARES - COLETADO CAIXA)</t>
          </r>
        </is>
      </c>
      <c r="C1990" s="22" t="inlineStr">
        <is>
          <r>
            <t xml:space="preserve">SINAPI</t>
          </r>
        </is>
      </c>
      <c r="D1990" s="22" t="inlineStr">
        <is>
          <r>
            <t xml:space="preserve">H</t>
          </r>
        </is>
      </c>
      <c r="E1990" s="24" t="n">
        <v>1.0</v>
      </c>
      <c r="F1990" s="25" t="n">
        <v>0.89</v>
      </c>
      <c r="G1990" s="25" t="n">
        <f>TRUNC(TRUNC(E1990,8)*F1990,2)</f>
        <v>0.89</v>
      </c>
    </row>
    <row r="1991" customHeight="1" ht="21">
      <c r="A1991" s="22" t="inlineStr">
        <is>
          <r>
            <t xml:space="preserve">00037372</t>
          </r>
        </is>
      </c>
      <c r="B1991" s="23" t="inlineStr">
        <is>
          <r>
            <t xml:space="preserve">EXAMES - HORISTA (COLETADO CAIXA - ENCARGOS COMPLEMENTARES)</t>
          </r>
        </is>
      </c>
      <c r="C1991" s="22" t="inlineStr">
        <is>
          <r>
            <t xml:space="preserve">SINAPI</t>
          </r>
        </is>
      </c>
      <c r="D1991" s="22" t="inlineStr">
        <is>
          <r>
            <t xml:space="preserve">H</t>
          </r>
        </is>
      </c>
      <c r="E1991" s="24" t="n">
        <v>1.0</v>
      </c>
      <c r="F1991" s="25" t="n">
        <v>1.43</v>
      </c>
      <c r="G1991" s="25" t="n">
        <f>TRUNC(TRUNC(E1991,8)*F1991,2)</f>
        <v>1.43</v>
      </c>
    </row>
    <row r="1992" customHeight="1" ht="29">
      <c r="A1992" s="22" t="inlineStr">
        <is>
          <r>
            <t xml:space="preserve">00043464</t>
          </r>
        </is>
      </c>
      <c r="B1992" s="23" t="inlineStr">
        <is>
          <r>
            <t xml:space="preserve">FERRAMENTAS - FAMILIA OPERADOR ESCAVADEIRA - HORISTA (ENCARGOS COMPLEMENTARES - COLETADO CAIXA)</t>
          </r>
        </is>
      </c>
      <c r="C1992" s="22" t="inlineStr">
        <is>
          <r>
            <t xml:space="preserve">SINAPI</t>
          </r>
        </is>
      </c>
      <c r="D1992" s="22" t="inlineStr">
        <is>
          <r>
            <t xml:space="preserve">H</t>
          </r>
        </is>
      </c>
      <c r="E1992" s="24" t="n">
        <v>1.0</v>
      </c>
      <c r="F1992" s="25" t="n">
        <v>0.01</v>
      </c>
      <c r="G1992" s="25" t="n">
        <f>TRUNC(TRUNC(E1992,8)*F1992,2)</f>
        <v>0.01</v>
      </c>
    </row>
    <row r="1993" customHeight="1" ht="21">
      <c r="A1993" s="22" t="inlineStr">
        <is>
          <r>
            <t xml:space="preserve">00037373</t>
          </r>
        </is>
      </c>
      <c r="B1993" s="23" t="inlineStr">
        <is>
          <r>
            <t xml:space="preserve">SEGURO - HORISTA (COLETADO CAIXA - ENCARGOS COMPLEMENTARES)</t>
          </r>
        </is>
      </c>
      <c r="C1993" s="22" t="inlineStr">
        <is>
          <r>
            <t xml:space="preserve">SINAPI</t>
          </r>
        </is>
      </c>
      <c r="D1993" s="22" t="inlineStr">
        <is>
          <r>
            <t xml:space="preserve">H</t>
          </r>
        </is>
      </c>
      <c r="E1993" s="24" t="n">
        <v>1.0</v>
      </c>
      <c r="F1993" s="25" t="n">
        <v>0.08</v>
      </c>
      <c r="G1993" s="25" t="n">
        <f>TRUNC(TRUNC(E1993,8)*F1993,2)</f>
        <v>0.08</v>
      </c>
    </row>
    <row r="1994" customHeight="1" ht="21">
      <c r="A1994" s="22" t="inlineStr">
        <is>
          <r>
            <t xml:space="preserve">00037371</t>
          </r>
        </is>
      </c>
      <c r="B1994" s="23" t="inlineStr">
        <is>
          <r>
            <t xml:space="preserve">TRANSPORTE - HORISTA (COLETADO CAIXA - ENCARGOS COMPLEMENTARES)</t>
          </r>
        </is>
      </c>
      <c r="C1994" s="22" t="inlineStr">
        <is>
          <r>
            <t xml:space="preserve">SINAPI</t>
          </r>
        </is>
      </c>
      <c r="D1994" s="22" t="inlineStr">
        <is>
          <r>
            <t xml:space="preserve">H</t>
          </r>
        </is>
      </c>
      <c r="E1994" s="24" t="n">
        <v>1.0</v>
      </c>
      <c r="F1994" s="25" t="n">
        <v>1.09</v>
      </c>
      <c r="G1994" s="25" t="n">
        <f>TRUNC(TRUNC(E1994,8)*F1994,2)</f>
        <v>1.09</v>
      </c>
    </row>
    <row r="1995" customHeight="1" ht="15">
      <c r="A1995" s="2" t="inlineStr"/>
      <c r="B1995" s="2" t="inlineStr"/>
      <c r="C1995" s="2" t="inlineStr"/>
      <c r="D1995" s="2" t="inlineStr"/>
      <c r="E1995" s="26" t="inlineStr">
        <is>
          <r>
            <t xml:space="preserve">TOTAL Encargos Complementares:</t>
          </r>
        </is>
      </c>
      <c r="F1995" s="26" t="inlineStr"/>
      <c r="G1995" s="27" t="n">
        <f>SUM(G1989:G1994)</f>
        <v>7.12</v>
      </c>
    </row>
    <row r="1996" customHeight="1" ht="15">
      <c r="A1996" s="20" t="inlineStr">
        <is>
          <r>
            <t xml:space="preserve">Mão de Obra</t>
          </r>
        </is>
      </c>
      <c r="B1996" s="20" t="inlineStr"/>
      <c r="C1996" s="21" t="inlineStr">
        <is>
          <r>
            <t xml:space="preserve">FONTE</t>
          </r>
        </is>
      </c>
      <c r="D1996" s="21" t="inlineStr">
        <is>
          <r>
            <t xml:space="preserve">UNID</t>
          </r>
        </is>
      </c>
      <c r="E1996" s="21" t="inlineStr">
        <is>
          <r>
            <t xml:space="preserve">COEFICIENTE</t>
          </r>
        </is>
      </c>
      <c r="F1996" s="21" t="inlineStr">
        <is>
          <r>
            <t xml:space="preserve">PREÇO UNITÁRIO</t>
          </r>
        </is>
      </c>
      <c r="G1996" s="21" t="inlineStr">
        <is>
          <r>
            <t xml:space="preserve">TOTAL</t>
          </r>
        </is>
      </c>
    </row>
    <row r="1997" customHeight="1" ht="21">
      <c r="A1997" s="22" t="inlineStr">
        <is>
          <r>
            <t xml:space="preserve">00004230</t>
          </r>
        </is>
      </c>
      <c r="B1997" s="23" t="inlineStr">
        <is>
          <r>
            <t xml:space="preserve">OPERADOR DE MAQUINAS E TRATORES DIVERSOS - TERRAPLANAGEM (HORISTA)</t>
          </r>
        </is>
      </c>
      <c r="C1997" s="22" t="inlineStr">
        <is>
          <r>
            <t xml:space="preserve">SINAPI</t>
          </r>
        </is>
      </c>
      <c r="D1997" s="22" t="inlineStr">
        <is>
          <r>
            <t xml:space="preserve">H</t>
          </r>
        </is>
      </c>
      <c r="E1997" s="24" t="n">
        <v>1.0</v>
      </c>
      <c r="F1997" s="25" t="n">
        <v>25.15</v>
      </c>
      <c r="G1997" s="25" t="n">
        <f>TRUNC(TRUNC(E1997,8)*F1997,2)</f>
        <v>25.15</v>
      </c>
    </row>
    <row r="1998" customHeight="1" ht="15">
      <c r="A1998" s="2" t="inlineStr"/>
      <c r="B1998" s="2" t="inlineStr"/>
      <c r="C1998" s="2" t="inlineStr"/>
      <c r="D1998" s="2" t="inlineStr"/>
      <c r="E1998" s="26" t="inlineStr">
        <is>
          <r>
            <t xml:space="preserve">TOTAL Mão de Obra:</t>
          </r>
        </is>
      </c>
      <c r="F1998" s="26" t="inlineStr"/>
      <c r="G1998" s="27" t="n">
        <f>SUM(G1997:G1997)</f>
        <v>25.15</v>
      </c>
    </row>
    <row r="1999" customHeight="1" ht="15">
      <c r="A1999" s="20" t="inlineStr">
        <is>
          <r>
            <t xml:space="preserve">Serviço</t>
          </r>
        </is>
      </c>
      <c r="B1999" s="20" t="inlineStr"/>
      <c r="C1999" s="21" t="inlineStr">
        <is>
          <r>
            <t xml:space="preserve">FONTE</t>
          </r>
        </is>
      </c>
      <c r="D1999" s="21" t="inlineStr">
        <is>
          <r>
            <t xml:space="preserve">UNID</t>
          </r>
        </is>
      </c>
      <c r="E1999" s="21" t="inlineStr">
        <is>
          <r>
            <t xml:space="preserve">COEFICIENTE</t>
          </r>
        </is>
      </c>
      <c r="F1999" s="21" t="inlineStr">
        <is>
          <r>
            <t xml:space="preserve">PREÇO UNITÁRIO</t>
          </r>
        </is>
      </c>
      <c r="G1999" s="21" t="inlineStr">
        <is>
          <r>
            <t xml:space="preserve">TOTAL</t>
          </r>
        </is>
      </c>
    </row>
    <row r="2000" customHeight="1" ht="29">
      <c r="A2000" s="22" t="inlineStr">
        <is>
          <r>
            <t xml:space="preserve">95360</t>
          </r>
        </is>
      </c>
      <c r="B2000" s="23" t="inlineStr">
        <is>
          <r>
            <t xml:space="preserve">CURSO DE CAPACITAÇÃO PARA OPERADOR DE MÁQUINAS E EQUIPAMENTOS (ENCARGOS COMPLEMENTARES) - HORISTA</t>
          </r>
        </is>
      </c>
      <c r="C2000" s="22" t="inlineStr">
        <is>
          <r>
            <t xml:space="preserve">SINAPI</t>
          </r>
        </is>
      </c>
      <c r="D2000" s="22" t="inlineStr">
        <is>
          <r>
            <t xml:space="preserve">H</t>
          </r>
        </is>
      </c>
      <c r="E2000" s="24" t="n">
        <v>1.0</v>
      </c>
      <c r="F2000" s="25" t="n">
        <v>0.29</v>
      </c>
      <c r="G2000" s="25" t="n">
        <f>TRUNC(TRUNC(E2000,8)*F2000,2)</f>
        <v>0.29</v>
      </c>
    </row>
    <row r="2001" customHeight="1" ht="15">
      <c r="A2001" s="2" t="inlineStr"/>
      <c r="B2001" s="2" t="inlineStr"/>
      <c r="C2001" s="2" t="inlineStr"/>
      <c r="D2001" s="2" t="inlineStr"/>
      <c r="E2001" s="26" t="inlineStr">
        <is>
          <r>
            <t xml:space="preserve">TOTAL Serviço:</t>
          </r>
        </is>
      </c>
      <c r="F2001" s="26" t="inlineStr"/>
      <c r="G2001" s="27" t="n">
        <f>SUM(G2000:G2000)</f>
        <v>0.29</v>
      </c>
    </row>
    <row r="2002" customHeight="1" ht="15">
      <c r="A2002" s="2" t="inlineStr"/>
      <c r="B2002" s="2" t="inlineStr"/>
      <c r="C2002" s="2" t="inlineStr"/>
      <c r="D2002" s="2" t="inlineStr"/>
      <c r="E2002" s="28" t="inlineStr">
        <is>
          <r>
            <t xml:space="preserve">VALOR:</t>
          </r>
        </is>
      </c>
      <c r="F2002" s="28" t="inlineStr"/>
      <c r="G2002" s="29" t="n">
        <f>ROUND(SUM(G1995,G1998,G2001),2)</f>
        <v>32.56</v>
      </c>
    </row>
    <row r="2003" customHeight="1" ht="15">
      <c r="A2003" s="2" t="inlineStr"/>
      <c r="B2003" s="2" t="inlineStr"/>
      <c r="C2003" s="2" t="inlineStr"/>
      <c r="D2003" s="2" t="inlineStr"/>
      <c r="E2003" s="28" t="inlineStr">
        <is>
          <r>
            <t xml:space="preserve">VALOR BDI:</t>
          </r>
        </is>
      </c>
      <c r="F2003" s="28" t="inlineStr"/>
      <c r="G2003" s="29" t="n">
        <f>ROUND(G2002*(0/100),2)</f>
        <v>0.0</v>
      </c>
    </row>
    <row r="2004" customHeight="1" ht="15">
      <c r="A2004" s="2" t="inlineStr"/>
      <c r="B2004" s="2" t="inlineStr"/>
      <c r="C2004" s="2" t="inlineStr"/>
      <c r="D2004" s="2" t="inlineStr"/>
      <c r="E2004" s="28" t="inlineStr">
        <is>
          <r>
            <t xml:space="preserve">VALOR COM BDI:</t>
          </r>
        </is>
      </c>
      <c r="F2004" s="28" t="inlineStr"/>
      <c r="G2004" s="29" t="n">
        <f>G2003+G2002</f>
        <v>32.56</v>
      </c>
    </row>
    <row r="2005" customHeight="1" ht="10">
      <c r="A2005" s="2" t="inlineStr"/>
      <c r="B2005" s="2" t="inlineStr"/>
      <c r="C2005" s="2" t="inlineStr"/>
      <c r="D2005" s="2" t="inlineStr"/>
      <c r="E2005" s="18" t="inlineStr"/>
      <c r="F2005" s="18" t="inlineStr"/>
      <c r="G2005" s="18" t="inlineStr"/>
    </row>
    <row r="2006" customHeight="1" ht="20">
      <c r="A2006" s="19" t="inlineStr">
        <is>
          <r>
            <t xml:space="preserve">​88309​ PEDREIRO COM ENCARGOS COMPLEMENTARES​ (H)</t>
          </r>
        </is>
      </c>
      <c r="B2006" s="19" t="inlineStr"/>
      <c r="C2006" s="19" t="inlineStr"/>
      <c r="D2006" s="19" t="inlineStr"/>
      <c r="E2006" s="19" t="inlineStr"/>
      <c r="F2006" s="19" t="inlineStr"/>
      <c r="G2006" s="19" t="inlineStr"/>
    </row>
    <row r="2007" customHeight="1" ht="15">
      <c r="A2007" s="20" t="inlineStr">
        <is>
          <r>
            <t xml:space="preserve">Encargos Complementares</t>
          </r>
        </is>
      </c>
      <c r="B2007" s="20" t="inlineStr"/>
      <c r="C2007" s="21" t="inlineStr">
        <is>
          <r>
            <t xml:space="preserve">FONTE</t>
          </r>
        </is>
      </c>
      <c r="D2007" s="21" t="inlineStr">
        <is>
          <r>
            <t xml:space="preserve">UNID</t>
          </r>
        </is>
      </c>
      <c r="E2007" s="21" t="inlineStr">
        <is>
          <r>
            <t xml:space="preserve">COEFICIENTE</t>
          </r>
        </is>
      </c>
      <c r="F2007" s="21" t="inlineStr">
        <is>
          <r>
            <t xml:space="preserve">PREÇO UNITÁRIO</t>
          </r>
        </is>
      </c>
      <c r="G2007" s="21" t="inlineStr">
        <is>
          <r>
            <t xml:space="preserve">TOTAL</t>
          </r>
        </is>
      </c>
    </row>
    <row r="2008" customHeight="1" ht="21">
      <c r="A2008" s="22" t="inlineStr">
        <is>
          <r>
            <t xml:space="preserve">00037370</t>
          </r>
        </is>
      </c>
      <c r="B2008" s="23" t="inlineStr">
        <is>
          <r>
            <t xml:space="preserve">ALIMENTACAO - HORISTA (COLETADO CAIXA - ENCARGOS COMPLEMENTARES)</t>
          </r>
        </is>
      </c>
      <c r="C2008" s="22" t="inlineStr">
        <is>
          <r>
            <t xml:space="preserve">SINAPI</t>
          </r>
        </is>
      </c>
      <c r="D2008" s="22" t="inlineStr">
        <is>
          <r>
            <t xml:space="preserve">H</t>
          </r>
        </is>
      </c>
      <c r="E2008" s="24" t="n">
        <v>1.0</v>
      </c>
      <c r="F2008" s="25" t="n">
        <v>3.62</v>
      </c>
      <c r="G2008" s="25" t="n">
        <f>TRUNC(TRUNC(E2008,8)*F2008,2)</f>
        <v>3.62</v>
      </c>
    </row>
    <row r="2009" customHeight="1" ht="21">
      <c r="A2009" s="22" t="inlineStr">
        <is>
          <r>
            <t xml:space="preserve">00043489</t>
          </r>
        </is>
      </c>
      <c r="B2009" s="23" t="inlineStr">
        <is>
          <r>
            <t xml:space="preserve">EPI - FAMILIA PEDREIRO - HORISTA (ENCARGOS COMPLEMENTARES - COLETADO CAIXA)</t>
          </r>
        </is>
      </c>
      <c r="C2009" s="22" t="inlineStr">
        <is>
          <r>
            <t xml:space="preserve">SINAPI</t>
          </r>
        </is>
      </c>
      <c r="D2009" s="22" t="inlineStr">
        <is>
          <r>
            <t xml:space="preserve">H</t>
          </r>
        </is>
      </c>
      <c r="E2009" s="24" t="n">
        <v>1.0</v>
      </c>
      <c r="F2009" s="25" t="n">
        <v>1.31</v>
      </c>
      <c r="G2009" s="25" t="n">
        <f>TRUNC(TRUNC(E2009,8)*F2009,2)</f>
        <v>1.31</v>
      </c>
    </row>
    <row r="2010" customHeight="1" ht="21">
      <c r="A2010" s="22" t="inlineStr">
        <is>
          <r>
            <t xml:space="preserve">00037372</t>
          </r>
        </is>
      </c>
      <c r="B2010" s="23" t="inlineStr">
        <is>
          <r>
            <t xml:space="preserve">EXAMES - HORISTA (COLETADO CAIXA - ENCARGOS COMPLEMENTARES)</t>
          </r>
        </is>
      </c>
      <c r="C2010" s="22" t="inlineStr">
        <is>
          <r>
            <t xml:space="preserve">SINAPI</t>
          </r>
        </is>
      </c>
      <c r="D2010" s="22" t="inlineStr">
        <is>
          <r>
            <t xml:space="preserve">H</t>
          </r>
        </is>
      </c>
      <c r="E2010" s="24" t="n">
        <v>1.0</v>
      </c>
      <c r="F2010" s="25" t="n">
        <v>1.43</v>
      </c>
      <c r="G2010" s="25" t="n">
        <f>TRUNC(TRUNC(E2010,8)*F2010,2)</f>
        <v>1.43</v>
      </c>
    </row>
    <row r="2011" customHeight="1" ht="21">
      <c r="A2011" s="22" t="inlineStr">
        <is>
          <r>
            <t xml:space="preserve">00043465</t>
          </r>
        </is>
      </c>
      <c r="B2011" s="23" t="inlineStr">
        <is>
          <r>
            <t xml:space="preserve">FERRAMENTAS - FAMILIA PEDREIRO - HORISTA (ENCARGOS COMPLEMENTARES - COLETADO CAIXA)</t>
          </r>
        </is>
      </c>
      <c r="C2011" s="22" t="inlineStr">
        <is>
          <r>
            <t xml:space="preserve">SINAPI</t>
          </r>
        </is>
      </c>
      <c r="D2011" s="22" t="inlineStr">
        <is>
          <r>
            <t xml:space="preserve">H</t>
          </r>
        </is>
      </c>
      <c r="E2011" s="24" t="n">
        <v>1.0</v>
      </c>
      <c r="F2011" s="25" t="n">
        <v>0.78</v>
      </c>
      <c r="G2011" s="25" t="n">
        <f>TRUNC(TRUNC(E2011,8)*F2011,2)</f>
        <v>0.78</v>
      </c>
    </row>
    <row r="2012" customHeight="1" ht="21">
      <c r="A2012" s="22" t="inlineStr">
        <is>
          <r>
            <t xml:space="preserve">00037373</t>
          </r>
        </is>
      </c>
      <c r="B2012" s="23" t="inlineStr">
        <is>
          <r>
            <t xml:space="preserve">SEGURO - HORISTA (COLETADO CAIXA - ENCARGOS COMPLEMENTARES)</t>
          </r>
        </is>
      </c>
      <c r="C2012" s="22" t="inlineStr">
        <is>
          <r>
            <t xml:space="preserve">SINAPI</t>
          </r>
        </is>
      </c>
      <c r="D2012" s="22" t="inlineStr">
        <is>
          <r>
            <t xml:space="preserve">H</t>
          </r>
        </is>
      </c>
      <c r="E2012" s="24" t="n">
        <v>1.0</v>
      </c>
      <c r="F2012" s="25" t="n">
        <v>0.08</v>
      </c>
      <c r="G2012" s="25" t="n">
        <f>TRUNC(TRUNC(E2012,8)*F2012,2)</f>
        <v>0.08</v>
      </c>
    </row>
    <row r="2013" customHeight="1" ht="21">
      <c r="A2013" s="22" t="inlineStr">
        <is>
          <r>
            <t xml:space="preserve">00037371</t>
          </r>
        </is>
      </c>
      <c r="B2013" s="23" t="inlineStr">
        <is>
          <r>
            <t xml:space="preserve">TRANSPORTE - HORISTA (COLETADO CAIXA - ENCARGOS COMPLEMENTARES)</t>
          </r>
        </is>
      </c>
      <c r="C2013" s="22" t="inlineStr">
        <is>
          <r>
            <t xml:space="preserve">SINAPI</t>
          </r>
        </is>
      </c>
      <c r="D2013" s="22" t="inlineStr">
        <is>
          <r>
            <t xml:space="preserve">H</t>
          </r>
        </is>
      </c>
      <c r="E2013" s="24" t="n">
        <v>1.0</v>
      </c>
      <c r="F2013" s="25" t="n">
        <v>1.09</v>
      </c>
      <c r="G2013" s="25" t="n">
        <f>TRUNC(TRUNC(E2013,8)*F2013,2)</f>
        <v>1.09</v>
      </c>
    </row>
    <row r="2014" customHeight="1" ht="15">
      <c r="A2014" s="2" t="inlineStr"/>
      <c r="B2014" s="2" t="inlineStr"/>
      <c r="C2014" s="2" t="inlineStr"/>
      <c r="D2014" s="2" t="inlineStr"/>
      <c r="E2014" s="26" t="inlineStr">
        <is>
          <r>
            <t xml:space="preserve">TOTAL Encargos Complementares:</t>
          </r>
        </is>
      </c>
      <c r="F2014" s="26" t="inlineStr"/>
      <c r="G2014" s="27" t="n">
        <f>SUM(G2008:G2013)</f>
        <v>8.31</v>
      </c>
    </row>
    <row r="2015" customHeight="1" ht="15">
      <c r="A2015" s="20" t="inlineStr">
        <is>
          <r>
            <t xml:space="preserve">Mão de Obra</t>
          </r>
        </is>
      </c>
      <c r="B2015" s="20" t="inlineStr"/>
      <c r="C2015" s="21" t="inlineStr">
        <is>
          <r>
            <t xml:space="preserve">FONTE</t>
          </r>
        </is>
      </c>
      <c r="D2015" s="21" t="inlineStr">
        <is>
          <r>
            <t xml:space="preserve">UNID</t>
          </r>
        </is>
      </c>
      <c r="E2015" s="21" t="inlineStr">
        <is>
          <r>
            <t xml:space="preserve">COEFICIENTE</t>
          </r>
        </is>
      </c>
      <c r="F2015" s="21" t="inlineStr">
        <is>
          <r>
            <t xml:space="preserve">PREÇO UNITÁRIO</t>
          </r>
        </is>
      </c>
      <c r="G2015" s="21" t="inlineStr">
        <is>
          <r>
            <t xml:space="preserve">TOTAL</t>
          </r>
        </is>
      </c>
    </row>
    <row r="2016" customHeight="1" ht="15">
      <c r="A2016" s="22" t="inlineStr">
        <is>
          <r>
            <t xml:space="preserve">00004750</t>
          </r>
        </is>
      </c>
      <c r="B2016" s="23" t="inlineStr">
        <is>
          <r>
            <t xml:space="preserve">PEDREIRO (HORISTA)</t>
          </r>
        </is>
      </c>
      <c r="C2016" s="22" t="inlineStr">
        <is>
          <r>
            <t xml:space="preserve">SINAPI</t>
          </r>
        </is>
      </c>
      <c r="D2016" s="22" t="inlineStr">
        <is>
          <r>
            <t xml:space="preserve">H</t>
          </r>
        </is>
      </c>
      <c r="E2016" s="24" t="n">
        <v>1.0</v>
      </c>
      <c r="F2016" s="25" t="n">
        <v>19.48</v>
      </c>
      <c r="G2016" s="25" t="n">
        <f>TRUNC(TRUNC(E2016,8)*F2016,2)</f>
        <v>19.48</v>
      </c>
    </row>
    <row r="2017" customHeight="1" ht="15">
      <c r="A2017" s="2" t="inlineStr"/>
      <c r="B2017" s="2" t="inlineStr"/>
      <c r="C2017" s="2" t="inlineStr"/>
      <c r="D2017" s="2" t="inlineStr"/>
      <c r="E2017" s="26" t="inlineStr">
        <is>
          <r>
            <t xml:space="preserve">TOTAL Mão de Obra:</t>
          </r>
        </is>
      </c>
      <c r="F2017" s="26" t="inlineStr"/>
      <c r="G2017" s="27" t="n">
        <f>SUM(G2016:G2016)</f>
        <v>19.48</v>
      </c>
    </row>
    <row r="2018" customHeight="1" ht="15">
      <c r="A2018" s="20" t="inlineStr">
        <is>
          <r>
            <t xml:space="preserve">Serviço</t>
          </r>
        </is>
      </c>
      <c r="B2018" s="20" t="inlineStr"/>
      <c r="C2018" s="21" t="inlineStr">
        <is>
          <r>
            <t xml:space="preserve">FONTE</t>
          </r>
        </is>
      </c>
      <c r="D2018" s="21" t="inlineStr">
        <is>
          <r>
            <t xml:space="preserve">UNID</t>
          </r>
        </is>
      </c>
      <c r="E2018" s="21" t="inlineStr">
        <is>
          <r>
            <t xml:space="preserve">COEFICIENTE</t>
          </r>
        </is>
      </c>
      <c r="F2018" s="21" t="inlineStr">
        <is>
          <r>
            <t xml:space="preserve">PREÇO UNITÁRIO</t>
          </r>
        </is>
      </c>
      <c r="G2018" s="21" t="inlineStr">
        <is>
          <r>
            <t xml:space="preserve">TOTAL</t>
          </r>
        </is>
      </c>
    </row>
    <row r="2019" customHeight="1" ht="21">
      <c r="A2019" s="22" t="inlineStr">
        <is>
          <r>
            <t xml:space="preserve">95371</t>
          </r>
        </is>
      </c>
      <c r="B2019" s="23" t="inlineStr">
        <is>
          <r>
            <t xml:space="preserve">CURSO DE CAPACITAÇÃO PARA PEDREIRO (ENCARGOS COMPLEMENTARES) - HORISTA</t>
          </r>
        </is>
      </c>
      <c r="C2019" s="22" t="inlineStr">
        <is>
          <r>
            <t xml:space="preserve">SINAPI</t>
          </r>
        </is>
      </c>
      <c r="D2019" s="22" t="inlineStr">
        <is>
          <r>
            <t xml:space="preserve">H</t>
          </r>
        </is>
      </c>
      <c r="E2019" s="24" t="n">
        <v>1.0</v>
      </c>
      <c r="F2019" s="25" t="n">
        <v>0.41</v>
      </c>
      <c r="G2019" s="25" t="n">
        <f>TRUNC(TRUNC(E2019,8)*F2019,2)</f>
        <v>0.41</v>
      </c>
    </row>
    <row r="2020" customHeight="1" ht="15">
      <c r="A2020" s="2" t="inlineStr"/>
      <c r="B2020" s="2" t="inlineStr"/>
      <c r="C2020" s="2" t="inlineStr"/>
      <c r="D2020" s="2" t="inlineStr"/>
      <c r="E2020" s="26" t="inlineStr">
        <is>
          <r>
            <t xml:space="preserve">TOTAL Serviço:</t>
          </r>
        </is>
      </c>
      <c r="F2020" s="26" t="inlineStr"/>
      <c r="G2020" s="27" t="n">
        <f>SUM(G2019:G2019)</f>
        <v>0.41</v>
      </c>
    </row>
    <row r="2021" customHeight="1" ht="15">
      <c r="A2021" s="2" t="inlineStr"/>
      <c r="B2021" s="2" t="inlineStr"/>
      <c r="C2021" s="2" t="inlineStr"/>
      <c r="D2021" s="2" t="inlineStr"/>
      <c r="E2021" s="28" t="inlineStr">
        <is>
          <r>
            <t xml:space="preserve">VALOR:</t>
          </r>
        </is>
      </c>
      <c r="F2021" s="28" t="inlineStr"/>
      <c r="G2021" s="29" t="n">
        <f>ROUND(SUM(G2014,G2017,G2020),2)</f>
        <v>28.2</v>
      </c>
    </row>
    <row r="2022" customHeight="1" ht="15">
      <c r="A2022" s="2" t="inlineStr"/>
      <c r="B2022" s="2" t="inlineStr"/>
      <c r="C2022" s="2" t="inlineStr"/>
      <c r="D2022" s="2" t="inlineStr"/>
      <c r="E2022" s="28" t="inlineStr">
        <is>
          <r>
            <t xml:space="preserve">VALOR BDI:</t>
          </r>
        </is>
      </c>
      <c r="F2022" s="28" t="inlineStr"/>
      <c r="G2022" s="29" t="n">
        <f>ROUND(G2021*(0/100),2)</f>
        <v>0.0</v>
      </c>
    </row>
    <row r="2023" customHeight="1" ht="15">
      <c r="A2023" s="2" t="inlineStr"/>
      <c r="B2023" s="2" t="inlineStr"/>
      <c r="C2023" s="2" t="inlineStr"/>
      <c r="D2023" s="2" t="inlineStr"/>
      <c r="E2023" s="28" t="inlineStr">
        <is>
          <r>
            <t xml:space="preserve">VALOR COM BDI:</t>
          </r>
        </is>
      </c>
      <c r="F2023" s="28" t="inlineStr"/>
      <c r="G2023" s="29" t="n">
        <f>G2022+G2021</f>
        <v>28.2</v>
      </c>
    </row>
    <row r="2024" customHeight="1" ht="10">
      <c r="A2024" s="2" t="inlineStr"/>
      <c r="B2024" s="2" t="inlineStr"/>
      <c r="C2024" s="2" t="inlineStr"/>
      <c r="D2024" s="2" t="inlineStr"/>
      <c r="E2024" s="18" t="inlineStr"/>
      <c r="F2024" s="18" t="inlineStr"/>
      <c r="G2024" s="18" t="inlineStr"/>
    </row>
    <row r="2025" customHeight="1" ht="20">
      <c r="A2025" s="19" t="inlineStr">
        <is>
          <r>
            <t xml:space="preserve">​I0645​ PERFURATRIZ PNEUMÁTICA (CHI)​ (H)</t>
          </r>
        </is>
      </c>
      <c r="B2025" s="19" t="inlineStr"/>
      <c r="C2025" s="19" t="inlineStr"/>
      <c r="D2025" s="19" t="inlineStr"/>
      <c r="E2025" s="19" t="inlineStr"/>
      <c r="F2025" s="19" t="inlineStr"/>
      <c r="G2025" s="19" t="inlineStr"/>
    </row>
    <row r="2026" customHeight="1" ht="15">
      <c r="A2026" s="20" t="inlineStr">
        <is>
          <r>
            <t xml:space="preserve">Geral</t>
          </r>
        </is>
      </c>
      <c r="B2026" s="20" t="inlineStr"/>
      <c r="C2026" s="21" t="inlineStr">
        <is>
          <r>
            <t xml:space="preserve">FONTE</t>
          </r>
        </is>
      </c>
      <c r="D2026" s="21" t="inlineStr">
        <is>
          <r>
            <t xml:space="preserve">UNID</t>
          </r>
        </is>
      </c>
      <c r="E2026" s="21" t="inlineStr">
        <is>
          <r>
            <t xml:space="preserve">COEFICIENTE</t>
          </r>
        </is>
      </c>
      <c r="F2026" s="21" t="inlineStr">
        <is>
          <r>
            <t xml:space="preserve">PREÇO UNITÁRIO</t>
          </r>
        </is>
      </c>
      <c r="G2026" s="21" t="inlineStr">
        <is>
          <r>
            <t xml:space="preserve">TOTAL</t>
          </r>
        </is>
      </c>
    </row>
    <row r="2027" customHeight="1" ht="21">
      <c r="A2027" s="22" t="inlineStr">
        <is>
          <r>
            <t xml:space="preserve">I2823</t>
          </r>
        </is>
      </c>
      <c r="B2027" s="23" t="inlineStr">
        <is>
          <r>
            <t xml:space="preserve">MÃO DE OBRA DE OPERAÇÃO DA PERFURATRIZ PNEUMÁTICA</t>
          </r>
        </is>
      </c>
      <c r="C2027" s="22" t="inlineStr">
        <is>
          <r>
            <t xml:space="preserve">SEINFRA</t>
          </r>
        </is>
      </c>
      <c r="D2027" s="22" t="inlineStr">
        <is>
          <r>
            <t xml:space="preserve">H</t>
          </r>
        </is>
      </c>
      <c r="E2027" s="24" t="n">
        <v>1.0</v>
      </c>
      <c r="F2027" s="30" t="n">
        <v>21.29</v>
      </c>
      <c r="G2027" s="30" t="n">
        <f>ROUND(ROUND(E2027,8)*F2027,4)</f>
        <v>21.29</v>
      </c>
    </row>
    <row r="2028" customHeight="1" ht="15">
      <c r="A2028" s="22" t="inlineStr">
        <is>
          <r>
            <t xml:space="preserve">I2701</t>
          </r>
        </is>
      </c>
      <c r="B2028" s="23" t="inlineStr">
        <is>
          <r>
            <t xml:space="preserve">DEPRECIAÇÃO</t>
          </r>
        </is>
      </c>
      <c r="C2028" s="22" t="inlineStr">
        <is>
          <r>
            <t xml:space="preserve">SEINFRA</t>
          </r>
        </is>
      </c>
      <c r="D2028" s="22" t="inlineStr">
        <is>
          <r>
            <t xml:space="preserve">H</t>
          </r>
        </is>
      </c>
      <c r="E2028" s="24" t="n">
        <v>2.5069</v>
      </c>
      <c r="F2028" s="30" t="n">
        <v>1.0</v>
      </c>
      <c r="G2028" s="30" t="n">
        <f>ROUND(ROUND(E2028,8)*F2028,4)</f>
        <v>2.5069</v>
      </c>
    </row>
    <row r="2029" customHeight="1" ht="15">
      <c r="A2029" s="22" t="inlineStr">
        <is>
          <r>
            <t xml:space="preserve">I2702</t>
          </r>
        </is>
      </c>
      <c r="B2029" s="23" t="inlineStr">
        <is>
          <r>
            <t xml:space="preserve">JUROS</t>
          </r>
        </is>
      </c>
      <c r="C2029" s="22" t="inlineStr">
        <is>
          <r>
            <t xml:space="preserve">SEINFRA</t>
          </r>
        </is>
      </c>
      <c r="D2029" s="22" t="inlineStr">
        <is>
          <r>
            <t xml:space="preserve">H</t>
          </r>
        </is>
      </c>
      <c r="E2029" s="24" t="n">
        <v>0.4178</v>
      </c>
      <c r="F2029" s="30" t="n">
        <v>1.0</v>
      </c>
      <c r="G2029" s="30" t="n">
        <f>ROUND(ROUND(E2029,8)*F2029,4)</f>
        <v>0.4178</v>
      </c>
    </row>
    <row r="2030" customHeight="1" ht="15">
      <c r="A2030" s="2" t="inlineStr"/>
      <c r="B2030" s="2" t="inlineStr"/>
      <c r="C2030" s="2" t="inlineStr"/>
      <c r="D2030" s="2" t="inlineStr"/>
      <c r="E2030" s="26" t="inlineStr">
        <is>
          <r>
            <t xml:space="preserve">TOTAL Geral:</t>
          </r>
        </is>
      </c>
      <c r="F2030" s="26" t="inlineStr"/>
      <c r="G2030" s="31" t="n">
        <f>SUM(G2027:G2029)</f>
        <v>24.2147</v>
      </c>
    </row>
    <row r="2031" customHeight="1" ht="15">
      <c r="A2031" s="2" t="inlineStr"/>
      <c r="B2031" s="2" t="inlineStr"/>
      <c r="C2031" s="2" t="inlineStr"/>
      <c r="D2031" s="2" t="inlineStr"/>
      <c r="E2031" s="28" t="inlineStr">
        <is>
          <r>
            <t xml:space="preserve">VALOR:</t>
          </r>
        </is>
      </c>
      <c r="F2031" s="28" t="inlineStr"/>
      <c r="G2031" s="29" t="n">
        <f>ROUND(SUM(G2030),2)</f>
        <v>24.21</v>
      </c>
    </row>
    <row r="2032" customHeight="1" ht="15">
      <c r="A2032" s="2" t="inlineStr"/>
      <c r="B2032" s="2" t="inlineStr"/>
      <c r="C2032" s="2" t="inlineStr"/>
      <c r="D2032" s="2" t="inlineStr"/>
      <c r="E2032" s="28" t="inlineStr">
        <is>
          <r>
            <t xml:space="preserve">VALOR BDI:</t>
          </r>
        </is>
      </c>
      <c r="F2032" s="28" t="inlineStr"/>
      <c r="G2032" s="29" t="n">
        <f>ROUND(G2031*(0/100),2)</f>
        <v>0.0</v>
      </c>
    </row>
    <row r="2033" customHeight="1" ht="15">
      <c r="A2033" s="2" t="inlineStr"/>
      <c r="B2033" s="2" t="inlineStr"/>
      <c r="C2033" s="2" t="inlineStr"/>
      <c r="D2033" s="2" t="inlineStr"/>
      <c r="E2033" s="28" t="inlineStr">
        <is>
          <r>
            <t xml:space="preserve">VALOR COM BDI:</t>
          </r>
        </is>
      </c>
      <c r="F2033" s="28" t="inlineStr"/>
      <c r="G2033" s="29" t="n">
        <f>G2032+G2031</f>
        <v>24.21</v>
      </c>
    </row>
    <row r="2034" customHeight="1" ht="10">
      <c r="A2034" s="2" t="inlineStr"/>
      <c r="B2034" s="2" t="inlineStr"/>
      <c r="C2034" s="2" t="inlineStr"/>
      <c r="D2034" s="2" t="inlineStr"/>
      <c r="E2034" s="18" t="inlineStr"/>
      <c r="F2034" s="18" t="inlineStr"/>
      <c r="G2034" s="18" t="inlineStr"/>
    </row>
    <row r="2035" customHeight="1" ht="20">
      <c r="A2035" s="19" t="inlineStr">
        <is>
          <r>
            <t xml:space="preserve">​I0759​ PERFURATRIZ PNEUMÁTICA (CHP)​ (H)</t>
          </r>
        </is>
      </c>
      <c r="B2035" s="19" t="inlineStr"/>
      <c r="C2035" s="19" t="inlineStr"/>
      <c r="D2035" s="19" t="inlineStr"/>
      <c r="E2035" s="19" t="inlineStr"/>
      <c r="F2035" s="19" t="inlineStr"/>
      <c r="G2035" s="19" t="inlineStr"/>
    </row>
    <row r="2036" customHeight="1" ht="15">
      <c r="A2036" s="20" t="inlineStr">
        <is>
          <r>
            <t xml:space="preserve">Geral</t>
          </r>
        </is>
      </c>
      <c r="B2036" s="20" t="inlineStr"/>
      <c r="C2036" s="21" t="inlineStr">
        <is>
          <r>
            <t xml:space="preserve">FONTE</t>
          </r>
        </is>
      </c>
      <c r="D2036" s="21" t="inlineStr">
        <is>
          <r>
            <t xml:space="preserve">UNID</t>
          </r>
        </is>
      </c>
      <c r="E2036" s="21" t="inlineStr">
        <is>
          <r>
            <t xml:space="preserve">COEFICIENTE</t>
          </r>
        </is>
      </c>
      <c r="F2036" s="21" t="inlineStr">
        <is>
          <r>
            <t xml:space="preserve">PREÇO UNITÁRIO</t>
          </r>
        </is>
      </c>
      <c r="G2036" s="21" t="inlineStr">
        <is>
          <r>
            <t xml:space="preserve">TOTAL</t>
          </r>
        </is>
      </c>
    </row>
    <row r="2037" customHeight="1" ht="21">
      <c r="A2037" s="22" t="inlineStr">
        <is>
          <r>
            <t xml:space="preserve">I2823</t>
          </r>
        </is>
      </c>
      <c r="B2037" s="23" t="inlineStr">
        <is>
          <r>
            <t xml:space="preserve">MÃO DE OBRA DE OPERAÇÃO DA PERFURATRIZ PNEUMÁTICA</t>
          </r>
        </is>
      </c>
      <c r="C2037" s="22" t="inlineStr">
        <is>
          <r>
            <t xml:space="preserve">SEINFRA</t>
          </r>
        </is>
      </c>
      <c r="D2037" s="22" t="inlineStr">
        <is>
          <r>
            <t xml:space="preserve">H</t>
          </r>
        </is>
      </c>
      <c r="E2037" s="24" t="n">
        <v>1.0</v>
      </c>
      <c r="F2037" s="30" t="n">
        <v>21.29</v>
      </c>
      <c r="G2037" s="30" t="n">
        <f>ROUND(ROUND(E2037,8)*F2037,4)</f>
        <v>21.29</v>
      </c>
    </row>
    <row r="2038" customHeight="1" ht="15">
      <c r="A2038" s="22" t="inlineStr">
        <is>
          <r>
            <t xml:space="preserve">I2701</t>
          </r>
        </is>
      </c>
      <c r="B2038" s="23" t="inlineStr">
        <is>
          <r>
            <t xml:space="preserve">DEPRECIAÇÃO</t>
          </r>
        </is>
      </c>
      <c r="C2038" s="22" t="inlineStr">
        <is>
          <r>
            <t xml:space="preserve">SEINFRA</t>
          </r>
        </is>
      </c>
      <c r="D2038" s="22" t="inlineStr">
        <is>
          <r>
            <t xml:space="preserve">H</t>
          </r>
        </is>
      </c>
      <c r="E2038" s="24" t="n">
        <v>2.5069</v>
      </c>
      <c r="F2038" s="30" t="n">
        <v>1.0</v>
      </c>
      <c r="G2038" s="30" t="n">
        <f>ROUND(ROUND(E2038,8)*F2038,4)</f>
        <v>2.5069</v>
      </c>
    </row>
    <row r="2039" customHeight="1" ht="15">
      <c r="A2039" s="22" t="inlineStr">
        <is>
          <r>
            <t xml:space="preserve">I2702</t>
          </r>
        </is>
      </c>
      <c r="B2039" s="23" t="inlineStr">
        <is>
          <r>
            <t xml:space="preserve">JUROS</t>
          </r>
        </is>
      </c>
      <c r="C2039" s="22" t="inlineStr">
        <is>
          <r>
            <t xml:space="preserve">SEINFRA</t>
          </r>
        </is>
      </c>
      <c r="D2039" s="22" t="inlineStr">
        <is>
          <r>
            <t xml:space="preserve">H</t>
          </r>
        </is>
      </c>
      <c r="E2039" s="24" t="n">
        <v>0.4178</v>
      </c>
      <c r="F2039" s="30" t="n">
        <v>1.0</v>
      </c>
      <c r="G2039" s="30" t="n">
        <f>ROUND(ROUND(E2039,8)*F2039,4)</f>
        <v>0.4178</v>
      </c>
    </row>
    <row r="2040" customHeight="1" ht="15">
      <c r="A2040" s="22" t="inlineStr">
        <is>
          <r>
            <t xml:space="preserve">I2703</t>
          </r>
        </is>
      </c>
      <c r="B2040" s="23" t="inlineStr">
        <is>
          <r>
            <t xml:space="preserve">MANUTENÇÃO</t>
          </r>
        </is>
      </c>
      <c r="C2040" s="22" t="inlineStr">
        <is>
          <r>
            <t xml:space="preserve">SEINFRA</t>
          </r>
        </is>
      </c>
      <c r="D2040" s="22" t="inlineStr">
        <is>
          <r>
            <t xml:space="preserve">H</t>
          </r>
        </is>
      </c>
      <c r="E2040" s="24" t="n">
        <v>1.3927</v>
      </c>
      <c r="F2040" s="30" t="n">
        <v>1.0</v>
      </c>
      <c r="G2040" s="30" t="n">
        <f>ROUND(ROUND(E2040,8)*F2040,4)</f>
        <v>1.3927</v>
      </c>
    </row>
    <row r="2041" customHeight="1" ht="15">
      <c r="A2041" s="2" t="inlineStr"/>
      <c r="B2041" s="2" t="inlineStr"/>
      <c r="C2041" s="2" t="inlineStr"/>
      <c r="D2041" s="2" t="inlineStr"/>
      <c r="E2041" s="26" t="inlineStr">
        <is>
          <r>
            <t xml:space="preserve">TOTAL Geral:</t>
          </r>
        </is>
      </c>
      <c r="F2041" s="26" t="inlineStr"/>
      <c r="G2041" s="31" t="n">
        <f>SUM(G2037:G2040)</f>
        <v>25.6074</v>
      </c>
    </row>
    <row r="2042" customHeight="1" ht="15">
      <c r="A2042" s="2" t="inlineStr"/>
      <c r="B2042" s="2" t="inlineStr"/>
      <c r="C2042" s="2" t="inlineStr"/>
      <c r="D2042" s="2" t="inlineStr"/>
      <c r="E2042" s="28" t="inlineStr">
        <is>
          <r>
            <t xml:space="preserve">VALOR:</t>
          </r>
        </is>
      </c>
      <c r="F2042" s="28" t="inlineStr"/>
      <c r="G2042" s="29" t="n">
        <f>ROUND(SUM(G2041),2)</f>
        <v>25.61</v>
      </c>
    </row>
    <row r="2043" customHeight="1" ht="15">
      <c r="A2043" s="2" t="inlineStr"/>
      <c r="B2043" s="2" t="inlineStr"/>
      <c r="C2043" s="2" t="inlineStr"/>
      <c r="D2043" s="2" t="inlineStr"/>
      <c r="E2043" s="28" t="inlineStr">
        <is>
          <r>
            <t xml:space="preserve">VALOR BDI:</t>
          </r>
        </is>
      </c>
      <c r="F2043" s="28" t="inlineStr"/>
      <c r="G2043" s="29" t="n">
        <f>ROUND(G2042*(0/100),2)</f>
        <v>0.0</v>
      </c>
    </row>
    <row r="2044" customHeight="1" ht="15">
      <c r="A2044" s="2" t="inlineStr"/>
      <c r="B2044" s="2" t="inlineStr"/>
      <c r="C2044" s="2" t="inlineStr"/>
      <c r="D2044" s="2" t="inlineStr"/>
      <c r="E2044" s="28" t="inlineStr">
        <is>
          <r>
            <t xml:space="preserve">VALOR COM BDI:</t>
          </r>
        </is>
      </c>
      <c r="F2044" s="28" t="inlineStr"/>
      <c r="G2044" s="29" t="n">
        <f>G2043+G2042</f>
        <v>25.61</v>
      </c>
    </row>
    <row r="2045" customHeight="1" ht="10">
      <c r="A2045" s="2" t="inlineStr"/>
      <c r="B2045" s="2" t="inlineStr"/>
      <c r="C2045" s="2" t="inlineStr"/>
      <c r="D2045" s="2" t="inlineStr"/>
      <c r="E2045" s="18" t="inlineStr"/>
      <c r="F2045" s="18" t="inlineStr"/>
      <c r="G2045" s="18" t="inlineStr"/>
    </row>
    <row r="2046" customHeight="1" ht="20">
      <c r="A2046" s="19" t="inlineStr">
        <is>
          <r>
            <t xml:space="preserve">​97735​ PEÇA RETANGULAR PRÉ-MOLDADA, VOLUME DE CONCRETO DE 30 A 100 LITROS, TAXA DE AÇO APROXIMADA DE 30KG/M³. AF_03/2024​ (M3)</t>
          </r>
        </is>
      </c>
      <c r="B2046" s="19" t="inlineStr"/>
      <c r="C2046" s="19" t="inlineStr"/>
      <c r="D2046" s="19" t="inlineStr"/>
      <c r="E2046" s="19" t="inlineStr"/>
      <c r="F2046" s="19" t="inlineStr"/>
      <c r="G2046" s="19" t="inlineStr"/>
    </row>
    <row r="2047" customHeight="1" ht="15">
      <c r="A2047" s="20" t="inlineStr">
        <is>
          <r>
            <t xml:space="preserve">Equipamento Custo Horário</t>
          </r>
        </is>
      </c>
      <c r="B2047" s="20" t="inlineStr"/>
      <c r="C2047" s="21" t="inlineStr">
        <is>
          <r>
            <t xml:space="preserve">FONTE</t>
          </r>
        </is>
      </c>
      <c r="D2047" s="21" t="inlineStr">
        <is>
          <r>
            <t xml:space="preserve">UNID</t>
          </r>
        </is>
      </c>
      <c r="E2047" s="21" t="inlineStr">
        <is>
          <r>
            <t xml:space="preserve">COEFICIENTE</t>
          </r>
        </is>
      </c>
      <c r="F2047" s="21" t="inlineStr">
        <is>
          <r>
            <t xml:space="preserve">PREÇO UNITÁRIO</t>
          </r>
        </is>
      </c>
      <c r="G2047" s="21" t="inlineStr">
        <is>
          <r>
            <t xml:space="preserve">TOTAL</t>
          </r>
        </is>
      </c>
    </row>
    <row r="2048" customHeight="1" ht="29">
      <c r="A2048" s="22" t="inlineStr">
        <is>
          <r>
            <t xml:space="preserve">91693</t>
          </r>
        </is>
      </c>
      <c r="B2048" s="23" t="inlineStr">
        <is>
          <r>
            <t xml:space="preserve">SERRA CIRCULAR DE BANCADA COM MOTOR ELÉTRICO POTÊNCIA DE 5HP, COM COIFA PARA DISCO 10" - CHI DIURNO. AF_08/2015</t>
          </r>
        </is>
      </c>
      <c r="C2048" s="22" t="inlineStr">
        <is>
          <r>
            <t xml:space="preserve">SINAPI</t>
          </r>
        </is>
      </c>
      <c r="D2048" s="22" t="inlineStr">
        <is>
          <r>
            <t xml:space="preserve">CHI</t>
          </r>
        </is>
      </c>
      <c r="E2048" s="24" t="n">
        <v>0.4226</v>
      </c>
      <c r="F2048" s="25" t="n">
        <v>32.69</v>
      </c>
      <c r="G2048" s="25" t="n">
        <f>TRUNC(TRUNC(E2048,8)*F2048,2)</f>
        <v>13.81</v>
      </c>
    </row>
    <row r="2049" customHeight="1" ht="29">
      <c r="A2049" s="22" t="inlineStr">
        <is>
          <r>
            <t xml:space="preserve">91692</t>
          </r>
        </is>
      </c>
      <c r="B2049" s="23" t="inlineStr">
        <is>
          <r>
            <t xml:space="preserve">SERRA CIRCULAR DE BANCADA COM MOTOR ELÉTRICO POTÊNCIA DE 5HP, COM COIFA PARA DISCO 10" - CHP DIURNO. AF_08/2015</t>
          </r>
        </is>
      </c>
      <c r="C2049" s="22" t="inlineStr">
        <is>
          <r>
            <t xml:space="preserve">SINAPI</t>
          </r>
        </is>
      </c>
      <c r="D2049" s="22" t="inlineStr">
        <is>
          <r>
            <t xml:space="preserve">CHP</t>
          </r>
        </is>
      </c>
      <c r="E2049" s="24" t="n">
        <v>0.313</v>
      </c>
      <c r="F2049" s="25" t="n">
        <v>34.14</v>
      </c>
      <c r="G2049" s="25" t="n">
        <f>TRUNC(TRUNC(E2049,8)*F2049,2)</f>
        <v>10.68</v>
      </c>
    </row>
    <row r="2050" customHeight="1" ht="29">
      <c r="A2050" s="22" t="inlineStr">
        <is>
          <r>
            <t xml:space="preserve">90587</t>
          </r>
        </is>
      </c>
      <c r="B2050" s="23" t="inlineStr">
        <is>
          <r>
            <t xml:space="preserve">VIBRADOR DE IMERSÃO, DIÂMETRO DE PONTEIRA 45MM, MOTOR ELÉTRICO TRIFÁSICO POTÊNCIA DE 2 CV - CHI DIURNO. AF_06/2015</t>
          </r>
        </is>
      </c>
      <c r="C2050" s="22" t="inlineStr">
        <is>
          <r>
            <t xml:space="preserve">SINAPI</t>
          </r>
        </is>
      </c>
      <c r="D2050" s="22" t="inlineStr">
        <is>
          <r>
            <t xml:space="preserve">CHI</t>
          </r>
        </is>
      </c>
      <c r="E2050" s="24" t="n">
        <v>12.7788</v>
      </c>
      <c r="F2050" s="25" t="n">
        <v>0.56</v>
      </c>
      <c r="G2050" s="25" t="n">
        <f>TRUNC(TRUNC(E2050,8)*F2050,2)</f>
        <v>7.15</v>
      </c>
    </row>
    <row r="2051" customHeight="1" ht="29">
      <c r="A2051" s="22" t="inlineStr">
        <is>
          <r>
            <t xml:space="preserve">90586</t>
          </r>
        </is>
      </c>
      <c r="B2051" s="23" t="inlineStr">
        <is>
          <r>
            <t xml:space="preserve">VIBRADOR DE IMERSÃO, DIÂMETRO DE PONTEIRA 45MM, MOTOR ELÉTRICO TRIFÁSICO POTÊNCIA DE 2 CV - CHP DIURNO. AF_06/2015</t>
          </r>
        </is>
      </c>
      <c r="C2051" s="22" t="inlineStr">
        <is>
          <r>
            <t xml:space="preserve">SINAPI</t>
          </r>
        </is>
      </c>
      <c r="D2051" s="22" t="inlineStr">
        <is>
          <r>
            <t xml:space="preserve">CHP</t>
          </r>
        </is>
      </c>
      <c r="E2051" s="24" t="n">
        <v>4.6865</v>
      </c>
      <c r="F2051" s="25" t="n">
        <v>1.45</v>
      </c>
      <c r="G2051" s="25" t="n">
        <f>TRUNC(TRUNC(E2051,8)*F2051,2)</f>
        <v>6.79</v>
      </c>
    </row>
    <row r="2052" customHeight="1" ht="18">
      <c r="A2052" s="2" t="inlineStr"/>
      <c r="B2052" s="2" t="inlineStr"/>
      <c r="C2052" s="2" t="inlineStr"/>
      <c r="D2052" s="2" t="inlineStr"/>
      <c r="E2052" s="26" t="inlineStr">
        <is>
          <r>
            <t xml:space="preserve">TOTAL Equipamento Custo Horário:</t>
          </r>
        </is>
      </c>
      <c r="F2052" s="26" t="inlineStr"/>
      <c r="G2052" s="27" t="n">
        <f>SUM(G2048:G2051)</f>
        <v>38.43</v>
      </c>
    </row>
    <row r="2053" customHeight="1" ht="15">
      <c r="A2053" s="20" t="inlineStr">
        <is>
          <r>
            <t xml:space="preserve">Material</t>
          </r>
        </is>
      </c>
      <c r="B2053" s="20" t="inlineStr"/>
      <c r="C2053" s="21" t="inlineStr">
        <is>
          <r>
            <t xml:space="preserve">FONTE</t>
          </r>
        </is>
      </c>
      <c r="D2053" s="21" t="inlineStr">
        <is>
          <r>
            <t xml:space="preserve">UNID</t>
          </r>
        </is>
      </c>
      <c r="E2053" s="21" t="inlineStr">
        <is>
          <r>
            <t xml:space="preserve">COEFICIENTE</t>
          </r>
        </is>
      </c>
      <c r="F2053" s="21" t="inlineStr">
        <is>
          <r>
            <t xml:space="preserve">PREÇO UNITÁRIO</t>
          </r>
        </is>
      </c>
      <c r="G2053" s="21" t="inlineStr">
        <is>
          <r>
            <t xml:space="preserve">TOTAL</t>
          </r>
        </is>
      </c>
    </row>
    <row r="2054" customHeight="1" ht="29">
      <c r="A2054" s="22" t="inlineStr">
        <is>
          <r>
            <t xml:space="preserve">00001358</t>
          </r>
        </is>
      </c>
      <c r="B2054" s="23" t="inlineStr">
        <is>
          <r>
            <t xml:space="preserve">CHAPA/PAINEL DE MADEIRA COMPENSADA RESINADA (MADEIRITE RESINADO ROSA) PARA FORMA DE CONCRETO, DE 2200 X 1100 MM, E = 17 MM</t>
          </r>
        </is>
      </c>
      <c r="C2054" s="22" t="inlineStr">
        <is>
          <r>
            <t xml:space="preserve">SINAPI</t>
          </r>
        </is>
      </c>
      <c r="D2054" s="22" t="inlineStr">
        <is>
          <r>
            <t xml:space="preserve">M2</t>
          </r>
        </is>
      </c>
      <c r="E2054" s="24" t="n">
        <v>1.3112</v>
      </c>
      <c r="F2054" s="25" t="n">
        <v>57.71</v>
      </c>
      <c r="G2054" s="25" t="n">
        <f>TRUNC(TRUNC(E2054,8)*F2054,2)</f>
        <v>75.66</v>
      </c>
    </row>
    <row r="2055" customHeight="1" ht="21">
      <c r="A2055" s="22" t="inlineStr">
        <is>
          <r>
            <t xml:space="preserve">00002692</t>
          </r>
        </is>
      </c>
      <c r="B2055" s="23" t="inlineStr">
        <is>
          <r>
            <t xml:space="preserve">DESMOLDANTE PROTETOR PARA FORMAS DE MADEIRA, DE BASE OLEOSA EMULSIONADA EM AGUA</t>
          </r>
        </is>
      </c>
      <c r="C2055" s="22" t="inlineStr">
        <is>
          <r>
            <t xml:space="preserve">SINAPI</t>
          </r>
        </is>
      </c>
      <c r="D2055" s="22" t="inlineStr">
        <is>
          <r>
            <t xml:space="preserve">L</t>
          </r>
        </is>
      </c>
      <c r="E2055" s="24" t="n">
        <v>0.0567</v>
      </c>
      <c r="F2055" s="25" t="n">
        <v>8.06</v>
      </c>
      <c r="G2055" s="25" t="n">
        <f>TRUNC(TRUNC(E2055,8)*F2055,2)</f>
        <v>0.45</v>
      </c>
    </row>
    <row r="2056" customHeight="1" ht="15">
      <c r="A2056" s="22" t="inlineStr">
        <is>
          <r>
            <t xml:space="preserve">00020247</t>
          </r>
        </is>
      </c>
      <c r="B2056" s="23" t="inlineStr">
        <is>
          <r>
            <t xml:space="preserve">PREGO DE ACO POLIDO COM CABECA 15 X 15 (1 1/4 X 13)</t>
          </r>
        </is>
      </c>
      <c r="C2056" s="22" t="inlineStr">
        <is>
          <r>
            <t xml:space="preserve">SINAPI</t>
          </r>
        </is>
      </c>
      <c r="D2056" s="22" t="inlineStr">
        <is>
          <r>
            <t xml:space="preserve">KG</t>
          </r>
        </is>
      </c>
      <c r="E2056" s="24" t="n">
        <v>0.2619</v>
      </c>
      <c r="F2056" s="25" t="n">
        <v>16.31</v>
      </c>
      <c r="G2056" s="25" t="n">
        <f>TRUNC(TRUNC(E2056,8)*F2056,2)</f>
        <v>4.27</v>
      </c>
    </row>
    <row r="2057" customHeight="1" ht="21">
      <c r="A2057" s="22" t="inlineStr">
        <is>
          <r>
            <t xml:space="preserve">00004517</t>
          </r>
        </is>
      </c>
      <c r="B2057" s="23" t="inlineStr">
        <is>
          <r>
            <t xml:space="preserve">SARRAFO *2,5 X 7,5* CM EM PINUS, MISTA OU EQUIVALENTE DA REGIAO - BRUTA</t>
          </r>
        </is>
      </c>
      <c r="C2057" s="22" t="inlineStr">
        <is>
          <r>
            <t xml:space="preserve">SINAPI</t>
          </r>
        </is>
      </c>
      <c r="D2057" s="22" t="inlineStr">
        <is>
          <r>
            <t xml:space="preserve">M</t>
          </r>
        </is>
      </c>
      <c r="E2057" s="24" t="n">
        <v>4.477</v>
      </c>
      <c r="F2057" s="25" t="n">
        <v>3.87</v>
      </c>
      <c r="G2057" s="25" t="n">
        <f>TRUNC(TRUNC(E2057,8)*F2057,2)</f>
        <v>17.32</v>
      </c>
    </row>
    <row r="2058" customHeight="1" ht="15">
      <c r="A2058" s="2" t="inlineStr"/>
      <c r="B2058" s="2" t="inlineStr"/>
      <c r="C2058" s="2" t="inlineStr"/>
      <c r="D2058" s="2" t="inlineStr"/>
      <c r="E2058" s="26" t="inlineStr">
        <is>
          <r>
            <t xml:space="preserve">TOTAL Material:</t>
          </r>
        </is>
      </c>
      <c r="F2058" s="26" t="inlineStr"/>
      <c r="G2058" s="27" t="n">
        <f>SUM(G2054:G2057)</f>
        <v>97.7</v>
      </c>
    </row>
    <row r="2059" customHeight="1" ht="15">
      <c r="A2059" s="20" t="inlineStr">
        <is>
          <r>
            <t xml:space="preserve">Mão de Obra com Encargos Complementares</t>
          </r>
        </is>
      </c>
      <c r="B2059" s="20" t="inlineStr"/>
      <c r="C2059" s="21" t="inlineStr">
        <is>
          <r>
            <t xml:space="preserve">FONTE</t>
          </r>
        </is>
      </c>
      <c r="D2059" s="21" t="inlineStr">
        <is>
          <r>
            <t xml:space="preserve">UNID</t>
          </r>
        </is>
      </c>
      <c r="E2059" s="21" t="inlineStr">
        <is>
          <r>
            <t xml:space="preserve">COEFICIENTE</t>
          </r>
        </is>
      </c>
      <c r="F2059" s="21" t="inlineStr">
        <is>
          <r>
            <t xml:space="preserve">PREÇO UNITÁRIO</t>
          </r>
        </is>
      </c>
      <c r="G2059" s="21" t="inlineStr">
        <is>
          <r>
            <t xml:space="preserve">TOTAL</t>
          </r>
        </is>
      </c>
    </row>
    <row r="2060" customHeight="1" ht="21">
      <c r="A2060" s="22" t="inlineStr">
        <is>
          <r>
            <t xml:space="preserve">88239</t>
          </r>
        </is>
      </c>
      <c r="B2060" s="23" t="inlineStr">
        <is>
          <r>
            <t xml:space="preserve">AJUDANTE DE CARPINTEIRO COM ENCARGOS COMPLEMENTARES</t>
          </r>
        </is>
      </c>
      <c r="C2060" s="22" t="inlineStr">
        <is>
          <r>
            <t xml:space="preserve">SINAPI</t>
          </r>
        </is>
      </c>
      <c r="D2060" s="22" t="inlineStr">
        <is>
          <r>
            <t xml:space="preserve">H</t>
          </r>
        </is>
      </c>
      <c r="E2060" s="24" t="n">
        <v>0.7356</v>
      </c>
      <c r="F2060" s="25" t="n">
        <v>22.84</v>
      </c>
      <c r="G2060" s="25" t="n">
        <f>TRUNC(TRUNC(E2060,8)*F2060,2)</f>
        <v>16.8</v>
      </c>
    </row>
    <row r="2061" customHeight="1" ht="21">
      <c r="A2061" s="22" t="inlineStr">
        <is>
          <r>
            <t xml:space="preserve">88261</t>
          </r>
        </is>
      </c>
      <c r="B2061" s="23" t="inlineStr">
        <is>
          <r>
            <t xml:space="preserve">CARPINTEIRO DE ESQUADRIAS COM ENCARGOS COMPLEMENTARES</t>
          </r>
        </is>
      </c>
      <c r="C2061" s="22" t="inlineStr">
        <is>
          <r>
            <t xml:space="preserve">SINAPI</t>
          </r>
        </is>
      </c>
      <c r="D2061" s="22" t="inlineStr">
        <is>
          <r>
            <t xml:space="preserve">H</t>
          </r>
        </is>
      </c>
      <c r="E2061" s="24" t="n">
        <v>3.678</v>
      </c>
      <c r="F2061" s="25" t="n">
        <v>26.92</v>
      </c>
      <c r="G2061" s="25" t="n">
        <f>TRUNC(TRUNC(E2061,8)*F2061,2)</f>
        <v>99.01</v>
      </c>
    </row>
    <row r="2062" customHeight="1" ht="15">
      <c r="A2062" s="22" t="inlineStr">
        <is>
          <r>
            <t xml:space="preserve">88309</t>
          </r>
        </is>
      </c>
      <c r="B2062" s="23" t="inlineStr">
        <is>
          <r>
            <t xml:space="preserve">PEDREIRO COM ENCARGOS COMPLEMENTARES</t>
          </r>
        </is>
      </c>
      <c r="C2062" s="22" t="inlineStr">
        <is>
          <r>
            <t xml:space="preserve">SINAPI</t>
          </r>
        </is>
      </c>
      <c r="D2062" s="22" t="inlineStr">
        <is>
          <r>
            <t xml:space="preserve">H</t>
          </r>
        </is>
      </c>
      <c r="E2062" s="24" t="n">
        <v>22.4974</v>
      </c>
      <c r="F2062" s="25" t="n">
        <v>28.2</v>
      </c>
      <c r="G2062" s="25" t="n">
        <f>TRUNC(TRUNC(E2062,8)*F2062,2)</f>
        <v>634.42</v>
      </c>
    </row>
    <row r="2063" customHeight="1" ht="15">
      <c r="A2063" s="22" t="inlineStr">
        <is>
          <r>
            <t xml:space="preserve">88316</t>
          </r>
        </is>
      </c>
      <c r="B2063" s="23" t="inlineStr">
        <is>
          <r>
            <t xml:space="preserve">SERVENTE COM ENCARGOS COMPLEMENTARES</t>
          </r>
        </is>
      </c>
      <c r="C2063" s="22" t="inlineStr">
        <is>
          <r>
            <t xml:space="preserve">SINAPI</t>
          </r>
        </is>
      </c>
      <c r="D2063" s="22" t="inlineStr">
        <is>
          <r>
            <t xml:space="preserve">H</t>
          </r>
        </is>
      </c>
      <c r="E2063" s="24" t="n">
        <v>22.4974</v>
      </c>
      <c r="F2063" s="25" t="n">
        <v>21.93</v>
      </c>
      <c r="G2063" s="25" t="n">
        <f>TRUNC(TRUNC(E2063,8)*F2063,2)</f>
        <v>493.36</v>
      </c>
    </row>
    <row r="2064" customHeight="1" ht="18">
      <c r="A2064" s="2" t="inlineStr"/>
      <c r="B2064" s="2" t="inlineStr"/>
      <c r="C2064" s="2" t="inlineStr"/>
      <c r="D2064" s="2" t="inlineStr"/>
      <c r="E2064" s="26" t="inlineStr">
        <is>
          <r>
            <t xml:space="preserve">TOTAL Mão de Obra com Encargos Complementares:</t>
          </r>
        </is>
      </c>
      <c r="F2064" s="26" t="inlineStr"/>
      <c r="G2064" s="27" t="n">
        <f>SUM(G2060:G2063)</f>
        <v>1243.59</v>
      </c>
    </row>
    <row r="2065" customHeight="1" ht="15">
      <c r="A2065" s="20" t="inlineStr">
        <is>
          <r>
            <t xml:space="preserve">Serviço</t>
          </r>
        </is>
      </c>
      <c r="B2065" s="20" t="inlineStr"/>
      <c r="C2065" s="21" t="inlineStr">
        <is>
          <r>
            <t xml:space="preserve">FONTE</t>
          </r>
        </is>
      </c>
      <c r="D2065" s="21" t="inlineStr">
        <is>
          <r>
            <t xml:space="preserve">UNID</t>
          </r>
        </is>
      </c>
      <c r="E2065" s="21" t="inlineStr">
        <is>
          <r>
            <t xml:space="preserve">COEFICIENTE</t>
          </r>
        </is>
      </c>
      <c r="F2065" s="21" t="inlineStr">
        <is>
          <r>
            <t xml:space="preserve">PREÇO UNITÁRIO</t>
          </r>
        </is>
      </c>
      <c r="G2065" s="21" t="inlineStr">
        <is>
          <r>
            <t xml:space="preserve">TOTAL</t>
          </r>
        </is>
      </c>
    </row>
    <row r="2066" customHeight="1" ht="29">
      <c r="A2066" s="22" t="inlineStr">
        <is>
          <r>
            <t xml:space="preserve">92767</t>
          </r>
        </is>
      </c>
      <c r="B2066" s="23" t="inlineStr">
        <is>
          <r>
            <t xml:space="preserve">ARMAÇÃO DE LAJE DE ESTRUTURA CONVENCIONAL DE CONCRETO ARMADO UTILIZANDO AÇO CA-60 DE 4,2 MM - MONTAGEM. AF_06/2022</t>
          </r>
        </is>
      </c>
      <c r="C2066" s="22" t="inlineStr">
        <is>
          <r>
            <t xml:space="preserve">SINAPI</t>
          </r>
        </is>
      </c>
      <c r="D2066" s="22" t="inlineStr">
        <is>
          <r>
            <t xml:space="preserve">KG</t>
          </r>
        </is>
      </c>
      <c r="E2066" s="24" t="n">
        <v>28.9369</v>
      </c>
      <c r="F2066" s="25" t="n">
        <v>14.65</v>
      </c>
      <c r="G2066" s="25" t="n">
        <f>TRUNC(TRUNC(E2066,8)*F2066,2)</f>
        <v>423.92</v>
      </c>
    </row>
    <row r="2067" customHeight="1" ht="29">
      <c r="A2067" s="22" t="inlineStr">
        <is>
          <r>
            <t xml:space="preserve">94972</t>
          </r>
        </is>
      </c>
      <c r="B2067" s="23" t="inlineStr">
        <is>
          <r>
            <t xml:space="preserve">CONCRETO FCK = 30MPA, TRAÇO 1:2,1:2,5 (EM MASSA SECA DE CIMENTO/ AREIA MÉDIA/ BRITA 1) - PREPARO MECÂNICO COM BETONEIRA 600 L. AF_05/2021</t>
          </r>
        </is>
      </c>
      <c r="C2067" s="22" t="inlineStr">
        <is>
          <r>
            <t xml:space="preserve">SINAPI</t>
          </r>
        </is>
      </c>
      <c r="D2067" s="22" t="inlineStr">
        <is>
          <r>
            <t xml:space="preserve">M3</t>
          </r>
        </is>
      </c>
      <c r="E2067" s="24" t="n">
        <v>1.2</v>
      </c>
      <c r="F2067" s="25" t="n">
        <v>521.48</v>
      </c>
      <c r="G2067" s="25" t="n">
        <f>TRUNC(TRUNC(E2067,8)*F2067,2)</f>
        <v>625.77</v>
      </c>
    </row>
    <row r="2068" customHeight="1" ht="15">
      <c r="A2068" s="2" t="inlineStr"/>
      <c r="B2068" s="2" t="inlineStr"/>
      <c r="C2068" s="2" t="inlineStr"/>
      <c r="D2068" s="2" t="inlineStr"/>
      <c r="E2068" s="26" t="inlineStr">
        <is>
          <r>
            <t xml:space="preserve">TOTAL Serviço:</t>
          </r>
        </is>
      </c>
      <c r="F2068" s="26" t="inlineStr"/>
      <c r="G2068" s="27" t="n">
        <f>SUM(G2066:G2067)</f>
        <v>1049.69</v>
      </c>
    </row>
    <row r="2069" customHeight="1" ht="15">
      <c r="A2069" s="2" t="inlineStr"/>
      <c r="B2069" s="2" t="inlineStr"/>
      <c r="C2069" s="2" t="inlineStr"/>
      <c r="D2069" s="2" t="inlineStr"/>
      <c r="E2069" s="28" t="inlineStr">
        <is>
          <r>
            <t xml:space="preserve">VALOR:</t>
          </r>
        </is>
      </c>
      <c r="F2069" s="28" t="inlineStr"/>
      <c r="G2069" s="29" t="n">
        <f>ROUND(SUM(G2052,G2058,G2064,G2068),2)</f>
        <v>2429.41</v>
      </c>
    </row>
    <row r="2070" customHeight="1" ht="15">
      <c r="A2070" s="2" t="inlineStr"/>
      <c r="B2070" s="2" t="inlineStr"/>
      <c r="C2070" s="2" t="inlineStr"/>
      <c r="D2070" s="2" t="inlineStr"/>
      <c r="E2070" s="28" t="inlineStr">
        <is>
          <r>
            <t xml:space="preserve">VALOR BDI:</t>
          </r>
        </is>
      </c>
      <c r="F2070" s="28" t="inlineStr"/>
      <c r="G2070" s="29" t="n">
        <f>ROUND(G2069*(0/100),2)</f>
        <v>0.0</v>
      </c>
    </row>
    <row r="2071" customHeight="1" ht="15">
      <c r="A2071" s="2" t="inlineStr"/>
      <c r="B2071" s="2" t="inlineStr"/>
      <c r="C2071" s="2" t="inlineStr"/>
      <c r="D2071" s="2" t="inlineStr"/>
      <c r="E2071" s="28" t="inlineStr">
        <is>
          <r>
            <t xml:space="preserve">VALOR COM BDI:</t>
          </r>
        </is>
      </c>
      <c r="F2071" s="28" t="inlineStr"/>
      <c r="G2071" s="29" t="n">
        <f>G2070+G2069</f>
        <v>2429.41</v>
      </c>
    </row>
    <row r="2072" customHeight="1" ht="10">
      <c r="A2072" s="2" t="inlineStr"/>
      <c r="B2072" s="2" t="inlineStr"/>
      <c r="C2072" s="2" t="inlineStr"/>
      <c r="D2072" s="2" t="inlineStr"/>
      <c r="E2072" s="18" t="inlineStr"/>
      <c r="F2072" s="18" t="inlineStr"/>
      <c r="G2072" s="18" t="inlineStr"/>
    </row>
    <row r="2073" customHeight="1" ht="20">
      <c r="A2073" s="19" t="inlineStr">
        <is>
          <r>
            <t xml:space="preserve">​C2921​ REATERRO C/COMPACTAÇÃO MANUAL S/CONTROLE, MATERIAL DA VALA​ (M3)</t>
          </r>
        </is>
      </c>
      <c r="B2073" s="19" t="inlineStr"/>
      <c r="C2073" s="19" t="inlineStr"/>
      <c r="D2073" s="19" t="inlineStr"/>
      <c r="E2073" s="19" t="inlineStr"/>
      <c r="F2073" s="19" t="inlineStr"/>
      <c r="G2073" s="19" t="inlineStr"/>
    </row>
    <row r="2074" customHeight="1" ht="15">
      <c r="A2074" s="20" t="inlineStr">
        <is>
          <r>
            <t xml:space="preserve">Mão de Obra</t>
          </r>
        </is>
      </c>
      <c r="B2074" s="20" t="inlineStr"/>
      <c r="C2074" s="21" t="inlineStr">
        <is>
          <r>
            <t xml:space="preserve">FONTE</t>
          </r>
        </is>
      </c>
      <c r="D2074" s="21" t="inlineStr">
        <is>
          <r>
            <t xml:space="preserve">UNID</t>
          </r>
        </is>
      </c>
      <c r="E2074" s="21" t="inlineStr">
        <is>
          <r>
            <t xml:space="preserve">COEFICIENTE</t>
          </r>
        </is>
      </c>
      <c r="F2074" s="21" t="inlineStr">
        <is>
          <r>
            <t xml:space="preserve">PREÇO UNITÁRIO</t>
          </r>
        </is>
      </c>
      <c r="G2074" s="21" t="inlineStr">
        <is>
          <r>
            <t xml:space="preserve">TOTAL</t>
          </r>
        </is>
      </c>
    </row>
    <row r="2075" customHeight="1" ht="15">
      <c r="A2075" s="22" t="inlineStr">
        <is>
          <r>
            <t xml:space="preserve">I2543</t>
          </r>
        </is>
      </c>
      <c r="B2075" s="23" t="inlineStr">
        <is>
          <r>
            <t xml:space="preserve">SERVENTE</t>
          </r>
        </is>
      </c>
      <c r="C2075" s="22" t="inlineStr">
        <is>
          <r>
            <t xml:space="preserve">SEINFRA</t>
          </r>
        </is>
      </c>
      <c r="D2075" s="22" t="inlineStr">
        <is>
          <r>
            <t xml:space="preserve">H</t>
          </r>
        </is>
      </c>
      <c r="E2075" s="24" t="n">
        <v>1.7</v>
      </c>
      <c r="F2075" s="30" t="n">
        <v>18.46</v>
      </c>
      <c r="G2075" s="30" t="n">
        <f>ROUND(ROUND(E2075,8)*F2075,4)</f>
        <v>31.382</v>
      </c>
    </row>
    <row r="2076" customHeight="1" ht="15">
      <c r="A2076" s="2" t="inlineStr"/>
      <c r="B2076" s="2" t="inlineStr"/>
      <c r="C2076" s="2" t="inlineStr"/>
      <c r="D2076" s="2" t="inlineStr"/>
      <c r="E2076" s="26" t="inlineStr">
        <is>
          <r>
            <t xml:space="preserve">TOTAL Mão de Obra:</t>
          </r>
        </is>
      </c>
      <c r="F2076" s="26" t="inlineStr"/>
      <c r="G2076" s="31" t="n">
        <f>SUM(G2075:G2075)</f>
        <v>31.382</v>
      </c>
    </row>
    <row r="2077" customHeight="1" ht="15">
      <c r="A2077" s="2" t="inlineStr"/>
      <c r="B2077" s="2" t="inlineStr"/>
      <c r="C2077" s="2" t="inlineStr"/>
      <c r="D2077" s="2" t="inlineStr"/>
      <c r="E2077" s="28" t="inlineStr">
        <is>
          <r>
            <t xml:space="preserve">VALOR:</t>
          </r>
        </is>
      </c>
      <c r="F2077" s="28" t="inlineStr"/>
      <c r="G2077" s="29" t="n">
        <f>ROUND(SUM(G2076),2)</f>
        <v>31.38</v>
      </c>
    </row>
    <row r="2078" customHeight="1" ht="15">
      <c r="A2078" s="2" t="inlineStr"/>
      <c r="B2078" s="2" t="inlineStr"/>
      <c r="C2078" s="2" t="inlineStr"/>
      <c r="D2078" s="2" t="inlineStr"/>
      <c r="E2078" s="28" t="inlineStr">
        <is>
          <r>
            <t xml:space="preserve">VALOR BDI:</t>
          </r>
        </is>
      </c>
      <c r="F2078" s="28" t="inlineStr"/>
      <c r="G2078" s="29" t="n">
        <f>ROUND(G2077*(0/100),2)</f>
        <v>0.0</v>
      </c>
    </row>
    <row r="2079" customHeight="1" ht="15">
      <c r="A2079" s="2" t="inlineStr"/>
      <c r="B2079" s="2" t="inlineStr"/>
      <c r="C2079" s="2" t="inlineStr"/>
      <c r="D2079" s="2" t="inlineStr"/>
      <c r="E2079" s="28" t="inlineStr">
        <is>
          <r>
            <t xml:space="preserve">VALOR COM BDI:</t>
          </r>
        </is>
      </c>
      <c r="F2079" s="28" t="inlineStr"/>
      <c r="G2079" s="29" t="n">
        <f>G2078+G2077</f>
        <v>31.38</v>
      </c>
    </row>
    <row r="2080" customHeight="1" ht="10">
      <c r="A2080" s="2" t="inlineStr"/>
      <c r="B2080" s="2" t="inlineStr"/>
      <c r="C2080" s="2" t="inlineStr"/>
      <c r="D2080" s="2" t="inlineStr"/>
      <c r="E2080" s="18" t="inlineStr"/>
      <c r="F2080" s="18" t="inlineStr"/>
      <c r="G2080" s="18" t="inlineStr"/>
    </row>
    <row r="2081" customHeight="1" ht="20">
      <c r="A2081" s="19" t="inlineStr">
        <is>
          <r>
            <t xml:space="preserve">​C3408​ REBOCO C/ ARGAMASSA DE CIMENTO E AREIA S/ PENEIRAR, TRAÇO 1:3​ (M2)</t>
          </r>
        </is>
      </c>
      <c r="B2081" s="19" t="inlineStr"/>
      <c r="C2081" s="19" t="inlineStr"/>
      <c r="D2081" s="19" t="inlineStr"/>
      <c r="E2081" s="19" t="inlineStr"/>
      <c r="F2081" s="19" t="inlineStr"/>
      <c r="G2081" s="19" t="inlineStr"/>
    </row>
    <row r="2082" customHeight="1" ht="15">
      <c r="A2082" s="20" t="inlineStr">
        <is>
          <r>
            <t xml:space="preserve">Mão de Obra</t>
          </r>
        </is>
      </c>
      <c r="B2082" s="20" t="inlineStr"/>
      <c r="C2082" s="21" t="inlineStr">
        <is>
          <r>
            <t xml:space="preserve">FONTE</t>
          </r>
        </is>
      </c>
      <c r="D2082" s="21" t="inlineStr">
        <is>
          <r>
            <t xml:space="preserve">UNID</t>
          </r>
        </is>
      </c>
      <c r="E2082" s="21" t="inlineStr">
        <is>
          <r>
            <t xml:space="preserve">COEFICIENTE</t>
          </r>
        </is>
      </c>
      <c r="F2082" s="21" t="inlineStr">
        <is>
          <r>
            <t xml:space="preserve">PREÇO UNITÁRIO</t>
          </r>
        </is>
      </c>
      <c r="G2082" s="21" t="inlineStr">
        <is>
          <r>
            <t xml:space="preserve">TOTAL</t>
          </r>
        </is>
      </c>
    </row>
    <row r="2083" customHeight="1" ht="15">
      <c r="A2083" s="22" t="inlineStr">
        <is>
          <r>
            <t xml:space="preserve">I2391</t>
          </r>
        </is>
      </c>
      <c r="B2083" s="23" t="inlineStr">
        <is>
          <r>
            <t xml:space="preserve">PEDREIRO</t>
          </r>
        </is>
      </c>
      <c r="C2083" s="22" t="inlineStr">
        <is>
          <r>
            <t xml:space="preserve">SEINFRA</t>
          </r>
        </is>
      </c>
      <c r="D2083" s="22" t="inlineStr">
        <is>
          <r>
            <t xml:space="preserve">H</t>
          </r>
        </is>
      </c>
      <c r="E2083" s="24" t="n">
        <v>0.6</v>
      </c>
      <c r="F2083" s="30" t="n">
        <v>24.16</v>
      </c>
      <c r="G2083" s="30" t="n">
        <f>ROUND(ROUND(E2083,8)*F2083,4)</f>
        <v>14.496</v>
      </c>
    </row>
    <row r="2084" customHeight="1" ht="15">
      <c r="A2084" s="22" t="inlineStr">
        <is>
          <r>
            <t xml:space="preserve">I2543</t>
          </r>
        </is>
      </c>
      <c r="B2084" s="23" t="inlineStr">
        <is>
          <r>
            <t xml:space="preserve">SERVENTE</t>
          </r>
        </is>
      </c>
      <c r="C2084" s="22" t="inlineStr">
        <is>
          <r>
            <t xml:space="preserve">SEINFRA</t>
          </r>
        </is>
      </c>
      <c r="D2084" s="22" t="inlineStr">
        <is>
          <r>
            <t xml:space="preserve">H</t>
          </r>
        </is>
      </c>
      <c r="E2084" s="24" t="n">
        <v>0.6</v>
      </c>
      <c r="F2084" s="30" t="n">
        <v>18.46</v>
      </c>
      <c r="G2084" s="30" t="n">
        <f>ROUND(ROUND(E2084,8)*F2084,4)</f>
        <v>11.076</v>
      </c>
    </row>
    <row r="2085" customHeight="1" ht="15">
      <c r="A2085" s="2" t="inlineStr"/>
      <c r="B2085" s="2" t="inlineStr"/>
      <c r="C2085" s="2" t="inlineStr"/>
      <c r="D2085" s="2" t="inlineStr"/>
      <c r="E2085" s="26" t="inlineStr">
        <is>
          <r>
            <t xml:space="preserve">TOTAL Mão de Obra:</t>
          </r>
        </is>
      </c>
      <c r="F2085" s="26" t="inlineStr"/>
      <c r="G2085" s="31" t="n">
        <f>SUM(G2083:G2084)</f>
        <v>25.572</v>
      </c>
    </row>
    <row r="2086" customHeight="1" ht="15">
      <c r="A2086" s="20" t="inlineStr">
        <is>
          <r>
            <t xml:space="preserve">Serviço</t>
          </r>
        </is>
      </c>
      <c r="B2086" s="20" t="inlineStr"/>
      <c r="C2086" s="21" t="inlineStr">
        <is>
          <r>
            <t xml:space="preserve">FONTE</t>
          </r>
        </is>
      </c>
      <c r="D2086" s="21" t="inlineStr">
        <is>
          <r>
            <t xml:space="preserve">UNID</t>
          </r>
        </is>
      </c>
      <c r="E2086" s="21" t="inlineStr">
        <is>
          <r>
            <t xml:space="preserve">COEFICIENTE</t>
          </r>
        </is>
      </c>
      <c r="F2086" s="21" t="inlineStr">
        <is>
          <r>
            <t xml:space="preserve">PREÇO UNITÁRIO</t>
          </r>
        </is>
      </c>
      <c r="G2086" s="21" t="inlineStr">
        <is>
          <r>
            <t xml:space="preserve">TOTAL</t>
          </r>
        </is>
      </c>
    </row>
    <row r="2087" customHeight="1" ht="15">
      <c r="A2087" s="22" t="inlineStr">
        <is>
          <r>
            <t xml:space="preserve">C0170</t>
          </r>
        </is>
      </c>
      <c r="B2087" s="23" t="inlineStr">
        <is>
          <r>
            <t xml:space="preserve">ARGAMASSA DE CIMENTO E AREIA S/PEN. TRAÇO 1:3</t>
          </r>
        </is>
      </c>
      <c r="C2087" s="22" t="inlineStr">
        <is>
          <r>
            <t xml:space="preserve">SEINFRA</t>
          </r>
        </is>
      </c>
      <c r="D2087" s="22" t="inlineStr">
        <is>
          <r>
            <t xml:space="preserve">M3</t>
          </r>
        </is>
      </c>
      <c r="E2087" s="24" t="n">
        <v>0.025</v>
      </c>
      <c r="F2087" s="30" t="n">
        <v>631.29</v>
      </c>
      <c r="G2087" s="30" t="n">
        <f>ROUND(ROUND(E2087,8)*F2087,4)</f>
        <v>15.7823</v>
      </c>
    </row>
    <row r="2088" customHeight="1" ht="15">
      <c r="A2088" s="2" t="inlineStr"/>
      <c r="B2088" s="2" t="inlineStr"/>
      <c r="C2088" s="2" t="inlineStr"/>
      <c r="D2088" s="2" t="inlineStr"/>
      <c r="E2088" s="26" t="inlineStr">
        <is>
          <r>
            <t xml:space="preserve">TOTAL Serviço:</t>
          </r>
        </is>
      </c>
      <c r="F2088" s="26" t="inlineStr"/>
      <c r="G2088" s="31" t="n">
        <f>SUM(G2087:G2087)</f>
        <v>15.7823</v>
      </c>
    </row>
    <row r="2089" customHeight="1" ht="15">
      <c r="A2089" s="2" t="inlineStr"/>
      <c r="B2089" s="2" t="inlineStr"/>
      <c r="C2089" s="2" t="inlineStr"/>
      <c r="D2089" s="2" t="inlineStr"/>
      <c r="E2089" s="28" t="inlineStr">
        <is>
          <r>
            <t xml:space="preserve">VALOR:</t>
          </r>
        </is>
      </c>
      <c r="F2089" s="28" t="inlineStr"/>
      <c r="G2089" s="29" t="n">
        <f>ROUND(SUM(G2085,G2088),2)</f>
        <v>41.35</v>
      </c>
    </row>
    <row r="2090" customHeight="1" ht="15">
      <c r="A2090" s="2" t="inlineStr"/>
      <c r="B2090" s="2" t="inlineStr"/>
      <c r="C2090" s="2" t="inlineStr"/>
      <c r="D2090" s="2" t="inlineStr"/>
      <c r="E2090" s="28" t="inlineStr">
        <is>
          <r>
            <t xml:space="preserve">VALOR BDI:</t>
          </r>
        </is>
      </c>
      <c r="F2090" s="28" t="inlineStr"/>
      <c r="G2090" s="29" t="n">
        <f>ROUND(G2089*(0/100),2)</f>
        <v>0.0</v>
      </c>
    </row>
    <row r="2091" customHeight="1" ht="15">
      <c r="A2091" s="2" t="inlineStr"/>
      <c r="B2091" s="2" t="inlineStr"/>
      <c r="C2091" s="2" t="inlineStr"/>
      <c r="D2091" s="2" t="inlineStr"/>
      <c r="E2091" s="28" t="inlineStr">
        <is>
          <r>
            <t xml:space="preserve">VALOR COM BDI:</t>
          </r>
        </is>
      </c>
      <c r="F2091" s="28" t="inlineStr"/>
      <c r="G2091" s="29" t="n">
        <f>G2090+G2089</f>
        <v>41.35</v>
      </c>
    </row>
    <row r="2092" customHeight="1" ht="10">
      <c r="A2092" s="2" t="inlineStr"/>
      <c r="B2092" s="2" t="inlineStr"/>
      <c r="C2092" s="2" t="inlineStr"/>
      <c r="D2092" s="2" t="inlineStr"/>
      <c r="E2092" s="18" t="inlineStr"/>
      <c r="F2092" s="18" t="inlineStr"/>
      <c r="G2092" s="18" t="inlineStr"/>
    </row>
    <row r="2093" customHeight="1" ht="20">
      <c r="A2093" s="19" t="inlineStr">
        <is>
          <r>
            <t xml:space="preserve">​I0651​ RESERVATÓRIO DE AR COMPRIMIDO (CHI)​ (H)</t>
          </r>
        </is>
      </c>
      <c r="B2093" s="19" t="inlineStr"/>
      <c r="C2093" s="19" t="inlineStr"/>
      <c r="D2093" s="19" t="inlineStr"/>
      <c r="E2093" s="19" t="inlineStr"/>
      <c r="F2093" s="19" t="inlineStr"/>
      <c r="G2093" s="19" t="inlineStr"/>
    </row>
    <row r="2094" customHeight="1" ht="15">
      <c r="A2094" s="20" t="inlineStr">
        <is>
          <r>
            <t xml:space="preserve">Geral</t>
          </r>
        </is>
      </c>
      <c r="B2094" s="20" t="inlineStr"/>
      <c r="C2094" s="21" t="inlineStr">
        <is>
          <r>
            <t xml:space="preserve">FONTE</t>
          </r>
        </is>
      </c>
      <c r="D2094" s="21" t="inlineStr">
        <is>
          <r>
            <t xml:space="preserve">UNID</t>
          </r>
        </is>
      </c>
      <c r="E2094" s="21" t="inlineStr">
        <is>
          <r>
            <t xml:space="preserve">COEFICIENTE</t>
          </r>
        </is>
      </c>
      <c r="F2094" s="21" t="inlineStr">
        <is>
          <r>
            <t xml:space="preserve">PREÇO UNITÁRIO</t>
          </r>
        </is>
      </c>
      <c r="G2094" s="21" t="inlineStr">
        <is>
          <r>
            <t xml:space="preserve">TOTAL</t>
          </r>
        </is>
      </c>
    </row>
    <row r="2095" customHeight="1" ht="15">
      <c r="A2095" s="22" t="inlineStr">
        <is>
          <r>
            <t xml:space="preserve">I2701</t>
          </r>
        </is>
      </c>
      <c r="B2095" s="23" t="inlineStr">
        <is>
          <r>
            <t xml:space="preserve">DEPRECIAÇÃO</t>
          </r>
        </is>
      </c>
      <c r="C2095" s="22" t="inlineStr">
        <is>
          <r>
            <t xml:space="preserve">SEINFRA</t>
          </r>
        </is>
      </c>
      <c r="D2095" s="22" t="inlineStr">
        <is>
          <r>
            <t xml:space="preserve">H</t>
          </r>
        </is>
      </c>
      <c r="E2095" s="24" t="n">
        <v>2.3537</v>
      </c>
      <c r="F2095" s="30" t="n">
        <v>1.0</v>
      </c>
      <c r="G2095" s="30" t="n">
        <f>ROUND(ROUND(E2095,8)*F2095,4)</f>
        <v>2.3537</v>
      </c>
    </row>
    <row r="2096" customHeight="1" ht="15">
      <c r="A2096" s="22" t="inlineStr">
        <is>
          <r>
            <t xml:space="preserve">I2702</t>
          </r>
        </is>
      </c>
      <c r="B2096" s="23" t="inlineStr">
        <is>
          <r>
            <t xml:space="preserve">JUROS</t>
          </r>
        </is>
      </c>
      <c r="C2096" s="22" t="inlineStr">
        <is>
          <r>
            <t xml:space="preserve">SEINFRA</t>
          </r>
        </is>
      </c>
      <c r="D2096" s="22" t="inlineStr">
        <is>
          <r>
            <t xml:space="preserve">H</t>
          </r>
        </is>
      </c>
      <c r="E2096" s="24" t="n">
        <v>1.0406</v>
      </c>
      <c r="F2096" s="30" t="n">
        <v>1.0</v>
      </c>
      <c r="G2096" s="30" t="n">
        <f>ROUND(ROUND(E2096,8)*F2096,4)</f>
        <v>1.0406</v>
      </c>
    </row>
    <row r="2097" customHeight="1" ht="15">
      <c r="A2097" s="2" t="inlineStr"/>
      <c r="B2097" s="2" t="inlineStr"/>
      <c r="C2097" s="2" t="inlineStr"/>
      <c r="D2097" s="2" t="inlineStr"/>
      <c r="E2097" s="26" t="inlineStr">
        <is>
          <r>
            <t xml:space="preserve">TOTAL Geral:</t>
          </r>
        </is>
      </c>
      <c r="F2097" s="26" t="inlineStr"/>
      <c r="G2097" s="31" t="n">
        <f>SUM(G2095:G2096)</f>
        <v>3.3943</v>
      </c>
    </row>
    <row r="2098" customHeight="1" ht="15">
      <c r="A2098" s="2" t="inlineStr"/>
      <c r="B2098" s="2" t="inlineStr"/>
      <c r="C2098" s="2" t="inlineStr"/>
      <c r="D2098" s="2" t="inlineStr"/>
      <c r="E2098" s="28" t="inlineStr">
        <is>
          <r>
            <t xml:space="preserve">VALOR:</t>
          </r>
        </is>
      </c>
      <c r="F2098" s="28" t="inlineStr"/>
      <c r="G2098" s="29" t="n">
        <f>ROUND(SUM(G2097),2)</f>
        <v>3.39</v>
      </c>
    </row>
    <row r="2099" customHeight="1" ht="15">
      <c r="A2099" s="2" t="inlineStr"/>
      <c r="B2099" s="2" t="inlineStr"/>
      <c r="C2099" s="2" t="inlineStr"/>
      <c r="D2099" s="2" t="inlineStr"/>
      <c r="E2099" s="28" t="inlineStr">
        <is>
          <r>
            <t xml:space="preserve">VALOR BDI:</t>
          </r>
        </is>
      </c>
      <c r="F2099" s="28" t="inlineStr"/>
      <c r="G2099" s="29" t="n">
        <f>ROUND(G2098*(0/100),2)</f>
        <v>0.0</v>
      </c>
    </row>
    <row r="2100" customHeight="1" ht="15">
      <c r="A2100" s="2" t="inlineStr"/>
      <c r="B2100" s="2" t="inlineStr"/>
      <c r="C2100" s="2" t="inlineStr"/>
      <c r="D2100" s="2" t="inlineStr"/>
      <c r="E2100" s="28" t="inlineStr">
        <is>
          <r>
            <t xml:space="preserve">VALOR COM BDI:</t>
          </r>
        </is>
      </c>
      <c r="F2100" s="28" t="inlineStr"/>
      <c r="G2100" s="29" t="n">
        <f>G2099+G2098</f>
        <v>3.39</v>
      </c>
    </row>
    <row r="2101" customHeight="1" ht="10">
      <c r="A2101" s="2" t="inlineStr"/>
      <c r="B2101" s="2" t="inlineStr"/>
      <c r="C2101" s="2" t="inlineStr"/>
      <c r="D2101" s="2" t="inlineStr"/>
      <c r="E2101" s="18" t="inlineStr"/>
      <c r="F2101" s="18" t="inlineStr"/>
      <c r="G2101" s="18" t="inlineStr"/>
    </row>
    <row r="2102" customHeight="1" ht="20">
      <c r="A2102" s="19" t="inlineStr">
        <is>
          <r>
            <t xml:space="preserve">​I0764​ RESERVATÓRIO DE AR COMPRIMIDO (CHP)​ (H)</t>
          </r>
        </is>
      </c>
      <c r="B2102" s="19" t="inlineStr"/>
      <c r="C2102" s="19" t="inlineStr"/>
      <c r="D2102" s="19" t="inlineStr"/>
      <c r="E2102" s="19" t="inlineStr"/>
      <c r="F2102" s="19" t="inlineStr"/>
      <c r="G2102" s="19" t="inlineStr"/>
    </row>
    <row r="2103" customHeight="1" ht="15">
      <c r="A2103" s="20" t="inlineStr">
        <is>
          <r>
            <t xml:space="preserve">Geral</t>
          </r>
        </is>
      </c>
      <c r="B2103" s="20" t="inlineStr"/>
      <c r="C2103" s="21" t="inlineStr">
        <is>
          <r>
            <t xml:space="preserve">FONTE</t>
          </r>
        </is>
      </c>
      <c r="D2103" s="21" t="inlineStr">
        <is>
          <r>
            <t xml:space="preserve">UNID</t>
          </r>
        </is>
      </c>
      <c r="E2103" s="21" t="inlineStr">
        <is>
          <r>
            <t xml:space="preserve">COEFICIENTE</t>
          </r>
        </is>
      </c>
      <c r="F2103" s="21" t="inlineStr">
        <is>
          <r>
            <t xml:space="preserve">PREÇO UNITÁRIO</t>
          </r>
        </is>
      </c>
      <c r="G2103" s="21" t="inlineStr">
        <is>
          <r>
            <t xml:space="preserve">TOTAL</t>
          </r>
        </is>
      </c>
    </row>
    <row r="2104" customHeight="1" ht="15">
      <c r="A2104" s="22" t="inlineStr">
        <is>
          <r>
            <t xml:space="preserve">I2701</t>
          </r>
        </is>
      </c>
      <c r="B2104" s="23" t="inlineStr">
        <is>
          <r>
            <t xml:space="preserve">DEPRECIAÇÃO</t>
          </r>
        </is>
      </c>
      <c r="C2104" s="22" t="inlineStr">
        <is>
          <r>
            <t xml:space="preserve">SEINFRA</t>
          </r>
        </is>
      </c>
      <c r="D2104" s="22" t="inlineStr">
        <is>
          <r>
            <t xml:space="preserve">H</t>
          </r>
        </is>
      </c>
      <c r="E2104" s="24" t="n">
        <v>2.3537</v>
      </c>
      <c r="F2104" s="30" t="n">
        <v>1.0</v>
      </c>
      <c r="G2104" s="30" t="n">
        <f>ROUND(ROUND(E2104,8)*F2104,4)</f>
        <v>2.3537</v>
      </c>
    </row>
    <row r="2105" customHeight="1" ht="15">
      <c r="A2105" s="22" t="inlineStr">
        <is>
          <r>
            <t xml:space="preserve">I2702</t>
          </r>
        </is>
      </c>
      <c r="B2105" s="23" t="inlineStr">
        <is>
          <r>
            <t xml:space="preserve">JUROS</t>
          </r>
        </is>
      </c>
      <c r="C2105" s="22" t="inlineStr">
        <is>
          <r>
            <t xml:space="preserve">SEINFRA</t>
          </r>
        </is>
      </c>
      <c r="D2105" s="22" t="inlineStr">
        <is>
          <r>
            <t xml:space="preserve">H</t>
          </r>
        </is>
      </c>
      <c r="E2105" s="24" t="n">
        <v>1.0406</v>
      </c>
      <c r="F2105" s="30" t="n">
        <v>1.0</v>
      </c>
      <c r="G2105" s="30" t="n">
        <f>ROUND(ROUND(E2105,8)*F2105,4)</f>
        <v>1.0406</v>
      </c>
    </row>
    <row r="2106" customHeight="1" ht="15">
      <c r="A2106" s="22" t="inlineStr">
        <is>
          <r>
            <t xml:space="preserve">I2703</t>
          </r>
        </is>
      </c>
      <c r="B2106" s="23" t="inlineStr">
        <is>
          <r>
            <t xml:space="preserve">MANUTENÇÃO</t>
          </r>
        </is>
      </c>
      <c r="C2106" s="22" t="inlineStr">
        <is>
          <r>
            <t xml:space="preserve">SEINFRA</t>
          </r>
        </is>
      </c>
      <c r="D2106" s="22" t="inlineStr">
        <is>
          <r>
            <t xml:space="preserve">H</t>
          </r>
        </is>
      </c>
      <c r="E2106" s="24" t="n">
        <v>1.2388</v>
      </c>
      <c r="F2106" s="30" t="n">
        <v>1.0</v>
      </c>
      <c r="G2106" s="30" t="n">
        <f>ROUND(ROUND(E2106,8)*F2106,4)</f>
        <v>1.2388</v>
      </c>
    </row>
    <row r="2107" customHeight="1" ht="15">
      <c r="A2107" s="2" t="inlineStr"/>
      <c r="B2107" s="2" t="inlineStr"/>
      <c r="C2107" s="2" t="inlineStr"/>
      <c r="D2107" s="2" t="inlineStr"/>
      <c r="E2107" s="26" t="inlineStr">
        <is>
          <r>
            <t xml:space="preserve">TOTAL Geral:</t>
          </r>
        </is>
      </c>
      <c r="F2107" s="26" t="inlineStr"/>
      <c r="G2107" s="31" t="n">
        <f>SUM(G2104:G2106)</f>
        <v>4.6331</v>
      </c>
    </row>
    <row r="2108" customHeight="1" ht="15">
      <c r="A2108" s="2" t="inlineStr"/>
      <c r="B2108" s="2" t="inlineStr"/>
      <c r="C2108" s="2" t="inlineStr"/>
      <c r="D2108" s="2" t="inlineStr"/>
      <c r="E2108" s="28" t="inlineStr">
        <is>
          <r>
            <t xml:space="preserve">VALOR:</t>
          </r>
        </is>
      </c>
      <c r="F2108" s="28" t="inlineStr"/>
      <c r="G2108" s="29" t="n">
        <f>ROUND(SUM(G2107),2)</f>
        <v>4.63</v>
      </c>
    </row>
    <row r="2109" customHeight="1" ht="15">
      <c r="A2109" s="2" t="inlineStr"/>
      <c r="B2109" s="2" t="inlineStr"/>
      <c r="C2109" s="2" t="inlineStr"/>
      <c r="D2109" s="2" t="inlineStr"/>
      <c r="E2109" s="28" t="inlineStr">
        <is>
          <r>
            <t xml:space="preserve">VALOR BDI:</t>
          </r>
        </is>
      </c>
      <c r="F2109" s="28" t="inlineStr"/>
      <c r="G2109" s="29" t="n">
        <f>ROUND(G2108*(0/100),2)</f>
        <v>0.0</v>
      </c>
    </row>
    <row r="2110" customHeight="1" ht="15">
      <c r="A2110" s="2" t="inlineStr"/>
      <c r="B2110" s="2" t="inlineStr"/>
      <c r="C2110" s="2" t="inlineStr"/>
      <c r="D2110" s="2" t="inlineStr"/>
      <c r="E2110" s="28" t="inlineStr">
        <is>
          <r>
            <t xml:space="preserve">VALOR COM BDI:</t>
          </r>
        </is>
      </c>
      <c r="F2110" s="28" t="inlineStr"/>
      <c r="G2110" s="29" t="n">
        <f>G2109+G2108</f>
        <v>4.63</v>
      </c>
    </row>
    <row r="2111" customHeight="1" ht="10">
      <c r="A2111" s="2" t="inlineStr"/>
      <c r="B2111" s="2" t="inlineStr"/>
      <c r="C2111" s="2" t="inlineStr"/>
      <c r="D2111" s="2" t="inlineStr"/>
      <c r="E2111" s="18" t="inlineStr"/>
      <c r="F2111" s="18" t="inlineStr"/>
      <c r="G2111" s="18" t="inlineStr"/>
    </row>
    <row r="2112" customHeight="1" ht="20">
      <c r="A2112" s="19" t="inlineStr">
        <is>
          <r>
            <t xml:space="preserve">​I0653​ RETRO ESCAVADEIRA DE PNEUS (CHI)​ (H)</t>
          </r>
        </is>
      </c>
      <c r="B2112" s="19" t="inlineStr"/>
      <c r="C2112" s="19" t="inlineStr"/>
      <c r="D2112" s="19" t="inlineStr"/>
      <c r="E2112" s="19" t="inlineStr"/>
      <c r="F2112" s="19" t="inlineStr"/>
      <c r="G2112" s="19" t="inlineStr"/>
    </row>
    <row r="2113" customHeight="1" ht="15">
      <c r="A2113" s="20" t="inlineStr">
        <is>
          <r>
            <t xml:space="preserve">Geral</t>
          </r>
        </is>
      </c>
      <c r="B2113" s="20" t="inlineStr"/>
      <c r="C2113" s="21" t="inlineStr">
        <is>
          <r>
            <t xml:space="preserve">FONTE</t>
          </r>
        </is>
      </c>
      <c r="D2113" s="21" t="inlineStr">
        <is>
          <r>
            <t xml:space="preserve">UNID</t>
          </r>
        </is>
      </c>
      <c r="E2113" s="21" t="inlineStr">
        <is>
          <r>
            <t xml:space="preserve">COEFICIENTE</t>
          </r>
        </is>
      </c>
      <c r="F2113" s="21" t="inlineStr">
        <is>
          <r>
            <t xml:space="preserve">PREÇO UNITÁRIO</t>
          </r>
        </is>
      </c>
      <c r="G2113" s="21" t="inlineStr">
        <is>
          <r>
            <t xml:space="preserve">TOTAL</t>
          </r>
        </is>
      </c>
    </row>
    <row r="2114" customHeight="1" ht="21">
      <c r="A2114" s="22" t="inlineStr">
        <is>
          <r>
            <t xml:space="preserve">I2827</t>
          </r>
        </is>
      </c>
      <c r="B2114" s="23" t="inlineStr">
        <is>
          <r>
            <t xml:space="preserve">MÃO DE OBRA DE OPERAÇÃO DA RETRO ESCAVADEIRA DE PNEUS</t>
          </r>
        </is>
      </c>
      <c r="C2114" s="22" t="inlineStr">
        <is>
          <r>
            <t xml:space="preserve">SEINFRA</t>
          </r>
        </is>
      </c>
      <c r="D2114" s="22" t="inlineStr">
        <is>
          <r>
            <t xml:space="preserve">H</t>
          </r>
        </is>
      </c>
      <c r="E2114" s="24" t="n">
        <v>1.0</v>
      </c>
      <c r="F2114" s="30" t="n">
        <v>28.81</v>
      </c>
      <c r="G2114" s="30" t="n">
        <f>ROUND(ROUND(E2114,8)*F2114,4)</f>
        <v>28.81</v>
      </c>
    </row>
    <row r="2115" customHeight="1" ht="15">
      <c r="A2115" s="22" t="inlineStr">
        <is>
          <r>
            <t xml:space="preserve">I2701</t>
          </r>
        </is>
      </c>
      <c r="B2115" s="23" t="inlineStr">
        <is>
          <r>
            <t xml:space="preserve">DEPRECIAÇÃO</t>
          </r>
        </is>
      </c>
      <c r="C2115" s="22" t="inlineStr">
        <is>
          <r>
            <t xml:space="preserve">SEINFRA</t>
          </r>
        </is>
      </c>
      <c r="D2115" s="22" t="inlineStr">
        <is>
          <r>
            <t xml:space="preserve">H</t>
          </r>
        </is>
      </c>
      <c r="E2115" s="24" t="n">
        <v>18.3769</v>
      </c>
      <c r="F2115" s="30" t="n">
        <v>1.0</v>
      </c>
      <c r="G2115" s="30" t="n">
        <f>ROUND(ROUND(E2115,8)*F2115,4)</f>
        <v>18.3769</v>
      </c>
    </row>
    <row r="2116" customHeight="1" ht="15">
      <c r="A2116" s="22" t="inlineStr">
        <is>
          <r>
            <t xml:space="preserve">I2702</t>
          </r>
        </is>
      </c>
      <c r="B2116" s="23" t="inlineStr">
        <is>
          <r>
            <t xml:space="preserve">JUROS</t>
          </r>
        </is>
      </c>
      <c r="C2116" s="22" t="inlineStr">
        <is>
          <r>
            <t xml:space="preserve">SEINFRA</t>
          </r>
        </is>
      </c>
      <c r="D2116" s="22" t="inlineStr">
        <is>
          <r>
            <t xml:space="preserve">H</t>
          </r>
        </is>
      </c>
      <c r="E2116" s="24" t="n">
        <v>6.2022</v>
      </c>
      <c r="F2116" s="30" t="n">
        <v>1.0</v>
      </c>
      <c r="G2116" s="30" t="n">
        <f>ROUND(ROUND(E2116,8)*F2116,4)</f>
        <v>6.2022</v>
      </c>
    </row>
    <row r="2117" customHeight="1" ht="15">
      <c r="A2117" s="2" t="inlineStr"/>
      <c r="B2117" s="2" t="inlineStr"/>
      <c r="C2117" s="2" t="inlineStr"/>
      <c r="D2117" s="2" t="inlineStr"/>
      <c r="E2117" s="26" t="inlineStr">
        <is>
          <r>
            <t xml:space="preserve">TOTAL Geral:</t>
          </r>
        </is>
      </c>
      <c r="F2117" s="26" t="inlineStr"/>
      <c r="G2117" s="31" t="n">
        <f>SUM(G2114:G2116)</f>
        <v>53.3891</v>
      </c>
    </row>
    <row r="2118" customHeight="1" ht="15">
      <c r="A2118" s="2" t="inlineStr"/>
      <c r="B2118" s="2" t="inlineStr"/>
      <c r="C2118" s="2" t="inlineStr"/>
      <c r="D2118" s="2" t="inlineStr"/>
      <c r="E2118" s="28" t="inlineStr">
        <is>
          <r>
            <t xml:space="preserve">VALOR:</t>
          </r>
        </is>
      </c>
      <c r="F2118" s="28" t="inlineStr"/>
      <c r="G2118" s="29" t="n">
        <f>ROUND(SUM(G2117),2)</f>
        <v>53.39</v>
      </c>
    </row>
    <row r="2119" customHeight="1" ht="15">
      <c r="A2119" s="2" t="inlineStr"/>
      <c r="B2119" s="2" t="inlineStr"/>
      <c r="C2119" s="2" t="inlineStr"/>
      <c r="D2119" s="2" t="inlineStr"/>
      <c r="E2119" s="28" t="inlineStr">
        <is>
          <r>
            <t xml:space="preserve">VALOR BDI:</t>
          </r>
        </is>
      </c>
      <c r="F2119" s="28" t="inlineStr"/>
      <c r="G2119" s="29" t="n">
        <f>ROUND(G2118*(0/100),2)</f>
        <v>0.0</v>
      </c>
    </row>
    <row r="2120" customHeight="1" ht="15">
      <c r="A2120" s="2" t="inlineStr"/>
      <c r="B2120" s="2" t="inlineStr"/>
      <c r="C2120" s="2" t="inlineStr"/>
      <c r="D2120" s="2" t="inlineStr"/>
      <c r="E2120" s="28" t="inlineStr">
        <is>
          <r>
            <t xml:space="preserve">VALOR COM BDI:</t>
          </r>
        </is>
      </c>
      <c r="F2120" s="28" t="inlineStr"/>
      <c r="G2120" s="29" t="n">
        <f>G2119+G2118</f>
        <v>53.39</v>
      </c>
    </row>
    <row r="2121" customHeight="1" ht="10">
      <c r="A2121" s="2" t="inlineStr"/>
      <c r="B2121" s="2" t="inlineStr"/>
      <c r="C2121" s="2" t="inlineStr"/>
      <c r="D2121" s="2" t="inlineStr"/>
      <c r="E2121" s="18" t="inlineStr"/>
      <c r="F2121" s="18" t="inlineStr"/>
      <c r="G2121" s="18" t="inlineStr"/>
    </row>
    <row r="2122" customHeight="1" ht="20">
      <c r="A2122" s="19" t="inlineStr">
        <is>
          <r>
            <t xml:space="preserve">​I0765​ RETRO ESCAVADEIRA DE PNEUS (CHP)​ (H)</t>
          </r>
        </is>
      </c>
      <c r="B2122" s="19" t="inlineStr"/>
      <c r="C2122" s="19" t="inlineStr"/>
      <c r="D2122" s="19" t="inlineStr"/>
      <c r="E2122" s="19" t="inlineStr"/>
      <c r="F2122" s="19" t="inlineStr"/>
      <c r="G2122" s="19" t="inlineStr"/>
    </row>
    <row r="2123" customHeight="1" ht="15">
      <c r="A2123" s="20" t="inlineStr">
        <is>
          <r>
            <t xml:space="preserve">Geral</t>
          </r>
        </is>
      </c>
      <c r="B2123" s="20" t="inlineStr"/>
      <c r="C2123" s="21" t="inlineStr">
        <is>
          <r>
            <t xml:space="preserve">FONTE</t>
          </r>
        </is>
      </c>
      <c r="D2123" s="21" t="inlineStr">
        <is>
          <r>
            <t xml:space="preserve">UNID</t>
          </r>
        </is>
      </c>
      <c r="E2123" s="21" t="inlineStr">
        <is>
          <r>
            <t xml:space="preserve">COEFICIENTE</t>
          </r>
        </is>
      </c>
      <c r="F2123" s="21" t="inlineStr">
        <is>
          <r>
            <t xml:space="preserve">PREÇO UNITÁRIO</t>
          </r>
        </is>
      </c>
      <c r="G2123" s="21" t="inlineStr">
        <is>
          <r>
            <t xml:space="preserve">TOTAL</t>
          </r>
        </is>
      </c>
    </row>
    <row r="2124" customHeight="1" ht="21">
      <c r="A2124" s="22" t="inlineStr">
        <is>
          <r>
            <t xml:space="preserve">I2827</t>
          </r>
        </is>
      </c>
      <c r="B2124" s="23" t="inlineStr">
        <is>
          <r>
            <t xml:space="preserve">MÃO DE OBRA DE OPERAÇÃO DA RETRO ESCAVADEIRA DE PNEUS</t>
          </r>
        </is>
      </c>
      <c r="C2124" s="22" t="inlineStr">
        <is>
          <r>
            <t xml:space="preserve">SEINFRA</t>
          </r>
        </is>
      </c>
      <c r="D2124" s="22" t="inlineStr">
        <is>
          <r>
            <t xml:space="preserve">H</t>
          </r>
        </is>
      </c>
      <c r="E2124" s="24" t="n">
        <v>1.0</v>
      </c>
      <c r="F2124" s="30" t="n">
        <v>28.81</v>
      </c>
      <c r="G2124" s="30" t="n">
        <f>ROUND(ROUND(E2124,8)*F2124,4)</f>
        <v>28.81</v>
      </c>
    </row>
    <row r="2125" customHeight="1" ht="21">
      <c r="A2125" s="22" t="inlineStr">
        <is>
          <r>
            <t xml:space="preserve">I2826</t>
          </r>
        </is>
      </c>
      <c r="B2125" s="23" t="inlineStr">
        <is>
          <r>
            <t xml:space="preserve">MATERIAL DE OPERAÇÃO DA RETRO ESCAVADEIRA DE PNEUS</t>
          </r>
        </is>
      </c>
      <c r="C2125" s="22" t="inlineStr">
        <is>
          <r>
            <t xml:space="preserve">SEINFRA</t>
          </r>
        </is>
      </c>
      <c r="D2125" s="22" t="inlineStr">
        <is>
          <r>
            <t xml:space="preserve">H</t>
          </r>
        </is>
      </c>
      <c r="E2125" s="24" t="n">
        <v>1.0</v>
      </c>
      <c r="F2125" s="30" t="n">
        <v>56.1375</v>
      </c>
      <c r="G2125" s="30" t="n">
        <f>ROUND(ROUND(E2125,8)*F2125,4)</f>
        <v>56.1375</v>
      </c>
    </row>
    <row r="2126" customHeight="1" ht="15">
      <c r="A2126" s="22" t="inlineStr">
        <is>
          <r>
            <t xml:space="preserve">I2701</t>
          </r>
        </is>
      </c>
      <c r="B2126" s="23" t="inlineStr">
        <is>
          <r>
            <t xml:space="preserve">DEPRECIAÇÃO</t>
          </r>
        </is>
      </c>
      <c r="C2126" s="22" t="inlineStr">
        <is>
          <r>
            <t xml:space="preserve">SEINFRA</t>
          </r>
        </is>
      </c>
      <c r="D2126" s="22" t="inlineStr">
        <is>
          <r>
            <t xml:space="preserve">H</t>
          </r>
        </is>
      </c>
      <c r="E2126" s="24" t="n">
        <v>18.3769</v>
      </c>
      <c r="F2126" s="30" t="n">
        <v>1.0</v>
      </c>
      <c r="G2126" s="30" t="n">
        <f>ROUND(ROUND(E2126,8)*F2126,4)</f>
        <v>18.3769</v>
      </c>
    </row>
    <row r="2127" customHeight="1" ht="15">
      <c r="A2127" s="22" t="inlineStr">
        <is>
          <r>
            <t xml:space="preserve">I2702</t>
          </r>
        </is>
      </c>
      <c r="B2127" s="23" t="inlineStr">
        <is>
          <r>
            <t xml:space="preserve">JUROS</t>
          </r>
        </is>
      </c>
      <c r="C2127" s="22" t="inlineStr">
        <is>
          <r>
            <t xml:space="preserve">SEINFRA</t>
          </r>
        </is>
      </c>
      <c r="D2127" s="22" t="inlineStr">
        <is>
          <r>
            <t xml:space="preserve">H</t>
          </r>
        </is>
      </c>
      <c r="E2127" s="24" t="n">
        <v>6.2022</v>
      </c>
      <c r="F2127" s="30" t="n">
        <v>1.0</v>
      </c>
      <c r="G2127" s="30" t="n">
        <f>ROUND(ROUND(E2127,8)*F2127,4)</f>
        <v>6.2022</v>
      </c>
    </row>
    <row r="2128" customHeight="1" ht="15">
      <c r="A2128" s="22" t="inlineStr">
        <is>
          <r>
            <t xml:space="preserve">I2703</t>
          </r>
        </is>
      </c>
      <c r="B2128" s="23" t="inlineStr">
        <is>
          <r>
            <t xml:space="preserve">MANUTENÇÃO</t>
          </r>
        </is>
      </c>
      <c r="C2128" s="22" t="inlineStr">
        <is>
          <r>
            <t xml:space="preserve">SEINFRA</t>
          </r>
        </is>
      </c>
      <c r="D2128" s="22" t="inlineStr">
        <is>
          <r>
            <t xml:space="preserve">H</t>
          </r>
        </is>
      </c>
      <c r="E2128" s="24" t="n">
        <v>27.5654</v>
      </c>
      <c r="F2128" s="30" t="n">
        <v>1.0</v>
      </c>
      <c r="G2128" s="30" t="n">
        <f>ROUND(ROUND(E2128,8)*F2128,4)</f>
        <v>27.5654</v>
      </c>
    </row>
    <row r="2129" customHeight="1" ht="15">
      <c r="A2129" s="2" t="inlineStr"/>
      <c r="B2129" s="2" t="inlineStr"/>
      <c r="C2129" s="2" t="inlineStr"/>
      <c r="D2129" s="2" t="inlineStr"/>
      <c r="E2129" s="26" t="inlineStr">
        <is>
          <r>
            <t xml:space="preserve">TOTAL Geral:</t>
          </r>
        </is>
      </c>
      <c r="F2129" s="26" t="inlineStr"/>
      <c r="G2129" s="31" t="n">
        <f>SUM(G2124:G2128)</f>
        <v>137.092</v>
      </c>
    </row>
    <row r="2130" customHeight="1" ht="15">
      <c r="A2130" s="2" t="inlineStr"/>
      <c r="B2130" s="2" t="inlineStr"/>
      <c r="C2130" s="2" t="inlineStr"/>
      <c r="D2130" s="2" t="inlineStr"/>
      <c r="E2130" s="28" t="inlineStr">
        <is>
          <r>
            <t xml:space="preserve">VALOR:</t>
          </r>
        </is>
      </c>
      <c r="F2130" s="28" t="inlineStr"/>
      <c r="G2130" s="29" t="n">
        <f>ROUND(SUM(G2129),2)</f>
        <v>137.09</v>
      </c>
    </row>
    <row r="2131" customHeight="1" ht="15">
      <c r="A2131" s="2" t="inlineStr"/>
      <c r="B2131" s="2" t="inlineStr"/>
      <c r="C2131" s="2" t="inlineStr"/>
      <c r="D2131" s="2" t="inlineStr"/>
      <c r="E2131" s="28" t="inlineStr">
        <is>
          <r>
            <t xml:space="preserve">VALOR BDI:</t>
          </r>
        </is>
      </c>
      <c r="F2131" s="28" t="inlineStr"/>
      <c r="G2131" s="29" t="n">
        <f>ROUND(G2130*(0/100),2)</f>
        <v>0.0</v>
      </c>
    </row>
    <row r="2132" customHeight="1" ht="15">
      <c r="A2132" s="2" t="inlineStr"/>
      <c r="B2132" s="2" t="inlineStr"/>
      <c r="C2132" s="2" t="inlineStr"/>
      <c r="D2132" s="2" t="inlineStr"/>
      <c r="E2132" s="28" t="inlineStr">
        <is>
          <r>
            <t xml:space="preserve">VALOR COM BDI:</t>
          </r>
        </is>
      </c>
      <c r="F2132" s="28" t="inlineStr"/>
      <c r="G2132" s="29" t="n">
        <f>G2131+G2130</f>
        <v>137.09</v>
      </c>
    </row>
    <row r="2133" customHeight="1" ht="10">
      <c r="A2133" s="2" t="inlineStr"/>
      <c r="B2133" s="2" t="inlineStr"/>
      <c r="C2133" s="2" t="inlineStr"/>
      <c r="D2133" s="2" t="inlineStr"/>
      <c r="E2133" s="18" t="inlineStr"/>
      <c r="F2133" s="18" t="inlineStr"/>
      <c r="G2133" s="18" t="inlineStr"/>
    </row>
    <row r="2134" customHeight="1" ht="20">
      <c r="A2134" s="19" t="inlineStr">
        <is>
          <r>
            <t xml:space="preserve">​C3235​ ROCHA PARA BRITAGEM​ (M3)</t>
          </r>
        </is>
      </c>
      <c r="B2134" s="19" t="inlineStr"/>
      <c r="C2134" s="19" t="inlineStr"/>
      <c r="D2134" s="19" t="inlineStr"/>
      <c r="E2134" s="19" t="inlineStr"/>
      <c r="F2134" s="19" t="inlineStr"/>
      <c r="G2134" s="19" t="inlineStr"/>
    </row>
    <row r="2135" customHeight="1" ht="15">
      <c r="A2135" s="20" t="inlineStr">
        <is>
          <r>
            <t xml:space="preserve">Equipamento Custo Horário</t>
          </r>
        </is>
      </c>
      <c r="B2135" s="20" t="inlineStr"/>
      <c r="C2135" s="21" t="inlineStr">
        <is>
          <r>
            <t xml:space="preserve">FONTE</t>
          </r>
        </is>
      </c>
      <c r="D2135" s="21" t="inlineStr">
        <is>
          <r>
            <t xml:space="preserve">UNID</t>
          </r>
        </is>
      </c>
      <c r="E2135" s="21" t="inlineStr">
        <is>
          <r>
            <t xml:space="preserve">COEFICIENTE</t>
          </r>
        </is>
      </c>
      <c r="F2135" s="21" t="inlineStr">
        <is>
          <r>
            <t xml:space="preserve">PREÇO UNITÁRIO</t>
          </r>
        </is>
      </c>
      <c r="G2135" s="21" t="inlineStr">
        <is>
          <r>
            <t xml:space="preserve">TOTAL</t>
          </r>
        </is>
      </c>
    </row>
    <row r="2136" customHeight="1" ht="15">
      <c r="A2136" s="22" t="inlineStr">
        <is>
          <r>
            <t xml:space="preserve">I0614</t>
          </r>
        </is>
      </c>
      <c r="B2136" s="23" t="inlineStr">
        <is>
          <r>
            <t xml:space="preserve">COMPRESSOR DE AR 250 PCM (CHI)</t>
          </r>
        </is>
      </c>
      <c r="C2136" s="22" t="inlineStr">
        <is>
          <r>
            <t xml:space="preserve">SEINFRA</t>
          </r>
        </is>
      </c>
      <c r="D2136" s="22" t="inlineStr">
        <is>
          <r>
            <t xml:space="preserve">H</t>
          </r>
        </is>
      </c>
      <c r="E2136" s="24" t="n">
        <v>0.0</v>
      </c>
      <c r="F2136" s="30" t="n">
        <v>45.0499</v>
      </c>
      <c r="G2136" s="30" t="n">
        <f>ROUND(ROUND(E2136,8)*F2136,4)</f>
        <v>0.0</v>
      </c>
    </row>
    <row r="2137" customHeight="1" ht="15">
      <c r="A2137" s="22" t="inlineStr">
        <is>
          <r>
            <t xml:space="preserve">I0728</t>
          </r>
        </is>
      </c>
      <c r="B2137" s="23" t="inlineStr">
        <is>
          <r>
            <t xml:space="preserve">COMPRESSOR DE AR 250 PCM (CHP)</t>
          </r>
        </is>
      </c>
      <c r="C2137" s="22" t="inlineStr">
        <is>
          <r>
            <t xml:space="preserve">SEINFRA</t>
          </r>
        </is>
      </c>
      <c r="D2137" s="22" t="inlineStr">
        <is>
          <r>
            <t xml:space="preserve">H</t>
          </r>
        </is>
      </c>
      <c r="E2137" s="24" t="n">
        <v>0.05882353</v>
      </c>
      <c r="F2137" s="30" t="n">
        <v>135.2089</v>
      </c>
      <c r="G2137" s="30" t="n">
        <f>ROUND(ROUND(E2137,8)*F2137,4)</f>
        <v>7.9535</v>
      </c>
    </row>
    <row r="2138" customHeight="1" ht="15">
      <c r="A2138" s="22" t="inlineStr">
        <is>
          <r>
            <t xml:space="preserve">I0645</t>
          </r>
        </is>
      </c>
      <c r="B2138" s="23" t="inlineStr">
        <is>
          <r>
            <t xml:space="preserve">PERFURATRIZ PNEUMÁTICA (CHI)</t>
          </r>
        </is>
      </c>
      <c r="C2138" s="22" t="inlineStr">
        <is>
          <r>
            <t xml:space="preserve">SEINFRA</t>
          </r>
        </is>
      </c>
      <c r="D2138" s="22" t="inlineStr">
        <is>
          <r>
            <t xml:space="preserve">H</t>
          </r>
        </is>
      </c>
      <c r="E2138" s="24" t="n">
        <v>0.0</v>
      </c>
      <c r="F2138" s="30" t="n">
        <v>24.2147</v>
      </c>
      <c r="G2138" s="30" t="n">
        <f>ROUND(ROUND(E2138,8)*F2138,4)</f>
        <v>0.0</v>
      </c>
    </row>
    <row r="2139" customHeight="1" ht="15">
      <c r="A2139" s="22" t="inlineStr">
        <is>
          <r>
            <t xml:space="preserve">I0759</t>
          </r>
        </is>
      </c>
      <c r="B2139" s="23" t="inlineStr">
        <is>
          <r>
            <t xml:space="preserve">PERFURATRIZ PNEUMÁTICA (CHP)</t>
          </r>
        </is>
      </c>
      <c r="C2139" s="22" t="inlineStr">
        <is>
          <r>
            <t xml:space="preserve">SEINFRA</t>
          </r>
        </is>
      </c>
      <c r="D2139" s="22" t="inlineStr">
        <is>
          <r>
            <t xml:space="preserve">H</t>
          </r>
        </is>
      </c>
      <c r="E2139" s="24" t="n">
        <v>0.17647059</v>
      </c>
      <c r="F2139" s="30" t="n">
        <v>25.6074</v>
      </c>
      <c r="G2139" s="30" t="n">
        <f>ROUND(ROUND(E2139,8)*F2139,4)</f>
        <v>4.519</v>
      </c>
    </row>
    <row r="2140" customHeight="1" ht="18">
      <c r="A2140" s="2" t="inlineStr"/>
      <c r="B2140" s="2" t="inlineStr"/>
      <c r="C2140" s="2" t="inlineStr"/>
      <c r="D2140" s="2" t="inlineStr"/>
      <c r="E2140" s="26" t="inlineStr">
        <is>
          <r>
            <t xml:space="preserve">TOTAL Equipamento Custo Horário:</t>
          </r>
        </is>
      </c>
      <c r="F2140" s="26" t="inlineStr"/>
      <c r="G2140" s="31" t="n">
        <f>SUM(G2136:G2139)</f>
        <v>12.4725</v>
      </c>
    </row>
    <row r="2141" customHeight="1" ht="15">
      <c r="A2141" s="20" t="inlineStr">
        <is>
          <r>
            <t xml:space="preserve">Material</t>
          </r>
        </is>
      </c>
      <c r="B2141" s="20" t="inlineStr"/>
      <c r="C2141" s="21" t="inlineStr">
        <is>
          <r>
            <t xml:space="preserve">FONTE</t>
          </r>
        </is>
      </c>
      <c r="D2141" s="21" t="inlineStr">
        <is>
          <r>
            <t xml:space="preserve">UNID</t>
          </r>
        </is>
      </c>
      <c r="E2141" s="21" t="inlineStr">
        <is>
          <r>
            <t xml:space="preserve">COEFICIENTE</t>
          </r>
        </is>
      </c>
      <c r="F2141" s="21" t="inlineStr">
        <is>
          <r>
            <t xml:space="preserve">PREÇO UNITÁRIO</t>
          </r>
        </is>
      </c>
      <c r="G2141" s="21" t="inlineStr">
        <is>
          <r>
            <t xml:space="preserve">TOTAL</t>
          </r>
        </is>
      </c>
    </row>
    <row r="2142" customHeight="1" ht="15">
      <c r="A2142" s="22" t="inlineStr">
        <is>
          <r>
            <t xml:space="preserve">I0860</t>
          </r>
        </is>
      </c>
      <c r="B2142" s="23" t="inlineStr">
        <is>
          <r>
            <t xml:space="preserve">CORDEL DETONANTE</t>
          </r>
        </is>
      </c>
      <c r="C2142" s="22" t="inlineStr">
        <is>
          <r>
            <t xml:space="preserve">SEINFRA</t>
          </r>
        </is>
      </c>
      <c r="D2142" s="22" t="inlineStr">
        <is>
          <r>
            <t xml:space="preserve">M</t>
          </r>
        </is>
      </c>
      <c r="E2142" s="24" t="n">
        <v>1.24</v>
      </c>
      <c r="F2142" s="30" t="n">
        <v>6.01</v>
      </c>
      <c r="G2142" s="30" t="n">
        <f>ROUND(ROUND(E2142,8)*F2142,4)</f>
        <v>7.4524</v>
      </c>
    </row>
    <row r="2143" customHeight="1" ht="15">
      <c r="A2143" s="22" t="inlineStr">
        <is>
          <r>
            <t xml:space="preserve">I2507</t>
          </r>
        </is>
      </c>
      <c r="B2143" s="23" t="inlineStr">
        <is>
          <r>
            <t xml:space="preserve">DINAMITE 60%</t>
          </r>
        </is>
      </c>
      <c r="C2143" s="22" t="inlineStr">
        <is>
          <r>
            <t xml:space="preserve">SEINFRA</t>
          </r>
        </is>
      </c>
      <c r="D2143" s="22" t="inlineStr">
        <is>
          <r>
            <t xml:space="preserve">KG</t>
          </r>
        </is>
      </c>
      <c r="E2143" s="24" t="n">
        <v>0.05</v>
      </c>
      <c r="F2143" s="30" t="n">
        <v>18.67</v>
      </c>
      <c r="G2143" s="30" t="n">
        <f>ROUND(ROUND(E2143,8)*F2143,4)</f>
        <v>0.9335</v>
      </c>
    </row>
    <row r="2144" customHeight="1" ht="15">
      <c r="A2144" s="22" t="inlineStr">
        <is>
          <r>
            <t xml:space="preserve">I2568</t>
          </r>
        </is>
      </c>
      <c r="B2144" s="23" t="inlineStr">
        <is>
          <r>
            <t xml:space="preserve">DINAMITE GRANULADA</t>
          </r>
        </is>
      </c>
      <c r="C2144" s="22" t="inlineStr">
        <is>
          <r>
            <t xml:space="preserve">SEINFRA</t>
          </r>
        </is>
      </c>
      <c r="D2144" s="22" t="inlineStr">
        <is>
          <r>
            <t xml:space="preserve">KG</t>
          </r>
        </is>
      </c>
      <c r="E2144" s="24" t="n">
        <v>0.54</v>
      </c>
      <c r="F2144" s="30" t="n">
        <v>16.06</v>
      </c>
      <c r="G2144" s="30" t="n">
        <f>ROUND(ROUND(E2144,8)*F2144,4)</f>
        <v>8.6724</v>
      </c>
    </row>
    <row r="2145" customHeight="1" ht="15">
      <c r="A2145" s="22" t="inlineStr">
        <is>
          <r>
            <t xml:space="preserve">I2326</t>
          </r>
        </is>
      </c>
      <c r="B2145" s="23" t="inlineStr">
        <is>
          <r>
            <t xml:space="preserve">ESPOLETA</t>
          </r>
        </is>
      </c>
      <c r="C2145" s="22" t="inlineStr">
        <is>
          <r>
            <t xml:space="preserve">SEINFRA</t>
          </r>
        </is>
      </c>
      <c r="D2145" s="22" t="inlineStr">
        <is>
          <r>
            <t xml:space="preserve">UN</t>
          </r>
        </is>
      </c>
      <c r="E2145" s="24" t="n">
        <v>0.009</v>
      </c>
      <c r="F2145" s="30" t="n">
        <v>7.4</v>
      </c>
      <c r="G2145" s="30" t="n">
        <f>ROUND(ROUND(E2145,8)*F2145,4)</f>
        <v>0.0666</v>
      </c>
    </row>
    <row r="2146" customHeight="1" ht="15">
      <c r="A2146" s="22" t="inlineStr">
        <is>
          <r>
            <t xml:space="preserve">I2329</t>
          </r>
        </is>
      </c>
      <c r="B2146" s="23" t="inlineStr">
        <is>
          <r>
            <t xml:space="preserve">ESTOPIM</t>
          </r>
        </is>
      </c>
      <c r="C2146" s="22" t="inlineStr">
        <is>
          <r>
            <t xml:space="preserve">SEINFRA</t>
          </r>
        </is>
      </c>
      <c r="D2146" s="22" t="inlineStr">
        <is>
          <r>
            <t xml:space="preserve">M</t>
          </r>
        </is>
      </c>
      <c r="E2146" s="24" t="n">
        <v>0.06</v>
      </c>
      <c r="F2146" s="30" t="n">
        <v>7.25</v>
      </c>
      <c r="G2146" s="30" t="n">
        <f>ROUND(ROUND(E2146,8)*F2146,4)</f>
        <v>0.435</v>
      </c>
    </row>
    <row r="2147" customHeight="1" ht="15">
      <c r="A2147" s="22" t="inlineStr">
        <is>
          <r>
            <t xml:space="preserve">I2535</t>
          </r>
        </is>
      </c>
      <c r="B2147" s="23" t="inlineStr">
        <is>
          <r>
            <t xml:space="preserve">SÉRIE DE BROCAS S.12 D=22MM</t>
          </r>
        </is>
      </c>
      <c r="C2147" s="22" t="inlineStr">
        <is>
          <r>
            <t xml:space="preserve">SEINFRA</t>
          </r>
        </is>
      </c>
      <c r="D2147" s="22" t="inlineStr">
        <is>
          <r>
            <t xml:space="preserve">JG</t>
          </r>
        </is>
      </c>
      <c r="E2147" s="24" t="n">
        <v>5.0E-4</v>
      </c>
      <c r="F2147" s="30" t="n">
        <v>729.07</v>
      </c>
      <c r="G2147" s="30" t="n">
        <f>ROUND(ROUND(E2147,8)*F2147,4)</f>
        <v>0.3645</v>
      </c>
    </row>
    <row r="2148" customHeight="1" ht="15">
      <c r="A2148" s="2" t="inlineStr"/>
      <c r="B2148" s="2" t="inlineStr"/>
      <c r="C2148" s="2" t="inlineStr"/>
      <c r="D2148" s="2" t="inlineStr"/>
      <c r="E2148" s="26" t="inlineStr">
        <is>
          <r>
            <t xml:space="preserve">TOTAL Material:</t>
          </r>
        </is>
      </c>
      <c r="F2148" s="26" t="inlineStr"/>
      <c r="G2148" s="31" t="n">
        <f>SUM(G2142:G2147)</f>
        <v>17.9244</v>
      </c>
    </row>
    <row r="2149" customHeight="1" ht="15">
      <c r="A2149" s="20" t="inlineStr">
        <is>
          <r>
            <t xml:space="preserve">Mão de Obra</t>
          </r>
        </is>
      </c>
      <c r="B2149" s="20" t="inlineStr"/>
      <c r="C2149" s="21" t="inlineStr">
        <is>
          <r>
            <t xml:space="preserve">FONTE</t>
          </r>
        </is>
      </c>
      <c r="D2149" s="21" t="inlineStr">
        <is>
          <r>
            <t xml:space="preserve">UNID</t>
          </r>
        </is>
      </c>
      <c r="E2149" s="21" t="inlineStr">
        <is>
          <r>
            <t xml:space="preserve">COEFICIENTE</t>
          </r>
        </is>
      </c>
      <c r="F2149" s="21" t="inlineStr">
        <is>
          <r>
            <t xml:space="preserve">PREÇO UNITÁRIO</t>
          </r>
        </is>
      </c>
      <c r="G2149" s="21" t="inlineStr">
        <is>
          <r>
            <t xml:space="preserve">TOTAL</t>
          </r>
        </is>
      </c>
    </row>
    <row r="2150" customHeight="1" ht="15">
      <c r="A2150" s="22" t="inlineStr">
        <is>
          <r>
            <t xml:space="preserve">I0221</t>
          </r>
        </is>
      </c>
      <c r="B2150" s="23" t="inlineStr">
        <is>
          <r>
            <t xml:space="preserve">BLASTER</t>
          </r>
        </is>
      </c>
      <c r="C2150" s="22" t="inlineStr">
        <is>
          <r>
            <t xml:space="preserve">SEINFRA</t>
          </r>
        </is>
      </c>
      <c r="D2150" s="22" t="inlineStr">
        <is>
          <r>
            <t xml:space="preserve">H</t>
          </r>
        </is>
      </c>
      <c r="E2150" s="24" t="n">
        <v>0.05882353</v>
      </c>
      <c r="F2150" s="30" t="n">
        <v>23.93</v>
      </c>
      <c r="G2150" s="30" t="n">
        <f>ROUND(ROUND(E2150,8)*F2150,4)</f>
        <v>1.4076</v>
      </c>
    </row>
    <row r="2151" customHeight="1" ht="15">
      <c r="A2151" s="22" t="inlineStr">
        <is>
          <r>
            <t xml:space="preserve">I2543</t>
          </r>
        </is>
      </c>
      <c r="B2151" s="23" t="inlineStr">
        <is>
          <r>
            <t xml:space="preserve">SERVENTE</t>
          </r>
        </is>
      </c>
      <c r="C2151" s="22" t="inlineStr">
        <is>
          <r>
            <t xml:space="preserve">SEINFRA</t>
          </r>
        </is>
      </c>
      <c r="D2151" s="22" t="inlineStr">
        <is>
          <r>
            <t xml:space="preserve">H</t>
          </r>
        </is>
      </c>
      <c r="E2151" s="24" t="n">
        <v>0.58823529</v>
      </c>
      <c r="F2151" s="30" t="n">
        <v>18.46</v>
      </c>
      <c r="G2151" s="30" t="n">
        <f>ROUND(ROUND(E2151,8)*F2151,4)</f>
        <v>10.8588</v>
      </c>
    </row>
    <row r="2152" customHeight="1" ht="15">
      <c r="A2152" s="2" t="inlineStr"/>
      <c r="B2152" s="2" t="inlineStr"/>
      <c r="C2152" s="2" t="inlineStr"/>
      <c r="D2152" s="2" t="inlineStr"/>
      <c r="E2152" s="26" t="inlineStr">
        <is>
          <r>
            <t xml:space="preserve">TOTAL Mão de Obra:</t>
          </r>
        </is>
      </c>
      <c r="F2152" s="26" t="inlineStr"/>
      <c r="G2152" s="31" t="n">
        <f>SUM(G2150:G2151)</f>
        <v>12.2664</v>
      </c>
    </row>
    <row r="2153" customHeight="1" ht="15">
      <c r="A2153" s="2" t="inlineStr"/>
      <c r="B2153" s="2" t="inlineStr"/>
      <c r="C2153" s="2" t="inlineStr"/>
      <c r="D2153" s="2" t="inlineStr"/>
      <c r="E2153" s="28" t="inlineStr">
        <is>
          <r>
            <t xml:space="preserve">VALOR:</t>
          </r>
        </is>
      </c>
      <c r="F2153" s="28" t="inlineStr"/>
      <c r="G2153" s="29" t="n">
        <f>ROUND(SUM(G2140,G2148,G2152),2)</f>
        <v>42.66</v>
      </c>
    </row>
    <row r="2154" customHeight="1" ht="15">
      <c r="A2154" s="2" t="inlineStr"/>
      <c r="B2154" s="2" t="inlineStr"/>
      <c r="C2154" s="2" t="inlineStr"/>
      <c r="D2154" s="2" t="inlineStr"/>
      <c r="E2154" s="28" t="inlineStr">
        <is>
          <r>
            <t xml:space="preserve">VALOR BDI:</t>
          </r>
        </is>
      </c>
      <c r="F2154" s="28" t="inlineStr"/>
      <c r="G2154" s="29" t="n">
        <f>ROUND(G2153*(0/100),2)</f>
        <v>0.0</v>
      </c>
    </row>
    <row r="2155" customHeight="1" ht="15">
      <c r="A2155" s="2" t="inlineStr"/>
      <c r="B2155" s="2" t="inlineStr"/>
      <c r="C2155" s="2" t="inlineStr"/>
      <c r="D2155" s="2" t="inlineStr"/>
      <c r="E2155" s="28" t="inlineStr">
        <is>
          <r>
            <t xml:space="preserve">VALOR COM BDI:</t>
          </r>
        </is>
      </c>
      <c r="F2155" s="28" t="inlineStr"/>
      <c r="G2155" s="29" t="n">
        <f>G2154+G2153</f>
        <v>42.66</v>
      </c>
    </row>
    <row r="2156" customHeight="1" ht="10">
      <c r="A2156" s="2" t="inlineStr"/>
      <c r="B2156" s="2" t="inlineStr"/>
      <c r="C2156" s="2" t="inlineStr"/>
      <c r="D2156" s="2" t="inlineStr"/>
      <c r="E2156" s="18" t="inlineStr"/>
      <c r="F2156" s="18" t="inlineStr"/>
      <c r="G2156" s="18" t="inlineStr"/>
    </row>
    <row r="2157" customHeight="1" ht="20">
      <c r="A2157" s="19" t="inlineStr">
        <is>
          <r>
            <t xml:space="preserve">​I0654​ ROMPEDOR PNEUMÁTICO (CHI)​ (H)</t>
          </r>
        </is>
      </c>
      <c r="B2157" s="19" t="inlineStr"/>
      <c r="C2157" s="19" t="inlineStr"/>
      <c r="D2157" s="19" t="inlineStr"/>
      <c r="E2157" s="19" t="inlineStr"/>
      <c r="F2157" s="19" t="inlineStr"/>
      <c r="G2157" s="19" t="inlineStr"/>
    </row>
    <row r="2158" customHeight="1" ht="15">
      <c r="A2158" s="20" t="inlineStr">
        <is>
          <r>
            <t xml:space="preserve">Geral</t>
          </r>
        </is>
      </c>
      <c r="B2158" s="20" t="inlineStr"/>
      <c r="C2158" s="21" t="inlineStr">
        <is>
          <r>
            <t xml:space="preserve">FONTE</t>
          </r>
        </is>
      </c>
      <c r="D2158" s="21" t="inlineStr">
        <is>
          <r>
            <t xml:space="preserve">UNID</t>
          </r>
        </is>
      </c>
      <c r="E2158" s="21" t="inlineStr">
        <is>
          <r>
            <t xml:space="preserve">COEFICIENTE</t>
          </r>
        </is>
      </c>
      <c r="F2158" s="21" t="inlineStr">
        <is>
          <r>
            <t xml:space="preserve">PREÇO UNITÁRIO</t>
          </r>
        </is>
      </c>
      <c r="G2158" s="21" t="inlineStr">
        <is>
          <r>
            <t xml:space="preserve">TOTAL</t>
          </r>
        </is>
      </c>
    </row>
    <row r="2159" customHeight="1" ht="15">
      <c r="A2159" s="22" t="inlineStr">
        <is>
          <r>
            <t xml:space="preserve">I2828</t>
          </r>
        </is>
      </c>
      <c r="B2159" s="23" t="inlineStr">
        <is>
          <r>
            <t xml:space="preserve">MÃO DE OBRA DE OPERAÇÃO DO ROMPEDOR PNEUMÁTICO</t>
          </r>
        </is>
      </c>
      <c r="C2159" s="22" t="inlineStr">
        <is>
          <r>
            <t xml:space="preserve">SEINFRA</t>
          </r>
        </is>
      </c>
      <c r="D2159" s="22" t="inlineStr">
        <is>
          <r>
            <t xml:space="preserve">H</t>
          </r>
        </is>
      </c>
      <c r="E2159" s="24" t="n">
        <v>1.0</v>
      </c>
      <c r="F2159" s="30" t="n">
        <v>21.29</v>
      </c>
      <c r="G2159" s="30" t="n">
        <f>ROUND(ROUND(E2159,8)*F2159,4)</f>
        <v>21.29</v>
      </c>
    </row>
    <row r="2160" customHeight="1" ht="15">
      <c r="A2160" s="22" t="inlineStr">
        <is>
          <r>
            <t xml:space="preserve">I2701</t>
          </r>
        </is>
      </c>
      <c r="B2160" s="23" t="inlineStr">
        <is>
          <r>
            <t xml:space="preserve">DEPRECIAÇÃO</t>
          </r>
        </is>
      </c>
      <c r="C2160" s="22" t="inlineStr">
        <is>
          <r>
            <t xml:space="preserve">SEINFRA</t>
          </r>
        </is>
      </c>
      <c r="D2160" s="22" t="inlineStr">
        <is>
          <r>
            <t xml:space="preserve">H</t>
          </r>
        </is>
      </c>
      <c r="E2160" s="24" t="n">
        <v>3.6548</v>
      </c>
      <c r="F2160" s="30" t="n">
        <v>1.0</v>
      </c>
      <c r="G2160" s="30" t="n">
        <f>ROUND(ROUND(E2160,8)*F2160,4)</f>
        <v>3.6548</v>
      </c>
    </row>
    <row r="2161" customHeight="1" ht="15">
      <c r="A2161" s="22" t="inlineStr">
        <is>
          <r>
            <t xml:space="preserve">I2702</t>
          </r>
        </is>
      </c>
      <c r="B2161" s="23" t="inlineStr">
        <is>
          <r>
            <t xml:space="preserve">JUROS</t>
          </r>
        </is>
      </c>
      <c r="C2161" s="22" t="inlineStr">
        <is>
          <r>
            <t xml:space="preserve">SEINFRA</t>
          </r>
        </is>
      </c>
      <c r="D2161" s="22" t="inlineStr">
        <is>
          <r>
            <t xml:space="preserve">H</t>
          </r>
        </is>
      </c>
      <c r="E2161" s="24" t="n">
        <v>0.6091</v>
      </c>
      <c r="F2161" s="30" t="n">
        <v>1.0</v>
      </c>
      <c r="G2161" s="30" t="n">
        <f>ROUND(ROUND(E2161,8)*F2161,4)</f>
        <v>0.6091</v>
      </c>
    </row>
    <row r="2162" customHeight="1" ht="15">
      <c r="A2162" s="2" t="inlineStr"/>
      <c r="B2162" s="2" t="inlineStr"/>
      <c r="C2162" s="2" t="inlineStr"/>
      <c r="D2162" s="2" t="inlineStr"/>
      <c r="E2162" s="26" t="inlineStr">
        <is>
          <r>
            <t xml:space="preserve">TOTAL Geral:</t>
          </r>
        </is>
      </c>
      <c r="F2162" s="26" t="inlineStr"/>
      <c r="G2162" s="31" t="n">
        <f>SUM(G2159:G2161)</f>
        <v>25.5539</v>
      </c>
    </row>
    <row r="2163" customHeight="1" ht="15">
      <c r="A2163" s="2" t="inlineStr"/>
      <c r="B2163" s="2" t="inlineStr"/>
      <c r="C2163" s="2" t="inlineStr"/>
      <c r="D2163" s="2" t="inlineStr"/>
      <c r="E2163" s="28" t="inlineStr">
        <is>
          <r>
            <t xml:space="preserve">VALOR:</t>
          </r>
        </is>
      </c>
      <c r="F2163" s="28" t="inlineStr"/>
      <c r="G2163" s="29" t="n">
        <f>ROUND(SUM(G2162),2)</f>
        <v>25.55</v>
      </c>
    </row>
    <row r="2164" customHeight="1" ht="15">
      <c r="A2164" s="2" t="inlineStr"/>
      <c r="B2164" s="2" t="inlineStr"/>
      <c r="C2164" s="2" t="inlineStr"/>
      <c r="D2164" s="2" t="inlineStr"/>
      <c r="E2164" s="28" t="inlineStr">
        <is>
          <r>
            <t xml:space="preserve">VALOR BDI:</t>
          </r>
        </is>
      </c>
      <c r="F2164" s="28" t="inlineStr"/>
      <c r="G2164" s="29" t="n">
        <f>ROUND(G2163*(0/100),2)</f>
        <v>0.0</v>
      </c>
    </row>
    <row r="2165" customHeight="1" ht="15">
      <c r="A2165" s="2" t="inlineStr"/>
      <c r="B2165" s="2" t="inlineStr"/>
      <c r="C2165" s="2" t="inlineStr"/>
      <c r="D2165" s="2" t="inlineStr"/>
      <c r="E2165" s="28" t="inlineStr">
        <is>
          <r>
            <t xml:space="preserve">VALOR COM BDI:</t>
          </r>
        </is>
      </c>
      <c r="F2165" s="28" t="inlineStr"/>
      <c r="G2165" s="29" t="n">
        <f>G2164+G2163</f>
        <v>25.55</v>
      </c>
    </row>
    <row r="2166" customHeight="1" ht="10">
      <c r="A2166" s="2" t="inlineStr"/>
      <c r="B2166" s="2" t="inlineStr"/>
      <c r="C2166" s="2" t="inlineStr"/>
      <c r="D2166" s="2" t="inlineStr"/>
      <c r="E2166" s="18" t="inlineStr"/>
      <c r="F2166" s="18" t="inlineStr"/>
      <c r="G2166" s="18" t="inlineStr"/>
    </row>
    <row r="2167" customHeight="1" ht="20">
      <c r="A2167" s="19" t="inlineStr">
        <is>
          <r>
            <t xml:space="preserve">​I0769​ ROMPEDOR PNEUMÁTICO (CHP)​ (H)</t>
          </r>
        </is>
      </c>
      <c r="B2167" s="19" t="inlineStr"/>
      <c r="C2167" s="19" t="inlineStr"/>
      <c r="D2167" s="19" t="inlineStr"/>
      <c r="E2167" s="19" t="inlineStr"/>
      <c r="F2167" s="19" t="inlineStr"/>
      <c r="G2167" s="19" t="inlineStr"/>
    </row>
    <row r="2168" customHeight="1" ht="15">
      <c r="A2168" s="20" t="inlineStr">
        <is>
          <r>
            <t xml:space="preserve">Geral</t>
          </r>
        </is>
      </c>
      <c r="B2168" s="20" t="inlineStr"/>
      <c r="C2168" s="21" t="inlineStr">
        <is>
          <r>
            <t xml:space="preserve">FONTE</t>
          </r>
        </is>
      </c>
      <c r="D2168" s="21" t="inlineStr">
        <is>
          <r>
            <t xml:space="preserve">UNID</t>
          </r>
        </is>
      </c>
      <c r="E2168" s="21" t="inlineStr">
        <is>
          <r>
            <t xml:space="preserve">COEFICIENTE</t>
          </r>
        </is>
      </c>
      <c r="F2168" s="21" t="inlineStr">
        <is>
          <r>
            <t xml:space="preserve">PREÇO UNITÁRIO</t>
          </r>
        </is>
      </c>
      <c r="G2168" s="21" t="inlineStr">
        <is>
          <r>
            <t xml:space="preserve">TOTAL</t>
          </r>
        </is>
      </c>
    </row>
    <row r="2169" customHeight="1" ht="15">
      <c r="A2169" s="22" t="inlineStr">
        <is>
          <r>
            <t xml:space="preserve">I2828</t>
          </r>
        </is>
      </c>
      <c r="B2169" s="23" t="inlineStr">
        <is>
          <r>
            <t xml:space="preserve">MÃO DE OBRA DE OPERAÇÃO DO ROMPEDOR PNEUMÁTICO</t>
          </r>
        </is>
      </c>
      <c r="C2169" s="22" t="inlineStr">
        <is>
          <r>
            <t xml:space="preserve">SEINFRA</t>
          </r>
        </is>
      </c>
      <c r="D2169" s="22" t="inlineStr">
        <is>
          <r>
            <t xml:space="preserve">H</t>
          </r>
        </is>
      </c>
      <c r="E2169" s="24" t="n">
        <v>1.0</v>
      </c>
      <c r="F2169" s="30" t="n">
        <v>21.29</v>
      </c>
      <c r="G2169" s="30" t="n">
        <f>ROUND(ROUND(E2169,8)*F2169,4)</f>
        <v>21.29</v>
      </c>
    </row>
    <row r="2170" customHeight="1" ht="15">
      <c r="A2170" s="22" t="inlineStr">
        <is>
          <r>
            <t xml:space="preserve">I2701</t>
          </r>
        </is>
      </c>
      <c r="B2170" s="23" t="inlineStr">
        <is>
          <r>
            <t xml:space="preserve">DEPRECIAÇÃO</t>
          </r>
        </is>
      </c>
      <c r="C2170" s="22" t="inlineStr">
        <is>
          <r>
            <t xml:space="preserve">SEINFRA</t>
          </r>
        </is>
      </c>
      <c r="D2170" s="22" t="inlineStr">
        <is>
          <r>
            <t xml:space="preserve">H</t>
          </r>
        </is>
      </c>
      <c r="E2170" s="24" t="n">
        <v>3.6548</v>
      </c>
      <c r="F2170" s="30" t="n">
        <v>1.0</v>
      </c>
      <c r="G2170" s="30" t="n">
        <f>ROUND(ROUND(E2170,8)*F2170,4)</f>
        <v>3.6548</v>
      </c>
    </row>
    <row r="2171" customHeight="1" ht="15">
      <c r="A2171" s="22" t="inlineStr">
        <is>
          <r>
            <t xml:space="preserve">I2702</t>
          </r>
        </is>
      </c>
      <c r="B2171" s="23" t="inlineStr">
        <is>
          <r>
            <t xml:space="preserve">JUROS</t>
          </r>
        </is>
      </c>
      <c r="C2171" s="22" t="inlineStr">
        <is>
          <r>
            <t xml:space="preserve">SEINFRA</t>
          </r>
        </is>
      </c>
      <c r="D2171" s="22" t="inlineStr">
        <is>
          <r>
            <t xml:space="preserve">H</t>
          </r>
        </is>
      </c>
      <c r="E2171" s="24" t="n">
        <v>0.6091</v>
      </c>
      <c r="F2171" s="30" t="n">
        <v>1.0</v>
      </c>
      <c r="G2171" s="30" t="n">
        <f>ROUND(ROUND(E2171,8)*F2171,4)</f>
        <v>0.6091</v>
      </c>
    </row>
    <row r="2172" customHeight="1" ht="15">
      <c r="A2172" s="22" t="inlineStr">
        <is>
          <r>
            <t xml:space="preserve">I2703</t>
          </r>
        </is>
      </c>
      <c r="B2172" s="23" t="inlineStr">
        <is>
          <r>
            <t xml:space="preserve">MANUTENÇÃO</t>
          </r>
        </is>
      </c>
      <c r="C2172" s="22" t="inlineStr">
        <is>
          <r>
            <t xml:space="preserve">SEINFRA</t>
          </r>
        </is>
      </c>
      <c r="D2172" s="22" t="inlineStr">
        <is>
          <r>
            <t xml:space="preserve">H</t>
          </r>
        </is>
      </c>
      <c r="E2172" s="24" t="n">
        <v>2.0304</v>
      </c>
      <c r="F2172" s="30" t="n">
        <v>1.0</v>
      </c>
      <c r="G2172" s="30" t="n">
        <f>ROUND(ROUND(E2172,8)*F2172,4)</f>
        <v>2.0304</v>
      </c>
    </row>
    <row r="2173" customHeight="1" ht="15">
      <c r="A2173" s="2" t="inlineStr"/>
      <c r="B2173" s="2" t="inlineStr"/>
      <c r="C2173" s="2" t="inlineStr"/>
      <c r="D2173" s="2" t="inlineStr"/>
      <c r="E2173" s="26" t="inlineStr">
        <is>
          <r>
            <t xml:space="preserve">TOTAL Geral:</t>
          </r>
        </is>
      </c>
      <c r="F2173" s="26" t="inlineStr"/>
      <c r="G2173" s="31" t="n">
        <f>SUM(G2169:G2172)</f>
        <v>27.5843</v>
      </c>
    </row>
    <row r="2174" customHeight="1" ht="15">
      <c r="A2174" s="2" t="inlineStr"/>
      <c r="B2174" s="2" t="inlineStr"/>
      <c r="C2174" s="2" t="inlineStr"/>
      <c r="D2174" s="2" t="inlineStr"/>
      <c r="E2174" s="28" t="inlineStr">
        <is>
          <r>
            <t xml:space="preserve">VALOR:</t>
          </r>
        </is>
      </c>
      <c r="F2174" s="28" t="inlineStr"/>
      <c r="G2174" s="29" t="n">
        <f>ROUND(SUM(G2173),2)</f>
        <v>27.58</v>
      </c>
    </row>
    <row r="2175" customHeight="1" ht="15">
      <c r="A2175" s="2" t="inlineStr"/>
      <c r="B2175" s="2" t="inlineStr"/>
      <c r="C2175" s="2" t="inlineStr"/>
      <c r="D2175" s="2" t="inlineStr"/>
      <c r="E2175" s="28" t="inlineStr">
        <is>
          <r>
            <t xml:space="preserve">VALOR BDI:</t>
          </r>
        </is>
      </c>
      <c r="F2175" s="28" t="inlineStr"/>
      <c r="G2175" s="29" t="n">
        <f>ROUND(G2174*(0/100),2)</f>
        <v>0.0</v>
      </c>
    </row>
    <row r="2176" customHeight="1" ht="15">
      <c r="A2176" s="2" t="inlineStr"/>
      <c r="B2176" s="2" t="inlineStr"/>
      <c r="C2176" s="2" t="inlineStr"/>
      <c r="D2176" s="2" t="inlineStr"/>
      <c r="E2176" s="28" t="inlineStr">
        <is>
          <r>
            <t xml:space="preserve">VALOR COM BDI:</t>
          </r>
        </is>
      </c>
      <c r="F2176" s="28" t="inlineStr"/>
      <c r="G2176" s="29" t="n">
        <f>G2175+G2174</f>
        <v>27.58</v>
      </c>
    </row>
    <row r="2177" customHeight="1" ht="10">
      <c r="A2177" s="2" t="inlineStr"/>
      <c r="B2177" s="2" t="inlineStr"/>
      <c r="C2177" s="2" t="inlineStr"/>
      <c r="D2177" s="2" t="inlineStr"/>
      <c r="E2177" s="18" t="inlineStr"/>
      <c r="F2177" s="18" t="inlineStr"/>
      <c r="G2177" s="18" t="inlineStr"/>
    </row>
    <row r="2178" customHeight="1" ht="20">
      <c r="A2178" s="19" t="inlineStr">
        <is>
          <r>
            <t xml:space="preserve">​91693​ SERRA CIRCULAR DE BANCADA COM MOTOR ELÉTRICO POTÊNCIA DE 5HP, COM COIFA PARA DISCO 10" - CHI DIURNO. AF_08/2015​ (CHI)</t>
          </r>
        </is>
      </c>
      <c r="B2178" s="19" t="inlineStr"/>
      <c r="C2178" s="19" t="inlineStr"/>
      <c r="D2178" s="19" t="inlineStr"/>
      <c r="E2178" s="19" t="inlineStr"/>
      <c r="F2178" s="19" t="inlineStr"/>
      <c r="G2178" s="19" t="inlineStr"/>
    </row>
    <row r="2179" customHeight="1" ht="15">
      <c r="A2179" s="20" t="inlineStr">
        <is>
          <r>
            <t xml:space="preserve">Mão de Obra com Encargos Complementares</t>
          </r>
        </is>
      </c>
      <c r="B2179" s="20" t="inlineStr"/>
      <c r="C2179" s="21" t="inlineStr">
        <is>
          <r>
            <t xml:space="preserve">FONTE</t>
          </r>
        </is>
      </c>
      <c r="D2179" s="21" t="inlineStr">
        <is>
          <r>
            <t xml:space="preserve">UNID</t>
          </r>
        </is>
      </c>
      <c r="E2179" s="21" t="inlineStr">
        <is>
          <r>
            <t xml:space="preserve">COEFICIENTE</t>
          </r>
        </is>
      </c>
      <c r="F2179" s="21" t="inlineStr">
        <is>
          <r>
            <t xml:space="preserve">PREÇO UNITÁRIO</t>
          </r>
        </is>
      </c>
      <c r="G2179" s="21" t="inlineStr">
        <is>
          <r>
            <t xml:space="preserve">TOTAL</t>
          </r>
        </is>
      </c>
    </row>
    <row r="2180" customHeight="1" ht="21">
      <c r="A2180" s="22" t="inlineStr">
        <is>
          <r>
            <t xml:space="preserve">88297</t>
          </r>
        </is>
      </c>
      <c r="B2180" s="23" t="inlineStr">
        <is>
          <r>
            <t xml:space="preserve">OPERADOR DE MÁQUINAS E EQUIPAMENTOS COM ENCARGOS COMPLEMENTARES</t>
          </r>
        </is>
      </c>
      <c r="C2180" s="22" t="inlineStr">
        <is>
          <r>
            <t xml:space="preserve">SINAPI</t>
          </r>
        </is>
      </c>
      <c r="D2180" s="22" t="inlineStr">
        <is>
          <r>
            <t xml:space="preserve">H</t>
          </r>
        </is>
      </c>
      <c r="E2180" s="24" t="n">
        <v>1.0</v>
      </c>
      <c r="F2180" s="25" t="n">
        <v>32.56</v>
      </c>
      <c r="G2180" s="25" t="n">
        <f>TRUNC(TRUNC(E2180,8)*F2180,2)</f>
        <v>32.56</v>
      </c>
    </row>
    <row r="2181" customHeight="1" ht="18">
      <c r="A2181" s="2" t="inlineStr"/>
      <c r="B2181" s="2" t="inlineStr"/>
      <c r="C2181" s="2" t="inlineStr"/>
      <c r="D2181" s="2" t="inlineStr"/>
      <c r="E2181" s="26" t="inlineStr">
        <is>
          <r>
            <t xml:space="preserve">TOTAL Mão de Obra com Encargos Complementares:</t>
          </r>
        </is>
      </c>
      <c r="F2181" s="26" t="inlineStr"/>
      <c r="G2181" s="27" t="n">
        <f>SUM(G2180:G2180)</f>
        <v>32.56</v>
      </c>
    </row>
    <row r="2182" customHeight="1" ht="15">
      <c r="A2182" s="20" t="inlineStr">
        <is>
          <r>
            <t xml:space="preserve">Serviço</t>
          </r>
        </is>
      </c>
      <c r="B2182" s="20" t="inlineStr"/>
      <c r="C2182" s="21" t="inlineStr">
        <is>
          <r>
            <t xml:space="preserve">FONTE</t>
          </r>
        </is>
      </c>
      <c r="D2182" s="21" t="inlineStr">
        <is>
          <r>
            <t xml:space="preserve">UNID</t>
          </r>
        </is>
      </c>
      <c r="E2182" s="21" t="inlineStr">
        <is>
          <r>
            <t xml:space="preserve">COEFICIENTE</t>
          </r>
        </is>
      </c>
      <c r="F2182" s="21" t="inlineStr">
        <is>
          <r>
            <t xml:space="preserve">PREÇO UNITÁRIO</t>
          </r>
        </is>
      </c>
      <c r="G2182" s="21" t="inlineStr">
        <is>
          <r>
            <t xml:space="preserve">TOTAL</t>
          </r>
        </is>
      </c>
    </row>
    <row r="2183" customHeight="1" ht="29">
      <c r="A2183" s="22" t="inlineStr">
        <is>
          <r>
            <t xml:space="preserve">91688</t>
          </r>
        </is>
      </c>
      <c r="B2183" s="23" t="inlineStr">
        <is>
          <r>
            <t xml:space="preserve">SERRA CIRCULAR DE BANCADA COM MOTOR ELÉTRICO POTÊNCIA DE 5HP, COM COIFA PARA DISCO 10" - DEPRECIAÇÃO. AF_08/2015</t>
          </r>
        </is>
      </c>
      <c r="C2183" s="22" t="inlineStr">
        <is>
          <r>
            <t xml:space="preserve">SINAPI</t>
          </r>
        </is>
      </c>
      <c r="D2183" s="22" t="inlineStr">
        <is>
          <r>
            <t xml:space="preserve">H</t>
          </r>
        </is>
      </c>
      <c r="E2183" s="24" t="n">
        <v>1.0</v>
      </c>
      <c r="F2183" s="25" t="n">
        <v>0.11</v>
      </c>
      <c r="G2183" s="25" t="n">
        <f>TRUNC(TRUNC(E2183,8)*F2183,2)</f>
        <v>0.11</v>
      </c>
    </row>
    <row r="2184" customHeight="1" ht="29">
      <c r="A2184" s="22" t="inlineStr">
        <is>
          <r>
            <t xml:space="preserve">91689</t>
          </r>
        </is>
      </c>
      <c r="B2184" s="23" t="inlineStr">
        <is>
          <r>
            <t xml:space="preserve">SERRA CIRCULAR DE BANCADA COM MOTOR ELÉTRICO POTÊNCIA DE 5HP, COM COIFA PARA DISCO 10" - JUROS. AF_08/2015</t>
          </r>
        </is>
      </c>
      <c r="C2184" s="22" t="inlineStr">
        <is>
          <r>
            <t xml:space="preserve">SINAPI</t>
          </r>
        </is>
      </c>
      <c r="D2184" s="22" t="inlineStr">
        <is>
          <r>
            <t xml:space="preserve">H</t>
          </r>
        </is>
      </c>
      <c r="E2184" s="24" t="n">
        <v>1.0</v>
      </c>
      <c r="F2184" s="25" t="n">
        <v>0.02</v>
      </c>
      <c r="G2184" s="25" t="n">
        <f>TRUNC(TRUNC(E2184,8)*F2184,2)</f>
        <v>0.02</v>
      </c>
    </row>
    <row r="2185" customHeight="1" ht="15">
      <c r="A2185" s="2" t="inlineStr"/>
      <c r="B2185" s="2" t="inlineStr"/>
      <c r="C2185" s="2" t="inlineStr"/>
      <c r="D2185" s="2" t="inlineStr"/>
      <c r="E2185" s="26" t="inlineStr">
        <is>
          <r>
            <t xml:space="preserve">TOTAL Serviço:</t>
          </r>
        </is>
      </c>
      <c r="F2185" s="26" t="inlineStr"/>
      <c r="G2185" s="27" t="n">
        <f>SUM(G2183:G2184)</f>
        <v>0.13</v>
      </c>
    </row>
    <row r="2186" customHeight="1" ht="15">
      <c r="A2186" s="2" t="inlineStr"/>
      <c r="B2186" s="2" t="inlineStr"/>
      <c r="C2186" s="2" t="inlineStr"/>
      <c r="D2186" s="2" t="inlineStr"/>
      <c r="E2186" s="28" t="inlineStr">
        <is>
          <r>
            <t xml:space="preserve">VALOR:</t>
          </r>
        </is>
      </c>
      <c r="F2186" s="28" t="inlineStr"/>
      <c r="G2186" s="29" t="n">
        <f>ROUND(SUM(G2181,G2185),2)</f>
        <v>32.69</v>
      </c>
    </row>
    <row r="2187" customHeight="1" ht="15">
      <c r="A2187" s="2" t="inlineStr"/>
      <c r="B2187" s="2" t="inlineStr"/>
      <c r="C2187" s="2" t="inlineStr"/>
      <c r="D2187" s="2" t="inlineStr"/>
      <c r="E2187" s="28" t="inlineStr">
        <is>
          <r>
            <t xml:space="preserve">VALOR BDI:</t>
          </r>
        </is>
      </c>
      <c r="F2187" s="28" t="inlineStr"/>
      <c r="G2187" s="29" t="n">
        <f>ROUND(G2186*(0/100),2)</f>
        <v>0.0</v>
      </c>
    </row>
    <row r="2188" customHeight="1" ht="15">
      <c r="A2188" s="2" t="inlineStr"/>
      <c r="B2188" s="2" t="inlineStr"/>
      <c r="C2188" s="2" t="inlineStr"/>
      <c r="D2188" s="2" t="inlineStr"/>
      <c r="E2188" s="28" t="inlineStr">
        <is>
          <r>
            <t xml:space="preserve">VALOR COM BDI:</t>
          </r>
        </is>
      </c>
      <c r="F2188" s="28" t="inlineStr"/>
      <c r="G2188" s="29" t="n">
        <f>G2187+G2186</f>
        <v>32.69</v>
      </c>
    </row>
    <row r="2189" customHeight="1" ht="10">
      <c r="A2189" s="2" t="inlineStr"/>
      <c r="B2189" s="2" t="inlineStr"/>
      <c r="C2189" s="2" t="inlineStr"/>
      <c r="D2189" s="2" t="inlineStr"/>
      <c r="E2189" s="18" t="inlineStr"/>
      <c r="F2189" s="18" t="inlineStr"/>
      <c r="G2189" s="18" t="inlineStr"/>
    </row>
    <row r="2190" customHeight="1" ht="20">
      <c r="A2190" s="19" t="inlineStr">
        <is>
          <r>
            <t xml:space="preserve">​91692​ SERRA CIRCULAR DE BANCADA COM MOTOR ELÉTRICO POTÊNCIA DE 5HP, COM COIFA PARA DISCO 10" - CHP DIURNO. AF_08/2015​ (CHP)</t>
          </r>
        </is>
      </c>
      <c r="B2190" s="19" t="inlineStr"/>
      <c r="C2190" s="19" t="inlineStr"/>
      <c r="D2190" s="19" t="inlineStr"/>
      <c r="E2190" s="19" t="inlineStr"/>
      <c r="F2190" s="19" t="inlineStr"/>
      <c r="G2190" s="19" t="inlineStr"/>
    </row>
    <row r="2191" customHeight="1" ht="15">
      <c r="A2191" s="20" t="inlineStr">
        <is>
          <r>
            <t xml:space="preserve">Mão de Obra com Encargos Complementares</t>
          </r>
        </is>
      </c>
      <c r="B2191" s="20" t="inlineStr"/>
      <c r="C2191" s="21" t="inlineStr">
        <is>
          <r>
            <t xml:space="preserve">FONTE</t>
          </r>
        </is>
      </c>
      <c r="D2191" s="21" t="inlineStr">
        <is>
          <r>
            <t xml:space="preserve">UNID</t>
          </r>
        </is>
      </c>
      <c r="E2191" s="21" t="inlineStr">
        <is>
          <r>
            <t xml:space="preserve">COEFICIENTE</t>
          </r>
        </is>
      </c>
      <c r="F2191" s="21" t="inlineStr">
        <is>
          <r>
            <t xml:space="preserve">PREÇO UNITÁRIO</t>
          </r>
        </is>
      </c>
      <c r="G2191" s="21" t="inlineStr">
        <is>
          <r>
            <t xml:space="preserve">TOTAL</t>
          </r>
        </is>
      </c>
    </row>
    <row r="2192" customHeight="1" ht="21">
      <c r="A2192" s="22" t="inlineStr">
        <is>
          <r>
            <t xml:space="preserve">88297</t>
          </r>
        </is>
      </c>
      <c r="B2192" s="23" t="inlineStr">
        <is>
          <r>
            <t xml:space="preserve">OPERADOR DE MÁQUINAS E EQUIPAMENTOS COM ENCARGOS COMPLEMENTARES</t>
          </r>
        </is>
      </c>
      <c r="C2192" s="22" t="inlineStr">
        <is>
          <r>
            <t xml:space="preserve">SINAPI</t>
          </r>
        </is>
      </c>
      <c r="D2192" s="22" t="inlineStr">
        <is>
          <r>
            <t xml:space="preserve">H</t>
          </r>
        </is>
      </c>
      <c r="E2192" s="24" t="n">
        <v>1.0</v>
      </c>
      <c r="F2192" s="25" t="n">
        <v>32.56</v>
      </c>
      <c r="G2192" s="25" t="n">
        <f>TRUNC(TRUNC(E2192,8)*F2192,2)</f>
        <v>32.56</v>
      </c>
    </row>
    <row r="2193" customHeight="1" ht="18">
      <c r="A2193" s="2" t="inlineStr"/>
      <c r="B2193" s="2" t="inlineStr"/>
      <c r="C2193" s="2" t="inlineStr"/>
      <c r="D2193" s="2" t="inlineStr"/>
      <c r="E2193" s="26" t="inlineStr">
        <is>
          <r>
            <t xml:space="preserve">TOTAL Mão de Obra com Encargos Complementares:</t>
          </r>
        </is>
      </c>
      <c r="F2193" s="26" t="inlineStr"/>
      <c r="G2193" s="27" t="n">
        <f>SUM(G2192:G2192)</f>
        <v>32.56</v>
      </c>
    </row>
    <row r="2194" customHeight="1" ht="15">
      <c r="A2194" s="20" t="inlineStr">
        <is>
          <r>
            <t xml:space="preserve">Serviço</t>
          </r>
        </is>
      </c>
      <c r="B2194" s="20" t="inlineStr"/>
      <c r="C2194" s="21" t="inlineStr">
        <is>
          <r>
            <t xml:space="preserve">FONTE</t>
          </r>
        </is>
      </c>
      <c r="D2194" s="21" t="inlineStr">
        <is>
          <r>
            <t xml:space="preserve">UNID</t>
          </r>
        </is>
      </c>
      <c r="E2194" s="21" t="inlineStr">
        <is>
          <r>
            <t xml:space="preserve">COEFICIENTE</t>
          </r>
        </is>
      </c>
      <c r="F2194" s="21" t="inlineStr">
        <is>
          <r>
            <t xml:space="preserve">PREÇO UNITÁRIO</t>
          </r>
        </is>
      </c>
      <c r="G2194" s="21" t="inlineStr">
        <is>
          <r>
            <t xml:space="preserve">TOTAL</t>
          </r>
        </is>
      </c>
    </row>
    <row r="2195" customHeight="1" ht="29">
      <c r="A2195" s="22" t="inlineStr">
        <is>
          <r>
            <t xml:space="preserve">91688</t>
          </r>
        </is>
      </c>
      <c r="B2195" s="23" t="inlineStr">
        <is>
          <r>
            <t xml:space="preserve">SERRA CIRCULAR DE BANCADA COM MOTOR ELÉTRICO POTÊNCIA DE 5HP, COM COIFA PARA DISCO 10" - DEPRECIAÇÃO. AF_08/2015</t>
          </r>
        </is>
      </c>
      <c r="C2195" s="22" t="inlineStr">
        <is>
          <r>
            <t xml:space="preserve">SINAPI</t>
          </r>
        </is>
      </c>
      <c r="D2195" s="22" t="inlineStr">
        <is>
          <r>
            <t xml:space="preserve">H</t>
          </r>
        </is>
      </c>
      <c r="E2195" s="24" t="n">
        <v>1.0</v>
      </c>
      <c r="F2195" s="25" t="n">
        <v>0.11</v>
      </c>
      <c r="G2195" s="25" t="n">
        <f>TRUNC(TRUNC(E2195,8)*F2195,2)</f>
        <v>0.11</v>
      </c>
    </row>
    <row r="2196" customHeight="1" ht="29">
      <c r="A2196" s="22" t="inlineStr">
        <is>
          <r>
            <t xml:space="preserve">91689</t>
          </r>
        </is>
      </c>
      <c r="B2196" s="23" t="inlineStr">
        <is>
          <r>
            <t xml:space="preserve">SERRA CIRCULAR DE BANCADA COM MOTOR ELÉTRICO POTÊNCIA DE 5HP, COM COIFA PARA DISCO 10" - JUROS. AF_08/2015</t>
          </r>
        </is>
      </c>
      <c r="C2196" s="22" t="inlineStr">
        <is>
          <r>
            <t xml:space="preserve">SINAPI</t>
          </r>
        </is>
      </c>
      <c r="D2196" s="22" t="inlineStr">
        <is>
          <r>
            <t xml:space="preserve">H</t>
          </r>
        </is>
      </c>
      <c r="E2196" s="24" t="n">
        <v>1.0</v>
      </c>
      <c r="F2196" s="25" t="n">
        <v>0.02</v>
      </c>
      <c r="G2196" s="25" t="n">
        <f>TRUNC(TRUNC(E2196,8)*F2196,2)</f>
        <v>0.02</v>
      </c>
    </row>
    <row r="2197" customHeight="1" ht="29">
      <c r="A2197" s="22" t="inlineStr">
        <is>
          <r>
            <t xml:space="preserve">91690</t>
          </r>
        </is>
      </c>
      <c r="B2197" s="23" t="inlineStr">
        <is>
          <r>
            <t xml:space="preserve">SERRA CIRCULAR DE BANCADA COM MOTOR ELÉTRICO POTÊNCIA DE 5HP, COM COIFA PARA DISCO 10" - MANUTENÇÃO. AF_08/2015</t>
          </r>
        </is>
      </c>
      <c r="C2197" s="22" t="inlineStr">
        <is>
          <r>
            <t xml:space="preserve">SINAPI</t>
          </r>
        </is>
      </c>
      <c r="D2197" s="22" t="inlineStr">
        <is>
          <r>
            <t xml:space="preserve">H</t>
          </r>
        </is>
      </c>
      <c r="E2197" s="24" t="n">
        <v>1.0</v>
      </c>
      <c r="F2197" s="25" t="n">
        <v>0.07</v>
      </c>
      <c r="G2197" s="25" t="n">
        <f>TRUNC(TRUNC(E2197,8)*F2197,2)</f>
        <v>0.07</v>
      </c>
    </row>
    <row r="2198" customHeight="1" ht="29">
      <c r="A2198" s="22" t="inlineStr">
        <is>
          <r>
            <t xml:space="preserve">91691</t>
          </r>
        </is>
      </c>
      <c r="B2198" s="23" t="inlineStr">
        <is>
          <r>
            <t xml:space="preserve">SERRA CIRCULAR DE BANCADA COM MOTOR ELÉTRICO POTÊNCIA DE 5HP, COM COIFA PARA DISCO 10" - MATERIAIS NA OPERAÇÃO. AF_08/2015</t>
          </r>
        </is>
      </c>
      <c r="C2198" s="22" t="inlineStr">
        <is>
          <r>
            <t xml:space="preserve">SINAPI</t>
          </r>
        </is>
      </c>
      <c r="D2198" s="22" t="inlineStr">
        <is>
          <r>
            <t xml:space="preserve">H</t>
          </r>
        </is>
      </c>
      <c r="E2198" s="24" t="n">
        <v>1.0</v>
      </c>
      <c r="F2198" s="25" t="n">
        <v>1.38</v>
      </c>
      <c r="G2198" s="25" t="n">
        <f>TRUNC(TRUNC(E2198,8)*F2198,2)</f>
        <v>1.38</v>
      </c>
    </row>
    <row r="2199" customHeight="1" ht="15">
      <c r="A2199" s="2" t="inlineStr"/>
      <c r="B2199" s="2" t="inlineStr"/>
      <c r="C2199" s="2" t="inlineStr"/>
      <c r="D2199" s="2" t="inlineStr"/>
      <c r="E2199" s="26" t="inlineStr">
        <is>
          <r>
            <t xml:space="preserve">TOTAL Serviço:</t>
          </r>
        </is>
      </c>
      <c r="F2199" s="26" t="inlineStr"/>
      <c r="G2199" s="27" t="n">
        <f>SUM(G2195:G2198)</f>
        <v>1.58</v>
      </c>
    </row>
    <row r="2200" customHeight="1" ht="15">
      <c r="A2200" s="2" t="inlineStr"/>
      <c r="B2200" s="2" t="inlineStr"/>
      <c r="C2200" s="2" t="inlineStr"/>
      <c r="D2200" s="2" t="inlineStr"/>
      <c r="E2200" s="28" t="inlineStr">
        <is>
          <r>
            <t xml:space="preserve">VALOR:</t>
          </r>
        </is>
      </c>
      <c r="F2200" s="28" t="inlineStr"/>
      <c r="G2200" s="29" t="n">
        <f>ROUND(SUM(G2193,G2199),2)</f>
        <v>34.14</v>
      </c>
    </row>
    <row r="2201" customHeight="1" ht="15">
      <c r="A2201" s="2" t="inlineStr"/>
      <c r="B2201" s="2" t="inlineStr"/>
      <c r="C2201" s="2" t="inlineStr"/>
      <c r="D2201" s="2" t="inlineStr"/>
      <c r="E2201" s="28" t="inlineStr">
        <is>
          <r>
            <t xml:space="preserve">VALOR BDI:</t>
          </r>
        </is>
      </c>
      <c r="F2201" s="28" t="inlineStr"/>
      <c r="G2201" s="29" t="n">
        <f>ROUND(G2200*(0/100),2)</f>
        <v>0.0</v>
      </c>
    </row>
    <row r="2202" customHeight="1" ht="15">
      <c r="A2202" s="2" t="inlineStr"/>
      <c r="B2202" s="2" t="inlineStr"/>
      <c r="C2202" s="2" t="inlineStr"/>
      <c r="D2202" s="2" t="inlineStr"/>
      <c r="E2202" s="28" t="inlineStr">
        <is>
          <r>
            <t xml:space="preserve">VALOR COM BDI:</t>
          </r>
        </is>
      </c>
      <c r="F2202" s="28" t="inlineStr"/>
      <c r="G2202" s="29" t="n">
        <f>G2201+G2200</f>
        <v>34.14</v>
      </c>
    </row>
    <row r="2203" customHeight="1" ht="10">
      <c r="A2203" s="2" t="inlineStr"/>
      <c r="B2203" s="2" t="inlineStr"/>
      <c r="C2203" s="2" t="inlineStr"/>
      <c r="D2203" s="2" t="inlineStr"/>
      <c r="E2203" s="18" t="inlineStr"/>
      <c r="F2203" s="18" t="inlineStr"/>
      <c r="G2203" s="18" t="inlineStr"/>
    </row>
    <row r="2204" customHeight="1" ht="20">
      <c r="A2204" s="19" t="inlineStr">
        <is>
          <r>
            <t xml:space="preserve">​91688​ SERRA CIRCULAR DE BANCADA COM MOTOR ELÉTRICO POTÊNCIA DE 5HP, COM COIFA PARA DISCO 10" - DEPRECIAÇÃO. AF_08/2015​ (H)</t>
          </r>
        </is>
      </c>
      <c r="B2204" s="19" t="inlineStr"/>
      <c r="C2204" s="19" t="inlineStr"/>
      <c r="D2204" s="19" t="inlineStr"/>
      <c r="E2204" s="19" t="inlineStr"/>
      <c r="F2204" s="19" t="inlineStr"/>
      <c r="G2204" s="19" t="inlineStr"/>
    </row>
    <row r="2205" customHeight="1" ht="15">
      <c r="A2205" s="20" t="inlineStr">
        <is>
          <r>
            <t xml:space="preserve">Equipamento</t>
          </r>
        </is>
      </c>
      <c r="B2205" s="20" t="inlineStr"/>
      <c r="C2205" s="21" t="inlineStr">
        <is>
          <r>
            <t xml:space="preserve">FONTE</t>
          </r>
        </is>
      </c>
      <c r="D2205" s="21" t="inlineStr">
        <is>
          <r>
            <t xml:space="preserve">UNID</t>
          </r>
        </is>
      </c>
      <c r="E2205" s="21" t="inlineStr">
        <is>
          <r>
            <t xml:space="preserve">COEFICIENTE</t>
          </r>
        </is>
      </c>
      <c r="F2205" s="21" t="inlineStr">
        <is>
          <r>
            <t xml:space="preserve">PREÇO UNITÁRIO</t>
          </r>
        </is>
      </c>
      <c r="G2205" s="21" t="inlineStr">
        <is>
          <r>
            <t xml:space="preserve">TOTAL</t>
          </r>
        </is>
      </c>
    </row>
    <row r="2206" customHeight="1" ht="29">
      <c r="A2206" s="22" t="inlineStr">
        <is>
          <r>
            <t xml:space="preserve">00014618</t>
          </r>
        </is>
      </c>
      <c r="B2206" s="23" t="inlineStr">
        <is>
          <r>
            <t xml:space="preserve">SERRA CIRCULAR DE BANCADA COM MOTOR ELETRICO, POTENCIA DE *1600* W, PARA DISCO DE DIAMETRO DE 10" (250 MM)</t>
          </r>
        </is>
      </c>
      <c r="C2206" s="22" t="inlineStr">
        <is>
          <r>
            <t xml:space="preserve">SINAPI</t>
          </r>
        </is>
      </c>
      <c r="D2206" s="22" t="inlineStr">
        <is>
          <r>
            <t xml:space="preserve">UN</t>
          </r>
        </is>
      </c>
      <c r="E2206" s="24" t="n">
        <v>7.2E-5</v>
      </c>
      <c r="F2206" s="25" t="n">
        <v>1577.47</v>
      </c>
      <c r="G2206" s="25" t="n">
        <f>TRUNC(TRUNC(E2206,8)*F2206,2)</f>
        <v>0.11</v>
      </c>
    </row>
    <row r="2207" customHeight="1" ht="15">
      <c r="A2207" s="2" t="inlineStr"/>
      <c r="B2207" s="2" t="inlineStr"/>
      <c r="C2207" s="2" t="inlineStr"/>
      <c r="D2207" s="2" t="inlineStr"/>
      <c r="E2207" s="26" t="inlineStr">
        <is>
          <r>
            <t xml:space="preserve">TOTAL Equipamento:</t>
          </r>
        </is>
      </c>
      <c r="F2207" s="26" t="inlineStr"/>
      <c r="G2207" s="27" t="n">
        <f>SUM(G2206:G2206)</f>
        <v>0.11</v>
      </c>
    </row>
    <row r="2208" customHeight="1" ht="15">
      <c r="A2208" s="2" t="inlineStr"/>
      <c r="B2208" s="2" t="inlineStr"/>
      <c r="C2208" s="2" t="inlineStr"/>
      <c r="D2208" s="2" t="inlineStr"/>
      <c r="E2208" s="28" t="inlineStr">
        <is>
          <r>
            <t xml:space="preserve">VALOR:</t>
          </r>
        </is>
      </c>
      <c r="F2208" s="28" t="inlineStr"/>
      <c r="G2208" s="29" t="n">
        <f>ROUND(SUM(G2207),2)</f>
        <v>0.11</v>
      </c>
    </row>
    <row r="2209" customHeight="1" ht="15">
      <c r="A2209" s="2" t="inlineStr"/>
      <c r="B2209" s="2" t="inlineStr"/>
      <c r="C2209" s="2" t="inlineStr"/>
      <c r="D2209" s="2" t="inlineStr"/>
      <c r="E2209" s="28" t="inlineStr">
        <is>
          <r>
            <t xml:space="preserve">VALOR BDI:</t>
          </r>
        </is>
      </c>
      <c r="F2209" s="28" t="inlineStr"/>
      <c r="G2209" s="29" t="n">
        <f>ROUND(G2208*(0/100),2)</f>
        <v>0.0</v>
      </c>
    </row>
    <row r="2210" customHeight="1" ht="15">
      <c r="A2210" s="2" t="inlineStr"/>
      <c r="B2210" s="2" t="inlineStr"/>
      <c r="C2210" s="2" t="inlineStr"/>
      <c r="D2210" s="2" t="inlineStr"/>
      <c r="E2210" s="28" t="inlineStr">
        <is>
          <r>
            <t xml:space="preserve">VALOR COM BDI:</t>
          </r>
        </is>
      </c>
      <c r="F2210" s="28" t="inlineStr"/>
      <c r="G2210" s="29" t="n">
        <f>G2209+G2208</f>
        <v>0.11</v>
      </c>
    </row>
    <row r="2211" customHeight="1" ht="10">
      <c r="A2211" s="2" t="inlineStr"/>
      <c r="B2211" s="2" t="inlineStr"/>
      <c r="C2211" s="2" t="inlineStr"/>
      <c r="D2211" s="2" t="inlineStr"/>
      <c r="E2211" s="18" t="inlineStr"/>
      <c r="F2211" s="18" t="inlineStr"/>
      <c r="G2211" s="18" t="inlineStr"/>
    </row>
    <row r="2212" customHeight="1" ht="20">
      <c r="A2212" s="19" t="inlineStr">
        <is>
          <r>
            <t xml:space="preserve">​91689​ SERRA CIRCULAR DE BANCADA COM MOTOR ELÉTRICO POTÊNCIA DE 5HP, COM COIFA PARA DISCO 10" - JUROS. AF_08/2015​ (H)</t>
          </r>
        </is>
      </c>
      <c r="B2212" s="19" t="inlineStr"/>
      <c r="C2212" s="19" t="inlineStr"/>
      <c r="D2212" s="19" t="inlineStr"/>
      <c r="E2212" s="19" t="inlineStr"/>
      <c r="F2212" s="19" t="inlineStr"/>
      <c r="G2212" s="19" t="inlineStr"/>
    </row>
    <row r="2213" customHeight="1" ht="15">
      <c r="A2213" s="20" t="inlineStr">
        <is>
          <r>
            <t xml:space="preserve">Equipamento</t>
          </r>
        </is>
      </c>
      <c r="B2213" s="20" t="inlineStr"/>
      <c r="C2213" s="21" t="inlineStr">
        <is>
          <r>
            <t xml:space="preserve">FONTE</t>
          </r>
        </is>
      </c>
      <c r="D2213" s="21" t="inlineStr">
        <is>
          <r>
            <t xml:space="preserve">UNID</t>
          </r>
        </is>
      </c>
      <c r="E2213" s="21" t="inlineStr">
        <is>
          <r>
            <t xml:space="preserve">COEFICIENTE</t>
          </r>
        </is>
      </c>
      <c r="F2213" s="21" t="inlineStr">
        <is>
          <r>
            <t xml:space="preserve">PREÇO UNITÁRIO</t>
          </r>
        </is>
      </c>
      <c r="G2213" s="21" t="inlineStr">
        <is>
          <r>
            <t xml:space="preserve">TOTAL</t>
          </r>
        </is>
      </c>
    </row>
    <row r="2214" customHeight="1" ht="29">
      <c r="A2214" s="22" t="inlineStr">
        <is>
          <r>
            <t xml:space="preserve">00014618</t>
          </r>
        </is>
      </c>
      <c r="B2214" s="23" t="inlineStr">
        <is>
          <r>
            <t xml:space="preserve">SERRA CIRCULAR DE BANCADA COM MOTOR ELETRICO, POTENCIA DE *1600* W, PARA DISCO DE DIAMETRO DE 10" (250 MM)</t>
          </r>
        </is>
      </c>
      <c r="C2214" s="22" t="inlineStr">
        <is>
          <r>
            <t xml:space="preserve">SINAPI</t>
          </r>
        </is>
      </c>
      <c r="D2214" s="22" t="inlineStr">
        <is>
          <r>
            <t xml:space="preserve">UN</t>
          </r>
        </is>
      </c>
      <c r="E2214" s="24" t="n">
        <v>1.48E-5</v>
      </c>
      <c r="F2214" s="25" t="n">
        <v>1577.47</v>
      </c>
      <c r="G2214" s="25" t="n">
        <f>TRUNC(TRUNC(E2214,8)*F2214,2)</f>
        <v>0.02</v>
      </c>
    </row>
    <row r="2215" customHeight="1" ht="15">
      <c r="A2215" s="2" t="inlineStr"/>
      <c r="B2215" s="2" t="inlineStr"/>
      <c r="C2215" s="2" t="inlineStr"/>
      <c r="D2215" s="2" t="inlineStr"/>
      <c r="E2215" s="26" t="inlineStr">
        <is>
          <r>
            <t xml:space="preserve">TOTAL Equipamento:</t>
          </r>
        </is>
      </c>
      <c r="F2215" s="26" t="inlineStr"/>
      <c r="G2215" s="27" t="n">
        <f>SUM(G2214:G2214)</f>
        <v>0.02</v>
      </c>
    </row>
    <row r="2216" customHeight="1" ht="15">
      <c r="A2216" s="2" t="inlineStr"/>
      <c r="B2216" s="2" t="inlineStr"/>
      <c r="C2216" s="2" t="inlineStr"/>
      <c r="D2216" s="2" t="inlineStr"/>
      <c r="E2216" s="28" t="inlineStr">
        <is>
          <r>
            <t xml:space="preserve">VALOR:</t>
          </r>
        </is>
      </c>
      <c r="F2216" s="28" t="inlineStr"/>
      <c r="G2216" s="29" t="n">
        <f>ROUND(SUM(G2215),2)</f>
        <v>0.02</v>
      </c>
    </row>
    <row r="2217" customHeight="1" ht="15">
      <c r="A2217" s="2" t="inlineStr"/>
      <c r="B2217" s="2" t="inlineStr"/>
      <c r="C2217" s="2" t="inlineStr"/>
      <c r="D2217" s="2" t="inlineStr"/>
      <c r="E2217" s="28" t="inlineStr">
        <is>
          <r>
            <t xml:space="preserve">VALOR BDI:</t>
          </r>
        </is>
      </c>
      <c r="F2217" s="28" t="inlineStr"/>
      <c r="G2217" s="29" t="n">
        <f>ROUND(G2216*(0/100),2)</f>
        <v>0.0</v>
      </c>
    </row>
    <row r="2218" customHeight="1" ht="15">
      <c r="A2218" s="2" t="inlineStr"/>
      <c r="B2218" s="2" t="inlineStr"/>
      <c r="C2218" s="2" t="inlineStr"/>
      <c r="D2218" s="2" t="inlineStr"/>
      <c r="E2218" s="28" t="inlineStr">
        <is>
          <r>
            <t xml:space="preserve">VALOR COM BDI:</t>
          </r>
        </is>
      </c>
      <c r="F2218" s="28" t="inlineStr"/>
      <c r="G2218" s="29" t="n">
        <f>G2217+G2216</f>
        <v>0.02</v>
      </c>
    </row>
    <row r="2219" customHeight="1" ht="10">
      <c r="A2219" s="2" t="inlineStr"/>
      <c r="B2219" s="2" t="inlineStr"/>
      <c r="C2219" s="2" t="inlineStr"/>
      <c r="D2219" s="2" t="inlineStr"/>
      <c r="E2219" s="18" t="inlineStr"/>
      <c r="F2219" s="18" t="inlineStr"/>
      <c r="G2219" s="18" t="inlineStr"/>
    </row>
    <row r="2220" customHeight="1" ht="20">
      <c r="A2220" s="19" t="inlineStr">
        <is>
          <r>
            <t xml:space="preserve">​91690​ SERRA CIRCULAR DE BANCADA COM MOTOR ELÉTRICO POTÊNCIA DE 5HP, COM COIFA PARA DISCO 10" - MANUTENÇÃO. AF_08/2015​ (H)</t>
          </r>
        </is>
      </c>
      <c r="B2220" s="19" t="inlineStr"/>
      <c r="C2220" s="19" t="inlineStr"/>
      <c r="D2220" s="19" t="inlineStr"/>
      <c r="E2220" s="19" t="inlineStr"/>
      <c r="F2220" s="19" t="inlineStr"/>
      <c r="G2220" s="19" t="inlineStr"/>
    </row>
    <row r="2221" customHeight="1" ht="15">
      <c r="A2221" s="20" t="inlineStr">
        <is>
          <r>
            <t xml:space="preserve">Equipamento</t>
          </r>
        </is>
      </c>
      <c r="B2221" s="20" t="inlineStr"/>
      <c r="C2221" s="21" t="inlineStr">
        <is>
          <r>
            <t xml:space="preserve">FONTE</t>
          </r>
        </is>
      </c>
      <c r="D2221" s="21" t="inlineStr">
        <is>
          <r>
            <t xml:space="preserve">UNID</t>
          </r>
        </is>
      </c>
      <c r="E2221" s="21" t="inlineStr">
        <is>
          <r>
            <t xml:space="preserve">COEFICIENTE</t>
          </r>
        </is>
      </c>
      <c r="F2221" s="21" t="inlineStr">
        <is>
          <r>
            <t xml:space="preserve">PREÇO UNITÁRIO</t>
          </r>
        </is>
      </c>
      <c r="G2221" s="21" t="inlineStr">
        <is>
          <r>
            <t xml:space="preserve">TOTAL</t>
          </r>
        </is>
      </c>
    </row>
    <row r="2222" customHeight="1" ht="29">
      <c r="A2222" s="22" t="inlineStr">
        <is>
          <r>
            <t xml:space="preserve">00014618</t>
          </r>
        </is>
      </c>
      <c r="B2222" s="23" t="inlineStr">
        <is>
          <r>
            <t xml:space="preserve">SERRA CIRCULAR DE BANCADA COM MOTOR ELETRICO, POTENCIA DE *1600* W, PARA DISCO DE DIAMETRO DE 10" (250 MM)</t>
          </r>
        </is>
      </c>
      <c r="C2222" s="22" t="inlineStr">
        <is>
          <r>
            <t xml:space="preserve">SINAPI</t>
          </r>
        </is>
      </c>
      <c r="D2222" s="22" t="inlineStr">
        <is>
          <r>
            <t xml:space="preserve">UN</t>
          </r>
        </is>
      </c>
      <c r="E2222" s="24" t="n">
        <v>5.0E-5</v>
      </c>
      <c r="F2222" s="25" t="n">
        <v>1577.47</v>
      </c>
      <c r="G2222" s="25" t="n">
        <f>TRUNC(TRUNC(E2222,8)*F2222,2)</f>
        <v>0.07</v>
      </c>
    </row>
    <row r="2223" customHeight="1" ht="15">
      <c r="A2223" s="2" t="inlineStr"/>
      <c r="B2223" s="2" t="inlineStr"/>
      <c r="C2223" s="2" t="inlineStr"/>
      <c r="D2223" s="2" t="inlineStr"/>
      <c r="E2223" s="26" t="inlineStr">
        <is>
          <r>
            <t xml:space="preserve">TOTAL Equipamento:</t>
          </r>
        </is>
      </c>
      <c r="F2223" s="26" t="inlineStr"/>
      <c r="G2223" s="27" t="n">
        <f>SUM(G2222:G2222)</f>
        <v>0.07</v>
      </c>
    </row>
    <row r="2224" customHeight="1" ht="15">
      <c r="A2224" s="2" t="inlineStr"/>
      <c r="B2224" s="2" t="inlineStr"/>
      <c r="C2224" s="2" t="inlineStr"/>
      <c r="D2224" s="2" t="inlineStr"/>
      <c r="E2224" s="28" t="inlineStr">
        <is>
          <r>
            <t xml:space="preserve">VALOR:</t>
          </r>
        </is>
      </c>
      <c r="F2224" s="28" t="inlineStr"/>
      <c r="G2224" s="29" t="n">
        <f>ROUND(SUM(G2223),2)</f>
        <v>0.07</v>
      </c>
    </row>
    <row r="2225" customHeight="1" ht="15">
      <c r="A2225" s="2" t="inlineStr"/>
      <c r="B2225" s="2" t="inlineStr"/>
      <c r="C2225" s="2" t="inlineStr"/>
      <c r="D2225" s="2" t="inlineStr"/>
      <c r="E2225" s="28" t="inlineStr">
        <is>
          <r>
            <t xml:space="preserve">VALOR BDI:</t>
          </r>
        </is>
      </c>
      <c r="F2225" s="28" t="inlineStr"/>
      <c r="G2225" s="29" t="n">
        <f>ROUND(G2224*(0/100),2)</f>
        <v>0.0</v>
      </c>
    </row>
    <row r="2226" customHeight="1" ht="15">
      <c r="A2226" s="2" t="inlineStr"/>
      <c r="B2226" s="2" t="inlineStr"/>
      <c r="C2226" s="2" t="inlineStr"/>
      <c r="D2226" s="2" t="inlineStr"/>
      <c r="E2226" s="28" t="inlineStr">
        <is>
          <r>
            <t xml:space="preserve">VALOR COM BDI:</t>
          </r>
        </is>
      </c>
      <c r="F2226" s="28" t="inlineStr"/>
      <c r="G2226" s="29" t="n">
        <f>G2225+G2224</f>
        <v>0.07</v>
      </c>
    </row>
    <row r="2227" customHeight="1" ht="10">
      <c r="A2227" s="2" t="inlineStr"/>
      <c r="B2227" s="2" t="inlineStr"/>
      <c r="C2227" s="2" t="inlineStr"/>
      <c r="D2227" s="2" t="inlineStr"/>
      <c r="E2227" s="18" t="inlineStr"/>
      <c r="F2227" s="18" t="inlineStr"/>
      <c r="G2227" s="18" t="inlineStr"/>
    </row>
    <row r="2228" customHeight="1" ht="20">
      <c r="A2228" s="19" t="inlineStr">
        <is>
          <r>
            <t xml:space="preserve">​91691​ SERRA CIRCULAR DE BANCADA COM MOTOR ELÉTRICO POTÊNCIA DE 5HP, COM COIFA PARA DISCO 10" - MATERIAIS NA OPERAÇÃO. AF_08/2015​ (H)</t>
          </r>
        </is>
      </c>
      <c r="B2228" s="19" t="inlineStr"/>
      <c r="C2228" s="19" t="inlineStr"/>
      <c r="D2228" s="19" t="inlineStr"/>
      <c r="E2228" s="19" t="inlineStr"/>
      <c r="F2228" s="19" t="inlineStr"/>
      <c r="G2228" s="19" t="inlineStr"/>
    </row>
    <row r="2229" customHeight="1" ht="15">
      <c r="A2229" s="20" t="inlineStr">
        <is>
          <r>
            <t xml:space="preserve">Especiais</t>
          </r>
        </is>
      </c>
      <c r="B2229" s="20" t="inlineStr"/>
      <c r="C2229" s="21" t="inlineStr">
        <is>
          <r>
            <t xml:space="preserve">FONTE</t>
          </r>
        </is>
      </c>
      <c r="D2229" s="21" t="inlineStr">
        <is>
          <r>
            <t xml:space="preserve">UNID</t>
          </r>
        </is>
      </c>
      <c r="E2229" s="21" t="inlineStr">
        <is>
          <r>
            <t xml:space="preserve">COEFICIENTE</t>
          </r>
        </is>
      </c>
      <c r="F2229" s="21" t="inlineStr">
        <is>
          <r>
            <t xml:space="preserve">PREÇO UNITÁRIO</t>
          </r>
        </is>
      </c>
      <c r="G2229" s="21" t="inlineStr">
        <is>
          <r>
            <t xml:space="preserve">TOTAL</t>
          </r>
        </is>
      </c>
    </row>
    <row r="2230" customHeight="1" ht="21">
      <c r="A2230" s="22" t="inlineStr">
        <is>
          <r>
            <t xml:space="preserve">00002705</t>
          </r>
        </is>
      </c>
      <c r="B2230" s="23" t="inlineStr">
        <is>
          <r>
            <t xml:space="preserve">ENERGIA ELETRICA ATE 2000 KWH INDUSTRIAL, SEM DEMANDA</t>
          </r>
        </is>
      </c>
      <c r="C2230" s="22" t="inlineStr">
        <is>
          <r>
            <t xml:space="preserve">SINAPI</t>
          </r>
        </is>
      </c>
      <c r="D2230" s="22" t="inlineStr">
        <is>
          <r>
            <t xml:space="preserve">KWH</t>
          </r>
        </is>
      </c>
      <c r="E2230" s="24" t="n">
        <v>1.36</v>
      </c>
      <c r="F2230" s="25" t="n">
        <v>1.02</v>
      </c>
      <c r="G2230" s="25" t="n">
        <f>TRUNC(TRUNC(E2230,8)*F2230,2)</f>
        <v>1.38</v>
      </c>
    </row>
    <row r="2231" customHeight="1" ht="15">
      <c r="A2231" s="2" t="inlineStr"/>
      <c r="B2231" s="2" t="inlineStr"/>
      <c r="C2231" s="2" t="inlineStr"/>
      <c r="D2231" s="2" t="inlineStr"/>
      <c r="E2231" s="26" t="inlineStr">
        <is>
          <r>
            <t xml:space="preserve">TOTAL Especiais:</t>
          </r>
        </is>
      </c>
      <c r="F2231" s="26" t="inlineStr"/>
      <c r="G2231" s="27" t="n">
        <f>SUM(G2230:G2230)</f>
        <v>1.38</v>
      </c>
    </row>
    <row r="2232" customHeight="1" ht="15">
      <c r="A2232" s="2" t="inlineStr"/>
      <c r="B2232" s="2" t="inlineStr"/>
      <c r="C2232" s="2" t="inlineStr"/>
      <c r="D2232" s="2" t="inlineStr"/>
      <c r="E2232" s="28" t="inlineStr">
        <is>
          <r>
            <t xml:space="preserve">VALOR:</t>
          </r>
        </is>
      </c>
      <c r="F2232" s="28" t="inlineStr"/>
      <c r="G2232" s="29" t="n">
        <f>ROUND(SUM(G2231),2)</f>
        <v>1.38</v>
      </c>
    </row>
    <row r="2233" customHeight="1" ht="15">
      <c r="A2233" s="2" t="inlineStr"/>
      <c r="B2233" s="2" t="inlineStr"/>
      <c r="C2233" s="2" t="inlineStr"/>
      <c r="D2233" s="2" t="inlineStr"/>
      <c r="E2233" s="28" t="inlineStr">
        <is>
          <r>
            <t xml:space="preserve">VALOR BDI:</t>
          </r>
        </is>
      </c>
      <c r="F2233" s="28" t="inlineStr"/>
      <c r="G2233" s="29" t="n">
        <f>ROUND(G2232*(0/100),2)</f>
        <v>0.0</v>
      </c>
    </row>
    <row r="2234" customHeight="1" ht="15">
      <c r="A2234" s="2" t="inlineStr"/>
      <c r="B2234" s="2" t="inlineStr"/>
      <c r="C2234" s="2" t="inlineStr"/>
      <c r="D2234" s="2" t="inlineStr"/>
      <c r="E2234" s="28" t="inlineStr">
        <is>
          <r>
            <t xml:space="preserve">VALOR COM BDI:</t>
          </r>
        </is>
      </c>
      <c r="F2234" s="28" t="inlineStr"/>
      <c r="G2234" s="29" t="n">
        <f>G2233+G2232</f>
        <v>1.38</v>
      </c>
    </row>
    <row r="2235" customHeight="1" ht="10">
      <c r="A2235" s="2" t="inlineStr"/>
      <c r="B2235" s="2" t="inlineStr"/>
      <c r="C2235" s="2" t="inlineStr"/>
      <c r="D2235" s="2" t="inlineStr"/>
      <c r="E2235" s="18" t="inlineStr"/>
      <c r="F2235" s="18" t="inlineStr"/>
      <c r="G2235" s="18" t="inlineStr"/>
    </row>
    <row r="2236" customHeight="1" ht="20">
      <c r="A2236" s="19" t="inlineStr">
        <is>
          <r>
            <t xml:space="preserve">​88316​ SERVENTE COM ENCARGOS COMPLEMENTARES​ (H)</t>
          </r>
        </is>
      </c>
      <c r="B2236" s="19" t="inlineStr"/>
      <c r="C2236" s="19" t="inlineStr"/>
      <c r="D2236" s="19" t="inlineStr"/>
      <c r="E2236" s="19" t="inlineStr"/>
      <c r="F2236" s="19" t="inlineStr"/>
      <c r="G2236" s="19" t="inlineStr"/>
    </row>
    <row r="2237" customHeight="1" ht="15">
      <c r="A2237" s="20" t="inlineStr">
        <is>
          <r>
            <t xml:space="preserve">Encargos Complementares</t>
          </r>
        </is>
      </c>
      <c r="B2237" s="20" t="inlineStr"/>
      <c r="C2237" s="21" t="inlineStr">
        <is>
          <r>
            <t xml:space="preserve">FONTE</t>
          </r>
        </is>
      </c>
      <c r="D2237" s="21" t="inlineStr">
        <is>
          <r>
            <t xml:space="preserve">UNID</t>
          </r>
        </is>
      </c>
      <c r="E2237" s="21" t="inlineStr">
        <is>
          <r>
            <t xml:space="preserve">COEFICIENTE</t>
          </r>
        </is>
      </c>
      <c r="F2237" s="21" t="inlineStr">
        <is>
          <r>
            <t xml:space="preserve">PREÇO UNITÁRIO</t>
          </r>
        </is>
      </c>
      <c r="G2237" s="21" t="inlineStr">
        <is>
          <r>
            <t xml:space="preserve">TOTAL</t>
          </r>
        </is>
      </c>
    </row>
    <row r="2238" customHeight="1" ht="21">
      <c r="A2238" s="22" t="inlineStr">
        <is>
          <r>
            <t xml:space="preserve">00037370</t>
          </r>
        </is>
      </c>
      <c r="B2238" s="23" t="inlineStr">
        <is>
          <r>
            <t xml:space="preserve">ALIMENTACAO - HORISTA (COLETADO CAIXA - ENCARGOS COMPLEMENTARES)</t>
          </r>
        </is>
      </c>
      <c r="C2238" s="22" t="inlineStr">
        <is>
          <r>
            <t xml:space="preserve">SINAPI</t>
          </r>
        </is>
      </c>
      <c r="D2238" s="22" t="inlineStr">
        <is>
          <r>
            <t xml:space="preserve">H</t>
          </r>
        </is>
      </c>
      <c r="E2238" s="24" t="n">
        <v>1.0</v>
      </c>
      <c r="F2238" s="25" t="n">
        <v>3.62</v>
      </c>
      <c r="G2238" s="25" t="n">
        <f>TRUNC(TRUNC(E2238,8)*F2238,2)</f>
        <v>3.62</v>
      </c>
    </row>
    <row r="2239" customHeight="1" ht="21">
      <c r="A2239" s="22" t="inlineStr">
        <is>
          <r>
            <t xml:space="preserve">00043491</t>
          </r>
        </is>
      </c>
      <c r="B2239" s="23" t="inlineStr">
        <is>
          <r>
            <t xml:space="preserve">EPI - FAMILIA SERVENTE - HORISTA (ENCARGOS COMPLEMENTARES - COLETADO CAIXA)</t>
          </r>
        </is>
      </c>
      <c r="C2239" s="22" t="inlineStr">
        <is>
          <r>
            <t xml:space="preserve">SINAPI</t>
          </r>
        </is>
      </c>
      <c r="D2239" s="22" t="inlineStr">
        <is>
          <r>
            <t xml:space="preserve">H</t>
          </r>
        </is>
      </c>
      <c r="E2239" s="24" t="n">
        <v>1.0</v>
      </c>
      <c r="F2239" s="25" t="n">
        <v>1.39</v>
      </c>
      <c r="G2239" s="25" t="n">
        <f>TRUNC(TRUNC(E2239,8)*F2239,2)</f>
        <v>1.39</v>
      </c>
    </row>
    <row r="2240" customHeight="1" ht="21">
      <c r="A2240" s="22" t="inlineStr">
        <is>
          <r>
            <t xml:space="preserve">00037372</t>
          </r>
        </is>
      </c>
      <c r="B2240" s="23" t="inlineStr">
        <is>
          <r>
            <t xml:space="preserve">EXAMES - HORISTA (COLETADO CAIXA - ENCARGOS COMPLEMENTARES)</t>
          </r>
        </is>
      </c>
      <c r="C2240" s="22" t="inlineStr">
        <is>
          <r>
            <t xml:space="preserve">SINAPI</t>
          </r>
        </is>
      </c>
      <c r="D2240" s="22" t="inlineStr">
        <is>
          <r>
            <t xml:space="preserve">H</t>
          </r>
        </is>
      </c>
      <c r="E2240" s="24" t="n">
        <v>1.0</v>
      </c>
      <c r="F2240" s="25" t="n">
        <v>1.43</v>
      </c>
      <c r="G2240" s="25" t="n">
        <f>TRUNC(TRUNC(E2240,8)*F2240,2)</f>
        <v>1.43</v>
      </c>
    </row>
    <row r="2241" customHeight="1" ht="21">
      <c r="A2241" s="22" t="inlineStr">
        <is>
          <r>
            <t xml:space="preserve">00043467</t>
          </r>
        </is>
      </c>
      <c r="B2241" s="23" t="inlineStr">
        <is>
          <r>
            <t xml:space="preserve">FERRAMENTAS - FAMILIA SERVENTE - HORISTA (ENCARGOS COMPLEMENTARES - COLETADO CAIXA)</t>
          </r>
        </is>
      </c>
      <c r="C2241" s="22" t="inlineStr">
        <is>
          <r>
            <t xml:space="preserve">SINAPI</t>
          </r>
        </is>
      </c>
      <c r="D2241" s="22" t="inlineStr">
        <is>
          <r>
            <t xml:space="preserve">H</t>
          </r>
        </is>
      </c>
      <c r="E2241" s="24" t="n">
        <v>1.0</v>
      </c>
      <c r="F2241" s="25" t="n">
        <v>0.61</v>
      </c>
      <c r="G2241" s="25" t="n">
        <f>TRUNC(TRUNC(E2241,8)*F2241,2)</f>
        <v>0.61</v>
      </c>
    </row>
    <row r="2242" customHeight="1" ht="21">
      <c r="A2242" s="22" t="inlineStr">
        <is>
          <r>
            <t xml:space="preserve">00037373</t>
          </r>
        </is>
      </c>
      <c r="B2242" s="23" t="inlineStr">
        <is>
          <r>
            <t xml:space="preserve">SEGURO - HORISTA (COLETADO CAIXA - ENCARGOS COMPLEMENTARES)</t>
          </r>
        </is>
      </c>
      <c r="C2242" s="22" t="inlineStr">
        <is>
          <r>
            <t xml:space="preserve">SINAPI</t>
          </r>
        </is>
      </c>
      <c r="D2242" s="22" t="inlineStr">
        <is>
          <r>
            <t xml:space="preserve">H</t>
          </r>
        </is>
      </c>
      <c r="E2242" s="24" t="n">
        <v>1.0</v>
      </c>
      <c r="F2242" s="25" t="n">
        <v>0.08</v>
      </c>
      <c r="G2242" s="25" t="n">
        <f>TRUNC(TRUNC(E2242,8)*F2242,2)</f>
        <v>0.08</v>
      </c>
    </row>
    <row r="2243" customHeight="1" ht="21">
      <c r="A2243" s="22" t="inlineStr">
        <is>
          <r>
            <t xml:space="preserve">00037371</t>
          </r>
        </is>
      </c>
      <c r="B2243" s="23" t="inlineStr">
        <is>
          <r>
            <t xml:space="preserve">TRANSPORTE - HORISTA (COLETADO CAIXA - ENCARGOS COMPLEMENTARES)</t>
          </r>
        </is>
      </c>
      <c r="C2243" s="22" t="inlineStr">
        <is>
          <r>
            <t xml:space="preserve">SINAPI</t>
          </r>
        </is>
      </c>
      <c r="D2243" s="22" t="inlineStr">
        <is>
          <r>
            <t xml:space="preserve">H</t>
          </r>
        </is>
      </c>
      <c r="E2243" s="24" t="n">
        <v>1.0</v>
      </c>
      <c r="F2243" s="25" t="n">
        <v>1.09</v>
      </c>
      <c r="G2243" s="25" t="n">
        <f>TRUNC(TRUNC(E2243,8)*F2243,2)</f>
        <v>1.09</v>
      </c>
    </row>
    <row r="2244" customHeight="1" ht="15">
      <c r="A2244" s="2" t="inlineStr"/>
      <c r="B2244" s="2" t="inlineStr"/>
      <c r="C2244" s="2" t="inlineStr"/>
      <c r="D2244" s="2" t="inlineStr"/>
      <c r="E2244" s="26" t="inlineStr">
        <is>
          <r>
            <t xml:space="preserve">TOTAL Encargos Complementares:</t>
          </r>
        </is>
      </c>
      <c r="F2244" s="26" t="inlineStr"/>
      <c r="G2244" s="27" t="n">
        <f>SUM(G2238:G2243)</f>
        <v>8.22</v>
      </c>
    </row>
    <row r="2245" customHeight="1" ht="15">
      <c r="A2245" s="20" t="inlineStr">
        <is>
          <r>
            <t xml:space="preserve">Mão de Obra</t>
          </r>
        </is>
      </c>
      <c r="B2245" s="20" t="inlineStr"/>
      <c r="C2245" s="21" t="inlineStr">
        <is>
          <r>
            <t xml:space="preserve">FONTE</t>
          </r>
        </is>
      </c>
      <c r="D2245" s="21" t="inlineStr">
        <is>
          <r>
            <t xml:space="preserve">UNID</t>
          </r>
        </is>
      </c>
      <c r="E2245" s="21" t="inlineStr">
        <is>
          <r>
            <t xml:space="preserve">COEFICIENTE</t>
          </r>
        </is>
      </c>
      <c r="F2245" s="21" t="inlineStr">
        <is>
          <r>
            <t xml:space="preserve">PREÇO UNITÁRIO</t>
          </r>
        </is>
      </c>
      <c r="G2245" s="21" t="inlineStr">
        <is>
          <r>
            <t xml:space="preserve">TOTAL</t>
          </r>
        </is>
      </c>
    </row>
    <row r="2246" customHeight="1" ht="15">
      <c r="A2246" s="22" t="inlineStr">
        <is>
          <r>
            <t xml:space="preserve">00006111</t>
          </r>
        </is>
      </c>
      <c r="B2246" s="23" t="inlineStr">
        <is>
          <r>
            <t xml:space="preserve">SERVENTE DE OBRAS (HORISTA)</t>
          </r>
        </is>
      </c>
      <c r="C2246" s="22" t="inlineStr">
        <is>
          <r>
            <t xml:space="preserve">SINAPI</t>
          </r>
        </is>
      </c>
      <c r="D2246" s="22" t="inlineStr">
        <is>
          <r>
            <t xml:space="preserve">H</t>
          </r>
        </is>
      </c>
      <c r="E2246" s="24" t="n">
        <v>1.0</v>
      </c>
      <c r="F2246" s="25" t="n">
        <v>13.43</v>
      </c>
      <c r="G2246" s="25" t="n">
        <f>TRUNC(TRUNC(E2246,8)*F2246,2)</f>
        <v>13.43</v>
      </c>
    </row>
    <row r="2247" customHeight="1" ht="15">
      <c r="A2247" s="2" t="inlineStr"/>
      <c r="B2247" s="2" t="inlineStr"/>
      <c r="C2247" s="2" t="inlineStr"/>
      <c r="D2247" s="2" t="inlineStr"/>
      <c r="E2247" s="26" t="inlineStr">
        <is>
          <r>
            <t xml:space="preserve">TOTAL Mão de Obra:</t>
          </r>
        </is>
      </c>
      <c r="F2247" s="26" t="inlineStr"/>
      <c r="G2247" s="27" t="n">
        <f>SUM(G2246:G2246)</f>
        <v>13.43</v>
      </c>
    </row>
    <row r="2248" customHeight="1" ht="15">
      <c r="A2248" s="20" t="inlineStr">
        <is>
          <r>
            <t xml:space="preserve">Serviço</t>
          </r>
        </is>
      </c>
      <c r="B2248" s="20" t="inlineStr"/>
      <c r="C2248" s="21" t="inlineStr">
        <is>
          <r>
            <t xml:space="preserve">FONTE</t>
          </r>
        </is>
      </c>
      <c r="D2248" s="21" t="inlineStr">
        <is>
          <r>
            <t xml:space="preserve">UNID</t>
          </r>
        </is>
      </c>
      <c r="E2248" s="21" t="inlineStr">
        <is>
          <r>
            <t xml:space="preserve">COEFICIENTE</t>
          </r>
        </is>
      </c>
      <c r="F2248" s="21" t="inlineStr">
        <is>
          <r>
            <t xml:space="preserve">PREÇO UNITÁRIO</t>
          </r>
        </is>
      </c>
      <c r="G2248" s="21" t="inlineStr">
        <is>
          <r>
            <t xml:space="preserve">TOTAL</t>
          </r>
        </is>
      </c>
    </row>
    <row r="2249" customHeight="1" ht="21">
      <c r="A2249" s="22" t="inlineStr">
        <is>
          <r>
            <t xml:space="preserve">95378</t>
          </r>
        </is>
      </c>
      <c r="B2249" s="23" t="inlineStr">
        <is>
          <r>
            <t xml:space="preserve">CURSO DE CAPACITAÇÃO PARA SERVENTE (ENCARGOS COMPLEMENTARES) - HORISTA</t>
          </r>
        </is>
      </c>
      <c r="C2249" s="22" t="inlineStr">
        <is>
          <r>
            <t xml:space="preserve">SINAPI</t>
          </r>
        </is>
      </c>
      <c r="D2249" s="22" t="inlineStr">
        <is>
          <r>
            <t xml:space="preserve">H</t>
          </r>
        </is>
      </c>
      <c r="E2249" s="24" t="n">
        <v>1.0</v>
      </c>
      <c r="F2249" s="25" t="n">
        <v>0.28</v>
      </c>
      <c r="G2249" s="25" t="n">
        <f>TRUNC(TRUNC(E2249,8)*F2249,2)</f>
        <v>0.28</v>
      </c>
    </row>
    <row r="2250" customHeight="1" ht="15">
      <c r="A2250" s="2" t="inlineStr"/>
      <c r="B2250" s="2" t="inlineStr"/>
      <c r="C2250" s="2" t="inlineStr"/>
      <c r="D2250" s="2" t="inlineStr"/>
      <c r="E2250" s="26" t="inlineStr">
        <is>
          <r>
            <t xml:space="preserve">TOTAL Serviço:</t>
          </r>
        </is>
      </c>
      <c r="F2250" s="26" t="inlineStr"/>
      <c r="G2250" s="27" t="n">
        <f>SUM(G2249:G2249)</f>
        <v>0.28</v>
      </c>
    </row>
    <row r="2251" customHeight="1" ht="15">
      <c r="A2251" s="2" t="inlineStr"/>
      <c r="B2251" s="2" t="inlineStr"/>
      <c r="C2251" s="2" t="inlineStr"/>
      <c r="D2251" s="2" t="inlineStr"/>
      <c r="E2251" s="28" t="inlineStr">
        <is>
          <r>
            <t xml:space="preserve">VALOR:</t>
          </r>
        </is>
      </c>
      <c r="F2251" s="28" t="inlineStr"/>
      <c r="G2251" s="29" t="n">
        <f>ROUND(SUM(G2244,G2247,G2250),2)</f>
        <v>21.93</v>
      </c>
    </row>
    <row r="2252" customHeight="1" ht="15">
      <c r="A2252" s="2" t="inlineStr"/>
      <c r="B2252" s="2" t="inlineStr"/>
      <c r="C2252" s="2" t="inlineStr"/>
      <c r="D2252" s="2" t="inlineStr"/>
      <c r="E2252" s="28" t="inlineStr">
        <is>
          <r>
            <t xml:space="preserve">VALOR BDI:</t>
          </r>
        </is>
      </c>
      <c r="F2252" s="28" t="inlineStr"/>
      <c r="G2252" s="29" t="n">
        <f>ROUND(G2251*(0/100),2)</f>
        <v>0.0</v>
      </c>
    </row>
    <row r="2253" customHeight="1" ht="15">
      <c r="A2253" s="2" t="inlineStr"/>
      <c r="B2253" s="2" t="inlineStr"/>
      <c r="C2253" s="2" t="inlineStr"/>
      <c r="D2253" s="2" t="inlineStr"/>
      <c r="E2253" s="28" t="inlineStr">
        <is>
          <r>
            <t xml:space="preserve">VALOR COM BDI:</t>
          </r>
        </is>
      </c>
      <c r="F2253" s="28" t="inlineStr"/>
      <c r="G2253" s="29" t="n">
        <f>G2252+G2251</f>
        <v>21.93</v>
      </c>
    </row>
    <row r="2254" customHeight="1" ht="10">
      <c r="A2254" s="2" t="inlineStr"/>
      <c r="B2254" s="2" t="inlineStr"/>
      <c r="C2254" s="2" t="inlineStr"/>
      <c r="D2254" s="2" t="inlineStr"/>
      <c r="E2254" s="18" t="inlineStr"/>
      <c r="F2254" s="18" t="inlineStr"/>
      <c r="G2254" s="18" t="inlineStr"/>
    </row>
    <row r="2255" customHeight="1" ht="20">
      <c r="A2255" s="19" t="inlineStr">
        <is>
          <r>
            <t xml:space="preserve">​I0658​ TALHA MANUAL (CHI)​ (H)</t>
          </r>
        </is>
      </c>
      <c r="B2255" s="19" t="inlineStr"/>
      <c r="C2255" s="19" t="inlineStr"/>
      <c r="D2255" s="19" t="inlineStr"/>
      <c r="E2255" s="19" t="inlineStr"/>
      <c r="F2255" s="19" t="inlineStr"/>
      <c r="G2255" s="19" t="inlineStr"/>
    </row>
    <row r="2256" customHeight="1" ht="15">
      <c r="A2256" s="20" t="inlineStr">
        <is>
          <r>
            <t xml:space="preserve">Geral</t>
          </r>
        </is>
      </c>
      <c r="B2256" s="20" t="inlineStr"/>
      <c r="C2256" s="21" t="inlineStr">
        <is>
          <r>
            <t xml:space="preserve">FONTE</t>
          </r>
        </is>
      </c>
      <c r="D2256" s="21" t="inlineStr">
        <is>
          <r>
            <t xml:space="preserve">UNID</t>
          </r>
        </is>
      </c>
      <c r="E2256" s="21" t="inlineStr">
        <is>
          <r>
            <t xml:space="preserve">COEFICIENTE</t>
          </r>
        </is>
      </c>
      <c r="F2256" s="21" t="inlineStr">
        <is>
          <r>
            <t xml:space="preserve">PREÇO UNITÁRIO</t>
          </r>
        </is>
      </c>
      <c r="G2256" s="21" t="inlineStr">
        <is>
          <r>
            <t xml:space="preserve">TOTAL</t>
          </r>
        </is>
      </c>
    </row>
    <row r="2257" customHeight="1" ht="15">
      <c r="A2257" s="22" t="inlineStr">
        <is>
          <r>
            <t xml:space="preserve">I2701</t>
          </r>
        </is>
      </c>
      <c r="B2257" s="23" t="inlineStr">
        <is>
          <r>
            <t xml:space="preserve">DEPRECIAÇÃO</t>
          </r>
        </is>
      </c>
      <c r="C2257" s="22" t="inlineStr">
        <is>
          <r>
            <t xml:space="preserve">SEINFRA</t>
          </r>
        </is>
      </c>
      <c r="D2257" s="22" t="inlineStr">
        <is>
          <r>
            <t xml:space="preserve">H</t>
          </r>
        </is>
      </c>
      <c r="E2257" s="24" t="n">
        <v>0.1387</v>
      </c>
      <c r="F2257" s="30" t="n">
        <v>1.0</v>
      </c>
      <c r="G2257" s="30" t="n">
        <f>ROUND(ROUND(E2257,8)*F2257,4)</f>
        <v>0.1387</v>
      </c>
    </row>
    <row r="2258" customHeight="1" ht="15">
      <c r="A2258" s="22" t="inlineStr">
        <is>
          <r>
            <t xml:space="preserve">I2702</t>
          </r>
        </is>
      </c>
      <c r="B2258" s="23" t="inlineStr">
        <is>
          <r>
            <t xml:space="preserve">JUROS</t>
          </r>
        </is>
      </c>
      <c r="C2258" s="22" t="inlineStr">
        <is>
          <r>
            <t xml:space="preserve">SEINFRA</t>
          </r>
        </is>
      </c>
      <c r="D2258" s="22" t="inlineStr">
        <is>
          <r>
            <t xml:space="preserve">H</t>
          </r>
        </is>
      </c>
      <c r="E2258" s="24" t="n">
        <v>0.0508</v>
      </c>
      <c r="F2258" s="30" t="n">
        <v>1.0</v>
      </c>
      <c r="G2258" s="30" t="n">
        <f>ROUND(ROUND(E2258,8)*F2258,4)</f>
        <v>0.0508</v>
      </c>
    </row>
    <row r="2259" customHeight="1" ht="15">
      <c r="A2259" s="2" t="inlineStr"/>
      <c r="B2259" s="2" t="inlineStr"/>
      <c r="C2259" s="2" t="inlineStr"/>
      <c r="D2259" s="2" t="inlineStr"/>
      <c r="E2259" s="26" t="inlineStr">
        <is>
          <r>
            <t xml:space="preserve">TOTAL Geral:</t>
          </r>
        </is>
      </c>
      <c r="F2259" s="26" t="inlineStr"/>
      <c r="G2259" s="31" t="n">
        <f>SUM(G2257:G2258)</f>
        <v>0.1895</v>
      </c>
    </row>
    <row r="2260" customHeight="1" ht="15">
      <c r="A2260" s="2" t="inlineStr"/>
      <c r="B2260" s="2" t="inlineStr"/>
      <c r="C2260" s="2" t="inlineStr"/>
      <c r="D2260" s="2" t="inlineStr"/>
      <c r="E2260" s="28" t="inlineStr">
        <is>
          <r>
            <t xml:space="preserve">VALOR:</t>
          </r>
        </is>
      </c>
      <c r="F2260" s="28" t="inlineStr"/>
      <c r="G2260" s="29" t="n">
        <f>ROUND(SUM(G2259),2)</f>
        <v>0.19</v>
      </c>
    </row>
    <row r="2261" customHeight="1" ht="15">
      <c r="A2261" s="2" t="inlineStr"/>
      <c r="B2261" s="2" t="inlineStr"/>
      <c r="C2261" s="2" t="inlineStr"/>
      <c r="D2261" s="2" t="inlineStr"/>
      <c r="E2261" s="28" t="inlineStr">
        <is>
          <r>
            <t xml:space="preserve">VALOR BDI:</t>
          </r>
        </is>
      </c>
      <c r="F2261" s="28" t="inlineStr"/>
      <c r="G2261" s="29" t="n">
        <f>ROUND(G2260*(0/100),2)</f>
        <v>0.0</v>
      </c>
    </row>
    <row r="2262" customHeight="1" ht="15">
      <c r="A2262" s="2" t="inlineStr"/>
      <c r="B2262" s="2" t="inlineStr"/>
      <c r="C2262" s="2" t="inlineStr"/>
      <c r="D2262" s="2" t="inlineStr"/>
      <c r="E2262" s="28" t="inlineStr">
        <is>
          <r>
            <t xml:space="preserve">VALOR COM BDI:</t>
          </r>
        </is>
      </c>
      <c r="F2262" s="28" t="inlineStr"/>
      <c r="G2262" s="29" t="n">
        <f>G2261+G2260</f>
        <v>0.19</v>
      </c>
    </row>
    <row r="2263" customHeight="1" ht="10">
      <c r="A2263" s="2" t="inlineStr"/>
      <c r="B2263" s="2" t="inlineStr"/>
      <c r="C2263" s="2" t="inlineStr"/>
      <c r="D2263" s="2" t="inlineStr"/>
      <c r="E2263" s="18" t="inlineStr"/>
      <c r="F2263" s="18" t="inlineStr"/>
      <c r="G2263" s="18" t="inlineStr"/>
    </row>
    <row r="2264" customHeight="1" ht="20">
      <c r="A2264" s="19" t="inlineStr">
        <is>
          <r>
            <t xml:space="preserve">​I0771​ TALHA MANUAL (CHP)​ (H)</t>
          </r>
        </is>
      </c>
      <c r="B2264" s="19" t="inlineStr"/>
      <c r="C2264" s="19" t="inlineStr"/>
      <c r="D2264" s="19" t="inlineStr"/>
      <c r="E2264" s="19" t="inlineStr"/>
      <c r="F2264" s="19" t="inlineStr"/>
      <c r="G2264" s="19" t="inlineStr"/>
    </row>
    <row r="2265" customHeight="1" ht="15">
      <c r="A2265" s="20" t="inlineStr">
        <is>
          <r>
            <t xml:space="preserve">Geral</t>
          </r>
        </is>
      </c>
      <c r="B2265" s="20" t="inlineStr"/>
      <c r="C2265" s="21" t="inlineStr">
        <is>
          <r>
            <t xml:space="preserve">FONTE</t>
          </r>
        </is>
      </c>
      <c r="D2265" s="21" t="inlineStr">
        <is>
          <r>
            <t xml:space="preserve">UNID</t>
          </r>
        </is>
      </c>
      <c r="E2265" s="21" t="inlineStr">
        <is>
          <r>
            <t xml:space="preserve">COEFICIENTE</t>
          </r>
        </is>
      </c>
      <c r="F2265" s="21" t="inlineStr">
        <is>
          <r>
            <t xml:space="preserve">PREÇO UNITÁRIO</t>
          </r>
        </is>
      </c>
      <c r="G2265" s="21" t="inlineStr">
        <is>
          <r>
            <t xml:space="preserve">TOTAL</t>
          </r>
        </is>
      </c>
    </row>
    <row r="2266" customHeight="1" ht="15">
      <c r="A2266" s="22" t="inlineStr">
        <is>
          <r>
            <t xml:space="preserve">I2701</t>
          </r>
        </is>
      </c>
      <c r="B2266" s="23" t="inlineStr">
        <is>
          <r>
            <t xml:space="preserve">DEPRECIAÇÃO</t>
          </r>
        </is>
      </c>
      <c r="C2266" s="22" t="inlineStr">
        <is>
          <r>
            <t xml:space="preserve">SEINFRA</t>
          </r>
        </is>
      </c>
      <c r="D2266" s="22" t="inlineStr">
        <is>
          <r>
            <t xml:space="preserve">H</t>
          </r>
        </is>
      </c>
      <c r="E2266" s="24" t="n">
        <v>0.1387</v>
      </c>
      <c r="F2266" s="30" t="n">
        <v>1.0</v>
      </c>
      <c r="G2266" s="30" t="n">
        <f>ROUND(ROUND(E2266,8)*F2266,4)</f>
        <v>0.1387</v>
      </c>
    </row>
    <row r="2267" customHeight="1" ht="15">
      <c r="A2267" s="22" t="inlineStr">
        <is>
          <r>
            <t xml:space="preserve">I2702</t>
          </r>
        </is>
      </c>
      <c r="B2267" s="23" t="inlineStr">
        <is>
          <r>
            <t xml:space="preserve">JUROS</t>
          </r>
        </is>
      </c>
      <c r="C2267" s="22" t="inlineStr">
        <is>
          <r>
            <t xml:space="preserve">SEINFRA</t>
          </r>
        </is>
      </c>
      <c r="D2267" s="22" t="inlineStr">
        <is>
          <r>
            <t xml:space="preserve">H</t>
          </r>
        </is>
      </c>
      <c r="E2267" s="24" t="n">
        <v>0.0508</v>
      </c>
      <c r="F2267" s="30" t="n">
        <v>1.0</v>
      </c>
      <c r="G2267" s="30" t="n">
        <f>ROUND(ROUND(E2267,8)*F2267,4)</f>
        <v>0.0508</v>
      </c>
    </row>
    <row r="2268" customHeight="1" ht="15">
      <c r="A2268" s="22" t="inlineStr">
        <is>
          <r>
            <t xml:space="preserve">I2703</t>
          </r>
        </is>
      </c>
      <c r="B2268" s="23" t="inlineStr">
        <is>
          <r>
            <t xml:space="preserve">MANUTENÇÃO</t>
          </r>
        </is>
      </c>
      <c r="C2268" s="22" t="inlineStr">
        <is>
          <r>
            <t xml:space="preserve">SEINFRA</t>
          </r>
        </is>
      </c>
      <c r="D2268" s="22" t="inlineStr">
        <is>
          <r>
            <t xml:space="preserve">H</t>
          </r>
        </is>
      </c>
      <c r="E2268" s="24" t="n">
        <v>0.077</v>
      </c>
      <c r="F2268" s="30" t="n">
        <v>1.0</v>
      </c>
      <c r="G2268" s="30" t="n">
        <f>ROUND(ROUND(E2268,8)*F2268,4)</f>
        <v>0.077</v>
      </c>
    </row>
    <row r="2269" customHeight="1" ht="15">
      <c r="A2269" s="2" t="inlineStr"/>
      <c r="B2269" s="2" t="inlineStr"/>
      <c r="C2269" s="2" t="inlineStr"/>
      <c r="D2269" s="2" t="inlineStr"/>
      <c r="E2269" s="26" t="inlineStr">
        <is>
          <r>
            <t xml:space="preserve">TOTAL Geral:</t>
          </r>
        </is>
      </c>
      <c r="F2269" s="26" t="inlineStr"/>
      <c r="G2269" s="31" t="n">
        <f>SUM(G2266:G2268)</f>
        <v>0.2665</v>
      </c>
    </row>
    <row r="2270" customHeight="1" ht="15">
      <c r="A2270" s="2" t="inlineStr"/>
      <c r="B2270" s="2" t="inlineStr"/>
      <c r="C2270" s="2" t="inlineStr"/>
      <c r="D2270" s="2" t="inlineStr"/>
      <c r="E2270" s="28" t="inlineStr">
        <is>
          <r>
            <t xml:space="preserve">VALOR:</t>
          </r>
        </is>
      </c>
      <c r="F2270" s="28" t="inlineStr"/>
      <c r="G2270" s="29" t="n">
        <f>ROUND(SUM(G2269),2)</f>
        <v>0.27</v>
      </c>
    </row>
    <row r="2271" customHeight="1" ht="15">
      <c r="A2271" s="2" t="inlineStr"/>
      <c r="B2271" s="2" t="inlineStr"/>
      <c r="C2271" s="2" t="inlineStr"/>
      <c r="D2271" s="2" t="inlineStr"/>
      <c r="E2271" s="28" t="inlineStr">
        <is>
          <r>
            <t xml:space="preserve">VALOR BDI:</t>
          </r>
        </is>
      </c>
      <c r="F2271" s="28" t="inlineStr"/>
      <c r="G2271" s="29" t="n">
        <f>ROUND(G2270*(0/100),2)</f>
        <v>0.0</v>
      </c>
    </row>
    <row r="2272" customHeight="1" ht="15">
      <c r="A2272" s="2" t="inlineStr"/>
      <c r="B2272" s="2" t="inlineStr"/>
      <c r="C2272" s="2" t="inlineStr"/>
      <c r="D2272" s="2" t="inlineStr"/>
      <c r="E2272" s="28" t="inlineStr">
        <is>
          <r>
            <t xml:space="preserve">VALOR COM BDI:</t>
          </r>
        </is>
      </c>
      <c r="F2272" s="28" t="inlineStr"/>
      <c r="G2272" s="29" t="n">
        <f>G2271+G2270</f>
        <v>0.27</v>
      </c>
    </row>
    <row r="2273" customHeight="1" ht="10">
      <c r="A2273" s="2" t="inlineStr"/>
      <c r="B2273" s="2" t="inlineStr"/>
      <c r="C2273" s="2" t="inlineStr"/>
      <c r="D2273" s="2" t="inlineStr"/>
      <c r="E2273" s="18" t="inlineStr"/>
      <c r="F2273" s="18" t="inlineStr"/>
      <c r="G2273" s="18" t="inlineStr"/>
    </row>
    <row r="2274" customHeight="1" ht="20">
      <c r="A2274" s="19" t="inlineStr">
        <is>
          <r>
            <t xml:space="preserve">​I0661​ TANQUE DE ESTOCAGEM DE ASFALTO (CHI)​ (H)</t>
          </r>
        </is>
      </c>
      <c r="B2274" s="19" t="inlineStr"/>
      <c r="C2274" s="19" t="inlineStr"/>
      <c r="D2274" s="19" t="inlineStr"/>
      <c r="E2274" s="19" t="inlineStr"/>
      <c r="F2274" s="19" t="inlineStr"/>
      <c r="G2274" s="19" t="inlineStr"/>
    </row>
    <row r="2275" customHeight="1" ht="15">
      <c r="A2275" s="20" t="inlineStr">
        <is>
          <r>
            <t xml:space="preserve">Geral</t>
          </r>
        </is>
      </c>
      <c r="B2275" s="20" t="inlineStr"/>
      <c r="C2275" s="21" t="inlineStr">
        <is>
          <r>
            <t xml:space="preserve">FONTE</t>
          </r>
        </is>
      </c>
      <c r="D2275" s="21" t="inlineStr">
        <is>
          <r>
            <t xml:space="preserve">UNID</t>
          </r>
        </is>
      </c>
      <c r="E2275" s="21" t="inlineStr">
        <is>
          <r>
            <t xml:space="preserve">COEFICIENTE</t>
          </r>
        </is>
      </c>
      <c r="F2275" s="21" t="inlineStr">
        <is>
          <r>
            <t xml:space="preserve">PREÇO UNITÁRIO</t>
          </r>
        </is>
      </c>
      <c r="G2275" s="21" t="inlineStr">
        <is>
          <r>
            <t xml:space="preserve">TOTAL</t>
          </r>
        </is>
      </c>
    </row>
    <row r="2276" customHeight="1" ht="15">
      <c r="A2276" s="22" t="inlineStr">
        <is>
          <r>
            <t xml:space="preserve">I2701</t>
          </r>
        </is>
      </c>
      <c r="B2276" s="23" t="inlineStr">
        <is>
          <r>
            <t xml:space="preserve">DEPRECIAÇÃO</t>
          </r>
        </is>
      </c>
      <c r="C2276" s="22" t="inlineStr">
        <is>
          <r>
            <t xml:space="preserve">SEINFRA</t>
          </r>
        </is>
      </c>
      <c r="D2276" s="22" t="inlineStr">
        <is>
          <r>
            <t xml:space="preserve">H</t>
          </r>
        </is>
      </c>
      <c r="E2276" s="24" t="n">
        <v>17.6768</v>
      </c>
      <c r="F2276" s="30" t="n">
        <v>1.0</v>
      </c>
      <c r="G2276" s="30" t="n">
        <f>ROUND(ROUND(E2276,8)*F2276,4)</f>
        <v>17.6768</v>
      </c>
    </row>
    <row r="2277" customHeight="1" ht="15">
      <c r="A2277" s="22" t="inlineStr">
        <is>
          <r>
            <t xml:space="preserve">I2702</t>
          </r>
        </is>
      </c>
      <c r="B2277" s="23" t="inlineStr">
        <is>
          <r>
            <t xml:space="preserve">JUROS</t>
          </r>
        </is>
      </c>
      <c r="C2277" s="22" t="inlineStr">
        <is>
          <r>
            <t xml:space="preserve">SEINFRA</t>
          </r>
        </is>
      </c>
      <c r="D2277" s="22" t="inlineStr">
        <is>
          <r>
            <t xml:space="preserve">H</t>
          </r>
        </is>
      </c>
      <c r="E2277" s="24" t="n">
        <v>5.9659</v>
      </c>
      <c r="F2277" s="30" t="n">
        <v>1.0</v>
      </c>
      <c r="G2277" s="30" t="n">
        <f>ROUND(ROUND(E2277,8)*F2277,4)</f>
        <v>5.9659</v>
      </c>
    </row>
    <row r="2278" customHeight="1" ht="15">
      <c r="A2278" s="2" t="inlineStr"/>
      <c r="B2278" s="2" t="inlineStr"/>
      <c r="C2278" s="2" t="inlineStr"/>
      <c r="D2278" s="2" t="inlineStr"/>
      <c r="E2278" s="26" t="inlineStr">
        <is>
          <r>
            <t xml:space="preserve">TOTAL Geral:</t>
          </r>
        </is>
      </c>
      <c r="F2278" s="26" t="inlineStr"/>
      <c r="G2278" s="31" t="n">
        <f>SUM(G2276:G2277)</f>
        <v>23.6427</v>
      </c>
    </row>
    <row r="2279" customHeight="1" ht="15">
      <c r="A2279" s="2" t="inlineStr"/>
      <c r="B2279" s="2" t="inlineStr"/>
      <c r="C2279" s="2" t="inlineStr"/>
      <c r="D2279" s="2" t="inlineStr"/>
      <c r="E2279" s="28" t="inlineStr">
        <is>
          <r>
            <t xml:space="preserve">VALOR:</t>
          </r>
        </is>
      </c>
      <c r="F2279" s="28" t="inlineStr"/>
      <c r="G2279" s="29" t="n">
        <f>ROUND(SUM(G2278),2)</f>
        <v>23.64</v>
      </c>
    </row>
    <row r="2280" customHeight="1" ht="15">
      <c r="A2280" s="2" t="inlineStr"/>
      <c r="B2280" s="2" t="inlineStr"/>
      <c r="C2280" s="2" t="inlineStr"/>
      <c r="D2280" s="2" t="inlineStr"/>
      <c r="E2280" s="28" t="inlineStr">
        <is>
          <r>
            <t xml:space="preserve">VALOR BDI:</t>
          </r>
        </is>
      </c>
      <c r="F2280" s="28" t="inlineStr"/>
      <c r="G2280" s="29" t="n">
        <f>ROUND(G2279*(0/100),2)</f>
        <v>0.0</v>
      </c>
    </row>
    <row r="2281" customHeight="1" ht="15">
      <c r="A2281" s="2" t="inlineStr"/>
      <c r="B2281" s="2" t="inlineStr"/>
      <c r="C2281" s="2" t="inlineStr"/>
      <c r="D2281" s="2" t="inlineStr"/>
      <c r="E2281" s="28" t="inlineStr">
        <is>
          <r>
            <t xml:space="preserve">VALOR COM BDI:</t>
          </r>
        </is>
      </c>
      <c r="F2281" s="28" t="inlineStr"/>
      <c r="G2281" s="29" t="n">
        <f>G2280+G2279</f>
        <v>23.64</v>
      </c>
    </row>
    <row r="2282" customHeight="1" ht="10">
      <c r="A2282" s="2" t="inlineStr"/>
      <c r="B2282" s="2" t="inlineStr"/>
      <c r="C2282" s="2" t="inlineStr"/>
      <c r="D2282" s="2" t="inlineStr"/>
      <c r="E2282" s="18" t="inlineStr"/>
      <c r="F2282" s="18" t="inlineStr"/>
      <c r="G2282" s="18" t="inlineStr"/>
    </row>
    <row r="2283" customHeight="1" ht="20">
      <c r="A2283" s="19" t="inlineStr">
        <is>
          <r>
            <t xml:space="preserve">​I0774​ TANQUE DE ESTOCAGEM DE ASFALTO (CHP)​ (H)</t>
          </r>
        </is>
      </c>
      <c r="B2283" s="19" t="inlineStr"/>
      <c r="C2283" s="19" t="inlineStr"/>
      <c r="D2283" s="19" t="inlineStr"/>
      <c r="E2283" s="19" t="inlineStr"/>
      <c r="F2283" s="19" t="inlineStr"/>
      <c r="G2283" s="19" t="inlineStr"/>
    </row>
    <row r="2284" customHeight="1" ht="15">
      <c r="A2284" s="20" t="inlineStr">
        <is>
          <r>
            <t xml:space="preserve">Geral</t>
          </r>
        </is>
      </c>
      <c r="B2284" s="20" t="inlineStr"/>
      <c r="C2284" s="21" t="inlineStr">
        <is>
          <r>
            <t xml:space="preserve">FONTE</t>
          </r>
        </is>
      </c>
      <c r="D2284" s="21" t="inlineStr">
        <is>
          <r>
            <t xml:space="preserve">UNID</t>
          </r>
        </is>
      </c>
      <c r="E2284" s="21" t="inlineStr">
        <is>
          <r>
            <t xml:space="preserve">COEFICIENTE</t>
          </r>
        </is>
      </c>
      <c r="F2284" s="21" t="inlineStr">
        <is>
          <r>
            <t xml:space="preserve">PREÇO UNITÁRIO</t>
          </r>
        </is>
      </c>
      <c r="G2284" s="21" t="inlineStr">
        <is>
          <r>
            <t xml:space="preserve">TOTAL</t>
          </r>
        </is>
      </c>
    </row>
    <row r="2285" customHeight="1" ht="15">
      <c r="A2285" s="22" t="inlineStr">
        <is>
          <r>
            <t xml:space="preserve">I2701</t>
          </r>
        </is>
      </c>
      <c r="B2285" s="23" t="inlineStr">
        <is>
          <r>
            <t xml:space="preserve">DEPRECIAÇÃO</t>
          </r>
        </is>
      </c>
      <c r="C2285" s="22" t="inlineStr">
        <is>
          <r>
            <t xml:space="preserve">SEINFRA</t>
          </r>
        </is>
      </c>
      <c r="D2285" s="22" t="inlineStr">
        <is>
          <r>
            <t xml:space="preserve">H</t>
          </r>
        </is>
      </c>
      <c r="E2285" s="24" t="n">
        <v>17.6768</v>
      </c>
      <c r="F2285" s="30" t="n">
        <v>1.0</v>
      </c>
      <c r="G2285" s="30" t="n">
        <f>ROUND(ROUND(E2285,8)*F2285,4)</f>
        <v>17.6768</v>
      </c>
    </row>
    <row r="2286" customHeight="1" ht="15">
      <c r="A2286" s="22" t="inlineStr">
        <is>
          <r>
            <t xml:space="preserve">I2702</t>
          </r>
        </is>
      </c>
      <c r="B2286" s="23" t="inlineStr">
        <is>
          <r>
            <t xml:space="preserve">JUROS</t>
          </r>
        </is>
      </c>
      <c r="C2286" s="22" t="inlineStr">
        <is>
          <r>
            <t xml:space="preserve">SEINFRA</t>
          </r>
        </is>
      </c>
      <c r="D2286" s="22" t="inlineStr">
        <is>
          <r>
            <t xml:space="preserve">H</t>
          </r>
        </is>
      </c>
      <c r="E2286" s="24" t="n">
        <v>5.9659</v>
      </c>
      <c r="F2286" s="30" t="n">
        <v>1.0</v>
      </c>
      <c r="G2286" s="30" t="n">
        <f>ROUND(ROUND(E2286,8)*F2286,4)</f>
        <v>5.9659</v>
      </c>
    </row>
    <row r="2287" customHeight="1" ht="15">
      <c r="A2287" s="22" t="inlineStr">
        <is>
          <r>
            <t xml:space="preserve">I2703</t>
          </r>
        </is>
      </c>
      <c r="B2287" s="23" t="inlineStr">
        <is>
          <r>
            <t xml:space="preserve">MANUTENÇÃO</t>
          </r>
        </is>
      </c>
      <c r="C2287" s="22" t="inlineStr">
        <is>
          <r>
            <t xml:space="preserve">SEINFRA</t>
          </r>
        </is>
      </c>
      <c r="D2287" s="22" t="inlineStr">
        <is>
          <r>
            <t xml:space="preserve">H</t>
          </r>
        </is>
      </c>
      <c r="E2287" s="24" t="n">
        <v>11.048</v>
      </c>
      <c r="F2287" s="30" t="n">
        <v>1.0</v>
      </c>
      <c r="G2287" s="30" t="n">
        <f>ROUND(ROUND(E2287,8)*F2287,4)</f>
        <v>11.048</v>
      </c>
    </row>
    <row r="2288" customHeight="1" ht="15">
      <c r="A2288" s="2" t="inlineStr"/>
      <c r="B2288" s="2" t="inlineStr"/>
      <c r="C2288" s="2" t="inlineStr"/>
      <c r="D2288" s="2" t="inlineStr"/>
      <c r="E2288" s="26" t="inlineStr">
        <is>
          <r>
            <t xml:space="preserve">TOTAL Geral:</t>
          </r>
        </is>
      </c>
      <c r="F2288" s="26" t="inlineStr"/>
      <c r="G2288" s="31" t="n">
        <f>SUM(G2285:G2287)</f>
        <v>34.6907</v>
      </c>
    </row>
    <row r="2289" customHeight="1" ht="15">
      <c r="A2289" s="2" t="inlineStr"/>
      <c r="B2289" s="2" t="inlineStr"/>
      <c r="C2289" s="2" t="inlineStr"/>
      <c r="D2289" s="2" t="inlineStr"/>
      <c r="E2289" s="28" t="inlineStr">
        <is>
          <r>
            <t xml:space="preserve">VALOR:</t>
          </r>
        </is>
      </c>
      <c r="F2289" s="28" t="inlineStr"/>
      <c r="G2289" s="29" t="n">
        <f>ROUND(SUM(G2288),2)</f>
        <v>34.69</v>
      </c>
    </row>
    <row r="2290" customHeight="1" ht="15">
      <c r="A2290" s="2" t="inlineStr"/>
      <c r="B2290" s="2" t="inlineStr"/>
      <c r="C2290" s="2" t="inlineStr"/>
      <c r="D2290" s="2" t="inlineStr"/>
      <c r="E2290" s="28" t="inlineStr">
        <is>
          <r>
            <t xml:space="preserve">VALOR BDI:</t>
          </r>
        </is>
      </c>
      <c r="F2290" s="28" t="inlineStr"/>
      <c r="G2290" s="29" t="n">
        <f>ROUND(G2289*(0/100),2)</f>
        <v>0.0</v>
      </c>
    </row>
    <row r="2291" customHeight="1" ht="15">
      <c r="A2291" s="2" t="inlineStr"/>
      <c r="B2291" s="2" t="inlineStr"/>
      <c r="C2291" s="2" t="inlineStr"/>
      <c r="D2291" s="2" t="inlineStr"/>
      <c r="E2291" s="28" t="inlineStr">
        <is>
          <r>
            <t xml:space="preserve">VALOR COM BDI:</t>
          </r>
        </is>
      </c>
      <c r="F2291" s="28" t="inlineStr"/>
      <c r="G2291" s="29" t="n">
        <f>G2290+G2289</f>
        <v>34.69</v>
      </c>
    </row>
    <row r="2292" customHeight="1" ht="10">
      <c r="A2292" s="2" t="inlineStr"/>
      <c r="B2292" s="2" t="inlineStr"/>
      <c r="C2292" s="2" t="inlineStr"/>
      <c r="D2292" s="2" t="inlineStr"/>
      <c r="E2292" s="18" t="inlineStr"/>
      <c r="F2292" s="18" t="inlineStr"/>
      <c r="G2292" s="18" t="inlineStr"/>
    </row>
    <row r="2293" customHeight="1" ht="20">
      <c r="A2293" s="19" t="inlineStr">
        <is>
          <r>
            <t xml:space="preserve">​I0775​ TEODOLITO (CHP)​ (H)</t>
          </r>
        </is>
      </c>
      <c r="B2293" s="19" t="inlineStr"/>
      <c r="C2293" s="19" t="inlineStr"/>
      <c r="D2293" s="19" t="inlineStr"/>
      <c r="E2293" s="19" t="inlineStr"/>
      <c r="F2293" s="19" t="inlineStr"/>
      <c r="G2293" s="19" t="inlineStr"/>
    </row>
    <row r="2294" customHeight="1" ht="15">
      <c r="A2294" s="20" t="inlineStr">
        <is>
          <r>
            <t xml:space="preserve">Geral</t>
          </r>
        </is>
      </c>
      <c r="B2294" s="20" t="inlineStr"/>
      <c r="C2294" s="21" t="inlineStr">
        <is>
          <r>
            <t xml:space="preserve">FONTE</t>
          </r>
        </is>
      </c>
      <c r="D2294" s="21" t="inlineStr">
        <is>
          <r>
            <t xml:space="preserve">UNID</t>
          </r>
        </is>
      </c>
      <c r="E2294" s="21" t="inlineStr">
        <is>
          <r>
            <t xml:space="preserve">COEFICIENTE</t>
          </r>
        </is>
      </c>
      <c r="F2294" s="21" t="inlineStr">
        <is>
          <r>
            <t xml:space="preserve">PREÇO UNITÁRIO</t>
          </r>
        </is>
      </c>
      <c r="G2294" s="21" t="inlineStr">
        <is>
          <r>
            <t xml:space="preserve">TOTAL</t>
          </r>
        </is>
      </c>
    </row>
    <row r="2295" customHeight="1" ht="15">
      <c r="A2295" s="22" t="inlineStr">
        <is>
          <r>
            <t xml:space="preserve">I2701</t>
          </r>
        </is>
      </c>
      <c r="B2295" s="23" t="inlineStr">
        <is>
          <r>
            <t xml:space="preserve">DEPRECIAÇÃO</t>
          </r>
        </is>
      </c>
      <c r="C2295" s="22" t="inlineStr">
        <is>
          <r>
            <t xml:space="preserve">SEINFRA</t>
          </r>
        </is>
      </c>
      <c r="D2295" s="22" t="inlineStr">
        <is>
          <r>
            <t xml:space="preserve">H</t>
          </r>
        </is>
      </c>
      <c r="E2295" s="24" t="n">
        <v>1.1388</v>
      </c>
      <c r="F2295" s="30" t="n">
        <v>1.0</v>
      </c>
      <c r="G2295" s="30" t="n">
        <f>ROUND(ROUND(E2295,8)*F2295,4)</f>
        <v>1.1388</v>
      </c>
    </row>
    <row r="2296" customHeight="1" ht="15">
      <c r="A2296" s="22" t="inlineStr">
        <is>
          <r>
            <t xml:space="preserve">I2702</t>
          </r>
        </is>
      </c>
      <c r="B2296" s="23" t="inlineStr">
        <is>
          <r>
            <t xml:space="preserve">JUROS</t>
          </r>
        </is>
      </c>
      <c r="C2296" s="22" t="inlineStr">
        <is>
          <r>
            <t xml:space="preserve">SEINFRA</t>
          </r>
        </is>
      </c>
      <c r="D2296" s="22" t="inlineStr">
        <is>
          <r>
            <t xml:space="preserve">H</t>
          </r>
        </is>
      </c>
      <c r="E2296" s="24" t="n">
        <v>0.4697</v>
      </c>
      <c r="F2296" s="30" t="n">
        <v>1.0</v>
      </c>
      <c r="G2296" s="30" t="n">
        <f>ROUND(ROUND(E2296,8)*F2296,4)</f>
        <v>0.4697</v>
      </c>
    </row>
    <row r="2297" customHeight="1" ht="15">
      <c r="A2297" s="22" t="inlineStr">
        <is>
          <r>
            <t xml:space="preserve">I2703</t>
          </r>
        </is>
      </c>
      <c r="B2297" s="23" t="inlineStr">
        <is>
          <r>
            <t xml:space="preserve">MANUTENÇÃO</t>
          </r>
        </is>
      </c>
      <c r="C2297" s="22" t="inlineStr">
        <is>
          <r>
            <t xml:space="preserve">SEINFRA</t>
          </r>
        </is>
      </c>
      <c r="D2297" s="22" t="inlineStr">
        <is>
          <r>
            <t xml:space="preserve">H</t>
          </r>
        </is>
      </c>
      <c r="E2297" s="24" t="n">
        <v>0.7117</v>
      </c>
      <c r="F2297" s="30" t="n">
        <v>1.0</v>
      </c>
      <c r="G2297" s="30" t="n">
        <f>ROUND(ROUND(E2297,8)*F2297,4)</f>
        <v>0.7117</v>
      </c>
    </row>
    <row r="2298" customHeight="1" ht="15">
      <c r="A2298" s="2" t="inlineStr"/>
      <c r="B2298" s="2" t="inlineStr"/>
      <c r="C2298" s="2" t="inlineStr"/>
      <c r="D2298" s="2" t="inlineStr"/>
      <c r="E2298" s="26" t="inlineStr">
        <is>
          <r>
            <t xml:space="preserve">TOTAL Geral:</t>
          </r>
        </is>
      </c>
      <c r="F2298" s="26" t="inlineStr"/>
      <c r="G2298" s="31" t="n">
        <f>SUM(G2295:G2297)</f>
        <v>2.3202</v>
      </c>
    </row>
    <row r="2299" customHeight="1" ht="15">
      <c r="A2299" s="2" t="inlineStr"/>
      <c r="B2299" s="2" t="inlineStr"/>
      <c r="C2299" s="2" t="inlineStr"/>
      <c r="D2299" s="2" t="inlineStr"/>
      <c r="E2299" s="28" t="inlineStr">
        <is>
          <r>
            <t xml:space="preserve">VALOR:</t>
          </r>
        </is>
      </c>
      <c r="F2299" s="28" t="inlineStr"/>
      <c r="G2299" s="29" t="n">
        <f>ROUND(SUM(G2298),2)</f>
        <v>2.32</v>
      </c>
    </row>
    <row r="2300" customHeight="1" ht="15">
      <c r="A2300" s="2" t="inlineStr"/>
      <c r="B2300" s="2" t="inlineStr"/>
      <c r="C2300" s="2" t="inlineStr"/>
      <c r="D2300" s="2" t="inlineStr"/>
      <c r="E2300" s="28" t="inlineStr">
        <is>
          <r>
            <t xml:space="preserve">VALOR BDI:</t>
          </r>
        </is>
      </c>
      <c r="F2300" s="28" t="inlineStr"/>
      <c r="G2300" s="29" t="n">
        <f>ROUND(G2299*(0/100),2)</f>
        <v>0.0</v>
      </c>
    </row>
    <row r="2301" customHeight="1" ht="15">
      <c r="A2301" s="2" t="inlineStr"/>
      <c r="B2301" s="2" t="inlineStr"/>
      <c r="C2301" s="2" t="inlineStr"/>
      <c r="D2301" s="2" t="inlineStr"/>
      <c r="E2301" s="28" t="inlineStr">
        <is>
          <r>
            <t xml:space="preserve">VALOR COM BDI:</t>
          </r>
        </is>
      </c>
      <c r="F2301" s="28" t="inlineStr"/>
      <c r="G2301" s="29" t="n">
        <f>G2300+G2299</f>
        <v>2.32</v>
      </c>
    </row>
    <row r="2302" customHeight="1" ht="10">
      <c r="A2302" s="2" t="inlineStr"/>
      <c r="B2302" s="2" t="inlineStr"/>
      <c r="C2302" s="2" t="inlineStr"/>
      <c r="D2302" s="2" t="inlineStr"/>
      <c r="E2302" s="18" t="inlineStr"/>
      <c r="F2302" s="18" t="inlineStr"/>
      <c r="G2302" s="18" t="inlineStr"/>
    </row>
    <row r="2303" customHeight="1" ht="20">
      <c r="A2303" s="19" t="inlineStr">
        <is>
          <r>
            <t xml:space="preserve">​I0666​ TRATOR DE ESTEIRAS C/LÂMINA E ESC. HP 155 (CHI)​ (H)</t>
          </r>
        </is>
      </c>
      <c r="B2303" s="19" t="inlineStr"/>
      <c r="C2303" s="19" t="inlineStr"/>
      <c r="D2303" s="19" t="inlineStr"/>
      <c r="E2303" s="19" t="inlineStr"/>
      <c r="F2303" s="19" t="inlineStr"/>
      <c r="G2303" s="19" t="inlineStr"/>
    </row>
    <row r="2304" customHeight="1" ht="15">
      <c r="A2304" s="20" t="inlineStr">
        <is>
          <r>
            <t xml:space="preserve">Geral</t>
          </r>
        </is>
      </c>
      <c r="B2304" s="20" t="inlineStr"/>
      <c r="C2304" s="21" t="inlineStr">
        <is>
          <r>
            <t xml:space="preserve">FONTE</t>
          </r>
        </is>
      </c>
      <c r="D2304" s="21" t="inlineStr">
        <is>
          <r>
            <t xml:space="preserve">UNID</t>
          </r>
        </is>
      </c>
      <c r="E2304" s="21" t="inlineStr">
        <is>
          <r>
            <t xml:space="preserve">COEFICIENTE</t>
          </r>
        </is>
      </c>
      <c r="F2304" s="21" t="inlineStr">
        <is>
          <r>
            <t xml:space="preserve">PREÇO UNITÁRIO</t>
          </r>
        </is>
      </c>
      <c r="G2304" s="21" t="inlineStr">
        <is>
          <r>
            <t xml:space="preserve">TOTAL</t>
          </r>
        </is>
      </c>
    </row>
    <row r="2305" customHeight="1" ht="21">
      <c r="A2305" s="22" t="inlineStr">
        <is>
          <r>
            <t xml:space="preserve">I2842</t>
          </r>
        </is>
      </c>
      <c r="B2305" s="23" t="inlineStr">
        <is>
          <r>
            <t xml:space="preserve">MÃO DE OBRA DE OPERAÇÃO DO TRATOR DE ESTEIRAS C/ LÂMINA E ESC. (155 HP)</t>
          </r>
        </is>
      </c>
      <c r="C2305" s="22" t="inlineStr">
        <is>
          <r>
            <t xml:space="preserve">SEINFRA</t>
          </r>
        </is>
      </c>
      <c r="D2305" s="22" t="inlineStr">
        <is>
          <r>
            <t xml:space="preserve">H</t>
          </r>
        </is>
      </c>
      <c r="E2305" s="24" t="n">
        <v>1.0</v>
      </c>
      <c r="F2305" s="30" t="n">
        <v>28.81</v>
      </c>
      <c r="G2305" s="30" t="n">
        <f>ROUND(ROUND(E2305,8)*F2305,4)</f>
        <v>28.81</v>
      </c>
    </row>
    <row r="2306" customHeight="1" ht="15">
      <c r="A2306" s="22" t="inlineStr">
        <is>
          <r>
            <t xml:space="preserve">I2701</t>
          </r>
        </is>
      </c>
      <c r="B2306" s="23" t="inlineStr">
        <is>
          <r>
            <t xml:space="preserve">DEPRECIAÇÃO</t>
          </r>
        </is>
      </c>
      <c r="C2306" s="22" t="inlineStr">
        <is>
          <r>
            <t xml:space="preserve">SEINFRA</t>
          </r>
        </is>
      </c>
      <c r="D2306" s="22" t="inlineStr">
        <is>
          <r>
            <t xml:space="preserve">H</t>
          </r>
        </is>
      </c>
      <c r="E2306" s="24" t="n">
        <v>45.5809</v>
      </c>
      <c r="F2306" s="30" t="n">
        <v>1.0</v>
      </c>
      <c r="G2306" s="30" t="n">
        <f>ROUND(ROUND(E2306,8)*F2306,4)</f>
        <v>45.5809</v>
      </c>
    </row>
    <row r="2307" customHeight="1" ht="15">
      <c r="A2307" s="22" t="inlineStr">
        <is>
          <r>
            <t xml:space="preserve">I2702</t>
          </r>
        </is>
      </c>
      <c r="B2307" s="23" t="inlineStr">
        <is>
          <r>
            <t xml:space="preserve">JUROS</t>
          </r>
        </is>
      </c>
      <c r="C2307" s="22" t="inlineStr">
        <is>
          <r>
            <t xml:space="preserve">SEINFRA</t>
          </r>
        </is>
      </c>
      <c r="D2307" s="22" t="inlineStr">
        <is>
          <r>
            <t xml:space="preserve">H</t>
          </r>
        </is>
      </c>
      <c r="E2307" s="24" t="n">
        <v>18.8021</v>
      </c>
      <c r="F2307" s="30" t="n">
        <v>1.0</v>
      </c>
      <c r="G2307" s="30" t="n">
        <f>ROUND(ROUND(E2307,8)*F2307,4)</f>
        <v>18.8021</v>
      </c>
    </row>
    <row r="2308" customHeight="1" ht="15">
      <c r="A2308" s="2" t="inlineStr"/>
      <c r="B2308" s="2" t="inlineStr"/>
      <c r="C2308" s="2" t="inlineStr"/>
      <c r="D2308" s="2" t="inlineStr"/>
      <c r="E2308" s="26" t="inlineStr">
        <is>
          <r>
            <t xml:space="preserve">TOTAL Geral:</t>
          </r>
        </is>
      </c>
      <c r="F2308" s="26" t="inlineStr"/>
      <c r="G2308" s="31" t="n">
        <f>SUM(G2305:G2307)</f>
        <v>93.193</v>
      </c>
    </row>
    <row r="2309" customHeight="1" ht="15">
      <c r="A2309" s="2" t="inlineStr"/>
      <c r="B2309" s="2" t="inlineStr"/>
      <c r="C2309" s="2" t="inlineStr"/>
      <c r="D2309" s="2" t="inlineStr"/>
      <c r="E2309" s="28" t="inlineStr">
        <is>
          <r>
            <t xml:space="preserve">VALOR:</t>
          </r>
        </is>
      </c>
      <c r="F2309" s="28" t="inlineStr"/>
      <c r="G2309" s="29" t="n">
        <f>ROUND(SUM(G2308),2)</f>
        <v>93.19</v>
      </c>
    </row>
    <row r="2310" customHeight="1" ht="15">
      <c r="A2310" s="2" t="inlineStr"/>
      <c r="B2310" s="2" t="inlineStr"/>
      <c r="C2310" s="2" t="inlineStr"/>
      <c r="D2310" s="2" t="inlineStr"/>
      <c r="E2310" s="28" t="inlineStr">
        <is>
          <r>
            <t xml:space="preserve">VALOR BDI:</t>
          </r>
        </is>
      </c>
      <c r="F2310" s="28" t="inlineStr"/>
      <c r="G2310" s="29" t="n">
        <f>ROUND(G2309*(0/100),2)</f>
        <v>0.0</v>
      </c>
    </row>
    <row r="2311" customHeight="1" ht="15">
      <c r="A2311" s="2" t="inlineStr"/>
      <c r="B2311" s="2" t="inlineStr"/>
      <c r="C2311" s="2" t="inlineStr"/>
      <c r="D2311" s="2" t="inlineStr"/>
      <c r="E2311" s="28" t="inlineStr">
        <is>
          <r>
            <t xml:space="preserve">VALOR COM BDI:</t>
          </r>
        </is>
      </c>
      <c r="F2311" s="28" t="inlineStr"/>
      <c r="G2311" s="29" t="n">
        <f>G2310+G2309</f>
        <v>93.19</v>
      </c>
    </row>
    <row r="2312" customHeight="1" ht="10">
      <c r="A2312" s="2" t="inlineStr"/>
      <c r="B2312" s="2" t="inlineStr"/>
      <c r="C2312" s="2" t="inlineStr"/>
      <c r="D2312" s="2" t="inlineStr"/>
      <c r="E2312" s="18" t="inlineStr"/>
      <c r="F2312" s="18" t="inlineStr"/>
      <c r="G2312" s="18" t="inlineStr"/>
    </row>
    <row r="2313" customHeight="1" ht="20">
      <c r="A2313" s="19" t="inlineStr">
        <is>
          <r>
            <t xml:space="preserve">​I0779​ TRATOR DE ESTEIRAS C/LÂMINA E ESC. HP 155 (CHP)​ (H)</t>
          </r>
        </is>
      </c>
      <c r="B2313" s="19" t="inlineStr"/>
      <c r="C2313" s="19" t="inlineStr"/>
      <c r="D2313" s="19" t="inlineStr"/>
      <c r="E2313" s="19" t="inlineStr"/>
      <c r="F2313" s="19" t="inlineStr"/>
      <c r="G2313" s="19" t="inlineStr"/>
    </row>
    <row r="2314" customHeight="1" ht="15">
      <c r="A2314" s="20" t="inlineStr">
        <is>
          <r>
            <t xml:space="preserve">Geral</t>
          </r>
        </is>
      </c>
      <c r="B2314" s="20" t="inlineStr"/>
      <c r="C2314" s="21" t="inlineStr">
        <is>
          <r>
            <t xml:space="preserve">FONTE</t>
          </r>
        </is>
      </c>
      <c r="D2314" s="21" t="inlineStr">
        <is>
          <r>
            <t xml:space="preserve">UNID</t>
          </r>
        </is>
      </c>
      <c r="E2314" s="21" t="inlineStr">
        <is>
          <r>
            <t xml:space="preserve">COEFICIENTE</t>
          </r>
        </is>
      </c>
      <c r="F2314" s="21" t="inlineStr">
        <is>
          <r>
            <t xml:space="preserve">PREÇO UNITÁRIO</t>
          </r>
        </is>
      </c>
      <c r="G2314" s="21" t="inlineStr">
        <is>
          <r>
            <t xml:space="preserve">TOTAL</t>
          </r>
        </is>
      </c>
    </row>
    <row r="2315" customHeight="1" ht="21">
      <c r="A2315" s="22" t="inlineStr">
        <is>
          <r>
            <t xml:space="preserve">I2842</t>
          </r>
        </is>
      </c>
      <c r="B2315" s="23" t="inlineStr">
        <is>
          <r>
            <t xml:space="preserve">MÃO DE OBRA DE OPERAÇÃO DO TRATOR DE ESTEIRAS C/ LÂMINA E ESC. (155 HP)</t>
          </r>
        </is>
      </c>
      <c r="C2315" s="22" t="inlineStr">
        <is>
          <r>
            <t xml:space="preserve">SEINFRA</t>
          </r>
        </is>
      </c>
      <c r="D2315" s="22" t="inlineStr">
        <is>
          <r>
            <t xml:space="preserve">H</t>
          </r>
        </is>
      </c>
      <c r="E2315" s="24" t="n">
        <v>1.0</v>
      </c>
      <c r="F2315" s="30" t="n">
        <v>28.81</v>
      </c>
      <c r="G2315" s="30" t="n">
        <f>ROUND(ROUND(E2315,8)*F2315,4)</f>
        <v>28.81</v>
      </c>
    </row>
    <row r="2316" customHeight="1" ht="21">
      <c r="A2316" s="22" t="inlineStr">
        <is>
          <r>
            <t xml:space="preserve">I2841</t>
          </r>
        </is>
      </c>
      <c r="B2316" s="23" t="inlineStr">
        <is>
          <r>
            <t xml:space="preserve">MATERIAL DE OPERAÇÃO DO TRATOR DE ESTEIRAS C/ LÂMINA E ESC. (155 HP)</t>
          </r>
        </is>
      </c>
      <c r="C2316" s="22" t="inlineStr">
        <is>
          <r>
            <t xml:space="preserve">SEINFRA</t>
          </r>
        </is>
      </c>
      <c r="D2316" s="22" t="inlineStr">
        <is>
          <r>
            <t xml:space="preserve">H</t>
          </r>
        </is>
      </c>
      <c r="E2316" s="24" t="n">
        <v>1.0</v>
      </c>
      <c r="F2316" s="30" t="n">
        <v>116.0175</v>
      </c>
      <c r="G2316" s="30" t="n">
        <f>ROUND(ROUND(E2316,8)*F2316,4)</f>
        <v>116.0175</v>
      </c>
    </row>
    <row r="2317" customHeight="1" ht="15">
      <c r="A2317" s="22" t="inlineStr">
        <is>
          <r>
            <t xml:space="preserve">I2701</t>
          </r>
        </is>
      </c>
      <c r="B2317" s="23" t="inlineStr">
        <is>
          <r>
            <t xml:space="preserve">DEPRECIAÇÃO</t>
          </r>
        </is>
      </c>
      <c r="C2317" s="22" t="inlineStr">
        <is>
          <r>
            <t xml:space="preserve">SEINFRA</t>
          </r>
        </is>
      </c>
      <c r="D2317" s="22" t="inlineStr">
        <is>
          <r>
            <t xml:space="preserve">H</t>
          </r>
        </is>
      </c>
      <c r="E2317" s="24" t="n">
        <v>45.5809</v>
      </c>
      <c r="F2317" s="30" t="n">
        <v>1.0</v>
      </c>
      <c r="G2317" s="30" t="n">
        <f>ROUND(ROUND(E2317,8)*F2317,4)</f>
        <v>45.5809</v>
      </c>
    </row>
    <row r="2318" customHeight="1" ht="15">
      <c r="A2318" s="22" t="inlineStr">
        <is>
          <r>
            <t xml:space="preserve">I2702</t>
          </r>
        </is>
      </c>
      <c r="B2318" s="23" t="inlineStr">
        <is>
          <r>
            <t xml:space="preserve">JUROS</t>
          </r>
        </is>
      </c>
      <c r="C2318" s="22" t="inlineStr">
        <is>
          <r>
            <t xml:space="preserve">SEINFRA</t>
          </r>
        </is>
      </c>
      <c r="D2318" s="22" t="inlineStr">
        <is>
          <r>
            <t xml:space="preserve">H</t>
          </r>
        </is>
      </c>
      <c r="E2318" s="24" t="n">
        <v>18.8021</v>
      </c>
      <c r="F2318" s="30" t="n">
        <v>1.0</v>
      </c>
      <c r="G2318" s="30" t="n">
        <f>ROUND(ROUND(E2318,8)*F2318,4)</f>
        <v>18.8021</v>
      </c>
    </row>
    <row r="2319" customHeight="1" ht="15">
      <c r="A2319" s="22" t="inlineStr">
        <is>
          <r>
            <t xml:space="preserve">I2703</t>
          </r>
        </is>
      </c>
      <c r="B2319" s="23" t="inlineStr">
        <is>
          <r>
            <t xml:space="preserve">MANUTENÇÃO</t>
          </r>
        </is>
      </c>
      <c r="C2319" s="22" t="inlineStr">
        <is>
          <r>
            <t xml:space="preserve">SEINFRA</t>
          </r>
        </is>
      </c>
      <c r="D2319" s="22" t="inlineStr">
        <is>
          <r>
            <t xml:space="preserve">H</t>
          </r>
        </is>
      </c>
      <c r="E2319" s="24" t="n">
        <v>68.3714</v>
      </c>
      <c r="F2319" s="30" t="n">
        <v>1.0</v>
      </c>
      <c r="G2319" s="30" t="n">
        <f>ROUND(ROUND(E2319,8)*F2319,4)</f>
        <v>68.3714</v>
      </c>
    </row>
    <row r="2320" customHeight="1" ht="15">
      <c r="A2320" s="2" t="inlineStr"/>
      <c r="B2320" s="2" t="inlineStr"/>
      <c r="C2320" s="2" t="inlineStr"/>
      <c r="D2320" s="2" t="inlineStr"/>
      <c r="E2320" s="26" t="inlineStr">
        <is>
          <r>
            <t xml:space="preserve">TOTAL Geral:</t>
          </r>
        </is>
      </c>
      <c r="F2320" s="26" t="inlineStr"/>
      <c r="G2320" s="31" t="n">
        <f>SUM(G2315:G2319)</f>
        <v>277.5819</v>
      </c>
    </row>
    <row r="2321" customHeight="1" ht="15">
      <c r="A2321" s="2" t="inlineStr"/>
      <c r="B2321" s="2" t="inlineStr"/>
      <c r="C2321" s="2" t="inlineStr"/>
      <c r="D2321" s="2" t="inlineStr"/>
      <c r="E2321" s="28" t="inlineStr">
        <is>
          <r>
            <t xml:space="preserve">VALOR:</t>
          </r>
        </is>
      </c>
      <c r="F2321" s="28" t="inlineStr"/>
      <c r="G2321" s="29" t="n">
        <f>ROUND(SUM(G2320),2)</f>
        <v>277.58</v>
      </c>
    </row>
    <row r="2322" customHeight="1" ht="15">
      <c r="A2322" s="2" t="inlineStr"/>
      <c r="B2322" s="2" t="inlineStr"/>
      <c r="C2322" s="2" t="inlineStr"/>
      <c r="D2322" s="2" t="inlineStr"/>
      <c r="E2322" s="28" t="inlineStr">
        <is>
          <r>
            <t xml:space="preserve">VALOR BDI:</t>
          </r>
        </is>
      </c>
      <c r="F2322" s="28" t="inlineStr"/>
      <c r="G2322" s="29" t="n">
        <f>ROUND(G2321*(0/100),2)</f>
        <v>0.0</v>
      </c>
    </row>
    <row r="2323" customHeight="1" ht="15">
      <c r="A2323" s="2" t="inlineStr"/>
      <c r="B2323" s="2" t="inlineStr"/>
      <c r="C2323" s="2" t="inlineStr"/>
      <c r="D2323" s="2" t="inlineStr"/>
      <c r="E2323" s="28" t="inlineStr">
        <is>
          <r>
            <t xml:space="preserve">VALOR COM BDI:</t>
          </r>
        </is>
      </c>
      <c r="F2323" s="28" t="inlineStr"/>
      <c r="G2323" s="29" t="n">
        <f>G2322+G2321</f>
        <v>277.58</v>
      </c>
    </row>
    <row r="2324" customHeight="1" ht="10">
      <c r="A2324" s="2" t="inlineStr"/>
      <c r="B2324" s="2" t="inlineStr"/>
      <c r="C2324" s="2" t="inlineStr"/>
      <c r="D2324" s="2" t="inlineStr"/>
      <c r="E2324" s="18" t="inlineStr"/>
      <c r="F2324" s="18" t="inlineStr"/>
      <c r="G2324" s="18" t="inlineStr"/>
    </row>
    <row r="2325" customHeight="1" ht="20">
      <c r="A2325" s="19" t="inlineStr">
        <is>
          <r>
            <t xml:space="preserve">​I0667​ TRATOR DE PNEUS (CHI)​ (H)</t>
          </r>
        </is>
      </c>
      <c r="B2325" s="19" t="inlineStr"/>
      <c r="C2325" s="19" t="inlineStr"/>
      <c r="D2325" s="19" t="inlineStr"/>
      <c r="E2325" s="19" t="inlineStr"/>
      <c r="F2325" s="19" t="inlineStr"/>
      <c r="G2325" s="19" t="inlineStr"/>
    </row>
    <row r="2326" customHeight="1" ht="15">
      <c r="A2326" s="20" t="inlineStr">
        <is>
          <r>
            <t xml:space="preserve">Geral</t>
          </r>
        </is>
      </c>
      <c r="B2326" s="20" t="inlineStr"/>
      <c r="C2326" s="21" t="inlineStr">
        <is>
          <r>
            <t xml:space="preserve">FONTE</t>
          </r>
        </is>
      </c>
      <c r="D2326" s="21" t="inlineStr">
        <is>
          <r>
            <t xml:space="preserve">UNID</t>
          </r>
        </is>
      </c>
      <c r="E2326" s="21" t="inlineStr">
        <is>
          <r>
            <t xml:space="preserve">COEFICIENTE</t>
          </r>
        </is>
      </c>
      <c r="F2326" s="21" t="inlineStr">
        <is>
          <r>
            <t xml:space="preserve">PREÇO UNITÁRIO</t>
          </r>
        </is>
      </c>
      <c r="G2326" s="21" t="inlineStr">
        <is>
          <r>
            <t xml:space="preserve">TOTAL</t>
          </r>
        </is>
      </c>
    </row>
    <row r="2327" customHeight="1" ht="15">
      <c r="A2327" s="22" t="inlineStr">
        <is>
          <r>
            <t xml:space="preserve">I2844</t>
          </r>
        </is>
      </c>
      <c r="B2327" s="23" t="inlineStr">
        <is>
          <r>
            <t xml:space="preserve">MÃO DE OBRA DE OPERAÇÃO DO TRATOR DE PNEUS</t>
          </r>
        </is>
      </c>
      <c r="C2327" s="22" t="inlineStr">
        <is>
          <r>
            <t xml:space="preserve">SEINFRA</t>
          </r>
        </is>
      </c>
      <c r="D2327" s="22" t="inlineStr">
        <is>
          <r>
            <t xml:space="preserve">H</t>
          </r>
        </is>
      </c>
      <c r="E2327" s="24" t="n">
        <v>1.0</v>
      </c>
      <c r="F2327" s="30" t="n">
        <v>21.29</v>
      </c>
      <c r="G2327" s="30" t="n">
        <f>ROUND(ROUND(E2327,8)*F2327,4)</f>
        <v>21.29</v>
      </c>
    </row>
    <row r="2328" customHeight="1" ht="15">
      <c r="A2328" s="22" t="inlineStr">
        <is>
          <r>
            <t xml:space="preserve">I2701</t>
          </r>
        </is>
      </c>
      <c r="B2328" s="23" t="inlineStr">
        <is>
          <r>
            <t xml:space="preserve">DEPRECIAÇÃO</t>
          </r>
        </is>
      </c>
      <c r="C2328" s="22" t="inlineStr">
        <is>
          <r>
            <t xml:space="preserve">SEINFRA</t>
          </r>
        </is>
      </c>
      <c r="D2328" s="22" t="inlineStr">
        <is>
          <r>
            <t xml:space="preserve">H</t>
          </r>
        </is>
      </c>
      <c r="E2328" s="24" t="n">
        <v>11.265</v>
      </c>
      <c r="F2328" s="30" t="n">
        <v>1.0</v>
      </c>
      <c r="G2328" s="30" t="n">
        <f>ROUND(ROUND(E2328,8)*F2328,4)</f>
        <v>11.265</v>
      </c>
    </row>
    <row r="2329" customHeight="1" ht="15">
      <c r="A2329" s="22" t="inlineStr">
        <is>
          <r>
            <t xml:space="preserve">I2702</t>
          </r>
        </is>
      </c>
      <c r="B2329" s="23" t="inlineStr">
        <is>
          <r>
            <t xml:space="preserve">JUROS</t>
          </r>
        </is>
      </c>
      <c r="C2329" s="22" t="inlineStr">
        <is>
          <r>
            <t xml:space="preserve">SEINFRA</t>
          </r>
        </is>
      </c>
      <c r="D2329" s="22" t="inlineStr">
        <is>
          <r>
            <t xml:space="preserve">H</t>
          </r>
        </is>
      </c>
      <c r="E2329" s="24" t="n">
        <v>4.6468</v>
      </c>
      <c r="F2329" s="30" t="n">
        <v>1.0</v>
      </c>
      <c r="G2329" s="30" t="n">
        <f>ROUND(ROUND(E2329,8)*F2329,4)</f>
        <v>4.6468</v>
      </c>
    </row>
    <row r="2330" customHeight="1" ht="15">
      <c r="A2330" s="2" t="inlineStr"/>
      <c r="B2330" s="2" t="inlineStr"/>
      <c r="C2330" s="2" t="inlineStr"/>
      <c r="D2330" s="2" t="inlineStr"/>
      <c r="E2330" s="26" t="inlineStr">
        <is>
          <r>
            <t xml:space="preserve">TOTAL Geral:</t>
          </r>
        </is>
      </c>
      <c r="F2330" s="26" t="inlineStr"/>
      <c r="G2330" s="31" t="n">
        <f>SUM(G2327:G2329)</f>
        <v>37.2018</v>
      </c>
    </row>
    <row r="2331" customHeight="1" ht="15">
      <c r="A2331" s="2" t="inlineStr"/>
      <c r="B2331" s="2" t="inlineStr"/>
      <c r="C2331" s="2" t="inlineStr"/>
      <c r="D2331" s="2" t="inlineStr"/>
      <c r="E2331" s="28" t="inlineStr">
        <is>
          <r>
            <t xml:space="preserve">VALOR:</t>
          </r>
        </is>
      </c>
      <c r="F2331" s="28" t="inlineStr"/>
      <c r="G2331" s="29" t="n">
        <f>ROUND(SUM(G2330),2)</f>
        <v>37.2</v>
      </c>
    </row>
    <row r="2332" customHeight="1" ht="15">
      <c r="A2332" s="2" t="inlineStr"/>
      <c r="B2332" s="2" t="inlineStr"/>
      <c r="C2332" s="2" t="inlineStr"/>
      <c r="D2332" s="2" t="inlineStr"/>
      <c r="E2332" s="28" t="inlineStr">
        <is>
          <r>
            <t xml:space="preserve">VALOR BDI:</t>
          </r>
        </is>
      </c>
      <c r="F2332" s="28" t="inlineStr"/>
      <c r="G2332" s="29" t="n">
        <f>ROUND(G2331*(0/100),2)</f>
        <v>0.0</v>
      </c>
    </row>
    <row r="2333" customHeight="1" ht="15">
      <c r="A2333" s="2" t="inlineStr"/>
      <c r="B2333" s="2" t="inlineStr"/>
      <c r="C2333" s="2" t="inlineStr"/>
      <c r="D2333" s="2" t="inlineStr"/>
      <c r="E2333" s="28" t="inlineStr">
        <is>
          <r>
            <t xml:space="preserve">VALOR COM BDI:</t>
          </r>
        </is>
      </c>
      <c r="F2333" s="28" t="inlineStr"/>
      <c r="G2333" s="29" t="n">
        <f>G2332+G2331</f>
        <v>37.2</v>
      </c>
    </row>
    <row r="2334" customHeight="1" ht="10">
      <c r="A2334" s="2" t="inlineStr"/>
      <c r="B2334" s="2" t="inlineStr"/>
      <c r="C2334" s="2" t="inlineStr"/>
      <c r="D2334" s="2" t="inlineStr"/>
      <c r="E2334" s="18" t="inlineStr"/>
      <c r="F2334" s="18" t="inlineStr"/>
      <c r="G2334" s="18" t="inlineStr"/>
    </row>
    <row r="2335" customHeight="1" ht="20">
      <c r="A2335" s="19" t="inlineStr">
        <is>
          <r>
            <t xml:space="preserve">​I0780​ TRATOR DE PNEUS (CHP)​ (H)</t>
          </r>
        </is>
      </c>
      <c r="B2335" s="19" t="inlineStr"/>
      <c r="C2335" s="19" t="inlineStr"/>
      <c r="D2335" s="19" t="inlineStr"/>
      <c r="E2335" s="19" t="inlineStr"/>
      <c r="F2335" s="19" t="inlineStr"/>
      <c r="G2335" s="19" t="inlineStr"/>
    </row>
    <row r="2336" customHeight="1" ht="15">
      <c r="A2336" s="20" t="inlineStr">
        <is>
          <r>
            <t xml:space="preserve">Geral</t>
          </r>
        </is>
      </c>
      <c r="B2336" s="20" t="inlineStr"/>
      <c r="C2336" s="21" t="inlineStr">
        <is>
          <r>
            <t xml:space="preserve">FONTE</t>
          </r>
        </is>
      </c>
      <c r="D2336" s="21" t="inlineStr">
        <is>
          <r>
            <t xml:space="preserve">UNID</t>
          </r>
        </is>
      </c>
      <c r="E2336" s="21" t="inlineStr">
        <is>
          <r>
            <t xml:space="preserve">COEFICIENTE</t>
          </r>
        </is>
      </c>
      <c r="F2336" s="21" t="inlineStr">
        <is>
          <r>
            <t xml:space="preserve">PREÇO UNITÁRIO</t>
          </r>
        </is>
      </c>
      <c r="G2336" s="21" t="inlineStr">
        <is>
          <r>
            <t xml:space="preserve">TOTAL</t>
          </r>
        </is>
      </c>
    </row>
    <row r="2337" customHeight="1" ht="15">
      <c r="A2337" s="22" t="inlineStr">
        <is>
          <r>
            <t xml:space="preserve">I2844</t>
          </r>
        </is>
      </c>
      <c r="B2337" s="23" t="inlineStr">
        <is>
          <r>
            <t xml:space="preserve">MÃO DE OBRA DE OPERAÇÃO DO TRATOR DE PNEUS</t>
          </r>
        </is>
      </c>
      <c r="C2337" s="22" t="inlineStr">
        <is>
          <r>
            <t xml:space="preserve">SEINFRA</t>
          </r>
        </is>
      </c>
      <c r="D2337" s="22" t="inlineStr">
        <is>
          <r>
            <t xml:space="preserve">H</t>
          </r>
        </is>
      </c>
      <c r="E2337" s="24" t="n">
        <v>1.0</v>
      </c>
      <c r="F2337" s="30" t="n">
        <v>21.29</v>
      </c>
      <c r="G2337" s="30" t="n">
        <f>ROUND(ROUND(E2337,8)*F2337,4)</f>
        <v>21.29</v>
      </c>
    </row>
    <row r="2338" customHeight="1" ht="15">
      <c r="A2338" s="22" t="inlineStr">
        <is>
          <r>
            <t xml:space="preserve">I2843</t>
          </r>
        </is>
      </c>
      <c r="B2338" s="23" t="inlineStr">
        <is>
          <r>
            <t xml:space="preserve">MATERIAL DE OPERAÇÃO DO TRATOR DE PNEUS</t>
          </r>
        </is>
      </c>
      <c r="C2338" s="22" t="inlineStr">
        <is>
          <r>
            <t xml:space="preserve">SEINFRA</t>
          </r>
        </is>
      </c>
      <c r="D2338" s="22" t="inlineStr">
        <is>
          <r>
            <t xml:space="preserve">H</t>
          </r>
        </is>
      </c>
      <c r="E2338" s="24" t="n">
        <v>1.0</v>
      </c>
      <c r="F2338" s="30" t="n">
        <v>74.85</v>
      </c>
      <c r="G2338" s="30" t="n">
        <f>ROUND(ROUND(E2338,8)*F2338,4)</f>
        <v>74.85</v>
      </c>
    </row>
    <row r="2339" customHeight="1" ht="15">
      <c r="A2339" s="22" t="inlineStr">
        <is>
          <r>
            <t xml:space="preserve">I2701</t>
          </r>
        </is>
      </c>
      <c r="B2339" s="23" t="inlineStr">
        <is>
          <r>
            <t xml:space="preserve">DEPRECIAÇÃO</t>
          </r>
        </is>
      </c>
      <c r="C2339" s="22" t="inlineStr">
        <is>
          <r>
            <t xml:space="preserve">SEINFRA</t>
          </r>
        </is>
      </c>
      <c r="D2339" s="22" t="inlineStr">
        <is>
          <r>
            <t xml:space="preserve">H</t>
          </r>
        </is>
      </c>
      <c r="E2339" s="24" t="n">
        <v>11.265</v>
      </c>
      <c r="F2339" s="30" t="n">
        <v>1.0</v>
      </c>
      <c r="G2339" s="30" t="n">
        <f>ROUND(ROUND(E2339,8)*F2339,4)</f>
        <v>11.265</v>
      </c>
    </row>
    <row r="2340" customHeight="1" ht="15">
      <c r="A2340" s="22" t="inlineStr">
        <is>
          <r>
            <t xml:space="preserve">I2702</t>
          </r>
        </is>
      </c>
      <c r="B2340" s="23" t="inlineStr">
        <is>
          <r>
            <t xml:space="preserve">JUROS</t>
          </r>
        </is>
      </c>
      <c r="C2340" s="22" t="inlineStr">
        <is>
          <r>
            <t xml:space="preserve">SEINFRA</t>
          </r>
        </is>
      </c>
      <c r="D2340" s="22" t="inlineStr">
        <is>
          <r>
            <t xml:space="preserve">H</t>
          </r>
        </is>
      </c>
      <c r="E2340" s="24" t="n">
        <v>4.6468</v>
      </c>
      <c r="F2340" s="30" t="n">
        <v>1.0</v>
      </c>
      <c r="G2340" s="30" t="n">
        <f>ROUND(ROUND(E2340,8)*F2340,4)</f>
        <v>4.6468</v>
      </c>
    </row>
    <row r="2341" customHeight="1" ht="15">
      <c r="A2341" s="22" t="inlineStr">
        <is>
          <r>
            <t xml:space="preserve">I2703</t>
          </r>
        </is>
      </c>
      <c r="B2341" s="23" t="inlineStr">
        <is>
          <r>
            <t xml:space="preserve">MANUTENÇÃO</t>
          </r>
        </is>
      </c>
      <c r="C2341" s="22" t="inlineStr">
        <is>
          <r>
            <t xml:space="preserve">SEINFRA</t>
          </r>
        </is>
      </c>
      <c r="D2341" s="22" t="inlineStr">
        <is>
          <r>
            <t xml:space="preserve">H</t>
          </r>
        </is>
      </c>
      <c r="E2341" s="24" t="n">
        <v>12.6731</v>
      </c>
      <c r="F2341" s="30" t="n">
        <v>1.0</v>
      </c>
      <c r="G2341" s="30" t="n">
        <f>ROUND(ROUND(E2341,8)*F2341,4)</f>
        <v>12.6731</v>
      </c>
    </row>
    <row r="2342" customHeight="1" ht="15">
      <c r="A2342" s="2" t="inlineStr"/>
      <c r="B2342" s="2" t="inlineStr"/>
      <c r="C2342" s="2" t="inlineStr"/>
      <c r="D2342" s="2" t="inlineStr"/>
      <c r="E2342" s="26" t="inlineStr">
        <is>
          <r>
            <t xml:space="preserve">TOTAL Geral:</t>
          </r>
        </is>
      </c>
      <c r="F2342" s="26" t="inlineStr"/>
      <c r="G2342" s="31" t="n">
        <f>SUM(G2337:G2341)</f>
        <v>124.7249</v>
      </c>
    </row>
    <row r="2343" customHeight="1" ht="15">
      <c r="A2343" s="2" t="inlineStr"/>
      <c r="B2343" s="2" t="inlineStr"/>
      <c r="C2343" s="2" t="inlineStr"/>
      <c r="D2343" s="2" t="inlineStr"/>
      <c r="E2343" s="28" t="inlineStr">
        <is>
          <r>
            <t xml:space="preserve">VALOR:</t>
          </r>
        </is>
      </c>
      <c r="F2343" s="28" t="inlineStr"/>
      <c r="G2343" s="29" t="n">
        <f>ROUND(SUM(G2342),2)</f>
        <v>124.72</v>
      </c>
    </row>
    <row r="2344" customHeight="1" ht="15">
      <c r="A2344" s="2" t="inlineStr"/>
      <c r="B2344" s="2" t="inlineStr"/>
      <c r="C2344" s="2" t="inlineStr"/>
      <c r="D2344" s="2" t="inlineStr"/>
      <c r="E2344" s="28" t="inlineStr">
        <is>
          <r>
            <t xml:space="preserve">VALOR BDI:</t>
          </r>
        </is>
      </c>
      <c r="F2344" s="28" t="inlineStr"/>
      <c r="G2344" s="29" t="n">
        <f>ROUND(G2343*(0/100),2)</f>
        <v>0.0</v>
      </c>
    </row>
    <row r="2345" customHeight="1" ht="15">
      <c r="A2345" s="2" t="inlineStr"/>
      <c r="B2345" s="2" t="inlineStr"/>
      <c r="C2345" s="2" t="inlineStr"/>
      <c r="D2345" s="2" t="inlineStr"/>
      <c r="E2345" s="28" t="inlineStr">
        <is>
          <r>
            <t xml:space="preserve">VALOR COM BDI:</t>
          </r>
        </is>
      </c>
      <c r="F2345" s="28" t="inlineStr"/>
      <c r="G2345" s="29" t="n">
        <f>G2344+G2343</f>
        <v>124.72</v>
      </c>
    </row>
    <row r="2346" customHeight="1" ht="10">
      <c r="A2346" s="2" t="inlineStr"/>
      <c r="B2346" s="2" t="inlineStr"/>
      <c r="C2346" s="2" t="inlineStr"/>
      <c r="D2346" s="2" t="inlineStr"/>
      <c r="E2346" s="18" t="inlineStr"/>
      <c r="F2346" s="18" t="inlineStr"/>
      <c r="G2346" s="18" t="inlineStr"/>
    </row>
    <row r="2347" customHeight="1" ht="20">
      <c r="A2347" s="19" t="inlineStr">
        <is>
          <r>
            <t xml:space="preserve">​88321​ TÉCNICO DE LABORATÓRIO COM ENCARGOS COMPLEMENTARES​ (H)</t>
          </r>
        </is>
      </c>
      <c r="B2347" s="19" t="inlineStr"/>
      <c r="C2347" s="19" t="inlineStr"/>
      <c r="D2347" s="19" t="inlineStr"/>
      <c r="E2347" s="19" t="inlineStr"/>
      <c r="F2347" s="19" t="inlineStr"/>
      <c r="G2347" s="19" t="inlineStr"/>
    </row>
    <row r="2348" customHeight="1" ht="15">
      <c r="A2348" s="20" t="inlineStr">
        <is>
          <r>
            <t xml:space="preserve">Encargos Complementares</t>
          </r>
        </is>
      </c>
      <c r="B2348" s="20" t="inlineStr"/>
      <c r="C2348" s="21" t="inlineStr">
        <is>
          <r>
            <t xml:space="preserve">FONTE</t>
          </r>
        </is>
      </c>
      <c r="D2348" s="21" t="inlineStr">
        <is>
          <r>
            <t xml:space="preserve">UNID</t>
          </r>
        </is>
      </c>
      <c r="E2348" s="21" t="inlineStr">
        <is>
          <r>
            <t xml:space="preserve">COEFICIENTE</t>
          </r>
        </is>
      </c>
      <c r="F2348" s="21" t="inlineStr">
        <is>
          <r>
            <t xml:space="preserve">PREÇO UNITÁRIO</t>
          </r>
        </is>
      </c>
      <c r="G2348" s="21" t="inlineStr">
        <is>
          <r>
            <t xml:space="preserve">TOTAL</t>
          </r>
        </is>
      </c>
    </row>
    <row r="2349" customHeight="1" ht="21">
      <c r="A2349" s="22" t="inlineStr">
        <is>
          <r>
            <t xml:space="preserve">00043482</t>
          </r>
        </is>
      </c>
      <c r="B2349" s="23" t="inlineStr">
        <is>
          <r>
            <t xml:space="preserve">EPI - FAMILIA ALMOXARIFE - HORISTA (ENCARGOS COMPLEMENTARES - COLETADO CAIXA)</t>
          </r>
        </is>
      </c>
      <c r="C2349" s="22" t="inlineStr">
        <is>
          <r>
            <t xml:space="preserve">SINAPI</t>
          </r>
        </is>
      </c>
      <c r="D2349" s="22" t="inlineStr">
        <is>
          <r>
            <t xml:space="preserve">H</t>
          </r>
        </is>
      </c>
      <c r="E2349" s="24" t="n">
        <v>1.0</v>
      </c>
      <c r="F2349" s="25" t="n">
        <v>0.81</v>
      </c>
      <c r="G2349" s="25" t="n">
        <f>TRUNC(TRUNC(E2349,8)*F2349,2)</f>
        <v>0.81</v>
      </c>
    </row>
    <row r="2350" customHeight="1" ht="21">
      <c r="A2350" s="22" t="inlineStr">
        <is>
          <r>
            <t xml:space="preserve">00037372</t>
          </r>
        </is>
      </c>
      <c r="B2350" s="23" t="inlineStr">
        <is>
          <r>
            <t xml:space="preserve">EXAMES - HORISTA (COLETADO CAIXA - ENCARGOS COMPLEMENTARES)</t>
          </r>
        </is>
      </c>
      <c r="C2350" s="22" t="inlineStr">
        <is>
          <r>
            <t xml:space="preserve">SINAPI</t>
          </r>
        </is>
      </c>
      <c r="D2350" s="22" t="inlineStr">
        <is>
          <r>
            <t xml:space="preserve">H</t>
          </r>
        </is>
      </c>
      <c r="E2350" s="24" t="n">
        <v>1.0</v>
      </c>
      <c r="F2350" s="25" t="n">
        <v>1.43</v>
      </c>
      <c r="G2350" s="25" t="n">
        <f>TRUNC(TRUNC(E2350,8)*F2350,2)</f>
        <v>1.43</v>
      </c>
    </row>
    <row r="2351" customHeight="1" ht="21">
      <c r="A2351" s="22" t="inlineStr">
        <is>
          <r>
            <t xml:space="preserve">00043458</t>
          </r>
        </is>
      </c>
      <c r="B2351" s="23" t="inlineStr">
        <is>
          <r>
            <t xml:space="preserve">FERRAMENTAS - FAMILIA ALMOXARIFE - HORISTA (ENCARGOS COMPLEMENTARES - COLETADO CAIXA)</t>
          </r>
        </is>
      </c>
      <c r="C2351" s="22" t="inlineStr">
        <is>
          <r>
            <t xml:space="preserve">SINAPI</t>
          </r>
        </is>
      </c>
      <c r="D2351" s="22" t="inlineStr">
        <is>
          <r>
            <t xml:space="preserve">H</t>
          </r>
        </is>
      </c>
      <c r="E2351" s="24" t="n">
        <v>1.0</v>
      </c>
      <c r="F2351" s="25" t="n">
        <v>0.06</v>
      </c>
      <c r="G2351" s="25" t="n">
        <f>TRUNC(TRUNC(E2351,8)*F2351,2)</f>
        <v>0.06</v>
      </c>
    </row>
    <row r="2352" customHeight="1" ht="21">
      <c r="A2352" s="22" t="inlineStr">
        <is>
          <r>
            <t xml:space="preserve">00037373</t>
          </r>
        </is>
      </c>
      <c r="B2352" s="23" t="inlineStr">
        <is>
          <r>
            <t xml:space="preserve">SEGURO - HORISTA (COLETADO CAIXA - ENCARGOS COMPLEMENTARES)</t>
          </r>
        </is>
      </c>
      <c r="C2352" s="22" t="inlineStr">
        <is>
          <r>
            <t xml:space="preserve">SINAPI</t>
          </r>
        </is>
      </c>
      <c r="D2352" s="22" t="inlineStr">
        <is>
          <r>
            <t xml:space="preserve">H</t>
          </r>
        </is>
      </c>
      <c r="E2352" s="24" t="n">
        <v>1.0</v>
      </c>
      <c r="F2352" s="25" t="n">
        <v>0.08</v>
      </c>
      <c r="G2352" s="25" t="n">
        <f>TRUNC(TRUNC(E2352,8)*F2352,2)</f>
        <v>0.08</v>
      </c>
    </row>
    <row r="2353" customHeight="1" ht="15">
      <c r="A2353" s="2" t="inlineStr"/>
      <c r="B2353" s="2" t="inlineStr"/>
      <c r="C2353" s="2" t="inlineStr"/>
      <c r="D2353" s="2" t="inlineStr"/>
      <c r="E2353" s="26" t="inlineStr">
        <is>
          <r>
            <t xml:space="preserve">TOTAL Encargos Complementares:</t>
          </r>
        </is>
      </c>
      <c r="F2353" s="26" t="inlineStr"/>
      <c r="G2353" s="27" t="n">
        <f>SUM(G2349:G2352)</f>
        <v>2.38</v>
      </c>
    </row>
    <row r="2354" customHeight="1" ht="15">
      <c r="A2354" s="20" t="inlineStr">
        <is>
          <r>
            <t xml:space="preserve">Mão de Obra</t>
          </r>
        </is>
      </c>
      <c r="B2354" s="20" t="inlineStr"/>
      <c r="C2354" s="21" t="inlineStr">
        <is>
          <r>
            <t xml:space="preserve">FONTE</t>
          </r>
        </is>
      </c>
      <c r="D2354" s="21" t="inlineStr">
        <is>
          <r>
            <t xml:space="preserve">UNID</t>
          </r>
        </is>
      </c>
      <c r="E2354" s="21" t="inlineStr">
        <is>
          <r>
            <t xml:space="preserve">COEFICIENTE</t>
          </r>
        </is>
      </c>
      <c r="F2354" s="21" t="inlineStr">
        <is>
          <r>
            <t xml:space="preserve">PREÇO UNITÁRIO</t>
          </r>
        </is>
      </c>
      <c r="G2354" s="21" t="inlineStr">
        <is>
          <r>
            <t xml:space="preserve">TOTAL</t>
          </r>
        </is>
      </c>
    </row>
    <row r="2355" customHeight="1" ht="21">
      <c r="A2355" s="22" t="inlineStr">
        <is>
          <r>
            <t xml:space="preserve">00007153</t>
          </r>
        </is>
      </c>
      <c r="B2355" s="23" t="inlineStr">
        <is>
          <r>
            <t xml:space="preserve">TECNICO EM LABORATORIO E CAMPO DE CONSTRUCAO CIVIL (HORISTA)</t>
          </r>
        </is>
      </c>
      <c r="C2355" s="22" t="inlineStr">
        <is>
          <r>
            <t xml:space="preserve">SINAPI</t>
          </r>
        </is>
      </c>
      <c r="D2355" s="22" t="inlineStr">
        <is>
          <r>
            <t xml:space="preserve">H</t>
          </r>
        </is>
      </c>
      <c r="E2355" s="24" t="n">
        <v>1.0</v>
      </c>
      <c r="F2355" s="25" t="n">
        <v>29.49</v>
      </c>
      <c r="G2355" s="25" t="n">
        <f>TRUNC(TRUNC(E2355,8)*F2355,2)</f>
        <v>29.49</v>
      </c>
    </row>
    <row r="2356" customHeight="1" ht="15">
      <c r="A2356" s="2" t="inlineStr"/>
      <c r="B2356" s="2" t="inlineStr"/>
      <c r="C2356" s="2" t="inlineStr"/>
      <c r="D2356" s="2" t="inlineStr"/>
      <c r="E2356" s="26" t="inlineStr">
        <is>
          <r>
            <t xml:space="preserve">TOTAL Mão de Obra:</t>
          </r>
        </is>
      </c>
      <c r="F2356" s="26" t="inlineStr"/>
      <c r="G2356" s="27" t="n">
        <f>SUM(G2355:G2355)</f>
        <v>29.49</v>
      </c>
    </row>
    <row r="2357" customHeight="1" ht="15">
      <c r="A2357" s="20" t="inlineStr">
        <is>
          <r>
            <t xml:space="preserve">Serviço</t>
          </r>
        </is>
      </c>
      <c r="B2357" s="20" t="inlineStr"/>
      <c r="C2357" s="21" t="inlineStr">
        <is>
          <r>
            <t xml:space="preserve">FONTE</t>
          </r>
        </is>
      </c>
      <c r="D2357" s="21" t="inlineStr">
        <is>
          <r>
            <t xml:space="preserve">UNID</t>
          </r>
        </is>
      </c>
      <c r="E2357" s="21" t="inlineStr">
        <is>
          <r>
            <t xml:space="preserve">COEFICIENTE</t>
          </r>
        </is>
      </c>
      <c r="F2357" s="21" t="inlineStr">
        <is>
          <r>
            <t xml:space="preserve">PREÇO UNITÁRIO</t>
          </r>
        </is>
      </c>
      <c r="G2357" s="21" t="inlineStr">
        <is>
          <r>
            <t xml:space="preserve">TOTAL</t>
          </r>
        </is>
      </c>
    </row>
    <row r="2358" customHeight="1" ht="21">
      <c r="A2358" s="22" t="inlineStr">
        <is>
          <r>
            <t xml:space="preserve">95383</t>
          </r>
        </is>
      </c>
      <c r="B2358" s="23" t="inlineStr">
        <is>
          <r>
            <t xml:space="preserve">CURSO DE CAPACITAÇÃO PARA TÉCNICO DE LABORATÓRIO (ENCARGOS COMPLEMENTARES) - HORISTA</t>
          </r>
        </is>
      </c>
      <c r="C2358" s="22" t="inlineStr">
        <is>
          <r>
            <t xml:space="preserve">SINAPI</t>
          </r>
        </is>
      </c>
      <c r="D2358" s="22" t="inlineStr">
        <is>
          <r>
            <t xml:space="preserve">H</t>
          </r>
        </is>
      </c>
      <c r="E2358" s="24" t="n">
        <v>1.0</v>
      </c>
      <c r="F2358" s="25" t="n">
        <v>0.24</v>
      </c>
      <c r="G2358" s="25" t="n">
        <f>TRUNC(TRUNC(E2358,8)*F2358,2)</f>
        <v>0.24</v>
      </c>
    </row>
    <row r="2359" customHeight="1" ht="15">
      <c r="A2359" s="2" t="inlineStr"/>
      <c r="B2359" s="2" t="inlineStr"/>
      <c r="C2359" s="2" t="inlineStr"/>
      <c r="D2359" s="2" t="inlineStr"/>
      <c r="E2359" s="26" t="inlineStr">
        <is>
          <r>
            <t xml:space="preserve">TOTAL Serviço:</t>
          </r>
        </is>
      </c>
      <c r="F2359" s="26" t="inlineStr"/>
      <c r="G2359" s="27" t="n">
        <f>SUM(G2358:G2358)</f>
        <v>0.24</v>
      </c>
    </row>
    <row r="2360" customHeight="1" ht="15">
      <c r="A2360" s="2" t="inlineStr"/>
      <c r="B2360" s="2" t="inlineStr"/>
      <c r="C2360" s="2" t="inlineStr"/>
      <c r="D2360" s="2" t="inlineStr"/>
      <c r="E2360" s="28" t="inlineStr">
        <is>
          <r>
            <t xml:space="preserve">VALOR:</t>
          </r>
        </is>
      </c>
      <c r="F2360" s="28" t="inlineStr"/>
      <c r="G2360" s="29" t="n">
        <f>ROUND(SUM(G2353,G2356,G2359),2)</f>
        <v>32.11</v>
      </c>
    </row>
    <row r="2361" customHeight="1" ht="15">
      <c r="A2361" s="2" t="inlineStr"/>
      <c r="B2361" s="2" t="inlineStr"/>
      <c r="C2361" s="2" t="inlineStr"/>
      <c r="D2361" s="2" t="inlineStr"/>
      <c r="E2361" s="28" t="inlineStr">
        <is>
          <r>
            <t xml:space="preserve">VALOR BDI:</t>
          </r>
        </is>
      </c>
      <c r="F2361" s="28" t="inlineStr"/>
      <c r="G2361" s="29" t="n">
        <f>ROUND(G2360*(0/100),2)</f>
        <v>0.0</v>
      </c>
    </row>
    <row r="2362" customHeight="1" ht="15">
      <c r="A2362" s="2" t="inlineStr"/>
      <c r="B2362" s="2" t="inlineStr"/>
      <c r="C2362" s="2" t="inlineStr"/>
      <c r="D2362" s="2" t="inlineStr"/>
      <c r="E2362" s="28" t="inlineStr">
        <is>
          <r>
            <t xml:space="preserve">VALOR COM BDI:</t>
          </r>
        </is>
      </c>
      <c r="F2362" s="28" t="inlineStr"/>
      <c r="G2362" s="29" t="n">
        <f>G2361+G2360</f>
        <v>32.11</v>
      </c>
    </row>
    <row r="2363" customHeight="1" ht="10">
      <c r="A2363" s="2" t="inlineStr"/>
      <c r="B2363" s="2" t="inlineStr"/>
      <c r="C2363" s="2" t="inlineStr"/>
      <c r="D2363" s="2" t="inlineStr"/>
      <c r="E2363" s="18" t="inlineStr"/>
      <c r="F2363" s="18" t="inlineStr"/>
      <c r="G2363" s="18" t="inlineStr"/>
    </row>
    <row r="2364" customHeight="1" ht="20">
      <c r="A2364" s="19" t="inlineStr">
        <is>
          <r>
            <t xml:space="preserve">​I0670​ USINA DE MISTURAS BETUMINOSAS A FRIO (CHI)​ (H)</t>
          </r>
        </is>
      </c>
      <c r="B2364" s="19" t="inlineStr"/>
      <c r="C2364" s="19" t="inlineStr"/>
      <c r="D2364" s="19" t="inlineStr"/>
      <c r="E2364" s="19" t="inlineStr"/>
      <c r="F2364" s="19" t="inlineStr"/>
      <c r="G2364" s="19" t="inlineStr"/>
    </row>
    <row r="2365" customHeight="1" ht="15">
      <c r="A2365" s="20" t="inlineStr">
        <is>
          <r>
            <t xml:space="preserve">Geral</t>
          </r>
        </is>
      </c>
      <c r="B2365" s="20" t="inlineStr"/>
      <c r="C2365" s="21" t="inlineStr">
        <is>
          <r>
            <t xml:space="preserve">FONTE</t>
          </r>
        </is>
      </c>
      <c r="D2365" s="21" t="inlineStr">
        <is>
          <r>
            <t xml:space="preserve">UNID</t>
          </r>
        </is>
      </c>
      <c r="E2365" s="21" t="inlineStr">
        <is>
          <r>
            <t xml:space="preserve">COEFICIENTE</t>
          </r>
        </is>
      </c>
      <c r="F2365" s="21" t="inlineStr">
        <is>
          <r>
            <t xml:space="preserve">PREÇO UNITÁRIO</t>
          </r>
        </is>
      </c>
      <c r="G2365" s="21" t="inlineStr">
        <is>
          <r>
            <t xml:space="preserve">TOTAL</t>
          </r>
        </is>
      </c>
    </row>
    <row r="2366" customHeight="1" ht="21">
      <c r="A2366" s="22" t="inlineStr">
        <is>
          <r>
            <t xml:space="preserve">I2845</t>
          </r>
        </is>
      </c>
      <c r="B2366" s="23" t="inlineStr">
        <is>
          <r>
            <t xml:space="preserve">MÃO DE OBRA DE OPERAÇÃO DA USINA DE MISTURAS BETUM. A FRIO</t>
          </r>
        </is>
      </c>
      <c r="C2366" s="22" t="inlineStr">
        <is>
          <r>
            <t xml:space="preserve">SEINFRA</t>
          </r>
        </is>
      </c>
      <c r="D2366" s="22" t="inlineStr">
        <is>
          <r>
            <t xml:space="preserve">H</t>
          </r>
        </is>
      </c>
      <c r="E2366" s="24" t="n">
        <v>1.0</v>
      </c>
      <c r="F2366" s="30" t="n">
        <v>28.81</v>
      </c>
      <c r="G2366" s="30" t="n">
        <f>ROUND(ROUND(E2366,8)*F2366,4)</f>
        <v>28.81</v>
      </c>
    </row>
    <row r="2367" customHeight="1" ht="15">
      <c r="A2367" s="22" t="inlineStr">
        <is>
          <r>
            <t xml:space="preserve">I2701</t>
          </r>
        </is>
      </c>
      <c r="B2367" s="23" t="inlineStr">
        <is>
          <r>
            <t xml:space="preserve">DEPRECIAÇÃO</t>
          </r>
        </is>
      </c>
      <c r="C2367" s="22" t="inlineStr">
        <is>
          <r>
            <t xml:space="preserve">SEINFRA</t>
          </r>
        </is>
      </c>
      <c r="D2367" s="22" t="inlineStr">
        <is>
          <r>
            <t xml:space="preserve">H</t>
          </r>
        </is>
      </c>
      <c r="E2367" s="24" t="n">
        <v>12.8376</v>
      </c>
      <c r="F2367" s="30" t="n">
        <v>1.0</v>
      </c>
      <c r="G2367" s="30" t="n">
        <f>ROUND(ROUND(E2367,8)*F2367,4)</f>
        <v>12.8376</v>
      </c>
    </row>
    <row r="2368" customHeight="1" ht="15">
      <c r="A2368" s="22" t="inlineStr">
        <is>
          <r>
            <t xml:space="preserve">I2702</t>
          </r>
        </is>
      </c>
      <c r="B2368" s="23" t="inlineStr">
        <is>
          <r>
            <t xml:space="preserve">JUROS</t>
          </r>
        </is>
      </c>
      <c r="C2368" s="22" t="inlineStr">
        <is>
          <r>
            <t xml:space="preserve">SEINFRA</t>
          </r>
        </is>
      </c>
      <c r="D2368" s="22" t="inlineStr">
        <is>
          <r>
            <t xml:space="preserve">H</t>
          </r>
        </is>
      </c>
      <c r="E2368" s="24" t="n">
        <v>4.2792</v>
      </c>
      <c r="F2368" s="30" t="n">
        <v>1.0</v>
      </c>
      <c r="G2368" s="30" t="n">
        <f>ROUND(ROUND(E2368,8)*F2368,4)</f>
        <v>4.2792</v>
      </c>
    </row>
    <row r="2369" customHeight="1" ht="15">
      <c r="A2369" s="2" t="inlineStr"/>
      <c r="B2369" s="2" t="inlineStr"/>
      <c r="C2369" s="2" t="inlineStr"/>
      <c r="D2369" s="2" t="inlineStr"/>
      <c r="E2369" s="26" t="inlineStr">
        <is>
          <r>
            <t xml:space="preserve">TOTAL Geral:</t>
          </r>
        </is>
      </c>
      <c r="F2369" s="26" t="inlineStr"/>
      <c r="G2369" s="31" t="n">
        <f>SUM(G2366:G2368)</f>
        <v>45.9268</v>
      </c>
    </row>
    <row r="2370" customHeight="1" ht="15">
      <c r="A2370" s="2" t="inlineStr"/>
      <c r="B2370" s="2" t="inlineStr"/>
      <c r="C2370" s="2" t="inlineStr"/>
      <c r="D2370" s="2" t="inlineStr"/>
      <c r="E2370" s="28" t="inlineStr">
        <is>
          <r>
            <t xml:space="preserve">VALOR:</t>
          </r>
        </is>
      </c>
      <c r="F2370" s="28" t="inlineStr"/>
      <c r="G2370" s="29" t="n">
        <f>ROUND(SUM(G2369),2)</f>
        <v>45.93</v>
      </c>
    </row>
    <row r="2371" customHeight="1" ht="15">
      <c r="A2371" s="2" t="inlineStr"/>
      <c r="B2371" s="2" t="inlineStr"/>
      <c r="C2371" s="2" t="inlineStr"/>
      <c r="D2371" s="2" t="inlineStr"/>
      <c r="E2371" s="28" t="inlineStr">
        <is>
          <r>
            <t xml:space="preserve">VALOR BDI:</t>
          </r>
        </is>
      </c>
      <c r="F2371" s="28" t="inlineStr"/>
      <c r="G2371" s="29" t="n">
        <f>ROUND(G2370*(0/100),2)</f>
        <v>0.0</v>
      </c>
    </row>
    <row r="2372" customHeight="1" ht="15">
      <c r="A2372" s="2" t="inlineStr"/>
      <c r="B2372" s="2" t="inlineStr"/>
      <c r="C2372" s="2" t="inlineStr"/>
      <c r="D2372" s="2" t="inlineStr"/>
      <c r="E2372" s="28" t="inlineStr">
        <is>
          <r>
            <t xml:space="preserve">VALOR COM BDI:</t>
          </r>
        </is>
      </c>
      <c r="F2372" s="28" t="inlineStr"/>
      <c r="G2372" s="29" t="n">
        <f>G2371+G2370</f>
        <v>45.93</v>
      </c>
    </row>
    <row r="2373" customHeight="1" ht="10">
      <c r="A2373" s="2" t="inlineStr"/>
      <c r="B2373" s="2" t="inlineStr"/>
      <c r="C2373" s="2" t="inlineStr"/>
      <c r="D2373" s="2" t="inlineStr"/>
      <c r="E2373" s="18" t="inlineStr"/>
      <c r="F2373" s="18" t="inlineStr"/>
      <c r="G2373" s="18" t="inlineStr"/>
    </row>
    <row r="2374" customHeight="1" ht="20">
      <c r="A2374" s="19" t="inlineStr">
        <is>
          <r>
            <t xml:space="preserve">​I0783​ USINA DE MISTURAS BETUMINOSAS A FRIO (CHP)​ (H)</t>
          </r>
        </is>
      </c>
      <c r="B2374" s="19" t="inlineStr"/>
      <c r="C2374" s="19" t="inlineStr"/>
      <c r="D2374" s="19" t="inlineStr"/>
      <c r="E2374" s="19" t="inlineStr"/>
      <c r="F2374" s="19" t="inlineStr"/>
      <c r="G2374" s="19" t="inlineStr"/>
    </row>
    <row r="2375" customHeight="1" ht="15">
      <c r="A2375" s="20" t="inlineStr">
        <is>
          <r>
            <t xml:space="preserve">Geral</t>
          </r>
        </is>
      </c>
      <c r="B2375" s="20" t="inlineStr"/>
      <c r="C2375" s="21" t="inlineStr">
        <is>
          <r>
            <t xml:space="preserve">FONTE</t>
          </r>
        </is>
      </c>
      <c r="D2375" s="21" t="inlineStr">
        <is>
          <r>
            <t xml:space="preserve">UNID</t>
          </r>
        </is>
      </c>
      <c r="E2375" s="21" t="inlineStr">
        <is>
          <r>
            <t xml:space="preserve">COEFICIENTE</t>
          </r>
        </is>
      </c>
      <c r="F2375" s="21" t="inlineStr">
        <is>
          <r>
            <t xml:space="preserve">PREÇO UNITÁRIO</t>
          </r>
        </is>
      </c>
      <c r="G2375" s="21" t="inlineStr">
        <is>
          <r>
            <t xml:space="preserve">TOTAL</t>
          </r>
        </is>
      </c>
    </row>
    <row r="2376" customHeight="1" ht="21">
      <c r="A2376" s="22" t="inlineStr">
        <is>
          <r>
            <t xml:space="preserve">I2845</t>
          </r>
        </is>
      </c>
      <c r="B2376" s="23" t="inlineStr">
        <is>
          <r>
            <t xml:space="preserve">MÃO DE OBRA DE OPERAÇÃO DA USINA DE MISTURAS BETUM. A FRIO</t>
          </r>
        </is>
      </c>
      <c r="C2376" s="22" t="inlineStr">
        <is>
          <r>
            <t xml:space="preserve">SEINFRA</t>
          </r>
        </is>
      </c>
      <c r="D2376" s="22" t="inlineStr">
        <is>
          <r>
            <t xml:space="preserve">H</t>
          </r>
        </is>
      </c>
      <c r="E2376" s="24" t="n">
        <v>1.0</v>
      </c>
      <c r="F2376" s="30" t="n">
        <v>28.81</v>
      </c>
      <c r="G2376" s="30" t="n">
        <f>ROUND(ROUND(E2376,8)*F2376,4)</f>
        <v>28.81</v>
      </c>
    </row>
    <row r="2377" customHeight="1" ht="15">
      <c r="A2377" s="22" t="inlineStr">
        <is>
          <r>
            <t xml:space="preserve">I2701</t>
          </r>
        </is>
      </c>
      <c r="B2377" s="23" t="inlineStr">
        <is>
          <r>
            <t xml:space="preserve">DEPRECIAÇÃO</t>
          </r>
        </is>
      </c>
      <c r="C2377" s="22" t="inlineStr">
        <is>
          <r>
            <t xml:space="preserve">SEINFRA</t>
          </r>
        </is>
      </c>
      <c r="D2377" s="22" t="inlineStr">
        <is>
          <r>
            <t xml:space="preserve">H</t>
          </r>
        </is>
      </c>
      <c r="E2377" s="24" t="n">
        <v>12.8376</v>
      </c>
      <c r="F2377" s="30" t="n">
        <v>1.0</v>
      </c>
      <c r="G2377" s="30" t="n">
        <f>ROUND(ROUND(E2377,8)*F2377,4)</f>
        <v>12.8376</v>
      </c>
    </row>
    <row r="2378" customHeight="1" ht="15">
      <c r="A2378" s="22" t="inlineStr">
        <is>
          <r>
            <t xml:space="preserve">I2702</t>
          </r>
        </is>
      </c>
      <c r="B2378" s="23" t="inlineStr">
        <is>
          <r>
            <t xml:space="preserve">JUROS</t>
          </r>
        </is>
      </c>
      <c r="C2378" s="22" t="inlineStr">
        <is>
          <r>
            <t xml:space="preserve">SEINFRA</t>
          </r>
        </is>
      </c>
      <c r="D2378" s="22" t="inlineStr">
        <is>
          <r>
            <t xml:space="preserve">H</t>
          </r>
        </is>
      </c>
      <c r="E2378" s="24" t="n">
        <v>4.2792</v>
      </c>
      <c r="F2378" s="30" t="n">
        <v>1.0</v>
      </c>
      <c r="G2378" s="30" t="n">
        <f>ROUND(ROUND(E2378,8)*F2378,4)</f>
        <v>4.2792</v>
      </c>
    </row>
    <row r="2379" customHeight="1" ht="15">
      <c r="A2379" s="22" t="inlineStr">
        <is>
          <r>
            <t xml:space="preserve">I2703</t>
          </r>
        </is>
      </c>
      <c r="B2379" s="23" t="inlineStr">
        <is>
          <r>
            <t xml:space="preserve">MANUTENÇÃO</t>
          </r>
        </is>
      </c>
      <c r="C2379" s="22" t="inlineStr">
        <is>
          <r>
            <t xml:space="preserve">SEINFRA</t>
          </r>
        </is>
      </c>
      <c r="D2379" s="22" t="inlineStr">
        <is>
          <r>
            <t xml:space="preserve">H</t>
          </r>
        </is>
      </c>
      <c r="E2379" s="24" t="n">
        <v>17.1168</v>
      </c>
      <c r="F2379" s="30" t="n">
        <v>1.0</v>
      </c>
      <c r="G2379" s="30" t="n">
        <f>ROUND(ROUND(E2379,8)*F2379,4)</f>
        <v>17.1168</v>
      </c>
    </row>
    <row r="2380" customHeight="1" ht="15">
      <c r="A2380" s="2" t="inlineStr"/>
      <c r="B2380" s="2" t="inlineStr"/>
      <c r="C2380" s="2" t="inlineStr"/>
      <c r="D2380" s="2" t="inlineStr"/>
      <c r="E2380" s="26" t="inlineStr">
        <is>
          <r>
            <t xml:space="preserve">TOTAL Geral:</t>
          </r>
        </is>
      </c>
      <c r="F2380" s="26" t="inlineStr"/>
      <c r="G2380" s="31" t="n">
        <f>SUM(G2376:G2379)</f>
        <v>63.0436</v>
      </c>
    </row>
    <row r="2381" customHeight="1" ht="15">
      <c r="A2381" s="2" t="inlineStr"/>
      <c r="B2381" s="2" t="inlineStr"/>
      <c r="C2381" s="2" t="inlineStr"/>
      <c r="D2381" s="2" t="inlineStr"/>
      <c r="E2381" s="28" t="inlineStr">
        <is>
          <r>
            <t xml:space="preserve">VALOR:</t>
          </r>
        </is>
      </c>
      <c r="F2381" s="28" t="inlineStr"/>
      <c r="G2381" s="29" t="n">
        <f>ROUND(SUM(G2380),2)</f>
        <v>63.04</v>
      </c>
    </row>
    <row r="2382" customHeight="1" ht="15">
      <c r="A2382" s="2" t="inlineStr"/>
      <c r="B2382" s="2" t="inlineStr"/>
      <c r="C2382" s="2" t="inlineStr"/>
      <c r="D2382" s="2" t="inlineStr"/>
      <c r="E2382" s="28" t="inlineStr">
        <is>
          <r>
            <t xml:space="preserve">VALOR BDI:</t>
          </r>
        </is>
      </c>
      <c r="F2382" s="28" t="inlineStr"/>
      <c r="G2382" s="29" t="n">
        <f>ROUND(G2381*(0/100),2)</f>
        <v>0.0</v>
      </c>
    </row>
    <row r="2383" customHeight="1" ht="15">
      <c r="A2383" s="2" t="inlineStr"/>
      <c r="B2383" s="2" t="inlineStr"/>
      <c r="C2383" s="2" t="inlineStr"/>
      <c r="D2383" s="2" t="inlineStr"/>
      <c r="E2383" s="28" t="inlineStr">
        <is>
          <r>
            <t xml:space="preserve">VALOR COM BDI:</t>
          </r>
        </is>
      </c>
      <c r="F2383" s="28" t="inlineStr"/>
      <c r="G2383" s="29" t="n">
        <f>G2382+G2381</f>
        <v>63.04</v>
      </c>
    </row>
    <row r="2384" customHeight="1" ht="10">
      <c r="A2384" s="2" t="inlineStr"/>
      <c r="B2384" s="2" t="inlineStr"/>
      <c r="C2384" s="2" t="inlineStr"/>
      <c r="D2384" s="2" t="inlineStr"/>
      <c r="E2384" s="18" t="inlineStr"/>
      <c r="F2384" s="18" t="inlineStr"/>
      <c r="G2384" s="18" t="inlineStr"/>
    </row>
    <row r="2385" customHeight="1" ht="20">
      <c r="A2385" s="19" t="inlineStr">
        <is>
          <r>
            <t xml:space="preserve">​I0671​ USINA MISTURADORA DE SOLOS (CHI)​ (H)</t>
          </r>
        </is>
      </c>
      <c r="B2385" s="19" t="inlineStr"/>
      <c r="C2385" s="19" t="inlineStr"/>
      <c r="D2385" s="19" t="inlineStr"/>
      <c r="E2385" s="19" t="inlineStr"/>
      <c r="F2385" s="19" t="inlineStr"/>
      <c r="G2385" s="19" t="inlineStr"/>
    </row>
    <row r="2386" customHeight="1" ht="15">
      <c r="A2386" s="20" t="inlineStr">
        <is>
          <r>
            <t xml:space="preserve">Geral</t>
          </r>
        </is>
      </c>
      <c r="B2386" s="20" t="inlineStr"/>
      <c r="C2386" s="21" t="inlineStr">
        <is>
          <r>
            <t xml:space="preserve">FONTE</t>
          </r>
        </is>
      </c>
      <c r="D2386" s="21" t="inlineStr">
        <is>
          <r>
            <t xml:space="preserve">UNID</t>
          </r>
        </is>
      </c>
      <c r="E2386" s="21" t="inlineStr">
        <is>
          <r>
            <t xml:space="preserve">COEFICIENTE</t>
          </r>
        </is>
      </c>
      <c r="F2386" s="21" t="inlineStr">
        <is>
          <r>
            <t xml:space="preserve">PREÇO UNITÁRIO</t>
          </r>
        </is>
      </c>
      <c r="G2386" s="21" t="inlineStr">
        <is>
          <r>
            <t xml:space="preserve">TOTAL</t>
          </r>
        </is>
      </c>
    </row>
    <row r="2387" customHeight="1" ht="21">
      <c r="A2387" s="22" t="inlineStr">
        <is>
          <r>
            <t xml:space="preserve">I2848</t>
          </r>
        </is>
      </c>
      <c r="B2387" s="23" t="inlineStr">
        <is>
          <r>
            <t xml:space="preserve">MÃO DE OBRA DE OPERAÇÃO DA USINA MISTURADORA DE SOLOS</t>
          </r>
        </is>
      </c>
      <c r="C2387" s="22" t="inlineStr">
        <is>
          <r>
            <t xml:space="preserve">SEINFRA</t>
          </r>
        </is>
      </c>
      <c r="D2387" s="22" t="inlineStr">
        <is>
          <r>
            <t xml:space="preserve">H</t>
          </r>
        </is>
      </c>
      <c r="E2387" s="24" t="n">
        <v>1.0</v>
      </c>
      <c r="F2387" s="30" t="n">
        <v>28.81</v>
      </c>
      <c r="G2387" s="30" t="n">
        <f>ROUND(ROUND(E2387,8)*F2387,4)</f>
        <v>28.81</v>
      </c>
    </row>
    <row r="2388" customHeight="1" ht="15">
      <c r="A2388" s="22" t="inlineStr">
        <is>
          <r>
            <t xml:space="preserve">I2701</t>
          </r>
        </is>
      </c>
      <c r="B2388" s="23" t="inlineStr">
        <is>
          <r>
            <t xml:space="preserve">DEPRECIAÇÃO</t>
          </r>
        </is>
      </c>
      <c r="C2388" s="22" t="inlineStr">
        <is>
          <r>
            <t xml:space="preserve">SEINFRA</t>
          </r>
        </is>
      </c>
      <c r="D2388" s="22" t="inlineStr">
        <is>
          <r>
            <t xml:space="preserve">H</t>
          </r>
        </is>
      </c>
      <c r="E2388" s="24" t="n">
        <v>75.4849</v>
      </c>
      <c r="F2388" s="30" t="n">
        <v>1.0</v>
      </c>
      <c r="G2388" s="30" t="n">
        <f>ROUND(ROUND(E2388,8)*F2388,4)</f>
        <v>75.4849</v>
      </c>
    </row>
    <row r="2389" customHeight="1" ht="15">
      <c r="A2389" s="22" t="inlineStr">
        <is>
          <r>
            <t xml:space="preserve">I2702</t>
          </r>
        </is>
      </c>
      <c r="B2389" s="23" t="inlineStr">
        <is>
          <r>
            <t xml:space="preserve">JUROS</t>
          </r>
        </is>
      </c>
      <c r="C2389" s="22" t="inlineStr">
        <is>
          <r>
            <t xml:space="preserve">SEINFRA</t>
          </r>
        </is>
      </c>
      <c r="D2389" s="22" t="inlineStr">
        <is>
          <r>
            <t xml:space="preserve">H</t>
          </r>
        </is>
      </c>
      <c r="E2389" s="24" t="n">
        <v>25.1616</v>
      </c>
      <c r="F2389" s="30" t="n">
        <v>1.0</v>
      </c>
      <c r="G2389" s="30" t="n">
        <f>ROUND(ROUND(E2389,8)*F2389,4)</f>
        <v>25.1616</v>
      </c>
    </row>
    <row r="2390" customHeight="1" ht="15">
      <c r="A2390" s="2" t="inlineStr"/>
      <c r="B2390" s="2" t="inlineStr"/>
      <c r="C2390" s="2" t="inlineStr"/>
      <c r="D2390" s="2" t="inlineStr"/>
      <c r="E2390" s="26" t="inlineStr">
        <is>
          <r>
            <t xml:space="preserve">TOTAL Geral:</t>
          </r>
        </is>
      </c>
      <c r="F2390" s="26" t="inlineStr"/>
      <c r="G2390" s="31" t="n">
        <f>SUM(G2387:G2389)</f>
        <v>129.4565</v>
      </c>
    </row>
    <row r="2391" customHeight="1" ht="15">
      <c r="A2391" s="2" t="inlineStr"/>
      <c r="B2391" s="2" t="inlineStr"/>
      <c r="C2391" s="2" t="inlineStr"/>
      <c r="D2391" s="2" t="inlineStr"/>
      <c r="E2391" s="28" t="inlineStr">
        <is>
          <r>
            <t xml:space="preserve">VALOR:</t>
          </r>
        </is>
      </c>
      <c r="F2391" s="28" t="inlineStr"/>
      <c r="G2391" s="29" t="n">
        <f>ROUND(SUM(G2390),2)</f>
        <v>129.46</v>
      </c>
    </row>
    <row r="2392" customHeight="1" ht="15">
      <c r="A2392" s="2" t="inlineStr"/>
      <c r="B2392" s="2" t="inlineStr"/>
      <c r="C2392" s="2" t="inlineStr"/>
      <c r="D2392" s="2" t="inlineStr"/>
      <c r="E2392" s="28" t="inlineStr">
        <is>
          <r>
            <t xml:space="preserve">VALOR BDI:</t>
          </r>
        </is>
      </c>
      <c r="F2392" s="28" t="inlineStr"/>
      <c r="G2392" s="29" t="n">
        <f>ROUND(G2391*(0/100),2)</f>
        <v>0.0</v>
      </c>
    </row>
    <row r="2393" customHeight="1" ht="15">
      <c r="A2393" s="2" t="inlineStr"/>
      <c r="B2393" s="2" t="inlineStr"/>
      <c r="C2393" s="2" t="inlineStr"/>
      <c r="D2393" s="2" t="inlineStr"/>
      <c r="E2393" s="28" t="inlineStr">
        <is>
          <r>
            <t xml:space="preserve">VALOR COM BDI:</t>
          </r>
        </is>
      </c>
      <c r="F2393" s="28" t="inlineStr"/>
      <c r="G2393" s="29" t="n">
        <f>G2392+G2391</f>
        <v>129.46</v>
      </c>
    </row>
    <row r="2394" customHeight="1" ht="10">
      <c r="A2394" s="2" t="inlineStr"/>
      <c r="B2394" s="2" t="inlineStr"/>
      <c r="C2394" s="2" t="inlineStr"/>
      <c r="D2394" s="2" t="inlineStr"/>
      <c r="E2394" s="18" t="inlineStr"/>
      <c r="F2394" s="18" t="inlineStr"/>
      <c r="G2394" s="18" t="inlineStr"/>
    </row>
    <row r="2395" customHeight="1" ht="20">
      <c r="A2395" s="19" t="inlineStr">
        <is>
          <r>
            <t xml:space="preserve">​I0784​ USINA MISTURADORA DE SOLOS (CHP)​ (H)</t>
          </r>
        </is>
      </c>
      <c r="B2395" s="19" t="inlineStr"/>
      <c r="C2395" s="19" t="inlineStr"/>
      <c r="D2395" s="19" t="inlineStr"/>
      <c r="E2395" s="19" t="inlineStr"/>
      <c r="F2395" s="19" t="inlineStr"/>
      <c r="G2395" s="19" t="inlineStr"/>
    </row>
    <row r="2396" customHeight="1" ht="15">
      <c r="A2396" s="20" t="inlineStr">
        <is>
          <r>
            <t xml:space="preserve">Geral</t>
          </r>
        </is>
      </c>
      <c r="B2396" s="20" t="inlineStr"/>
      <c r="C2396" s="21" t="inlineStr">
        <is>
          <r>
            <t xml:space="preserve">FONTE</t>
          </r>
        </is>
      </c>
      <c r="D2396" s="21" t="inlineStr">
        <is>
          <r>
            <t xml:space="preserve">UNID</t>
          </r>
        </is>
      </c>
      <c r="E2396" s="21" t="inlineStr">
        <is>
          <r>
            <t xml:space="preserve">COEFICIENTE</t>
          </r>
        </is>
      </c>
      <c r="F2396" s="21" t="inlineStr">
        <is>
          <r>
            <t xml:space="preserve">PREÇO UNITÁRIO</t>
          </r>
        </is>
      </c>
      <c r="G2396" s="21" t="inlineStr">
        <is>
          <r>
            <t xml:space="preserve">TOTAL</t>
          </r>
        </is>
      </c>
    </row>
    <row r="2397" customHeight="1" ht="21">
      <c r="A2397" s="22" t="inlineStr">
        <is>
          <r>
            <t xml:space="preserve">I2848</t>
          </r>
        </is>
      </c>
      <c r="B2397" s="23" t="inlineStr">
        <is>
          <r>
            <t xml:space="preserve">MÃO DE OBRA DE OPERAÇÃO DA USINA MISTURADORA DE SOLOS</t>
          </r>
        </is>
      </c>
      <c r="C2397" s="22" t="inlineStr">
        <is>
          <r>
            <t xml:space="preserve">SEINFRA</t>
          </r>
        </is>
      </c>
      <c r="D2397" s="22" t="inlineStr">
        <is>
          <r>
            <t xml:space="preserve">H</t>
          </r>
        </is>
      </c>
      <c r="E2397" s="24" t="n">
        <v>1.0</v>
      </c>
      <c r="F2397" s="30" t="n">
        <v>28.81</v>
      </c>
      <c r="G2397" s="30" t="n">
        <f>ROUND(ROUND(E2397,8)*F2397,4)</f>
        <v>28.81</v>
      </c>
    </row>
    <row r="2398" customHeight="1" ht="15">
      <c r="A2398" s="22" t="inlineStr">
        <is>
          <r>
            <t xml:space="preserve">I2701</t>
          </r>
        </is>
      </c>
      <c r="B2398" s="23" t="inlineStr">
        <is>
          <r>
            <t xml:space="preserve">DEPRECIAÇÃO</t>
          </r>
        </is>
      </c>
      <c r="C2398" s="22" t="inlineStr">
        <is>
          <r>
            <t xml:space="preserve">SEINFRA</t>
          </r>
        </is>
      </c>
      <c r="D2398" s="22" t="inlineStr">
        <is>
          <r>
            <t xml:space="preserve">H</t>
          </r>
        </is>
      </c>
      <c r="E2398" s="24" t="n">
        <v>75.4849</v>
      </c>
      <c r="F2398" s="30" t="n">
        <v>1.0</v>
      </c>
      <c r="G2398" s="30" t="n">
        <f>ROUND(ROUND(E2398,8)*F2398,4)</f>
        <v>75.4849</v>
      </c>
    </row>
    <row r="2399" customHeight="1" ht="15">
      <c r="A2399" s="22" t="inlineStr">
        <is>
          <r>
            <t xml:space="preserve">I2702</t>
          </r>
        </is>
      </c>
      <c r="B2399" s="23" t="inlineStr">
        <is>
          <r>
            <t xml:space="preserve">JUROS</t>
          </r>
        </is>
      </c>
      <c r="C2399" s="22" t="inlineStr">
        <is>
          <r>
            <t xml:space="preserve">SEINFRA</t>
          </r>
        </is>
      </c>
      <c r="D2399" s="22" t="inlineStr">
        <is>
          <r>
            <t xml:space="preserve">H</t>
          </r>
        </is>
      </c>
      <c r="E2399" s="24" t="n">
        <v>25.1616</v>
      </c>
      <c r="F2399" s="30" t="n">
        <v>1.0</v>
      </c>
      <c r="G2399" s="30" t="n">
        <f>ROUND(ROUND(E2399,8)*F2399,4)</f>
        <v>25.1616</v>
      </c>
    </row>
    <row r="2400" customHeight="1" ht="15">
      <c r="A2400" s="22" t="inlineStr">
        <is>
          <r>
            <t xml:space="preserve">I2703</t>
          </r>
        </is>
      </c>
      <c r="B2400" s="23" t="inlineStr">
        <is>
          <r>
            <t xml:space="preserve">MANUTENÇÃO</t>
          </r>
        </is>
      </c>
      <c r="C2400" s="22" t="inlineStr">
        <is>
          <r>
            <t xml:space="preserve">SEINFRA</t>
          </r>
        </is>
      </c>
      <c r="D2400" s="22" t="inlineStr">
        <is>
          <r>
            <t xml:space="preserve">H</t>
          </r>
        </is>
      </c>
      <c r="E2400" s="24" t="n">
        <v>100.6466</v>
      </c>
      <c r="F2400" s="30" t="n">
        <v>1.0</v>
      </c>
      <c r="G2400" s="30" t="n">
        <f>ROUND(ROUND(E2400,8)*F2400,4)</f>
        <v>100.6466</v>
      </c>
    </row>
    <row r="2401" customHeight="1" ht="15">
      <c r="A2401" s="2" t="inlineStr"/>
      <c r="B2401" s="2" t="inlineStr"/>
      <c r="C2401" s="2" t="inlineStr"/>
      <c r="D2401" s="2" t="inlineStr"/>
      <c r="E2401" s="26" t="inlineStr">
        <is>
          <r>
            <t xml:space="preserve">TOTAL Geral:</t>
          </r>
        </is>
      </c>
      <c r="F2401" s="26" t="inlineStr"/>
      <c r="G2401" s="31" t="n">
        <f>SUM(G2397:G2400)</f>
        <v>230.1031</v>
      </c>
    </row>
    <row r="2402" customHeight="1" ht="15">
      <c r="A2402" s="2" t="inlineStr"/>
      <c r="B2402" s="2" t="inlineStr"/>
      <c r="C2402" s="2" t="inlineStr"/>
      <c r="D2402" s="2" t="inlineStr"/>
      <c r="E2402" s="28" t="inlineStr">
        <is>
          <r>
            <t xml:space="preserve">VALOR:</t>
          </r>
        </is>
      </c>
      <c r="F2402" s="28" t="inlineStr"/>
      <c r="G2402" s="29" t="n">
        <f>ROUND(SUM(G2401),2)</f>
        <v>230.1</v>
      </c>
    </row>
    <row r="2403" customHeight="1" ht="15">
      <c r="A2403" s="2" t="inlineStr"/>
      <c r="B2403" s="2" t="inlineStr"/>
      <c r="C2403" s="2" t="inlineStr"/>
      <c r="D2403" s="2" t="inlineStr"/>
      <c r="E2403" s="28" t="inlineStr">
        <is>
          <r>
            <t xml:space="preserve">VALOR BDI:</t>
          </r>
        </is>
      </c>
      <c r="F2403" s="28" t="inlineStr"/>
      <c r="G2403" s="29" t="n">
        <f>ROUND(G2402*(0/100),2)</f>
        <v>0.0</v>
      </c>
    </row>
    <row r="2404" customHeight="1" ht="15">
      <c r="A2404" s="2" t="inlineStr"/>
      <c r="B2404" s="2" t="inlineStr"/>
      <c r="C2404" s="2" t="inlineStr"/>
      <c r="D2404" s="2" t="inlineStr"/>
      <c r="E2404" s="28" t="inlineStr">
        <is>
          <r>
            <t xml:space="preserve">VALOR COM BDI:</t>
          </r>
        </is>
      </c>
      <c r="F2404" s="28" t="inlineStr"/>
      <c r="G2404" s="29" t="n">
        <f>G2403+G2402</f>
        <v>230.1</v>
      </c>
    </row>
    <row r="2405" customHeight="1" ht="10">
      <c r="A2405" s="2" t="inlineStr"/>
      <c r="B2405" s="2" t="inlineStr"/>
      <c r="C2405" s="2" t="inlineStr"/>
      <c r="D2405" s="2" t="inlineStr"/>
      <c r="E2405" s="18" t="inlineStr"/>
      <c r="F2405" s="18" t="inlineStr"/>
      <c r="G2405" s="18" t="inlineStr"/>
    </row>
    <row r="2406" customHeight="1" ht="20">
      <c r="A2406" s="19" t="inlineStr">
        <is>
          <r>
            <t xml:space="preserve">​C3315​ USINAGEM DE MISTURAS BETUMINOSAS A FRIO​ (M3)</t>
          </r>
        </is>
      </c>
      <c r="B2406" s="19" t="inlineStr"/>
      <c r="C2406" s="19" t="inlineStr"/>
      <c r="D2406" s="19" t="inlineStr"/>
      <c r="E2406" s="19" t="inlineStr"/>
      <c r="F2406" s="19" t="inlineStr"/>
      <c r="G2406" s="19" t="inlineStr"/>
    </row>
    <row r="2407" customHeight="1" ht="15">
      <c r="A2407" s="20" t="inlineStr">
        <is>
          <r>
            <t xml:space="preserve">Equipamento Custo Horário</t>
          </r>
        </is>
      </c>
      <c r="B2407" s="20" t="inlineStr"/>
      <c r="C2407" s="21" t="inlineStr">
        <is>
          <r>
            <t xml:space="preserve">FONTE</t>
          </r>
        </is>
      </c>
      <c r="D2407" s="21" t="inlineStr">
        <is>
          <r>
            <t xml:space="preserve">UNID</t>
          </r>
        </is>
      </c>
      <c r="E2407" s="21" t="inlineStr">
        <is>
          <r>
            <t xml:space="preserve">COEFICIENTE</t>
          </r>
        </is>
      </c>
      <c r="F2407" s="21" t="inlineStr">
        <is>
          <r>
            <t xml:space="preserve">PREÇO UNITÁRIO</t>
          </r>
        </is>
      </c>
      <c r="G2407" s="21" t="inlineStr">
        <is>
          <r>
            <t xml:space="preserve">TOTAL</t>
          </r>
        </is>
      </c>
    </row>
    <row r="2408" customHeight="1" ht="15">
      <c r="A2408" s="22" t="inlineStr">
        <is>
          <r>
            <t xml:space="preserve">I0594</t>
          </r>
        </is>
      </c>
      <c r="B2408" s="23" t="inlineStr">
        <is>
          <r>
            <t xml:space="preserve">CARREGADEIRA DE PNEUS HP 111 (CHI)</t>
          </r>
        </is>
      </c>
      <c r="C2408" s="22" t="inlineStr">
        <is>
          <r>
            <t xml:space="preserve">SEINFRA</t>
          </r>
        </is>
      </c>
      <c r="D2408" s="22" t="inlineStr">
        <is>
          <r>
            <t xml:space="preserve">H</t>
          </r>
        </is>
      </c>
      <c r="E2408" s="24" t="n">
        <v>0.04533333</v>
      </c>
      <c r="F2408" s="30" t="n">
        <v>84.4072</v>
      </c>
      <c r="G2408" s="30" t="n">
        <f>ROUND(ROUND(E2408,8)*F2408,4)</f>
        <v>3.8265</v>
      </c>
    </row>
    <row r="2409" customHeight="1" ht="15">
      <c r="A2409" s="22" t="inlineStr">
        <is>
          <r>
            <t xml:space="preserve">I0708</t>
          </r>
        </is>
      </c>
      <c r="B2409" s="23" t="inlineStr">
        <is>
          <r>
            <t xml:space="preserve">CARREGADEIRA DE PNEUS HP 111 (CHP)</t>
          </r>
        </is>
      </c>
      <c r="C2409" s="22" t="inlineStr">
        <is>
          <r>
            <t xml:space="preserve">SEINFRA</t>
          </r>
        </is>
      </c>
      <c r="D2409" s="22" t="inlineStr">
        <is>
          <r>
            <t xml:space="preserve">H</t>
          </r>
        </is>
      </c>
      <c r="E2409" s="24" t="n">
        <v>0.02133333</v>
      </c>
      <c r="F2409" s="30" t="n">
        <v>229.8427</v>
      </c>
      <c r="G2409" s="30" t="n">
        <f>ROUND(ROUND(E2409,8)*F2409,4)</f>
        <v>4.9033</v>
      </c>
    </row>
    <row r="2410" customHeight="1" ht="15">
      <c r="A2410" s="22" t="inlineStr">
        <is>
          <r>
            <t xml:space="preserve">I0661</t>
          </r>
        </is>
      </c>
      <c r="B2410" s="23" t="inlineStr">
        <is>
          <r>
            <t xml:space="preserve">TANQUE DE ESTOCAGEM DE ASFALTO (CHI)</t>
          </r>
        </is>
      </c>
      <c r="C2410" s="22" t="inlineStr">
        <is>
          <r>
            <t xml:space="preserve">SEINFRA</t>
          </r>
        </is>
      </c>
      <c r="D2410" s="22" t="inlineStr">
        <is>
          <r>
            <t xml:space="preserve">H</t>
          </r>
        </is>
      </c>
      <c r="E2410" s="24" t="n">
        <v>0.0</v>
      </c>
      <c r="F2410" s="30" t="n">
        <v>23.6427</v>
      </c>
      <c r="G2410" s="30" t="n">
        <f>ROUND(ROUND(E2410,8)*F2410,4)</f>
        <v>0.0</v>
      </c>
    </row>
    <row r="2411" customHeight="1" ht="15">
      <c r="A2411" s="22" t="inlineStr">
        <is>
          <r>
            <t xml:space="preserve">I0774</t>
          </r>
        </is>
      </c>
      <c r="B2411" s="23" t="inlineStr">
        <is>
          <r>
            <t xml:space="preserve">TANQUE DE ESTOCAGEM DE ASFALTO (CHP)</t>
          </r>
        </is>
      </c>
      <c r="C2411" s="22" t="inlineStr">
        <is>
          <r>
            <t xml:space="preserve">SEINFRA</t>
          </r>
        </is>
      </c>
      <c r="D2411" s="22" t="inlineStr">
        <is>
          <r>
            <t xml:space="preserve">H</t>
          </r>
        </is>
      </c>
      <c r="E2411" s="24" t="n">
        <v>0.13333333</v>
      </c>
      <c r="F2411" s="30" t="n">
        <v>34.6907</v>
      </c>
      <c r="G2411" s="30" t="n">
        <f>ROUND(ROUND(E2411,8)*F2411,4)</f>
        <v>4.6254</v>
      </c>
    </row>
    <row r="2412" customHeight="1" ht="15">
      <c r="A2412" s="22" t="inlineStr">
        <is>
          <r>
            <t xml:space="preserve">I0670</t>
          </r>
        </is>
      </c>
      <c r="B2412" s="23" t="inlineStr">
        <is>
          <r>
            <t xml:space="preserve">USINA DE MISTURAS BETUMINOSAS A FRIO (CHI)</t>
          </r>
        </is>
      </c>
      <c r="C2412" s="22" t="inlineStr">
        <is>
          <r>
            <t xml:space="preserve">SEINFRA</t>
          </r>
        </is>
      </c>
      <c r="D2412" s="22" t="inlineStr">
        <is>
          <r>
            <t xml:space="preserve">H</t>
          </r>
        </is>
      </c>
      <c r="E2412" s="24" t="n">
        <v>0.0</v>
      </c>
      <c r="F2412" s="30" t="n">
        <v>45.9268</v>
      </c>
      <c r="G2412" s="30" t="n">
        <f>ROUND(ROUND(E2412,8)*F2412,4)</f>
        <v>0.0</v>
      </c>
    </row>
    <row r="2413" customHeight="1" ht="15">
      <c r="A2413" s="22" t="inlineStr">
        <is>
          <r>
            <t xml:space="preserve">I0783</t>
          </r>
        </is>
      </c>
      <c r="B2413" s="23" t="inlineStr">
        <is>
          <r>
            <t xml:space="preserve">USINA DE MISTURAS BETUMINOSAS A FRIO (CHP)</t>
          </r>
        </is>
      </c>
      <c r="C2413" s="22" t="inlineStr">
        <is>
          <r>
            <t xml:space="preserve">SEINFRA</t>
          </r>
        </is>
      </c>
      <c r="D2413" s="22" t="inlineStr">
        <is>
          <r>
            <t xml:space="preserve">H</t>
          </r>
        </is>
      </c>
      <c r="E2413" s="24" t="n">
        <v>0.06666667</v>
      </c>
      <c r="F2413" s="30" t="n">
        <v>63.0435</v>
      </c>
      <c r="G2413" s="30" t="n">
        <f>ROUND(ROUND(E2413,8)*F2413,4)</f>
        <v>4.2029</v>
      </c>
    </row>
    <row r="2414" customHeight="1" ht="18">
      <c r="A2414" s="2" t="inlineStr"/>
      <c r="B2414" s="2" t="inlineStr"/>
      <c r="C2414" s="2" t="inlineStr"/>
      <c r="D2414" s="2" t="inlineStr"/>
      <c r="E2414" s="26" t="inlineStr">
        <is>
          <r>
            <t xml:space="preserve">TOTAL Equipamento Custo Horário:</t>
          </r>
        </is>
      </c>
      <c r="F2414" s="26" t="inlineStr"/>
      <c r="G2414" s="31" t="n">
        <f>SUM(G2408:G2413)</f>
        <v>17.5581</v>
      </c>
    </row>
    <row r="2415" customHeight="1" ht="15">
      <c r="A2415" s="20" t="inlineStr">
        <is>
          <r>
            <t xml:space="preserve">Mão de Obra</t>
          </r>
        </is>
      </c>
      <c r="B2415" s="20" t="inlineStr"/>
      <c r="C2415" s="21" t="inlineStr">
        <is>
          <r>
            <t xml:space="preserve">FONTE</t>
          </r>
        </is>
      </c>
      <c r="D2415" s="21" t="inlineStr">
        <is>
          <r>
            <t xml:space="preserve">UNID</t>
          </r>
        </is>
      </c>
      <c r="E2415" s="21" t="inlineStr">
        <is>
          <r>
            <t xml:space="preserve">COEFICIENTE</t>
          </r>
        </is>
      </c>
      <c r="F2415" s="21" t="inlineStr">
        <is>
          <r>
            <t xml:space="preserve">PREÇO UNITÁRIO</t>
          </r>
        </is>
      </c>
      <c r="G2415" s="21" t="inlineStr">
        <is>
          <r>
            <t xml:space="preserve">TOTAL</t>
          </r>
        </is>
      </c>
    </row>
    <row r="2416" customHeight="1" ht="15">
      <c r="A2416" s="22" t="inlineStr">
        <is>
          <r>
            <t xml:space="preserve">I2543</t>
          </r>
        </is>
      </c>
      <c r="B2416" s="23" t="inlineStr">
        <is>
          <r>
            <t xml:space="preserve">SERVENTE</t>
          </r>
        </is>
      </c>
      <c r="C2416" s="22" t="inlineStr">
        <is>
          <r>
            <t xml:space="preserve">SEINFRA</t>
          </r>
        </is>
      </c>
      <c r="D2416" s="22" t="inlineStr">
        <is>
          <r>
            <t xml:space="preserve">H</t>
          </r>
        </is>
      </c>
      <c r="E2416" s="24" t="n">
        <v>0.4</v>
      </c>
      <c r="F2416" s="30" t="n">
        <v>18.46</v>
      </c>
      <c r="G2416" s="30" t="n">
        <f>ROUND(ROUND(E2416,8)*F2416,4)</f>
        <v>7.384</v>
      </c>
    </row>
    <row r="2417" customHeight="1" ht="15">
      <c r="A2417" s="2" t="inlineStr"/>
      <c r="B2417" s="2" t="inlineStr"/>
      <c r="C2417" s="2" t="inlineStr"/>
      <c r="D2417" s="2" t="inlineStr"/>
      <c r="E2417" s="26" t="inlineStr">
        <is>
          <r>
            <t xml:space="preserve">TOTAL Mão de Obra:</t>
          </r>
        </is>
      </c>
      <c r="F2417" s="26" t="inlineStr"/>
      <c r="G2417" s="31" t="n">
        <f>SUM(G2416:G2416)</f>
        <v>7.384</v>
      </c>
    </row>
    <row r="2418" customHeight="1" ht="15">
      <c r="A2418" s="2" t="inlineStr"/>
      <c r="B2418" s="2" t="inlineStr"/>
      <c r="C2418" s="2" t="inlineStr"/>
      <c r="D2418" s="2" t="inlineStr"/>
      <c r="E2418" s="28" t="inlineStr">
        <is>
          <r>
            <t xml:space="preserve">VALOR:</t>
          </r>
        </is>
      </c>
      <c r="F2418" s="28" t="inlineStr"/>
      <c r="G2418" s="29" t="n">
        <f>ROUND(SUM(G2414,G2417),2)</f>
        <v>24.94</v>
      </c>
    </row>
    <row r="2419" customHeight="1" ht="15">
      <c r="A2419" s="2" t="inlineStr"/>
      <c r="B2419" s="2" t="inlineStr"/>
      <c r="C2419" s="2" t="inlineStr"/>
      <c r="D2419" s="2" t="inlineStr"/>
      <c r="E2419" s="28" t="inlineStr">
        <is>
          <r>
            <t xml:space="preserve">VALOR BDI:</t>
          </r>
        </is>
      </c>
      <c r="F2419" s="28" t="inlineStr"/>
      <c r="G2419" s="29" t="n">
        <f>ROUND(G2418*(0/100),2)</f>
        <v>0.0</v>
      </c>
    </row>
    <row r="2420" customHeight="1" ht="15">
      <c r="A2420" s="2" t="inlineStr"/>
      <c r="B2420" s="2" t="inlineStr"/>
      <c r="C2420" s="2" t="inlineStr"/>
      <c r="D2420" s="2" t="inlineStr"/>
      <c r="E2420" s="28" t="inlineStr">
        <is>
          <r>
            <t xml:space="preserve">VALOR COM BDI:</t>
          </r>
        </is>
      </c>
      <c r="F2420" s="28" t="inlineStr"/>
      <c r="G2420" s="29" t="n">
        <f>G2419+G2418</f>
        <v>24.94</v>
      </c>
    </row>
    <row r="2421" customHeight="1" ht="10">
      <c r="A2421" s="2" t="inlineStr"/>
      <c r="B2421" s="2" t="inlineStr"/>
      <c r="C2421" s="2" t="inlineStr"/>
      <c r="D2421" s="2" t="inlineStr"/>
      <c r="E2421" s="18" t="inlineStr"/>
      <c r="F2421" s="18" t="inlineStr"/>
      <c r="G2421" s="18" t="inlineStr"/>
    </row>
    <row r="2422" customHeight="1" ht="20">
      <c r="A2422" s="19" t="inlineStr">
        <is>
          <r>
            <t xml:space="preserve">​C3244​ USINAGEM DE MISTURAS DE AGREGADOS​ (M3)</t>
          </r>
        </is>
      </c>
      <c r="B2422" s="19" t="inlineStr"/>
      <c r="C2422" s="19" t="inlineStr"/>
      <c r="D2422" s="19" t="inlineStr"/>
      <c r="E2422" s="19" t="inlineStr"/>
      <c r="F2422" s="19" t="inlineStr"/>
      <c r="G2422" s="19" t="inlineStr"/>
    </row>
    <row r="2423" customHeight="1" ht="15">
      <c r="A2423" s="20" t="inlineStr">
        <is>
          <r>
            <t xml:space="preserve">Equipamento Custo Horário</t>
          </r>
        </is>
      </c>
      <c r="B2423" s="20" t="inlineStr"/>
      <c r="C2423" s="21" t="inlineStr">
        <is>
          <r>
            <t xml:space="preserve">FONTE</t>
          </r>
        </is>
      </c>
      <c r="D2423" s="21" t="inlineStr">
        <is>
          <r>
            <t xml:space="preserve">UNID</t>
          </r>
        </is>
      </c>
      <c r="E2423" s="21" t="inlineStr">
        <is>
          <r>
            <t xml:space="preserve">COEFICIENTE</t>
          </r>
        </is>
      </c>
      <c r="F2423" s="21" t="inlineStr">
        <is>
          <r>
            <t xml:space="preserve">PREÇO UNITÁRIO</t>
          </r>
        </is>
      </c>
      <c r="G2423" s="21" t="inlineStr">
        <is>
          <r>
            <t xml:space="preserve">TOTAL</t>
          </r>
        </is>
      </c>
    </row>
    <row r="2424" customHeight="1" ht="15">
      <c r="A2424" s="22" t="inlineStr">
        <is>
          <r>
            <t xml:space="preserve">I0590</t>
          </r>
        </is>
      </c>
      <c r="B2424" s="23" t="inlineStr">
        <is>
          <r>
            <t xml:space="preserve">CAMINHÃO TANQUE 8.000 l (CHI)</t>
          </r>
        </is>
      </c>
      <c r="C2424" s="22" t="inlineStr">
        <is>
          <r>
            <t xml:space="preserve">SEINFRA</t>
          </r>
        </is>
      </c>
      <c r="D2424" s="22" t="inlineStr">
        <is>
          <r>
            <t xml:space="preserve">H</t>
          </r>
        </is>
      </c>
      <c r="E2424" s="24" t="n">
        <v>0.0096</v>
      </c>
      <c r="F2424" s="30" t="n">
        <v>70.4941</v>
      </c>
      <c r="G2424" s="30" t="n">
        <f>ROUND(ROUND(E2424,8)*F2424,4)</f>
        <v>0.6767</v>
      </c>
    </row>
    <row r="2425" customHeight="1" ht="15">
      <c r="A2425" s="22" t="inlineStr">
        <is>
          <r>
            <t xml:space="preserve">I0698</t>
          </r>
        </is>
      </c>
      <c r="B2425" s="23" t="inlineStr">
        <is>
          <r>
            <t xml:space="preserve">CAMINHÃO TANQUE 8.000 l (CHP)</t>
          </r>
        </is>
      </c>
      <c r="C2425" s="22" t="inlineStr">
        <is>
          <r>
            <t xml:space="preserve">SEINFRA</t>
          </r>
        </is>
      </c>
      <c r="D2425" s="22" t="inlineStr">
        <is>
          <r>
            <t xml:space="preserve">H</t>
          </r>
        </is>
      </c>
      <c r="E2425" s="24" t="n">
        <v>0.0304</v>
      </c>
      <c r="F2425" s="30" t="n">
        <v>213.8811</v>
      </c>
      <c r="G2425" s="30" t="n">
        <f>ROUND(ROUND(E2425,8)*F2425,4)</f>
        <v>6.502</v>
      </c>
    </row>
    <row r="2426" customHeight="1" ht="15">
      <c r="A2426" s="22" t="inlineStr">
        <is>
          <r>
            <t xml:space="preserve">I0596</t>
          </r>
        </is>
      </c>
      <c r="B2426" s="23" t="inlineStr">
        <is>
          <r>
            <t xml:space="preserve">CARREGADEIRA DE PNEUS HP 180 (CHI)</t>
          </r>
        </is>
      </c>
      <c r="C2426" s="22" t="inlineStr">
        <is>
          <r>
            <t xml:space="preserve">SEINFRA</t>
          </r>
        </is>
      </c>
      <c r="D2426" s="22" t="inlineStr">
        <is>
          <r>
            <t xml:space="preserve">H</t>
          </r>
        </is>
      </c>
      <c r="E2426" s="24" t="n">
        <v>0.0012</v>
      </c>
      <c r="F2426" s="30" t="n">
        <v>106.3468</v>
      </c>
      <c r="G2426" s="30" t="n">
        <f>ROUND(ROUND(E2426,8)*F2426,4)</f>
        <v>0.1276</v>
      </c>
    </row>
    <row r="2427" customHeight="1" ht="15">
      <c r="A2427" s="22" t="inlineStr">
        <is>
          <r>
            <t xml:space="preserve">I0710</t>
          </r>
        </is>
      </c>
      <c r="B2427" s="23" t="inlineStr">
        <is>
          <r>
            <t xml:space="preserve">CARREGADEIRA DE PNEUS HP 180 (CHP)</t>
          </r>
        </is>
      </c>
      <c r="C2427" s="22" t="inlineStr">
        <is>
          <r>
            <t xml:space="preserve">SEINFRA</t>
          </r>
        </is>
      </c>
      <c r="D2427" s="22" t="inlineStr">
        <is>
          <r>
            <t xml:space="preserve">H</t>
          </r>
        </is>
      </c>
      <c r="E2427" s="24" t="n">
        <v>0.01213333</v>
      </c>
      <c r="F2427" s="30" t="n">
        <v>328.0339</v>
      </c>
      <c r="G2427" s="30" t="n">
        <f>ROUND(ROUND(E2427,8)*F2427,4)</f>
        <v>3.9801</v>
      </c>
    </row>
    <row r="2428" customHeight="1" ht="15">
      <c r="A2428" s="22" t="inlineStr">
        <is>
          <r>
            <t xml:space="preserve">I0627</t>
          </r>
        </is>
      </c>
      <c r="B2428" s="23" t="inlineStr">
        <is>
          <r>
            <t xml:space="preserve">GRUPO GERADOR 180 KVA (CHI)</t>
          </r>
        </is>
      </c>
      <c r="C2428" s="22" t="inlineStr">
        <is>
          <r>
            <t xml:space="preserve">SEINFRA</t>
          </r>
        </is>
      </c>
      <c r="D2428" s="22" t="inlineStr">
        <is>
          <r>
            <t xml:space="preserve">H</t>
          </r>
        </is>
      </c>
      <c r="E2428" s="24" t="n">
        <v>0.0</v>
      </c>
      <c r="F2428" s="30" t="n">
        <v>36.4341</v>
      </c>
      <c r="G2428" s="30" t="n">
        <f>ROUND(ROUND(E2428,8)*F2428,4)</f>
        <v>0.0</v>
      </c>
    </row>
    <row r="2429" customHeight="1" ht="15">
      <c r="A2429" s="22" t="inlineStr">
        <is>
          <r>
            <t xml:space="preserve">I0741</t>
          </r>
        </is>
      </c>
      <c r="B2429" s="23" t="inlineStr">
        <is>
          <r>
            <t xml:space="preserve">GRUPO GERADOR 180 KVA (CHP)</t>
          </r>
        </is>
      </c>
      <c r="C2429" s="22" t="inlineStr">
        <is>
          <r>
            <t xml:space="preserve">SEINFRA</t>
          </r>
        </is>
      </c>
      <c r="D2429" s="22" t="inlineStr">
        <is>
          <r>
            <t xml:space="preserve">H</t>
          </r>
        </is>
      </c>
      <c r="E2429" s="24" t="n">
        <v>0.01333333</v>
      </c>
      <c r="F2429" s="30" t="n">
        <v>214.7539</v>
      </c>
      <c r="G2429" s="30" t="n">
        <f>ROUND(ROUND(E2429,8)*F2429,4)</f>
        <v>2.8634</v>
      </c>
    </row>
    <row r="2430" customHeight="1" ht="15">
      <c r="A2430" s="22" t="inlineStr">
        <is>
          <r>
            <t xml:space="preserve">I0671</t>
          </r>
        </is>
      </c>
      <c r="B2430" s="23" t="inlineStr">
        <is>
          <r>
            <t xml:space="preserve">USINA MISTURADORA DE SOLOS (CHI)</t>
          </r>
        </is>
      </c>
      <c r="C2430" s="22" t="inlineStr">
        <is>
          <r>
            <t xml:space="preserve">SEINFRA</t>
          </r>
        </is>
      </c>
      <c r="D2430" s="22" t="inlineStr">
        <is>
          <r>
            <t xml:space="preserve">H</t>
          </r>
        </is>
      </c>
      <c r="E2430" s="24" t="n">
        <v>0.0</v>
      </c>
      <c r="F2430" s="30" t="n">
        <v>129.4566</v>
      </c>
      <c r="G2430" s="30" t="n">
        <f>ROUND(ROUND(E2430,8)*F2430,4)</f>
        <v>0.0</v>
      </c>
    </row>
    <row r="2431" customHeight="1" ht="15">
      <c r="A2431" s="22" t="inlineStr">
        <is>
          <r>
            <t xml:space="preserve">I0784</t>
          </r>
        </is>
      </c>
      <c r="B2431" s="23" t="inlineStr">
        <is>
          <r>
            <t xml:space="preserve">USINA MISTURADORA DE SOLOS (CHP)</t>
          </r>
        </is>
      </c>
      <c r="C2431" s="22" t="inlineStr">
        <is>
          <r>
            <t xml:space="preserve">SEINFRA</t>
          </r>
        </is>
      </c>
      <c r="D2431" s="22" t="inlineStr">
        <is>
          <r>
            <t xml:space="preserve">H</t>
          </r>
        </is>
      </c>
      <c r="E2431" s="24" t="n">
        <v>0.01333333</v>
      </c>
      <c r="F2431" s="30" t="n">
        <v>230.1031</v>
      </c>
      <c r="G2431" s="30" t="n">
        <f>ROUND(ROUND(E2431,8)*F2431,4)</f>
        <v>3.068</v>
      </c>
    </row>
    <row r="2432" customHeight="1" ht="18">
      <c r="A2432" s="2" t="inlineStr"/>
      <c r="B2432" s="2" t="inlineStr"/>
      <c r="C2432" s="2" t="inlineStr"/>
      <c r="D2432" s="2" t="inlineStr"/>
      <c r="E2432" s="26" t="inlineStr">
        <is>
          <r>
            <t xml:space="preserve">TOTAL Equipamento Custo Horário:</t>
          </r>
        </is>
      </c>
      <c r="F2432" s="26" t="inlineStr"/>
      <c r="G2432" s="31" t="n">
        <f>SUM(G2424:G2431)</f>
        <v>17.2178</v>
      </c>
    </row>
    <row r="2433" customHeight="1" ht="15">
      <c r="A2433" s="20" t="inlineStr">
        <is>
          <r>
            <t xml:space="preserve">Mão de Obra</t>
          </r>
        </is>
      </c>
      <c r="B2433" s="20" t="inlineStr"/>
      <c r="C2433" s="21" t="inlineStr">
        <is>
          <r>
            <t xml:space="preserve">FONTE</t>
          </r>
        </is>
      </c>
      <c r="D2433" s="21" t="inlineStr">
        <is>
          <r>
            <t xml:space="preserve">UNID</t>
          </r>
        </is>
      </c>
      <c r="E2433" s="21" t="inlineStr">
        <is>
          <r>
            <t xml:space="preserve">COEFICIENTE</t>
          </r>
        </is>
      </c>
      <c r="F2433" s="21" t="inlineStr">
        <is>
          <r>
            <t xml:space="preserve">PREÇO UNITÁRIO</t>
          </r>
        </is>
      </c>
      <c r="G2433" s="21" t="inlineStr">
        <is>
          <r>
            <t xml:space="preserve">TOTAL</t>
          </r>
        </is>
      </c>
    </row>
    <row r="2434" customHeight="1" ht="15">
      <c r="A2434" s="22" t="inlineStr">
        <is>
          <r>
            <t xml:space="preserve">I2543</t>
          </r>
        </is>
      </c>
      <c r="B2434" s="23" t="inlineStr">
        <is>
          <r>
            <t xml:space="preserve">SERVENTE</t>
          </r>
        </is>
      </c>
      <c r="C2434" s="22" t="inlineStr">
        <is>
          <r>
            <t xml:space="preserve">SEINFRA</t>
          </r>
        </is>
      </c>
      <c r="D2434" s="22" t="inlineStr">
        <is>
          <r>
            <t xml:space="preserve">H</t>
          </r>
        </is>
      </c>
      <c r="E2434" s="24" t="n">
        <v>0.08</v>
      </c>
      <c r="F2434" s="30" t="n">
        <v>18.46</v>
      </c>
      <c r="G2434" s="30" t="n">
        <f>ROUND(ROUND(E2434,8)*F2434,4)</f>
        <v>1.4768</v>
      </c>
    </row>
    <row r="2435" customHeight="1" ht="15">
      <c r="A2435" s="2" t="inlineStr"/>
      <c r="B2435" s="2" t="inlineStr"/>
      <c r="C2435" s="2" t="inlineStr"/>
      <c r="D2435" s="2" t="inlineStr"/>
      <c r="E2435" s="26" t="inlineStr">
        <is>
          <r>
            <t xml:space="preserve">TOTAL Mão de Obra:</t>
          </r>
        </is>
      </c>
      <c r="F2435" s="26" t="inlineStr"/>
      <c r="G2435" s="31" t="n">
        <f>SUM(G2434:G2434)</f>
        <v>1.4768</v>
      </c>
    </row>
    <row r="2436" customHeight="1" ht="15">
      <c r="A2436" s="2" t="inlineStr"/>
      <c r="B2436" s="2" t="inlineStr"/>
      <c r="C2436" s="2" t="inlineStr"/>
      <c r="D2436" s="2" t="inlineStr"/>
      <c r="E2436" s="28" t="inlineStr">
        <is>
          <r>
            <t xml:space="preserve">VALOR:</t>
          </r>
        </is>
      </c>
      <c r="F2436" s="28" t="inlineStr"/>
      <c r="G2436" s="29" t="n">
        <f>ROUND(SUM(G2432,G2435),2)</f>
        <v>18.69</v>
      </c>
    </row>
    <row r="2437" customHeight="1" ht="15">
      <c r="A2437" s="2" t="inlineStr"/>
      <c r="B2437" s="2" t="inlineStr"/>
      <c r="C2437" s="2" t="inlineStr"/>
      <c r="D2437" s="2" t="inlineStr"/>
      <c r="E2437" s="28" t="inlineStr">
        <is>
          <r>
            <t xml:space="preserve">VALOR BDI:</t>
          </r>
        </is>
      </c>
      <c r="F2437" s="28" t="inlineStr"/>
      <c r="G2437" s="29" t="n">
        <f>ROUND(G2436*(0/100),2)</f>
        <v>0.0</v>
      </c>
    </row>
    <row r="2438" customHeight="1" ht="15">
      <c r="A2438" s="2" t="inlineStr"/>
      <c r="B2438" s="2" t="inlineStr"/>
      <c r="C2438" s="2" t="inlineStr"/>
      <c r="D2438" s="2" t="inlineStr"/>
      <c r="E2438" s="28" t="inlineStr">
        <is>
          <r>
            <t xml:space="preserve">VALOR COM BDI:</t>
          </r>
        </is>
      </c>
      <c r="F2438" s="28" t="inlineStr"/>
      <c r="G2438" s="29" t="n">
        <f>G2437+G2436</f>
        <v>18.69</v>
      </c>
    </row>
    <row r="2439" customHeight="1" ht="10">
      <c r="A2439" s="2" t="inlineStr"/>
      <c r="B2439" s="2" t="inlineStr"/>
      <c r="C2439" s="2" t="inlineStr"/>
      <c r="D2439" s="2" t="inlineStr"/>
      <c r="E2439" s="18" t="inlineStr"/>
      <c r="F2439" s="18" t="inlineStr"/>
      <c r="G2439" s="18" t="inlineStr"/>
    </row>
    <row r="2440" customHeight="1" ht="20">
      <c r="A2440" s="19" t="inlineStr">
        <is>
          <r>
            <t xml:space="preserve">​I0786​ VEÍCULO UTILITÁRIO KOMBI (CHP)​ (H)</t>
          </r>
        </is>
      </c>
      <c r="B2440" s="19" t="inlineStr"/>
      <c r="C2440" s="19" t="inlineStr"/>
      <c r="D2440" s="19" t="inlineStr"/>
      <c r="E2440" s="19" t="inlineStr"/>
      <c r="F2440" s="19" t="inlineStr"/>
      <c r="G2440" s="19" t="inlineStr"/>
    </row>
    <row r="2441" customHeight="1" ht="15">
      <c r="A2441" s="20" t="inlineStr">
        <is>
          <r>
            <t xml:space="preserve">Geral</t>
          </r>
        </is>
      </c>
      <c r="B2441" s="20" t="inlineStr"/>
      <c r="C2441" s="21" t="inlineStr">
        <is>
          <r>
            <t xml:space="preserve">FONTE</t>
          </r>
        </is>
      </c>
      <c r="D2441" s="21" t="inlineStr">
        <is>
          <r>
            <t xml:space="preserve">UNID</t>
          </r>
        </is>
      </c>
      <c r="E2441" s="21" t="inlineStr">
        <is>
          <r>
            <t xml:space="preserve">COEFICIENTE</t>
          </r>
        </is>
      </c>
      <c r="F2441" s="21" t="inlineStr">
        <is>
          <r>
            <t xml:space="preserve">PREÇO UNITÁRIO</t>
          </r>
        </is>
      </c>
      <c r="G2441" s="21" t="inlineStr">
        <is>
          <r>
            <t xml:space="preserve">TOTAL</t>
          </r>
        </is>
      </c>
    </row>
    <row r="2442" customHeight="1" ht="21">
      <c r="A2442" s="22" t="inlineStr">
        <is>
          <r>
            <t xml:space="preserve">I2856</t>
          </r>
        </is>
      </c>
      <c r="B2442" s="23" t="inlineStr">
        <is>
          <r>
            <t xml:space="preserve">MÃO DE OBRA DE OPERAÇÃO DO VEÍCULO UTILITÁRIO KOMBI</t>
          </r>
        </is>
      </c>
      <c r="C2442" s="22" t="inlineStr">
        <is>
          <r>
            <t xml:space="preserve">SEINFRA</t>
          </r>
        </is>
      </c>
      <c r="D2442" s="22" t="inlineStr">
        <is>
          <r>
            <t xml:space="preserve">H</t>
          </r>
        </is>
      </c>
      <c r="E2442" s="24" t="n">
        <v>1.0</v>
      </c>
      <c r="F2442" s="30" t="n">
        <v>18.83</v>
      </c>
      <c r="G2442" s="30" t="n">
        <f>ROUND(ROUND(E2442,8)*F2442,4)</f>
        <v>18.83</v>
      </c>
    </row>
    <row r="2443" customHeight="1" ht="15">
      <c r="A2443" s="22" t="inlineStr">
        <is>
          <r>
            <t xml:space="preserve">I2855</t>
          </r>
        </is>
      </c>
      <c r="B2443" s="23" t="inlineStr">
        <is>
          <r>
            <t xml:space="preserve">MATERIAL DE OPERAÇÃO DO VEÍCULO UTILITÁRIO KOMBI</t>
          </r>
        </is>
      </c>
      <c r="C2443" s="22" t="inlineStr">
        <is>
          <r>
            <t xml:space="preserve">SEINFRA</t>
          </r>
        </is>
      </c>
      <c r="D2443" s="22" t="inlineStr">
        <is>
          <r>
            <t xml:space="preserve">H</t>
          </r>
        </is>
      </c>
      <c r="E2443" s="24" t="n">
        <v>1.0</v>
      </c>
      <c r="F2443" s="30" t="n">
        <v>49.3674</v>
      </c>
      <c r="G2443" s="30" t="n">
        <f>ROUND(ROUND(E2443,8)*F2443,4)</f>
        <v>49.3674</v>
      </c>
    </row>
    <row r="2444" customHeight="1" ht="15">
      <c r="A2444" s="22" t="inlineStr">
        <is>
          <r>
            <t xml:space="preserve">I2701</t>
          </r>
        </is>
      </c>
      <c r="B2444" s="23" t="inlineStr">
        <is>
          <r>
            <t xml:space="preserve">DEPRECIAÇÃO</t>
          </r>
        </is>
      </c>
      <c r="C2444" s="22" t="inlineStr">
        <is>
          <r>
            <t xml:space="preserve">SEINFRA</t>
          </r>
        </is>
      </c>
      <c r="D2444" s="22" t="inlineStr">
        <is>
          <r>
            <t xml:space="preserve">H</t>
          </r>
        </is>
      </c>
      <c r="E2444" s="24" t="n">
        <v>4.372</v>
      </c>
      <c r="F2444" s="30" t="n">
        <v>1.0</v>
      </c>
      <c r="G2444" s="30" t="n">
        <f>ROUND(ROUND(E2444,8)*F2444,4)</f>
        <v>4.372</v>
      </c>
    </row>
    <row r="2445" customHeight="1" ht="15">
      <c r="A2445" s="22" t="inlineStr">
        <is>
          <r>
            <t xml:space="preserve">I2702</t>
          </r>
        </is>
      </c>
      <c r="B2445" s="23" t="inlineStr">
        <is>
          <r>
            <t xml:space="preserve">JUROS</t>
          </r>
        </is>
      </c>
      <c r="C2445" s="22" t="inlineStr">
        <is>
          <r>
            <t xml:space="preserve">SEINFRA</t>
          </r>
        </is>
      </c>
      <c r="D2445" s="22" t="inlineStr">
        <is>
          <r>
            <t xml:space="preserve">H</t>
          </r>
        </is>
      </c>
      <c r="E2445" s="24" t="n">
        <v>1.1476</v>
      </c>
      <c r="F2445" s="30" t="n">
        <v>1.0</v>
      </c>
      <c r="G2445" s="30" t="n">
        <f>ROUND(ROUND(E2445,8)*F2445,4)</f>
        <v>1.1476</v>
      </c>
    </row>
    <row r="2446" customHeight="1" ht="15">
      <c r="A2446" s="22" t="inlineStr">
        <is>
          <r>
            <t xml:space="preserve">I2703</t>
          </r>
        </is>
      </c>
      <c r="B2446" s="23" t="inlineStr">
        <is>
          <r>
            <t xml:space="preserve">MANUTENÇÃO</t>
          </r>
        </is>
      </c>
      <c r="C2446" s="22" t="inlineStr">
        <is>
          <r>
            <t xml:space="preserve">SEINFRA</t>
          </r>
        </is>
      </c>
      <c r="D2446" s="22" t="inlineStr">
        <is>
          <r>
            <t xml:space="preserve">H</t>
          </r>
        </is>
      </c>
      <c r="E2446" s="24" t="n">
        <v>4.372</v>
      </c>
      <c r="F2446" s="30" t="n">
        <v>1.0</v>
      </c>
      <c r="G2446" s="30" t="n">
        <f>ROUND(ROUND(E2446,8)*F2446,4)</f>
        <v>4.372</v>
      </c>
    </row>
    <row r="2447" customHeight="1" ht="15">
      <c r="A2447" s="2" t="inlineStr"/>
      <c r="B2447" s="2" t="inlineStr"/>
      <c r="C2447" s="2" t="inlineStr"/>
      <c r="D2447" s="2" t="inlineStr"/>
      <c r="E2447" s="26" t="inlineStr">
        <is>
          <r>
            <t xml:space="preserve">TOTAL Geral:</t>
          </r>
        </is>
      </c>
      <c r="F2447" s="26" t="inlineStr"/>
      <c r="G2447" s="31" t="n">
        <f>SUM(G2442:G2446)</f>
        <v>78.089</v>
      </c>
    </row>
    <row r="2448" customHeight="1" ht="15">
      <c r="A2448" s="2" t="inlineStr"/>
      <c r="B2448" s="2" t="inlineStr"/>
      <c r="C2448" s="2" t="inlineStr"/>
      <c r="D2448" s="2" t="inlineStr"/>
      <c r="E2448" s="28" t="inlineStr">
        <is>
          <r>
            <t xml:space="preserve">VALOR:</t>
          </r>
        </is>
      </c>
      <c r="F2448" s="28" t="inlineStr"/>
      <c r="G2448" s="29" t="n">
        <f>ROUND(SUM(G2447),2)</f>
        <v>78.09</v>
      </c>
    </row>
    <row r="2449" customHeight="1" ht="15">
      <c r="A2449" s="2" t="inlineStr"/>
      <c r="B2449" s="2" t="inlineStr"/>
      <c r="C2449" s="2" t="inlineStr"/>
      <c r="D2449" s="2" t="inlineStr"/>
      <c r="E2449" s="28" t="inlineStr">
        <is>
          <r>
            <t xml:space="preserve">VALOR BDI:</t>
          </r>
        </is>
      </c>
      <c r="F2449" s="28" t="inlineStr"/>
      <c r="G2449" s="29" t="n">
        <f>ROUND(G2448*(0/100),2)</f>
        <v>0.0</v>
      </c>
    </row>
    <row r="2450" customHeight="1" ht="15">
      <c r="A2450" s="2" t="inlineStr"/>
      <c r="B2450" s="2" t="inlineStr"/>
      <c r="C2450" s="2" t="inlineStr"/>
      <c r="D2450" s="2" t="inlineStr"/>
      <c r="E2450" s="28" t="inlineStr">
        <is>
          <r>
            <t xml:space="preserve">VALOR COM BDI:</t>
          </r>
        </is>
      </c>
      <c r="F2450" s="28" t="inlineStr"/>
      <c r="G2450" s="29" t="n">
        <f>G2449+G2448</f>
        <v>78.09</v>
      </c>
    </row>
    <row r="2451" customHeight="1" ht="10">
      <c r="A2451" s="2" t="inlineStr"/>
      <c r="B2451" s="2" t="inlineStr"/>
      <c r="C2451" s="2" t="inlineStr"/>
      <c r="D2451" s="2" t="inlineStr"/>
      <c r="E2451" s="18" t="inlineStr"/>
      <c r="F2451" s="18" t="inlineStr"/>
      <c r="G2451" s="18" t="inlineStr"/>
    </row>
    <row r="2452" customHeight="1" ht="20">
      <c r="A2452" s="19" t="inlineStr">
        <is>
          <r>
            <t xml:space="preserve">​I0788​ VIBRADOR DE IMERSÃO C/MOTOR ELÉTRICO (CHP)​ (H)</t>
          </r>
        </is>
      </c>
      <c r="B2452" s="19" t="inlineStr"/>
      <c r="C2452" s="19" t="inlineStr"/>
      <c r="D2452" s="19" t="inlineStr"/>
      <c r="E2452" s="19" t="inlineStr"/>
      <c r="F2452" s="19" t="inlineStr"/>
      <c r="G2452" s="19" t="inlineStr"/>
    </row>
    <row r="2453" customHeight="1" ht="15">
      <c r="A2453" s="20" t="inlineStr">
        <is>
          <r>
            <t xml:space="preserve">Geral</t>
          </r>
        </is>
      </c>
      <c r="B2453" s="20" t="inlineStr"/>
      <c r="C2453" s="21" t="inlineStr">
        <is>
          <r>
            <t xml:space="preserve">FONTE</t>
          </r>
        </is>
      </c>
      <c r="D2453" s="21" t="inlineStr">
        <is>
          <r>
            <t xml:space="preserve">UNID</t>
          </r>
        </is>
      </c>
      <c r="E2453" s="21" t="inlineStr">
        <is>
          <r>
            <t xml:space="preserve">COEFICIENTE</t>
          </r>
        </is>
      </c>
      <c r="F2453" s="21" t="inlineStr">
        <is>
          <r>
            <t xml:space="preserve">PREÇO UNITÁRIO</t>
          </r>
        </is>
      </c>
      <c r="G2453" s="21" t="inlineStr">
        <is>
          <r>
            <t xml:space="preserve">TOTAL</t>
          </r>
        </is>
      </c>
    </row>
    <row r="2454" customHeight="1" ht="15">
      <c r="A2454" s="22" t="inlineStr">
        <is>
          <r>
            <t xml:space="preserve">I2701</t>
          </r>
        </is>
      </c>
      <c r="B2454" s="23" t="inlineStr">
        <is>
          <r>
            <t xml:space="preserve">DEPRECIAÇÃO</t>
          </r>
        </is>
      </c>
      <c r="C2454" s="22" t="inlineStr">
        <is>
          <r>
            <t xml:space="preserve">SEINFRA</t>
          </r>
        </is>
      </c>
      <c r="D2454" s="22" t="inlineStr">
        <is>
          <r>
            <t xml:space="preserve">H</t>
          </r>
        </is>
      </c>
      <c r="E2454" s="24" t="n">
        <v>1.0383</v>
      </c>
      <c r="F2454" s="30" t="n">
        <v>1.0</v>
      </c>
      <c r="G2454" s="30" t="n">
        <f>ROUND(ROUND(E2454,8)*F2454,4)</f>
        <v>1.0383</v>
      </c>
    </row>
    <row r="2455" customHeight="1" ht="15">
      <c r="A2455" s="22" t="inlineStr">
        <is>
          <r>
            <t xml:space="preserve">I2702</t>
          </r>
        </is>
      </c>
      <c r="B2455" s="23" t="inlineStr">
        <is>
          <r>
            <t xml:space="preserve">JUROS</t>
          </r>
        </is>
      </c>
      <c r="C2455" s="22" t="inlineStr">
        <is>
          <r>
            <t xml:space="preserve">SEINFRA</t>
          </r>
        </is>
      </c>
      <c r="D2455" s="22" t="inlineStr">
        <is>
          <r>
            <t xml:space="preserve">H</t>
          </r>
        </is>
      </c>
      <c r="E2455" s="24" t="n">
        <v>0.1967</v>
      </c>
      <c r="F2455" s="30" t="n">
        <v>1.0</v>
      </c>
      <c r="G2455" s="30" t="n">
        <f>ROUND(ROUND(E2455,8)*F2455,4)</f>
        <v>0.1967</v>
      </c>
    </row>
    <row r="2456" customHeight="1" ht="15">
      <c r="A2456" s="22" t="inlineStr">
        <is>
          <r>
            <t xml:space="preserve">I2703</t>
          </r>
        </is>
      </c>
      <c r="B2456" s="23" t="inlineStr">
        <is>
          <r>
            <t xml:space="preserve">MANUTENÇÃO</t>
          </r>
        </is>
      </c>
      <c r="C2456" s="22" t="inlineStr">
        <is>
          <r>
            <t xml:space="preserve">SEINFRA</t>
          </r>
        </is>
      </c>
      <c r="D2456" s="22" t="inlineStr">
        <is>
          <r>
            <t xml:space="preserve">H</t>
          </r>
        </is>
      </c>
      <c r="E2456" s="24" t="n">
        <v>0.5465</v>
      </c>
      <c r="F2456" s="30" t="n">
        <v>1.0</v>
      </c>
      <c r="G2456" s="30" t="n">
        <f>ROUND(ROUND(E2456,8)*F2456,4)</f>
        <v>0.5465</v>
      </c>
    </row>
    <row r="2457" customHeight="1" ht="15">
      <c r="A2457" s="2" t="inlineStr"/>
      <c r="B2457" s="2" t="inlineStr"/>
      <c r="C2457" s="2" t="inlineStr"/>
      <c r="D2457" s="2" t="inlineStr"/>
      <c r="E2457" s="26" t="inlineStr">
        <is>
          <r>
            <t xml:space="preserve">TOTAL Geral:</t>
          </r>
        </is>
      </c>
      <c r="F2457" s="26" t="inlineStr"/>
      <c r="G2457" s="31" t="n">
        <f>SUM(G2454:G2456)</f>
        <v>1.7815</v>
      </c>
    </row>
    <row r="2458" customHeight="1" ht="15">
      <c r="A2458" s="2" t="inlineStr"/>
      <c r="B2458" s="2" t="inlineStr"/>
      <c r="C2458" s="2" t="inlineStr"/>
      <c r="D2458" s="2" t="inlineStr"/>
      <c r="E2458" s="28" t="inlineStr">
        <is>
          <r>
            <t xml:space="preserve">VALOR:</t>
          </r>
        </is>
      </c>
      <c r="F2458" s="28" t="inlineStr"/>
      <c r="G2458" s="29" t="n">
        <f>ROUND(SUM(G2457),2)</f>
        <v>1.78</v>
      </c>
    </row>
    <row r="2459" customHeight="1" ht="15">
      <c r="A2459" s="2" t="inlineStr"/>
      <c r="B2459" s="2" t="inlineStr"/>
      <c r="C2459" s="2" t="inlineStr"/>
      <c r="D2459" s="2" t="inlineStr"/>
      <c r="E2459" s="28" t="inlineStr">
        <is>
          <r>
            <t xml:space="preserve">VALOR BDI:</t>
          </r>
        </is>
      </c>
      <c r="F2459" s="28" t="inlineStr"/>
      <c r="G2459" s="29" t="n">
        <f>ROUND(G2458*(0/100),2)</f>
        <v>0.0</v>
      </c>
    </row>
    <row r="2460" customHeight="1" ht="15">
      <c r="A2460" s="2" t="inlineStr"/>
      <c r="B2460" s="2" t="inlineStr"/>
      <c r="C2460" s="2" t="inlineStr"/>
      <c r="D2460" s="2" t="inlineStr"/>
      <c r="E2460" s="28" t="inlineStr">
        <is>
          <r>
            <t xml:space="preserve">VALOR COM BDI:</t>
          </r>
        </is>
      </c>
      <c r="F2460" s="28" t="inlineStr"/>
      <c r="G2460" s="29" t="n">
        <f>G2459+G2458</f>
        <v>1.78</v>
      </c>
    </row>
    <row r="2461" customHeight="1" ht="10">
      <c r="A2461" s="2" t="inlineStr"/>
      <c r="B2461" s="2" t="inlineStr"/>
      <c r="C2461" s="2" t="inlineStr"/>
      <c r="D2461" s="2" t="inlineStr"/>
      <c r="E2461" s="18" t="inlineStr"/>
      <c r="F2461" s="18" t="inlineStr"/>
      <c r="G2461" s="18" t="inlineStr"/>
    </row>
    <row r="2462" customHeight="1" ht="20">
      <c r="A2462" s="19" t="inlineStr">
        <is>
          <r>
            <t xml:space="preserve">​90587​ VIBRADOR DE IMERSÃO, DIÂMETRO DE PONTEIRA 45MM, MOTOR ELÉTRICO TRIFÁSICO POTÊNCIA DE 2 CV - CHI DIURNO. AF_06/2015​ (CHI)</t>
          </r>
        </is>
      </c>
      <c r="B2462" s="19" t="inlineStr"/>
      <c r="C2462" s="19" t="inlineStr"/>
      <c r="D2462" s="19" t="inlineStr"/>
      <c r="E2462" s="19" t="inlineStr"/>
      <c r="F2462" s="19" t="inlineStr"/>
      <c r="G2462" s="19" t="inlineStr"/>
    </row>
    <row r="2463" customHeight="1" ht="15">
      <c r="A2463" s="20" t="inlineStr">
        <is>
          <r>
            <t xml:space="preserve">Serviço</t>
          </r>
        </is>
      </c>
      <c r="B2463" s="20" t="inlineStr"/>
      <c r="C2463" s="21" t="inlineStr">
        <is>
          <r>
            <t xml:space="preserve">FONTE</t>
          </r>
        </is>
      </c>
      <c r="D2463" s="21" t="inlineStr">
        <is>
          <r>
            <t xml:space="preserve">UNID</t>
          </r>
        </is>
      </c>
      <c r="E2463" s="21" t="inlineStr">
        <is>
          <r>
            <t xml:space="preserve">COEFICIENTE</t>
          </r>
        </is>
      </c>
      <c r="F2463" s="21" t="inlineStr">
        <is>
          <r>
            <t xml:space="preserve">PREÇO UNITÁRIO</t>
          </r>
        </is>
      </c>
      <c r="G2463" s="21" t="inlineStr">
        <is>
          <r>
            <t xml:space="preserve">TOTAL</t>
          </r>
        </is>
      </c>
    </row>
    <row r="2464" customHeight="1" ht="29">
      <c r="A2464" s="22" t="inlineStr">
        <is>
          <r>
            <t xml:space="preserve">90582</t>
          </r>
        </is>
      </c>
      <c r="B2464" s="23" t="inlineStr">
        <is>
          <r>
            <t xml:space="preserve">VIBRADOR DE IMERSÃO, DIÂMETRO DE PONTEIRA 45MM, MOTOR ELÉTRICO TRIFÁSICO POTÊNCIA DE 2 CV - DEPRECIAÇÃO. AF_06/2015</t>
          </r>
        </is>
      </c>
      <c r="C2464" s="22" t="inlineStr">
        <is>
          <r>
            <t xml:space="preserve">SINAPI</t>
          </r>
        </is>
      </c>
      <c r="D2464" s="22" t="inlineStr">
        <is>
          <r>
            <t xml:space="preserve">H</t>
          </r>
        </is>
      </c>
      <c r="E2464" s="24" t="n">
        <v>1.0</v>
      </c>
      <c r="F2464" s="25" t="n">
        <v>0.46</v>
      </c>
      <c r="G2464" s="25" t="n">
        <f>TRUNC(TRUNC(E2464,8)*F2464,2)</f>
        <v>0.46</v>
      </c>
    </row>
    <row r="2465" customHeight="1" ht="29">
      <c r="A2465" s="22" t="inlineStr">
        <is>
          <r>
            <t xml:space="preserve">90583</t>
          </r>
        </is>
      </c>
      <c r="B2465" s="23" t="inlineStr">
        <is>
          <r>
            <t xml:space="preserve">VIBRADOR DE IMERSÃO, DIÂMETRO DE PONTEIRA 45MM, MOTOR ELÉTRICO TRIFÁSICO POTÊNCIA DE 2 CV - JUROS. AF_06/2015</t>
          </r>
        </is>
      </c>
      <c r="C2465" s="22" t="inlineStr">
        <is>
          <r>
            <t xml:space="preserve">SINAPI</t>
          </r>
        </is>
      </c>
      <c r="D2465" s="22" t="inlineStr">
        <is>
          <r>
            <t xml:space="preserve">H</t>
          </r>
        </is>
      </c>
      <c r="E2465" s="24" t="n">
        <v>1.0</v>
      </c>
      <c r="F2465" s="25" t="n">
        <v>0.1</v>
      </c>
      <c r="G2465" s="25" t="n">
        <f>TRUNC(TRUNC(E2465,8)*F2465,2)</f>
        <v>0.1</v>
      </c>
    </row>
    <row r="2466" customHeight="1" ht="15">
      <c r="A2466" s="2" t="inlineStr"/>
      <c r="B2466" s="2" t="inlineStr"/>
      <c r="C2466" s="2" t="inlineStr"/>
      <c r="D2466" s="2" t="inlineStr"/>
      <c r="E2466" s="26" t="inlineStr">
        <is>
          <r>
            <t xml:space="preserve">TOTAL Serviço:</t>
          </r>
        </is>
      </c>
      <c r="F2466" s="26" t="inlineStr"/>
      <c r="G2466" s="27" t="n">
        <f>SUM(G2464:G2465)</f>
        <v>0.56</v>
      </c>
    </row>
    <row r="2467" customHeight="1" ht="15">
      <c r="A2467" s="2" t="inlineStr"/>
      <c r="B2467" s="2" t="inlineStr"/>
      <c r="C2467" s="2" t="inlineStr"/>
      <c r="D2467" s="2" t="inlineStr"/>
      <c r="E2467" s="28" t="inlineStr">
        <is>
          <r>
            <t xml:space="preserve">VALOR:</t>
          </r>
        </is>
      </c>
      <c r="F2467" s="28" t="inlineStr"/>
      <c r="G2467" s="29" t="n">
        <f>ROUND(SUM(G2466),2)</f>
        <v>0.56</v>
      </c>
    </row>
    <row r="2468" customHeight="1" ht="15">
      <c r="A2468" s="2" t="inlineStr"/>
      <c r="B2468" s="2" t="inlineStr"/>
      <c r="C2468" s="2" t="inlineStr"/>
      <c r="D2468" s="2" t="inlineStr"/>
      <c r="E2468" s="28" t="inlineStr">
        <is>
          <r>
            <t xml:space="preserve">VALOR BDI:</t>
          </r>
        </is>
      </c>
      <c r="F2468" s="28" t="inlineStr"/>
      <c r="G2468" s="29" t="n">
        <f>ROUND(G2467*(0/100),2)</f>
        <v>0.0</v>
      </c>
    </row>
    <row r="2469" customHeight="1" ht="15">
      <c r="A2469" s="2" t="inlineStr"/>
      <c r="B2469" s="2" t="inlineStr"/>
      <c r="C2469" s="2" t="inlineStr"/>
      <c r="D2469" s="2" t="inlineStr"/>
      <c r="E2469" s="28" t="inlineStr">
        <is>
          <r>
            <t xml:space="preserve">VALOR COM BDI:</t>
          </r>
        </is>
      </c>
      <c r="F2469" s="28" t="inlineStr"/>
      <c r="G2469" s="29" t="n">
        <f>G2468+G2467</f>
        <v>0.56</v>
      </c>
    </row>
    <row r="2470" customHeight="1" ht="10">
      <c r="A2470" s="2" t="inlineStr"/>
      <c r="B2470" s="2" t="inlineStr"/>
      <c r="C2470" s="2" t="inlineStr"/>
      <c r="D2470" s="2" t="inlineStr"/>
      <c r="E2470" s="18" t="inlineStr"/>
      <c r="F2470" s="18" t="inlineStr"/>
      <c r="G2470" s="18" t="inlineStr"/>
    </row>
    <row r="2471" customHeight="1" ht="20">
      <c r="A2471" s="19" t="inlineStr">
        <is>
          <r>
            <t xml:space="preserve">​90586​ VIBRADOR DE IMERSÃO, DIÂMETRO DE PONTEIRA 45MM, MOTOR ELÉTRICO TRIFÁSICO POTÊNCIA DE 2 CV - CHP DIURNO. AF_06/2015​ (CHP)</t>
          </r>
        </is>
      </c>
      <c r="B2471" s="19" t="inlineStr"/>
      <c r="C2471" s="19" t="inlineStr"/>
      <c r="D2471" s="19" t="inlineStr"/>
      <c r="E2471" s="19" t="inlineStr"/>
      <c r="F2471" s="19" t="inlineStr"/>
      <c r="G2471" s="19" t="inlineStr"/>
    </row>
    <row r="2472" customHeight="1" ht="15">
      <c r="A2472" s="20" t="inlineStr">
        <is>
          <r>
            <t xml:space="preserve">Serviço</t>
          </r>
        </is>
      </c>
      <c r="B2472" s="20" t="inlineStr"/>
      <c r="C2472" s="21" t="inlineStr">
        <is>
          <r>
            <t xml:space="preserve">FONTE</t>
          </r>
        </is>
      </c>
      <c r="D2472" s="21" t="inlineStr">
        <is>
          <r>
            <t xml:space="preserve">UNID</t>
          </r>
        </is>
      </c>
      <c r="E2472" s="21" t="inlineStr">
        <is>
          <r>
            <t xml:space="preserve">COEFICIENTE</t>
          </r>
        </is>
      </c>
      <c r="F2472" s="21" t="inlineStr">
        <is>
          <r>
            <t xml:space="preserve">PREÇO UNITÁRIO</t>
          </r>
        </is>
      </c>
      <c r="G2472" s="21" t="inlineStr">
        <is>
          <r>
            <t xml:space="preserve">TOTAL</t>
          </r>
        </is>
      </c>
    </row>
    <row r="2473" customHeight="1" ht="29">
      <c r="A2473" s="22" t="inlineStr">
        <is>
          <r>
            <t xml:space="preserve">90582</t>
          </r>
        </is>
      </c>
      <c r="B2473" s="23" t="inlineStr">
        <is>
          <r>
            <t xml:space="preserve">VIBRADOR DE IMERSÃO, DIÂMETRO DE PONTEIRA 45MM, MOTOR ELÉTRICO TRIFÁSICO POTÊNCIA DE 2 CV - DEPRECIAÇÃO. AF_06/2015</t>
          </r>
        </is>
      </c>
      <c r="C2473" s="22" t="inlineStr">
        <is>
          <r>
            <t xml:space="preserve">SINAPI</t>
          </r>
        </is>
      </c>
      <c r="D2473" s="22" t="inlineStr">
        <is>
          <r>
            <t xml:space="preserve">H</t>
          </r>
        </is>
      </c>
      <c r="E2473" s="24" t="n">
        <v>1.0</v>
      </c>
      <c r="F2473" s="25" t="n">
        <v>0.46</v>
      </c>
      <c r="G2473" s="25" t="n">
        <f>TRUNC(TRUNC(E2473,8)*F2473,2)</f>
        <v>0.46</v>
      </c>
    </row>
    <row r="2474" customHeight="1" ht="29">
      <c r="A2474" s="22" t="inlineStr">
        <is>
          <r>
            <t xml:space="preserve">90583</t>
          </r>
        </is>
      </c>
      <c r="B2474" s="23" t="inlineStr">
        <is>
          <r>
            <t xml:space="preserve">VIBRADOR DE IMERSÃO, DIÂMETRO DE PONTEIRA 45MM, MOTOR ELÉTRICO TRIFÁSICO POTÊNCIA DE 2 CV - JUROS. AF_06/2015</t>
          </r>
        </is>
      </c>
      <c r="C2474" s="22" t="inlineStr">
        <is>
          <r>
            <t xml:space="preserve">SINAPI</t>
          </r>
        </is>
      </c>
      <c r="D2474" s="22" t="inlineStr">
        <is>
          <r>
            <t xml:space="preserve">H</t>
          </r>
        </is>
      </c>
      <c r="E2474" s="24" t="n">
        <v>1.0</v>
      </c>
      <c r="F2474" s="25" t="n">
        <v>0.1</v>
      </c>
      <c r="G2474" s="25" t="n">
        <f>TRUNC(TRUNC(E2474,8)*F2474,2)</f>
        <v>0.1</v>
      </c>
    </row>
    <row r="2475" customHeight="1" ht="29">
      <c r="A2475" s="22" t="inlineStr">
        <is>
          <r>
            <t xml:space="preserve">90584</t>
          </r>
        </is>
      </c>
      <c r="B2475" s="23" t="inlineStr">
        <is>
          <r>
            <t xml:space="preserve">VIBRADOR DE IMERSÃO, DIÂMETRO DE PONTEIRA 45MM, MOTOR ELÉTRICO TRIFÁSICO POTÊNCIA DE 2 CV - MANUTENÇÃO. AF_06/2015</t>
          </r>
        </is>
      </c>
      <c r="C2475" s="22" t="inlineStr">
        <is>
          <r>
            <t xml:space="preserve">SINAPI</t>
          </r>
        </is>
      </c>
      <c r="D2475" s="22" t="inlineStr">
        <is>
          <r>
            <t xml:space="preserve">H</t>
          </r>
        </is>
      </c>
      <c r="E2475" s="24" t="n">
        <v>1.0</v>
      </c>
      <c r="F2475" s="25" t="n">
        <v>0.36</v>
      </c>
      <c r="G2475" s="25" t="n">
        <f>TRUNC(TRUNC(E2475,8)*F2475,2)</f>
        <v>0.36</v>
      </c>
    </row>
    <row r="2476" customHeight="1" ht="29">
      <c r="A2476" s="22" t="inlineStr">
        <is>
          <r>
            <t xml:space="preserve">90585</t>
          </r>
        </is>
      </c>
      <c r="B2476" s="23" t="inlineStr">
        <is>
          <r>
            <t xml:space="preserve">VIBRADOR DE IMERSÃO, DIÂMETRO DE PONTEIRA 45MM, MOTOR ELÉTRICO TRIFÁSICO POTÊNCIA DE 2 CV - MATERIAIS NA OPERAÇÃO. AF_06/2015</t>
          </r>
        </is>
      </c>
      <c r="C2476" s="22" t="inlineStr">
        <is>
          <r>
            <t xml:space="preserve">SINAPI</t>
          </r>
        </is>
      </c>
      <c r="D2476" s="22" t="inlineStr">
        <is>
          <r>
            <t xml:space="preserve">H</t>
          </r>
        </is>
      </c>
      <c r="E2476" s="24" t="n">
        <v>1.0</v>
      </c>
      <c r="F2476" s="25" t="n">
        <v>0.53</v>
      </c>
      <c r="G2476" s="25" t="n">
        <f>TRUNC(TRUNC(E2476,8)*F2476,2)</f>
        <v>0.53</v>
      </c>
    </row>
    <row r="2477" customHeight="1" ht="15">
      <c r="A2477" s="2" t="inlineStr"/>
      <c r="B2477" s="2" t="inlineStr"/>
      <c r="C2477" s="2" t="inlineStr"/>
      <c r="D2477" s="2" t="inlineStr"/>
      <c r="E2477" s="26" t="inlineStr">
        <is>
          <r>
            <t xml:space="preserve">TOTAL Serviço:</t>
          </r>
        </is>
      </c>
      <c r="F2477" s="26" t="inlineStr"/>
      <c r="G2477" s="27" t="n">
        <f>SUM(G2473:G2476)</f>
        <v>1.45</v>
      </c>
    </row>
    <row r="2478" customHeight="1" ht="15">
      <c r="A2478" s="2" t="inlineStr"/>
      <c r="B2478" s="2" t="inlineStr"/>
      <c r="C2478" s="2" t="inlineStr"/>
      <c r="D2478" s="2" t="inlineStr"/>
      <c r="E2478" s="28" t="inlineStr">
        <is>
          <r>
            <t xml:space="preserve">VALOR:</t>
          </r>
        </is>
      </c>
      <c r="F2478" s="28" t="inlineStr"/>
      <c r="G2478" s="29" t="n">
        <f>ROUND(SUM(G2477),2)</f>
        <v>1.45</v>
      </c>
    </row>
    <row r="2479" customHeight="1" ht="15">
      <c r="A2479" s="2" t="inlineStr"/>
      <c r="B2479" s="2" t="inlineStr"/>
      <c r="C2479" s="2" t="inlineStr"/>
      <c r="D2479" s="2" t="inlineStr"/>
      <c r="E2479" s="28" t="inlineStr">
        <is>
          <r>
            <t xml:space="preserve">VALOR BDI:</t>
          </r>
        </is>
      </c>
      <c r="F2479" s="28" t="inlineStr"/>
      <c r="G2479" s="29" t="n">
        <f>ROUND(G2478*(0/100),2)</f>
        <v>0.0</v>
      </c>
    </row>
    <row r="2480" customHeight="1" ht="15">
      <c r="A2480" s="2" t="inlineStr"/>
      <c r="B2480" s="2" t="inlineStr"/>
      <c r="C2480" s="2" t="inlineStr"/>
      <c r="D2480" s="2" t="inlineStr"/>
      <c r="E2480" s="28" t="inlineStr">
        <is>
          <r>
            <t xml:space="preserve">VALOR COM BDI:</t>
          </r>
        </is>
      </c>
      <c r="F2480" s="28" t="inlineStr"/>
      <c r="G2480" s="29" t="n">
        <f>G2479+G2478</f>
        <v>1.45</v>
      </c>
    </row>
    <row r="2481" customHeight="1" ht="10">
      <c r="A2481" s="2" t="inlineStr"/>
      <c r="B2481" s="2" t="inlineStr"/>
      <c r="C2481" s="2" t="inlineStr"/>
      <c r="D2481" s="2" t="inlineStr"/>
      <c r="E2481" s="18" t="inlineStr"/>
      <c r="F2481" s="18" t="inlineStr"/>
      <c r="G2481" s="18" t="inlineStr"/>
    </row>
    <row r="2482" customHeight="1" ht="20">
      <c r="A2482" s="19" t="inlineStr">
        <is>
          <r>
            <t xml:space="preserve">​90582​ VIBRADOR DE IMERSÃO, DIÂMETRO DE PONTEIRA 45MM, MOTOR ELÉTRICO TRIFÁSICO POTÊNCIA DE 2 CV - DEPRECIAÇÃO. AF_06/2015​ (H)</t>
          </r>
        </is>
      </c>
      <c r="B2482" s="19" t="inlineStr"/>
      <c r="C2482" s="19" t="inlineStr"/>
      <c r="D2482" s="19" t="inlineStr"/>
      <c r="E2482" s="19" t="inlineStr"/>
      <c r="F2482" s="19" t="inlineStr"/>
      <c r="G2482" s="19" t="inlineStr"/>
    </row>
    <row r="2483" customHeight="1" ht="15">
      <c r="A2483" s="20" t="inlineStr">
        <is>
          <r>
            <t xml:space="preserve">Equipamento</t>
          </r>
        </is>
      </c>
      <c r="B2483" s="20" t="inlineStr"/>
      <c r="C2483" s="21" t="inlineStr">
        <is>
          <r>
            <t xml:space="preserve">FONTE</t>
          </r>
        </is>
      </c>
      <c r="D2483" s="21" t="inlineStr">
        <is>
          <r>
            <t xml:space="preserve">UNID</t>
          </r>
        </is>
      </c>
      <c r="E2483" s="21" t="inlineStr">
        <is>
          <r>
            <t xml:space="preserve">COEFICIENTE</t>
          </r>
        </is>
      </c>
      <c r="F2483" s="21" t="inlineStr">
        <is>
          <r>
            <t xml:space="preserve">PREÇO UNITÁRIO</t>
          </r>
        </is>
      </c>
      <c r="G2483" s="21" t="inlineStr">
        <is>
          <r>
            <t xml:space="preserve">TOTAL</t>
          </r>
        </is>
      </c>
    </row>
    <row r="2484" customHeight="1" ht="21">
      <c r="A2484" s="22" t="inlineStr">
        <is>
          <r>
            <t xml:space="preserve">00013896</t>
          </r>
        </is>
      </c>
      <c r="B2484" s="23" t="inlineStr">
        <is>
          <r>
            <t xml:space="preserve">VIBRADOR DE IMERSAO, DIAMETRO DA PONTEIRA DE *45* MM, COM MOTOR ELETRICO TRIFASICO DE 2 HP (2 CV)</t>
          </r>
        </is>
      </c>
      <c r="C2484" s="22" t="inlineStr">
        <is>
          <r>
            <t xml:space="preserve">SINAPI</t>
          </r>
        </is>
      </c>
      <c r="D2484" s="22" t="inlineStr">
        <is>
          <r>
            <t xml:space="preserve">UN</t>
          </r>
        </is>
      </c>
      <c r="E2484" s="24" t="n">
        <v>1.28E-4</v>
      </c>
      <c r="F2484" s="25" t="n">
        <v>3626.47</v>
      </c>
      <c r="G2484" s="25" t="n">
        <f>TRUNC(TRUNC(E2484,8)*F2484,2)</f>
        <v>0.46</v>
      </c>
    </row>
    <row r="2485" customHeight="1" ht="15">
      <c r="A2485" s="2" t="inlineStr"/>
      <c r="B2485" s="2" t="inlineStr"/>
      <c r="C2485" s="2" t="inlineStr"/>
      <c r="D2485" s="2" t="inlineStr"/>
      <c r="E2485" s="26" t="inlineStr">
        <is>
          <r>
            <t xml:space="preserve">TOTAL Equipamento:</t>
          </r>
        </is>
      </c>
      <c r="F2485" s="26" t="inlineStr"/>
      <c r="G2485" s="27" t="n">
        <f>SUM(G2484:G2484)</f>
        <v>0.46</v>
      </c>
    </row>
    <row r="2486" customHeight="1" ht="15">
      <c r="A2486" s="2" t="inlineStr"/>
      <c r="B2486" s="2" t="inlineStr"/>
      <c r="C2486" s="2" t="inlineStr"/>
      <c r="D2486" s="2" t="inlineStr"/>
      <c r="E2486" s="28" t="inlineStr">
        <is>
          <r>
            <t xml:space="preserve">VALOR:</t>
          </r>
        </is>
      </c>
      <c r="F2486" s="28" t="inlineStr"/>
      <c r="G2486" s="29" t="n">
        <f>ROUND(SUM(G2485),2)</f>
        <v>0.46</v>
      </c>
    </row>
    <row r="2487" customHeight="1" ht="15">
      <c r="A2487" s="2" t="inlineStr"/>
      <c r="B2487" s="2" t="inlineStr"/>
      <c r="C2487" s="2" t="inlineStr"/>
      <c r="D2487" s="2" t="inlineStr"/>
      <c r="E2487" s="28" t="inlineStr">
        <is>
          <r>
            <t xml:space="preserve">VALOR BDI:</t>
          </r>
        </is>
      </c>
      <c r="F2487" s="28" t="inlineStr"/>
      <c r="G2487" s="29" t="n">
        <f>ROUND(G2486*(0/100),2)</f>
        <v>0.0</v>
      </c>
    </row>
    <row r="2488" customHeight="1" ht="15">
      <c r="A2488" s="2" t="inlineStr"/>
      <c r="B2488" s="2" t="inlineStr"/>
      <c r="C2488" s="2" t="inlineStr"/>
      <c r="D2488" s="2" t="inlineStr"/>
      <c r="E2488" s="28" t="inlineStr">
        <is>
          <r>
            <t xml:space="preserve">VALOR COM BDI:</t>
          </r>
        </is>
      </c>
      <c r="F2488" s="28" t="inlineStr"/>
      <c r="G2488" s="29" t="n">
        <f>G2487+G2486</f>
        <v>0.46</v>
      </c>
    </row>
    <row r="2489" customHeight="1" ht="10">
      <c r="A2489" s="2" t="inlineStr"/>
      <c r="B2489" s="2" t="inlineStr"/>
      <c r="C2489" s="2" t="inlineStr"/>
      <c r="D2489" s="2" t="inlineStr"/>
      <c r="E2489" s="18" t="inlineStr"/>
      <c r="F2489" s="18" t="inlineStr"/>
      <c r="G2489" s="18" t="inlineStr"/>
    </row>
    <row r="2490" customHeight="1" ht="20">
      <c r="A2490" s="19" t="inlineStr">
        <is>
          <r>
            <t xml:space="preserve">​90583​ VIBRADOR DE IMERSÃO, DIÂMETRO DE PONTEIRA 45MM, MOTOR ELÉTRICO TRIFÁSICO POTÊNCIA DE 2 CV - JUROS. AF_06/2015​ (H)</t>
          </r>
        </is>
      </c>
      <c r="B2490" s="19" t="inlineStr"/>
      <c r="C2490" s="19" t="inlineStr"/>
      <c r="D2490" s="19" t="inlineStr"/>
      <c r="E2490" s="19" t="inlineStr"/>
      <c r="F2490" s="19" t="inlineStr"/>
      <c r="G2490" s="19" t="inlineStr"/>
    </row>
    <row r="2491" customHeight="1" ht="15">
      <c r="A2491" s="20" t="inlineStr">
        <is>
          <r>
            <t xml:space="preserve">Equipamento</t>
          </r>
        </is>
      </c>
      <c r="B2491" s="20" t="inlineStr"/>
      <c r="C2491" s="21" t="inlineStr">
        <is>
          <r>
            <t xml:space="preserve">FONTE</t>
          </r>
        </is>
      </c>
      <c r="D2491" s="21" t="inlineStr">
        <is>
          <r>
            <t xml:space="preserve">UNID</t>
          </r>
        </is>
      </c>
      <c r="E2491" s="21" t="inlineStr">
        <is>
          <r>
            <t xml:space="preserve">COEFICIENTE</t>
          </r>
        </is>
      </c>
      <c r="F2491" s="21" t="inlineStr">
        <is>
          <r>
            <t xml:space="preserve">PREÇO UNITÁRIO</t>
          </r>
        </is>
      </c>
      <c r="G2491" s="21" t="inlineStr">
        <is>
          <r>
            <t xml:space="preserve">TOTAL</t>
          </r>
        </is>
      </c>
    </row>
    <row r="2492" customHeight="1" ht="21">
      <c r="A2492" s="22" t="inlineStr">
        <is>
          <r>
            <t xml:space="preserve">00013896</t>
          </r>
        </is>
      </c>
      <c r="B2492" s="23" t="inlineStr">
        <is>
          <r>
            <t xml:space="preserve">VIBRADOR DE IMERSAO, DIAMETRO DA PONTEIRA DE *45* MM, COM MOTOR ELETRICO TRIFASICO DE 2 HP (2 CV)</t>
          </r>
        </is>
      </c>
      <c r="C2492" s="22" t="inlineStr">
        <is>
          <r>
            <t xml:space="preserve">SINAPI</t>
          </r>
        </is>
      </c>
      <c r="D2492" s="22" t="inlineStr">
        <is>
          <r>
            <t xml:space="preserve">UN</t>
          </r>
        </is>
      </c>
      <c r="E2492" s="24" t="n">
        <v>2.96E-5</v>
      </c>
      <c r="F2492" s="25" t="n">
        <v>3626.47</v>
      </c>
      <c r="G2492" s="25" t="n">
        <f>TRUNC(TRUNC(E2492,8)*F2492,2)</f>
        <v>0.1</v>
      </c>
    </row>
    <row r="2493" customHeight="1" ht="15">
      <c r="A2493" s="2" t="inlineStr"/>
      <c r="B2493" s="2" t="inlineStr"/>
      <c r="C2493" s="2" t="inlineStr"/>
      <c r="D2493" s="2" t="inlineStr"/>
      <c r="E2493" s="26" t="inlineStr">
        <is>
          <r>
            <t xml:space="preserve">TOTAL Equipamento:</t>
          </r>
        </is>
      </c>
      <c r="F2493" s="26" t="inlineStr"/>
      <c r="G2493" s="27" t="n">
        <f>SUM(G2492:G2492)</f>
        <v>0.1</v>
      </c>
    </row>
    <row r="2494" customHeight="1" ht="15">
      <c r="A2494" s="2" t="inlineStr"/>
      <c r="B2494" s="2" t="inlineStr"/>
      <c r="C2494" s="2" t="inlineStr"/>
      <c r="D2494" s="2" t="inlineStr"/>
      <c r="E2494" s="28" t="inlineStr">
        <is>
          <r>
            <t xml:space="preserve">VALOR:</t>
          </r>
        </is>
      </c>
      <c r="F2494" s="28" t="inlineStr"/>
      <c r="G2494" s="29" t="n">
        <f>ROUND(SUM(G2493),2)</f>
        <v>0.1</v>
      </c>
    </row>
    <row r="2495" customHeight="1" ht="15">
      <c r="A2495" s="2" t="inlineStr"/>
      <c r="B2495" s="2" t="inlineStr"/>
      <c r="C2495" s="2" t="inlineStr"/>
      <c r="D2495" s="2" t="inlineStr"/>
      <c r="E2495" s="28" t="inlineStr">
        <is>
          <r>
            <t xml:space="preserve">VALOR BDI:</t>
          </r>
        </is>
      </c>
      <c r="F2495" s="28" t="inlineStr"/>
      <c r="G2495" s="29" t="n">
        <f>ROUND(G2494*(0/100),2)</f>
        <v>0.0</v>
      </c>
    </row>
    <row r="2496" customHeight="1" ht="15">
      <c r="A2496" s="2" t="inlineStr"/>
      <c r="B2496" s="2" t="inlineStr"/>
      <c r="C2496" s="2" t="inlineStr"/>
      <c r="D2496" s="2" t="inlineStr"/>
      <c r="E2496" s="28" t="inlineStr">
        <is>
          <r>
            <t xml:space="preserve">VALOR COM BDI:</t>
          </r>
        </is>
      </c>
      <c r="F2496" s="28" t="inlineStr"/>
      <c r="G2496" s="29" t="n">
        <f>G2495+G2494</f>
        <v>0.1</v>
      </c>
    </row>
    <row r="2497" customHeight="1" ht="10">
      <c r="A2497" s="2" t="inlineStr"/>
      <c r="B2497" s="2" t="inlineStr"/>
      <c r="C2497" s="2" t="inlineStr"/>
      <c r="D2497" s="2" t="inlineStr"/>
      <c r="E2497" s="18" t="inlineStr"/>
      <c r="F2497" s="18" t="inlineStr"/>
      <c r="G2497" s="18" t="inlineStr"/>
    </row>
    <row r="2498" customHeight="1" ht="20">
      <c r="A2498" s="19" t="inlineStr">
        <is>
          <r>
            <t xml:space="preserve">​90584​ VIBRADOR DE IMERSÃO, DIÂMETRO DE PONTEIRA 45MM, MOTOR ELÉTRICO TRIFÁSICO POTÊNCIA DE 2 CV - MANUTENÇÃO. AF_06/2015​ (H)</t>
          </r>
        </is>
      </c>
      <c r="B2498" s="19" t="inlineStr"/>
      <c r="C2498" s="19" t="inlineStr"/>
      <c r="D2498" s="19" t="inlineStr"/>
      <c r="E2498" s="19" t="inlineStr"/>
      <c r="F2498" s="19" t="inlineStr"/>
      <c r="G2498" s="19" t="inlineStr"/>
    </row>
    <row r="2499" customHeight="1" ht="15">
      <c r="A2499" s="20" t="inlineStr">
        <is>
          <r>
            <t xml:space="preserve">Equipamento</t>
          </r>
        </is>
      </c>
      <c r="B2499" s="20" t="inlineStr"/>
      <c r="C2499" s="21" t="inlineStr">
        <is>
          <r>
            <t xml:space="preserve">FONTE</t>
          </r>
        </is>
      </c>
      <c r="D2499" s="21" t="inlineStr">
        <is>
          <r>
            <t xml:space="preserve">UNID</t>
          </r>
        </is>
      </c>
      <c r="E2499" s="21" t="inlineStr">
        <is>
          <r>
            <t xml:space="preserve">COEFICIENTE</t>
          </r>
        </is>
      </c>
      <c r="F2499" s="21" t="inlineStr">
        <is>
          <r>
            <t xml:space="preserve">PREÇO UNITÁRIO</t>
          </r>
        </is>
      </c>
      <c r="G2499" s="21" t="inlineStr">
        <is>
          <r>
            <t xml:space="preserve">TOTAL</t>
          </r>
        </is>
      </c>
    </row>
    <row r="2500" customHeight="1" ht="21">
      <c r="A2500" s="22" t="inlineStr">
        <is>
          <r>
            <t xml:space="preserve">00013896</t>
          </r>
        </is>
      </c>
      <c r="B2500" s="23" t="inlineStr">
        <is>
          <r>
            <t xml:space="preserve">VIBRADOR DE IMERSAO, DIAMETRO DA PONTEIRA DE *45* MM, COM MOTOR ELETRICO TRIFASICO DE 2 HP (2 CV)</t>
          </r>
        </is>
      </c>
      <c r="C2500" s="22" t="inlineStr">
        <is>
          <r>
            <t xml:space="preserve">SINAPI</t>
          </r>
        </is>
      </c>
      <c r="D2500" s="22" t="inlineStr">
        <is>
          <r>
            <t xml:space="preserve">UN</t>
          </r>
        </is>
      </c>
      <c r="E2500" s="24" t="n">
        <v>1.0E-4</v>
      </c>
      <c r="F2500" s="25" t="n">
        <v>3626.47</v>
      </c>
      <c r="G2500" s="25" t="n">
        <f>TRUNC(TRUNC(E2500,8)*F2500,2)</f>
        <v>0.36</v>
      </c>
    </row>
    <row r="2501" customHeight="1" ht="15">
      <c r="A2501" s="2" t="inlineStr"/>
      <c r="B2501" s="2" t="inlineStr"/>
      <c r="C2501" s="2" t="inlineStr"/>
      <c r="D2501" s="2" t="inlineStr"/>
      <c r="E2501" s="26" t="inlineStr">
        <is>
          <r>
            <t xml:space="preserve">TOTAL Equipamento:</t>
          </r>
        </is>
      </c>
      <c r="F2501" s="26" t="inlineStr"/>
      <c r="G2501" s="27" t="n">
        <f>SUM(G2500:G2500)</f>
        <v>0.36</v>
      </c>
    </row>
    <row r="2502" customHeight="1" ht="15">
      <c r="A2502" s="2" t="inlineStr"/>
      <c r="B2502" s="2" t="inlineStr"/>
      <c r="C2502" s="2" t="inlineStr"/>
      <c r="D2502" s="2" t="inlineStr"/>
      <c r="E2502" s="28" t="inlineStr">
        <is>
          <r>
            <t xml:space="preserve">VALOR:</t>
          </r>
        </is>
      </c>
      <c r="F2502" s="28" t="inlineStr"/>
      <c r="G2502" s="29" t="n">
        <f>ROUND(SUM(G2501),2)</f>
        <v>0.36</v>
      </c>
    </row>
    <row r="2503" customHeight="1" ht="15">
      <c r="A2503" s="2" t="inlineStr"/>
      <c r="B2503" s="2" t="inlineStr"/>
      <c r="C2503" s="2" t="inlineStr"/>
      <c r="D2503" s="2" t="inlineStr"/>
      <c r="E2503" s="28" t="inlineStr">
        <is>
          <r>
            <t xml:space="preserve">VALOR BDI:</t>
          </r>
        </is>
      </c>
      <c r="F2503" s="28" t="inlineStr"/>
      <c r="G2503" s="29" t="n">
        <f>ROUND(G2502*(0/100),2)</f>
        <v>0.0</v>
      </c>
    </row>
    <row r="2504" customHeight="1" ht="15">
      <c r="A2504" s="2" t="inlineStr"/>
      <c r="B2504" s="2" t="inlineStr"/>
      <c r="C2504" s="2" t="inlineStr"/>
      <c r="D2504" s="2" t="inlineStr"/>
      <c r="E2504" s="28" t="inlineStr">
        <is>
          <r>
            <t xml:space="preserve">VALOR COM BDI:</t>
          </r>
        </is>
      </c>
      <c r="F2504" s="28" t="inlineStr"/>
      <c r="G2504" s="29" t="n">
        <f>G2503+G2502</f>
        <v>0.36</v>
      </c>
    </row>
    <row r="2505" customHeight="1" ht="10">
      <c r="A2505" s="2" t="inlineStr"/>
      <c r="B2505" s="2" t="inlineStr"/>
      <c r="C2505" s="2" t="inlineStr"/>
      <c r="D2505" s="2" t="inlineStr"/>
      <c r="E2505" s="18" t="inlineStr"/>
      <c r="F2505" s="18" t="inlineStr"/>
      <c r="G2505" s="18" t="inlineStr"/>
    </row>
    <row r="2506" customHeight="1" ht="20">
      <c r="A2506" s="19" t="inlineStr">
        <is>
          <r>
            <t xml:space="preserve">​90585​ VIBRADOR DE IMERSÃO, DIÂMETRO DE PONTEIRA 45MM, MOTOR ELÉTRICO TRIFÁSICO POTÊNCIA DE 2 CV - MATERIAIS NA OPERAÇÃO. AF_06/2015​ (H)</t>
          </r>
        </is>
      </c>
      <c r="B2506" s="19" t="inlineStr"/>
      <c r="C2506" s="19" t="inlineStr"/>
      <c r="D2506" s="19" t="inlineStr"/>
      <c r="E2506" s="19" t="inlineStr"/>
      <c r="F2506" s="19" t="inlineStr"/>
      <c r="G2506" s="19" t="inlineStr"/>
    </row>
    <row r="2507" customHeight="1" ht="15">
      <c r="A2507" s="20" t="inlineStr">
        <is>
          <r>
            <t xml:space="preserve">Especiais</t>
          </r>
        </is>
      </c>
      <c r="B2507" s="20" t="inlineStr"/>
      <c r="C2507" s="21" t="inlineStr">
        <is>
          <r>
            <t xml:space="preserve">FONTE</t>
          </r>
        </is>
      </c>
      <c r="D2507" s="21" t="inlineStr">
        <is>
          <r>
            <t xml:space="preserve">UNID</t>
          </r>
        </is>
      </c>
      <c r="E2507" s="21" t="inlineStr">
        <is>
          <r>
            <t xml:space="preserve">COEFICIENTE</t>
          </r>
        </is>
      </c>
      <c r="F2507" s="21" t="inlineStr">
        <is>
          <r>
            <t xml:space="preserve">PREÇO UNITÁRIO</t>
          </r>
        </is>
      </c>
      <c r="G2507" s="21" t="inlineStr">
        <is>
          <r>
            <t xml:space="preserve">TOTAL</t>
          </r>
        </is>
      </c>
    </row>
    <row r="2508" customHeight="1" ht="21">
      <c r="A2508" s="22" t="inlineStr">
        <is>
          <r>
            <t xml:space="preserve">00002705</t>
          </r>
        </is>
      </c>
      <c r="B2508" s="23" t="inlineStr">
        <is>
          <r>
            <t xml:space="preserve">ENERGIA ELETRICA ATE 2000 KWH INDUSTRIAL, SEM DEMANDA</t>
          </r>
        </is>
      </c>
      <c r="C2508" s="22" t="inlineStr">
        <is>
          <r>
            <t xml:space="preserve">SINAPI</t>
          </r>
        </is>
      </c>
      <c r="D2508" s="22" t="inlineStr">
        <is>
          <r>
            <t xml:space="preserve">KWH</t>
          </r>
        </is>
      </c>
      <c r="E2508" s="24" t="n">
        <v>0.52</v>
      </c>
      <c r="F2508" s="25" t="n">
        <v>1.02</v>
      </c>
      <c r="G2508" s="25" t="n">
        <f>TRUNC(TRUNC(E2508,8)*F2508,2)</f>
        <v>0.53</v>
      </c>
    </row>
    <row r="2509" customHeight="1" ht="15">
      <c r="A2509" s="2" t="inlineStr"/>
      <c r="B2509" s="2" t="inlineStr"/>
      <c r="C2509" s="2" t="inlineStr"/>
      <c r="D2509" s="2" t="inlineStr"/>
      <c r="E2509" s="26" t="inlineStr">
        <is>
          <r>
            <t xml:space="preserve">TOTAL Especiais:</t>
          </r>
        </is>
      </c>
      <c r="F2509" s="26" t="inlineStr"/>
      <c r="G2509" s="27" t="n">
        <f>SUM(G2508:G2508)</f>
        <v>0.53</v>
      </c>
    </row>
    <row r="2510" customHeight="1" ht="15">
      <c r="A2510" s="2" t="inlineStr"/>
      <c r="B2510" s="2" t="inlineStr"/>
      <c r="C2510" s="2" t="inlineStr"/>
      <c r="D2510" s="2" t="inlineStr"/>
      <c r="E2510" s="28" t="inlineStr">
        <is>
          <r>
            <t xml:space="preserve">VALOR:</t>
          </r>
        </is>
      </c>
      <c r="F2510" s="28" t="inlineStr"/>
      <c r="G2510" s="29" t="n">
        <f>ROUND(SUM(G2509),2)</f>
        <v>0.53</v>
      </c>
    </row>
    <row r="2511" customHeight="1" ht="15">
      <c r="A2511" s="2" t="inlineStr"/>
      <c r="B2511" s="2" t="inlineStr"/>
      <c r="C2511" s="2" t="inlineStr"/>
      <c r="D2511" s="2" t="inlineStr"/>
      <c r="E2511" s="28" t="inlineStr">
        <is>
          <r>
            <t xml:space="preserve">VALOR BDI:</t>
          </r>
        </is>
      </c>
      <c r="F2511" s="28" t="inlineStr"/>
      <c r="G2511" s="29" t="n">
        <f>ROUND(G2510*(0/100),2)</f>
        <v>0.0</v>
      </c>
    </row>
    <row r="2512" customHeight="1" ht="15">
      <c r="A2512" s="2" t="inlineStr"/>
      <c r="B2512" s="2" t="inlineStr"/>
      <c r="C2512" s="2" t="inlineStr"/>
      <c r="D2512" s="2" t="inlineStr"/>
      <c r="E2512" s="28" t="inlineStr">
        <is>
          <r>
            <t xml:space="preserve">VALOR COM BDI:</t>
          </r>
        </is>
      </c>
      <c r="F2512" s="28" t="inlineStr"/>
      <c r="G2512" s="29" t="n">
        <f>G2511+G2510</f>
        <v>0.53</v>
      </c>
    </row>
  </sheetData>
  <mergeCells>
    <mergeCell ref="A1:G1"/>
    <mergeCell ref="E2:G2"/>
    <mergeCell ref="A3:G3"/>
    <mergeCell ref="A4:B4"/>
    <mergeCell ref="E11:F11"/>
    <mergeCell ref="A12:B12"/>
    <mergeCell ref="E14:F14"/>
    <mergeCell ref="A15:B15"/>
    <mergeCell ref="E17:F17"/>
    <mergeCell ref="E18:F18"/>
    <mergeCell ref="E19:F19"/>
    <mergeCell ref="E20:F20"/>
    <mergeCell ref="E21:G21"/>
    <mergeCell ref="A22:G22"/>
    <mergeCell ref="A23:B23"/>
    <mergeCell ref="E30:F30"/>
    <mergeCell ref="A31:B31"/>
    <mergeCell ref="E33:F33"/>
    <mergeCell ref="A34:B34"/>
    <mergeCell ref="E36:F36"/>
    <mergeCell ref="E37:F37"/>
    <mergeCell ref="E38:F38"/>
    <mergeCell ref="E39:F39"/>
    <mergeCell ref="E40:G40"/>
    <mergeCell ref="A41:G41"/>
    <mergeCell ref="A42:B42"/>
    <mergeCell ref="E47:F47"/>
    <mergeCell ref="A48:B48"/>
    <mergeCell ref="E51:F51"/>
    <mergeCell ref="E52:F52"/>
    <mergeCell ref="E53:F53"/>
    <mergeCell ref="E54:F54"/>
    <mergeCell ref="E55:G55"/>
    <mergeCell ref="A56:G56"/>
    <mergeCell ref="A57:B57"/>
    <mergeCell ref="E66:F66"/>
    <mergeCell ref="A67:B67"/>
    <mergeCell ref="E69:F69"/>
    <mergeCell ref="A70:B70"/>
    <mergeCell ref="E72:F72"/>
    <mergeCell ref="A73:B73"/>
    <mergeCell ref="E76:F76"/>
    <mergeCell ref="E77:F77"/>
    <mergeCell ref="E78:F78"/>
    <mergeCell ref="E79:F79"/>
    <mergeCell ref="E80:G80"/>
    <mergeCell ref="A81:G81"/>
    <mergeCell ref="A82:B82"/>
    <mergeCell ref="E87:F87"/>
    <mergeCell ref="A88:B88"/>
    <mergeCell ref="E90:F90"/>
    <mergeCell ref="E91:F91"/>
    <mergeCell ref="E92:F92"/>
    <mergeCell ref="E93:F93"/>
    <mergeCell ref="E94:G94"/>
    <mergeCell ref="A95:G95"/>
    <mergeCell ref="A96:B96"/>
    <mergeCell ref="E99:F99"/>
    <mergeCell ref="A100:B100"/>
    <mergeCell ref="E102:F102"/>
    <mergeCell ref="E103:F103"/>
    <mergeCell ref="E104:F104"/>
    <mergeCell ref="E105:F105"/>
    <mergeCell ref="E106:G106"/>
    <mergeCell ref="A107:G107"/>
    <mergeCell ref="A108:B108"/>
    <mergeCell ref="E111:F111"/>
    <mergeCell ref="A112:B112"/>
    <mergeCell ref="E114:F114"/>
    <mergeCell ref="E115:F115"/>
    <mergeCell ref="E116:F116"/>
    <mergeCell ref="E117:F117"/>
    <mergeCell ref="E118:G118"/>
    <mergeCell ref="A119:G119"/>
    <mergeCell ref="A120:B120"/>
    <mergeCell ref="E122:F122"/>
    <mergeCell ref="A123:B123"/>
    <mergeCell ref="E125:F125"/>
    <mergeCell ref="A126:B126"/>
    <mergeCell ref="E128:F128"/>
    <mergeCell ref="E129:F129"/>
    <mergeCell ref="E130:F130"/>
    <mergeCell ref="E131:F131"/>
    <mergeCell ref="E132:G132"/>
    <mergeCell ref="A133:G133"/>
    <mergeCell ref="A134:B134"/>
    <mergeCell ref="E136:F136"/>
    <mergeCell ref="A137:B137"/>
    <mergeCell ref="E139:F139"/>
    <mergeCell ref="A140:B140"/>
    <mergeCell ref="E142:F142"/>
    <mergeCell ref="E143:F143"/>
    <mergeCell ref="E144:F144"/>
    <mergeCell ref="E145:F145"/>
    <mergeCell ref="E146:G146"/>
    <mergeCell ref="A147:G147"/>
    <mergeCell ref="A148:B148"/>
    <mergeCell ref="E155:F155"/>
    <mergeCell ref="A156:B156"/>
    <mergeCell ref="E158:F158"/>
    <mergeCell ref="A159:B159"/>
    <mergeCell ref="E161:F161"/>
    <mergeCell ref="E162:F162"/>
    <mergeCell ref="E163:F163"/>
    <mergeCell ref="E164:F164"/>
    <mergeCell ref="E165:G165"/>
    <mergeCell ref="A166:G166"/>
    <mergeCell ref="A167:B167"/>
    <mergeCell ref="E170:F170"/>
    <mergeCell ref="A171:B171"/>
    <mergeCell ref="E174:F174"/>
    <mergeCell ref="E175:F175"/>
    <mergeCell ref="E176:F176"/>
    <mergeCell ref="E177:F177"/>
    <mergeCell ref="E178:G178"/>
    <mergeCell ref="A179:G179"/>
    <mergeCell ref="A180:B180"/>
    <mergeCell ref="E183:F183"/>
    <mergeCell ref="A184:B184"/>
    <mergeCell ref="E187:F187"/>
    <mergeCell ref="A188:B188"/>
    <mergeCell ref="E190:F190"/>
    <mergeCell ref="E191:F191"/>
    <mergeCell ref="E192:F192"/>
    <mergeCell ref="E193:F193"/>
    <mergeCell ref="E194:G194"/>
    <mergeCell ref="A195:G195"/>
    <mergeCell ref="A196:B196"/>
    <mergeCell ref="E199:F199"/>
    <mergeCell ref="E200:F200"/>
    <mergeCell ref="E201:F201"/>
    <mergeCell ref="E202:F202"/>
    <mergeCell ref="E203:G203"/>
    <mergeCell ref="A204:G204"/>
    <mergeCell ref="A205:B205"/>
    <mergeCell ref="E210:F210"/>
    <mergeCell ref="E211:F211"/>
    <mergeCell ref="E212:F212"/>
    <mergeCell ref="E213:F213"/>
    <mergeCell ref="E214:G214"/>
    <mergeCell ref="A215:G215"/>
    <mergeCell ref="A216:B216"/>
    <mergeCell ref="E218:F218"/>
    <mergeCell ref="E219:F219"/>
    <mergeCell ref="E220:F220"/>
    <mergeCell ref="E221:F221"/>
    <mergeCell ref="E222:G222"/>
    <mergeCell ref="A223:G223"/>
    <mergeCell ref="A224:B224"/>
    <mergeCell ref="E226:F226"/>
    <mergeCell ref="E227:F227"/>
    <mergeCell ref="E228:F228"/>
    <mergeCell ref="E229:F229"/>
    <mergeCell ref="E230:G230"/>
    <mergeCell ref="A231:G231"/>
    <mergeCell ref="A232:B232"/>
    <mergeCell ref="E234:F234"/>
    <mergeCell ref="E235:F235"/>
    <mergeCell ref="E236:F236"/>
    <mergeCell ref="E237:F237"/>
    <mergeCell ref="E238:G238"/>
    <mergeCell ref="A239:G239"/>
    <mergeCell ref="A240:B240"/>
    <mergeCell ref="E242:F242"/>
    <mergeCell ref="E243:F243"/>
    <mergeCell ref="E244:F244"/>
    <mergeCell ref="E245:F245"/>
    <mergeCell ref="E246:G246"/>
    <mergeCell ref="A247:G247"/>
    <mergeCell ref="A248:B248"/>
    <mergeCell ref="E251:F251"/>
    <mergeCell ref="E252:F252"/>
    <mergeCell ref="E253:F253"/>
    <mergeCell ref="E254:F254"/>
    <mergeCell ref="E255:G255"/>
    <mergeCell ref="A256:G256"/>
    <mergeCell ref="A257:B257"/>
    <mergeCell ref="E262:F262"/>
    <mergeCell ref="E263:F263"/>
    <mergeCell ref="E264:F264"/>
    <mergeCell ref="E265:F265"/>
    <mergeCell ref="E266:G266"/>
    <mergeCell ref="A267:G267"/>
    <mergeCell ref="A268:B268"/>
    <mergeCell ref="E270:F270"/>
    <mergeCell ref="E271:F271"/>
    <mergeCell ref="E272:F272"/>
    <mergeCell ref="E273:F273"/>
    <mergeCell ref="E274:G274"/>
    <mergeCell ref="A275:G275"/>
    <mergeCell ref="A276:B276"/>
    <mergeCell ref="E278:F278"/>
    <mergeCell ref="E279:F279"/>
    <mergeCell ref="E280:F280"/>
    <mergeCell ref="E281:F281"/>
    <mergeCell ref="E282:G282"/>
    <mergeCell ref="A283:G283"/>
    <mergeCell ref="A284:B284"/>
    <mergeCell ref="E286:F286"/>
    <mergeCell ref="E287:F287"/>
    <mergeCell ref="E288:F288"/>
    <mergeCell ref="E289:F289"/>
    <mergeCell ref="E290:G290"/>
    <mergeCell ref="A291:G291"/>
    <mergeCell ref="A292:B292"/>
    <mergeCell ref="E294:F294"/>
    <mergeCell ref="E295:F295"/>
    <mergeCell ref="E296:F296"/>
    <mergeCell ref="E297:F297"/>
    <mergeCell ref="E298:G298"/>
    <mergeCell ref="A299:G299"/>
    <mergeCell ref="A300:B300"/>
    <mergeCell ref="E304:F304"/>
    <mergeCell ref="E305:F305"/>
    <mergeCell ref="E306:F306"/>
    <mergeCell ref="E307:F307"/>
    <mergeCell ref="E308:G308"/>
    <mergeCell ref="A309:G309"/>
    <mergeCell ref="A310:B310"/>
    <mergeCell ref="E316:F316"/>
    <mergeCell ref="E317:F317"/>
    <mergeCell ref="E318:F318"/>
    <mergeCell ref="E319:F319"/>
    <mergeCell ref="E320:G320"/>
    <mergeCell ref="A321:G321"/>
    <mergeCell ref="A322:B322"/>
    <mergeCell ref="E327:F327"/>
    <mergeCell ref="E328:F328"/>
    <mergeCell ref="E329:F329"/>
    <mergeCell ref="E330:F330"/>
    <mergeCell ref="E331:G331"/>
    <mergeCell ref="A332:G332"/>
    <mergeCell ref="A333:B333"/>
    <mergeCell ref="E338:F338"/>
    <mergeCell ref="E339:F339"/>
    <mergeCell ref="E340:F340"/>
    <mergeCell ref="E341:F341"/>
    <mergeCell ref="E342:G342"/>
    <mergeCell ref="A343:G343"/>
    <mergeCell ref="A344:B344"/>
    <mergeCell ref="E348:F348"/>
    <mergeCell ref="E349:F349"/>
    <mergeCell ref="E350:F350"/>
    <mergeCell ref="E351:F351"/>
    <mergeCell ref="E352:G352"/>
    <mergeCell ref="A353:G353"/>
    <mergeCell ref="A354:B354"/>
    <mergeCell ref="E360:F360"/>
    <mergeCell ref="E361:F361"/>
    <mergeCell ref="E362:F362"/>
    <mergeCell ref="E363:F363"/>
    <mergeCell ref="E364:G364"/>
    <mergeCell ref="A365:G365"/>
    <mergeCell ref="A366:B366"/>
    <mergeCell ref="E373:F373"/>
    <mergeCell ref="A374:B374"/>
    <mergeCell ref="E376:F376"/>
    <mergeCell ref="A377:B377"/>
    <mergeCell ref="E379:F379"/>
    <mergeCell ref="A380:B380"/>
    <mergeCell ref="E382:F382"/>
    <mergeCell ref="E383:F383"/>
    <mergeCell ref="E384:F384"/>
    <mergeCell ref="E385:F385"/>
    <mergeCell ref="E386:G386"/>
    <mergeCell ref="A387:G387"/>
    <mergeCell ref="A388:B388"/>
    <mergeCell ref="E395:F395"/>
    <mergeCell ref="A396:B396"/>
    <mergeCell ref="E398:F398"/>
    <mergeCell ref="A399:B399"/>
    <mergeCell ref="E401:F401"/>
    <mergeCell ref="A402:B402"/>
    <mergeCell ref="E404:F404"/>
    <mergeCell ref="E405:F405"/>
    <mergeCell ref="E406:F406"/>
    <mergeCell ref="E407:F407"/>
    <mergeCell ref="E408:G408"/>
    <mergeCell ref="A409:G409"/>
    <mergeCell ref="A410:B410"/>
    <mergeCell ref="E412:F412"/>
    <mergeCell ref="A413:B413"/>
    <mergeCell ref="E415:F415"/>
    <mergeCell ref="E416:F416"/>
    <mergeCell ref="E417:F417"/>
    <mergeCell ref="E418:F418"/>
    <mergeCell ref="E419:G419"/>
    <mergeCell ref="A420:G420"/>
    <mergeCell ref="A421:B421"/>
    <mergeCell ref="E427:F427"/>
    <mergeCell ref="E428:F428"/>
    <mergeCell ref="E429:F429"/>
    <mergeCell ref="E430:F430"/>
    <mergeCell ref="E431:G431"/>
    <mergeCell ref="A432:G432"/>
    <mergeCell ref="A433:B433"/>
    <mergeCell ref="E437:F437"/>
    <mergeCell ref="E438:F438"/>
    <mergeCell ref="E439:F439"/>
    <mergeCell ref="E440:F440"/>
    <mergeCell ref="E441:G441"/>
    <mergeCell ref="A442:G442"/>
    <mergeCell ref="A443:B443"/>
    <mergeCell ref="E449:F449"/>
    <mergeCell ref="E450:F450"/>
    <mergeCell ref="E451:F451"/>
    <mergeCell ref="E452:F452"/>
    <mergeCell ref="E453:G453"/>
    <mergeCell ref="A454:G454"/>
    <mergeCell ref="A455:B455"/>
    <mergeCell ref="E459:F459"/>
    <mergeCell ref="E460:F460"/>
    <mergeCell ref="E461:F461"/>
    <mergeCell ref="E462:F462"/>
    <mergeCell ref="E463:G463"/>
    <mergeCell ref="A464:G464"/>
    <mergeCell ref="A465:B465"/>
    <mergeCell ref="E471:F471"/>
    <mergeCell ref="E472:F472"/>
    <mergeCell ref="E473:F473"/>
    <mergeCell ref="E474:F474"/>
    <mergeCell ref="E475:G475"/>
    <mergeCell ref="A476:G476"/>
    <mergeCell ref="A477:B477"/>
    <mergeCell ref="E481:F481"/>
    <mergeCell ref="E482:F482"/>
    <mergeCell ref="E483:F483"/>
    <mergeCell ref="E484:F484"/>
    <mergeCell ref="E485:G485"/>
    <mergeCell ref="A486:G486"/>
    <mergeCell ref="A487:B487"/>
    <mergeCell ref="E493:F493"/>
    <mergeCell ref="E494:F494"/>
    <mergeCell ref="E495:F495"/>
    <mergeCell ref="E496:F496"/>
    <mergeCell ref="E497:G497"/>
    <mergeCell ref="A498:G498"/>
    <mergeCell ref="A499:B499"/>
    <mergeCell ref="E503:F503"/>
    <mergeCell ref="E504:F504"/>
    <mergeCell ref="E505:F505"/>
    <mergeCell ref="E506:F506"/>
    <mergeCell ref="E507:G507"/>
    <mergeCell ref="A508:G508"/>
    <mergeCell ref="A509:B509"/>
    <mergeCell ref="E515:F515"/>
    <mergeCell ref="E516:F516"/>
    <mergeCell ref="E517:F517"/>
    <mergeCell ref="E518:F518"/>
    <mergeCell ref="E519:G519"/>
    <mergeCell ref="A520:G520"/>
    <mergeCell ref="A521:B521"/>
    <mergeCell ref="E527:F527"/>
    <mergeCell ref="E528:F528"/>
    <mergeCell ref="E529:F529"/>
    <mergeCell ref="E530:F530"/>
    <mergeCell ref="E531:G531"/>
    <mergeCell ref="A532:G532"/>
    <mergeCell ref="A533:B533"/>
    <mergeCell ref="E539:F539"/>
    <mergeCell ref="E540:F540"/>
    <mergeCell ref="E541:F541"/>
    <mergeCell ref="E542:F542"/>
    <mergeCell ref="E543:G543"/>
    <mergeCell ref="A544:G544"/>
    <mergeCell ref="A545:B545"/>
    <mergeCell ref="E549:F549"/>
    <mergeCell ref="E550:F550"/>
    <mergeCell ref="E551:F551"/>
    <mergeCell ref="E552:F552"/>
    <mergeCell ref="E553:G553"/>
    <mergeCell ref="A554:G554"/>
    <mergeCell ref="A555:B555"/>
    <mergeCell ref="E561:F561"/>
    <mergeCell ref="E562:F562"/>
    <mergeCell ref="E563:F563"/>
    <mergeCell ref="E564:F564"/>
    <mergeCell ref="E565:G565"/>
    <mergeCell ref="A566:G566"/>
    <mergeCell ref="A567:B567"/>
    <mergeCell ref="E570:F570"/>
    <mergeCell ref="E571:F571"/>
    <mergeCell ref="E572:F572"/>
    <mergeCell ref="E573:F573"/>
    <mergeCell ref="E574:G574"/>
    <mergeCell ref="A575:G575"/>
    <mergeCell ref="A576:B576"/>
    <mergeCell ref="E580:F580"/>
    <mergeCell ref="E581:F581"/>
    <mergeCell ref="E582:F582"/>
    <mergeCell ref="E583:F583"/>
    <mergeCell ref="E584:G584"/>
    <mergeCell ref="A585:G585"/>
    <mergeCell ref="A586:B586"/>
    <mergeCell ref="E593:F593"/>
    <mergeCell ref="A594:B594"/>
    <mergeCell ref="E596:F596"/>
    <mergeCell ref="A597:B597"/>
    <mergeCell ref="E599:F599"/>
    <mergeCell ref="E600:F600"/>
    <mergeCell ref="E601:F601"/>
    <mergeCell ref="E602:F602"/>
    <mergeCell ref="E603:G603"/>
    <mergeCell ref="A604:G604"/>
    <mergeCell ref="A605:B605"/>
    <mergeCell ref="E609:F609"/>
    <mergeCell ref="E610:F610"/>
    <mergeCell ref="E611:F611"/>
    <mergeCell ref="E612:F612"/>
    <mergeCell ref="E613:G613"/>
    <mergeCell ref="A614:G614"/>
    <mergeCell ref="A615:B615"/>
    <mergeCell ref="E621:F621"/>
    <mergeCell ref="E622:F622"/>
    <mergeCell ref="E623:F623"/>
    <mergeCell ref="E624:F624"/>
    <mergeCell ref="E625:G625"/>
    <mergeCell ref="A626:G626"/>
    <mergeCell ref="A627:B627"/>
    <mergeCell ref="E631:F631"/>
    <mergeCell ref="E632:F632"/>
    <mergeCell ref="E633:F633"/>
    <mergeCell ref="E634:F634"/>
    <mergeCell ref="E635:G635"/>
    <mergeCell ref="A636:G636"/>
    <mergeCell ref="A637:B637"/>
    <mergeCell ref="E643:F643"/>
    <mergeCell ref="E644:F644"/>
    <mergeCell ref="E645:F645"/>
    <mergeCell ref="E646:F646"/>
    <mergeCell ref="E647:G647"/>
    <mergeCell ref="A648:G648"/>
    <mergeCell ref="A649:B649"/>
    <mergeCell ref="E653:F653"/>
    <mergeCell ref="E654:F654"/>
    <mergeCell ref="E655:F655"/>
    <mergeCell ref="E656:F656"/>
    <mergeCell ref="E657:G657"/>
    <mergeCell ref="A658:G658"/>
    <mergeCell ref="A659:B659"/>
    <mergeCell ref="E665:F665"/>
    <mergeCell ref="E666:F666"/>
    <mergeCell ref="E667:F667"/>
    <mergeCell ref="E668:F668"/>
    <mergeCell ref="E669:G669"/>
    <mergeCell ref="A670:G670"/>
    <mergeCell ref="A671:B671"/>
    <mergeCell ref="E675:F675"/>
    <mergeCell ref="E676:F676"/>
    <mergeCell ref="E677:F677"/>
    <mergeCell ref="E678:F678"/>
    <mergeCell ref="E679:G679"/>
    <mergeCell ref="A680:G680"/>
    <mergeCell ref="A681:B681"/>
    <mergeCell ref="E687:F687"/>
    <mergeCell ref="E688:F688"/>
    <mergeCell ref="E689:F689"/>
    <mergeCell ref="E690:F690"/>
    <mergeCell ref="E691:G691"/>
    <mergeCell ref="A692:G692"/>
    <mergeCell ref="A693:B693"/>
    <mergeCell ref="E697:F697"/>
    <mergeCell ref="E698:F698"/>
    <mergeCell ref="E699:F699"/>
    <mergeCell ref="E700:F700"/>
    <mergeCell ref="E701:G701"/>
    <mergeCell ref="A702:G702"/>
    <mergeCell ref="A703:B703"/>
    <mergeCell ref="E709:F709"/>
    <mergeCell ref="E710:F710"/>
    <mergeCell ref="E711:F711"/>
    <mergeCell ref="E712:F712"/>
    <mergeCell ref="E713:G713"/>
    <mergeCell ref="A714:G714"/>
    <mergeCell ref="A715:B715"/>
    <mergeCell ref="E721:F721"/>
    <mergeCell ref="E722:F722"/>
    <mergeCell ref="E723:F723"/>
    <mergeCell ref="E724:F724"/>
    <mergeCell ref="E725:G725"/>
    <mergeCell ref="A726:G726"/>
    <mergeCell ref="A727:B727"/>
    <mergeCell ref="E731:F731"/>
    <mergeCell ref="E732:F732"/>
    <mergeCell ref="E733:F733"/>
    <mergeCell ref="E734:F734"/>
    <mergeCell ref="E735:G735"/>
    <mergeCell ref="A736:G736"/>
    <mergeCell ref="A737:B737"/>
    <mergeCell ref="E743:F743"/>
    <mergeCell ref="E744:F744"/>
    <mergeCell ref="E745:F745"/>
    <mergeCell ref="E746:F746"/>
    <mergeCell ref="E747:G747"/>
    <mergeCell ref="A748:G748"/>
    <mergeCell ref="A749:B749"/>
    <mergeCell ref="E753:F753"/>
    <mergeCell ref="E754:F754"/>
    <mergeCell ref="E755:F755"/>
    <mergeCell ref="E756:F756"/>
    <mergeCell ref="E757:G757"/>
    <mergeCell ref="A758:G758"/>
    <mergeCell ref="A759:B759"/>
    <mergeCell ref="E765:F765"/>
    <mergeCell ref="E766:F766"/>
    <mergeCell ref="E767:F767"/>
    <mergeCell ref="E768:F768"/>
    <mergeCell ref="E769:G769"/>
    <mergeCell ref="A770:G770"/>
    <mergeCell ref="A771:B771"/>
    <mergeCell ref="E774:F774"/>
    <mergeCell ref="A775:B775"/>
    <mergeCell ref="E779:F779"/>
    <mergeCell ref="A780:B780"/>
    <mergeCell ref="E783:F783"/>
    <mergeCell ref="E784:F784"/>
    <mergeCell ref="E785:F785"/>
    <mergeCell ref="E786:F786"/>
    <mergeCell ref="E787:G787"/>
    <mergeCell ref="A788:G788"/>
    <mergeCell ref="A789:B789"/>
    <mergeCell ref="E791:F791"/>
    <mergeCell ref="A792:B792"/>
    <mergeCell ref="E796:F796"/>
    <mergeCell ref="A797:B797"/>
    <mergeCell ref="E799:F799"/>
    <mergeCell ref="E800:F800"/>
    <mergeCell ref="E801:F801"/>
    <mergeCell ref="E802:F802"/>
    <mergeCell ref="E803:G803"/>
    <mergeCell ref="A804:G804"/>
    <mergeCell ref="A805:B805"/>
    <mergeCell ref="E807:F807"/>
    <mergeCell ref="A808:B808"/>
    <mergeCell ref="E812:F812"/>
    <mergeCell ref="A813:B813"/>
    <mergeCell ref="E815:F815"/>
    <mergeCell ref="E816:F816"/>
    <mergeCell ref="E817:F817"/>
    <mergeCell ref="E818:F818"/>
    <mergeCell ref="E819:G819"/>
    <mergeCell ref="A820:G820"/>
    <mergeCell ref="A821:B821"/>
    <mergeCell ref="E824:F824"/>
    <mergeCell ref="A825:B825"/>
    <mergeCell ref="E827:F827"/>
    <mergeCell ref="A828:B828"/>
    <mergeCell ref="E830:F830"/>
    <mergeCell ref="A831:B831"/>
    <mergeCell ref="E834:F834"/>
    <mergeCell ref="E835:F835"/>
    <mergeCell ref="E836:F836"/>
    <mergeCell ref="E837:F837"/>
    <mergeCell ref="E838:G838"/>
    <mergeCell ref="A839:G839"/>
    <mergeCell ref="A840:B840"/>
    <mergeCell ref="E843:F843"/>
    <mergeCell ref="A844:B844"/>
    <mergeCell ref="E846:F846"/>
    <mergeCell ref="A847:B847"/>
    <mergeCell ref="E849:F849"/>
    <mergeCell ref="A850:B850"/>
    <mergeCell ref="E853:F853"/>
    <mergeCell ref="E854:F854"/>
    <mergeCell ref="E855:F855"/>
    <mergeCell ref="E856:F856"/>
    <mergeCell ref="E857:G857"/>
    <mergeCell ref="A858:G858"/>
    <mergeCell ref="A859:B859"/>
    <mergeCell ref="E862:F862"/>
    <mergeCell ref="A863:B863"/>
    <mergeCell ref="E865:F865"/>
    <mergeCell ref="A866:B866"/>
    <mergeCell ref="E868:F868"/>
    <mergeCell ref="A869:B869"/>
    <mergeCell ref="E872:F872"/>
    <mergeCell ref="E873:F873"/>
    <mergeCell ref="E874:F874"/>
    <mergeCell ref="E875:F875"/>
    <mergeCell ref="E876:G876"/>
    <mergeCell ref="A877:G877"/>
    <mergeCell ref="A878:B878"/>
    <mergeCell ref="E881:F881"/>
    <mergeCell ref="A882:B882"/>
    <mergeCell ref="E885:F885"/>
    <mergeCell ref="A886:B886"/>
    <mergeCell ref="E888:F888"/>
    <mergeCell ref="E889:F889"/>
    <mergeCell ref="E890:F890"/>
    <mergeCell ref="E891:F891"/>
    <mergeCell ref="E892:G892"/>
    <mergeCell ref="A893:G893"/>
    <mergeCell ref="A894:B894"/>
    <mergeCell ref="E897:F897"/>
    <mergeCell ref="A898:B898"/>
    <mergeCell ref="E901:F901"/>
    <mergeCell ref="E902:F902"/>
    <mergeCell ref="E903:F903"/>
    <mergeCell ref="E904:F904"/>
    <mergeCell ref="E905:G905"/>
    <mergeCell ref="A906:G906"/>
    <mergeCell ref="A907:B907"/>
    <mergeCell ref="E911:F911"/>
    <mergeCell ref="E912:F912"/>
    <mergeCell ref="E913:F913"/>
    <mergeCell ref="E914:F914"/>
    <mergeCell ref="E915:G915"/>
    <mergeCell ref="A916:G916"/>
    <mergeCell ref="A917:B917"/>
    <mergeCell ref="E922:F922"/>
    <mergeCell ref="E923:F923"/>
    <mergeCell ref="E924:F924"/>
    <mergeCell ref="E925:F925"/>
    <mergeCell ref="E926:G926"/>
    <mergeCell ref="A927:G927"/>
    <mergeCell ref="A928:B928"/>
    <mergeCell ref="E931:F931"/>
    <mergeCell ref="E932:F932"/>
    <mergeCell ref="E933:F933"/>
    <mergeCell ref="E934:F934"/>
    <mergeCell ref="E935:G935"/>
    <mergeCell ref="A936:G936"/>
    <mergeCell ref="A937:B937"/>
    <mergeCell ref="E942:F942"/>
    <mergeCell ref="E943:F943"/>
    <mergeCell ref="E944:F944"/>
    <mergeCell ref="E945:F945"/>
    <mergeCell ref="E946:G946"/>
    <mergeCell ref="A947:G947"/>
    <mergeCell ref="A948:B948"/>
    <mergeCell ref="E950:F950"/>
    <mergeCell ref="A951:B951"/>
    <mergeCell ref="E953:F953"/>
    <mergeCell ref="E954:F954"/>
    <mergeCell ref="E955:F955"/>
    <mergeCell ref="E956:F956"/>
    <mergeCell ref="E957:G957"/>
    <mergeCell ref="A958:G958"/>
    <mergeCell ref="A959:B959"/>
    <mergeCell ref="E961:F961"/>
    <mergeCell ref="E962:F962"/>
    <mergeCell ref="E963:F963"/>
    <mergeCell ref="E964:F964"/>
    <mergeCell ref="E965:G965"/>
    <mergeCell ref="A966:G966"/>
    <mergeCell ref="A967:B967"/>
    <mergeCell ref="E969:F969"/>
    <mergeCell ref="A970:B970"/>
    <mergeCell ref="E972:F972"/>
    <mergeCell ref="E973:F973"/>
    <mergeCell ref="E974:F974"/>
    <mergeCell ref="E975:F975"/>
    <mergeCell ref="E976:G976"/>
    <mergeCell ref="A977:G977"/>
    <mergeCell ref="A978:B978"/>
    <mergeCell ref="E980:F980"/>
    <mergeCell ref="E981:F981"/>
    <mergeCell ref="E982:F982"/>
    <mergeCell ref="E983:F983"/>
    <mergeCell ref="E984:G984"/>
    <mergeCell ref="A985:G985"/>
    <mergeCell ref="A986:B986"/>
    <mergeCell ref="E988:F988"/>
    <mergeCell ref="A989:B989"/>
    <mergeCell ref="E992:F992"/>
    <mergeCell ref="E993:F993"/>
    <mergeCell ref="E994:F994"/>
    <mergeCell ref="E995:F995"/>
    <mergeCell ref="E996:G996"/>
    <mergeCell ref="A997:G997"/>
    <mergeCell ref="A998:B998"/>
    <mergeCell ref="E1000:F1000"/>
    <mergeCell ref="E1001:F1001"/>
    <mergeCell ref="E1002:F1002"/>
    <mergeCell ref="E1003:F1003"/>
    <mergeCell ref="E1004:G1004"/>
    <mergeCell ref="A1005:G1005"/>
    <mergeCell ref="A1006:B1006"/>
    <mergeCell ref="E1008:F1008"/>
    <mergeCell ref="E1009:F1009"/>
    <mergeCell ref="E1010:F1010"/>
    <mergeCell ref="E1011:F1011"/>
    <mergeCell ref="E1012:G1012"/>
    <mergeCell ref="A1013:G1013"/>
    <mergeCell ref="A1014:B1014"/>
    <mergeCell ref="E1016:F1016"/>
    <mergeCell ref="E1017:F1017"/>
    <mergeCell ref="E1018:F1018"/>
    <mergeCell ref="E1019:F1019"/>
    <mergeCell ref="E1020:G1020"/>
    <mergeCell ref="A1021:G1021"/>
    <mergeCell ref="A1022:B1022"/>
    <mergeCell ref="E1024:F1024"/>
    <mergeCell ref="E1025:F1025"/>
    <mergeCell ref="E1026:F1026"/>
    <mergeCell ref="E1027:F1027"/>
    <mergeCell ref="E1028:G1028"/>
    <mergeCell ref="A1029:G1029"/>
    <mergeCell ref="A1030:B1030"/>
    <mergeCell ref="E1032:F1032"/>
    <mergeCell ref="E1033:F1033"/>
    <mergeCell ref="E1034:F1034"/>
    <mergeCell ref="E1035:F1035"/>
    <mergeCell ref="E1036:G1036"/>
    <mergeCell ref="A1037:G1037"/>
    <mergeCell ref="A1038:B1038"/>
    <mergeCell ref="E1040:F1040"/>
    <mergeCell ref="E1041:F1041"/>
    <mergeCell ref="E1042:F1042"/>
    <mergeCell ref="E1043:F1043"/>
    <mergeCell ref="E1044:G1044"/>
    <mergeCell ref="A1045:G1045"/>
    <mergeCell ref="A1046:B1046"/>
    <mergeCell ref="E1048:F1048"/>
    <mergeCell ref="E1049:F1049"/>
    <mergeCell ref="E1050:F1050"/>
    <mergeCell ref="E1051:F1051"/>
    <mergeCell ref="E1052:G1052"/>
    <mergeCell ref="A1053:G1053"/>
    <mergeCell ref="A1054:B1054"/>
    <mergeCell ref="E1056:F1056"/>
    <mergeCell ref="E1057:F1057"/>
    <mergeCell ref="E1058:F1058"/>
    <mergeCell ref="E1059:F1059"/>
    <mergeCell ref="E1060:G1060"/>
    <mergeCell ref="A1061:G1061"/>
    <mergeCell ref="A1062:B1062"/>
    <mergeCell ref="E1064:F1064"/>
    <mergeCell ref="E1065:F1065"/>
    <mergeCell ref="E1066:F1066"/>
    <mergeCell ref="E1067:F1067"/>
    <mergeCell ref="E1068:G1068"/>
    <mergeCell ref="A1069:G1069"/>
    <mergeCell ref="A1070:B1070"/>
    <mergeCell ref="E1073:F1073"/>
    <mergeCell ref="A1074:B1074"/>
    <mergeCell ref="E1076:F1076"/>
    <mergeCell ref="E1077:F1077"/>
    <mergeCell ref="E1078:F1078"/>
    <mergeCell ref="E1079:F1079"/>
    <mergeCell ref="E1080:G1080"/>
    <mergeCell ref="A1081:G1081"/>
    <mergeCell ref="A1082:B1082"/>
    <mergeCell ref="E1088:F1088"/>
    <mergeCell ref="E1089:F1089"/>
    <mergeCell ref="E1090:F1090"/>
    <mergeCell ref="E1091:F1091"/>
    <mergeCell ref="E1092:G1092"/>
    <mergeCell ref="A1093:G1093"/>
    <mergeCell ref="A1094:B1094"/>
    <mergeCell ref="E1101:F1101"/>
    <mergeCell ref="A1102:B1102"/>
    <mergeCell ref="E1104:F1104"/>
    <mergeCell ref="E1105:F1105"/>
    <mergeCell ref="E1106:F1106"/>
    <mergeCell ref="E1107:F1107"/>
    <mergeCell ref="E1108:G1108"/>
    <mergeCell ref="A1109:G1109"/>
    <mergeCell ref="A1110:B1110"/>
    <mergeCell ref="E1115:F1115"/>
    <mergeCell ref="A1116:B1116"/>
    <mergeCell ref="E1118:F1118"/>
    <mergeCell ref="E1119:F1119"/>
    <mergeCell ref="E1120:F1120"/>
    <mergeCell ref="E1121:F1121"/>
    <mergeCell ref="E1122:G1122"/>
    <mergeCell ref="A1123:G1123"/>
    <mergeCell ref="A1124:B1124"/>
    <mergeCell ref="E1126:F1126"/>
    <mergeCell ref="E1127:F1127"/>
    <mergeCell ref="E1128:F1128"/>
    <mergeCell ref="E1129:F1129"/>
    <mergeCell ref="E1130:G1130"/>
    <mergeCell ref="A1131:G1131"/>
    <mergeCell ref="A1132:B1132"/>
    <mergeCell ref="E1136:F1136"/>
    <mergeCell ref="A1137:B1137"/>
    <mergeCell ref="E1140:F1140"/>
    <mergeCell ref="E1141:F1141"/>
    <mergeCell ref="E1142:F1142"/>
    <mergeCell ref="E1143:F1143"/>
    <mergeCell ref="E1144:G1144"/>
    <mergeCell ref="A1145:G1145"/>
    <mergeCell ref="A1146:B1146"/>
    <mergeCell ref="E1149:F1149"/>
    <mergeCell ref="A1150:B1150"/>
    <mergeCell ref="E1152:F1152"/>
    <mergeCell ref="E1153:F1153"/>
    <mergeCell ref="E1154:F1154"/>
    <mergeCell ref="E1155:F1155"/>
    <mergeCell ref="E1156:G1156"/>
    <mergeCell ref="A1157:G1157"/>
    <mergeCell ref="A1158:B1158"/>
    <mergeCell ref="E1164:F1164"/>
    <mergeCell ref="A1165:B1165"/>
    <mergeCell ref="E1168:F1168"/>
    <mergeCell ref="E1169:F1169"/>
    <mergeCell ref="E1170:F1170"/>
    <mergeCell ref="E1171:F1171"/>
    <mergeCell ref="E1172:G1172"/>
    <mergeCell ref="A1173:G1173"/>
    <mergeCell ref="A1174:B1174"/>
    <mergeCell ref="E1179:F1179"/>
    <mergeCell ref="A1180:B1180"/>
    <mergeCell ref="E1183:F1183"/>
    <mergeCell ref="E1184:F1184"/>
    <mergeCell ref="E1185:F1185"/>
    <mergeCell ref="E1186:F1186"/>
    <mergeCell ref="E1187:G1187"/>
    <mergeCell ref="A1188:G1188"/>
    <mergeCell ref="A1189:B1189"/>
    <mergeCell ref="E1193:F1193"/>
    <mergeCell ref="A1194:B1194"/>
    <mergeCell ref="E1197:F1197"/>
    <mergeCell ref="E1198:F1198"/>
    <mergeCell ref="E1199:F1199"/>
    <mergeCell ref="E1200:F1200"/>
    <mergeCell ref="E1201:G1201"/>
    <mergeCell ref="A1202:G1202"/>
    <mergeCell ref="A1203:B1203"/>
    <mergeCell ref="E1206:F1206"/>
    <mergeCell ref="A1207:B1207"/>
    <mergeCell ref="E1210:F1210"/>
    <mergeCell ref="E1211:F1211"/>
    <mergeCell ref="E1212:F1212"/>
    <mergeCell ref="E1213:F1213"/>
    <mergeCell ref="E1214:G1214"/>
    <mergeCell ref="A1215:G1215"/>
    <mergeCell ref="A1216:B1216"/>
    <mergeCell ref="E1223:F1223"/>
    <mergeCell ref="A1224:B1224"/>
    <mergeCell ref="E1227:F1227"/>
    <mergeCell ref="E1228:F1228"/>
    <mergeCell ref="E1229:F1229"/>
    <mergeCell ref="E1230:F1230"/>
    <mergeCell ref="E1231:G1231"/>
    <mergeCell ref="A1232:G1232"/>
    <mergeCell ref="A1233:B1233"/>
    <mergeCell ref="E1236:F1236"/>
    <mergeCell ref="E1237:F1237"/>
    <mergeCell ref="E1238:F1238"/>
    <mergeCell ref="E1239:F1239"/>
    <mergeCell ref="E1240:G1240"/>
    <mergeCell ref="A1241:G1241"/>
    <mergeCell ref="A1242:B1242"/>
    <mergeCell ref="E1246:F1246"/>
    <mergeCell ref="E1247:F1247"/>
    <mergeCell ref="E1248:F1248"/>
    <mergeCell ref="E1249:F1249"/>
    <mergeCell ref="E1250:G1250"/>
    <mergeCell ref="A1251:G1251"/>
    <mergeCell ref="A1252:B1252"/>
    <mergeCell ref="E1255:F1255"/>
    <mergeCell ref="A1256:B1256"/>
    <mergeCell ref="E1261:F1261"/>
    <mergeCell ref="A1262:B1262"/>
    <mergeCell ref="E1265:F1265"/>
    <mergeCell ref="E1266:F1266"/>
    <mergeCell ref="E1267:F1267"/>
    <mergeCell ref="E1268:F1268"/>
    <mergeCell ref="E1269:G1269"/>
    <mergeCell ref="A1270:G1270"/>
    <mergeCell ref="A1271:B1271"/>
    <mergeCell ref="E1274:F1274"/>
    <mergeCell ref="A1275:B1275"/>
    <mergeCell ref="E1277:F1277"/>
    <mergeCell ref="E1278:F1278"/>
    <mergeCell ref="E1279:F1279"/>
    <mergeCell ref="E1280:F1280"/>
    <mergeCell ref="E1281:G1281"/>
    <mergeCell ref="A1282:G1282"/>
    <mergeCell ref="A1283:B1283"/>
    <mergeCell ref="E1286:F1286"/>
    <mergeCell ref="A1287:B1287"/>
    <mergeCell ref="E1289:F1289"/>
    <mergeCell ref="E1290:F1290"/>
    <mergeCell ref="E1291:F1291"/>
    <mergeCell ref="E1292:F1292"/>
    <mergeCell ref="E1293:G1293"/>
    <mergeCell ref="A1294:G1294"/>
    <mergeCell ref="A1295:B1295"/>
    <mergeCell ref="E1299:F1299"/>
    <mergeCell ref="E1300:F1300"/>
    <mergeCell ref="E1301:F1301"/>
    <mergeCell ref="E1302:F1302"/>
    <mergeCell ref="E1303:G1303"/>
    <mergeCell ref="A1304:G1304"/>
    <mergeCell ref="A1305:B1305"/>
    <mergeCell ref="E1311:F1311"/>
    <mergeCell ref="E1312:F1312"/>
    <mergeCell ref="E1313:F1313"/>
    <mergeCell ref="E1314:F1314"/>
    <mergeCell ref="E1315:G1315"/>
    <mergeCell ref="A1316:G1316"/>
    <mergeCell ref="A1317:B1317"/>
    <mergeCell ref="E1321:F1321"/>
    <mergeCell ref="E1322:F1322"/>
    <mergeCell ref="E1323:F1323"/>
    <mergeCell ref="E1324:F1324"/>
    <mergeCell ref="E1325:G1325"/>
    <mergeCell ref="A1326:G1326"/>
    <mergeCell ref="A1327:B1327"/>
    <mergeCell ref="E1333:F1333"/>
    <mergeCell ref="E1334:F1334"/>
    <mergeCell ref="E1335:F1335"/>
    <mergeCell ref="E1336:F1336"/>
    <mergeCell ref="E1337:G1337"/>
    <mergeCell ref="A1338:G1338"/>
    <mergeCell ref="A1339:B1339"/>
    <mergeCell ref="E1343:F1343"/>
    <mergeCell ref="E1344:F1344"/>
    <mergeCell ref="E1345:F1345"/>
    <mergeCell ref="E1346:F1346"/>
    <mergeCell ref="E1347:G1347"/>
    <mergeCell ref="A1348:G1348"/>
    <mergeCell ref="A1349:B1349"/>
    <mergeCell ref="E1355:F1355"/>
    <mergeCell ref="E1356:F1356"/>
    <mergeCell ref="E1357:F1357"/>
    <mergeCell ref="E1358:F1358"/>
    <mergeCell ref="E1359:G1359"/>
    <mergeCell ref="A1360:G1360"/>
    <mergeCell ref="A1361:B1361"/>
    <mergeCell ref="E1367:F1367"/>
    <mergeCell ref="E1368:F1368"/>
    <mergeCell ref="E1369:F1369"/>
    <mergeCell ref="E1370:F1370"/>
    <mergeCell ref="E1371:G1371"/>
    <mergeCell ref="A1372:G1372"/>
    <mergeCell ref="A1373:B1373"/>
    <mergeCell ref="E1375:F1375"/>
    <mergeCell ref="A1376:B1376"/>
    <mergeCell ref="E1378:F1378"/>
    <mergeCell ref="E1379:F1379"/>
    <mergeCell ref="E1380:F1380"/>
    <mergeCell ref="E1381:F1381"/>
    <mergeCell ref="E1382:G1382"/>
    <mergeCell ref="A1383:G1383"/>
    <mergeCell ref="A1384:B1384"/>
    <mergeCell ref="E1386:F1386"/>
    <mergeCell ref="E1387:F1387"/>
    <mergeCell ref="E1388:F1388"/>
    <mergeCell ref="E1389:F1389"/>
    <mergeCell ref="E1390:G1390"/>
    <mergeCell ref="A1391:G1391"/>
    <mergeCell ref="A1392:B1392"/>
    <mergeCell ref="E1394:F1394"/>
    <mergeCell ref="E1395:F1395"/>
    <mergeCell ref="E1396:F1396"/>
    <mergeCell ref="E1397:F1397"/>
    <mergeCell ref="E1398:G1398"/>
    <mergeCell ref="A1399:G1399"/>
    <mergeCell ref="A1400:B1400"/>
    <mergeCell ref="E1402:F1402"/>
    <mergeCell ref="E1403:F1403"/>
    <mergeCell ref="E1404:F1404"/>
    <mergeCell ref="E1405:F1405"/>
    <mergeCell ref="E1406:G1406"/>
    <mergeCell ref="A1407:G1407"/>
    <mergeCell ref="A1408:B1408"/>
    <mergeCell ref="E1410:F1410"/>
    <mergeCell ref="E1411:F1411"/>
    <mergeCell ref="E1412:F1412"/>
    <mergeCell ref="E1413:F1413"/>
    <mergeCell ref="E1414:G1414"/>
    <mergeCell ref="A1415:G1415"/>
    <mergeCell ref="A1416:B1416"/>
    <mergeCell ref="E1418:F1418"/>
    <mergeCell ref="E1419:F1419"/>
    <mergeCell ref="E1420:F1420"/>
    <mergeCell ref="E1421:F1421"/>
    <mergeCell ref="E1422:G1422"/>
    <mergeCell ref="A1423:G1423"/>
    <mergeCell ref="A1424:B1424"/>
    <mergeCell ref="E1426:F1426"/>
    <mergeCell ref="E1427:F1427"/>
    <mergeCell ref="E1428:F1428"/>
    <mergeCell ref="E1429:F1429"/>
    <mergeCell ref="E1430:G1430"/>
    <mergeCell ref="A1431:G1431"/>
    <mergeCell ref="A1432:B1432"/>
    <mergeCell ref="E1434:F1434"/>
    <mergeCell ref="E1435:F1435"/>
    <mergeCell ref="E1436:F1436"/>
    <mergeCell ref="E1437:F1437"/>
    <mergeCell ref="E1438:G1438"/>
    <mergeCell ref="A1439:G1439"/>
    <mergeCell ref="A1440:B1440"/>
    <mergeCell ref="E1442:F1442"/>
    <mergeCell ref="E1443:F1443"/>
    <mergeCell ref="E1444:F1444"/>
    <mergeCell ref="E1445:F1445"/>
    <mergeCell ref="E1446:G1446"/>
    <mergeCell ref="A1447:G1447"/>
    <mergeCell ref="A1448:B1448"/>
    <mergeCell ref="E1450:F1450"/>
    <mergeCell ref="E1451:F1451"/>
    <mergeCell ref="E1452:F1452"/>
    <mergeCell ref="E1453:F1453"/>
    <mergeCell ref="E1454:G1454"/>
    <mergeCell ref="A1455:G1455"/>
    <mergeCell ref="A1456:B1456"/>
    <mergeCell ref="E1458:F1458"/>
    <mergeCell ref="E1459:F1459"/>
    <mergeCell ref="E1460:F1460"/>
    <mergeCell ref="E1461:F1461"/>
    <mergeCell ref="E1462:G1462"/>
    <mergeCell ref="A1463:G1463"/>
    <mergeCell ref="A1464:B1464"/>
    <mergeCell ref="E1466:F1466"/>
    <mergeCell ref="E1467:F1467"/>
    <mergeCell ref="E1468:F1468"/>
    <mergeCell ref="E1469:F1469"/>
    <mergeCell ref="E1470:G1470"/>
    <mergeCell ref="A1471:G1471"/>
    <mergeCell ref="A1472:B1472"/>
    <mergeCell ref="E1474:F1474"/>
    <mergeCell ref="E1475:F1475"/>
    <mergeCell ref="E1476:F1476"/>
    <mergeCell ref="E1477:F1477"/>
    <mergeCell ref="E1478:G1478"/>
    <mergeCell ref="A1479:G1479"/>
    <mergeCell ref="A1480:B1480"/>
    <mergeCell ref="E1482:F1482"/>
    <mergeCell ref="E1483:F1483"/>
    <mergeCell ref="E1484:F1484"/>
    <mergeCell ref="E1485:F1485"/>
    <mergeCell ref="E1486:G1486"/>
    <mergeCell ref="A1487:G1487"/>
    <mergeCell ref="A1488:B1488"/>
    <mergeCell ref="E1490:F1490"/>
    <mergeCell ref="E1491:F1491"/>
    <mergeCell ref="E1492:F1492"/>
    <mergeCell ref="E1493:F1493"/>
    <mergeCell ref="E1494:G1494"/>
    <mergeCell ref="A1495:G1495"/>
    <mergeCell ref="A1496:B1496"/>
    <mergeCell ref="E1498:F1498"/>
    <mergeCell ref="E1499:F1499"/>
    <mergeCell ref="E1500:F1500"/>
    <mergeCell ref="E1501:F1501"/>
    <mergeCell ref="E1502:G1502"/>
    <mergeCell ref="A1503:G1503"/>
    <mergeCell ref="A1504:B1504"/>
    <mergeCell ref="E1506:F1506"/>
    <mergeCell ref="E1507:F1507"/>
    <mergeCell ref="E1508:F1508"/>
    <mergeCell ref="E1509:F1509"/>
    <mergeCell ref="E1510:G1510"/>
    <mergeCell ref="A1511:G1511"/>
    <mergeCell ref="A1512:B1512"/>
    <mergeCell ref="E1514:F1514"/>
    <mergeCell ref="E1515:F1515"/>
    <mergeCell ref="E1516:F1516"/>
    <mergeCell ref="E1517:F1517"/>
    <mergeCell ref="E1518:G1518"/>
    <mergeCell ref="A1519:G1519"/>
    <mergeCell ref="A1520:B1520"/>
    <mergeCell ref="E1522:F1522"/>
    <mergeCell ref="E1523:F1523"/>
    <mergeCell ref="E1524:F1524"/>
    <mergeCell ref="E1525:F1525"/>
    <mergeCell ref="E1526:G1526"/>
    <mergeCell ref="A1527:G1527"/>
    <mergeCell ref="A1528:B1528"/>
    <mergeCell ref="E1530:F1530"/>
    <mergeCell ref="E1531:F1531"/>
    <mergeCell ref="E1532:F1532"/>
    <mergeCell ref="E1533:F1533"/>
    <mergeCell ref="E1534:G1534"/>
    <mergeCell ref="A1535:G1535"/>
    <mergeCell ref="A1536:B1536"/>
    <mergeCell ref="E1538:F1538"/>
    <mergeCell ref="E1539:F1539"/>
    <mergeCell ref="E1540:F1540"/>
    <mergeCell ref="E1541:F1541"/>
    <mergeCell ref="E1542:G1542"/>
    <mergeCell ref="A1543:G1543"/>
    <mergeCell ref="A1544:B1544"/>
    <mergeCell ref="E1546:F1546"/>
    <mergeCell ref="E1547:F1547"/>
    <mergeCell ref="E1548:F1548"/>
    <mergeCell ref="E1549:F1549"/>
    <mergeCell ref="E1550:G1550"/>
    <mergeCell ref="A1551:G1551"/>
    <mergeCell ref="A1552:B1552"/>
    <mergeCell ref="E1554:F1554"/>
    <mergeCell ref="E1555:F1555"/>
    <mergeCell ref="E1556:F1556"/>
    <mergeCell ref="E1557:F1557"/>
    <mergeCell ref="E1558:G1558"/>
    <mergeCell ref="A1559:G1559"/>
    <mergeCell ref="A1560:B1560"/>
    <mergeCell ref="E1562:F1562"/>
    <mergeCell ref="E1563:F1563"/>
    <mergeCell ref="E1564:F1564"/>
    <mergeCell ref="E1565:F1565"/>
    <mergeCell ref="E1566:G1566"/>
    <mergeCell ref="A1567:G1567"/>
    <mergeCell ref="A1568:B1568"/>
    <mergeCell ref="E1570:F1570"/>
    <mergeCell ref="E1571:F1571"/>
    <mergeCell ref="E1572:F1572"/>
    <mergeCell ref="E1573:F1573"/>
    <mergeCell ref="E1574:G1574"/>
    <mergeCell ref="A1575:G1575"/>
    <mergeCell ref="A1576:B1576"/>
    <mergeCell ref="E1578:F1578"/>
    <mergeCell ref="E1579:F1579"/>
    <mergeCell ref="E1580:F1580"/>
    <mergeCell ref="E1581:F1581"/>
    <mergeCell ref="E1582:G1582"/>
    <mergeCell ref="A1583:G1583"/>
    <mergeCell ref="A1584:B1584"/>
    <mergeCell ref="E1586:F1586"/>
    <mergeCell ref="E1587:F1587"/>
    <mergeCell ref="E1588:F1588"/>
    <mergeCell ref="E1589:F1589"/>
    <mergeCell ref="E1590:G1590"/>
    <mergeCell ref="A1591:G1591"/>
    <mergeCell ref="A1592:B1592"/>
    <mergeCell ref="E1594:F1594"/>
    <mergeCell ref="E1595:F1595"/>
    <mergeCell ref="E1596:F1596"/>
    <mergeCell ref="E1597:F1597"/>
    <mergeCell ref="E1598:G1598"/>
    <mergeCell ref="A1599:G1599"/>
    <mergeCell ref="A1600:B1600"/>
    <mergeCell ref="E1602:F1602"/>
    <mergeCell ref="E1603:F1603"/>
    <mergeCell ref="E1604:F1604"/>
    <mergeCell ref="E1605:F1605"/>
    <mergeCell ref="E1606:G1606"/>
    <mergeCell ref="A1607:G1607"/>
    <mergeCell ref="A1608:B1608"/>
    <mergeCell ref="E1610:F1610"/>
    <mergeCell ref="E1611:F1611"/>
    <mergeCell ref="E1612:F1612"/>
    <mergeCell ref="E1613:F1613"/>
    <mergeCell ref="E1614:G1614"/>
    <mergeCell ref="A1615:G1615"/>
    <mergeCell ref="A1616:B1616"/>
    <mergeCell ref="E1618:F1618"/>
    <mergeCell ref="E1619:F1619"/>
    <mergeCell ref="E1620:F1620"/>
    <mergeCell ref="E1621:F1621"/>
    <mergeCell ref="E1622:G1622"/>
    <mergeCell ref="A1623:G1623"/>
    <mergeCell ref="A1624:B1624"/>
    <mergeCell ref="E1626:F1626"/>
    <mergeCell ref="E1627:F1627"/>
    <mergeCell ref="E1628:F1628"/>
    <mergeCell ref="E1629:F1629"/>
    <mergeCell ref="E1630:G1630"/>
    <mergeCell ref="A1631:G1631"/>
    <mergeCell ref="A1632:B1632"/>
    <mergeCell ref="E1636:F1636"/>
    <mergeCell ref="E1637:F1637"/>
    <mergeCell ref="E1638:F1638"/>
    <mergeCell ref="E1639:F1639"/>
    <mergeCell ref="E1640:G1640"/>
    <mergeCell ref="A1641:G1641"/>
    <mergeCell ref="A1642:B1642"/>
    <mergeCell ref="E1647:F1647"/>
    <mergeCell ref="E1648:F1648"/>
    <mergeCell ref="E1649:F1649"/>
    <mergeCell ref="E1650:F1650"/>
    <mergeCell ref="E1651:G1651"/>
    <mergeCell ref="A1652:G1652"/>
    <mergeCell ref="A1653:B1653"/>
    <mergeCell ref="E1657:F1657"/>
    <mergeCell ref="E1658:F1658"/>
    <mergeCell ref="E1659:F1659"/>
    <mergeCell ref="E1660:F1660"/>
    <mergeCell ref="E1661:G1661"/>
    <mergeCell ref="A1662:G1662"/>
    <mergeCell ref="A1663:B1663"/>
    <mergeCell ref="E1669:F1669"/>
    <mergeCell ref="E1670:F1670"/>
    <mergeCell ref="E1671:F1671"/>
    <mergeCell ref="E1672:F1672"/>
    <mergeCell ref="E1673:G1673"/>
    <mergeCell ref="A1674:G1674"/>
    <mergeCell ref="A1675:B1675"/>
    <mergeCell ref="E1679:F1679"/>
    <mergeCell ref="E1680:F1680"/>
    <mergeCell ref="E1681:F1681"/>
    <mergeCell ref="E1682:F1682"/>
    <mergeCell ref="E1683:G1683"/>
    <mergeCell ref="A1684:G1684"/>
    <mergeCell ref="A1685:B1685"/>
    <mergeCell ref="E1687:F1687"/>
    <mergeCell ref="E1688:F1688"/>
    <mergeCell ref="E1689:F1689"/>
    <mergeCell ref="E1690:F1690"/>
    <mergeCell ref="E1691:G1691"/>
    <mergeCell ref="A1692:G1692"/>
    <mergeCell ref="A1693:B1693"/>
    <mergeCell ref="E1695:F1695"/>
    <mergeCell ref="E1696:F1696"/>
    <mergeCell ref="E1697:F1697"/>
    <mergeCell ref="E1698:F1698"/>
    <mergeCell ref="E1699:G1699"/>
    <mergeCell ref="A1700:G1700"/>
    <mergeCell ref="A1701:B1701"/>
    <mergeCell ref="E1703:F1703"/>
    <mergeCell ref="E1704:F1704"/>
    <mergeCell ref="E1705:F1705"/>
    <mergeCell ref="E1706:F1706"/>
    <mergeCell ref="E1707:G1707"/>
    <mergeCell ref="A1708:G1708"/>
    <mergeCell ref="A1709:B1709"/>
    <mergeCell ref="E1711:F1711"/>
    <mergeCell ref="E1712:F1712"/>
    <mergeCell ref="E1713:F1713"/>
    <mergeCell ref="E1714:F1714"/>
    <mergeCell ref="E1715:G1715"/>
    <mergeCell ref="A1716:G1716"/>
    <mergeCell ref="A1717:B1717"/>
    <mergeCell ref="E1719:F1719"/>
    <mergeCell ref="E1720:F1720"/>
    <mergeCell ref="E1721:F1721"/>
    <mergeCell ref="E1722:F1722"/>
    <mergeCell ref="E1723:G1723"/>
    <mergeCell ref="A1724:G1724"/>
    <mergeCell ref="A1725:B1725"/>
    <mergeCell ref="E1727:F1727"/>
    <mergeCell ref="E1728:F1728"/>
    <mergeCell ref="E1729:F1729"/>
    <mergeCell ref="E1730:F1730"/>
    <mergeCell ref="E1731:G1731"/>
    <mergeCell ref="A1732:G1732"/>
    <mergeCell ref="A1733:B1733"/>
    <mergeCell ref="E1735:F1735"/>
    <mergeCell ref="E1736:F1736"/>
    <mergeCell ref="E1737:F1737"/>
    <mergeCell ref="E1738:F1738"/>
    <mergeCell ref="E1739:G1739"/>
    <mergeCell ref="A1740:G1740"/>
    <mergeCell ref="A1741:B1741"/>
    <mergeCell ref="E1743:F1743"/>
    <mergeCell ref="E1744:F1744"/>
    <mergeCell ref="E1745:F1745"/>
    <mergeCell ref="E1746:F1746"/>
    <mergeCell ref="E1747:G1747"/>
    <mergeCell ref="A1748:G1748"/>
    <mergeCell ref="A1749:B1749"/>
    <mergeCell ref="E1751:F1751"/>
    <mergeCell ref="E1752:F1752"/>
    <mergeCell ref="E1753:F1753"/>
    <mergeCell ref="E1754:F1754"/>
    <mergeCell ref="E1755:G1755"/>
    <mergeCell ref="A1756:G1756"/>
    <mergeCell ref="A1757:B1757"/>
    <mergeCell ref="E1759:F1759"/>
    <mergeCell ref="E1760:F1760"/>
    <mergeCell ref="E1761:F1761"/>
    <mergeCell ref="E1762:F1762"/>
    <mergeCell ref="E1763:G1763"/>
    <mergeCell ref="A1764:G1764"/>
    <mergeCell ref="A1765:B1765"/>
    <mergeCell ref="E1767:F1767"/>
    <mergeCell ref="E1768:F1768"/>
    <mergeCell ref="E1769:F1769"/>
    <mergeCell ref="E1770:F1770"/>
    <mergeCell ref="E1771:G1771"/>
    <mergeCell ref="A1772:G1772"/>
    <mergeCell ref="A1773:B1773"/>
    <mergeCell ref="E1775:F1775"/>
    <mergeCell ref="E1776:F1776"/>
    <mergeCell ref="E1777:F1777"/>
    <mergeCell ref="E1778:F1778"/>
    <mergeCell ref="E1779:G1779"/>
    <mergeCell ref="A1780:G1780"/>
    <mergeCell ref="A1781:B1781"/>
    <mergeCell ref="E1783:F1783"/>
    <mergeCell ref="E1784:F1784"/>
    <mergeCell ref="E1785:F1785"/>
    <mergeCell ref="E1786:F1786"/>
    <mergeCell ref="E1787:G1787"/>
    <mergeCell ref="A1788:G1788"/>
    <mergeCell ref="A1789:B1789"/>
    <mergeCell ref="E1791:F1791"/>
    <mergeCell ref="E1792:F1792"/>
    <mergeCell ref="E1793:F1793"/>
    <mergeCell ref="E1794:F1794"/>
    <mergeCell ref="E1795:G1795"/>
    <mergeCell ref="A1796:G1796"/>
    <mergeCell ref="A1797:B1797"/>
    <mergeCell ref="E1799:F1799"/>
    <mergeCell ref="E1800:F1800"/>
    <mergeCell ref="E1801:F1801"/>
    <mergeCell ref="E1802:F1802"/>
    <mergeCell ref="E1803:G1803"/>
    <mergeCell ref="A1804:G1804"/>
    <mergeCell ref="A1805:B1805"/>
    <mergeCell ref="E1807:F1807"/>
    <mergeCell ref="E1808:F1808"/>
    <mergeCell ref="E1809:F1809"/>
    <mergeCell ref="E1810:F1810"/>
    <mergeCell ref="E1811:G1811"/>
    <mergeCell ref="A1812:G1812"/>
    <mergeCell ref="A1813:B1813"/>
    <mergeCell ref="E1815:F1815"/>
    <mergeCell ref="E1816:F1816"/>
    <mergeCell ref="E1817:F1817"/>
    <mergeCell ref="E1818:F1818"/>
    <mergeCell ref="E1819:G1819"/>
    <mergeCell ref="A1820:G1820"/>
    <mergeCell ref="A1821:B1821"/>
    <mergeCell ref="E1823:F1823"/>
    <mergeCell ref="E1824:F1824"/>
    <mergeCell ref="E1825:F1825"/>
    <mergeCell ref="E1826:F1826"/>
    <mergeCell ref="E1827:G1827"/>
    <mergeCell ref="A1828:G1828"/>
    <mergeCell ref="A1829:B1829"/>
    <mergeCell ref="E1831:F1831"/>
    <mergeCell ref="E1832:F1832"/>
    <mergeCell ref="E1833:F1833"/>
    <mergeCell ref="E1834:F1834"/>
    <mergeCell ref="E1835:G1835"/>
    <mergeCell ref="A1836:G1836"/>
    <mergeCell ref="A1837:B1837"/>
    <mergeCell ref="E1839:F1839"/>
    <mergeCell ref="E1840:F1840"/>
    <mergeCell ref="E1841:F1841"/>
    <mergeCell ref="E1842:F1842"/>
    <mergeCell ref="E1843:G1843"/>
    <mergeCell ref="A1844:G1844"/>
    <mergeCell ref="A1845:B1845"/>
    <mergeCell ref="E1847:F1847"/>
    <mergeCell ref="E1848:F1848"/>
    <mergeCell ref="E1849:F1849"/>
    <mergeCell ref="E1850:F1850"/>
    <mergeCell ref="E1851:G1851"/>
    <mergeCell ref="A1852:G1852"/>
    <mergeCell ref="A1853:B1853"/>
    <mergeCell ref="E1855:F1855"/>
    <mergeCell ref="E1856:F1856"/>
    <mergeCell ref="E1857:F1857"/>
    <mergeCell ref="E1858:F1858"/>
    <mergeCell ref="E1859:G1859"/>
    <mergeCell ref="A1860:G1860"/>
    <mergeCell ref="A1861:B1861"/>
    <mergeCell ref="E1863:F1863"/>
    <mergeCell ref="E1864:F1864"/>
    <mergeCell ref="E1865:F1865"/>
    <mergeCell ref="E1866:F1866"/>
    <mergeCell ref="E1867:G1867"/>
    <mergeCell ref="A1868:G1868"/>
    <mergeCell ref="A1869:B1869"/>
    <mergeCell ref="E1871:F1871"/>
    <mergeCell ref="E1872:F1872"/>
    <mergeCell ref="E1873:F1873"/>
    <mergeCell ref="E1874:F1874"/>
    <mergeCell ref="E1875:G1875"/>
    <mergeCell ref="A1876:G1876"/>
    <mergeCell ref="A1877:B1877"/>
    <mergeCell ref="E1879:F1879"/>
    <mergeCell ref="E1880:F1880"/>
    <mergeCell ref="E1881:F1881"/>
    <mergeCell ref="E1882:F1882"/>
    <mergeCell ref="E1883:G1883"/>
    <mergeCell ref="A1884:G1884"/>
    <mergeCell ref="A1885:B1885"/>
    <mergeCell ref="E1887:F1887"/>
    <mergeCell ref="E1888:F1888"/>
    <mergeCell ref="E1889:F1889"/>
    <mergeCell ref="E1890:F1890"/>
    <mergeCell ref="E1891:G1891"/>
    <mergeCell ref="A1892:G1892"/>
    <mergeCell ref="A1893:B1893"/>
    <mergeCell ref="E1895:F1895"/>
    <mergeCell ref="E1896:F1896"/>
    <mergeCell ref="E1897:F1897"/>
    <mergeCell ref="E1898:F1898"/>
    <mergeCell ref="E1899:G1899"/>
    <mergeCell ref="A1900:G1900"/>
    <mergeCell ref="A1901:B1901"/>
    <mergeCell ref="E1903:F1903"/>
    <mergeCell ref="E1904:F1904"/>
    <mergeCell ref="E1905:F1905"/>
    <mergeCell ref="E1906:F1906"/>
    <mergeCell ref="E1907:G1907"/>
    <mergeCell ref="A1908:G1908"/>
    <mergeCell ref="A1909:B1909"/>
    <mergeCell ref="E1911:F1911"/>
    <mergeCell ref="E1912:F1912"/>
    <mergeCell ref="E1913:F1913"/>
    <mergeCell ref="E1914:F1914"/>
    <mergeCell ref="E1915:G1915"/>
    <mergeCell ref="A1916:G1916"/>
    <mergeCell ref="A1917:B1917"/>
    <mergeCell ref="E1919:F1919"/>
    <mergeCell ref="E1920:F1920"/>
    <mergeCell ref="E1921:F1921"/>
    <mergeCell ref="E1922:F1922"/>
    <mergeCell ref="E1923:G1923"/>
    <mergeCell ref="A1924:G1924"/>
    <mergeCell ref="A1925:B1925"/>
    <mergeCell ref="E1927:F1927"/>
    <mergeCell ref="E1928:F1928"/>
    <mergeCell ref="E1929:F1929"/>
    <mergeCell ref="E1930:F1930"/>
    <mergeCell ref="E1931:G1931"/>
    <mergeCell ref="A1932:G1932"/>
    <mergeCell ref="A1933:B1933"/>
    <mergeCell ref="E1935:F1935"/>
    <mergeCell ref="E1936:F1936"/>
    <mergeCell ref="E1937:F1937"/>
    <mergeCell ref="E1938:F1938"/>
    <mergeCell ref="E1939:G1939"/>
    <mergeCell ref="A1940:G1940"/>
    <mergeCell ref="A1941:B1941"/>
    <mergeCell ref="E1943:F1943"/>
    <mergeCell ref="E1944:F1944"/>
    <mergeCell ref="E1945:F1945"/>
    <mergeCell ref="E1946:F1946"/>
    <mergeCell ref="E1947:G1947"/>
    <mergeCell ref="A1948:G1948"/>
    <mergeCell ref="A1949:B1949"/>
    <mergeCell ref="E1953:F1953"/>
    <mergeCell ref="E1954:F1954"/>
    <mergeCell ref="E1955:F1955"/>
    <mergeCell ref="E1956:F1956"/>
    <mergeCell ref="E1957:G1957"/>
    <mergeCell ref="A1958:G1958"/>
    <mergeCell ref="A1959:B1959"/>
    <mergeCell ref="E1963:F1963"/>
    <mergeCell ref="E1964:F1964"/>
    <mergeCell ref="E1965:F1965"/>
    <mergeCell ref="E1966:F1966"/>
    <mergeCell ref="E1967:G1967"/>
    <mergeCell ref="A1968:G1968"/>
    <mergeCell ref="A1969:B1969"/>
    <mergeCell ref="E1976:F1976"/>
    <mergeCell ref="A1977:B1977"/>
    <mergeCell ref="E1979:F1979"/>
    <mergeCell ref="A1980:B1980"/>
    <mergeCell ref="E1982:F1982"/>
    <mergeCell ref="E1983:F1983"/>
    <mergeCell ref="E1984:F1984"/>
    <mergeCell ref="E1985:F1985"/>
    <mergeCell ref="E1986:G1986"/>
    <mergeCell ref="A1987:G1987"/>
    <mergeCell ref="A1988:B1988"/>
    <mergeCell ref="E1995:F1995"/>
    <mergeCell ref="A1996:B1996"/>
    <mergeCell ref="E1998:F1998"/>
    <mergeCell ref="A1999:B1999"/>
    <mergeCell ref="E2001:F2001"/>
    <mergeCell ref="E2002:F2002"/>
    <mergeCell ref="E2003:F2003"/>
    <mergeCell ref="E2004:F2004"/>
    <mergeCell ref="E2005:G2005"/>
    <mergeCell ref="A2006:G2006"/>
    <mergeCell ref="A2007:B2007"/>
    <mergeCell ref="E2014:F2014"/>
    <mergeCell ref="A2015:B2015"/>
    <mergeCell ref="E2017:F2017"/>
    <mergeCell ref="A2018:B2018"/>
    <mergeCell ref="E2020:F2020"/>
    <mergeCell ref="E2021:F2021"/>
    <mergeCell ref="E2022:F2022"/>
    <mergeCell ref="E2023:F2023"/>
    <mergeCell ref="E2024:G2024"/>
    <mergeCell ref="A2025:G2025"/>
    <mergeCell ref="A2026:B2026"/>
    <mergeCell ref="E2030:F2030"/>
    <mergeCell ref="E2031:F2031"/>
    <mergeCell ref="E2032:F2032"/>
    <mergeCell ref="E2033:F2033"/>
    <mergeCell ref="E2034:G2034"/>
    <mergeCell ref="A2035:G2035"/>
    <mergeCell ref="A2036:B2036"/>
    <mergeCell ref="E2041:F2041"/>
    <mergeCell ref="E2042:F2042"/>
    <mergeCell ref="E2043:F2043"/>
    <mergeCell ref="E2044:F2044"/>
    <mergeCell ref="E2045:G2045"/>
    <mergeCell ref="A2046:G2046"/>
    <mergeCell ref="A2047:B2047"/>
    <mergeCell ref="E2052:F2052"/>
    <mergeCell ref="A2053:B2053"/>
    <mergeCell ref="E2058:F2058"/>
    <mergeCell ref="A2059:B2059"/>
    <mergeCell ref="E2064:F2064"/>
    <mergeCell ref="A2065:B2065"/>
    <mergeCell ref="E2068:F2068"/>
    <mergeCell ref="E2069:F2069"/>
    <mergeCell ref="E2070:F2070"/>
    <mergeCell ref="E2071:F2071"/>
    <mergeCell ref="E2072:G2072"/>
    <mergeCell ref="A2073:G2073"/>
    <mergeCell ref="A2074:B2074"/>
    <mergeCell ref="E2076:F2076"/>
    <mergeCell ref="E2077:F2077"/>
    <mergeCell ref="E2078:F2078"/>
    <mergeCell ref="E2079:F2079"/>
    <mergeCell ref="E2080:G2080"/>
    <mergeCell ref="A2081:G2081"/>
    <mergeCell ref="A2082:B2082"/>
    <mergeCell ref="E2085:F2085"/>
    <mergeCell ref="A2086:B2086"/>
    <mergeCell ref="E2088:F2088"/>
    <mergeCell ref="E2089:F2089"/>
    <mergeCell ref="E2090:F2090"/>
    <mergeCell ref="E2091:F2091"/>
    <mergeCell ref="E2092:G2092"/>
    <mergeCell ref="A2093:G2093"/>
    <mergeCell ref="A2094:B2094"/>
    <mergeCell ref="E2097:F2097"/>
    <mergeCell ref="E2098:F2098"/>
    <mergeCell ref="E2099:F2099"/>
    <mergeCell ref="E2100:F2100"/>
    <mergeCell ref="E2101:G2101"/>
    <mergeCell ref="A2102:G2102"/>
    <mergeCell ref="A2103:B2103"/>
    <mergeCell ref="E2107:F2107"/>
    <mergeCell ref="E2108:F2108"/>
    <mergeCell ref="E2109:F2109"/>
    <mergeCell ref="E2110:F2110"/>
    <mergeCell ref="E2111:G2111"/>
    <mergeCell ref="A2112:G2112"/>
    <mergeCell ref="A2113:B2113"/>
    <mergeCell ref="E2117:F2117"/>
    <mergeCell ref="E2118:F2118"/>
    <mergeCell ref="E2119:F2119"/>
    <mergeCell ref="E2120:F2120"/>
    <mergeCell ref="E2121:G2121"/>
    <mergeCell ref="A2122:G2122"/>
    <mergeCell ref="A2123:B2123"/>
    <mergeCell ref="E2129:F2129"/>
    <mergeCell ref="E2130:F2130"/>
    <mergeCell ref="E2131:F2131"/>
    <mergeCell ref="E2132:F2132"/>
    <mergeCell ref="E2133:G2133"/>
    <mergeCell ref="A2134:G2134"/>
    <mergeCell ref="A2135:B2135"/>
    <mergeCell ref="E2140:F2140"/>
    <mergeCell ref="A2141:B2141"/>
    <mergeCell ref="E2148:F2148"/>
    <mergeCell ref="A2149:B2149"/>
    <mergeCell ref="E2152:F2152"/>
    <mergeCell ref="E2153:F2153"/>
    <mergeCell ref="E2154:F2154"/>
    <mergeCell ref="E2155:F2155"/>
    <mergeCell ref="E2156:G2156"/>
    <mergeCell ref="A2157:G2157"/>
    <mergeCell ref="A2158:B2158"/>
    <mergeCell ref="E2162:F2162"/>
    <mergeCell ref="E2163:F2163"/>
    <mergeCell ref="E2164:F2164"/>
    <mergeCell ref="E2165:F2165"/>
    <mergeCell ref="E2166:G2166"/>
    <mergeCell ref="A2167:G2167"/>
    <mergeCell ref="A2168:B2168"/>
    <mergeCell ref="E2173:F2173"/>
    <mergeCell ref="E2174:F2174"/>
    <mergeCell ref="E2175:F2175"/>
    <mergeCell ref="E2176:F2176"/>
    <mergeCell ref="E2177:G2177"/>
    <mergeCell ref="A2178:G2178"/>
    <mergeCell ref="A2179:B2179"/>
    <mergeCell ref="E2181:F2181"/>
    <mergeCell ref="A2182:B2182"/>
    <mergeCell ref="E2185:F2185"/>
    <mergeCell ref="E2186:F2186"/>
    <mergeCell ref="E2187:F2187"/>
    <mergeCell ref="E2188:F2188"/>
    <mergeCell ref="E2189:G2189"/>
    <mergeCell ref="A2190:G2190"/>
    <mergeCell ref="A2191:B2191"/>
    <mergeCell ref="E2193:F2193"/>
    <mergeCell ref="A2194:B2194"/>
    <mergeCell ref="E2199:F2199"/>
    <mergeCell ref="E2200:F2200"/>
    <mergeCell ref="E2201:F2201"/>
    <mergeCell ref="E2202:F2202"/>
    <mergeCell ref="E2203:G2203"/>
    <mergeCell ref="A2204:G2204"/>
    <mergeCell ref="A2205:B2205"/>
    <mergeCell ref="E2207:F2207"/>
    <mergeCell ref="E2208:F2208"/>
    <mergeCell ref="E2209:F2209"/>
    <mergeCell ref="E2210:F2210"/>
    <mergeCell ref="E2211:G2211"/>
    <mergeCell ref="A2212:G2212"/>
    <mergeCell ref="A2213:B2213"/>
    <mergeCell ref="E2215:F2215"/>
    <mergeCell ref="E2216:F2216"/>
    <mergeCell ref="E2217:F2217"/>
    <mergeCell ref="E2218:F2218"/>
    <mergeCell ref="E2219:G2219"/>
    <mergeCell ref="A2220:G2220"/>
    <mergeCell ref="A2221:B2221"/>
    <mergeCell ref="E2223:F2223"/>
    <mergeCell ref="E2224:F2224"/>
    <mergeCell ref="E2225:F2225"/>
    <mergeCell ref="E2226:F2226"/>
    <mergeCell ref="E2227:G2227"/>
    <mergeCell ref="A2228:G2228"/>
    <mergeCell ref="A2229:B2229"/>
    <mergeCell ref="E2231:F2231"/>
    <mergeCell ref="E2232:F2232"/>
    <mergeCell ref="E2233:F2233"/>
    <mergeCell ref="E2234:F2234"/>
    <mergeCell ref="E2235:G2235"/>
    <mergeCell ref="A2236:G2236"/>
    <mergeCell ref="A2237:B2237"/>
    <mergeCell ref="E2244:F2244"/>
    <mergeCell ref="A2245:B2245"/>
    <mergeCell ref="E2247:F2247"/>
    <mergeCell ref="A2248:B2248"/>
    <mergeCell ref="E2250:F2250"/>
    <mergeCell ref="E2251:F2251"/>
    <mergeCell ref="E2252:F2252"/>
    <mergeCell ref="E2253:F2253"/>
    <mergeCell ref="E2254:G2254"/>
    <mergeCell ref="A2255:G2255"/>
    <mergeCell ref="A2256:B2256"/>
    <mergeCell ref="E2259:F2259"/>
    <mergeCell ref="E2260:F2260"/>
    <mergeCell ref="E2261:F2261"/>
    <mergeCell ref="E2262:F2262"/>
    <mergeCell ref="E2263:G2263"/>
    <mergeCell ref="A2264:G2264"/>
    <mergeCell ref="A2265:B2265"/>
    <mergeCell ref="E2269:F2269"/>
    <mergeCell ref="E2270:F2270"/>
    <mergeCell ref="E2271:F2271"/>
    <mergeCell ref="E2272:F2272"/>
    <mergeCell ref="E2273:G2273"/>
    <mergeCell ref="A2274:G2274"/>
    <mergeCell ref="A2275:B2275"/>
    <mergeCell ref="E2278:F2278"/>
    <mergeCell ref="E2279:F2279"/>
    <mergeCell ref="E2280:F2280"/>
    <mergeCell ref="E2281:F2281"/>
    <mergeCell ref="E2282:G2282"/>
    <mergeCell ref="A2283:G2283"/>
    <mergeCell ref="A2284:B2284"/>
    <mergeCell ref="E2288:F2288"/>
    <mergeCell ref="E2289:F2289"/>
    <mergeCell ref="E2290:F2290"/>
    <mergeCell ref="E2291:F2291"/>
    <mergeCell ref="E2292:G2292"/>
    <mergeCell ref="A2293:G2293"/>
    <mergeCell ref="A2294:B2294"/>
    <mergeCell ref="E2298:F2298"/>
    <mergeCell ref="E2299:F2299"/>
    <mergeCell ref="E2300:F2300"/>
    <mergeCell ref="E2301:F2301"/>
    <mergeCell ref="E2302:G2302"/>
    <mergeCell ref="A2303:G2303"/>
    <mergeCell ref="A2304:B2304"/>
    <mergeCell ref="E2308:F2308"/>
    <mergeCell ref="E2309:F2309"/>
    <mergeCell ref="E2310:F2310"/>
    <mergeCell ref="E2311:F2311"/>
    <mergeCell ref="E2312:G2312"/>
    <mergeCell ref="A2313:G2313"/>
    <mergeCell ref="A2314:B2314"/>
    <mergeCell ref="E2320:F2320"/>
    <mergeCell ref="E2321:F2321"/>
    <mergeCell ref="E2322:F2322"/>
    <mergeCell ref="E2323:F2323"/>
    <mergeCell ref="E2324:G2324"/>
    <mergeCell ref="A2325:G2325"/>
    <mergeCell ref="A2326:B2326"/>
    <mergeCell ref="E2330:F2330"/>
    <mergeCell ref="E2331:F2331"/>
    <mergeCell ref="E2332:F2332"/>
    <mergeCell ref="E2333:F2333"/>
    <mergeCell ref="E2334:G2334"/>
    <mergeCell ref="A2335:G2335"/>
    <mergeCell ref="A2336:B2336"/>
    <mergeCell ref="E2342:F2342"/>
    <mergeCell ref="E2343:F2343"/>
    <mergeCell ref="E2344:F2344"/>
    <mergeCell ref="E2345:F2345"/>
    <mergeCell ref="E2346:G2346"/>
    <mergeCell ref="A2347:G2347"/>
    <mergeCell ref="A2348:B2348"/>
    <mergeCell ref="E2353:F2353"/>
    <mergeCell ref="A2354:B2354"/>
    <mergeCell ref="E2356:F2356"/>
    <mergeCell ref="A2357:B2357"/>
    <mergeCell ref="E2359:F2359"/>
    <mergeCell ref="E2360:F2360"/>
    <mergeCell ref="E2361:F2361"/>
    <mergeCell ref="E2362:F2362"/>
    <mergeCell ref="E2363:G2363"/>
    <mergeCell ref="A2364:G2364"/>
    <mergeCell ref="A2365:B2365"/>
    <mergeCell ref="E2369:F2369"/>
    <mergeCell ref="E2370:F2370"/>
    <mergeCell ref="E2371:F2371"/>
    <mergeCell ref="E2372:F2372"/>
    <mergeCell ref="E2373:G2373"/>
    <mergeCell ref="A2374:G2374"/>
    <mergeCell ref="A2375:B2375"/>
    <mergeCell ref="E2380:F2380"/>
    <mergeCell ref="E2381:F2381"/>
    <mergeCell ref="E2382:F2382"/>
    <mergeCell ref="E2383:F2383"/>
    <mergeCell ref="E2384:G2384"/>
    <mergeCell ref="A2385:G2385"/>
    <mergeCell ref="A2386:B2386"/>
    <mergeCell ref="E2390:F2390"/>
    <mergeCell ref="E2391:F2391"/>
    <mergeCell ref="E2392:F2392"/>
    <mergeCell ref="E2393:F2393"/>
    <mergeCell ref="E2394:G2394"/>
    <mergeCell ref="A2395:G2395"/>
    <mergeCell ref="A2396:B2396"/>
    <mergeCell ref="E2401:F2401"/>
    <mergeCell ref="E2402:F2402"/>
    <mergeCell ref="E2403:F2403"/>
    <mergeCell ref="E2404:F2404"/>
    <mergeCell ref="E2405:G2405"/>
    <mergeCell ref="A2406:G2406"/>
    <mergeCell ref="A2407:B2407"/>
    <mergeCell ref="E2414:F2414"/>
    <mergeCell ref="A2415:B2415"/>
    <mergeCell ref="E2417:F2417"/>
    <mergeCell ref="E2418:F2418"/>
    <mergeCell ref="E2419:F2419"/>
    <mergeCell ref="E2420:F2420"/>
    <mergeCell ref="E2421:G2421"/>
    <mergeCell ref="A2422:G2422"/>
    <mergeCell ref="A2423:B2423"/>
    <mergeCell ref="E2432:F2432"/>
    <mergeCell ref="A2433:B2433"/>
    <mergeCell ref="E2435:F2435"/>
    <mergeCell ref="E2436:F2436"/>
    <mergeCell ref="E2437:F2437"/>
    <mergeCell ref="E2438:F2438"/>
    <mergeCell ref="E2439:G2439"/>
    <mergeCell ref="A2440:G2440"/>
    <mergeCell ref="A2441:B2441"/>
    <mergeCell ref="E2447:F2447"/>
    <mergeCell ref="E2448:F2448"/>
    <mergeCell ref="E2449:F2449"/>
    <mergeCell ref="E2450:F2450"/>
    <mergeCell ref="E2451:G2451"/>
    <mergeCell ref="A2452:G2452"/>
    <mergeCell ref="A2453:B2453"/>
    <mergeCell ref="E2457:F2457"/>
    <mergeCell ref="E2458:F2458"/>
    <mergeCell ref="E2459:F2459"/>
    <mergeCell ref="E2460:F2460"/>
    <mergeCell ref="E2461:G2461"/>
    <mergeCell ref="A2462:G2462"/>
    <mergeCell ref="A2463:B2463"/>
    <mergeCell ref="E2466:F2466"/>
    <mergeCell ref="E2467:F2467"/>
    <mergeCell ref="E2468:F2468"/>
    <mergeCell ref="E2469:F2469"/>
    <mergeCell ref="E2470:G2470"/>
    <mergeCell ref="A2471:G2471"/>
    <mergeCell ref="A2472:B2472"/>
    <mergeCell ref="E2477:F2477"/>
    <mergeCell ref="E2478:F2478"/>
    <mergeCell ref="E2479:F2479"/>
    <mergeCell ref="E2480:F2480"/>
    <mergeCell ref="E2481:G2481"/>
    <mergeCell ref="A2482:G2482"/>
    <mergeCell ref="A2483:B2483"/>
    <mergeCell ref="E2485:F2485"/>
    <mergeCell ref="E2486:F2486"/>
    <mergeCell ref="E2487:F2487"/>
    <mergeCell ref="E2488:F2488"/>
    <mergeCell ref="E2489:G2489"/>
    <mergeCell ref="A2490:G2490"/>
    <mergeCell ref="A2491:B2491"/>
    <mergeCell ref="E2493:F2493"/>
    <mergeCell ref="E2494:F2494"/>
    <mergeCell ref="E2495:F2495"/>
    <mergeCell ref="E2496:F2496"/>
    <mergeCell ref="E2497:G2497"/>
    <mergeCell ref="A2498:G2498"/>
    <mergeCell ref="A2499:B2499"/>
    <mergeCell ref="E2501:F2501"/>
    <mergeCell ref="E2502:F2502"/>
    <mergeCell ref="E2503:F2503"/>
    <mergeCell ref="E2504:F2504"/>
    <mergeCell ref="E2505:G2505"/>
    <mergeCell ref="A2506:G2506"/>
    <mergeCell ref="A2507:B2507"/>
    <mergeCell ref="E2509:F2509"/>
    <mergeCell ref="E2510:F2510"/>
    <mergeCell ref="E2511:F2511"/>
    <mergeCell ref="E2512:F2512"/>
  </mergeCells>
  <pageMargins left="0.5" right="0.5" top="0.5" bottom="0.5" header="0.0" footer="0.0"/>
  <pageSetup orientation="portrait" scale="85" paperSize="9"/>
  <drawing r:id="rIdDr4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